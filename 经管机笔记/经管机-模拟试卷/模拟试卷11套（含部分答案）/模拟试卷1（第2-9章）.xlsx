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学习资料\经济管理中的计算机\模拟试卷11套（含部分答案）\"/>
    </mc:Choice>
  </mc:AlternateContent>
  <xr:revisionPtr revIDLastSave="0" documentId="13_ncr:1_{48D17516-2325-4108-AC05-27C93D835B4E}" xr6:coauthVersionLast="46" xr6:coauthVersionMax="46" xr10:uidLastSave="{00000000-0000-0000-0000-000000000000}"/>
  <bookViews>
    <workbookView xWindow="-110" yWindow="-110" windowWidth="21820" windowHeight="14020" activeTab="2" xr2:uid="{00000000-000D-0000-FFFF-FFFF00000000}"/>
  </bookViews>
  <sheets>
    <sheet name="第1题" sheetId="22" r:id="rId1"/>
    <sheet name="Sheet3" sheetId="25" r:id="rId2"/>
    <sheet name="第2题" sheetId="21" r:id="rId3"/>
    <sheet name="第3题" sheetId="20" r:id="rId4"/>
    <sheet name="第4题" sheetId="19" r:id="rId5"/>
    <sheet name="第5题" sheetId="13" r:id="rId6"/>
    <sheet name="第6题" sheetId="16" r:id="rId7"/>
    <sheet name="第7题" sheetId="15" r:id="rId8"/>
    <sheet name="第8题" sheetId="1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jin01">#REF!</definedName>
    <definedName name="_____sj1">[1]第1套!$A$1:$C$73</definedName>
    <definedName name="_____sj2">[2]第2题解答!$A$1:$D$251</definedName>
    <definedName name="____jin01">#REF!</definedName>
    <definedName name="____sj1">[1]第1套!$A$1:$C$73</definedName>
    <definedName name="____sj2">[2]第2题解答!$A$1:$D$251</definedName>
    <definedName name="____sj3">[3]第2题!$A$1:$D$198</definedName>
    <definedName name="____sj5">[4]第1套!$A$1:$C$73</definedName>
    <definedName name="___jin01">#REF!</definedName>
    <definedName name="___sj1">[1]第1套!$A$1:$C$73</definedName>
    <definedName name="___sj2">[2]第2题解答!$A$1:$D$251</definedName>
    <definedName name="___sj3">[3]第2题!$A$1:$D$198</definedName>
    <definedName name="___sj5">[4]第1套!$A$1:$C$73</definedName>
    <definedName name="__jin01">#REF!</definedName>
    <definedName name="__sj1">[1]第1套!$A$1:$C$73</definedName>
    <definedName name="__sj2">[2]第2题解答!$A$1:$D$251</definedName>
    <definedName name="__sj3">[3]第2题!$A$1:$D$198</definedName>
    <definedName name="__sj5">[4]第1套!$A$1:$C$73</definedName>
    <definedName name="_xlnm._FilterDatabase" localSheetId="2" hidden="1">第2题!$G$1:$G$285</definedName>
    <definedName name="_jin01" localSheetId="8">#REF!</definedName>
    <definedName name="_jin01">#REF!</definedName>
    <definedName name="_sj1">[5]第1套!$A$1:$C$73</definedName>
    <definedName name="_sj2">[5]第2套!$A$1:$D$251</definedName>
    <definedName name="_sj3">[3]第2题!$A$1:$D$198</definedName>
    <definedName name="_sj5">[4]第1套!$A$1:$C$73</definedName>
    <definedName name="aaa" localSheetId="8">OFFSET([6]第4题!XFC1,0,-1,3,1)</definedName>
    <definedName name="aaa">OFFSET([6]第4题!#REF!,0,-1,3,1)</definedName>
    <definedName name="ahzixingche" localSheetId="8">#REF!</definedName>
    <definedName name="ahzixingche">#REF!</definedName>
    <definedName name="Average">'[7]Simulation (2)'!$K$3:$N$3</definedName>
    <definedName name="Biao1" localSheetId="8">#REF!</definedName>
    <definedName name="Biao1">#REF!</definedName>
    <definedName name="Biao2" localSheetId="8">#REF!</definedName>
    <definedName name="Biao2">#REF!</definedName>
    <definedName name="Biao3" localSheetId="8">#REF!</definedName>
    <definedName name="Biao3">#REF!</definedName>
    <definedName name="Biao4" localSheetId="8">#REF!</definedName>
    <definedName name="Biao4">#REF!</definedName>
    <definedName name="BudgetTab" localSheetId="8">#REF!</definedName>
    <definedName name="BudgetTab">#REF!</definedName>
    <definedName name="dd" localSheetId="8">#REF!</definedName>
    <definedName name="dd">#REF!</definedName>
    <definedName name="kk" localSheetId="8">#REF!</definedName>
    <definedName name="kk">#REF!</definedName>
    <definedName name="MaintTable">[8]第3题!#REF!</definedName>
    <definedName name="OrderQuantity">'[7]Simulation (2)'!$D$3</definedName>
    <definedName name="sj">[9]第7题解答!$A$1:$E$65536</definedName>
    <definedName name="Table" localSheetId="8">[10]第6题!$K$2:$L$26</definedName>
    <definedName name="Table">[9]第8题解答!$K$3:$L$21</definedName>
    <definedName name="yssj">[11]D函数2!$A$1:$D$671</definedName>
    <definedName name="查询来自_MS_Access_Database" localSheetId="0" hidden="1">第1题!$A$1:$E$17257</definedName>
    <definedName name="查询来自_MS_Access_Database_1" localSheetId="1" hidden="1">Sheet3!$A$1:$E$3241</definedName>
    <definedName name="查询来自_nw" localSheetId="0" hidden="1">第1题!#REF!</definedName>
    <definedName name="查询来自_stud" localSheetId="6">第6题!#REF!</definedName>
    <definedName name="查询来自_stud" localSheetId="7">第7题!#REF!</definedName>
    <definedName name="查询数据">[12]第2题!#REF!</definedName>
    <definedName name="陈元忠">[13]第1题!$D$3:$D$11</definedName>
    <definedName name="第1季度不规则值">[14]季节指数计算模型!$E$2,[14]季节指数计算模型!$E$7,[14]季节指数计算模型!$E$12,[14]季节指数计算模型!$E$17</definedName>
    <definedName name="第2季度不规则值">[14]季节指数计算模型!$E$3,[14]季节指数计算模型!$E$8,[14]季节指数计算模型!$E$13,[14]季节指数计算模型!$E$18</definedName>
    <definedName name="第3季度不规则值">[14]季节指数计算模型!$E$5,[14]季节指数计算模型!$E$10,[14]季节指数计算模型!$E$15</definedName>
    <definedName name="第4季度不规则值">[14]季节指数计算模型!$E$6,[14]季节指数计算模型!$E$11,[14]季节指数计算模型!$E$16,[14]季节指数计算模型!$E$21</definedName>
    <definedName name="基行" localSheetId="8">#REF!</definedName>
    <definedName name="基行">#REF!</definedName>
    <definedName name="蒋传海">[13]第1题!$C$3:$C$11</definedName>
    <definedName name="_xlnm.Extract" localSheetId="2">第2题!$K$8</definedName>
    <definedName name="原始数据" localSheetId="8">#REF!</definedName>
    <definedName name="原始数据">#REF!</definedName>
    <definedName name="张雪凤">[13]第1题!$F$3:$F$11</definedName>
    <definedName name="周新燕">[13]第1题!$E$3:$E$11</definedName>
  </definedNames>
  <calcPr calcId="191029"/>
  <pivotCaches>
    <pivotCache cacheId="9" r:id="rId24"/>
    <pivotCache cacheId="13" r:id="rId25"/>
  </pivotCaches>
</workbook>
</file>

<file path=xl/calcChain.xml><?xml version="1.0" encoding="utf-8"?>
<calcChain xmlns="http://schemas.openxmlformats.org/spreadsheetml/2006/main">
  <c r="C8" i="20" l="1"/>
  <c r="C9" i="20"/>
  <c r="C10" i="20"/>
  <c r="C11" i="20"/>
  <c r="F5" i="20"/>
  <c r="F6" i="20" s="1"/>
  <c r="C2" i="20"/>
  <c r="C3" i="20"/>
  <c r="C4" i="20"/>
  <c r="C6" i="20"/>
  <c r="C7" i="20"/>
  <c r="C5" i="20"/>
  <c r="F4" i="20" l="1"/>
  <c r="F11" i="20" s="1"/>
  <c r="K2" i="21" l="1"/>
  <c r="L6" i="21"/>
  <c r="P10" i="21" s="1"/>
  <c r="C6" i="18"/>
  <c r="C5" i="18"/>
  <c r="D6" i="13" l="1"/>
  <c r="D4" i="13"/>
  <c r="D3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A25269-A2B4-4FEB-BA0C-6D352884FEA0}" name="查询来自 MS Access Database" type="1" refreshedVersion="7" background="1" saveData="1">
    <dbPr connection="DSN=MS Access Database;DBQ=E:\学习资料\经济管理中的计算机\习题数据\Northwind.accdb;DefaultDir=E:\学习资料\经济管理中的计算机\习题数据;DriverId=25;FIL=MS Access;MaxBufferSize=2048;PageTimeout=5;" command="SELECT 订单.订单ID, 类别.类别名称, 订单明细.单价*数量*(1-折扣) AS '销售额', 订单明细.数量, 订单.订购日期_x000d__x000a_FROM `E:\学习资料\经济管理中的计算机\习题数据\Northwind.accdb`.订单 订单, `E:\学习资料\经济管理中的计算机\习题数据\Northwind.accdb`.订单明细 订单明细, `E:\学习资料\经济管理中的计算机\习题数据\Northwind.accdb`.类别 类别_x000d__x000a_WHERE 订单明细.订单ID = 订单.订单ID"/>
  </connection>
  <connection id="2" xr16:uid="{AC0453A0-940B-4AAC-A8CE-B405DCB2EA95}" name="查询来自 MS Access Database1" type="1" refreshedVersion="7" background="1" saveData="1">
    <dbPr connection="DSN=MS Access Database;DBQ=C:\Users\尤洁\Desktop\习题数据\Northwind.accdb;DefaultDir=C:\Users\尤洁\Desktop\习题数据;DriverId=25;FIL=MS Access;MaxBufferSize=2048;PageTimeout=5;" command="SELECT 订单.订单ID, 订单.订购日期, 订单明细.单价*数量*(1-折扣) AS '销售额', 订单明细.数量, 类别.类别名称_x000d__x000a_FROM `C:\Users\尤洁\Desktop\习题数据\Northwind.accdb`.订单 订单, `C:\Users\尤洁\Desktop\习题数据\Northwind.accdb`.订单明细 订单明细, `C:\Users\尤洁\Desktop\习题数据\Northwind.accdb`.类别 类别_x000d__x000a_WHERE 订单明细.订单ID = 订单.订单ID AND ((订单.订购日期&gt;={ts '1996-07-01 00:00:00'} And 订单.订购日期&lt;={ts '1996-12-31 00:00:00'}))_x000d__x000a_ORDER BY 订单.订购日期, 订单.订单ID"/>
  </connection>
</connections>
</file>

<file path=xl/sharedStrings.xml><?xml version="1.0" encoding="utf-8"?>
<sst xmlns="http://schemas.openxmlformats.org/spreadsheetml/2006/main" count="22068" uniqueCount="201">
  <si>
    <t>性别</t>
  </si>
  <si>
    <t>男</t>
  </si>
  <si>
    <t>北京</t>
  </si>
  <si>
    <t>上海</t>
  </si>
  <si>
    <t>女</t>
  </si>
  <si>
    <t>内蒙</t>
  </si>
  <si>
    <t>江苏</t>
  </si>
  <si>
    <t>江西</t>
  </si>
  <si>
    <t>辽宁</t>
  </si>
  <si>
    <t>吉林</t>
  </si>
  <si>
    <t>山西</t>
  </si>
  <si>
    <t>重庆</t>
  </si>
  <si>
    <t>天津</t>
  </si>
  <si>
    <t>湖南</t>
  </si>
  <si>
    <t>陕西</t>
  </si>
  <si>
    <t>浙江</t>
  </si>
  <si>
    <t>贵州</t>
  </si>
  <si>
    <t>福建</t>
  </si>
  <si>
    <t>广东</t>
  </si>
  <si>
    <t>海南</t>
  </si>
  <si>
    <t>安徽</t>
  </si>
  <si>
    <t>山东</t>
  </si>
  <si>
    <t>河北</t>
  </si>
  <si>
    <t>湖北</t>
  </si>
  <si>
    <t>河南</t>
  </si>
  <si>
    <t>四川</t>
  </si>
  <si>
    <t>云南</t>
  </si>
  <si>
    <t>黑龙江</t>
  </si>
  <si>
    <t>西藏</t>
  </si>
  <si>
    <t>广西</t>
  </si>
  <si>
    <r>
      <t>学</t>
    </r>
    <r>
      <rPr>
        <b/>
        <sz val="11"/>
        <color indexed="8"/>
        <rFont val="Book Antiqua"/>
        <family val="1"/>
      </rPr>
      <t xml:space="preserve"> </t>
    </r>
    <r>
      <rPr>
        <b/>
        <sz val="11"/>
        <color indexed="8"/>
        <rFont val="宋体"/>
        <family val="3"/>
        <charset val="134"/>
      </rPr>
      <t>号</t>
    </r>
  </si>
  <si>
    <t>财务管理</t>
  </si>
  <si>
    <t>电子商务</t>
  </si>
  <si>
    <t>法律</t>
  </si>
  <si>
    <t>国际金融</t>
  </si>
  <si>
    <t>会计</t>
  </si>
  <si>
    <t>计算机</t>
  </si>
  <si>
    <t>贸易</t>
  </si>
  <si>
    <t>信息系统</t>
  </si>
  <si>
    <t>固定成本</t>
  </si>
  <si>
    <t>无采购折扣</t>
  </si>
  <si>
    <t>有采购折扣</t>
  </si>
  <si>
    <t>单位储存成本系数</t>
  </si>
  <si>
    <t>采购折扣</t>
  </si>
  <si>
    <t>折扣价格</t>
  </si>
  <si>
    <t>经济订货量</t>
  </si>
  <si>
    <t>订货量</t>
  </si>
  <si>
    <t>全年采购成本</t>
  </si>
  <si>
    <t>全年订货成本</t>
  </si>
  <si>
    <t>全年仓储成本</t>
  </si>
  <si>
    <t>全年总成本</t>
  </si>
  <si>
    <r>
      <t xml:space="preserve"> </t>
    </r>
    <r>
      <rPr>
        <sz val="10"/>
        <color theme="1"/>
        <rFont val="宋体"/>
        <family val="3"/>
        <charset val="134"/>
      </rPr>
      <t>单位：元</t>
    </r>
    <phoneticPr fontId="3" type="noConversion"/>
  </si>
  <si>
    <r>
      <t>固定成本</t>
    </r>
    <r>
      <rPr>
        <sz val="10"/>
        <color theme="1"/>
        <rFont val="Times New Roman"/>
        <family val="1"/>
      </rPr>
      <t xml:space="preserve"> (F)</t>
    </r>
    <phoneticPr fontId="3" type="noConversion"/>
  </si>
  <si>
    <t>产量斜率b</t>
    <phoneticPr fontId="13" type="noConversion"/>
  </si>
  <si>
    <r>
      <t>单价</t>
    </r>
    <r>
      <rPr>
        <sz val="10"/>
        <color theme="1"/>
        <rFont val="Times New Roman"/>
        <family val="1"/>
      </rPr>
      <t xml:space="preserve"> (p)</t>
    </r>
    <phoneticPr fontId="3" type="noConversion"/>
  </si>
  <si>
    <r>
      <t>销售收益</t>
    </r>
    <r>
      <rPr>
        <sz val="10"/>
        <color theme="1"/>
        <rFont val="Times New Roman"/>
        <family val="1"/>
      </rPr>
      <t xml:space="preserve"> (R)</t>
    </r>
    <phoneticPr fontId="3" type="noConversion"/>
  </si>
  <si>
    <r>
      <t>利润</t>
    </r>
    <r>
      <rPr>
        <sz val="10"/>
        <color theme="1"/>
        <rFont val="Times New Roman"/>
        <family val="1"/>
      </rPr>
      <t xml:space="preserve"> (</t>
    </r>
    <r>
      <rPr>
        <sz val="10"/>
        <color theme="1"/>
        <rFont val="宋体"/>
        <family val="3"/>
        <charset val="134"/>
      </rPr>
      <t>π</t>
    </r>
    <r>
      <rPr>
        <sz val="10"/>
        <color theme="1"/>
        <rFont val="Times New Roman"/>
        <family val="1"/>
      </rPr>
      <t>)</t>
    </r>
    <phoneticPr fontId="3" type="noConversion"/>
  </si>
  <si>
    <t>一次订货的订货成本</t>
  </si>
  <si>
    <t>日需求量</t>
    <phoneticPr fontId="23"/>
  </si>
  <si>
    <t>概率</t>
    <phoneticPr fontId="9" type="noConversion"/>
  </si>
  <si>
    <t>班级</t>
    <phoneticPr fontId="13" type="noConversion"/>
  </si>
  <si>
    <t>考生来源</t>
    <phoneticPr fontId="3" type="noConversion"/>
  </si>
  <si>
    <t>绩点</t>
    <phoneticPr fontId="3" type="noConversion"/>
  </si>
  <si>
    <t>工作地</t>
    <phoneticPr fontId="3" type="noConversion"/>
  </si>
  <si>
    <t>从事行业</t>
    <phoneticPr fontId="3" type="noConversion"/>
  </si>
  <si>
    <t>工资</t>
    <phoneticPr fontId="3" type="noConversion"/>
  </si>
  <si>
    <t>北京</t>
    <phoneticPr fontId="3" type="noConversion"/>
  </si>
  <si>
    <t>出版娱乐</t>
    <phoneticPr fontId="3" type="noConversion"/>
  </si>
  <si>
    <t>上海</t>
    <phoneticPr fontId="3" type="noConversion"/>
  </si>
  <si>
    <t>工业制造</t>
    <phoneticPr fontId="3" type="noConversion"/>
  </si>
  <si>
    <t>计算机</t>
    <phoneticPr fontId="3" type="noConversion"/>
  </si>
  <si>
    <t>北京</t>
    <phoneticPr fontId="3" type="noConversion"/>
  </si>
  <si>
    <t>教育咨询</t>
    <phoneticPr fontId="3" type="noConversion"/>
  </si>
  <si>
    <t>教育咨询</t>
    <phoneticPr fontId="3" type="noConversion"/>
  </si>
  <si>
    <t>金融</t>
    <phoneticPr fontId="3" type="noConversion"/>
  </si>
  <si>
    <t>北京</t>
    <phoneticPr fontId="3" type="noConversion"/>
  </si>
  <si>
    <t>金融</t>
    <phoneticPr fontId="3" type="noConversion"/>
  </si>
  <si>
    <t>广东</t>
    <phoneticPr fontId="3" type="noConversion"/>
  </si>
  <si>
    <t>零售</t>
    <phoneticPr fontId="3" type="noConversion"/>
  </si>
  <si>
    <t>零售</t>
    <phoneticPr fontId="3" type="noConversion"/>
  </si>
  <si>
    <t>安徽</t>
    <phoneticPr fontId="3" type="noConversion"/>
  </si>
  <si>
    <t>旅游休闲</t>
    <phoneticPr fontId="3" type="noConversion"/>
  </si>
  <si>
    <t>医疗卫生</t>
    <phoneticPr fontId="3" type="noConversion"/>
  </si>
  <si>
    <t>政府机构</t>
    <phoneticPr fontId="3" type="noConversion"/>
  </si>
  <si>
    <t>上海</t>
    <phoneticPr fontId="3" type="noConversion"/>
  </si>
  <si>
    <t>出版娱乐</t>
    <phoneticPr fontId="3" type="noConversion"/>
  </si>
  <si>
    <t>工业制造</t>
    <phoneticPr fontId="3" type="noConversion"/>
  </si>
  <si>
    <t>工业制造</t>
    <phoneticPr fontId="3" type="noConversion"/>
  </si>
  <si>
    <t>上海</t>
    <phoneticPr fontId="3" type="noConversion"/>
  </si>
  <si>
    <t>计算机</t>
    <phoneticPr fontId="3" type="noConversion"/>
  </si>
  <si>
    <t>计算机</t>
    <phoneticPr fontId="3" type="noConversion"/>
  </si>
  <si>
    <t>北京</t>
    <phoneticPr fontId="3" type="noConversion"/>
  </si>
  <si>
    <t>教育咨询</t>
    <phoneticPr fontId="3" type="noConversion"/>
  </si>
  <si>
    <t>零售</t>
    <phoneticPr fontId="3" type="noConversion"/>
  </si>
  <si>
    <t>农业</t>
    <phoneticPr fontId="3" type="noConversion"/>
  </si>
  <si>
    <t>政府机构</t>
    <phoneticPr fontId="3" type="noConversion"/>
  </si>
  <si>
    <t>广东</t>
    <phoneticPr fontId="3" type="noConversion"/>
  </si>
  <si>
    <t>广东</t>
    <phoneticPr fontId="3" type="noConversion"/>
  </si>
  <si>
    <t>出版娱乐</t>
    <phoneticPr fontId="3" type="noConversion"/>
  </si>
  <si>
    <t>福建</t>
    <phoneticPr fontId="3" type="noConversion"/>
  </si>
  <si>
    <t>金融</t>
    <phoneticPr fontId="3" type="noConversion"/>
  </si>
  <si>
    <t>旅游休闲</t>
    <phoneticPr fontId="3" type="noConversion"/>
  </si>
  <si>
    <t>医疗卫生</t>
    <phoneticPr fontId="3" type="noConversion"/>
  </si>
  <si>
    <t>安徽</t>
    <phoneticPr fontId="3" type="noConversion"/>
  </si>
  <si>
    <t>福建</t>
    <phoneticPr fontId="3" type="noConversion"/>
  </si>
  <si>
    <t>安徽</t>
    <phoneticPr fontId="3" type="noConversion"/>
  </si>
  <si>
    <t>重庆</t>
    <phoneticPr fontId="3" type="noConversion"/>
  </si>
  <si>
    <t>男</t>
    <phoneticPr fontId="3" type="noConversion"/>
  </si>
  <si>
    <t>贵州</t>
    <phoneticPr fontId="3" type="noConversion"/>
  </si>
  <si>
    <t>河北</t>
    <phoneticPr fontId="3" type="noConversion"/>
  </si>
  <si>
    <t>山东</t>
    <phoneticPr fontId="3" type="noConversion"/>
  </si>
  <si>
    <t>上海</t>
    <phoneticPr fontId="3" type="noConversion"/>
  </si>
  <si>
    <t>零售</t>
    <phoneticPr fontId="3" type="noConversion"/>
  </si>
  <si>
    <t>计算机</t>
    <phoneticPr fontId="3" type="noConversion"/>
  </si>
  <si>
    <t>教育咨询</t>
    <phoneticPr fontId="3" type="noConversion"/>
  </si>
  <si>
    <t>旅游休闲</t>
    <phoneticPr fontId="3" type="noConversion"/>
  </si>
  <si>
    <t>政府机构</t>
    <phoneticPr fontId="3" type="noConversion"/>
  </si>
  <si>
    <t>年度</t>
    <phoneticPr fontId="13" type="noConversion"/>
  </si>
  <si>
    <t>销售量</t>
    <phoneticPr fontId="13" type="noConversion"/>
  </si>
  <si>
    <t>单位可变成本</t>
    <phoneticPr fontId="13" type="noConversion"/>
  </si>
  <si>
    <t>生产量</t>
    <phoneticPr fontId="3" type="noConversion"/>
  </si>
  <si>
    <t>生产量</t>
    <phoneticPr fontId="13" type="noConversion"/>
  </si>
  <si>
    <t>产品A</t>
    <phoneticPr fontId="13" type="noConversion"/>
  </si>
  <si>
    <t>产品B</t>
    <phoneticPr fontId="13" type="noConversion"/>
  </si>
  <si>
    <r>
      <rPr>
        <b/>
        <sz val="12"/>
        <color theme="1"/>
        <rFont val="宋体"/>
        <family val="3"/>
        <charset val="134"/>
      </rPr>
      <t>产品</t>
    </r>
    <r>
      <rPr>
        <b/>
        <sz val="12"/>
        <color theme="1"/>
        <rFont val="Times New Roman"/>
        <family val="1"/>
      </rPr>
      <t>A</t>
    </r>
    <phoneticPr fontId="3" type="noConversion"/>
  </si>
  <si>
    <r>
      <rPr>
        <b/>
        <sz val="12"/>
        <color theme="1"/>
        <rFont val="宋体"/>
        <family val="3"/>
        <charset val="134"/>
      </rPr>
      <t>产品</t>
    </r>
    <r>
      <rPr>
        <b/>
        <sz val="12"/>
        <color theme="1"/>
        <rFont val="Times New Roman"/>
        <family val="1"/>
      </rPr>
      <t>B</t>
    </r>
    <phoneticPr fontId="3" type="noConversion"/>
  </si>
  <si>
    <t>达到采购阈限值时的订货量</t>
    <phoneticPr fontId="13" type="noConversion"/>
  </si>
  <si>
    <t>销售月</t>
    <phoneticPr fontId="13" type="noConversion"/>
  </si>
  <si>
    <t>产品销售数量</t>
    <phoneticPr fontId="3" type="noConversion"/>
  </si>
  <si>
    <t>销售平均单价（元）</t>
    <phoneticPr fontId="3" type="noConversion"/>
  </si>
  <si>
    <r>
      <t>单位变动成本</t>
    </r>
    <r>
      <rPr>
        <sz val="10"/>
        <color theme="1"/>
        <rFont val="Times New Roman"/>
        <family val="1"/>
      </rPr>
      <t xml:space="preserve"> (v)</t>
    </r>
    <phoneticPr fontId="3" type="noConversion"/>
  </si>
  <si>
    <r>
      <t>销售数量</t>
    </r>
    <r>
      <rPr>
        <sz val="10"/>
        <color theme="1"/>
        <rFont val="Times New Roman"/>
        <family val="1"/>
      </rPr>
      <t xml:space="preserve"> (Q)</t>
    </r>
    <phoneticPr fontId="3" type="noConversion"/>
  </si>
  <si>
    <t>产量截距a</t>
    <phoneticPr fontId="3" type="noConversion"/>
  </si>
  <si>
    <r>
      <t>总成本</t>
    </r>
    <r>
      <rPr>
        <sz val="10"/>
        <color theme="1"/>
        <rFont val="Times New Roman"/>
        <family val="1"/>
      </rPr>
      <t xml:space="preserve"> (C)</t>
    </r>
    <phoneticPr fontId="3" type="noConversion"/>
  </si>
  <si>
    <r>
      <t>最优产量</t>
    </r>
    <r>
      <rPr>
        <sz val="10"/>
        <color theme="1"/>
        <rFont val="Times New Roman"/>
        <family val="1"/>
      </rPr>
      <t xml:space="preserve"> (Q</t>
    </r>
    <r>
      <rPr>
        <vertAlign val="subscript"/>
        <sz val="10"/>
        <color theme="1"/>
        <rFont val="Times New Roman"/>
        <family val="1"/>
      </rPr>
      <t>opt</t>
    </r>
    <r>
      <rPr>
        <sz val="10"/>
        <color theme="1"/>
        <rFont val="Times New Roman"/>
        <family val="1"/>
      </rPr>
      <t>)</t>
    </r>
    <phoneticPr fontId="3" type="noConversion"/>
  </si>
  <si>
    <r>
      <t>利润极大值</t>
    </r>
    <r>
      <rPr>
        <sz val="10"/>
        <color theme="1"/>
        <rFont val="Times New Roman"/>
        <family val="1"/>
      </rPr>
      <t xml:space="preserve"> (</t>
    </r>
    <r>
      <rPr>
        <sz val="10"/>
        <color theme="1"/>
        <rFont val="宋体"/>
        <family val="3"/>
        <charset val="134"/>
      </rPr>
      <t>π</t>
    </r>
    <r>
      <rPr>
        <sz val="10"/>
        <color theme="1"/>
        <rFont val="Times New Roman"/>
        <family val="1"/>
      </rPr>
      <t>max)</t>
    </r>
    <phoneticPr fontId="3" type="noConversion"/>
  </si>
  <si>
    <t>初始库存</t>
    <phoneticPr fontId="23"/>
  </si>
  <si>
    <t>1、</t>
    <phoneticPr fontId="13" type="noConversion"/>
  </si>
  <si>
    <t>得到贷款</t>
    <phoneticPr fontId="13" type="noConversion"/>
  </si>
  <si>
    <t>第1个月支付利息</t>
    <phoneticPr fontId="13" type="noConversion"/>
  </si>
  <si>
    <t>第1个月归还本金</t>
    <phoneticPr fontId="13" type="noConversion"/>
  </si>
  <si>
    <t>第2到第23月每月归还本金</t>
    <phoneticPr fontId="13" type="noConversion"/>
  </si>
  <si>
    <t>第24月归还本金</t>
    <phoneticPr fontId="13" type="noConversion"/>
  </si>
  <si>
    <t>年化利率</t>
    <phoneticPr fontId="13" type="noConversion"/>
  </si>
  <si>
    <t>2、</t>
    <phoneticPr fontId="13" type="noConversion"/>
  </si>
  <si>
    <t>初始存入</t>
    <phoneticPr fontId="13" type="noConversion"/>
  </si>
  <si>
    <t>每月存入</t>
    <phoneticPr fontId="13" type="noConversion"/>
  </si>
  <si>
    <t>期限</t>
    <phoneticPr fontId="13" type="noConversion"/>
  </si>
  <si>
    <t>年利率</t>
    <phoneticPr fontId="13" type="noConversion"/>
  </si>
  <si>
    <t>到时存款额</t>
    <phoneticPr fontId="13" type="noConversion"/>
  </si>
  <si>
    <t>3、</t>
    <phoneticPr fontId="13" type="noConversion"/>
  </si>
  <si>
    <t>贷款额</t>
    <phoneticPr fontId="13" type="noConversion"/>
  </si>
  <si>
    <t>月支付额</t>
    <phoneticPr fontId="13" type="noConversion"/>
  </si>
  <si>
    <t>还款年限</t>
    <phoneticPr fontId="13" type="noConversion"/>
  </si>
  <si>
    <t>4、</t>
    <phoneticPr fontId="13" type="noConversion"/>
  </si>
  <si>
    <t>资产原值</t>
  </si>
  <si>
    <t>资产残值</t>
  </si>
  <si>
    <r>
      <t>使用寿命</t>
    </r>
    <r>
      <rPr>
        <sz val="12"/>
        <color indexed="63"/>
        <rFont val="Arial"/>
        <family val="2"/>
      </rPr>
      <t>(</t>
    </r>
    <r>
      <rPr>
        <sz val="12"/>
        <color indexed="63"/>
        <rFont val="宋体"/>
        <family val="3"/>
        <charset val="134"/>
      </rPr>
      <t>年</t>
    </r>
    <r>
      <rPr>
        <sz val="12"/>
        <color indexed="63"/>
        <rFont val="Arial"/>
        <family val="2"/>
      </rPr>
      <t>)</t>
    </r>
    <phoneticPr fontId="3" type="noConversion"/>
  </si>
  <si>
    <t>每年折旧额</t>
    <phoneticPr fontId="3" type="noConversion"/>
  </si>
  <si>
    <t>年需求量D</t>
    <phoneticPr fontId="3" type="noConversion"/>
  </si>
  <si>
    <t>采购单价k</t>
    <phoneticPr fontId="3" type="noConversion"/>
  </si>
  <si>
    <t>每次订货的费用h</t>
    <phoneticPr fontId="3" type="noConversion"/>
  </si>
  <si>
    <t>单位储存成本d</t>
    <phoneticPr fontId="3" type="noConversion"/>
  </si>
  <si>
    <t>采购阈限值</t>
    <phoneticPr fontId="13" type="noConversion"/>
  </si>
  <si>
    <t>订货量Q</t>
    <phoneticPr fontId="3" type="noConversion"/>
  </si>
  <si>
    <t>日单位储存成本</t>
    <phoneticPr fontId="23"/>
  </si>
  <si>
    <t>年总成本</t>
    <phoneticPr fontId="9" type="noConversion"/>
  </si>
  <si>
    <t>订单ID</t>
  </si>
  <si>
    <t>类别名称</t>
  </si>
  <si>
    <t>'销售额'</t>
  </si>
  <si>
    <t>数量</t>
  </si>
  <si>
    <t>订购日期</t>
  </si>
  <si>
    <t>饮料</t>
  </si>
  <si>
    <t>调味品</t>
  </si>
  <si>
    <t>点心</t>
  </si>
  <si>
    <t>日用品</t>
  </si>
  <si>
    <t>谷类/麦片</t>
  </si>
  <si>
    <t>肉/家禽</t>
  </si>
  <si>
    <t>特制品</t>
  </si>
  <si>
    <t>海鲜</t>
  </si>
  <si>
    <t>求和项:数量</t>
  </si>
  <si>
    <t>列标签</t>
  </si>
  <si>
    <t>总计</t>
  </si>
  <si>
    <t>行标签</t>
  </si>
  <si>
    <t>求和项:'销售额'</t>
  </si>
  <si>
    <t>数据组1</t>
  </si>
  <si>
    <t>求和项:'销售额'2</t>
  </si>
  <si>
    <t>数据组2</t>
  </si>
  <si>
    <t>7月</t>
  </si>
  <si>
    <t>8月</t>
  </si>
  <si>
    <t>9月</t>
  </si>
  <si>
    <t>10月</t>
  </si>
  <si>
    <t>11月</t>
  </si>
  <si>
    <t>12月</t>
  </si>
  <si>
    <t>从事行业</t>
    <phoneticPr fontId="9" type="noConversion"/>
  </si>
  <si>
    <t>平均工资</t>
    <phoneticPr fontId="9" type="noConversion"/>
  </si>
  <si>
    <t>移动平均跨度</t>
    <phoneticPr fontId="9" type="noConversion"/>
  </si>
  <si>
    <t>MSE</t>
    <phoneticPr fontId="9" type="noConversion"/>
  </si>
  <si>
    <t>最小的MSE</t>
    <phoneticPr fontId="9" type="noConversion"/>
  </si>
  <si>
    <t>最优跨度</t>
    <phoneticPr fontId="9" type="noConversion"/>
  </si>
  <si>
    <t>移动平均预测值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</si>
</sst>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%"/>
    <numFmt numFmtId="178" formatCode="0.00000_ "/>
    <numFmt numFmtId="179" formatCode="_(* #,##0.00_);_(* \(#,##0.00\);_(* &quot;-&quot;??_);_(@_)"/>
    <numFmt numFmtId="180" formatCode="0.00_ "/>
    <numFmt numFmtId="181" formatCode="0_ "/>
  </numFmts>
  <fonts count="29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name val="Arial"/>
      <family val="2"/>
    </font>
    <font>
      <sz val="11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indexed="8"/>
      <name val="Book Antiqua"/>
      <family val="1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.199999999999999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1"/>
      <name val="宋体"/>
      <family val="3"/>
      <charset val="134"/>
      <scheme val="minor"/>
    </font>
    <font>
      <sz val="6"/>
      <name val="ＭＳ Ｐゴシック"/>
      <family val="3"/>
      <charset val="255"/>
    </font>
    <font>
      <sz val="1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indexed="63"/>
      <name val="Arial"/>
      <family val="2"/>
    </font>
    <font>
      <sz val="12"/>
      <color indexed="63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" fillId="0" borderId="0"/>
    <xf numFmtId="0" fontId="8" fillId="0" borderId="0"/>
    <xf numFmtId="0" fontId="4" fillId="0" borderId="0">
      <alignment vertical="center"/>
    </xf>
    <xf numFmtId="179" fontId="8" fillId="0" borderId="0" applyFont="0" applyFill="0" applyBorder="0" applyAlignment="0" applyProtection="0"/>
    <xf numFmtId="0" fontId="2" fillId="0" borderId="0">
      <alignment vertical="center"/>
    </xf>
    <xf numFmtId="0" fontId="4" fillId="0" borderId="0"/>
    <xf numFmtId="0" fontId="8" fillId="0" borderId="0"/>
  </cellStyleXfs>
  <cellXfs count="88">
    <xf numFmtId="0" fontId="0" fillId="0" borderId="0" xfId="0">
      <alignment vertical="center"/>
    </xf>
    <xf numFmtId="0" fontId="5" fillId="0" borderId="0" xfId="3" applyFont="1">
      <alignment vertical="center"/>
    </xf>
    <xf numFmtId="0" fontId="4" fillId="0" borderId="1" xfId="5" applyBorder="1"/>
    <xf numFmtId="0" fontId="14" fillId="0" borderId="1" xfId="5" quotePrefix="1" applyFont="1" applyBorder="1"/>
    <xf numFmtId="0" fontId="15" fillId="0" borderId="1" xfId="5" applyFont="1" applyBorder="1"/>
    <xf numFmtId="0" fontId="0" fillId="5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6" applyFont="1"/>
    <xf numFmtId="0" fontId="7" fillId="0" borderId="0" xfId="6" applyFont="1" applyAlignment="1">
      <alignment horizontal="center"/>
    </xf>
    <xf numFmtId="0" fontId="4" fillId="2" borderId="3" xfId="6" applyFont="1" applyFill="1" applyBorder="1"/>
    <xf numFmtId="0" fontId="4" fillId="2" borderId="4" xfId="6" applyFont="1" applyFill="1" applyBorder="1"/>
    <xf numFmtId="0" fontId="7" fillId="6" borderId="1" xfId="6" applyFont="1" applyFill="1" applyBorder="1"/>
    <xf numFmtId="0" fontId="7" fillId="7" borderId="1" xfId="6" applyFont="1" applyFill="1" applyBorder="1" applyAlignment="1">
      <alignment horizontal="center"/>
    </xf>
    <xf numFmtId="0" fontId="16" fillId="0" borderId="0" xfId="6" applyFont="1" applyFill="1" applyBorder="1"/>
    <xf numFmtId="0" fontId="17" fillId="0" borderId="0" xfId="6" applyFont="1" applyFill="1" applyBorder="1" applyAlignment="1">
      <alignment horizontal="center"/>
    </xf>
    <xf numFmtId="0" fontId="4" fillId="2" borderId="1" xfId="6" applyFont="1" applyFill="1" applyBorder="1"/>
    <xf numFmtId="0" fontId="7" fillId="8" borderId="1" xfId="6" applyFont="1" applyFill="1" applyBorder="1"/>
    <xf numFmtId="0" fontId="6" fillId="2" borderId="1" xfId="7" applyFont="1" applyFill="1" applyBorder="1">
      <alignment vertical="center"/>
    </xf>
    <xf numFmtId="1" fontId="6" fillId="4" borderId="1" xfId="7" applyNumberFormat="1" applyFont="1" applyFill="1" applyBorder="1">
      <alignment vertical="center"/>
    </xf>
    <xf numFmtId="0" fontId="6" fillId="4" borderId="1" xfId="7" applyFont="1" applyFill="1" applyBorder="1">
      <alignment vertical="center"/>
    </xf>
    <xf numFmtId="9" fontId="6" fillId="4" borderId="1" xfId="7" applyNumberFormat="1" applyFont="1" applyFill="1" applyBorder="1">
      <alignment vertical="center"/>
    </xf>
    <xf numFmtId="0" fontId="6" fillId="3" borderId="1" xfId="7" applyFont="1" applyFill="1" applyBorder="1">
      <alignment vertical="center"/>
    </xf>
    <xf numFmtId="0" fontId="6" fillId="9" borderId="1" xfId="7" applyFont="1" applyFill="1" applyBorder="1">
      <alignment vertical="center"/>
    </xf>
    <xf numFmtId="177" fontId="6" fillId="4" borderId="1" xfId="1" applyNumberFormat="1" applyFont="1" applyFill="1" applyBorder="1" applyAlignment="1"/>
    <xf numFmtId="0" fontId="6" fillId="2" borderId="5" xfId="7" applyFont="1" applyFill="1" applyBorder="1">
      <alignment vertical="center"/>
    </xf>
    <xf numFmtId="1" fontId="6" fillId="3" borderId="1" xfId="7" applyNumberFormat="1" applyFont="1" applyFill="1" applyBorder="1">
      <alignment vertical="center"/>
    </xf>
    <xf numFmtId="1" fontId="6" fillId="3" borderId="6" xfId="7" applyNumberFormat="1" applyFont="1" applyFill="1" applyBorder="1">
      <alignment vertical="center"/>
    </xf>
    <xf numFmtId="0" fontId="6" fillId="2" borderId="7" xfId="7" applyFont="1" applyFill="1" applyBorder="1">
      <alignment vertical="center"/>
    </xf>
    <xf numFmtId="0" fontId="18" fillId="0" borderId="1" xfId="0" applyFont="1" applyFill="1" applyBorder="1" applyAlignment="1"/>
    <xf numFmtId="0" fontId="19" fillId="0" borderId="1" xfId="0" applyFont="1" applyFill="1" applyBorder="1" applyAlignment="1">
      <alignment horizontal="right"/>
    </xf>
    <xf numFmtId="2" fontId="19" fillId="0" borderId="1" xfId="0" applyNumberFormat="1" applyFont="1" applyFill="1" applyBorder="1" applyAlignment="1"/>
    <xf numFmtId="1" fontId="19" fillId="0" borderId="1" xfId="0" applyNumberFormat="1" applyFont="1" applyFill="1" applyBorder="1" applyAlignment="1"/>
    <xf numFmtId="0" fontId="19" fillId="0" borderId="1" xfId="0" applyFont="1" applyFill="1" applyBorder="1" applyAlignment="1"/>
    <xf numFmtId="178" fontId="19" fillId="0" borderId="1" xfId="0" applyNumberFormat="1" applyFont="1" applyFill="1" applyBorder="1" applyAlignment="1"/>
    <xf numFmtId="0" fontId="22" fillId="0" borderId="1" xfId="2" applyFont="1" applyFill="1" applyBorder="1" applyAlignment="1">
      <alignment vertical="center"/>
    </xf>
    <xf numFmtId="0" fontId="22" fillId="0" borderId="1" xfId="2" applyNumberFormat="1" applyFont="1" applyFill="1" applyBorder="1" applyAlignment="1">
      <alignment vertical="center"/>
    </xf>
    <xf numFmtId="0" fontId="22" fillId="0" borderId="0" xfId="2" applyNumberFormat="1" applyFont="1" applyFill="1" applyBorder="1" applyAlignment="1">
      <alignment vertical="center"/>
    </xf>
    <xf numFmtId="0" fontId="22" fillId="0" borderId="1" xfId="2" applyFont="1" applyFill="1" applyBorder="1" applyAlignment="1">
      <alignment horizontal="center" vertical="center"/>
    </xf>
    <xf numFmtId="0" fontId="22" fillId="0" borderId="1" xfId="2" applyNumberFormat="1" applyFont="1" applyFill="1" applyBorder="1" applyAlignment="1">
      <alignment horizontal="center" vertical="center"/>
    </xf>
    <xf numFmtId="0" fontId="22" fillId="0" borderId="3" xfId="2" applyFont="1" applyFill="1" applyBorder="1" applyAlignment="1">
      <alignment vertical="center"/>
    </xf>
    <xf numFmtId="0" fontId="22" fillId="0" borderId="2" xfId="2" applyNumberFormat="1" applyFont="1" applyFill="1" applyBorder="1" applyAlignment="1">
      <alignment vertical="center"/>
    </xf>
    <xf numFmtId="9" fontId="22" fillId="0" borderId="1" xfId="2" applyNumberFormat="1" applyFont="1" applyFill="1" applyBorder="1" applyAlignment="1">
      <alignment horizontal="center" vertical="center"/>
    </xf>
    <xf numFmtId="0" fontId="22" fillId="0" borderId="1" xfId="2" applyFont="1" applyFill="1" applyBorder="1"/>
    <xf numFmtId="2" fontId="22" fillId="10" borderId="1" xfId="2" applyNumberFormat="1" applyFont="1" applyFill="1" applyBorder="1"/>
    <xf numFmtId="2" fontId="22" fillId="0" borderId="0" xfId="2" applyNumberFormat="1" applyFont="1" applyFill="1" applyBorder="1" applyAlignment="1">
      <alignment vertical="center"/>
    </xf>
    <xf numFmtId="9" fontId="22" fillId="0" borderId="1" xfId="4" applyFont="1" applyFill="1" applyBorder="1" applyAlignment="1">
      <alignment horizontal="center" vertical="center"/>
    </xf>
    <xf numFmtId="0" fontId="22" fillId="0" borderId="0" xfId="2" applyFont="1" applyFill="1"/>
    <xf numFmtId="0" fontId="22" fillId="0" borderId="0" xfId="2" applyNumberFormat="1" applyFont="1" applyFill="1" applyBorder="1"/>
    <xf numFmtId="9" fontId="22" fillId="0" borderId="1" xfId="2" applyNumberFormat="1" applyFont="1" applyFill="1" applyBorder="1" applyAlignment="1">
      <alignment horizontal="center"/>
    </xf>
    <xf numFmtId="0" fontId="4" fillId="5" borderId="1" xfId="6" applyFont="1" applyFill="1" applyBorder="1" applyAlignment="1">
      <alignment horizontal="center"/>
    </xf>
    <xf numFmtId="0" fontId="4" fillId="0" borderId="0" xfId="5" applyBorder="1"/>
    <xf numFmtId="0" fontId="7" fillId="0" borderId="0" xfId="6" applyFont="1" applyFill="1"/>
    <xf numFmtId="0" fontId="4" fillId="0" borderId="0" xfId="6" applyFont="1" applyAlignment="1">
      <alignment horizontal="center"/>
    </xf>
    <xf numFmtId="0" fontId="4" fillId="0" borderId="0" xfId="6" applyFont="1"/>
    <xf numFmtId="0" fontId="7" fillId="0" borderId="0" xfId="6" applyFont="1" applyBorder="1"/>
    <xf numFmtId="0" fontId="7" fillId="0" borderId="0" xfId="6" applyFont="1" applyBorder="1" applyAlignment="1">
      <alignment horizontal="center"/>
    </xf>
    <xf numFmtId="176" fontId="7" fillId="0" borderId="0" xfId="6" applyNumberFormat="1" applyFont="1" applyBorder="1"/>
    <xf numFmtId="0" fontId="0" fillId="0" borderId="0" xfId="0" applyBorder="1">
      <alignment vertical="center"/>
    </xf>
    <xf numFmtId="0" fontId="24" fillId="0" borderId="0" xfId="0" applyFont="1" applyFill="1" applyBorder="1" applyAlignment="1">
      <alignment horizontal="center" wrapText="1"/>
    </xf>
    <xf numFmtId="2" fontId="0" fillId="0" borderId="0" xfId="0" applyNumberFormat="1">
      <alignment vertical="center"/>
    </xf>
    <xf numFmtId="0" fontId="25" fillId="0" borderId="0" xfId="0" applyFont="1">
      <alignment vertical="center"/>
    </xf>
    <xf numFmtId="0" fontId="4" fillId="0" borderId="0" xfId="2" applyFont="1" applyFill="1" applyBorder="1" applyAlignment="1">
      <alignment horizontal="center"/>
    </xf>
    <xf numFmtId="0" fontId="26" fillId="0" borderId="0" xfId="9" applyFont="1">
      <alignment vertical="center"/>
    </xf>
    <xf numFmtId="0" fontId="4" fillId="5" borderId="1" xfId="2" applyFont="1" applyFill="1" applyBorder="1" applyAlignment="1"/>
    <xf numFmtId="0" fontId="7" fillId="4" borderId="1" xfId="10" applyFont="1" applyFill="1" applyBorder="1" applyAlignment="1">
      <alignment horizontal="center"/>
    </xf>
    <xf numFmtId="10" fontId="7" fillId="3" borderId="1" xfId="11" applyNumberFormat="1" applyFont="1" applyFill="1" applyBorder="1" applyProtection="1"/>
    <xf numFmtId="0" fontId="4" fillId="10" borderId="1" xfId="2" applyFont="1" applyFill="1" applyBorder="1" applyAlignment="1">
      <alignment horizontal="center"/>
    </xf>
    <xf numFmtId="10" fontId="4" fillId="10" borderId="1" xfId="2" applyNumberFormat="1" applyFont="1" applyFill="1" applyBorder="1" applyAlignment="1">
      <alignment horizontal="center"/>
    </xf>
    <xf numFmtId="180" fontId="7" fillId="3" borderId="1" xfId="11" applyNumberFormat="1" applyFont="1" applyFill="1" applyBorder="1" applyProtection="1"/>
    <xf numFmtId="0" fontId="0" fillId="10" borderId="1" xfId="0" applyFill="1" applyBorder="1" applyAlignment="1"/>
    <xf numFmtId="9" fontId="0" fillId="10" borderId="1" xfId="4" applyFont="1" applyFill="1" applyBorder="1" applyAlignment="1"/>
    <xf numFmtId="10" fontId="4" fillId="0" borderId="0" xfId="2" applyNumberFormat="1" applyFont="1" applyFill="1" applyBorder="1" applyAlignment="1">
      <alignment horizontal="center"/>
    </xf>
    <xf numFmtId="0" fontId="27" fillId="5" borderId="1" xfId="0" applyFont="1" applyFill="1" applyBorder="1" applyAlignment="1">
      <alignment vertical="top" wrapText="1"/>
    </xf>
    <xf numFmtId="0" fontId="28" fillId="5" borderId="1" xfId="0" applyFont="1" applyFill="1" applyBorder="1" applyAlignment="1">
      <alignment vertical="top" wrapText="1"/>
    </xf>
    <xf numFmtId="181" fontId="0" fillId="11" borderId="1" xfId="0" applyNumberFormat="1" applyFill="1" applyBorder="1" applyAlignment="1">
      <alignment horizontal="right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2" fontId="22" fillId="10" borderId="2" xfId="2" applyNumberFormat="1" applyFont="1" applyFill="1" applyBorder="1" applyAlignment="1">
      <alignment vertical="center"/>
    </xf>
    <xf numFmtId="0" fontId="22" fillId="10" borderId="1" xfId="2" applyNumberFormat="1" applyFont="1" applyFill="1" applyBorder="1"/>
    <xf numFmtId="0" fontId="4" fillId="5" borderId="1" xfId="6" applyFont="1" applyFill="1" applyBorder="1" applyAlignment="1">
      <alignment horizont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0" fontId="0" fillId="0" borderId="0" xfId="0" applyNumberFormat="1">
      <alignment vertical="center"/>
    </xf>
    <xf numFmtId="0" fontId="4" fillId="0" borderId="0" xfId="5" applyFill="1" applyBorder="1"/>
    <xf numFmtId="0" fontId="0" fillId="0" borderId="8" xfId="0" applyFill="1" applyBorder="1" applyAlignment="1">
      <alignment horizontal="center" vertical="center"/>
    </xf>
  </cellXfs>
  <cellStyles count="12">
    <cellStyle name="Comma_考试题-绘图1" xfId="8" xr:uid="{00000000-0005-0000-0000-000000000000}"/>
    <cellStyle name="百分比" xfId="4" builtinId="5"/>
    <cellStyle name="百分比 2" xfId="1" xr:uid="{00000000-0005-0000-0000-000002000000}"/>
    <cellStyle name="常规" xfId="0" builtinId="0"/>
    <cellStyle name="常规 2" xfId="2" xr:uid="{00000000-0005-0000-0000-000004000000}"/>
    <cellStyle name="常规 3" xfId="3" xr:uid="{00000000-0005-0000-0000-000005000000}"/>
    <cellStyle name="常规 4" xfId="7" xr:uid="{00000000-0005-0000-0000-000006000000}"/>
    <cellStyle name="常规 5" xfId="9" xr:uid="{00000000-0005-0000-0000-000007000000}"/>
    <cellStyle name="常规_ch3-2 ANSWER" xfId="5" xr:uid="{00000000-0005-0000-0000-000008000000}"/>
    <cellStyle name="常规_第1套第6题解答" xfId="6" xr:uid="{00000000-0005-0000-0000-000009000000}"/>
    <cellStyle name="常规_第五章试题" xfId="10" xr:uid="{00000000-0005-0000-0000-00000A000000}"/>
    <cellStyle name="常规_回归1" xfId="11" xr:uid="{00000000-0005-0000-0000-00000B000000}"/>
  </cellStyles>
  <dxfs count="2">
    <dxf>
      <numFmt numFmtId="27" formatCode="yyyy/m/d\ h:mm"/>
    </dxf>
    <dxf>
      <numFmt numFmtId="27" formatCode="yyyy/m/d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4D9-4B0A-A5C1-AF952FFCDAB6}"/>
              </c:ext>
            </c:extLst>
          </c:dPt>
          <c:cat>
            <c:strRef>
              <c:f>第2题!$O$11:$O$20</c:f>
              <c:strCache>
                <c:ptCount val="10"/>
                <c:pt idx="0">
                  <c:v>出版娱乐</c:v>
                </c:pt>
                <c:pt idx="1">
                  <c:v>工业制造</c:v>
                </c:pt>
                <c:pt idx="2">
                  <c:v>计算机</c:v>
                </c:pt>
                <c:pt idx="3">
                  <c:v>教育咨询</c:v>
                </c:pt>
                <c:pt idx="4">
                  <c:v>金融</c:v>
                </c:pt>
                <c:pt idx="5">
                  <c:v>零售</c:v>
                </c:pt>
                <c:pt idx="6">
                  <c:v>旅游休闲</c:v>
                </c:pt>
                <c:pt idx="7">
                  <c:v>医疗卫生</c:v>
                </c:pt>
                <c:pt idx="8">
                  <c:v>政府机构</c:v>
                </c:pt>
                <c:pt idx="9">
                  <c:v>农业</c:v>
                </c:pt>
              </c:strCache>
            </c:strRef>
          </c:cat>
          <c:val>
            <c:numRef>
              <c:f>第2题!$P$11:$P$20</c:f>
              <c:numCache>
                <c:formatCode>General</c:formatCode>
                <c:ptCount val="10"/>
                <c:pt idx="0">
                  <c:v>6500</c:v>
                </c:pt>
                <c:pt idx="1">
                  <c:v>7000</c:v>
                </c:pt>
                <c:pt idx="2">
                  <c:v>6815.6862745098042</c:v>
                </c:pt>
                <c:pt idx="3">
                  <c:v>6936.95652173913</c:v>
                </c:pt>
                <c:pt idx="4">
                  <c:v>7242.1875</c:v>
                </c:pt>
                <c:pt idx="5">
                  <c:v>7020.588235294118</c:v>
                </c:pt>
                <c:pt idx="6">
                  <c:v>7320</c:v>
                </c:pt>
                <c:pt idx="7">
                  <c:v>6780</c:v>
                </c:pt>
                <c:pt idx="8">
                  <c:v>6554.347826086957</c:v>
                </c:pt>
                <c:pt idx="9">
                  <c:v>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9-4B0A-A5C1-AF952FFCD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59949184"/>
        <c:axId val="159942528"/>
      </c:barChart>
      <c:catAx>
        <c:axId val="15994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942528"/>
        <c:crosses val="autoZero"/>
        <c:auto val="1"/>
        <c:lblAlgn val="ctr"/>
        <c:lblOffset val="100"/>
        <c:noMultiLvlLbl val="0"/>
      </c:catAx>
      <c:valAx>
        <c:axId val="159942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94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经过</a:t>
            </a:r>
            <a:r>
              <a:rPr lang="en-US" altLang="zh-CN"/>
              <a:t>50</a:t>
            </a:r>
            <a:r>
              <a:rPr lang="zh-CN" altLang="en-US"/>
              <a:t>次模拟的年总成本的均值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623169021680513"/>
          <c:y val="0.23510260881819303"/>
          <c:w val="0.73503901053464205"/>
          <c:h val="0.55528721661470171"/>
        </c:manualLayout>
      </c:layout>
      <c:scatterChart>
        <c:scatterStyle val="smoothMarker"/>
        <c:varyColors val="0"/>
        <c:ser>
          <c:idx val="0"/>
          <c:order val="0"/>
          <c:marker>
            <c:symbol val="circle"/>
            <c:size val="10"/>
            <c:spPr>
              <a:solidFill>
                <a:schemeClr val="bg1"/>
              </a:solidFill>
            </c:spPr>
          </c:marker>
          <c:xVal>
            <c:numLit>
              <c:formatCode>General</c:formatCode>
              <c:ptCount val="7"/>
              <c:pt idx="0">
                <c:v>380</c:v>
              </c:pt>
              <c:pt idx="1">
                <c:v>390</c:v>
              </c:pt>
              <c:pt idx="2">
                <c:v>400</c:v>
              </c:pt>
              <c:pt idx="3">
                <c:v>410</c:v>
              </c:pt>
              <c:pt idx="4">
                <c:v>420</c:v>
              </c:pt>
              <c:pt idx="5">
                <c:v>430</c:v>
              </c:pt>
              <c:pt idx="6">
                <c:v>440</c:v>
              </c:pt>
            </c:numLit>
          </c:xVal>
          <c:yVal>
            <c:numLit>
              <c:formatCode>General</c:formatCode>
              <c:ptCount val="7"/>
              <c:pt idx="0">
                <c:v>40043.445799999994</c:v>
              </c:pt>
              <c:pt idx="1">
                <c:v>41618.528400000003</c:v>
              </c:pt>
              <c:pt idx="2">
                <c:v>42524.313199999997</c:v>
              </c:pt>
              <c:pt idx="3">
                <c:v>42998.074200000003</c:v>
              </c:pt>
              <c:pt idx="4">
                <c:v>44088.046000000017</c:v>
              </c:pt>
              <c:pt idx="5">
                <c:v>44848.837199999994</c:v>
              </c:pt>
              <c:pt idx="6">
                <c:v>45659.710599999999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52C-4B42-8276-448615C67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74048"/>
        <c:axId val="203474624"/>
      </c:scatterChart>
      <c:valAx>
        <c:axId val="203474048"/>
        <c:scaling>
          <c:orientation val="minMax"/>
          <c:max val="450"/>
          <c:min val="37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一次订货的订货成本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474624"/>
        <c:crosses val="autoZero"/>
        <c:crossBetween val="midCat"/>
        <c:majorUnit val="10"/>
      </c:valAx>
      <c:valAx>
        <c:axId val="203474624"/>
        <c:scaling>
          <c:orientation val="minMax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zh-CN" altLang="en-US"/>
                  <a:t>年总成本</a:t>
                </a:r>
              </a:p>
            </c:rich>
          </c:tx>
          <c:layout>
            <c:manualLayout>
              <c:xMode val="edge"/>
              <c:yMode val="edge"/>
              <c:x val="3.7820731312695512E-2"/>
              <c:y val="0.312354630167873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3474048"/>
        <c:crosses val="autoZero"/>
        <c:crossBetween val="midCat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>
          <a:latin typeface="+mn-ea"/>
          <a:ea typeface="+mn-ea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10" dropStyle="combo" dx="31" fmlaLink="$K$9" fmlaRange="$K$10:$K$19" noThreeD="1" sel="2" val="0"/>
</file>

<file path=xl/ctrlProps/ctrlProp2.xml><?xml version="1.0" encoding="utf-8"?>
<formControlPr xmlns="http://schemas.microsoft.com/office/spreadsheetml/2009/9/main" objectType="Spin" dx="31" fmlaLink="$F$3" max="5" min="2" page="10" val="5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424</xdr:row>
      <xdr:rowOff>0</xdr:rowOff>
    </xdr:from>
    <xdr:to>
      <xdr:col>7</xdr:col>
      <xdr:colOff>234950</xdr:colOff>
      <xdr:row>430</xdr:row>
      <xdr:rowOff>66675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76733400"/>
          <a:ext cx="4629150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460375</xdr:colOff>
      <xdr:row>0</xdr:row>
      <xdr:rowOff>0</xdr:rowOff>
    </xdr:from>
    <xdr:to>
      <xdr:col>14</xdr:col>
      <xdr:colOff>517525</xdr:colOff>
      <xdr:row>27</xdr:row>
      <xdr:rowOff>158750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5178425" y="0"/>
          <a:ext cx="6775450" cy="4959350"/>
          <a:chOff x="11042160" y="274005"/>
          <a:chExt cx="5543550" cy="5048250"/>
        </a:xfrm>
      </xdr:grpSpPr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1042160" y="274005"/>
            <a:ext cx="5543550" cy="5048250"/>
          </a:xfrm>
          <a:prstGeom prst="rect">
            <a:avLst/>
          </a:prstGeom>
          <a:solidFill>
            <a:srgbClr val="CCFF99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 b="0"/>
              <a:t>第</a:t>
            </a:r>
            <a:r>
              <a:rPr lang="en-US" altLang="zh-CN" sz="1100" b="0"/>
              <a:t>1</a:t>
            </a:r>
            <a:r>
              <a:rPr lang="zh-CN" altLang="en-US" sz="1100" b="0"/>
              <a:t>题</a:t>
            </a:r>
            <a:r>
              <a:rPr lang="zh-CN" altLang="en-US" sz="1100" b="0">
                <a:solidFill>
                  <a:srgbClr val="FF0000"/>
                </a:solidFill>
              </a:rPr>
              <a:t>（</a:t>
            </a:r>
            <a:r>
              <a:rPr lang="en-US" altLang="zh-CN" sz="1100" b="0">
                <a:solidFill>
                  <a:srgbClr val="FF0000"/>
                </a:solidFill>
              </a:rPr>
              <a:t>11</a:t>
            </a:r>
            <a:r>
              <a:rPr lang="zh-CN" altLang="en-US" sz="1100" b="0">
                <a:solidFill>
                  <a:srgbClr val="FF0000"/>
                </a:solidFill>
              </a:rPr>
              <a:t>分）</a:t>
            </a:r>
            <a:r>
              <a:rPr lang="zh-CN" altLang="en-US" sz="1100" b="0"/>
              <a:t>在本工作表中完成如下的数据查询和数据透视表：</a:t>
            </a:r>
            <a:endParaRPr lang="en-US" altLang="zh-CN" sz="1100" b="0"/>
          </a:p>
          <a:p>
            <a:r>
              <a:rPr lang="zh-CN" altLang="en-US" sz="1100" b="0"/>
              <a:t>（</a:t>
            </a:r>
            <a:r>
              <a:rPr lang="en-US" altLang="zh-CN" sz="1100" b="0"/>
              <a:t>1</a:t>
            </a:r>
            <a:r>
              <a:rPr lang="zh-CN" altLang="en-US" sz="1100" b="0"/>
              <a:t>）利用</a:t>
            </a:r>
            <a:r>
              <a:rPr lang="en-US" altLang="zh-CN" sz="1100" b="0"/>
              <a:t>Northwind</a:t>
            </a:r>
            <a:r>
              <a:rPr lang="zh-CN" altLang="en-US" sz="1100" b="0"/>
              <a:t>数据库，查询客户在</a:t>
            </a:r>
            <a:r>
              <a:rPr lang="en-US" altLang="zh-CN" sz="1100" b="0"/>
              <a:t>1996</a:t>
            </a:r>
            <a:r>
              <a:rPr lang="zh-CN" altLang="en-US" sz="1100" b="0"/>
              <a:t>年下半年订购的所有订单的信息，包括：</a:t>
            </a:r>
            <a:r>
              <a:rPr lang="zh-CN" altLang="zh-CN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订购日期、</a:t>
            </a:r>
            <a:r>
              <a:rPr lang="zh-CN" altLang="en-US" sz="1100" b="0"/>
              <a:t>订单</a:t>
            </a:r>
            <a:r>
              <a:rPr lang="en-US" altLang="zh-CN" sz="1100" b="0"/>
              <a:t>ID</a:t>
            </a:r>
            <a:r>
              <a:rPr lang="zh-CN" altLang="en-US" sz="1100" b="0"/>
              <a:t>、产品的类别名称、销售额和数量等数据，并按订购日期和订单</a:t>
            </a:r>
            <a:r>
              <a:rPr lang="en-US" altLang="zh-CN" sz="1100" b="0"/>
              <a:t>ID</a:t>
            </a:r>
            <a:r>
              <a:rPr lang="zh-CN" altLang="en-US" sz="1100" b="0"/>
              <a:t>的升序排序，查询结果导入到本工作表</a:t>
            </a:r>
            <a:r>
              <a:rPr lang="en-US" altLang="zh-CN" sz="1100" b="0"/>
              <a:t>A1</a:t>
            </a:r>
            <a:r>
              <a:rPr lang="zh-CN" altLang="en-US" sz="1100" b="0"/>
              <a:t>单元格开始处，样张中的</a:t>
            </a:r>
            <a:r>
              <a:rPr lang="en-US" altLang="zh-CN" sz="1100" b="0"/>
              <a:t>XXXXX</a:t>
            </a:r>
            <a:r>
              <a:rPr lang="zh-CN" altLang="en-US" sz="1100" b="0"/>
              <a:t>指具体的数据。</a:t>
            </a:r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r>
              <a:rPr lang="zh-CN" altLang="en-US" sz="1100" b="0"/>
              <a:t>（</a:t>
            </a:r>
            <a:r>
              <a:rPr lang="en-US" altLang="zh-CN" sz="1100" b="0"/>
              <a:t>2</a:t>
            </a:r>
            <a:r>
              <a:rPr lang="zh-CN" altLang="en-US" sz="1100" b="0"/>
              <a:t>）利用第</a:t>
            </a:r>
            <a:r>
              <a:rPr lang="en-US" altLang="zh-CN" sz="1100" b="0"/>
              <a:t>1</a:t>
            </a:r>
            <a:r>
              <a:rPr lang="zh-CN" altLang="en-US" sz="1100" b="0"/>
              <a:t>小题的查询结果，在本工作表中完成如下的数据透视表（其中总数量在</a:t>
            </a:r>
            <a:r>
              <a:rPr lang="en-US" altLang="zh-CN" sz="1100" b="0"/>
              <a:t>1000</a:t>
            </a:r>
            <a:r>
              <a:rPr lang="zh-CN" altLang="en-US" sz="1100" b="0"/>
              <a:t>以上的那些商品是热销类商品，</a:t>
            </a:r>
            <a:r>
              <a:rPr lang="zh-CN" altLang="en-US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其余为普通类商品）。</a:t>
            </a:r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zh-CN" altLang="en-US" sz="1100" b="0"/>
          </a:p>
        </xdr:txBody>
      </xdr:sp>
      <xdr:pic>
        <xdr:nvPicPr>
          <xdr:cNvPr id="5" name="图片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753850" y="1343025"/>
            <a:ext cx="4629150" cy="10953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858625" y="3038475"/>
            <a:ext cx="4485714" cy="226666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561974</xdr:colOff>
      <xdr:row>21</xdr:row>
      <xdr:rowOff>98424</xdr:rowOff>
    </xdr:from>
    <xdr:to>
      <xdr:col>18</xdr:col>
      <xdr:colOff>158749</xdr:colOff>
      <xdr:row>36</xdr:row>
      <xdr:rowOff>203199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C934A2E-545B-43AE-83A8-C1826FBE3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146050</xdr:colOff>
      <xdr:row>18</xdr:row>
      <xdr:rowOff>171450</xdr:rowOff>
    </xdr:from>
    <xdr:to>
      <xdr:col>8</xdr:col>
      <xdr:colOff>441325</xdr:colOff>
      <xdr:row>37</xdr:row>
      <xdr:rowOff>76200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46050" y="3829050"/>
          <a:ext cx="5172075" cy="3765550"/>
          <a:chOff x="733425" y="2943225"/>
          <a:chExt cx="5781675" cy="3705225"/>
        </a:xfrm>
      </xdr:grpSpPr>
      <xdr:sp macro="" textlink="">
        <xdr:nvSpPr>
          <xdr:cNvPr id="4" name="Text Box 7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3425" y="2943225"/>
            <a:ext cx="5781675" cy="37052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72000" tIns="72000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题（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15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分）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根据本工作表数据，</a:t>
            </a:r>
            <a:endParaRPr lang="en-US" altLang="zh-CN" sz="1200" b="0" i="0" u="none" strike="noStrike" baseline="0">
              <a:solidFill>
                <a:srgbClr val="000000"/>
              </a:solidFill>
              <a:latin typeface="宋体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1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、利用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D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函数和模拟运算表，统计各行业的平均工资，绘制如图所示的柱形图。</a:t>
            </a:r>
            <a:endParaRPr lang="en-US" altLang="zh-CN" sz="1200" b="0" i="0" u="none" strike="noStrike" baseline="0">
              <a:solidFill>
                <a:srgbClr val="000000"/>
              </a:solidFill>
              <a:latin typeface="宋体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2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、利用组合框，对行业进行选择，针对所选择的行业，图形中对应的柱子由蓝色变成红色</a:t>
            </a:r>
          </a:p>
        </xdr:txBody>
      </xdr:sp>
      <xdr:pic>
        <xdr:nvPicPr>
          <xdr:cNvPr id="8" name="图片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22850" y="3648075"/>
            <a:ext cx="5402824" cy="289663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368300</xdr:colOff>
          <xdr:row>23</xdr:row>
          <xdr:rowOff>19050</xdr:rowOff>
        </xdr:from>
        <xdr:to>
          <xdr:col>16</xdr:col>
          <xdr:colOff>577850</xdr:colOff>
          <xdr:row>24</xdr:row>
          <xdr:rowOff>114300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0</xdr:row>
      <xdr:rowOff>0</xdr:rowOff>
    </xdr:from>
    <xdr:to>
      <xdr:col>14</xdr:col>
      <xdr:colOff>152400</xdr:colOff>
      <xdr:row>9</xdr:row>
      <xdr:rowOff>161925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19700" y="0"/>
          <a:ext cx="4533900" cy="1704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【</a:t>
          </a:r>
          <a:r>
            <a:rPr lang="zh-CN" altLang="en-US" sz="1100"/>
            <a:t>第</a:t>
          </a:r>
          <a:r>
            <a:rPr lang="en-US" altLang="zh-CN" sz="1100"/>
            <a:t>3</a:t>
          </a:r>
          <a:r>
            <a:rPr lang="zh-CN" altLang="en-US" sz="1100"/>
            <a:t>题</a:t>
          </a:r>
          <a:r>
            <a:rPr lang="en-US" altLang="zh-CN" sz="1100"/>
            <a:t>】</a:t>
          </a:r>
          <a:r>
            <a:rPr lang="zh-CN" altLang="en-US" sz="1100"/>
            <a:t>（</a:t>
          </a:r>
          <a:r>
            <a:rPr lang="en-US" altLang="zh-CN" sz="1100"/>
            <a:t>12</a:t>
          </a:r>
          <a:r>
            <a:rPr lang="zh-CN" altLang="en-US" sz="1100"/>
            <a:t>分）某公司过去</a:t>
          </a:r>
          <a:r>
            <a:rPr lang="en-US" altLang="zh-CN" sz="1100"/>
            <a:t>9</a:t>
          </a:r>
          <a:r>
            <a:rPr lang="zh-CN" altLang="en-US" sz="1100"/>
            <a:t>年的产品销售量资料如单元格</a:t>
          </a:r>
          <a:r>
            <a:rPr lang="en-US" altLang="zh-CN" sz="1100"/>
            <a:t>A1:B10</a:t>
          </a:r>
          <a:r>
            <a:rPr lang="zh-CN" altLang="en-US" sz="1100"/>
            <a:t>中所示，要求：</a:t>
          </a:r>
          <a:endParaRPr lang="en-US" altLang="zh-CN" sz="1100"/>
        </a:p>
        <a:p>
          <a:r>
            <a:rPr lang="zh-CN" altLang="en-US" sz="1100"/>
            <a:t>（</a:t>
          </a:r>
          <a:r>
            <a:rPr lang="en-US" altLang="zh-CN" sz="1100"/>
            <a:t>1</a:t>
          </a:r>
          <a:r>
            <a:rPr lang="zh-CN" altLang="en-US" sz="1100"/>
            <a:t>）在</a:t>
          </a:r>
          <a:r>
            <a:rPr lang="en-US" altLang="zh-CN" sz="1100"/>
            <a:t>F3</a:t>
          </a:r>
          <a:r>
            <a:rPr lang="zh-CN" altLang="en-US" sz="1100"/>
            <a:t>单元格中输入</a:t>
          </a:r>
          <a:r>
            <a:rPr lang="en-US" altLang="zh-CN" sz="1100"/>
            <a:t>2-5</a:t>
          </a:r>
          <a:r>
            <a:rPr lang="zh-CN" altLang="en-US" sz="1100"/>
            <a:t>中的任意一个整数，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用移动平均模型预测第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年的销量，并计算相应的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MSE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；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）运用模拟运算表计算不同时间间隔对应的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MSE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，并用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index()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函数找出最优的时间间隔；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计算第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年的最优预测值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63500</xdr:colOff>
          <xdr:row>1</xdr:row>
          <xdr:rowOff>152400</xdr:rowOff>
        </xdr:from>
        <xdr:to>
          <xdr:col>5</xdr:col>
          <xdr:colOff>349250</xdr:colOff>
          <xdr:row>2</xdr:row>
          <xdr:rowOff>171450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0</xdr:row>
      <xdr:rowOff>133351</xdr:rowOff>
    </xdr:from>
    <xdr:to>
      <xdr:col>12</xdr:col>
      <xdr:colOff>828675</xdr:colOff>
      <xdr:row>16</xdr:row>
      <xdr:rowOff>57150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5041900" y="133351"/>
          <a:ext cx="3673475" cy="3111499"/>
          <a:chOff x="5000625" y="1181101"/>
          <a:chExt cx="3990975" cy="2981324"/>
        </a:xfrm>
      </xdr:grpSpPr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/>
        </xdr:nvSpPr>
        <xdr:spPr>
          <a:xfrm>
            <a:off x="5000625" y="1181101"/>
            <a:ext cx="3990975" cy="2981324"/>
          </a:xfrm>
          <a:prstGeom prst="rect">
            <a:avLst/>
          </a:prstGeom>
          <a:solidFill>
            <a:srgbClr val="FFCCC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200" b="1"/>
              <a:t>第</a:t>
            </a:r>
            <a:r>
              <a:rPr lang="en-US" altLang="zh-CN" sz="1200" b="1"/>
              <a:t>4</a:t>
            </a:r>
            <a:r>
              <a:rPr lang="zh-CN" altLang="en-US" sz="1200" b="1"/>
              <a:t>题（</a:t>
            </a:r>
            <a:r>
              <a:rPr lang="en-US" altLang="zh-CN" sz="1200" b="1"/>
              <a:t>12</a:t>
            </a:r>
            <a:r>
              <a:rPr lang="zh-CN" altLang="en-US" sz="1200" b="1"/>
              <a:t>分）  </a:t>
            </a:r>
            <a:r>
              <a:rPr lang="zh-CN" altLang="en-US" sz="1200"/>
              <a:t>某公司生产两种产品：产品</a:t>
            </a:r>
            <a:r>
              <a:rPr lang="en-US" altLang="zh-CN" sz="1200"/>
              <a:t>A</a:t>
            </a:r>
            <a:r>
              <a:rPr lang="zh-CN" altLang="en-US" sz="1200"/>
              <a:t>和产品</a:t>
            </a:r>
            <a:r>
              <a:rPr lang="en-US" altLang="zh-CN" sz="1200"/>
              <a:t>B</a:t>
            </a:r>
            <a:r>
              <a:rPr lang="zh-CN" altLang="en-US" sz="1200"/>
              <a:t>。产品</a:t>
            </a:r>
            <a:r>
              <a:rPr lang="en-US" altLang="zh-CN" sz="1200"/>
              <a:t>A</a:t>
            </a:r>
            <a:r>
              <a:rPr lang="zh-CN" altLang="en-US" sz="1200"/>
              <a:t>和产品</a:t>
            </a:r>
            <a:r>
              <a:rPr lang="en-US" altLang="zh-CN" sz="1200"/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的固定成本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分别为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15000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元和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35000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</a:t>
            </a:r>
            <a:r>
              <a:rPr lang="zh-CN" altLang="en-US" sz="1200"/>
              <a:t>当前生产量为</a:t>
            </a:r>
            <a:r>
              <a:rPr lang="en-US" altLang="zh-CN" sz="1200"/>
              <a:t>3000</a:t>
            </a:r>
            <a:r>
              <a:rPr lang="zh-CN" altLang="en-US" sz="1200"/>
              <a:t>，各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产品的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单位可变成本与生产量的关系如下表所示：</a:t>
            </a:r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200"/>
              <a:t>1</a:t>
            </a:r>
            <a:r>
              <a:rPr lang="zh-CN" altLang="en-US" sz="1200"/>
              <a:t>、计算生产两种产品各自的单位可变成本和总成本。</a:t>
            </a:r>
          </a:p>
          <a:p>
            <a:r>
              <a:rPr lang="en-US" altLang="zh-CN" sz="1200"/>
              <a:t>2</a:t>
            </a:r>
            <a:r>
              <a:rPr lang="zh-CN" altLang="en-US" sz="1200"/>
              <a:t>、作出成产量为</a:t>
            </a:r>
            <a:r>
              <a:rPr lang="en-US" altLang="zh-CN" sz="1200"/>
              <a:t>0</a:t>
            </a:r>
            <a:r>
              <a:rPr lang="zh-CN" altLang="en-US" sz="1200"/>
              <a:t>到</a:t>
            </a:r>
            <a:r>
              <a:rPr lang="en-US" altLang="zh-CN" sz="1200"/>
              <a:t>5000</a:t>
            </a:r>
            <a:r>
              <a:rPr lang="zh-CN" altLang="en-US" sz="1200"/>
              <a:t>变化的总成本模拟运算表。</a:t>
            </a:r>
            <a:endParaRPr lang="en-US" altLang="zh-CN" sz="1200"/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、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在成产量旁边</a:t>
            </a:r>
            <a:r>
              <a:rPr lang="zh-CN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作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一个生产量的可调控件，可调控件的调节范围为</a:t>
            </a:r>
            <a:r>
              <a:rPr lang="en-US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0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到</a:t>
            </a:r>
            <a:r>
              <a:rPr lang="en-US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5000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，步长为</a:t>
            </a:r>
            <a:r>
              <a:rPr lang="en-US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100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，观察总成本随成产量的变化。</a:t>
            </a:r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zh-CN" altLang="en-US" sz="1200"/>
          </a:p>
          <a:p>
            <a:r>
              <a:rPr lang="en-US" altLang="zh-CN" sz="1200" baseline="0"/>
              <a:t>      </a:t>
            </a:r>
          </a:p>
          <a:p>
            <a:r>
              <a:rPr lang="en-US" altLang="zh-CN" sz="1200" baseline="0"/>
              <a:t>      </a:t>
            </a:r>
          </a:p>
          <a:p>
            <a:r>
              <a:rPr lang="en-US" altLang="zh-CN" sz="1200" baseline="0"/>
              <a:t> </a:t>
            </a:r>
            <a:endParaRPr lang="zh-CN" altLang="zh-CN" sz="1200">
              <a:effectLst/>
            </a:endParaRPr>
          </a:p>
        </xdr:txBody>
      </xdr:sp>
      <xdr:pic>
        <xdr:nvPicPr>
          <xdr:cNvPr id="7" name="图片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94338" y="2114550"/>
            <a:ext cx="2870175" cy="934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18</xdr:row>
      <xdr:rowOff>57150</xdr:rowOff>
    </xdr:from>
    <xdr:to>
      <xdr:col>6</xdr:col>
      <xdr:colOff>38100</xdr:colOff>
      <xdr:row>48</xdr:row>
      <xdr:rowOff>161926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161925" y="3263900"/>
          <a:ext cx="5102225" cy="5438776"/>
          <a:chOff x="5648325" y="38100"/>
          <a:chExt cx="5581650" cy="5248276"/>
        </a:xfrm>
      </xdr:grpSpPr>
      <xdr:sp macro="" textlink="">
        <xdr:nvSpPr>
          <xdr:cNvPr id="9" name="Text Box 10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48325" y="38100"/>
            <a:ext cx="5581650" cy="5248276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题（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15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分）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某工厂每年需要购买某种零件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个，购买单价为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元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/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个，一个零件储存一年的储存成本为其采购单价的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90%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，该零件每次订货的订货费用为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30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元。供应商提供优惠条件为：若采购量达到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1800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个，可以享受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5%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的采购单价折扣优惠。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计算经济订货量和有采购折扣优惠两种情况下的全年总成本。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+mn-cs"/>
              </a:rPr>
              <a:t>画出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当订货量在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至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2200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范围发生变化，年需求量在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6000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至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8500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范围、步长为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500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发生变化时，全年总成本的图形。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3.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在图中添加经过全年总成本最低点的水平线。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4.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在图中添加可以对采购阈限值进行调节的数字调节钮，调节范围为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1200-1800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，步长为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在图中添加对年需求量进行调节的数字调节钮，调节范围为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6000-8500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，步长为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100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。</a:t>
            </a: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10" name="图片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59043" y="2256977"/>
            <a:ext cx="5377045" cy="29526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340993</xdr:colOff>
      <xdr:row>0</xdr:row>
      <xdr:rowOff>129539</xdr:rowOff>
    </xdr:from>
    <xdr:to>
      <xdr:col>8</xdr:col>
      <xdr:colOff>0</xdr:colOff>
      <xdr:row>17</xdr:row>
      <xdr:rowOff>85724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3789043" y="129539"/>
          <a:ext cx="3726181" cy="309943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endParaRPr lang="en-US" altLang="zh-CN" sz="12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200"/>
            </a:lnSpc>
            <a:defRPr sz="1000"/>
          </a:pP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第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6</a:t>
          </a: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题（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12</a:t>
          </a: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分）</a:t>
          </a:r>
          <a:endParaRPr lang="zh-CN" altLang="en-US" sz="12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、某客户从银行得到发给二年期贷款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万元，第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个月归还利息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9000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元和本金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元，以后每月归还本金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元，最后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个月归还剩余本金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77000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元， 计算该贷款的年化利率。</a:t>
          </a:r>
          <a:endParaRPr lang="en-US" altLang="zh-CN" sz="12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2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2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、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某客户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初始存入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20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万元，以后每月存入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5000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元，期限 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10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年，年利率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8%,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问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10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年后的存款额是多少？</a:t>
          </a:r>
          <a:endParaRPr lang="en-US" altLang="zh-CN" sz="1200" b="0" i="0" u="none" strike="noStrike" baseline="0">
            <a:solidFill>
              <a:srgbClr val="000000"/>
            </a:solidFill>
            <a:effectLst/>
            <a:latin typeface="+mn-ea"/>
            <a:ea typeface="+mn-ea"/>
            <a:cs typeface="+mn-cs"/>
          </a:endParaRPr>
        </a:p>
        <a:p>
          <a:pPr algn="l" rtl="0">
            <a:lnSpc>
              <a:spcPts val="12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rtl="0"/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3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、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金额为10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万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元 的贷款，每月支付额为 2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00元，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年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利率为1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0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%，该笔贷款多少年还清?</a:t>
          </a:r>
          <a:endParaRPr lang="en-US" altLang="zh-CN" sz="1200" b="0" i="0" baseline="0">
            <a:effectLst/>
            <a:latin typeface="+mn-lt"/>
            <a:ea typeface="+mn-ea"/>
            <a:cs typeface="+mn-cs"/>
          </a:endParaRPr>
        </a:p>
        <a:p>
          <a:pPr rtl="0"/>
          <a:endParaRPr lang="en-US" altLang="zh-CN" sz="1200" b="0" i="0" baseline="0">
            <a:effectLst/>
            <a:latin typeface="+mn-lt"/>
            <a:ea typeface="+mn-ea"/>
            <a:cs typeface="+mn-cs"/>
          </a:endParaRPr>
        </a:p>
        <a:p>
          <a:pPr rtl="0"/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、</a:t>
          </a:r>
          <a:r>
            <a:rPr lang="zh-CN" altLang="zh-CN" sz="1100" b="0" i="0" baseline="0">
              <a:effectLst/>
              <a:latin typeface="+mn-lt"/>
              <a:ea typeface="+mn-ea"/>
              <a:cs typeface="+mn-cs"/>
            </a:rPr>
            <a:t>某公司购买了一台新机器，价值为100000元，使用期限为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100" b="0" i="0" baseline="0">
              <a:effectLst/>
              <a:latin typeface="+mn-lt"/>
              <a:ea typeface="+mn-ea"/>
              <a:cs typeface="+mn-cs"/>
            </a:rPr>
            <a:t>年，残值为10000元（计算结果保留两位小数）</a:t>
          </a:r>
          <a:r>
            <a:rPr lang="zh-CN" altLang="en-US" sz="1100" b="0" i="0" baseline="0">
              <a:effectLst/>
              <a:latin typeface="+mn-lt"/>
              <a:ea typeface="+mn-ea"/>
              <a:cs typeface="+mn-cs"/>
            </a:rPr>
            <a:t>按年计提折旧，</a:t>
          </a:r>
          <a:r>
            <a:rPr lang="zh-CN" altLang="zh-CN" sz="1100" b="0" i="0" baseline="0">
              <a:effectLst/>
              <a:latin typeface="+mn-lt"/>
              <a:ea typeface="+mn-ea"/>
              <a:cs typeface="+mn-cs"/>
            </a:rPr>
            <a:t>试用直线法计算每年的折旧额？</a:t>
          </a:r>
          <a:endParaRPr lang="zh-CN" altLang="zh-CN" sz="1200">
            <a:effectLst/>
          </a:endParaRPr>
        </a:p>
        <a:p>
          <a:pPr rtl="0"/>
          <a:endParaRPr lang="zh-CN" altLang="zh-CN" sz="12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152401</xdr:colOff>
      <xdr:row>1</xdr:row>
      <xdr:rowOff>219075</xdr:rowOff>
    </xdr:from>
    <xdr:to>
      <xdr:col>17</xdr:col>
      <xdr:colOff>238126</xdr:colOff>
      <xdr:row>28</xdr:row>
      <xdr:rowOff>0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pSpPr/>
      </xdr:nvGrpSpPr>
      <xdr:grpSpPr>
        <a:xfrm>
          <a:off x="4857751" y="396875"/>
          <a:ext cx="5775325" cy="4911725"/>
          <a:chOff x="5534026" y="2486025"/>
          <a:chExt cx="6457950" cy="4562475"/>
        </a:xfrm>
      </xdr:grpSpPr>
      <xdr:sp macro="" textlink="">
        <xdr:nvSpPr>
          <xdr:cNvPr id="13" name="文本框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5534026" y="2486025"/>
            <a:ext cx="6457950" cy="4391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/>
              <a:t>第</a:t>
            </a:r>
            <a:r>
              <a:rPr lang="en-US" altLang="zh-CN" sz="1100"/>
              <a:t>7</a:t>
            </a:r>
            <a:r>
              <a:rPr lang="zh-CN" altLang="en-US" sz="1100"/>
              <a:t>题    </a:t>
            </a:r>
            <a:r>
              <a:rPr lang="en-US" altLang="zh-CN" sz="1100"/>
              <a:t>12</a:t>
            </a:r>
            <a:r>
              <a:rPr lang="zh-CN" altLang="en-US" sz="1100"/>
              <a:t>分</a:t>
            </a:r>
            <a:endParaRPr lang="en-US" altLang="zh-CN" sz="1100"/>
          </a:p>
          <a:p>
            <a:r>
              <a:rPr lang="zh-CN" altLang="en-US" sz="1100"/>
              <a:t>已知某生产奢侈品企业的固定成本为</a:t>
            </a:r>
            <a:r>
              <a:rPr lang="en-US" altLang="zh-CN" sz="1100"/>
              <a:t>40000</a:t>
            </a:r>
            <a:r>
              <a:rPr lang="zh-CN" altLang="en-US" sz="1100"/>
              <a:t>元，单位可变成本为</a:t>
            </a:r>
            <a:r>
              <a:rPr lang="en-US" altLang="zh-CN" sz="1100"/>
              <a:t>120</a:t>
            </a:r>
            <a:r>
              <a:rPr lang="zh-CN" altLang="en-US" sz="1100"/>
              <a:t>元，企业生产能力最大为</a:t>
            </a:r>
            <a:r>
              <a:rPr lang="en-US" altLang="zh-CN" sz="1100"/>
              <a:t>200-1400</a:t>
            </a:r>
            <a:r>
              <a:rPr lang="zh-CN" altLang="en-US" sz="1100"/>
              <a:t>个，如果生产的产量能够完全实现销售，试为企业制定其产量为多少时，可以获得最大的利润：（所有的单价与利润精确到</a:t>
            </a:r>
            <a:r>
              <a:rPr lang="en-US" altLang="zh-CN" sz="1100"/>
              <a:t>0.01</a:t>
            </a:r>
            <a:r>
              <a:rPr lang="zh-CN" altLang="en-US" sz="1100"/>
              <a:t>）</a:t>
            </a:r>
            <a:endParaRPr lang="en-US" altLang="zh-CN" sz="1100"/>
          </a:p>
          <a:p>
            <a:r>
              <a:rPr lang="en-US" altLang="zh-CN" sz="1100"/>
              <a:t>1</a:t>
            </a:r>
            <a:r>
              <a:rPr lang="zh-CN" altLang="en-US" sz="1100"/>
              <a:t>、从硬盘上读入“产品销售数据</a:t>
            </a:r>
            <a:r>
              <a:rPr lang="en-US" altLang="zh-CN" sz="1100"/>
              <a:t>.txt</a:t>
            </a:r>
            <a:r>
              <a:rPr lang="zh-CN" altLang="en-US" sz="1100"/>
              <a:t>”至</a:t>
            </a:r>
            <a:r>
              <a:rPr lang="en-US" altLang="zh-CN" sz="1100"/>
              <a:t>A2</a:t>
            </a:r>
            <a:r>
              <a:rPr lang="zh-CN" altLang="en-US" sz="1100"/>
              <a:t>单元格开始的位置，并利用</a:t>
            </a:r>
            <a:r>
              <a:rPr lang="en-US" altLang="zh-CN" sz="1100"/>
              <a:t>Linest</a:t>
            </a:r>
            <a:r>
              <a:rPr lang="zh-CN" altLang="en-US" sz="1100"/>
              <a:t>函数求出其产量的斜率和截距；</a:t>
            </a:r>
            <a:endParaRPr lang="en-US" altLang="zh-CN" sz="1100"/>
          </a:p>
          <a:p>
            <a:r>
              <a:rPr lang="en-US" altLang="zh-CN" sz="1100"/>
              <a:t>2</a:t>
            </a:r>
            <a:r>
              <a:rPr lang="zh-CN" altLang="en-US" sz="1100"/>
              <a:t>、若生产量为</a:t>
            </a:r>
            <a:r>
              <a:rPr lang="en-US" altLang="zh-CN" sz="1100"/>
              <a:t>600</a:t>
            </a:r>
            <a:r>
              <a:rPr lang="zh-CN" altLang="en-US" sz="1100"/>
              <a:t>个，建立模型求所得的利润；</a:t>
            </a:r>
            <a:endParaRPr lang="en-US" altLang="zh-CN" sz="1100"/>
          </a:p>
          <a:p>
            <a:r>
              <a:rPr lang="en-US" altLang="zh-CN" sz="1100"/>
              <a:t>3</a:t>
            </a:r>
            <a:r>
              <a:rPr lang="zh-CN" altLang="en-US" sz="1100"/>
              <a:t>、用规划求解工具求最优产量及对应的利润极值，并将处理的结果保存在</a:t>
            </a:r>
            <a:r>
              <a:rPr lang="en-US" altLang="zh-CN" sz="1100"/>
              <a:t>B20</a:t>
            </a:r>
            <a:r>
              <a:rPr lang="zh-CN" altLang="en-US" sz="1100"/>
              <a:t>开始的单元格处；</a:t>
            </a:r>
            <a:endParaRPr lang="en-US" altLang="zh-CN" sz="1100"/>
          </a:p>
          <a:p>
            <a:r>
              <a:rPr lang="en-US" altLang="zh-CN" sz="1100"/>
              <a:t>4</a:t>
            </a:r>
            <a:r>
              <a:rPr lang="zh-CN" altLang="en-US" sz="1100"/>
              <a:t>、用公式计算最优产量及对应的利润极值进行验证；</a:t>
            </a:r>
            <a:endParaRPr lang="en-US" altLang="zh-CN" sz="1100"/>
          </a:p>
          <a:p>
            <a:r>
              <a:rPr lang="en-US" altLang="zh-CN" sz="1100"/>
              <a:t>5</a:t>
            </a:r>
            <a:r>
              <a:rPr lang="zh-CN" altLang="en-US" sz="1100"/>
              <a:t>、制作产量与利润的曲线图表，并格式化后标注最优产量及利润的垂直参考线；</a:t>
            </a:r>
            <a:endParaRPr lang="en-US" altLang="zh-CN" sz="1100"/>
          </a:p>
          <a:p>
            <a:r>
              <a:rPr lang="en-US" altLang="zh-CN" sz="1100"/>
              <a:t>6</a:t>
            </a:r>
            <a:r>
              <a:rPr lang="zh-CN" altLang="en-US" sz="1100"/>
              <a:t>、制作当前生产量从</a:t>
            </a:r>
            <a:r>
              <a:rPr lang="en-US" altLang="zh-CN" sz="1100"/>
              <a:t>200</a:t>
            </a:r>
            <a:r>
              <a:rPr lang="zh-CN" altLang="en-US" sz="1100"/>
              <a:t>增值</a:t>
            </a:r>
            <a:r>
              <a:rPr lang="en-US" altLang="zh-CN" sz="1100"/>
              <a:t>25</a:t>
            </a:r>
            <a:r>
              <a:rPr lang="zh-CN" altLang="en-US" sz="1100"/>
              <a:t>到</a:t>
            </a:r>
            <a:r>
              <a:rPr lang="en-US" altLang="zh-CN" sz="1100"/>
              <a:t>1200</a:t>
            </a:r>
            <a:r>
              <a:rPr lang="zh-CN" altLang="en-US" sz="1100"/>
              <a:t>的参考点，并标注出产量及对应的利润值，如下图所示。</a:t>
            </a:r>
            <a:endParaRPr lang="en-US" altLang="zh-CN" sz="1100"/>
          </a:p>
          <a:p>
            <a:endParaRPr lang="en-US" altLang="zh-CN" sz="1100"/>
          </a:p>
          <a:p>
            <a:r>
              <a:rPr lang="zh-CN" altLang="en-US" sz="1100"/>
              <a:t>提示：可能会用的计算公式为：</a:t>
            </a:r>
            <a:endParaRPr lang="en-US" altLang="zh-CN" sz="1100"/>
          </a:p>
          <a:p>
            <a:endParaRPr lang="zh-CN" alt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4" name="文本框 13">
                <a:extLst>
                  <a:ext uri="{FF2B5EF4-FFF2-40B4-BE49-F238E27FC236}">
                    <a16:creationId xmlns:a16="http://schemas.microsoft.com/office/drawing/2014/main" id="{00000000-0008-0000-0600-00000E000000}"/>
                  </a:ext>
                </a:extLst>
              </xdr:cNvPr>
              <xdr:cNvSpPr txBox="1"/>
            </xdr:nvSpPr>
            <xdr:spPr>
              <a:xfrm>
                <a:off x="5669846" y="4895851"/>
                <a:ext cx="1713429" cy="80962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0" tIns="0" rIns="0" bIns="0" rtlCol="0" anchor="t"/>
              <a:lstStyle/>
              <a:p>
                <a14:m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altLang="zh-CN" sz="1200" b="0" i="1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𝑜𝑝𝑡</m:t>
                        </m:r>
                      </m:sub>
                    </m:sSub>
                  </m:oMath>
                </a14:m>
                <a:r>
                  <a:rPr lang="en-US" altLang="zh-CN" sz="1400"/>
                  <a:t>=</a:t>
                </a:r>
                <a14:m>
                  <m:oMath xmlns:m="http://schemas.openxmlformats.org/officeDocument/2006/math">
                    <m:f>
                      <m:fPr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𝑣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num>
                      <m:den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𝑏</m:t>
                        </m:r>
                      </m:den>
                    </m:f>
                  </m:oMath>
                </a14:m>
                <a:endParaRPr lang="en-US" altLang="zh-CN" sz="1400"/>
              </a:p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l-GR" altLang="zh-CN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l-GR" altLang="zh-CN" sz="12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𝜋</m:t>
                          </m:r>
                        </m:e>
                        <m:sub>
                          <m:r>
                            <a:rPr lang="en-US" altLang="zh-CN" sz="1200" b="0" i="1">
                              <a:latin typeface="Cambria Math" panose="02040503050406030204" pitchFamily="18" charset="0"/>
                            </a:rPr>
                            <m:t>𝑚𝑎𝑥</m:t>
                          </m:r>
                        </m:sub>
                      </m:sSub>
                      <m:r>
                        <a:rPr lang="en-US" altLang="zh-CN" sz="1200" b="0" i="1">
                          <a:latin typeface="Cambria Math" panose="02040503050406030204" pitchFamily="18" charset="0"/>
                        </a:rPr>
                        <m:t>=−</m:t>
                      </m:r>
                      <m:f>
                        <m:fPr>
                          <m:ctrlPr>
                            <a:rPr lang="en-US" altLang="zh-CN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  <m:t>𝑣</m:t>
                                  </m:r>
                                  <m: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  <m:t>−</m:t>
                                  </m:r>
                                  <m: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  <m:t>𝑎</m:t>
                                  </m:r>
                                </m:e>
                              </m:d>
                            </m:e>
                            <m:sup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altLang="zh-CN" sz="1200" b="0" i="1">
                              <a:latin typeface="Cambria Math" panose="02040503050406030204" pitchFamily="18" charset="0"/>
                            </a:rPr>
                            <m:t>4</m:t>
                          </m:r>
                          <m:r>
                            <a:rPr lang="en-US" altLang="zh-CN" sz="1200" b="0" i="1">
                              <a:latin typeface="Cambria Math" panose="02040503050406030204" pitchFamily="18" charset="0"/>
                            </a:rPr>
                            <m:t>𝑏</m:t>
                          </m:r>
                        </m:den>
                      </m:f>
                      <m:r>
                        <a:rPr lang="en-US" altLang="zh-CN" sz="12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altLang="zh-CN" sz="1200" b="0" i="1">
                          <a:latin typeface="Cambria Math" panose="02040503050406030204" pitchFamily="18" charset="0"/>
                        </a:rPr>
                        <m:t>𝐹</m:t>
                      </m:r>
                    </m:oMath>
                  </m:oMathPara>
                </a14:m>
                <a:endParaRPr lang="en-US" altLang="zh-CN" sz="1200"/>
              </a:p>
              <a:p>
                <a:endParaRPr lang="en-US" altLang="zh-CN" sz="1400"/>
              </a:p>
              <a:p>
                <a:endParaRPr lang="zh-CN" altLang="en-US" sz="1400"/>
              </a:p>
            </xdr:txBody>
          </xdr:sp>
        </mc:Choice>
        <mc:Fallback xmlns="">
          <xdr:sp macro="" textlink="">
            <xdr:nvSpPr>
              <xdr:cNvPr id="14" name="文本框 13"/>
              <xdr:cNvSpPr txBox="1"/>
            </xdr:nvSpPr>
            <xdr:spPr>
              <a:xfrm>
                <a:off x="5669846" y="4895851"/>
                <a:ext cx="1713429" cy="80962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0" tIns="0" rIns="0" bIns="0" rtlCol="0" anchor="t"/>
              <a:lstStyle/>
              <a:p>
                <a:r>
                  <a:rPr lang="en-US" altLang="zh-CN" sz="1200" b="0" i="0">
                    <a:latin typeface="Cambria Math" panose="02040503050406030204" pitchFamily="18" charset="0"/>
                  </a:rPr>
                  <a:t>Q_𝑜𝑝𝑡</a:t>
                </a:r>
                <a:r>
                  <a:rPr lang="en-US" altLang="zh-CN" sz="1400"/>
                  <a:t>=</a:t>
                </a:r>
                <a:r>
                  <a:rPr lang="en-US" altLang="zh-CN" sz="1400" i="0">
                    <a:latin typeface="Cambria Math" panose="02040503050406030204" pitchFamily="18" charset="0"/>
                  </a:rPr>
                  <a:t>(</a:t>
                </a:r>
                <a:r>
                  <a:rPr lang="en-US" altLang="zh-CN" sz="1400" b="0" i="0">
                    <a:latin typeface="Cambria Math" panose="02040503050406030204" pitchFamily="18" charset="0"/>
                  </a:rPr>
                  <a:t>𝑣−𝑎)/2𝑏</a:t>
                </a:r>
                <a:endParaRPr lang="en-US" altLang="zh-CN" sz="1400"/>
              </a:p>
              <a:p>
                <a:pPr/>
                <a:r>
                  <a:rPr lang="el-GR" altLang="zh-CN" sz="1200" i="0">
                    <a:solidFill>
                      <a:schemeClr val="dk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𝜋_</a:t>
                </a:r>
                <a:r>
                  <a:rPr lang="en-US" altLang="zh-CN" sz="1200" b="0" i="0">
                    <a:latin typeface="Cambria Math" panose="02040503050406030204" pitchFamily="18" charset="0"/>
                  </a:rPr>
                  <a:t>𝑚𝑎𝑥=−(𝑣−𝑎)^2/4𝑏−𝐹</a:t>
                </a:r>
                <a:endParaRPr lang="en-US" altLang="zh-CN" sz="1200"/>
              </a:p>
              <a:p>
                <a:endParaRPr lang="en-US" altLang="zh-CN" sz="1400"/>
              </a:p>
              <a:p>
                <a:endParaRPr lang="zh-CN" altLang="en-US" sz="1400"/>
              </a:p>
            </xdr:txBody>
          </xdr:sp>
        </mc:Fallback>
      </mc:AlternateContent>
      <xdr:pic>
        <xdr:nvPicPr>
          <xdr:cNvPr id="15" name="图片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505699" y="4867275"/>
            <a:ext cx="4410373" cy="2181225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17</xdr:row>
      <xdr:rowOff>114300</xdr:rowOff>
    </xdr:from>
    <xdr:to>
      <xdr:col>26</xdr:col>
      <xdr:colOff>266700</xdr:colOff>
      <xdr:row>34</xdr:row>
      <xdr:rowOff>38100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152400</xdr:rowOff>
    </xdr:from>
    <xdr:to>
      <xdr:col>14</xdr:col>
      <xdr:colOff>552450</xdr:colOff>
      <xdr:row>45</xdr:row>
      <xdr:rowOff>19051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3022600" y="1752600"/>
          <a:ext cx="6838950" cy="6267451"/>
          <a:chOff x="2733675" y="3390899"/>
          <a:chExt cx="7429500" cy="6724651"/>
        </a:xfrm>
      </xdr:grpSpPr>
      <xdr:sp macro="" textlink="">
        <xdr:nvSpPr>
          <xdr:cNvPr id="19" name="Text Box 11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33675" y="3390899"/>
            <a:ext cx="7429500" cy="6724651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8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题 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(11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分）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星火五金公司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在一年期间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需求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某种零件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，一次订货的订货成本是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400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元，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日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单位储存成本是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服从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0.06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元至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0.1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元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间变化的均匀分布的随机数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。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订货量是服从均值为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200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的泊松分布的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随机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整数，日需求量是服从先验概率的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50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至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55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之间的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随机</a:t>
            </a:r>
            <a:r>
              <a:rPr lang="zh-CN" altLang="en-US" sz="1100">
                <a:effectLst/>
                <a:latin typeface="+mn-lt"/>
                <a:ea typeface="+mn-ea"/>
                <a:cs typeface="+mn-cs"/>
              </a:rPr>
              <a:t>数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（如下表所示）。</a:t>
            </a:r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要求：</a:t>
            </a:r>
          </a:p>
          <a:p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1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、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初始库存为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300</a:t>
            </a:r>
            <a:r>
              <a:rPr lang="zh-CN" altLang="en-US" sz="1100">
                <a:effectLst/>
                <a:latin typeface="+mn-lt"/>
                <a:ea typeface="+mn-ea"/>
                <a:cs typeface="+mn-cs"/>
              </a:rPr>
              <a:t>，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模拟出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一年（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365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天）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的库存变化情况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及每天的订货成本、储存成本、总成本。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每次订货的交货期为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1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至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2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之间的均匀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分布的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随机整数，不允许缺货。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根据模拟的数据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计算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出模拟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年总成本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。</a:t>
            </a:r>
            <a:endParaRPr lang="zh-CN" altLang="zh-CN" sz="1100">
              <a:effectLst/>
              <a:latin typeface="+mn-ea"/>
              <a:ea typeface="+mn-ea"/>
              <a:cs typeface="+mn-cs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2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、当一次订货的订货成本由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380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390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400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420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430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440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变化时，计算出经过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50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次模拟的年总成本均值，并绘制出如下图所示的图表。</a:t>
            </a: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</xdr:txBody>
      </xdr:sp>
      <xdr:pic>
        <xdr:nvPicPr>
          <xdr:cNvPr id="20" name="图片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981182" y="6029325"/>
            <a:ext cx="6388543" cy="180952"/>
          </a:xfrm>
          <a:prstGeom prst="rect">
            <a:avLst/>
          </a:prstGeom>
        </xdr:spPr>
      </xdr:pic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876925" y="4038600"/>
            <a:ext cx="1304762" cy="120952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22" name="图片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162300" y="7115175"/>
            <a:ext cx="6276191" cy="2847619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20316;\&#25945;&#23398;\&#35745;&#31639;&#26426;&#24212;&#29992;&#35838;&#20214;\&#35745;&#31639;&#26426;&#24212;&#29992;&#35838;&#20214;\&#27169;&#25311;&#35797;&#21367;&#21442;&#32771;&#31572;&#26696;\&#31532;3&#314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20316;\&#25945;&#23398;\&#35745;&#31639;&#26426;&#24212;&#29992;&#35838;&#20214;\&#35745;&#31639;&#26426;&#24212;&#29992;&#35838;&#20214;\&#27169;&#25311;&#35797;&#21367;&#21442;&#32771;&#31572;&#26696;\&#27169;&#25311;&#35797;&#21367;11-&#21442;&#32771;&#31572;&#2669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20316;\&#25945;&#23398;\&#35745;&#31639;&#26426;&#24212;&#29992;&#35838;&#20214;\&#35745;&#31639;&#26426;&#24212;&#29992;&#35838;&#20214;\&#27169;&#25311;&#35797;&#21367;&#21442;&#32771;&#31572;&#26696;\Set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awdata\&#31532;3&#3145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838;&#31243;\&#36130;&#32463;&#31649;&#29702;&#35745;&#31639;&#26426;&#24212;&#29992;\200502\D&#20989;&#25968;&#32771;&#390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838;&#31243;\&#35745;&#31639;&#26426;&#24212;&#29992;\&#32771;&#39064;\2003-1\2002&#31179;&#35745;&#31639;&#26426;&#32771;&#35797;(C)&#31572;&#2669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wang\Quantitative%20method\Simulation\Simulation%20example%20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gl\yy2\&#32771;&#39064;\2002-01&#32771;&#39064;\Teaching\2001Fall\&#36741;&#20462;\&#35797;&#39064;&#31572;&#266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F\Lesson\ComputerApplication\&#25945;&#23398;&#21442;&#32771;&#36164;&#26009;\&#22797;&#20064;&#36164;&#26009;\&#32508;&#21512;&#32451;&#20064;a_j&#21442;&#32771;&#35299;&#31572;\&#32508;&#21512;&#32451;&#20064;D&#21442;&#32771;&#35299;&#315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745;&#31639;&#26426;&#24212;&#29992;\2007-2008&#23398;&#24180;\&#37325;&#20462;&#29677;&#32771;&#35797;&#39064;&#30446;\&#35745;&#31639;&#26426;&#24212;&#29992;&#31572;&#26696;2007-2008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_2004_2&#32771;&#35797;&#35797;&#39064;&#31532;2&#31295;\2003-2004&#31532;2&#23398;&#26399;&#36130;&#22823;&#35745;&#31639;&#26426;&#24212;&#29992;&#35797;&#39064;\2004-06&#36879;&#35270;&#34920;&#19982;D&#20989;&#25968;&#32771;&#390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gl\yy2\&#32771;&#39064;\2001-07&#32771;&#39064;\Exam1\Exam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745;&#31639;&#26426;&#24212;&#29992;\01-02(1)\2001&#31179;&#35745;&#31639;&#26426;&#24212;&#29992;&#35838;&#31243;&#32771;&#35797;&#39064;A&#31572;&#26696;&#24102;&#35780;&#20998;&#32454;&#2101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838;&#31243;\&#36130;&#32463;&#31649;&#29702;&#35745;&#31639;&#26426;&#24212;&#29992;\&#21382;&#24180;&#32771;&#35797;&#39064;&#30446;\200906\&#21407;E\lesson\&#35745;&#31639;&#26426;&#24212;&#29992;\&#21508;&#24180;&#32771;&#39064;\2008-2009-2\2008-2009-2&#35745;&#31639;&#26426;&#24212;&#29992;_&#31532;3&#39064;\&#21629;&#39064;&#20934;&#22791;\&#20363;4-08%20&#24037;&#21378;&#32435;&#31246;&#23395;&#33410;&#25351;&#25968;&#39044;&#27979;&#27169;&#2241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数分布"/>
      <sheetName val="第1题"/>
      <sheetName val="第1题解答"/>
      <sheetName val="第2题"/>
      <sheetName val="第2题解答"/>
      <sheetName val="第3题"/>
      <sheetName val="第3题解答"/>
      <sheetName val="第4题"/>
      <sheetName val="第4题解答"/>
      <sheetName val="第5题"/>
      <sheetName val="第5题解答"/>
      <sheetName val="第6题"/>
      <sheetName val="第6题解答"/>
      <sheetName val="第7题"/>
      <sheetName val="第7题解答"/>
      <sheetName val="第8题"/>
      <sheetName val="第8题解答"/>
      <sheetName val="第9题"/>
      <sheetName val="第9题解答"/>
    </sheetNames>
    <sheetDataSet>
      <sheetData sheetId="0"/>
      <sheetData sheetId="1"/>
      <sheetData sheetId="2"/>
      <sheetData sheetId="3"/>
      <sheetData sheetId="4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2题答案"/>
      <sheetName val="第3题"/>
      <sheetName val="第3题答案"/>
      <sheetName val="第4题"/>
      <sheetName val="第4题答案"/>
      <sheetName val="第5题"/>
      <sheetName val="第6题"/>
      <sheetName val="第6题答案"/>
      <sheetName val="第7题"/>
      <sheetName val="第7题解答"/>
      <sheetName val="第8题"/>
      <sheetName val="第8题答案"/>
      <sheetName val="第9题"/>
      <sheetName val="第9题解答"/>
    </sheetNames>
    <sheetDataSet>
      <sheetData sheetId="0"/>
      <sheetData sheetId="1">
        <row r="1">
          <cell r="A1" t="str">
            <v>订购日期</v>
          </cell>
          <cell r="B1" t="str">
            <v>产品名称</v>
          </cell>
          <cell r="C1" t="str">
            <v>销售数量</v>
          </cell>
          <cell r="D1" t="str">
            <v>销售金额</v>
          </cell>
        </row>
        <row r="2">
          <cell r="A2">
            <v>35254</v>
          </cell>
          <cell r="B2" t="str">
            <v>糯米</v>
          </cell>
          <cell r="C2">
            <v>6</v>
          </cell>
          <cell r="D2">
            <v>100.8</v>
          </cell>
        </row>
        <row r="3">
          <cell r="A3">
            <v>35465</v>
          </cell>
          <cell r="B3" t="str">
            <v>糯米</v>
          </cell>
          <cell r="C3">
            <v>12</v>
          </cell>
          <cell r="D3">
            <v>201.6</v>
          </cell>
        </row>
        <row r="4">
          <cell r="A4">
            <v>35580</v>
          </cell>
          <cell r="B4" t="str">
            <v>糯米</v>
          </cell>
          <cell r="C4">
            <v>24</v>
          </cell>
          <cell r="D4">
            <v>504</v>
          </cell>
        </row>
        <row r="5">
          <cell r="A5">
            <v>35629</v>
          </cell>
          <cell r="B5" t="str">
            <v>糯米</v>
          </cell>
          <cell r="C5">
            <v>48</v>
          </cell>
          <cell r="D5">
            <v>1008</v>
          </cell>
        </row>
        <row r="6">
          <cell r="A6">
            <v>35646</v>
          </cell>
          <cell r="B6" t="str">
            <v>糯米</v>
          </cell>
          <cell r="C6">
            <v>40</v>
          </cell>
          <cell r="D6">
            <v>840</v>
          </cell>
        </row>
        <row r="7">
          <cell r="A7">
            <v>35660</v>
          </cell>
          <cell r="B7" t="str">
            <v>糯米</v>
          </cell>
          <cell r="C7">
            <v>40</v>
          </cell>
          <cell r="D7">
            <v>840</v>
          </cell>
        </row>
        <row r="8">
          <cell r="A8">
            <v>35670</v>
          </cell>
          <cell r="B8" t="str">
            <v>糯米</v>
          </cell>
          <cell r="C8">
            <v>15</v>
          </cell>
          <cell r="D8">
            <v>315</v>
          </cell>
        </row>
        <row r="9">
          <cell r="A9">
            <v>35674</v>
          </cell>
          <cell r="B9" t="str">
            <v>糯米</v>
          </cell>
          <cell r="C9">
            <v>20</v>
          </cell>
          <cell r="D9">
            <v>420</v>
          </cell>
        </row>
        <row r="10">
          <cell r="A10">
            <v>35767</v>
          </cell>
          <cell r="B10" t="str">
            <v>糯米</v>
          </cell>
          <cell r="C10">
            <v>6</v>
          </cell>
          <cell r="D10">
            <v>126</v>
          </cell>
        </row>
        <row r="11">
          <cell r="A11">
            <v>35772</v>
          </cell>
          <cell r="B11" t="str">
            <v>糯米</v>
          </cell>
          <cell r="C11">
            <v>4</v>
          </cell>
          <cell r="D11">
            <v>84</v>
          </cell>
        </row>
        <row r="12">
          <cell r="A12">
            <v>35811</v>
          </cell>
          <cell r="B12" t="str">
            <v>糯米</v>
          </cell>
          <cell r="C12">
            <v>52</v>
          </cell>
          <cell r="D12">
            <v>1092</v>
          </cell>
        </row>
        <row r="13">
          <cell r="A13">
            <v>35816</v>
          </cell>
          <cell r="B13" t="str">
            <v>糯米</v>
          </cell>
          <cell r="C13">
            <v>35</v>
          </cell>
          <cell r="D13">
            <v>735</v>
          </cell>
        </row>
        <row r="14">
          <cell r="A14">
            <v>35865</v>
          </cell>
          <cell r="B14" t="str">
            <v>糯米</v>
          </cell>
          <cell r="C14">
            <v>21</v>
          </cell>
          <cell r="D14">
            <v>441</v>
          </cell>
        </row>
        <row r="15">
          <cell r="A15">
            <v>35891</v>
          </cell>
          <cell r="B15" t="str">
            <v>糯米</v>
          </cell>
          <cell r="C15">
            <v>25</v>
          </cell>
          <cell r="D15">
            <v>525</v>
          </cell>
        </row>
        <row r="16">
          <cell r="A16">
            <v>35362</v>
          </cell>
          <cell r="B16" t="str">
            <v>燕麦</v>
          </cell>
          <cell r="C16">
            <v>40</v>
          </cell>
          <cell r="D16">
            <v>288</v>
          </cell>
        </row>
        <row r="17">
          <cell r="A17">
            <v>35376</v>
          </cell>
          <cell r="B17" t="str">
            <v>燕麦</v>
          </cell>
          <cell r="C17">
            <v>25</v>
          </cell>
          <cell r="D17">
            <v>180</v>
          </cell>
        </row>
        <row r="18">
          <cell r="A18">
            <v>35426</v>
          </cell>
          <cell r="B18" t="str">
            <v>燕麦</v>
          </cell>
          <cell r="C18">
            <v>40</v>
          </cell>
          <cell r="D18">
            <v>288</v>
          </cell>
        </row>
        <row r="19">
          <cell r="A19">
            <v>35432</v>
          </cell>
          <cell r="B19" t="str">
            <v>燕麦</v>
          </cell>
          <cell r="C19">
            <v>60</v>
          </cell>
          <cell r="D19">
            <v>432</v>
          </cell>
        </row>
        <row r="20">
          <cell r="A20">
            <v>35492</v>
          </cell>
          <cell r="B20" t="str">
            <v>燕麦</v>
          </cell>
          <cell r="C20">
            <v>21</v>
          </cell>
          <cell r="D20">
            <v>151.19999999999999</v>
          </cell>
        </row>
        <row r="21">
          <cell r="A21">
            <v>35500</v>
          </cell>
          <cell r="B21" t="str">
            <v>燕麦</v>
          </cell>
          <cell r="C21">
            <v>15</v>
          </cell>
          <cell r="D21">
            <v>108</v>
          </cell>
        </row>
        <row r="22">
          <cell r="A22">
            <v>35523</v>
          </cell>
          <cell r="B22" t="str">
            <v>燕麦</v>
          </cell>
          <cell r="C22">
            <v>10</v>
          </cell>
          <cell r="D22">
            <v>72</v>
          </cell>
        </row>
        <row r="23">
          <cell r="A23">
            <v>35571</v>
          </cell>
          <cell r="B23" t="str">
            <v>燕麦</v>
          </cell>
          <cell r="C23">
            <v>70</v>
          </cell>
          <cell r="D23">
            <v>630</v>
          </cell>
        </row>
        <row r="24">
          <cell r="A24">
            <v>35580</v>
          </cell>
          <cell r="B24" t="str">
            <v>燕麦</v>
          </cell>
          <cell r="C24">
            <v>20</v>
          </cell>
          <cell r="D24">
            <v>180</v>
          </cell>
        </row>
        <row r="25">
          <cell r="A25">
            <v>35647</v>
          </cell>
          <cell r="B25" t="str">
            <v>燕麦</v>
          </cell>
          <cell r="C25">
            <v>10</v>
          </cell>
          <cell r="D25">
            <v>90</v>
          </cell>
        </row>
        <row r="26">
          <cell r="A26">
            <v>35689</v>
          </cell>
          <cell r="B26" t="str">
            <v>燕麦</v>
          </cell>
          <cell r="C26">
            <v>32</v>
          </cell>
          <cell r="D26">
            <v>288</v>
          </cell>
        </row>
        <row r="27">
          <cell r="A27">
            <v>35691</v>
          </cell>
          <cell r="B27" t="str">
            <v>燕麦</v>
          </cell>
          <cell r="C27">
            <v>5</v>
          </cell>
          <cell r="D27">
            <v>45</v>
          </cell>
        </row>
        <row r="28">
          <cell r="A28">
            <v>35754</v>
          </cell>
          <cell r="B28" t="str">
            <v>燕麦</v>
          </cell>
          <cell r="C28">
            <v>44</v>
          </cell>
          <cell r="D28">
            <v>396</v>
          </cell>
        </row>
        <row r="29">
          <cell r="A29">
            <v>35797</v>
          </cell>
          <cell r="B29" t="str">
            <v>燕麦</v>
          </cell>
          <cell r="C29">
            <v>18</v>
          </cell>
          <cell r="D29">
            <v>162</v>
          </cell>
        </row>
        <row r="30">
          <cell r="A30">
            <v>35816</v>
          </cell>
          <cell r="B30" t="str">
            <v>燕麦</v>
          </cell>
          <cell r="C30">
            <v>70</v>
          </cell>
          <cell r="D30">
            <v>630</v>
          </cell>
        </row>
        <row r="31">
          <cell r="A31">
            <v>35830</v>
          </cell>
          <cell r="B31" t="str">
            <v>燕麦</v>
          </cell>
          <cell r="C31">
            <v>50</v>
          </cell>
          <cell r="D31">
            <v>450</v>
          </cell>
        </row>
        <row r="32">
          <cell r="A32">
            <v>35836</v>
          </cell>
          <cell r="B32" t="str">
            <v>燕麦</v>
          </cell>
          <cell r="C32">
            <v>30</v>
          </cell>
          <cell r="D32">
            <v>270</v>
          </cell>
        </row>
        <row r="33">
          <cell r="A33">
            <v>35863</v>
          </cell>
          <cell r="B33" t="str">
            <v>燕麦</v>
          </cell>
          <cell r="C33">
            <v>8</v>
          </cell>
          <cell r="D33">
            <v>72</v>
          </cell>
        </row>
        <row r="34">
          <cell r="A34">
            <v>35894</v>
          </cell>
          <cell r="B34" t="str">
            <v>燕麦</v>
          </cell>
          <cell r="C34">
            <v>10</v>
          </cell>
          <cell r="D34">
            <v>90</v>
          </cell>
        </row>
        <row r="35">
          <cell r="A35">
            <v>35921</v>
          </cell>
          <cell r="B35" t="str">
            <v>燕麦</v>
          </cell>
          <cell r="C35">
            <v>2</v>
          </cell>
          <cell r="D35">
            <v>18</v>
          </cell>
        </row>
        <row r="36">
          <cell r="A36">
            <v>35250</v>
          </cell>
          <cell r="B36" t="str">
            <v>糙米</v>
          </cell>
          <cell r="C36">
            <v>10</v>
          </cell>
          <cell r="D36">
            <v>98</v>
          </cell>
        </row>
        <row r="37">
          <cell r="A37">
            <v>35327</v>
          </cell>
          <cell r="B37" t="str">
            <v>糙米</v>
          </cell>
          <cell r="C37">
            <v>2</v>
          </cell>
          <cell r="D37">
            <v>22.4</v>
          </cell>
        </row>
        <row r="38">
          <cell r="A38">
            <v>35328</v>
          </cell>
          <cell r="B38" t="str">
            <v>糙米</v>
          </cell>
          <cell r="C38">
            <v>6</v>
          </cell>
          <cell r="D38">
            <v>67.2</v>
          </cell>
        </row>
        <row r="39">
          <cell r="A39">
            <v>35355</v>
          </cell>
          <cell r="B39" t="str">
            <v>糙米</v>
          </cell>
          <cell r="C39">
            <v>10</v>
          </cell>
          <cell r="D39">
            <v>112</v>
          </cell>
        </row>
        <row r="40">
          <cell r="A40">
            <v>35373</v>
          </cell>
          <cell r="B40" t="str">
            <v>糙米</v>
          </cell>
          <cell r="C40">
            <v>9</v>
          </cell>
          <cell r="D40">
            <v>100.8</v>
          </cell>
        </row>
        <row r="41">
          <cell r="A41">
            <v>35433</v>
          </cell>
          <cell r="B41" t="str">
            <v>糙米</v>
          </cell>
          <cell r="C41">
            <v>40</v>
          </cell>
          <cell r="D41">
            <v>448</v>
          </cell>
        </row>
        <row r="42">
          <cell r="A42">
            <v>35493</v>
          </cell>
          <cell r="B42" t="str">
            <v>糙米</v>
          </cell>
          <cell r="C42">
            <v>50</v>
          </cell>
          <cell r="D42">
            <v>560</v>
          </cell>
        </row>
        <row r="43">
          <cell r="A43">
            <v>35521</v>
          </cell>
          <cell r="B43" t="str">
            <v>糙米</v>
          </cell>
          <cell r="C43">
            <v>20</v>
          </cell>
          <cell r="D43">
            <v>224</v>
          </cell>
        </row>
        <row r="44">
          <cell r="A44">
            <v>35527</v>
          </cell>
          <cell r="B44" t="str">
            <v>糙米</v>
          </cell>
          <cell r="C44">
            <v>30</v>
          </cell>
          <cell r="D44">
            <v>420</v>
          </cell>
        </row>
        <row r="45">
          <cell r="A45">
            <v>35544</v>
          </cell>
          <cell r="B45" t="str">
            <v>糙米</v>
          </cell>
          <cell r="C45">
            <v>20</v>
          </cell>
          <cell r="D45">
            <v>280</v>
          </cell>
        </row>
        <row r="46">
          <cell r="A46">
            <v>35598</v>
          </cell>
          <cell r="B46" t="str">
            <v>糙米</v>
          </cell>
          <cell r="C46">
            <v>28</v>
          </cell>
          <cell r="D46">
            <v>392</v>
          </cell>
        </row>
        <row r="47">
          <cell r="A47">
            <v>35614</v>
          </cell>
          <cell r="B47" t="str">
            <v>糙米</v>
          </cell>
          <cell r="C47">
            <v>100</v>
          </cell>
          <cell r="D47">
            <v>1400</v>
          </cell>
        </row>
        <row r="48">
          <cell r="A48">
            <v>35650</v>
          </cell>
          <cell r="B48" t="str">
            <v>糙米</v>
          </cell>
          <cell r="C48">
            <v>5</v>
          </cell>
          <cell r="D48">
            <v>70</v>
          </cell>
        </row>
        <row r="49">
          <cell r="A49">
            <v>35674</v>
          </cell>
          <cell r="B49" t="str">
            <v>糙米</v>
          </cell>
          <cell r="C49">
            <v>20</v>
          </cell>
          <cell r="D49">
            <v>280</v>
          </cell>
        </row>
        <row r="50">
          <cell r="A50">
            <v>35683</v>
          </cell>
          <cell r="B50" t="str">
            <v>糙米</v>
          </cell>
          <cell r="C50">
            <v>30</v>
          </cell>
          <cell r="D50">
            <v>420</v>
          </cell>
        </row>
        <row r="51">
          <cell r="A51">
            <v>35691</v>
          </cell>
          <cell r="B51" t="str">
            <v>糙米</v>
          </cell>
          <cell r="C51">
            <v>6</v>
          </cell>
          <cell r="D51">
            <v>84</v>
          </cell>
        </row>
        <row r="52">
          <cell r="A52">
            <v>35697</v>
          </cell>
          <cell r="B52" t="str">
            <v>糙米</v>
          </cell>
          <cell r="C52">
            <v>40</v>
          </cell>
          <cell r="D52">
            <v>560</v>
          </cell>
        </row>
        <row r="53">
          <cell r="A53">
            <v>35753</v>
          </cell>
          <cell r="B53" t="str">
            <v>糙米</v>
          </cell>
          <cell r="C53">
            <v>28</v>
          </cell>
          <cell r="D53">
            <v>392</v>
          </cell>
        </row>
        <row r="54">
          <cell r="A54">
            <v>35769</v>
          </cell>
          <cell r="B54" t="str">
            <v>糙米</v>
          </cell>
          <cell r="C54">
            <v>2</v>
          </cell>
          <cell r="D54">
            <v>28</v>
          </cell>
        </row>
        <row r="55">
          <cell r="A55">
            <v>35779</v>
          </cell>
          <cell r="B55" t="str">
            <v>糙米</v>
          </cell>
          <cell r="C55">
            <v>12</v>
          </cell>
          <cell r="D55">
            <v>168</v>
          </cell>
        </row>
        <row r="56">
          <cell r="A56">
            <v>35779</v>
          </cell>
          <cell r="B56" t="str">
            <v>糙米</v>
          </cell>
          <cell r="C56">
            <v>20</v>
          </cell>
          <cell r="D56">
            <v>280</v>
          </cell>
        </row>
        <row r="57">
          <cell r="A57">
            <v>35816</v>
          </cell>
          <cell r="B57" t="str">
            <v>糙米</v>
          </cell>
          <cell r="C57">
            <v>42</v>
          </cell>
          <cell r="D57">
            <v>588</v>
          </cell>
        </row>
        <row r="58">
          <cell r="A58">
            <v>35823</v>
          </cell>
          <cell r="B58" t="str">
            <v>糙米</v>
          </cell>
          <cell r="C58">
            <v>20</v>
          </cell>
          <cell r="D58">
            <v>280</v>
          </cell>
        </row>
        <row r="59">
          <cell r="A59">
            <v>35837</v>
          </cell>
          <cell r="B59" t="str">
            <v>糙米</v>
          </cell>
          <cell r="C59">
            <v>25</v>
          </cell>
          <cell r="D59">
            <v>350</v>
          </cell>
        </row>
        <row r="60">
          <cell r="A60">
            <v>35857</v>
          </cell>
          <cell r="B60" t="str">
            <v>糙米</v>
          </cell>
          <cell r="C60">
            <v>10</v>
          </cell>
          <cell r="D60">
            <v>140</v>
          </cell>
        </row>
        <row r="61">
          <cell r="A61">
            <v>35887</v>
          </cell>
          <cell r="B61" t="str">
            <v>糙米</v>
          </cell>
          <cell r="C61">
            <v>40</v>
          </cell>
          <cell r="D61">
            <v>560</v>
          </cell>
        </row>
        <row r="62">
          <cell r="A62">
            <v>35891</v>
          </cell>
          <cell r="B62" t="str">
            <v>糙米</v>
          </cell>
          <cell r="C62">
            <v>24</v>
          </cell>
          <cell r="D62">
            <v>336</v>
          </cell>
        </row>
        <row r="63">
          <cell r="A63">
            <v>35893</v>
          </cell>
          <cell r="B63" t="str">
            <v>糙米</v>
          </cell>
          <cell r="C63">
            <v>14</v>
          </cell>
          <cell r="D63">
            <v>196</v>
          </cell>
        </row>
        <row r="64">
          <cell r="A64">
            <v>35894</v>
          </cell>
          <cell r="B64" t="str">
            <v>糙米</v>
          </cell>
          <cell r="C64">
            <v>4</v>
          </cell>
          <cell r="D64">
            <v>56</v>
          </cell>
        </row>
        <row r="65">
          <cell r="A65">
            <v>35905</v>
          </cell>
          <cell r="B65" t="str">
            <v>糙米</v>
          </cell>
          <cell r="C65">
            <v>30</v>
          </cell>
          <cell r="D65">
            <v>420</v>
          </cell>
        </row>
        <row r="66">
          <cell r="A66">
            <v>35342</v>
          </cell>
          <cell r="B66" t="str">
            <v>三合一麦片</v>
          </cell>
          <cell r="C66">
            <v>20</v>
          </cell>
          <cell r="D66">
            <v>112</v>
          </cell>
        </row>
        <row r="67">
          <cell r="A67">
            <v>35359</v>
          </cell>
          <cell r="B67" t="str">
            <v>三合一麦片</v>
          </cell>
          <cell r="C67">
            <v>8</v>
          </cell>
          <cell r="D67">
            <v>44.8</v>
          </cell>
        </row>
        <row r="68">
          <cell r="A68">
            <v>35418</v>
          </cell>
          <cell r="B68" t="str">
            <v>三合一麦片</v>
          </cell>
          <cell r="C68">
            <v>20</v>
          </cell>
          <cell r="D68">
            <v>112</v>
          </cell>
        </row>
        <row r="69">
          <cell r="A69">
            <v>35475</v>
          </cell>
          <cell r="B69" t="str">
            <v>三合一麦片</v>
          </cell>
          <cell r="C69">
            <v>15</v>
          </cell>
          <cell r="D69">
            <v>84</v>
          </cell>
        </row>
        <row r="70">
          <cell r="A70">
            <v>35479</v>
          </cell>
          <cell r="B70" t="str">
            <v>三合一麦片</v>
          </cell>
          <cell r="C70">
            <v>20</v>
          </cell>
          <cell r="D70">
            <v>112</v>
          </cell>
        </row>
        <row r="71">
          <cell r="A71">
            <v>35544</v>
          </cell>
          <cell r="B71" t="str">
            <v>三合一麦片</v>
          </cell>
          <cell r="C71">
            <v>6</v>
          </cell>
          <cell r="D71">
            <v>42</v>
          </cell>
        </row>
        <row r="72">
          <cell r="A72">
            <v>35585</v>
          </cell>
          <cell r="B72" t="str">
            <v>三合一麦片</v>
          </cell>
          <cell r="C72">
            <v>30</v>
          </cell>
          <cell r="D72">
            <v>210</v>
          </cell>
        </row>
        <row r="73">
          <cell r="A73">
            <v>35591</v>
          </cell>
          <cell r="B73" t="str">
            <v>三合一麦片</v>
          </cell>
          <cell r="C73">
            <v>70</v>
          </cell>
          <cell r="D73">
            <v>490</v>
          </cell>
        </row>
        <row r="74">
          <cell r="A74">
            <v>35613</v>
          </cell>
          <cell r="B74" t="str">
            <v>三合一麦片</v>
          </cell>
          <cell r="C74">
            <v>4</v>
          </cell>
          <cell r="D74">
            <v>28</v>
          </cell>
        </row>
        <row r="75">
          <cell r="A75">
            <v>35620</v>
          </cell>
          <cell r="B75" t="str">
            <v>三合一麦片</v>
          </cell>
          <cell r="C75">
            <v>24</v>
          </cell>
          <cell r="D75">
            <v>168</v>
          </cell>
        </row>
        <row r="76">
          <cell r="A76">
            <v>35647</v>
          </cell>
          <cell r="B76" t="str">
            <v>三合一麦片</v>
          </cell>
          <cell r="C76">
            <v>5</v>
          </cell>
          <cell r="D76">
            <v>35</v>
          </cell>
        </row>
        <row r="77">
          <cell r="A77">
            <v>35699</v>
          </cell>
          <cell r="B77" t="str">
            <v>三合一麦片</v>
          </cell>
          <cell r="C77">
            <v>9</v>
          </cell>
          <cell r="D77">
            <v>63</v>
          </cell>
        </row>
        <row r="78">
          <cell r="A78">
            <v>35734</v>
          </cell>
          <cell r="B78" t="str">
            <v>三合一麦片</v>
          </cell>
          <cell r="C78">
            <v>4</v>
          </cell>
          <cell r="D78">
            <v>28</v>
          </cell>
        </row>
        <row r="79">
          <cell r="A79">
            <v>35741</v>
          </cell>
          <cell r="B79" t="str">
            <v>三合一麦片</v>
          </cell>
          <cell r="C79">
            <v>25</v>
          </cell>
          <cell r="D79">
            <v>175</v>
          </cell>
        </row>
        <row r="80">
          <cell r="A80">
            <v>35746</v>
          </cell>
          <cell r="B80" t="str">
            <v>三合一麦片</v>
          </cell>
          <cell r="C80">
            <v>18</v>
          </cell>
          <cell r="D80">
            <v>126</v>
          </cell>
        </row>
        <row r="81">
          <cell r="A81">
            <v>35762</v>
          </cell>
          <cell r="B81" t="str">
            <v>三合一麦片</v>
          </cell>
          <cell r="C81">
            <v>60</v>
          </cell>
          <cell r="D81">
            <v>420</v>
          </cell>
        </row>
        <row r="82">
          <cell r="A82">
            <v>35772</v>
          </cell>
          <cell r="B82" t="str">
            <v>三合一麦片</v>
          </cell>
          <cell r="C82">
            <v>15</v>
          </cell>
          <cell r="D82">
            <v>105</v>
          </cell>
        </row>
        <row r="83">
          <cell r="A83">
            <v>35788</v>
          </cell>
          <cell r="B83" t="str">
            <v>三合一麦片</v>
          </cell>
          <cell r="C83">
            <v>8</v>
          </cell>
          <cell r="D83">
            <v>56</v>
          </cell>
        </row>
        <row r="84">
          <cell r="A84">
            <v>35796</v>
          </cell>
          <cell r="B84" t="str">
            <v>三合一麦片</v>
          </cell>
          <cell r="C84">
            <v>20</v>
          </cell>
          <cell r="D84">
            <v>140</v>
          </cell>
        </row>
        <row r="85">
          <cell r="A85">
            <v>35825</v>
          </cell>
          <cell r="B85" t="str">
            <v>三合一麦片</v>
          </cell>
          <cell r="C85">
            <v>8</v>
          </cell>
          <cell r="D85">
            <v>56</v>
          </cell>
        </row>
        <row r="86">
          <cell r="A86">
            <v>35852</v>
          </cell>
          <cell r="B86" t="str">
            <v>三合一麦片</v>
          </cell>
          <cell r="C86">
            <v>14</v>
          </cell>
          <cell r="D86">
            <v>98</v>
          </cell>
        </row>
        <row r="87">
          <cell r="A87">
            <v>35858</v>
          </cell>
          <cell r="B87" t="str">
            <v>三合一麦片</v>
          </cell>
          <cell r="C87">
            <v>12</v>
          </cell>
          <cell r="D87">
            <v>84</v>
          </cell>
        </row>
        <row r="88">
          <cell r="A88">
            <v>35859</v>
          </cell>
          <cell r="B88" t="str">
            <v>三合一麦片</v>
          </cell>
          <cell r="C88">
            <v>5</v>
          </cell>
          <cell r="D88">
            <v>35</v>
          </cell>
        </row>
        <row r="89">
          <cell r="A89">
            <v>35873</v>
          </cell>
          <cell r="B89" t="str">
            <v>三合一麦片</v>
          </cell>
          <cell r="C89">
            <v>6</v>
          </cell>
          <cell r="D89">
            <v>42</v>
          </cell>
        </row>
        <row r="90">
          <cell r="A90">
            <v>35878</v>
          </cell>
          <cell r="B90" t="str">
            <v>三合一麦片</v>
          </cell>
          <cell r="C90">
            <v>40</v>
          </cell>
          <cell r="D90">
            <v>280</v>
          </cell>
        </row>
        <row r="91">
          <cell r="A91">
            <v>35888</v>
          </cell>
          <cell r="B91" t="str">
            <v>三合一麦片</v>
          </cell>
          <cell r="C91">
            <v>20</v>
          </cell>
          <cell r="D91">
            <v>140</v>
          </cell>
        </row>
        <row r="92">
          <cell r="A92">
            <v>35891</v>
          </cell>
          <cell r="B92" t="str">
            <v>三合一麦片</v>
          </cell>
          <cell r="C92">
            <v>10</v>
          </cell>
          <cell r="D92">
            <v>70</v>
          </cell>
        </row>
        <row r="93">
          <cell r="A93">
            <v>35906</v>
          </cell>
          <cell r="B93" t="str">
            <v>三合一麦片</v>
          </cell>
          <cell r="C93">
            <v>2</v>
          </cell>
          <cell r="D93">
            <v>14</v>
          </cell>
        </row>
        <row r="94">
          <cell r="A94">
            <v>35921</v>
          </cell>
          <cell r="B94" t="str">
            <v>三合一麦片</v>
          </cell>
          <cell r="C94">
            <v>2</v>
          </cell>
          <cell r="D94">
            <v>14</v>
          </cell>
        </row>
        <row r="95">
          <cell r="A95">
            <v>35268</v>
          </cell>
          <cell r="B95" t="str">
            <v>白米</v>
          </cell>
          <cell r="C95">
            <v>2</v>
          </cell>
          <cell r="D95">
            <v>60.8</v>
          </cell>
        </row>
        <row r="96">
          <cell r="A96">
            <v>35310</v>
          </cell>
          <cell r="B96" t="str">
            <v>白米</v>
          </cell>
          <cell r="C96">
            <v>4</v>
          </cell>
          <cell r="D96">
            <v>121.6</v>
          </cell>
        </row>
        <row r="97">
          <cell r="A97">
            <v>35317</v>
          </cell>
          <cell r="B97" t="str">
            <v>白米</v>
          </cell>
          <cell r="C97">
            <v>20</v>
          </cell>
          <cell r="D97">
            <v>608</v>
          </cell>
        </row>
        <row r="98">
          <cell r="A98">
            <v>35353</v>
          </cell>
          <cell r="B98" t="str">
            <v>白米</v>
          </cell>
          <cell r="C98">
            <v>12</v>
          </cell>
          <cell r="D98">
            <v>364.8</v>
          </cell>
        </row>
        <row r="99">
          <cell r="A99">
            <v>35374</v>
          </cell>
          <cell r="B99" t="str">
            <v>白米</v>
          </cell>
          <cell r="C99">
            <v>20</v>
          </cell>
          <cell r="D99">
            <v>608</v>
          </cell>
        </row>
        <row r="100">
          <cell r="A100">
            <v>35401</v>
          </cell>
          <cell r="B100" t="str">
            <v>白米</v>
          </cell>
          <cell r="C100">
            <v>18</v>
          </cell>
          <cell r="D100">
            <v>547.20000000000005</v>
          </cell>
        </row>
        <row r="101">
          <cell r="A101">
            <v>35415</v>
          </cell>
          <cell r="B101" t="str">
            <v>白米</v>
          </cell>
          <cell r="C101">
            <v>20</v>
          </cell>
          <cell r="D101">
            <v>608</v>
          </cell>
        </row>
        <row r="102">
          <cell r="A102">
            <v>35431</v>
          </cell>
          <cell r="B102" t="str">
            <v>白米</v>
          </cell>
          <cell r="C102">
            <v>70</v>
          </cell>
          <cell r="D102">
            <v>2128</v>
          </cell>
        </row>
        <row r="103">
          <cell r="A103">
            <v>35457</v>
          </cell>
          <cell r="B103" t="str">
            <v>白米</v>
          </cell>
          <cell r="C103">
            <v>5</v>
          </cell>
          <cell r="D103">
            <v>152</v>
          </cell>
        </row>
        <row r="104">
          <cell r="A104">
            <v>35460</v>
          </cell>
          <cell r="B104" t="str">
            <v>白米</v>
          </cell>
          <cell r="C104">
            <v>30</v>
          </cell>
          <cell r="D104">
            <v>912</v>
          </cell>
        </row>
        <row r="105">
          <cell r="A105">
            <v>35464</v>
          </cell>
          <cell r="B105" t="str">
            <v>白米</v>
          </cell>
          <cell r="C105">
            <v>28</v>
          </cell>
          <cell r="D105">
            <v>851.2</v>
          </cell>
        </row>
        <row r="106">
          <cell r="A106">
            <v>35466</v>
          </cell>
          <cell r="B106" t="str">
            <v>白米</v>
          </cell>
          <cell r="C106">
            <v>40</v>
          </cell>
          <cell r="D106">
            <v>1216</v>
          </cell>
        </row>
        <row r="107">
          <cell r="A107">
            <v>35487</v>
          </cell>
          <cell r="B107" t="str">
            <v>白米</v>
          </cell>
          <cell r="C107">
            <v>15</v>
          </cell>
          <cell r="D107">
            <v>456</v>
          </cell>
        </row>
        <row r="108">
          <cell r="A108">
            <v>35493</v>
          </cell>
          <cell r="B108" t="str">
            <v>白米</v>
          </cell>
          <cell r="C108">
            <v>30</v>
          </cell>
          <cell r="D108">
            <v>912</v>
          </cell>
        </row>
        <row r="109">
          <cell r="A109">
            <v>35500</v>
          </cell>
          <cell r="B109" t="str">
            <v>白米</v>
          </cell>
          <cell r="C109">
            <v>20</v>
          </cell>
          <cell r="D109">
            <v>608</v>
          </cell>
        </row>
        <row r="110">
          <cell r="A110">
            <v>35522</v>
          </cell>
          <cell r="B110" t="str">
            <v>白米</v>
          </cell>
          <cell r="C110">
            <v>30</v>
          </cell>
          <cell r="D110">
            <v>912</v>
          </cell>
        </row>
        <row r="111">
          <cell r="A111">
            <v>35524</v>
          </cell>
          <cell r="B111" t="str">
            <v>白米</v>
          </cell>
          <cell r="C111">
            <v>14</v>
          </cell>
          <cell r="D111">
            <v>425.6</v>
          </cell>
        </row>
        <row r="112">
          <cell r="A112">
            <v>35542</v>
          </cell>
          <cell r="B112" t="str">
            <v>白米</v>
          </cell>
          <cell r="C112">
            <v>70</v>
          </cell>
          <cell r="D112">
            <v>2660</v>
          </cell>
        </row>
        <row r="113">
          <cell r="A113">
            <v>35548</v>
          </cell>
          <cell r="B113" t="str">
            <v>白米</v>
          </cell>
          <cell r="C113">
            <v>40</v>
          </cell>
          <cell r="D113">
            <v>1520</v>
          </cell>
        </row>
        <row r="114">
          <cell r="A114">
            <v>35555</v>
          </cell>
          <cell r="B114" t="str">
            <v>白米</v>
          </cell>
          <cell r="C114">
            <v>30</v>
          </cell>
          <cell r="D114">
            <v>1140</v>
          </cell>
        </row>
        <row r="115">
          <cell r="A115">
            <v>35583</v>
          </cell>
          <cell r="B115" t="str">
            <v>白米</v>
          </cell>
          <cell r="C115">
            <v>40</v>
          </cell>
          <cell r="D115">
            <v>1520</v>
          </cell>
        </row>
        <row r="116">
          <cell r="A116">
            <v>35598</v>
          </cell>
          <cell r="B116" t="str">
            <v>白米</v>
          </cell>
          <cell r="C116">
            <v>60</v>
          </cell>
          <cell r="D116">
            <v>2280</v>
          </cell>
        </row>
        <row r="117">
          <cell r="A117">
            <v>35622</v>
          </cell>
          <cell r="B117" t="str">
            <v>白米</v>
          </cell>
          <cell r="C117">
            <v>5</v>
          </cell>
          <cell r="D117">
            <v>190</v>
          </cell>
        </row>
        <row r="118">
          <cell r="A118">
            <v>35634</v>
          </cell>
          <cell r="B118" t="str">
            <v>白米</v>
          </cell>
          <cell r="C118">
            <v>28</v>
          </cell>
          <cell r="D118">
            <v>1064</v>
          </cell>
        </row>
        <row r="119">
          <cell r="A119">
            <v>35642</v>
          </cell>
          <cell r="B119" t="str">
            <v>白米</v>
          </cell>
          <cell r="C119">
            <v>14</v>
          </cell>
          <cell r="D119">
            <v>532</v>
          </cell>
        </row>
        <row r="120">
          <cell r="A120">
            <v>35643</v>
          </cell>
          <cell r="B120" t="str">
            <v>白米</v>
          </cell>
          <cell r="C120">
            <v>20</v>
          </cell>
          <cell r="D120">
            <v>760</v>
          </cell>
        </row>
        <row r="121">
          <cell r="A121">
            <v>35661</v>
          </cell>
          <cell r="B121" t="str">
            <v>白米</v>
          </cell>
          <cell r="C121">
            <v>60</v>
          </cell>
          <cell r="D121">
            <v>2280</v>
          </cell>
        </row>
        <row r="122">
          <cell r="A122">
            <v>35677</v>
          </cell>
          <cell r="B122" t="str">
            <v>白米</v>
          </cell>
          <cell r="C122">
            <v>45</v>
          </cell>
          <cell r="D122">
            <v>1710</v>
          </cell>
        </row>
        <row r="123">
          <cell r="A123">
            <v>35683</v>
          </cell>
          <cell r="B123" t="str">
            <v>白米</v>
          </cell>
          <cell r="C123">
            <v>12</v>
          </cell>
          <cell r="D123">
            <v>456</v>
          </cell>
        </row>
        <row r="124">
          <cell r="A124">
            <v>35705</v>
          </cell>
          <cell r="B124" t="str">
            <v>白米</v>
          </cell>
          <cell r="C124">
            <v>20</v>
          </cell>
          <cell r="D124">
            <v>760</v>
          </cell>
        </row>
        <row r="125">
          <cell r="A125">
            <v>35724</v>
          </cell>
          <cell r="B125" t="str">
            <v>白米</v>
          </cell>
          <cell r="C125">
            <v>30</v>
          </cell>
          <cell r="D125">
            <v>1140</v>
          </cell>
        </row>
        <row r="126">
          <cell r="A126">
            <v>35725</v>
          </cell>
          <cell r="B126" t="str">
            <v>白米</v>
          </cell>
          <cell r="C126">
            <v>18</v>
          </cell>
          <cell r="D126">
            <v>684</v>
          </cell>
        </row>
        <row r="127">
          <cell r="A127">
            <v>35737</v>
          </cell>
          <cell r="B127" t="str">
            <v>白米</v>
          </cell>
          <cell r="C127">
            <v>10</v>
          </cell>
          <cell r="D127">
            <v>380</v>
          </cell>
        </row>
        <row r="128">
          <cell r="A128">
            <v>35747</v>
          </cell>
          <cell r="B128" t="str">
            <v>白米</v>
          </cell>
          <cell r="C128">
            <v>14</v>
          </cell>
          <cell r="D128">
            <v>532</v>
          </cell>
        </row>
        <row r="129">
          <cell r="A129">
            <v>35754</v>
          </cell>
          <cell r="B129" t="str">
            <v>白米</v>
          </cell>
          <cell r="C129">
            <v>28</v>
          </cell>
          <cell r="D129">
            <v>1064</v>
          </cell>
        </row>
        <row r="130">
          <cell r="A130">
            <v>35754</v>
          </cell>
          <cell r="B130" t="str">
            <v>白米</v>
          </cell>
          <cell r="C130">
            <v>15</v>
          </cell>
          <cell r="D130">
            <v>570</v>
          </cell>
        </row>
        <row r="131">
          <cell r="A131">
            <v>35760</v>
          </cell>
          <cell r="B131" t="str">
            <v>白米</v>
          </cell>
          <cell r="C131">
            <v>30</v>
          </cell>
          <cell r="D131">
            <v>1140</v>
          </cell>
        </row>
        <row r="132">
          <cell r="A132">
            <v>35766</v>
          </cell>
          <cell r="B132" t="str">
            <v>白米</v>
          </cell>
          <cell r="C132">
            <v>60</v>
          </cell>
          <cell r="D132">
            <v>2280</v>
          </cell>
        </row>
        <row r="133">
          <cell r="A133">
            <v>35781</v>
          </cell>
          <cell r="B133" t="str">
            <v>白米</v>
          </cell>
          <cell r="C133">
            <v>20</v>
          </cell>
          <cell r="D133">
            <v>760</v>
          </cell>
        </row>
        <row r="134">
          <cell r="A134">
            <v>35786</v>
          </cell>
          <cell r="B134" t="str">
            <v>白米</v>
          </cell>
          <cell r="C134">
            <v>20</v>
          </cell>
          <cell r="D134">
            <v>760</v>
          </cell>
        </row>
        <row r="135">
          <cell r="A135">
            <v>35796</v>
          </cell>
          <cell r="B135" t="str">
            <v>白米</v>
          </cell>
          <cell r="C135">
            <v>20</v>
          </cell>
          <cell r="D135">
            <v>760</v>
          </cell>
        </row>
        <row r="136">
          <cell r="A136">
            <v>35802</v>
          </cell>
          <cell r="B136" t="str">
            <v>白米</v>
          </cell>
          <cell r="C136">
            <v>30</v>
          </cell>
          <cell r="D136">
            <v>1140</v>
          </cell>
        </row>
        <row r="137">
          <cell r="A137">
            <v>35815</v>
          </cell>
          <cell r="B137" t="str">
            <v>白米</v>
          </cell>
          <cell r="C137">
            <v>30</v>
          </cell>
          <cell r="D137">
            <v>1140</v>
          </cell>
        </row>
        <row r="138">
          <cell r="A138">
            <v>35822</v>
          </cell>
          <cell r="B138" t="str">
            <v>白米</v>
          </cell>
          <cell r="C138">
            <v>24</v>
          </cell>
          <cell r="D138">
            <v>912</v>
          </cell>
        </row>
        <row r="139">
          <cell r="A139">
            <v>35838</v>
          </cell>
          <cell r="B139" t="str">
            <v>白米</v>
          </cell>
          <cell r="C139">
            <v>21</v>
          </cell>
          <cell r="D139">
            <v>798</v>
          </cell>
        </row>
        <row r="140">
          <cell r="A140">
            <v>35845</v>
          </cell>
          <cell r="B140" t="str">
            <v>白米</v>
          </cell>
          <cell r="C140">
            <v>16</v>
          </cell>
          <cell r="D140">
            <v>608</v>
          </cell>
        </row>
        <row r="141">
          <cell r="A141">
            <v>35866</v>
          </cell>
          <cell r="B141" t="str">
            <v>白米</v>
          </cell>
          <cell r="C141">
            <v>18</v>
          </cell>
          <cell r="D141">
            <v>684</v>
          </cell>
        </row>
        <row r="142">
          <cell r="A142">
            <v>35870</v>
          </cell>
          <cell r="B142" t="str">
            <v>白米</v>
          </cell>
          <cell r="C142">
            <v>1</v>
          </cell>
          <cell r="D142">
            <v>38</v>
          </cell>
        </row>
        <row r="143">
          <cell r="A143">
            <v>35874</v>
          </cell>
          <cell r="B143" t="str">
            <v>白米</v>
          </cell>
          <cell r="C143">
            <v>12</v>
          </cell>
          <cell r="D143">
            <v>456</v>
          </cell>
        </row>
        <row r="144">
          <cell r="A144">
            <v>35898</v>
          </cell>
          <cell r="B144" t="str">
            <v>白米</v>
          </cell>
          <cell r="C144">
            <v>5</v>
          </cell>
          <cell r="D144">
            <v>190</v>
          </cell>
        </row>
        <row r="145">
          <cell r="A145">
            <v>35901</v>
          </cell>
          <cell r="B145" t="str">
            <v>白米</v>
          </cell>
          <cell r="C145">
            <v>20</v>
          </cell>
          <cell r="D145">
            <v>760</v>
          </cell>
        </row>
        <row r="146">
          <cell r="A146">
            <v>35254</v>
          </cell>
          <cell r="B146" t="str">
            <v>小米</v>
          </cell>
          <cell r="C146">
            <v>15</v>
          </cell>
          <cell r="D146">
            <v>234</v>
          </cell>
        </row>
        <row r="147">
          <cell r="A147">
            <v>35265</v>
          </cell>
          <cell r="B147" t="str">
            <v>小米</v>
          </cell>
          <cell r="C147">
            <v>50</v>
          </cell>
          <cell r="D147">
            <v>780</v>
          </cell>
        </row>
        <row r="148">
          <cell r="A148">
            <v>35292</v>
          </cell>
          <cell r="B148" t="str">
            <v>小米</v>
          </cell>
          <cell r="C148">
            <v>2</v>
          </cell>
          <cell r="D148">
            <v>31.2</v>
          </cell>
        </row>
        <row r="149">
          <cell r="A149">
            <v>35348</v>
          </cell>
          <cell r="B149" t="str">
            <v>小米</v>
          </cell>
          <cell r="C149">
            <v>16</v>
          </cell>
          <cell r="D149">
            <v>249.6</v>
          </cell>
        </row>
        <row r="150">
          <cell r="A150">
            <v>35384</v>
          </cell>
          <cell r="B150" t="str">
            <v>小米</v>
          </cell>
          <cell r="C150">
            <v>25</v>
          </cell>
          <cell r="D150">
            <v>390</v>
          </cell>
        </row>
        <row r="151">
          <cell r="A151">
            <v>35398</v>
          </cell>
          <cell r="B151" t="str">
            <v>小米</v>
          </cell>
          <cell r="C151">
            <v>25</v>
          </cell>
          <cell r="D151">
            <v>390</v>
          </cell>
        </row>
        <row r="152">
          <cell r="A152">
            <v>35446</v>
          </cell>
          <cell r="B152" t="str">
            <v>小米</v>
          </cell>
          <cell r="C152">
            <v>20</v>
          </cell>
          <cell r="D152">
            <v>312</v>
          </cell>
        </row>
        <row r="153">
          <cell r="A153">
            <v>35467</v>
          </cell>
          <cell r="B153" t="str">
            <v>小米</v>
          </cell>
          <cell r="C153">
            <v>15</v>
          </cell>
          <cell r="D153">
            <v>234</v>
          </cell>
        </row>
        <row r="154">
          <cell r="A154">
            <v>35563</v>
          </cell>
          <cell r="B154" t="str">
            <v>小米</v>
          </cell>
          <cell r="C154">
            <v>5</v>
          </cell>
          <cell r="D154">
            <v>97.5</v>
          </cell>
        </row>
        <row r="155">
          <cell r="A155">
            <v>35605</v>
          </cell>
          <cell r="B155" t="str">
            <v>小米</v>
          </cell>
          <cell r="C155">
            <v>6</v>
          </cell>
          <cell r="D155">
            <v>117</v>
          </cell>
        </row>
        <row r="156">
          <cell r="A156">
            <v>35608</v>
          </cell>
          <cell r="B156" t="str">
            <v>小米</v>
          </cell>
          <cell r="C156">
            <v>4</v>
          </cell>
          <cell r="D156">
            <v>78</v>
          </cell>
        </row>
        <row r="157">
          <cell r="A157">
            <v>35622</v>
          </cell>
          <cell r="B157" t="str">
            <v>小米</v>
          </cell>
          <cell r="C157">
            <v>20</v>
          </cell>
          <cell r="D157">
            <v>390</v>
          </cell>
        </row>
        <row r="158">
          <cell r="A158">
            <v>35719</v>
          </cell>
          <cell r="B158" t="str">
            <v>小米</v>
          </cell>
          <cell r="C158">
            <v>40</v>
          </cell>
          <cell r="D158">
            <v>780</v>
          </cell>
        </row>
        <row r="159">
          <cell r="A159">
            <v>35760</v>
          </cell>
          <cell r="B159" t="str">
            <v>小米</v>
          </cell>
          <cell r="C159">
            <v>14</v>
          </cell>
          <cell r="D159">
            <v>273</v>
          </cell>
        </row>
        <row r="160">
          <cell r="A160">
            <v>35804</v>
          </cell>
          <cell r="B160" t="str">
            <v>小米</v>
          </cell>
          <cell r="C160">
            <v>15</v>
          </cell>
          <cell r="D160">
            <v>292.5</v>
          </cell>
        </row>
        <row r="161">
          <cell r="A161">
            <v>35807</v>
          </cell>
          <cell r="B161" t="str">
            <v>小米</v>
          </cell>
          <cell r="C161">
            <v>15</v>
          </cell>
          <cell r="D161">
            <v>292.5</v>
          </cell>
        </row>
        <row r="162">
          <cell r="A162">
            <v>35811</v>
          </cell>
          <cell r="B162" t="str">
            <v>小米</v>
          </cell>
          <cell r="C162">
            <v>24</v>
          </cell>
          <cell r="D162">
            <v>468</v>
          </cell>
        </row>
        <row r="163">
          <cell r="A163">
            <v>35821</v>
          </cell>
          <cell r="B163" t="str">
            <v>小米</v>
          </cell>
          <cell r="C163">
            <v>10</v>
          </cell>
          <cell r="D163">
            <v>195</v>
          </cell>
        </row>
        <row r="164">
          <cell r="A164">
            <v>35853</v>
          </cell>
          <cell r="B164" t="str">
            <v>小米</v>
          </cell>
          <cell r="C164">
            <v>20</v>
          </cell>
          <cell r="D164">
            <v>390</v>
          </cell>
        </row>
        <row r="165">
          <cell r="A165">
            <v>35860</v>
          </cell>
          <cell r="B165" t="str">
            <v>小米</v>
          </cell>
          <cell r="C165">
            <v>30</v>
          </cell>
          <cell r="D165">
            <v>585</v>
          </cell>
        </row>
        <row r="166">
          <cell r="A166">
            <v>35881</v>
          </cell>
          <cell r="B166" t="str">
            <v>小米</v>
          </cell>
          <cell r="C166">
            <v>15</v>
          </cell>
          <cell r="D166">
            <v>292.5</v>
          </cell>
        </row>
        <row r="167">
          <cell r="A167">
            <v>35906</v>
          </cell>
          <cell r="B167" t="str">
            <v>小米</v>
          </cell>
          <cell r="C167">
            <v>28</v>
          </cell>
          <cell r="D167">
            <v>546</v>
          </cell>
        </row>
        <row r="168">
          <cell r="A168">
            <v>35913</v>
          </cell>
          <cell r="B168" t="str">
            <v>小米</v>
          </cell>
          <cell r="C168">
            <v>20</v>
          </cell>
          <cell r="D168">
            <v>390</v>
          </cell>
        </row>
        <row r="169">
          <cell r="A169">
            <v>35303</v>
          </cell>
          <cell r="B169" t="str">
            <v>黄豆</v>
          </cell>
          <cell r="C169">
            <v>9</v>
          </cell>
          <cell r="D169">
            <v>239.4</v>
          </cell>
        </row>
        <row r="170">
          <cell r="A170">
            <v>35369</v>
          </cell>
          <cell r="B170" t="str">
            <v>黄豆</v>
          </cell>
          <cell r="C170">
            <v>50</v>
          </cell>
          <cell r="D170">
            <v>1330</v>
          </cell>
        </row>
        <row r="171">
          <cell r="A171">
            <v>35398</v>
          </cell>
          <cell r="B171" t="str">
            <v>黄豆</v>
          </cell>
          <cell r="C171">
            <v>35</v>
          </cell>
          <cell r="D171">
            <v>931</v>
          </cell>
        </row>
        <row r="172">
          <cell r="A172">
            <v>35402</v>
          </cell>
          <cell r="B172" t="str">
            <v>黄豆</v>
          </cell>
          <cell r="C172">
            <v>30</v>
          </cell>
          <cell r="D172">
            <v>798</v>
          </cell>
        </row>
        <row r="173">
          <cell r="A173">
            <v>35457</v>
          </cell>
          <cell r="B173" t="str">
            <v>黄豆</v>
          </cell>
          <cell r="C173">
            <v>7</v>
          </cell>
          <cell r="D173">
            <v>186.2</v>
          </cell>
        </row>
        <row r="174">
          <cell r="A174">
            <v>35466</v>
          </cell>
          <cell r="B174" t="str">
            <v>黄豆</v>
          </cell>
          <cell r="C174">
            <v>30</v>
          </cell>
          <cell r="D174">
            <v>798</v>
          </cell>
        </row>
        <row r="175">
          <cell r="A175">
            <v>35468</v>
          </cell>
          <cell r="B175" t="str">
            <v>黄豆</v>
          </cell>
          <cell r="C175">
            <v>6</v>
          </cell>
          <cell r="D175">
            <v>159.6</v>
          </cell>
        </row>
        <row r="176">
          <cell r="A176">
            <v>35480</v>
          </cell>
          <cell r="B176" t="str">
            <v>黄豆</v>
          </cell>
          <cell r="C176">
            <v>35</v>
          </cell>
          <cell r="D176">
            <v>931</v>
          </cell>
        </row>
        <row r="177">
          <cell r="A177">
            <v>35500</v>
          </cell>
          <cell r="B177" t="str">
            <v>黄豆</v>
          </cell>
          <cell r="C177">
            <v>8</v>
          </cell>
          <cell r="D177">
            <v>212.8</v>
          </cell>
        </row>
        <row r="178">
          <cell r="A178">
            <v>35508</v>
          </cell>
          <cell r="B178" t="str">
            <v>黄豆</v>
          </cell>
          <cell r="C178">
            <v>30</v>
          </cell>
          <cell r="D178">
            <v>798</v>
          </cell>
        </row>
        <row r="179">
          <cell r="A179">
            <v>35584</v>
          </cell>
          <cell r="B179" t="str">
            <v>黄豆</v>
          </cell>
          <cell r="C179">
            <v>30</v>
          </cell>
          <cell r="D179">
            <v>997.5</v>
          </cell>
        </row>
        <row r="180">
          <cell r="A180">
            <v>35592</v>
          </cell>
          <cell r="B180" t="str">
            <v>黄豆</v>
          </cell>
          <cell r="C180">
            <v>18</v>
          </cell>
          <cell r="D180">
            <v>598.5</v>
          </cell>
        </row>
        <row r="181">
          <cell r="A181">
            <v>35600</v>
          </cell>
          <cell r="B181" t="str">
            <v>黄豆</v>
          </cell>
          <cell r="C181">
            <v>6</v>
          </cell>
          <cell r="D181">
            <v>199.5</v>
          </cell>
        </row>
        <row r="182">
          <cell r="A182">
            <v>35654</v>
          </cell>
          <cell r="B182" t="str">
            <v>黄豆</v>
          </cell>
          <cell r="C182">
            <v>9</v>
          </cell>
          <cell r="D182">
            <v>299.25</v>
          </cell>
        </row>
        <row r="183">
          <cell r="A183">
            <v>35688</v>
          </cell>
          <cell r="B183" t="str">
            <v>黄豆</v>
          </cell>
          <cell r="C183">
            <v>15</v>
          </cell>
          <cell r="D183">
            <v>498.75</v>
          </cell>
        </row>
        <row r="184">
          <cell r="A184">
            <v>35698</v>
          </cell>
          <cell r="B184" t="str">
            <v>黄豆</v>
          </cell>
          <cell r="C184">
            <v>28</v>
          </cell>
          <cell r="D184">
            <v>931</v>
          </cell>
        </row>
        <row r="185">
          <cell r="A185">
            <v>35761</v>
          </cell>
          <cell r="B185" t="str">
            <v>黄豆</v>
          </cell>
          <cell r="C185">
            <v>24</v>
          </cell>
          <cell r="D185">
            <v>798</v>
          </cell>
        </row>
        <row r="186">
          <cell r="A186">
            <v>35789</v>
          </cell>
          <cell r="B186" t="str">
            <v>黄豆</v>
          </cell>
          <cell r="C186">
            <v>35</v>
          </cell>
          <cell r="D186">
            <v>1163.75</v>
          </cell>
        </row>
        <row r="187">
          <cell r="A187">
            <v>35809</v>
          </cell>
          <cell r="B187" t="str">
            <v>黄豆</v>
          </cell>
          <cell r="C187">
            <v>3</v>
          </cell>
          <cell r="D187">
            <v>99.75</v>
          </cell>
        </row>
        <row r="188">
          <cell r="A188">
            <v>35811</v>
          </cell>
          <cell r="B188" t="str">
            <v>黄豆</v>
          </cell>
          <cell r="C188">
            <v>30</v>
          </cell>
          <cell r="D188">
            <v>997.5</v>
          </cell>
        </row>
        <row r="189">
          <cell r="A189">
            <v>35816</v>
          </cell>
          <cell r="B189" t="str">
            <v>黄豆</v>
          </cell>
          <cell r="C189">
            <v>48</v>
          </cell>
          <cell r="D189">
            <v>1596</v>
          </cell>
        </row>
        <row r="190">
          <cell r="A190">
            <v>35824</v>
          </cell>
          <cell r="B190" t="str">
            <v>黄豆</v>
          </cell>
          <cell r="C190">
            <v>30</v>
          </cell>
          <cell r="D190">
            <v>997.5</v>
          </cell>
        </row>
        <row r="191">
          <cell r="A191">
            <v>35831</v>
          </cell>
          <cell r="B191" t="str">
            <v>黄豆</v>
          </cell>
          <cell r="C191">
            <v>15</v>
          </cell>
          <cell r="D191">
            <v>498.75</v>
          </cell>
        </row>
        <row r="192">
          <cell r="A192">
            <v>35835</v>
          </cell>
          <cell r="B192" t="str">
            <v>黄豆</v>
          </cell>
          <cell r="C192">
            <v>20</v>
          </cell>
          <cell r="D192">
            <v>665</v>
          </cell>
        </row>
        <row r="193">
          <cell r="A193">
            <v>35872</v>
          </cell>
          <cell r="B193" t="str">
            <v>黄豆</v>
          </cell>
          <cell r="C193">
            <v>8</v>
          </cell>
          <cell r="D193">
            <v>266</v>
          </cell>
        </row>
        <row r="194">
          <cell r="A194">
            <v>35877</v>
          </cell>
          <cell r="B194" t="str">
            <v>黄豆</v>
          </cell>
          <cell r="C194">
            <v>4</v>
          </cell>
          <cell r="D194">
            <v>133</v>
          </cell>
        </row>
        <row r="195">
          <cell r="A195">
            <v>35902</v>
          </cell>
          <cell r="B195" t="str">
            <v>黄豆</v>
          </cell>
          <cell r="C195">
            <v>20</v>
          </cell>
          <cell r="D195">
            <v>665</v>
          </cell>
        </row>
        <row r="196">
          <cell r="A196">
            <v>35912</v>
          </cell>
          <cell r="B196" t="str">
            <v>黄豆</v>
          </cell>
          <cell r="C196">
            <v>25</v>
          </cell>
          <cell r="D196">
            <v>831.25</v>
          </cell>
        </row>
        <row r="197">
          <cell r="A197">
            <v>35920</v>
          </cell>
          <cell r="B197" t="str">
            <v>黄豆</v>
          </cell>
          <cell r="C197">
            <v>130</v>
          </cell>
          <cell r="D197">
            <v>4322.5</v>
          </cell>
        </row>
        <row r="198">
          <cell r="A198">
            <v>35921</v>
          </cell>
          <cell r="B198" t="str">
            <v>黄豆</v>
          </cell>
          <cell r="C198">
            <v>2</v>
          </cell>
          <cell r="D198">
            <v>66.5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/>
      <sheetData sheetId="2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须知"/>
      <sheetName val="第1题"/>
      <sheetName val="第2题"/>
      <sheetName val="第3题"/>
      <sheetName val="第4题"/>
      <sheetName val="第5题"/>
      <sheetName val="第5题透视表"/>
      <sheetName val="第5题控制"/>
      <sheetName val="第6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the simulation model"/>
      <sheetName val="ProbTable"/>
      <sheetName val="Simulation"/>
      <sheetName val="Simulation (2)"/>
    </sheetNames>
    <sheetDataSet>
      <sheetData sheetId="0" refreshError="1"/>
      <sheetData sheetId="1" refreshError="1"/>
      <sheetData sheetId="2" refreshError="1"/>
      <sheetData sheetId="3">
        <row r="3">
          <cell r="D3">
            <v>3800</v>
          </cell>
          <cell r="K3">
            <v>3640.6</v>
          </cell>
          <cell r="L3">
            <v>996.6</v>
          </cell>
          <cell r="M3">
            <v>113.4</v>
          </cell>
          <cell r="N3">
            <v>156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3题"/>
      <sheetName val="第4题"/>
      <sheetName val="第5题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解答"/>
      <sheetName val="第2题解答"/>
      <sheetName val="第3题解答"/>
      <sheetName val="第4题解答"/>
      <sheetName val="第5题解答"/>
      <sheetName val="第6题解答"/>
      <sheetName val="第7题解答"/>
      <sheetName val="第8题解答"/>
      <sheetName val="第9题解答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订购年</v>
          </cell>
          <cell r="B1" t="str">
            <v>订购日期</v>
          </cell>
          <cell r="C1" t="str">
            <v>货主国家</v>
          </cell>
          <cell r="D1" t="str">
            <v>类别名称</v>
          </cell>
          <cell r="E1" t="str">
            <v>销售额</v>
          </cell>
        </row>
        <row r="2">
          <cell r="A2">
            <v>1994</v>
          </cell>
          <cell r="B2">
            <v>34551</v>
          </cell>
          <cell r="C2" t="str">
            <v>美国</v>
          </cell>
          <cell r="D2" t="str">
            <v>农产品</v>
          </cell>
          <cell r="E2">
            <v>167.4</v>
          </cell>
        </row>
        <row r="3">
          <cell r="A3">
            <v>1994</v>
          </cell>
          <cell r="B3">
            <v>34551</v>
          </cell>
          <cell r="C3" t="str">
            <v>美国</v>
          </cell>
          <cell r="D3" t="str">
            <v>农产品</v>
          </cell>
          <cell r="E3">
            <v>1696</v>
          </cell>
        </row>
        <row r="4">
          <cell r="A4">
            <v>1994</v>
          </cell>
          <cell r="B4">
            <v>34565</v>
          </cell>
          <cell r="C4" t="str">
            <v>美国</v>
          </cell>
          <cell r="D4" t="str">
            <v>海洋食品</v>
          </cell>
          <cell r="E4">
            <v>92.4</v>
          </cell>
        </row>
        <row r="5">
          <cell r="A5">
            <v>1994</v>
          </cell>
          <cell r="B5">
            <v>34565</v>
          </cell>
          <cell r="C5" t="str">
            <v>美国</v>
          </cell>
          <cell r="D5" t="str">
            <v>面食/谷类</v>
          </cell>
          <cell r="E5">
            <v>780</v>
          </cell>
        </row>
        <row r="6">
          <cell r="A6">
            <v>1994</v>
          </cell>
          <cell r="B6">
            <v>34565</v>
          </cell>
          <cell r="C6" t="str">
            <v>美国</v>
          </cell>
          <cell r="D6" t="str">
            <v>糖果</v>
          </cell>
          <cell r="E6">
            <v>443.25</v>
          </cell>
        </row>
        <row r="7">
          <cell r="A7">
            <v>1994</v>
          </cell>
          <cell r="B7">
            <v>34565</v>
          </cell>
          <cell r="C7" t="str">
            <v>美国</v>
          </cell>
          <cell r="D7" t="str">
            <v>饮料</v>
          </cell>
          <cell r="E7">
            <v>189</v>
          </cell>
        </row>
        <row r="8">
          <cell r="A8">
            <v>1994</v>
          </cell>
          <cell r="B8">
            <v>34568</v>
          </cell>
          <cell r="C8" t="str">
            <v>加拿大</v>
          </cell>
          <cell r="D8" t="str">
            <v>香料</v>
          </cell>
          <cell r="E8">
            <v>163.19999939203262</v>
          </cell>
        </row>
        <row r="9">
          <cell r="A9">
            <v>1994</v>
          </cell>
          <cell r="B9">
            <v>34568</v>
          </cell>
          <cell r="C9" t="str">
            <v>加拿大</v>
          </cell>
          <cell r="D9" t="str">
            <v>农产品</v>
          </cell>
          <cell r="E9">
            <v>360</v>
          </cell>
        </row>
        <row r="10">
          <cell r="A10">
            <v>1994</v>
          </cell>
          <cell r="B10">
            <v>34568</v>
          </cell>
          <cell r="C10" t="str">
            <v>加拿大</v>
          </cell>
          <cell r="D10" t="str">
            <v>面食/谷类</v>
          </cell>
          <cell r="E10">
            <v>60.8</v>
          </cell>
        </row>
        <row r="11">
          <cell r="A11">
            <v>1994</v>
          </cell>
          <cell r="B11">
            <v>34575</v>
          </cell>
          <cell r="C11" t="str">
            <v>美国</v>
          </cell>
          <cell r="D11" t="str">
            <v>海洋食品</v>
          </cell>
          <cell r="E11">
            <v>735</v>
          </cell>
        </row>
        <row r="12">
          <cell r="A12">
            <v>1994</v>
          </cell>
          <cell r="B12">
            <v>34575</v>
          </cell>
          <cell r="C12" t="str">
            <v>美国</v>
          </cell>
          <cell r="D12" t="str">
            <v>乳制品</v>
          </cell>
          <cell r="E12">
            <v>2617.9999816417694</v>
          </cell>
        </row>
        <row r="13">
          <cell r="A13">
            <v>1994</v>
          </cell>
          <cell r="B13">
            <v>34575</v>
          </cell>
          <cell r="C13" t="str">
            <v>美国</v>
          </cell>
          <cell r="D13" t="str">
            <v>饮料</v>
          </cell>
          <cell r="E13">
            <v>183.59999871253967</v>
          </cell>
        </row>
        <row r="14">
          <cell r="A14">
            <v>1994</v>
          </cell>
          <cell r="B14">
            <v>34577</v>
          </cell>
          <cell r="C14" t="str">
            <v>加拿大</v>
          </cell>
          <cell r="D14" t="str">
            <v>乳制品</v>
          </cell>
          <cell r="E14">
            <v>113.99999991059303</v>
          </cell>
        </row>
        <row r="15">
          <cell r="A15">
            <v>1994</v>
          </cell>
          <cell r="B15">
            <v>34577</v>
          </cell>
          <cell r="C15" t="str">
            <v>加拿大</v>
          </cell>
          <cell r="D15" t="str">
            <v>乳制品</v>
          </cell>
          <cell r="E15">
            <v>528.19999958574772</v>
          </cell>
        </row>
        <row r="16">
          <cell r="A16">
            <v>1994</v>
          </cell>
          <cell r="B16">
            <v>34578</v>
          </cell>
          <cell r="C16" t="str">
            <v>加拿大</v>
          </cell>
          <cell r="D16" t="str">
            <v>乳制品</v>
          </cell>
          <cell r="E16">
            <v>48</v>
          </cell>
        </row>
        <row r="17">
          <cell r="A17">
            <v>1994</v>
          </cell>
          <cell r="B17">
            <v>34579</v>
          </cell>
          <cell r="C17" t="str">
            <v>加拿大</v>
          </cell>
          <cell r="D17" t="str">
            <v>糖果</v>
          </cell>
          <cell r="E17">
            <v>388.8</v>
          </cell>
        </row>
        <row r="18">
          <cell r="A18">
            <v>1994</v>
          </cell>
          <cell r="B18">
            <v>34579</v>
          </cell>
          <cell r="C18" t="str">
            <v>加拿大</v>
          </cell>
          <cell r="D18" t="str">
            <v>乳制品</v>
          </cell>
          <cell r="E18">
            <v>400</v>
          </cell>
        </row>
        <row r="19">
          <cell r="A19">
            <v>1994</v>
          </cell>
          <cell r="B19">
            <v>34579</v>
          </cell>
          <cell r="C19" t="str">
            <v>加拿大</v>
          </cell>
          <cell r="D19" t="str">
            <v>乳制品</v>
          </cell>
          <cell r="E19">
            <v>667.2</v>
          </cell>
        </row>
        <row r="20">
          <cell r="A20">
            <v>1994</v>
          </cell>
          <cell r="B20">
            <v>34582</v>
          </cell>
          <cell r="C20" t="str">
            <v>美国</v>
          </cell>
          <cell r="D20" t="str">
            <v>海洋食品</v>
          </cell>
          <cell r="E20">
            <v>565.43999955654147</v>
          </cell>
        </row>
        <row r="21">
          <cell r="A21">
            <v>1994</v>
          </cell>
          <cell r="B21">
            <v>34582</v>
          </cell>
          <cell r="C21" t="str">
            <v>美国</v>
          </cell>
          <cell r="D21" t="str">
            <v>乳制品</v>
          </cell>
          <cell r="E21">
            <v>142.49999988824129</v>
          </cell>
        </row>
        <row r="22">
          <cell r="A22">
            <v>1994</v>
          </cell>
          <cell r="B22">
            <v>34582</v>
          </cell>
          <cell r="C22" t="str">
            <v>美国</v>
          </cell>
          <cell r="D22" t="str">
            <v>乳制品</v>
          </cell>
          <cell r="E22">
            <v>40</v>
          </cell>
        </row>
        <row r="23">
          <cell r="A23">
            <v>1994</v>
          </cell>
          <cell r="B23">
            <v>34582</v>
          </cell>
          <cell r="C23" t="str">
            <v>美国</v>
          </cell>
          <cell r="D23" t="str">
            <v>海洋食品</v>
          </cell>
          <cell r="E23">
            <v>837.89999934285879</v>
          </cell>
        </row>
        <row r="24">
          <cell r="A24">
            <v>1994</v>
          </cell>
          <cell r="B24">
            <v>34582</v>
          </cell>
          <cell r="C24" t="str">
            <v>美国</v>
          </cell>
          <cell r="D24" t="str">
            <v>饮料</v>
          </cell>
          <cell r="E24">
            <v>451.43999964594838</v>
          </cell>
        </row>
        <row r="25">
          <cell r="A25">
            <v>1994</v>
          </cell>
          <cell r="B25">
            <v>34586</v>
          </cell>
          <cell r="C25" t="str">
            <v>美国</v>
          </cell>
          <cell r="D25" t="str">
            <v>农产品</v>
          </cell>
          <cell r="E25">
            <v>728</v>
          </cell>
        </row>
        <row r="26">
          <cell r="A26">
            <v>1994</v>
          </cell>
          <cell r="B26">
            <v>34586</v>
          </cell>
          <cell r="C26" t="str">
            <v>美国</v>
          </cell>
          <cell r="D26" t="str">
            <v>糖果</v>
          </cell>
          <cell r="E26">
            <v>472.8</v>
          </cell>
        </row>
        <row r="27">
          <cell r="A27">
            <v>1994</v>
          </cell>
          <cell r="B27">
            <v>34590</v>
          </cell>
          <cell r="C27" t="str">
            <v>美国</v>
          </cell>
          <cell r="D27" t="str">
            <v>肉/家禽</v>
          </cell>
          <cell r="E27">
            <v>351</v>
          </cell>
        </row>
        <row r="28">
          <cell r="A28">
            <v>1994</v>
          </cell>
          <cell r="B28">
            <v>34596</v>
          </cell>
          <cell r="C28" t="str">
            <v>美国</v>
          </cell>
          <cell r="D28" t="str">
            <v>糖果</v>
          </cell>
          <cell r="E28">
            <v>394.875</v>
          </cell>
        </row>
        <row r="29">
          <cell r="A29">
            <v>1994</v>
          </cell>
          <cell r="B29">
            <v>34596</v>
          </cell>
          <cell r="C29" t="str">
            <v>美国</v>
          </cell>
          <cell r="D29" t="str">
            <v>香料</v>
          </cell>
          <cell r="E29">
            <v>325.5</v>
          </cell>
        </row>
        <row r="30">
          <cell r="A30">
            <v>1994</v>
          </cell>
          <cell r="B30">
            <v>34596</v>
          </cell>
          <cell r="C30" t="str">
            <v>美国</v>
          </cell>
          <cell r="D30" t="str">
            <v>乳制品</v>
          </cell>
          <cell r="E30">
            <v>408</v>
          </cell>
        </row>
        <row r="31">
          <cell r="A31">
            <v>1994</v>
          </cell>
          <cell r="B31">
            <v>34596</v>
          </cell>
          <cell r="C31" t="str">
            <v>美国</v>
          </cell>
          <cell r="D31" t="str">
            <v>饮料</v>
          </cell>
          <cell r="E31">
            <v>42</v>
          </cell>
        </row>
        <row r="32">
          <cell r="A32">
            <v>1994</v>
          </cell>
          <cell r="B32">
            <v>34597</v>
          </cell>
          <cell r="C32" t="str">
            <v>美国</v>
          </cell>
          <cell r="D32" t="str">
            <v>饮料</v>
          </cell>
          <cell r="E32">
            <v>518.39999806880951</v>
          </cell>
        </row>
        <row r="33">
          <cell r="A33">
            <v>1994</v>
          </cell>
          <cell r="B33">
            <v>34597</v>
          </cell>
          <cell r="C33" t="str">
            <v>美国</v>
          </cell>
          <cell r="D33" t="str">
            <v>海洋食品</v>
          </cell>
          <cell r="E33">
            <v>470.39999824762344</v>
          </cell>
        </row>
        <row r="34">
          <cell r="A34">
            <v>1994</v>
          </cell>
          <cell r="B34">
            <v>34597</v>
          </cell>
          <cell r="C34" t="str">
            <v>美国</v>
          </cell>
          <cell r="D34" t="str">
            <v>肉/家禽</v>
          </cell>
          <cell r="E34">
            <v>754.55999718904502</v>
          </cell>
        </row>
        <row r="35">
          <cell r="A35">
            <v>1994</v>
          </cell>
          <cell r="B35">
            <v>34598</v>
          </cell>
          <cell r="C35" t="str">
            <v>美国</v>
          </cell>
          <cell r="D35" t="str">
            <v>饮料</v>
          </cell>
          <cell r="E35">
            <v>1440</v>
          </cell>
        </row>
        <row r="36">
          <cell r="A36">
            <v>1994</v>
          </cell>
          <cell r="B36">
            <v>34598</v>
          </cell>
          <cell r="C36" t="str">
            <v>美国</v>
          </cell>
          <cell r="D36" t="str">
            <v>糖果</v>
          </cell>
          <cell r="E36">
            <v>1576</v>
          </cell>
        </row>
        <row r="37">
          <cell r="A37">
            <v>1994</v>
          </cell>
          <cell r="B37">
            <v>34607</v>
          </cell>
          <cell r="C37" t="str">
            <v>加拿大</v>
          </cell>
          <cell r="D37" t="str">
            <v>饮料</v>
          </cell>
          <cell r="E37">
            <v>259.2</v>
          </cell>
        </row>
        <row r="38">
          <cell r="A38">
            <v>1994</v>
          </cell>
          <cell r="B38">
            <v>34607</v>
          </cell>
          <cell r="C38" t="str">
            <v>加拿大</v>
          </cell>
          <cell r="D38" t="str">
            <v>肉/家禽</v>
          </cell>
          <cell r="E38">
            <v>468</v>
          </cell>
        </row>
        <row r="39">
          <cell r="A39">
            <v>1994</v>
          </cell>
          <cell r="B39">
            <v>34607</v>
          </cell>
          <cell r="C39" t="str">
            <v>加拿大</v>
          </cell>
          <cell r="D39" t="str">
            <v>饮料</v>
          </cell>
          <cell r="E39">
            <v>552</v>
          </cell>
        </row>
        <row r="40">
          <cell r="A40">
            <v>1994</v>
          </cell>
          <cell r="B40">
            <v>34607</v>
          </cell>
          <cell r="C40" t="str">
            <v>加拿大</v>
          </cell>
          <cell r="D40" t="str">
            <v>乳制品</v>
          </cell>
          <cell r="E40">
            <v>571.20000000000005</v>
          </cell>
        </row>
        <row r="41">
          <cell r="A41">
            <v>1994</v>
          </cell>
          <cell r="B41">
            <v>34607</v>
          </cell>
          <cell r="C41" t="str">
            <v>加拿大</v>
          </cell>
          <cell r="D41" t="str">
            <v>饮料</v>
          </cell>
          <cell r="E41">
            <v>37.200000000000003</v>
          </cell>
        </row>
        <row r="42">
          <cell r="A42">
            <v>1994</v>
          </cell>
          <cell r="B42">
            <v>34617</v>
          </cell>
          <cell r="C42" t="str">
            <v>美国</v>
          </cell>
          <cell r="D42" t="str">
            <v>海洋食品</v>
          </cell>
          <cell r="E42">
            <v>147</v>
          </cell>
        </row>
        <row r="43">
          <cell r="A43">
            <v>1994</v>
          </cell>
          <cell r="B43">
            <v>34617</v>
          </cell>
          <cell r="C43" t="str">
            <v>美国</v>
          </cell>
          <cell r="D43" t="str">
            <v>面食/谷类</v>
          </cell>
          <cell r="E43">
            <v>608</v>
          </cell>
        </row>
        <row r="44">
          <cell r="A44">
            <v>1994</v>
          </cell>
          <cell r="B44">
            <v>34621</v>
          </cell>
          <cell r="C44" t="str">
            <v>加拿大</v>
          </cell>
          <cell r="D44" t="str">
            <v>海洋食品</v>
          </cell>
          <cell r="E44">
            <v>1124.9999981373549</v>
          </cell>
        </row>
        <row r="45">
          <cell r="A45">
            <v>1994</v>
          </cell>
          <cell r="B45">
            <v>34621</v>
          </cell>
          <cell r="C45" t="str">
            <v>加拿大</v>
          </cell>
          <cell r="D45" t="str">
            <v>肉/家禽</v>
          </cell>
          <cell r="E45">
            <v>2227.4999963119626</v>
          </cell>
        </row>
        <row r="46">
          <cell r="A46">
            <v>1994</v>
          </cell>
          <cell r="B46">
            <v>34621</v>
          </cell>
          <cell r="C46" t="str">
            <v>加拿大</v>
          </cell>
          <cell r="D46" t="str">
            <v>饮料</v>
          </cell>
          <cell r="E46">
            <v>388.79999935626984</v>
          </cell>
        </row>
        <row r="47">
          <cell r="A47">
            <v>1994</v>
          </cell>
          <cell r="B47">
            <v>34625</v>
          </cell>
          <cell r="C47" t="str">
            <v>加拿大</v>
          </cell>
          <cell r="D47" t="str">
            <v>糖果</v>
          </cell>
          <cell r="E47">
            <v>394</v>
          </cell>
        </row>
        <row r="48">
          <cell r="A48">
            <v>1994</v>
          </cell>
          <cell r="B48">
            <v>34625</v>
          </cell>
          <cell r="C48" t="str">
            <v>加拿大</v>
          </cell>
          <cell r="D48" t="str">
            <v>糖果</v>
          </cell>
          <cell r="E48">
            <v>30</v>
          </cell>
        </row>
        <row r="49">
          <cell r="A49">
            <v>1994</v>
          </cell>
          <cell r="B49">
            <v>34628</v>
          </cell>
          <cell r="C49" t="str">
            <v>加拿大</v>
          </cell>
          <cell r="D49" t="str">
            <v>糖果</v>
          </cell>
          <cell r="E49">
            <v>139</v>
          </cell>
        </row>
        <row r="50">
          <cell r="A50">
            <v>1994</v>
          </cell>
          <cell r="B50">
            <v>34628</v>
          </cell>
          <cell r="C50" t="str">
            <v>加拿大</v>
          </cell>
          <cell r="D50" t="str">
            <v>糖果</v>
          </cell>
          <cell r="E50">
            <v>197</v>
          </cell>
        </row>
        <row r="51">
          <cell r="A51">
            <v>1994</v>
          </cell>
          <cell r="B51">
            <v>34631</v>
          </cell>
          <cell r="C51" t="str">
            <v>美国</v>
          </cell>
          <cell r="D51" t="str">
            <v>农产品</v>
          </cell>
          <cell r="E51">
            <v>145.6</v>
          </cell>
        </row>
        <row r="52">
          <cell r="A52">
            <v>1994</v>
          </cell>
          <cell r="B52">
            <v>34631</v>
          </cell>
          <cell r="C52" t="str">
            <v>美国</v>
          </cell>
          <cell r="D52" t="str">
            <v>饮料</v>
          </cell>
          <cell r="E52">
            <v>883.2</v>
          </cell>
        </row>
        <row r="53">
          <cell r="A53">
            <v>1994</v>
          </cell>
          <cell r="B53">
            <v>34631</v>
          </cell>
          <cell r="C53" t="str">
            <v>美国</v>
          </cell>
          <cell r="D53" t="str">
            <v>肉/家禽</v>
          </cell>
          <cell r="E53">
            <v>524</v>
          </cell>
        </row>
        <row r="54">
          <cell r="A54">
            <v>1994</v>
          </cell>
          <cell r="B54">
            <v>34631</v>
          </cell>
          <cell r="C54" t="str">
            <v>美国</v>
          </cell>
          <cell r="D54" t="str">
            <v>饮料</v>
          </cell>
          <cell r="E54">
            <v>62</v>
          </cell>
        </row>
        <row r="55">
          <cell r="A55">
            <v>1994</v>
          </cell>
          <cell r="B55">
            <v>34632</v>
          </cell>
          <cell r="C55" t="str">
            <v>美国</v>
          </cell>
          <cell r="D55" t="str">
            <v>海洋食品</v>
          </cell>
          <cell r="E55">
            <v>182.4</v>
          </cell>
        </row>
        <row r="56">
          <cell r="A56">
            <v>1994</v>
          </cell>
          <cell r="B56">
            <v>34633</v>
          </cell>
          <cell r="C56" t="str">
            <v>加拿大</v>
          </cell>
          <cell r="D56" t="str">
            <v>乳制品</v>
          </cell>
          <cell r="E56">
            <v>921.59999847412109</v>
          </cell>
        </row>
        <row r="57">
          <cell r="A57">
            <v>1994</v>
          </cell>
          <cell r="B57">
            <v>34633</v>
          </cell>
          <cell r="C57" t="str">
            <v>加拿大</v>
          </cell>
          <cell r="D57" t="str">
            <v>海洋食品</v>
          </cell>
          <cell r="E57">
            <v>286.19999952614307</v>
          </cell>
        </row>
        <row r="58">
          <cell r="A58">
            <v>1994</v>
          </cell>
          <cell r="B58">
            <v>34633</v>
          </cell>
          <cell r="C58" t="str">
            <v>加拿大</v>
          </cell>
          <cell r="D58" t="str">
            <v>糖果</v>
          </cell>
          <cell r="E58">
            <v>886.49999853223562</v>
          </cell>
        </row>
        <row r="59">
          <cell r="A59">
            <v>1994</v>
          </cell>
          <cell r="B59">
            <v>34635</v>
          </cell>
          <cell r="C59" t="str">
            <v>加拿大</v>
          </cell>
          <cell r="D59" t="str">
            <v>海洋食品</v>
          </cell>
          <cell r="E59">
            <v>77</v>
          </cell>
        </row>
        <row r="60">
          <cell r="A60">
            <v>1994</v>
          </cell>
          <cell r="B60">
            <v>34635</v>
          </cell>
          <cell r="C60" t="str">
            <v>加拿大</v>
          </cell>
          <cell r="D60" t="str">
            <v>糖果</v>
          </cell>
          <cell r="E60">
            <v>2758</v>
          </cell>
        </row>
        <row r="61">
          <cell r="A61">
            <v>1994</v>
          </cell>
          <cell r="B61">
            <v>34638</v>
          </cell>
          <cell r="C61" t="str">
            <v>加拿大</v>
          </cell>
          <cell r="D61" t="str">
            <v>饮料</v>
          </cell>
          <cell r="E61">
            <v>288</v>
          </cell>
        </row>
        <row r="62">
          <cell r="A62">
            <v>1994</v>
          </cell>
          <cell r="B62">
            <v>34645</v>
          </cell>
          <cell r="C62" t="str">
            <v>美国</v>
          </cell>
          <cell r="D62" t="str">
            <v>香料</v>
          </cell>
          <cell r="E62">
            <v>62</v>
          </cell>
        </row>
        <row r="63">
          <cell r="A63">
            <v>1994</v>
          </cell>
          <cell r="B63">
            <v>34645</v>
          </cell>
          <cell r="C63" t="str">
            <v>美国</v>
          </cell>
          <cell r="D63" t="str">
            <v>糖果</v>
          </cell>
          <cell r="E63">
            <v>44.8</v>
          </cell>
        </row>
        <row r="64">
          <cell r="A64">
            <v>1994</v>
          </cell>
          <cell r="B64">
            <v>34645</v>
          </cell>
          <cell r="C64" t="str">
            <v>美国</v>
          </cell>
          <cell r="D64" t="str">
            <v>饮料</v>
          </cell>
          <cell r="E64">
            <v>57.6</v>
          </cell>
        </row>
        <row r="65">
          <cell r="A65">
            <v>1994</v>
          </cell>
          <cell r="B65">
            <v>34646</v>
          </cell>
          <cell r="C65" t="str">
            <v>加拿大</v>
          </cell>
          <cell r="D65" t="str">
            <v>糖果</v>
          </cell>
          <cell r="E65">
            <v>248.1149982601404</v>
          </cell>
        </row>
        <row r="66">
          <cell r="A66">
            <v>1994</v>
          </cell>
          <cell r="B66">
            <v>34646</v>
          </cell>
          <cell r="C66" t="str">
            <v>加拿大</v>
          </cell>
          <cell r="D66" t="str">
            <v>饮料</v>
          </cell>
          <cell r="E66">
            <v>856.79999399185181</v>
          </cell>
        </row>
        <row r="67">
          <cell r="A67">
            <v>1994</v>
          </cell>
          <cell r="B67">
            <v>34646</v>
          </cell>
          <cell r="C67" t="str">
            <v>加拿大</v>
          </cell>
          <cell r="D67" t="str">
            <v>海洋食品</v>
          </cell>
          <cell r="E67">
            <v>288</v>
          </cell>
        </row>
        <row r="68">
          <cell r="A68">
            <v>1994</v>
          </cell>
          <cell r="B68">
            <v>34646</v>
          </cell>
          <cell r="C68" t="str">
            <v>加拿大</v>
          </cell>
          <cell r="D68" t="str">
            <v>乳制品</v>
          </cell>
          <cell r="E68">
            <v>1495.9999895095825</v>
          </cell>
        </row>
        <row r="69">
          <cell r="A69">
            <v>1994</v>
          </cell>
          <cell r="B69">
            <v>34646</v>
          </cell>
          <cell r="C69" t="str">
            <v>加拿大</v>
          </cell>
          <cell r="D69" t="str">
            <v>香料</v>
          </cell>
          <cell r="E69">
            <v>2386.7999832630157</v>
          </cell>
        </row>
        <row r="70">
          <cell r="A70">
            <v>1994</v>
          </cell>
          <cell r="B70">
            <v>34647</v>
          </cell>
          <cell r="C70" t="str">
            <v>美国</v>
          </cell>
          <cell r="D70" t="str">
            <v>香料</v>
          </cell>
          <cell r="E70">
            <v>120</v>
          </cell>
        </row>
        <row r="71">
          <cell r="A71">
            <v>1994</v>
          </cell>
          <cell r="B71">
            <v>34647</v>
          </cell>
          <cell r="C71" t="str">
            <v>美国</v>
          </cell>
          <cell r="D71" t="str">
            <v>海洋食品</v>
          </cell>
          <cell r="E71">
            <v>57.6</v>
          </cell>
        </row>
        <row r="72">
          <cell r="A72">
            <v>1994</v>
          </cell>
          <cell r="B72">
            <v>34647</v>
          </cell>
          <cell r="C72" t="str">
            <v>美国</v>
          </cell>
          <cell r="D72" t="str">
            <v>农产品</v>
          </cell>
          <cell r="E72">
            <v>167.4</v>
          </cell>
        </row>
        <row r="73">
          <cell r="A73">
            <v>1994</v>
          </cell>
          <cell r="B73">
            <v>34647</v>
          </cell>
          <cell r="C73" t="str">
            <v>美国</v>
          </cell>
          <cell r="D73" t="str">
            <v>乳制品</v>
          </cell>
          <cell r="E73">
            <v>40</v>
          </cell>
        </row>
        <row r="74">
          <cell r="A74">
            <v>1994</v>
          </cell>
          <cell r="B74">
            <v>34647</v>
          </cell>
          <cell r="C74" t="str">
            <v>美国</v>
          </cell>
          <cell r="D74" t="str">
            <v>乳制品</v>
          </cell>
          <cell r="E74">
            <v>1112</v>
          </cell>
        </row>
        <row r="75">
          <cell r="A75">
            <v>1994</v>
          </cell>
          <cell r="B75">
            <v>34653</v>
          </cell>
          <cell r="C75" t="str">
            <v>加拿大</v>
          </cell>
          <cell r="D75" t="str">
            <v>糖果</v>
          </cell>
          <cell r="E75">
            <v>69.349999945610762</v>
          </cell>
        </row>
        <row r="76">
          <cell r="A76">
            <v>1994</v>
          </cell>
          <cell r="B76">
            <v>34653</v>
          </cell>
          <cell r="C76" t="str">
            <v>加拿大</v>
          </cell>
          <cell r="D76" t="str">
            <v>海洋食品</v>
          </cell>
          <cell r="E76">
            <v>157.31999987661837</v>
          </cell>
        </row>
        <row r="77">
          <cell r="A77">
            <v>1994</v>
          </cell>
          <cell r="B77">
            <v>34653</v>
          </cell>
          <cell r="C77" t="str">
            <v>加拿大</v>
          </cell>
          <cell r="D77" t="str">
            <v>饮料</v>
          </cell>
          <cell r="E77">
            <v>4005.1999968588352</v>
          </cell>
        </row>
        <row r="78">
          <cell r="A78">
            <v>1994</v>
          </cell>
          <cell r="B78">
            <v>34653</v>
          </cell>
          <cell r="C78" t="str">
            <v>加拿大</v>
          </cell>
          <cell r="D78" t="str">
            <v>面食/谷类</v>
          </cell>
          <cell r="E78">
            <v>346.55999972820285</v>
          </cell>
        </row>
        <row r="79">
          <cell r="A79">
            <v>1994</v>
          </cell>
          <cell r="B79">
            <v>34662</v>
          </cell>
          <cell r="C79" t="str">
            <v>美国</v>
          </cell>
          <cell r="D79" t="str">
            <v>面食/谷类</v>
          </cell>
          <cell r="E79">
            <v>288</v>
          </cell>
        </row>
        <row r="80">
          <cell r="A80">
            <v>1994</v>
          </cell>
          <cell r="B80">
            <v>34662</v>
          </cell>
          <cell r="C80" t="str">
            <v>美国</v>
          </cell>
          <cell r="D80" t="str">
            <v>糖果</v>
          </cell>
          <cell r="E80">
            <v>597.6</v>
          </cell>
        </row>
        <row r="81">
          <cell r="A81">
            <v>1994</v>
          </cell>
          <cell r="B81">
            <v>34662</v>
          </cell>
          <cell r="C81" t="str">
            <v>美国</v>
          </cell>
          <cell r="D81" t="str">
            <v>海洋食品</v>
          </cell>
          <cell r="E81">
            <v>304</v>
          </cell>
        </row>
        <row r="82">
          <cell r="A82">
            <v>1994</v>
          </cell>
          <cell r="B82">
            <v>34662</v>
          </cell>
          <cell r="C82" t="str">
            <v>美国</v>
          </cell>
          <cell r="D82" t="str">
            <v>海洋食品</v>
          </cell>
          <cell r="E82">
            <v>582.4</v>
          </cell>
        </row>
        <row r="83">
          <cell r="A83">
            <v>1994</v>
          </cell>
          <cell r="B83">
            <v>34662</v>
          </cell>
          <cell r="C83" t="str">
            <v>美国</v>
          </cell>
          <cell r="D83" t="str">
            <v>乳制品</v>
          </cell>
          <cell r="E83">
            <v>695</v>
          </cell>
        </row>
        <row r="84">
          <cell r="A84">
            <v>1994</v>
          </cell>
          <cell r="B84">
            <v>34663</v>
          </cell>
          <cell r="C84" t="str">
            <v>加拿大</v>
          </cell>
          <cell r="D84" t="str">
            <v>肉/家禽</v>
          </cell>
          <cell r="E84">
            <v>624</v>
          </cell>
        </row>
        <row r="85">
          <cell r="A85">
            <v>1994</v>
          </cell>
          <cell r="B85">
            <v>34663</v>
          </cell>
          <cell r="C85" t="str">
            <v>加拿大</v>
          </cell>
          <cell r="D85" t="str">
            <v>海洋食品</v>
          </cell>
          <cell r="E85">
            <v>310.5</v>
          </cell>
        </row>
        <row r="86">
          <cell r="A86">
            <v>1994</v>
          </cell>
          <cell r="B86">
            <v>34668</v>
          </cell>
          <cell r="C86" t="str">
            <v>美国</v>
          </cell>
          <cell r="D86" t="str">
            <v>饮料</v>
          </cell>
          <cell r="E86">
            <v>291.83999891281127</v>
          </cell>
        </row>
        <row r="87">
          <cell r="A87">
            <v>1994</v>
          </cell>
          <cell r="B87">
            <v>34668</v>
          </cell>
          <cell r="C87" t="str">
            <v>美国</v>
          </cell>
          <cell r="D87" t="str">
            <v>乳制品</v>
          </cell>
          <cell r="E87">
            <v>447.99999833106995</v>
          </cell>
        </row>
        <row r="88">
          <cell r="A88">
            <v>1994</v>
          </cell>
          <cell r="B88">
            <v>34668</v>
          </cell>
          <cell r="C88" t="str">
            <v>美国</v>
          </cell>
          <cell r="D88" t="str">
            <v>海洋食品</v>
          </cell>
          <cell r="E88">
            <v>486.3999981880188</v>
          </cell>
        </row>
        <row r="89">
          <cell r="A89">
            <v>1994</v>
          </cell>
          <cell r="B89">
            <v>34668</v>
          </cell>
          <cell r="C89" t="str">
            <v>美国</v>
          </cell>
          <cell r="D89" t="str">
            <v>肉/家禽</v>
          </cell>
          <cell r="E89">
            <v>614.39999771118164</v>
          </cell>
        </row>
        <row r="90">
          <cell r="A90">
            <v>1994</v>
          </cell>
          <cell r="B90">
            <v>34669</v>
          </cell>
          <cell r="C90" t="str">
            <v>美国</v>
          </cell>
          <cell r="D90" t="str">
            <v>面食/谷类</v>
          </cell>
          <cell r="E90">
            <v>1330</v>
          </cell>
        </row>
        <row r="91">
          <cell r="A91">
            <v>1994</v>
          </cell>
          <cell r="B91">
            <v>34669</v>
          </cell>
          <cell r="C91" t="str">
            <v>美国</v>
          </cell>
          <cell r="D91" t="str">
            <v>糖果</v>
          </cell>
          <cell r="E91">
            <v>37.999999970197678</v>
          </cell>
        </row>
        <row r="92">
          <cell r="A92">
            <v>1994</v>
          </cell>
          <cell r="B92">
            <v>34669</v>
          </cell>
          <cell r="C92" t="str">
            <v>美国</v>
          </cell>
          <cell r="D92" t="str">
            <v>饮料</v>
          </cell>
          <cell r="E92">
            <v>216</v>
          </cell>
        </row>
        <row r="93">
          <cell r="A93">
            <v>1994</v>
          </cell>
          <cell r="B93">
            <v>34670</v>
          </cell>
          <cell r="C93" t="str">
            <v>加拿大</v>
          </cell>
          <cell r="D93" t="str">
            <v>香料</v>
          </cell>
          <cell r="E93">
            <v>616</v>
          </cell>
        </row>
        <row r="94">
          <cell r="A94">
            <v>1994</v>
          </cell>
          <cell r="B94">
            <v>34670</v>
          </cell>
          <cell r="C94" t="str">
            <v>加拿大</v>
          </cell>
          <cell r="D94" t="str">
            <v>香料</v>
          </cell>
          <cell r="E94">
            <v>1680</v>
          </cell>
        </row>
        <row r="95">
          <cell r="A95">
            <v>1994</v>
          </cell>
          <cell r="B95">
            <v>34673</v>
          </cell>
          <cell r="C95" t="str">
            <v>美国</v>
          </cell>
          <cell r="D95" t="str">
            <v>香料</v>
          </cell>
          <cell r="E95">
            <v>2240</v>
          </cell>
        </row>
        <row r="96">
          <cell r="A96">
            <v>1994</v>
          </cell>
          <cell r="B96">
            <v>34673</v>
          </cell>
          <cell r="C96" t="str">
            <v>美国</v>
          </cell>
          <cell r="D96" t="str">
            <v>糖果</v>
          </cell>
          <cell r="E96">
            <v>584</v>
          </cell>
        </row>
        <row r="97">
          <cell r="A97">
            <v>1994</v>
          </cell>
          <cell r="B97">
            <v>34673</v>
          </cell>
          <cell r="C97" t="str">
            <v>美国</v>
          </cell>
          <cell r="D97" t="str">
            <v>面食/谷类</v>
          </cell>
          <cell r="E97">
            <v>100.8</v>
          </cell>
        </row>
        <row r="98">
          <cell r="A98">
            <v>1994</v>
          </cell>
          <cell r="B98">
            <v>34674</v>
          </cell>
          <cell r="C98" t="str">
            <v>加拿大</v>
          </cell>
          <cell r="D98" t="str">
            <v>肉/家禽</v>
          </cell>
          <cell r="E98">
            <v>1010.8799983263016</v>
          </cell>
        </row>
        <row r="99">
          <cell r="A99">
            <v>1994</v>
          </cell>
          <cell r="B99">
            <v>34674</v>
          </cell>
          <cell r="C99" t="str">
            <v>加拿大</v>
          </cell>
          <cell r="D99" t="str">
            <v>面食/谷类</v>
          </cell>
          <cell r="E99">
            <v>608</v>
          </cell>
        </row>
        <row r="100">
          <cell r="A100">
            <v>1994</v>
          </cell>
          <cell r="B100">
            <v>34676</v>
          </cell>
          <cell r="C100" t="str">
            <v>美国</v>
          </cell>
          <cell r="D100" t="str">
            <v>饮料</v>
          </cell>
          <cell r="E100">
            <v>183.59999871253967</v>
          </cell>
        </row>
        <row r="101">
          <cell r="A101">
            <v>1994</v>
          </cell>
          <cell r="B101">
            <v>34676</v>
          </cell>
          <cell r="C101" t="str">
            <v>美国</v>
          </cell>
          <cell r="D101" t="str">
            <v>面食/谷类</v>
          </cell>
          <cell r="E101">
            <v>180</v>
          </cell>
        </row>
        <row r="102">
          <cell r="A102">
            <v>1994</v>
          </cell>
          <cell r="B102">
            <v>34677</v>
          </cell>
          <cell r="C102" t="str">
            <v>加拿大</v>
          </cell>
          <cell r="D102" t="str">
            <v>肉/家禽</v>
          </cell>
          <cell r="E102">
            <v>141.6</v>
          </cell>
        </row>
        <row r="103">
          <cell r="A103">
            <v>1994</v>
          </cell>
          <cell r="B103">
            <v>34687</v>
          </cell>
          <cell r="C103" t="str">
            <v>美国</v>
          </cell>
          <cell r="D103" t="str">
            <v>乳制品</v>
          </cell>
          <cell r="E103">
            <v>300</v>
          </cell>
        </row>
        <row r="104">
          <cell r="A104">
            <v>1994</v>
          </cell>
          <cell r="B104">
            <v>34687</v>
          </cell>
          <cell r="C104" t="str">
            <v>美国</v>
          </cell>
          <cell r="D104" t="str">
            <v>肉/家禽</v>
          </cell>
          <cell r="E104">
            <v>230.4</v>
          </cell>
        </row>
        <row r="105">
          <cell r="A105">
            <v>1994</v>
          </cell>
          <cell r="B105">
            <v>34687</v>
          </cell>
          <cell r="C105" t="str">
            <v>美国</v>
          </cell>
          <cell r="D105" t="str">
            <v>乳制品</v>
          </cell>
          <cell r="E105">
            <v>576</v>
          </cell>
        </row>
        <row r="106">
          <cell r="A106">
            <v>1994</v>
          </cell>
          <cell r="B106">
            <v>34691</v>
          </cell>
          <cell r="C106" t="str">
            <v>美国</v>
          </cell>
          <cell r="D106" t="str">
            <v>饮料</v>
          </cell>
          <cell r="E106">
            <v>699.83999884128571</v>
          </cell>
        </row>
        <row r="107">
          <cell r="A107">
            <v>1994</v>
          </cell>
          <cell r="B107">
            <v>34691</v>
          </cell>
          <cell r="C107" t="str">
            <v>美国</v>
          </cell>
          <cell r="D107" t="str">
            <v>乳制品</v>
          </cell>
          <cell r="E107">
            <v>1346.3999977707863</v>
          </cell>
        </row>
        <row r="108">
          <cell r="A108">
            <v>1994</v>
          </cell>
          <cell r="B108">
            <v>34695</v>
          </cell>
          <cell r="C108" t="str">
            <v>美国</v>
          </cell>
          <cell r="D108" t="str">
            <v>乳制品</v>
          </cell>
          <cell r="E108">
            <v>200</v>
          </cell>
        </row>
        <row r="109">
          <cell r="A109">
            <v>1994</v>
          </cell>
          <cell r="B109">
            <v>34695</v>
          </cell>
          <cell r="C109" t="str">
            <v>美国</v>
          </cell>
          <cell r="D109" t="str">
            <v>饮料</v>
          </cell>
          <cell r="E109">
            <v>74.400000000000006</v>
          </cell>
        </row>
        <row r="110">
          <cell r="A110">
            <v>1994</v>
          </cell>
          <cell r="B110">
            <v>34695</v>
          </cell>
          <cell r="C110" t="str">
            <v>美国</v>
          </cell>
          <cell r="D110" t="str">
            <v>饮料</v>
          </cell>
          <cell r="E110">
            <v>172.8</v>
          </cell>
        </row>
        <row r="111">
          <cell r="A111">
            <v>1995</v>
          </cell>
          <cell r="B111">
            <v>34701</v>
          </cell>
          <cell r="C111" t="str">
            <v>加拿大</v>
          </cell>
          <cell r="D111" t="str">
            <v>肉/家禽</v>
          </cell>
          <cell r="E111">
            <v>1980</v>
          </cell>
        </row>
        <row r="112">
          <cell r="A112">
            <v>1995</v>
          </cell>
          <cell r="B112">
            <v>34701</v>
          </cell>
          <cell r="C112" t="str">
            <v>加拿大</v>
          </cell>
          <cell r="D112" t="str">
            <v>面食/谷类</v>
          </cell>
          <cell r="E112">
            <v>410.4</v>
          </cell>
        </row>
        <row r="113">
          <cell r="A113">
            <v>1995</v>
          </cell>
          <cell r="B113">
            <v>34705</v>
          </cell>
          <cell r="C113" t="str">
            <v>加拿大</v>
          </cell>
          <cell r="D113" t="str">
            <v>农产品</v>
          </cell>
          <cell r="E113">
            <v>279</v>
          </cell>
        </row>
        <row r="114">
          <cell r="A114">
            <v>1995</v>
          </cell>
          <cell r="B114">
            <v>34705</v>
          </cell>
          <cell r="C114" t="str">
            <v>加拿大</v>
          </cell>
          <cell r="D114" t="str">
            <v>肉/家禽</v>
          </cell>
          <cell r="E114">
            <v>59</v>
          </cell>
        </row>
        <row r="115">
          <cell r="A115">
            <v>1995</v>
          </cell>
          <cell r="B115">
            <v>34716</v>
          </cell>
          <cell r="C115" t="str">
            <v>加拿大</v>
          </cell>
          <cell r="D115" t="str">
            <v>农产品</v>
          </cell>
          <cell r="E115">
            <v>191.99999928474426</v>
          </cell>
        </row>
        <row r="116">
          <cell r="A116">
            <v>1995</v>
          </cell>
          <cell r="B116">
            <v>34716</v>
          </cell>
          <cell r="C116" t="str">
            <v>加拿大</v>
          </cell>
          <cell r="D116" t="str">
            <v>乳制品</v>
          </cell>
          <cell r="E116">
            <v>435.19999837875366</v>
          </cell>
        </row>
        <row r="117">
          <cell r="A117">
            <v>1995</v>
          </cell>
          <cell r="B117">
            <v>34716</v>
          </cell>
          <cell r="C117" t="str">
            <v>加拿大</v>
          </cell>
          <cell r="D117" t="str">
            <v>糖果</v>
          </cell>
          <cell r="E117">
            <v>63.999999761581421</v>
          </cell>
        </row>
        <row r="118">
          <cell r="A118">
            <v>1995</v>
          </cell>
          <cell r="B118">
            <v>34722</v>
          </cell>
          <cell r="C118" t="str">
            <v>美国</v>
          </cell>
          <cell r="D118" t="str">
            <v>海洋食品</v>
          </cell>
          <cell r="E118">
            <v>86.4</v>
          </cell>
        </row>
        <row r="119">
          <cell r="A119">
            <v>1995</v>
          </cell>
          <cell r="B119">
            <v>34724</v>
          </cell>
          <cell r="C119" t="str">
            <v>加拿大</v>
          </cell>
          <cell r="D119" t="str">
            <v>饮料</v>
          </cell>
          <cell r="E119">
            <v>285</v>
          </cell>
        </row>
        <row r="120">
          <cell r="A120">
            <v>1995</v>
          </cell>
          <cell r="B120">
            <v>34724</v>
          </cell>
          <cell r="C120" t="str">
            <v>加拿大</v>
          </cell>
          <cell r="D120" t="str">
            <v>农产品</v>
          </cell>
          <cell r="E120">
            <v>585.9</v>
          </cell>
        </row>
        <row r="121">
          <cell r="A121">
            <v>1995</v>
          </cell>
          <cell r="B121">
            <v>34724</v>
          </cell>
          <cell r="C121" t="str">
            <v>加拿大</v>
          </cell>
          <cell r="D121" t="str">
            <v>糖果</v>
          </cell>
          <cell r="E121">
            <v>58.8</v>
          </cell>
        </row>
        <row r="122">
          <cell r="A122">
            <v>1995</v>
          </cell>
          <cell r="B122">
            <v>34724</v>
          </cell>
          <cell r="C122" t="str">
            <v>加拿大</v>
          </cell>
          <cell r="D122" t="str">
            <v>糖果</v>
          </cell>
          <cell r="E122">
            <v>1307.25</v>
          </cell>
        </row>
        <row r="123">
          <cell r="A123">
            <v>1995</v>
          </cell>
          <cell r="B123">
            <v>34724</v>
          </cell>
          <cell r="C123" t="str">
            <v>加拿大</v>
          </cell>
          <cell r="D123" t="str">
            <v>乳制品</v>
          </cell>
          <cell r="E123">
            <v>320</v>
          </cell>
        </row>
        <row r="124">
          <cell r="A124">
            <v>1995</v>
          </cell>
          <cell r="B124">
            <v>34724</v>
          </cell>
          <cell r="C124" t="str">
            <v>加拿大</v>
          </cell>
          <cell r="D124" t="str">
            <v>海洋食品</v>
          </cell>
          <cell r="E124">
            <v>48</v>
          </cell>
        </row>
        <row r="125">
          <cell r="A125">
            <v>1995</v>
          </cell>
          <cell r="B125">
            <v>34724</v>
          </cell>
          <cell r="C125" t="str">
            <v>加拿大</v>
          </cell>
          <cell r="D125" t="str">
            <v>糖果</v>
          </cell>
          <cell r="E125">
            <v>394</v>
          </cell>
        </row>
        <row r="126">
          <cell r="A126">
            <v>1995</v>
          </cell>
          <cell r="B126">
            <v>34726</v>
          </cell>
          <cell r="C126" t="str">
            <v>美国</v>
          </cell>
          <cell r="D126" t="str">
            <v>面食/谷类</v>
          </cell>
          <cell r="E126">
            <v>288</v>
          </cell>
        </row>
        <row r="127">
          <cell r="A127">
            <v>1995</v>
          </cell>
          <cell r="B127">
            <v>34726</v>
          </cell>
          <cell r="C127" t="str">
            <v>美国</v>
          </cell>
          <cell r="D127" t="str">
            <v>乳制品</v>
          </cell>
          <cell r="E127">
            <v>1032</v>
          </cell>
        </row>
        <row r="128">
          <cell r="A128">
            <v>1995</v>
          </cell>
          <cell r="B128">
            <v>34726</v>
          </cell>
          <cell r="C128" t="str">
            <v>美国</v>
          </cell>
          <cell r="D128" t="str">
            <v>乳制品</v>
          </cell>
          <cell r="E128">
            <v>583.79999999999995</v>
          </cell>
        </row>
        <row r="129">
          <cell r="A129">
            <v>1995</v>
          </cell>
          <cell r="B129">
            <v>34729</v>
          </cell>
          <cell r="C129" t="str">
            <v>加拿大</v>
          </cell>
          <cell r="D129" t="str">
            <v>饮料</v>
          </cell>
          <cell r="E129">
            <v>432</v>
          </cell>
        </row>
        <row r="130">
          <cell r="A130">
            <v>1995</v>
          </cell>
          <cell r="B130">
            <v>34729</v>
          </cell>
          <cell r="C130" t="str">
            <v>加拿大</v>
          </cell>
          <cell r="D130" t="str">
            <v>肉/家禽</v>
          </cell>
          <cell r="E130">
            <v>2073.5999965667725</v>
          </cell>
        </row>
        <row r="131">
          <cell r="A131">
            <v>1995</v>
          </cell>
          <cell r="B131">
            <v>34731</v>
          </cell>
          <cell r="C131" t="str">
            <v>加拿大</v>
          </cell>
          <cell r="D131" t="str">
            <v>海洋食品</v>
          </cell>
          <cell r="E131">
            <v>372.6</v>
          </cell>
        </row>
        <row r="132">
          <cell r="A132">
            <v>1995</v>
          </cell>
          <cell r="B132">
            <v>34731</v>
          </cell>
          <cell r="C132" t="str">
            <v>加拿大</v>
          </cell>
          <cell r="D132" t="str">
            <v>面食/谷类</v>
          </cell>
          <cell r="E132">
            <v>2128</v>
          </cell>
        </row>
        <row r="133">
          <cell r="A133">
            <v>1995</v>
          </cell>
          <cell r="B133">
            <v>34731</v>
          </cell>
          <cell r="C133" t="str">
            <v>加拿大</v>
          </cell>
          <cell r="D133" t="str">
            <v>香料</v>
          </cell>
          <cell r="E133">
            <v>336</v>
          </cell>
        </row>
        <row r="134">
          <cell r="A134">
            <v>1995</v>
          </cell>
          <cell r="B134">
            <v>34731</v>
          </cell>
          <cell r="C134" t="str">
            <v>加拿大</v>
          </cell>
          <cell r="D134" t="str">
            <v>乳制品</v>
          </cell>
          <cell r="E134">
            <v>1032</v>
          </cell>
        </row>
        <row r="135">
          <cell r="A135">
            <v>1995</v>
          </cell>
          <cell r="B135">
            <v>34737</v>
          </cell>
          <cell r="C135" t="str">
            <v>美国</v>
          </cell>
          <cell r="D135" t="str">
            <v>乳制品</v>
          </cell>
          <cell r="E135">
            <v>504</v>
          </cell>
        </row>
        <row r="136">
          <cell r="A136">
            <v>1995</v>
          </cell>
          <cell r="B136">
            <v>34737</v>
          </cell>
          <cell r="C136" t="str">
            <v>美国</v>
          </cell>
          <cell r="D136" t="str">
            <v>乳制品</v>
          </cell>
          <cell r="E136">
            <v>432</v>
          </cell>
        </row>
        <row r="137">
          <cell r="A137">
            <v>1995</v>
          </cell>
          <cell r="B137">
            <v>34737</v>
          </cell>
          <cell r="C137" t="str">
            <v>美国</v>
          </cell>
          <cell r="D137" t="str">
            <v>乳制品</v>
          </cell>
          <cell r="E137">
            <v>258</v>
          </cell>
        </row>
        <row r="138">
          <cell r="A138">
            <v>1995</v>
          </cell>
          <cell r="B138">
            <v>34745</v>
          </cell>
          <cell r="C138" t="str">
            <v>加拿大</v>
          </cell>
          <cell r="D138" t="str">
            <v>肉/家禽</v>
          </cell>
          <cell r="E138">
            <v>62.4</v>
          </cell>
        </row>
        <row r="139">
          <cell r="A139">
            <v>1995</v>
          </cell>
          <cell r="B139">
            <v>34745</v>
          </cell>
          <cell r="C139" t="str">
            <v>加拿大</v>
          </cell>
          <cell r="D139" t="str">
            <v>乳制品</v>
          </cell>
          <cell r="E139">
            <v>40</v>
          </cell>
        </row>
        <row r="140">
          <cell r="A140">
            <v>1995</v>
          </cell>
          <cell r="B140">
            <v>34747</v>
          </cell>
          <cell r="C140" t="str">
            <v>美国</v>
          </cell>
          <cell r="D140" t="str">
            <v>饮料</v>
          </cell>
          <cell r="E140">
            <v>912</v>
          </cell>
        </row>
        <row r="141">
          <cell r="A141">
            <v>1995</v>
          </cell>
          <cell r="B141">
            <v>34747</v>
          </cell>
          <cell r="C141" t="str">
            <v>美国</v>
          </cell>
          <cell r="D141" t="str">
            <v>糖果</v>
          </cell>
          <cell r="E141">
            <v>418</v>
          </cell>
        </row>
        <row r="142">
          <cell r="A142">
            <v>1995</v>
          </cell>
          <cell r="B142">
            <v>34747</v>
          </cell>
          <cell r="C142" t="str">
            <v>美国</v>
          </cell>
          <cell r="D142" t="str">
            <v>香料</v>
          </cell>
          <cell r="E142">
            <v>364.8</v>
          </cell>
        </row>
        <row r="143">
          <cell r="A143">
            <v>1995</v>
          </cell>
          <cell r="B143">
            <v>34747</v>
          </cell>
          <cell r="C143" t="str">
            <v>美国</v>
          </cell>
          <cell r="D143" t="str">
            <v>农产品</v>
          </cell>
          <cell r="E143">
            <v>120</v>
          </cell>
        </row>
        <row r="144">
          <cell r="A144">
            <v>1995</v>
          </cell>
          <cell r="B144">
            <v>34761</v>
          </cell>
          <cell r="C144" t="str">
            <v>加拿大</v>
          </cell>
          <cell r="D144" t="str">
            <v>糖果</v>
          </cell>
          <cell r="E144">
            <v>249</v>
          </cell>
        </row>
        <row r="145">
          <cell r="A145">
            <v>1995</v>
          </cell>
          <cell r="B145">
            <v>34761</v>
          </cell>
          <cell r="C145" t="str">
            <v>加拿大</v>
          </cell>
          <cell r="D145" t="str">
            <v>肉/家禽</v>
          </cell>
          <cell r="E145">
            <v>236</v>
          </cell>
        </row>
        <row r="146">
          <cell r="A146">
            <v>1995</v>
          </cell>
          <cell r="B146">
            <v>34767</v>
          </cell>
          <cell r="C146" t="str">
            <v>美国</v>
          </cell>
          <cell r="D146" t="str">
            <v>糖果</v>
          </cell>
          <cell r="E146">
            <v>87.59999967366457</v>
          </cell>
        </row>
        <row r="147">
          <cell r="A147">
            <v>1995</v>
          </cell>
          <cell r="B147">
            <v>34767</v>
          </cell>
          <cell r="C147" t="str">
            <v>美国</v>
          </cell>
          <cell r="D147" t="str">
            <v>饮料</v>
          </cell>
          <cell r="E147">
            <v>179.19999933242798</v>
          </cell>
        </row>
        <row r="148">
          <cell r="A148">
            <v>1995</v>
          </cell>
          <cell r="B148">
            <v>34767</v>
          </cell>
          <cell r="C148" t="str">
            <v>美国</v>
          </cell>
          <cell r="D148" t="str">
            <v>面食/谷类</v>
          </cell>
          <cell r="E148">
            <v>187.19999930262566</v>
          </cell>
        </row>
        <row r="149">
          <cell r="A149">
            <v>1995</v>
          </cell>
          <cell r="B149">
            <v>34771</v>
          </cell>
          <cell r="C149" t="str">
            <v>加拿大</v>
          </cell>
          <cell r="D149" t="str">
            <v>饮料</v>
          </cell>
          <cell r="E149">
            <v>581.3999959230423</v>
          </cell>
        </row>
        <row r="150">
          <cell r="A150">
            <v>1995</v>
          </cell>
          <cell r="B150">
            <v>34771</v>
          </cell>
          <cell r="C150" t="str">
            <v>加拿大</v>
          </cell>
          <cell r="D150" t="str">
            <v>糖果</v>
          </cell>
          <cell r="E150">
            <v>578.93499594032767</v>
          </cell>
        </row>
        <row r="151">
          <cell r="A151">
            <v>1995</v>
          </cell>
          <cell r="B151">
            <v>34771</v>
          </cell>
          <cell r="C151" t="str">
            <v>加拿大</v>
          </cell>
          <cell r="D151" t="str">
            <v>肉/家禽</v>
          </cell>
          <cell r="E151">
            <v>2019.5999858379364</v>
          </cell>
        </row>
        <row r="152">
          <cell r="A152">
            <v>1995</v>
          </cell>
          <cell r="B152">
            <v>34771</v>
          </cell>
          <cell r="C152" t="str">
            <v>加拿大</v>
          </cell>
          <cell r="D152" t="str">
            <v>香料</v>
          </cell>
          <cell r="E152">
            <v>1744.1999877691269</v>
          </cell>
        </row>
        <row r="153">
          <cell r="A153">
            <v>1995</v>
          </cell>
          <cell r="B153">
            <v>34771</v>
          </cell>
          <cell r="C153" t="str">
            <v>加拿大</v>
          </cell>
          <cell r="D153" t="str">
            <v>糖果</v>
          </cell>
          <cell r="E153">
            <v>1755</v>
          </cell>
        </row>
        <row r="154">
          <cell r="A154">
            <v>1995</v>
          </cell>
          <cell r="B154">
            <v>34775</v>
          </cell>
          <cell r="C154" t="str">
            <v>美国</v>
          </cell>
          <cell r="D154" t="str">
            <v>糖果</v>
          </cell>
          <cell r="E154">
            <v>78.839999869465828</v>
          </cell>
        </row>
        <row r="155">
          <cell r="A155">
            <v>1995</v>
          </cell>
          <cell r="B155">
            <v>34775</v>
          </cell>
          <cell r="C155" t="str">
            <v>美国</v>
          </cell>
          <cell r="D155" t="str">
            <v>饮料</v>
          </cell>
          <cell r="E155">
            <v>64.799999892711639</v>
          </cell>
        </row>
        <row r="156">
          <cell r="A156">
            <v>1995</v>
          </cell>
          <cell r="B156">
            <v>34775</v>
          </cell>
          <cell r="C156" t="str">
            <v>美国</v>
          </cell>
          <cell r="D156" t="str">
            <v>乳制品</v>
          </cell>
          <cell r="E156">
            <v>26.999999955296516</v>
          </cell>
        </row>
        <row r="157">
          <cell r="A157">
            <v>1995</v>
          </cell>
          <cell r="B157">
            <v>34775</v>
          </cell>
          <cell r="C157" t="str">
            <v>美国</v>
          </cell>
          <cell r="D157" t="str">
            <v>面食/谷类</v>
          </cell>
          <cell r="E157">
            <v>75.599999874830246</v>
          </cell>
        </row>
        <row r="158">
          <cell r="A158">
            <v>1995</v>
          </cell>
          <cell r="B158">
            <v>34780</v>
          </cell>
          <cell r="C158" t="str">
            <v>美国</v>
          </cell>
          <cell r="D158" t="str">
            <v>肉/家禽</v>
          </cell>
          <cell r="E158">
            <v>2073.5999965667725</v>
          </cell>
        </row>
        <row r="159">
          <cell r="A159">
            <v>1995</v>
          </cell>
          <cell r="B159">
            <v>34780</v>
          </cell>
          <cell r="C159" t="str">
            <v>美国</v>
          </cell>
          <cell r="D159" t="str">
            <v>面食/谷类</v>
          </cell>
          <cell r="E159">
            <v>837.89999861270189</v>
          </cell>
        </row>
        <row r="160">
          <cell r="A160">
            <v>1995</v>
          </cell>
          <cell r="B160">
            <v>34780</v>
          </cell>
          <cell r="C160" t="str">
            <v>美国</v>
          </cell>
          <cell r="D160" t="str">
            <v>香料</v>
          </cell>
          <cell r="E160">
            <v>423.35999929904938</v>
          </cell>
        </row>
        <row r="161">
          <cell r="A161">
            <v>1995</v>
          </cell>
          <cell r="B161">
            <v>34780</v>
          </cell>
          <cell r="C161" t="str">
            <v>美国</v>
          </cell>
          <cell r="D161" t="str">
            <v>香料</v>
          </cell>
          <cell r="E161">
            <v>514.79999914765358</v>
          </cell>
        </row>
        <row r="162">
          <cell r="A162">
            <v>1995</v>
          </cell>
          <cell r="B162">
            <v>34781</v>
          </cell>
          <cell r="C162" t="str">
            <v>加拿大</v>
          </cell>
          <cell r="D162" t="str">
            <v>农产品</v>
          </cell>
          <cell r="E162">
            <v>546</v>
          </cell>
        </row>
        <row r="163">
          <cell r="A163">
            <v>1995</v>
          </cell>
          <cell r="B163">
            <v>34781</v>
          </cell>
          <cell r="C163" t="str">
            <v>加拿大</v>
          </cell>
          <cell r="D163" t="str">
            <v>香料</v>
          </cell>
          <cell r="E163">
            <v>1472.49999884516</v>
          </cell>
        </row>
        <row r="164">
          <cell r="A164">
            <v>1995</v>
          </cell>
          <cell r="B164">
            <v>34786</v>
          </cell>
          <cell r="C164" t="str">
            <v>美国</v>
          </cell>
          <cell r="D164" t="str">
            <v>糖果</v>
          </cell>
          <cell r="E164">
            <v>271.99999809265137</v>
          </cell>
        </row>
        <row r="165">
          <cell r="A165">
            <v>1995</v>
          </cell>
          <cell r="B165">
            <v>34786</v>
          </cell>
          <cell r="C165" t="str">
            <v>美国</v>
          </cell>
          <cell r="D165" t="str">
            <v>糖果</v>
          </cell>
          <cell r="E165">
            <v>285.59999799728394</v>
          </cell>
        </row>
        <row r="166">
          <cell r="A166">
            <v>1995</v>
          </cell>
          <cell r="B166">
            <v>34786</v>
          </cell>
          <cell r="C166" t="str">
            <v>美国</v>
          </cell>
          <cell r="D166" t="str">
            <v>乳制品</v>
          </cell>
          <cell r="E166">
            <v>1584</v>
          </cell>
        </row>
        <row r="167">
          <cell r="A167">
            <v>1995</v>
          </cell>
          <cell r="B167">
            <v>34796</v>
          </cell>
          <cell r="C167" t="str">
            <v>美国</v>
          </cell>
          <cell r="D167" t="str">
            <v>海洋食品</v>
          </cell>
          <cell r="E167">
            <v>165.6</v>
          </cell>
        </row>
        <row r="168">
          <cell r="A168">
            <v>1995</v>
          </cell>
          <cell r="B168">
            <v>34796</v>
          </cell>
          <cell r="C168" t="str">
            <v>美国</v>
          </cell>
          <cell r="D168" t="str">
            <v>饮料</v>
          </cell>
          <cell r="E168">
            <v>552</v>
          </cell>
        </row>
        <row r="169">
          <cell r="A169">
            <v>1995</v>
          </cell>
          <cell r="B169">
            <v>34799</v>
          </cell>
          <cell r="C169" t="str">
            <v>加拿大</v>
          </cell>
          <cell r="D169" t="str">
            <v>饮料</v>
          </cell>
          <cell r="E169">
            <v>516.7999963760376</v>
          </cell>
        </row>
        <row r="170">
          <cell r="A170">
            <v>1995</v>
          </cell>
          <cell r="B170">
            <v>34799</v>
          </cell>
          <cell r="C170" t="str">
            <v>加拿大</v>
          </cell>
          <cell r="D170" t="str">
            <v>糖果</v>
          </cell>
          <cell r="E170">
            <v>413.52499710023403</v>
          </cell>
        </row>
        <row r="171">
          <cell r="A171">
            <v>1995</v>
          </cell>
          <cell r="B171">
            <v>34799</v>
          </cell>
          <cell r="C171" t="str">
            <v>加拿大</v>
          </cell>
          <cell r="D171" t="str">
            <v>香料</v>
          </cell>
          <cell r="E171">
            <v>26.349999815225601</v>
          </cell>
        </row>
        <row r="172">
          <cell r="A172">
            <v>1995</v>
          </cell>
          <cell r="B172">
            <v>34808</v>
          </cell>
          <cell r="C172" t="str">
            <v>加拿大</v>
          </cell>
          <cell r="D172" t="str">
            <v>饮料</v>
          </cell>
          <cell r="E172">
            <v>6324</v>
          </cell>
        </row>
        <row r="173">
          <cell r="A173">
            <v>1995</v>
          </cell>
          <cell r="B173">
            <v>34808</v>
          </cell>
          <cell r="C173" t="str">
            <v>加拿大</v>
          </cell>
          <cell r="D173" t="str">
            <v>肉/家禽</v>
          </cell>
          <cell r="E173">
            <v>733.6</v>
          </cell>
        </row>
        <row r="174">
          <cell r="A174">
            <v>1995</v>
          </cell>
          <cell r="B174">
            <v>34808</v>
          </cell>
          <cell r="C174" t="str">
            <v>加拿大</v>
          </cell>
          <cell r="D174" t="str">
            <v>乳制品</v>
          </cell>
          <cell r="E174">
            <v>2640</v>
          </cell>
        </row>
        <row r="175">
          <cell r="A175">
            <v>1995</v>
          </cell>
          <cell r="B175">
            <v>34808</v>
          </cell>
          <cell r="C175" t="str">
            <v>加拿大</v>
          </cell>
          <cell r="D175" t="str">
            <v>面食/谷类</v>
          </cell>
          <cell r="E175">
            <v>798</v>
          </cell>
        </row>
        <row r="176">
          <cell r="A176">
            <v>1995</v>
          </cell>
          <cell r="B176">
            <v>34810</v>
          </cell>
          <cell r="C176" t="str">
            <v>加拿大</v>
          </cell>
          <cell r="D176" t="str">
            <v>海洋食品</v>
          </cell>
          <cell r="E176">
            <v>147</v>
          </cell>
        </row>
        <row r="177">
          <cell r="A177">
            <v>1995</v>
          </cell>
          <cell r="B177">
            <v>34813</v>
          </cell>
          <cell r="C177" t="str">
            <v>加拿大</v>
          </cell>
          <cell r="D177" t="str">
            <v>饮料</v>
          </cell>
          <cell r="E177">
            <v>372.39999970793724</v>
          </cell>
        </row>
        <row r="178">
          <cell r="A178">
            <v>1995</v>
          </cell>
          <cell r="B178">
            <v>34813</v>
          </cell>
          <cell r="C178" t="str">
            <v>加拿大</v>
          </cell>
          <cell r="D178" t="str">
            <v>香料</v>
          </cell>
          <cell r="E178">
            <v>296.39999976754189</v>
          </cell>
        </row>
        <row r="179">
          <cell r="A179">
            <v>1995</v>
          </cell>
          <cell r="B179">
            <v>34816</v>
          </cell>
          <cell r="C179" t="str">
            <v>美国</v>
          </cell>
          <cell r="D179" t="str">
            <v>乳制品</v>
          </cell>
          <cell r="E179">
            <v>1320</v>
          </cell>
        </row>
        <row r="180">
          <cell r="A180">
            <v>1995</v>
          </cell>
          <cell r="B180">
            <v>34816</v>
          </cell>
          <cell r="C180" t="str">
            <v>美国</v>
          </cell>
          <cell r="D180" t="str">
            <v>海洋食品</v>
          </cell>
          <cell r="E180">
            <v>191.99999928474426</v>
          </cell>
        </row>
        <row r="181">
          <cell r="A181">
            <v>1995</v>
          </cell>
          <cell r="B181">
            <v>34824</v>
          </cell>
          <cell r="C181" t="str">
            <v>美国</v>
          </cell>
          <cell r="D181" t="str">
            <v>面食/谷类</v>
          </cell>
          <cell r="E181">
            <v>425.6</v>
          </cell>
        </row>
        <row r="182">
          <cell r="A182">
            <v>1995</v>
          </cell>
          <cell r="B182">
            <v>34824</v>
          </cell>
          <cell r="C182" t="str">
            <v>美国</v>
          </cell>
          <cell r="D182" t="str">
            <v>乳制品</v>
          </cell>
          <cell r="E182">
            <v>695</v>
          </cell>
        </row>
        <row r="183">
          <cell r="A183">
            <v>1995</v>
          </cell>
          <cell r="B183">
            <v>34824</v>
          </cell>
          <cell r="C183" t="str">
            <v>美国</v>
          </cell>
          <cell r="D183" t="str">
            <v>香料</v>
          </cell>
          <cell r="E183">
            <v>260</v>
          </cell>
        </row>
        <row r="184">
          <cell r="A184">
            <v>1995</v>
          </cell>
          <cell r="B184">
            <v>34829</v>
          </cell>
          <cell r="C184" t="str">
            <v>美国</v>
          </cell>
          <cell r="D184" t="str">
            <v>肉/家禽</v>
          </cell>
          <cell r="E184">
            <v>149</v>
          </cell>
        </row>
        <row r="185">
          <cell r="A185">
            <v>1995</v>
          </cell>
          <cell r="B185">
            <v>34831</v>
          </cell>
          <cell r="C185" t="str">
            <v>加拿大</v>
          </cell>
          <cell r="D185" t="str">
            <v>饮料</v>
          </cell>
          <cell r="E185">
            <v>228</v>
          </cell>
        </row>
        <row r="186">
          <cell r="A186">
            <v>1995</v>
          </cell>
          <cell r="B186">
            <v>34831</v>
          </cell>
          <cell r="C186" t="str">
            <v>加拿大</v>
          </cell>
          <cell r="D186" t="str">
            <v>糖果</v>
          </cell>
          <cell r="E186">
            <v>120</v>
          </cell>
        </row>
        <row r="187">
          <cell r="A187">
            <v>1995</v>
          </cell>
          <cell r="B187">
            <v>34831</v>
          </cell>
          <cell r="C187" t="str">
            <v>加拿大</v>
          </cell>
          <cell r="D187" t="str">
            <v>肉/家禽</v>
          </cell>
          <cell r="E187">
            <v>328</v>
          </cell>
        </row>
        <row r="188">
          <cell r="A188">
            <v>1995</v>
          </cell>
          <cell r="B188">
            <v>34831</v>
          </cell>
          <cell r="C188" t="str">
            <v>加拿大</v>
          </cell>
          <cell r="D188" t="str">
            <v>香料</v>
          </cell>
          <cell r="E188">
            <v>712.5</v>
          </cell>
        </row>
        <row r="189">
          <cell r="A189">
            <v>1995</v>
          </cell>
          <cell r="B189">
            <v>34835</v>
          </cell>
          <cell r="C189" t="str">
            <v>美国</v>
          </cell>
          <cell r="D189" t="str">
            <v>糖果</v>
          </cell>
          <cell r="E189">
            <v>226.79999962449074</v>
          </cell>
        </row>
        <row r="190">
          <cell r="A190">
            <v>1995</v>
          </cell>
          <cell r="B190">
            <v>34835</v>
          </cell>
          <cell r="C190" t="str">
            <v>美国</v>
          </cell>
          <cell r="D190" t="str">
            <v>饮料</v>
          </cell>
          <cell r="E190">
            <v>188.99999968707561</v>
          </cell>
        </row>
        <row r="191">
          <cell r="A191">
            <v>1995</v>
          </cell>
          <cell r="B191">
            <v>34836</v>
          </cell>
          <cell r="C191" t="str">
            <v>美国</v>
          </cell>
          <cell r="D191" t="str">
            <v>海洋食品</v>
          </cell>
          <cell r="E191">
            <v>60</v>
          </cell>
        </row>
        <row r="192">
          <cell r="A192">
            <v>1995</v>
          </cell>
          <cell r="B192">
            <v>34836</v>
          </cell>
          <cell r="C192" t="str">
            <v>美国</v>
          </cell>
          <cell r="D192" t="str">
            <v>饮料</v>
          </cell>
          <cell r="E192">
            <v>180</v>
          </cell>
        </row>
        <row r="193">
          <cell r="A193">
            <v>1995</v>
          </cell>
          <cell r="B193">
            <v>34837</v>
          </cell>
          <cell r="C193" t="str">
            <v>美国</v>
          </cell>
          <cell r="D193" t="str">
            <v>农产品</v>
          </cell>
          <cell r="E193">
            <v>136.80000000000001</v>
          </cell>
        </row>
        <row r="194">
          <cell r="A194">
            <v>1995</v>
          </cell>
          <cell r="B194">
            <v>34838</v>
          </cell>
          <cell r="C194" t="str">
            <v>加拿大</v>
          </cell>
          <cell r="D194" t="str">
            <v>肉/家禽</v>
          </cell>
          <cell r="E194">
            <v>4456.4399999999996</v>
          </cell>
        </row>
        <row r="195">
          <cell r="A195">
            <v>1995</v>
          </cell>
          <cell r="B195">
            <v>34838</v>
          </cell>
          <cell r="C195" t="str">
            <v>加拿大</v>
          </cell>
          <cell r="D195" t="str">
            <v>饮料</v>
          </cell>
          <cell r="E195">
            <v>251.0999995842576</v>
          </cell>
        </row>
        <row r="196">
          <cell r="A196">
            <v>1995</v>
          </cell>
          <cell r="B196">
            <v>34842</v>
          </cell>
          <cell r="C196" t="str">
            <v>美国</v>
          </cell>
          <cell r="D196" t="str">
            <v>糖果</v>
          </cell>
          <cell r="E196">
            <v>319.9999988079071</v>
          </cell>
        </row>
        <row r="197">
          <cell r="A197">
            <v>1995</v>
          </cell>
          <cell r="B197">
            <v>34842</v>
          </cell>
          <cell r="C197" t="str">
            <v>美国</v>
          </cell>
          <cell r="D197" t="str">
            <v>乳制品</v>
          </cell>
          <cell r="E197">
            <v>1279.9999952316284</v>
          </cell>
        </row>
        <row r="198">
          <cell r="A198">
            <v>1995</v>
          </cell>
          <cell r="B198">
            <v>34842</v>
          </cell>
          <cell r="C198" t="str">
            <v>美国</v>
          </cell>
          <cell r="D198" t="str">
            <v>香料</v>
          </cell>
          <cell r="E198">
            <v>341.99999872595072</v>
          </cell>
        </row>
        <row r="199">
          <cell r="A199">
            <v>1995</v>
          </cell>
          <cell r="B199">
            <v>34843</v>
          </cell>
          <cell r="C199" t="str">
            <v>美国</v>
          </cell>
          <cell r="D199" t="str">
            <v>肉/家禽</v>
          </cell>
          <cell r="E199">
            <v>1319.1999907493591</v>
          </cell>
        </row>
        <row r="200">
          <cell r="A200">
            <v>1995</v>
          </cell>
          <cell r="B200">
            <v>34843</v>
          </cell>
          <cell r="C200" t="str">
            <v>美国</v>
          </cell>
          <cell r="D200" t="str">
            <v>糖果</v>
          </cell>
          <cell r="E200">
            <v>872.5</v>
          </cell>
        </row>
        <row r="201">
          <cell r="A201">
            <v>1995</v>
          </cell>
          <cell r="B201">
            <v>34843</v>
          </cell>
          <cell r="C201" t="str">
            <v>美国</v>
          </cell>
          <cell r="D201" t="str">
            <v>糖果</v>
          </cell>
          <cell r="E201">
            <v>5268</v>
          </cell>
        </row>
        <row r="202">
          <cell r="A202">
            <v>1995</v>
          </cell>
          <cell r="B202">
            <v>34843</v>
          </cell>
          <cell r="C202" t="str">
            <v>美国</v>
          </cell>
          <cell r="D202" t="str">
            <v>乳制品</v>
          </cell>
          <cell r="E202">
            <v>33.999999761581421</v>
          </cell>
        </row>
        <row r="203">
          <cell r="A203">
            <v>1995</v>
          </cell>
          <cell r="B203">
            <v>34843</v>
          </cell>
          <cell r="C203" t="str">
            <v>美国</v>
          </cell>
          <cell r="D203" t="str">
            <v>乳制品</v>
          </cell>
          <cell r="E203">
            <v>2427.5999829769135</v>
          </cell>
        </row>
        <row r="204">
          <cell r="A204">
            <v>1995</v>
          </cell>
          <cell r="B204">
            <v>34850</v>
          </cell>
          <cell r="C204" t="str">
            <v>美国</v>
          </cell>
          <cell r="D204" t="str">
            <v>饮料</v>
          </cell>
          <cell r="E204">
            <v>575.99999785423279</v>
          </cell>
        </row>
        <row r="205">
          <cell r="A205">
            <v>1995</v>
          </cell>
          <cell r="B205">
            <v>34850</v>
          </cell>
          <cell r="C205" t="str">
            <v>美国</v>
          </cell>
          <cell r="D205" t="str">
            <v>香料</v>
          </cell>
          <cell r="E205">
            <v>960</v>
          </cell>
        </row>
        <row r="206">
          <cell r="A206">
            <v>1995</v>
          </cell>
          <cell r="B206">
            <v>34850</v>
          </cell>
          <cell r="C206" t="str">
            <v>美国</v>
          </cell>
          <cell r="D206" t="str">
            <v>海洋食品</v>
          </cell>
          <cell r="E206">
            <v>414.23999845683574</v>
          </cell>
        </row>
        <row r="207">
          <cell r="A207">
            <v>1995</v>
          </cell>
          <cell r="B207">
            <v>34850</v>
          </cell>
          <cell r="C207" t="str">
            <v>美国</v>
          </cell>
          <cell r="D207" t="str">
            <v>海洋食品</v>
          </cell>
          <cell r="E207">
            <v>367.99999862909317</v>
          </cell>
        </row>
        <row r="208">
          <cell r="A208">
            <v>1995</v>
          </cell>
          <cell r="B208">
            <v>34855</v>
          </cell>
          <cell r="C208" t="str">
            <v>美国</v>
          </cell>
          <cell r="D208" t="str">
            <v>香料</v>
          </cell>
          <cell r="E208">
            <v>989.99999836087227</v>
          </cell>
        </row>
        <row r="209">
          <cell r="A209">
            <v>1995</v>
          </cell>
          <cell r="B209">
            <v>34855</v>
          </cell>
          <cell r="C209" t="str">
            <v>美国</v>
          </cell>
          <cell r="D209" t="str">
            <v>海洋食品</v>
          </cell>
          <cell r="E209">
            <v>512.99999915063381</v>
          </cell>
        </row>
        <row r="210">
          <cell r="A210">
            <v>1995</v>
          </cell>
          <cell r="B210">
            <v>34856</v>
          </cell>
          <cell r="C210" t="str">
            <v>加拿大</v>
          </cell>
          <cell r="D210" t="str">
            <v>乳制品</v>
          </cell>
          <cell r="E210">
            <v>63</v>
          </cell>
        </row>
        <row r="211">
          <cell r="A211">
            <v>1995</v>
          </cell>
          <cell r="B211">
            <v>34856</v>
          </cell>
          <cell r="C211" t="str">
            <v>加拿大</v>
          </cell>
          <cell r="D211" t="str">
            <v>乳制品</v>
          </cell>
          <cell r="E211">
            <v>15.999999940395355</v>
          </cell>
        </row>
        <row r="212">
          <cell r="A212">
            <v>1995</v>
          </cell>
          <cell r="B212">
            <v>34856</v>
          </cell>
          <cell r="C212" t="str">
            <v>加拿大</v>
          </cell>
          <cell r="D212" t="str">
            <v>乳制品</v>
          </cell>
          <cell r="E212">
            <v>313.2</v>
          </cell>
        </row>
        <row r="213">
          <cell r="A213">
            <v>1995</v>
          </cell>
          <cell r="B213">
            <v>34862</v>
          </cell>
          <cell r="C213" t="str">
            <v>美国</v>
          </cell>
          <cell r="D213" t="str">
            <v>海洋食品</v>
          </cell>
          <cell r="E213">
            <v>258.89999999999998</v>
          </cell>
        </row>
        <row r="214">
          <cell r="A214">
            <v>1995</v>
          </cell>
          <cell r="B214">
            <v>34862</v>
          </cell>
          <cell r="C214" t="str">
            <v>美国</v>
          </cell>
          <cell r="D214" t="str">
            <v>海洋食品</v>
          </cell>
          <cell r="E214">
            <v>147.19999945163727</v>
          </cell>
        </row>
        <row r="215">
          <cell r="A215">
            <v>1995</v>
          </cell>
          <cell r="B215">
            <v>34862</v>
          </cell>
          <cell r="C215" t="str">
            <v>美国</v>
          </cell>
          <cell r="D215" t="str">
            <v>肉/家禽</v>
          </cell>
          <cell r="E215">
            <v>59.599999777972698</v>
          </cell>
        </row>
        <row r="216">
          <cell r="A216">
            <v>1995</v>
          </cell>
          <cell r="B216">
            <v>34864</v>
          </cell>
          <cell r="C216" t="str">
            <v>美国</v>
          </cell>
          <cell r="D216" t="str">
            <v>乳制品</v>
          </cell>
          <cell r="E216">
            <v>427.5</v>
          </cell>
        </row>
        <row r="217">
          <cell r="A217">
            <v>1995</v>
          </cell>
          <cell r="B217">
            <v>34864</v>
          </cell>
          <cell r="C217" t="str">
            <v>美国</v>
          </cell>
          <cell r="D217" t="str">
            <v>乳制品</v>
          </cell>
          <cell r="E217">
            <v>250</v>
          </cell>
        </row>
        <row r="218">
          <cell r="A218">
            <v>1995</v>
          </cell>
          <cell r="B218">
            <v>34864</v>
          </cell>
          <cell r="C218" t="str">
            <v>美国</v>
          </cell>
          <cell r="D218" t="str">
            <v>乳制品</v>
          </cell>
          <cell r="E218">
            <v>75</v>
          </cell>
        </row>
        <row r="219">
          <cell r="A219">
            <v>1995</v>
          </cell>
          <cell r="B219">
            <v>34864</v>
          </cell>
          <cell r="C219" t="str">
            <v>美国</v>
          </cell>
          <cell r="D219" t="str">
            <v>乳制品</v>
          </cell>
          <cell r="E219">
            <v>892.5</v>
          </cell>
        </row>
        <row r="220">
          <cell r="A220">
            <v>1995</v>
          </cell>
          <cell r="B220">
            <v>34869</v>
          </cell>
          <cell r="C220" t="str">
            <v>美国</v>
          </cell>
          <cell r="D220" t="str">
            <v>香料</v>
          </cell>
          <cell r="E220">
            <v>600</v>
          </cell>
        </row>
        <row r="221">
          <cell r="A221">
            <v>1995</v>
          </cell>
          <cell r="B221">
            <v>34869</v>
          </cell>
          <cell r="C221" t="str">
            <v>美国</v>
          </cell>
          <cell r="D221" t="str">
            <v>糖果</v>
          </cell>
          <cell r="E221">
            <v>1249.2</v>
          </cell>
        </row>
        <row r="222">
          <cell r="A222">
            <v>1995</v>
          </cell>
          <cell r="B222">
            <v>34869</v>
          </cell>
          <cell r="C222" t="str">
            <v>美国</v>
          </cell>
          <cell r="D222" t="str">
            <v>饮料</v>
          </cell>
          <cell r="E222">
            <v>7905</v>
          </cell>
        </row>
        <row r="223">
          <cell r="A223">
            <v>1995</v>
          </cell>
          <cell r="B223">
            <v>34869</v>
          </cell>
          <cell r="C223" t="str">
            <v>美国</v>
          </cell>
          <cell r="D223" t="str">
            <v>糖果</v>
          </cell>
          <cell r="E223">
            <v>437.5</v>
          </cell>
        </row>
        <row r="224">
          <cell r="A224">
            <v>1995</v>
          </cell>
          <cell r="B224">
            <v>34870</v>
          </cell>
          <cell r="C224" t="str">
            <v>美国</v>
          </cell>
          <cell r="D224" t="str">
            <v>乳制品</v>
          </cell>
          <cell r="E224">
            <v>299.24999976530671</v>
          </cell>
        </row>
        <row r="225">
          <cell r="A225">
            <v>1995</v>
          </cell>
          <cell r="B225">
            <v>34870</v>
          </cell>
          <cell r="C225" t="str">
            <v>美国</v>
          </cell>
          <cell r="D225" t="str">
            <v>肉/家禽</v>
          </cell>
          <cell r="E225">
            <v>169.85999986678362</v>
          </cell>
        </row>
        <row r="226">
          <cell r="A226">
            <v>1995</v>
          </cell>
          <cell r="B226">
            <v>34871</v>
          </cell>
          <cell r="C226" t="str">
            <v>加拿大</v>
          </cell>
          <cell r="D226" t="str">
            <v>农产品</v>
          </cell>
          <cell r="E226">
            <v>319.2</v>
          </cell>
        </row>
        <row r="227">
          <cell r="A227">
            <v>1995</v>
          </cell>
          <cell r="B227">
            <v>34871</v>
          </cell>
          <cell r="C227" t="str">
            <v>加拿大</v>
          </cell>
          <cell r="D227" t="str">
            <v>饮料</v>
          </cell>
          <cell r="E227">
            <v>98</v>
          </cell>
        </row>
        <row r="228">
          <cell r="A228">
            <v>1995</v>
          </cell>
          <cell r="B228">
            <v>34872</v>
          </cell>
          <cell r="C228" t="str">
            <v>加拿大</v>
          </cell>
          <cell r="D228" t="str">
            <v>乳制品</v>
          </cell>
          <cell r="E228">
            <v>210</v>
          </cell>
        </row>
        <row r="229">
          <cell r="A229">
            <v>1995</v>
          </cell>
          <cell r="B229">
            <v>34876</v>
          </cell>
          <cell r="C229" t="str">
            <v>美国</v>
          </cell>
          <cell r="D229" t="str">
            <v>饮料</v>
          </cell>
          <cell r="E229">
            <v>105</v>
          </cell>
        </row>
        <row r="230">
          <cell r="A230">
            <v>1995</v>
          </cell>
          <cell r="B230">
            <v>34876</v>
          </cell>
          <cell r="C230" t="str">
            <v>美国</v>
          </cell>
          <cell r="D230" t="str">
            <v>海洋食品</v>
          </cell>
          <cell r="E230">
            <v>135.1</v>
          </cell>
        </row>
        <row r="231">
          <cell r="A231">
            <v>1995</v>
          </cell>
          <cell r="B231">
            <v>34877</v>
          </cell>
          <cell r="C231" t="str">
            <v>美国</v>
          </cell>
          <cell r="D231" t="str">
            <v>乳制品</v>
          </cell>
          <cell r="E231">
            <v>584.37499590218067</v>
          </cell>
        </row>
        <row r="232">
          <cell r="A232">
            <v>1995</v>
          </cell>
          <cell r="B232">
            <v>34877</v>
          </cell>
          <cell r="C232" t="str">
            <v>美国</v>
          </cell>
          <cell r="D232" t="str">
            <v>海洋食品</v>
          </cell>
          <cell r="E232">
            <v>807.49999433755875</v>
          </cell>
        </row>
        <row r="233">
          <cell r="A233">
            <v>1995</v>
          </cell>
          <cell r="B233">
            <v>34877</v>
          </cell>
          <cell r="C233" t="str">
            <v>美国</v>
          </cell>
          <cell r="D233" t="str">
            <v>农产品</v>
          </cell>
          <cell r="E233">
            <v>2162.3999848365784</v>
          </cell>
        </row>
        <row r="234">
          <cell r="A234">
            <v>1995</v>
          </cell>
          <cell r="B234">
            <v>34880</v>
          </cell>
          <cell r="C234" t="str">
            <v>美国</v>
          </cell>
          <cell r="D234" t="str">
            <v>糖果</v>
          </cell>
          <cell r="E234">
            <v>497.32499960996211</v>
          </cell>
        </row>
        <row r="235">
          <cell r="A235">
            <v>1995</v>
          </cell>
          <cell r="B235">
            <v>34880</v>
          </cell>
          <cell r="C235" t="str">
            <v>美国</v>
          </cell>
          <cell r="D235" t="str">
            <v>面食/谷类</v>
          </cell>
          <cell r="E235">
            <v>170.99999986588955</v>
          </cell>
        </row>
        <row r="236">
          <cell r="A236">
            <v>1995</v>
          </cell>
          <cell r="B236">
            <v>34880</v>
          </cell>
          <cell r="C236" t="str">
            <v>美国</v>
          </cell>
          <cell r="D236" t="str">
            <v>糖果</v>
          </cell>
          <cell r="E236">
            <v>936.69999926537275</v>
          </cell>
        </row>
        <row r="237">
          <cell r="A237">
            <v>1995</v>
          </cell>
          <cell r="B237">
            <v>34880</v>
          </cell>
          <cell r="C237" t="str">
            <v>美国</v>
          </cell>
          <cell r="D237" t="str">
            <v>香料</v>
          </cell>
          <cell r="E237">
            <v>123.49999990314245</v>
          </cell>
        </row>
        <row r="238">
          <cell r="A238">
            <v>1995</v>
          </cell>
          <cell r="B238">
            <v>34883</v>
          </cell>
          <cell r="C238" t="str">
            <v>加拿大</v>
          </cell>
          <cell r="D238" t="str">
            <v>农产品</v>
          </cell>
          <cell r="E238">
            <v>557.99999792128801</v>
          </cell>
        </row>
        <row r="239">
          <cell r="A239">
            <v>1995</v>
          </cell>
          <cell r="B239">
            <v>34883</v>
          </cell>
          <cell r="C239" t="str">
            <v>加拿大</v>
          </cell>
          <cell r="D239" t="str">
            <v>糖果</v>
          </cell>
          <cell r="E239">
            <v>257.59999904036522</v>
          </cell>
        </row>
        <row r="240">
          <cell r="A240">
            <v>1995</v>
          </cell>
          <cell r="B240">
            <v>34883</v>
          </cell>
          <cell r="C240" t="str">
            <v>加拿大</v>
          </cell>
          <cell r="D240" t="str">
            <v>饮料</v>
          </cell>
          <cell r="E240">
            <v>64.799999758601189</v>
          </cell>
        </row>
        <row r="241">
          <cell r="A241">
            <v>1995</v>
          </cell>
          <cell r="B241">
            <v>34883</v>
          </cell>
          <cell r="C241" t="str">
            <v>加拿大</v>
          </cell>
          <cell r="D241" t="str">
            <v>农产品</v>
          </cell>
          <cell r="E241">
            <v>847.99999684095383</v>
          </cell>
        </row>
        <row r="242">
          <cell r="A242">
            <v>1995</v>
          </cell>
          <cell r="B242">
            <v>34883</v>
          </cell>
          <cell r="C242" t="str">
            <v>加拿大</v>
          </cell>
          <cell r="D242" t="str">
            <v>面食/谷类</v>
          </cell>
          <cell r="E242">
            <v>1215.999995470047</v>
          </cell>
        </row>
        <row r="243">
          <cell r="A243">
            <v>1995</v>
          </cell>
          <cell r="B243">
            <v>34884</v>
          </cell>
          <cell r="C243" t="str">
            <v>美国</v>
          </cell>
          <cell r="D243" t="str">
            <v>面食/谷类</v>
          </cell>
          <cell r="E243">
            <v>997.5</v>
          </cell>
        </row>
        <row r="244">
          <cell r="A244">
            <v>1995</v>
          </cell>
          <cell r="B244">
            <v>34884</v>
          </cell>
          <cell r="C244" t="str">
            <v>美国</v>
          </cell>
          <cell r="D244" t="str">
            <v>饮料</v>
          </cell>
          <cell r="E244">
            <v>155</v>
          </cell>
        </row>
        <row r="245">
          <cell r="A245">
            <v>1995</v>
          </cell>
          <cell r="B245">
            <v>34887</v>
          </cell>
          <cell r="C245" t="str">
            <v>美国</v>
          </cell>
          <cell r="D245" t="str">
            <v>海洋食品</v>
          </cell>
          <cell r="E245">
            <v>517.79999999999995</v>
          </cell>
        </row>
        <row r="246">
          <cell r="A246">
            <v>1995</v>
          </cell>
          <cell r="B246">
            <v>34887</v>
          </cell>
          <cell r="C246" t="str">
            <v>美国</v>
          </cell>
          <cell r="D246" t="str">
            <v>糖果</v>
          </cell>
          <cell r="E246">
            <v>554.625</v>
          </cell>
        </row>
        <row r="247">
          <cell r="A247">
            <v>1995</v>
          </cell>
          <cell r="B247">
            <v>34891</v>
          </cell>
          <cell r="C247" t="str">
            <v>加拿大</v>
          </cell>
          <cell r="D247" t="str">
            <v>肉/家禽</v>
          </cell>
          <cell r="E247">
            <v>592.79999953508377</v>
          </cell>
        </row>
        <row r="248">
          <cell r="A248">
            <v>1995</v>
          </cell>
          <cell r="B248">
            <v>34891</v>
          </cell>
          <cell r="C248" t="str">
            <v>加拿大</v>
          </cell>
          <cell r="D248" t="str">
            <v>乳制品</v>
          </cell>
          <cell r="E248">
            <v>71.249999944120646</v>
          </cell>
        </row>
        <row r="249">
          <cell r="A249">
            <v>1995</v>
          </cell>
          <cell r="B249">
            <v>34891</v>
          </cell>
          <cell r="C249" t="str">
            <v>加拿大</v>
          </cell>
          <cell r="D249" t="str">
            <v>肉/家禽</v>
          </cell>
          <cell r="E249">
            <v>569.99999955296516</v>
          </cell>
        </row>
        <row r="250">
          <cell r="A250">
            <v>1995</v>
          </cell>
          <cell r="B250">
            <v>34897</v>
          </cell>
          <cell r="C250" t="str">
            <v>加拿大</v>
          </cell>
          <cell r="D250" t="str">
            <v>乳制品</v>
          </cell>
          <cell r="E250">
            <v>349.9999986961484</v>
          </cell>
        </row>
        <row r="251">
          <cell r="A251">
            <v>1995</v>
          </cell>
          <cell r="B251">
            <v>34897</v>
          </cell>
          <cell r="C251" t="str">
            <v>加拿大</v>
          </cell>
          <cell r="D251" t="str">
            <v>饮料</v>
          </cell>
          <cell r="E251">
            <v>540</v>
          </cell>
        </row>
        <row r="252">
          <cell r="A252">
            <v>1995</v>
          </cell>
          <cell r="B252">
            <v>34900</v>
          </cell>
          <cell r="C252" t="str">
            <v>加拿大</v>
          </cell>
          <cell r="D252" t="str">
            <v>乳制品</v>
          </cell>
          <cell r="E252">
            <v>35</v>
          </cell>
        </row>
        <row r="253">
          <cell r="A253">
            <v>1995</v>
          </cell>
          <cell r="B253">
            <v>34900</v>
          </cell>
          <cell r="C253" t="str">
            <v>加拿大</v>
          </cell>
          <cell r="D253" t="str">
            <v>海洋食品</v>
          </cell>
          <cell r="E253">
            <v>36.799999999999997</v>
          </cell>
        </row>
        <row r="254">
          <cell r="A254">
            <v>1995</v>
          </cell>
          <cell r="B254">
            <v>34900</v>
          </cell>
          <cell r="C254" t="str">
            <v>加拿大</v>
          </cell>
          <cell r="D254" t="str">
            <v>糖果</v>
          </cell>
          <cell r="E254">
            <v>493</v>
          </cell>
        </row>
        <row r="255">
          <cell r="A255">
            <v>1995</v>
          </cell>
          <cell r="B255">
            <v>34900</v>
          </cell>
          <cell r="C255" t="str">
            <v>加拿大</v>
          </cell>
          <cell r="D255" t="str">
            <v>面食/谷类</v>
          </cell>
          <cell r="E255">
            <v>199.5</v>
          </cell>
        </row>
        <row r="256">
          <cell r="A256">
            <v>1995</v>
          </cell>
          <cell r="B256">
            <v>34901</v>
          </cell>
          <cell r="C256" t="str">
            <v>美国</v>
          </cell>
          <cell r="D256" t="str">
            <v>乳制品</v>
          </cell>
          <cell r="E256">
            <v>660</v>
          </cell>
        </row>
        <row r="257">
          <cell r="A257">
            <v>1995</v>
          </cell>
          <cell r="B257">
            <v>34901</v>
          </cell>
          <cell r="C257" t="str">
            <v>美国</v>
          </cell>
          <cell r="D257" t="str">
            <v>香料</v>
          </cell>
          <cell r="E257">
            <v>263.39999999999998</v>
          </cell>
        </row>
        <row r="258">
          <cell r="A258">
            <v>1995</v>
          </cell>
          <cell r="B258">
            <v>34901</v>
          </cell>
          <cell r="C258" t="str">
            <v>美国</v>
          </cell>
          <cell r="D258" t="str">
            <v>乳制品</v>
          </cell>
          <cell r="E258">
            <v>1044</v>
          </cell>
        </row>
        <row r="259">
          <cell r="A259">
            <v>1995</v>
          </cell>
          <cell r="B259">
            <v>34901</v>
          </cell>
          <cell r="C259" t="str">
            <v>美国</v>
          </cell>
          <cell r="D259" t="str">
            <v>饮料</v>
          </cell>
          <cell r="E259">
            <v>180</v>
          </cell>
        </row>
        <row r="260">
          <cell r="A260">
            <v>1995</v>
          </cell>
          <cell r="B260">
            <v>34904</v>
          </cell>
          <cell r="C260" t="str">
            <v>加拿大</v>
          </cell>
          <cell r="D260" t="str">
            <v>饮料</v>
          </cell>
          <cell r="E260">
            <v>180</v>
          </cell>
        </row>
        <row r="261">
          <cell r="A261">
            <v>1995</v>
          </cell>
          <cell r="B261">
            <v>34904</v>
          </cell>
          <cell r="C261" t="str">
            <v>加拿大</v>
          </cell>
          <cell r="D261" t="str">
            <v>饮料</v>
          </cell>
          <cell r="E261">
            <v>155</v>
          </cell>
        </row>
        <row r="262">
          <cell r="A262">
            <v>1995</v>
          </cell>
          <cell r="B262">
            <v>34904</v>
          </cell>
          <cell r="C262" t="str">
            <v>加拿大</v>
          </cell>
          <cell r="D262" t="str">
            <v>香料</v>
          </cell>
          <cell r="E262">
            <v>234</v>
          </cell>
        </row>
        <row r="263">
          <cell r="A263">
            <v>1995</v>
          </cell>
          <cell r="B263">
            <v>34906</v>
          </cell>
          <cell r="C263" t="str">
            <v>加拿大</v>
          </cell>
          <cell r="D263" t="str">
            <v>香料</v>
          </cell>
          <cell r="E263">
            <v>155</v>
          </cell>
        </row>
        <row r="264">
          <cell r="A264">
            <v>1995</v>
          </cell>
          <cell r="B264">
            <v>34906</v>
          </cell>
          <cell r="C264" t="str">
            <v>加拿大</v>
          </cell>
          <cell r="D264" t="str">
            <v>饮料</v>
          </cell>
          <cell r="E264">
            <v>162.75</v>
          </cell>
        </row>
        <row r="265">
          <cell r="A265">
            <v>1995</v>
          </cell>
          <cell r="B265">
            <v>34907</v>
          </cell>
          <cell r="C265" t="str">
            <v>美国</v>
          </cell>
          <cell r="D265" t="str">
            <v>农产品</v>
          </cell>
          <cell r="E265">
            <v>331.312499740161</v>
          </cell>
        </row>
        <row r="266">
          <cell r="A266">
            <v>1995</v>
          </cell>
          <cell r="B266">
            <v>34907</v>
          </cell>
          <cell r="C266" t="str">
            <v>美国</v>
          </cell>
          <cell r="D266" t="str">
            <v>海洋食品</v>
          </cell>
          <cell r="E266">
            <v>82.507499935291705</v>
          </cell>
        </row>
        <row r="267">
          <cell r="A267">
            <v>1995</v>
          </cell>
          <cell r="B267">
            <v>34907</v>
          </cell>
          <cell r="C267" t="str">
            <v>美国</v>
          </cell>
          <cell r="D267" t="str">
            <v>香料</v>
          </cell>
          <cell r="E267">
            <v>599.92499952949584</v>
          </cell>
        </row>
        <row r="268">
          <cell r="A268">
            <v>1995</v>
          </cell>
          <cell r="B268">
            <v>34908</v>
          </cell>
          <cell r="C268" t="str">
            <v>美国</v>
          </cell>
          <cell r="D268" t="str">
            <v>面食/谷类</v>
          </cell>
          <cell r="E268">
            <v>78</v>
          </cell>
        </row>
        <row r="269">
          <cell r="A269">
            <v>1995</v>
          </cell>
          <cell r="B269">
            <v>34908</v>
          </cell>
          <cell r="C269" t="str">
            <v>美国</v>
          </cell>
          <cell r="D269" t="str">
            <v>饮料</v>
          </cell>
          <cell r="E269">
            <v>252</v>
          </cell>
        </row>
        <row r="270">
          <cell r="A270">
            <v>1995</v>
          </cell>
          <cell r="B270">
            <v>34914</v>
          </cell>
          <cell r="C270" t="str">
            <v>美国</v>
          </cell>
          <cell r="D270" t="str">
            <v>海洋食品</v>
          </cell>
          <cell r="E270">
            <v>1999.9999925494194</v>
          </cell>
        </row>
        <row r="271">
          <cell r="A271">
            <v>1995</v>
          </cell>
          <cell r="B271">
            <v>34914</v>
          </cell>
          <cell r="C271" t="str">
            <v>美国</v>
          </cell>
          <cell r="D271" t="str">
            <v>面食/谷类</v>
          </cell>
          <cell r="E271">
            <v>1119.9999958276749</v>
          </cell>
        </row>
        <row r="272">
          <cell r="A272">
            <v>1995</v>
          </cell>
          <cell r="B272">
            <v>34915</v>
          </cell>
          <cell r="C272" t="str">
            <v>加拿大</v>
          </cell>
          <cell r="D272" t="str">
            <v>饮料</v>
          </cell>
          <cell r="E272">
            <v>72</v>
          </cell>
        </row>
        <row r="273">
          <cell r="A273">
            <v>1995</v>
          </cell>
          <cell r="B273">
            <v>34919</v>
          </cell>
          <cell r="C273" t="str">
            <v>美国</v>
          </cell>
          <cell r="D273" t="str">
            <v>香料</v>
          </cell>
          <cell r="E273">
            <v>368.12499971129</v>
          </cell>
        </row>
        <row r="274">
          <cell r="A274">
            <v>1995</v>
          </cell>
          <cell r="B274">
            <v>34919</v>
          </cell>
          <cell r="C274" t="str">
            <v>美国</v>
          </cell>
          <cell r="D274" t="str">
            <v>糖果</v>
          </cell>
          <cell r="E274">
            <v>148.3424998836592</v>
          </cell>
        </row>
        <row r="275">
          <cell r="A275">
            <v>1995</v>
          </cell>
          <cell r="B275">
            <v>34920</v>
          </cell>
          <cell r="C275" t="str">
            <v>美国</v>
          </cell>
          <cell r="D275" t="str">
            <v>糖果</v>
          </cell>
          <cell r="E275">
            <v>1360.799994930625</v>
          </cell>
        </row>
        <row r="276">
          <cell r="A276">
            <v>1995</v>
          </cell>
          <cell r="B276">
            <v>34920</v>
          </cell>
          <cell r="C276" t="str">
            <v>美国</v>
          </cell>
          <cell r="D276" t="str">
            <v>乳制品</v>
          </cell>
          <cell r="E276">
            <v>575.99999785423279</v>
          </cell>
        </row>
        <row r="277">
          <cell r="A277">
            <v>1995</v>
          </cell>
          <cell r="B277">
            <v>34920</v>
          </cell>
          <cell r="C277" t="str">
            <v>美国</v>
          </cell>
          <cell r="D277" t="str">
            <v>饮料</v>
          </cell>
          <cell r="E277">
            <v>57.599999785423279</v>
          </cell>
        </row>
        <row r="278">
          <cell r="A278">
            <v>1995</v>
          </cell>
          <cell r="B278">
            <v>34920</v>
          </cell>
          <cell r="C278" t="str">
            <v>加拿大</v>
          </cell>
          <cell r="D278" t="str">
            <v>面食/谷类</v>
          </cell>
          <cell r="E278">
            <v>168</v>
          </cell>
        </row>
        <row r="279">
          <cell r="A279">
            <v>1995</v>
          </cell>
          <cell r="B279">
            <v>34920</v>
          </cell>
          <cell r="C279" t="str">
            <v>加拿大</v>
          </cell>
          <cell r="D279" t="str">
            <v>海洋食品</v>
          </cell>
          <cell r="E279">
            <v>397.5</v>
          </cell>
        </row>
        <row r="280">
          <cell r="A280">
            <v>1995</v>
          </cell>
          <cell r="B280">
            <v>34922</v>
          </cell>
          <cell r="C280" t="str">
            <v>加拿大</v>
          </cell>
          <cell r="D280" t="str">
            <v>面食/谷类</v>
          </cell>
          <cell r="E280">
            <v>151.99999943375587</v>
          </cell>
        </row>
        <row r="281">
          <cell r="A281">
            <v>1995</v>
          </cell>
          <cell r="B281">
            <v>34922</v>
          </cell>
          <cell r="C281" t="str">
            <v>加拿大</v>
          </cell>
          <cell r="D281" t="str">
            <v>香料</v>
          </cell>
          <cell r="E281">
            <v>842.87999686002729</v>
          </cell>
        </row>
        <row r="282">
          <cell r="A282">
            <v>1995</v>
          </cell>
          <cell r="B282">
            <v>34922</v>
          </cell>
          <cell r="C282" t="str">
            <v>加拿大</v>
          </cell>
          <cell r="D282" t="str">
            <v>饮料</v>
          </cell>
          <cell r="E282">
            <v>185.999999307096</v>
          </cell>
        </row>
        <row r="283">
          <cell r="A283">
            <v>1995</v>
          </cell>
          <cell r="B283">
            <v>34925</v>
          </cell>
          <cell r="C283" t="str">
            <v>加拿大</v>
          </cell>
          <cell r="D283" t="str">
            <v>糖果</v>
          </cell>
          <cell r="E283">
            <v>2195</v>
          </cell>
        </row>
        <row r="284">
          <cell r="A284">
            <v>1995</v>
          </cell>
          <cell r="B284">
            <v>34925</v>
          </cell>
          <cell r="C284" t="str">
            <v>加拿大</v>
          </cell>
          <cell r="D284" t="str">
            <v>乳制品</v>
          </cell>
          <cell r="E284">
            <v>193.5</v>
          </cell>
        </row>
        <row r="285">
          <cell r="A285">
            <v>1995</v>
          </cell>
          <cell r="B285">
            <v>34927</v>
          </cell>
          <cell r="C285" t="str">
            <v>加拿大</v>
          </cell>
          <cell r="D285" t="str">
            <v>肉/家禽</v>
          </cell>
          <cell r="E285">
            <v>29.8</v>
          </cell>
        </row>
        <row r="286">
          <cell r="A286">
            <v>1995</v>
          </cell>
          <cell r="B286">
            <v>34927</v>
          </cell>
          <cell r="C286" t="str">
            <v>加拿大</v>
          </cell>
          <cell r="D286" t="str">
            <v>海洋食品</v>
          </cell>
          <cell r="E286">
            <v>450</v>
          </cell>
        </row>
        <row r="287">
          <cell r="A287">
            <v>1995</v>
          </cell>
          <cell r="B287">
            <v>34929</v>
          </cell>
          <cell r="C287" t="str">
            <v>加拿大</v>
          </cell>
          <cell r="D287" t="str">
            <v>面食/谷类</v>
          </cell>
          <cell r="E287">
            <v>1008</v>
          </cell>
        </row>
        <row r="288">
          <cell r="A288">
            <v>1995</v>
          </cell>
          <cell r="B288">
            <v>34929</v>
          </cell>
          <cell r="C288" t="str">
            <v>加拿大</v>
          </cell>
          <cell r="D288" t="str">
            <v>糖果</v>
          </cell>
          <cell r="E288">
            <v>474.99999962747097</v>
          </cell>
        </row>
        <row r="289">
          <cell r="A289">
            <v>1995</v>
          </cell>
          <cell r="B289">
            <v>34933</v>
          </cell>
          <cell r="C289" t="str">
            <v>加拿大</v>
          </cell>
          <cell r="D289" t="str">
            <v>农产品</v>
          </cell>
          <cell r="E289">
            <v>1350</v>
          </cell>
        </row>
        <row r="290">
          <cell r="A290">
            <v>1995</v>
          </cell>
          <cell r="B290">
            <v>34933</v>
          </cell>
          <cell r="C290" t="str">
            <v>加拿大</v>
          </cell>
          <cell r="D290" t="str">
            <v>肉/家禽</v>
          </cell>
          <cell r="E290">
            <v>3900</v>
          </cell>
        </row>
        <row r="291">
          <cell r="A291">
            <v>1995</v>
          </cell>
          <cell r="B291">
            <v>34933</v>
          </cell>
          <cell r="C291" t="str">
            <v>加拿大</v>
          </cell>
          <cell r="D291" t="str">
            <v>乳制品</v>
          </cell>
          <cell r="E291">
            <v>35</v>
          </cell>
        </row>
        <row r="292">
          <cell r="A292">
            <v>1995</v>
          </cell>
          <cell r="B292">
            <v>34933</v>
          </cell>
          <cell r="C292" t="str">
            <v>加拿大</v>
          </cell>
          <cell r="D292" t="str">
            <v>海洋食品</v>
          </cell>
          <cell r="E292">
            <v>772.8</v>
          </cell>
        </row>
        <row r="293">
          <cell r="A293">
            <v>1995</v>
          </cell>
          <cell r="B293">
            <v>34933</v>
          </cell>
          <cell r="C293" t="str">
            <v>加拿大</v>
          </cell>
          <cell r="D293" t="str">
            <v>乳制品</v>
          </cell>
          <cell r="E293">
            <v>417.6</v>
          </cell>
        </row>
        <row r="294">
          <cell r="A294">
            <v>1995</v>
          </cell>
          <cell r="B294">
            <v>34934</v>
          </cell>
          <cell r="C294" t="str">
            <v>美国</v>
          </cell>
          <cell r="D294" t="str">
            <v>面食/谷类</v>
          </cell>
          <cell r="E294">
            <v>1064</v>
          </cell>
        </row>
        <row r="295">
          <cell r="A295">
            <v>1995</v>
          </cell>
          <cell r="B295">
            <v>34939</v>
          </cell>
          <cell r="C295" t="str">
            <v>加拿大</v>
          </cell>
          <cell r="D295" t="str">
            <v>海洋食品</v>
          </cell>
          <cell r="E295">
            <v>2170</v>
          </cell>
        </row>
        <row r="296">
          <cell r="A296">
            <v>1995</v>
          </cell>
          <cell r="B296">
            <v>34939</v>
          </cell>
          <cell r="C296" t="str">
            <v>加拿大</v>
          </cell>
          <cell r="D296" t="str">
            <v>海洋食品</v>
          </cell>
          <cell r="E296">
            <v>1045</v>
          </cell>
        </row>
        <row r="297">
          <cell r="A297">
            <v>1995</v>
          </cell>
          <cell r="B297">
            <v>34939</v>
          </cell>
          <cell r="C297" t="str">
            <v>加拿大</v>
          </cell>
          <cell r="D297" t="str">
            <v>糖果</v>
          </cell>
          <cell r="E297">
            <v>360</v>
          </cell>
        </row>
        <row r="298">
          <cell r="A298">
            <v>1995</v>
          </cell>
          <cell r="B298">
            <v>34939</v>
          </cell>
          <cell r="C298" t="str">
            <v>加拿大</v>
          </cell>
          <cell r="D298" t="str">
            <v>乳制品</v>
          </cell>
          <cell r="E298">
            <v>1360</v>
          </cell>
        </row>
        <row r="299">
          <cell r="A299">
            <v>1995</v>
          </cell>
          <cell r="B299">
            <v>34939</v>
          </cell>
          <cell r="C299" t="str">
            <v>加拿大</v>
          </cell>
          <cell r="D299" t="str">
            <v>饮料</v>
          </cell>
          <cell r="E299">
            <v>1440</v>
          </cell>
        </row>
        <row r="300">
          <cell r="A300">
            <v>1995</v>
          </cell>
          <cell r="B300">
            <v>34940</v>
          </cell>
          <cell r="C300" t="str">
            <v>美国</v>
          </cell>
          <cell r="D300" t="str">
            <v>乳制品</v>
          </cell>
          <cell r="E300">
            <v>294</v>
          </cell>
        </row>
        <row r="301">
          <cell r="A301">
            <v>1995</v>
          </cell>
          <cell r="B301">
            <v>34940</v>
          </cell>
          <cell r="C301" t="str">
            <v>美国</v>
          </cell>
          <cell r="D301" t="str">
            <v>糖果</v>
          </cell>
          <cell r="E301">
            <v>80</v>
          </cell>
        </row>
        <row r="302">
          <cell r="A302">
            <v>1995</v>
          </cell>
          <cell r="B302">
            <v>34940</v>
          </cell>
          <cell r="C302" t="str">
            <v>美国</v>
          </cell>
          <cell r="D302" t="str">
            <v>饮料</v>
          </cell>
          <cell r="E302">
            <v>90</v>
          </cell>
        </row>
        <row r="303">
          <cell r="A303">
            <v>1995</v>
          </cell>
          <cell r="B303">
            <v>34942</v>
          </cell>
          <cell r="C303" t="str">
            <v>加拿大</v>
          </cell>
          <cell r="D303" t="str">
            <v>饮料</v>
          </cell>
          <cell r="E303">
            <v>3754.874997055158</v>
          </cell>
        </row>
        <row r="304">
          <cell r="A304">
            <v>1995</v>
          </cell>
          <cell r="B304">
            <v>34942</v>
          </cell>
          <cell r="C304" t="str">
            <v>加拿大</v>
          </cell>
          <cell r="D304" t="str">
            <v>面食/谷类</v>
          </cell>
          <cell r="E304">
            <v>532</v>
          </cell>
        </row>
        <row r="305">
          <cell r="A305">
            <v>1995</v>
          </cell>
          <cell r="B305">
            <v>34942</v>
          </cell>
          <cell r="C305" t="str">
            <v>加拿大</v>
          </cell>
          <cell r="D305" t="str">
            <v>饮料</v>
          </cell>
          <cell r="E305">
            <v>213.74999983236194</v>
          </cell>
        </row>
        <row r="306">
          <cell r="A306">
            <v>1995</v>
          </cell>
          <cell r="B306">
            <v>34942</v>
          </cell>
          <cell r="C306" t="str">
            <v>加拿大</v>
          </cell>
          <cell r="D306" t="str">
            <v>乳制品</v>
          </cell>
          <cell r="E306">
            <v>306.37499975971878</v>
          </cell>
        </row>
        <row r="307">
          <cell r="A307">
            <v>1995</v>
          </cell>
          <cell r="B307">
            <v>34942</v>
          </cell>
          <cell r="C307" t="str">
            <v>加拿大</v>
          </cell>
          <cell r="D307" t="str">
            <v>乳制品</v>
          </cell>
          <cell r="E307">
            <v>1402.4999901652336</v>
          </cell>
        </row>
        <row r="308">
          <cell r="A308">
            <v>1995</v>
          </cell>
          <cell r="B308">
            <v>34949</v>
          </cell>
          <cell r="C308" t="str">
            <v>美国</v>
          </cell>
          <cell r="D308" t="str">
            <v>农产品</v>
          </cell>
          <cell r="E308">
            <v>488.25</v>
          </cell>
        </row>
        <row r="309">
          <cell r="A309">
            <v>1995</v>
          </cell>
          <cell r="B309">
            <v>34949</v>
          </cell>
          <cell r="C309" t="str">
            <v>美国</v>
          </cell>
          <cell r="D309" t="str">
            <v>糖果</v>
          </cell>
          <cell r="E309">
            <v>124.19999979436398</v>
          </cell>
        </row>
        <row r="310">
          <cell r="A310">
            <v>1995</v>
          </cell>
          <cell r="B310">
            <v>34949</v>
          </cell>
          <cell r="C310" t="str">
            <v>美国</v>
          </cell>
          <cell r="D310" t="str">
            <v>糖果</v>
          </cell>
          <cell r="E310">
            <v>224.99999962747097</v>
          </cell>
        </row>
        <row r="311">
          <cell r="A311">
            <v>1995</v>
          </cell>
          <cell r="B311">
            <v>34949</v>
          </cell>
          <cell r="C311" t="str">
            <v>美国</v>
          </cell>
          <cell r="D311" t="str">
            <v>饮料</v>
          </cell>
          <cell r="E311">
            <v>13.5</v>
          </cell>
        </row>
        <row r="312">
          <cell r="A312">
            <v>1995</v>
          </cell>
          <cell r="B312">
            <v>34949</v>
          </cell>
          <cell r="C312" t="str">
            <v>美国</v>
          </cell>
          <cell r="D312" t="str">
            <v>饮料</v>
          </cell>
          <cell r="E312">
            <v>485.9999991953373</v>
          </cell>
        </row>
        <row r="313">
          <cell r="A313">
            <v>1995</v>
          </cell>
          <cell r="B313">
            <v>34949</v>
          </cell>
          <cell r="C313" t="str">
            <v>加拿大</v>
          </cell>
          <cell r="D313" t="str">
            <v>农产品</v>
          </cell>
          <cell r="E313">
            <v>456</v>
          </cell>
        </row>
        <row r="314">
          <cell r="A314">
            <v>1995</v>
          </cell>
          <cell r="B314">
            <v>34949</v>
          </cell>
          <cell r="C314" t="str">
            <v>加拿大</v>
          </cell>
          <cell r="D314" t="str">
            <v>肉/家禽</v>
          </cell>
          <cell r="E314">
            <v>742.74</v>
          </cell>
        </row>
        <row r="315">
          <cell r="A315">
            <v>1995</v>
          </cell>
          <cell r="B315">
            <v>34949</v>
          </cell>
          <cell r="C315" t="str">
            <v>加拿大</v>
          </cell>
          <cell r="D315" t="str">
            <v>香料</v>
          </cell>
          <cell r="E315">
            <v>194.5</v>
          </cell>
        </row>
        <row r="316">
          <cell r="A316">
            <v>1995</v>
          </cell>
          <cell r="B316">
            <v>34953</v>
          </cell>
          <cell r="C316" t="str">
            <v>加拿大</v>
          </cell>
          <cell r="D316" t="str">
            <v>糖果</v>
          </cell>
          <cell r="E316">
            <v>739.5</v>
          </cell>
        </row>
        <row r="317">
          <cell r="A317">
            <v>1995</v>
          </cell>
          <cell r="B317">
            <v>34953</v>
          </cell>
          <cell r="C317" t="str">
            <v>加拿大</v>
          </cell>
          <cell r="D317" t="str">
            <v>海洋食品</v>
          </cell>
          <cell r="E317">
            <v>446.24999687075615</v>
          </cell>
        </row>
        <row r="318">
          <cell r="A318">
            <v>1995</v>
          </cell>
          <cell r="B318">
            <v>34955</v>
          </cell>
          <cell r="C318" t="str">
            <v>美国</v>
          </cell>
          <cell r="D318" t="str">
            <v>肉/家禽</v>
          </cell>
          <cell r="E318">
            <v>273.59999978542328</v>
          </cell>
        </row>
        <row r="319">
          <cell r="A319">
            <v>1995</v>
          </cell>
          <cell r="B319">
            <v>34955</v>
          </cell>
          <cell r="C319" t="str">
            <v>美国</v>
          </cell>
          <cell r="D319" t="str">
            <v>饮料</v>
          </cell>
          <cell r="E319">
            <v>630</v>
          </cell>
        </row>
        <row r="320">
          <cell r="A320">
            <v>1995</v>
          </cell>
          <cell r="B320">
            <v>34956</v>
          </cell>
          <cell r="C320" t="str">
            <v>美国</v>
          </cell>
          <cell r="D320" t="str">
            <v>饮料</v>
          </cell>
          <cell r="E320">
            <v>541.49999957531691</v>
          </cell>
        </row>
        <row r="321">
          <cell r="A321">
            <v>1995</v>
          </cell>
          <cell r="B321">
            <v>34956</v>
          </cell>
          <cell r="C321" t="str">
            <v>美国</v>
          </cell>
          <cell r="D321" t="str">
            <v>乳制品</v>
          </cell>
          <cell r="E321">
            <v>47.499999962747097</v>
          </cell>
        </row>
        <row r="322">
          <cell r="A322">
            <v>1995</v>
          </cell>
          <cell r="B322">
            <v>34963</v>
          </cell>
          <cell r="C322" t="str">
            <v>美国</v>
          </cell>
          <cell r="D322" t="str">
            <v>乳制品</v>
          </cell>
          <cell r="E322">
            <v>540</v>
          </cell>
        </row>
        <row r="323">
          <cell r="A323">
            <v>1995</v>
          </cell>
          <cell r="B323">
            <v>34963</v>
          </cell>
          <cell r="C323" t="str">
            <v>美国</v>
          </cell>
          <cell r="D323" t="str">
            <v>饮料</v>
          </cell>
          <cell r="E323">
            <v>168.75</v>
          </cell>
        </row>
        <row r="324">
          <cell r="A324">
            <v>1995</v>
          </cell>
          <cell r="B324">
            <v>34974</v>
          </cell>
          <cell r="C324" t="str">
            <v>美国</v>
          </cell>
          <cell r="D324" t="str">
            <v>糖果</v>
          </cell>
          <cell r="E324">
            <v>82.8</v>
          </cell>
        </row>
        <row r="325">
          <cell r="A325">
            <v>1995</v>
          </cell>
          <cell r="B325">
            <v>34974</v>
          </cell>
          <cell r="C325" t="str">
            <v>美国</v>
          </cell>
          <cell r="D325" t="str">
            <v>面食/谷类</v>
          </cell>
          <cell r="E325">
            <v>315</v>
          </cell>
        </row>
        <row r="326">
          <cell r="A326">
            <v>1995</v>
          </cell>
          <cell r="B326">
            <v>34975</v>
          </cell>
          <cell r="C326" t="str">
            <v>美国</v>
          </cell>
          <cell r="D326" t="str">
            <v>糖果</v>
          </cell>
          <cell r="E326">
            <v>471.14999921992421</v>
          </cell>
        </row>
        <row r="327">
          <cell r="A327">
            <v>1995</v>
          </cell>
          <cell r="B327">
            <v>34975</v>
          </cell>
          <cell r="C327" t="str">
            <v>美国</v>
          </cell>
          <cell r="D327" t="str">
            <v>乳制品</v>
          </cell>
          <cell r="E327">
            <v>611.99999898672104</v>
          </cell>
        </row>
        <row r="328">
          <cell r="A328">
            <v>1995</v>
          </cell>
          <cell r="B328">
            <v>34977</v>
          </cell>
          <cell r="C328" t="str">
            <v>加拿大</v>
          </cell>
          <cell r="D328" t="str">
            <v>农产品</v>
          </cell>
          <cell r="E328">
            <v>62.774999896064401</v>
          </cell>
        </row>
        <row r="329">
          <cell r="A329">
            <v>1995</v>
          </cell>
          <cell r="B329">
            <v>34977</v>
          </cell>
          <cell r="C329" t="str">
            <v>加拿大</v>
          </cell>
          <cell r="D329" t="str">
            <v>香料</v>
          </cell>
          <cell r="E329">
            <v>490.13999918848276</v>
          </cell>
        </row>
        <row r="330">
          <cell r="A330">
            <v>1995</v>
          </cell>
          <cell r="B330">
            <v>34977</v>
          </cell>
          <cell r="C330" t="str">
            <v>加拿大</v>
          </cell>
          <cell r="D330" t="str">
            <v>糖果</v>
          </cell>
          <cell r="E330">
            <v>51.299999915063381</v>
          </cell>
        </row>
        <row r="331">
          <cell r="A331">
            <v>1995</v>
          </cell>
          <cell r="B331">
            <v>34977</v>
          </cell>
          <cell r="C331" t="str">
            <v>加拿大</v>
          </cell>
          <cell r="D331" t="str">
            <v>香料</v>
          </cell>
          <cell r="E331">
            <v>775</v>
          </cell>
        </row>
        <row r="332">
          <cell r="A332">
            <v>1995</v>
          </cell>
          <cell r="B332">
            <v>34977</v>
          </cell>
          <cell r="C332" t="str">
            <v>加拿大</v>
          </cell>
          <cell r="D332" t="str">
            <v>海洋食品</v>
          </cell>
          <cell r="E332">
            <v>231.6</v>
          </cell>
        </row>
        <row r="333">
          <cell r="A333">
            <v>1995</v>
          </cell>
          <cell r="B333">
            <v>34977</v>
          </cell>
          <cell r="C333" t="str">
            <v>加拿大</v>
          </cell>
          <cell r="D333" t="str">
            <v>海洋食品</v>
          </cell>
          <cell r="E333">
            <v>540</v>
          </cell>
        </row>
        <row r="334">
          <cell r="A334">
            <v>1995</v>
          </cell>
          <cell r="B334">
            <v>34977</v>
          </cell>
          <cell r="C334" t="str">
            <v>加拿大</v>
          </cell>
          <cell r="D334" t="str">
            <v>糖果</v>
          </cell>
          <cell r="E334">
            <v>95</v>
          </cell>
        </row>
        <row r="335">
          <cell r="A335">
            <v>1995</v>
          </cell>
          <cell r="B335">
            <v>34977</v>
          </cell>
          <cell r="C335" t="str">
            <v>加拿大</v>
          </cell>
          <cell r="D335" t="str">
            <v>面食/谷类</v>
          </cell>
          <cell r="E335">
            <v>1710</v>
          </cell>
        </row>
        <row r="336">
          <cell r="A336">
            <v>1995</v>
          </cell>
          <cell r="B336">
            <v>34977</v>
          </cell>
          <cell r="C336" t="str">
            <v>加拿大</v>
          </cell>
          <cell r="D336" t="str">
            <v>乳制品</v>
          </cell>
          <cell r="E336">
            <v>1020</v>
          </cell>
        </row>
        <row r="337">
          <cell r="A337">
            <v>1995</v>
          </cell>
          <cell r="B337">
            <v>34978</v>
          </cell>
          <cell r="C337" t="str">
            <v>美国</v>
          </cell>
          <cell r="D337" t="str">
            <v>糖果</v>
          </cell>
          <cell r="E337">
            <v>600</v>
          </cell>
        </row>
        <row r="338">
          <cell r="A338">
            <v>1995</v>
          </cell>
          <cell r="B338">
            <v>34978</v>
          </cell>
          <cell r="C338" t="str">
            <v>美国</v>
          </cell>
          <cell r="D338" t="str">
            <v>海洋食品</v>
          </cell>
          <cell r="E338">
            <v>1223.5999990403652</v>
          </cell>
        </row>
        <row r="339">
          <cell r="A339">
            <v>1995</v>
          </cell>
          <cell r="B339">
            <v>34978</v>
          </cell>
          <cell r="C339" t="str">
            <v>美国</v>
          </cell>
          <cell r="D339" t="str">
            <v>乳制品</v>
          </cell>
          <cell r="E339">
            <v>1776.4999986067414</v>
          </cell>
        </row>
        <row r="340">
          <cell r="A340">
            <v>1995</v>
          </cell>
          <cell r="B340">
            <v>34978</v>
          </cell>
          <cell r="C340" t="str">
            <v>美国</v>
          </cell>
          <cell r="D340" t="str">
            <v>香料</v>
          </cell>
          <cell r="E340">
            <v>864.49999932199717</v>
          </cell>
        </row>
        <row r="341">
          <cell r="A341">
            <v>1995</v>
          </cell>
          <cell r="B341">
            <v>34981</v>
          </cell>
          <cell r="C341" t="str">
            <v>加拿大</v>
          </cell>
          <cell r="D341" t="str">
            <v>糖果</v>
          </cell>
          <cell r="E341">
            <v>1701</v>
          </cell>
        </row>
        <row r="342">
          <cell r="A342">
            <v>1995</v>
          </cell>
          <cell r="B342">
            <v>34982</v>
          </cell>
          <cell r="C342" t="str">
            <v>加拿大</v>
          </cell>
          <cell r="D342" t="str">
            <v>糖果</v>
          </cell>
          <cell r="E342">
            <v>125</v>
          </cell>
        </row>
        <row r="343">
          <cell r="A343">
            <v>1995</v>
          </cell>
          <cell r="B343">
            <v>34984</v>
          </cell>
          <cell r="C343" t="str">
            <v>加拿大</v>
          </cell>
          <cell r="D343" t="str">
            <v>农产品</v>
          </cell>
          <cell r="E343">
            <v>1060</v>
          </cell>
        </row>
        <row r="344">
          <cell r="A344">
            <v>1995</v>
          </cell>
          <cell r="B344">
            <v>34984</v>
          </cell>
          <cell r="C344" t="str">
            <v>加拿大</v>
          </cell>
          <cell r="D344" t="str">
            <v>乳制品</v>
          </cell>
          <cell r="E344">
            <v>55</v>
          </cell>
        </row>
        <row r="345">
          <cell r="A345">
            <v>1995</v>
          </cell>
          <cell r="B345">
            <v>34984</v>
          </cell>
          <cell r="C345" t="str">
            <v>加拿大</v>
          </cell>
          <cell r="D345" t="str">
            <v>饮料</v>
          </cell>
          <cell r="E345">
            <v>180</v>
          </cell>
        </row>
        <row r="346">
          <cell r="A346">
            <v>1995</v>
          </cell>
          <cell r="B346">
            <v>34988</v>
          </cell>
          <cell r="C346" t="str">
            <v>美国</v>
          </cell>
          <cell r="D346" t="str">
            <v>乳制品</v>
          </cell>
          <cell r="E346">
            <v>89.999999850988388</v>
          </cell>
        </row>
        <row r="347">
          <cell r="A347">
            <v>1995</v>
          </cell>
          <cell r="B347">
            <v>34988</v>
          </cell>
          <cell r="C347" t="str">
            <v>美国</v>
          </cell>
          <cell r="D347" t="str">
            <v>肉/家禽</v>
          </cell>
          <cell r="E347">
            <v>86.399999856948853</v>
          </cell>
        </row>
        <row r="348">
          <cell r="A348">
            <v>1995</v>
          </cell>
          <cell r="B348">
            <v>34988</v>
          </cell>
          <cell r="C348" t="str">
            <v>美国</v>
          </cell>
          <cell r="D348" t="str">
            <v>面食/谷类</v>
          </cell>
          <cell r="E348">
            <v>448.87499925680459</v>
          </cell>
        </row>
        <row r="349">
          <cell r="A349">
            <v>1995</v>
          </cell>
          <cell r="B349">
            <v>34989</v>
          </cell>
          <cell r="C349" t="str">
            <v>美国</v>
          </cell>
          <cell r="D349" t="str">
            <v>面食/谷类</v>
          </cell>
          <cell r="E349">
            <v>288</v>
          </cell>
        </row>
        <row r="350">
          <cell r="A350">
            <v>1995</v>
          </cell>
          <cell r="B350">
            <v>34989</v>
          </cell>
          <cell r="C350" t="str">
            <v>美国</v>
          </cell>
          <cell r="D350" t="str">
            <v>海洋食品</v>
          </cell>
          <cell r="E350">
            <v>720</v>
          </cell>
        </row>
        <row r="351">
          <cell r="A351">
            <v>1995</v>
          </cell>
          <cell r="B351">
            <v>34989</v>
          </cell>
          <cell r="C351" t="str">
            <v>美国</v>
          </cell>
          <cell r="D351" t="str">
            <v>饮料</v>
          </cell>
          <cell r="E351">
            <v>350</v>
          </cell>
        </row>
        <row r="352">
          <cell r="A352">
            <v>1995</v>
          </cell>
          <cell r="B352">
            <v>34989</v>
          </cell>
          <cell r="C352" t="str">
            <v>美国</v>
          </cell>
          <cell r="D352" t="str">
            <v>海洋食品</v>
          </cell>
          <cell r="E352">
            <v>750</v>
          </cell>
        </row>
        <row r="353">
          <cell r="A353">
            <v>1995</v>
          </cell>
          <cell r="B353">
            <v>34989</v>
          </cell>
          <cell r="C353" t="str">
            <v>美国</v>
          </cell>
          <cell r="D353" t="str">
            <v>饮料</v>
          </cell>
          <cell r="E353">
            <v>193.75</v>
          </cell>
        </row>
        <row r="354">
          <cell r="A354">
            <v>1995</v>
          </cell>
          <cell r="B354">
            <v>34992</v>
          </cell>
          <cell r="C354" t="str">
            <v>美国</v>
          </cell>
          <cell r="D354" t="str">
            <v>农产品</v>
          </cell>
          <cell r="E354">
            <v>697.5</v>
          </cell>
        </row>
        <row r="355">
          <cell r="A355">
            <v>1995</v>
          </cell>
          <cell r="B355">
            <v>34992</v>
          </cell>
          <cell r="C355" t="str">
            <v>美国</v>
          </cell>
          <cell r="D355" t="str">
            <v>肉/家禽</v>
          </cell>
          <cell r="E355">
            <v>328</v>
          </cell>
        </row>
        <row r="356">
          <cell r="A356">
            <v>1995</v>
          </cell>
          <cell r="B356">
            <v>34992</v>
          </cell>
          <cell r="C356" t="str">
            <v>美国</v>
          </cell>
          <cell r="D356" t="str">
            <v>海洋食品</v>
          </cell>
          <cell r="E356">
            <v>397.5</v>
          </cell>
        </row>
        <row r="357">
          <cell r="A357">
            <v>1995</v>
          </cell>
          <cell r="B357">
            <v>34996</v>
          </cell>
          <cell r="C357" t="str">
            <v>加拿大</v>
          </cell>
          <cell r="D357" t="str">
            <v>乳制品</v>
          </cell>
          <cell r="E357">
            <v>3800</v>
          </cell>
        </row>
        <row r="358">
          <cell r="A358">
            <v>1995</v>
          </cell>
          <cell r="B358">
            <v>34996</v>
          </cell>
          <cell r="C358" t="str">
            <v>加拿大</v>
          </cell>
          <cell r="D358" t="str">
            <v>乳制品</v>
          </cell>
          <cell r="E358">
            <v>75</v>
          </cell>
        </row>
        <row r="359">
          <cell r="A359">
            <v>1995</v>
          </cell>
          <cell r="B359">
            <v>34996</v>
          </cell>
          <cell r="C359" t="str">
            <v>加拿大</v>
          </cell>
          <cell r="D359" t="str">
            <v>海洋食品</v>
          </cell>
          <cell r="E359">
            <v>1158</v>
          </cell>
        </row>
        <row r="360">
          <cell r="A360">
            <v>1995</v>
          </cell>
          <cell r="B360">
            <v>34996</v>
          </cell>
          <cell r="C360" t="str">
            <v>加拿大</v>
          </cell>
          <cell r="D360" t="str">
            <v>肉/家禽</v>
          </cell>
          <cell r="E360">
            <v>223.5</v>
          </cell>
        </row>
        <row r="361">
          <cell r="A361">
            <v>1995</v>
          </cell>
          <cell r="B361">
            <v>34997</v>
          </cell>
          <cell r="C361" t="str">
            <v>加拿大</v>
          </cell>
          <cell r="D361" t="str">
            <v>糖果</v>
          </cell>
          <cell r="E361">
            <v>654.375</v>
          </cell>
        </row>
        <row r="362">
          <cell r="A362">
            <v>1995</v>
          </cell>
          <cell r="B362">
            <v>34997</v>
          </cell>
          <cell r="C362" t="str">
            <v>加拿大</v>
          </cell>
          <cell r="D362" t="str">
            <v>乳制品</v>
          </cell>
          <cell r="E362">
            <v>187.5</v>
          </cell>
        </row>
        <row r="363">
          <cell r="A363">
            <v>1995</v>
          </cell>
          <cell r="B363">
            <v>34997</v>
          </cell>
          <cell r="C363" t="str">
            <v>加拿大</v>
          </cell>
          <cell r="D363" t="str">
            <v>面食/谷类</v>
          </cell>
          <cell r="E363">
            <v>420</v>
          </cell>
        </row>
        <row r="364">
          <cell r="A364">
            <v>1995</v>
          </cell>
          <cell r="B364">
            <v>34998</v>
          </cell>
          <cell r="C364" t="str">
            <v>加拿大</v>
          </cell>
          <cell r="D364" t="str">
            <v>糖果</v>
          </cell>
          <cell r="E364">
            <v>248.39999958872795</v>
          </cell>
        </row>
        <row r="365">
          <cell r="A365">
            <v>1995</v>
          </cell>
          <cell r="B365">
            <v>34998</v>
          </cell>
          <cell r="C365" t="str">
            <v>加拿大</v>
          </cell>
          <cell r="D365" t="str">
            <v>糖果</v>
          </cell>
          <cell r="E365">
            <v>107.99999982118607</v>
          </cell>
        </row>
        <row r="366">
          <cell r="A366">
            <v>1995</v>
          </cell>
          <cell r="B366">
            <v>34998</v>
          </cell>
          <cell r="C366" t="str">
            <v>加拿大</v>
          </cell>
          <cell r="D366" t="str">
            <v>面食/谷类</v>
          </cell>
          <cell r="E366">
            <v>931</v>
          </cell>
        </row>
        <row r="367">
          <cell r="A367">
            <v>1995</v>
          </cell>
          <cell r="B367">
            <v>34999</v>
          </cell>
          <cell r="C367" t="str">
            <v>美国</v>
          </cell>
          <cell r="D367" t="str">
            <v>海洋食品</v>
          </cell>
          <cell r="E367">
            <v>368</v>
          </cell>
        </row>
        <row r="368">
          <cell r="A368">
            <v>1995</v>
          </cell>
          <cell r="B368">
            <v>34999</v>
          </cell>
          <cell r="C368" t="str">
            <v>美国</v>
          </cell>
          <cell r="D368" t="str">
            <v>糖果</v>
          </cell>
          <cell r="E368">
            <v>380</v>
          </cell>
        </row>
        <row r="369">
          <cell r="A369">
            <v>1995</v>
          </cell>
          <cell r="B369">
            <v>34999</v>
          </cell>
          <cell r="C369" t="str">
            <v>美国</v>
          </cell>
          <cell r="D369" t="str">
            <v>乳制品</v>
          </cell>
          <cell r="E369">
            <v>1020</v>
          </cell>
        </row>
        <row r="370">
          <cell r="A370">
            <v>1995</v>
          </cell>
          <cell r="B370">
            <v>35006</v>
          </cell>
          <cell r="C370" t="str">
            <v>美国</v>
          </cell>
          <cell r="D370" t="str">
            <v>饮料</v>
          </cell>
          <cell r="E370">
            <v>540</v>
          </cell>
        </row>
        <row r="371">
          <cell r="A371">
            <v>1995</v>
          </cell>
          <cell r="B371">
            <v>35006</v>
          </cell>
          <cell r="C371" t="str">
            <v>美国</v>
          </cell>
          <cell r="D371" t="str">
            <v>肉/家禽</v>
          </cell>
          <cell r="E371">
            <v>4951.6000000000004</v>
          </cell>
        </row>
        <row r="372">
          <cell r="A372">
            <v>1995</v>
          </cell>
          <cell r="B372">
            <v>35006</v>
          </cell>
          <cell r="C372" t="str">
            <v>美国</v>
          </cell>
          <cell r="D372" t="str">
            <v>饮料</v>
          </cell>
          <cell r="E372">
            <v>1840</v>
          </cell>
        </row>
        <row r="373">
          <cell r="A373">
            <v>1995</v>
          </cell>
          <cell r="B373">
            <v>35006</v>
          </cell>
          <cell r="C373" t="str">
            <v>美国</v>
          </cell>
          <cell r="D373" t="str">
            <v>香料</v>
          </cell>
          <cell r="E373">
            <v>466.8</v>
          </cell>
        </row>
        <row r="374">
          <cell r="A374">
            <v>1995</v>
          </cell>
          <cell r="B374">
            <v>35006</v>
          </cell>
          <cell r="C374" t="str">
            <v>美国</v>
          </cell>
          <cell r="D374" t="str">
            <v>糖果</v>
          </cell>
          <cell r="E374">
            <v>2366.4</v>
          </cell>
        </row>
        <row r="375">
          <cell r="A375">
            <v>1995</v>
          </cell>
          <cell r="B375">
            <v>35009</v>
          </cell>
          <cell r="C375" t="str">
            <v>加拿大</v>
          </cell>
          <cell r="D375" t="str">
            <v>肉/家禽</v>
          </cell>
          <cell r="E375">
            <v>582</v>
          </cell>
        </row>
        <row r="376">
          <cell r="A376">
            <v>1995</v>
          </cell>
          <cell r="B376">
            <v>35009</v>
          </cell>
          <cell r="C376" t="str">
            <v>加拿大</v>
          </cell>
          <cell r="D376" t="str">
            <v>肉/家禽</v>
          </cell>
          <cell r="E376">
            <v>379.94999733567238</v>
          </cell>
        </row>
        <row r="377">
          <cell r="A377">
            <v>1995</v>
          </cell>
          <cell r="B377">
            <v>35009</v>
          </cell>
          <cell r="C377" t="str">
            <v>加拿大</v>
          </cell>
          <cell r="D377" t="str">
            <v>乳制品</v>
          </cell>
          <cell r="E377">
            <v>917.99999356269836</v>
          </cell>
        </row>
        <row r="378">
          <cell r="A378">
            <v>1995</v>
          </cell>
          <cell r="B378">
            <v>35009</v>
          </cell>
          <cell r="C378" t="str">
            <v>加拿大</v>
          </cell>
          <cell r="D378" t="str">
            <v>海洋食品</v>
          </cell>
          <cell r="E378">
            <v>191.24999865889549</v>
          </cell>
        </row>
        <row r="379">
          <cell r="A379">
            <v>1995</v>
          </cell>
          <cell r="B379">
            <v>35009</v>
          </cell>
          <cell r="C379" t="str">
            <v>美国</v>
          </cell>
          <cell r="D379" t="str">
            <v>农产品</v>
          </cell>
          <cell r="E379">
            <v>2700</v>
          </cell>
        </row>
        <row r="380">
          <cell r="A380">
            <v>1995</v>
          </cell>
          <cell r="B380">
            <v>35009</v>
          </cell>
          <cell r="C380" t="str">
            <v>美国</v>
          </cell>
          <cell r="D380" t="str">
            <v>乳制品</v>
          </cell>
          <cell r="E380">
            <v>1375</v>
          </cell>
        </row>
        <row r="381">
          <cell r="A381">
            <v>1995</v>
          </cell>
          <cell r="B381">
            <v>35009</v>
          </cell>
          <cell r="C381" t="str">
            <v>美国</v>
          </cell>
          <cell r="D381" t="str">
            <v>饮料</v>
          </cell>
          <cell r="E381">
            <v>750</v>
          </cell>
        </row>
        <row r="382">
          <cell r="A382">
            <v>1995</v>
          </cell>
          <cell r="B382">
            <v>35011</v>
          </cell>
          <cell r="C382" t="str">
            <v>加拿大</v>
          </cell>
          <cell r="D382" t="str">
            <v>肉/家禽</v>
          </cell>
          <cell r="E382">
            <v>780</v>
          </cell>
        </row>
        <row r="383">
          <cell r="A383">
            <v>1995</v>
          </cell>
          <cell r="B383">
            <v>35011</v>
          </cell>
          <cell r="C383" t="str">
            <v>加拿大</v>
          </cell>
          <cell r="D383" t="str">
            <v>海洋食品</v>
          </cell>
          <cell r="E383">
            <v>216</v>
          </cell>
        </row>
        <row r="384">
          <cell r="A384">
            <v>1995</v>
          </cell>
          <cell r="B384">
            <v>35012</v>
          </cell>
          <cell r="C384" t="str">
            <v>美国</v>
          </cell>
          <cell r="D384" t="str">
            <v>糖果</v>
          </cell>
          <cell r="E384">
            <v>114</v>
          </cell>
        </row>
        <row r="385">
          <cell r="A385">
            <v>1995</v>
          </cell>
          <cell r="B385">
            <v>35013</v>
          </cell>
          <cell r="C385" t="str">
            <v>加拿大</v>
          </cell>
          <cell r="D385" t="str">
            <v>饮料</v>
          </cell>
          <cell r="E385">
            <v>71.999999731779099</v>
          </cell>
        </row>
        <row r="386">
          <cell r="A386">
            <v>1995</v>
          </cell>
          <cell r="B386">
            <v>35013</v>
          </cell>
          <cell r="C386" t="str">
            <v>加拿大</v>
          </cell>
          <cell r="D386" t="str">
            <v>饮料</v>
          </cell>
          <cell r="E386">
            <v>134.39999949932098</v>
          </cell>
        </row>
        <row r="387">
          <cell r="A387">
            <v>1995</v>
          </cell>
          <cell r="B387">
            <v>35013</v>
          </cell>
          <cell r="C387" t="str">
            <v>加拿大</v>
          </cell>
          <cell r="D387" t="str">
            <v>糖果</v>
          </cell>
          <cell r="E387">
            <v>399.99999850988388</v>
          </cell>
        </row>
        <row r="388">
          <cell r="A388">
            <v>1995</v>
          </cell>
          <cell r="B388">
            <v>35013</v>
          </cell>
          <cell r="C388" t="str">
            <v>加拿大</v>
          </cell>
          <cell r="D388" t="str">
            <v>乳制品</v>
          </cell>
          <cell r="E388">
            <v>1031.9999961555004</v>
          </cell>
        </row>
        <row r="389">
          <cell r="A389">
            <v>1995</v>
          </cell>
          <cell r="B389">
            <v>35019</v>
          </cell>
          <cell r="C389" t="str">
            <v>加拿大</v>
          </cell>
          <cell r="D389" t="str">
            <v>糖果</v>
          </cell>
          <cell r="E389">
            <v>349</v>
          </cell>
        </row>
        <row r="390">
          <cell r="A390">
            <v>1995</v>
          </cell>
          <cell r="B390">
            <v>35019</v>
          </cell>
          <cell r="C390" t="str">
            <v>加拿大</v>
          </cell>
          <cell r="D390" t="str">
            <v>饮料</v>
          </cell>
          <cell r="E390">
            <v>1104</v>
          </cell>
        </row>
        <row r="391">
          <cell r="A391">
            <v>1995</v>
          </cell>
          <cell r="B391">
            <v>35019</v>
          </cell>
          <cell r="C391" t="str">
            <v>加拿大</v>
          </cell>
          <cell r="D391" t="str">
            <v>乳制品</v>
          </cell>
          <cell r="E391">
            <v>440</v>
          </cell>
        </row>
        <row r="392">
          <cell r="A392">
            <v>1995</v>
          </cell>
          <cell r="B392">
            <v>35020</v>
          </cell>
          <cell r="C392" t="str">
            <v>加拿大</v>
          </cell>
          <cell r="D392" t="str">
            <v>香料</v>
          </cell>
          <cell r="E392">
            <v>85.4</v>
          </cell>
        </row>
        <row r="393">
          <cell r="A393">
            <v>1995</v>
          </cell>
          <cell r="B393">
            <v>35020</v>
          </cell>
          <cell r="C393" t="str">
            <v>加拿大</v>
          </cell>
          <cell r="D393" t="str">
            <v>海洋食品</v>
          </cell>
          <cell r="E393">
            <v>95</v>
          </cell>
        </row>
        <row r="394">
          <cell r="A394">
            <v>1995</v>
          </cell>
          <cell r="B394">
            <v>35024</v>
          </cell>
          <cell r="C394" t="str">
            <v>加拿大</v>
          </cell>
          <cell r="D394" t="str">
            <v>糖果</v>
          </cell>
          <cell r="E394">
            <v>110.4</v>
          </cell>
        </row>
        <row r="395">
          <cell r="A395">
            <v>1995</v>
          </cell>
          <cell r="B395">
            <v>35024</v>
          </cell>
          <cell r="C395" t="str">
            <v>加拿大</v>
          </cell>
          <cell r="D395" t="str">
            <v>海洋食品</v>
          </cell>
          <cell r="E395">
            <v>405.3</v>
          </cell>
        </row>
        <row r="396">
          <cell r="A396">
            <v>1995</v>
          </cell>
          <cell r="B396">
            <v>35024</v>
          </cell>
          <cell r="C396" t="str">
            <v>加拿大</v>
          </cell>
          <cell r="D396" t="str">
            <v>肉/家禽</v>
          </cell>
          <cell r="E396">
            <v>3936</v>
          </cell>
        </row>
        <row r="397">
          <cell r="A397">
            <v>1995</v>
          </cell>
          <cell r="B397">
            <v>35025</v>
          </cell>
          <cell r="C397" t="str">
            <v>加拿大</v>
          </cell>
          <cell r="D397" t="str">
            <v>海洋食品</v>
          </cell>
          <cell r="E397">
            <v>558</v>
          </cell>
        </row>
        <row r="398">
          <cell r="A398">
            <v>1995</v>
          </cell>
          <cell r="B398">
            <v>35025</v>
          </cell>
          <cell r="C398" t="str">
            <v>加拿大</v>
          </cell>
          <cell r="D398" t="str">
            <v>糖果</v>
          </cell>
          <cell r="E398">
            <v>936.9</v>
          </cell>
        </row>
        <row r="399">
          <cell r="A399">
            <v>1995</v>
          </cell>
          <cell r="B399">
            <v>35025</v>
          </cell>
          <cell r="C399" t="str">
            <v>加拿大</v>
          </cell>
          <cell r="D399" t="str">
            <v>海洋食品</v>
          </cell>
          <cell r="E399">
            <v>1045</v>
          </cell>
        </row>
        <row r="400">
          <cell r="A400">
            <v>1995</v>
          </cell>
          <cell r="B400">
            <v>35025</v>
          </cell>
          <cell r="C400" t="str">
            <v>加拿大</v>
          </cell>
          <cell r="D400" t="str">
            <v>海洋食品</v>
          </cell>
          <cell r="E400">
            <v>288</v>
          </cell>
        </row>
        <row r="401">
          <cell r="A401">
            <v>1995</v>
          </cell>
          <cell r="B401">
            <v>35025</v>
          </cell>
          <cell r="C401" t="str">
            <v>加拿大</v>
          </cell>
          <cell r="D401" t="str">
            <v>饮料</v>
          </cell>
          <cell r="E401">
            <v>427.5</v>
          </cell>
        </row>
        <row r="402">
          <cell r="A402">
            <v>1995</v>
          </cell>
          <cell r="B402">
            <v>35025</v>
          </cell>
          <cell r="C402" t="str">
            <v>加拿大</v>
          </cell>
          <cell r="D402" t="str">
            <v>肉/家禽</v>
          </cell>
          <cell r="E402">
            <v>789.75</v>
          </cell>
        </row>
        <row r="403">
          <cell r="A403">
            <v>1995</v>
          </cell>
          <cell r="B403">
            <v>35025</v>
          </cell>
          <cell r="C403" t="str">
            <v>加拿大</v>
          </cell>
          <cell r="D403" t="str">
            <v>糖果</v>
          </cell>
          <cell r="E403">
            <v>356.25</v>
          </cell>
        </row>
        <row r="404">
          <cell r="A404">
            <v>1995</v>
          </cell>
          <cell r="B404">
            <v>35025</v>
          </cell>
          <cell r="C404" t="str">
            <v>加拿大</v>
          </cell>
          <cell r="D404" t="str">
            <v>面食/谷类</v>
          </cell>
          <cell r="E404">
            <v>513</v>
          </cell>
        </row>
        <row r="405">
          <cell r="A405">
            <v>1995</v>
          </cell>
          <cell r="B405">
            <v>35025</v>
          </cell>
          <cell r="C405" t="str">
            <v>加拿大</v>
          </cell>
          <cell r="D405" t="str">
            <v>海洋食品</v>
          </cell>
          <cell r="E405">
            <v>119.25</v>
          </cell>
        </row>
        <row r="406">
          <cell r="A406">
            <v>1995</v>
          </cell>
          <cell r="B406">
            <v>35027</v>
          </cell>
          <cell r="C406" t="str">
            <v>美国</v>
          </cell>
          <cell r="D406" t="str">
            <v>糖果</v>
          </cell>
          <cell r="E406">
            <v>303.99999976158142</v>
          </cell>
        </row>
        <row r="407">
          <cell r="A407">
            <v>1995</v>
          </cell>
          <cell r="B407">
            <v>35027</v>
          </cell>
          <cell r="C407" t="str">
            <v>美国</v>
          </cell>
          <cell r="D407" t="str">
            <v>肉/家禽</v>
          </cell>
          <cell r="E407">
            <v>111.75</v>
          </cell>
        </row>
        <row r="408">
          <cell r="A408">
            <v>1995</v>
          </cell>
          <cell r="B408">
            <v>35027</v>
          </cell>
          <cell r="C408" t="str">
            <v>美国</v>
          </cell>
          <cell r="D408" t="str">
            <v>乳制品</v>
          </cell>
          <cell r="E408">
            <v>854.99999932944775</v>
          </cell>
        </row>
        <row r="409">
          <cell r="A409">
            <v>1995</v>
          </cell>
          <cell r="B409">
            <v>35030</v>
          </cell>
          <cell r="C409" t="str">
            <v>美国</v>
          </cell>
          <cell r="D409" t="str">
            <v>乳制品</v>
          </cell>
          <cell r="E409">
            <v>1368</v>
          </cell>
        </row>
        <row r="410">
          <cell r="A410">
            <v>1995</v>
          </cell>
          <cell r="B410">
            <v>35030</v>
          </cell>
          <cell r="C410" t="str">
            <v>美国</v>
          </cell>
          <cell r="D410" t="str">
            <v>糖果</v>
          </cell>
          <cell r="E410">
            <v>349</v>
          </cell>
        </row>
        <row r="411">
          <cell r="A411">
            <v>1995</v>
          </cell>
          <cell r="B411">
            <v>35030</v>
          </cell>
          <cell r="C411" t="str">
            <v>美国</v>
          </cell>
          <cell r="D411" t="str">
            <v>海洋食品</v>
          </cell>
          <cell r="E411">
            <v>760</v>
          </cell>
        </row>
        <row r="412">
          <cell r="A412">
            <v>1995</v>
          </cell>
          <cell r="B412">
            <v>35030</v>
          </cell>
          <cell r="C412" t="str">
            <v>美国</v>
          </cell>
          <cell r="D412" t="str">
            <v>糖果</v>
          </cell>
          <cell r="E412">
            <v>986</v>
          </cell>
        </row>
        <row r="413">
          <cell r="A413">
            <v>1995</v>
          </cell>
          <cell r="B413">
            <v>35030</v>
          </cell>
          <cell r="C413" t="str">
            <v>加拿大</v>
          </cell>
          <cell r="D413" t="str">
            <v>海洋食品</v>
          </cell>
          <cell r="E413">
            <v>562.5</v>
          </cell>
        </row>
        <row r="414">
          <cell r="A414">
            <v>1995</v>
          </cell>
          <cell r="B414">
            <v>35030</v>
          </cell>
          <cell r="C414" t="str">
            <v>加拿大</v>
          </cell>
          <cell r="D414" t="str">
            <v>海洋食品</v>
          </cell>
          <cell r="E414">
            <v>58.252499999999998</v>
          </cell>
        </row>
        <row r="415">
          <cell r="A415">
            <v>1995</v>
          </cell>
          <cell r="B415">
            <v>35030</v>
          </cell>
          <cell r="C415" t="str">
            <v>加拿大</v>
          </cell>
          <cell r="D415" t="str">
            <v>肉/家禽</v>
          </cell>
          <cell r="E415">
            <v>223.5</v>
          </cell>
        </row>
        <row r="416">
          <cell r="A416">
            <v>1995</v>
          </cell>
          <cell r="B416">
            <v>35032</v>
          </cell>
          <cell r="C416" t="str">
            <v>美国</v>
          </cell>
          <cell r="D416" t="str">
            <v>香料</v>
          </cell>
          <cell r="E416">
            <v>923.87499927543104</v>
          </cell>
        </row>
        <row r="417">
          <cell r="A417">
            <v>1995</v>
          </cell>
          <cell r="B417">
            <v>35032</v>
          </cell>
          <cell r="C417" t="str">
            <v>加拿大</v>
          </cell>
          <cell r="D417" t="str">
            <v>饮料</v>
          </cell>
          <cell r="E417">
            <v>57</v>
          </cell>
        </row>
        <row r="418">
          <cell r="A418">
            <v>1995</v>
          </cell>
          <cell r="B418">
            <v>35032</v>
          </cell>
          <cell r="C418" t="str">
            <v>加拿大</v>
          </cell>
          <cell r="D418" t="str">
            <v>乳制品</v>
          </cell>
          <cell r="E418">
            <v>625</v>
          </cell>
        </row>
        <row r="419">
          <cell r="A419">
            <v>1995</v>
          </cell>
          <cell r="B419">
            <v>35032</v>
          </cell>
          <cell r="C419" t="str">
            <v>加拿大</v>
          </cell>
          <cell r="D419" t="str">
            <v>糖果</v>
          </cell>
          <cell r="E419">
            <v>562.5</v>
          </cell>
        </row>
        <row r="420">
          <cell r="A420">
            <v>1995</v>
          </cell>
          <cell r="B420">
            <v>35032</v>
          </cell>
          <cell r="C420" t="str">
            <v>加拿大</v>
          </cell>
          <cell r="D420" t="str">
            <v>饮料</v>
          </cell>
          <cell r="E420">
            <v>325.5</v>
          </cell>
        </row>
        <row r="421">
          <cell r="A421">
            <v>1995</v>
          </cell>
          <cell r="B421">
            <v>35033</v>
          </cell>
          <cell r="C421" t="str">
            <v>加拿大</v>
          </cell>
          <cell r="D421" t="str">
            <v>糖果</v>
          </cell>
          <cell r="E421">
            <v>468.45</v>
          </cell>
        </row>
        <row r="422">
          <cell r="A422">
            <v>1995</v>
          </cell>
          <cell r="B422">
            <v>35044</v>
          </cell>
          <cell r="C422" t="str">
            <v>加拿大</v>
          </cell>
          <cell r="D422" t="str">
            <v>香料</v>
          </cell>
          <cell r="E422">
            <v>512.99999915063381</v>
          </cell>
        </row>
        <row r="423">
          <cell r="A423">
            <v>1995</v>
          </cell>
          <cell r="B423">
            <v>35044</v>
          </cell>
          <cell r="C423" t="str">
            <v>加拿大</v>
          </cell>
          <cell r="D423" t="str">
            <v>香料</v>
          </cell>
          <cell r="E423">
            <v>23.399999961256981</v>
          </cell>
        </row>
        <row r="424">
          <cell r="A424">
            <v>1995</v>
          </cell>
          <cell r="B424">
            <v>35047</v>
          </cell>
          <cell r="C424" t="str">
            <v>加拿大</v>
          </cell>
          <cell r="D424" t="str">
            <v>农产品</v>
          </cell>
          <cell r="E424">
            <v>182.39999932050705</v>
          </cell>
        </row>
        <row r="425">
          <cell r="A425">
            <v>1995</v>
          </cell>
          <cell r="B425">
            <v>35047</v>
          </cell>
          <cell r="C425" t="str">
            <v>加拿大</v>
          </cell>
          <cell r="D425" t="str">
            <v>饮料</v>
          </cell>
          <cell r="E425">
            <v>503.99999812245369</v>
          </cell>
        </row>
        <row r="426">
          <cell r="A426">
            <v>1995</v>
          </cell>
          <cell r="B426">
            <v>35047</v>
          </cell>
          <cell r="C426" t="str">
            <v>加拿大</v>
          </cell>
          <cell r="D426" t="str">
            <v>海洋食品</v>
          </cell>
          <cell r="E426">
            <v>303.99999886751175</v>
          </cell>
        </row>
        <row r="427">
          <cell r="A427">
            <v>1995</v>
          </cell>
          <cell r="B427">
            <v>35047</v>
          </cell>
          <cell r="C427" t="str">
            <v>加拿大</v>
          </cell>
          <cell r="D427" t="str">
            <v>面食/谷类</v>
          </cell>
          <cell r="E427">
            <v>425.59999841451645</v>
          </cell>
        </row>
        <row r="428">
          <cell r="A428">
            <v>1995</v>
          </cell>
          <cell r="B428">
            <v>35052</v>
          </cell>
          <cell r="C428" t="str">
            <v>美国</v>
          </cell>
          <cell r="D428" t="str">
            <v>海洋食品</v>
          </cell>
          <cell r="E428">
            <v>1500</v>
          </cell>
        </row>
        <row r="429">
          <cell r="A429">
            <v>1995</v>
          </cell>
          <cell r="B429">
            <v>35052</v>
          </cell>
          <cell r="C429" t="str">
            <v>美国</v>
          </cell>
          <cell r="D429" t="str">
            <v>香料</v>
          </cell>
          <cell r="E429">
            <v>311.2</v>
          </cell>
        </row>
        <row r="430">
          <cell r="A430">
            <v>1995</v>
          </cell>
          <cell r="B430">
            <v>35052</v>
          </cell>
          <cell r="C430" t="str">
            <v>美国</v>
          </cell>
          <cell r="D430" t="str">
            <v>乳制品</v>
          </cell>
          <cell r="E430">
            <v>2475</v>
          </cell>
        </row>
        <row r="431">
          <cell r="A431">
            <v>1995</v>
          </cell>
          <cell r="B431">
            <v>35052</v>
          </cell>
          <cell r="C431" t="str">
            <v>美国</v>
          </cell>
          <cell r="D431" t="str">
            <v>乳制品</v>
          </cell>
          <cell r="E431">
            <v>243.6</v>
          </cell>
        </row>
        <row r="432">
          <cell r="A432">
            <v>1995</v>
          </cell>
          <cell r="B432">
            <v>35054</v>
          </cell>
          <cell r="C432" t="str">
            <v>加拿大</v>
          </cell>
          <cell r="D432" t="str">
            <v>面食/谷类</v>
          </cell>
          <cell r="E432">
            <v>396</v>
          </cell>
        </row>
        <row r="433">
          <cell r="A433">
            <v>1995</v>
          </cell>
          <cell r="B433">
            <v>35054</v>
          </cell>
          <cell r="C433" t="str">
            <v>加拿大</v>
          </cell>
          <cell r="D433" t="str">
            <v>海洋食品</v>
          </cell>
          <cell r="E433">
            <v>736</v>
          </cell>
        </row>
        <row r="434">
          <cell r="A434">
            <v>1995</v>
          </cell>
          <cell r="B434">
            <v>35054</v>
          </cell>
          <cell r="C434" t="str">
            <v>加拿大</v>
          </cell>
          <cell r="D434" t="str">
            <v>面食/谷类</v>
          </cell>
          <cell r="E434">
            <v>1064</v>
          </cell>
        </row>
        <row r="435">
          <cell r="A435">
            <v>1995</v>
          </cell>
          <cell r="B435">
            <v>35061</v>
          </cell>
          <cell r="C435" t="str">
            <v>加拿大</v>
          </cell>
          <cell r="D435" t="str">
            <v>海洋食品</v>
          </cell>
          <cell r="E435">
            <v>1049.9999960884452</v>
          </cell>
        </row>
        <row r="436">
          <cell r="A436">
            <v>1995</v>
          </cell>
          <cell r="B436">
            <v>35061</v>
          </cell>
          <cell r="C436" t="str">
            <v>加拿大</v>
          </cell>
          <cell r="D436" t="str">
            <v>海洋食品</v>
          </cell>
          <cell r="E436">
            <v>303.99999886751175</v>
          </cell>
        </row>
        <row r="437">
          <cell r="A437">
            <v>1995</v>
          </cell>
          <cell r="B437">
            <v>35061</v>
          </cell>
          <cell r="C437" t="str">
            <v>加拿大</v>
          </cell>
          <cell r="D437" t="str">
            <v>糖果</v>
          </cell>
          <cell r="E437">
            <v>59.999999776482582</v>
          </cell>
        </row>
        <row r="438">
          <cell r="A438">
            <v>1995</v>
          </cell>
          <cell r="B438">
            <v>35061</v>
          </cell>
          <cell r="C438" t="str">
            <v>加拿大</v>
          </cell>
          <cell r="D438" t="str">
            <v>乳制品</v>
          </cell>
          <cell r="E438">
            <v>575.99999785423279</v>
          </cell>
        </row>
        <row r="439">
          <cell r="A439">
            <v>1995</v>
          </cell>
          <cell r="B439">
            <v>35061</v>
          </cell>
          <cell r="C439" t="str">
            <v>加拿大</v>
          </cell>
          <cell r="D439" t="str">
            <v>饮料</v>
          </cell>
          <cell r="E439">
            <v>420</v>
          </cell>
        </row>
        <row r="440">
          <cell r="A440">
            <v>1995</v>
          </cell>
          <cell r="B440">
            <v>35061</v>
          </cell>
          <cell r="C440" t="str">
            <v>加拿大</v>
          </cell>
          <cell r="D440" t="str">
            <v>乳制品</v>
          </cell>
          <cell r="E440">
            <v>385</v>
          </cell>
        </row>
        <row r="441">
          <cell r="A441">
            <v>1995</v>
          </cell>
          <cell r="B441">
            <v>35061</v>
          </cell>
          <cell r="C441" t="str">
            <v>加拿大</v>
          </cell>
          <cell r="D441" t="str">
            <v>糖果</v>
          </cell>
          <cell r="E441">
            <v>1479</v>
          </cell>
        </row>
        <row r="442">
          <cell r="A442">
            <v>1995</v>
          </cell>
          <cell r="B442">
            <v>35061</v>
          </cell>
          <cell r="C442" t="str">
            <v>加拿大</v>
          </cell>
          <cell r="D442" t="str">
            <v>面食/谷类</v>
          </cell>
          <cell r="E442">
            <v>798</v>
          </cell>
        </row>
        <row r="443">
          <cell r="A443">
            <v>1996</v>
          </cell>
          <cell r="B443">
            <v>35066</v>
          </cell>
          <cell r="C443" t="str">
            <v>加拿大</v>
          </cell>
          <cell r="D443" t="str">
            <v>糖果</v>
          </cell>
          <cell r="E443">
            <v>367.5</v>
          </cell>
        </row>
        <row r="444">
          <cell r="A444">
            <v>1996</v>
          </cell>
          <cell r="B444">
            <v>35066</v>
          </cell>
          <cell r="C444" t="str">
            <v>加拿大</v>
          </cell>
          <cell r="D444" t="str">
            <v>饮料</v>
          </cell>
          <cell r="E444">
            <v>139.5</v>
          </cell>
        </row>
        <row r="445">
          <cell r="A445">
            <v>1996</v>
          </cell>
          <cell r="B445">
            <v>35068</v>
          </cell>
          <cell r="C445" t="str">
            <v>美国</v>
          </cell>
          <cell r="D445" t="str">
            <v>香料</v>
          </cell>
          <cell r="E445">
            <v>1515.5999974906445</v>
          </cell>
        </row>
        <row r="446">
          <cell r="A446">
            <v>1996</v>
          </cell>
          <cell r="B446">
            <v>35069</v>
          </cell>
          <cell r="C446" t="str">
            <v>美国</v>
          </cell>
          <cell r="D446" t="str">
            <v>饮料</v>
          </cell>
          <cell r="E446">
            <v>760</v>
          </cell>
        </row>
        <row r="447">
          <cell r="A447">
            <v>1996</v>
          </cell>
          <cell r="B447">
            <v>35069</v>
          </cell>
          <cell r="C447" t="str">
            <v>美国</v>
          </cell>
          <cell r="D447" t="str">
            <v>农产品</v>
          </cell>
          <cell r="E447">
            <v>1050</v>
          </cell>
        </row>
        <row r="448">
          <cell r="A448">
            <v>1996</v>
          </cell>
          <cell r="B448">
            <v>35069</v>
          </cell>
          <cell r="C448" t="str">
            <v>美国</v>
          </cell>
          <cell r="D448" t="str">
            <v>糖果</v>
          </cell>
          <cell r="E448">
            <v>500</v>
          </cell>
        </row>
        <row r="449">
          <cell r="A449">
            <v>1996</v>
          </cell>
          <cell r="B449">
            <v>35074</v>
          </cell>
          <cell r="C449" t="str">
            <v>美国</v>
          </cell>
          <cell r="D449" t="str">
            <v>肉/家禽</v>
          </cell>
          <cell r="E449">
            <v>2228.2199999999998</v>
          </cell>
        </row>
        <row r="450">
          <cell r="A450">
            <v>1996</v>
          </cell>
          <cell r="B450">
            <v>35074</v>
          </cell>
          <cell r="C450" t="str">
            <v>美国</v>
          </cell>
          <cell r="D450" t="str">
            <v>乳制品</v>
          </cell>
          <cell r="E450">
            <v>1375</v>
          </cell>
        </row>
        <row r="451">
          <cell r="A451">
            <v>1996</v>
          </cell>
          <cell r="B451">
            <v>35076</v>
          </cell>
          <cell r="C451" t="str">
            <v>加拿大</v>
          </cell>
          <cell r="D451" t="str">
            <v>海洋食品</v>
          </cell>
          <cell r="E451">
            <v>186</v>
          </cell>
        </row>
        <row r="452">
          <cell r="A452">
            <v>1996</v>
          </cell>
          <cell r="B452">
            <v>35076</v>
          </cell>
          <cell r="C452" t="str">
            <v>加拿大</v>
          </cell>
          <cell r="D452" t="str">
            <v>饮料</v>
          </cell>
          <cell r="E452">
            <v>42</v>
          </cell>
        </row>
        <row r="453">
          <cell r="A453">
            <v>1996</v>
          </cell>
          <cell r="B453">
            <v>35080</v>
          </cell>
          <cell r="C453" t="str">
            <v>美国</v>
          </cell>
          <cell r="D453" t="str">
            <v>糖果</v>
          </cell>
          <cell r="E453">
            <v>349</v>
          </cell>
        </row>
        <row r="454">
          <cell r="A454">
            <v>1996</v>
          </cell>
          <cell r="B454">
            <v>35080</v>
          </cell>
          <cell r="C454" t="str">
            <v>美国</v>
          </cell>
          <cell r="D454" t="str">
            <v>糖果</v>
          </cell>
          <cell r="E454">
            <v>986</v>
          </cell>
        </row>
        <row r="455">
          <cell r="A455">
            <v>1996</v>
          </cell>
          <cell r="B455">
            <v>35086</v>
          </cell>
          <cell r="C455" t="str">
            <v>美国</v>
          </cell>
          <cell r="D455" t="str">
            <v>糖果</v>
          </cell>
          <cell r="E455">
            <v>436.99999965727329</v>
          </cell>
        </row>
        <row r="456">
          <cell r="A456">
            <v>1996</v>
          </cell>
          <cell r="B456">
            <v>35086</v>
          </cell>
          <cell r="C456" t="str">
            <v>美国</v>
          </cell>
          <cell r="D456" t="str">
            <v>饮料</v>
          </cell>
          <cell r="E456">
            <v>294.499999769032</v>
          </cell>
        </row>
        <row r="457">
          <cell r="A457">
            <v>1996</v>
          </cell>
          <cell r="B457">
            <v>35087</v>
          </cell>
          <cell r="C457" t="str">
            <v>美国</v>
          </cell>
          <cell r="D457" t="str">
            <v>肉/家禽</v>
          </cell>
          <cell r="E457">
            <v>1646.4069987087696</v>
          </cell>
        </row>
        <row r="458">
          <cell r="A458">
            <v>1996</v>
          </cell>
          <cell r="B458">
            <v>35087</v>
          </cell>
          <cell r="C458" t="str">
            <v>美国</v>
          </cell>
          <cell r="D458" t="str">
            <v>海洋食品</v>
          </cell>
          <cell r="E458">
            <v>183.34999985620379</v>
          </cell>
        </row>
        <row r="459">
          <cell r="A459">
            <v>1996</v>
          </cell>
          <cell r="B459">
            <v>35089</v>
          </cell>
          <cell r="C459" t="str">
            <v>美国</v>
          </cell>
          <cell r="D459" t="str">
            <v>乳制品</v>
          </cell>
          <cell r="E459">
            <v>420</v>
          </cell>
        </row>
        <row r="460">
          <cell r="A460">
            <v>1996</v>
          </cell>
          <cell r="B460">
            <v>35090</v>
          </cell>
          <cell r="C460" t="str">
            <v>美国</v>
          </cell>
          <cell r="D460" t="str">
            <v>海洋食品</v>
          </cell>
          <cell r="E460">
            <v>101.99999928474426</v>
          </cell>
        </row>
        <row r="461">
          <cell r="A461">
            <v>1996</v>
          </cell>
          <cell r="B461">
            <v>35090</v>
          </cell>
          <cell r="C461" t="str">
            <v>美国</v>
          </cell>
          <cell r="D461" t="str">
            <v>饮料</v>
          </cell>
          <cell r="E461">
            <v>76.499999463558197</v>
          </cell>
        </row>
        <row r="462">
          <cell r="A462">
            <v>1996</v>
          </cell>
          <cell r="B462">
            <v>35090</v>
          </cell>
          <cell r="C462" t="str">
            <v>美国</v>
          </cell>
          <cell r="D462" t="str">
            <v>乳制品</v>
          </cell>
          <cell r="E462">
            <v>1375</v>
          </cell>
        </row>
        <row r="463">
          <cell r="A463">
            <v>1996</v>
          </cell>
          <cell r="B463">
            <v>35094</v>
          </cell>
          <cell r="C463" t="str">
            <v>加拿大</v>
          </cell>
          <cell r="D463" t="str">
            <v>饮料</v>
          </cell>
          <cell r="E463">
            <v>140</v>
          </cell>
        </row>
        <row r="464">
          <cell r="A464">
            <v>1996</v>
          </cell>
          <cell r="B464">
            <v>35094</v>
          </cell>
          <cell r="C464" t="str">
            <v>加拿大</v>
          </cell>
          <cell r="D464" t="str">
            <v>饮料</v>
          </cell>
          <cell r="E464">
            <v>2635</v>
          </cell>
        </row>
        <row r="465">
          <cell r="A465">
            <v>1996</v>
          </cell>
          <cell r="B465">
            <v>35096</v>
          </cell>
          <cell r="C465" t="str">
            <v>加拿大</v>
          </cell>
          <cell r="D465" t="str">
            <v>面食/谷类</v>
          </cell>
          <cell r="E465">
            <v>645.999995470047</v>
          </cell>
        </row>
        <row r="466">
          <cell r="A466">
            <v>1996</v>
          </cell>
          <cell r="B466">
            <v>35096</v>
          </cell>
          <cell r="C466" t="str">
            <v>加拿大</v>
          </cell>
          <cell r="D466" t="str">
            <v>饮料</v>
          </cell>
          <cell r="E466">
            <v>764.99999463558197</v>
          </cell>
        </row>
        <row r="467">
          <cell r="A467">
            <v>1996</v>
          </cell>
          <cell r="B467">
            <v>35100</v>
          </cell>
          <cell r="C467" t="str">
            <v>加拿大</v>
          </cell>
          <cell r="D467" t="str">
            <v>乳制品</v>
          </cell>
          <cell r="E467">
            <v>40</v>
          </cell>
        </row>
        <row r="468">
          <cell r="A468">
            <v>1996</v>
          </cell>
          <cell r="B468">
            <v>35101</v>
          </cell>
          <cell r="C468" t="str">
            <v>加拿大</v>
          </cell>
          <cell r="D468" t="str">
            <v>饮料</v>
          </cell>
          <cell r="E468">
            <v>7509.749994110316</v>
          </cell>
        </row>
        <row r="469">
          <cell r="A469">
            <v>1996</v>
          </cell>
          <cell r="B469">
            <v>35101</v>
          </cell>
          <cell r="C469" t="str">
            <v>加拿大</v>
          </cell>
          <cell r="D469" t="str">
            <v>糖果</v>
          </cell>
          <cell r="E469">
            <v>936.69999926537275</v>
          </cell>
        </row>
        <row r="470">
          <cell r="A470">
            <v>1996</v>
          </cell>
          <cell r="B470">
            <v>35101</v>
          </cell>
          <cell r="C470" t="str">
            <v>美国</v>
          </cell>
          <cell r="D470" t="str">
            <v>糖果</v>
          </cell>
          <cell r="E470">
            <v>1061.8199925541878</v>
          </cell>
        </row>
        <row r="471">
          <cell r="A471">
            <v>1996</v>
          </cell>
          <cell r="B471">
            <v>35101</v>
          </cell>
          <cell r="C471" t="str">
            <v>美国</v>
          </cell>
          <cell r="D471" t="str">
            <v>饮料</v>
          </cell>
          <cell r="E471">
            <v>7905</v>
          </cell>
        </row>
        <row r="472">
          <cell r="A472">
            <v>1996</v>
          </cell>
          <cell r="B472">
            <v>35101</v>
          </cell>
          <cell r="C472" t="str">
            <v>美国</v>
          </cell>
          <cell r="D472" t="str">
            <v>海洋食品</v>
          </cell>
          <cell r="E472">
            <v>938.39999341964722</v>
          </cell>
        </row>
        <row r="473">
          <cell r="A473">
            <v>1996</v>
          </cell>
          <cell r="B473">
            <v>35101</v>
          </cell>
          <cell r="C473" t="str">
            <v>美国</v>
          </cell>
          <cell r="D473" t="str">
            <v>糖果</v>
          </cell>
          <cell r="E473">
            <v>1047.6249926537275</v>
          </cell>
        </row>
        <row r="474">
          <cell r="A474">
            <v>1996</v>
          </cell>
          <cell r="B474">
            <v>35102</v>
          </cell>
          <cell r="C474" t="str">
            <v>加拿大</v>
          </cell>
          <cell r="D474" t="str">
            <v>面食/谷类</v>
          </cell>
          <cell r="E474">
            <v>1140</v>
          </cell>
        </row>
        <row r="475">
          <cell r="A475">
            <v>1996</v>
          </cell>
          <cell r="B475">
            <v>35103</v>
          </cell>
          <cell r="C475" t="str">
            <v>加拿大</v>
          </cell>
          <cell r="D475" t="str">
            <v>饮料</v>
          </cell>
          <cell r="E475">
            <v>360</v>
          </cell>
        </row>
        <row r="476">
          <cell r="A476">
            <v>1996</v>
          </cell>
          <cell r="B476">
            <v>35103</v>
          </cell>
          <cell r="C476" t="str">
            <v>加拿大</v>
          </cell>
          <cell r="D476" t="str">
            <v>农产品</v>
          </cell>
          <cell r="E476">
            <v>318</v>
          </cell>
        </row>
        <row r="477">
          <cell r="A477">
            <v>1996</v>
          </cell>
          <cell r="B477">
            <v>35103</v>
          </cell>
          <cell r="C477" t="str">
            <v>加拿大</v>
          </cell>
          <cell r="D477" t="str">
            <v>糖果</v>
          </cell>
          <cell r="E477">
            <v>147.9</v>
          </cell>
        </row>
        <row r="478">
          <cell r="A478">
            <v>1996</v>
          </cell>
          <cell r="B478">
            <v>35103</v>
          </cell>
          <cell r="C478" t="str">
            <v>加拿大</v>
          </cell>
          <cell r="D478" t="str">
            <v>饮料</v>
          </cell>
          <cell r="E478">
            <v>90</v>
          </cell>
        </row>
        <row r="479">
          <cell r="A479">
            <v>1996</v>
          </cell>
          <cell r="B479">
            <v>35104</v>
          </cell>
          <cell r="C479" t="str">
            <v>美国</v>
          </cell>
          <cell r="D479" t="str">
            <v>糖果</v>
          </cell>
          <cell r="E479">
            <v>374.76</v>
          </cell>
        </row>
        <row r="480">
          <cell r="A480">
            <v>1996</v>
          </cell>
          <cell r="B480">
            <v>35104</v>
          </cell>
          <cell r="C480" t="str">
            <v>美国</v>
          </cell>
          <cell r="D480" t="str">
            <v>肉/家禽</v>
          </cell>
          <cell r="E480">
            <v>656</v>
          </cell>
        </row>
        <row r="481">
          <cell r="A481">
            <v>1996</v>
          </cell>
          <cell r="B481">
            <v>35110</v>
          </cell>
          <cell r="C481" t="str">
            <v>美国</v>
          </cell>
          <cell r="D481" t="str">
            <v>农产品</v>
          </cell>
          <cell r="E481">
            <v>539.99999910593033</v>
          </cell>
        </row>
        <row r="482">
          <cell r="A482">
            <v>1996</v>
          </cell>
          <cell r="B482">
            <v>35110</v>
          </cell>
          <cell r="C482" t="str">
            <v>美国</v>
          </cell>
          <cell r="D482" t="str">
            <v>乳制品</v>
          </cell>
          <cell r="E482">
            <v>101.24999983236194</v>
          </cell>
        </row>
        <row r="483">
          <cell r="A483">
            <v>1996</v>
          </cell>
          <cell r="B483">
            <v>35110</v>
          </cell>
          <cell r="C483" t="str">
            <v>美国</v>
          </cell>
          <cell r="D483" t="str">
            <v>肉/家禽</v>
          </cell>
          <cell r="E483">
            <v>265.67999956011772</v>
          </cell>
        </row>
        <row r="484">
          <cell r="A484">
            <v>1996</v>
          </cell>
          <cell r="B484">
            <v>35116</v>
          </cell>
          <cell r="C484" t="str">
            <v>美国</v>
          </cell>
          <cell r="D484" t="str">
            <v>面食/谷类</v>
          </cell>
          <cell r="E484">
            <v>566.99999906122684</v>
          </cell>
        </row>
        <row r="485">
          <cell r="A485">
            <v>1996</v>
          </cell>
          <cell r="B485">
            <v>35116</v>
          </cell>
          <cell r="C485" t="str">
            <v>美国</v>
          </cell>
          <cell r="D485" t="str">
            <v>饮料</v>
          </cell>
          <cell r="E485">
            <v>404.99999932944775</v>
          </cell>
        </row>
        <row r="486">
          <cell r="A486">
            <v>1996</v>
          </cell>
          <cell r="B486">
            <v>35116</v>
          </cell>
          <cell r="C486" t="str">
            <v>美国</v>
          </cell>
          <cell r="D486" t="str">
            <v>面食/谷类</v>
          </cell>
          <cell r="E486">
            <v>529.19999912381172</v>
          </cell>
        </row>
        <row r="487">
          <cell r="A487">
            <v>1996</v>
          </cell>
          <cell r="B487">
            <v>35116</v>
          </cell>
          <cell r="C487" t="str">
            <v>美国</v>
          </cell>
          <cell r="D487" t="str">
            <v>海洋食品</v>
          </cell>
          <cell r="E487">
            <v>715.49999881535769</v>
          </cell>
        </row>
        <row r="488">
          <cell r="A488">
            <v>1996</v>
          </cell>
          <cell r="B488">
            <v>35116</v>
          </cell>
          <cell r="C488" t="str">
            <v>美国</v>
          </cell>
          <cell r="D488" t="str">
            <v>面食/谷类</v>
          </cell>
          <cell r="E488">
            <v>1596</v>
          </cell>
        </row>
        <row r="489">
          <cell r="A489">
            <v>1996</v>
          </cell>
          <cell r="B489">
            <v>35117</v>
          </cell>
          <cell r="C489" t="str">
            <v>加拿大</v>
          </cell>
          <cell r="D489" t="str">
            <v>饮料</v>
          </cell>
          <cell r="E489">
            <v>1151.9999957084656</v>
          </cell>
        </row>
        <row r="490">
          <cell r="A490">
            <v>1996</v>
          </cell>
          <cell r="B490">
            <v>35117</v>
          </cell>
          <cell r="C490" t="str">
            <v>加拿大</v>
          </cell>
          <cell r="D490" t="str">
            <v>糖果</v>
          </cell>
          <cell r="E490">
            <v>88.319999670982369</v>
          </cell>
        </row>
        <row r="491">
          <cell r="A491">
            <v>1996</v>
          </cell>
          <cell r="B491">
            <v>35117</v>
          </cell>
          <cell r="C491" t="str">
            <v>加拿大</v>
          </cell>
          <cell r="D491" t="str">
            <v>海洋食品</v>
          </cell>
          <cell r="E491">
            <v>1247.9999953508377</v>
          </cell>
        </row>
        <row r="492">
          <cell r="A492">
            <v>1996</v>
          </cell>
          <cell r="B492">
            <v>35117</v>
          </cell>
          <cell r="C492" t="str">
            <v>加拿大</v>
          </cell>
          <cell r="D492" t="str">
            <v>海洋食品</v>
          </cell>
          <cell r="E492">
            <v>273.59999898076057</v>
          </cell>
        </row>
        <row r="493">
          <cell r="A493">
            <v>1996</v>
          </cell>
          <cell r="B493">
            <v>35117</v>
          </cell>
          <cell r="C493" t="str">
            <v>加拿大</v>
          </cell>
          <cell r="D493" t="str">
            <v>乳制品</v>
          </cell>
          <cell r="E493">
            <v>1223.9999954402447</v>
          </cell>
        </row>
        <row r="494">
          <cell r="A494">
            <v>1996</v>
          </cell>
          <cell r="B494">
            <v>35117</v>
          </cell>
          <cell r="C494" t="str">
            <v>加拿大</v>
          </cell>
          <cell r="D494" t="str">
            <v>乳制品</v>
          </cell>
          <cell r="E494">
            <v>945.99999647587538</v>
          </cell>
        </row>
        <row r="495">
          <cell r="A495">
            <v>1996</v>
          </cell>
          <cell r="B495">
            <v>35118</v>
          </cell>
          <cell r="C495" t="str">
            <v>美国</v>
          </cell>
          <cell r="D495" t="str">
            <v>香料</v>
          </cell>
          <cell r="E495">
            <v>490</v>
          </cell>
        </row>
        <row r="496">
          <cell r="A496">
            <v>1996</v>
          </cell>
          <cell r="B496">
            <v>35118</v>
          </cell>
          <cell r="C496" t="str">
            <v>美国</v>
          </cell>
          <cell r="D496" t="str">
            <v>糖果</v>
          </cell>
          <cell r="E496">
            <v>477.81899664938447</v>
          </cell>
        </row>
        <row r="497">
          <cell r="A497">
            <v>1996</v>
          </cell>
          <cell r="B497">
            <v>35121</v>
          </cell>
          <cell r="C497" t="str">
            <v>加拿大</v>
          </cell>
          <cell r="D497" t="str">
            <v>饮料</v>
          </cell>
          <cell r="E497">
            <v>285</v>
          </cell>
        </row>
        <row r="498">
          <cell r="A498">
            <v>1996</v>
          </cell>
          <cell r="B498">
            <v>35121</v>
          </cell>
          <cell r="C498" t="str">
            <v>加拿大</v>
          </cell>
          <cell r="D498" t="str">
            <v>肉/家禽</v>
          </cell>
          <cell r="E498">
            <v>234</v>
          </cell>
        </row>
        <row r="499">
          <cell r="A499">
            <v>1996</v>
          </cell>
          <cell r="B499">
            <v>35121</v>
          </cell>
          <cell r="C499" t="str">
            <v>加拿大</v>
          </cell>
          <cell r="D499" t="str">
            <v>糖果</v>
          </cell>
          <cell r="E499">
            <v>2465</v>
          </cell>
        </row>
        <row r="500">
          <cell r="A500">
            <v>1996</v>
          </cell>
          <cell r="B500">
            <v>35122</v>
          </cell>
          <cell r="C500" t="str">
            <v>美国</v>
          </cell>
          <cell r="D500" t="str">
            <v>海洋食品</v>
          </cell>
          <cell r="E500">
            <v>625</v>
          </cell>
        </row>
        <row r="501">
          <cell r="A501">
            <v>1996</v>
          </cell>
          <cell r="B501">
            <v>35122</v>
          </cell>
          <cell r="C501" t="str">
            <v>加拿大</v>
          </cell>
          <cell r="D501" t="str">
            <v>糖果</v>
          </cell>
          <cell r="E501">
            <v>872.5</v>
          </cell>
        </row>
        <row r="502">
          <cell r="A502">
            <v>1996</v>
          </cell>
          <cell r="B502">
            <v>35122</v>
          </cell>
          <cell r="C502" t="str">
            <v>加拿大</v>
          </cell>
          <cell r="D502" t="str">
            <v>乳制品</v>
          </cell>
          <cell r="E502">
            <v>175</v>
          </cell>
        </row>
        <row r="503">
          <cell r="A503">
            <v>1996</v>
          </cell>
          <cell r="B503">
            <v>35122</v>
          </cell>
          <cell r="C503" t="str">
            <v>加拿大</v>
          </cell>
          <cell r="D503" t="str">
            <v>面食/谷类</v>
          </cell>
          <cell r="E503">
            <v>912</v>
          </cell>
        </row>
        <row r="504">
          <cell r="A504">
            <v>1996</v>
          </cell>
          <cell r="B504">
            <v>35122</v>
          </cell>
          <cell r="C504" t="str">
            <v>加拿大</v>
          </cell>
          <cell r="D504" t="str">
            <v>香料</v>
          </cell>
          <cell r="E504">
            <v>268.38749811798334</v>
          </cell>
        </row>
        <row r="505">
          <cell r="A505">
            <v>1996</v>
          </cell>
          <cell r="B505">
            <v>35124</v>
          </cell>
          <cell r="C505" t="str">
            <v>美国</v>
          </cell>
          <cell r="D505" t="str">
            <v>饮料</v>
          </cell>
          <cell r="E505">
            <v>135</v>
          </cell>
        </row>
        <row r="506">
          <cell r="A506">
            <v>1996</v>
          </cell>
          <cell r="B506">
            <v>35124</v>
          </cell>
          <cell r="C506" t="str">
            <v>美国</v>
          </cell>
          <cell r="D506" t="str">
            <v>肉/家禽</v>
          </cell>
          <cell r="E506">
            <v>195.5625</v>
          </cell>
        </row>
        <row r="507">
          <cell r="A507">
            <v>1996</v>
          </cell>
          <cell r="B507">
            <v>35124</v>
          </cell>
          <cell r="C507" t="str">
            <v>美国</v>
          </cell>
          <cell r="D507" t="str">
            <v>面食/谷类</v>
          </cell>
          <cell r="E507">
            <v>748.125</v>
          </cell>
        </row>
        <row r="508">
          <cell r="A508">
            <v>1996</v>
          </cell>
          <cell r="B508">
            <v>35125</v>
          </cell>
          <cell r="C508" t="str">
            <v>加拿大</v>
          </cell>
          <cell r="D508" t="str">
            <v>肉/家禽</v>
          </cell>
          <cell r="E508">
            <v>1638</v>
          </cell>
        </row>
        <row r="509">
          <cell r="A509">
            <v>1996</v>
          </cell>
          <cell r="B509">
            <v>35125</v>
          </cell>
          <cell r="C509" t="str">
            <v>加拿大</v>
          </cell>
          <cell r="D509" t="str">
            <v>海洋食品</v>
          </cell>
          <cell r="E509">
            <v>1250</v>
          </cell>
        </row>
        <row r="510">
          <cell r="A510">
            <v>1996</v>
          </cell>
          <cell r="B510">
            <v>35125</v>
          </cell>
          <cell r="C510" t="str">
            <v>加拿大</v>
          </cell>
          <cell r="D510" t="str">
            <v>糖果</v>
          </cell>
          <cell r="E510">
            <v>400</v>
          </cell>
        </row>
        <row r="511">
          <cell r="A511">
            <v>1996</v>
          </cell>
          <cell r="B511">
            <v>35125</v>
          </cell>
          <cell r="C511" t="str">
            <v>加拿大</v>
          </cell>
          <cell r="D511" t="str">
            <v>乳制品</v>
          </cell>
          <cell r="E511">
            <v>87.5</v>
          </cell>
        </row>
        <row r="512">
          <cell r="A512">
            <v>1996</v>
          </cell>
          <cell r="B512">
            <v>35125</v>
          </cell>
          <cell r="C512" t="str">
            <v>加拿大</v>
          </cell>
          <cell r="D512" t="str">
            <v>糖果</v>
          </cell>
          <cell r="E512">
            <v>147.9</v>
          </cell>
        </row>
        <row r="513">
          <cell r="A513">
            <v>1996</v>
          </cell>
          <cell r="B513">
            <v>35125</v>
          </cell>
          <cell r="C513" t="str">
            <v>美国</v>
          </cell>
          <cell r="D513" t="str">
            <v>乳制品</v>
          </cell>
          <cell r="E513">
            <v>525</v>
          </cell>
        </row>
        <row r="514">
          <cell r="A514">
            <v>1996</v>
          </cell>
          <cell r="B514">
            <v>35125</v>
          </cell>
          <cell r="C514" t="str">
            <v>美国</v>
          </cell>
          <cell r="D514" t="str">
            <v>面食/谷类</v>
          </cell>
          <cell r="E514">
            <v>56</v>
          </cell>
        </row>
        <row r="515">
          <cell r="A515">
            <v>1996</v>
          </cell>
          <cell r="B515">
            <v>35128</v>
          </cell>
          <cell r="C515" t="str">
            <v>美国</v>
          </cell>
          <cell r="D515" t="str">
            <v>饮料</v>
          </cell>
          <cell r="E515">
            <v>15019.499988220632</v>
          </cell>
        </row>
        <row r="516">
          <cell r="A516">
            <v>1996</v>
          </cell>
          <cell r="B516">
            <v>35128</v>
          </cell>
          <cell r="C516" t="str">
            <v>美国</v>
          </cell>
          <cell r="D516" t="str">
            <v>饮料</v>
          </cell>
          <cell r="E516">
            <v>1367.9999989271164</v>
          </cell>
        </row>
        <row r="517">
          <cell r="A517">
            <v>1996</v>
          </cell>
          <cell r="B517">
            <v>35129</v>
          </cell>
          <cell r="C517" t="str">
            <v>加拿大</v>
          </cell>
          <cell r="D517" t="str">
            <v>肉/家禽</v>
          </cell>
          <cell r="E517">
            <v>98.4</v>
          </cell>
        </row>
        <row r="518">
          <cell r="A518">
            <v>1996</v>
          </cell>
          <cell r="B518">
            <v>35136</v>
          </cell>
          <cell r="C518" t="str">
            <v>美国</v>
          </cell>
          <cell r="D518" t="str">
            <v>糖果</v>
          </cell>
          <cell r="E518">
            <v>1538.9999987930059</v>
          </cell>
        </row>
        <row r="519">
          <cell r="A519">
            <v>1996</v>
          </cell>
          <cell r="B519">
            <v>35137</v>
          </cell>
          <cell r="C519" t="str">
            <v>加拿大</v>
          </cell>
          <cell r="D519" t="str">
            <v>面食/谷类</v>
          </cell>
          <cell r="E519">
            <v>350</v>
          </cell>
        </row>
        <row r="520">
          <cell r="A520">
            <v>1996</v>
          </cell>
          <cell r="B520">
            <v>35137</v>
          </cell>
          <cell r="C520" t="str">
            <v>加拿大</v>
          </cell>
          <cell r="D520" t="str">
            <v>糖果</v>
          </cell>
          <cell r="E520">
            <v>339.99999761581421</v>
          </cell>
        </row>
        <row r="521">
          <cell r="A521">
            <v>1996</v>
          </cell>
          <cell r="B521">
            <v>35137</v>
          </cell>
          <cell r="C521" t="str">
            <v>加拿大</v>
          </cell>
          <cell r="D521" t="str">
            <v>肉/家禽</v>
          </cell>
          <cell r="E521">
            <v>202.63999857902527</v>
          </cell>
        </row>
        <row r="522">
          <cell r="A522">
            <v>1996</v>
          </cell>
          <cell r="B522">
            <v>35138</v>
          </cell>
          <cell r="C522" t="str">
            <v>加拿大</v>
          </cell>
          <cell r="D522" t="str">
            <v>饮料</v>
          </cell>
          <cell r="E522">
            <v>36</v>
          </cell>
        </row>
        <row r="523">
          <cell r="A523">
            <v>1996</v>
          </cell>
          <cell r="B523">
            <v>35138</v>
          </cell>
          <cell r="C523" t="str">
            <v>加拿大</v>
          </cell>
          <cell r="D523" t="str">
            <v>糖果</v>
          </cell>
          <cell r="E523">
            <v>379.99999970197678</v>
          </cell>
        </row>
        <row r="524">
          <cell r="A524">
            <v>1996</v>
          </cell>
          <cell r="B524">
            <v>35138</v>
          </cell>
          <cell r="C524" t="str">
            <v>加拿大</v>
          </cell>
          <cell r="D524" t="str">
            <v>面食/谷类</v>
          </cell>
          <cell r="E524">
            <v>758.09999940544367</v>
          </cell>
        </row>
        <row r="525">
          <cell r="A525">
            <v>1996</v>
          </cell>
          <cell r="B525">
            <v>35138</v>
          </cell>
          <cell r="C525" t="str">
            <v>加拿大</v>
          </cell>
          <cell r="D525" t="str">
            <v>香料</v>
          </cell>
          <cell r="E525">
            <v>239.96999981179832</v>
          </cell>
        </row>
        <row r="526">
          <cell r="A526">
            <v>1996</v>
          </cell>
          <cell r="B526">
            <v>35142</v>
          </cell>
          <cell r="C526" t="str">
            <v>加拿大</v>
          </cell>
          <cell r="D526" t="str">
            <v>乳制品</v>
          </cell>
          <cell r="E526">
            <v>840</v>
          </cell>
        </row>
        <row r="527">
          <cell r="A527">
            <v>1996</v>
          </cell>
          <cell r="B527">
            <v>35142</v>
          </cell>
          <cell r="C527" t="str">
            <v>加拿大</v>
          </cell>
          <cell r="D527" t="str">
            <v>饮料</v>
          </cell>
          <cell r="E527">
            <v>10540</v>
          </cell>
        </row>
        <row r="528">
          <cell r="A528">
            <v>1996</v>
          </cell>
          <cell r="B528">
            <v>35143</v>
          </cell>
          <cell r="C528" t="str">
            <v>美国</v>
          </cell>
          <cell r="D528" t="str">
            <v>海洋食品</v>
          </cell>
          <cell r="E528">
            <v>368.93249971065671</v>
          </cell>
        </row>
        <row r="529">
          <cell r="A529">
            <v>1996</v>
          </cell>
          <cell r="B529">
            <v>35144</v>
          </cell>
          <cell r="C529" t="str">
            <v>美国</v>
          </cell>
          <cell r="D529" t="str">
            <v>香料</v>
          </cell>
          <cell r="E529">
            <v>1200</v>
          </cell>
        </row>
        <row r="530">
          <cell r="A530">
            <v>1996</v>
          </cell>
          <cell r="B530">
            <v>35144</v>
          </cell>
          <cell r="C530" t="str">
            <v>美国</v>
          </cell>
          <cell r="D530" t="str">
            <v>饮料</v>
          </cell>
          <cell r="E530">
            <v>45</v>
          </cell>
        </row>
        <row r="531">
          <cell r="A531">
            <v>1996</v>
          </cell>
          <cell r="B531">
            <v>35144</v>
          </cell>
          <cell r="C531" t="str">
            <v>美国</v>
          </cell>
          <cell r="D531" t="str">
            <v>肉/家禽</v>
          </cell>
          <cell r="E531">
            <v>2970.96</v>
          </cell>
        </row>
        <row r="532">
          <cell r="A532">
            <v>1996</v>
          </cell>
          <cell r="B532">
            <v>35144</v>
          </cell>
          <cell r="C532" t="str">
            <v>美国</v>
          </cell>
          <cell r="D532" t="str">
            <v>海洋食品</v>
          </cell>
          <cell r="E532">
            <v>906.15</v>
          </cell>
        </row>
        <row r="533">
          <cell r="A533">
            <v>1996</v>
          </cell>
          <cell r="B533">
            <v>35144</v>
          </cell>
          <cell r="C533" t="str">
            <v>美国</v>
          </cell>
          <cell r="D533" t="str">
            <v>海洋食品</v>
          </cell>
          <cell r="E533">
            <v>380</v>
          </cell>
        </row>
        <row r="534">
          <cell r="A534">
            <v>1996</v>
          </cell>
          <cell r="B534">
            <v>35144</v>
          </cell>
          <cell r="C534" t="str">
            <v>加拿大</v>
          </cell>
          <cell r="D534" t="str">
            <v>海洋食品</v>
          </cell>
          <cell r="E534">
            <v>159.59999987483025</v>
          </cell>
        </row>
        <row r="535">
          <cell r="A535">
            <v>1996</v>
          </cell>
          <cell r="B535">
            <v>35144</v>
          </cell>
          <cell r="C535" t="str">
            <v>加拿大</v>
          </cell>
          <cell r="D535" t="str">
            <v>乳制品</v>
          </cell>
          <cell r="E535">
            <v>1709.9999986588955</v>
          </cell>
        </row>
        <row r="536">
          <cell r="A536">
            <v>1996</v>
          </cell>
          <cell r="B536">
            <v>35144</v>
          </cell>
          <cell r="C536" t="str">
            <v>加拿大</v>
          </cell>
          <cell r="D536" t="str">
            <v>饮料</v>
          </cell>
          <cell r="E536">
            <v>883.499999307096</v>
          </cell>
        </row>
        <row r="537">
          <cell r="A537">
            <v>1996</v>
          </cell>
          <cell r="B537">
            <v>35150</v>
          </cell>
          <cell r="C537" t="str">
            <v>加拿大</v>
          </cell>
          <cell r="D537" t="str">
            <v>海洋食品</v>
          </cell>
          <cell r="E537">
            <v>198.75</v>
          </cell>
        </row>
        <row r="538">
          <cell r="A538">
            <v>1996</v>
          </cell>
          <cell r="B538">
            <v>35150</v>
          </cell>
          <cell r="C538" t="str">
            <v>加拿大</v>
          </cell>
          <cell r="D538" t="str">
            <v>糖果</v>
          </cell>
          <cell r="E538">
            <v>1725.5</v>
          </cell>
        </row>
        <row r="539">
          <cell r="A539">
            <v>1996</v>
          </cell>
          <cell r="B539">
            <v>35159</v>
          </cell>
          <cell r="C539" t="str">
            <v>美国</v>
          </cell>
          <cell r="D539" t="str">
            <v>糖果</v>
          </cell>
          <cell r="E539">
            <v>600</v>
          </cell>
        </row>
        <row r="540">
          <cell r="A540">
            <v>1996</v>
          </cell>
          <cell r="B540">
            <v>35159</v>
          </cell>
          <cell r="C540" t="str">
            <v>美国</v>
          </cell>
          <cell r="D540" t="str">
            <v>饮料</v>
          </cell>
          <cell r="E540">
            <v>379.75</v>
          </cell>
        </row>
        <row r="541">
          <cell r="A541">
            <v>1996</v>
          </cell>
          <cell r="B541">
            <v>35159</v>
          </cell>
          <cell r="C541" t="str">
            <v>美国</v>
          </cell>
          <cell r="D541" t="str">
            <v>香料</v>
          </cell>
          <cell r="E541">
            <v>195</v>
          </cell>
        </row>
        <row r="542">
          <cell r="A542">
            <v>1996</v>
          </cell>
          <cell r="B542">
            <v>35163</v>
          </cell>
          <cell r="C542" t="str">
            <v>美国</v>
          </cell>
          <cell r="D542" t="str">
            <v>香料</v>
          </cell>
          <cell r="E542">
            <v>500</v>
          </cell>
        </row>
        <row r="543">
          <cell r="A543">
            <v>1996</v>
          </cell>
          <cell r="B543">
            <v>35163</v>
          </cell>
          <cell r="C543" t="str">
            <v>加拿大</v>
          </cell>
          <cell r="D543" t="str">
            <v>海洋食品</v>
          </cell>
          <cell r="E543">
            <v>455.99999830126762</v>
          </cell>
        </row>
        <row r="544">
          <cell r="A544">
            <v>1996</v>
          </cell>
          <cell r="B544">
            <v>35164</v>
          </cell>
          <cell r="C544" t="str">
            <v>美国</v>
          </cell>
          <cell r="D544" t="str">
            <v>海洋食品</v>
          </cell>
          <cell r="E544">
            <v>90</v>
          </cell>
        </row>
        <row r="545">
          <cell r="A545">
            <v>1996</v>
          </cell>
          <cell r="B545">
            <v>35164</v>
          </cell>
          <cell r="C545" t="str">
            <v>美国</v>
          </cell>
          <cell r="D545" t="str">
            <v>饮料</v>
          </cell>
          <cell r="E545">
            <v>828</v>
          </cell>
        </row>
        <row r="546">
          <cell r="A546">
            <v>1996</v>
          </cell>
          <cell r="B546">
            <v>35164</v>
          </cell>
          <cell r="C546" t="str">
            <v>美国</v>
          </cell>
          <cell r="D546" t="str">
            <v>乳制品</v>
          </cell>
          <cell r="E546">
            <v>1249.5</v>
          </cell>
        </row>
        <row r="547">
          <cell r="A547">
            <v>1996</v>
          </cell>
          <cell r="B547">
            <v>35164</v>
          </cell>
          <cell r="C547" t="str">
            <v>美国</v>
          </cell>
          <cell r="D547" t="str">
            <v>乳制品</v>
          </cell>
          <cell r="E547">
            <v>564.375</v>
          </cell>
        </row>
        <row r="548">
          <cell r="A548">
            <v>1996</v>
          </cell>
          <cell r="B548">
            <v>35165</v>
          </cell>
          <cell r="C548" t="str">
            <v>加拿大</v>
          </cell>
          <cell r="D548" t="str">
            <v>乳制品</v>
          </cell>
          <cell r="E548">
            <v>412.5</v>
          </cell>
        </row>
        <row r="549">
          <cell r="A549">
            <v>1996</v>
          </cell>
          <cell r="B549">
            <v>35165</v>
          </cell>
          <cell r="C549" t="str">
            <v>加拿大</v>
          </cell>
          <cell r="D549" t="str">
            <v>糖果</v>
          </cell>
          <cell r="E549">
            <v>1109.25</v>
          </cell>
        </row>
        <row r="550">
          <cell r="A550">
            <v>1996</v>
          </cell>
          <cell r="B550">
            <v>35165</v>
          </cell>
          <cell r="C550" t="str">
            <v>加拿大</v>
          </cell>
          <cell r="D550" t="str">
            <v>糖果</v>
          </cell>
          <cell r="E550">
            <v>750</v>
          </cell>
        </row>
        <row r="551">
          <cell r="A551">
            <v>1996</v>
          </cell>
          <cell r="B551">
            <v>35165</v>
          </cell>
          <cell r="C551" t="str">
            <v>加拿大</v>
          </cell>
          <cell r="D551" t="str">
            <v>乳制品</v>
          </cell>
          <cell r="E551">
            <v>1740</v>
          </cell>
        </row>
        <row r="552">
          <cell r="A552">
            <v>1996</v>
          </cell>
          <cell r="B552">
            <v>35166</v>
          </cell>
          <cell r="C552" t="str">
            <v>美国</v>
          </cell>
          <cell r="D552" t="str">
            <v>海洋食品</v>
          </cell>
          <cell r="E552">
            <v>120</v>
          </cell>
        </row>
        <row r="553">
          <cell r="A553">
            <v>1996</v>
          </cell>
          <cell r="B553">
            <v>35166</v>
          </cell>
          <cell r="C553" t="str">
            <v>美国</v>
          </cell>
          <cell r="D553" t="str">
            <v>乳制品</v>
          </cell>
          <cell r="E553">
            <v>125</v>
          </cell>
        </row>
        <row r="554">
          <cell r="A554">
            <v>1996</v>
          </cell>
          <cell r="B554">
            <v>35170</v>
          </cell>
          <cell r="C554" t="str">
            <v>美国</v>
          </cell>
          <cell r="D554" t="str">
            <v>香料</v>
          </cell>
          <cell r="E554">
            <v>379.99999970197678</v>
          </cell>
        </row>
        <row r="555">
          <cell r="A555">
            <v>1996</v>
          </cell>
          <cell r="B555">
            <v>35170</v>
          </cell>
          <cell r="C555" t="str">
            <v>美国</v>
          </cell>
          <cell r="D555" t="str">
            <v>农产品</v>
          </cell>
          <cell r="E555">
            <v>91.2</v>
          </cell>
        </row>
        <row r="556">
          <cell r="A556">
            <v>1996</v>
          </cell>
          <cell r="B556">
            <v>35171</v>
          </cell>
          <cell r="C556" t="str">
            <v>美国</v>
          </cell>
          <cell r="D556" t="str">
            <v>糖果</v>
          </cell>
          <cell r="E556">
            <v>120</v>
          </cell>
        </row>
        <row r="557">
          <cell r="A557">
            <v>1996</v>
          </cell>
          <cell r="B557">
            <v>35171</v>
          </cell>
          <cell r="C557" t="str">
            <v>美国</v>
          </cell>
          <cell r="D557" t="str">
            <v>糖果</v>
          </cell>
          <cell r="E557">
            <v>133</v>
          </cell>
        </row>
        <row r="558">
          <cell r="A558">
            <v>1996</v>
          </cell>
          <cell r="B558">
            <v>35171</v>
          </cell>
          <cell r="C558" t="str">
            <v>美国</v>
          </cell>
          <cell r="D558" t="str">
            <v>农产品</v>
          </cell>
          <cell r="E558">
            <v>424</v>
          </cell>
        </row>
        <row r="559">
          <cell r="A559">
            <v>1996</v>
          </cell>
          <cell r="B559">
            <v>35173</v>
          </cell>
          <cell r="C559" t="str">
            <v>美国</v>
          </cell>
          <cell r="D559" t="str">
            <v>农产品</v>
          </cell>
          <cell r="E559">
            <v>1350</v>
          </cell>
        </row>
        <row r="560">
          <cell r="A560">
            <v>1996</v>
          </cell>
          <cell r="B560">
            <v>35173</v>
          </cell>
          <cell r="C560" t="str">
            <v>美国</v>
          </cell>
          <cell r="D560" t="str">
            <v>海洋食品</v>
          </cell>
          <cell r="E560">
            <v>462</v>
          </cell>
        </row>
        <row r="561">
          <cell r="A561">
            <v>1996</v>
          </cell>
          <cell r="B561">
            <v>35173</v>
          </cell>
          <cell r="C561" t="str">
            <v>美国</v>
          </cell>
          <cell r="D561" t="str">
            <v>肉/家禽</v>
          </cell>
          <cell r="E561">
            <v>656</v>
          </cell>
        </row>
        <row r="562">
          <cell r="A562">
            <v>1996</v>
          </cell>
          <cell r="B562">
            <v>35173</v>
          </cell>
          <cell r="C562" t="str">
            <v>美国</v>
          </cell>
          <cell r="D562" t="str">
            <v>乳制品</v>
          </cell>
          <cell r="E562">
            <v>324</v>
          </cell>
        </row>
        <row r="563">
          <cell r="A563">
            <v>1996</v>
          </cell>
          <cell r="B563">
            <v>35173</v>
          </cell>
          <cell r="C563" t="str">
            <v>美国</v>
          </cell>
          <cell r="D563" t="str">
            <v>饮料</v>
          </cell>
          <cell r="E563">
            <v>792</v>
          </cell>
        </row>
        <row r="564">
          <cell r="A564">
            <v>1996</v>
          </cell>
          <cell r="B564">
            <v>35174</v>
          </cell>
          <cell r="C564" t="str">
            <v>加拿大</v>
          </cell>
          <cell r="D564" t="str">
            <v>农产品</v>
          </cell>
          <cell r="E564">
            <v>848</v>
          </cell>
        </row>
        <row r="565">
          <cell r="A565">
            <v>1996</v>
          </cell>
          <cell r="B565">
            <v>35177</v>
          </cell>
          <cell r="C565" t="str">
            <v>美国</v>
          </cell>
          <cell r="D565" t="str">
            <v>糖果</v>
          </cell>
          <cell r="E565">
            <v>110.4</v>
          </cell>
        </row>
        <row r="566">
          <cell r="A566">
            <v>1996</v>
          </cell>
          <cell r="B566">
            <v>35177</v>
          </cell>
          <cell r="C566" t="str">
            <v>美国</v>
          </cell>
          <cell r="D566" t="str">
            <v>糖果</v>
          </cell>
          <cell r="E566">
            <v>800</v>
          </cell>
        </row>
        <row r="567">
          <cell r="A567">
            <v>1996</v>
          </cell>
          <cell r="B567">
            <v>35179</v>
          </cell>
          <cell r="C567" t="str">
            <v>加拿大</v>
          </cell>
          <cell r="D567" t="str">
            <v>香料</v>
          </cell>
          <cell r="E567">
            <v>439</v>
          </cell>
        </row>
        <row r="568">
          <cell r="A568">
            <v>1996</v>
          </cell>
          <cell r="B568">
            <v>35181</v>
          </cell>
          <cell r="C568" t="str">
            <v>加拿大</v>
          </cell>
          <cell r="D568" t="str">
            <v>海洋食品</v>
          </cell>
          <cell r="E568">
            <v>428.3999969959259</v>
          </cell>
        </row>
        <row r="569">
          <cell r="A569">
            <v>1996</v>
          </cell>
          <cell r="B569">
            <v>35181</v>
          </cell>
          <cell r="C569" t="str">
            <v>加拿大</v>
          </cell>
          <cell r="D569" t="str">
            <v>面食/谷类</v>
          </cell>
          <cell r="E569">
            <v>292.5</v>
          </cell>
        </row>
        <row r="570">
          <cell r="A570">
            <v>1996</v>
          </cell>
          <cell r="B570">
            <v>35184</v>
          </cell>
          <cell r="C570" t="str">
            <v>加拿大</v>
          </cell>
          <cell r="D570" t="str">
            <v>糖果</v>
          </cell>
          <cell r="E570">
            <v>959.75</v>
          </cell>
        </row>
        <row r="571">
          <cell r="A571">
            <v>1996</v>
          </cell>
          <cell r="B571">
            <v>35184</v>
          </cell>
          <cell r="C571" t="str">
            <v>加拿大</v>
          </cell>
          <cell r="D571" t="str">
            <v>饮料</v>
          </cell>
          <cell r="E571">
            <v>90</v>
          </cell>
        </row>
        <row r="572">
          <cell r="A572">
            <v>1996</v>
          </cell>
          <cell r="B572">
            <v>35184</v>
          </cell>
          <cell r="C572" t="str">
            <v>加拿大</v>
          </cell>
          <cell r="D572" t="str">
            <v>海洋食品</v>
          </cell>
          <cell r="E572">
            <v>760</v>
          </cell>
        </row>
        <row r="573">
          <cell r="A573">
            <v>1996</v>
          </cell>
          <cell r="B573">
            <v>35185</v>
          </cell>
          <cell r="C573" t="str">
            <v>加拿大</v>
          </cell>
          <cell r="D573" t="str">
            <v>农产品</v>
          </cell>
          <cell r="E573">
            <v>1800</v>
          </cell>
        </row>
        <row r="574">
          <cell r="A574">
            <v>1996</v>
          </cell>
          <cell r="B574">
            <v>35185</v>
          </cell>
          <cell r="C574" t="str">
            <v>加拿大</v>
          </cell>
          <cell r="D574" t="str">
            <v>糖果</v>
          </cell>
          <cell r="E574">
            <v>1774.799997061491</v>
          </cell>
        </row>
        <row r="575">
          <cell r="A575">
            <v>1996</v>
          </cell>
          <cell r="B575">
            <v>35186</v>
          </cell>
          <cell r="C575" t="str">
            <v>美国</v>
          </cell>
          <cell r="D575" t="str">
            <v>饮料</v>
          </cell>
          <cell r="E575">
            <v>759.99999716877937</v>
          </cell>
        </row>
        <row r="576">
          <cell r="A576">
            <v>1996</v>
          </cell>
          <cell r="B576">
            <v>35186</v>
          </cell>
          <cell r="C576" t="str">
            <v>美国</v>
          </cell>
          <cell r="D576" t="str">
            <v>饮料</v>
          </cell>
          <cell r="E576">
            <v>239.99999910593033</v>
          </cell>
        </row>
        <row r="577">
          <cell r="A577">
            <v>1996</v>
          </cell>
          <cell r="B577">
            <v>35186</v>
          </cell>
          <cell r="C577" t="str">
            <v>美国</v>
          </cell>
          <cell r="D577" t="str">
            <v>饮料</v>
          </cell>
          <cell r="E577">
            <v>1295.9999951720238</v>
          </cell>
        </row>
        <row r="578">
          <cell r="A578">
            <v>1996</v>
          </cell>
          <cell r="B578">
            <v>35186</v>
          </cell>
          <cell r="C578" t="str">
            <v>加拿大</v>
          </cell>
          <cell r="D578" t="str">
            <v>乳制品</v>
          </cell>
          <cell r="E578">
            <v>69.599999999999994</v>
          </cell>
        </row>
        <row r="579">
          <cell r="A579">
            <v>1996</v>
          </cell>
          <cell r="B579">
            <v>35187</v>
          </cell>
          <cell r="C579" t="str">
            <v>美国</v>
          </cell>
          <cell r="D579" t="str">
            <v>面食/谷类</v>
          </cell>
          <cell r="E579">
            <v>560</v>
          </cell>
        </row>
        <row r="580">
          <cell r="A580">
            <v>1996</v>
          </cell>
          <cell r="B580">
            <v>35188</v>
          </cell>
          <cell r="C580" t="str">
            <v>美国</v>
          </cell>
          <cell r="D580" t="str">
            <v>海洋食品</v>
          </cell>
          <cell r="E580">
            <v>183.34999985620379</v>
          </cell>
        </row>
        <row r="581">
          <cell r="A581">
            <v>1996</v>
          </cell>
          <cell r="B581">
            <v>35188</v>
          </cell>
          <cell r="C581" t="str">
            <v>美国</v>
          </cell>
          <cell r="D581" t="str">
            <v>农产品</v>
          </cell>
          <cell r="E581">
            <v>755.24999940767884</v>
          </cell>
        </row>
        <row r="582">
          <cell r="A582">
            <v>1996</v>
          </cell>
          <cell r="B582">
            <v>35188</v>
          </cell>
          <cell r="C582" t="str">
            <v>美国</v>
          </cell>
          <cell r="D582" t="str">
            <v>香料</v>
          </cell>
          <cell r="E582">
            <v>259.34999979659915</v>
          </cell>
        </row>
        <row r="583">
          <cell r="A583">
            <v>1996</v>
          </cell>
          <cell r="B583">
            <v>35191</v>
          </cell>
          <cell r="C583" t="str">
            <v>加拿大</v>
          </cell>
          <cell r="D583" t="str">
            <v>香料</v>
          </cell>
          <cell r="E583">
            <v>412.5</v>
          </cell>
        </row>
        <row r="584">
          <cell r="A584">
            <v>1996</v>
          </cell>
          <cell r="B584">
            <v>35191</v>
          </cell>
          <cell r="C584" t="str">
            <v>加拿大</v>
          </cell>
          <cell r="D584" t="str">
            <v>饮料</v>
          </cell>
          <cell r="E584">
            <v>101.25</v>
          </cell>
        </row>
        <row r="585">
          <cell r="A585">
            <v>1996</v>
          </cell>
          <cell r="B585">
            <v>35191</v>
          </cell>
          <cell r="C585" t="str">
            <v>加拿大</v>
          </cell>
          <cell r="D585" t="str">
            <v>香料</v>
          </cell>
          <cell r="E585">
            <v>390</v>
          </cell>
        </row>
        <row r="586">
          <cell r="A586">
            <v>1996</v>
          </cell>
          <cell r="B586">
            <v>35191</v>
          </cell>
          <cell r="C586" t="str">
            <v>加拿大</v>
          </cell>
          <cell r="D586" t="str">
            <v>海洋食品</v>
          </cell>
          <cell r="E586">
            <v>336</v>
          </cell>
        </row>
        <row r="587">
          <cell r="A587">
            <v>1996</v>
          </cell>
          <cell r="B587">
            <v>35191</v>
          </cell>
          <cell r="C587" t="str">
            <v>加拿大</v>
          </cell>
          <cell r="D587" t="str">
            <v>饮料</v>
          </cell>
          <cell r="E587">
            <v>229.49999839067459</v>
          </cell>
        </row>
        <row r="588">
          <cell r="A588">
            <v>1996</v>
          </cell>
          <cell r="B588">
            <v>35191</v>
          </cell>
          <cell r="C588" t="str">
            <v>加拿大</v>
          </cell>
          <cell r="D588" t="str">
            <v>面食/谷类</v>
          </cell>
          <cell r="E588">
            <v>285.59999799728394</v>
          </cell>
        </row>
        <row r="589">
          <cell r="A589">
            <v>1996</v>
          </cell>
          <cell r="B589">
            <v>35191</v>
          </cell>
          <cell r="C589" t="str">
            <v>加拿大</v>
          </cell>
          <cell r="D589" t="str">
            <v>肉/家禽</v>
          </cell>
          <cell r="E589">
            <v>960</v>
          </cell>
        </row>
        <row r="590">
          <cell r="A590">
            <v>1996</v>
          </cell>
          <cell r="B590">
            <v>35191</v>
          </cell>
          <cell r="C590" t="str">
            <v>加拿大</v>
          </cell>
          <cell r="D590" t="str">
            <v>饮料</v>
          </cell>
          <cell r="E590">
            <v>72</v>
          </cell>
        </row>
        <row r="591">
          <cell r="A591">
            <v>1996</v>
          </cell>
          <cell r="B591">
            <v>35191</v>
          </cell>
          <cell r="C591" t="str">
            <v>加拿大</v>
          </cell>
          <cell r="D591" t="str">
            <v>海洋食品</v>
          </cell>
          <cell r="E591">
            <v>184</v>
          </cell>
        </row>
        <row r="592">
          <cell r="A592">
            <v>1996</v>
          </cell>
          <cell r="B592">
            <v>35191</v>
          </cell>
          <cell r="C592" t="str">
            <v>加拿大</v>
          </cell>
          <cell r="D592" t="str">
            <v>面食/谷类</v>
          </cell>
          <cell r="E592">
            <v>70</v>
          </cell>
        </row>
        <row r="593">
          <cell r="A593">
            <v>1996</v>
          </cell>
          <cell r="B593">
            <v>35192</v>
          </cell>
          <cell r="C593" t="str">
            <v>加拿大</v>
          </cell>
          <cell r="D593" t="str">
            <v>饮料</v>
          </cell>
          <cell r="E593">
            <v>144</v>
          </cell>
        </row>
        <row r="594">
          <cell r="A594">
            <v>1996</v>
          </cell>
          <cell r="B594">
            <v>35192</v>
          </cell>
          <cell r="C594" t="str">
            <v>加拿大</v>
          </cell>
          <cell r="D594" t="str">
            <v>肉/家禽</v>
          </cell>
          <cell r="E594">
            <v>185.685</v>
          </cell>
        </row>
        <row r="595">
          <cell r="A595">
            <v>1996</v>
          </cell>
          <cell r="B595">
            <v>35194</v>
          </cell>
          <cell r="C595" t="str">
            <v>美国</v>
          </cell>
          <cell r="D595" t="str">
            <v>糖果</v>
          </cell>
          <cell r="E595">
            <v>436.99999965727329</v>
          </cell>
        </row>
        <row r="596">
          <cell r="A596">
            <v>1996</v>
          </cell>
          <cell r="B596">
            <v>35194</v>
          </cell>
          <cell r="C596" t="str">
            <v>美国</v>
          </cell>
          <cell r="D596" t="str">
            <v>乳制品</v>
          </cell>
          <cell r="E596">
            <v>1162.7999990880489</v>
          </cell>
        </row>
        <row r="597">
          <cell r="A597">
            <v>1996</v>
          </cell>
          <cell r="B597">
            <v>35194</v>
          </cell>
          <cell r="C597" t="str">
            <v>美国</v>
          </cell>
          <cell r="D597" t="str">
            <v>乳制品</v>
          </cell>
          <cell r="E597">
            <v>1225.4999990388751</v>
          </cell>
        </row>
        <row r="598">
          <cell r="A598">
            <v>1996</v>
          </cell>
          <cell r="B598">
            <v>35198</v>
          </cell>
          <cell r="C598" t="str">
            <v>加拿大</v>
          </cell>
          <cell r="D598" t="str">
            <v>乳制品</v>
          </cell>
          <cell r="E598">
            <v>760</v>
          </cell>
        </row>
        <row r="599">
          <cell r="A599">
            <v>1996</v>
          </cell>
          <cell r="B599">
            <v>35198</v>
          </cell>
          <cell r="C599" t="str">
            <v>加拿大</v>
          </cell>
          <cell r="D599" t="str">
            <v>海洋食品</v>
          </cell>
          <cell r="E599">
            <v>625</v>
          </cell>
        </row>
        <row r="600">
          <cell r="A600">
            <v>1996</v>
          </cell>
          <cell r="B600">
            <v>35198</v>
          </cell>
          <cell r="C600" t="str">
            <v>加拿大</v>
          </cell>
          <cell r="D600" t="str">
            <v>面食/谷类</v>
          </cell>
          <cell r="E600">
            <v>190</v>
          </cell>
        </row>
        <row r="601">
          <cell r="A601">
            <v>1996</v>
          </cell>
          <cell r="B601">
            <v>35199</v>
          </cell>
          <cell r="C601" t="str">
            <v>美国</v>
          </cell>
          <cell r="D601" t="str">
            <v>海洋食品</v>
          </cell>
          <cell r="E601">
            <v>632.39999556541443</v>
          </cell>
        </row>
        <row r="602">
          <cell r="A602">
            <v>1996</v>
          </cell>
          <cell r="B602">
            <v>35199</v>
          </cell>
          <cell r="C602" t="str">
            <v>美国</v>
          </cell>
          <cell r="D602" t="str">
            <v>饮料</v>
          </cell>
          <cell r="E602">
            <v>156.75</v>
          </cell>
        </row>
        <row r="603">
          <cell r="A603">
            <v>1996</v>
          </cell>
          <cell r="B603">
            <v>35199</v>
          </cell>
          <cell r="C603" t="str">
            <v>美国</v>
          </cell>
          <cell r="D603" t="str">
            <v>糖果</v>
          </cell>
          <cell r="E603">
            <v>1215</v>
          </cell>
        </row>
        <row r="604">
          <cell r="A604">
            <v>1996</v>
          </cell>
          <cell r="B604">
            <v>35199</v>
          </cell>
          <cell r="C604" t="str">
            <v>美国</v>
          </cell>
          <cell r="D604" t="str">
            <v>糖果</v>
          </cell>
          <cell r="E604">
            <v>1967.49</v>
          </cell>
        </row>
        <row r="605">
          <cell r="A605">
            <v>1996</v>
          </cell>
          <cell r="B605">
            <v>35199</v>
          </cell>
          <cell r="C605" t="str">
            <v>美国</v>
          </cell>
          <cell r="D605" t="str">
            <v>农产品</v>
          </cell>
          <cell r="E605">
            <v>1749</v>
          </cell>
        </row>
        <row r="606">
          <cell r="A606">
            <v>1996</v>
          </cell>
          <cell r="B606">
            <v>35199</v>
          </cell>
          <cell r="C606" t="str">
            <v>美国</v>
          </cell>
          <cell r="D606" t="str">
            <v>乳制品</v>
          </cell>
          <cell r="E606">
            <v>1218</v>
          </cell>
        </row>
        <row r="607">
          <cell r="A607">
            <v>1996</v>
          </cell>
          <cell r="B607">
            <v>35201</v>
          </cell>
          <cell r="C607" t="str">
            <v>美国</v>
          </cell>
          <cell r="D607" t="str">
            <v>肉/家禽</v>
          </cell>
          <cell r="E607">
            <v>840</v>
          </cell>
        </row>
        <row r="608">
          <cell r="A608">
            <v>1996</v>
          </cell>
          <cell r="B608">
            <v>35201</v>
          </cell>
          <cell r="C608" t="str">
            <v>美国</v>
          </cell>
          <cell r="D608" t="str">
            <v>乳制品</v>
          </cell>
          <cell r="E608">
            <v>1320</v>
          </cell>
        </row>
        <row r="609">
          <cell r="A609">
            <v>1996</v>
          </cell>
          <cell r="B609">
            <v>35202</v>
          </cell>
          <cell r="C609" t="str">
            <v>加拿大</v>
          </cell>
          <cell r="D609" t="str">
            <v>饮料</v>
          </cell>
          <cell r="E609">
            <v>1425</v>
          </cell>
        </row>
        <row r="610">
          <cell r="A610">
            <v>1996</v>
          </cell>
          <cell r="B610">
            <v>35202</v>
          </cell>
          <cell r="C610" t="str">
            <v>加拿大</v>
          </cell>
          <cell r="D610" t="str">
            <v>香料</v>
          </cell>
          <cell r="E610">
            <v>1494.5</v>
          </cell>
        </row>
        <row r="611">
          <cell r="A611">
            <v>1996</v>
          </cell>
          <cell r="B611">
            <v>35202</v>
          </cell>
          <cell r="C611" t="str">
            <v>加拿大</v>
          </cell>
          <cell r="D611" t="str">
            <v>肉/家禽</v>
          </cell>
          <cell r="E611">
            <v>5570.55</v>
          </cell>
        </row>
        <row r="612">
          <cell r="A612">
            <v>1996</v>
          </cell>
          <cell r="B612">
            <v>35202</v>
          </cell>
          <cell r="C612" t="str">
            <v>加拿大</v>
          </cell>
          <cell r="D612" t="str">
            <v>乳制品</v>
          </cell>
          <cell r="E612">
            <v>4125</v>
          </cell>
        </row>
        <row r="613">
          <cell r="A613">
            <v>1996</v>
          </cell>
          <cell r="B613">
            <v>35202</v>
          </cell>
          <cell r="C613" t="str">
            <v>加拿大</v>
          </cell>
          <cell r="D613" t="str">
            <v>饮料</v>
          </cell>
          <cell r="E613">
            <v>810</v>
          </cell>
        </row>
        <row r="614">
          <cell r="A614">
            <v>1996</v>
          </cell>
          <cell r="B614">
            <v>35202</v>
          </cell>
          <cell r="C614" t="str">
            <v>加拿大</v>
          </cell>
          <cell r="D614" t="str">
            <v>海洋食品</v>
          </cell>
          <cell r="E614">
            <v>480</v>
          </cell>
        </row>
        <row r="615">
          <cell r="A615">
            <v>1996</v>
          </cell>
          <cell r="B615">
            <v>35202</v>
          </cell>
          <cell r="C615" t="str">
            <v>加拿大</v>
          </cell>
          <cell r="D615" t="str">
            <v>饮料</v>
          </cell>
          <cell r="E615">
            <v>94.5</v>
          </cell>
        </row>
        <row r="616">
          <cell r="A616">
            <v>1996</v>
          </cell>
          <cell r="B616">
            <v>35202</v>
          </cell>
          <cell r="C616" t="str">
            <v>加拿大</v>
          </cell>
          <cell r="D616" t="str">
            <v>面食/谷类</v>
          </cell>
          <cell r="E616">
            <v>665</v>
          </cell>
        </row>
        <row r="617">
          <cell r="A617">
            <v>1996</v>
          </cell>
          <cell r="B617">
            <v>35202</v>
          </cell>
          <cell r="C617" t="str">
            <v>加拿大</v>
          </cell>
          <cell r="D617" t="str">
            <v>乳制品</v>
          </cell>
          <cell r="E617">
            <v>344</v>
          </cell>
        </row>
        <row r="618">
          <cell r="A618">
            <v>1996</v>
          </cell>
          <cell r="B618">
            <v>35202</v>
          </cell>
          <cell r="C618" t="str">
            <v>加拿大</v>
          </cell>
          <cell r="D618" t="str">
            <v>海洋食品</v>
          </cell>
          <cell r="E618">
            <v>665</v>
          </cell>
        </row>
        <row r="619">
          <cell r="A619">
            <v>1996</v>
          </cell>
          <cell r="B619">
            <v>35202</v>
          </cell>
          <cell r="C619" t="str">
            <v>加拿大</v>
          </cell>
          <cell r="D619" t="str">
            <v>饮料</v>
          </cell>
          <cell r="E619">
            <v>6587.5</v>
          </cell>
        </row>
        <row r="620">
          <cell r="A620">
            <v>1996</v>
          </cell>
          <cell r="B620">
            <v>35202</v>
          </cell>
          <cell r="C620" t="str">
            <v>加拿大</v>
          </cell>
          <cell r="D620" t="str">
            <v>乳制品</v>
          </cell>
          <cell r="E620">
            <v>1650</v>
          </cell>
        </row>
        <row r="621">
          <cell r="A621">
            <v>1996</v>
          </cell>
          <cell r="B621">
            <v>35205</v>
          </cell>
          <cell r="C621" t="str">
            <v>加拿大</v>
          </cell>
          <cell r="D621" t="str">
            <v>糖果</v>
          </cell>
          <cell r="E621">
            <v>134.99999977648258</v>
          </cell>
        </row>
        <row r="622">
          <cell r="A622">
            <v>1996</v>
          </cell>
          <cell r="B622">
            <v>35205</v>
          </cell>
          <cell r="C622" t="str">
            <v>加拿大</v>
          </cell>
          <cell r="D622" t="str">
            <v>香料</v>
          </cell>
          <cell r="E622">
            <v>233.4</v>
          </cell>
        </row>
        <row r="623">
          <cell r="A623">
            <v>1996</v>
          </cell>
          <cell r="B623">
            <v>35205</v>
          </cell>
          <cell r="C623" t="str">
            <v>加拿大</v>
          </cell>
          <cell r="D623" t="str">
            <v>香料</v>
          </cell>
          <cell r="E623">
            <v>171</v>
          </cell>
        </row>
        <row r="624">
          <cell r="A624">
            <v>1996</v>
          </cell>
          <cell r="B624">
            <v>35205</v>
          </cell>
          <cell r="C624" t="str">
            <v>美国</v>
          </cell>
          <cell r="D624" t="str">
            <v>海洋食品</v>
          </cell>
          <cell r="E624">
            <v>42</v>
          </cell>
        </row>
        <row r="625">
          <cell r="A625">
            <v>1996</v>
          </cell>
          <cell r="B625">
            <v>35205</v>
          </cell>
          <cell r="C625" t="str">
            <v>美国</v>
          </cell>
          <cell r="D625" t="str">
            <v>乳制品</v>
          </cell>
          <cell r="E625">
            <v>1650</v>
          </cell>
        </row>
        <row r="626">
          <cell r="A626">
            <v>1996</v>
          </cell>
          <cell r="B626">
            <v>35207</v>
          </cell>
          <cell r="C626" t="str">
            <v>加拿大</v>
          </cell>
          <cell r="D626" t="str">
            <v>糖果</v>
          </cell>
          <cell r="E626">
            <v>200</v>
          </cell>
        </row>
        <row r="627">
          <cell r="A627">
            <v>1996</v>
          </cell>
          <cell r="B627">
            <v>35208</v>
          </cell>
          <cell r="C627" t="str">
            <v>美国</v>
          </cell>
          <cell r="D627" t="str">
            <v>乳制品</v>
          </cell>
          <cell r="E627">
            <v>721.99999943375587</v>
          </cell>
        </row>
        <row r="628">
          <cell r="A628">
            <v>1996</v>
          </cell>
          <cell r="B628">
            <v>35208</v>
          </cell>
          <cell r="C628" t="str">
            <v>美国</v>
          </cell>
          <cell r="D628" t="str">
            <v>乳制品</v>
          </cell>
          <cell r="E628">
            <v>455.99999964237213</v>
          </cell>
        </row>
        <row r="629">
          <cell r="A629">
            <v>1996</v>
          </cell>
          <cell r="B629">
            <v>35208</v>
          </cell>
          <cell r="C629" t="str">
            <v>美国</v>
          </cell>
          <cell r="D629" t="str">
            <v>饮料</v>
          </cell>
          <cell r="E629">
            <v>307.79999975860119</v>
          </cell>
        </row>
        <row r="630">
          <cell r="A630">
            <v>1996</v>
          </cell>
          <cell r="B630">
            <v>35214</v>
          </cell>
          <cell r="C630" t="str">
            <v>美国</v>
          </cell>
          <cell r="D630" t="str">
            <v>糖果</v>
          </cell>
          <cell r="E630">
            <v>30</v>
          </cell>
        </row>
        <row r="631">
          <cell r="A631">
            <v>1996</v>
          </cell>
          <cell r="B631">
            <v>35214</v>
          </cell>
          <cell r="C631" t="str">
            <v>美国</v>
          </cell>
          <cell r="D631" t="str">
            <v>乳制品</v>
          </cell>
          <cell r="E631">
            <v>714</v>
          </cell>
        </row>
        <row r="632">
          <cell r="A632">
            <v>1996</v>
          </cell>
          <cell r="B632">
            <v>35214</v>
          </cell>
          <cell r="C632" t="str">
            <v>美国</v>
          </cell>
          <cell r="D632" t="str">
            <v>香料</v>
          </cell>
          <cell r="E632">
            <v>114</v>
          </cell>
        </row>
        <row r="633">
          <cell r="A633">
            <v>1996</v>
          </cell>
          <cell r="B633">
            <v>35215</v>
          </cell>
          <cell r="C633" t="str">
            <v>加拿大</v>
          </cell>
          <cell r="D633" t="str">
            <v>乳制品</v>
          </cell>
          <cell r="E633">
            <v>510</v>
          </cell>
        </row>
        <row r="634">
          <cell r="A634">
            <v>1996</v>
          </cell>
          <cell r="B634">
            <v>35216</v>
          </cell>
          <cell r="C634" t="str">
            <v>加拿大</v>
          </cell>
          <cell r="D634" t="str">
            <v>肉/家禽</v>
          </cell>
          <cell r="E634">
            <v>2702.6999955251813</v>
          </cell>
        </row>
        <row r="635">
          <cell r="A635">
            <v>1996</v>
          </cell>
          <cell r="B635">
            <v>35216</v>
          </cell>
          <cell r="C635" t="str">
            <v>加拿大</v>
          </cell>
          <cell r="D635" t="str">
            <v>海洋食品</v>
          </cell>
          <cell r="E635">
            <v>115.8</v>
          </cell>
        </row>
        <row r="636">
          <cell r="A636">
            <v>1996</v>
          </cell>
          <cell r="B636">
            <v>35216</v>
          </cell>
          <cell r="C636" t="str">
            <v>加拿大</v>
          </cell>
          <cell r="D636" t="str">
            <v>肉/家禽</v>
          </cell>
          <cell r="E636">
            <v>737.99999877810478</v>
          </cell>
        </row>
        <row r="637">
          <cell r="A637">
            <v>1996</v>
          </cell>
          <cell r="B637">
            <v>35216</v>
          </cell>
          <cell r="C637" t="str">
            <v>加拿大</v>
          </cell>
          <cell r="D637" t="str">
            <v>肉/家禽</v>
          </cell>
          <cell r="E637">
            <v>86.399999856948853</v>
          </cell>
        </row>
        <row r="638">
          <cell r="A638">
            <v>1996</v>
          </cell>
          <cell r="B638">
            <v>35216</v>
          </cell>
          <cell r="C638" t="str">
            <v>加拿大</v>
          </cell>
          <cell r="D638" t="str">
            <v>糖果</v>
          </cell>
          <cell r="E638">
            <v>687.5</v>
          </cell>
        </row>
        <row r="639">
          <cell r="A639">
            <v>1996</v>
          </cell>
          <cell r="B639">
            <v>35216</v>
          </cell>
          <cell r="C639" t="str">
            <v>加拿大</v>
          </cell>
          <cell r="D639" t="str">
            <v>糖果</v>
          </cell>
          <cell r="E639">
            <v>52.35</v>
          </cell>
        </row>
        <row r="640">
          <cell r="A640">
            <v>1996</v>
          </cell>
          <cell r="B640">
            <v>35216</v>
          </cell>
          <cell r="C640" t="str">
            <v>加拿大</v>
          </cell>
          <cell r="D640" t="str">
            <v>糖果</v>
          </cell>
          <cell r="E640">
            <v>386.4</v>
          </cell>
        </row>
        <row r="641">
          <cell r="A641">
            <v>1996</v>
          </cell>
          <cell r="B641">
            <v>35216</v>
          </cell>
          <cell r="C641" t="str">
            <v>加拿大</v>
          </cell>
          <cell r="D641" t="str">
            <v>饮料</v>
          </cell>
          <cell r="E641">
            <v>490</v>
          </cell>
        </row>
        <row r="642">
          <cell r="A642">
            <v>1996</v>
          </cell>
          <cell r="B642">
            <v>35219</v>
          </cell>
          <cell r="C642" t="str">
            <v>美国</v>
          </cell>
          <cell r="D642" t="str">
            <v>海洋食品</v>
          </cell>
          <cell r="E642">
            <v>86.85</v>
          </cell>
        </row>
        <row r="643">
          <cell r="A643">
            <v>1996</v>
          </cell>
          <cell r="B643">
            <v>35220</v>
          </cell>
          <cell r="C643" t="str">
            <v>美国</v>
          </cell>
          <cell r="D643" t="str">
            <v>饮料</v>
          </cell>
          <cell r="E643">
            <v>611.99999570846558</v>
          </cell>
        </row>
        <row r="644">
          <cell r="A644">
            <v>1996</v>
          </cell>
          <cell r="B644">
            <v>35220</v>
          </cell>
          <cell r="C644" t="str">
            <v>美国</v>
          </cell>
          <cell r="D644" t="str">
            <v>饮料</v>
          </cell>
          <cell r="E644">
            <v>322.9999977350235</v>
          </cell>
        </row>
        <row r="645">
          <cell r="A645">
            <v>1996</v>
          </cell>
          <cell r="B645">
            <v>35220</v>
          </cell>
          <cell r="C645" t="str">
            <v>美国</v>
          </cell>
          <cell r="D645" t="str">
            <v>糖果</v>
          </cell>
          <cell r="E645">
            <v>444.97499687969685</v>
          </cell>
        </row>
        <row r="646">
          <cell r="A646">
            <v>1996</v>
          </cell>
          <cell r="B646">
            <v>35220</v>
          </cell>
          <cell r="C646" t="str">
            <v>美国</v>
          </cell>
          <cell r="D646" t="str">
            <v>乳制品</v>
          </cell>
          <cell r="E646">
            <v>250</v>
          </cell>
        </row>
        <row r="647">
          <cell r="A647">
            <v>1996</v>
          </cell>
          <cell r="B647">
            <v>35221</v>
          </cell>
          <cell r="C647" t="str">
            <v>加拿大</v>
          </cell>
          <cell r="D647" t="str">
            <v>饮料</v>
          </cell>
          <cell r="E647">
            <v>364.7999986410141</v>
          </cell>
        </row>
        <row r="648">
          <cell r="A648">
            <v>1996</v>
          </cell>
          <cell r="B648">
            <v>35221</v>
          </cell>
          <cell r="C648" t="str">
            <v>加拿大</v>
          </cell>
          <cell r="D648" t="str">
            <v>香料</v>
          </cell>
          <cell r="E648">
            <v>40</v>
          </cell>
        </row>
        <row r="649">
          <cell r="A649">
            <v>1996</v>
          </cell>
          <cell r="B649">
            <v>35221</v>
          </cell>
          <cell r="C649" t="str">
            <v>加拿大</v>
          </cell>
          <cell r="D649" t="str">
            <v>香料</v>
          </cell>
          <cell r="E649">
            <v>22</v>
          </cell>
        </row>
        <row r="650">
          <cell r="A650">
            <v>1996</v>
          </cell>
          <cell r="B650">
            <v>35221</v>
          </cell>
          <cell r="C650" t="str">
            <v>加拿大</v>
          </cell>
          <cell r="D650" t="str">
            <v>香料</v>
          </cell>
          <cell r="E650">
            <v>24.500000011175871</v>
          </cell>
        </row>
        <row r="651">
          <cell r="A651">
            <v>1996</v>
          </cell>
          <cell r="B651">
            <v>35221</v>
          </cell>
          <cell r="C651" t="str">
            <v>加拿大</v>
          </cell>
          <cell r="D651" t="str">
            <v>农产品</v>
          </cell>
          <cell r="E651">
            <v>28.499999977648258</v>
          </cell>
        </row>
        <row r="652">
          <cell r="A652">
            <v>1996</v>
          </cell>
          <cell r="B652">
            <v>35221</v>
          </cell>
          <cell r="C652" t="str">
            <v>加拿大</v>
          </cell>
          <cell r="D652" t="str">
            <v>香料</v>
          </cell>
          <cell r="E652">
            <v>71.99999988079071</v>
          </cell>
        </row>
        <row r="653">
          <cell r="A653">
            <v>1996</v>
          </cell>
          <cell r="B653">
            <v>35221</v>
          </cell>
          <cell r="C653" t="str">
            <v>加拿大</v>
          </cell>
          <cell r="D653" t="str">
            <v>海洋食品</v>
          </cell>
          <cell r="E653">
            <v>31</v>
          </cell>
        </row>
        <row r="654">
          <cell r="A654">
            <v>1996</v>
          </cell>
          <cell r="B654">
            <v>35221</v>
          </cell>
          <cell r="C654" t="str">
            <v>加拿大</v>
          </cell>
          <cell r="D654" t="str">
            <v>乳制品</v>
          </cell>
          <cell r="E654">
            <v>72.199999943375587</v>
          </cell>
        </row>
        <row r="655">
          <cell r="A655">
            <v>1996</v>
          </cell>
          <cell r="B655">
            <v>35221</v>
          </cell>
          <cell r="C655" t="str">
            <v>加拿大</v>
          </cell>
          <cell r="D655" t="str">
            <v>海洋食品</v>
          </cell>
          <cell r="E655">
            <v>24</v>
          </cell>
        </row>
        <row r="656">
          <cell r="A656">
            <v>1996</v>
          </cell>
          <cell r="B656">
            <v>35221</v>
          </cell>
          <cell r="C656" t="str">
            <v>加拿大</v>
          </cell>
          <cell r="D656" t="str">
            <v>农产品</v>
          </cell>
          <cell r="E656">
            <v>22.55250001559034</v>
          </cell>
        </row>
        <row r="657">
          <cell r="A657">
            <v>1996</v>
          </cell>
          <cell r="B657">
            <v>35221</v>
          </cell>
          <cell r="C657" t="str">
            <v>加拿大</v>
          </cell>
          <cell r="D657" t="str">
            <v>糖果</v>
          </cell>
          <cell r="E657">
            <v>33.853000023402274</v>
          </cell>
        </row>
        <row r="658">
          <cell r="A658">
            <v>1996</v>
          </cell>
          <cell r="B658">
            <v>35221</v>
          </cell>
          <cell r="C658" t="str">
            <v>加拿大</v>
          </cell>
          <cell r="D658" t="str">
            <v>糖果</v>
          </cell>
          <cell r="E658">
            <v>77.760000072419643</v>
          </cell>
        </row>
        <row r="659">
          <cell r="A659">
            <v>1996</v>
          </cell>
          <cell r="B659">
            <v>35221</v>
          </cell>
          <cell r="C659" t="str">
            <v>加拿大</v>
          </cell>
          <cell r="D659" t="str">
            <v>面食/谷类</v>
          </cell>
          <cell r="E659">
            <v>18</v>
          </cell>
        </row>
        <row r="660">
          <cell r="A660">
            <v>1996</v>
          </cell>
          <cell r="B660">
            <v>35221</v>
          </cell>
          <cell r="C660" t="str">
            <v>加拿大</v>
          </cell>
          <cell r="D660" t="str">
            <v>乳制品</v>
          </cell>
          <cell r="E660">
            <v>32</v>
          </cell>
        </row>
        <row r="661">
          <cell r="A661">
            <v>1996</v>
          </cell>
          <cell r="B661">
            <v>35221</v>
          </cell>
          <cell r="C661" t="str">
            <v>加拿大</v>
          </cell>
          <cell r="D661" t="str">
            <v>饮料</v>
          </cell>
          <cell r="E661">
            <v>34.19999997317791</v>
          </cell>
        </row>
        <row r="662">
          <cell r="A662">
            <v>1996</v>
          </cell>
          <cell r="B662">
            <v>35221</v>
          </cell>
          <cell r="C662" t="str">
            <v>加拿大</v>
          </cell>
          <cell r="D662" t="str">
            <v>海洋食品</v>
          </cell>
          <cell r="E662">
            <v>28.95</v>
          </cell>
        </row>
        <row r="663">
          <cell r="A663">
            <v>1996</v>
          </cell>
          <cell r="B663">
            <v>35221</v>
          </cell>
          <cell r="C663" t="str">
            <v>加拿大</v>
          </cell>
          <cell r="D663" t="str">
            <v>海洋食品</v>
          </cell>
          <cell r="E663">
            <v>35.280000016093254</v>
          </cell>
        </row>
        <row r="664">
          <cell r="A664">
            <v>1996</v>
          </cell>
          <cell r="B664">
            <v>35221</v>
          </cell>
          <cell r="C664" t="str">
            <v>加拿大</v>
          </cell>
          <cell r="D664" t="str">
            <v>面食/谷类</v>
          </cell>
          <cell r="E664">
            <v>14</v>
          </cell>
        </row>
        <row r="665">
          <cell r="A665">
            <v>1996</v>
          </cell>
          <cell r="B665">
            <v>35221</v>
          </cell>
          <cell r="C665" t="str">
            <v>加拿大</v>
          </cell>
          <cell r="D665" t="str">
            <v>肉/家禽</v>
          </cell>
          <cell r="E665">
            <v>48</v>
          </cell>
        </row>
        <row r="666">
          <cell r="A666">
            <v>1996</v>
          </cell>
          <cell r="B666">
            <v>35221</v>
          </cell>
          <cell r="C666" t="str">
            <v>加拿大</v>
          </cell>
          <cell r="D666" t="str">
            <v>乳制品</v>
          </cell>
          <cell r="E666">
            <v>63.920000091195107</v>
          </cell>
        </row>
        <row r="667">
          <cell r="A667">
            <v>1996</v>
          </cell>
          <cell r="B667">
            <v>35221</v>
          </cell>
          <cell r="C667" t="str">
            <v>加拿大</v>
          </cell>
          <cell r="D667" t="str">
            <v>面食/谷类</v>
          </cell>
          <cell r="E667">
            <v>64.505000044591725</v>
          </cell>
        </row>
        <row r="668">
          <cell r="A668">
            <v>1996</v>
          </cell>
          <cell r="B668">
            <v>35221</v>
          </cell>
          <cell r="C668" t="str">
            <v>加拿大</v>
          </cell>
          <cell r="D668" t="str">
            <v>香料</v>
          </cell>
          <cell r="E668">
            <v>17</v>
          </cell>
        </row>
        <row r="669">
          <cell r="A669">
            <v>1996</v>
          </cell>
          <cell r="B669">
            <v>35221</v>
          </cell>
          <cell r="C669" t="str">
            <v>加拿大</v>
          </cell>
          <cell r="D669" t="str">
            <v>海洋食品</v>
          </cell>
          <cell r="E669">
            <v>29.700000006705523</v>
          </cell>
        </row>
        <row r="670">
          <cell r="A670">
            <v>1996</v>
          </cell>
          <cell r="B670">
            <v>35221</v>
          </cell>
          <cell r="C670" t="str">
            <v>加拿大</v>
          </cell>
          <cell r="D670" t="str">
            <v>饮料</v>
          </cell>
          <cell r="E670">
            <v>31</v>
          </cell>
        </row>
        <row r="671">
          <cell r="A671">
            <v>1996</v>
          </cell>
          <cell r="B671">
            <v>35221</v>
          </cell>
          <cell r="C671" t="str">
            <v>加拿大</v>
          </cell>
          <cell r="D671" t="str">
            <v>香料</v>
          </cell>
          <cell r="E671">
            <v>26</v>
          </cell>
        </row>
      </sheetData>
      <sheetData sheetId="7">
        <row r="3">
          <cell r="K3">
            <v>100</v>
          </cell>
          <cell r="L3">
            <v>283500</v>
          </cell>
        </row>
        <row r="4">
          <cell r="K4">
            <v>120</v>
          </cell>
          <cell r="L4">
            <v>279200</v>
          </cell>
        </row>
        <row r="5">
          <cell r="K5">
            <v>140</v>
          </cell>
          <cell r="L5">
            <v>276328.57142857142</v>
          </cell>
        </row>
        <row r="6">
          <cell r="K6">
            <v>160</v>
          </cell>
          <cell r="L6">
            <v>274350</v>
          </cell>
        </row>
        <row r="7">
          <cell r="K7">
            <v>180</v>
          </cell>
          <cell r="L7">
            <v>272966.66666666669</v>
          </cell>
        </row>
        <row r="8">
          <cell r="K8">
            <v>200</v>
          </cell>
          <cell r="L8">
            <v>272000</v>
          </cell>
        </row>
        <row r="9">
          <cell r="K9">
            <v>220</v>
          </cell>
          <cell r="L9">
            <v>271336.36363636365</v>
          </cell>
        </row>
        <row r="10">
          <cell r="K10">
            <v>240</v>
          </cell>
          <cell r="L10">
            <v>270900</v>
          </cell>
        </row>
        <row r="11">
          <cell r="K11">
            <v>260</v>
          </cell>
          <cell r="L11">
            <v>270638.4615384615</v>
          </cell>
        </row>
        <row r="12">
          <cell r="K12">
            <v>280</v>
          </cell>
          <cell r="L12">
            <v>270514.28571428568</v>
          </cell>
        </row>
        <row r="13">
          <cell r="K13">
            <v>300</v>
          </cell>
          <cell r="L13">
            <v>270500</v>
          </cell>
        </row>
        <row r="14">
          <cell r="K14">
            <v>320</v>
          </cell>
          <cell r="L14">
            <v>270575</v>
          </cell>
        </row>
        <row r="15">
          <cell r="K15">
            <v>340</v>
          </cell>
          <cell r="L15">
            <v>270723.5294117647</v>
          </cell>
        </row>
        <row r="16">
          <cell r="K16">
            <v>360</v>
          </cell>
          <cell r="L16">
            <v>270933.33333333337</v>
          </cell>
        </row>
        <row r="17">
          <cell r="K17">
            <v>380</v>
          </cell>
          <cell r="L17">
            <v>271194.73684210528</v>
          </cell>
        </row>
        <row r="18">
          <cell r="K18">
            <v>400</v>
          </cell>
          <cell r="L18">
            <v>271500</v>
          </cell>
        </row>
        <row r="19">
          <cell r="K19">
            <v>599.99990000000003</v>
          </cell>
          <cell r="L19">
            <v>275999.99733333348</v>
          </cell>
        </row>
        <row r="20">
          <cell r="K20">
            <v>600</v>
          </cell>
          <cell r="L20">
            <v>271000</v>
          </cell>
        </row>
        <row r="21">
          <cell r="K21">
            <v>999.99</v>
          </cell>
          <cell r="L21">
            <v>282999.6800003</v>
          </cell>
        </row>
      </sheetData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2题"/>
      <sheetName val="第3题"/>
      <sheetName val="第4题"/>
      <sheetName val="第5题"/>
      <sheetName val="第6题"/>
      <sheetName val="第7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透视表题1"/>
      <sheetName val="透视表题2"/>
      <sheetName val="D函数2"/>
      <sheetName val="D函数第2题透视表"/>
      <sheetName val="D函数2答案"/>
      <sheetName val="D函数1"/>
      <sheetName val="D函数1答案"/>
    </sheetNames>
    <sheetDataSet>
      <sheetData sheetId="0"/>
      <sheetData sheetId="1"/>
      <sheetData sheetId="2">
        <row r="1">
          <cell r="A1" t="str">
            <v>订购日期</v>
          </cell>
          <cell r="B1" t="str">
            <v>货主国家</v>
          </cell>
          <cell r="C1" t="str">
            <v>类别名称</v>
          </cell>
          <cell r="D1" t="str">
            <v>销售额</v>
          </cell>
        </row>
        <row r="2">
          <cell r="A2">
            <v>34551</v>
          </cell>
          <cell r="B2" t="str">
            <v>英国</v>
          </cell>
          <cell r="C2" t="str">
            <v>农产品</v>
          </cell>
          <cell r="D2">
            <v>167.4</v>
          </cell>
        </row>
        <row r="3">
          <cell r="A3">
            <v>34551</v>
          </cell>
          <cell r="B3" t="str">
            <v>英国</v>
          </cell>
          <cell r="C3" t="str">
            <v>农产品</v>
          </cell>
          <cell r="D3">
            <v>1696</v>
          </cell>
        </row>
        <row r="4">
          <cell r="A4">
            <v>34565</v>
          </cell>
          <cell r="B4" t="str">
            <v>英国</v>
          </cell>
          <cell r="C4" t="str">
            <v>海洋食品</v>
          </cell>
          <cell r="D4">
            <v>92.4</v>
          </cell>
        </row>
        <row r="5">
          <cell r="A5">
            <v>34565</v>
          </cell>
          <cell r="B5" t="str">
            <v>英国</v>
          </cell>
          <cell r="C5" t="str">
            <v>面食/谷类</v>
          </cell>
          <cell r="D5">
            <v>780</v>
          </cell>
        </row>
        <row r="6">
          <cell r="A6">
            <v>34565</v>
          </cell>
          <cell r="B6" t="str">
            <v>英国</v>
          </cell>
          <cell r="C6" t="str">
            <v>糖果</v>
          </cell>
          <cell r="D6">
            <v>443.25</v>
          </cell>
        </row>
        <row r="7">
          <cell r="A7">
            <v>34565</v>
          </cell>
          <cell r="B7" t="str">
            <v>英国</v>
          </cell>
          <cell r="C7" t="str">
            <v>饮料</v>
          </cell>
          <cell r="D7">
            <v>189</v>
          </cell>
        </row>
        <row r="8">
          <cell r="A8">
            <v>34568</v>
          </cell>
          <cell r="B8" t="str">
            <v>法国</v>
          </cell>
          <cell r="C8" t="str">
            <v>香料</v>
          </cell>
          <cell r="D8">
            <v>163.19999939203262</v>
          </cell>
        </row>
        <row r="9">
          <cell r="A9">
            <v>34568</v>
          </cell>
          <cell r="B9" t="str">
            <v>法国</v>
          </cell>
          <cell r="C9" t="str">
            <v>农产品</v>
          </cell>
          <cell r="D9">
            <v>360</v>
          </cell>
        </row>
        <row r="10">
          <cell r="A10">
            <v>34568</v>
          </cell>
          <cell r="B10" t="str">
            <v>法国</v>
          </cell>
          <cell r="C10" t="str">
            <v>面食/谷类</v>
          </cell>
          <cell r="D10">
            <v>60.8</v>
          </cell>
        </row>
        <row r="11">
          <cell r="A11">
            <v>34575</v>
          </cell>
          <cell r="B11" t="str">
            <v>英国</v>
          </cell>
          <cell r="C11" t="str">
            <v>海洋食品</v>
          </cell>
          <cell r="D11">
            <v>735</v>
          </cell>
        </row>
        <row r="12">
          <cell r="A12">
            <v>34575</v>
          </cell>
          <cell r="B12" t="str">
            <v>英国</v>
          </cell>
          <cell r="C12" t="str">
            <v>乳制品</v>
          </cell>
          <cell r="D12">
            <v>2617.9999816417694</v>
          </cell>
        </row>
        <row r="13">
          <cell r="A13">
            <v>34575</v>
          </cell>
          <cell r="B13" t="str">
            <v>英国</v>
          </cell>
          <cell r="C13" t="str">
            <v>饮料</v>
          </cell>
          <cell r="D13">
            <v>183.59999871253967</v>
          </cell>
        </row>
        <row r="14">
          <cell r="A14">
            <v>34577</v>
          </cell>
          <cell r="B14" t="str">
            <v>法国</v>
          </cell>
          <cell r="C14" t="str">
            <v>乳制品</v>
          </cell>
          <cell r="D14">
            <v>113.99999991059303</v>
          </cell>
        </row>
        <row r="15">
          <cell r="A15">
            <v>34577</v>
          </cell>
          <cell r="B15" t="str">
            <v>法国</v>
          </cell>
          <cell r="C15" t="str">
            <v>乳制品</v>
          </cell>
          <cell r="D15">
            <v>528.19999958574772</v>
          </cell>
        </row>
        <row r="16">
          <cell r="A16">
            <v>34578</v>
          </cell>
          <cell r="B16" t="str">
            <v>法国</v>
          </cell>
          <cell r="C16" t="str">
            <v>乳制品</v>
          </cell>
          <cell r="D16">
            <v>48</v>
          </cell>
        </row>
        <row r="17">
          <cell r="A17">
            <v>34579</v>
          </cell>
          <cell r="B17" t="str">
            <v>法国</v>
          </cell>
          <cell r="C17" t="str">
            <v>糖果</v>
          </cell>
          <cell r="D17">
            <v>388.8</v>
          </cell>
        </row>
        <row r="18">
          <cell r="A18">
            <v>34579</v>
          </cell>
          <cell r="B18" t="str">
            <v>法国</v>
          </cell>
          <cell r="C18" t="str">
            <v>乳制品</v>
          </cell>
          <cell r="D18">
            <v>400</v>
          </cell>
        </row>
        <row r="19">
          <cell r="A19">
            <v>34579</v>
          </cell>
          <cell r="B19" t="str">
            <v>法国</v>
          </cell>
          <cell r="C19" t="str">
            <v>乳制品</v>
          </cell>
          <cell r="D19">
            <v>667.2</v>
          </cell>
        </row>
        <row r="20">
          <cell r="A20">
            <v>34582</v>
          </cell>
          <cell r="B20" t="str">
            <v>英国</v>
          </cell>
          <cell r="C20" t="str">
            <v>海洋食品</v>
          </cell>
          <cell r="D20">
            <v>565.43999955654147</v>
          </cell>
        </row>
        <row r="21">
          <cell r="A21">
            <v>34582</v>
          </cell>
          <cell r="B21" t="str">
            <v>英国</v>
          </cell>
          <cell r="C21" t="str">
            <v>乳制品</v>
          </cell>
          <cell r="D21">
            <v>142.49999988824129</v>
          </cell>
        </row>
        <row r="22">
          <cell r="A22">
            <v>34582</v>
          </cell>
          <cell r="B22" t="str">
            <v>英国</v>
          </cell>
          <cell r="C22" t="str">
            <v>乳制品</v>
          </cell>
          <cell r="D22">
            <v>40</v>
          </cell>
        </row>
        <row r="23">
          <cell r="A23">
            <v>34582</v>
          </cell>
          <cell r="B23" t="str">
            <v>英国</v>
          </cell>
          <cell r="C23" t="str">
            <v>海洋食品</v>
          </cell>
          <cell r="D23">
            <v>837.89999934285879</v>
          </cell>
        </row>
        <row r="24">
          <cell r="A24">
            <v>34582</v>
          </cell>
          <cell r="B24" t="str">
            <v>英国</v>
          </cell>
          <cell r="C24" t="str">
            <v>饮料</v>
          </cell>
          <cell r="D24">
            <v>451.43999964594838</v>
          </cell>
        </row>
        <row r="25">
          <cell r="A25">
            <v>34586</v>
          </cell>
          <cell r="B25" t="str">
            <v>英国</v>
          </cell>
          <cell r="C25" t="str">
            <v>农产品</v>
          </cell>
          <cell r="D25">
            <v>728</v>
          </cell>
        </row>
        <row r="26">
          <cell r="A26">
            <v>34586</v>
          </cell>
          <cell r="B26" t="str">
            <v>英国</v>
          </cell>
          <cell r="C26" t="str">
            <v>糖果</v>
          </cell>
          <cell r="D26">
            <v>472.8</v>
          </cell>
        </row>
        <row r="27">
          <cell r="A27">
            <v>34590</v>
          </cell>
          <cell r="B27" t="str">
            <v>英国</v>
          </cell>
          <cell r="C27" t="str">
            <v>肉/家禽</v>
          </cell>
          <cell r="D27">
            <v>351</v>
          </cell>
        </row>
        <row r="28">
          <cell r="A28">
            <v>34596</v>
          </cell>
          <cell r="B28" t="str">
            <v>英国</v>
          </cell>
          <cell r="C28" t="str">
            <v>糖果</v>
          </cell>
          <cell r="D28">
            <v>394.875</v>
          </cell>
        </row>
        <row r="29">
          <cell r="A29">
            <v>34596</v>
          </cell>
          <cell r="B29" t="str">
            <v>英国</v>
          </cell>
          <cell r="C29" t="str">
            <v>香料</v>
          </cell>
          <cell r="D29">
            <v>325.5</v>
          </cell>
        </row>
        <row r="30">
          <cell r="A30">
            <v>34596</v>
          </cell>
          <cell r="B30" t="str">
            <v>英国</v>
          </cell>
          <cell r="C30" t="str">
            <v>乳制品</v>
          </cell>
          <cell r="D30">
            <v>408</v>
          </cell>
        </row>
        <row r="31">
          <cell r="A31">
            <v>34596</v>
          </cell>
          <cell r="B31" t="str">
            <v>英国</v>
          </cell>
          <cell r="C31" t="str">
            <v>饮料</v>
          </cell>
          <cell r="D31">
            <v>42</v>
          </cell>
        </row>
        <row r="32">
          <cell r="A32">
            <v>34597</v>
          </cell>
          <cell r="B32" t="str">
            <v>英国</v>
          </cell>
          <cell r="C32" t="str">
            <v>饮料</v>
          </cell>
          <cell r="D32">
            <v>518.39999806880951</v>
          </cell>
        </row>
        <row r="33">
          <cell r="A33">
            <v>34597</v>
          </cell>
          <cell r="B33" t="str">
            <v>英国</v>
          </cell>
          <cell r="C33" t="str">
            <v>海洋食品</v>
          </cell>
          <cell r="D33">
            <v>470.39999824762344</v>
          </cell>
        </row>
        <row r="34">
          <cell r="A34">
            <v>34597</v>
          </cell>
          <cell r="B34" t="str">
            <v>英国</v>
          </cell>
          <cell r="C34" t="str">
            <v>肉/家禽</v>
          </cell>
          <cell r="D34">
            <v>754.55999718904502</v>
          </cell>
        </row>
        <row r="35">
          <cell r="A35">
            <v>34598</v>
          </cell>
          <cell r="B35" t="str">
            <v>英国</v>
          </cell>
          <cell r="C35" t="str">
            <v>饮料</v>
          </cell>
          <cell r="D35">
            <v>1440</v>
          </cell>
        </row>
        <row r="36">
          <cell r="A36">
            <v>34598</v>
          </cell>
          <cell r="B36" t="str">
            <v>英国</v>
          </cell>
          <cell r="C36" t="str">
            <v>糖果</v>
          </cell>
          <cell r="D36">
            <v>1576</v>
          </cell>
        </row>
        <row r="37">
          <cell r="A37">
            <v>34607</v>
          </cell>
          <cell r="B37" t="str">
            <v>法国</v>
          </cell>
          <cell r="C37" t="str">
            <v>饮料</v>
          </cell>
          <cell r="D37">
            <v>259.2</v>
          </cell>
        </row>
        <row r="38">
          <cell r="A38">
            <v>34607</v>
          </cell>
          <cell r="B38" t="str">
            <v>法国</v>
          </cell>
          <cell r="C38" t="str">
            <v>肉/家禽</v>
          </cell>
          <cell r="D38">
            <v>468</v>
          </cell>
        </row>
        <row r="39">
          <cell r="A39">
            <v>34607</v>
          </cell>
          <cell r="B39" t="str">
            <v>法国</v>
          </cell>
          <cell r="C39" t="str">
            <v>饮料</v>
          </cell>
          <cell r="D39">
            <v>552</v>
          </cell>
        </row>
        <row r="40">
          <cell r="A40">
            <v>34607</v>
          </cell>
          <cell r="B40" t="str">
            <v>法国</v>
          </cell>
          <cell r="C40" t="str">
            <v>乳制品</v>
          </cell>
          <cell r="D40">
            <v>571.20000000000005</v>
          </cell>
        </row>
        <row r="41">
          <cell r="A41">
            <v>34607</v>
          </cell>
          <cell r="B41" t="str">
            <v>法国</v>
          </cell>
          <cell r="C41" t="str">
            <v>饮料</v>
          </cell>
          <cell r="D41">
            <v>37.200000000000003</v>
          </cell>
        </row>
        <row r="42">
          <cell r="A42">
            <v>34617</v>
          </cell>
          <cell r="B42" t="str">
            <v>英国</v>
          </cell>
          <cell r="C42" t="str">
            <v>海洋食品</v>
          </cell>
          <cell r="D42">
            <v>147</v>
          </cell>
        </row>
        <row r="43">
          <cell r="A43">
            <v>34617</v>
          </cell>
          <cell r="B43" t="str">
            <v>英国</v>
          </cell>
          <cell r="C43" t="str">
            <v>面食/谷类</v>
          </cell>
          <cell r="D43">
            <v>608</v>
          </cell>
        </row>
        <row r="44">
          <cell r="A44">
            <v>34621</v>
          </cell>
          <cell r="B44" t="str">
            <v>法国</v>
          </cell>
          <cell r="C44" t="str">
            <v>海洋食品</v>
          </cell>
          <cell r="D44">
            <v>1124.9999981373549</v>
          </cell>
        </row>
        <row r="45">
          <cell r="A45">
            <v>34621</v>
          </cell>
          <cell r="B45" t="str">
            <v>法国</v>
          </cell>
          <cell r="C45" t="str">
            <v>肉/家禽</v>
          </cell>
          <cell r="D45">
            <v>2227.4999963119626</v>
          </cell>
        </row>
        <row r="46">
          <cell r="A46">
            <v>34621</v>
          </cell>
          <cell r="B46" t="str">
            <v>法国</v>
          </cell>
          <cell r="C46" t="str">
            <v>饮料</v>
          </cell>
          <cell r="D46">
            <v>388.79999935626984</v>
          </cell>
        </row>
        <row r="47">
          <cell r="A47">
            <v>34625</v>
          </cell>
          <cell r="B47" t="str">
            <v>法国</v>
          </cell>
          <cell r="C47" t="str">
            <v>糖果</v>
          </cell>
          <cell r="D47">
            <v>394</v>
          </cell>
        </row>
        <row r="48">
          <cell r="A48">
            <v>34625</v>
          </cell>
          <cell r="B48" t="str">
            <v>法国</v>
          </cell>
          <cell r="C48" t="str">
            <v>糖果</v>
          </cell>
          <cell r="D48">
            <v>30</v>
          </cell>
        </row>
        <row r="49">
          <cell r="A49">
            <v>34628</v>
          </cell>
          <cell r="B49" t="str">
            <v>法国</v>
          </cell>
          <cell r="C49" t="str">
            <v>糖果</v>
          </cell>
          <cell r="D49">
            <v>139</v>
          </cell>
        </row>
        <row r="50">
          <cell r="A50">
            <v>34628</v>
          </cell>
          <cell r="B50" t="str">
            <v>法国</v>
          </cell>
          <cell r="C50" t="str">
            <v>糖果</v>
          </cell>
          <cell r="D50">
            <v>197</v>
          </cell>
        </row>
        <row r="51">
          <cell r="A51">
            <v>34631</v>
          </cell>
          <cell r="B51" t="str">
            <v>英国</v>
          </cell>
          <cell r="C51" t="str">
            <v>农产品</v>
          </cell>
          <cell r="D51">
            <v>145.6</v>
          </cell>
        </row>
        <row r="52">
          <cell r="A52">
            <v>34631</v>
          </cell>
          <cell r="B52" t="str">
            <v>英国</v>
          </cell>
          <cell r="C52" t="str">
            <v>饮料</v>
          </cell>
          <cell r="D52">
            <v>883.2</v>
          </cell>
        </row>
        <row r="53">
          <cell r="A53">
            <v>34631</v>
          </cell>
          <cell r="B53" t="str">
            <v>英国</v>
          </cell>
          <cell r="C53" t="str">
            <v>肉/家禽</v>
          </cell>
          <cell r="D53">
            <v>524</v>
          </cell>
        </row>
        <row r="54">
          <cell r="A54">
            <v>34631</v>
          </cell>
          <cell r="B54" t="str">
            <v>英国</v>
          </cell>
          <cell r="C54" t="str">
            <v>饮料</v>
          </cell>
          <cell r="D54">
            <v>62</v>
          </cell>
        </row>
        <row r="55">
          <cell r="A55">
            <v>34632</v>
          </cell>
          <cell r="B55" t="str">
            <v>英国</v>
          </cell>
          <cell r="C55" t="str">
            <v>海洋食品</v>
          </cell>
          <cell r="D55">
            <v>182.4</v>
          </cell>
        </row>
        <row r="56">
          <cell r="A56">
            <v>34633</v>
          </cell>
          <cell r="B56" t="str">
            <v>法国</v>
          </cell>
          <cell r="C56" t="str">
            <v>乳制品</v>
          </cell>
          <cell r="D56">
            <v>921.59999847412109</v>
          </cell>
        </row>
        <row r="57">
          <cell r="A57">
            <v>34633</v>
          </cell>
          <cell r="B57" t="str">
            <v>法国</v>
          </cell>
          <cell r="C57" t="str">
            <v>海洋食品</v>
          </cell>
          <cell r="D57">
            <v>286.19999952614307</v>
          </cell>
        </row>
        <row r="58">
          <cell r="A58">
            <v>34633</v>
          </cell>
          <cell r="B58" t="str">
            <v>法国</v>
          </cell>
          <cell r="C58" t="str">
            <v>糖果</v>
          </cell>
          <cell r="D58">
            <v>886.49999853223562</v>
          </cell>
        </row>
        <row r="59">
          <cell r="A59">
            <v>34635</v>
          </cell>
          <cell r="B59" t="str">
            <v>法国</v>
          </cell>
          <cell r="C59" t="str">
            <v>海洋食品</v>
          </cell>
          <cell r="D59">
            <v>77</v>
          </cell>
        </row>
        <row r="60">
          <cell r="A60">
            <v>34635</v>
          </cell>
          <cell r="B60" t="str">
            <v>法国</v>
          </cell>
          <cell r="C60" t="str">
            <v>糖果</v>
          </cell>
          <cell r="D60">
            <v>2758</v>
          </cell>
        </row>
        <row r="61">
          <cell r="A61">
            <v>34638</v>
          </cell>
          <cell r="B61" t="str">
            <v>法国</v>
          </cell>
          <cell r="C61" t="str">
            <v>饮料</v>
          </cell>
          <cell r="D61">
            <v>288</v>
          </cell>
        </row>
        <row r="62">
          <cell r="A62">
            <v>34645</v>
          </cell>
          <cell r="B62" t="str">
            <v>英国</v>
          </cell>
          <cell r="C62" t="str">
            <v>香料</v>
          </cell>
          <cell r="D62">
            <v>62</v>
          </cell>
        </row>
        <row r="63">
          <cell r="A63">
            <v>34645</v>
          </cell>
          <cell r="B63" t="str">
            <v>英国</v>
          </cell>
          <cell r="C63" t="str">
            <v>糖果</v>
          </cell>
          <cell r="D63">
            <v>44.8</v>
          </cell>
        </row>
        <row r="64">
          <cell r="A64">
            <v>34645</v>
          </cell>
          <cell r="B64" t="str">
            <v>英国</v>
          </cell>
          <cell r="C64" t="str">
            <v>饮料</v>
          </cell>
          <cell r="D64">
            <v>57.6</v>
          </cell>
        </row>
        <row r="65">
          <cell r="A65">
            <v>34646</v>
          </cell>
          <cell r="B65" t="str">
            <v>法国</v>
          </cell>
          <cell r="C65" t="str">
            <v>糖果</v>
          </cell>
          <cell r="D65">
            <v>248.1149982601404</v>
          </cell>
        </row>
        <row r="66">
          <cell r="A66">
            <v>34646</v>
          </cell>
          <cell r="B66" t="str">
            <v>法国</v>
          </cell>
          <cell r="C66" t="str">
            <v>饮料</v>
          </cell>
          <cell r="D66">
            <v>856.79999399185181</v>
          </cell>
        </row>
        <row r="67">
          <cell r="A67">
            <v>34646</v>
          </cell>
          <cell r="B67" t="str">
            <v>法国</v>
          </cell>
          <cell r="C67" t="str">
            <v>海洋食品</v>
          </cell>
          <cell r="D67">
            <v>288</v>
          </cell>
        </row>
        <row r="68">
          <cell r="A68">
            <v>34646</v>
          </cell>
          <cell r="B68" t="str">
            <v>法国</v>
          </cell>
          <cell r="C68" t="str">
            <v>乳制品</v>
          </cell>
          <cell r="D68">
            <v>1495.9999895095825</v>
          </cell>
        </row>
        <row r="69">
          <cell r="A69">
            <v>34646</v>
          </cell>
          <cell r="B69" t="str">
            <v>法国</v>
          </cell>
          <cell r="C69" t="str">
            <v>香料</v>
          </cell>
          <cell r="D69">
            <v>2386.7999832630157</v>
          </cell>
        </row>
        <row r="70">
          <cell r="A70">
            <v>34647</v>
          </cell>
          <cell r="B70" t="str">
            <v>英国</v>
          </cell>
          <cell r="C70" t="str">
            <v>香料</v>
          </cell>
          <cell r="D70">
            <v>120</v>
          </cell>
        </row>
        <row r="71">
          <cell r="A71">
            <v>34647</v>
          </cell>
          <cell r="B71" t="str">
            <v>英国</v>
          </cell>
          <cell r="C71" t="str">
            <v>海洋食品</v>
          </cell>
          <cell r="D71">
            <v>57.6</v>
          </cell>
        </row>
        <row r="72">
          <cell r="A72">
            <v>34647</v>
          </cell>
          <cell r="B72" t="str">
            <v>英国</v>
          </cell>
          <cell r="C72" t="str">
            <v>农产品</v>
          </cell>
          <cell r="D72">
            <v>167.4</v>
          </cell>
        </row>
        <row r="73">
          <cell r="A73">
            <v>34647</v>
          </cell>
          <cell r="B73" t="str">
            <v>英国</v>
          </cell>
          <cell r="C73" t="str">
            <v>乳制品</v>
          </cell>
          <cell r="D73">
            <v>40</v>
          </cell>
        </row>
        <row r="74">
          <cell r="A74">
            <v>34647</v>
          </cell>
          <cell r="B74" t="str">
            <v>英国</v>
          </cell>
          <cell r="C74" t="str">
            <v>乳制品</v>
          </cell>
          <cell r="D74">
            <v>1112</v>
          </cell>
        </row>
        <row r="75">
          <cell r="A75">
            <v>34653</v>
          </cell>
          <cell r="B75" t="str">
            <v>法国</v>
          </cell>
          <cell r="C75" t="str">
            <v>糖果</v>
          </cell>
          <cell r="D75">
            <v>69.349999945610762</v>
          </cell>
        </row>
        <row r="76">
          <cell r="A76">
            <v>34653</v>
          </cell>
          <cell r="B76" t="str">
            <v>法国</v>
          </cell>
          <cell r="C76" t="str">
            <v>海洋食品</v>
          </cell>
          <cell r="D76">
            <v>157.31999987661837</v>
          </cell>
        </row>
        <row r="77">
          <cell r="A77">
            <v>34653</v>
          </cell>
          <cell r="B77" t="str">
            <v>法国</v>
          </cell>
          <cell r="C77" t="str">
            <v>饮料</v>
          </cell>
          <cell r="D77">
            <v>4005.1999968588352</v>
          </cell>
        </row>
        <row r="78">
          <cell r="A78">
            <v>34653</v>
          </cell>
          <cell r="B78" t="str">
            <v>法国</v>
          </cell>
          <cell r="C78" t="str">
            <v>面食/谷类</v>
          </cell>
          <cell r="D78">
            <v>346.55999972820285</v>
          </cell>
        </row>
        <row r="79">
          <cell r="A79">
            <v>34662</v>
          </cell>
          <cell r="B79" t="str">
            <v>英国</v>
          </cell>
          <cell r="C79" t="str">
            <v>面食/谷类</v>
          </cell>
          <cell r="D79">
            <v>288</v>
          </cell>
        </row>
        <row r="80">
          <cell r="A80">
            <v>34662</v>
          </cell>
          <cell r="B80" t="str">
            <v>英国</v>
          </cell>
          <cell r="C80" t="str">
            <v>糖果</v>
          </cell>
          <cell r="D80">
            <v>597.6</v>
          </cell>
        </row>
        <row r="81">
          <cell r="A81">
            <v>34662</v>
          </cell>
          <cell r="B81" t="str">
            <v>英国</v>
          </cell>
          <cell r="C81" t="str">
            <v>海洋食品</v>
          </cell>
          <cell r="D81">
            <v>304</v>
          </cell>
        </row>
        <row r="82">
          <cell r="A82">
            <v>34662</v>
          </cell>
          <cell r="B82" t="str">
            <v>英国</v>
          </cell>
          <cell r="C82" t="str">
            <v>海洋食品</v>
          </cell>
          <cell r="D82">
            <v>582.4</v>
          </cell>
        </row>
        <row r="83">
          <cell r="A83">
            <v>34662</v>
          </cell>
          <cell r="B83" t="str">
            <v>英国</v>
          </cell>
          <cell r="C83" t="str">
            <v>乳制品</v>
          </cell>
          <cell r="D83">
            <v>695</v>
          </cell>
        </row>
        <row r="84">
          <cell r="A84">
            <v>34663</v>
          </cell>
          <cell r="B84" t="str">
            <v>法国</v>
          </cell>
          <cell r="C84" t="str">
            <v>肉/家禽</v>
          </cell>
          <cell r="D84">
            <v>624</v>
          </cell>
        </row>
        <row r="85">
          <cell r="A85">
            <v>34663</v>
          </cell>
          <cell r="B85" t="str">
            <v>法国</v>
          </cell>
          <cell r="C85" t="str">
            <v>海洋食品</v>
          </cell>
          <cell r="D85">
            <v>310.5</v>
          </cell>
        </row>
        <row r="86">
          <cell r="A86">
            <v>34668</v>
          </cell>
          <cell r="B86" t="str">
            <v>英国</v>
          </cell>
          <cell r="C86" t="str">
            <v>饮料</v>
          </cell>
          <cell r="D86">
            <v>291.83999891281127</v>
          </cell>
        </row>
        <row r="87">
          <cell r="A87">
            <v>34668</v>
          </cell>
          <cell r="B87" t="str">
            <v>英国</v>
          </cell>
          <cell r="C87" t="str">
            <v>乳制品</v>
          </cell>
          <cell r="D87">
            <v>447.99999833106995</v>
          </cell>
        </row>
        <row r="88">
          <cell r="A88">
            <v>34668</v>
          </cell>
          <cell r="B88" t="str">
            <v>英国</v>
          </cell>
          <cell r="C88" t="str">
            <v>海洋食品</v>
          </cell>
          <cell r="D88">
            <v>486.3999981880188</v>
          </cell>
        </row>
        <row r="89">
          <cell r="A89">
            <v>34668</v>
          </cell>
          <cell r="B89" t="str">
            <v>英国</v>
          </cell>
          <cell r="C89" t="str">
            <v>肉/家禽</v>
          </cell>
          <cell r="D89">
            <v>614.39999771118164</v>
          </cell>
        </row>
        <row r="90">
          <cell r="A90">
            <v>34669</v>
          </cell>
          <cell r="B90" t="str">
            <v>英国</v>
          </cell>
          <cell r="C90" t="str">
            <v>面食/谷类</v>
          </cell>
          <cell r="D90">
            <v>1330</v>
          </cell>
        </row>
        <row r="91">
          <cell r="A91">
            <v>34669</v>
          </cell>
          <cell r="B91" t="str">
            <v>英国</v>
          </cell>
          <cell r="C91" t="str">
            <v>糖果</v>
          </cell>
          <cell r="D91">
            <v>37.999999970197678</v>
          </cell>
        </row>
        <row r="92">
          <cell r="A92">
            <v>34669</v>
          </cell>
          <cell r="B92" t="str">
            <v>英国</v>
          </cell>
          <cell r="C92" t="str">
            <v>饮料</v>
          </cell>
          <cell r="D92">
            <v>216</v>
          </cell>
        </row>
        <row r="93">
          <cell r="A93">
            <v>34670</v>
          </cell>
          <cell r="B93" t="str">
            <v>法国</v>
          </cell>
          <cell r="C93" t="str">
            <v>香料</v>
          </cell>
          <cell r="D93">
            <v>616</v>
          </cell>
        </row>
        <row r="94">
          <cell r="A94">
            <v>34670</v>
          </cell>
          <cell r="B94" t="str">
            <v>法国</v>
          </cell>
          <cell r="C94" t="str">
            <v>香料</v>
          </cell>
          <cell r="D94">
            <v>1680</v>
          </cell>
        </row>
        <row r="95">
          <cell r="A95">
            <v>34673</v>
          </cell>
          <cell r="B95" t="str">
            <v>英国</v>
          </cell>
          <cell r="C95" t="str">
            <v>香料</v>
          </cell>
          <cell r="D95">
            <v>2240</v>
          </cell>
        </row>
        <row r="96">
          <cell r="A96">
            <v>34673</v>
          </cell>
          <cell r="B96" t="str">
            <v>英国</v>
          </cell>
          <cell r="C96" t="str">
            <v>糖果</v>
          </cell>
          <cell r="D96">
            <v>584</v>
          </cell>
        </row>
        <row r="97">
          <cell r="A97">
            <v>34673</v>
          </cell>
          <cell r="B97" t="str">
            <v>英国</v>
          </cell>
          <cell r="C97" t="str">
            <v>面食/谷类</v>
          </cell>
          <cell r="D97">
            <v>100.8</v>
          </cell>
        </row>
        <row r="98">
          <cell r="A98">
            <v>34674</v>
          </cell>
          <cell r="B98" t="str">
            <v>法国</v>
          </cell>
          <cell r="C98" t="str">
            <v>肉/家禽</v>
          </cell>
          <cell r="D98">
            <v>1010.8799983263016</v>
          </cell>
        </row>
        <row r="99">
          <cell r="A99">
            <v>34674</v>
          </cell>
          <cell r="B99" t="str">
            <v>法国</v>
          </cell>
          <cell r="C99" t="str">
            <v>面食/谷类</v>
          </cell>
          <cell r="D99">
            <v>608</v>
          </cell>
        </row>
        <row r="100">
          <cell r="A100">
            <v>34676</v>
          </cell>
          <cell r="B100" t="str">
            <v>英国</v>
          </cell>
          <cell r="C100" t="str">
            <v>饮料</v>
          </cell>
          <cell r="D100">
            <v>183.59999871253967</v>
          </cell>
        </row>
        <row r="101">
          <cell r="A101">
            <v>34676</v>
          </cell>
          <cell r="B101" t="str">
            <v>英国</v>
          </cell>
          <cell r="C101" t="str">
            <v>面食/谷类</v>
          </cell>
          <cell r="D101">
            <v>180</v>
          </cell>
        </row>
        <row r="102">
          <cell r="A102">
            <v>34677</v>
          </cell>
          <cell r="B102" t="str">
            <v>法国</v>
          </cell>
          <cell r="C102" t="str">
            <v>肉/家禽</v>
          </cell>
          <cell r="D102">
            <v>141.6</v>
          </cell>
        </row>
        <row r="103">
          <cell r="A103">
            <v>34687</v>
          </cell>
          <cell r="B103" t="str">
            <v>英国</v>
          </cell>
          <cell r="C103" t="str">
            <v>乳制品</v>
          </cell>
          <cell r="D103">
            <v>300</v>
          </cell>
        </row>
        <row r="104">
          <cell r="A104">
            <v>34687</v>
          </cell>
          <cell r="B104" t="str">
            <v>英国</v>
          </cell>
          <cell r="C104" t="str">
            <v>肉/家禽</v>
          </cell>
          <cell r="D104">
            <v>230.4</v>
          </cell>
        </row>
        <row r="105">
          <cell r="A105">
            <v>34687</v>
          </cell>
          <cell r="B105" t="str">
            <v>英国</v>
          </cell>
          <cell r="C105" t="str">
            <v>乳制品</v>
          </cell>
          <cell r="D105">
            <v>576</v>
          </cell>
        </row>
        <row r="106">
          <cell r="A106">
            <v>34691</v>
          </cell>
          <cell r="B106" t="str">
            <v>英国</v>
          </cell>
          <cell r="C106" t="str">
            <v>饮料</v>
          </cell>
          <cell r="D106">
            <v>699.83999884128571</v>
          </cell>
        </row>
        <row r="107">
          <cell r="A107">
            <v>34691</v>
          </cell>
          <cell r="B107" t="str">
            <v>英国</v>
          </cell>
          <cell r="C107" t="str">
            <v>乳制品</v>
          </cell>
          <cell r="D107">
            <v>1346.3999977707863</v>
          </cell>
        </row>
        <row r="108">
          <cell r="A108">
            <v>34695</v>
          </cell>
          <cell r="B108" t="str">
            <v>英国</v>
          </cell>
          <cell r="C108" t="str">
            <v>乳制品</v>
          </cell>
          <cell r="D108">
            <v>200</v>
          </cell>
        </row>
        <row r="109">
          <cell r="A109">
            <v>34695</v>
          </cell>
          <cell r="B109" t="str">
            <v>英国</v>
          </cell>
          <cell r="C109" t="str">
            <v>饮料</v>
          </cell>
          <cell r="D109">
            <v>74.400000000000006</v>
          </cell>
        </row>
        <row r="110">
          <cell r="A110">
            <v>34695</v>
          </cell>
          <cell r="B110" t="str">
            <v>英国</v>
          </cell>
          <cell r="C110" t="str">
            <v>饮料</v>
          </cell>
          <cell r="D110">
            <v>172.8</v>
          </cell>
        </row>
        <row r="111">
          <cell r="A111">
            <v>34701</v>
          </cell>
          <cell r="B111" t="str">
            <v>法国</v>
          </cell>
          <cell r="C111" t="str">
            <v>肉/家禽</v>
          </cell>
          <cell r="D111">
            <v>1980</v>
          </cell>
        </row>
        <row r="112">
          <cell r="A112">
            <v>34701</v>
          </cell>
          <cell r="B112" t="str">
            <v>法国</v>
          </cell>
          <cell r="C112" t="str">
            <v>面食/谷类</v>
          </cell>
          <cell r="D112">
            <v>410.4</v>
          </cell>
        </row>
        <row r="113">
          <cell r="A113">
            <v>34705</v>
          </cell>
          <cell r="B113" t="str">
            <v>法国</v>
          </cell>
          <cell r="C113" t="str">
            <v>农产品</v>
          </cell>
          <cell r="D113">
            <v>279</v>
          </cell>
        </row>
        <row r="114">
          <cell r="A114">
            <v>34705</v>
          </cell>
          <cell r="B114" t="str">
            <v>法国</v>
          </cell>
          <cell r="C114" t="str">
            <v>肉/家禽</v>
          </cell>
          <cell r="D114">
            <v>59</v>
          </cell>
        </row>
        <row r="115">
          <cell r="A115">
            <v>34716</v>
          </cell>
          <cell r="B115" t="str">
            <v>法国</v>
          </cell>
          <cell r="C115" t="str">
            <v>农产品</v>
          </cell>
          <cell r="D115">
            <v>191.99999928474426</v>
          </cell>
        </row>
        <row r="116">
          <cell r="A116">
            <v>34716</v>
          </cell>
          <cell r="B116" t="str">
            <v>法国</v>
          </cell>
          <cell r="C116" t="str">
            <v>乳制品</v>
          </cell>
          <cell r="D116">
            <v>435.19999837875366</v>
          </cell>
        </row>
        <row r="117">
          <cell r="A117">
            <v>34716</v>
          </cell>
          <cell r="B117" t="str">
            <v>法国</v>
          </cell>
          <cell r="C117" t="str">
            <v>糖果</v>
          </cell>
          <cell r="D117">
            <v>63.999999761581421</v>
          </cell>
        </row>
        <row r="118">
          <cell r="A118">
            <v>34722</v>
          </cell>
          <cell r="B118" t="str">
            <v>英国</v>
          </cell>
          <cell r="C118" t="str">
            <v>海洋食品</v>
          </cell>
          <cell r="D118">
            <v>86.4</v>
          </cell>
        </row>
        <row r="119">
          <cell r="A119">
            <v>34724</v>
          </cell>
          <cell r="B119" t="str">
            <v>法国</v>
          </cell>
          <cell r="C119" t="str">
            <v>饮料</v>
          </cell>
          <cell r="D119">
            <v>285</v>
          </cell>
        </row>
        <row r="120">
          <cell r="A120">
            <v>34724</v>
          </cell>
          <cell r="B120" t="str">
            <v>法国</v>
          </cell>
          <cell r="C120" t="str">
            <v>农产品</v>
          </cell>
          <cell r="D120">
            <v>585.9</v>
          </cell>
        </row>
        <row r="121">
          <cell r="A121">
            <v>34724</v>
          </cell>
          <cell r="B121" t="str">
            <v>法国</v>
          </cell>
          <cell r="C121" t="str">
            <v>糖果</v>
          </cell>
          <cell r="D121">
            <v>58.8</v>
          </cell>
        </row>
        <row r="122">
          <cell r="A122">
            <v>34724</v>
          </cell>
          <cell r="B122" t="str">
            <v>法国</v>
          </cell>
          <cell r="C122" t="str">
            <v>糖果</v>
          </cell>
          <cell r="D122">
            <v>1307.25</v>
          </cell>
        </row>
        <row r="123">
          <cell r="A123">
            <v>34724</v>
          </cell>
          <cell r="B123" t="str">
            <v>法国</v>
          </cell>
          <cell r="C123" t="str">
            <v>乳制品</v>
          </cell>
          <cell r="D123">
            <v>320</v>
          </cell>
        </row>
        <row r="124">
          <cell r="A124">
            <v>34724</v>
          </cell>
          <cell r="B124" t="str">
            <v>法国</v>
          </cell>
          <cell r="C124" t="str">
            <v>海洋食品</v>
          </cell>
          <cell r="D124">
            <v>48</v>
          </cell>
        </row>
        <row r="125">
          <cell r="A125">
            <v>34724</v>
          </cell>
          <cell r="B125" t="str">
            <v>法国</v>
          </cell>
          <cell r="C125" t="str">
            <v>糖果</v>
          </cell>
          <cell r="D125">
            <v>394</v>
          </cell>
        </row>
        <row r="126">
          <cell r="A126">
            <v>34726</v>
          </cell>
          <cell r="B126" t="str">
            <v>英国</v>
          </cell>
          <cell r="C126" t="str">
            <v>面食/谷类</v>
          </cell>
          <cell r="D126">
            <v>288</v>
          </cell>
        </row>
        <row r="127">
          <cell r="A127">
            <v>34726</v>
          </cell>
          <cell r="B127" t="str">
            <v>英国</v>
          </cell>
          <cell r="C127" t="str">
            <v>乳制品</v>
          </cell>
          <cell r="D127">
            <v>1032</v>
          </cell>
        </row>
        <row r="128">
          <cell r="A128">
            <v>34726</v>
          </cell>
          <cell r="B128" t="str">
            <v>英国</v>
          </cell>
          <cell r="C128" t="str">
            <v>乳制品</v>
          </cell>
          <cell r="D128">
            <v>583.79999999999995</v>
          </cell>
        </row>
        <row r="129">
          <cell r="A129">
            <v>34729</v>
          </cell>
          <cell r="B129" t="str">
            <v>法国</v>
          </cell>
          <cell r="C129" t="str">
            <v>饮料</v>
          </cell>
          <cell r="D129">
            <v>432</v>
          </cell>
        </row>
        <row r="130">
          <cell r="A130">
            <v>34729</v>
          </cell>
          <cell r="B130" t="str">
            <v>法国</v>
          </cell>
          <cell r="C130" t="str">
            <v>肉/家禽</v>
          </cell>
          <cell r="D130">
            <v>2073.5999965667725</v>
          </cell>
        </row>
        <row r="131">
          <cell r="A131">
            <v>34731</v>
          </cell>
          <cell r="B131" t="str">
            <v>法国</v>
          </cell>
          <cell r="C131" t="str">
            <v>海洋食品</v>
          </cell>
          <cell r="D131">
            <v>372.6</v>
          </cell>
        </row>
        <row r="132">
          <cell r="A132">
            <v>34731</v>
          </cell>
          <cell r="B132" t="str">
            <v>法国</v>
          </cell>
          <cell r="C132" t="str">
            <v>面食/谷类</v>
          </cell>
          <cell r="D132">
            <v>2128</v>
          </cell>
        </row>
        <row r="133">
          <cell r="A133">
            <v>34731</v>
          </cell>
          <cell r="B133" t="str">
            <v>法国</v>
          </cell>
          <cell r="C133" t="str">
            <v>香料</v>
          </cell>
          <cell r="D133">
            <v>336</v>
          </cell>
        </row>
        <row r="134">
          <cell r="A134">
            <v>34731</v>
          </cell>
          <cell r="B134" t="str">
            <v>法国</v>
          </cell>
          <cell r="C134" t="str">
            <v>乳制品</v>
          </cell>
          <cell r="D134">
            <v>1032</v>
          </cell>
        </row>
        <row r="135">
          <cell r="A135">
            <v>34737</v>
          </cell>
          <cell r="B135" t="str">
            <v>英国</v>
          </cell>
          <cell r="C135" t="str">
            <v>乳制品</v>
          </cell>
          <cell r="D135">
            <v>504</v>
          </cell>
        </row>
        <row r="136">
          <cell r="A136">
            <v>34737</v>
          </cell>
          <cell r="B136" t="str">
            <v>英国</v>
          </cell>
          <cell r="C136" t="str">
            <v>乳制品</v>
          </cell>
          <cell r="D136">
            <v>432</v>
          </cell>
        </row>
        <row r="137">
          <cell r="A137">
            <v>34737</v>
          </cell>
          <cell r="B137" t="str">
            <v>英国</v>
          </cell>
          <cell r="C137" t="str">
            <v>乳制品</v>
          </cell>
          <cell r="D137">
            <v>258</v>
          </cell>
        </row>
        <row r="138">
          <cell r="A138">
            <v>34745</v>
          </cell>
          <cell r="B138" t="str">
            <v>法国</v>
          </cell>
          <cell r="C138" t="str">
            <v>肉/家禽</v>
          </cell>
          <cell r="D138">
            <v>62.4</v>
          </cell>
        </row>
        <row r="139">
          <cell r="A139">
            <v>34745</v>
          </cell>
          <cell r="B139" t="str">
            <v>法国</v>
          </cell>
          <cell r="C139" t="str">
            <v>乳制品</v>
          </cell>
          <cell r="D139">
            <v>40</v>
          </cell>
        </row>
        <row r="140">
          <cell r="A140">
            <v>34747</v>
          </cell>
          <cell r="B140" t="str">
            <v>英国</v>
          </cell>
          <cell r="C140" t="str">
            <v>饮料</v>
          </cell>
          <cell r="D140">
            <v>912</v>
          </cell>
        </row>
        <row r="141">
          <cell r="A141">
            <v>34747</v>
          </cell>
          <cell r="B141" t="str">
            <v>英国</v>
          </cell>
          <cell r="C141" t="str">
            <v>糖果</v>
          </cell>
          <cell r="D141">
            <v>418</v>
          </cell>
        </row>
        <row r="142">
          <cell r="A142">
            <v>34747</v>
          </cell>
          <cell r="B142" t="str">
            <v>英国</v>
          </cell>
          <cell r="C142" t="str">
            <v>香料</v>
          </cell>
          <cell r="D142">
            <v>364.8</v>
          </cell>
        </row>
        <row r="143">
          <cell r="A143">
            <v>34747</v>
          </cell>
          <cell r="B143" t="str">
            <v>英国</v>
          </cell>
          <cell r="C143" t="str">
            <v>农产品</v>
          </cell>
          <cell r="D143">
            <v>120</v>
          </cell>
        </row>
        <row r="144">
          <cell r="A144">
            <v>34761</v>
          </cell>
          <cell r="B144" t="str">
            <v>法国</v>
          </cell>
          <cell r="C144" t="str">
            <v>糖果</v>
          </cell>
          <cell r="D144">
            <v>249</v>
          </cell>
        </row>
        <row r="145">
          <cell r="A145">
            <v>34761</v>
          </cell>
          <cell r="B145" t="str">
            <v>法国</v>
          </cell>
          <cell r="C145" t="str">
            <v>肉/家禽</v>
          </cell>
          <cell r="D145">
            <v>236</v>
          </cell>
        </row>
        <row r="146">
          <cell r="A146">
            <v>34767</v>
          </cell>
          <cell r="B146" t="str">
            <v>英国</v>
          </cell>
          <cell r="C146" t="str">
            <v>糖果</v>
          </cell>
          <cell r="D146">
            <v>87.59999967366457</v>
          </cell>
        </row>
        <row r="147">
          <cell r="A147">
            <v>34767</v>
          </cell>
          <cell r="B147" t="str">
            <v>英国</v>
          </cell>
          <cell r="C147" t="str">
            <v>饮料</v>
          </cell>
          <cell r="D147">
            <v>179.19999933242798</v>
          </cell>
        </row>
        <row r="148">
          <cell r="A148">
            <v>34767</v>
          </cell>
          <cell r="B148" t="str">
            <v>英国</v>
          </cell>
          <cell r="C148" t="str">
            <v>面食/谷类</v>
          </cell>
          <cell r="D148">
            <v>187.19999930262566</v>
          </cell>
        </row>
        <row r="149">
          <cell r="A149">
            <v>34771</v>
          </cell>
          <cell r="B149" t="str">
            <v>法国</v>
          </cell>
          <cell r="C149" t="str">
            <v>饮料</v>
          </cell>
          <cell r="D149">
            <v>581.3999959230423</v>
          </cell>
        </row>
        <row r="150">
          <cell r="A150">
            <v>34771</v>
          </cell>
          <cell r="B150" t="str">
            <v>法国</v>
          </cell>
          <cell r="C150" t="str">
            <v>糖果</v>
          </cell>
          <cell r="D150">
            <v>578.93499594032767</v>
          </cell>
        </row>
        <row r="151">
          <cell r="A151">
            <v>34771</v>
          </cell>
          <cell r="B151" t="str">
            <v>法国</v>
          </cell>
          <cell r="C151" t="str">
            <v>肉/家禽</v>
          </cell>
          <cell r="D151">
            <v>2019.5999858379364</v>
          </cell>
        </row>
        <row r="152">
          <cell r="A152">
            <v>34771</v>
          </cell>
          <cell r="B152" t="str">
            <v>法国</v>
          </cell>
          <cell r="C152" t="str">
            <v>香料</v>
          </cell>
          <cell r="D152">
            <v>1744.1999877691269</v>
          </cell>
        </row>
        <row r="153">
          <cell r="A153">
            <v>34771</v>
          </cell>
          <cell r="B153" t="str">
            <v>法国</v>
          </cell>
          <cell r="C153" t="str">
            <v>糖果</v>
          </cell>
          <cell r="D153">
            <v>1755</v>
          </cell>
        </row>
        <row r="154">
          <cell r="A154">
            <v>34775</v>
          </cell>
          <cell r="B154" t="str">
            <v>英国</v>
          </cell>
          <cell r="C154" t="str">
            <v>糖果</v>
          </cell>
          <cell r="D154">
            <v>78.839999869465828</v>
          </cell>
        </row>
        <row r="155">
          <cell r="A155">
            <v>34775</v>
          </cell>
          <cell r="B155" t="str">
            <v>英国</v>
          </cell>
          <cell r="C155" t="str">
            <v>饮料</v>
          </cell>
          <cell r="D155">
            <v>64.799999892711639</v>
          </cell>
        </row>
        <row r="156">
          <cell r="A156">
            <v>34775</v>
          </cell>
          <cell r="B156" t="str">
            <v>英国</v>
          </cell>
          <cell r="C156" t="str">
            <v>乳制品</v>
          </cell>
          <cell r="D156">
            <v>26.999999955296516</v>
          </cell>
        </row>
        <row r="157">
          <cell r="A157">
            <v>34775</v>
          </cell>
          <cell r="B157" t="str">
            <v>英国</v>
          </cell>
          <cell r="C157" t="str">
            <v>面食/谷类</v>
          </cell>
          <cell r="D157">
            <v>75.599999874830246</v>
          </cell>
        </row>
        <row r="158">
          <cell r="A158">
            <v>34780</v>
          </cell>
          <cell r="B158" t="str">
            <v>英国</v>
          </cell>
          <cell r="C158" t="str">
            <v>肉/家禽</v>
          </cell>
          <cell r="D158">
            <v>2073.5999965667725</v>
          </cell>
        </row>
        <row r="159">
          <cell r="A159">
            <v>34780</v>
          </cell>
          <cell r="B159" t="str">
            <v>英国</v>
          </cell>
          <cell r="C159" t="str">
            <v>面食/谷类</v>
          </cell>
          <cell r="D159">
            <v>837.89999861270189</v>
          </cell>
        </row>
        <row r="160">
          <cell r="A160">
            <v>34780</v>
          </cell>
          <cell r="B160" t="str">
            <v>英国</v>
          </cell>
          <cell r="C160" t="str">
            <v>香料</v>
          </cell>
          <cell r="D160">
            <v>423.35999929904938</v>
          </cell>
        </row>
        <row r="161">
          <cell r="A161">
            <v>34780</v>
          </cell>
          <cell r="B161" t="str">
            <v>英国</v>
          </cell>
          <cell r="C161" t="str">
            <v>香料</v>
          </cell>
          <cell r="D161">
            <v>514.79999914765358</v>
          </cell>
        </row>
        <row r="162">
          <cell r="A162">
            <v>34781</v>
          </cell>
          <cell r="B162" t="str">
            <v>法国</v>
          </cell>
          <cell r="C162" t="str">
            <v>农产品</v>
          </cell>
          <cell r="D162">
            <v>546</v>
          </cell>
        </row>
        <row r="163">
          <cell r="A163">
            <v>34781</v>
          </cell>
          <cell r="B163" t="str">
            <v>法国</v>
          </cell>
          <cell r="C163" t="str">
            <v>香料</v>
          </cell>
          <cell r="D163">
            <v>1472.49999884516</v>
          </cell>
        </row>
        <row r="164">
          <cell r="A164">
            <v>34786</v>
          </cell>
          <cell r="B164" t="str">
            <v>英国</v>
          </cell>
          <cell r="C164" t="str">
            <v>糖果</v>
          </cell>
          <cell r="D164">
            <v>271.99999809265137</v>
          </cell>
        </row>
        <row r="165">
          <cell r="A165">
            <v>34786</v>
          </cell>
          <cell r="B165" t="str">
            <v>英国</v>
          </cell>
          <cell r="C165" t="str">
            <v>糖果</v>
          </cell>
          <cell r="D165">
            <v>285.59999799728394</v>
          </cell>
        </row>
        <row r="166">
          <cell r="A166">
            <v>34786</v>
          </cell>
          <cell r="B166" t="str">
            <v>英国</v>
          </cell>
          <cell r="C166" t="str">
            <v>乳制品</v>
          </cell>
          <cell r="D166">
            <v>1584</v>
          </cell>
        </row>
        <row r="167">
          <cell r="A167">
            <v>34796</v>
          </cell>
          <cell r="B167" t="str">
            <v>英国</v>
          </cell>
          <cell r="C167" t="str">
            <v>海洋食品</v>
          </cell>
          <cell r="D167">
            <v>165.6</v>
          </cell>
        </row>
        <row r="168">
          <cell r="A168">
            <v>34796</v>
          </cell>
          <cell r="B168" t="str">
            <v>英国</v>
          </cell>
          <cell r="C168" t="str">
            <v>饮料</v>
          </cell>
          <cell r="D168">
            <v>552</v>
          </cell>
        </row>
        <row r="169">
          <cell r="A169">
            <v>34799</v>
          </cell>
          <cell r="B169" t="str">
            <v>法国</v>
          </cell>
          <cell r="C169" t="str">
            <v>饮料</v>
          </cell>
          <cell r="D169">
            <v>516.7999963760376</v>
          </cell>
        </row>
        <row r="170">
          <cell r="A170">
            <v>34799</v>
          </cell>
          <cell r="B170" t="str">
            <v>法国</v>
          </cell>
          <cell r="C170" t="str">
            <v>糖果</v>
          </cell>
          <cell r="D170">
            <v>413.52499710023403</v>
          </cell>
        </row>
        <row r="171">
          <cell r="A171">
            <v>34799</v>
          </cell>
          <cell r="B171" t="str">
            <v>法国</v>
          </cell>
          <cell r="C171" t="str">
            <v>香料</v>
          </cell>
          <cell r="D171">
            <v>26.349999815225601</v>
          </cell>
        </row>
        <row r="172">
          <cell r="A172">
            <v>34808</v>
          </cell>
          <cell r="B172" t="str">
            <v>法国</v>
          </cell>
          <cell r="C172" t="str">
            <v>饮料</v>
          </cell>
          <cell r="D172">
            <v>6324</v>
          </cell>
        </row>
        <row r="173">
          <cell r="A173">
            <v>34808</v>
          </cell>
          <cell r="B173" t="str">
            <v>法国</v>
          </cell>
          <cell r="C173" t="str">
            <v>肉/家禽</v>
          </cell>
          <cell r="D173">
            <v>733.6</v>
          </cell>
        </row>
        <row r="174">
          <cell r="A174">
            <v>34808</v>
          </cell>
          <cell r="B174" t="str">
            <v>法国</v>
          </cell>
          <cell r="C174" t="str">
            <v>乳制品</v>
          </cell>
          <cell r="D174">
            <v>2640</v>
          </cell>
        </row>
        <row r="175">
          <cell r="A175">
            <v>34808</v>
          </cell>
          <cell r="B175" t="str">
            <v>法国</v>
          </cell>
          <cell r="C175" t="str">
            <v>面食/谷类</v>
          </cell>
          <cell r="D175">
            <v>798</v>
          </cell>
        </row>
        <row r="176">
          <cell r="A176">
            <v>34810</v>
          </cell>
          <cell r="B176" t="str">
            <v>法国</v>
          </cell>
          <cell r="C176" t="str">
            <v>海洋食品</v>
          </cell>
          <cell r="D176">
            <v>147</v>
          </cell>
        </row>
        <row r="177">
          <cell r="A177">
            <v>34813</v>
          </cell>
          <cell r="B177" t="str">
            <v>法国</v>
          </cell>
          <cell r="C177" t="str">
            <v>饮料</v>
          </cell>
          <cell r="D177">
            <v>372.39999970793724</v>
          </cell>
        </row>
        <row r="178">
          <cell r="A178">
            <v>34813</v>
          </cell>
          <cell r="B178" t="str">
            <v>法国</v>
          </cell>
          <cell r="C178" t="str">
            <v>香料</v>
          </cell>
          <cell r="D178">
            <v>296.39999976754189</v>
          </cell>
        </row>
        <row r="179">
          <cell r="A179">
            <v>34816</v>
          </cell>
          <cell r="B179" t="str">
            <v>英国</v>
          </cell>
          <cell r="C179" t="str">
            <v>乳制品</v>
          </cell>
          <cell r="D179">
            <v>1320</v>
          </cell>
        </row>
        <row r="180">
          <cell r="A180">
            <v>34816</v>
          </cell>
          <cell r="B180" t="str">
            <v>英国</v>
          </cell>
          <cell r="C180" t="str">
            <v>海洋食品</v>
          </cell>
          <cell r="D180">
            <v>191.99999928474426</v>
          </cell>
        </row>
        <row r="181">
          <cell r="A181">
            <v>34824</v>
          </cell>
          <cell r="B181" t="str">
            <v>英国</v>
          </cell>
          <cell r="C181" t="str">
            <v>面食/谷类</v>
          </cell>
          <cell r="D181">
            <v>425.6</v>
          </cell>
        </row>
        <row r="182">
          <cell r="A182">
            <v>34824</v>
          </cell>
          <cell r="B182" t="str">
            <v>英国</v>
          </cell>
          <cell r="C182" t="str">
            <v>乳制品</v>
          </cell>
          <cell r="D182">
            <v>695</v>
          </cell>
        </row>
        <row r="183">
          <cell r="A183">
            <v>34824</v>
          </cell>
          <cell r="B183" t="str">
            <v>英国</v>
          </cell>
          <cell r="C183" t="str">
            <v>香料</v>
          </cell>
          <cell r="D183">
            <v>260</v>
          </cell>
        </row>
        <row r="184">
          <cell r="A184">
            <v>34829</v>
          </cell>
          <cell r="B184" t="str">
            <v>英国</v>
          </cell>
          <cell r="C184" t="str">
            <v>肉/家禽</v>
          </cell>
          <cell r="D184">
            <v>149</v>
          </cell>
        </row>
        <row r="185">
          <cell r="A185">
            <v>34831</v>
          </cell>
          <cell r="B185" t="str">
            <v>法国</v>
          </cell>
          <cell r="C185" t="str">
            <v>饮料</v>
          </cell>
          <cell r="D185">
            <v>228</v>
          </cell>
        </row>
        <row r="186">
          <cell r="A186">
            <v>34831</v>
          </cell>
          <cell r="B186" t="str">
            <v>法国</v>
          </cell>
          <cell r="C186" t="str">
            <v>糖果</v>
          </cell>
          <cell r="D186">
            <v>120</v>
          </cell>
        </row>
        <row r="187">
          <cell r="A187">
            <v>34831</v>
          </cell>
          <cell r="B187" t="str">
            <v>法国</v>
          </cell>
          <cell r="C187" t="str">
            <v>肉/家禽</v>
          </cell>
          <cell r="D187">
            <v>328</v>
          </cell>
        </row>
        <row r="188">
          <cell r="A188">
            <v>34831</v>
          </cell>
          <cell r="B188" t="str">
            <v>法国</v>
          </cell>
          <cell r="C188" t="str">
            <v>香料</v>
          </cell>
          <cell r="D188">
            <v>712.5</v>
          </cell>
        </row>
        <row r="189">
          <cell r="A189">
            <v>34835</v>
          </cell>
          <cell r="B189" t="str">
            <v>英国</v>
          </cell>
          <cell r="C189" t="str">
            <v>糖果</v>
          </cell>
          <cell r="D189">
            <v>226.79999962449074</v>
          </cell>
        </row>
        <row r="190">
          <cell r="A190">
            <v>34835</v>
          </cell>
          <cell r="B190" t="str">
            <v>英国</v>
          </cell>
          <cell r="C190" t="str">
            <v>饮料</v>
          </cell>
          <cell r="D190">
            <v>188.99999968707561</v>
          </cell>
        </row>
        <row r="191">
          <cell r="A191">
            <v>34836</v>
          </cell>
          <cell r="B191" t="str">
            <v>英国</v>
          </cell>
          <cell r="C191" t="str">
            <v>海洋食品</v>
          </cell>
          <cell r="D191">
            <v>60</v>
          </cell>
        </row>
        <row r="192">
          <cell r="A192">
            <v>34836</v>
          </cell>
          <cell r="B192" t="str">
            <v>英国</v>
          </cell>
          <cell r="C192" t="str">
            <v>饮料</v>
          </cell>
          <cell r="D192">
            <v>180</v>
          </cell>
        </row>
        <row r="193">
          <cell r="A193">
            <v>34837</v>
          </cell>
          <cell r="B193" t="str">
            <v>英国</v>
          </cell>
          <cell r="C193" t="str">
            <v>农产品</v>
          </cell>
          <cell r="D193">
            <v>136.80000000000001</v>
          </cell>
        </row>
        <row r="194">
          <cell r="A194">
            <v>34838</v>
          </cell>
          <cell r="B194" t="str">
            <v>法国</v>
          </cell>
          <cell r="C194" t="str">
            <v>肉/家禽</v>
          </cell>
          <cell r="D194">
            <v>4456.4399999999996</v>
          </cell>
        </row>
        <row r="195">
          <cell r="A195">
            <v>34838</v>
          </cell>
          <cell r="B195" t="str">
            <v>法国</v>
          </cell>
          <cell r="C195" t="str">
            <v>饮料</v>
          </cell>
          <cell r="D195">
            <v>251.0999995842576</v>
          </cell>
        </row>
        <row r="196">
          <cell r="A196">
            <v>34842</v>
          </cell>
          <cell r="B196" t="str">
            <v>英国</v>
          </cell>
          <cell r="C196" t="str">
            <v>糖果</v>
          </cell>
          <cell r="D196">
            <v>319.9999988079071</v>
          </cell>
        </row>
        <row r="197">
          <cell r="A197">
            <v>34842</v>
          </cell>
          <cell r="B197" t="str">
            <v>英国</v>
          </cell>
          <cell r="C197" t="str">
            <v>乳制品</v>
          </cell>
          <cell r="D197">
            <v>1279.9999952316284</v>
          </cell>
        </row>
        <row r="198">
          <cell r="A198">
            <v>34842</v>
          </cell>
          <cell r="B198" t="str">
            <v>英国</v>
          </cell>
          <cell r="C198" t="str">
            <v>香料</v>
          </cell>
          <cell r="D198">
            <v>341.99999872595072</v>
          </cell>
        </row>
        <row r="199">
          <cell r="A199">
            <v>34843</v>
          </cell>
          <cell r="B199" t="str">
            <v>英国</v>
          </cell>
          <cell r="C199" t="str">
            <v>肉/家禽</v>
          </cell>
          <cell r="D199">
            <v>1319.1999907493591</v>
          </cell>
        </row>
        <row r="200">
          <cell r="A200">
            <v>34843</v>
          </cell>
          <cell r="B200" t="str">
            <v>英国</v>
          </cell>
          <cell r="C200" t="str">
            <v>糖果</v>
          </cell>
          <cell r="D200">
            <v>872.5</v>
          </cell>
        </row>
        <row r="201">
          <cell r="A201">
            <v>34843</v>
          </cell>
          <cell r="B201" t="str">
            <v>英国</v>
          </cell>
          <cell r="C201" t="str">
            <v>糖果</v>
          </cell>
          <cell r="D201">
            <v>5268</v>
          </cell>
        </row>
        <row r="202">
          <cell r="A202">
            <v>34843</v>
          </cell>
          <cell r="B202" t="str">
            <v>英国</v>
          </cell>
          <cell r="C202" t="str">
            <v>乳制品</v>
          </cell>
          <cell r="D202">
            <v>33.999999761581421</v>
          </cell>
        </row>
        <row r="203">
          <cell r="A203">
            <v>34843</v>
          </cell>
          <cell r="B203" t="str">
            <v>英国</v>
          </cell>
          <cell r="C203" t="str">
            <v>乳制品</v>
          </cell>
          <cell r="D203">
            <v>2427.5999829769135</v>
          </cell>
        </row>
        <row r="204">
          <cell r="A204">
            <v>34850</v>
          </cell>
          <cell r="B204" t="str">
            <v>英国</v>
          </cell>
          <cell r="C204" t="str">
            <v>饮料</v>
          </cell>
          <cell r="D204">
            <v>575.99999785423279</v>
          </cell>
        </row>
        <row r="205">
          <cell r="A205">
            <v>34850</v>
          </cell>
          <cell r="B205" t="str">
            <v>英国</v>
          </cell>
          <cell r="C205" t="str">
            <v>香料</v>
          </cell>
          <cell r="D205">
            <v>960</v>
          </cell>
        </row>
        <row r="206">
          <cell r="A206">
            <v>34850</v>
          </cell>
          <cell r="B206" t="str">
            <v>英国</v>
          </cell>
          <cell r="C206" t="str">
            <v>海洋食品</v>
          </cell>
          <cell r="D206">
            <v>414.23999845683574</v>
          </cell>
        </row>
        <row r="207">
          <cell r="A207">
            <v>34850</v>
          </cell>
          <cell r="B207" t="str">
            <v>英国</v>
          </cell>
          <cell r="C207" t="str">
            <v>海洋食品</v>
          </cell>
          <cell r="D207">
            <v>367.99999862909317</v>
          </cell>
        </row>
        <row r="208">
          <cell r="A208">
            <v>34855</v>
          </cell>
          <cell r="B208" t="str">
            <v>英国</v>
          </cell>
          <cell r="C208" t="str">
            <v>香料</v>
          </cell>
          <cell r="D208">
            <v>989.99999836087227</v>
          </cell>
        </row>
        <row r="209">
          <cell r="A209">
            <v>34855</v>
          </cell>
          <cell r="B209" t="str">
            <v>英国</v>
          </cell>
          <cell r="C209" t="str">
            <v>海洋食品</v>
          </cell>
          <cell r="D209">
            <v>512.99999915063381</v>
          </cell>
        </row>
        <row r="210">
          <cell r="A210">
            <v>34856</v>
          </cell>
          <cell r="B210" t="str">
            <v>法国</v>
          </cell>
          <cell r="C210" t="str">
            <v>乳制品</v>
          </cell>
          <cell r="D210">
            <v>63</v>
          </cell>
        </row>
        <row r="211">
          <cell r="A211">
            <v>34856</v>
          </cell>
          <cell r="B211" t="str">
            <v>法国</v>
          </cell>
          <cell r="C211" t="str">
            <v>乳制品</v>
          </cell>
          <cell r="D211">
            <v>15.999999940395355</v>
          </cell>
        </row>
        <row r="212">
          <cell r="A212">
            <v>34856</v>
          </cell>
          <cell r="B212" t="str">
            <v>法国</v>
          </cell>
          <cell r="C212" t="str">
            <v>乳制品</v>
          </cell>
          <cell r="D212">
            <v>313.2</v>
          </cell>
        </row>
        <row r="213">
          <cell r="A213">
            <v>34862</v>
          </cell>
          <cell r="B213" t="str">
            <v>英国</v>
          </cell>
          <cell r="C213" t="str">
            <v>海洋食品</v>
          </cell>
          <cell r="D213">
            <v>258.89999999999998</v>
          </cell>
        </row>
        <row r="214">
          <cell r="A214">
            <v>34862</v>
          </cell>
          <cell r="B214" t="str">
            <v>英国</v>
          </cell>
          <cell r="C214" t="str">
            <v>海洋食品</v>
          </cell>
          <cell r="D214">
            <v>147.19999945163727</v>
          </cell>
        </row>
        <row r="215">
          <cell r="A215">
            <v>34862</v>
          </cell>
          <cell r="B215" t="str">
            <v>英国</v>
          </cell>
          <cell r="C215" t="str">
            <v>肉/家禽</v>
          </cell>
          <cell r="D215">
            <v>59.599999777972698</v>
          </cell>
        </row>
        <row r="216">
          <cell r="A216">
            <v>34864</v>
          </cell>
          <cell r="B216" t="str">
            <v>英国</v>
          </cell>
          <cell r="C216" t="str">
            <v>乳制品</v>
          </cell>
          <cell r="D216">
            <v>427.5</v>
          </cell>
        </row>
        <row r="217">
          <cell r="A217">
            <v>34864</v>
          </cell>
          <cell r="B217" t="str">
            <v>英国</v>
          </cell>
          <cell r="C217" t="str">
            <v>乳制品</v>
          </cell>
          <cell r="D217">
            <v>250</v>
          </cell>
        </row>
        <row r="218">
          <cell r="A218">
            <v>34864</v>
          </cell>
          <cell r="B218" t="str">
            <v>英国</v>
          </cell>
          <cell r="C218" t="str">
            <v>乳制品</v>
          </cell>
          <cell r="D218">
            <v>75</v>
          </cell>
        </row>
        <row r="219">
          <cell r="A219">
            <v>34864</v>
          </cell>
          <cell r="B219" t="str">
            <v>英国</v>
          </cell>
          <cell r="C219" t="str">
            <v>乳制品</v>
          </cell>
          <cell r="D219">
            <v>892.5</v>
          </cell>
        </row>
        <row r="220">
          <cell r="A220">
            <v>34869</v>
          </cell>
          <cell r="B220" t="str">
            <v>英国</v>
          </cell>
          <cell r="C220" t="str">
            <v>香料</v>
          </cell>
          <cell r="D220">
            <v>600</v>
          </cell>
        </row>
        <row r="221">
          <cell r="A221">
            <v>34869</v>
          </cell>
          <cell r="B221" t="str">
            <v>英国</v>
          </cell>
          <cell r="C221" t="str">
            <v>糖果</v>
          </cell>
          <cell r="D221">
            <v>1249.2</v>
          </cell>
        </row>
        <row r="222">
          <cell r="A222">
            <v>34869</v>
          </cell>
          <cell r="B222" t="str">
            <v>英国</v>
          </cell>
          <cell r="C222" t="str">
            <v>饮料</v>
          </cell>
          <cell r="D222">
            <v>7905</v>
          </cell>
        </row>
        <row r="223">
          <cell r="A223">
            <v>34869</v>
          </cell>
          <cell r="B223" t="str">
            <v>英国</v>
          </cell>
          <cell r="C223" t="str">
            <v>糖果</v>
          </cell>
          <cell r="D223">
            <v>437.5</v>
          </cell>
        </row>
        <row r="224">
          <cell r="A224">
            <v>34870</v>
          </cell>
          <cell r="B224" t="str">
            <v>英国</v>
          </cell>
          <cell r="C224" t="str">
            <v>乳制品</v>
          </cell>
          <cell r="D224">
            <v>299.24999976530671</v>
          </cell>
        </row>
        <row r="225">
          <cell r="A225">
            <v>34870</v>
          </cell>
          <cell r="B225" t="str">
            <v>英国</v>
          </cell>
          <cell r="C225" t="str">
            <v>肉/家禽</v>
          </cell>
          <cell r="D225">
            <v>169.85999986678362</v>
          </cell>
        </row>
        <row r="226">
          <cell r="A226">
            <v>34871</v>
          </cell>
          <cell r="B226" t="str">
            <v>法国</v>
          </cell>
          <cell r="C226" t="str">
            <v>农产品</v>
          </cell>
          <cell r="D226">
            <v>319.2</v>
          </cell>
        </row>
        <row r="227">
          <cell r="A227">
            <v>34871</v>
          </cell>
          <cell r="B227" t="str">
            <v>法国</v>
          </cell>
          <cell r="C227" t="str">
            <v>饮料</v>
          </cell>
          <cell r="D227">
            <v>98</v>
          </cell>
        </row>
        <row r="228">
          <cell r="A228">
            <v>34872</v>
          </cell>
          <cell r="B228" t="str">
            <v>法国</v>
          </cell>
          <cell r="C228" t="str">
            <v>乳制品</v>
          </cell>
          <cell r="D228">
            <v>210</v>
          </cell>
        </row>
        <row r="229">
          <cell r="A229">
            <v>34876</v>
          </cell>
          <cell r="B229" t="str">
            <v>英国</v>
          </cell>
          <cell r="C229" t="str">
            <v>饮料</v>
          </cell>
          <cell r="D229">
            <v>105</v>
          </cell>
        </row>
        <row r="230">
          <cell r="A230">
            <v>34876</v>
          </cell>
          <cell r="B230" t="str">
            <v>英国</v>
          </cell>
          <cell r="C230" t="str">
            <v>海洋食品</v>
          </cell>
          <cell r="D230">
            <v>135.1</v>
          </cell>
        </row>
        <row r="231">
          <cell r="A231">
            <v>34877</v>
          </cell>
          <cell r="B231" t="str">
            <v>英国</v>
          </cell>
          <cell r="C231" t="str">
            <v>乳制品</v>
          </cell>
          <cell r="D231">
            <v>584.37499590218067</v>
          </cell>
        </row>
        <row r="232">
          <cell r="A232">
            <v>34877</v>
          </cell>
          <cell r="B232" t="str">
            <v>英国</v>
          </cell>
          <cell r="C232" t="str">
            <v>海洋食品</v>
          </cell>
          <cell r="D232">
            <v>807.49999433755875</v>
          </cell>
        </row>
        <row r="233">
          <cell r="A233">
            <v>34877</v>
          </cell>
          <cell r="B233" t="str">
            <v>英国</v>
          </cell>
          <cell r="C233" t="str">
            <v>农产品</v>
          </cell>
          <cell r="D233">
            <v>2162.3999848365784</v>
          </cell>
        </row>
        <row r="234">
          <cell r="A234">
            <v>34880</v>
          </cell>
          <cell r="B234" t="str">
            <v>英国</v>
          </cell>
          <cell r="C234" t="str">
            <v>糖果</v>
          </cell>
          <cell r="D234">
            <v>497.32499960996211</v>
          </cell>
        </row>
        <row r="235">
          <cell r="A235">
            <v>34880</v>
          </cell>
          <cell r="B235" t="str">
            <v>英国</v>
          </cell>
          <cell r="C235" t="str">
            <v>面食/谷类</v>
          </cell>
          <cell r="D235">
            <v>170.99999986588955</v>
          </cell>
        </row>
        <row r="236">
          <cell r="A236">
            <v>34880</v>
          </cell>
          <cell r="B236" t="str">
            <v>英国</v>
          </cell>
          <cell r="C236" t="str">
            <v>糖果</v>
          </cell>
          <cell r="D236">
            <v>936.69999926537275</v>
          </cell>
        </row>
        <row r="237">
          <cell r="A237">
            <v>34880</v>
          </cell>
          <cell r="B237" t="str">
            <v>英国</v>
          </cell>
          <cell r="C237" t="str">
            <v>香料</v>
          </cell>
          <cell r="D237">
            <v>123.49999990314245</v>
          </cell>
        </row>
        <row r="238">
          <cell r="A238">
            <v>34883</v>
          </cell>
          <cell r="B238" t="str">
            <v>法国</v>
          </cell>
          <cell r="C238" t="str">
            <v>农产品</v>
          </cell>
          <cell r="D238">
            <v>557.99999792128801</v>
          </cell>
        </row>
        <row r="239">
          <cell r="A239">
            <v>34883</v>
          </cell>
          <cell r="B239" t="str">
            <v>法国</v>
          </cell>
          <cell r="C239" t="str">
            <v>糖果</v>
          </cell>
          <cell r="D239">
            <v>257.59999904036522</v>
          </cell>
        </row>
        <row r="240">
          <cell r="A240">
            <v>34883</v>
          </cell>
          <cell r="B240" t="str">
            <v>法国</v>
          </cell>
          <cell r="C240" t="str">
            <v>饮料</v>
          </cell>
          <cell r="D240">
            <v>64.799999758601189</v>
          </cell>
        </row>
        <row r="241">
          <cell r="A241">
            <v>34883</v>
          </cell>
          <cell r="B241" t="str">
            <v>法国</v>
          </cell>
          <cell r="C241" t="str">
            <v>农产品</v>
          </cell>
          <cell r="D241">
            <v>847.99999684095383</v>
          </cell>
        </row>
        <row r="242">
          <cell r="A242">
            <v>34883</v>
          </cell>
          <cell r="B242" t="str">
            <v>法国</v>
          </cell>
          <cell r="C242" t="str">
            <v>面食/谷类</v>
          </cell>
          <cell r="D242">
            <v>1215.999995470047</v>
          </cell>
        </row>
        <row r="243">
          <cell r="A243">
            <v>34884</v>
          </cell>
          <cell r="B243" t="str">
            <v>英国</v>
          </cell>
          <cell r="C243" t="str">
            <v>面食/谷类</v>
          </cell>
          <cell r="D243">
            <v>997.5</v>
          </cell>
        </row>
        <row r="244">
          <cell r="A244">
            <v>34884</v>
          </cell>
          <cell r="B244" t="str">
            <v>英国</v>
          </cell>
          <cell r="C244" t="str">
            <v>饮料</v>
          </cell>
          <cell r="D244">
            <v>155</v>
          </cell>
        </row>
        <row r="245">
          <cell r="A245">
            <v>34887</v>
          </cell>
          <cell r="B245" t="str">
            <v>英国</v>
          </cell>
          <cell r="C245" t="str">
            <v>海洋食品</v>
          </cell>
          <cell r="D245">
            <v>517.79999999999995</v>
          </cell>
        </row>
        <row r="246">
          <cell r="A246">
            <v>34887</v>
          </cell>
          <cell r="B246" t="str">
            <v>英国</v>
          </cell>
          <cell r="C246" t="str">
            <v>糖果</v>
          </cell>
          <cell r="D246">
            <v>554.625</v>
          </cell>
        </row>
        <row r="247">
          <cell r="A247">
            <v>34891</v>
          </cell>
          <cell r="B247" t="str">
            <v>法国</v>
          </cell>
          <cell r="C247" t="str">
            <v>肉/家禽</v>
          </cell>
          <cell r="D247">
            <v>592.79999953508377</v>
          </cell>
        </row>
        <row r="248">
          <cell r="A248">
            <v>34891</v>
          </cell>
          <cell r="B248" t="str">
            <v>法国</v>
          </cell>
          <cell r="C248" t="str">
            <v>乳制品</v>
          </cell>
          <cell r="D248">
            <v>71.249999944120646</v>
          </cell>
        </row>
        <row r="249">
          <cell r="A249">
            <v>34891</v>
          </cell>
          <cell r="B249" t="str">
            <v>法国</v>
          </cell>
          <cell r="C249" t="str">
            <v>肉/家禽</v>
          </cell>
          <cell r="D249">
            <v>569.99999955296516</v>
          </cell>
        </row>
        <row r="250">
          <cell r="A250">
            <v>34897</v>
          </cell>
          <cell r="B250" t="str">
            <v>法国</v>
          </cell>
          <cell r="C250" t="str">
            <v>乳制品</v>
          </cell>
          <cell r="D250">
            <v>349.9999986961484</v>
          </cell>
        </row>
        <row r="251">
          <cell r="A251">
            <v>34897</v>
          </cell>
          <cell r="B251" t="str">
            <v>法国</v>
          </cell>
          <cell r="C251" t="str">
            <v>饮料</v>
          </cell>
          <cell r="D251">
            <v>540</v>
          </cell>
        </row>
        <row r="252">
          <cell r="A252">
            <v>34900</v>
          </cell>
          <cell r="B252" t="str">
            <v>法国</v>
          </cell>
          <cell r="C252" t="str">
            <v>乳制品</v>
          </cell>
          <cell r="D252">
            <v>35</v>
          </cell>
        </row>
        <row r="253">
          <cell r="A253">
            <v>34900</v>
          </cell>
          <cell r="B253" t="str">
            <v>法国</v>
          </cell>
          <cell r="C253" t="str">
            <v>海洋食品</v>
          </cell>
          <cell r="D253">
            <v>36.799999999999997</v>
          </cell>
        </row>
        <row r="254">
          <cell r="A254">
            <v>34900</v>
          </cell>
          <cell r="B254" t="str">
            <v>法国</v>
          </cell>
          <cell r="C254" t="str">
            <v>糖果</v>
          </cell>
          <cell r="D254">
            <v>493</v>
          </cell>
        </row>
        <row r="255">
          <cell r="A255">
            <v>34900</v>
          </cell>
          <cell r="B255" t="str">
            <v>法国</v>
          </cell>
          <cell r="C255" t="str">
            <v>面食/谷类</v>
          </cell>
          <cell r="D255">
            <v>199.5</v>
          </cell>
        </row>
        <row r="256">
          <cell r="A256">
            <v>34901</v>
          </cell>
          <cell r="B256" t="str">
            <v>英国</v>
          </cell>
          <cell r="C256" t="str">
            <v>乳制品</v>
          </cell>
          <cell r="D256">
            <v>660</v>
          </cell>
        </row>
        <row r="257">
          <cell r="A257">
            <v>34901</v>
          </cell>
          <cell r="B257" t="str">
            <v>英国</v>
          </cell>
          <cell r="C257" t="str">
            <v>香料</v>
          </cell>
          <cell r="D257">
            <v>263.39999999999998</v>
          </cell>
        </row>
        <row r="258">
          <cell r="A258">
            <v>34901</v>
          </cell>
          <cell r="B258" t="str">
            <v>英国</v>
          </cell>
          <cell r="C258" t="str">
            <v>乳制品</v>
          </cell>
          <cell r="D258">
            <v>1044</v>
          </cell>
        </row>
        <row r="259">
          <cell r="A259">
            <v>34901</v>
          </cell>
          <cell r="B259" t="str">
            <v>英国</v>
          </cell>
          <cell r="C259" t="str">
            <v>饮料</v>
          </cell>
          <cell r="D259">
            <v>180</v>
          </cell>
        </row>
        <row r="260">
          <cell r="A260">
            <v>34904</v>
          </cell>
          <cell r="B260" t="str">
            <v>法国</v>
          </cell>
          <cell r="C260" t="str">
            <v>饮料</v>
          </cell>
          <cell r="D260">
            <v>180</v>
          </cell>
        </row>
        <row r="261">
          <cell r="A261">
            <v>34904</v>
          </cell>
          <cell r="B261" t="str">
            <v>法国</v>
          </cell>
          <cell r="C261" t="str">
            <v>饮料</v>
          </cell>
          <cell r="D261">
            <v>155</v>
          </cell>
        </row>
        <row r="262">
          <cell r="A262">
            <v>34904</v>
          </cell>
          <cell r="B262" t="str">
            <v>法国</v>
          </cell>
          <cell r="C262" t="str">
            <v>香料</v>
          </cell>
          <cell r="D262">
            <v>234</v>
          </cell>
        </row>
        <row r="263">
          <cell r="A263">
            <v>34906</v>
          </cell>
          <cell r="B263" t="str">
            <v>法国</v>
          </cell>
          <cell r="C263" t="str">
            <v>香料</v>
          </cell>
          <cell r="D263">
            <v>155</v>
          </cell>
        </row>
        <row r="264">
          <cell r="A264">
            <v>34906</v>
          </cell>
          <cell r="B264" t="str">
            <v>法国</v>
          </cell>
          <cell r="C264" t="str">
            <v>饮料</v>
          </cell>
          <cell r="D264">
            <v>162.75</v>
          </cell>
        </row>
        <row r="265">
          <cell r="A265">
            <v>34907</v>
          </cell>
          <cell r="B265" t="str">
            <v>英国</v>
          </cell>
          <cell r="C265" t="str">
            <v>农产品</v>
          </cell>
          <cell r="D265">
            <v>331.312499740161</v>
          </cell>
        </row>
        <row r="266">
          <cell r="A266">
            <v>34907</v>
          </cell>
          <cell r="B266" t="str">
            <v>英国</v>
          </cell>
          <cell r="C266" t="str">
            <v>海洋食品</v>
          </cell>
          <cell r="D266">
            <v>82.507499935291705</v>
          </cell>
        </row>
        <row r="267">
          <cell r="A267">
            <v>34907</v>
          </cell>
          <cell r="B267" t="str">
            <v>英国</v>
          </cell>
          <cell r="C267" t="str">
            <v>香料</v>
          </cell>
          <cell r="D267">
            <v>599.92499952949584</v>
          </cell>
        </row>
        <row r="268">
          <cell r="A268">
            <v>34908</v>
          </cell>
          <cell r="B268" t="str">
            <v>英国</v>
          </cell>
          <cell r="C268" t="str">
            <v>面食/谷类</v>
          </cell>
          <cell r="D268">
            <v>78</v>
          </cell>
        </row>
        <row r="269">
          <cell r="A269">
            <v>34908</v>
          </cell>
          <cell r="B269" t="str">
            <v>英国</v>
          </cell>
          <cell r="C269" t="str">
            <v>饮料</v>
          </cell>
          <cell r="D269">
            <v>252</v>
          </cell>
        </row>
        <row r="270">
          <cell r="A270">
            <v>34914</v>
          </cell>
          <cell r="B270" t="str">
            <v>英国</v>
          </cell>
          <cell r="C270" t="str">
            <v>海洋食品</v>
          </cell>
          <cell r="D270">
            <v>1999.9999925494194</v>
          </cell>
        </row>
        <row r="271">
          <cell r="A271">
            <v>34914</v>
          </cell>
          <cell r="B271" t="str">
            <v>英国</v>
          </cell>
          <cell r="C271" t="str">
            <v>面食/谷类</v>
          </cell>
          <cell r="D271">
            <v>1119.9999958276749</v>
          </cell>
        </row>
        <row r="272">
          <cell r="A272">
            <v>34915</v>
          </cell>
          <cell r="B272" t="str">
            <v>法国</v>
          </cell>
          <cell r="C272" t="str">
            <v>饮料</v>
          </cell>
          <cell r="D272">
            <v>72</v>
          </cell>
        </row>
        <row r="273">
          <cell r="A273">
            <v>34919</v>
          </cell>
          <cell r="B273" t="str">
            <v>英国</v>
          </cell>
          <cell r="C273" t="str">
            <v>香料</v>
          </cell>
          <cell r="D273">
            <v>368.12499971129</v>
          </cell>
        </row>
        <row r="274">
          <cell r="A274">
            <v>34919</v>
          </cell>
          <cell r="B274" t="str">
            <v>英国</v>
          </cell>
          <cell r="C274" t="str">
            <v>糖果</v>
          </cell>
          <cell r="D274">
            <v>148.3424998836592</v>
          </cell>
        </row>
        <row r="275">
          <cell r="A275">
            <v>34920</v>
          </cell>
          <cell r="B275" t="str">
            <v>英国</v>
          </cell>
          <cell r="C275" t="str">
            <v>糖果</v>
          </cell>
          <cell r="D275">
            <v>1360.799994930625</v>
          </cell>
        </row>
        <row r="276">
          <cell r="A276">
            <v>34920</v>
          </cell>
          <cell r="B276" t="str">
            <v>英国</v>
          </cell>
          <cell r="C276" t="str">
            <v>乳制品</v>
          </cell>
          <cell r="D276">
            <v>575.99999785423279</v>
          </cell>
        </row>
        <row r="277">
          <cell r="A277">
            <v>34920</v>
          </cell>
          <cell r="B277" t="str">
            <v>英国</v>
          </cell>
          <cell r="C277" t="str">
            <v>饮料</v>
          </cell>
          <cell r="D277">
            <v>57.599999785423279</v>
          </cell>
        </row>
        <row r="278">
          <cell r="A278">
            <v>34920</v>
          </cell>
          <cell r="B278" t="str">
            <v>法国</v>
          </cell>
          <cell r="C278" t="str">
            <v>面食/谷类</v>
          </cell>
          <cell r="D278">
            <v>168</v>
          </cell>
        </row>
        <row r="279">
          <cell r="A279">
            <v>34920</v>
          </cell>
          <cell r="B279" t="str">
            <v>法国</v>
          </cell>
          <cell r="C279" t="str">
            <v>海洋食品</v>
          </cell>
          <cell r="D279">
            <v>397.5</v>
          </cell>
        </row>
        <row r="280">
          <cell r="A280">
            <v>34922</v>
          </cell>
          <cell r="B280" t="str">
            <v>法国</v>
          </cell>
          <cell r="C280" t="str">
            <v>面食/谷类</v>
          </cell>
          <cell r="D280">
            <v>151.99999943375587</v>
          </cell>
        </row>
        <row r="281">
          <cell r="A281">
            <v>34922</v>
          </cell>
          <cell r="B281" t="str">
            <v>法国</v>
          </cell>
          <cell r="C281" t="str">
            <v>香料</v>
          </cell>
          <cell r="D281">
            <v>842.87999686002729</v>
          </cell>
        </row>
        <row r="282">
          <cell r="A282">
            <v>34922</v>
          </cell>
          <cell r="B282" t="str">
            <v>法国</v>
          </cell>
          <cell r="C282" t="str">
            <v>饮料</v>
          </cell>
          <cell r="D282">
            <v>185.999999307096</v>
          </cell>
        </row>
        <row r="283">
          <cell r="A283">
            <v>34925</v>
          </cell>
          <cell r="B283" t="str">
            <v>法国</v>
          </cell>
          <cell r="C283" t="str">
            <v>糖果</v>
          </cell>
          <cell r="D283">
            <v>2195</v>
          </cell>
        </row>
        <row r="284">
          <cell r="A284">
            <v>34925</v>
          </cell>
          <cell r="B284" t="str">
            <v>法国</v>
          </cell>
          <cell r="C284" t="str">
            <v>乳制品</v>
          </cell>
          <cell r="D284">
            <v>193.5</v>
          </cell>
        </row>
        <row r="285">
          <cell r="A285">
            <v>34927</v>
          </cell>
          <cell r="B285" t="str">
            <v>法国</v>
          </cell>
          <cell r="C285" t="str">
            <v>肉/家禽</v>
          </cell>
          <cell r="D285">
            <v>29.8</v>
          </cell>
        </row>
        <row r="286">
          <cell r="A286">
            <v>34927</v>
          </cell>
          <cell r="B286" t="str">
            <v>法国</v>
          </cell>
          <cell r="C286" t="str">
            <v>海洋食品</v>
          </cell>
          <cell r="D286">
            <v>450</v>
          </cell>
        </row>
        <row r="287">
          <cell r="A287">
            <v>34929</v>
          </cell>
          <cell r="B287" t="str">
            <v>法国</v>
          </cell>
          <cell r="C287" t="str">
            <v>面食/谷类</v>
          </cell>
          <cell r="D287">
            <v>1008</v>
          </cell>
        </row>
        <row r="288">
          <cell r="A288">
            <v>34929</v>
          </cell>
          <cell r="B288" t="str">
            <v>法国</v>
          </cell>
          <cell r="C288" t="str">
            <v>糖果</v>
          </cell>
          <cell r="D288">
            <v>474.99999962747097</v>
          </cell>
        </row>
        <row r="289">
          <cell r="A289">
            <v>34933</v>
          </cell>
          <cell r="B289" t="str">
            <v>法国</v>
          </cell>
          <cell r="C289" t="str">
            <v>农产品</v>
          </cell>
          <cell r="D289">
            <v>1350</v>
          </cell>
        </row>
        <row r="290">
          <cell r="A290">
            <v>34933</v>
          </cell>
          <cell r="B290" t="str">
            <v>法国</v>
          </cell>
          <cell r="C290" t="str">
            <v>肉/家禽</v>
          </cell>
          <cell r="D290">
            <v>3900</v>
          </cell>
        </row>
        <row r="291">
          <cell r="A291">
            <v>34933</v>
          </cell>
          <cell r="B291" t="str">
            <v>法国</v>
          </cell>
          <cell r="C291" t="str">
            <v>乳制品</v>
          </cell>
          <cell r="D291">
            <v>35</v>
          </cell>
        </row>
        <row r="292">
          <cell r="A292">
            <v>34933</v>
          </cell>
          <cell r="B292" t="str">
            <v>法国</v>
          </cell>
          <cell r="C292" t="str">
            <v>海洋食品</v>
          </cell>
          <cell r="D292">
            <v>772.8</v>
          </cell>
        </row>
        <row r="293">
          <cell r="A293">
            <v>34933</v>
          </cell>
          <cell r="B293" t="str">
            <v>法国</v>
          </cell>
          <cell r="C293" t="str">
            <v>乳制品</v>
          </cell>
          <cell r="D293">
            <v>417.6</v>
          </cell>
        </row>
        <row r="294">
          <cell r="A294">
            <v>34934</v>
          </cell>
          <cell r="B294" t="str">
            <v>英国</v>
          </cell>
          <cell r="C294" t="str">
            <v>面食/谷类</v>
          </cell>
          <cell r="D294">
            <v>1064</v>
          </cell>
        </row>
        <row r="295">
          <cell r="A295">
            <v>34939</v>
          </cell>
          <cell r="B295" t="str">
            <v>法国</v>
          </cell>
          <cell r="C295" t="str">
            <v>海洋食品</v>
          </cell>
          <cell r="D295">
            <v>2170</v>
          </cell>
        </row>
        <row r="296">
          <cell r="A296">
            <v>34939</v>
          </cell>
          <cell r="B296" t="str">
            <v>法国</v>
          </cell>
          <cell r="C296" t="str">
            <v>海洋食品</v>
          </cell>
          <cell r="D296">
            <v>1045</v>
          </cell>
        </row>
        <row r="297">
          <cell r="A297">
            <v>34939</v>
          </cell>
          <cell r="B297" t="str">
            <v>法国</v>
          </cell>
          <cell r="C297" t="str">
            <v>糖果</v>
          </cell>
          <cell r="D297">
            <v>360</v>
          </cell>
        </row>
        <row r="298">
          <cell r="A298">
            <v>34939</v>
          </cell>
          <cell r="B298" t="str">
            <v>法国</v>
          </cell>
          <cell r="C298" t="str">
            <v>乳制品</v>
          </cell>
          <cell r="D298">
            <v>1360</v>
          </cell>
        </row>
        <row r="299">
          <cell r="A299">
            <v>34939</v>
          </cell>
          <cell r="B299" t="str">
            <v>法国</v>
          </cell>
          <cell r="C299" t="str">
            <v>饮料</v>
          </cell>
          <cell r="D299">
            <v>1440</v>
          </cell>
        </row>
        <row r="300">
          <cell r="A300">
            <v>34940</v>
          </cell>
          <cell r="B300" t="str">
            <v>英国</v>
          </cell>
          <cell r="C300" t="str">
            <v>乳制品</v>
          </cell>
          <cell r="D300">
            <v>294</v>
          </cell>
        </row>
        <row r="301">
          <cell r="A301">
            <v>34940</v>
          </cell>
          <cell r="B301" t="str">
            <v>英国</v>
          </cell>
          <cell r="C301" t="str">
            <v>糖果</v>
          </cell>
          <cell r="D301">
            <v>80</v>
          </cell>
        </row>
        <row r="302">
          <cell r="A302">
            <v>34940</v>
          </cell>
          <cell r="B302" t="str">
            <v>英国</v>
          </cell>
          <cell r="C302" t="str">
            <v>饮料</v>
          </cell>
          <cell r="D302">
            <v>90</v>
          </cell>
        </row>
        <row r="303">
          <cell r="A303">
            <v>34942</v>
          </cell>
          <cell r="B303" t="str">
            <v>法国</v>
          </cell>
          <cell r="C303" t="str">
            <v>饮料</v>
          </cell>
          <cell r="D303">
            <v>3754.874997055158</v>
          </cell>
        </row>
        <row r="304">
          <cell r="A304">
            <v>34942</v>
          </cell>
          <cell r="B304" t="str">
            <v>法国</v>
          </cell>
          <cell r="C304" t="str">
            <v>面食/谷类</v>
          </cell>
          <cell r="D304">
            <v>532</v>
          </cell>
        </row>
        <row r="305">
          <cell r="A305">
            <v>34942</v>
          </cell>
          <cell r="B305" t="str">
            <v>法国</v>
          </cell>
          <cell r="C305" t="str">
            <v>饮料</v>
          </cell>
          <cell r="D305">
            <v>213.74999983236194</v>
          </cell>
        </row>
        <row r="306">
          <cell r="A306">
            <v>34942</v>
          </cell>
          <cell r="B306" t="str">
            <v>法国</v>
          </cell>
          <cell r="C306" t="str">
            <v>乳制品</v>
          </cell>
          <cell r="D306">
            <v>306.37499975971878</v>
          </cell>
        </row>
        <row r="307">
          <cell r="A307">
            <v>34942</v>
          </cell>
          <cell r="B307" t="str">
            <v>法国</v>
          </cell>
          <cell r="C307" t="str">
            <v>乳制品</v>
          </cell>
          <cell r="D307">
            <v>1402.4999901652336</v>
          </cell>
        </row>
        <row r="308">
          <cell r="A308">
            <v>34949</v>
          </cell>
          <cell r="B308" t="str">
            <v>英国</v>
          </cell>
          <cell r="C308" t="str">
            <v>农产品</v>
          </cell>
          <cell r="D308">
            <v>488.25</v>
          </cell>
        </row>
        <row r="309">
          <cell r="A309">
            <v>34949</v>
          </cell>
          <cell r="B309" t="str">
            <v>英国</v>
          </cell>
          <cell r="C309" t="str">
            <v>糖果</v>
          </cell>
          <cell r="D309">
            <v>124.19999979436398</v>
          </cell>
        </row>
        <row r="310">
          <cell r="A310">
            <v>34949</v>
          </cell>
          <cell r="B310" t="str">
            <v>英国</v>
          </cell>
          <cell r="C310" t="str">
            <v>糖果</v>
          </cell>
          <cell r="D310">
            <v>224.99999962747097</v>
          </cell>
        </row>
        <row r="311">
          <cell r="A311">
            <v>34949</v>
          </cell>
          <cell r="B311" t="str">
            <v>英国</v>
          </cell>
          <cell r="C311" t="str">
            <v>饮料</v>
          </cell>
          <cell r="D311">
            <v>13.5</v>
          </cell>
        </row>
        <row r="312">
          <cell r="A312">
            <v>34949</v>
          </cell>
          <cell r="B312" t="str">
            <v>英国</v>
          </cell>
          <cell r="C312" t="str">
            <v>饮料</v>
          </cell>
          <cell r="D312">
            <v>485.9999991953373</v>
          </cell>
        </row>
        <row r="313">
          <cell r="A313">
            <v>34949</v>
          </cell>
          <cell r="B313" t="str">
            <v>法国</v>
          </cell>
          <cell r="C313" t="str">
            <v>农产品</v>
          </cell>
          <cell r="D313">
            <v>456</v>
          </cell>
        </row>
        <row r="314">
          <cell r="A314">
            <v>34949</v>
          </cell>
          <cell r="B314" t="str">
            <v>法国</v>
          </cell>
          <cell r="C314" t="str">
            <v>肉/家禽</v>
          </cell>
          <cell r="D314">
            <v>742.74</v>
          </cell>
        </row>
        <row r="315">
          <cell r="A315">
            <v>34949</v>
          </cell>
          <cell r="B315" t="str">
            <v>法国</v>
          </cell>
          <cell r="C315" t="str">
            <v>香料</v>
          </cell>
          <cell r="D315">
            <v>194.5</v>
          </cell>
        </row>
        <row r="316">
          <cell r="A316">
            <v>34953</v>
          </cell>
          <cell r="B316" t="str">
            <v>法国</v>
          </cell>
          <cell r="C316" t="str">
            <v>糖果</v>
          </cell>
          <cell r="D316">
            <v>739.5</v>
          </cell>
        </row>
        <row r="317">
          <cell r="A317">
            <v>34953</v>
          </cell>
          <cell r="B317" t="str">
            <v>法国</v>
          </cell>
          <cell r="C317" t="str">
            <v>海洋食品</v>
          </cell>
          <cell r="D317">
            <v>446.24999687075615</v>
          </cell>
        </row>
        <row r="318">
          <cell r="A318">
            <v>34955</v>
          </cell>
          <cell r="B318" t="str">
            <v>英国</v>
          </cell>
          <cell r="C318" t="str">
            <v>肉/家禽</v>
          </cell>
          <cell r="D318">
            <v>273.59999978542328</v>
          </cell>
        </row>
        <row r="319">
          <cell r="A319">
            <v>34955</v>
          </cell>
          <cell r="B319" t="str">
            <v>英国</v>
          </cell>
          <cell r="C319" t="str">
            <v>饮料</v>
          </cell>
          <cell r="D319">
            <v>630</v>
          </cell>
        </row>
        <row r="320">
          <cell r="A320">
            <v>34956</v>
          </cell>
          <cell r="B320" t="str">
            <v>英国</v>
          </cell>
          <cell r="C320" t="str">
            <v>饮料</v>
          </cell>
          <cell r="D320">
            <v>541.49999957531691</v>
          </cell>
        </row>
        <row r="321">
          <cell r="A321">
            <v>34956</v>
          </cell>
          <cell r="B321" t="str">
            <v>英国</v>
          </cell>
          <cell r="C321" t="str">
            <v>乳制品</v>
          </cell>
          <cell r="D321">
            <v>47.499999962747097</v>
          </cell>
        </row>
        <row r="322">
          <cell r="A322">
            <v>34963</v>
          </cell>
          <cell r="B322" t="str">
            <v>英国</v>
          </cell>
          <cell r="C322" t="str">
            <v>乳制品</v>
          </cell>
          <cell r="D322">
            <v>540</v>
          </cell>
        </row>
        <row r="323">
          <cell r="A323">
            <v>34963</v>
          </cell>
          <cell r="B323" t="str">
            <v>英国</v>
          </cell>
          <cell r="C323" t="str">
            <v>饮料</v>
          </cell>
          <cell r="D323">
            <v>168.75</v>
          </cell>
        </row>
        <row r="324">
          <cell r="A324">
            <v>34974</v>
          </cell>
          <cell r="B324" t="str">
            <v>英国</v>
          </cell>
          <cell r="C324" t="str">
            <v>糖果</v>
          </cell>
          <cell r="D324">
            <v>82.8</v>
          </cell>
        </row>
        <row r="325">
          <cell r="A325">
            <v>34974</v>
          </cell>
          <cell r="B325" t="str">
            <v>英国</v>
          </cell>
          <cell r="C325" t="str">
            <v>面食/谷类</v>
          </cell>
          <cell r="D325">
            <v>315</v>
          </cell>
        </row>
        <row r="326">
          <cell r="A326">
            <v>34975</v>
          </cell>
          <cell r="B326" t="str">
            <v>英国</v>
          </cell>
          <cell r="C326" t="str">
            <v>糖果</v>
          </cell>
          <cell r="D326">
            <v>471.14999921992421</v>
          </cell>
        </row>
        <row r="327">
          <cell r="A327">
            <v>34975</v>
          </cell>
          <cell r="B327" t="str">
            <v>英国</v>
          </cell>
          <cell r="C327" t="str">
            <v>乳制品</v>
          </cell>
          <cell r="D327">
            <v>611.99999898672104</v>
          </cell>
        </row>
        <row r="328">
          <cell r="A328">
            <v>34977</v>
          </cell>
          <cell r="B328" t="str">
            <v>法国</v>
          </cell>
          <cell r="C328" t="str">
            <v>农产品</v>
          </cell>
          <cell r="D328">
            <v>62.774999896064401</v>
          </cell>
        </row>
        <row r="329">
          <cell r="A329">
            <v>34977</v>
          </cell>
          <cell r="B329" t="str">
            <v>法国</v>
          </cell>
          <cell r="C329" t="str">
            <v>香料</v>
          </cell>
          <cell r="D329">
            <v>490.13999918848276</v>
          </cell>
        </row>
        <row r="330">
          <cell r="A330">
            <v>34977</v>
          </cell>
          <cell r="B330" t="str">
            <v>法国</v>
          </cell>
          <cell r="C330" t="str">
            <v>糖果</v>
          </cell>
          <cell r="D330">
            <v>51.299999915063381</v>
          </cell>
        </row>
        <row r="331">
          <cell r="A331">
            <v>34977</v>
          </cell>
          <cell r="B331" t="str">
            <v>法国</v>
          </cell>
          <cell r="C331" t="str">
            <v>香料</v>
          </cell>
          <cell r="D331">
            <v>775</v>
          </cell>
        </row>
        <row r="332">
          <cell r="A332">
            <v>34977</v>
          </cell>
          <cell r="B332" t="str">
            <v>法国</v>
          </cell>
          <cell r="C332" t="str">
            <v>海洋食品</v>
          </cell>
          <cell r="D332">
            <v>231.6</v>
          </cell>
        </row>
        <row r="333">
          <cell r="A333">
            <v>34977</v>
          </cell>
          <cell r="B333" t="str">
            <v>法国</v>
          </cell>
          <cell r="C333" t="str">
            <v>海洋食品</v>
          </cell>
          <cell r="D333">
            <v>540</v>
          </cell>
        </row>
        <row r="334">
          <cell r="A334">
            <v>34977</v>
          </cell>
          <cell r="B334" t="str">
            <v>法国</v>
          </cell>
          <cell r="C334" t="str">
            <v>糖果</v>
          </cell>
          <cell r="D334">
            <v>95</v>
          </cell>
        </row>
        <row r="335">
          <cell r="A335">
            <v>34977</v>
          </cell>
          <cell r="B335" t="str">
            <v>法国</v>
          </cell>
          <cell r="C335" t="str">
            <v>面食/谷类</v>
          </cell>
          <cell r="D335">
            <v>1710</v>
          </cell>
        </row>
        <row r="336">
          <cell r="A336">
            <v>34977</v>
          </cell>
          <cell r="B336" t="str">
            <v>法国</v>
          </cell>
          <cell r="C336" t="str">
            <v>乳制品</v>
          </cell>
          <cell r="D336">
            <v>1020</v>
          </cell>
        </row>
        <row r="337">
          <cell r="A337">
            <v>34978</v>
          </cell>
          <cell r="B337" t="str">
            <v>英国</v>
          </cell>
          <cell r="C337" t="str">
            <v>糖果</v>
          </cell>
          <cell r="D337">
            <v>600</v>
          </cell>
        </row>
        <row r="338">
          <cell r="A338">
            <v>34978</v>
          </cell>
          <cell r="B338" t="str">
            <v>英国</v>
          </cell>
          <cell r="C338" t="str">
            <v>海洋食品</v>
          </cell>
          <cell r="D338">
            <v>1223.5999990403652</v>
          </cell>
        </row>
        <row r="339">
          <cell r="A339">
            <v>34978</v>
          </cell>
          <cell r="B339" t="str">
            <v>英国</v>
          </cell>
          <cell r="C339" t="str">
            <v>乳制品</v>
          </cell>
          <cell r="D339">
            <v>1776.4999986067414</v>
          </cell>
        </row>
        <row r="340">
          <cell r="A340">
            <v>34978</v>
          </cell>
          <cell r="B340" t="str">
            <v>英国</v>
          </cell>
          <cell r="C340" t="str">
            <v>香料</v>
          </cell>
          <cell r="D340">
            <v>864.49999932199717</v>
          </cell>
        </row>
        <row r="341">
          <cell r="A341">
            <v>34981</v>
          </cell>
          <cell r="B341" t="str">
            <v>法国</v>
          </cell>
          <cell r="C341" t="str">
            <v>糖果</v>
          </cell>
          <cell r="D341">
            <v>1701</v>
          </cell>
        </row>
        <row r="342">
          <cell r="A342">
            <v>34982</v>
          </cell>
          <cell r="B342" t="str">
            <v>法国</v>
          </cell>
          <cell r="C342" t="str">
            <v>糖果</v>
          </cell>
          <cell r="D342">
            <v>125</v>
          </cell>
        </row>
        <row r="343">
          <cell r="A343">
            <v>34984</v>
          </cell>
          <cell r="B343" t="str">
            <v>法国</v>
          </cell>
          <cell r="C343" t="str">
            <v>农产品</v>
          </cell>
          <cell r="D343">
            <v>1060</v>
          </cell>
        </row>
        <row r="344">
          <cell r="A344">
            <v>34984</v>
          </cell>
          <cell r="B344" t="str">
            <v>法国</v>
          </cell>
          <cell r="C344" t="str">
            <v>乳制品</v>
          </cell>
          <cell r="D344">
            <v>55</v>
          </cell>
        </row>
        <row r="345">
          <cell r="A345">
            <v>34984</v>
          </cell>
          <cell r="B345" t="str">
            <v>法国</v>
          </cell>
          <cell r="C345" t="str">
            <v>饮料</v>
          </cell>
          <cell r="D345">
            <v>180</v>
          </cell>
        </row>
        <row r="346">
          <cell r="A346">
            <v>34988</v>
          </cell>
          <cell r="B346" t="str">
            <v>英国</v>
          </cell>
          <cell r="C346" t="str">
            <v>乳制品</v>
          </cell>
          <cell r="D346">
            <v>89.999999850988388</v>
          </cell>
        </row>
        <row r="347">
          <cell r="A347">
            <v>34988</v>
          </cell>
          <cell r="B347" t="str">
            <v>英国</v>
          </cell>
          <cell r="C347" t="str">
            <v>肉/家禽</v>
          </cell>
          <cell r="D347">
            <v>86.399999856948853</v>
          </cell>
        </row>
        <row r="348">
          <cell r="A348">
            <v>34988</v>
          </cell>
          <cell r="B348" t="str">
            <v>英国</v>
          </cell>
          <cell r="C348" t="str">
            <v>面食/谷类</v>
          </cell>
          <cell r="D348">
            <v>448.87499925680459</v>
          </cell>
        </row>
        <row r="349">
          <cell r="A349">
            <v>34989</v>
          </cell>
          <cell r="B349" t="str">
            <v>英国</v>
          </cell>
          <cell r="C349" t="str">
            <v>面食/谷类</v>
          </cell>
          <cell r="D349">
            <v>288</v>
          </cell>
        </row>
        <row r="350">
          <cell r="A350">
            <v>34989</v>
          </cell>
          <cell r="B350" t="str">
            <v>英国</v>
          </cell>
          <cell r="C350" t="str">
            <v>海洋食品</v>
          </cell>
          <cell r="D350">
            <v>720</v>
          </cell>
        </row>
        <row r="351">
          <cell r="A351">
            <v>34989</v>
          </cell>
          <cell r="B351" t="str">
            <v>英国</v>
          </cell>
          <cell r="C351" t="str">
            <v>饮料</v>
          </cell>
          <cell r="D351">
            <v>350</v>
          </cell>
        </row>
        <row r="352">
          <cell r="A352">
            <v>34989</v>
          </cell>
          <cell r="B352" t="str">
            <v>英国</v>
          </cell>
          <cell r="C352" t="str">
            <v>海洋食品</v>
          </cell>
          <cell r="D352">
            <v>750</v>
          </cell>
        </row>
        <row r="353">
          <cell r="A353">
            <v>34989</v>
          </cell>
          <cell r="B353" t="str">
            <v>英国</v>
          </cell>
          <cell r="C353" t="str">
            <v>饮料</v>
          </cell>
          <cell r="D353">
            <v>193.75</v>
          </cell>
        </row>
        <row r="354">
          <cell r="A354">
            <v>34992</v>
          </cell>
          <cell r="B354" t="str">
            <v>英国</v>
          </cell>
          <cell r="C354" t="str">
            <v>农产品</v>
          </cell>
          <cell r="D354">
            <v>697.5</v>
          </cell>
        </row>
        <row r="355">
          <cell r="A355">
            <v>34992</v>
          </cell>
          <cell r="B355" t="str">
            <v>英国</v>
          </cell>
          <cell r="C355" t="str">
            <v>肉/家禽</v>
          </cell>
          <cell r="D355">
            <v>328</v>
          </cell>
        </row>
        <row r="356">
          <cell r="A356">
            <v>34992</v>
          </cell>
          <cell r="B356" t="str">
            <v>英国</v>
          </cell>
          <cell r="C356" t="str">
            <v>海洋食品</v>
          </cell>
          <cell r="D356">
            <v>397.5</v>
          </cell>
        </row>
        <row r="357">
          <cell r="A357">
            <v>34996</v>
          </cell>
          <cell r="B357" t="str">
            <v>法国</v>
          </cell>
          <cell r="C357" t="str">
            <v>乳制品</v>
          </cell>
          <cell r="D357">
            <v>3800</v>
          </cell>
        </row>
        <row r="358">
          <cell r="A358">
            <v>34996</v>
          </cell>
          <cell r="B358" t="str">
            <v>法国</v>
          </cell>
          <cell r="C358" t="str">
            <v>乳制品</v>
          </cell>
          <cell r="D358">
            <v>75</v>
          </cell>
        </row>
        <row r="359">
          <cell r="A359">
            <v>34996</v>
          </cell>
          <cell r="B359" t="str">
            <v>法国</v>
          </cell>
          <cell r="C359" t="str">
            <v>海洋食品</v>
          </cell>
          <cell r="D359">
            <v>1158</v>
          </cell>
        </row>
        <row r="360">
          <cell r="A360">
            <v>34996</v>
          </cell>
          <cell r="B360" t="str">
            <v>法国</v>
          </cell>
          <cell r="C360" t="str">
            <v>肉/家禽</v>
          </cell>
          <cell r="D360">
            <v>223.5</v>
          </cell>
        </row>
        <row r="361">
          <cell r="A361">
            <v>34997</v>
          </cell>
          <cell r="B361" t="str">
            <v>法国</v>
          </cell>
          <cell r="C361" t="str">
            <v>糖果</v>
          </cell>
          <cell r="D361">
            <v>654.375</v>
          </cell>
        </row>
        <row r="362">
          <cell r="A362">
            <v>34997</v>
          </cell>
          <cell r="B362" t="str">
            <v>法国</v>
          </cell>
          <cell r="C362" t="str">
            <v>乳制品</v>
          </cell>
          <cell r="D362">
            <v>187.5</v>
          </cell>
        </row>
        <row r="363">
          <cell r="A363">
            <v>34997</v>
          </cell>
          <cell r="B363" t="str">
            <v>法国</v>
          </cell>
          <cell r="C363" t="str">
            <v>面食/谷类</v>
          </cell>
          <cell r="D363">
            <v>420</v>
          </cell>
        </row>
        <row r="364">
          <cell r="A364">
            <v>34998</v>
          </cell>
          <cell r="B364" t="str">
            <v>法国</v>
          </cell>
          <cell r="C364" t="str">
            <v>糖果</v>
          </cell>
          <cell r="D364">
            <v>248.39999958872795</v>
          </cell>
        </row>
        <row r="365">
          <cell r="A365">
            <v>34998</v>
          </cell>
          <cell r="B365" t="str">
            <v>法国</v>
          </cell>
          <cell r="C365" t="str">
            <v>糖果</v>
          </cell>
          <cell r="D365">
            <v>107.99999982118607</v>
          </cell>
        </row>
        <row r="366">
          <cell r="A366">
            <v>34998</v>
          </cell>
          <cell r="B366" t="str">
            <v>法国</v>
          </cell>
          <cell r="C366" t="str">
            <v>面食/谷类</v>
          </cell>
          <cell r="D366">
            <v>931</v>
          </cell>
        </row>
        <row r="367">
          <cell r="A367">
            <v>34999</v>
          </cell>
          <cell r="B367" t="str">
            <v>英国</v>
          </cell>
          <cell r="C367" t="str">
            <v>海洋食品</v>
          </cell>
          <cell r="D367">
            <v>368</v>
          </cell>
        </row>
        <row r="368">
          <cell r="A368">
            <v>34999</v>
          </cell>
          <cell r="B368" t="str">
            <v>英国</v>
          </cell>
          <cell r="C368" t="str">
            <v>糖果</v>
          </cell>
          <cell r="D368">
            <v>380</v>
          </cell>
        </row>
        <row r="369">
          <cell r="A369">
            <v>34999</v>
          </cell>
          <cell r="B369" t="str">
            <v>英国</v>
          </cell>
          <cell r="C369" t="str">
            <v>乳制品</v>
          </cell>
          <cell r="D369">
            <v>1020</v>
          </cell>
        </row>
        <row r="370">
          <cell r="A370">
            <v>35006</v>
          </cell>
          <cell r="B370" t="str">
            <v>英国</v>
          </cell>
          <cell r="C370" t="str">
            <v>饮料</v>
          </cell>
          <cell r="D370">
            <v>540</v>
          </cell>
        </row>
        <row r="371">
          <cell r="A371">
            <v>35006</v>
          </cell>
          <cell r="B371" t="str">
            <v>英国</v>
          </cell>
          <cell r="C371" t="str">
            <v>肉/家禽</v>
          </cell>
          <cell r="D371">
            <v>4951.6000000000004</v>
          </cell>
        </row>
        <row r="372">
          <cell r="A372">
            <v>35006</v>
          </cell>
          <cell r="B372" t="str">
            <v>英国</v>
          </cell>
          <cell r="C372" t="str">
            <v>饮料</v>
          </cell>
          <cell r="D372">
            <v>1840</v>
          </cell>
        </row>
        <row r="373">
          <cell r="A373">
            <v>35006</v>
          </cell>
          <cell r="B373" t="str">
            <v>英国</v>
          </cell>
          <cell r="C373" t="str">
            <v>香料</v>
          </cell>
          <cell r="D373">
            <v>466.8</v>
          </cell>
        </row>
        <row r="374">
          <cell r="A374">
            <v>35006</v>
          </cell>
          <cell r="B374" t="str">
            <v>英国</v>
          </cell>
          <cell r="C374" t="str">
            <v>糖果</v>
          </cell>
          <cell r="D374">
            <v>2366.4</v>
          </cell>
        </row>
        <row r="375">
          <cell r="A375">
            <v>35009</v>
          </cell>
          <cell r="B375" t="str">
            <v>法国</v>
          </cell>
          <cell r="C375" t="str">
            <v>肉/家禽</v>
          </cell>
          <cell r="D375">
            <v>582</v>
          </cell>
        </row>
        <row r="376">
          <cell r="A376">
            <v>35009</v>
          </cell>
          <cell r="B376" t="str">
            <v>法国</v>
          </cell>
          <cell r="C376" t="str">
            <v>肉/家禽</v>
          </cell>
          <cell r="D376">
            <v>379.94999733567238</v>
          </cell>
        </row>
        <row r="377">
          <cell r="A377">
            <v>35009</v>
          </cell>
          <cell r="B377" t="str">
            <v>法国</v>
          </cell>
          <cell r="C377" t="str">
            <v>乳制品</v>
          </cell>
          <cell r="D377">
            <v>917.99999356269836</v>
          </cell>
        </row>
        <row r="378">
          <cell r="A378">
            <v>35009</v>
          </cell>
          <cell r="B378" t="str">
            <v>法国</v>
          </cell>
          <cell r="C378" t="str">
            <v>海洋食品</v>
          </cell>
          <cell r="D378">
            <v>191.24999865889549</v>
          </cell>
        </row>
        <row r="379">
          <cell r="A379">
            <v>35009</v>
          </cell>
          <cell r="B379" t="str">
            <v>英国</v>
          </cell>
          <cell r="C379" t="str">
            <v>农产品</v>
          </cell>
          <cell r="D379">
            <v>2700</v>
          </cell>
        </row>
        <row r="380">
          <cell r="A380">
            <v>35009</v>
          </cell>
          <cell r="B380" t="str">
            <v>英国</v>
          </cell>
          <cell r="C380" t="str">
            <v>乳制品</v>
          </cell>
          <cell r="D380">
            <v>1375</v>
          </cell>
        </row>
        <row r="381">
          <cell r="A381">
            <v>35009</v>
          </cell>
          <cell r="B381" t="str">
            <v>英国</v>
          </cell>
          <cell r="C381" t="str">
            <v>饮料</v>
          </cell>
          <cell r="D381">
            <v>750</v>
          </cell>
        </row>
        <row r="382">
          <cell r="A382">
            <v>35011</v>
          </cell>
          <cell r="B382" t="str">
            <v>法国</v>
          </cell>
          <cell r="C382" t="str">
            <v>肉/家禽</v>
          </cell>
          <cell r="D382">
            <v>780</v>
          </cell>
        </row>
        <row r="383">
          <cell r="A383">
            <v>35011</v>
          </cell>
          <cell r="B383" t="str">
            <v>法国</v>
          </cell>
          <cell r="C383" t="str">
            <v>海洋食品</v>
          </cell>
          <cell r="D383">
            <v>216</v>
          </cell>
        </row>
        <row r="384">
          <cell r="A384">
            <v>35012</v>
          </cell>
          <cell r="B384" t="str">
            <v>英国</v>
          </cell>
          <cell r="C384" t="str">
            <v>糖果</v>
          </cell>
          <cell r="D384">
            <v>114</v>
          </cell>
        </row>
        <row r="385">
          <cell r="A385">
            <v>35013</v>
          </cell>
          <cell r="B385" t="str">
            <v>法国</v>
          </cell>
          <cell r="C385" t="str">
            <v>饮料</v>
          </cell>
          <cell r="D385">
            <v>71.999999731779099</v>
          </cell>
        </row>
        <row r="386">
          <cell r="A386">
            <v>35013</v>
          </cell>
          <cell r="B386" t="str">
            <v>法国</v>
          </cell>
          <cell r="C386" t="str">
            <v>饮料</v>
          </cell>
          <cell r="D386">
            <v>134.39999949932098</v>
          </cell>
        </row>
        <row r="387">
          <cell r="A387">
            <v>35013</v>
          </cell>
          <cell r="B387" t="str">
            <v>法国</v>
          </cell>
          <cell r="C387" t="str">
            <v>糖果</v>
          </cell>
          <cell r="D387">
            <v>399.99999850988388</v>
          </cell>
        </row>
        <row r="388">
          <cell r="A388">
            <v>35013</v>
          </cell>
          <cell r="B388" t="str">
            <v>法国</v>
          </cell>
          <cell r="C388" t="str">
            <v>乳制品</v>
          </cell>
          <cell r="D388">
            <v>1031.9999961555004</v>
          </cell>
        </row>
        <row r="389">
          <cell r="A389">
            <v>35019</v>
          </cell>
          <cell r="B389" t="str">
            <v>法国</v>
          </cell>
          <cell r="C389" t="str">
            <v>糖果</v>
          </cell>
          <cell r="D389">
            <v>349</v>
          </cell>
        </row>
        <row r="390">
          <cell r="A390">
            <v>35019</v>
          </cell>
          <cell r="B390" t="str">
            <v>法国</v>
          </cell>
          <cell r="C390" t="str">
            <v>饮料</v>
          </cell>
          <cell r="D390">
            <v>1104</v>
          </cell>
        </row>
        <row r="391">
          <cell r="A391">
            <v>35019</v>
          </cell>
          <cell r="B391" t="str">
            <v>法国</v>
          </cell>
          <cell r="C391" t="str">
            <v>乳制品</v>
          </cell>
          <cell r="D391">
            <v>440</v>
          </cell>
        </row>
        <row r="392">
          <cell r="A392">
            <v>35020</v>
          </cell>
          <cell r="B392" t="str">
            <v>法国</v>
          </cell>
          <cell r="C392" t="str">
            <v>香料</v>
          </cell>
          <cell r="D392">
            <v>85.4</v>
          </cell>
        </row>
        <row r="393">
          <cell r="A393">
            <v>35020</v>
          </cell>
          <cell r="B393" t="str">
            <v>法国</v>
          </cell>
          <cell r="C393" t="str">
            <v>海洋食品</v>
          </cell>
          <cell r="D393">
            <v>95</v>
          </cell>
        </row>
        <row r="394">
          <cell r="A394">
            <v>35024</v>
          </cell>
          <cell r="B394" t="str">
            <v>法国</v>
          </cell>
          <cell r="C394" t="str">
            <v>糖果</v>
          </cell>
          <cell r="D394">
            <v>110.4</v>
          </cell>
        </row>
        <row r="395">
          <cell r="A395">
            <v>35024</v>
          </cell>
          <cell r="B395" t="str">
            <v>法国</v>
          </cell>
          <cell r="C395" t="str">
            <v>海洋食品</v>
          </cell>
          <cell r="D395">
            <v>405.3</v>
          </cell>
        </row>
        <row r="396">
          <cell r="A396">
            <v>35024</v>
          </cell>
          <cell r="B396" t="str">
            <v>法国</v>
          </cell>
          <cell r="C396" t="str">
            <v>肉/家禽</v>
          </cell>
          <cell r="D396">
            <v>3936</v>
          </cell>
        </row>
        <row r="397">
          <cell r="A397">
            <v>35025</v>
          </cell>
          <cell r="B397" t="str">
            <v>法国</v>
          </cell>
          <cell r="C397" t="str">
            <v>海洋食品</v>
          </cell>
          <cell r="D397">
            <v>558</v>
          </cell>
        </row>
        <row r="398">
          <cell r="A398">
            <v>35025</v>
          </cell>
          <cell r="B398" t="str">
            <v>法国</v>
          </cell>
          <cell r="C398" t="str">
            <v>糖果</v>
          </cell>
          <cell r="D398">
            <v>936.9</v>
          </cell>
        </row>
        <row r="399">
          <cell r="A399">
            <v>35025</v>
          </cell>
          <cell r="B399" t="str">
            <v>法国</v>
          </cell>
          <cell r="C399" t="str">
            <v>海洋食品</v>
          </cell>
          <cell r="D399">
            <v>1045</v>
          </cell>
        </row>
        <row r="400">
          <cell r="A400">
            <v>35025</v>
          </cell>
          <cell r="B400" t="str">
            <v>法国</v>
          </cell>
          <cell r="C400" t="str">
            <v>海洋食品</v>
          </cell>
          <cell r="D400">
            <v>288</v>
          </cell>
        </row>
        <row r="401">
          <cell r="A401">
            <v>35025</v>
          </cell>
          <cell r="B401" t="str">
            <v>法国</v>
          </cell>
          <cell r="C401" t="str">
            <v>饮料</v>
          </cell>
          <cell r="D401">
            <v>427.5</v>
          </cell>
        </row>
        <row r="402">
          <cell r="A402">
            <v>35025</v>
          </cell>
          <cell r="B402" t="str">
            <v>法国</v>
          </cell>
          <cell r="C402" t="str">
            <v>肉/家禽</v>
          </cell>
          <cell r="D402">
            <v>789.75</v>
          </cell>
        </row>
        <row r="403">
          <cell r="A403">
            <v>35025</v>
          </cell>
          <cell r="B403" t="str">
            <v>法国</v>
          </cell>
          <cell r="C403" t="str">
            <v>糖果</v>
          </cell>
          <cell r="D403">
            <v>356.25</v>
          </cell>
        </row>
        <row r="404">
          <cell r="A404">
            <v>35025</v>
          </cell>
          <cell r="B404" t="str">
            <v>法国</v>
          </cell>
          <cell r="C404" t="str">
            <v>面食/谷类</v>
          </cell>
          <cell r="D404">
            <v>513</v>
          </cell>
        </row>
        <row r="405">
          <cell r="A405">
            <v>35025</v>
          </cell>
          <cell r="B405" t="str">
            <v>法国</v>
          </cell>
          <cell r="C405" t="str">
            <v>海洋食品</v>
          </cell>
          <cell r="D405">
            <v>119.25</v>
          </cell>
        </row>
        <row r="406">
          <cell r="A406">
            <v>35027</v>
          </cell>
          <cell r="B406" t="str">
            <v>英国</v>
          </cell>
          <cell r="C406" t="str">
            <v>糖果</v>
          </cell>
          <cell r="D406">
            <v>303.99999976158142</v>
          </cell>
        </row>
        <row r="407">
          <cell r="A407">
            <v>35027</v>
          </cell>
          <cell r="B407" t="str">
            <v>英国</v>
          </cell>
          <cell r="C407" t="str">
            <v>肉/家禽</v>
          </cell>
          <cell r="D407">
            <v>111.75</v>
          </cell>
        </row>
        <row r="408">
          <cell r="A408">
            <v>35027</v>
          </cell>
          <cell r="B408" t="str">
            <v>英国</v>
          </cell>
          <cell r="C408" t="str">
            <v>乳制品</v>
          </cell>
          <cell r="D408">
            <v>854.99999932944775</v>
          </cell>
        </row>
        <row r="409">
          <cell r="A409">
            <v>35030</v>
          </cell>
          <cell r="B409" t="str">
            <v>英国</v>
          </cell>
          <cell r="C409" t="str">
            <v>乳制品</v>
          </cell>
          <cell r="D409">
            <v>1368</v>
          </cell>
        </row>
        <row r="410">
          <cell r="A410">
            <v>35030</v>
          </cell>
          <cell r="B410" t="str">
            <v>英国</v>
          </cell>
          <cell r="C410" t="str">
            <v>糖果</v>
          </cell>
          <cell r="D410">
            <v>349</v>
          </cell>
        </row>
        <row r="411">
          <cell r="A411">
            <v>35030</v>
          </cell>
          <cell r="B411" t="str">
            <v>英国</v>
          </cell>
          <cell r="C411" t="str">
            <v>海洋食品</v>
          </cell>
          <cell r="D411">
            <v>760</v>
          </cell>
        </row>
        <row r="412">
          <cell r="A412">
            <v>35030</v>
          </cell>
          <cell r="B412" t="str">
            <v>英国</v>
          </cell>
          <cell r="C412" t="str">
            <v>糖果</v>
          </cell>
          <cell r="D412">
            <v>986</v>
          </cell>
        </row>
        <row r="413">
          <cell r="A413">
            <v>35030</v>
          </cell>
          <cell r="B413" t="str">
            <v>法国</v>
          </cell>
          <cell r="C413" t="str">
            <v>海洋食品</v>
          </cell>
          <cell r="D413">
            <v>562.5</v>
          </cell>
        </row>
        <row r="414">
          <cell r="A414">
            <v>35030</v>
          </cell>
          <cell r="B414" t="str">
            <v>法国</v>
          </cell>
          <cell r="C414" t="str">
            <v>海洋食品</v>
          </cell>
          <cell r="D414">
            <v>58.252499999999998</v>
          </cell>
        </row>
        <row r="415">
          <cell r="A415">
            <v>35030</v>
          </cell>
          <cell r="B415" t="str">
            <v>法国</v>
          </cell>
          <cell r="C415" t="str">
            <v>肉/家禽</v>
          </cell>
          <cell r="D415">
            <v>223.5</v>
          </cell>
        </row>
        <row r="416">
          <cell r="A416">
            <v>35032</v>
          </cell>
          <cell r="B416" t="str">
            <v>英国</v>
          </cell>
          <cell r="C416" t="str">
            <v>香料</v>
          </cell>
          <cell r="D416">
            <v>923.87499927543104</v>
          </cell>
        </row>
        <row r="417">
          <cell r="A417">
            <v>35032</v>
          </cell>
          <cell r="B417" t="str">
            <v>法国</v>
          </cell>
          <cell r="C417" t="str">
            <v>饮料</v>
          </cell>
          <cell r="D417">
            <v>57</v>
          </cell>
        </row>
        <row r="418">
          <cell r="A418">
            <v>35032</v>
          </cell>
          <cell r="B418" t="str">
            <v>法国</v>
          </cell>
          <cell r="C418" t="str">
            <v>乳制品</v>
          </cell>
          <cell r="D418">
            <v>625</v>
          </cell>
        </row>
        <row r="419">
          <cell r="A419">
            <v>35032</v>
          </cell>
          <cell r="B419" t="str">
            <v>法国</v>
          </cell>
          <cell r="C419" t="str">
            <v>糖果</v>
          </cell>
          <cell r="D419">
            <v>562.5</v>
          </cell>
        </row>
        <row r="420">
          <cell r="A420">
            <v>35032</v>
          </cell>
          <cell r="B420" t="str">
            <v>法国</v>
          </cell>
          <cell r="C420" t="str">
            <v>饮料</v>
          </cell>
          <cell r="D420">
            <v>325.5</v>
          </cell>
        </row>
        <row r="421">
          <cell r="A421">
            <v>35033</v>
          </cell>
          <cell r="B421" t="str">
            <v>法国</v>
          </cell>
          <cell r="C421" t="str">
            <v>糖果</v>
          </cell>
          <cell r="D421">
            <v>468.45</v>
          </cell>
        </row>
        <row r="422">
          <cell r="A422">
            <v>35044</v>
          </cell>
          <cell r="B422" t="str">
            <v>法国</v>
          </cell>
          <cell r="C422" t="str">
            <v>香料</v>
          </cell>
          <cell r="D422">
            <v>512.99999915063381</v>
          </cell>
        </row>
        <row r="423">
          <cell r="A423">
            <v>35044</v>
          </cell>
          <cell r="B423" t="str">
            <v>法国</v>
          </cell>
          <cell r="C423" t="str">
            <v>香料</v>
          </cell>
          <cell r="D423">
            <v>23.399999961256981</v>
          </cell>
        </row>
        <row r="424">
          <cell r="A424">
            <v>35047</v>
          </cell>
          <cell r="B424" t="str">
            <v>法国</v>
          </cell>
          <cell r="C424" t="str">
            <v>农产品</v>
          </cell>
          <cell r="D424">
            <v>182.39999932050705</v>
          </cell>
        </row>
        <row r="425">
          <cell r="A425">
            <v>35047</v>
          </cell>
          <cell r="B425" t="str">
            <v>法国</v>
          </cell>
          <cell r="C425" t="str">
            <v>饮料</v>
          </cell>
          <cell r="D425">
            <v>503.99999812245369</v>
          </cell>
        </row>
        <row r="426">
          <cell r="A426">
            <v>35047</v>
          </cell>
          <cell r="B426" t="str">
            <v>法国</v>
          </cell>
          <cell r="C426" t="str">
            <v>海洋食品</v>
          </cell>
          <cell r="D426">
            <v>303.99999886751175</v>
          </cell>
        </row>
        <row r="427">
          <cell r="A427">
            <v>35047</v>
          </cell>
          <cell r="B427" t="str">
            <v>法国</v>
          </cell>
          <cell r="C427" t="str">
            <v>面食/谷类</v>
          </cell>
          <cell r="D427">
            <v>425.59999841451645</v>
          </cell>
        </row>
        <row r="428">
          <cell r="A428">
            <v>35052</v>
          </cell>
          <cell r="B428" t="str">
            <v>英国</v>
          </cell>
          <cell r="C428" t="str">
            <v>海洋食品</v>
          </cell>
          <cell r="D428">
            <v>1500</v>
          </cell>
        </row>
        <row r="429">
          <cell r="A429">
            <v>35052</v>
          </cell>
          <cell r="B429" t="str">
            <v>英国</v>
          </cell>
          <cell r="C429" t="str">
            <v>香料</v>
          </cell>
          <cell r="D429">
            <v>311.2</v>
          </cell>
        </row>
        <row r="430">
          <cell r="A430">
            <v>35052</v>
          </cell>
          <cell r="B430" t="str">
            <v>英国</v>
          </cell>
          <cell r="C430" t="str">
            <v>乳制品</v>
          </cell>
          <cell r="D430">
            <v>2475</v>
          </cell>
        </row>
        <row r="431">
          <cell r="A431">
            <v>35052</v>
          </cell>
          <cell r="B431" t="str">
            <v>英国</v>
          </cell>
          <cell r="C431" t="str">
            <v>乳制品</v>
          </cell>
          <cell r="D431">
            <v>243.6</v>
          </cell>
        </row>
        <row r="432">
          <cell r="A432">
            <v>35054</v>
          </cell>
          <cell r="B432" t="str">
            <v>法国</v>
          </cell>
          <cell r="C432" t="str">
            <v>面食/谷类</v>
          </cell>
          <cell r="D432">
            <v>396</v>
          </cell>
        </row>
        <row r="433">
          <cell r="A433">
            <v>35054</v>
          </cell>
          <cell r="B433" t="str">
            <v>法国</v>
          </cell>
          <cell r="C433" t="str">
            <v>海洋食品</v>
          </cell>
          <cell r="D433">
            <v>736</v>
          </cell>
        </row>
        <row r="434">
          <cell r="A434">
            <v>35054</v>
          </cell>
          <cell r="B434" t="str">
            <v>法国</v>
          </cell>
          <cell r="C434" t="str">
            <v>面食/谷类</v>
          </cell>
          <cell r="D434">
            <v>1064</v>
          </cell>
        </row>
        <row r="435">
          <cell r="A435">
            <v>35061</v>
          </cell>
          <cell r="B435" t="str">
            <v>法国</v>
          </cell>
          <cell r="C435" t="str">
            <v>海洋食品</v>
          </cell>
          <cell r="D435">
            <v>1049.9999960884452</v>
          </cell>
        </row>
        <row r="436">
          <cell r="A436">
            <v>35061</v>
          </cell>
          <cell r="B436" t="str">
            <v>法国</v>
          </cell>
          <cell r="C436" t="str">
            <v>海洋食品</v>
          </cell>
          <cell r="D436">
            <v>303.99999886751175</v>
          </cell>
        </row>
        <row r="437">
          <cell r="A437">
            <v>35061</v>
          </cell>
          <cell r="B437" t="str">
            <v>法国</v>
          </cell>
          <cell r="C437" t="str">
            <v>糖果</v>
          </cell>
          <cell r="D437">
            <v>59.999999776482582</v>
          </cell>
        </row>
        <row r="438">
          <cell r="A438">
            <v>35061</v>
          </cell>
          <cell r="B438" t="str">
            <v>法国</v>
          </cell>
          <cell r="C438" t="str">
            <v>乳制品</v>
          </cell>
          <cell r="D438">
            <v>575.99999785423279</v>
          </cell>
        </row>
        <row r="439">
          <cell r="A439">
            <v>35061</v>
          </cell>
          <cell r="B439" t="str">
            <v>法国</v>
          </cell>
          <cell r="C439" t="str">
            <v>饮料</v>
          </cell>
          <cell r="D439">
            <v>420</v>
          </cell>
        </row>
        <row r="440">
          <cell r="A440">
            <v>35061</v>
          </cell>
          <cell r="B440" t="str">
            <v>法国</v>
          </cell>
          <cell r="C440" t="str">
            <v>乳制品</v>
          </cell>
          <cell r="D440">
            <v>385</v>
          </cell>
        </row>
        <row r="441">
          <cell r="A441">
            <v>35061</v>
          </cell>
          <cell r="B441" t="str">
            <v>法国</v>
          </cell>
          <cell r="C441" t="str">
            <v>糖果</v>
          </cell>
          <cell r="D441">
            <v>1479</v>
          </cell>
        </row>
        <row r="442">
          <cell r="A442">
            <v>35061</v>
          </cell>
          <cell r="B442" t="str">
            <v>法国</v>
          </cell>
          <cell r="C442" t="str">
            <v>面食/谷类</v>
          </cell>
          <cell r="D442">
            <v>798</v>
          </cell>
        </row>
        <row r="443">
          <cell r="A443">
            <v>35066</v>
          </cell>
          <cell r="B443" t="str">
            <v>法国</v>
          </cell>
          <cell r="C443" t="str">
            <v>糖果</v>
          </cell>
          <cell r="D443">
            <v>367.5</v>
          </cell>
        </row>
        <row r="444">
          <cell r="A444">
            <v>35066</v>
          </cell>
          <cell r="B444" t="str">
            <v>法国</v>
          </cell>
          <cell r="C444" t="str">
            <v>饮料</v>
          </cell>
          <cell r="D444">
            <v>139.5</v>
          </cell>
        </row>
        <row r="445">
          <cell r="A445">
            <v>35068</v>
          </cell>
          <cell r="B445" t="str">
            <v>英国</v>
          </cell>
          <cell r="C445" t="str">
            <v>香料</v>
          </cell>
          <cell r="D445">
            <v>1515.5999974906445</v>
          </cell>
        </row>
        <row r="446">
          <cell r="A446">
            <v>35069</v>
          </cell>
          <cell r="B446" t="str">
            <v>英国</v>
          </cell>
          <cell r="C446" t="str">
            <v>饮料</v>
          </cell>
          <cell r="D446">
            <v>760</v>
          </cell>
        </row>
        <row r="447">
          <cell r="A447">
            <v>35069</v>
          </cell>
          <cell r="B447" t="str">
            <v>英国</v>
          </cell>
          <cell r="C447" t="str">
            <v>农产品</v>
          </cell>
          <cell r="D447">
            <v>1050</v>
          </cell>
        </row>
        <row r="448">
          <cell r="A448">
            <v>35069</v>
          </cell>
          <cell r="B448" t="str">
            <v>英国</v>
          </cell>
          <cell r="C448" t="str">
            <v>糖果</v>
          </cell>
          <cell r="D448">
            <v>500</v>
          </cell>
        </row>
        <row r="449">
          <cell r="A449">
            <v>35074</v>
          </cell>
          <cell r="B449" t="str">
            <v>英国</v>
          </cell>
          <cell r="C449" t="str">
            <v>肉/家禽</v>
          </cell>
          <cell r="D449">
            <v>2228.2199999999998</v>
          </cell>
        </row>
        <row r="450">
          <cell r="A450">
            <v>35074</v>
          </cell>
          <cell r="B450" t="str">
            <v>英国</v>
          </cell>
          <cell r="C450" t="str">
            <v>乳制品</v>
          </cell>
          <cell r="D450">
            <v>1375</v>
          </cell>
        </row>
        <row r="451">
          <cell r="A451">
            <v>35076</v>
          </cell>
          <cell r="B451" t="str">
            <v>法国</v>
          </cell>
          <cell r="C451" t="str">
            <v>海洋食品</v>
          </cell>
          <cell r="D451">
            <v>186</v>
          </cell>
        </row>
        <row r="452">
          <cell r="A452">
            <v>35076</v>
          </cell>
          <cell r="B452" t="str">
            <v>法国</v>
          </cell>
          <cell r="C452" t="str">
            <v>饮料</v>
          </cell>
          <cell r="D452">
            <v>42</v>
          </cell>
        </row>
        <row r="453">
          <cell r="A453">
            <v>35080</v>
          </cell>
          <cell r="B453" t="str">
            <v>英国</v>
          </cell>
          <cell r="C453" t="str">
            <v>糖果</v>
          </cell>
          <cell r="D453">
            <v>349</v>
          </cell>
        </row>
        <row r="454">
          <cell r="A454">
            <v>35080</v>
          </cell>
          <cell r="B454" t="str">
            <v>英国</v>
          </cell>
          <cell r="C454" t="str">
            <v>糖果</v>
          </cell>
          <cell r="D454">
            <v>986</v>
          </cell>
        </row>
        <row r="455">
          <cell r="A455">
            <v>35086</v>
          </cell>
          <cell r="B455" t="str">
            <v>英国</v>
          </cell>
          <cell r="C455" t="str">
            <v>糖果</v>
          </cell>
          <cell r="D455">
            <v>436.99999965727329</v>
          </cell>
        </row>
        <row r="456">
          <cell r="A456">
            <v>35086</v>
          </cell>
          <cell r="B456" t="str">
            <v>英国</v>
          </cell>
          <cell r="C456" t="str">
            <v>饮料</v>
          </cell>
          <cell r="D456">
            <v>294.499999769032</v>
          </cell>
        </row>
        <row r="457">
          <cell r="A457">
            <v>35087</v>
          </cell>
          <cell r="B457" t="str">
            <v>英国</v>
          </cell>
          <cell r="C457" t="str">
            <v>肉/家禽</v>
          </cell>
          <cell r="D457">
            <v>1646.4069987087696</v>
          </cell>
        </row>
        <row r="458">
          <cell r="A458">
            <v>35087</v>
          </cell>
          <cell r="B458" t="str">
            <v>英国</v>
          </cell>
          <cell r="C458" t="str">
            <v>海洋食品</v>
          </cell>
          <cell r="D458">
            <v>183.34999985620379</v>
          </cell>
        </row>
        <row r="459">
          <cell r="A459">
            <v>35089</v>
          </cell>
          <cell r="B459" t="str">
            <v>英国</v>
          </cell>
          <cell r="C459" t="str">
            <v>乳制品</v>
          </cell>
          <cell r="D459">
            <v>420</v>
          </cell>
        </row>
        <row r="460">
          <cell r="A460">
            <v>35090</v>
          </cell>
          <cell r="B460" t="str">
            <v>英国</v>
          </cell>
          <cell r="C460" t="str">
            <v>海洋食品</v>
          </cell>
          <cell r="D460">
            <v>101.99999928474426</v>
          </cell>
        </row>
        <row r="461">
          <cell r="A461">
            <v>35090</v>
          </cell>
          <cell r="B461" t="str">
            <v>英国</v>
          </cell>
          <cell r="C461" t="str">
            <v>饮料</v>
          </cell>
          <cell r="D461">
            <v>76.499999463558197</v>
          </cell>
        </row>
        <row r="462">
          <cell r="A462">
            <v>35090</v>
          </cell>
          <cell r="B462" t="str">
            <v>英国</v>
          </cell>
          <cell r="C462" t="str">
            <v>乳制品</v>
          </cell>
          <cell r="D462">
            <v>1375</v>
          </cell>
        </row>
        <row r="463">
          <cell r="A463">
            <v>35094</v>
          </cell>
          <cell r="B463" t="str">
            <v>法国</v>
          </cell>
          <cell r="C463" t="str">
            <v>饮料</v>
          </cell>
          <cell r="D463">
            <v>140</v>
          </cell>
        </row>
        <row r="464">
          <cell r="A464">
            <v>35094</v>
          </cell>
          <cell r="B464" t="str">
            <v>法国</v>
          </cell>
          <cell r="C464" t="str">
            <v>饮料</v>
          </cell>
          <cell r="D464">
            <v>2635</v>
          </cell>
        </row>
        <row r="465">
          <cell r="A465">
            <v>35096</v>
          </cell>
          <cell r="B465" t="str">
            <v>法国</v>
          </cell>
          <cell r="C465" t="str">
            <v>面食/谷类</v>
          </cell>
          <cell r="D465">
            <v>645.999995470047</v>
          </cell>
        </row>
        <row r="466">
          <cell r="A466">
            <v>35096</v>
          </cell>
          <cell r="B466" t="str">
            <v>法国</v>
          </cell>
          <cell r="C466" t="str">
            <v>饮料</v>
          </cell>
          <cell r="D466">
            <v>764.99999463558197</v>
          </cell>
        </row>
        <row r="467">
          <cell r="A467">
            <v>35100</v>
          </cell>
          <cell r="B467" t="str">
            <v>法国</v>
          </cell>
          <cell r="C467" t="str">
            <v>乳制品</v>
          </cell>
          <cell r="D467">
            <v>40</v>
          </cell>
        </row>
        <row r="468">
          <cell r="A468">
            <v>35101</v>
          </cell>
          <cell r="B468" t="str">
            <v>法国</v>
          </cell>
          <cell r="C468" t="str">
            <v>饮料</v>
          </cell>
          <cell r="D468">
            <v>7509.749994110316</v>
          </cell>
        </row>
        <row r="469">
          <cell r="A469">
            <v>35101</v>
          </cell>
          <cell r="B469" t="str">
            <v>法国</v>
          </cell>
          <cell r="C469" t="str">
            <v>糖果</v>
          </cell>
          <cell r="D469">
            <v>936.69999926537275</v>
          </cell>
        </row>
        <row r="470">
          <cell r="A470">
            <v>35101</v>
          </cell>
          <cell r="B470" t="str">
            <v>英国</v>
          </cell>
          <cell r="C470" t="str">
            <v>糖果</v>
          </cell>
          <cell r="D470">
            <v>1061.8199925541878</v>
          </cell>
        </row>
        <row r="471">
          <cell r="A471">
            <v>35101</v>
          </cell>
          <cell r="B471" t="str">
            <v>英国</v>
          </cell>
          <cell r="C471" t="str">
            <v>饮料</v>
          </cell>
          <cell r="D471">
            <v>7905</v>
          </cell>
        </row>
        <row r="472">
          <cell r="A472">
            <v>35101</v>
          </cell>
          <cell r="B472" t="str">
            <v>英国</v>
          </cell>
          <cell r="C472" t="str">
            <v>海洋食品</v>
          </cell>
          <cell r="D472">
            <v>938.39999341964722</v>
          </cell>
        </row>
        <row r="473">
          <cell r="A473">
            <v>35101</v>
          </cell>
          <cell r="B473" t="str">
            <v>英国</v>
          </cell>
          <cell r="C473" t="str">
            <v>糖果</v>
          </cell>
          <cell r="D473">
            <v>1047.6249926537275</v>
          </cell>
        </row>
        <row r="474">
          <cell r="A474">
            <v>35102</v>
          </cell>
          <cell r="B474" t="str">
            <v>法国</v>
          </cell>
          <cell r="C474" t="str">
            <v>面食/谷类</v>
          </cell>
          <cell r="D474">
            <v>1140</v>
          </cell>
        </row>
        <row r="475">
          <cell r="A475">
            <v>35103</v>
          </cell>
          <cell r="B475" t="str">
            <v>法国</v>
          </cell>
          <cell r="C475" t="str">
            <v>饮料</v>
          </cell>
          <cell r="D475">
            <v>360</v>
          </cell>
        </row>
        <row r="476">
          <cell r="A476">
            <v>35103</v>
          </cell>
          <cell r="B476" t="str">
            <v>法国</v>
          </cell>
          <cell r="C476" t="str">
            <v>农产品</v>
          </cell>
          <cell r="D476">
            <v>318</v>
          </cell>
        </row>
        <row r="477">
          <cell r="A477">
            <v>35103</v>
          </cell>
          <cell r="B477" t="str">
            <v>法国</v>
          </cell>
          <cell r="C477" t="str">
            <v>糖果</v>
          </cell>
          <cell r="D477">
            <v>147.9</v>
          </cell>
        </row>
        <row r="478">
          <cell r="A478">
            <v>35103</v>
          </cell>
          <cell r="B478" t="str">
            <v>法国</v>
          </cell>
          <cell r="C478" t="str">
            <v>饮料</v>
          </cell>
          <cell r="D478">
            <v>90</v>
          </cell>
        </row>
        <row r="479">
          <cell r="A479">
            <v>35104</v>
          </cell>
          <cell r="B479" t="str">
            <v>英国</v>
          </cell>
          <cell r="C479" t="str">
            <v>糖果</v>
          </cell>
          <cell r="D479">
            <v>374.76</v>
          </cell>
        </row>
        <row r="480">
          <cell r="A480">
            <v>35104</v>
          </cell>
          <cell r="B480" t="str">
            <v>英国</v>
          </cell>
          <cell r="C480" t="str">
            <v>肉/家禽</v>
          </cell>
          <cell r="D480">
            <v>656</v>
          </cell>
        </row>
        <row r="481">
          <cell r="A481">
            <v>35110</v>
          </cell>
          <cell r="B481" t="str">
            <v>英国</v>
          </cell>
          <cell r="C481" t="str">
            <v>农产品</v>
          </cell>
          <cell r="D481">
            <v>539.99999910593033</v>
          </cell>
        </row>
        <row r="482">
          <cell r="A482">
            <v>35110</v>
          </cell>
          <cell r="B482" t="str">
            <v>英国</v>
          </cell>
          <cell r="C482" t="str">
            <v>乳制品</v>
          </cell>
          <cell r="D482">
            <v>101.24999983236194</v>
          </cell>
        </row>
        <row r="483">
          <cell r="A483">
            <v>35110</v>
          </cell>
          <cell r="B483" t="str">
            <v>英国</v>
          </cell>
          <cell r="C483" t="str">
            <v>肉/家禽</v>
          </cell>
          <cell r="D483">
            <v>265.67999956011772</v>
          </cell>
        </row>
        <row r="484">
          <cell r="A484">
            <v>35116</v>
          </cell>
          <cell r="B484" t="str">
            <v>英国</v>
          </cell>
          <cell r="C484" t="str">
            <v>面食/谷类</v>
          </cell>
          <cell r="D484">
            <v>566.99999906122684</v>
          </cell>
        </row>
        <row r="485">
          <cell r="A485">
            <v>35116</v>
          </cell>
          <cell r="B485" t="str">
            <v>英国</v>
          </cell>
          <cell r="C485" t="str">
            <v>饮料</v>
          </cell>
          <cell r="D485">
            <v>404.99999932944775</v>
          </cell>
        </row>
        <row r="486">
          <cell r="A486">
            <v>35116</v>
          </cell>
          <cell r="B486" t="str">
            <v>英国</v>
          </cell>
          <cell r="C486" t="str">
            <v>面食/谷类</v>
          </cell>
          <cell r="D486">
            <v>529.19999912381172</v>
          </cell>
        </row>
        <row r="487">
          <cell r="A487">
            <v>35116</v>
          </cell>
          <cell r="B487" t="str">
            <v>英国</v>
          </cell>
          <cell r="C487" t="str">
            <v>海洋食品</v>
          </cell>
          <cell r="D487">
            <v>715.49999881535769</v>
          </cell>
        </row>
        <row r="488">
          <cell r="A488">
            <v>35116</v>
          </cell>
          <cell r="B488" t="str">
            <v>英国</v>
          </cell>
          <cell r="C488" t="str">
            <v>面食/谷类</v>
          </cell>
          <cell r="D488">
            <v>1596</v>
          </cell>
        </row>
        <row r="489">
          <cell r="A489">
            <v>35117</v>
          </cell>
          <cell r="B489" t="str">
            <v>法国</v>
          </cell>
          <cell r="C489" t="str">
            <v>饮料</v>
          </cell>
          <cell r="D489">
            <v>1151.9999957084656</v>
          </cell>
        </row>
        <row r="490">
          <cell r="A490">
            <v>35117</v>
          </cell>
          <cell r="B490" t="str">
            <v>法国</v>
          </cell>
          <cell r="C490" t="str">
            <v>糖果</v>
          </cell>
          <cell r="D490">
            <v>88.319999670982369</v>
          </cell>
        </row>
        <row r="491">
          <cell r="A491">
            <v>35117</v>
          </cell>
          <cell r="B491" t="str">
            <v>法国</v>
          </cell>
          <cell r="C491" t="str">
            <v>海洋食品</v>
          </cell>
          <cell r="D491">
            <v>1247.9999953508377</v>
          </cell>
        </row>
        <row r="492">
          <cell r="A492">
            <v>35117</v>
          </cell>
          <cell r="B492" t="str">
            <v>法国</v>
          </cell>
          <cell r="C492" t="str">
            <v>海洋食品</v>
          </cell>
          <cell r="D492">
            <v>273.59999898076057</v>
          </cell>
        </row>
        <row r="493">
          <cell r="A493">
            <v>35117</v>
          </cell>
          <cell r="B493" t="str">
            <v>法国</v>
          </cell>
          <cell r="C493" t="str">
            <v>乳制品</v>
          </cell>
          <cell r="D493">
            <v>1223.9999954402447</v>
          </cell>
        </row>
        <row r="494">
          <cell r="A494">
            <v>35117</v>
          </cell>
          <cell r="B494" t="str">
            <v>法国</v>
          </cell>
          <cell r="C494" t="str">
            <v>乳制品</v>
          </cell>
          <cell r="D494">
            <v>945.99999647587538</v>
          </cell>
        </row>
        <row r="495">
          <cell r="A495">
            <v>35118</v>
          </cell>
          <cell r="B495" t="str">
            <v>英国</v>
          </cell>
          <cell r="C495" t="str">
            <v>香料</v>
          </cell>
          <cell r="D495">
            <v>490</v>
          </cell>
        </row>
        <row r="496">
          <cell r="A496">
            <v>35118</v>
          </cell>
          <cell r="B496" t="str">
            <v>英国</v>
          </cell>
          <cell r="C496" t="str">
            <v>糖果</v>
          </cell>
          <cell r="D496">
            <v>477.81899664938447</v>
          </cell>
        </row>
        <row r="497">
          <cell r="A497">
            <v>35121</v>
          </cell>
          <cell r="B497" t="str">
            <v>法国</v>
          </cell>
          <cell r="C497" t="str">
            <v>饮料</v>
          </cell>
          <cell r="D497">
            <v>285</v>
          </cell>
        </row>
        <row r="498">
          <cell r="A498">
            <v>35121</v>
          </cell>
          <cell r="B498" t="str">
            <v>法国</v>
          </cell>
          <cell r="C498" t="str">
            <v>肉/家禽</v>
          </cell>
          <cell r="D498">
            <v>234</v>
          </cell>
        </row>
        <row r="499">
          <cell r="A499">
            <v>35121</v>
          </cell>
          <cell r="B499" t="str">
            <v>法国</v>
          </cell>
          <cell r="C499" t="str">
            <v>糖果</v>
          </cell>
          <cell r="D499">
            <v>2465</v>
          </cell>
        </row>
        <row r="500">
          <cell r="A500">
            <v>35122</v>
          </cell>
          <cell r="B500" t="str">
            <v>英国</v>
          </cell>
          <cell r="C500" t="str">
            <v>海洋食品</v>
          </cell>
          <cell r="D500">
            <v>625</v>
          </cell>
        </row>
        <row r="501">
          <cell r="A501">
            <v>35122</v>
          </cell>
          <cell r="B501" t="str">
            <v>法国</v>
          </cell>
          <cell r="C501" t="str">
            <v>糖果</v>
          </cell>
          <cell r="D501">
            <v>872.5</v>
          </cell>
        </row>
        <row r="502">
          <cell r="A502">
            <v>35122</v>
          </cell>
          <cell r="B502" t="str">
            <v>法国</v>
          </cell>
          <cell r="C502" t="str">
            <v>乳制品</v>
          </cell>
          <cell r="D502">
            <v>175</v>
          </cell>
        </row>
        <row r="503">
          <cell r="A503">
            <v>35122</v>
          </cell>
          <cell r="B503" t="str">
            <v>法国</v>
          </cell>
          <cell r="C503" t="str">
            <v>面食/谷类</v>
          </cell>
          <cell r="D503">
            <v>912</v>
          </cell>
        </row>
        <row r="504">
          <cell r="A504">
            <v>35122</v>
          </cell>
          <cell r="B504" t="str">
            <v>法国</v>
          </cell>
          <cell r="C504" t="str">
            <v>香料</v>
          </cell>
          <cell r="D504">
            <v>268.38749811798334</v>
          </cell>
        </row>
        <row r="505">
          <cell r="A505">
            <v>35124</v>
          </cell>
          <cell r="B505" t="str">
            <v>英国</v>
          </cell>
          <cell r="C505" t="str">
            <v>饮料</v>
          </cell>
          <cell r="D505">
            <v>135</v>
          </cell>
        </row>
        <row r="506">
          <cell r="A506">
            <v>35124</v>
          </cell>
          <cell r="B506" t="str">
            <v>英国</v>
          </cell>
          <cell r="C506" t="str">
            <v>肉/家禽</v>
          </cell>
          <cell r="D506">
            <v>195.5625</v>
          </cell>
        </row>
        <row r="507">
          <cell r="A507">
            <v>35124</v>
          </cell>
          <cell r="B507" t="str">
            <v>英国</v>
          </cell>
          <cell r="C507" t="str">
            <v>面食/谷类</v>
          </cell>
          <cell r="D507">
            <v>748.125</v>
          </cell>
        </row>
        <row r="508">
          <cell r="A508">
            <v>35125</v>
          </cell>
          <cell r="B508" t="str">
            <v>法国</v>
          </cell>
          <cell r="C508" t="str">
            <v>肉/家禽</v>
          </cell>
          <cell r="D508">
            <v>1638</v>
          </cell>
        </row>
        <row r="509">
          <cell r="A509">
            <v>35125</v>
          </cell>
          <cell r="B509" t="str">
            <v>法国</v>
          </cell>
          <cell r="C509" t="str">
            <v>海洋食品</v>
          </cell>
          <cell r="D509">
            <v>1250</v>
          </cell>
        </row>
        <row r="510">
          <cell r="A510">
            <v>35125</v>
          </cell>
          <cell r="B510" t="str">
            <v>法国</v>
          </cell>
          <cell r="C510" t="str">
            <v>糖果</v>
          </cell>
          <cell r="D510">
            <v>400</v>
          </cell>
        </row>
        <row r="511">
          <cell r="A511">
            <v>35125</v>
          </cell>
          <cell r="B511" t="str">
            <v>法国</v>
          </cell>
          <cell r="C511" t="str">
            <v>乳制品</v>
          </cell>
          <cell r="D511">
            <v>87.5</v>
          </cell>
        </row>
        <row r="512">
          <cell r="A512">
            <v>35125</v>
          </cell>
          <cell r="B512" t="str">
            <v>法国</v>
          </cell>
          <cell r="C512" t="str">
            <v>糖果</v>
          </cell>
          <cell r="D512">
            <v>147.9</v>
          </cell>
        </row>
        <row r="513">
          <cell r="A513">
            <v>35125</v>
          </cell>
          <cell r="B513" t="str">
            <v>英国</v>
          </cell>
          <cell r="C513" t="str">
            <v>乳制品</v>
          </cell>
          <cell r="D513">
            <v>525</v>
          </cell>
        </row>
        <row r="514">
          <cell r="A514">
            <v>35125</v>
          </cell>
          <cell r="B514" t="str">
            <v>英国</v>
          </cell>
          <cell r="C514" t="str">
            <v>面食/谷类</v>
          </cell>
          <cell r="D514">
            <v>56</v>
          </cell>
        </row>
        <row r="515">
          <cell r="A515">
            <v>35128</v>
          </cell>
          <cell r="B515" t="str">
            <v>英国</v>
          </cell>
          <cell r="C515" t="str">
            <v>饮料</v>
          </cell>
          <cell r="D515">
            <v>15019.499988220632</v>
          </cell>
        </row>
        <row r="516">
          <cell r="A516">
            <v>35128</v>
          </cell>
          <cell r="B516" t="str">
            <v>英国</v>
          </cell>
          <cell r="C516" t="str">
            <v>饮料</v>
          </cell>
          <cell r="D516">
            <v>1367.9999989271164</v>
          </cell>
        </row>
        <row r="517">
          <cell r="A517">
            <v>35129</v>
          </cell>
          <cell r="B517" t="str">
            <v>法国</v>
          </cell>
          <cell r="C517" t="str">
            <v>肉/家禽</v>
          </cell>
          <cell r="D517">
            <v>98.4</v>
          </cell>
        </row>
        <row r="518">
          <cell r="A518">
            <v>35136</v>
          </cell>
          <cell r="B518" t="str">
            <v>英国</v>
          </cell>
          <cell r="C518" t="str">
            <v>糖果</v>
          </cell>
          <cell r="D518">
            <v>1538.9999987930059</v>
          </cell>
        </row>
        <row r="519">
          <cell r="A519">
            <v>35137</v>
          </cell>
          <cell r="B519" t="str">
            <v>法国</v>
          </cell>
          <cell r="C519" t="str">
            <v>面食/谷类</v>
          </cell>
          <cell r="D519">
            <v>350</v>
          </cell>
        </row>
        <row r="520">
          <cell r="A520">
            <v>35137</v>
          </cell>
          <cell r="B520" t="str">
            <v>法国</v>
          </cell>
          <cell r="C520" t="str">
            <v>糖果</v>
          </cell>
          <cell r="D520">
            <v>339.99999761581421</v>
          </cell>
        </row>
        <row r="521">
          <cell r="A521">
            <v>35137</v>
          </cell>
          <cell r="B521" t="str">
            <v>法国</v>
          </cell>
          <cell r="C521" t="str">
            <v>肉/家禽</v>
          </cell>
          <cell r="D521">
            <v>202.63999857902527</v>
          </cell>
        </row>
        <row r="522">
          <cell r="A522">
            <v>35138</v>
          </cell>
          <cell r="B522" t="str">
            <v>法国</v>
          </cell>
          <cell r="C522" t="str">
            <v>饮料</v>
          </cell>
          <cell r="D522">
            <v>36</v>
          </cell>
        </row>
        <row r="523">
          <cell r="A523">
            <v>35138</v>
          </cell>
          <cell r="B523" t="str">
            <v>法国</v>
          </cell>
          <cell r="C523" t="str">
            <v>糖果</v>
          </cell>
          <cell r="D523">
            <v>379.99999970197678</v>
          </cell>
        </row>
        <row r="524">
          <cell r="A524">
            <v>35138</v>
          </cell>
          <cell r="B524" t="str">
            <v>法国</v>
          </cell>
          <cell r="C524" t="str">
            <v>面食/谷类</v>
          </cell>
          <cell r="D524">
            <v>758.09999940544367</v>
          </cell>
        </row>
        <row r="525">
          <cell r="A525">
            <v>35138</v>
          </cell>
          <cell r="B525" t="str">
            <v>法国</v>
          </cell>
          <cell r="C525" t="str">
            <v>香料</v>
          </cell>
          <cell r="D525">
            <v>239.96999981179832</v>
          </cell>
        </row>
        <row r="526">
          <cell r="A526">
            <v>35142</v>
          </cell>
          <cell r="B526" t="str">
            <v>法国</v>
          </cell>
          <cell r="C526" t="str">
            <v>乳制品</v>
          </cell>
          <cell r="D526">
            <v>840</v>
          </cell>
        </row>
        <row r="527">
          <cell r="A527">
            <v>35142</v>
          </cell>
          <cell r="B527" t="str">
            <v>法国</v>
          </cell>
          <cell r="C527" t="str">
            <v>饮料</v>
          </cell>
          <cell r="D527">
            <v>10540</v>
          </cell>
        </row>
        <row r="528">
          <cell r="A528">
            <v>35143</v>
          </cell>
          <cell r="B528" t="str">
            <v>英国</v>
          </cell>
          <cell r="C528" t="str">
            <v>海洋食品</v>
          </cell>
          <cell r="D528">
            <v>368.93249971065671</v>
          </cell>
        </row>
        <row r="529">
          <cell r="A529">
            <v>35144</v>
          </cell>
          <cell r="B529" t="str">
            <v>英国</v>
          </cell>
          <cell r="C529" t="str">
            <v>香料</v>
          </cell>
          <cell r="D529">
            <v>1200</v>
          </cell>
        </row>
        <row r="530">
          <cell r="A530">
            <v>35144</v>
          </cell>
          <cell r="B530" t="str">
            <v>英国</v>
          </cell>
          <cell r="C530" t="str">
            <v>饮料</v>
          </cell>
          <cell r="D530">
            <v>45</v>
          </cell>
        </row>
        <row r="531">
          <cell r="A531">
            <v>35144</v>
          </cell>
          <cell r="B531" t="str">
            <v>英国</v>
          </cell>
          <cell r="C531" t="str">
            <v>肉/家禽</v>
          </cell>
          <cell r="D531">
            <v>2970.96</v>
          </cell>
        </row>
        <row r="532">
          <cell r="A532">
            <v>35144</v>
          </cell>
          <cell r="B532" t="str">
            <v>英国</v>
          </cell>
          <cell r="C532" t="str">
            <v>海洋食品</v>
          </cell>
          <cell r="D532">
            <v>906.15</v>
          </cell>
        </row>
        <row r="533">
          <cell r="A533">
            <v>35144</v>
          </cell>
          <cell r="B533" t="str">
            <v>英国</v>
          </cell>
          <cell r="C533" t="str">
            <v>海洋食品</v>
          </cell>
          <cell r="D533">
            <v>380</v>
          </cell>
        </row>
        <row r="534">
          <cell r="A534">
            <v>35144</v>
          </cell>
          <cell r="B534" t="str">
            <v>法国</v>
          </cell>
          <cell r="C534" t="str">
            <v>海洋食品</v>
          </cell>
          <cell r="D534">
            <v>159.59999987483025</v>
          </cell>
        </row>
        <row r="535">
          <cell r="A535">
            <v>35144</v>
          </cell>
          <cell r="B535" t="str">
            <v>法国</v>
          </cell>
          <cell r="C535" t="str">
            <v>乳制品</v>
          </cell>
          <cell r="D535">
            <v>1709.9999986588955</v>
          </cell>
        </row>
        <row r="536">
          <cell r="A536">
            <v>35144</v>
          </cell>
          <cell r="B536" t="str">
            <v>法国</v>
          </cell>
          <cell r="C536" t="str">
            <v>饮料</v>
          </cell>
          <cell r="D536">
            <v>883.499999307096</v>
          </cell>
        </row>
        <row r="537">
          <cell r="A537">
            <v>35150</v>
          </cell>
          <cell r="B537" t="str">
            <v>法国</v>
          </cell>
          <cell r="C537" t="str">
            <v>海洋食品</v>
          </cell>
          <cell r="D537">
            <v>198.75</v>
          </cell>
        </row>
        <row r="538">
          <cell r="A538">
            <v>35150</v>
          </cell>
          <cell r="B538" t="str">
            <v>法国</v>
          </cell>
          <cell r="C538" t="str">
            <v>糖果</v>
          </cell>
          <cell r="D538">
            <v>1725.5</v>
          </cell>
        </row>
        <row r="539">
          <cell r="A539">
            <v>35159</v>
          </cell>
          <cell r="B539" t="str">
            <v>英国</v>
          </cell>
          <cell r="C539" t="str">
            <v>糖果</v>
          </cell>
          <cell r="D539">
            <v>600</v>
          </cell>
        </row>
        <row r="540">
          <cell r="A540">
            <v>35159</v>
          </cell>
          <cell r="B540" t="str">
            <v>英国</v>
          </cell>
          <cell r="C540" t="str">
            <v>饮料</v>
          </cell>
          <cell r="D540">
            <v>379.75</v>
          </cell>
        </row>
        <row r="541">
          <cell r="A541">
            <v>35159</v>
          </cell>
          <cell r="B541" t="str">
            <v>英国</v>
          </cell>
          <cell r="C541" t="str">
            <v>香料</v>
          </cell>
          <cell r="D541">
            <v>195</v>
          </cell>
        </row>
        <row r="542">
          <cell r="A542">
            <v>35163</v>
          </cell>
          <cell r="B542" t="str">
            <v>英国</v>
          </cell>
          <cell r="C542" t="str">
            <v>香料</v>
          </cell>
          <cell r="D542">
            <v>500</v>
          </cell>
        </row>
        <row r="543">
          <cell r="A543">
            <v>35163</v>
          </cell>
          <cell r="B543" t="str">
            <v>法国</v>
          </cell>
          <cell r="C543" t="str">
            <v>海洋食品</v>
          </cell>
          <cell r="D543">
            <v>455.99999830126762</v>
          </cell>
        </row>
        <row r="544">
          <cell r="A544">
            <v>35164</v>
          </cell>
          <cell r="B544" t="str">
            <v>英国</v>
          </cell>
          <cell r="C544" t="str">
            <v>海洋食品</v>
          </cell>
          <cell r="D544">
            <v>90</v>
          </cell>
        </row>
        <row r="545">
          <cell r="A545">
            <v>35164</v>
          </cell>
          <cell r="B545" t="str">
            <v>英国</v>
          </cell>
          <cell r="C545" t="str">
            <v>饮料</v>
          </cell>
          <cell r="D545">
            <v>828</v>
          </cell>
        </row>
        <row r="546">
          <cell r="A546">
            <v>35164</v>
          </cell>
          <cell r="B546" t="str">
            <v>英国</v>
          </cell>
          <cell r="C546" t="str">
            <v>乳制品</v>
          </cell>
          <cell r="D546">
            <v>1249.5</v>
          </cell>
        </row>
        <row r="547">
          <cell r="A547">
            <v>35164</v>
          </cell>
          <cell r="B547" t="str">
            <v>英国</v>
          </cell>
          <cell r="C547" t="str">
            <v>乳制品</v>
          </cell>
          <cell r="D547">
            <v>564.375</v>
          </cell>
        </row>
        <row r="548">
          <cell r="A548">
            <v>35165</v>
          </cell>
          <cell r="B548" t="str">
            <v>法国</v>
          </cell>
          <cell r="C548" t="str">
            <v>乳制品</v>
          </cell>
          <cell r="D548">
            <v>412.5</v>
          </cell>
        </row>
        <row r="549">
          <cell r="A549">
            <v>35165</v>
          </cell>
          <cell r="B549" t="str">
            <v>法国</v>
          </cell>
          <cell r="C549" t="str">
            <v>糖果</v>
          </cell>
          <cell r="D549">
            <v>1109.25</v>
          </cell>
        </row>
        <row r="550">
          <cell r="A550">
            <v>35165</v>
          </cell>
          <cell r="B550" t="str">
            <v>法国</v>
          </cell>
          <cell r="C550" t="str">
            <v>糖果</v>
          </cell>
          <cell r="D550">
            <v>750</v>
          </cell>
        </row>
        <row r="551">
          <cell r="A551">
            <v>35165</v>
          </cell>
          <cell r="B551" t="str">
            <v>法国</v>
          </cell>
          <cell r="C551" t="str">
            <v>乳制品</v>
          </cell>
          <cell r="D551">
            <v>1740</v>
          </cell>
        </row>
        <row r="552">
          <cell r="A552">
            <v>35166</v>
          </cell>
          <cell r="B552" t="str">
            <v>英国</v>
          </cell>
          <cell r="C552" t="str">
            <v>海洋食品</v>
          </cell>
          <cell r="D552">
            <v>120</v>
          </cell>
        </row>
        <row r="553">
          <cell r="A553">
            <v>35166</v>
          </cell>
          <cell r="B553" t="str">
            <v>英国</v>
          </cell>
          <cell r="C553" t="str">
            <v>乳制品</v>
          </cell>
          <cell r="D553">
            <v>125</v>
          </cell>
        </row>
        <row r="554">
          <cell r="A554">
            <v>35170</v>
          </cell>
          <cell r="B554" t="str">
            <v>英国</v>
          </cell>
          <cell r="C554" t="str">
            <v>香料</v>
          </cell>
          <cell r="D554">
            <v>379.99999970197678</v>
          </cell>
        </row>
        <row r="555">
          <cell r="A555">
            <v>35170</v>
          </cell>
          <cell r="B555" t="str">
            <v>英国</v>
          </cell>
          <cell r="C555" t="str">
            <v>农产品</v>
          </cell>
          <cell r="D555">
            <v>91.2</v>
          </cell>
        </row>
        <row r="556">
          <cell r="A556">
            <v>35171</v>
          </cell>
          <cell r="B556" t="str">
            <v>英国</v>
          </cell>
          <cell r="C556" t="str">
            <v>糖果</v>
          </cell>
          <cell r="D556">
            <v>120</v>
          </cell>
        </row>
        <row r="557">
          <cell r="A557">
            <v>35171</v>
          </cell>
          <cell r="B557" t="str">
            <v>英国</v>
          </cell>
          <cell r="C557" t="str">
            <v>糖果</v>
          </cell>
          <cell r="D557">
            <v>133</v>
          </cell>
        </row>
        <row r="558">
          <cell r="A558">
            <v>35171</v>
          </cell>
          <cell r="B558" t="str">
            <v>英国</v>
          </cell>
          <cell r="C558" t="str">
            <v>农产品</v>
          </cell>
          <cell r="D558">
            <v>424</v>
          </cell>
        </row>
        <row r="559">
          <cell r="A559">
            <v>35173</v>
          </cell>
          <cell r="B559" t="str">
            <v>英国</v>
          </cell>
          <cell r="C559" t="str">
            <v>农产品</v>
          </cell>
          <cell r="D559">
            <v>1350</v>
          </cell>
        </row>
        <row r="560">
          <cell r="A560">
            <v>35173</v>
          </cell>
          <cell r="B560" t="str">
            <v>英国</v>
          </cell>
          <cell r="C560" t="str">
            <v>海洋食品</v>
          </cell>
          <cell r="D560">
            <v>462</v>
          </cell>
        </row>
        <row r="561">
          <cell r="A561">
            <v>35173</v>
          </cell>
          <cell r="B561" t="str">
            <v>英国</v>
          </cell>
          <cell r="C561" t="str">
            <v>肉/家禽</v>
          </cell>
          <cell r="D561">
            <v>656</v>
          </cell>
        </row>
        <row r="562">
          <cell r="A562">
            <v>35173</v>
          </cell>
          <cell r="B562" t="str">
            <v>英国</v>
          </cell>
          <cell r="C562" t="str">
            <v>乳制品</v>
          </cell>
          <cell r="D562">
            <v>324</v>
          </cell>
        </row>
        <row r="563">
          <cell r="A563">
            <v>35173</v>
          </cell>
          <cell r="B563" t="str">
            <v>英国</v>
          </cell>
          <cell r="C563" t="str">
            <v>饮料</v>
          </cell>
          <cell r="D563">
            <v>792</v>
          </cell>
        </row>
        <row r="564">
          <cell r="A564">
            <v>35174</v>
          </cell>
          <cell r="B564" t="str">
            <v>法国</v>
          </cell>
          <cell r="C564" t="str">
            <v>农产品</v>
          </cell>
          <cell r="D564">
            <v>848</v>
          </cell>
        </row>
        <row r="565">
          <cell r="A565">
            <v>35177</v>
          </cell>
          <cell r="B565" t="str">
            <v>英国</v>
          </cell>
          <cell r="C565" t="str">
            <v>糖果</v>
          </cell>
          <cell r="D565">
            <v>110.4</v>
          </cell>
        </row>
        <row r="566">
          <cell r="A566">
            <v>35177</v>
          </cell>
          <cell r="B566" t="str">
            <v>英国</v>
          </cell>
          <cell r="C566" t="str">
            <v>糖果</v>
          </cell>
          <cell r="D566">
            <v>800</v>
          </cell>
        </row>
        <row r="567">
          <cell r="A567">
            <v>35179</v>
          </cell>
          <cell r="B567" t="str">
            <v>法国</v>
          </cell>
          <cell r="C567" t="str">
            <v>香料</v>
          </cell>
          <cell r="D567">
            <v>439</v>
          </cell>
        </row>
        <row r="568">
          <cell r="A568">
            <v>35181</v>
          </cell>
          <cell r="B568" t="str">
            <v>法国</v>
          </cell>
          <cell r="C568" t="str">
            <v>海洋食品</v>
          </cell>
          <cell r="D568">
            <v>428.3999969959259</v>
          </cell>
        </row>
        <row r="569">
          <cell r="A569">
            <v>35181</v>
          </cell>
          <cell r="B569" t="str">
            <v>法国</v>
          </cell>
          <cell r="C569" t="str">
            <v>面食/谷类</v>
          </cell>
          <cell r="D569">
            <v>292.5</v>
          </cell>
        </row>
        <row r="570">
          <cell r="A570">
            <v>35184</v>
          </cell>
          <cell r="B570" t="str">
            <v>法国</v>
          </cell>
          <cell r="C570" t="str">
            <v>糖果</v>
          </cell>
          <cell r="D570">
            <v>959.75</v>
          </cell>
        </row>
        <row r="571">
          <cell r="A571">
            <v>35184</v>
          </cell>
          <cell r="B571" t="str">
            <v>法国</v>
          </cell>
          <cell r="C571" t="str">
            <v>饮料</v>
          </cell>
          <cell r="D571">
            <v>90</v>
          </cell>
        </row>
        <row r="572">
          <cell r="A572">
            <v>35184</v>
          </cell>
          <cell r="B572" t="str">
            <v>法国</v>
          </cell>
          <cell r="C572" t="str">
            <v>海洋食品</v>
          </cell>
          <cell r="D572">
            <v>760</v>
          </cell>
        </row>
        <row r="573">
          <cell r="A573">
            <v>35185</v>
          </cell>
          <cell r="B573" t="str">
            <v>法国</v>
          </cell>
          <cell r="C573" t="str">
            <v>农产品</v>
          </cell>
          <cell r="D573">
            <v>1800</v>
          </cell>
        </row>
        <row r="574">
          <cell r="A574">
            <v>35185</v>
          </cell>
          <cell r="B574" t="str">
            <v>法国</v>
          </cell>
          <cell r="C574" t="str">
            <v>糖果</v>
          </cell>
          <cell r="D574">
            <v>1774.799997061491</v>
          </cell>
        </row>
        <row r="575">
          <cell r="A575">
            <v>35186</v>
          </cell>
          <cell r="B575" t="str">
            <v>英国</v>
          </cell>
          <cell r="C575" t="str">
            <v>饮料</v>
          </cell>
          <cell r="D575">
            <v>759.99999716877937</v>
          </cell>
        </row>
        <row r="576">
          <cell r="A576">
            <v>35186</v>
          </cell>
          <cell r="B576" t="str">
            <v>英国</v>
          </cell>
          <cell r="C576" t="str">
            <v>饮料</v>
          </cell>
          <cell r="D576">
            <v>239.99999910593033</v>
          </cell>
        </row>
        <row r="577">
          <cell r="A577">
            <v>35186</v>
          </cell>
          <cell r="B577" t="str">
            <v>英国</v>
          </cell>
          <cell r="C577" t="str">
            <v>饮料</v>
          </cell>
          <cell r="D577">
            <v>1295.9999951720238</v>
          </cell>
        </row>
        <row r="578">
          <cell r="A578">
            <v>35186</v>
          </cell>
          <cell r="B578" t="str">
            <v>法国</v>
          </cell>
          <cell r="C578" t="str">
            <v>乳制品</v>
          </cell>
          <cell r="D578">
            <v>69.599999999999994</v>
          </cell>
        </row>
        <row r="579">
          <cell r="A579">
            <v>35187</v>
          </cell>
          <cell r="B579" t="str">
            <v>英国</v>
          </cell>
          <cell r="C579" t="str">
            <v>面食/谷类</v>
          </cell>
          <cell r="D579">
            <v>560</v>
          </cell>
        </row>
        <row r="580">
          <cell r="A580">
            <v>35188</v>
          </cell>
          <cell r="B580" t="str">
            <v>英国</v>
          </cell>
          <cell r="C580" t="str">
            <v>海洋食品</v>
          </cell>
          <cell r="D580">
            <v>183.34999985620379</v>
          </cell>
        </row>
        <row r="581">
          <cell r="A581">
            <v>35188</v>
          </cell>
          <cell r="B581" t="str">
            <v>英国</v>
          </cell>
          <cell r="C581" t="str">
            <v>农产品</v>
          </cell>
          <cell r="D581">
            <v>755.24999940767884</v>
          </cell>
        </row>
        <row r="582">
          <cell r="A582">
            <v>35188</v>
          </cell>
          <cell r="B582" t="str">
            <v>英国</v>
          </cell>
          <cell r="C582" t="str">
            <v>香料</v>
          </cell>
          <cell r="D582">
            <v>259.34999979659915</v>
          </cell>
        </row>
        <row r="583">
          <cell r="A583">
            <v>35191</v>
          </cell>
          <cell r="B583" t="str">
            <v>法国</v>
          </cell>
          <cell r="C583" t="str">
            <v>香料</v>
          </cell>
          <cell r="D583">
            <v>412.5</v>
          </cell>
        </row>
        <row r="584">
          <cell r="A584">
            <v>35191</v>
          </cell>
          <cell r="B584" t="str">
            <v>法国</v>
          </cell>
          <cell r="C584" t="str">
            <v>饮料</v>
          </cell>
          <cell r="D584">
            <v>101.25</v>
          </cell>
        </row>
        <row r="585">
          <cell r="A585">
            <v>35191</v>
          </cell>
          <cell r="B585" t="str">
            <v>法国</v>
          </cell>
          <cell r="C585" t="str">
            <v>香料</v>
          </cell>
          <cell r="D585">
            <v>390</v>
          </cell>
        </row>
        <row r="586">
          <cell r="A586">
            <v>35191</v>
          </cell>
          <cell r="B586" t="str">
            <v>法国</v>
          </cell>
          <cell r="C586" t="str">
            <v>海洋食品</v>
          </cell>
          <cell r="D586">
            <v>336</v>
          </cell>
        </row>
        <row r="587">
          <cell r="A587">
            <v>35191</v>
          </cell>
          <cell r="B587" t="str">
            <v>法国</v>
          </cell>
          <cell r="C587" t="str">
            <v>饮料</v>
          </cell>
          <cell r="D587">
            <v>229.49999839067459</v>
          </cell>
        </row>
        <row r="588">
          <cell r="A588">
            <v>35191</v>
          </cell>
          <cell r="B588" t="str">
            <v>法国</v>
          </cell>
          <cell r="C588" t="str">
            <v>面食/谷类</v>
          </cell>
          <cell r="D588">
            <v>285.59999799728394</v>
          </cell>
        </row>
        <row r="589">
          <cell r="A589">
            <v>35191</v>
          </cell>
          <cell r="B589" t="str">
            <v>法国</v>
          </cell>
          <cell r="C589" t="str">
            <v>肉/家禽</v>
          </cell>
          <cell r="D589">
            <v>960</v>
          </cell>
        </row>
        <row r="590">
          <cell r="A590">
            <v>35191</v>
          </cell>
          <cell r="B590" t="str">
            <v>法国</v>
          </cell>
          <cell r="C590" t="str">
            <v>饮料</v>
          </cell>
          <cell r="D590">
            <v>72</v>
          </cell>
        </row>
        <row r="591">
          <cell r="A591">
            <v>35191</v>
          </cell>
          <cell r="B591" t="str">
            <v>法国</v>
          </cell>
          <cell r="C591" t="str">
            <v>海洋食品</v>
          </cell>
          <cell r="D591">
            <v>184</v>
          </cell>
        </row>
        <row r="592">
          <cell r="A592">
            <v>35191</v>
          </cell>
          <cell r="B592" t="str">
            <v>法国</v>
          </cell>
          <cell r="C592" t="str">
            <v>面食/谷类</v>
          </cell>
          <cell r="D592">
            <v>70</v>
          </cell>
        </row>
        <row r="593">
          <cell r="A593">
            <v>35192</v>
          </cell>
          <cell r="B593" t="str">
            <v>法国</v>
          </cell>
          <cell r="C593" t="str">
            <v>饮料</v>
          </cell>
          <cell r="D593">
            <v>144</v>
          </cell>
        </row>
        <row r="594">
          <cell r="A594">
            <v>35192</v>
          </cell>
          <cell r="B594" t="str">
            <v>法国</v>
          </cell>
          <cell r="C594" t="str">
            <v>肉/家禽</v>
          </cell>
          <cell r="D594">
            <v>185.685</v>
          </cell>
        </row>
        <row r="595">
          <cell r="A595">
            <v>35194</v>
          </cell>
          <cell r="B595" t="str">
            <v>英国</v>
          </cell>
          <cell r="C595" t="str">
            <v>糖果</v>
          </cell>
          <cell r="D595">
            <v>436.99999965727329</v>
          </cell>
        </row>
        <row r="596">
          <cell r="A596">
            <v>35194</v>
          </cell>
          <cell r="B596" t="str">
            <v>英国</v>
          </cell>
          <cell r="C596" t="str">
            <v>乳制品</v>
          </cell>
          <cell r="D596">
            <v>1162.7999990880489</v>
          </cell>
        </row>
        <row r="597">
          <cell r="A597">
            <v>35194</v>
          </cell>
          <cell r="B597" t="str">
            <v>英国</v>
          </cell>
          <cell r="C597" t="str">
            <v>乳制品</v>
          </cell>
          <cell r="D597">
            <v>1225.4999990388751</v>
          </cell>
        </row>
        <row r="598">
          <cell r="A598">
            <v>35198</v>
          </cell>
          <cell r="B598" t="str">
            <v>法国</v>
          </cell>
          <cell r="C598" t="str">
            <v>乳制品</v>
          </cell>
          <cell r="D598">
            <v>760</v>
          </cell>
        </row>
        <row r="599">
          <cell r="A599">
            <v>35198</v>
          </cell>
          <cell r="B599" t="str">
            <v>法国</v>
          </cell>
          <cell r="C599" t="str">
            <v>海洋食品</v>
          </cell>
          <cell r="D599">
            <v>625</v>
          </cell>
        </row>
        <row r="600">
          <cell r="A600">
            <v>35198</v>
          </cell>
          <cell r="B600" t="str">
            <v>法国</v>
          </cell>
          <cell r="C600" t="str">
            <v>面食/谷类</v>
          </cell>
          <cell r="D600">
            <v>190</v>
          </cell>
        </row>
        <row r="601">
          <cell r="A601">
            <v>35199</v>
          </cell>
          <cell r="B601" t="str">
            <v>英国</v>
          </cell>
          <cell r="C601" t="str">
            <v>海洋食品</v>
          </cell>
          <cell r="D601">
            <v>632.39999556541443</v>
          </cell>
        </row>
        <row r="602">
          <cell r="A602">
            <v>35199</v>
          </cell>
          <cell r="B602" t="str">
            <v>英国</v>
          </cell>
          <cell r="C602" t="str">
            <v>饮料</v>
          </cell>
          <cell r="D602">
            <v>156.75</v>
          </cell>
        </row>
        <row r="603">
          <cell r="A603">
            <v>35199</v>
          </cell>
          <cell r="B603" t="str">
            <v>英国</v>
          </cell>
          <cell r="C603" t="str">
            <v>糖果</v>
          </cell>
          <cell r="D603">
            <v>1215</v>
          </cell>
        </row>
        <row r="604">
          <cell r="A604">
            <v>35199</v>
          </cell>
          <cell r="B604" t="str">
            <v>英国</v>
          </cell>
          <cell r="C604" t="str">
            <v>糖果</v>
          </cell>
          <cell r="D604">
            <v>1967.49</v>
          </cell>
        </row>
        <row r="605">
          <cell r="A605">
            <v>35199</v>
          </cell>
          <cell r="B605" t="str">
            <v>英国</v>
          </cell>
          <cell r="C605" t="str">
            <v>农产品</v>
          </cell>
          <cell r="D605">
            <v>1749</v>
          </cell>
        </row>
        <row r="606">
          <cell r="A606">
            <v>35199</v>
          </cell>
          <cell r="B606" t="str">
            <v>英国</v>
          </cell>
          <cell r="C606" t="str">
            <v>乳制品</v>
          </cell>
          <cell r="D606">
            <v>1218</v>
          </cell>
        </row>
        <row r="607">
          <cell r="A607">
            <v>35201</v>
          </cell>
          <cell r="B607" t="str">
            <v>英国</v>
          </cell>
          <cell r="C607" t="str">
            <v>肉/家禽</v>
          </cell>
          <cell r="D607">
            <v>840</v>
          </cell>
        </row>
        <row r="608">
          <cell r="A608">
            <v>35201</v>
          </cell>
          <cell r="B608" t="str">
            <v>英国</v>
          </cell>
          <cell r="C608" t="str">
            <v>乳制品</v>
          </cell>
          <cell r="D608">
            <v>1320</v>
          </cell>
        </row>
        <row r="609">
          <cell r="A609">
            <v>35202</v>
          </cell>
          <cell r="B609" t="str">
            <v>法国</v>
          </cell>
          <cell r="C609" t="str">
            <v>饮料</v>
          </cell>
          <cell r="D609">
            <v>1425</v>
          </cell>
        </row>
        <row r="610">
          <cell r="A610">
            <v>35202</v>
          </cell>
          <cell r="B610" t="str">
            <v>法国</v>
          </cell>
          <cell r="C610" t="str">
            <v>香料</v>
          </cell>
          <cell r="D610">
            <v>1494.5</v>
          </cell>
        </row>
        <row r="611">
          <cell r="A611">
            <v>35202</v>
          </cell>
          <cell r="B611" t="str">
            <v>法国</v>
          </cell>
          <cell r="C611" t="str">
            <v>肉/家禽</v>
          </cell>
          <cell r="D611">
            <v>5570.55</v>
          </cell>
        </row>
        <row r="612">
          <cell r="A612">
            <v>35202</v>
          </cell>
          <cell r="B612" t="str">
            <v>法国</v>
          </cell>
          <cell r="C612" t="str">
            <v>乳制品</v>
          </cell>
          <cell r="D612">
            <v>4125</v>
          </cell>
        </row>
        <row r="613">
          <cell r="A613">
            <v>35202</v>
          </cell>
          <cell r="B613" t="str">
            <v>法国</v>
          </cell>
          <cell r="C613" t="str">
            <v>饮料</v>
          </cell>
          <cell r="D613">
            <v>810</v>
          </cell>
        </row>
        <row r="614">
          <cell r="A614">
            <v>35202</v>
          </cell>
          <cell r="B614" t="str">
            <v>法国</v>
          </cell>
          <cell r="C614" t="str">
            <v>海洋食品</v>
          </cell>
          <cell r="D614">
            <v>480</v>
          </cell>
        </row>
        <row r="615">
          <cell r="A615">
            <v>35202</v>
          </cell>
          <cell r="B615" t="str">
            <v>法国</v>
          </cell>
          <cell r="C615" t="str">
            <v>饮料</v>
          </cell>
          <cell r="D615">
            <v>94.5</v>
          </cell>
        </row>
        <row r="616">
          <cell r="A616">
            <v>35202</v>
          </cell>
          <cell r="B616" t="str">
            <v>法国</v>
          </cell>
          <cell r="C616" t="str">
            <v>面食/谷类</v>
          </cell>
          <cell r="D616">
            <v>665</v>
          </cell>
        </row>
        <row r="617">
          <cell r="A617">
            <v>35202</v>
          </cell>
          <cell r="B617" t="str">
            <v>法国</v>
          </cell>
          <cell r="C617" t="str">
            <v>乳制品</v>
          </cell>
          <cell r="D617">
            <v>344</v>
          </cell>
        </row>
        <row r="618">
          <cell r="A618">
            <v>35202</v>
          </cell>
          <cell r="B618" t="str">
            <v>法国</v>
          </cell>
          <cell r="C618" t="str">
            <v>海洋食品</v>
          </cell>
          <cell r="D618">
            <v>665</v>
          </cell>
        </row>
        <row r="619">
          <cell r="A619">
            <v>35202</v>
          </cell>
          <cell r="B619" t="str">
            <v>法国</v>
          </cell>
          <cell r="C619" t="str">
            <v>饮料</v>
          </cell>
          <cell r="D619">
            <v>6587.5</v>
          </cell>
        </row>
        <row r="620">
          <cell r="A620">
            <v>35202</v>
          </cell>
          <cell r="B620" t="str">
            <v>法国</v>
          </cell>
          <cell r="C620" t="str">
            <v>乳制品</v>
          </cell>
          <cell r="D620">
            <v>1650</v>
          </cell>
        </row>
        <row r="621">
          <cell r="A621">
            <v>35205</v>
          </cell>
          <cell r="B621" t="str">
            <v>法国</v>
          </cell>
          <cell r="C621" t="str">
            <v>糖果</v>
          </cell>
          <cell r="D621">
            <v>134.99999977648258</v>
          </cell>
        </row>
        <row r="622">
          <cell r="A622">
            <v>35205</v>
          </cell>
          <cell r="B622" t="str">
            <v>法国</v>
          </cell>
          <cell r="C622" t="str">
            <v>香料</v>
          </cell>
          <cell r="D622">
            <v>233.4</v>
          </cell>
        </row>
        <row r="623">
          <cell r="A623">
            <v>35205</v>
          </cell>
          <cell r="B623" t="str">
            <v>法国</v>
          </cell>
          <cell r="C623" t="str">
            <v>香料</v>
          </cell>
          <cell r="D623">
            <v>171</v>
          </cell>
        </row>
        <row r="624">
          <cell r="A624">
            <v>35205</v>
          </cell>
          <cell r="B624" t="str">
            <v>英国</v>
          </cell>
          <cell r="C624" t="str">
            <v>海洋食品</v>
          </cell>
          <cell r="D624">
            <v>42</v>
          </cell>
        </row>
        <row r="625">
          <cell r="A625">
            <v>35205</v>
          </cell>
          <cell r="B625" t="str">
            <v>英国</v>
          </cell>
          <cell r="C625" t="str">
            <v>乳制品</v>
          </cell>
          <cell r="D625">
            <v>1650</v>
          </cell>
        </row>
        <row r="626">
          <cell r="A626">
            <v>35207</v>
          </cell>
          <cell r="B626" t="str">
            <v>法国</v>
          </cell>
          <cell r="C626" t="str">
            <v>糖果</v>
          </cell>
          <cell r="D626">
            <v>200</v>
          </cell>
        </row>
        <row r="627">
          <cell r="A627">
            <v>35208</v>
          </cell>
          <cell r="B627" t="str">
            <v>英国</v>
          </cell>
          <cell r="C627" t="str">
            <v>乳制品</v>
          </cell>
          <cell r="D627">
            <v>721.99999943375587</v>
          </cell>
        </row>
        <row r="628">
          <cell r="A628">
            <v>35208</v>
          </cell>
          <cell r="B628" t="str">
            <v>英国</v>
          </cell>
          <cell r="C628" t="str">
            <v>乳制品</v>
          </cell>
          <cell r="D628">
            <v>455.99999964237213</v>
          </cell>
        </row>
        <row r="629">
          <cell r="A629">
            <v>35208</v>
          </cell>
          <cell r="B629" t="str">
            <v>英国</v>
          </cell>
          <cell r="C629" t="str">
            <v>饮料</v>
          </cell>
          <cell r="D629">
            <v>307.79999975860119</v>
          </cell>
        </row>
        <row r="630">
          <cell r="A630">
            <v>35214</v>
          </cell>
          <cell r="B630" t="str">
            <v>英国</v>
          </cell>
          <cell r="C630" t="str">
            <v>糖果</v>
          </cell>
          <cell r="D630">
            <v>30</v>
          </cell>
        </row>
        <row r="631">
          <cell r="A631">
            <v>35214</v>
          </cell>
          <cell r="B631" t="str">
            <v>英国</v>
          </cell>
          <cell r="C631" t="str">
            <v>乳制品</v>
          </cell>
          <cell r="D631">
            <v>714</v>
          </cell>
        </row>
        <row r="632">
          <cell r="A632">
            <v>35214</v>
          </cell>
          <cell r="B632" t="str">
            <v>英国</v>
          </cell>
          <cell r="C632" t="str">
            <v>香料</v>
          </cell>
          <cell r="D632">
            <v>114</v>
          </cell>
        </row>
        <row r="633">
          <cell r="A633">
            <v>35215</v>
          </cell>
          <cell r="B633" t="str">
            <v>法国</v>
          </cell>
          <cell r="C633" t="str">
            <v>乳制品</v>
          </cell>
          <cell r="D633">
            <v>510</v>
          </cell>
        </row>
        <row r="634">
          <cell r="A634">
            <v>35216</v>
          </cell>
          <cell r="B634" t="str">
            <v>法国</v>
          </cell>
          <cell r="C634" t="str">
            <v>肉/家禽</v>
          </cell>
          <cell r="D634">
            <v>2702.6999955251813</v>
          </cell>
        </row>
        <row r="635">
          <cell r="A635">
            <v>35216</v>
          </cell>
          <cell r="B635" t="str">
            <v>法国</v>
          </cell>
          <cell r="C635" t="str">
            <v>海洋食品</v>
          </cell>
          <cell r="D635">
            <v>115.8</v>
          </cell>
        </row>
        <row r="636">
          <cell r="A636">
            <v>35216</v>
          </cell>
          <cell r="B636" t="str">
            <v>法国</v>
          </cell>
          <cell r="C636" t="str">
            <v>肉/家禽</v>
          </cell>
          <cell r="D636">
            <v>737.99999877810478</v>
          </cell>
        </row>
        <row r="637">
          <cell r="A637">
            <v>35216</v>
          </cell>
          <cell r="B637" t="str">
            <v>法国</v>
          </cell>
          <cell r="C637" t="str">
            <v>肉/家禽</v>
          </cell>
          <cell r="D637">
            <v>86.399999856948853</v>
          </cell>
        </row>
        <row r="638">
          <cell r="A638">
            <v>35216</v>
          </cell>
          <cell r="B638" t="str">
            <v>法国</v>
          </cell>
          <cell r="C638" t="str">
            <v>糖果</v>
          </cell>
          <cell r="D638">
            <v>687.5</v>
          </cell>
        </row>
        <row r="639">
          <cell r="A639">
            <v>35216</v>
          </cell>
          <cell r="B639" t="str">
            <v>法国</v>
          </cell>
          <cell r="C639" t="str">
            <v>糖果</v>
          </cell>
          <cell r="D639">
            <v>52.35</v>
          </cell>
        </row>
        <row r="640">
          <cell r="A640">
            <v>35216</v>
          </cell>
          <cell r="B640" t="str">
            <v>法国</v>
          </cell>
          <cell r="C640" t="str">
            <v>糖果</v>
          </cell>
          <cell r="D640">
            <v>386.4</v>
          </cell>
        </row>
        <row r="641">
          <cell r="A641">
            <v>35216</v>
          </cell>
          <cell r="B641" t="str">
            <v>法国</v>
          </cell>
          <cell r="C641" t="str">
            <v>饮料</v>
          </cell>
          <cell r="D641">
            <v>490</v>
          </cell>
        </row>
        <row r="642">
          <cell r="A642">
            <v>35219</v>
          </cell>
          <cell r="B642" t="str">
            <v>英国</v>
          </cell>
          <cell r="C642" t="str">
            <v>海洋食品</v>
          </cell>
          <cell r="D642">
            <v>86.85</v>
          </cell>
        </row>
        <row r="643">
          <cell r="A643">
            <v>35220</v>
          </cell>
          <cell r="B643" t="str">
            <v>英国</v>
          </cell>
          <cell r="C643" t="str">
            <v>饮料</v>
          </cell>
          <cell r="D643">
            <v>611.99999570846558</v>
          </cell>
        </row>
        <row r="644">
          <cell r="A644">
            <v>35220</v>
          </cell>
          <cell r="B644" t="str">
            <v>英国</v>
          </cell>
          <cell r="C644" t="str">
            <v>饮料</v>
          </cell>
          <cell r="D644">
            <v>322.9999977350235</v>
          </cell>
        </row>
        <row r="645">
          <cell r="A645">
            <v>35220</v>
          </cell>
          <cell r="B645" t="str">
            <v>英国</v>
          </cell>
          <cell r="C645" t="str">
            <v>糖果</v>
          </cell>
          <cell r="D645">
            <v>444.97499687969685</v>
          </cell>
        </row>
        <row r="646">
          <cell r="A646">
            <v>35220</v>
          </cell>
          <cell r="B646" t="str">
            <v>英国</v>
          </cell>
          <cell r="C646" t="str">
            <v>乳制品</v>
          </cell>
          <cell r="D646">
            <v>250</v>
          </cell>
        </row>
        <row r="647">
          <cell r="A647">
            <v>35221</v>
          </cell>
          <cell r="B647" t="str">
            <v>法国</v>
          </cell>
          <cell r="C647" t="str">
            <v>饮料</v>
          </cell>
          <cell r="D647">
            <v>364.7999986410141</v>
          </cell>
        </row>
        <row r="648">
          <cell r="A648">
            <v>35221</v>
          </cell>
          <cell r="B648" t="str">
            <v>法国</v>
          </cell>
          <cell r="C648" t="str">
            <v>香料</v>
          </cell>
          <cell r="D648">
            <v>40</v>
          </cell>
        </row>
        <row r="649">
          <cell r="A649">
            <v>35221</v>
          </cell>
          <cell r="B649" t="str">
            <v>法国</v>
          </cell>
          <cell r="C649" t="str">
            <v>香料</v>
          </cell>
          <cell r="D649">
            <v>22</v>
          </cell>
        </row>
        <row r="650">
          <cell r="A650">
            <v>35221</v>
          </cell>
          <cell r="B650" t="str">
            <v>法国</v>
          </cell>
          <cell r="C650" t="str">
            <v>香料</v>
          </cell>
          <cell r="D650">
            <v>24.500000011175871</v>
          </cell>
        </row>
        <row r="651">
          <cell r="A651">
            <v>35221</v>
          </cell>
          <cell r="B651" t="str">
            <v>法国</v>
          </cell>
          <cell r="C651" t="str">
            <v>农产品</v>
          </cell>
          <cell r="D651">
            <v>28.499999977648258</v>
          </cell>
        </row>
        <row r="652">
          <cell r="A652">
            <v>35221</v>
          </cell>
          <cell r="B652" t="str">
            <v>法国</v>
          </cell>
          <cell r="C652" t="str">
            <v>香料</v>
          </cell>
          <cell r="D652">
            <v>71.99999988079071</v>
          </cell>
        </row>
        <row r="653">
          <cell r="A653">
            <v>35221</v>
          </cell>
          <cell r="B653" t="str">
            <v>法国</v>
          </cell>
          <cell r="C653" t="str">
            <v>海洋食品</v>
          </cell>
          <cell r="D653">
            <v>31</v>
          </cell>
        </row>
        <row r="654">
          <cell r="A654">
            <v>35221</v>
          </cell>
          <cell r="B654" t="str">
            <v>法国</v>
          </cell>
          <cell r="C654" t="str">
            <v>乳制品</v>
          </cell>
          <cell r="D654">
            <v>72.199999943375587</v>
          </cell>
        </row>
        <row r="655">
          <cell r="A655">
            <v>35221</v>
          </cell>
          <cell r="B655" t="str">
            <v>法国</v>
          </cell>
          <cell r="C655" t="str">
            <v>海洋食品</v>
          </cell>
          <cell r="D655">
            <v>24</v>
          </cell>
        </row>
        <row r="656">
          <cell r="A656">
            <v>35221</v>
          </cell>
          <cell r="B656" t="str">
            <v>法国</v>
          </cell>
          <cell r="C656" t="str">
            <v>农产品</v>
          </cell>
          <cell r="D656">
            <v>22.55250001559034</v>
          </cell>
        </row>
        <row r="657">
          <cell r="A657">
            <v>35221</v>
          </cell>
          <cell r="B657" t="str">
            <v>法国</v>
          </cell>
          <cell r="C657" t="str">
            <v>糖果</v>
          </cell>
          <cell r="D657">
            <v>33.853000023402274</v>
          </cell>
        </row>
        <row r="658">
          <cell r="A658">
            <v>35221</v>
          </cell>
          <cell r="B658" t="str">
            <v>法国</v>
          </cell>
          <cell r="C658" t="str">
            <v>糖果</v>
          </cell>
          <cell r="D658">
            <v>77.760000072419643</v>
          </cell>
        </row>
        <row r="659">
          <cell r="A659">
            <v>35221</v>
          </cell>
          <cell r="B659" t="str">
            <v>法国</v>
          </cell>
          <cell r="C659" t="str">
            <v>面食/谷类</v>
          </cell>
          <cell r="D659">
            <v>18</v>
          </cell>
        </row>
        <row r="660">
          <cell r="A660">
            <v>35221</v>
          </cell>
          <cell r="B660" t="str">
            <v>法国</v>
          </cell>
          <cell r="C660" t="str">
            <v>乳制品</v>
          </cell>
          <cell r="D660">
            <v>32</v>
          </cell>
        </row>
        <row r="661">
          <cell r="A661">
            <v>35221</v>
          </cell>
          <cell r="B661" t="str">
            <v>法国</v>
          </cell>
          <cell r="C661" t="str">
            <v>饮料</v>
          </cell>
          <cell r="D661">
            <v>34.19999997317791</v>
          </cell>
        </row>
        <row r="662">
          <cell r="A662">
            <v>35221</v>
          </cell>
          <cell r="B662" t="str">
            <v>法国</v>
          </cell>
          <cell r="C662" t="str">
            <v>海洋食品</v>
          </cell>
          <cell r="D662">
            <v>28.95</v>
          </cell>
        </row>
        <row r="663">
          <cell r="A663">
            <v>35221</v>
          </cell>
          <cell r="B663" t="str">
            <v>法国</v>
          </cell>
          <cell r="C663" t="str">
            <v>海洋食品</v>
          </cell>
          <cell r="D663">
            <v>35.280000016093254</v>
          </cell>
        </row>
        <row r="664">
          <cell r="A664">
            <v>35221</v>
          </cell>
          <cell r="B664" t="str">
            <v>法国</v>
          </cell>
          <cell r="C664" t="str">
            <v>面食/谷类</v>
          </cell>
          <cell r="D664">
            <v>14</v>
          </cell>
        </row>
        <row r="665">
          <cell r="A665">
            <v>35221</v>
          </cell>
          <cell r="B665" t="str">
            <v>法国</v>
          </cell>
          <cell r="C665" t="str">
            <v>肉/家禽</v>
          </cell>
          <cell r="D665">
            <v>48</v>
          </cell>
        </row>
        <row r="666">
          <cell r="A666">
            <v>35221</v>
          </cell>
          <cell r="B666" t="str">
            <v>法国</v>
          </cell>
          <cell r="C666" t="str">
            <v>乳制品</v>
          </cell>
          <cell r="D666">
            <v>63.920000091195107</v>
          </cell>
        </row>
        <row r="667">
          <cell r="A667">
            <v>35221</v>
          </cell>
          <cell r="B667" t="str">
            <v>法国</v>
          </cell>
          <cell r="C667" t="str">
            <v>面食/谷类</v>
          </cell>
          <cell r="D667">
            <v>64.505000044591725</v>
          </cell>
        </row>
        <row r="668">
          <cell r="A668">
            <v>35221</v>
          </cell>
          <cell r="B668" t="str">
            <v>法国</v>
          </cell>
          <cell r="C668" t="str">
            <v>香料</v>
          </cell>
          <cell r="D668">
            <v>17</v>
          </cell>
        </row>
        <row r="669">
          <cell r="A669">
            <v>35221</v>
          </cell>
          <cell r="B669" t="str">
            <v>法国</v>
          </cell>
          <cell r="C669" t="str">
            <v>海洋食品</v>
          </cell>
          <cell r="D669">
            <v>29.700000006705523</v>
          </cell>
        </row>
        <row r="670">
          <cell r="A670">
            <v>35221</v>
          </cell>
          <cell r="B670" t="str">
            <v>法国</v>
          </cell>
          <cell r="C670" t="str">
            <v>饮料</v>
          </cell>
          <cell r="D670">
            <v>31</v>
          </cell>
        </row>
        <row r="671">
          <cell r="A671">
            <v>35221</v>
          </cell>
          <cell r="B671" t="str">
            <v>法国</v>
          </cell>
          <cell r="C671" t="str">
            <v>香料</v>
          </cell>
          <cell r="D671">
            <v>26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第1题"/>
      <sheetName val="第1题图片"/>
      <sheetName val="第2题"/>
      <sheetName val="第2题图形"/>
      <sheetName val="第2题Query图片"/>
      <sheetName val="第2题透视表"/>
      <sheetName val="第3题"/>
      <sheetName val="第4题"/>
      <sheetName val="第5题"/>
      <sheetName val="第5题图形"/>
      <sheetName val="第6题"/>
      <sheetName val="第6题图形"/>
      <sheetName val="第7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注意事项"/>
      <sheetName val="第1题"/>
      <sheetName val="第2题"/>
      <sheetName val="第3题"/>
      <sheetName val="第4题"/>
      <sheetName val="第5题"/>
      <sheetName val="第6题"/>
      <sheetName val="第7题"/>
      <sheetName val="数据"/>
    </sheetNames>
    <sheetDataSet>
      <sheetData sheetId="0" refreshError="1"/>
      <sheetData sheetId="1">
        <row r="3">
          <cell r="C3" t="str">
            <v>98经济法</v>
          </cell>
          <cell r="D3" t="str">
            <v>98经济法</v>
          </cell>
          <cell r="E3" t="str">
            <v>99外国语言文学类</v>
          </cell>
          <cell r="F3" t="str">
            <v>98经贸外语</v>
          </cell>
        </row>
        <row r="4">
          <cell r="C4" t="str">
            <v>98国际经济法</v>
          </cell>
          <cell r="D4" t="str">
            <v>98国际经济法</v>
          </cell>
          <cell r="E4" t="str">
            <v>99市场营销</v>
          </cell>
          <cell r="F4" t="str">
            <v>99经贸英语</v>
          </cell>
        </row>
        <row r="5">
          <cell r="C5" t="str">
            <v>98国际金融(1)</v>
          </cell>
          <cell r="D5" t="str">
            <v>98国际金融(1)</v>
          </cell>
          <cell r="E5" t="str">
            <v>99银行与国际金融2</v>
          </cell>
          <cell r="F5" t="str">
            <v>99国际经济与贸易</v>
          </cell>
        </row>
        <row r="6">
          <cell r="C6" t="str">
            <v>98国际金融(2)</v>
          </cell>
          <cell r="D6" t="str">
            <v>98国际金融(2)</v>
          </cell>
          <cell r="E6" t="str">
            <v>99保险</v>
          </cell>
          <cell r="F6" t="str">
            <v>99证券与投资</v>
          </cell>
        </row>
        <row r="7">
          <cell r="C7" t="str">
            <v>98市场营销(2)</v>
          </cell>
          <cell r="D7" t="str">
            <v>98万泰投资学院2班</v>
          </cell>
          <cell r="E7" t="str">
            <v>99工程管理</v>
          </cell>
          <cell r="F7" t="str">
            <v>99市场营销</v>
          </cell>
        </row>
        <row r="8">
          <cell r="C8" t="str">
            <v>98市场营销(1)</v>
          </cell>
          <cell r="D8" t="str">
            <v>98市场营销(1)</v>
          </cell>
          <cell r="E8" t="str">
            <v>99工商管理</v>
          </cell>
          <cell r="F8" t="str">
            <v>99银行与国际金融2</v>
          </cell>
        </row>
        <row r="9">
          <cell r="C9" t="str">
            <v>98国际企业管理</v>
          </cell>
          <cell r="D9" t="str">
            <v>98企业管理</v>
          </cell>
          <cell r="E9" t="str">
            <v>99人力资源管理</v>
          </cell>
          <cell r="F9" t="str">
            <v>99工程管理</v>
          </cell>
        </row>
        <row r="10">
          <cell r="C10" t="str">
            <v>98企业管理</v>
          </cell>
          <cell r="D10" t="str">
            <v>98国际企业管理</v>
          </cell>
          <cell r="E10" t="str">
            <v>99国际经济与贸易</v>
          </cell>
          <cell r="F10" t="str">
            <v>99工商管理</v>
          </cell>
        </row>
        <row r="11">
          <cell r="C11" t="str">
            <v>98国际贸易</v>
          </cell>
          <cell r="D11" t="str">
            <v>98市场营销(2)</v>
          </cell>
          <cell r="E11" t="str">
            <v>99银行与国际金融1</v>
          </cell>
          <cell r="F11" t="str">
            <v>99人力资源管理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4-8"/>
      <sheetName val="纳税数据变化图"/>
      <sheetName val="季节指数计算模型"/>
      <sheetName val="消除季节影响的纳税总额变化图"/>
      <sheetName val="纳税总额观测值及其季节预测值图形"/>
    </sheetNames>
    <sheetDataSet>
      <sheetData sheetId="0" refreshError="1"/>
      <sheetData sheetId="1" refreshError="1"/>
      <sheetData sheetId="2">
        <row r="5">
          <cell r="E5">
            <v>1.0714285714285714</v>
          </cell>
        </row>
        <row r="6">
          <cell r="E6">
            <v>1.1168384879725086</v>
          </cell>
        </row>
        <row r="7">
          <cell r="E7">
            <v>0.96989966555183948</v>
          </cell>
        </row>
        <row r="8">
          <cell r="E8">
            <v>0.84690553745928343</v>
          </cell>
        </row>
        <row r="10">
          <cell r="E10">
            <v>1.0691823899371067</v>
          </cell>
        </row>
        <row r="11">
          <cell r="E11">
            <v>1.1490683229813665</v>
          </cell>
        </row>
        <row r="12">
          <cell r="E12">
            <v>0.91185410334346506</v>
          </cell>
        </row>
        <row r="13">
          <cell r="E13">
            <v>0.83333333333333315</v>
          </cell>
        </row>
        <row r="15">
          <cell r="E15">
            <v>1.0932944606413995</v>
          </cell>
        </row>
        <row r="16">
          <cell r="E16">
            <v>1.1271676300578035</v>
          </cell>
        </row>
        <row r="17">
          <cell r="E17">
            <v>0.9</v>
          </cell>
        </row>
        <row r="18">
          <cell r="E18">
            <v>0.83098591549295786</v>
          </cell>
        </row>
      </sheetData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尤洁" refreshedDate="44307.931816550925" createdVersion="7" refreshedVersion="7" minRefreshableVersion="3" recordCount="17256" xr:uid="{051711D6-D0F0-408E-9F5F-C8163268BB13}">
  <cacheSource type="worksheet">
    <worksheetSource name="表_查询来自_MS_Access_Database"/>
  </cacheSource>
  <cacheFields count="6">
    <cacheField name="订单ID" numFmtId="0">
      <sharedItems containsSemiMixedTypes="0" containsString="0" containsNumber="1" containsInteger="1" minValue="10248" maxValue="11077"/>
    </cacheField>
    <cacheField name="类别名称" numFmtId="0">
      <sharedItems count="8">
        <s v="饮料"/>
        <s v="调味品"/>
        <s v="点心"/>
        <s v="日用品"/>
        <s v="谷类/麦片"/>
        <s v="肉/家禽"/>
        <s v="特制品"/>
        <s v="海鲜"/>
      </sharedItems>
      <fieldGroup par="5"/>
    </cacheField>
    <cacheField name="'销售额'" numFmtId="0">
      <sharedItems containsSemiMixedTypes="0" containsString="0" containsNumber="1" minValue="4.8" maxValue="15810"/>
    </cacheField>
    <cacheField name="数量" numFmtId="0">
      <sharedItems containsSemiMixedTypes="0" containsString="0" containsNumber="1" containsInteger="1" minValue="1" maxValue="130"/>
    </cacheField>
    <cacheField name="订购日期" numFmtId="22">
      <sharedItems containsSemiMixedTypes="0" containsNonDate="0" containsDate="1" containsString="0" minDate="1996-07-04T00:00:00" maxDate="1998-05-07T00:00:00"/>
    </cacheField>
    <cacheField name="类别名称2" numFmtId="0" databaseField="0">
      <fieldGroup base="1">
        <discretePr count="8">
          <x v="0"/>
          <x v="2"/>
          <x v="1"/>
          <x v="2"/>
          <x v="1"/>
          <x v="2"/>
          <x v="2"/>
          <x v="1"/>
        </discretePr>
        <groupItems count="3">
          <s v="饮料"/>
          <s v="数据组1"/>
          <s v="数据组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尤洁" refreshedDate="44307.937019675926" createdVersion="7" refreshedVersion="7" minRefreshableVersion="3" recordCount="3240" xr:uid="{DA292908-F235-4412-8CFA-9E39D208EE37}">
  <cacheSource type="worksheet">
    <worksheetSource name="表_查询来自_MS_Access_Database_1"/>
  </cacheSource>
  <cacheFields count="6">
    <cacheField name="订单ID" numFmtId="0">
      <sharedItems containsSemiMixedTypes="0" containsString="0" containsNumber="1" containsInteger="1" minValue="10248" maxValue="10399"/>
    </cacheField>
    <cacheField name="订购日期" numFmtId="22">
      <sharedItems containsSemiMixedTypes="0" containsNonDate="0" containsDate="1" containsString="0" minDate="1996-07-04T00:00:00" maxDate="1997-01-01T00:00:00" count="129">
        <d v="1996-07-04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</sharedItems>
      <fieldGroup par="5" base="1">
        <rangePr groupBy="days" startDate="1996-07-04T00:00:00" endDate="1997-01-01T00:00:00"/>
        <groupItems count="368">
          <s v="&lt;1996/7/4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1997/1/1"/>
        </groupItems>
      </fieldGroup>
    </cacheField>
    <cacheField name="'销售额'" numFmtId="0">
      <sharedItems containsSemiMixedTypes="0" containsString="0" containsNumber="1" minValue="7.3" maxValue="8431.9999685883522"/>
    </cacheField>
    <cacheField name="数量" numFmtId="0">
      <sharedItems containsSemiMixedTypes="0" containsString="0" containsNumber="1" containsInteger="1" minValue="1" maxValue="120"/>
    </cacheField>
    <cacheField name="类别名称" numFmtId="0">
      <sharedItems count="8">
        <s v="特制品"/>
        <s v="谷类/麦片"/>
        <s v="海鲜"/>
        <s v="日用品"/>
        <s v="点心"/>
        <s v="肉/家禽"/>
        <s v="调味品"/>
        <s v="饮料"/>
      </sharedItems>
    </cacheField>
    <cacheField name="月" numFmtId="0" databaseField="0">
      <fieldGroup base="1">
        <rangePr groupBy="months" startDate="1996-07-04T00:00:00" endDate="1997-01-01T00:00:00"/>
        <groupItems count="14">
          <s v="&lt;1996/7/4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1997/1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56">
  <r>
    <n v="10248"/>
    <x v="0"/>
    <n v="168"/>
    <n v="12"/>
    <d v="1996-07-04T00:00:00"/>
  </r>
  <r>
    <n v="10248"/>
    <x v="1"/>
    <n v="168"/>
    <n v="12"/>
    <d v="1996-07-04T00:00:00"/>
  </r>
  <r>
    <n v="10248"/>
    <x v="2"/>
    <n v="168"/>
    <n v="12"/>
    <d v="1996-07-04T00:00:00"/>
  </r>
  <r>
    <n v="10248"/>
    <x v="3"/>
    <n v="168"/>
    <n v="12"/>
    <d v="1996-07-04T00:00:00"/>
  </r>
  <r>
    <n v="10248"/>
    <x v="4"/>
    <n v="168"/>
    <n v="12"/>
    <d v="1996-07-04T00:00:00"/>
  </r>
  <r>
    <n v="10248"/>
    <x v="5"/>
    <n v="168"/>
    <n v="12"/>
    <d v="1996-07-04T00:00:00"/>
  </r>
  <r>
    <n v="10248"/>
    <x v="6"/>
    <n v="168"/>
    <n v="12"/>
    <d v="1996-07-04T00:00:00"/>
  </r>
  <r>
    <n v="10248"/>
    <x v="7"/>
    <n v="168"/>
    <n v="12"/>
    <d v="1996-07-04T00:00:00"/>
  </r>
  <r>
    <n v="10248"/>
    <x v="0"/>
    <n v="98"/>
    <n v="10"/>
    <d v="1996-07-04T00:00:00"/>
  </r>
  <r>
    <n v="10248"/>
    <x v="1"/>
    <n v="98"/>
    <n v="10"/>
    <d v="1996-07-04T00:00:00"/>
  </r>
  <r>
    <n v="10248"/>
    <x v="2"/>
    <n v="98"/>
    <n v="10"/>
    <d v="1996-07-04T00:00:00"/>
  </r>
  <r>
    <n v="10248"/>
    <x v="3"/>
    <n v="98"/>
    <n v="10"/>
    <d v="1996-07-04T00:00:00"/>
  </r>
  <r>
    <n v="10248"/>
    <x v="4"/>
    <n v="98"/>
    <n v="10"/>
    <d v="1996-07-04T00:00:00"/>
  </r>
  <r>
    <n v="10248"/>
    <x v="5"/>
    <n v="98"/>
    <n v="10"/>
    <d v="1996-07-04T00:00:00"/>
  </r>
  <r>
    <n v="10248"/>
    <x v="6"/>
    <n v="98"/>
    <n v="10"/>
    <d v="1996-07-04T00:00:00"/>
  </r>
  <r>
    <n v="10248"/>
    <x v="7"/>
    <n v="98"/>
    <n v="10"/>
    <d v="1996-07-04T00:00:00"/>
  </r>
  <r>
    <n v="10248"/>
    <x v="0"/>
    <n v="174"/>
    <n v="5"/>
    <d v="1996-07-04T00:00:00"/>
  </r>
  <r>
    <n v="10248"/>
    <x v="1"/>
    <n v="174"/>
    <n v="5"/>
    <d v="1996-07-04T00:00:00"/>
  </r>
  <r>
    <n v="10248"/>
    <x v="2"/>
    <n v="174"/>
    <n v="5"/>
    <d v="1996-07-04T00:00:00"/>
  </r>
  <r>
    <n v="10248"/>
    <x v="3"/>
    <n v="174"/>
    <n v="5"/>
    <d v="1996-07-04T00:00:00"/>
  </r>
  <r>
    <n v="10248"/>
    <x v="4"/>
    <n v="174"/>
    <n v="5"/>
    <d v="1996-07-04T00:00:00"/>
  </r>
  <r>
    <n v="10248"/>
    <x v="5"/>
    <n v="174"/>
    <n v="5"/>
    <d v="1996-07-04T00:00:00"/>
  </r>
  <r>
    <n v="10248"/>
    <x v="6"/>
    <n v="174"/>
    <n v="5"/>
    <d v="1996-07-04T00:00:00"/>
  </r>
  <r>
    <n v="10248"/>
    <x v="7"/>
    <n v="174"/>
    <n v="5"/>
    <d v="1996-07-04T00:00:00"/>
  </r>
  <r>
    <n v="10249"/>
    <x v="0"/>
    <n v="167.4"/>
    <n v="9"/>
    <d v="1996-07-05T00:00:00"/>
  </r>
  <r>
    <n v="10249"/>
    <x v="1"/>
    <n v="167.4"/>
    <n v="9"/>
    <d v="1996-07-05T00:00:00"/>
  </r>
  <r>
    <n v="10249"/>
    <x v="2"/>
    <n v="167.4"/>
    <n v="9"/>
    <d v="1996-07-05T00:00:00"/>
  </r>
  <r>
    <n v="10249"/>
    <x v="3"/>
    <n v="167.4"/>
    <n v="9"/>
    <d v="1996-07-05T00:00:00"/>
  </r>
  <r>
    <n v="10249"/>
    <x v="4"/>
    <n v="167.4"/>
    <n v="9"/>
    <d v="1996-07-05T00:00:00"/>
  </r>
  <r>
    <n v="10249"/>
    <x v="5"/>
    <n v="167.4"/>
    <n v="9"/>
    <d v="1996-07-05T00:00:00"/>
  </r>
  <r>
    <n v="10249"/>
    <x v="6"/>
    <n v="167.4"/>
    <n v="9"/>
    <d v="1996-07-05T00:00:00"/>
  </r>
  <r>
    <n v="10249"/>
    <x v="7"/>
    <n v="167.4"/>
    <n v="9"/>
    <d v="1996-07-05T00:00:00"/>
  </r>
  <r>
    <n v="10249"/>
    <x v="0"/>
    <n v="1696"/>
    <n v="40"/>
    <d v="1996-07-05T00:00:00"/>
  </r>
  <r>
    <n v="10249"/>
    <x v="1"/>
    <n v="1696"/>
    <n v="40"/>
    <d v="1996-07-05T00:00:00"/>
  </r>
  <r>
    <n v="10249"/>
    <x v="2"/>
    <n v="1696"/>
    <n v="40"/>
    <d v="1996-07-05T00:00:00"/>
  </r>
  <r>
    <n v="10249"/>
    <x v="3"/>
    <n v="1696"/>
    <n v="40"/>
    <d v="1996-07-05T00:00:00"/>
  </r>
  <r>
    <n v="10249"/>
    <x v="4"/>
    <n v="1696"/>
    <n v="40"/>
    <d v="1996-07-05T00:00:00"/>
  </r>
  <r>
    <n v="10249"/>
    <x v="5"/>
    <n v="1696"/>
    <n v="40"/>
    <d v="1996-07-05T00:00:00"/>
  </r>
  <r>
    <n v="10249"/>
    <x v="6"/>
    <n v="1696"/>
    <n v="40"/>
    <d v="1996-07-05T00:00:00"/>
  </r>
  <r>
    <n v="10249"/>
    <x v="7"/>
    <n v="1696"/>
    <n v="40"/>
    <d v="1996-07-05T00:00:00"/>
  </r>
  <r>
    <n v="10250"/>
    <x v="0"/>
    <n v="77"/>
    <n v="10"/>
    <d v="1996-07-08T00:00:00"/>
  </r>
  <r>
    <n v="10250"/>
    <x v="1"/>
    <n v="77"/>
    <n v="10"/>
    <d v="1996-07-08T00:00:00"/>
  </r>
  <r>
    <n v="10250"/>
    <x v="2"/>
    <n v="77"/>
    <n v="10"/>
    <d v="1996-07-08T00:00:00"/>
  </r>
  <r>
    <n v="10250"/>
    <x v="3"/>
    <n v="77"/>
    <n v="10"/>
    <d v="1996-07-08T00:00:00"/>
  </r>
  <r>
    <n v="10250"/>
    <x v="4"/>
    <n v="77"/>
    <n v="10"/>
    <d v="1996-07-08T00:00:00"/>
  </r>
  <r>
    <n v="10250"/>
    <x v="5"/>
    <n v="77"/>
    <n v="10"/>
    <d v="1996-07-08T00:00:00"/>
  </r>
  <r>
    <n v="10250"/>
    <x v="6"/>
    <n v="77"/>
    <n v="10"/>
    <d v="1996-07-08T00:00:00"/>
  </r>
  <r>
    <n v="10250"/>
    <x v="7"/>
    <n v="77"/>
    <n v="10"/>
    <d v="1996-07-08T00:00:00"/>
  </r>
  <r>
    <n v="10250"/>
    <x v="0"/>
    <n v="1261.3999911546707"/>
    <n v="35"/>
    <d v="1996-07-08T00:00:00"/>
  </r>
  <r>
    <n v="10250"/>
    <x v="1"/>
    <n v="1261.3999911546707"/>
    <n v="35"/>
    <d v="1996-07-08T00:00:00"/>
  </r>
  <r>
    <n v="10250"/>
    <x v="2"/>
    <n v="1261.3999911546707"/>
    <n v="35"/>
    <d v="1996-07-08T00:00:00"/>
  </r>
  <r>
    <n v="10250"/>
    <x v="3"/>
    <n v="1261.3999911546707"/>
    <n v="35"/>
    <d v="1996-07-08T00:00:00"/>
  </r>
  <r>
    <n v="10250"/>
    <x v="4"/>
    <n v="1261.3999911546707"/>
    <n v="35"/>
    <d v="1996-07-08T00:00:00"/>
  </r>
  <r>
    <n v="10250"/>
    <x v="5"/>
    <n v="1261.3999911546707"/>
    <n v="35"/>
    <d v="1996-07-08T00:00:00"/>
  </r>
  <r>
    <n v="10250"/>
    <x v="6"/>
    <n v="1261.3999911546707"/>
    <n v="35"/>
    <d v="1996-07-08T00:00:00"/>
  </r>
  <r>
    <n v="10250"/>
    <x v="7"/>
    <n v="1261.3999911546707"/>
    <n v="35"/>
    <d v="1996-07-08T00:00:00"/>
  </r>
  <r>
    <n v="10250"/>
    <x v="0"/>
    <n v="214.19999849796295"/>
    <n v="15"/>
    <d v="1996-07-08T00:00:00"/>
  </r>
  <r>
    <n v="10250"/>
    <x v="1"/>
    <n v="214.19999849796295"/>
    <n v="15"/>
    <d v="1996-07-08T00:00:00"/>
  </r>
  <r>
    <n v="10250"/>
    <x v="2"/>
    <n v="214.19999849796295"/>
    <n v="15"/>
    <d v="1996-07-08T00:00:00"/>
  </r>
  <r>
    <n v="10250"/>
    <x v="3"/>
    <n v="214.19999849796295"/>
    <n v="15"/>
    <d v="1996-07-08T00:00:00"/>
  </r>
  <r>
    <n v="10250"/>
    <x v="4"/>
    <n v="214.19999849796295"/>
    <n v="15"/>
    <d v="1996-07-08T00:00:00"/>
  </r>
  <r>
    <n v="10250"/>
    <x v="5"/>
    <n v="214.19999849796295"/>
    <n v="15"/>
    <d v="1996-07-08T00:00:00"/>
  </r>
  <r>
    <n v="10250"/>
    <x v="6"/>
    <n v="214.19999849796295"/>
    <n v="15"/>
    <d v="1996-07-08T00:00:00"/>
  </r>
  <r>
    <n v="10250"/>
    <x v="7"/>
    <n v="214.19999849796295"/>
    <n v="15"/>
    <d v="1996-07-08T00:00:00"/>
  </r>
  <r>
    <n v="10251"/>
    <x v="0"/>
    <n v="95.759999924898139"/>
    <n v="6"/>
    <d v="1996-07-08T00:00:00"/>
  </r>
  <r>
    <n v="10251"/>
    <x v="1"/>
    <n v="95.759999924898139"/>
    <n v="6"/>
    <d v="1996-07-08T00:00:00"/>
  </r>
  <r>
    <n v="10251"/>
    <x v="2"/>
    <n v="95.759999924898139"/>
    <n v="6"/>
    <d v="1996-07-08T00:00:00"/>
  </r>
  <r>
    <n v="10251"/>
    <x v="3"/>
    <n v="95.759999924898139"/>
    <n v="6"/>
    <d v="1996-07-08T00:00:00"/>
  </r>
  <r>
    <n v="10251"/>
    <x v="4"/>
    <n v="95.759999924898139"/>
    <n v="6"/>
    <d v="1996-07-08T00:00:00"/>
  </r>
  <r>
    <n v="10251"/>
    <x v="5"/>
    <n v="95.759999924898139"/>
    <n v="6"/>
    <d v="1996-07-08T00:00:00"/>
  </r>
  <r>
    <n v="10251"/>
    <x v="6"/>
    <n v="95.759999924898139"/>
    <n v="6"/>
    <d v="1996-07-08T00:00:00"/>
  </r>
  <r>
    <n v="10251"/>
    <x v="7"/>
    <n v="95.759999924898139"/>
    <n v="6"/>
    <d v="1996-07-08T00:00:00"/>
  </r>
  <r>
    <n v="10251"/>
    <x v="0"/>
    <n v="222.29999982565641"/>
    <n v="15"/>
    <d v="1996-07-08T00:00:00"/>
  </r>
  <r>
    <n v="10251"/>
    <x v="1"/>
    <n v="222.29999982565641"/>
    <n v="15"/>
    <d v="1996-07-08T00:00:00"/>
  </r>
  <r>
    <n v="10251"/>
    <x v="2"/>
    <n v="222.29999982565641"/>
    <n v="15"/>
    <d v="1996-07-08T00:00:00"/>
  </r>
  <r>
    <n v="10251"/>
    <x v="3"/>
    <n v="222.29999982565641"/>
    <n v="15"/>
    <d v="1996-07-08T00:00:00"/>
  </r>
  <r>
    <n v="10251"/>
    <x v="4"/>
    <n v="222.29999982565641"/>
    <n v="15"/>
    <d v="1996-07-08T00:00:00"/>
  </r>
  <r>
    <n v="10251"/>
    <x v="5"/>
    <n v="222.29999982565641"/>
    <n v="15"/>
    <d v="1996-07-08T00:00:00"/>
  </r>
  <r>
    <n v="10251"/>
    <x v="6"/>
    <n v="222.29999982565641"/>
    <n v="15"/>
    <d v="1996-07-08T00:00:00"/>
  </r>
  <r>
    <n v="10251"/>
    <x v="7"/>
    <n v="222.29999982565641"/>
    <n v="15"/>
    <d v="1996-07-08T00:00:00"/>
  </r>
  <r>
    <n v="10251"/>
    <x v="0"/>
    <n v="336"/>
    <n v="20"/>
    <d v="1996-07-08T00:00:00"/>
  </r>
  <r>
    <n v="10251"/>
    <x v="1"/>
    <n v="336"/>
    <n v="20"/>
    <d v="1996-07-08T00:00:00"/>
  </r>
  <r>
    <n v="10251"/>
    <x v="2"/>
    <n v="336"/>
    <n v="20"/>
    <d v="1996-07-08T00:00:00"/>
  </r>
  <r>
    <n v="10251"/>
    <x v="3"/>
    <n v="336"/>
    <n v="20"/>
    <d v="1996-07-08T00:00:00"/>
  </r>
  <r>
    <n v="10251"/>
    <x v="4"/>
    <n v="336"/>
    <n v="20"/>
    <d v="1996-07-08T00:00:00"/>
  </r>
  <r>
    <n v="10251"/>
    <x v="5"/>
    <n v="336"/>
    <n v="20"/>
    <d v="1996-07-08T00:00:00"/>
  </r>
  <r>
    <n v="10251"/>
    <x v="6"/>
    <n v="336"/>
    <n v="20"/>
    <d v="1996-07-08T00:00:00"/>
  </r>
  <r>
    <n v="10251"/>
    <x v="7"/>
    <n v="336"/>
    <n v="20"/>
    <d v="1996-07-08T00:00:00"/>
  </r>
  <r>
    <n v="10252"/>
    <x v="0"/>
    <n v="2462.3999980688095"/>
    <n v="40"/>
    <d v="1996-07-09T00:00:00"/>
  </r>
  <r>
    <n v="10252"/>
    <x v="1"/>
    <n v="2462.3999980688095"/>
    <n v="40"/>
    <d v="1996-07-09T00:00:00"/>
  </r>
  <r>
    <n v="10252"/>
    <x v="2"/>
    <n v="2462.3999980688095"/>
    <n v="40"/>
    <d v="1996-07-09T00:00:00"/>
  </r>
  <r>
    <n v="10252"/>
    <x v="3"/>
    <n v="2462.3999980688095"/>
    <n v="40"/>
    <d v="1996-07-09T00:00:00"/>
  </r>
  <r>
    <n v="10252"/>
    <x v="4"/>
    <n v="2462.3999980688095"/>
    <n v="40"/>
    <d v="1996-07-09T00:00:00"/>
  </r>
  <r>
    <n v="10252"/>
    <x v="5"/>
    <n v="2462.3999980688095"/>
    <n v="40"/>
    <d v="1996-07-09T00:00:00"/>
  </r>
  <r>
    <n v="10252"/>
    <x v="6"/>
    <n v="2462.3999980688095"/>
    <n v="40"/>
    <d v="1996-07-09T00:00:00"/>
  </r>
  <r>
    <n v="10252"/>
    <x v="7"/>
    <n v="2462.3999980688095"/>
    <n v="40"/>
    <d v="1996-07-09T00:00:00"/>
  </r>
  <r>
    <n v="10252"/>
    <x v="0"/>
    <n v="47.499999962747097"/>
    <n v="25"/>
    <d v="1996-07-09T00:00:00"/>
  </r>
  <r>
    <n v="10252"/>
    <x v="1"/>
    <n v="47.499999962747097"/>
    <n v="25"/>
    <d v="1996-07-09T00:00:00"/>
  </r>
  <r>
    <n v="10252"/>
    <x v="2"/>
    <n v="47.499999962747097"/>
    <n v="25"/>
    <d v="1996-07-09T00:00:00"/>
  </r>
  <r>
    <n v="10252"/>
    <x v="3"/>
    <n v="47.499999962747097"/>
    <n v="25"/>
    <d v="1996-07-09T00:00:00"/>
  </r>
  <r>
    <n v="10252"/>
    <x v="4"/>
    <n v="47.499999962747097"/>
    <n v="25"/>
    <d v="1996-07-09T00:00:00"/>
  </r>
  <r>
    <n v="10252"/>
    <x v="5"/>
    <n v="47.499999962747097"/>
    <n v="25"/>
    <d v="1996-07-09T00:00:00"/>
  </r>
  <r>
    <n v="10252"/>
    <x v="6"/>
    <n v="47.499999962747097"/>
    <n v="25"/>
    <d v="1996-07-09T00:00:00"/>
  </r>
  <r>
    <n v="10252"/>
    <x v="7"/>
    <n v="47.499999962747097"/>
    <n v="25"/>
    <d v="1996-07-09T00:00:00"/>
  </r>
  <r>
    <n v="10252"/>
    <x v="0"/>
    <n v="1088"/>
    <n v="40"/>
    <d v="1996-07-09T00:00:00"/>
  </r>
  <r>
    <n v="10252"/>
    <x v="1"/>
    <n v="1088"/>
    <n v="40"/>
    <d v="1996-07-09T00:00:00"/>
  </r>
  <r>
    <n v="10252"/>
    <x v="2"/>
    <n v="1088"/>
    <n v="40"/>
    <d v="1996-07-09T00:00:00"/>
  </r>
  <r>
    <n v="10252"/>
    <x v="3"/>
    <n v="1088"/>
    <n v="40"/>
    <d v="1996-07-09T00:00:00"/>
  </r>
  <r>
    <n v="10252"/>
    <x v="4"/>
    <n v="1088"/>
    <n v="40"/>
    <d v="1996-07-09T00:00:00"/>
  </r>
  <r>
    <n v="10252"/>
    <x v="5"/>
    <n v="1088"/>
    <n v="40"/>
    <d v="1996-07-09T00:00:00"/>
  </r>
  <r>
    <n v="10252"/>
    <x v="6"/>
    <n v="1088"/>
    <n v="40"/>
    <d v="1996-07-09T00:00:00"/>
  </r>
  <r>
    <n v="10252"/>
    <x v="7"/>
    <n v="1088"/>
    <n v="40"/>
    <d v="1996-07-09T00:00:00"/>
  </r>
  <r>
    <n v="10253"/>
    <x v="0"/>
    <n v="200"/>
    <n v="20"/>
    <d v="1996-07-10T00:00:00"/>
  </r>
  <r>
    <n v="10253"/>
    <x v="1"/>
    <n v="200"/>
    <n v="20"/>
    <d v="1996-07-10T00:00:00"/>
  </r>
  <r>
    <n v="10253"/>
    <x v="2"/>
    <n v="200"/>
    <n v="20"/>
    <d v="1996-07-10T00:00:00"/>
  </r>
  <r>
    <n v="10253"/>
    <x v="3"/>
    <n v="200"/>
    <n v="20"/>
    <d v="1996-07-10T00:00:00"/>
  </r>
  <r>
    <n v="10253"/>
    <x v="4"/>
    <n v="200"/>
    <n v="20"/>
    <d v="1996-07-10T00:00:00"/>
  </r>
  <r>
    <n v="10253"/>
    <x v="5"/>
    <n v="200"/>
    <n v="20"/>
    <d v="1996-07-10T00:00:00"/>
  </r>
  <r>
    <n v="10253"/>
    <x v="6"/>
    <n v="200"/>
    <n v="20"/>
    <d v="1996-07-10T00:00:00"/>
  </r>
  <r>
    <n v="10253"/>
    <x v="7"/>
    <n v="200"/>
    <n v="20"/>
    <d v="1996-07-10T00:00:00"/>
  </r>
  <r>
    <n v="10253"/>
    <x v="0"/>
    <n v="604.79999999999995"/>
    <n v="42"/>
    <d v="1996-07-10T00:00:00"/>
  </r>
  <r>
    <n v="10253"/>
    <x v="1"/>
    <n v="604.79999999999995"/>
    <n v="42"/>
    <d v="1996-07-10T00:00:00"/>
  </r>
  <r>
    <n v="10253"/>
    <x v="2"/>
    <n v="604.79999999999995"/>
    <n v="42"/>
    <d v="1996-07-10T00:00:00"/>
  </r>
  <r>
    <n v="10253"/>
    <x v="3"/>
    <n v="604.79999999999995"/>
    <n v="42"/>
    <d v="1996-07-10T00:00:00"/>
  </r>
  <r>
    <n v="10253"/>
    <x v="4"/>
    <n v="604.79999999999995"/>
    <n v="42"/>
    <d v="1996-07-10T00:00:00"/>
  </r>
  <r>
    <n v="10253"/>
    <x v="5"/>
    <n v="604.79999999999995"/>
    <n v="42"/>
    <d v="1996-07-10T00:00:00"/>
  </r>
  <r>
    <n v="10253"/>
    <x v="6"/>
    <n v="604.79999999999995"/>
    <n v="42"/>
    <d v="1996-07-10T00:00:00"/>
  </r>
  <r>
    <n v="10253"/>
    <x v="7"/>
    <n v="604.79999999999995"/>
    <n v="42"/>
    <d v="1996-07-10T00:00:00"/>
  </r>
  <r>
    <n v="10253"/>
    <x v="0"/>
    <n v="640"/>
    <n v="40"/>
    <d v="1996-07-10T00:00:00"/>
  </r>
  <r>
    <n v="10253"/>
    <x v="1"/>
    <n v="640"/>
    <n v="40"/>
    <d v="1996-07-10T00:00:00"/>
  </r>
  <r>
    <n v="10253"/>
    <x v="2"/>
    <n v="640"/>
    <n v="40"/>
    <d v="1996-07-10T00:00:00"/>
  </r>
  <r>
    <n v="10253"/>
    <x v="3"/>
    <n v="640"/>
    <n v="40"/>
    <d v="1996-07-10T00:00:00"/>
  </r>
  <r>
    <n v="10253"/>
    <x v="4"/>
    <n v="640"/>
    <n v="40"/>
    <d v="1996-07-10T00:00:00"/>
  </r>
  <r>
    <n v="10253"/>
    <x v="5"/>
    <n v="640"/>
    <n v="40"/>
    <d v="1996-07-10T00:00:00"/>
  </r>
  <r>
    <n v="10253"/>
    <x v="6"/>
    <n v="640"/>
    <n v="40"/>
    <d v="1996-07-10T00:00:00"/>
  </r>
  <r>
    <n v="10253"/>
    <x v="7"/>
    <n v="640"/>
    <n v="40"/>
    <d v="1996-07-10T00:00:00"/>
  </r>
  <r>
    <n v="10254"/>
    <x v="0"/>
    <n v="45.899999678134918"/>
    <n v="15"/>
    <d v="1996-07-11T00:00:00"/>
  </r>
  <r>
    <n v="10254"/>
    <x v="1"/>
    <n v="45.899999678134918"/>
    <n v="15"/>
    <d v="1996-07-11T00:00:00"/>
  </r>
  <r>
    <n v="10254"/>
    <x v="2"/>
    <n v="45.899999678134918"/>
    <n v="15"/>
    <d v="1996-07-11T00:00:00"/>
  </r>
  <r>
    <n v="10254"/>
    <x v="3"/>
    <n v="45.899999678134918"/>
    <n v="15"/>
    <d v="1996-07-11T00:00:00"/>
  </r>
  <r>
    <n v="10254"/>
    <x v="4"/>
    <n v="45.899999678134918"/>
    <n v="15"/>
    <d v="1996-07-11T00:00:00"/>
  </r>
  <r>
    <n v="10254"/>
    <x v="5"/>
    <n v="45.899999678134918"/>
    <n v="15"/>
    <d v="1996-07-11T00:00:00"/>
  </r>
  <r>
    <n v="10254"/>
    <x v="6"/>
    <n v="45.899999678134918"/>
    <n v="15"/>
    <d v="1996-07-11T00:00:00"/>
  </r>
  <r>
    <n v="10254"/>
    <x v="7"/>
    <n v="45.899999678134918"/>
    <n v="15"/>
    <d v="1996-07-11T00:00:00"/>
  </r>
  <r>
    <n v="10254"/>
    <x v="0"/>
    <n v="342.71999759674071"/>
    <n v="21"/>
    <d v="1996-07-11T00:00:00"/>
  </r>
  <r>
    <n v="10254"/>
    <x v="1"/>
    <n v="342.71999759674071"/>
    <n v="21"/>
    <d v="1996-07-11T00:00:00"/>
  </r>
  <r>
    <n v="10254"/>
    <x v="2"/>
    <n v="342.71999759674071"/>
    <n v="21"/>
    <d v="1996-07-11T00:00:00"/>
  </r>
  <r>
    <n v="10254"/>
    <x v="3"/>
    <n v="342.71999759674071"/>
    <n v="21"/>
    <d v="1996-07-11T00:00:00"/>
  </r>
  <r>
    <n v="10254"/>
    <x v="4"/>
    <n v="342.71999759674071"/>
    <n v="21"/>
    <d v="1996-07-11T00:00:00"/>
  </r>
  <r>
    <n v="10254"/>
    <x v="5"/>
    <n v="342.71999759674071"/>
    <n v="21"/>
    <d v="1996-07-11T00:00:00"/>
  </r>
  <r>
    <n v="10254"/>
    <x v="6"/>
    <n v="342.71999759674071"/>
    <n v="21"/>
    <d v="1996-07-11T00:00:00"/>
  </r>
  <r>
    <n v="10254"/>
    <x v="7"/>
    <n v="342.71999759674071"/>
    <n v="21"/>
    <d v="1996-07-11T00:00:00"/>
  </r>
  <r>
    <n v="10254"/>
    <x v="0"/>
    <n v="168"/>
    <n v="21"/>
    <d v="1996-07-11T00:00:00"/>
  </r>
  <r>
    <n v="10254"/>
    <x v="1"/>
    <n v="168"/>
    <n v="21"/>
    <d v="1996-07-11T00:00:00"/>
  </r>
  <r>
    <n v="10254"/>
    <x v="2"/>
    <n v="168"/>
    <n v="21"/>
    <d v="1996-07-11T00:00:00"/>
  </r>
  <r>
    <n v="10254"/>
    <x v="3"/>
    <n v="168"/>
    <n v="21"/>
    <d v="1996-07-11T00:00:00"/>
  </r>
  <r>
    <n v="10254"/>
    <x v="4"/>
    <n v="168"/>
    <n v="21"/>
    <d v="1996-07-11T00:00:00"/>
  </r>
  <r>
    <n v="10254"/>
    <x v="5"/>
    <n v="168"/>
    <n v="21"/>
    <d v="1996-07-11T00:00:00"/>
  </r>
  <r>
    <n v="10254"/>
    <x v="6"/>
    <n v="168"/>
    <n v="21"/>
    <d v="1996-07-11T00:00:00"/>
  </r>
  <r>
    <n v="10254"/>
    <x v="7"/>
    <n v="168"/>
    <n v="21"/>
    <d v="1996-07-11T00:00:00"/>
  </r>
  <r>
    <n v="10255"/>
    <x v="0"/>
    <n v="304"/>
    <n v="20"/>
    <d v="1996-07-12T00:00:00"/>
  </r>
  <r>
    <n v="10255"/>
    <x v="1"/>
    <n v="304"/>
    <n v="20"/>
    <d v="1996-07-12T00:00:00"/>
  </r>
  <r>
    <n v="10255"/>
    <x v="2"/>
    <n v="304"/>
    <n v="20"/>
    <d v="1996-07-12T00:00:00"/>
  </r>
  <r>
    <n v="10255"/>
    <x v="3"/>
    <n v="304"/>
    <n v="20"/>
    <d v="1996-07-12T00:00:00"/>
  </r>
  <r>
    <n v="10255"/>
    <x v="4"/>
    <n v="304"/>
    <n v="20"/>
    <d v="1996-07-12T00:00:00"/>
  </r>
  <r>
    <n v="10255"/>
    <x v="5"/>
    <n v="304"/>
    <n v="20"/>
    <d v="1996-07-12T00:00:00"/>
  </r>
  <r>
    <n v="10255"/>
    <x v="6"/>
    <n v="304"/>
    <n v="20"/>
    <d v="1996-07-12T00:00:00"/>
  </r>
  <r>
    <n v="10255"/>
    <x v="7"/>
    <n v="304"/>
    <n v="20"/>
    <d v="1996-07-12T00:00:00"/>
  </r>
  <r>
    <n v="10255"/>
    <x v="0"/>
    <n v="486.5"/>
    <n v="35"/>
    <d v="1996-07-12T00:00:00"/>
  </r>
  <r>
    <n v="10255"/>
    <x v="1"/>
    <n v="486.5"/>
    <n v="35"/>
    <d v="1996-07-12T00:00:00"/>
  </r>
  <r>
    <n v="10255"/>
    <x v="2"/>
    <n v="486.5"/>
    <n v="35"/>
    <d v="1996-07-12T00:00:00"/>
  </r>
  <r>
    <n v="10255"/>
    <x v="3"/>
    <n v="486.5"/>
    <n v="35"/>
    <d v="1996-07-12T00:00:00"/>
  </r>
  <r>
    <n v="10255"/>
    <x v="4"/>
    <n v="486.5"/>
    <n v="35"/>
    <d v="1996-07-12T00:00:00"/>
  </r>
  <r>
    <n v="10255"/>
    <x v="5"/>
    <n v="486.5"/>
    <n v="35"/>
    <d v="1996-07-12T00:00:00"/>
  </r>
  <r>
    <n v="10255"/>
    <x v="6"/>
    <n v="486.5"/>
    <n v="35"/>
    <d v="1996-07-12T00:00:00"/>
  </r>
  <r>
    <n v="10255"/>
    <x v="7"/>
    <n v="486.5"/>
    <n v="35"/>
    <d v="1996-07-12T00:00:00"/>
  </r>
  <r>
    <n v="10255"/>
    <x v="0"/>
    <n v="380"/>
    <n v="25"/>
    <d v="1996-07-12T00:00:00"/>
  </r>
  <r>
    <n v="10255"/>
    <x v="1"/>
    <n v="380"/>
    <n v="25"/>
    <d v="1996-07-12T00:00:00"/>
  </r>
  <r>
    <n v="10255"/>
    <x v="2"/>
    <n v="380"/>
    <n v="25"/>
    <d v="1996-07-12T00:00:00"/>
  </r>
  <r>
    <n v="10255"/>
    <x v="3"/>
    <n v="380"/>
    <n v="25"/>
    <d v="1996-07-12T00:00:00"/>
  </r>
  <r>
    <n v="10255"/>
    <x v="4"/>
    <n v="380"/>
    <n v="25"/>
    <d v="1996-07-12T00:00:00"/>
  </r>
  <r>
    <n v="10255"/>
    <x v="5"/>
    <n v="380"/>
    <n v="25"/>
    <d v="1996-07-12T00:00:00"/>
  </r>
  <r>
    <n v="10255"/>
    <x v="6"/>
    <n v="380"/>
    <n v="25"/>
    <d v="1996-07-12T00:00:00"/>
  </r>
  <r>
    <n v="10255"/>
    <x v="7"/>
    <n v="380"/>
    <n v="25"/>
    <d v="1996-07-12T00:00:00"/>
  </r>
  <r>
    <n v="10255"/>
    <x v="0"/>
    <n v="1320"/>
    <n v="30"/>
    <d v="1996-07-12T00:00:00"/>
  </r>
  <r>
    <n v="10255"/>
    <x v="1"/>
    <n v="1320"/>
    <n v="30"/>
    <d v="1996-07-12T00:00:00"/>
  </r>
  <r>
    <n v="10255"/>
    <x v="2"/>
    <n v="1320"/>
    <n v="30"/>
    <d v="1996-07-12T00:00:00"/>
  </r>
  <r>
    <n v="10255"/>
    <x v="3"/>
    <n v="1320"/>
    <n v="30"/>
    <d v="1996-07-12T00:00:00"/>
  </r>
  <r>
    <n v="10255"/>
    <x v="4"/>
    <n v="1320"/>
    <n v="30"/>
    <d v="1996-07-12T00:00:00"/>
  </r>
  <r>
    <n v="10255"/>
    <x v="5"/>
    <n v="1320"/>
    <n v="30"/>
    <d v="1996-07-12T00:00:00"/>
  </r>
  <r>
    <n v="10255"/>
    <x v="6"/>
    <n v="1320"/>
    <n v="30"/>
    <d v="1996-07-12T00:00:00"/>
  </r>
  <r>
    <n v="10255"/>
    <x v="7"/>
    <n v="1320"/>
    <n v="30"/>
    <d v="1996-07-12T00:00:00"/>
  </r>
  <r>
    <n v="10256"/>
    <x v="0"/>
    <n v="393"/>
    <n v="15"/>
    <d v="1996-07-15T00:00:00"/>
  </r>
  <r>
    <n v="10256"/>
    <x v="1"/>
    <n v="393"/>
    <n v="15"/>
    <d v="1996-07-15T00:00:00"/>
  </r>
  <r>
    <n v="10256"/>
    <x v="2"/>
    <n v="393"/>
    <n v="15"/>
    <d v="1996-07-15T00:00:00"/>
  </r>
  <r>
    <n v="10256"/>
    <x v="3"/>
    <n v="393"/>
    <n v="15"/>
    <d v="1996-07-15T00:00:00"/>
  </r>
  <r>
    <n v="10256"/>
    <x v="4"/>
    <n v="393"/>
    <n v="15"/>
    <d v="1996-07-15T00:00:00"/>
  </r>
  <r>
    <n v="10256"/>
    <x v="5"/>
    <n v="393"/>
    <n v="15"/>
    <d v="1996-07-15T00:00:00"/>
  </r>
  <r>
    <n v="10256"/>
    <x v="6"/>
    <n v="393"/>
    <n v="15"/>
    <d v="1996-07-15T00:00:00"/>
  </r>
  <r>
    <n v="10256"/>
    <x v="7"/>
    <n v="393"/>
    <n v="15"/>
    <d v="1996-07-15T00:00:00"/>
  </r>
  <r>
    <n v="10256"/>
    <x v="0"/>
    <n v="124.8"/>
    <n v="12"/>
    <d v="1996-07-15T00:00:00"/>
  </r>
  <r>
    <n v="10256"/>
    <x v="1"/>
    <n v="124.8"/>
    <n v="12"/>
    <d v="1996-07-15T00:00:00"/>
  </r>
  <r>
    <n v="10256"/>
    <x v="2"/>
    <n v="124.8"/>
    <n v="12"/>
    <d v="1996-07-15T00:00:00"/>
  </r>
  <r>
    <n v="10256"/>
    <x v="3"/>
    <n v="124.8"/>
    <n v="12"/>
    <d v="1996-07-15T00:00:00"/>
  </r>
  <r>
    <n v="10256"/>
    <x v="4"/>
    <n v="124.8"/>
    <n v="12"/>
    <d v="1996-07-15T00:00:00"/>
  </r>
  <r>
    <n v="10256"/>
    <x v="5"/>
    <n v="124.8"/>
    <n v="12"/>
    <d v="1996-07-15T00:00:00"/>
  </r>
  <r>
    <n v="10256"/>
    <x v="6"/>
    <n v="124.8"/>
    <n v="12"/>
    <d v="1996-07-15T00:00:00"/>
  </r>
  <r>
    <n v="10256"/>
    <x v="7"/>
    <n v="124.8"/>
    <n v="12"/>
    <d v="1996-07-15T00:00:00"/>
  </r>
  <r>
    <n v="10257"/>
    <x v="0"/>
    <n v="877.5"/>
    <n v="25"/>
    <d v="1996-07-16T00:00:00"/>
  </r>
  <r>
    <n v="10257"/>
    <x v="1"/>
    <n v="877.5"/>
    <n v="25"/>
    <d v="1996-07-16T00:00:00"/>
  </r>
  <r>
    <n v="10257"/>
    <x v="2"/>
    <n v="877.5"/>
    <n v="25"/>
    <d v="1996-07-16T00:00:00"/>
  </r>
  <r>
    <n v="10257"/>
    <x v="3"/>
    <n v="877.5"/>
    <n v="25"/>
    <d v="1996-07-16T00:00:00"/>
  </r>
  <r>
    <n v="10257"/>
    <x v="4"/>
    <n v="877.5"/>
    <n v="25"/>
    <d v="1996-07-16T00:00:00"/>
  </r>
  <r>
    <n v="10257"/>
    <x v="5"/>
    <n v="877.5"/>
    <n v="25"/>
    <d v="1996-07-16T00:00:00"/>
  </r>
  <r>
    <n v="10257"/>
    <x v="6"/>
    <n v="877.5"/>
    <n v="25"/>
    <d v="1996-07-16T00:00:00"/>
  </r>
  <r>
    <n v="10257"/>
    <x v="7"/>
    <n v="877.5"/>
    <n v="25"/>
    <d v="1996-07-16T00:00:00"/>
  </r>
  <r>
    <n v="10257"/>
    <x v="0"/>
    <n v="86.4"/>
    <n v="6"/>
    <d v="1996-07-16T00:00:00"/>
  </r>
  <r>
    <n v="10257"/>
    <x v="1"/>
    <n v="86.4"/>
    <n v="6"/>
    <d v="1996-07-16T00:00:00"/>
  </r>
  <r>
    <n v="10257"/>
    <x v="2"/>
    <n v="86.4"/>
    <n v="6"/>
    <d v="1996-07-16T00:00:00"/>
  </r>
  <r>
    <n v="10257"/>
    <x v="3"/>
    <n v="86.4"/>
    <n v="6"/>
    <d v="1996-07-16T00:00:00"/>
  </r>
  <r>
    <n v="10257"/>
    <x v="4"/>
    <n v="86.4"/>
    <n v="6"/>
    <d v="1996-07-16T00:00:00"/>
  </r>
  <r>
    <n v="10257"/>
    <x v="5"/>
    <n v="86.4"/>
    <n v="6"/>
    <d v="1996-07-16T00:00:00"/>
  </r>
  <r>
    <n v="10257"/>
    <x v="6"/>
    <n v="86.4"/>
    <n v="6"/>
    <d v="1996-07-16T00:00:00"/>
  </r>
  <r>
    <n v="10257"/>
    <x v="7"/>
    <n v="86.4"/>
    <n v="6"/>
    <d v="1996-07-16T00:00:00"/>
  </r>
  <r>
    <n v="10257"/>
    <x v="0"/>
    <n v="156"/>
    <n v="15"/>
    <d v="1996-07-16T00:00:00"/>
  </r>
  <r>
    <n v="10257"/>
    <x v="1"/>
    <n v="156"/>
    <n v="15"/>
    <d v="1996-07-16T00:00:00"/>
  </r>
  <r>
    <n v="10257"/>
    <x v="2"/>
    <n v="156"/>
    <n v="15"/>
    <d v="1996-07-16T00:00:00"/>
  </r>
  <r>
    <n v="10257"/>
    <x v="3"/>
    <n v="156"/>
    <n v="15"/>
    <d v="1996-07-16T00:00:00"/>
  </r>
  <r>
    <n v="10257"/>
    <x v="4"/>
    <n v="156"/>
    <n v="15"/>
    <d v="1996-07-16T00:00:00"/>
  </r>
  <r>
    <n v="10257"/>
    <x v="5"/>
    <n v="156"/>
    <n v="15"/>
    <d v="1996-07-16T00:00:00"/>
  </r>
  <r>
    <n v="10257"/>
    <x v="6"/>
    <n v="156"/>
    <n v="15"/>
    <d v="1996-07-16T00:00:00"/>
  </r>
  <r>
    <n v="10257"/>
    <x v="7"/>
    <n v="156"/>
    <n v="15"/>
    <d v="1996-07-16T00:00:00"/>
  </r>
  <r>
    <n v="10258"/>
    <x v="0"/>
    <n v="607.9999977350235"/>
    <n v="50"/>
    <d v="1996-07-17T00:00:00"/>
  </r>
  <r>
    <n v="10258"/>
    <x v="1"/>
    <n v="607.9999977350235"/>
    <n v="50"/>
    <d v="1996-07-17T00:00:00"/>
  </r>
  <r>
    <n v="10258"/>
    <x v="2"/>
    <n v="607.9999977350235"/>
    <n v="50"/>
    <d v="1996-07-17T00:00:00"/>
  </r>
  <r>
    <n v="10258"/>
    <x v="3"/>
    <n v="607.9999977350235"/>
    <n v="50"/>
    <d v="1996-07-17T00:00:00"/>
  </r>
  <r>
    <n v="10258"/>
    <x v="4"/>
    <n v="607.9999977350235"/>
    <n v="50"/>
    <d v="1996-07-17T00:00:00"/>
  </r>
  <r>
    <n v="10258"/>
    <x v="5"/>
    <n v="607.9999977350235"/>
    <n v="50"/>
    <d v="1996-07-17T00:00:00"/>
  </r>
  <r>
    <n v="10258"/>
    <x v="6"/>
    <n v="607.9999977350235"/>
    <n v="50"/>
    <d v="1996-07-17T00:00:00"/>
  </r>
  <r>
    <n v="10258"/>
    <x v="7"/>
    <n v="607.9999977350235"/>
    <n v="50"/>
    <d v="1996-07-17T00:00:00"/>
  </r>
  <r>
    <n v="10258"/>
    <x v="0"/>
    <n v="883.99999670684338"/>
    <n v="65"/>
    <d v="1996-07-17T00:00:00"/>
  </r>
  <r>
    <n v="10258"/>
    <x v="1"/>
    <n v="883.99999670684338"/>
    <n v="65"/>
    <d v="1996-07-17T00:00:00"/>
  </r>
  <r>
    <n v="10258"/>
    <x v="2"/>
    <n v="883.99999670684338"/>
    <n v="65"/>
    <d v="1996-07-17T00:00:00"/>
  </r>
  <r>
    <n v="10258"/>
    <x v="3"/>
    <n v="883.99999670684338"/>
    <n v="65"/>
    <d v="1996-07-17T00:00:00"/>
  </r>
  <r>
    <n v="10258"/>
    <x v="4"/>
    <n v="883.99999670684338"/>
    <n v="65"/>
    <d v="1996-07-17T00:00:00"/>
  </r>
  <r>
    <n v="10258"/>
    <x v="5"/>
    <n v="883.99999670684338"/>
    <n v="65"/>
    <d v="1996-07-17T00:00:00"/>
  </r>
  <r>
    <n v="10258"/>
    <x v="6"/>
    <n v="883.99999670684338"/>
    <n v="65"/>
    <d v="1996-07-17T00:00:00"/>
  </r>
  <r>
    <n v="10258"/>
    <x v="7"/>
    <n v="883.99999670684338"/>
    <n v="65"/>
    <d v="1996-07-17T00:00:00"/>
  </r>
  <r>
    <n v="10258"/>
    <x v="0"/>
    <n v="122.87999954223632"/>
    <n v="6"/>
    <d v="1996-07-17T00:00:00"/>
  </r>
  <r>
    <n v="10258"/>
    <x v="1"/>
    <n v="122.87999954223632"/>
    <n v="6"/>
    <d v="1996-07-17T00:00:00"/>
  </r>
  <r>
    <n v="10258"/>
    <x v="2"/>
    <n v="122.87999954223632"/>
    <n v="6"/>
    <d v="1996-07-17T00:00:00"/>
  </r>
  <r>
    <n v="10258"/>
    <x v="3"/>
    <n v="122.87999954223632"/>
    <n v="6"/>
    <d v="1996-07-17T00:00:00"/>
  </r>
  <r>
    <n v="10258"/>
    <x v="4"/>
    <n v="122.87999954223632"/>
    <n v="6"/>
    <d v="1996-07-17T00:00:00"/>
  </r>
  <r>
    <n v="10258"/>
    <x v="5"/>
    <n v="122.87999954223632"/>
    <n v="6"/>
    <d v="1996-07-17T00:00:00"/>
  </r>
  <r>
    <n v="10258"/>
    <x v="6"/>
    <n v="122.87999954223632"/>
    <n v="6"/>
    <d v="1996-07-17T00:00:00"/>
  </r>
  <r>
    <n v="10258"/>
    <x v="7"/>
    <n v="122.87999954223632"/>
    <n v="6"/>
    <d v="1996-07-17T00:00:00"/>
  </r>
  <r>
    <n v="10259"/>
    <x v="0"/>
    <n v="80"/>
    <n v="10"/>
    <d v="1996-07-18T00:00:00"/>
  </r>
  <r>
    <n v="10259"/>
    <x v="1"/>
    <n v="80"/>
    <n v="10"/>
    <d v="1996-07-18T00:00:00"/>
  </r>
  <r>
    <n v="10259"/>
    <x v="2"/>
    <n v="80"/>
    <n v="10"/>
    <d v="1996-07-18T00:00:00"/>
  </r>
  <r>
    <n v="10259"/>
    <x v="3"/>
    <n v="80"/>
    <n v="10"/>
    <d v="1996-07-18T00:00:00"/>
  </r>
  <r>
    <n v="10259"/>
    <x v="4"/>
    <n v="80"/>
    <n v="10"/>
    <d v="1996-07-18T00:00:00"/>
  </r>
  <r>
    <n v="10259"/>
    <x v="5"/>
    <n v="80"/>
    <n v="10"/>
    <d v="1996-07-18T00:00:00"/>
  </r>
  <r>
    <n v="10259"/>
    <x v="6"/>
    <n v="80"/>
    <n v="10"/>
    <d v="1996-07-18T00:00:00"/>
  </r>
  <r>
    <n v="10259"/>
    <x v="7"/>
    <n v="80"/>
    <n v="10"/>
    <d v="1996-07-18T00:00:00"/>
  </r>
  <r>
    <n v="10259"/>
    <x v="0"/>
    <n v="20.8"/>
    <n v="1"/>
    <d v="1996-07-18T00:00:00"/>
  </r>
  <r>
    <n v="10259"/>
    <x v="1"/>
    <n v="20.8"/>
    <n v="1"/>
    <d v="1996-07-18T00:00:00"/>
  </r>
  <r>
    <n v="10259"/>
    <x v="2"/>
    <n v="20.8"/>
    <n v="1"/>
    <d v="1996-07-18T00:00:00"/>
  </r>
  <r>
    <n v="10259"/>
    <x v="3"/>
    <n v="20.8"/>
    <n v="1"/>
    <d v="1996-07-18T00:00:00"/>
  </r>
  <r>
    <n v="10259"/>
    <x v="4"/>
    <n v="20.8"/>
    <n v="1"/>
    <d v="1996-07-18T00:00:00"/>
  </r>
  <r>
    <n v="10259"/>
    <x v="5"/>
    <n v="20.8"/>
    <n v="1"/>
    <d v="1996-07-18T00:00:00"/>
  </r>
  <r>
    <n v="10259"/>
    <x v="6"/>
    <n v="20.8"/>
    <n v="1"/>
    <d v="1996-07-18T00:00:00"/>
  </r>
  <r>
    <n v="10259"/>
    <x v="7"/>
    <n v="20.8"/>
    <n v="1"/>
    <d v="1996-07-18T00:00:00"/>
  </r>
  <r>
    <n v="10260"/>
    <x v="0"/>
    <n v="92.4"/>
    <n v="16"/>
    <d v="1996-07-19T00:00:00"/>
  </r>
  <r>
    <n v="10260"/>
    <x v="1"/>
    <n v="92.4"/>
    <n v="16"/>
    <d v="1996-07-19T00:00:00"/>
  </r>
  <r>
    <n v="10260"/>
    <x v="2"/>
    <n v="92.4"/>
    <n v="16"/>
    <d v="1996-07-19T00:00:00"/>
  </r>
  <r>
    <n v="10260"/>
    <x v="3"/>
    <n v="92.4"/>
    <n v="16"/>
    <d v="1996-07-19T00:00:00"/>
  </r>
  <r>
    <n v="10260"/>
    <x v="4"/>
    <n v="92.4"/>
    <n v="16"/>
    <d v="1996-07-19T00:00:00"/>
  </r>
  <r>
    <n v="10260"/>
    <x v="5"/>
    <n v="92.4"/>
    <n v="16"/>
    <d v="1996-07-19T00:00:00"/>
  </r>
  <r>
    <n v="10260"/>
    <x v="6"/>
    <n v="92.4"/>
    <n v="16"/>
    <d v="1996-07-19T00:00:00"/>
  </r>
  <r>
    <n v="10260"/>
    <x v="7"/>
    <n v="92.4"/>
    <n v="16"/>
    <d v="1996-07-19T00:00:00"/>
  </r>
  <r>
    <n v="10260"/>
    <x v="0"/>
    <n v="780"/>
    <n v="50"/>
    <d v="1996-07-19T00:00:00"/>
  </r>
  <r>
    <n v="10260"/>
    <x v="1"/>
    <n v="780"/>
    <n v="50"/>
    <d v="1996-07-19T00:00:00"/>
  </r>
  <r>
    <n v="10260"/>
    <x v="2"/>
    <n v="780"/>
    <n v="50"/>
    <d v="1996-07-19T00:00:00"/>
  </r>
  <r>
    <n v="10260"/>
    <x v="3"/>
    <n v="780"/>
    <n v="50"/>
    <d v="1996-07-19T00:00:00"/>
  </r>
  <r>
    <n v="10260"/>
    <x v="4"/>
    <n v="780"/>
    <n v="50"/>
    <d v="1996-07-19T00:00:00"/>
  </r>
  <r>
    <n v="10260"/>
    <x v="5"/>
    <n v="780"/>
    <n v="50"/>
    <d v="1996-07-19T00:00:00"/>
  </r>
  <r>
    <n v="10260"/>
    <x v="6"/>
    <n v="780"/>
    <n v="50"/>
    <d v="1996-07-19T00:00:00"/>
  </r>
  <r>
    <n v="10260"/>
    <x v="7"/>
    <n v="780"/>
    <n v="50"/>
    <d v="1996-07-19T00:00:00"/>
  </r>
  <r>
    <n v="10260"/>
    <x v="0"/>
    <n v="443.25"/>
    <n v="15"/>
    <d v="1996-07-19T00:00:00"/>
  </r>
  <r>
    <n v="10260"/>
    <x v="1"/>
    <n v="443.25"/>
    <n v="15"/>
    <d v="1996-07-19T00:00:00"/>
  </r>
  <r>
    <n v="10260"/>
    <x v="2"/>
    <n v="443.25"/>
    <n v="15"/>
    <d v="1996-07-19T00:00:00"/>
  </r>
  <r>
    <n v="10260"/>
    <x v="3"/>
    <n v="443.25"/>
    <n v="15"/>
    <d v="1996-07-19T00:00:00"/>
  </r>
  <r>
    <n v="10260"/>
    <x v="4"/>
    <n v="443.25"/>
    <n v="15"/>
    <d v="1996-07-19T00:00:00"/>
  </r>
  <r>
    <n v="10260"/>
    <x v="5"/>
    <n v="443.25"/>
    <n v="15"/>
    <d v="1996-07-19T00:00:00"/>
  </r>
  <r>
    <n v="10260"/>
    <x v="6"/>
    <n v="443.25"/>
    <n v="15"/>
    <d v="1996-07-19T00:00:00"/>
  </r>
  <r>
    <n v="10260"/>
    <x v="7"/>
    <n v="443.25"/>
    <n v="15"/>
    <d v="1996-07-19T00:00:00"/>
  </r>
  <r>
    <n v="10260"/>
    <x v="0"/>
    <n v="189"/>
    <n v="21"/>
    <d v="1996-07-19T00:00:00"/>
  </r>
  <r>
    <n v="10260"/>
    <x v="1"/>
    <n v="189"/>
    <n v="21"/>
    <d v="1996-07-19T00:00:00"/>
  </r>
  <r>
    <n v="10260"/>
    <x v="2"/>
    <n v="189"/>
    <n v="21"/>
    <d v="1996-07-19T00:00:00"/>
  </r>
  <r>
    <n v="10260"/>
    <x v="3"/>
    <n v="189"/>
    <n v="21"/>
    <d v="1996-07-19T00:00:00"/>
  </r>
  <r>
    <n v="10260"/>
    <x v="4"/>
    <n v="189"/>
    <n v="21"/>
    <d v="1996-07-19T00:00:00"/>
  </r>
  <r>
    <n v="10260"/>
    <x v="5"/>
    <n v="189"/>
    <n v="21"/>
    <d v="1996-07-19T00:00:00"/>
  </r>
  <r>
    <n v="10260"/>
    <x v="6"/>
    <n v="189"/>
    <n v="21"/>
    <d v="1996-07-19T00:00:00"/>
  </r>
  <r>
    <n v="10260"/>
    <x v="7"/>
    <n v="189"/>
    <n v="21"/>
    <d v="1996-07-19T00:00:00"/>
  </r>
  <r>
    <n v="10261"/>
    <x v="0"/>
    <n v="160"/>
    <n v="20"/>
    <d v="1996-07-19T00:00:00"/>
  </r>
  <r>
    <n v="10261"/>
    <x v="1"/>
    <n v="160"/>
    <n v="20"/>
    <d v="1996-07-19T00:00:00"/>
  </r>
  <r>
    <n v="10261"/>
    <x v="2"/>
    <n v="160"/>
    <n v="20"/>
    <d v="1996-07-19T00:00:00"/>
  </r>
  <r>
    <n v="10261"/>
    <x v="3"/>
    <n v="160"/>
    <n v="20"/>
    <d v="1996-07-19T00:00:00"/>
  </r>
  <r>
    <n v="10261"/>
    <x v="4"/>
    <n v="160"/>
    <n v="20"/>
    <d v="1996-07-19T00:00:00"/>
  </r>
  <r>
    <n v="10261"/>
    <x v="5"/>
    <n v="160"/>
    <n v="20"/>
    <d v="1996-07-19T00:00:00"/>
  </r>
  <r>
    <n v="10261"/>
    <x v="6"/>
    <n v="160"/>
    <n v="20"/>
    <d v="1996-07-19T00:00:00"/>
  </r>
  <r>
    <n v="10261"/>
    <x v="7"/>
    <n v="160"/>
    <n v="20"/>
    <d v="1996-07-19T00:00:00"/>
  </r>
  <r>
    <n v="10261"/>
    <x v="0"/>
    <n v="288"/>
    <n v="20"/>
    <d v="1996-07-19T00:00:00"/>
  </r>
  <r>
    <n v="10261"/>
    <x v="1"/>
    <n v="288"/>
    <n v="20"/>
    <d v="1996-07-19T00:00:00"/>
  </r>
  <r>
    <n v="10261"/>
    <x v="2"/>
    <n v="288"/>
    <n v="20"/>
    <d v="1996-07-19T00:00:00"/>
  </r>
  <r>
    <n v="10261"/>
    <x v="3"/>
    <n v="288"/>
    <n v="20"/>
    <d v="1996-07-19T00:00:00"/>
  </r>
  <r>
    <n v="10261"/>
    <x v="4"/>
    <n v="288"/>
    <n v="20"/>
    <d v="1996-07-19T00:00:00"/>
  </r>
  <r>
    <n v="10261"/>
    <x v="5"/>
    <n v="288"/>
    <n v="20"/>
    <d v="1996-07-19T00:00:00"/>
  </r>
  <r>
    <n v="10261"/>
    <x v="6"/>
    <n v="288"/>
    <n v="20"/>
    <d v="1996-07-19T00:00:00"/>
  </r>
  <r>
    <n v="10261"/>
    <x v="7"/>
    <n v="288"/>
    <n v="20"/>
    <d v="1996-07-19T00:00:00"/>
  </r>
  <r>
    <n v="10262"/>
    <x v="0"/>
    <n v="163.19999939203262"/>
    <n v="12"/>
    <d v="1996-07-22T00:00:00"/>
  </r>
  <r>
    <n v="10262"/>
    <x v="1"/>
    <n v="163.19999939203262"/>
    <n v="12"/>
    <d v="1996-07-22T00:00:00"/>
  </r>
  <r>
    <n v="10262"/>
    <x v="2"/>
    <n v="163.19999939203262"/>
    <n v="12"/>
    <d v="1996-07-22T00:00:00"/>
  </r>
  <r>
    <n v="10262"/>
    <x v="3"/>
    <n v="163.19999939203262"/>
    <n v="12"/>
    <d v="1996-07-22T00:00:00"/>
  </r>
  <r>
    <n v="10262"/>
    <x v="4"/>
    <n v="163.19999939203262"/>
    <n v="12"/>
    <d v="1996-07-22T00:00:00"/>
  </r>
  <r>
    <n v="10262"/>
    <x v="5"/>
    <n v="163.19999939203262"/>
    <n v="12"/>
    <d v="1996-07-22T00:00:00"/>
  </r>
  <r>
    <n v="10262"/>
    <x v="6"/>
    <n v="163.19999939203262"/>
    <n v="12"/>
    <d v="1996-07-22T00:00:00"/>
  </r>
  <r>
    <n v="10262"/>
    <x v="7"/>
    <n v="163.19999939203262"/>
    <n v="12"/>
    <d v="1996-07-22T00:00:00"/>
  </r>
  <r>
    <n v="10262"/>
    <x v="0"/>
    <n v="360"/>
    <n v="15"/>
    <d v="1996-07-22T00:00:00"/>
  </r>
  <r>
    <n v="10262"/>
    <x v="1"/>
    <n v="360"/>
    <n v="15"/>
    <d v="1996-07-22T00:00:00"/>
  </r>
  <r>
    <n v="10262"/>
    <x v="2"/>
    <n v="360"/>
    <n v="15"/>
    <d v="1996-07-22T00:00:00"/>
  </r>
  <r>
    <n v="10262"/>
    <x v="3"/>
    <n v="360"/>
    <n v="15"/>
    <d v="1996-07-22T00:00:00"/>
  </r>
  <r>
    <n v="10262"/>
    <x v="4"/>
    <n v="360"/>
    <n v="15"/>
    <d v="1996-07-22T00:00:00"/>
  </r>
  <r>
    <n v="10262"/>
    <x v="5"/>
    <n v="360"/>
    <n v="15"/>
    <d v="1996-07-22T00:00:00"/>
  </r>
  <r>
    <n v="10262"/>
    <x v="6"/>
    <n v="360"/>
    <n v="15"/>
    <d v="1996-07-22T00:00:00"/>
  </r>
  <r>
    <n v="10262"/>
    <x v="7"/>
    <n v="360"/>
    <n v="15"/>
    <d v="1996-07-22T00:00:00"/>
  </r>
  <r>
    <n v="10262"/>
    <x v="0"/>
    <n v="60.8"/>
    <n v="2"/>
    <d v="1996-07-22T00:00:00"/>
  </r>
  <r>
    <n v="10262"/>
    <x v="1"/>
    <n v="60.8"/>
    <n v="2"/>
    <d v="1996-07-22T00:00:00"/>
  </r>
  <r>
    <n v="10262"/>
    <x v="2"/>
    <n v="60.8"/>
    <n v="2"/>
    <d v="1996-07-22T00:00:00"/>
  </r>
  <r>
    <n v="10262"/>
    <x v="3"/>
    <n v="60.8"/>
    <n v="2"/>
    <d v="1996-07-22T00:00:00"/>
  </r>
  <r>
    <n v="10262"/>
    <x v="4"/>
    <n v="60.8"/>
    <n v="2"/>
    <d v="1996-07-22T00:00:00"/>
  </r>
  <r>
    <n v="10262"/>
    <x v="5"/>
    <n v="60.8"/>
    <n v="2"/>
    <d v="1996-07-22T00:00:00"/>
  </r>
  <r>
    <n v="10262"/>
    <x v="6"/>
    <n v="60.8"/>
    <n v="2"/>
    <d v="1996-07-22T00:00:00"/>
  </r>
  <r>
    <n v="10262"/>
    <x v="7"/>
    <n v="60.8"/>
    <n v="2"/>
    <d v="1996-07-22T00:00:00"/>
  </r>
  <r>
    <n v="10263"/>
    <x v="0"/>
    <n v="625.5"/>
    <n v="60"/>
    <d v="1996-07-23T00:00:00"/>
  </r>
  <r>
    <n v="10263"/>
    <x v="1"/>
    <n v="625.5"/>
    <n v="60"/>
    <d v="1996-07-23T00:00:00"/>
  </r>
  <r>
    <n v="10263"/>
    <x v="2"/>
    <n v="625.5"/>
    <n v="60"/>
    <d v="1996-07-23T00:00:00"/>
  </r>
  <r>
    <n v="10263"/>
    <x v="3"/>
    <n v="625.5"/>
    <n v="60"/>
    <d v="1996-07-23T00:00:00"/>
  </r>
  <r>
    <n v="10263"/>
    <x v="4"/>
    <n v="625.5"/>
    <n v="60"/>
    <d v="1996-07-23T00:00:00"/>
  </r>
  <r>
    <n v="10263"/>
    <x v="5"/>
    <n v="625.5"/>
    <n v="60"/>
    <d v="1996-07-23T00:00:00"/>
  </r>
  <r>
    <n v="10263"/>
    <x v="6"/>
    <n v="625.5"/>
    <n v="60"/>
    <d v="1996-07-23T00:00:00"/>
  </r>
  <r>
    <n v="10263"/>
    <x v="7"/>
    <n v="625.5"/>
    <n v="60"/>
    <d v="1996-07-23T00:00:00"/>
  </r>
  <r>
    <n v="10263"/>
    <x v="0"/>
    <n v="100.8"/>
    <n v="28"/>
    <d v="1996-07-23T00:00:00"/>
  </r>
  <r>
    <n v="10263"/>
    <x v="1"/>
    <n v="100.8"/>
    <n v="28"/>
    <d v="1996-07-23T00:00:00"/>
  </r>
  <r>
    <n v="10263"/>
    <x v="2"/>
    <n v="100.8"/>
    <n v="28"/>
    <d v="1996-07-23T00:00:00"/>
  </r>
  <r>
    <n v="10263"/>
    <x v="3"/>
    <n v="100.8"/>
    <n v="28"/>
    <d v="1996-07-23T00:00:00"/>
  </r>
  <r>
    <n v="10263"/>
    <x v="4"/>
    <n v="100.8"/>
    <n v="28"/>
    <d v="1996-07-23T00:00:00"/>
  </r>
  <r>
    <n v="10263"/>
    <x v="5"/>
    <n v="100.8"/>
    <n v="28"/>
    <d v="1996-07-23T00:00:00"/>
  </r>
  <r>
    <n v="10263"/>
    <x v="6"/>
    <n v="100.8"/>
    <n v="28"/>
    <d v="1996-07-23T00:00:00"/>
  </r>
  <r>
    <n v="10263"/>
    <x v="7"/>
    <n v="100.8"/>
    <n v="28"/>
    <d v="1996-07-23T00:00:00"/>
  </r>
  <r>
    <n v="10263"/>
    <x v="0"/>
    <n v="931.5"/>
    <n v="60"/>
    <d v="1996-07-23T00:00:00"/>
  </r>
  <r>
    <n v="10263"/>
    <x v="1"/>
    <n v="931.5"/>
    <n v="60"/>
    <d v="1996-07-23T00:00:00"/>
  </r>
  <r>
    <n v="10263"/>
    <x v="2"/>
    <n v="931.5"/>
    <n v="60"/>
    <d v="1996-07-23T00:00:00"/>
  </r>
  <r>
    <n v="10263"/>
    <x v="3"/>
    <n v="931.5"/>
    <n v="60"/>
    <d v="1996-07-23T00:00:00"/>
  </r>
  <r>
    <n v="10263"/>
    <x v="4"/>
    <n v="931.5"/>
    <n v="60"/>
    <d v="1996-07-23T00:00:00"/>
  </r>
  <r>
    <n v="10263"/>
    <x v="5"/>
    <n v="931.5"/>
    <n v="60"/>
    <d v="1996-07-23T00:00:00"/>
  </r>
  <r>
    <n v="10263"/>
    <x v="6"/>
    <n v="931.5"/>
    <n v="60"/>
    <d v="1996-07-23T00:00:00"/>
  </r>
  <r>
    <n v="10263"/>
    <x v="7"/>
    <n v="931.5"/>
    <n v="60"/>
    <d v="1996-07-23T00:00:00"/>
  </r>
  <r>
    <n v="10263"/>
    <x v="0"/>
    <n v="216"/>
    <n v="36"/>
    <d v="1996-07-23T00:00:00"/>
  </r>
  <r>
    <n v="10263"/>
    <x v="1"/>
    <n v="216"/>
    <n v="36"/>
    <d v="1996-07-23T00:00:00"/>
  </r>
  <r>
    <n v="10263"/>
    <x v="2"/>
    <n v="216"/>
    <n v="36"/>
    <d v="1996-07-23T00:00:00"/>
  </r>
  <r>
    <n v="10263"/>
    <x v="3"/>
    <n v="216"/>
    <n v="36"/>
    <d v="1996-07-23T00:00:00"/>
  </r>
  <r>
    <n v="10263"/>
    <x v="4"/>
    <n v="216"/>
    <n v="36"/>
    <d v="1996-07-23T00:00:00"/>
  </r>
  <r>
    <n v="10263"/>
    <x v="5"/>
    <n v="216"/>
    <n v="36"/>
    <d v="1996-07-23T00:00:00"/>
  </r>
  <r>
    <n v="10263"/>
    <x v="6"/>
    <n v="216"/>
    <n v="36"/>
    <d v="1996-07-23T00:00:00"/>
  </r>
  <r>
    <n v="10263"/>
    <x v="7"/>
    <n v="216"/>
    <n v="36"/>
    <d v="1996-07-23T00:00:00"/>
  </r>
  <r>
    <n v="10264"/>
    <x v="0"/>
    <n v="532"/>
    <n v="35"/>
    <d v="1996-07-24T00:00:00"/>
  </r>
  <r>
    <n v="10264"/>
    <x v="1"/>
    <n v="532"/>
    <n v="35"/>
    <d v="1996-07-24T00:00:00"/>
  </r>
  <r>
    <n v="10264"/>
    <x v="2"/>
    <n v="532"/>
    <n v="35"/>
    <d v="1996-07-24T00:00:00"/>
  </r>
  <r>
    <n v="10264"/>
    <x v="3"/>
    <n v="532"/>
    <n v="35"/>
    <d v="1996-07-24T00:00:00"/>
  </r>
  <r>
    <n v="10264"/>
    <x v="4"/>
    <n v="532"/>
    <n v="35"/>
    <d v="1996-07-24T00:00:00"/>
  </r>
  <r>
    <n v="10264"/>
    <x v="5"/>
    <n v="532"/>
    <n v="35"/>
    <d v="1996-07-24T00:00:00"/>
  </r>
  <r>
    <n v="10264"/>
    <x v="6"/>
    <n v="532"/>
    <n v="35"/>
    <d v="1996-07-24T00:00:00"/>
  </r>
  <r>
    <n v="10264"/>
    <x v="7"/>
    <n v="532"/>
    <n v="35"/>
    <d v="1996-07-24T00:00:00"/>
  </r>
  <r>
    <n v="10264"/>
    <x v="0"/>
    <n v="163.62499885261059"/>
    <n v="25"/>
    <d v="1996-07-24T00:00:00"/>
  </r>
  <r>
    <n v="10264"/>
    <x v="1"/>
    <n v="163.62499885261059"/>
    <n v="25"/>
    <d v="1996-07-24T00:00:00"/>
  </r>
  <r>
    <n v="10264"/>
    <x v="2"/>
    <n v="163.62499885261059"/>
    <n v="25"/>
    <d v="1996-07-24T00:00:00"/>
  </r>
  <r>
    <n v="10264"/>
    <x v="3"/>
    <n v="163.62499885261059"/>
    <n v="25"/>
    <d v="1996-07-24T00:00:00"/>
  </r>
  <r>
    <n v="10264"/>
    <x v="4"/>
    <n v="163.62499885261059"/>
    <n v="25"/>
    <d v="1996-07-24T00:00:00"/>
  </r>
  <r>
    <n v="10264"/>
    <x v="5"/>
    <n v="163.62499885261059"/>
    <n v="25"/>
    <d v="1996-07-24T00:00:00"/>
  </r>
  <r>
    <n v="10264"/>
    <x v="6"/>
    <n v="163.62499885261059"/>
    <n v="25"/>
    <d v="1996-07-24T00:00:00"/>
  </r>
  <r>
    <n v="10264"/>
    <x v="7"/>
    <n v="163.62499885261059"/>
    <n v="25"/>
    <d v="1996-07-24T00:00:00"/>
  </r>
  <r>
    <n v="10265"/>
    <x v="0"/>
    <n v="936"/>
    <n v="30"/>
    <d v="1996-07-25T00:00:00"/>
  </r>
  <r>
    <n v="10265"/>
    <x v="1"/>
    <n v="936"/>
    <n v="30"/>
    <d v="1996-07-25T00:00:00"/>
  </r>
  <r>
    <n v="10265"/>
    <x v="2"/>
    <n v="936"/>
    <n v="30"/>
    <d v="1996-07-25T00:00:00"/>
  </r>
  <r>
    <n v="10265"/>
    <x v="3"/>
    <n v="936"/>
    <n v="30"/>
    <d v="1996-07-25T00:00:00"/>
  </r>
  <r>
    <n v="10265"/>
    <x v="4"/>
    <n v="936"/>
    <n v="30"/>
    <d v="1996-07-25T00:00:00"/>
  </r>
  <r>
    <n v="10265"/>
    <x v="5"/>
    <n v="936"/>
    <n v="30"/>
    <d v="1996-07-25T00:00:00"/>
  </r>
  <r>
    <n v="10265"/>
    <x v="6"/>
    <n v="936"/>
    <n v="30"/>
    <d v="1996-07-25T00:00:00"/>
  </r>
  <r>
    <n v="10265"/>
    <x v="7"/>
    <n v="936"/>
    <n v="30"/>
    <d v="1996-07-25T00:00:00"/>
  </r>
  <r>
    <n v="10265"/>
    <x v="0"/>
    <n v="240"/>
    <n v="20"/>
    <d v="1996-07-25T00:00:00"/>
  </r>
  <r>
    <n v="10265"/>
    <x v="1"/>
    <n v="240"/>
    <n v="20"/>
    <d v="1996-07-25T00:00:00"/>
  </r>
  <r>
    <n v="10265"/>
    <x v="2"/>
    <n v="240"/>
    <n v="20"/>
    <d v="1996-07-25T00:00:00"/>
  </r>
  <r>
    <n v="10265"/>
    <x v="3"/>
    <n v="240"/>
    <n v="20"/>
    <d v="1996-07-25T00:00:00"/>
  </r>
  <r>
    <n v="10265"/>
    <x v="4"/>
    <n v="240"/>
    <n v="20"/>
    <d v="1996-07-25T00:00:00"/>
  </r>
  <r>
    <n v="10265"/>
    <x v="5"/>
    <n v="240"/>
    <n v="20"/>
    <d v="1996-07-25T00:00:00"/>
  </r>
  <r>
    <n v="10265"/>
    <x v="6"/>
    <n v="240"/>
    <n v="20"/>
    <d v="1996-07-25T00:00:00"/>
  </r>
  <r>
    <n v="10265"/>
    <x v="7"/>
    <n v="240"/>
    <n v="20"/>
    <d v="1996-07-25T00:00:00"/>
  </r>
  <r>
    <n v="10266"/>
    <x v="0"/>
    <n v="346.55999972820285"/>
    <n v="12"/>
    <d v="1996-07-26T00:00:00"/>
  </r>
  <r>
    <n v="10266"/>
    <x v="1"/>
    <n v="346.55999972820285"/>
    <n v="12"/>
    <d v="1996-07-26T00:00:00"/>
  </r>
  <r>
    <n v="10266"/>
    <x v="2"/>
    <n v="346.55999972820285"/>
    <n v="12"/>
    <d v="1996-07-26T00:00:00"/>
  </r>
  <r>
    <n v="10266"/>
    <x v="3"/>
    <n v="346.55999972820285"/>
    <n v="12"/>
    <d v="1996-07-26T00:00:00"/>
  </r>
  <r>
    <n v="10266"/>
    <x v="4"/>
    <n v="346.55999972820285"/>
    <n v="12"/>
    <d v="1996-07-26T00:00:00"/>
  </r>
  <r>
    <n v="10266"/>
    <x v="5"/>
    <n v="346.55999972820285"/>
    <n v="12"/>
    <d v="1996-07-26T00:00:00"/>
  </r>
  <r>
    <n v="10266"/>
    <x v="6"/>
    <n v="346.55999972820285"/>
    <n v="12"/>
    <d v="1996-07-26T00:00:00"/>
  </r>
  <r>
    <n v="10266"/>
    <x v="7"/>
    <n v="346.55999972820285"/>
    <n v="12"/>
    <d v="1996-07-26T00:00:00"/>
  </r>
  <r>
    <n v="10267"/>
    <x v="0"/>
    <n v="735"/>
    <n v="50"/>
    <d v="1996-07-29T00:00:00"/>
  </r>
  <r>
    <n v="10267"/>
    <x v="1"/>
    <n v="735"/>
    <n v="50"/>
    <d v="1996-07-29T00:00:00"/>
  </r>
  <r>
    <n v="10267"/>
    <x v="2"/>
    <n v="735"/>
    <n v="50"/>
    <d v="1996-07-29T00:00:00"/>
  </r>
  <r>
    <n v="10267"/>
    <x v="3"/>
    <n v="735"/>
    <n v="50"/>
    <d v="1996-07-29T00:00:00"/>
  </r>
  <r>
    <n v="10267"/>
    <x v="4"/>
    <n v="735"/>
    <n v="50"/>
    <d v="1996-07-29T00:00:00"/>
  </r>
  <r>
    <n v="10267"/>
    <x v="5"/>
    <n v="735"/>
    <n v="50"/>
    <d v="1996-07-29T00:00:00"/>
  </r>
  <r>
    <n v="10267"/>
    <x v="6"/>
    <n v="735"/>
    <n v="50"/>
    <d v="1996-07-29T00:00:00"/>
  </r>
  <r>
    <n v="10267"/>
    <x v="7"/>
    <n v="735"/>
    <n v="50"/>
    <d v="1996-07-29T00:00:00"/>
  </r>
  <r>
    <n v="10267"/>
    <x v="0"/>
    <n v="2617.9999816417694"/>
    <n v="70"/>
    <d v="1996-07-29T00:00:00"/>
  </r>
  <r>
    <n v="10267"/>
    <x v="1"/>
    <n v="2617.9999816417694"/>
    <n v="70"/>
    <d v="1996-07-29T00:00:00"/>
  </r>
  <r>
    <n v="10267"/>
    <x v="2"/>
    <n v="2617.9999816417694"/>
    <n v="70"/>
    <d v="1996-07-29T00:00:00"/>
  </r>
  <r>
    <n v="10267"/>
    <x v="3"/>
    <n v="2617.9999816417694"/>
    <n v="70"/>
    <d v="1996-07-29T00:00:00"/>
  </r>
  <r>
    <n v="10267"/>
    <x v="4"/>
    <n v="2617.9999816417694"/>
    <n v="70"/>
    <d v="1996-07-29T00:00:00"/>
  </r>
  <r>
    <n v="10267"/>
    <x v="5"/>
    <n v="2617.9999816417694"/>
    <n v="70"/>
    <d v="1996-07-29T00:00:00"/>
  </r>
  <r>
    <n v="10267"/>
    <x v="6"/>
    <n v="2617.9999816417694"/>
    <n v="70"/>
    <d v="1996-07-29T00:00:00"/>
  </r>
  <r>
    <n v="10267"/>
    <x v="7"/>
    <n v="2617.9999816417694"/>
    <n v="70"/>
    <d v="1996-07-29T00:00:00"/>
  </r>
  <r>
    <n v="10267"/>
    <x v="0"/>
    <n v="183.59999871253967"/>
    <n v="15"/>
    <d v="1996-07-29T00:00:00"/>
  </r>
  <r>
    <n v="10267"/>
    <x v="1"/>
    <n v="183.59999871253967"/>
    <n v="15"/>
    <d v="1996-07-29T00:00:00"/>
  </r>
  <r>
    <n v="10267"/>
    <x v="2"/>
    <n v="183.59999871253967"/>
    <n v="15"/>
    <d v="1996-07-29T00:00:00"/>
  </r>
  <r>
    <n v="10267"/>
    <x v="3"/>
    <n v="183.59999871253967"/>
    <n v="15"/>
    <d v="1996-07-29T00:00:00"/>
  </r>
  <r>
    <n v="10267"/>
    <x v="4"/>
    <n v="183.59999871253967"/>
    <n v="15"/>
    <d v="1996-07-29T00:00:00"/>
  </r>
  <r>
    <n v="10267"/>
    <x v="5"/>
    <n v="183.59999871253967"/>
    <n v="15"/>
    <d v="1996-07-29T00:00:00"/>
  </r>
  <r>
    <n v="10267"/>
    <x v="6"/>
    <n v="183.59999871253967"/>
    <n v="15"/>
    <d v="1996-07-29T00:00:00"/>
  </r>
  <r>
    <n v="10267"/>
    <x v="7"/>
    <n v="183.59999871253967"/>
    <n v="15"/>
    <d v="1996-07-29T00:00:00"/>
  </r>
  <r>
    <n v="10268"/>
    <x v="0"/>
    <n v="990"/>
    <n v="10"/>
    <d v="1996-07-30T00:00:00"/>
  </r>
  <r>
    <n v="10268"/>
    <x v="1"/>
    <n v="990"/>
    <n v="10"/>
    <d v="1996-07-30T00:00:00"/>
  </r>
  <r>
    <n v="10268"/>
    <x v="2"/>
    <n v="990"/>
    <n v="10"/>
    <d v="1996-07-30T00:00:00"/>
  </r>
  <r>
    <n v="10268"/>
    <x v="3"/>
    <n v="990"/>
    <n v="10"/>
    <d v="1996-07-30T00:00:00"/>
  </r>
  <r>
    <n v="10268"/>
    <x v="4"/>
    <n v="990"/>
    <n v="10"/>
    <d v="1996-07-30T00:00:00"/>
  </r>
  <r>
    <n v="10268"/>
    <x v="5"/>
    <n v="990"/>
    <n v="10"/>
    <d v="1996-07-30T00:00:00"/>
  </r>
  <r>
    <n v="10268"/>
    <x v="6"/>
    <n v="990"/>
    <n v="10"/>
    <d v="1996-07-30T00:00:00"/>
  </r>
  <r>
    <n v="10268"/>
    <x v="7"/>
    <n v="990"/>
    <n v="10"/>
    <d v="1996-07-30T00:00:00"/>
  </r>
  <r>
    <n v="10268"/>
    <x v="0"/>
    <n v="111.2"/>
    <n v="4"/>
    <d v="1996-07-30T00:00:00"/>
  </r>
  <r>
    <n v="10268"/>
    <x v="1"/>
    <n v="111.2"/>
    <n v="4"/>
    <d v="1996-07-30T00:00:00"/>
  </r>
  <r>
    <n v="10268"/>
    <x v="2"/>
    <n v="111.2"/>
    <n v="4"/>
    <d v="1996-07-30T00:00:00"/>
  </r>
  <r>
    <n v="10268"/>
    <x v="3"/>
    <n v="111.2"/>
    <n v="4"/>
    <d v="1996-07-30T00:00:00"/>
  </r>
  <r>
    <n v="10268"/>
    <x v="4"/>
    <n v="111.2"/>
    <n v="4"/>
    <d v="1996-07-30T00:00:00"/>
  </r>
  <r>
    <n v="10268"/>
    <x v="5"/>
    <n v="111.2"/>
    <n v="4"/>
    <d v="1996-07-30T00:00:00"/>
  </r>
  <r>
    <n v="10268"/>
    <x v="6"/>
    <n v="111.2"/>
    <n v="4"/>
    <d v="1996-07-30T00:00:00"/>
  </r>
  <r>
    <n v="10268"/>
    <x v="7"/>
    <n v="111.2"/>
    <n v="4"/>
    <d v="1996-07-30T00:00:00"/>
  </r>
  <r>
    <n v="10269"/>
    <x v="0"/>
    <n v="113.99999991059303"/>
    <n v="60"/>
    <d v="1996-07-31T00:00:00"/>
  </r>
  <r>
    <n v="10269"/>
    <x v="1"/>
    <n v="113.99999991059303"/>
    <n v="60"/>
    <d v="1996-07-31T00:00:00"/>
  </r>
  <r>
    <n v="10269"/>
    <x v="2"/>
    <n v="113.99999991059303"/>
    <n v="60"/>
    <d v="1996-07-31T00:00:00"/>
  </r>
  <r>
    <n v="10269"/>
    <x v="3"/>
    <n v="113.99999991059303"/>
    <n v="60"/>
    <d v="1996-07-31T00:00:00"/>
  </r>
  <r>
    <n v="10269"/>
    <x v="4"/>
    <n v="113.99999991059303"/>
    <n v="60"/>
    <d v="1996-07-31T00:00:00"/>
  </r>
  <r>
    <n v="10269"/>
    <x v="5"/>
    <n v="113.99999991059303"/>
    <n v="60"/>
    <d v="1996-07-31T00:00:00"/>
  </r>
  <r>
    <n v="10269"/>
    <x v="6"/>
    <n v="113.99999991059303"/>
    <n v="60"/>
    <d v="1996-07-31T00:00:00"/>
  </r>
  <r>
    <n v="10269"/>
    <x v="7"/>
    <n v="113.99999991059303"/>
    <n v="60"/>
    <d v="1996-07-31T00:00:00"/>
  </r>
  <r>
    <n v="10269"/>
    <x v="0"/>
    <n v="528.19999958574772"/>
    <n v="20"/>
    <d v="1996-07-31T00:00:00"/>
  </r>
  <r>
    <n v="10269"/>
    <x v="1"/>
    <n v="528.19999958574772"/>
    <n v="20"/>
    <d v="1996-07-31T00:00:00"/>
  </r>
  <r>
    <n v="10269"/>
    <x v="2"/>
    <n v="528.19999958574772"/>
    <n v="20"/>
    <d v="1996-07-31T00:00:00"/>
  </r>
  <r>
    <n v="10269"/>
    <x v="3"/>
    <n v="528.19999958574772"/>
    <n v="20"/>
    <d v="1996-07-31T00:00:00"/>
  </r>
  <r>
    <n v="10269"/>
    <x v="4"/>
    <n v="528.19999958574772"/>
    <n v="20"/>
    <d v="1996-07-31T00:00:00"/>
  </r>
  <r>
    <n v="10269"/>
    <x v="5"/>
    <n v="528.19999958574772"/>
    <n v="20"/>
    <d v="1996-07-31T00:00:00"/>
  </r>
  <r>
    <n v="10269"/>
    <x v="6"/>
    <n v="528.19999958574772"/>
    <n v="20"/>
    <d v="1996-07-31T00:00:00"/>
  </r>
  <r>
    <n v="10269"/>
    <x v="7"/>
    <n v="528.19999958574772"/>
    <n v="20"/>
    <d v="1996-07-31T00:00:00"/>
  </r>
  <r>
    <n v="10270"/>
    <x v="0"/>
    <n v="456"/>
    <n v="30"/>
    <d v="1996-08-01T00:00:00"/>
  </r>
  <r>
    <n v="10270"/>
    <x v="1"/>
    <n v="456"/>
    <n v="30"/>
    <d v="1996-08-01T00:00:00"/>
  </r>
  <r>
    <n v="10270"/>
    <x v="2"/>
    <n v="456"/>
    <n v="30"/>
    <d v="1996-08-01T00:00:00"/>
  </r>
  <r>
    <n v="10270"/>
    <x v="3"/>
    <n v="456"/>
    <n v="30"/>
    <d v="1996-08-01T00:00:00"/>
  </r>
  <r>
    <n v="10270"/>
    <x v="4"/>
    <n v="456"/>
    <n v="30"/>
    <d v="1996-08-01T00:00:00"/>
  </r>
  <r>
    <n v="10270"/>
    <x v="5"/>
    <n v="456"/>
    <n v="30"/>
    <d v="1996-08-01T00:00:00"/>
  </r>
  <r>
    <n v="10270"/>
    <x v="6"/>
    <n v="456"/>
    <n v="30"/>
    <d v="1996-08-01T00:00:00"/>
  </r>
  <r>
    <n v="10270"/>
    <x v="7"/>
    <n v="456"/>
    <n v="30"/>
    <d v="1996-08-01T00:00:00"/>
  </r>
  <r>
    <n v="10270"/>
    <x v="0"/>
    <n v="920"/>
    <n v="25"/>
    <d v="1996-08-01T00:00:00"/>
  </r>
  <r>
    <n v="10270"/>
    <x v="1"/>
    <n v="920"/>
    <n v="25"/>
    <d v="1996-08-01T00:00:00"/>
  </r>
  <r>
    <n v="10270"/>
    <x v="2"/>
    <n v="920"/>
    <n v="25"/>
    <d v="1996-08-01T00:00:00"/>
  </r>
  <r>
    <n v="10270"/>
    <x v="3"/>
    <n v="920"/>
    <n v="25"/>
    <d v="1996-08-01T00:00:00"/>
  </r>
  <r>
    <n v="10270"/>
    <x v="4"/>
    <n v="920"/>
    <n v="25"/>
    <d v="1996-08-01T00:00:00"/>
  </r>
  <r>
    <n v="10270"/>
    <x v="5"/>
    <n v="920"/>
    <n v="25"/>
    <d v="1996-08-01T00:00:00"/>
  </r>
  <r>
    <n v="10270"/>
    <x v="6"/>
    <n v="920"/>
    <n v="25"/>
    <d v="1996-08-01T00:00:00"/>
  </r>
  <r>
    <n v="10270"/>
    <x v="7"/>
    <n v="920"/>
    <n v="25"/>
    <d v="1996-08-01T00:00:00"/>
  </r>
  <r>
    <n v="10271"/>
    <x v="0"/>
    <n v="48"/>
    <n v="24"/>
    <d v="1996-08-01T00:00:00"/>
  </r>
  <r>
    <n v="10271"/>
    <x v="1"/>
    <n v="48"/>
    <n v="24"/>
    <d v="1996-08-01T00:00:00"/>
  </r>
  <r>
    <n v="10271"/>
    <x v="2"/>
    <n v="48"/>
    <n v="24"/>
    <d v="1996-08-01T00:00:00"/>
  </r>
  <r>
    <n v="10271"/>
    <x v="3"/>
    <n v="48"/>
    <n v="24"/>
    <d v="1996-08-01T00:00:00"/>
  </r>
  <r>
    <n v="10271"/>
    <x v="4"/>
    <n v="48"/>
    <n v="24"/>
    <d v="1996-08-01T00:00:00"/>
  </r>
  <r>
    <n v="10271"/>
    <x v="5"/>
    <n v="48"/>
    <n v="24"/>
    <d v="1996-08-01T00:00:00"/>
  </r>
  <r>
    <n v="10271"/>
    <x v="6"/>
    <n v="48"/>
    <n v="24"/>
    <d v="1996-08-01T00:00:00"/>
  </r>
  <r>
    <n v="10271"/>
    <x v="7"/>
    <n v="48"/>
    <n v="24"/>
    <d v="1996-08-01T00:00:00"/>
  </r>
  <r>
    <n v="10272"/>
    <x v="0"/>
    <n v="388.8"/>
    <n v="6"/>
    <d v="1996-08-02T00:00:00"/>
  </r>
  <r>
    <n v="10272"/>
    <x v="1"/>
    <n v="388.8"/>
    <n v="6"/>
    <d v="1996-08-02T00:00:00"/>
  </r>
  <r>
    <n v="10272"/>
    <x v="2"/>
    <n v="388.8"/>
    <n v="6"/>
    <d v="1996-08-02T00:00:00"/>
  </r>
  <r>
    <n v="10272"/>
    <x v="3"/>
    <n v="388.8"/>
    <n v="6"/>
    <d v="1996-08-02T00:00:00"/>
  </r>
  <r>
    <n v="10272"/>
    <x v="4"/>
    <n v="388.8"/>
    <n v="6"/>
    <d v="1996-08-02T00:00:00"/>
  </r>
  <r>
    <n v="10272"/>
    <x v="5"/>
    <n v="388.8"/>
    <n v="6"/>
    <d v="1996-08-02T00:00:00"/>
  </r>
  <r>
    <n v="10272"/>
    <x v="6"/>
    <n v="388.8"/>
    <n v="6"/>
    <d v="1996-08-02T00:00:00"/>
  </r>
  <r>
    <n v="10272"/>
    <x v="7"/>
    <n v="388.8"/>
    <n v="6"/>
    <d v="1996-08-02T00:00:00"/>
  </r>
  <r>
    <n v="10272"/>
    <x v="0"/>
    <n v="400"/>
    <n v="40"/>
    <d v="1996-08-02T00:00:00"/>
  </r>
  <r>
    <n v="10272"/>
    <x v="1"/>
    <n v="400"/>
    <n v="40"/>
    <d v="1996-08-02T00:00:00"/>
  </r>
  <r>
    <n v="10272"/>
    <x v="2"/>
    <n v="400"/>
    <n v="40"/>
    <d v="1996-08-02T00:00:00"/>
  </r>
  <r>
    <n v="10272"/>
    <x v="3"/>
    <n v="400"/>
    <n v="40"/>
    <d v="1996-08-02T00:00:00"/>
  </r>
  <r>
    <n v="10272"/>
    <x v="4"/>
    <n v="400"/>
    <n v="40"/>
    <d v="1996-08-02T00:00:00"/>
  </r>
  <r>
    <n v="10272"/>
    <x v="5"/>
    <n v="400"/>
    <n v="40"/>
    <d v="1996-08-02T00:00:00"/>
  </r>
  <r>
    <n v="10272"/>
    <x v="6"/>
    <n v="400"/>
    <n v="40"/>
    <d v="1996-08-02T00:00:00"/>
  </r>
  <r>
    <n v="10272"/>
    <x v="7"/>
    <n v="400"/>
    <n v="40"/>
    <d v="1996-08-02T00:00:00"/>
  </r>
  <r>
    <n v="10272"/>
    <x v="0"/>
    <n v="667.2"/>
    <n v="24"/>
    <d v="1996-08-02T00:00:00"/>
  </r>
  <r>
    <n v="10272"/>
    <x v="1"/>
    <n v="667.2"/>
    <n v="24"/>
    <d v="1996-08-02T00:00:00"/>
  </r>
  <r>
    <n v="10272"/>
    <x v="2"/>
    <n v="667.2"/>
    <n v="24"/>
    <d v="1996-08-02T00:00:00"/>
  </r>
  <r>
    <n v="10272"/>
    <x v="3"/>
    <n v="667.2"/>
    <n v="24"/>
    <d v="1996-08-02T00:00:00"/>
  </r>
  <r>
    <n v="10272"/>
    <x v="4"/>
    <n v="667.2"/>
    <n v="24"/>
    <d v="1996-08-02T00:00:00"/>
  </r>
  <r>
    <n v="10272"/>
    <x v="5"/>
    <n v="667.2"/>
    <n v="24"/>
    <d v="1996-08-02T00:00:00"/>
  </r>
  <r>
    <n v="10272"/>
    <x v="6"/>
    <n v="667.2"/>
    <n v="24"/>
    <d v="1996-08-02T00:00:00"/>
  </r>
  <r>
    <n v="10272"/>
    <x v="7"/>
    <n v="667.2"/>
    <n v="24"/>
    <d v="1996-08-02T00:00:00"/>
  </r>
  <r>
    <n v="10273"/>
    <x v="0"/>
    <n v="565.43999955654147"/>
    <n v="24"/>
    <d v="1996-08-05T00:00:00"/>
  </r>
  <r>
    <n v="10273"/>
    <x v="1"/>
    <n v="565.43999955654147"/>
    <n v="24"/>
    <d v="1996-08-05T00:00:00"/>
  </r>
  <r>
    <n v="10273"/>
    <x v="2"/>
    <n v="565.43999955654147"/>
    <n v="24"/>
    <d v="1996-08-05T00:00:00"/>
  </r>
  <r>
    <n v="10273"/>
    <x v="3"/>
    <n v="565.43999955654147"/>
    <n v="24"/>
    <d v="1996-08-05T00:00:00"/>
  </r>
  <r>
    <n v="10273"/>
    <x v="4"/>
    <n v="565.43999955654147"/>
    <n v="24"/>
    <d v="1996-08-05T00:00:00"/>
  </r>
  <r>
    <n v="10273"/>
    <x v="5"/>
    <n v="565.43999955654147"/>
    <n v="24"/>
    <d v="1996-08-05T00:00:00"/>
  </r>
  <r>
    <n v="10273"/>
    <x v="6"/>
    <n v="565.43999955654147"/>
    <n v="24"/>
    <d v="1996-08-05T00:00:00"/>
  </r>
  <r>
    <n v="10273"/>
    <x v="7"/>
    <n v="565.43999955654147"/>
    <n v="24"/>
    <d v="1996-08-05T00:00:00"/>
  </r>
  <r>
    <n v="10273"/>
    <x v="0"/>
    <n v="142.49999988824129"/>
    <n v="15"/>
    <d v="1996-08-05T00:00:00"/>
  </r>
  <r>
    <n v="10273"/>
    <x v="1"/>
    <n v="142.49999988824129"/>
    <n v="15"/>
    <d v="1996-08-05T00:00:00"/>
  </r>
  <r>
    <n v="10273"/>
    <x v="2"/>
    <n v="142.49999988824129"/>
    <n v="15"/>
    <d v="1996-08-05T00:00:00"/>
  </r>
  <r>
    <n v="10273"/>
    <x v="3"/>
    <n v="142.49999988824129"/>
    <n v="15"/>
    <d v="1996-08-05T00:00:00"/>
  </r>
  <r>
    <n v="10273"/>
    <x v="4"/>
    <n v="142.49999988824129"/>
    <n v="15"/>
    <d v="1996-08-05T00:00:00"/>
  </r>
  <r>
    <n v="10273"/>
    <x v="5"/>
    <n v="142.49999988824129"/>
    <n v="15"/>
    <d v="1996-08-05T00:00:00"/>
  </r>
  <r>
    <n v="10273"/>
    <x v="6"/>
    <n v="142.49999988824129"/>
    <n v="15"/>
    <d v="1996-08-05T00:00:00"/>
  </r>
  <r>
    <n v="10273"/>
    <x v="7"/>
    <n v="142.49999988824129"/>
    <n v="15"/>
    <d v="1996-08-05T00:00:00"/>
  </r>
  <r>
    <n v="10273"/>
    <x v="0"/>
    <n v="40"/>
    <n v="20"/>
    <d v="1996-08-05T00:00:00"/>
  </r>
  <r>
    <n v="10273"/>
    <x v="1"/>
    <n v="40"/>
    <n v="20"/>
    <d v="1996-08-05T00:00:00"/>
  </r>
  <r>
    <n v="10273"/>
    <x v="2"/>
    <n v="40"/>
    <n v="20"/>
    <d v="1996-08-05T00:00:00"/>
  </r>
  <r>
    <n v="10273"/>
    <x v="3"/>
    <n v="40"/>
    <n v="20"/>
    <d v="1996-08-05T00:00:00"/>
  </r>
  <r>
    <n v="10273"/>
    <x v="4"/>
    <n v="40"/>
    <n v="20"/>
    <d v="1996-08-05T00:00:00"/>
  </r>
  <r>
    <n v="10273"/>
    <x v="5"/>
    <n v="40"/>
    <n v="20"/>
    <d v="1996-08-05T00:00:00"/>
  </r>
  <r>
    <n v="10273"/>
    <x v="6"/>
    <n v="40"/>
    <n v="20"/>
    <d v="1996-08-05T00:00:00"/>
  </r>
  <r>
    <n v="10273"/>
    <x v="7"/>
    <n v="40"/>
    <n v="20"/>
    <d v="1996-08-05T00:00:00"/>
  </r>
  <r>
    <n v="10273"/>
    <x v="0"/>
    <n v="837.89999934285879"/>
    <n v="60"/>
    <d v="1996-08-05T00:00:00"/>
  </r>
  <r>
    <n v="10273"/>
    <x v="1"/>
    <n v="837.89999934285879"/>
    <n v="60"/>
    <d v="1996-08-05T00:00:00"/>
  </r>
  <r>
    <n v="10273"/>
    <x v="2"/>
    <n v="837.89999934285879"/>
    <n v="60"/>
    <d v="1996-08-05T00:00:00"/>
  </r>
  <r>
    <n v="10273"/>
    <x v="3"/>
    <n v="837.89999934285879"/>
    <n v="60"/>
    <d v="1996-08-05T00:00:00"/>
  </r>
  <r>
    <n v="10273"/>
    <x v="4"/>
    <n v="837.89999934285879"/>
    <n v="60"/>
    <d v="1996-08-05T00:00:00"/>
  </r>
  <r>
    <n v="10273"/>
    <x v="5"/>
    <n v="837.89999934285879"/>
    <n v="60"/>
    <d v="1996-08-05T00:00:00"/>
  </r>
  <r>
    <n v="10273"/>
    <x v="6"/>
    <n v="837.89999934285879"/>
    <n v="60"/>
    <d v="1996-08-05T00:00:00"/>
  </r>
  <r>
    <n v="10273"/>
    <x v="7"/>
    <n v="837.89999934285879"/>
    <n v="60"/>
    <d v="1996-08-05T00:00:00"/>
  </r>
  <r>
    <n v="10273"/>
    <x v="0"/>
    <n v="451.43999964594838"/>
    <n v="33"/>
    <d v="1996-08-05T00:00:00"/>
  </r>
  <r>
    <n v="10273"/>
    <x v="1"/>
    <n v="451.43999964594838"/>
    <n v="33"/>
    <d v="1996-08-05T00:00:00"/>
  </r>
  <r>
    <n v="10273"/>
    <x v="2"/>
    <n v="451.43999964594838"/>
    <n v="33"/>
    <d v="1996-08-05T00:00:00"/>
  </r>
  <r>
    <n v="10273"/>
    <x v="3"/>
    <n v="451.43999964594838"/>
    <n v="33"/>
    <d v="1996-08-05T00:00:00"/>
  </r>
  <r>
    <n v="10273"/>
    <x v="4"/>
    <n v="451.43999964594838"/>
    <n v="33"/>
    <d v="1996-08-05T00:00:00"/>
  </r>
  <r>
    <n v="10273"/>
    <x v="5"/>
    <n v="451.43999964594838"/>
    <n v="33"/>
    <d v="1996-08-05T00:00:00"/>
  </r>
  <r>
    <n v="10273"/>
    <x v="6"/>
    <n v="451.43999964594838"/>
    <n v="33"/>
    <d v="1996-08-05T00:00:00"/>
  </r>
  <r>
    <n v="10273"/>
    <x v="7"/>
    <n v="451.43999964594838"/>
    <n v="33"/>
    <d v="1996-08-05T00:00:00"/>
  </r>
  <r>
    <n v="10274"/>
    <x v="0"/>
    <n v="344"/>
    <n v="20"/>
    <d v="1996-08-06T00:00:00"/>
  </r>
  <r>
    <n v="10274"/>
    <x v="1"/>
    <n v="344"/>
    <n v="20"/>
    <d v="1996-08-06T00:00:00"/>
  </r>
  <r>
    <n v="10274"/>
    <x v="2"/>
    <n v="344"/>
    <n v="20"/>
    <d v="1996-08-06T00:00:00"/>
  </r>
  <r>
    <n v="10274"/>
    <x v="3"/>
    <n v="344"/>
    <n v="20"/>
    <d v="1996-08-06T00:00:00"/>
  </r>
  <r>
    <n v="10274"/>
    <x v="4"/>
    <n v="344"/>
    <n v="20"/>
    <d v="1996-08-06T00:00:00"/>
  </r>
  <r>
    <n v="10274"/>
    <x v="5"/>
    <n v="344"/>
    <n v="20"/>
    <d v="1996-08-06T00:00:00"/>
  </r>
  <r>
    <n v="10274"/>
    <x v="6"/>
    <n v="344"/>
    <n v="20"/>
    <d v="1996-08-06T00:00:00"/>
  </r>
  <r>
    <n v="10274"/>
    <x v="7"/>
    <n v="344"/>
    <n v="20"/>
    <d v="1996-08-06T00:00:00"/>
  </r>
  <r>
    <n v="10274"/>
    <x v="0"/>
    <n v="194.6"/>
    <n v="7"/>
    <d v="1996-08-06T00:00:00"/>
  </r>
  <r>
    <n v="10274"/>
    <x v="1"/>
    <n v="194.6"/>
    <n v="7"/>
    <d v="1996-08-06T00:00:00"/>
  </r>
  <r>
    <n v="10274"/>
    <x v="2"/>
    <n v="194.6"/>
    <n v="7"/>
    <d v="1996-08-06T00:00:00"/>
  </r>
  <r>
    <n v="10274"/>
    <x v="3"/>
    <n v="194.6"/>
    <n v="7"/>
    <d v="1996-08-06T00:00:00"/>
  </r>
  <r>
    <n v="10274"/>
    <x v="4"/>
    <n v="194.6"/>
    <n v="7"/>
    <d v="1996-08-06T00:00:00"/>
  </r>
  <r>
    <n v="10274"/>
    <x v="5"/>
    <n v="194.6"/>
    <n v="7"/>
    <d v="1996-08-06T00:00:00"/>
  </r>
  <r>
    <n v="10274"/>
    <x v="6"/>
    <n v="194.6"/>
    <n v="7"/>
    <d v="1996-08-06T00:00:00"/>
  </r>
  <r>
    <n v="10274"/>
    <x v="7"/>
    <n v="194.6"/>
    <n v="7"/>
    <d v="1996-08-06T00:00:00"/>
  </r>
  <r>
    <n v="10275"/>
    <x v="0"/>
    <n v="41.039999967813493"/>
    <n v="12"/>
    <d v="1996-08-07T00:00:00"/>
  </r>
  <r>
    <n v="10275"/>
    <x v="1"/>
    <n v="41.039999967813493"/>
    <n v="12"/>
    <d v="1996-08-07T00:00:00"/>
  </r>
  <r>
    <n v="10275"/>
    <x v="2"/>
    <n v="41.039999967813493"/>
    <n v="12"/>
    <d v="1996-08-07T00:00:00"/>
  </r>
  <r>
    <n v="10275"/>
    <x v="3"/>
    <n v="41.039999967813493"/>
    <n v="12"/>
    <d v="1996-08-07T00:00:00"/>
  </r>
  <r>
    <n v="10275"/>
    <x v="4"/>
    <n v="41.039999967813493"/>
    <n v="12"/>
    <d v="1996-08-07T00:00:00"/>
  </r>
  <r>
    <n v="10275"/>
    <x v="5"/>
    <n v="41.039999967813493"/>
    <n v="12"/>
    <d v="1996-08-07T00:00:00"/>
  </r>
  <r>
    <n v="10275"/>
    <x v="6"/>
    <n v="41.039999967813493"/>
    <n v="12"/>
    <d v="1996-08-07T00:00:00"/>
  </r>
  <r>
    <n v="10275"/>
    <x v="7"/>
    <n v="41.039999967813493"/>
    <n v="12"/>
    <d v="1996-08-07T00:00:00"/>
  </r>
  <r>
    <n v="10275"/>
    <x v="0"/>
    <n v="250.79999980330467"/>
    <n v="6"/>
    <d v="1996-08-07T00:00:00"/>
  </r>
  <r>
    <n v="10275"/>
    <x v="1"/>
    <n v="250.79999980330467"/>
    <n v="6"/>
    <d v="1996-08-07T00:00:00"/>
  </r>
  <r>
    <n v="10275"/>
    <x v="2"/>
    <n v="250.79999980330467"/>
    <n v="6"/>
    <d v="1996-08-07T00:00:00"/>
  </r>
  <r>
    <n v="10275"/>
    <x v="3"/>
    <n v="250.79999980330467"/>
    <n v="6"/>
    <d v="1996-08-07T00:00:00"/>
  </r>
  <r>
    <n v="10275"/>
    <x v="4"/>
    <n v="250.79999980330467"/>
    <n v="6"/>
    <d v="1996-08-07T00:00:00"/>
  </r>
  <r>
    <n v="10275"/>
    <x v="5"/>
    <n v="250.79999980330467"/>
    <n v="6"/>
    <d v="1996-08-07T00:00:00"/>
  </r>
  <r>
    <n v="10275"/>
    <x v="6"/>
    <n v="250.79999980330467"/>
    <n v="6"/>
    <d v="1996-08-07T00:00:00"/>
  </r>
  <r>
    <n v="10275"/>
    <x v="7"/>
    <n v="250.79999980330467"/>
    <n v="6"/>
    <d v="1996-08-07T00:00:00"/>
  </r>
  <r>
    <n v="10276"/>
    <x v="0"/>
    <n v="372"/>
    <n v="15"/>
    <d v="1996-08-08T00:00:00"/>
  </r>
  <r>
    <n v="10276"/>
    <x v="1"/>
    <n v="372"/>
    <n v="15"/>
    <d v="1996-08-08T00:00:00"/>
  </r>
  <r>
    <n v="10276"/>
    <x v="2"/>
    <n v="372"/>
    <n v="15"/>
    <d v="1996-08-08T00:00:00"/>
  </r>
  <r>
    <n v="10276"/>
    <x v="3"/>
    <n v="372"/>
    <n v="15"/>
    <d v="1996-08-08T00:00:00"/>
  </r>
  <r>
    <n v="10276"/>
    <x v="4"/>
    <n v="372"/>
    <n v="15"/>
    <d v="1996-08-08T00:00:00"/>
  </r>
  <r>
    <n v="10276"/>
    <x v="5"/>
    <n v="372"/>
    <n v="15"/>
    <d v="1996-08-08T00:00:00"/>
  </r>
  <r>
    <n v="10276"/>
    <x v="6"/>
    <n v="372"/>
    <n v="15"/>
    <d v="1996-08-08T00:00:00"/>
  </r>
  <r>
    <n v="10276"/>
    <x v="7"/>
    <n v="372"/>
    <n v="15"/>
    <d v="1996-08-08T00:00:00"/>
  </r>
  <r>
    <n v="10276"/>
    <x v="0"/>
    <n v="48"/>
    <n v="10"/>
    <d v="1996-08-08T00:00:00"/>
  </r>
  <r>
    <n v="10276"/>
    <x v="1"/>
    <n v="48"/>
    <n v="10"/>
    <d v="1996-08-08T00:00:00"/>
  </r>
  <r>
    <n v="10276"/>
    <x v="2"/>
    <n v="48"/>
    <n v="10"/>
    <d v="1996-08-08T00:00:00"/>
  </r>
  <r>
    <n v="10276"/>
    <x v="3"/>
    <n v="48"/>
    <n v="10"/>
    <d v="1996-08-08T00:00:00"/>
  </r>
  <r>
    <n v="10276"/>
    <x v="4"/>
    <n v="48"/>
    <n v="10"/>
    <d v="1996-08-08T00:00:00"/>
  </r>
  <r>
    <n v="10276"/>
    <x v="5"/>
    <n v="48"/>
    <n v="10"/>
    <d v="1996-08-08T00:00:00"/>
  </r>
  <r>
    <n v="10276"/>
    <x v="6"/>
    <n v="48"/>
    <n v="10"/>
    <d v="1996-08-08T00:00:00"/>
  </r>
  <r>
    <n v="10276"/>
    <x v="7"/>
    <n v="48"/>
    <n v="10"/>
    <d v="1996-08-08T00:00:00"/>
  </r>
  <r>
    <n v="10277"/>
    <x v="0"/>
    <n v="728"/>
    <n v="20"/>
    <d v="1996-08-09T00:00:00"/>
  </r>
  <r>
    <n v="10277"/>
    <x v="1"/>
    <n v="728"/>
    <n v="20"/>
    <d v="1996-08-09T00:00:00"/>
  </r>
  <r>
    <n v="10277"/>
    <x v="2"/>
    <n v="728"/>
    <n v="20"/>
    <d v="1996-08-09T00:00:00"/>
  </r>
  <r>
    <n v="10277"/>
    <x v="3"/>
    <n v="728"/>
    <n v="20"/>
    <d v="1996-08-09T00:00:00"/>
  </r>
  <r>
    <n v="10277"/>
    <x v="4"/>
    <n v="728"/>
    <n v="20"/>
    <d v="1996-08-09T00:00:00"/>
  </r>
  <r>
    <n v="10277"/>
    <x v="5"/>
    <n v="728"/>
    <n v="20"/>
    <d v="1996-08-09T00:00:00"/>
  </r>
  <r>
    <n v="10277"/>
    <x v="6"/>
    <n v="728"/>
    <n v="20"/>
    <d v="1996-08-09T00:00:00"/>
  </r>
  <r>
    <n v="10277"/>
    <x v="7"/>
    <n v="728"/>
    <n v="20"/>
    <d v="1996-08-09T00:00:00"/>
  </r>
  <r>
    <n v="10277"/>
    <x v="0"/>
    <n v="472.8"/>
    <n v="12"/>
    <d v="1996-08-09T00:00:00"/>
  </r>
  <r>
    <n v="10277"/>
    <x v="1"/>
    <n v="472.8"/>
    <n v="12"/>
    <d v="1996-08-09T00:00:00"/>
  </r>
  <r>
    <n v="10277"/>
    <x v="2"/>
    <n v="472.8"/>
    <n v="12"/>
    <d v="1996-08-09T00:00:00"/>
  </r>
  <r>
    <n v="10277"/>
    <x v="3"/>
    <n v="472.8"/>
    <n v="12"/>
    <d v="1996-08-09T00:00:00"/>
  </r>
  <r>
    <n v="10277"/>
    <x v="4"/>
    <n v="472.8"/>
    <n v="12"/>
    <d v="1996-08-09T00:00:00"/>
  </r>
  <r>
    <n v="10277"/>
    <x v="5"/>
    <n v="472.8"/>
    <n v="12"/>
    <d v="1996-08-09T00:00:00"/>
  </r>
  <r>
    <n v="10277"/>
    <x v="6"/>
    <n v="472.8"/>
    <n v="12"/>
    <d v="1996-08-09T00:00:00"/>
  </r>
  <r>
    <n v="10277"/>
    <x v="7"/>
    <n v="472.8"/>
    <n v="12"/>
    <d v="1996-08-09T00:00:00"/>
  </r>
  <r>
    <n v="10278"/>
    <x v="0"/>
    <n v="248"/>
    <n v="16"/>
    <d v="1996-08-12T00:00:00"/>
  </r>
  <r>
    <n v="10278"/>
    <x v="1"/>
    <n v="248"/>
    <n v="16"/>
    <d v="1996-08-12T00:00:00"/>
  </r>
  <r>
    <n v="10278"/>
    <x v="2"/>
    <n v="248"/>
    <n v="16"/>
    <d v="1996-08-12T00:00:00"/>
  </r>
  <r>
    <n v="10278"/>
    <x v="3"/>
    <n v="248"/>
    <n v="16"/>
    <d v="1996-08-12T00:00:00"/>
  </r>
  <r>
    <n v="10278"/>
    <x v="4"/>
    <n v="248"/>
    <n v="16"/>
    <d v="1996-08-12T00:00:00"/>
  </r>
  <r>
    <n v="10278"/>
    <x v="5"/>
    <n v="248"/>
    <n v="16"/>
    <d v="1996-08-12T00:00:00"/>
  </r>
  <r>
    <n v="10278"/>
    <x v="6"/>
    <n v="248"/>
    <n v="16"/>
    <d v="1996-08-12T00:00:00"/>
  </r>
  <r>
    <n v="10278"/>
    <x v="7"/>
    <n v="248"/>
    <n v="16"/>
    <d v="1996-08-12T00:00:00"/>
  </r>
  <r>
    <n v="10278"/>
    <x v="0"/>
    <n v="660"/>
    <n v="15"/>
    <d v="1996-08-12T00:00:00"/>
  </r>
  <r>
    <n v="10278"/>
    <x v="1"/>
    <n v="660"/>
    <n v="15"/>
    <d v="1996-08-12T00:00:00"/>
  </r>
  <r>
    <n v="10278"/>
    <x v="2"/>
    <n v="660"/>
    <n v="15"/>
    <d v="1996-08-12T00:00:00"/>
  </r>
  <r>
    <n v="10278"/>
    <x v="3"/>
    <n v="660"/>
    <n v="15"/>
    <d v="1996-08-12T00:00:00"/>
  </r>
  <r>
    <n v="10278"/>
    <x v="4"/>
    <n v="660"/>
    <n v="15"/>
    <d v="1996-08-12T00:00:00"/>
  </r>
  <r>
    <n v="10278"/>
    <x v="5"/>
    <n v="660"/>
    <n v="15"/>
    <d v="1996-08-12T00:00:00"/>
  </r>
  <r>
    <n v="10278"/>
    <x v="6"/>
    <n v="660"/>
    <n v="15"/>
    <d v="1996-08-12T00:00:00"/>
  </r>
  <r>
    <n v="10278"/>
    <x v="7"/>
    <n v="660"/>
    <n v="15"/>
    <d v="1996-08-12T00:00:00"/>
  </r>
  <r>
    <n v="10278"/>
    <x v="0"/>
    <n v="280.8"/>
    <n v="8"/>
    <d v="1996-08-12T00:00:00"/>
  </r>
  <r>
    <n v="10278"/>
    <x v="1"/>
    <n v="280.8"/>
    <n v="8"/>
    <d v="1996-08-12T00:00:00"/>
  </r>
  <r>
    <n v="10278"/>
    <x v="2"/>
    <n v="280.8"/>
    <n v="8"/>
    <d v="1996-08-12T00:00:00"/>
  </r>
  <r>
    <n v="10278"/>
    <x v="3"/>
    <n v="280.8"/>
    <n v="8"/>
    <d v="1996-08-12T00:00:00"/>
  </r>
  <r>
    <n v="10278"/>
    <x v="4"/>
    <n v="280.8"/>
    <n v="8"/>
    <d v="1996-08-12T00:00:00"/>
  </r>
  <r>
    <n v="10278"/>
    <x v="5"/>
    <n v="280.8"/>
    <n v="8"/>
    <d v="1996-08-12T00:00:00"/>
  </r>
  <r>
    <n v="10278"/>
    <x v="6"/>
    <n v="280.8"/>
    <n v="8"/>
    <d v="1996-08-12T00:00:00"/>
  </r>
  <r>
    <n v="10278"/>
    <x v="7"/>
    <n v="280.8"/>
    <n v="8"/>
    <d v="1996-08-12T00:00:00"/>
  </r>
  <r>
    <n v="10278"/>
    <x v="0"/>
    <n v="300"/>
    <n v="25"/>
    <d v="1996-08-12T00:00:00"/>
  </r>
  <r>
    <n v="10278"/>
    <x v="1"/>
    <n v="300"/>
    <n v="25"/>
    <d v="1996-08-12T00:00:00"/>
  </r>
  <r>
    <n v="10278"/>
    <x v="2"/>
    <n v="300"/>
    <n v="25"/>
    <d v="1996-08-12T00:00:00"/>
  </r>
  <r>
    <n v="10278"/>
    <x v="3"/>
    <n v="300"/>
    <n v="25"/>
    <d v="1996-08-12T00:00:00"/>
  </r>
  <r>
    <n v="10278"/>
    <x v="4"/>
    <n v="300"/>
    <n v="25"/>
    <d v="1996-08-12T00:00:00"/>
  </r>
  <r>
    <n v="10278"/>
    <x v="5"/>
    <n v="300"/>
    <n v="25"/>
    <d v="1996-08-12T00:00:00"/>
  </r>
  <r>
    <n v="10278"/>
    <x v="6"/>
    <n v="300"/>
    <n v="25"/>
    <d v="1996-08-12T00:00:00"/>
  </r>
  <r>
    <n v="10278"/>
    <x v="7"/>
    <n v="300"/>
    <n v="25"/>
    <d v="1996-08-12T00:00:00"/>
  </r>
  <r>
    <n v="10279"/>
    <x v="0"/>
    <n v="351"/>
    <n v="15"/>
    <d v="1996-08-13T00:00:00"/>
  </r>
  <r>
    <n v="10279"/>
    <x v="1"/>
    <n v="351"/>
    <n v="15"/>
    <d v="1996-08-13T00:00:00"/>
  </r>
  <r>
    <n v="10279"/>
    <x v="2"/>
    <n v="351"/>
    <n v="15"/>
    <d v="1996-08-13T00:00:00"/>
  </r>
  <r>
    <n v="10279"/>
    <x v="3"/>
    <n v="351"/>
    <n v="15"/>
    <d v="1996-08-13T00:00:00"/>
  </r>
  <r>
    <n v="10279"/>
    <x v="4"/>
    <n v="351"/>
    <n v="15"/>
    <d v="1996-08-13T00:00:00"/>
  </r>
  <r>
    <n v="10279"/>
    <x v="5"/>
    <n v="351"/>
    <n v="15"/>
    <d v="1996-08-13T00:00:00"/>
  </r>
  <r>
    <n v="10279"/>
    <x v="6"/>
    <n v="351"/>
    <n v="15"/>
    <d v="1996-08-13T00:00:00"/>
  </r>
  <r>
    <n v="10279"/>
    <x v="7"/>
    <n v="351"/>
    <n v="15"/>
    <d v="1996-08-13T00:00:00"/>
  </r>
  <r>
    <n v="10280"/>
    <x v="0"/>
    <n v="43.2"/>
    <n v="12"/>
    <d v="1996-08-14T00:00:00"/>
  </r>
  <r>
    <n v="10280"/>
    <x v="1"/>
    <n v="43.2"/>
    <n v="12"/>
    <d v="1996-08-14T00:00:00"/>
  </r>
  <r>
    <n v="10280"/>
    <x v="2"/>
    <n v="43.2"/>
    <n v="12"/>
    <d v="1996-08-14T00:00:00"/>
  </r>
  <r>
    <n v="10280"/>
    <x v="3"/>
    <n v="43.2"/>
    <n v="12"/>
    <d v="1996-08-14T00:00:00"/>
  </r>
  <r>
    <n v="10280"/>
    <x v="4"/>
    <n v="43.2"/>
    <n v="12"/>
    <d v="1996-08-14T00:00:00"/>
  </r>
  <r>
    <n v="10280"/>
    <x v="5"/>
    <n v="43.2"/>
    <n v="12"/>
    <d v="1996-08-14T00:00:00"/>
  </r>
  <r>
    <n v="10280"/>
    <x v="6"/>
    <n v="43.2"/>
    <n v="12"/>
    <d v="1996-08-14T00:00:00"/>
  </r>
  <r>
    <n v="10280"/>
    <x v="7"/>
    <n v="43.2"/>
    <n v="12"/>
    <d v="1996-08-14T00:00:00"/>
  </r>
  <r>
    <n v="10280"/>
    <x v="0"/>
    <n v="384"/>
    <n v="20"/>
    <d v="1996-08-14T00:00:00"/>
  </r>
  <r>
    <n v="10280"/>
    <x v="1"/>
    <n v="384"/>
    <n v="20"/>
    <d v="1996-08-14T00:00:00"/>
  </r>
  <r>
    <n v="10280"/>
    <x v="2"/>
    <n v="384"/>
    <n v="20"/>
    <d v="1996-08-14T00:00:00"/>
  </r>
  <r>
    <n v="10280"/>
    <x v="3"/>
    <n v="384"/>
    <n v="20"/>
    <d v="1996-08-14T00:00:00"/>
  </r>
  <r>
    <n v="10280"/>
    <x v="4"/>
    <n v="384"/>
    <n v="20"/>
    <d v="1996-08-14T00:00:00"/>
  </r>
  <r>
    <n v="10280"/>
    <x v="5"/>
    <n v="384"/>
    <n v="20"/>
    <d v="1996-08-14T00:00:00"/>
  </r>
  <r>
    <n v="10280"/>
    <x v="6"/>
    <n v="384"/>
    <n v="20"/>
    <d v="1996-08-14T00:00:00"/>
  </r>
  <r>
    <n v="10280"/>
    <x v="7"/>
    <n v="384"/>
    <n v="20"/>
    <d v="1996-08-14T00:00:00"/>
  </r>
  <r>
    <n v="10280"/>
    <x v="0"/>
    <n v="186"/>
    <n v="30"/>
    <d v="1996-08-14T00:00:00"/>
  </r>
  <r>
    <n v="10280"/>
    <x v="1"/>
    <n v="186"/>
    <n v="30"/>
    <d v="1996-08-14T00:00:00"/>
  </r>
  <r>
    <n v="10280"/>
    <x v="2"/>
    <n v="186"/>
    <n v="30"/>
    <d v="1996-08-14T00:00:00"/>
  </r>
  <r>
    <n v="10280"/>
    <x v="3"/>
    <n v="186"/>
    <n v="30"/>
    <d v="1996-08-14T00:00:00"/>
  </r>
  <r>
    <n v="10280"/>
    <x v="4"/>
    <n v="186"/>
    <n v="30"/>
    <d v="1996-08-14T00:00:00"/>
  </r>
  <r>
    <n v="10280"/>
    <x v="5"/>
    <n v="186"/>
    <n v="30"/>
    <d v="1996-08-14T00:00:00"/>
  </r>
  <r>
    <n v="10280"/>
    <x v="6"/>
    <n v="186"/>
    <n v="30"/>
    <d v="1996-08-14T00:00:00"/>
  </r>
  <r>
    <n v="10280"/>
    <x v="7"/>
    <n v="186"/>
    <n v="30"/>
    <d v="1996-08-14T00:00:00"/>
  </r>
  <r>
    <n v="10281"/>
    <x v="0"/>
    <n v="7.3"/>
    <n v="1"/>
    <d v="1996-08-14T00:00:00"/>
  </r>
  <r>
    <n v="10281"/>
    <x v="1"/>
    <n v="7.3"/>
    <n v="1"/>
    <d v="1996-08-14T00:00:00"/>
  </r>
  <r>
    <n v="10281"/>
    <x v="2"/>
    <n v="7.3"/>
    <n v="1"/>
    <d v="1996-08-14T00:00:00"/>
  </r>
  <r>
    <n v="10281"/>
    <x v="3"/>
    <n v="7.3"/>
    <n v="1"/>
    <d v="1996-08-14T00:00:00"/>
  </r>
  <r>
    <n v="10281"/>
    <x v="4"/>
    <n v="7.3"/>
    <n v="1"/>
    <d v="1996-08-14T00:00:00"/>
  </r>
  <r>
    <n v="10281"/>
    <x v="5"/>
    <n v="7.3"/>
    <n v="1"/>
    <d v="1996-08-14T00:00:00"/>
  </r>
  <r>
    <n v="10281"/>
    <x v="6"/>
    <n v="7.3"/>
    <n v="1"/>
    <d v="1996-08-14T00:00:00"/>
  </r>
  <r>
    <n v="10281"/>
    <x v="7"/>
    <n v="7.3"/>
    <n v="1"/>
    <d v="1996-08-14T00:00:00"/>
  </r>
  <r>
    <n v="10281"/>
    <x v="0"/>
    <n v="21.6"/>
    <n v="6"/>
    <d v="1996-08-14T00:00:00"/>
  </r>
  <r>
    <n v="10281"/>
    <x v="1"/>
    <n v="21.6"/>
    <n v="6"/>
    <d v="1996-08-14T00:00:00"/>
  </r>
  <r>
    <n v="10281"/>
    <x v="2"/>
    <n v="21.6"/>
    <n v="6"/>
    <d v="1996-08-14T00:00:00"/>
  </r>
  <r>
    <n v="10281"/>
    <x v="3"/>
    <n v="21.6"/>
    <n v="6"/>
    <d v="1996-08-14T00:00:00"/>
  </r>
  <r>
    <n v="10281"/>
    <x v="4"/>
    <n v="21.6"/>
    <n v="6"/>
    <d v="1996-08-14T00:00:00"/>
  </r>
  <r>
    <n v="10281"/>
    <x v="5"/>
    <n v="21.6"/>
    <n v="6"/>
    <d v="1996-08-14T00:00:00"/>
  </r>
  <r>
    <n v="10281"/>
    <x v="6"/>
    <n v="21.6"/>
    <n v="6"/>
    <d v="1996-08-14T00:00:00"/>
  </r>
  <r>
    <n v="10281"/>
    <x v="7"/>
    <n v="21.6"/>
    <n v="6"/>
    <d v="1996-08-14T00:00:00"/>
  </r>
  <r>
    <n v="10281"/>
    <x v="0"/>
    <n v="57.6"/>
    <n v="4"/>
    <d v="1996-08-14T00:00:00"/>
  </r>
  <r>
    <n v="10281"/>
    <x v="1"/>
    <n v="57.6"/>
    <n v="4"/>
    <d v="1996-08-14T00:00:00"/>
  </r>
  <r>
    <n v="10281"/>
    <x v="2"/>
    <n v="57.6"/>
    <n v="4"/>
    <d v="1996-08-14T00:00:00"/>
  </r>
  <r>
    <n v="10281"/>
    <x v="3"/>
    <n v="57.6"/>
    <n v="4"/>
    <d v="1996-08-14T00:00:00"/>
  </r>
  <r>
    <n v="10281"/>
    <x v="4"/>
    <n v="57.6"/>
    <n v="4"/>
    <d v="1996-08-14T00:00:00"/>
  </r>
  <r>
    <n v="10281"/>
    <x v="5"/>
    <n v="57.6"/>
    <n v="4"/>
    <d v="1996-08-14T00:00:00"/>
  </r>
  <r>
    <n v="10281"/>
    <x v="6"/>
    <n v="57.6"/>
    <n v="4"/>
    <d v="1996-08-14T00:00:00"/>
  </r>
  <r>
    <n v="10281"/>
    <x v="7"/>
    <n v="57.6"/>
    <n v="4"/>
    <d v="1996-08-14T00:00:00"/>
  </r>
  <r>
    <n v="10282"/>
    <x v="0"/>
    <n v="124.2"/>
    <n v="6"/>
    <d v="1996-08-15T00:00:00"/>
  </r>
  <r>
    <n v="10282"/>
    <x v="1"/>
    <n v="124.2"/>
    <n v="6"/>
    <d v="1996-08-15T00:00:00"/>
  </r>
  <r>
    <n v="10282"/>
    <x v="2"/>
    <n v="124.2"/>
    <n v="6"/>
    <d v="1996-08-15T00:00:00"/>
  </r>
  <r>
    <n v="10282"/>
    <x v="3"/>
    <n v="124.2"/>
    <n v="6"/>
    <d v="1996-08-15T00:00:00"/>
  </r>
  <r>
    <n v="10282"/>
    <x v="4"/>
    <n v="124.2"/>
    <n v="6"/>
    <d v="1996-08-15T00:00:00"/>
  </r>
  <r>
    <n v="10282"/>
    <x v="5"/>
    <n v="124.2"/>
    <n v="6"/>
    <d v="1996-08-15T00:00:00"/>
  </r>
  <r>
    <n v="10282"/>
    <x v="6"/>
    <n v="124.2"/>
    <n v="6"/>
    <d v="1996-08-15T00:00:00"/>
  </r>
  <r>
    <n v="10282"/>
    <x v="7"/>
    <n v="124.2"/>
    <n v="6"/>
    <d v="1996-08-15T00:00:00"/>
  </r>
  <r>
    <n v="10282"/>
    <x v="0"/>
    <n v="31.2"/>
    <n v="2"/>
    <d v="1996-08-15T00:00:00"/>
  </r>
  <r>
    <n v="10282"/>
    <x v="1"/>
    <n v="31.2"/>
    <n v="2"/>
    <d v="1996-08-15T00:00:00"/>
  </r>
  <r>
    <n v="10282"/>
    <x v="2"/>
    <n v="31.2"/>
    <n v="2"/>
    <d v="1996-08-15T00:00:00"/>
  </r>
  <r>
    <n v="10282"/>
    <x v="3"/>
    <n v="31.2"/>
    <n v="2"/>
    <d v="1996-08-15T00:00:00"/>
  </r>
  <r>
    <n v="10282"/>
    <x v="4"/>
    <n v="31.2"/>
    <n v="2"/>
    <d v="1996-08-15T00:00:00"/>
  </r>
  <r>
    <n v="10282"/>
    <x v="5"/>
    <n v="31.2"/>
    <n v="2"/>
    <d v="1996-08-15T00:00:00"/>
  </r>
  <r>
    <n v="10282"/>
    <x v="6"/>
    <n v="31.2"/>
    <n v="2"/>
    <d v="1996-08-15T00:00:00"/>
  </r>
  <r>
    <n v="10282"/>
    <x v="7"/>
    <n v="31.2"/>
    <n v="2"/>
    <d v="1996-08-15T00:00:00"/>
  </r>
  <r>
    <n v="10283"/>
    <x v="0"/>
    <n v="248"/>
    <n v="20"/>
    <d v="1996-08-16T00:00:00"/>
  </r>
  <r>
    <n v="10283"/>
    <x v="1"/>
    <n v="248"/>
    <n v="20"/>
    <d v="1996-08-16T00:00:00"/>
  </r>
  <r>
    <n v="10283"/>
    <x v="2"/>
    <n v="248"/>
    <n v="20"/>
    <d v="1996-08-16T00:00:00"/>
  </r>
  <r>
    <n v="10283"/>
    <x v="3"/>
    <n v="248"/>
    <n v="20"/>
    <d v="1996-08-16T00:00:00"/>
  </r>
  <r>
    <n v="10283"/>
    <x v="4"/>
    <n v="248"/>
    <n v="20"/>
    <d v="1996-08-16T00:00:00"/>
  </r>
  <r>
    <n v="10283"/>
    <x v="5"/>
    <n v="248"/>
    <n v="20"/>
    <d v="1996-08-16T00:00:00"/>
  </r>
  <r>
    <n v="10283"/>
    <x v="6"/>
    <n v="248"/>
    <n v="20"/>
    <d v="1996-08-16T00:00:00"/>
  </r>
  <r>
    <n v="10283"/>
    <x v="7"/>
    <n v="248"/>
    <n v="20"/>
    <d v="1996-08-16T00:00:00"/>
  </r>
  <r>
    <n v="10283"/>
    <x v="0"/>
    <n v="131.4"/>
    <n v="18"/>
    <d v="1996-08-16T00:00:00"/>
  </r>
  <r>
    <n v="10283"/>
    <x v="1"/>
    <n v="131.4"/>
    <n v="18"/>
    <d v="1996-08-16T00:00:00"/>
  </r>
  <r>
    <n v="10283"/>
    <x v="2"/>
    <n v="131.4"/>
    <n v="18"/>
    <d v="1996-08-16T00:00:00"/>
  </r>
  <r>
    <n v="10283"/>
    <x v="3"/>
    <n v="131.4"/>
    <n v="18"/>
    <d v="1996-08-16T00:00:00"/>
  </r>
  <r>
    <n v="10283"/>
    <x v="4"/>
    <n v="131.4"/>
    <n v="18"/>
    <d v="1996-08-16T00:00:00"/>
  </r>
  <r>
    <n v="10283"/>
    <x v="5"/>
    <n v="131.4"/>
    <n v="18"/>
    <d v="1996-08-16T00:00:00"/>
  </r>
  <r>
    <n v="10283"/>
    <x v="6"/>
    <n v="131.4"/>
    <n v="18"/>
    <d v="1996-08-16T00:00:00"/>
  </r>
  <r>
    <n v="10283"/>
    <x v="7"/>
    <n v="131.4"/>
    <n v="18"/>
    <d v="1996-08-16T00:00:00"/>
  </r>
  <r>
    <n v="10283"/>
    <x v="0"/>
    <n v="952"/>
    <n v="35"/>
    <d v="1996-08-16T00:00:00"/>
  </r>
  <r>
    <n v="10283"/>
    <x v="1"/>
    <n v="952"/>
    <n v="35"/>
    <d v="1996-08-16T00:00:00"/>
  </r>
  <r>
    <n v="10283"/>
    <x v="2"/>
    <n v="952"/>
    <n v="35"/>
    <d v="1996-08-16T00:00:00"/>
  </r>
  <r>
    <n v="10283"/>
    <x v="3"/>
    <n v="952"/>
    <n v="35"/>
    <d v="1996-08-16T00:00:00"/>
  </r>
  <r>
    <n v="10283"/>
    <x v="4"/>
    <n v="952"/>
    <n v="35"/>
    <d v="1996-08-16T00:00:00"/>
  </r>
  <r>
    <n v="10283"/>
    <x v="5"/>
    <n v="952"/>
    <n v="35"/>
    <d v="1996-08-16T00:00:00"/>
  </r>
  <r>
    <n v="10283"/>
    <x v="6"/>
    <n v="952"/>
    <n v="35"/>
    <d v="1996-08-16T00:00:00"/>
  </r>
  <r>
    <n v="10283"/>
    <x v="7"/>
    <n v="952"/>
    <n v="35"/>
    <d v="1996-08-16T00:00:00"/>
  </r>
  <r>
    <n v="10283"/>
    <x v="0"/>
    <n v="83.4"/>
    <n v="3"/>
    <d v="1996-08-16T00:00:00"/>
  </r>
  <r>
    <n v="10283"/>
    <x v="1"/>
    <n v="83.4"/>
    <n v="3"/>
    <d v="1996-08-16T00:00:00"/>
  </r>
  <r>
    <n v="10283"/>
    <x v="2"/>
    <n v="83.4"/>
    <n v="3"/>
    <d v="1996-08-16T00:00:00"/>
  </r>
  <r>
    <n v="10283"/>
    <x v="3"/>
    <n v="83.4"/>
    <n v="3"/>
    <d v="1996-08-16T00:00:00"/>
  </r>
  <r>
    <n v="10283"/>
    <x v="4"/>
    <n v="83.4"/>
    <n v="3"/>
    <d v="1996-08-16T00:00:00"/>
  </r>
  <r>
    <n v="10283"/>
    <x v="5"/>
    <n v="83.4"/>
    <n v="3"/>
    <d v="1996-08-16T00:00:00"/>
  </r>
  <r>
    <n v="10283"/>
    <x v="6"/>
    <n v="83.4"/>
    <n v="3"/>
    <d v="1996-08-16T00:00:00"/>
  </r>
  <r>
    <n v="10283"/>
    <x v="7"/>
    <n v="83.4"/>
    <n v="3"/>
    <d v="1996-08-16T00:00:00"/>
  </r>
  <r>
    <n v="10284"/>
    <x v="0"/>
    <n v="394.875"/>
    <n v="15"/>
    <d v="1996-08-19T00:00:00"/>
  </r>
  <r>
    <n v="10284"/>
    <x v="1"/>
    <n v="394.875"/>
    <n v="15"/>
    <d v="1996-08-19T00:00:00"/>
  </r>
  <r>
    <n v="10284"/>
    <x v="2"/>
    <n v="394.875"/>
    <n v="15"/>
    <d v="1996-08-19T00:00:00"/>
  </r>
  <r>
    <n v="10284"/>
    <x v="3"/>
    <n v="394.875"/>
    <n v="15"/>
    <d v="1996-08-19T00:00:00"/>
  </r>
  <r>
    <n v="10284"/>
    <x v="4"/>
    <n v="394.875"/>
    <n v="15"/>
    <d v="1996-08-19T00:00:00"/>
  </r>
  <r>
    <n v="10284"/>
    <x v="5"/>
    <n v="394.875"/>
    <n v="15"/>
    <d v="1996-08-19T00:00:00"/>
  </r>
  <r>
    <n v="10284"/>
    <x v="6"/>
    <n v="394.875"/>
    <n v="15"/>
    <d v="1996-08-19T00:00:00"/>
  </r>
  <r>
    <n v="10284"/>
    <x v="7"/>
    <n v="394.875"/>
    <n v="15"/>
    <d v="1996-08-19T00:00:00"/>
  </r>
  <r>
    <n v="10284"/>
    <x v="0"/>
    <n v="325.5"/>
    <n v="21"/>
    <d v="1996-08-19T00:00:00"/>
  </r>
  <r>
    <n v="10284"/>
    <x v="1"/>
    <n v="325.5"/>
    <n v="21"/>
    <d v="1996-08-19T00:00:00"/>
  </r>
  <r>
    <n v="10284"/>
    <x v="2"/>
    <n v="325.5"/>
    <n v="21"/>
    <d v="1996-08-19T00:00:00"/>
  </r>
  <r>
    <n v="10284"/>
    <x v="3"/>
    <n v="325.5"/>
    <n v="21"/>
    <d v="1996-08-19T00:00:00"/>
  </r>
  <r>
    <n v="10284"/>
    <x v="4"/>
    <n v="325.5"/>
    <n v="21"/>
    <d v="1996-08-19T00:00:00"/>
  </r>
  <r>
    <n v="10284"/>
    <x v="5"/>
    <n v="325.5"/>
    <n v="21"/>
    <d v="1996-08-19T00:00:00"/>
  </r>
  <r>
    <n v="10284"/>
    <x v="6"/>
    <n v="325.5"/>
    <n v="21"/>
    <d v="1996-08-19T00:00:00"/>
  </r>
  <r>
    <n v="10284"/>
    <x v="7"/>
    <n v="325.5"/>
    <n v="21"/>
    <d v="1996-08-19T00:00:00"/>
  </r>
  <r>
    <n v="10284"/>
    <x v="0"/>
    <n v="408"/>
    <n v="20"/>
    <d v="1996-08-19T00:00:00"/>
  </r>
  <r>
    <n v="10284"/>
    <x v="1"/>
    <n v="408"/>
    <n v="20"/>
    <d v="1996-08-19T00:00:00"/>
  </r>
  <r>
    <n v="10284"/>
    <x v="2"/>
    <n v="408"/>
    <n v="20"/>
    <d v="1996-08-19T00:00:00"/>
  </r>
  <r>
    <n v="10284"/>
    <x v="3"/>
    <n v="408"/>
    <n v="20"/>
    <d v="1996-08-19T00:00:00"/>
  </r>
  <r>
    <n v="10284"/>
    <x v="4"/>
    <n v="408"/>
    <n v="20"/>
    <d v="1996-08-19T00:00:00"/>
  </r>
  <r>
    <n v="10284"/>
    <x v="5"/>
    <n v="408"/>
    <n v="20"/>
    <d v="1996-08-19T00:00:00"/>
  </r>
  <r>
    <n v="10284"/>
    <x v="6"/>
    <n v="408"/>
    <n v="20"/>
    <d v="1996-08-19T00:00:00"/>
  </r>
  <r>
    <n v="10284"/>
    <x v="7"/>
    <n v="408"/>
    <n v="20"/>
    <d v="1996-08-19T00:00:00"/>
  </r>
  <r>
    <n v="10284"/>
    <x v="0"/>
    <n v="42"/>
    <n v="5"/>
    <d v="1996-08-19T00:00:00"/>
  </r>
  <r>
    <n v="10284"/>
    <x v="1"/>
    <n v="42"/>
    <n v="5"/>
    <d v="1996-08-19T00:00:00"/>
  </r>
  <r>
    <n v="10284"/>
    <x v="2"/>
    <n v="42"/>
    <n v="5"/>
    <d v="1996-08-19T00:00:00"/>
  </r>
  <r>
    <n v="10284"/>
    <x v="3"/>
    <n v="42"/>
    <n v="5"/>
    <d v="1996-08-19T00:00:00"/>
  </r>
  <r>
    <n v="10284"/>
    <x v="4"/>
    <n v="42"/>
    <n v="5"/>
    <d v="1996-08-19T00:00:00"/>
  </r>
  <r>
    <n v="10284"/>
    <x v="5"/>
    <n v="42"/>
    <n v="5"/>
    <d v="1996-08-19T00:00:00"/>
  </r>
  <r>
    <n v="10284"/>
    <x v="6"/>
    <n v="42"/>
    <n v="5"/>
    <d v="1996-08-19T00:00:00"/>
  </r>
  <r>
    <n v="10284"/>
    <x v="7"/>
    <n v="42"/>
    <n v="5"/>
    <d v="1996-08-19T00:00:00"/>
  </r>
  <r>
    <n v="10285"/>
    <x v="0"/>
    <n v="518.39999806880951"/>
    <n v="45"/>
    <d v="1996-08-20T00:00:00"/>
  </r>
  <r>
    <n v="10285"/>
    <x v="1"/>
    <n v="518.39999806880951"/>
    <n v="45"/>
    <d v="1996-08-20T00:00:00"/>
  </r>
  <r>
    <n v="10285"/>
    <x v="2"/>
    <n v="518.39999806880951"/>
    <n v="45"/>
    <d v="1996-08-20T00:00:00"/>
  </r>
  <r>
    <n v="10285"/>
    <x v="3"/>
    <n v="518.39999806880951"/>
    <n v="45"/>
    <d v="1996-08-20T00:00:00"/>
  </r>
  <r>
    <n v="10285"/>
    <x v="4"/>
    <n v="518.39999806880951"/>
    <n v="45"/>
    <d v="1996-08-20T00:00:00"/>
  </r>
  <r>
    <n v="10285"/>
    <x v="5"/>
    <n v="518.39999806880951"/>
    <n v="45"/>
    <d v="1996-08-20T00:00:00"/>
  </r>
  <r>
    <n v="10285"/>
    <x v="6"/>
    <n v="518.39999806880951"/>
    <n v="45"/>
    <d v="1996-08-20T00:00:00"/>
  </r>
  <r>
    <n v="10285"/>
    <x v="7"/>
    <n v="518.39999806880951"/>
    <n v="45"/>
    <d v="1996-08-20T00:00:00"/>
  </r>
  <r>
    <n v="10285"/>
    <x v="0"/>
    <n v="470.39999824762344"/>
    <n v="40"/>
    <d v="1996-08-20T00:00:00"/>
  </r>
  <r>
    <n v="10285"/>
    <x v="1"/>
    <n v="470.39999824762344"/>
    <n v="40"/>
    <d v="1996-08-20T00:00:00"/>
  </r>
  <r>
    <n v="10285"/>
    <x v="2"/>
    <n v="470.39999824762344"/>
    <n v="40"/>
    <d v="1996-08-20T00:00:00"/>
  </r>
  <r>
    <n v="10285"/>
    <x v="3"/>
    <n v="470.39999824762344"/>
    <n v="40"/>
    <d v="1996-08-20T00:00:00"/>
  </r>
  <r>
    <n v="10285"/>
    <x v="4"/>
    <n v="470.39999824762344"/>
    <n v="40"/>
    <d v="1996-08-20T00:00:00"/>
  </r>
  <r>
    <n v="10285"/>
    <x v="5"/>
    <n v="470.39999824762344"/>
    <n v="40"/>
    <d v="1996-08-20T00:00:00"/>
  </r>
  <r>
    <n v="10285"/>
    <x v="6"/>
    <n v="470.39999824762344"/>
    <n v="40"/>
    <d v="1996-08-20T00:00:00"/>
  </r>
  <r>
    <n v="10285"/>
    <x v="7"/>
    <n v="470.39999824762344"/>
    <n v="40"/>
    <d v="1996-08-20T00:00:00"/>
  </r>
  <r>
    <n v="10285"/>
    <x v="0"/>
    <n v="754.55999718904502"/>
    <n v="36"/>
    <d v="1996-08-20T00:00:00"/>
  </r>
  <r>
    <n v="10285"/>
    <x v="1"/>
    <n v="754.55999718904502"/>
    <n v="36"/>
    <d v="1996-08-20T00:00:00"/>
  </r>
  <r>
    <n v="10285"/>
    <x v="2"/>
    <n v="754.55999718904502"/>
    <n v="36"/>
    <d v="1996-08-20T00:00:00"/>
  </r>
  <r>
    <n v="10285"/>
    <x v="3"/>
    <n v="754.55999718904502"/>
    <n v="36"/>
    <d v="1996-08-20T00:00:00"/>
  </r>
  <r>
    <n v="10285"/>
    <x v="4"/>
    <n v="754.55999718904502"/>
    <n v="36"/>
    <d v="1996-08-20T00:00:00"/>
  </r>
  <r>
    <n v="10285"/>
    <x v="5"/>
    <n v="754.55999718904502"/>
    <n v="36"/>
    <d v="1996-08-20T00:00:00"/>
  </r>
  <r>
    <n v="10285"/>
    <x v="6"/>
    <n v="754.55999718904502"/>
    <n v="36"/>
    <d v="1996-08-20T00:00:00"/>
  </r>
  <r>
    <n v="10285"/>
    <x v="7"/>
    <n v="754.55999718904502"/>
    <n v="36"/>
    <d v="1996-08-20T00:00:00"/>
  </r>
  <r>
    <n v="10286"/>
    <x v="0"/>
    <n v="1440"/>
    <n v="100"/>
    <d v="1996-08-21T00:00:00"/>
  </r>
  <r>
    <n v="10286"/>
    <x v="1"/>
    <n v="1440"/>
    <n v="100"/>
    <d v="1996-08-21T00:00:00"/>
  </r>
  <r>
    <n v="10286"/>
    <x v="2"/>
    <n v="1440"/>
    <n v="100"/>
    <d v="1996-08-21T00:00:00"/>
  </r>
  <r>
    <n v="10286"/>
    <x v="3"/>
    <n v="1440"/>
    <n v="100"/>
    <d v="1996-08-21T00:00:00"/>
  </r>
  <r>
    <n v="10286"/>
    <x v="4"/>
    <n v="1440"/>
    <n v="100"/>
    <d v="1996-08-21T00:00:00"/>
  </r>
  <r>
    <n v="10286"/>
    <x v="5"/>
    <n v="1440"/>
    <n v="100"/>
    <d v="1996-08-21T00:00:00"/>
  </r>
  <r>
    <n v="10286"/>
    <x v="6"/>
    <n v="1440"/>
    <n v="100"/>
    <d v="1996-08-21T00:00:00"/>
  </r>
  <r>
    <n v="10286"/>
    <x v="7"/>
    <n v="1440"/>
    <n v="100"/>
    <d v="1996-08-21T00:00:00"/>
  </r>
  <r>
    <n v="10286"/>
    <x v="0"/>
    <n v="1576"/>
    <n v="40"/>
    <d v="1996-08-21T00:00:00"/>
  </r>
  <r>
    <n v="10286"/>
    <x v="1"/>
    <n v="1576"/>
    <n v="40"/>
    <d v="1996-08-21T00:00:00"/>
  </r>
  <r>
    <n v="10286"/>
    <x v="2"/>
    <n v="1576"/>
    <n v="40"/>
    <d v="1996-08-21T00:00:00"/>
  </r>
  <r>
    <n v="10286"/>
    <x v="3"/>
    <n v="1576"/>
    <n v="40"/>
    <d v="1996-08-21T00:00:00"/>
  </r>
  <r>
    <n v="10286"/>
    <x v="4"/>
    <n v="1576"/>
    <n v="40"/>
    <d v="1996-08-21T00:00:00"/>
  </r>
  <r>
    <n v="10286"/>
    <x v="5"/>
    <n v="1576"/>
    <n v="40"/>
    <d v="1996-08-21T00:00:00"/>
  </r>
  <r>
    <n v="10286"/>
    <x v="6"/>
    <n v="1576"/>
    <n v="40"/>
    <d v="1996-08-21T00:00:00"/>
  </r>
  <r>
    <n v="10286"/>
    <x v="7"/>
    <n v="1576"/>
    <n v="40"/>
    <d v="1996-08-21T00:00:00"/>
  </r>
  <r>
    <n v="10287"/>
    <x v="0"/>
    <n v="472.59999668598175"/>
    <n v="40"/>
    <d v="1996-08-22T00:00:00"/>
  </r>
  <r>
    <n v="10287"/>
    <x v="1"/>
    <n v="472.59999668598175"/>
    <n v="40"/>
    <d v="1996-08-22T00:00:00"/>
  </r>
  <r>
    <n v="10287"/>
    <x v="2"/>
    <n v="472.59999668598175"/>
    <n v="40"/>
    <d v="1996-08-22T00:00:00"/>
  </r>
  <r>
    <n v="10287"/>
    <x v="3"/>
    <n v="472.59999668598175"/>
    <n v="40"/>
    <d v="1996-08-22T00:00:00"/>
  </r>
  <r>
    <n v="10287"/>
    <x v="4"/>
    <n v="472.59999668598175"/>
    <n v="40"/>
    <d v="1996-08-22T00:00:00"/>
  </r>
  <r>
    <n v="10287"/>
    <x v="5"/>
    <n v="472.59999668598175"/>
    <n v="40"/>
    <d v="1996-08-22T00:00:00"/>
  </r>
  <r>
    <n v="10287"/>
    <x v="6"/>
    <n v="472.59999668598175"/>
    <n v="40"/>
    <d v="1996-08-22T00:00:00"/>
  </r>
  <r>
    <n v="10287"/>
    <x v="7"/>
    <n v="472.59999668598175"/>
    <n v="40"/>
    <d v="1996-08-22T00:00:00"/>
  </r>
  <r>
    <n v="10287"/>
    <x v="0"/>
    <n v="224"/>
    <n v="20"/>
    <d v="1996-08-22T00:00:00"/>
  </r>
  <r>
    <n v="10287"/>
    <x v="1"/>
    <n v="224"/>
    <n v="20"/>
    <d v="1996-08-22T00:00:00"/>
  </r>
  <r>
    <n v="10287"/>
    <x v="2"/>
    <n v="224"/>
    <n v="20"/>
    <d v="1996-08-22T00:00:00"/>
  </r>
  <r>
    <n v="10287"/>
    <x v="3"/>
    <n v="224"/>
    <n v="20"/>
    <d v="1996-08-22T00:00:00"/>
  </r>
  <r>
    <n v="10287"/>
    <x v="4"/>
    <n v="224"/>
    <n v="20"/>
    <d v="1996-08-22T00:00:00"/>
  </r>
  <r>
    <n v="10287"/>
    <x v="5"/>
    <n v="224"/>
    <n v="20"/>
    <d v="1996-08-22T00:00:00"/>
  </r>
  <r>
    <n v="10287"/>
    <x v="6"/>
    <n v="224"/>
    <n v="20"/>
    <d v="1996-08-22T00:00:00"/>
  </r>
  <r>
    <n v="10287"/>
    <x v="7"/>
    <n v="224"/>
    <n v="20"/>
    <d v="1996-08-22T00:00:00"/>
  </r>
  <r>
    <n v="10287"/>
    <x v="0"/>
    <n v="122.39999914169312"/>
    <n v="15"/>
    <d v="1996-08-22T00:00:00"/>
  </r>
  <r>
    <n v="10287"/>
    <x v="1"/>
    <n v="122.39999914169312"/>
    <n v="15"/>
    <d v="1996-08-22T00:00:00"/>
  </r>
  <r>
    <n v="10287"/>
    <x v="2"/>
    <n v="122.39999914169312"/>
    <n v="15"/>
    <d v="1996-08-22T00:00:00"/>
  </r>
  <r>
    <n v="10287"/>
    <x v="3"/>
    <n v="122.39999914169312"/>
    <n v="15"/>
    <d v="1996-08-22T00:00:00"/>
  </r>
  <r>
    <n v="10287"/>
    <x v="4"/>
    <n v="122.39999914169312"/>
    <n v="15"/>
    <d v="1996-08-22T00:00:00"/>
  </r>
  <r>
    <n v="10287"/>
    <x v="5"/>
    <n v="122.39999914169312"/>
    <n v="15"/>
    <d v="1996-08-22T00:00:00"/>
  </r>
  <r>
    <n v="10287"/>
    <x v="6"/>
    <n v="122.39999914169312"/>
    <n v="15"/>
    <d v="1996-08-22T00:00:00"/>
  </r>
  <r>
    <n v="10287"/>
    <x v="7"/>
    <n v="122.39999914169312"/>
    <n v="15"/>
    <d v="1996-08-22T00:00:00"/>
  </r>
  <r>
    <n v="10288"/>
    <x v="0"/>
    <n v="53.099999912083149"/>
    <n v="10"/>
    <d v="1996-08-23T00:00:00"/>
  </r>
  <r>
    <n v="10288"/>
    <x v="1"/>
    <n v="53.099999912083149"/>
    <n v="10"/>
    <d v="1996-08-23T00:00:00"/>
  </r>
  <r>
    <n v="10288"/>
    <x v="2"/>
    <n v="53.099999912083149"/>
    <n v="10"/>
    <d v="1996-08-23T00:00:00"/>
  </r>
  <r>
    <n v="10288"/>
    <x v="3"/>
    <n v="53.099999912083149"/>
    <n v="10"/>
    <d v="1996-08-23T00:00:00"/>
  </r>
  <r>
    <n v="10288"/>
    <x v="4"/>
    <n v="53.099999912083149"/>
    <n v="10"/>
    <d v="1996-08-23T00:00:00"/>
  </r>
  <r>
    <n v="10288"/>
    <x v="5"/>
    <n v="53.099999912083149"/>
    <n v="10"/>
    <d v="1996-08-23T00:00:00"/>
  </r>
  <r>
    <n v="10288"/>
    <x v="6"/>
    <n v="53.099999912083149"/>
    <n v="10"/>
    <d v="1996-08-23T00:00:00"/>
  </r>
  <r>
    <n v="10288"/>
    <x v="7"/>
    <n v="53.099999912083149"/>
    <n v="10"/>
    <d v="1996-08-23T00:00:00"/>
  </r>
  <r>
    <n v="10288"/>
    <x v="0"/>
    <n v="26.999999955296516"/>
    <n v="3"/>
    <d v="1996-08-23T00:00:00"/>
  </r>
  <r>
    <n v="10288"/>
    <x v="1"/>
    <n v="26.999999955296516"/>
    <n v="3"/>
    <d v="1996-08-23T00:00:00"/>
  </r>
  <r>
    <n v="10288"/>
    <x v="2"/>
    <n v="26.999999955296516"/>
    <n v="3"/>
    <d v="1996-08-23T00:00:00"/>
  </r>
  <r>
    <n v="10288"/>
    <x v="3"/>
    <n v="26.999999955296516"/>
    <n v="3"/>
    <d v="1996-08-23T00:00:00"/>
  </r>
  <r>
    <n v="10288"/>
    <x v="4"/>
    <n v="26.999999955296516"/>
    <n v="3"/>
    <d v="1996-08-23T00:00:00"/>
  </r>
  <r>
    <n v="10288"/>
    <x v="5"/>
    <n v="26.999999955296516"/>
    <n v="3"/>
    <d v="1996-08-23T00:00:00"/>
  </r>
  <r>
    <n v="10288"/>
    <x v="6"/>
    <n v="26.999999955296516"/>
    <n v="3"/>
    <d v="1996-08-23T00:00:00"/>
  </r>
  <r>
    <n v="10288"/>
    <x v="7"/>
    <n v="26.999999955296516"/>
    <n v="3"/>
    <d v="1996-08-23T00:00:00"/>
  </r>
  <r>
    <n v="10289"/>
    <x v="0"/>
    <n v="240"/>
    <n v="30"/>
    <d v="1996-08-26T00:00:00"/>
  </r>
  <r>
    <n v="10289"/>
    <x v="1"/>
    <n v="240"/>
    <n v="30"/>
    <d v="1996-08-26T00:00:00"/>
  </r>
  <r>
    <n v="10289"/>
    <x v="2"/>
    <n v="240"/>
    <n v="30"/>
    <d v="1996-08-26T00:00:00"/>
  </r>
  <r>
    <n v="10289"/>
    <x v="3"/>
    <n v="240"/>
    <n v="30"/>
    <d v="1996-08-26T00:00:00"/>
  </r>
  <r>
    <n v="10289"/>
    <x v="4"/>
    <n v="240"/>
    <n v="30"/>
    <d v="1996-08-26T00:00:00"/>
  </r>
  <r>
    <n v="10289"/>
    <x v="5"/>
    <n v="240"/>
    <n v="30"/>
    <d v="1996-08-26T00:00:00"/>
  </r>
  <r>
    <n v="10289"/>
    <x v="6"/>
    <n v="240"/>
    <n v="30"/>
    <d v="1996-08-26T00:00:00"/>
  </r>
  <r>
    <n v="10289"/>
    <x v="7"/>
    <n v="240"/>
    <n v="30"/>
    <d v="1996-08-26T00:00:00"/>
  </r>
  <r>
    <n v="10289"/>
    <x v="0"/>
    <n v="239.4"/>
    <n v="9"/>
    <d v="1996-08-26T00:00:00"/>
  </r>
  <r>
    <n v="10289"/>
    <x v="1"/>
    <n v="239.4"/>
    <n v="9"/>
    <d v="1996-08-26T00:00:00"/>
  </r>
  <r>
    <n v="10289"/>
    <x v="2"/>
    <n v="239.4"/>
    <n v="9"/>
    <d v="1996-08-26T00:00:00"/>
  </r>
  <r>
    <n v="10289"/>
    <x v="3"/>
    <n v="239.4"/>
    <n v="9"/>
    <d v="1996-08-26T00:00:00"/>
  </r>
  <r>
    <n v="10289"/>
    <x v="4"/>
    <n v="239.4"/>
    <n v="9"/>
    <d v="1996-08-26T00:00:00"/>
  </r>
  <r>
    <n v="10289"/>
    <x v="5"/>
    <n v="239.4"/>
    <n v="9"/>
    <d v="1996-08-26T00:00:00"/>
  </r>
  <r>
    <n v="10289"/>
    <x v="6"/>
    <n v="239.4"/>
    <n v="9"/>
    <d v="1996-08-26T00:00:00"/>
  </r>
  <r>
    <n v="10289"/>
    <x v="7"/>
    <n v="239.4"/>
    <n v="9"/>
    <d v="1996-08-26T00:00:00"/>
  </r>
  <r>
    <n v="10290"/>
    <x v="0"/>
    <n v="340"/>
    <n v="20"/>
    <d v="1996-08-27T00:00:00"/>
  </r>
  <r>
    <n v="10290"/>
    <x v="1"/>
    <n v="340"/>
    <n v="20"/>
    <d v="1996-08-27T00:00:00"/>
  </r>
  <r>
    <n v="10290"/>
    <x v="2"/>
    <n v="340"/>
    <n v="20"/>
    <d v="1996-08-27T00:00:00"/>
  </r>
  <r>
    <n v="10290"/>
    <x v="3"/>
    <n v="340"/>
    <n v="20"/>
    <d v="1996-08-27T00:00:00"/>
  </r>
  <r>
    <n v="10290"/>
    <x v="4"/>
    <n v="340"/>
    <n v="20"/>
    <d v="1996-08-27T00:00:00"/>
  </r>
  <r>
    <n v="10290"/>
    <x v="5"/>
    <n v="340"/>
    <n v="20"/>
    <d v="1996-08-27T00:00:00"/>
  </r>
  <r>
    <n v="10290"/>
    <x v="6"/>
    <n v="340"/>
    <n v="20"/>
    <d v="1996-08-27T00:00:00"/>
  </r>
  <r>
    <n v="10290"/>
    <x v="7"/>
    <n v="340"/>
    <n v="20"/>
    <d v="1996-08-27T00:00:00"/>
  </r>
  <r>
    <n v="10290"/>
    <x v="0"/>
    <n v="1485"/>
    <n v="15"/>
    <d v="1996-08-27T00:00:00"/>
  </r>
  <r>
    <n v="10290"/>
    <x v="1"/>
    <n v="1485"/>
    <n v="15"/>
    <d v="1996-08-27T00:00:00"/>
  </r>
  <r>
    <n v="10290"/>
    <x v="2"/>
    <n v="1485"/>
    <n v="15"/>
    <d v="1996-08-27T00:00:00"/>
  </r>
  <r>
    <n v="10290"/>
    <x v="3"/>
    <n v="1485"/>
    <n v="15"/>
    <d v="1996-08-27T00:00:00"/>
  </r>
  <r>
    <n v="10290"/>
    <x v="4"/>
    <n v="1485"/>
    <n v="15"/>
    <d v="1996-08-27T00:00:00"/>
  </r>
  <r>
    <n v="10290"/>
    <x v="5"/>
    <n v="1485"/>
    <n v="15"/>
    <d v="1996-08-27T00:00:00"/>
  </r>
  <r>
    <n v="10290"/>
    <x v="6"/>
    <n v="1485"/>
    <n v="15"/>
    <d v="1996-08-27T00:00:00"/>
  </r>
  <r>
    <n v="10290"/>
    <x v="7"/>
    <n v="1485"/>
    <n v="15"/>
    <d v="1996-08-27T00:00:00"/>
  </r>
  <r>
    <n v="10290"/>
    <x v="0"/>
    <n v="240"/>
    <n v="15"/>
    <d v="1996-08-27T00:00:00"/>
  </r>
  <r>
    <n v="10290"/>
    <x v="1"/>
    <n v="240"/>
    <n v="15"/>
    <d v="1996-08-27T00:00:00"/>
  </r>
  <r>
    <n v="10290"/>
    <x v="2"/>
    <n v="240"/>
    <n v="15"/>
    <d v="1996-08-27T00:00:00"/>
  </r>
  <r>
    <n v="10290"/>
    <x v="3"/>
    <n v="240"/>
    <n v="15"/>
    <d v="1996-08-27T00:00:00"/>
  </r>
  <r>
    <n v="10290"/>
    <x v="4"/>
    <n v="240"/>
    <n v="15"/>
    <d v="1996-08-27T00:00:00"/>
  </r>
  <r>
    <n v="10290"/>
    <x v="5"/>
    <n v="240"/>
    <n v="15"/>
    <d v="1996-08-27T00:00:00"/>
  </r>
  <r>
    <n v="10290"/>
    <x v="6"/>
    <n v="240"/>
    <n v="15"/>
    <d v="1996-08-27T00:00:00"/>
  </r>
  <r>
    <n v="10290"/>
    <x v="7"/>
    <n v="240"/>
    <n v="15"/>
    <d v="1996-08-27T00:00:00"/>
  </r>
  <r>
    <n v="10290"/>
    <x v="0"/>
    <n v="104"/>
    <n v="10"/>
    <d v="1996-08-27T00:00:00"/>
  </r>
  <r>
    <n v="10290"/>
    <x v="1"/>
    <n v="104"/>
    <n v="10"/>
    <d v="1996-08-27T00:00:00"/>
  </r>
  <r>
    <n v="10290"/>
    <x v="2"/>
    <n v="104"/>
    <n v="10"/>
    <d v="1996-08-27T00:00:00"/>
  </r>
  <r>
    <n v="10290"/>
    <x v="3"/>
    <n v="104"/>
    <n v="10"/>
    <d v="1996-08-27T00:00:00"/>
  </r>
  <r>
    <n v="10290"/>
    <x v="4"/>
    <n v="104"/>
    <n v="10"/>
    <d v="1996-08-27T00:00:00"/>
  </r>
  <r>
    <n v="10290"/>
    <x v="5"/>
    <n v="104"/>
    <n v="10"/>
    <d v="1996-08-27T00:00:00"/>
  </r>
  <r>
    <n v="10290"/>
    <x v="6"/>
    <n v="104"/>
    <n v="10"/>
    <d v="1996-08-27T00:00:00"/>
  </r>
  <r>
    <n v="10290"/>
    <x v="7"/>
    <n v="104"/>
    <n v="10"/>
    <d v="1996-08-27T00:00:00"/>
  </r>
  <r>
    <n v="10291"/>
    <x v="0"/>
    <n v="86.399999856948853"/>
    <n v="20"/>
    <d v="1996-08-27T00:00:00"/>
  </r>
  <r>
    <n v="10291"/>
    <x v="1"/>
    <n v="86.399999856948853"/>
    <n v="20"/>
    <d v="1996-08-27T00:00:00"/>
  </r>
  <r>
    <n v="10291"/>
    <x v="2"/>
    <n v="86.399999856948853"/>
    <n v="20"/>
    <d v="1996-08-27T00:00:00"/>
  </r>
  <r>
    <n v="10291"/>
    <x v="3"/>
    <n v="86.399999856948853"/>
    <n v="20"/>
    <d v="1996-08-27T00:00:00"/>
  </r>
  <r>
    <n v="10291"/>
    <x v="4"/>
    <n v="86.399999856948853"/>
    <n v="20"/>
    <d v="1996-08-27T00:00:00"/>
  </r>
  <r>
    <n v="10291"/>
    <x v="5"/>
    <n v="86.399999856948853"/>
    <n v="20"/>
    <d v="1996-08-27T00:00:00"/>
  </r>
  <r>
    <n v="10291"/>
    <x v="6"/>
    <n v="86.399999856948853"/>
    <n v="20"/>
    <d v="1996-08-27T00:00:00"/>
  </r>
  <r>
    <n v="10291"/>
    <x v="7"/>
    <n v="86.399999856948853"/>
    <n v="20"/>
    <d v="1996-08-27T00:00:00"/>
  </r>
  <r>
    <n v="10291"/>
    <x v="0"/>
    <n v="334.7999994456768"/>
    <n v="24"/>
    <d v="1996-08-27T00:00:00"/>
  </r>
  <r>
    <n v="10291"/>
    <x v="1"/>
    <n v="334.7999994456768"/>
    <n v="24"/>
    <d v="1996-08-27T00:00:00"/>
  </r>
  <r>
    <n v="10291"/>
    <x v="2"/>
    <n v="334.7999994456768"/>
    <n v="24"/>
    <d v="1996-08-27T00:00:00"/>
  </r>
  <r>
    <n v="10291"/>
    <x v="3"/>
    <n v="334.7999994456768"/>
    <n v="24"/>
    <d v="1996-08-27T00:00:00"/>
  </r>
  <r>
    <n v="10291"/>
    <x v="4"/>
    <n v="334.7999994456768"/>
    <n v="24"/>
    <d v="1996-08-27T00:00:00"/>
  </r>
  <r>
    <n v="10291"/>
    <x v="5"/>
    <n v="334.7999994456768"/>
    <n v="24"/>
    <d v="1996-08-27T00:00:00"/>
  </r>
  <r>
    <n v="10291"/>
    <x v="6"/>
    <n v="334.7999994456768"/>
    <n v="24"/>
    <d v="1996-08-27T00:00:00"/>
  </r>
  <r>
    <n v="10291"/>
    <x v="7"/>
    <n v="334.7999994456768"/>
    <n v="24"/>
    <d v="1996-08-27T00:00:00"/>
  </r>
  <r>
    <n v="10291"/>
    <x v="0"/>
    <n v="76.319999873638153"/>
    <n v="2"/>
    <d v="1996-08-27T00:00:00"/>
  </r>
  <r>
    <n v="10291"/>
    <x v="1"/>
    <n v="76.319999873638153"/>
    <n v="2"/>
    <d v="1996-08-27T00:00:00"/>
  </r>
  <r>
    <n v="10291"/>
    <x v="2"/>
    <n v="76.319999873638153"/>
    <n v="2"/>
    <d v="1996-08-27T00:00:00"/>
  </r>
  <r>
    <n v="10291"/>
    <x v="3"/>
    <n v="76.319999873638153"/>
    <n v="2"/>
    <d v="1996-08-27T00:00:00"/>
  </r>
  <r>
    <n v="10291"/>
    <x v="4"/>
    <n v="76.319999873638153"/>
    <n v="2"/>
    <d v="1996-08-27T00:00:00"/>
  </r>
  <r>
    <n v="10291"/>
    <x v="5"/>
    <n v="76.319999873638153"/>
    <n v="2"/>
    <d v="1996-08-27T00:00:00"/>
  </r>
  <r>
    <n v="10291"/>
    <x v="6"/>
    <n v="76.319999873638153"/>
    <n v="2"/>
    <d v="1996-08-27T00:00:00"/>
  </r>
  <r>
    <n v="10291"/>
    <x v="7"/>
    <n v="76.319999873638153"/>
    <n v="2"/>
    <d v="1996-08-27T00:00:00"/>
  </r>
  <r>
    <n v="10292"/>
    <x v="0"/>
    <n v="1296"/>
    <n v="20"/>
    <d v="1996-08-28T00:00:00"/>
  </r>
  <r>
    <n v="10292"/>
    <x v="1"/>
    <n v="1296"/>
    <n v="20"/>
    <d v="1996-08-28T00:00:00"/>
  </r>
  <r>
    <n v="10292"/>
    <x v="2"/>
    <n v="1296"/>
    <n v="20"/>
    <d v="1996-08-28T00:00:00"/>
  </r>
  <r>
    <n v="10292"/>
    <x v="3"/>
    <n v="1296"/>
    <n v="20"/>
    <d v="1996-08-28T00:00:00"/>
  </r>
  <r>
    <n v="10292"/>
    <x v="4"/>
    <n v="1296"/>
    <n v="20"/>
    <d v="1996-08-28T00:00:00"/>
  </r>
  <r>
    <n v="10292"/>
    <x v="5"/>
    <n v="1296"/>
    <n v="20"/>
    <d v="1996-08-28T00:00:00"/>
  </r>
  <r>
    <n v="10292"/>
    <x v="6"/>
    <n v="1296"/>
    <n v="20"/>
    <d v="1996-08-28T00:00:00"/>
  </r>
  <r>
    <n v="10292"/>
    <x v="7"/>
    <n v="1296"/>
    <n v="20"/>
    <d v="1996-08-28T00:00:00"/>
  </r>
  <r>
    <n v="10293"/>
    <x v="0"/>
    <n v="600"/>
    <n v="12"/>
    <d v="1996-08-29T00:00:00"/>
  </r>
  <r>
    <n v="10293"/>
    <x v="1"/>
    <n v="600"/>
    <n v="12"/>
    <d v="1996-08-29T00:00:00"/>
  </r>
  <r>
    <n v="10293"/>
    <x v="2"/>
    <n v="600"/>
    <n v="12"/>
    <d v="1996-08-29T00:00:00"/>
  </r>
  <r>
    <n v="10293"/>
    <x v="3"/>
    <n v="600"/>
    <n v="12"/>
    <d v="1996-08-29T00:00:00"/>
  </r>
  <r>
    <n v="10293"/>
    <x v="4"/>
    <n v="600"/>
    <n v="12"/>
    <d v="1996-08-29T00:00:00"/>
  </r>
  <r>
    <n v="10293"/>
    <x v="5"/>
    <n v="600"/>
    <n v="12"/>
    <d v="1996-08-29T00:00:00"/>
  </r>
  <r>
    <n v="10293"/>
    <x v="6"/>
    <n v="600"/>
    <n v="12"/>
    <d v="1996-08-29T00:00:00"/>
  </r>
  <r>
    <n v="10293"/>
    <x v="7"/>
    <n v="600"/>
    <n v="12"/>
    <d v="1996-08-29T00:00:00"/>
  </r>
  <r>
    <n v="10293"/>
    <x v="0"/>
    <n v="36"/>
    <n v="10"/>
    <d v="1996-08-29T00:00:00"/>
  </r>
  <r>
    <n v="10293"/>
    <x v="1"/>
    <n v="36"/>
    <n v="10"/>
    <d v="1996-08-29T00:00:00"/>
  </r>
  <r>
    <n v="10293"/>
    <x v="2"/>
    <n v="36"/>
    <n v="10"/>
    <d v="1996-08-29T00:00:00"/>
  </r>
  <r>
    <n v="10293"/>
    <x v="3"/>
    <n v="36"/>
    <n v="10"/>
    <d v="1996-08-29T00:00:00"/>
  </r>
  <r>
    <n v="10293"/>
    <x v="4"/>
    <n v="36"/>
    <n v="10"/>
    <d v="1996-08-29T00:00:00"/>
  </r>
  <r>
    <n v="10293"/>
    <x v="5"/>
    <n v="36"/>
    <n v="10"/>
    <d v="1996-08-29T00:00:00"/>
  </r>
  <r>
    <n v="10293"/>
    <x v="6"/>
    <n v="36"/>
    <n v="10"/>
    <d v="1996-08-29T00:00:00"/>
  </r>
  <r>
    <n v="10293"/>
    <x v="7"/>
    <n v="36"/>
    <n v="10"/>
    <d v="1996-08-29T00:00:00"/>
  </r>
  <r>
    <n v="10293"/>
    <x v="0"/>
    <n v="175.5"/>
    <n v="5"/>
    <d v="1996-08-29T00:00:00"/>
  </r>
  <r>
    <n v="10293"/>
    <x v="1"/>
    <n v="175.5"/>
    <n v="5"/>
    <d v="1996-08-29T00:00:00"/>
  </r>
  <r>
    <n v="10293"/>
    <x v="2"/>
    <n v="175.5"/>
    <n v="5"/>
    <d v="1996-08-29T00:00:00"/>
  </r>
  <r>
    <n v="10293"/>
    <x v="3"/>
    <n v="175.5"/>
    <n v="5"/>
    <d v="1996-08-29T00:00:00"/>
  </r>
  <r>
    <n v="10293"/>
    <x v="4"/>
    <n v="175.5"/>
    <n v="5"/>
    <d v="1996-08-29T00:00:00"/>
  </r>
  <r>
    <n v="10293"/>
    <x v="5"/>
    <n v="175.5"/>
    <n v="5"/>
    <d v="1996-08-29T00:00:00"/>
  </r>
  <r>
    <n v="10293"/>
    <x v="6"/>
    <n v="175.5"/>
    <n v="5"/>
    <d v="1996-08-29T00:00:00"/>
  </r>
  <r>
    <n v="10293"/>
    <x v="7"/>
    <n v="175.5"/>
    <n v="5"/>
    <d v="1996-08-29T00:00:00"/>
  </r>
  <r>
    <n v="10293"/>
    <x v="0"/>
    <n v="37.200000000000003"/>
    <n v="6"/>
    <d v="1996-08-29T00:00:00"/>
  </r>
  <r>
    <n v="10293"/>
    <x v="1"/>
    <n v="37.200000000000003"/>
    <n v="6"/>
    <d v="1996-08-29T00:00:00"/>
  </r>
  <r>
    <n v="10293"/>
    <x v="2"/>
    <n v="37.200000000000003"/>
    <n v="6"/>
    <d v="1996-08-29T00:00:00"/>
  </r>
  <r>
    <n v="10293"/>
    <x v="3"/>
    <n v="37.200000000000003"/>
    <n v="6"/>
    <d v="1996-08-29T00:00:00"/>
  </r>
  <r>
    <n v="10293"/>
    <x v="4"/>
    <n v="37.200000000000003"/>
    <n v="6"/>
    <d v="1996-08-29T00:00:00"/>
  </r>
  <r>
    <n v="10293"/>
    <x v="5"/>
    <n v="37.200000000000003"/>
    <n v="6"/>
    <d v="1996-08-29T00:00:00"/>
  </r>
  <r>
    <n v="10293"/>
    <x v="6"/>
    <n v="37.200000000000003"/>
    <n v="6"/>
    <d v="1996-08-29T00:00:00"/>
  </r>
  <r>
    <n v="10293"/>
    <x v="7"/>
    <n v="37.200000000000003"/>
    <n v="6"/>
    <d v="1996-08-29T00:00:00"/>
  </r>
  <r>
    <n v="10294"/>
    <x v="0"/>
    <n v="259.2"/>
    <n v="18"/>
    <d v="1996-08-30T00:00:00"/>
  </r>
  <r>
    <n v="10294"/>
    <x v="1"/>
    <n v="259.2"/>
    <n v="18"/>
    <d v="1996-08-30T00:00:00"/>
  </r>
  <r>
    <n v="10294"/>
    <x v="2"/>
    <n v="259.2"/>
    <n v="18"/>
    <d v="1996-08-30T00:00:00"/>
  </r>
  <r>
    <n v="10294"/>
    <x v="3"/>
    <n v="259.2"/>
    <n v="18"/>
    <d v="1996-08-30T00:00:00"/>
  </r>
  <r>
    <n v="10294"/>
    <x v="4"/>
    <n v="259.2"/>
    <n v="18"/>
    <d v="1996-08-30T00:00:00"/>
  </r>
  <r>
    <n v="10294"/>
    <x v="5"/>
    <n v="259.2"/>
    <n v="18"/>
    <d v="1996-08-30T00:00:00"/>
  </r>
  <r>
    <n v="10294"/>
    <x v="6"/>
    <n v="259.2"/>
    <n v="18"/>
    <d v="1996-08-30T00:00:00"/>
  </r>
  <r>
    <n v="10294"/>
    <x v="7"/>
    <n v="259.2"/>
    <n v="18"/>
    <d v="1996-08-30T00:00:00"/>
  </r>
  <r>
    <n v="10294"/>
    <x v="0"/>
    <n v="468"/>
    <n v="15"/>
    <d v="1996-08-30T00:00:00"/>
  </r>
  <r>
    <n v="10294"/>
    <x v="1"/>
    <n v="468"/>
    <n v="15"/>
    <d v="1996-08-30T00:00:00"/>
  </r>
  <r>
    <n v="10294"/>
    <x v="2"/>
    <n v="468"/>
    <n v="15"/>
    <d v="1996-08-30T00:00:00"/>
  </r>
  <r>
    <n v="10294"/>
    <x v="3"/>
    <n v="468"/>
    <n v="15"/>
    <d v="1996-08-30T00:00:00"/>
  </r>
  <r>
    <n v="10294"/>
    <x v="4"/>
    <n v="468"/>
    <n v="15"/>
    <d v="1996-08-30T00:00:00"/>
  </r>
  <r>
    <n v="10294"/>
    <x v="5"/>
    <n v="468"/>
    <n v="15"/>
    <d v="1996-08-30T00:00:00"/>
  </r>
  <r>
    <n v="10294"/>
    <x v="6"/>
    <n v="468"/>
    <n v="15"/>
    <d v="1996-08-30T00:00:00"/>
  </r>
  <r>
    <n v="10294"/>
    <x v="7"/>
    <n v="468"/>
    <n v="15"/>
    <d v="1996-08-30T00:00:00"/>
  </r>
  <r>
    <n v="10294"/>
    <x v="0"/>
    <n v="552"/>
    <n v="15"/>
    <d v="1996-08-30T00:00:00"/>
  </r>
  <r>
    <n v="10294"/>
    <x v="1"/>
    <n v="552"/>
    <n v="15"/>
    <d v="1996-08-30T00:00:00"/>
  </r>
  <r>
    <n v="10294"/>
    <x v="2"/>
    <n v="552"/>
    <n v="15"/>
    <d v="1996-08-30T00:00:00"/>
  </r>
  <r>
    <n v="10294"/>
    <x v="3"/>
    <n v="552"/>
    <n v="15"/>
    <d v="1996-08-30T00:00:00"/>
  </r>
  <r>
    <n v="10294"/>
    <x v="4"/>
    <n v="552"/>
    <n v="15"/>
    <d v="1996-08-30T00:00:00"/>
  </r>
  <r>
    <n v="10294"/>
    <x v="5"/>
    <n v="552"/>
    <n v="15"/>
    <d v="1996-08-30T00:00:00"/>
  </r>
  <r>
    <n v="10294"/>
    <x v="6"/>
    <n v="552"/>
    <n v="15"/>
    <d v="1996-08-30T00:00:00"/>
  </r>
  <r>
    <n v="10294"/>
    <x v="7"/>
    <n v="552"/>
    <n v="15"/>
    <d v="1996-08-30T00:00:00"/>
  </r>
  <r>
    <n v="10294"/>
    <x v="0"/>
    <n v="571.20000000000005"/>
    <n v="21"/>
    <d v="1996-08-30T00:00:00"/>
  </r>
  <r>
    <n v="10294"/>
    <x v="1"/>
    <n v="571.20000000000005"/>
    <n v="21"/>
    <d v="1996-08-30T00:00:00"/>
  </r>
  <r>
    <n v="10294"/>
    <x v="2"/>
    <n v="571.20000000000005"/>
    <n v="21"/>
    <d v="1996-08-30T00:00:00"/>
  </r>
  <r>
    <n v="10294"/>
    <x v="3"/>
    <n v="571.20000000000005"/>
    <n v="21"/>
    <d v="1996-08-30T00:00:00"/>
  </r>
  <r>
    <n v="10294"/>
    <x v="4"/>
    <n v="571.20000000000005"/>
    <n v="21"/>
    <d v="1996-08-30T00:00:00"/>
  </r>
  <r>
    <n v="10294"/>
    <x v="5"/>
    <n v="571.20000000000005"/>
    <n v="21"/>
    <d v="1996-08-30T00:00:00"/>
  </r>
  <r>
    <n v="10294"/>
    <x v="6"/>
    <n v="571.20000000000005"/>
    <n v="21"/>
    <d v="1996-08-30T00:00:00"/>
  </r>
  <r>
    <n v="10294"/>
    <x v="7"/>
    <n v="571.20000000000005"/>
    <n v="21"/>
    <d v="1996-08-30T00:00:00"/>
  </r>
  <r>
    <n v="10294"/>
    <x v="0"/>
    <n v="37.200000000000003"/>
    <n v="6"/>
    <d v="1996-08-30T00:00:00"/>
  </r>
  <r>
    <n v="10294"/>
    <x v="1"/>
    <n v="37.200000000000003"/>
    <n v="6"/>
    <d v="1996-08-30T00:00:00"/>
  </r>
  <r>
    <n v="10294"/>
    <x v="2"/>
    <n v="37.200000000000003"/>
    <n v="6"/>
    <d v="1996-08-30T00:00:00"/>
  </r>
  <r>
    <n v="10294"/>
    <x v="3"/>
    <n v="37.200000000000003"/>
    <n v="6"/>
    <d v="1996-08-30T00:00:00"/>
  </r>
  <r>
    <n v="10294"/>
    <x v="4"/>
    <n v="37.200000000000003"/>
    <n v="6"/>
    <d v="1996-08-30T00:00:00"/>
  </r>
  <r>
    <n v="10294"/>
    <x v="5"/>
    <n v="37.200000000000003"/>
    <n v="6"/>
    <d v="1996-08-30T00:00:00"/>
  </r>
  <r>
    <n v="10294"/>
    <x v="6"/>
    <n v="37.200000000000003"/>
    <n v="6"/>
    <d v="1996-08-30T00:00:00"/>
  </r>
  <r>
    <n v="10294"/>
    <x v="7"/>
    <n v="37.200000000000003"/>
    <n v="6"/>
    <d v="1996-08-30T00:00:00"/>
  </r>
  <r>
    <n v="10295"/>
    <x v="0"/>
    <n v="121.6"/>
    <n v="4"/>
    <d v="1996-09-02T00:00:00"/>
  </r>
  <r>
    <n v="10295"/>
    <x v="1"/>
    <n v="121.6"/>
    <n v="4"/>
    <d v="1996-09-02T00:00:00"/>
  </r>
  <r>
    <n v="10295"/>
    <x v="2"/>
    <n v="121.6"/>
    <n v="4"/>
    <d v="1996-09-02T00:00:00"/>
  </r>
  <r>
    <n v="10295"/>
    <x v="3"/>
    <n v="121.6"/>
    <n v="4"/>
    <d v="1996-09-02T00:00:00"/>
  </r>
  <r>
    <n v="10295"/>
    <x v="4"/>
    <n v="121.6"/>
    <n v="4"/>
    <d v="1996-09-02T00:00:00"/>
  </r>
  <r>
    <n v="10295"/>
    <x v="5"/>
    <n v="121.6"/>
    <n v="4"/>
    <d v="1996-09-02T00:00:00"/>
  </r>
  <r>
    <n v="10295"/>
    <x v="6"/>
    <n v="121.6"/>
    <n v="4"/>
    <d v="1996-09-02T00:00:00"/>
  </r>
  <r>
    <n v="10295"/>
    <x v="7"/>
    <n v="121.6"/>
    <n v="4"/>
    <d v="1996-09-02T00:00:00"/>
  </r>
  <r>
    <n v="10296"/>
    <x v="0"/>
    <n v="201.6"/>
    <n v="12"/>
    <d v="1996-09-03T00:00:00"/>
  </r>
  <r>
    <n v="10296"/>
    <x v="1"/>
    <n v="201.6"/>
    <n v="12"/>
    <d v="1996-09-03T00:00:00"/>
  </r>
  <r>
    <n v="10296"/>
    <x v="2"/>
    <n v="201.6"/>
    <n v="12"/>
    <d v="1996-09-03T00:00:00"/>
  </r>
  <r>
    <n v="10296"/>
    <x v="3"/>
    <n v="201.6"/>
    <n v="12"/>
    <d v="1996-09-03T00:00:00"/>
  </r>
  <r>
    <n v="10296"/>
    <x v="4"/>
    <n v="201.6"/>
    <n v="12"/>
    <d v="1996-09-03T00:00:00"/>
  </r>
  <r>
    <n v="10296"/>
    <x v="5"/>
    <n v="201.6"/>
    <n v="12"/>
    <d v="1996-09-03T00:00:00"/>
  </r>
  <r>
    <n v="10296"/>
    <x v="6"/>
    <n v="201.6"/>
    <n v="12"/>
    <d v="1996-09-03T00:00:00"/>
  </r>
  <r>
    <n v="10296"/>
    <x v="7"/>
    <n v="201.6"/>
    <n v="12"/>
    <d v="1996-09-03T00:00:00"/>
  </r>
  <r>
    <n v="10296"/>
    <x v="0"/>
    <n v="417"/>
    <n v="30"/>
    <d v="1996-09-03T00:00:00"/>
  </r>
  <r>
    <n v="10296"/>
    <x v="1"/>
    <n v="417"/>
    <n v="30"/>
    <d v="1996-09-03T00:00:00"/>
  </r>
  <r>
    <n v="10296"/>
    <x v="2"/>
    <n v="417"/>
    <n v="30"/>
    <d v="1996-09-03T00:00:00"/>
  </r>
  <r>
    <n v="10296"/>
    <x v="3"/>
    <n v="417"/>
    <n v="30"/>
    <d v="1996-09-03T00:00:00"/>
  </r>
  <r>
    <n v="10296"/>
    <x v="4"/>
    <n v="417"/>
    <n v="30"/>
    <d v="1996-09-03T00:00:00"/>
  </r>
  <r>
    <n v="10296"/>
    <x v="5"/>
    <n v="417"/>
    <n v="30"/>
    <d v="1996-09-03T00:00:00"/>
  </r>
  <r>
    <n v="10296"/>
    <x v="6"/>
    <n v="417"/>
    <n v="30"/>
    <d v="1996-09-03T00:00:00"/>
  </r>
  <r>
    <n v="10296"/>
    <x v="7"/>
    <n v="417"/>
    <n v="30"/>
    <d v="1996-09-03T00:00:00"/>
  </r>
  <r>
    <n v="10296"/>
    <x v="0"/>
    <n v="432"/>
    <n v="15"/>
    <d v="1996-09-03T00:00:00"/>
  </r>
  <r>
    <n v="10296"/>
    <x v="1"/>
    <n v="432"/>
    <n v="15"/>
    <d v="1996-09-03T00:00:00"/>
  </r>
  <r>
    <n v="10296"/>
    <x v="2"/>
    <n v="432"/>
    <n v="15"/>
    <d v="1996-09-03T00:00:00"/>
  </r>
  <r>
    <n v="10296"/>
    <x v="3"/>
    <n v="432"/>
    <n v="15"/>
    <d v="1996-09-03T00:00:00"/>
  </r>
  <r>
    <n v="10296"/>
    <x v="4"/>
    <n v="432"/>
    <n v="15"/>
    <d v="1996-09-03T00:00:00"/>
  </r>
  <r>
    <n v="10296"/>
    <x v="5"/>
    <n v="432"/>
    <n v="15"/>
    <d v="1996-09-03T00:00:00"/>
  </r>
  <r>
    <n v="10296"/>
    <x v="6"/>
    <n v="432"/>
    <n v="15"/>
    <d v="1996-09-03T00:00:00"/>
  </r>
  <r>
    <n v="10296"/>
    <x v="7"/>
    <n v="432"/>
    <n v="15"/>
    <d v="1996-09-03T00:00:00"/>
  </r>
  <r>
    <n v="10297"/>
    <x v="0"/>
    <n v="864"/>
    <n v="60"/>
    <d v="1996-09-04T00:00:00"/>
  </r>
  <r>
    <n v="10297"/>
    <x v="1"/>
    <n v="864"/>
    <n v="60"/>
    <d v="1996-09-04T00:00:00"/>
  </r>
  <r>
    <n v="10297"/>
    <x v="2"/>
    <n v="864"/>
    <n v="60"/>
    <d v="1996-09-04T00:00:00"/>
  </r>
  <r>
    <n v="10297"/>
    <x v="3"/>
    <n v="864"/>
    <n v="60"/>
    <d v="1996-09-04T00:00:00"/>
  </r>
  <r>
    <n v="10297"/>
    <x v="4"/>
    <n v="864"/>
    <n v="60"/>
    <d v="1996-09-04T00:00:00"/>
  </r>
  <r>
    <n v="10297"/>
    <x v="5"/>
    <n v="864"/>
    <n v="60"/>
    <d v="1996-09-04T00:00:00"/>
  </r>
  <r>
    <n v="10297"/>
    <x v="6"/>
    <n v="864"/>
    <n v="60"/>
    <d v="1996-09-04T00:00:00"/>
  </r>
  <r>
    <n v="10297"/>
    <x v="7"/>
    <n v="864"/>
    <n v="60"/>
    <d v="1996-09-04T00:00:00"/>
  </r>
  <r>
    <n v="10297"/>
    <x v="0"/>
    <n v="556"/>
    <n v="20"/>
    <d v="1996-09-04T00:00:00"/>
  </r>
  <r>
    <n v="10297"/>
    <x v="1"/>
    <n v="556"/>
    <n v="20"/>
    <d v="1996-09-04T00:00:00"/>
  </r>
  <r>
    <n v="10297"/>
    <x v="2"/>
    <n v="556"/>
    <n v="20"/>
    <d v="1996-09-04T00:00:00"/>
  </r>
  <r>
    <n v="10297"/>
    <x v="3"/>
    <n v="556"/>
    <n v="20"/>
    <d v="1996-09-04T00:00:00"/>
  </r>
  <r>
    <n v="10297"/>
    <x v="4"/>
    <n v="556"/>
    <n v="20"/>
    <d v="1996-09-04T00:00:00"/>
  </r>
  <r>
    <n v="10297"/>
    <x v="5"/>
    <n v="556"/>
    <n v="20"/>
    <d v="1996-09-04T00:00:00"/>
  </r>
  <r>
    <n v="10297"/>
    <x v="6"/>
    <n v="556"/>
    <n v="20"/>
    <d v="1996-09-04T00:00:00"/>
  </r>
  <r>
    <n v="10297"/>
    <x v="7"/>
    <n v="556"/>
    <n v="20"/>
    <d v="1996-09-04T00:00:00"/>
  </r>
  <r>
    <n v="10298"/>
    <x v="0"/>
    <n v="608"/>
    <n v="40"/>
    <d v="1996-09-05T00:00:00"/>
  </r>
  <r>
    <n v="10298"/>
    <x v="1"/>
    <n v="608"/>
    <n v="40"/>
    <d v="1996-09-05T00:00:00"/>
  </r>
  <r>
    <n v="10298"/>
    <x v="2"/>
    <n v="608"/>
    <n v="40"/>
    <d v="1996-09-05T00:00:00"/>
  </r>
  <r>
    <n v="10298"/>
    <x v="3"/>
    <n v="608"/>
    <n v="40"/>
    <d v="1996-09-05T00:00:00"/>
  </r>
  <r>
    <n v="10298"/>
    <x v="4"/>
    <n v="608"/>
    <n v="40"/>
    <d v="1996-09-05T00:00:00"/>
  </r>
  <r>
    <n v="10298"/>
    <x v="5"/>
    <n v="608"/>
    <n v="40"/>
    <d v="1996-09-05T00:00:00"/>
  </r>
  <r>
    <n v="10298"/>
    <x v="6"/>
    <n v="608"/>
    <n v="40"/>
    <d v="1996-09-05T00:00:00"/>
  </r>
  <r>
    <n v="10298"/>
    <x v="7"/>
    <n v="608"/>
    <n v="40"/>
    <d v="1996-09-05T00:00:00"/>
  </r>
  <r>
    <n v="10298"/>
    <x v="0"/>
    <n v="456"/>
    <n v="40"/>
    <d v="1996-09-05T00:00:00"/>
  </r>
  <r>
    <n v="10298"/>
    <x v="1"/>
    <n v="456"/>
    <n v="40"/>
    <d v="1996-09-05T00:00:00"/>
  </r>
  <r>
    <n v="10298"/>
    <x v="2"/>
    <n v="456"/>
    <n v="40"/>
    <d v="1996-09-05T00:00:00"/>
  </r>
  <r>
    <n v="10298"/>
    <x v="3"/>
    <n v="456"/>
    <n v="40"/>
    <d v="1996-09-05T00:00:00"/>
  </r>
  <r>
    <n v="10298"/>
    <x v="4"/>
    <n v="456"/>
    <n v="40"/>
    <d v="1996-09-05T00:00:00"/>
  </r>
  <r>
    <n v="10298"/>
    <x v="5"/>
    <n v="456"/>
    <n v="40"/>
    <d v="1996-09-05T00:00:00"/>
  </r>
  <r>
    <n v="10298"/>
    <x v="6"/>
    <n v="456"/>
    <n v="40"/>
    <d v="1996-09-05T00:00:00"/>
  </r>
  <r>
    <n v="10298"/>
    <x v="7"/>
    <n v="456"/>
    <n v="40"/>
    <d v="1996-09-05T00:00:00"/>
  </r>
  <r>
    <n v="10298"/>
    <x v="0"/>
    <n v="990"/>
    <n v="30"/>
    <d v="1996-09-05T00:00:00"/>
  </r>
  <r>
    <n v="10298"/>
    <x v="1"/>
    <n v="990"/>
    <n v="30"/>
    <d v="1996-09-05T00:00:00"/>
  </r>
  <r>
    <n v="10298"/>
    <x v="2"/>
    <n v="990"/>
    <n v="30"/>
    <d v="1996-09-05T00:00:00"/>
  </r>
  <r>
    <n v="10298"/>
    <x v="3"/>
    <n v="990"/>
    <n v="30"/>
    <d v="1996-09-05T00:00:00"/>
  </r>
  <r>
    <n v="10298"/>
    <x v="4"/>
    <n v="990"/>
    <n v="30"/>
    <d v="1996-09-05T00:00:00"/>
  </r>
  <r>
    <n v="10298"/>
    <x v="5"/>
    <n v="990"/>
    <n v="30"/>
    <d v="1996-09-05T00:00:00"/>
  </r>
  <r>
    <n v="10298"/>
    <x v="6"/>
    <n v="990"/>
    <n v="30"/>
    <d v="1996-09-05T00:00:00"/>
  </r>
  <r>
    <n v="10298"/>
    <x v="7"/>
    <n v="990"/>
    <n v="30"/>
    <d v="1996-09-05T00:00:00"/>
  </r>
  <r>
    <n v="10298"/>
    <x v="0"/>
    <n v="591"/>
    <n v="15"/>
    <d v="1996-09-05T00:00:00"/>
  </r>
  <r>
    <n v="10298"/>
    <x v="1"/>
    <n v="591"/>
    <n v="15"/>
    <d v="1996-09-05T00:00:00"/>
  </r>
  <r>
    <n v="10298"/>
    <x v="2"/>
    <n v="591"/>
    <n v="15"/>
    <d v="1996-09-05T00:00:00"/>
  </r>
  <r>
    <n v="10298"/>
    <x v="3"/>
    <n v="591"/>
    <n v="15"/>
    <d v="1996-09-05T00:00:00"/>
  </r>
  <r>
    <n v="10298"/>
    <x v="4"/>
    <n v="591"/>
    <n v="15"/>
    <d v="1996-09-05T00:00:00"/>
  </r>
  <r>
    <n v="10298"/>
    <x v="5"/>
    <n v="591"/>
    <n v="15"/>
    <d v="1996-09-05T00:00:00"/>
  </r>
  <r>
    <n v="10298"/>
    <x v="6"/>
    <n v="591"/>
    <n v="15"/>
    <d v="1996-09-05T00:00:00"/>
  </r>
  <r>
    <n v="10298"/>
    <x v="7"/>
    <n v="591"/>
    <n v="15"/>
    <d v="1996-09-05T00:00:00"/>
  </r>
  <r>
    <n v="10299"/>
    <x v="0"/>
    <n v="109.5"/>
    <n v="15"/>
    <d v="1996-09-06T00:00:00"/>
  </r>
  <r>
    <n v="10299"/>
    <x v="1"/>
    <n v="109.5"/>
    <n v="15"/>
    <d v="1996-09-06T00:00:00"/>
  </r>
  <r>
    <n v="10299"/>
    <x v="2"/>
    <n v="109.5"/>
    <n v="15"/>
    <d v="1996-09-06T00:00:00"/>
  </r>
  <r>
    <n v="10299"/>
    <x v="3"/>
    <n v="109.5"/>
    <n v="15"/>
    <d v="1996-09-06T00:00:00"/>
  </r>
  <r>
    <n v="10299"/>
    <x v="4"/>
    <n v="109.5"/>
    <n v="15"/>
    <d v="1996-09-06T00:00:00"/>
  </r>
  <r>
    <n v="10299"/>
    <x v="5"/>
    <n v="109.5"/>
    <n v="15"/>
    <d v="1996-09-06T00:00:00"/>
  </r>
  <r>
    <n v="10299"/>
    <x v="6"/>
    <n v="109.5"/>
    <n v="15"/>
    <d v="1996-09-06T00:00:00"/>
  </r>
  <r>
    <n v="10299"/>
    <x v="7"/>
    <n v="109.5"/>
    <n v="15"/>
    <d v="1996-09-06T00:00:00"/>
  </r>
  <r>
    <n v="10299"/>
    <x v="0"/>
    <n v="240"/>
    <n v="20"/>
    <d v="1996-09-06T00:00:00"/>
  </r>
  <r>
    <n v="10299"/>
    <x v="1"/>
    <n v="240"/>
    <n v="20"/>
    <d v="1996-09-06T00:00:00"/>
  </r>
  <r>
    <n v="10299"/>
    <x v="2"/>
    <n v="240"/>
    <n v="20"/>
    <d v="1996-09-06T00:00:00"/>
  </r>
  <r>
    <n v="10299"/>
    <x v="3"/>
    <n v="240"/>
    <n v="20"/>
    <d v="1996-09-06T00:00:00"/>
  </r>
  <r>
    <n v="10299"/>
    <x v="4"/>
    <n v="240"/>
    <n v="20"/>
    <d v="1996-09-06T00:00:00"/>
  </r>
  <r>
    <n v="10299"/>
    <x v="5"/>
    <n v="240"/>
    <n v="20"/>
    <d v="1996-09-06T00:00:00"/>
  </r>
  <r>
    <n v="10299"/>
    <x v="6"/>
    <n v="240"/>
    <n v="20"/>
    <d v="1996-09-06T00:00:00"/>
  </r>
  <r>
    <n v="10299"/>
    <x v="7"/>
    <n v="240"/>
    <n v="20"/>
    <d v="1996-09-06T00:00:00"/>
  </r>
  <r>
    <n v="10300"/>
    <x v="0"/>
    <n v="408"/>
    <n v="30"/>
    <d v="1996-09-09T00:00:00"/>
  </r>
  <r>
    <n v="10300"/>
    <x v="1"/>
    <n v="408"/>
    <n v="30"/>
    <d v="1996-09-09T00:00:00"/>
  </r>
  <r>
    <n v="10300"/>
    <x v="2"/>
    <n v="408"/>
    <n v="30"/>
    <d v="1996-09-09T00:00:00"/>
  </r>
  <r>
    <n v="10300"/>
    <x v="3"/>
    <n v="408"/>
    <n v="30"/>
    <d v="1996-09-09T00:00:00"/>
  </r>
  <r>
    <n v="10300"/>
    <x v="4"/>
    <n v="408"/>
    <n v="30"/>
    <d v="1996-09-09T00:00:00"/>
  </r>
  <r>
    <n v="10300"/>
    <x v="5"/>
    <n v="408"/>
    <n v="30"/>
    <d v="1996-09-09T00:00:00"/>
  </r>
  <r>
    <n v="10300"/>
    <x v="6"/>
    <n v="408"/>
    <n v="30"/>
    <d v="1996-09-09T00:00:00"/>
  </r>
  <r>
    <n v="10300"/>
    <x v="7"/>
    <n v="408"/>
    <n v="30"/>
    <d v="1996-09-09T00:00:00"/>
  </r>
  <r>
    <n v="10300"/>
    <x v="0"/>
    <n v="200"/>
    <n v="20"/>
    <d v="1996-09-09T00:00:00"/>
  </r>
  <r>
    <n v="10300"/>
    <x v="1"/>
    <n v="200"/>
    <n v="20"/>
    <d v="1996-09-09T00:00:00"/>
  </r>
  <r>
    <n v="10300"/>
    <x v="2"/>
    <n v="200"/>
    <n v="20"/>
    <d v="1996-09-09T00:00:00"/>
  </r>
  <r>
    <n v="10300"/>
    <x v="3"/>
    <n v="200"/>
    <n v="20"/>
    <d v="1996-09-09T00:00:00"/>
  </r>
  <r>
    <n v="10300"/>
    <x v="4"/>
    <n v="200"/>
    <n v="20"/>
    <d v="1996-09-09T00:00:00"/>
  </r>
  <r>
    <n v="10300"/>
    <x v="5"/>
    <n v="200"/>
    <n v="20"/>
    <d v="1996-09-09T00:00:00"/>
  </r>
  <r>
    <n v="10300"/>
    <x v="6"/>
    <n v="200"/>
    <n v="20"/>
    <d v="1996-09-09T00:00:00"/>
  </r>
  <r>
    <n v="10300"/>
    <x v="7"/>
    <n v="200"/>
    <n v="20"/>
    <d v="1996-09-09T00:00:00"/>
  </r>
  <r>
    <n v="10301"/>
    <x v="0"/>
    <n v="147"/>
    <n v="10"/>
    <d v="1996-09-09T00:00:00"/>
  </r>
  <r>
    <n v="10301"/>
    <x v="1"/>
    <n v="147"/>
    <n v="10"/>
    <d v="1996-09-09T00:00:00"/>
  </r>
  <r>
    <n v="10301"/>
    <x v="2"/>
    <n v="147"/>
    <n v="10"/>
    <d v="1996-09-09T00:00:00"/>
  </r>
  <r>
    <n v="10301"/>
    <x v="3"/>
    <n v="147"/>
    <n v="10"/>
    <d v="1996-09-09T00:00:00"/>
  </r>
  <r>
    <n v="10301"/>
    <x v="4"/>
    <n v="147"/>
    <n v="10"/>
    <d v="1996-09-09T00:00:00"/>
  </r>
  <r>
    <n v="10301"/>
    <x v="5"/>
    <n v="147"/>
    <n v="10"/>
    <d v="1996-09-09T00:00:00"/>
  </r>
  <r>
    <n v="10301"/>
    <x v="6"/>
    <n v="147"/>
    <n v="10"/>
    <d v="1996-09-09T00:00:00"/>
  </r>
  <r>
    <n v="10301"/>
    <x v="7"/>
    <n v="147"/>
    <n v="10"/>
    <d v="1996-09-09T00:00:00"/>
  </r>
  <r>
    <n v="10301"/>
    <x v="0"/>
    <n v="608"/>
    <n v="20"/>
    <d v="1996-09-09T00:00:00"/>
  </r>
  <r>
    <n v="10301"/>
    <x v="1"/>
    <n v="608"/>
    <n v="20"/>
    <d v="1996-09-09T00:00:00"/>
  </r>
  <r>
    <n v="10301"/>
    <x v="2"/>
    <n v="608"/>
    <n v="20"/>
    <d v="1996-09-09T00:00:00"/>
  </r>
  <r>
    <n v="10301"/>
    <x v="3"/>
    <n v="608"/>
    <n v="20"/>
    <d v="1996-09-09T00:00:00"/>
  </r>
  <r>
    <n v="10301"/>
    <x v="4"/>
    <n v="608"/>
    <n v="20"/>
    <d v="1996-09-09T00:00:00"/>
  </r>
  <r>
    <n v="10301"/>
    <x v="5"/>
    <n v="608"/>
    <n v="20"/>
    <d v="1996-09-09T00:00:00"/>
  </r>
  <r>
    <n v="10301"/>
    <x v="6"/>
    <n v="608"/>
    <n v="20"/>
    <d v="1996-09-09T00:00:00"/>
  </r>
  <r>
    <n v="10301"/>
    <x v="7"/>
    <n v="608"/>
    <n v="20"/>
    <d v="1996-09-09T00:00:00"/>
  </r>
  <r>
    <n v="10302"/>
    <x v="0"/>
    <n v="1248"/>
    <n v="40"/>
    <d v="1996-09-10T00:00:00"/>
  </r>
  <r>
    <n v="10302"/>
    <x v="1"/>
    <n v="1248"/>
    <n v="40"/>
    <d v="1996-09-10T00:00:00"/>
  </r>
  <r>
    <n v="10302"/>
    <x v="2"/>
    <n v="1248"/>
    <n v="40"/>
    <d v="1996-09-10T00:00:00"/>
  </r>
  <r>
    <n v="10302"/>
    <x v="3"/>
    <n v="1248"/>
    <n v="40"/>
    <d v="1996-09-10T00:00:00"/>
  </r>
  <r>
    <n v="10302"/>
    <x v="4"/>
    <n v="1248"/>
    <n v="40"/>
    <d v="1996-09-10T00:00:00"/>
  </r>
  <r>
    <n v="10302"/>
    <x v="5"/>
    <n v="1248"/>
    <n v="40"/>
    <d v="1996-09-10T00:00:00"/>
  </r>
  <r>
    <n v="10302"/>
    <x v="6"/>
    <n v="1248"/>
    <n v="40"/>
    <d v="1996-09-10T00:00:00"/>
  </r>
  <r>
    <n v="10302"/>
    <x v="7"/>
    <n v="1248"/>
    <n v="40"/>
    <d v="1996-09-10T00:00:00"/>
  </r>
  <r>
    <n v="10302"/>
    <x v="0"/>
    <n v="1019.2"/>
    <n v="28"/>
    <d v="1996-09-10T00:00:00"/>
  </r>
  <r>
    <n v="10302"/>
    <x v="1"/>
    <n v="1019.2"/>
    <n v="28"/>
    <d v="1996-09-10T00:00:00"/>
  </r>
  <r>
    <n v="10302"/>
    <x v="2"/>
    <n v="1019.2"/>
    <n v="28"/>
    <d v="1996-09-10T00:00:00"/>
  </r>
  <r>
    <n v="10302"/>
    <x v="3"/>
    <n v="1019.2"/>
    <n v="28"/>
    <d v="1996-09-10T00:00:00"/>
  </r>
  <r>
    <n v="10302"/>
    <x v="4"/>
    <n v="1019.2"/>
    <n v="28"/>
    <d v="1996-09-10T00:00:00"/>
  </r>
  <r>
    <n v="10302"/>
    <x v="5"/>
    <n v="1019.2"/>
    <n v="28"/>
    <d v="1996-09-10T00:00:00"/>
  </r>
  <r>
    <n v="10302"/>
    <x v="6"/>
    <n v="1019.2"/>
    <n v="28"/>
    <d v="1996-09-10T00:00:00"/>
  </r>
  <r>
    <n v="10302"/>
    <x v="7"/>
    <n v="1019.2"/>
    <n v="28"/>
    <d v="1996-09-10T00:00:00"/>
  </r>
  <r>
    <n v="10302"/>
    <x v="0"/>
    <n v="441.6"/>
    <n v="12"/>
    <d v="1996-09-10T00:00:00"/>
  </r>
  <r>
    <n v="10302"/>
    <x v="1"/>
    <n v="441.6"/>
    <n v="12"/>
    <d v="1996-09-10T00:00:00"/>
  </r>
  <r>
    <n v="10302"/>
    <x v="2"/>
    <n v="441.6"/>
    <n v="12"/>
    <d v="1996-09-10T00:00:00"/>
  </r>
  <r>
    <n v="10302"/>
    <x v="3"/>
    <n v="441.6"/>
    <n v="12"/>
    <d v="1996-09-10T00:00:00"/>
  </r>
  <r>
    <n v="10302"/>
    <x v="4"/>
    <n v="441.6"/>
    <n v="12"/>
    <d v="1996-09-10T00:00:00"/>
  </r>
  <r>
    <n v="10302"/>
    <x v="5"/>
    <n v="441.6"/>
    <n v="12"/>
    <d v="1996-09-10T00:00:00"/>
  </r>
  <r>
    <n v="10302"/>
    <x v="6"/>
    <n v="441.6"/>
    <n v="12"/>
    <d v="1996-09-10T00:00:00"/>
  </r>
  <r>
    <n v="10302"/>
    <x v="7"/>
    <n v="441.6"/>
    <n v="12"/>
    <d v="1996-09-10T00:00:00"/>
  </r>
  <r>
    <n v="10303"/>
    <x v="0"/>
    <n v="529.19999912381172"/>
    <n v="40"/>
    <d v="1996-09-11T00:00:00"/>
  </r>
  <r>
    <n v="10303"/>
    <x v="1"/>
    <n v="529.19999912381172"/>
    <n v="40"/>
    <d v="1996-09-11T00:00:00"/>
  </r>
  <r>
    <n v="10303"/>
    <x v="2"/>
    <n v="529.19999912381172"/>
    <n v="40"/>
    <d v="1996-09-11T00:00:00"/>
  </r>
  <r>
    <n v="10303"/>
    <x v="3"/>
    <n v="529.19999912381172"/>
    <n v="40"/>
    <d v="1996-09-11T00:00:00"/>
  </r>
  <r>
    <n v="10303"/>
    <x v="4"/>
    <n v="529.19999912381172"/>
    <n v="40"/>
    <d v="1996-09-11T00:00:00"/>
  </r>
  <r>
    <n v="10303"/>
    <x v="5"/>
    <n v="529.19999912381172"/>
    <n v="40"/>
    <d v="1996-09-11T00:00:00"/>
  </r>
  <r>
    <n v="10303"/>
    <x v="6"/>
    <n v="529.19999912381172"/>
    <n v="40"/>
    <d v="1996-09-11T00:00:00"/>
  </r>
  <r>
    <n v="10303"/>
    <x v="7"/>
    <n v="529.19999912381172"/>
    <n v="40"/>
    <d v="1996-09-11T00:00:00"/>
  </r>
  <r>
    <n v="10303"/>
    <x v="0"/>
    <n v="453.59999924898148"/>
    <n v="30"/>
    <d v="1996-09-11T00:00:00"/>
  </r>
  <r>
    <n v="10303"/>
    <x v="1"/>
    <n v="453.59999924898148"/>
    <n v="30"/>
    <d v="1996-09-11T00:00:00"/>
  </r>
  <r>
    <n v="10303"/>
    <x v="2"/>
    <n v="453.59999924898148"/>
    <n v="30"/>
    <d v="1996-09-11T00:00:00"/>
  </r>
  <r>
    <n v="10303"/>
    <x v="3"/>
    <n v="453.59999924898148"/>
    <n v="30"/>
    <d v="1996-09-11T00:00:00"/>
  </r>
  <r>
    <n v="10303"/>
    <x v="4"/>
    <n v="453.59999924898148"/>
    <n v="30"/>
    <d v="1996-09-11T00:00:00"/>
  </r>
  <r>
    <n v="10303"/>
    <x v="5"/>
    <n v="453.59999924898148"/>
    <n v="30"/>
    <d v="1996-09-11T00:00:00"/>
  </r>
  <r>
    <n v="10303"/>
    <x v="6"/>
    <n v="453.59999924898148"/>
    <n v="30"/>
    <d v="1996-09-11T00:00:00"/>
  </r>
  <r>
    <n v="10303"/>
    <x v="7"/>
    <n v="453.59999924898148"/>
    <n v="30"/>
    <d v="1996-09-11T00:00:00"/>
  </r>
  <r>
    <n v="10303"/>
    <x v="0"/>
    <n v="134.99999977648258"/>
    <n v="15"/>
    <d v="1996-09-11T00:00:00"/>
  </r>
  <r>
    <n v="10303"/>
    <x v="1"/>
    <n v="134.99999977648258"/>
    <n v="15"/>
    <d v="1996-09-11T00:00:00"/>
  </r>
  <r>
    <n v="10303"/>
    <x v="2"/>
    <n v="134.99999977648258"/>
    <n v="15"/>
    <d v="1996-09-11T00:00:00"/>
  </r>
  <r>
    <n v="10303"/>
    <x v="3"/>
    <n v="134.99999977648258"/>
    <n v="15"/>
    <d v="1996-09-11T00:00:00"/>
  </r>
  <r>
    <n v="10303"/>
    <x v="4"/>
    <n v="134.99999977648258"/>
    <n v="15"/>
    <d v="1996-09-11T00:00:00"/>
  </r>
  <r>
    <n v="10303"/>
    <x v="5"/>
    <n v="134.99999977648258"/>
    <n v="15"/>
    <d v="1996-09-11T00:00:00"/>
  </r>
  <r>
    <n v="10303"/>
    <x v="6"/>
    <n v="134.99999977648258"/>
    <n v="15"/>
    <d v="1996-09-11T00:00:00"/>
  </r>
  <r>
    <n v="10303"/>
    <x v="7"/>
    <n v="134.99999977648258"/>
    <n v="15"/>
    <d v="1996-09-11T00:00:00"/>
  </r>
  <r>
    <n v="10304"/>
    <x v="0"/>
    <n v="480"/>
    <n v="30"/>
    <d v="1996-09-12T00:00:00"/>
  </r>
  <r>
    <n v="10304"/>
    <x v="1"/>
    <n v="480"/>
    <n v="30"/>
    <d v="1996-09-12T00:00:00"/>
  </r>
  <r>
    <n v="10304"/>
    <x v="2"/>
    <n v="480"/>
    <n v="30"/>
    <d v="1996-09-12T00:00:00"/>
  </r>
  <r>
    <n v="10304"/>
    <x v="3"/>
    <n v="480"/>
    <n v="30"/>
    <d v="1996-09-12T00:00:00"/>
  </r>
  <r>
    <n v="10304"/>
    <x v="4"/>
    <n v="480"/>
    <n v="30"/>
    <d v="1996-09-12T00:00:00"/>
  </r>
  <r>
    <n v="10304"/>
    <x v="5"/>
    <n v="480"/>
    <n v="30"/>
    <d v="1996-09-12T00:00:00"/>
  </r>
  <r>
    <n v="10304"/>
    <x v="6"/>
    <n v="480"/>
    <n v="30"/>
    <d v="1996-09-12T00:00:00"/>
  </r>
  <r>
    <n v="10304"/>
    <x v="7"/>
    <n v="480"/>
    <n v="30"/>
    <d v="1996-09-12T00:00:00"/>
  </r>
  <r>
    <n v="10304"/>
    <x v="0"/>
    <n v="440"/>
    <n v="10"/>
    <d v="1996-09-12T00:00:00"/>
  </r>
  <r>
    <n v="10304"/>
    <x v="1"/>
    <n v="440"/>
    <n v="10"/>
    <d v="1996-09-12T00:00:00"/>
  </r>
  <r>
    <n v="10304"/>
    <x v="2"/>
    <n v="440"/>
    <n v="10"/>
    <d v="1996-09-12T00:00:00"/>
  </r>
  <r>
    <n v="10304"/>
    <x v="3"/>
    <n v="440"/>
    <n v="10"/>
    <d v="1996-09-12T00:00:00"/>
  </r>
  <r>
    <n v="10304"/>
    <x v="4"/>
    <n v="440"/>
    <n v="10"/>
    <d v="1996-09-12T00:00:00"/>
  </r>
  <r>
    <n v="10304"/>
    <x v="5"/>
    <n v="440"/>
    <n v="10"/>
    <d v="1996-09-12T00:00:00"/>
  </r>
  <r>
    <n v="10304"/>
    <x v="6"/>
    <n v="440"/>
    <n v="10"/>
    <d v="1996-09-12T00:00:00"/>
  </r>
  <r>
    <n v="10304"/>
    <x v="7"/>
    <n v="440"/>
    <n v="10"/>
    <d v="1996-09-12T00:00:00"/>
  </r>
  <r>
    <n v="10304"/>
    <x v="0"/>
    <n v="34.4"/>
    <n v="2"/>
    <d v="1996-09-12T00:00:00"/>
  </r>
  <r>
    <n v="10304"/>
    <x v="1"/>
    <n v="34.4"/>
    <n v="2"/>
    <d v="1996-09-12T00:00:00"/>
  </r>
  <r>
    <n v="10304"/>
    <x v="2"/>
    <n v="34.4"/>
    <n v="2"/>
    <d v="1996-09-12T00:00:00"/>
  </r>
  <r>
    <n v="10304"/>
    <x v="3"/>
    <n v="34.4"/>
    <n v="2"/>
    <d v="1996-09-12T00:00:00"/>
  </r>
  <r>
    <n v="10304"/>
    <x v="4"/>
    <n v="34.4"/>
    <n v="2"/>
    <d v="1996-09-12T00:00:00"/>
  </r>
  <r>
    <n v="10304"/>
    <x v="5"/>
    <n v="34.4"/>
    <n v="2"/>
    <d v="1996-09-12T00:00:00"/>
  </r>
  <r>
    <n v="10304"/>
    <x v="6"/>
    <n v="34.4"/>
    <n v="2"/>
    <d v="1996-09-12T00:00:00"/>
  </r>
  <r>
    <n v="10304"/>
    <x v="7"/>
    <n v="34.4"/>
    <n v="2"/>
    <d v="1996-09-12T00:00:00"/>
  </r>
  <r>
    <n v="10305"/>
    <x v="0"/>
    <n v="1124.9999981373549"/>
    <n v="25"/>
    <d v="1996-09-13T00:00:00"/>
  </r>
  <r>
    <n v="10305"/>
    <x v="1"/>
    <n v="1124.9999981373549"/>
    <n v="25"/>
    <d v="1996-09-13T00:00:00"/>
  </r>
  <r>
    <n v="10305"/>
    <x v="2"/>
    <n v="1124.9999981373549"/>
    <n v="25"/>
    <d v="1996-09-13T00:00:00"/>
  </r>
  <r>
    <n v="10305"/>
    <x v="3"/>
    <n v="1124.9999981373549"/>
    <n v="25"/>
    <d v="1996-09-13T00:00:00"/>
  </r>
  <r>
    <n v="10305"/>
    <x v="4"/>
    <n v="1124.9999981373549"/>
    <n v="25"/>
    <d v="1996-09-13T00:00:00"/>
  </r>
  <r>
    <n v="10305"/>
    <x v="5"/>
    <n v="1124.9999981373549"/>
    <n v="25"/>
    <d v="1996-09-13T00:00:00"/>
  </r>
  <r>
    <n v="10305"/>
    <x v="6"/>
    <n v="1124.9999981373549"/>
    <n v="25"/>
    <d v="1996-09-13T00:00:00"/>
  </r>
  <r>
    <n v="10305"/>
    <x v="7"/>
    <n v="1124.9999981373549"/>
    <n v="25"/>
    <d v="1996-09-13T00:00:00"/>
  </r>
  <r>
    <n v="10305"/>
    <x v="0"/>
    <n v="2227.4999963119626"/>
    <n v="25"/>
    <d v="1996-09-13T00:00:00"/>
  </r>
  <r>
    <n v="10305"/>
    <x v="1"/>
    <n v="2227.4999963119626"/>
    <n v="25"/>
    <d v="1996-09-13T00:00:00"/>
  </r>
  <r>
    <n v="10305"/>
    <x v="2"/>
    <n v="2227.4999963119626"/>
    <n v="25"/>
    <d v="1996-09-13T00:00:00"/>
  </r>
  <r>
    <n v="10305"/>
    <x v="3"/>
    <n v="2227.4999963119626"/>
    <n v="25"/>
    <d v="1996-09-13T00:00:00"/>
  </r>
  <r>
    <n v="10305"/>
    <x v="4"/>
    <n v="2227.4999963119626"/>
    <n v="25"/>
    <d v="1996-09-13T00:00:00"/>
  </r>
  <r>
    <n v="10305"/>
    <x v="5"/>
    <n v="2227.4999963119626"/>
    <n v="25"/>
    <d v="1996-09-13T00:00:00"/>
  </r>
  <r>
    <n v="10305"/>
    <x v="6"/>
    <n v="2227.4999963119626"/>
    <n v="25"/>
    <d v="1996-09-13T00:00:00"/>
  </r>
  <r>
    <n v="10305"/>
    <x v="7"/>
    <n v="2227.4999963119626"/>
    <n v="25"/>
    <d v="1996-09-13T00:00:00"/>
  </r>
  <r>
    <n v="10305"/>
    <x v="0"/>
    <n v="388.79999935626984"/>
    <n v="30"/>
    <d v="1996-09-13T00:00:00"/>
  </r>
  <r>
    <n v="10305"/>
    <x v="1"/>
    <n v="388.79999935626984"/>
    <n v="30"/>
    <d v="1996-09-13T00:00:00"/>
  </r>
  <r>
    <n v="10305"/>
    <x v="2"/>
    <n v="388.79999935626984"/>
    <n v="30"/>
    <d v="1996-09-13T00:00:00"/>
  </r>
  <r>
    <n v="10305"/>
    <x v="3"/>
    <n v="388.79999935626984"/>
    <n v="30"/>
    <d v="1996-09-13T00:00:00"/>
  </r>
  <r>
    <n v="10305"/>
    <x v="4"/>
    <n v="388.79999935626984"/>
    <n v="30"/>
    <d v="1996-09-13T00:00:00"/>
  </r>
  <r>
    <n v="10305"/>
    <x v="5"/>
    <n v="388.79999935626984"/>
    <n v="30"/>
    <d v="1996-09-13T00:00:00"/>
  </r>
  <r>
    <n v="10305"/>
    <x v="6"/>
    <n v="388.79999935626984"/>
    <n v="30"/>
    <d v="1996-09-13T00:00:00"/>
  </r>
  <r>
    <n v="10305"/>
    <x v="7"/>
    <n v="388.79999935626984"/>
    <n v="30"/>
    <d v="1996-09-13T00:00:00"/>
  </r>
  <r>
    <n v="10306"/>
    <x v="0"/>
    <n v="207"/>
    <n v="10"/>
    <d v="1996-09-16T00:00:00"/>
  </r>
  <r>
    <n v="10306"/>
    <x v="1"/>
    <n v="207"/>
    <n v="10"/>
    <d v="1996-09-16T00:00:00"/>
  </r>
  <r>
    <n v="10306"/>
    <x v="2"/>
    <n v="207"/>
    <n v="10"/>
    <d v="1996-09-16T00:00:00"/>
  </r>
  <r>
    <n v="10306"/>
    <x v="3"/>
    <n v="207"/>
    <n v="10"/>
    <d v="1996-09-16T00:00:00"/>
  </r>
  <r>
    <n v="10306"/>
    <x v="4"/>
    <n v="207"/>
    <n v="10"/>
    <d v="1996-09-16T00:00:00"/>
  </r>
  <r>
    <n v="10306"/>
    <x v="5"/>
    <n v="207"/>
    <n v="10"/>
    <d v="1996-09-16T00:00:00"/>
  </r>
  <r>
    <n v="10306"/>
    <x v="6"/>
    <n v="207"/>
    <n v="10"/>
    <d v="1996-09-16T00:00:00"/>
  </r>
  <r>
    <n v="10306"/>
    <x v="7"/>
    <n v="207"/>
    <n v="10"/>
    <d v="1996-09-16T00:00:00"/>
  </r>
  <r>
    <n v="10306"/>
    <x v="0"/>
    <n v="262"/>
    <n v="10"/>
    <d v="1996-09-16T00:00:00"/>
  </r>
  <r>
    <n v="10306"/>
    <x v="1"/>
    <n v="262"/>
    <n v="10"/>
    <d v="1996-09-16T00:00:00"/>
  </r>
  <r>
    <n v="10306"/>
    <x v="2"/>
    <n v="262"/>
    <n v="10"/>
    <d v="1996-09-16T00:00:00"/>
  </r>
  <r>
    <n v="10306"/>
    <x v="3"/>
    <n v="262"/>
    <n v="10"/>
    <d v="1996-09-16T00:00:00"/>
  </r>
  <r>
    <n v="10306"/>
    <x v="4"/>
    <n v="262"/>
    <n v="10"/>
    <d v="1996-09-16T00:00:00"/>
  </r>
  <r>
    <n v="10306"/>
    <x v="5"/>
    <n v="262"/>
    <n v="10"/>
    <d v="1996-09-16T00:00:00"/>
  </r>
  <r>
    <n v="10306"/>
    <x v="6"/>
    <n v="262"/>
    <n v="10"/>
    <d v="1996-09-16T00:00:00"/>
  </r>
  <r>
    <n v="10306"/>
    <x v="7"/>
    <n v="262"/>
    <n v="10"/>
    <d v="1996-09-16T00:00:00"/>
  </r>
  <r>
    <n v="10306"/>
    <x v="0"/>
    <n v="29.5"/>
    <n v="5"/>
    <d v="1996-09-16T00:00:00"/>
  </r>
  <r>
    <n v="10306"/>
    <x v="1"/>
    <n v="29.5"/>
    <n v="5"/>
    <d v="1996-09-16T00:00:00"/>
  </r>
  <r>
    <n v="10306"/>
    <x v="2"/>
    <n v="29.5"/>
    <n v="5"/>
    <d v="1996-09-16T00:00:00"/>
  </r>
  <r>
    <n v="10306"/>
    <x v="3"/>
    <n v="29.5"/>
    <n v="5"/>
    <d v="1996-09-16T00:00:00"/>
  </r>
  <r>
    <n v="10306"/>
    <x v="4"/>
    <n v="29.5"/>
    <n v="5"/>
    <d v="1996-09-16T00:00:00"/>
  </r>
  <r>
    <n v="10306"/>
    <x v="5"/>
    <n v="29.5"/>
    <n v="5"/>
    <d v="1996-09-16T00:00:00"/>
  </r>
  <r>
    <n v="10306"/>
    <x v="6"/>
    <n v="29.5"/>
    <n v="5"/>
    <d v="1996-09-16T00:00:00"/>
  </r>
  <r>
    <n v="10306"/>
    <x v="7"/>
    <n v="29.5"/>
    <n v="5"/>
    <d v="1996-09-16T00:00:00"/>
  </r>
  <r>
    <n v="10307"/>
    <x v="0"/>
    <n v="394"/>
    <n v="10"/>
    <d v="1996-09-17T00:00:00"/>
  </r>
  <r>
    <n v="10307"/>
    <x v="1"/>
    <n v="394"/>
    <n v="10"/>
    <d v="1996-09-17T00:00:00"/>
  </r>
  <r>
    <n v="10307"/>
    <x v="2"/>
    <n v="394"/>
    <n v="10"/>
    <d v="1996-09-17T00:00:00"/>
  </r>
  <r>
    <n v="10307"/>
    <x v="3"/>
    <n v="394"/>
    <n v="10"/>
    <d v="1996-09-17T00:00:00"/>
  </r>
  <r>
    <n v="10307"/>
    <x v="4"/>
    <n v="394"/>
    <n v="10"/>
    <d v="1996-09-17T00:00:00"/>
  </r>
  <r>
    <n v="10307"/>
    <x v="5"/>
    <n v="394"/>
    <n v="10"/>
    <d v="1996-09-17T00:00:00"/>
  </r>
  <r>
    <n v="10307"/>
    <x v="6"/>
    <n v="394"/>
    <n v="10"/>
    <d v="1996-09-17T00:00:00"/>
  </r>
  <r>
    <n v="10307"/>
    <x v="7"/>
    <n v="394"/>
    <n v="10"/>
    <d v="1996-09-17T00:00:00"/>
  </r>
  <r>
    <n v="10307"/>
    <x v="0"/>
    <n v="30"/>
    <n v="3"/>
    <d v="1996-09-17T00:00:00"/>
  </r>
  <r>
    <n v="10307"/>
    <x v="1"/>
    <n v="30"/>
    <n v="3"/>
    <d v="1996-09-17T00:00:00"/>
  </r>
  <r>
    <n v="10307"/>
    <x v="2"/>
    <n v="30"/>
    <n v="3"/>
    <d v="1996-09-17T00:00:00"/>
  </r>
  <r>
    <n v="10307"/>
    <x v="3"/>
    <n v="30"/>
    <n v="3"/>
    <d v="1996-09-17T00:00:00"/>
  </r>
  <r>
    <n v="10307"/>
    <x v="4"/>
    <n v="30"/>
    <n v="3"/>
    <d v="1996-09-17T00:00:00"/>
  </r>
  <r>
    <n v="10307"/>
    <x v="5"/>
    <n v="30"/>
    <n v="3"/>
    <d v="1996-09-17T00:00:00"/>
  </r>
  <r>
    <n v="10307"/>
    <x v="6"/>
    <n v="30"/>
    <n v="3"/>
    <d v="1996-09-17T00:00:00"/>
  </r>
  <r>
    <n v="10307"/>
    <x v="7"/>
    <n v="30"/>
    <n v="3"/>
    <d v="1996-09-17T00:00:00"/>
  </r>
  <r>
    <n v="10308"/>
    <x v="0"/>
    <n v="28.8"/>
    <n v="1"/>
    <d v="1996-09-18T00:00:00"/>
  </r>
  <r>
    <n v="10308"/>
    <x v="1"/>
    <n v="28.8"/>
    <n v="1"/>
    <d v="1996-09-18T00:00:00"/>
  </r>
  <r>
    <n v="10308"/>
    <x v="2"/>
    <n v="28.8"/>
    <n v="1"/>
    <d v="1996-09-18T00:00:00"/>
  </r>
  <r>
    <n v="10308"/>
    <x v="3"/>
    <n v="28.8"/>
    <n v="1"/>
    <d v="1996-09-18T00:00:00"/>
  </r>
  <r>
    <n v="10308"/>
    <x v="4"/>
    <n v="28.8"/>
    <n v="1"/>
    <d v="1996-09-18T00:00:00"/>
  </r>
  <r>
    <n v="10308"/>
    <x v="5"/>
    <n v="28.8"/>
    <n v="1"/>
    <d v="1996-09-18T00:00:00"/>
  </r>
  <r>
    <n v="10308"/>
    <x v="6"/>
    <n v="28.8"/>
    <n v="1"/>
    <d v="1996-09-18T00:00:00"/>
  </r>
  <r>
    <n v="10308"/>
    <x v="7"/>
    <n v="28.8"/>
    <n v="1"/>
    <d v="1996-09-18T00:00:00"/>
  </r>
  <r>
    <n v="10308"/>
    <x v="0"/>
    <n v="60"/>
    <n v="5"/>
    <d v="1996-09-18T00:00:00"/>
  </r>
  <r>
    <n v="10308"/>
    <x v="1"/>
    <n v="60"/>
    <n v="5"/>
    <d v="1996-09-18T00:00:00"/>
  </r>
  <r>
    <n v="10308"/>
    <x v="2"/>
    <n v="60"/>
    <n v="5"/>
    <d v="1996-09-18T00:00:00"/>
  </r>
  <r>
    <n v="10308"/>
    <x v="3"/>
    <n v="60"/>
    <n v="5"/>
    <d v="1996-09-18T00:00:00"/>
  </r>
  <r>
    <n v="10308"/>
    <x v="4"/>
    <n v="60"/>
    <n v="5"/>
    <d v="1996-09-18T00:00:00"/>
  </r>
  <r>
    <n v="10308"/>
    <x v="5"/>
    <n v="60"/>
    <n v="5"/>
    <d v="1996-09-18T00:00:00"/>
  </r>
  <r>
    <n v="10308"/>
    <x v="6"/>
    <n v="60"/>
    <n v="5"/>
    <d v="1996-09-18T00:00:00"/>
  </r>
  <r>
    <n v="10308"/>
    <x v="7"/>
    <n v="60"/>
    <n v="5"/>
    <d v="1996-09-18T00:00:00"/>
  </r>
  <r>
    <n v="10309"/>
    <x v="0"/>
    <n v="352"/>
    <n v="20"/>
    <d v="1996-09-19T00:00:00"/>
  </r>
  <r>
    <n v="10309"/>
    <x v="1"/>
    <n v="352"/>
    <n v="20"/>
    <d v="1996-09-19T00:00:00"/>
  </r>
  <r>
    <n v="10309"/>
    <x v="2"/>
    <n v="352"/>
    <n v="20"/>
    <d v="1996-09-19T00:00:00"/>
  </r>
  <r>
    <n v="10309"/>
    <x v="3"/>
    <n v="352"/>
    <n v="20"/>
    <d v="1996-09-19T00:00:00"/>
  </r>
  <r>
    <n v="10309"/>
    <x v="4"/>
    <n v="352"/>
    <n v="20"/>
    <d v="1996-09-19T00:00:00"/>
  </r>
  <r>
    <n v="10309"/>
    <x v="5"/>
    <n v="352"/>
    <n v="20"/>
    <d v="1996-09-19T00:00:00"/>
  </r>
  <r>
    <n v="10309"/>
    <x v="6"/>
    <n v="352"/>
    <n v="20"/>
    <d v="1996-09-19T00:00:00"/>
  </r>
  <r>
    <n v="10309"/>
    <x v="7"/>
    <n v="352"/>
    <n v="20"/>
    <d v="1996-09-19T00:00:00"/>
  </r>
  <r>
    <n v="10309"/>
    <x v="0"/>
    <n v="600"/>
    <n v="30"/>
    <d v="1996-09-19T00:00:00"/>
  </r>
  <r>
    <n v="10309"/>
    <x v="1"/>
    <n v="600"/>
    <n v="30"/>
    <d v="1996-09-19T00:00:00"/>
  </r>
  <r>
    <n v="10309"/>
    <x v="2"/>
    <n v="600"/>
    <n v="30"/>
    <d v="1996-09-19T00:00:00"/>
  </r>
  <r>
    <n v="10309"/>
    <x v="3"/>
    <n v="600"/>
    <n v="30"/>
    <d v="1996-09-19T00:00:00"/>
  </r>
  <r>
    <n v="10309"/>
    <x v="4"/>
    <n v="600"/>
    <n v="30"/>
    <d v="1996-09-19T00:00:00"/>
  </r>
  <r>
    <n v="10309"/>
    <x v="5"/>
    <n v="600"/>
    <n v="30"/>
    <d v="1996-09-19T00:00:00"/>
  </r>
  <r>
    <n v="10309"/>
    <x v="6"/>
    <n v="600"/>
    <n v="30"/>
    <d v="1996-09-19T00:00:00"/>
  </r>
  <r>
    <n v="10309"/>
    <x v="7"/>
    <n v="600"/>
    <n v="30"/>
    <d v="1996-09-19T00:00:00"/>
  </r>
  <r>
    <n v="10309"/>
    <x v="0"/>
    <n v="22.4"/>
    <n v="2"/>
    <d v="1996-09-19T00:00:00"/>
  </r>
  <r>
    <n v="10309"/>
    <x v="1"/>
    <n v="22.4"/>
    <n v="2"/>
    <d v="1996-09-19T00:00:00"/>
  </r>
  <r>
    <n v="10309"/>
    <x v="2"/>
    <n v="22.4"/>
    <n v="2"/>
    <d v="1996-09-19T00:00:00"/>
  </r>
  <r>
    <n v="10309"/>
    <x v="3"/>
    <n v="22.4"/>
    <n v="2"/>
    <d v="1996-09-19T00:00:00"/>
  </r>
  <r>
    <n v="10309"/>
    <x v="4"/>
    <n v="22.4"/>
    <n v="2"/>
    <d v="1996-09-19T00:00:00"/>
  </r>
  <r>
    <n v="10309"/>
    <x v="5"/>
    <n v="22.4"/>
    <n v="2"/>
    <d v="1996-09-19T00:00:00"/>
  </r>
  <r>
    <n v="10309"/>
    <x v="6"/>
    <n v="22.4"/>
    <n v="2"/>
    <d v="1996-09-19T00:00:00"/>
  </r>
  <r>
    <n v="10309"/>
    <x v="7"/>
    <n v="22.4"/>
    <n v="2"/>
    <d v="1996-09-19T00:00:00"/>
  </r>
  <r>
    <n v="10309"/>
    <x v="0"/>
    <n v="736"/>
    <n v="20"/>
    <d v="1996-09-19T00:00:00"/>
  </r>
  <r>
    <n v="10309"/>
    <x v="1"/>
    <n v="736"/>
    <n v="20"/>
    <d v="1996-09-19T00:00:00"/>
  </r>
  <r>
    <n v="10309"/>
    <x v="2"/>
    <n v="736"/>
    <n v="20"/>
    <d v="1996-09-19T00:00:00"/>
  </r>
  <r>
    <n v="10309"/>
    <x v="3"/>
    <n v="736"/>
    <n v="20"/>
    <d v="1996-09-19T00:00:00"/>
  </r>
  <r>
    <n v="10309"/>
    <x v="4"/>
    <n v="736"/>
    <n v="20"/>
    <d v="1996-09-19T00:00:00"/>
  </r>
  <r>
    <n v="10309"/>
    <x v="5"/>
    <n v="736"/>
    <n v="20"/>
    <d v="1996-09-19T00:00:00"/>
  </r>
  <r>
    <n v="10309"/>
    <x v="6"/>
    <n v="736"/>
    <n v="20"/>
    <d v="1996-09-19T00:00:00"/>
  </r>
  <r>
    <n v="10309"/>
    <x v="7"/>
    <n v="736"/>
    <n v="20"/>
    <d v="1996-09-19T00:00:00"/>
  </r>
  <r>
    <n v="10309"/>
    <x v="0"/>
    <n v="51.6"/>
    <n v="3"/>
    <d v="1996-09-19T00:00:00"/>
  </r>
  <r>
    <n v="10309"/>
    <x v="1"/>
    <n v="51.6"/>
    <n v="3"/>
    <d v="1996-09-19T00:00:00"/>
  </r>
  <r>
    <n v="10309"/>
    <x v="2"/>
    <n v="51.6"/>
    <n v="3"/>
    <d v="1996-09-19T00:00:00"/>
  </r>
  <r>
    <n v="10309"/>
    <x v="3"/>
    <n v="51.6"/>
    <n v="3"/>
    <d v="1996-09-19T00:00:00"/>
  </r>
  <r>
    <n v="10309"/>
    <x v="4"/>
    <n v="51.6"/>
    <n v="3"/>
    <d v="1996-09-19T00:00:00"/>
  </r>
  <r>
    <n v="10309"/>
    <x v="5"/>
    <n v="51.6"/>
    <n v="3"/>
    <d v="1996-09-19T00:00:00"/>
  </r>
  <r>
    <n v="10309"/>
    <x v="6"/>
    <n v="51.6"/>
    <n v="3"/>
    <d v="1996-09-19T00:00:00"/>
  </r>
  <r>
    <n v="10309"/>
    <x v="7"/>
    <n v="51.6"/>
    <n v="3"/>
    <d v="1996-09-19T00:00:00"/>
  </r>
  <r>
    <n v="10310"/>
    <x v="0"/>
    <n v="139"/>
    <n v="10"/>
    <d v="1996-09-20T00:00:00"/>
  </r>
  <r>
    <n v="10310"/>
    <x v="1"/>
    <n v="139"/>
    <n v="10"/>
    <d v="1996-09-20T00:00:00"/>
  </r>
  <r>
    <n v="10310"/>
    <x v="2"/>
    <n v="139"/>
    <n v="10"/>
    <d v="1996-09-20T00:00:00"/>
  </r>
  <r>
    <n v="10310"/>
    <x v="3"/>
    <n v="139"/>
    <n v="10"/>
    <d v="1996-09-20T00:00:00"/>
  </r>
  <r>
    <n v="10310"/>
    <x v="4"/>
    <n v="139"/>
    <n v="10"/>
    <d v="1996-09-20T00:00:00"/>
  </r>
  <r>
    <n v="10310"/>
    <x v="5"/>
    <n v="139"/>
    <n v="10"/>
    <d v="1996-09-20T00:00:00"/>
  </r>
  <r>
    <n v="10310"/>
    <x v="6"/>
    <n v="139"/>
    <n v="10"/>
    <d v="1996-09-20T00:00:00"/>
  </r>
  <r>
    <n v="10310"/>
    <x v="7"/>
    <n v="139"/>
    <n v="10"/>
    <d v="1996-09-20T00:00:00"/>
  </r>
  <r>
    <n v="10310"/>
    <x v="0"/>
    <n v="197"/>
    <n v="5"/>
    <d v="1996-09-20T00:00:00"/>
  </r>
  <r>
    <n v="10310"/>
    <x v="1"/>
    <n v="197"/>
    <n v="5"/>
    <d v="1996-09-20T00:00:00"/>
  </r>
  <r>
    <n v="10310"/>
    <x v="2"/>
    <n v="197"/>
    <n v="5"/>
    <d v="1996-09-20T00:00:00"/>
  </r>
  <r>
    <n v="10310"/>
    <x v="3"/>
    <n v="197"/>
    <n v="5"/>
    <d v="1996-09-20T00:00:00"/>
  </r>
  <r>
    <n v="10310"/>
    <x v="4"/>
    <n v="197"/>
    <n v="5"/>
    <d v="1996-09-20T00:00:00"/>
  </r>
  <r>
    <n v="10310"/>
    <x v="5"/>
    <n v="197"/>
    <n v="5"/>
    <d v="1996-09-20T00:00:00"/>
  </r>
  <r>
    <n v="10310"/>
    <x v="6"/>
    <n v="197"/>
    <n v="5"/>
    <d v="1996-09-20T00:00:00"/>
  </r>
  <r>
    <n v="10310"/>
    <x v="7"/>
    <n v="197"/>
    <n v="5"/>
    <d v="1996-09-20T00:00:00"/>
  </r>
  <r>
    <n v="10311"/>
    <x v="0"/>
    <n v="67.2"/>
    <n v="6"/>
    <d v="1996-09-20T00:00:00"/>
  </r>
  <r>
    <n v="10311"/>
    <x v="1"/>
    <n v="67.2"/>
    <n v="6"/>
    <d v="1996-09-20T00:00:00"/>
  </r>
  <r>
    <n v="10311"/>
    <x v="2"/>
    <n v="67.2"/>
    <n v="6"/>
    <d v="1996-09-20T00:00:00"/>
  </r>
  <r>
    <n v="10311"/>
    <x v="3"/>
    <n v="67.2"/>
    <n v="6"/>
    <d v="1996-09-20T00:00:00"/>
  </r>
  <r>
    <n v="10311"/>
    <x v="4"/>
    <n v="67.2"/>
    <n v="6"/>
    <d v="1996-09-20T00:00:00"/>
  </r>
  <r>
    <n v="10311"/>
    <x v="5"/>
    <n v="67.2"/>
    <n v="6"/>
    <d v="1996-09-20T00:00:00"/>
  </r>
  <r>
    <n v="10311"/>
    <x v="6"/>
    <n v="67.2"/>
    <n v="6"/>
    <d v="1996-09-20T00:00:00"/>
  </r>
  <r>
    <n v="10311"/>
    <x v="7"/>
    <n v="67.2"/>
    <n v="6"/>
    <d v="1996-09-20T00:00:00"/>
  </r>
  <r>
    <n v="10311"/>
    <x v="0"/>
    <n v="201.6"/>
    <n v="7"/>
    <d v="1996-09-20T00:00:00"/>
  </r>
  <r>
    <n v="10311"/>
    <x v="1"/>
    <n v="201.6"/>
    <n v="7"/>
    <d v="1996-09-20T00:00:00"/>
  </r>
  <r>
    <n v="10311"/>
    <x v="2"/>
    <n v="201.6"/>
    <n v="7"/>
    <d v="1996-09-20T00:00:00"/>
  </r>
  <r>
    <n v="10311"/>
    <x v="3"/>
    <n v="201.6"/>
    <n v="7"/>
    <d v="1996-09-20T00:00:00"/>
  </r>
  <r>
    <n v="10311"/>
    <x v="4"/>
    <n v="201.6"/>
    <n v="7"/>
    <d v="1996-09-20T00:00:00"/>
  </r>
  <r>
    <n v="10311"/>
    <x v="5"/>
    <n v="201.6"/>
    <n v="7"/>
    <d v="1996-09-20T00:00:00"/>
  </r>
  <r>
    <n v="10311"/>
    <x v="6"/>
    <n v="201.6"/>
    <n v="7"/>
    <d v="1996-09-20T00:00:00"/>
  </r>
  <r>
    <n v="10311"/>
    <x v="7"/>
    <n v="201.6"/>
    <n v="7"/>
    <d v="1996-09-20T00:00:00"/>
  </r>
  <r>
    <n v="10312"/>
    <x v="0"/>
    <n v="145.6"/>
    <n v="4"/>
    <d v="1996-09-23T00:00:00"/>
  </r>
  <r>
    <n v="10312"/>
    <x v="1"/>
    <n v="145.6"/>
    <n v="4"/>
    <d v="1996-09-23T00:00:00"/>
  </r>
  <r>
    <n v="10312"/>
    <x v="2"/>
    <n v="145.6"/>
    <n v="4"/>
    <d v="1996-09-23T00:00:00"/>
  </r>
  <r>
    <n v="10312"/>
    <x v="3"/>
    <n v="145.6"/>
    <n v="4"/>
    <d v="1996-09-23T00:00:00"/>
  </r>
  <r>
    <n v="10312"/>
    <x v="4"/>
    <n v="145.6"/>
    <n v="4"/>
    <d v="1996-09-23T00:00:00"/>
  </r>
  <r>
    <n v="10312"/>
    <x v="5"/>
    <n v="145.6"/>
    <n v="4"/>
    <d v="1996-09-23T00:00:00"/>
  </r>
  <r>
    <n v="10312"/>
    <x v="6"/>
    <n v="145.6"/>
    <n v="4"/>
    <d v="1996-09-23T00:00:00"/>
  </r>
  <r>
    <n v="10312"/>
    <x v="7"/>
    <n v="145.6"/>
    <n v="4"/>
    <d v="1996-09-23T00:00:00"/>
  </r>
  <r>
    <n v="10312"/>
    <x v="0"/>
    <n v="883.2"/>
    <n v="24"/>
    <d v="1996-09-23T00:00:00"/>
  </r>
  <r>
    <n v="10312"/>
    <x v="1"/>
    <n v="883.2"/>
    <n v="24"/>
    <d v="1996-09-23T00:00:00"/>
  </r>
  <r>
    <n v="10312"/>
    <x v="2"/>
    <n v="883.2"/>
    <n v="24"/>
    <d v="1996-09-23T00:00:00"/>
  </r>
  <r>
    <n v="10312"/>
    <x v="3"/>
    <n v="883.2"/>
    <n v="24"/>
    <d v="1996-09-23T00:00:00"/>
  </r>
  <r>
    <n v="10312"/>
    <x v="4"/>
    <n v="883.2"/>
    <n v="24"/>
    <d v="1996-09-23T00:00:00"/>
  </r>
  <r>
    <n v="10312"/>
    <x v="5"/>
    <n v="883.2"/>
    <n v="24"/>
    <d v="1996-09-23T00:00:00"/>
  </r>
  <r>
    <n v="10312"/>
    <x v="6"/>
    <n v="883.2"/>
    <n v="24"/>
    <d v="1996-09-23T00:00:00"/>
  </r>
  <r>
    <n v="10312"/>
    <x v="7"/>
    <n v="883.2"/>
    <n v="24"/>
    <d v="1996-09-23T00:00:00"/>
  </r>
  <r>
    <n v="10312"/>
    <x v="0"/>
    <n v="524"/>
    <n v="20"/>
    <d v="1996-09-23T00:00:00"/>
  </r>
  <r>
    <n v="10312"/>
    <x v="1"/>
    <n v="524"/>
    <n v="20"/>
    <d v="1996-09-23T00:00:00"/>
  </r>
  <r>
    <n v="10312"/>
    <x v="2"/>
    <n v="524"/>
    <n v="20"/>
    <d v="1996-09-23T00:00:00"/>
  </r>
  <r>
    <n v="10312"/>
    <x v="3"/>
    <n v="524"/>
    <n v="20"/>
    <d v="1996-09-23T00:00:00"/>
  </r>
  <r>
    <n v="10312"/>
    <x v="4"/>
    <n v="524"/>
    <n v="20"/>
    <d v="1996-09-23T00:00:00"/>
  </r>
  <r>
    <n v="10312"/>
    <x v="5"/>
    <n v="524"/>
    <n v="20"/>
    <d v="1996-09-23T00:00:00"/>
  </r>
  <r>
    <n v="10312"/>
    <x v="6"/>
    <n v="524"/>
    <n v="20"/>
    <d v="1996-09-23T00:00:00"/>
  </r>
  <r>
    <n v="10312"/>
    <x v="7"/>
    <n v="524"/>
    <n v="20"/>
    <d v="1996-09-23T00:00:00"/>
  </r>
  <r>
    <n v="10312"/>
    <x v="0"/>
    <n v="62"/>
    <n v="10"/>
    <d v="1996-09-23T00:00:00"/>
  </r>
  <r>
    <n v="10312"/>
    <x v="1"/>
    <n v="62"/>
    <n v="10"/>
    <d v="1996-09-23T00:00:00"/>
  </r>
  <r>
    <n v="10312"/>
    <x v="2"/>
    <n v="62"/>
    <n v="10"/>
    <d v="1996-09-23T00:00:00"/>
  </r>
  <r>
    <n v="10312"/>
    <x v="3"/>
    <n v="62"/>
    <n v="10"/>
    <d v="1996-09-23T00:00:00"/>
  </r>
  <r>
    <n v="10312"/>
    <x v="4"/>
    <n v="62"/>
    <n v="10"/>
    <d v="1996-09-23T00:00:00"/>
  </r>
  <r>
    <n v="10312"/>
    <x v="5"/>
    <n v="62"/>
    <n v="10"/>
    <d v="1996-09-23T00:00:00"/>
  </r>
  <r>
    <n v="10312"/>
    <x v="6"/>
    <n v="62"/>
    <n v="10"/>
    <d v="1996-09-23T00:00:00"/>
  </r>
  <r>
    <n v="10312"/>
    <x v="7"/>
    <n v="62"/>
    <n v="10"/>
    <d v="1996-09-23T00:00:00"/>
  </r>
  <r>
    <n v="10313"/>
    <x v="0"/>
    <n v="182.4"/>
    <n v="12"/>
    <d v="1996-09-24T00:00:00"/>
  </r>
  <r>
    <n v="10313"/>
    <x v="1"/>
    <n v="182.4"/>
    <n v="12"/>
    <d v="1996-09-24T00:00:00"/>
  </r>
  <r>
    <n v="10313"/>
    <x v="2"/>
    <n v="182.4"/>
    <n v="12"/>
    <d v="1996-09-24T00:00:00"/>
  </r>
  <r>
    <n v="10313"/>
    <x v="3"/>
    <n v="182.4"/>
    <n v="12"/>
    <d v="1996-09-24T00:00:00"/>
  </r>
  <r>
    <n v="10313"/>
    <x v="4"/>
    <n v="182.4"/>
    <n v="12"/>
    <d v="1996-09-24T00:00:00"/>
  </r>
  <r>
    <n v="10313"/>
    <x v="5"/>
    <n v="182.4"/>
    <n v="12"/>
    <d v="1996-09-24T00:00:00"/>
  </r>
  <r>
    <n v="10313"/>
    <x v="6"/>
    <n v="182.4"/>
    <n v="12"/>
    <d v="1996-09-24T00:00:00"/>
  </r>
  <r>
    <n v="10313"/>
    <x v="7"/>
    <n v="182.4"/>
    <n v="12"/>
    <d v="1996-09-24T00:00:00"/>
  </r>
  <r>
    <n v="10314"/>
    <x v="0"/>
    <n v="921.59999847412109"/>
    <n v="40"/>
    <d v="1996-09-25T00:00:00"/>
  </r>
  <r>
    <n v="10314"/>
    <x v="1"/>
    <n v="921.59999847412109"/>
    <n v="40"/>
    <d v="1996-09-25T00:00:00"/>
  </r>
  <r>
    <n v="10314"/>
    <x v="2"/>
    <n v="921.59999847412109"/>
    <n v="40"/>
    <d v="1996-09-25T00:00:00"/>
  </r>
  <r>
    <n v="10314"/>
    <x v="3"/>
    <n v="921.59999847412109"/>
    <n v="40"/>
    <d v="1996-09-25T00:00:00"/>
  </r>
  <r>
    <n v="10314"/>
    <x v="4"/>
    <n v="921.59999847412109"/>
    <n v="40"/>
    <d v="1996-09-25T00:00:00"/>
  </r>
  <r>
    <n v="10314"/>
    <x v="5"/>
    <n v="921.59999847412109"/>
    <n v="40"/>
    <d v="1996-09-25T00:00:00"/>
  </r>
  <r>
    <n v="10314"/>
    <x v="6"/>
    <n v="921.59999847412109"/>
    <n v="40"/>
    <d v="1996-09-25T00:00:00"/>
  </r>
  <r>
    <n v="10314"/>
    <x v="7"/>
    <n v="921.59999847412109"/>
    <n v="40"/>
    <d v="1996-09-25T00:00:00"/>
  </r>
  <r>
    <n v="10314"/>
    <x v="0"/>
    <n v="286.19999952614307"/>
    <n v="30"/>
    <d v="1996-09-25T00:00:00"/>
  </r>
  <r>
    <n v="10314"/>
    <x v="1"/>
    <n v="286.19999952614307"/>
    <n v="30"/>
    <d v="1996-09-25T00:00:00"/>
  </r>
  <r>
    <n v="10314"/>
    <x v="2"/>
    <n v="286.19999952614307"/>
    <n v="30"/>
    <d v="1996-09-25T00:00:00"/>
  </r>
  <r>
    <n v="10314"/>
    <x v="3"/>
    <n v="286.19999952614307"/>
    <n v="30"/>
    <d v="1996-09-25T00:00:00"/>
  </r>
  <r>
    <n v="10314"/>
    <x v="4"/>
    <n v="286.19999952614307"/>
    <n v="30"/>
    <d v="1996-09-25T00:00:00"/>
  </r>
  <r>
    <n v="10314"/>
    <x v="5"/>
    <n v="286.19999952614307"/>
    <n v="30"/>
    <d v="1996-09-25T00:00:00"/>
  </r>
  <r>
    <n v="10314"/>
    <x v="6"/>
    <n v="286.19999952614307"/>
    <n v="30"/>
    <d v="1996-09-25T00:00:00"/>
  </r>
  <r>
    <n v="10314"/>
    <x v="7"/>
    <n v="286.19999952614307"/>
    <n v="30"/>
    <d v="1996-09-25T00:00:00"/>
  </r>
  <r>
    <n v="10314"/>
    <x v="0"/>
    <n v="886.49999853223562"/>
    <n v="25"/>
    <d v="1996-09-25T00:00:00"/>
  </r>
  <r>
    <n v="10314"/>
    <x v="1"/>
    <n v="886.49999853223562"/>
    <n v="25"/>
    <d v="1996-09-25T00:00:00"/>
  </r>
  <r>
    <n v="10314"/>
    <x v="2"/>
    <n v="886.49999853223562"/>
    <n v="25"/>
    <d v="1996-09-25T00:00:00"/>
  </r>
  <r>
    <n v="10314"/>
    <x v="3"/>
    <n v="886.49999853223562"/>
    <n v="25"/>
    <d v="1996-09-25T00:00:00"/>
  </r>
  <r>
    <n v="10314"/>
    <x v="4"/>
    <n v="886.49999853223562"/>
    <n v="25"/>
    <d v="1996-09-25T00:00:00"/>
  </r>
  <r>
    <n v="10314"/>
    <x v="5"/>
    <n v="886.49999853223562"/>
    <n v="25"/>
    <d v="1996-09-25T00:00:00"/>
  </r>
  <r>
    <n v="10314"/>
    <x v="6"/>
    <n v="886.49999853223562"/>
    <n v="25"/>
    <d v="1996-09-25T00:00:00"/>
  </r>
  <r>
    <n v="10314"/>
    <x v="7"/>
    <n v="886.49999853223562"/>
    <n v="25"/>
    <d v="1996-09-25T00:00:00"/>
  </r>
  <r>
    <n v="10315"/>
    <x v="0"/>
    <n v="156.80000000000001"/>
    <n v="14"/>
    <d v="1996-09-26T00:00:00"/>
  </r>
  <r>
    <n v="10315"/>
    <x v="1"/>
    <n v="156.80000000000001"/>
    <n v="14"/>
    <d v="1996-09-26T00:00:00"/>
  </r>
  <r>
    <n v="10315"/>
    <x v="2"/>
    <n v="156.80000000000001"/>
    <n v="14"/>
    <d v="1996-09-26T00:00:00"/>
  </r>
  <r>
    <n v="10315"/>
    <x v="3"/>
    <n v="156.80000000000001"/>
    <n v="14"/>
    <d v="1996-09-26T00:00:00"/>
  </r>
  <r>
    <n v="10315"/>
    <x v="4"/>
    <n v="156.80000000000001"/>
    <n v="14"/>
    <d v="1996-09-26T00:00:00"/>
  </r>
  <r>
    <n v="10315"/>
    <x v="5"/>
    <n v="156.80000000000001"/>
    <n v="14"/>
    <d v="1996-09-26T00:00:00"/>
  </r>
  <r>
    <n v="10315"/>
    <x v="6"/>
    <n v="156.80000000000001"/>
    <n v="14"/>
    <d v="1996-09-26T00:00:00"/>
  </r>
  <r>
    <n v="10315"/>
    <x v="7"/>
    <n v="156.80000000000001"/>
    <n v="14"/>
    <d v="1996-09-26T00:00:00"/>
  </r>
  <r>
    <n v="10315"/>
    <x v="0"/>
    <n v="360"/>
    <n v="30"/>
    <d v="1996-09-26T00:00:00"/>
  </r>
  <r>
    <n v="10315"/>
    <x v="1"/>
    <n v="360"/>
    <n v="30"/>
    <d v="1996-09-26T00:00:00"/>
  </r>
  <r>
    <n v="10315"/>
    <x v="2"/>
    <n v="360"/>
    <n v="30"/>
    <d v="1996-09-26T00:00:00"/>
  </r>
  <r>
    <n v="10315"/>
    <x v="3"/>
    <n v="360"/>
    <n v="30"/>
    <d v="1996-09-26T00:00:00"/>
  </r>
  <r>
    <n v="10315"/>
    <x v="4"/>
    <n v="360"/>
    <n v="30"/>
    <d v="1996-09-26T00:00:00"/>
  </r>
  <r>
    <n v="10315"/>
    <x v="5"/>
    <n v="360"/>
    <n v="30"/>
    <d v="1996-09-26T00:00:00"/>
  </r>
  <r>
    <n v="10315"/>
    <x v="6"/>
    <n v="360"/>
    <n v="30"/>
    <d v="1996-09-26T00:00:00"/>
  </r>
  <r>
    <n v="10315"/>
    <x v="7"/>
    <n v="360"/>
    <n v="30"/>
    <d v="1996-09-26T00:00:00"/>
  </r>
  <r>
    <n v="10316"/>
    <x v="0"/>
    <n v="77"/>
    <n v="10"/>
    <d v="1996-09-27T00:00:00"/>
  </r>
  <r>
    <n v="10316"/>
    <x v="1"/>
    <n v="77"/>
    <n v="10"/>
    <d v="1996-09-27T00:00:00"/>
  </r>
  <r>
    <n v="10316"/>
    <x v="2"/>
    <n v="77"/>
    <n v="10"/>
    <d v="1996-09-27T00:00:00"/>
  </r>
  <r>
    <n v="10316"/>
    <x v="3"/>
    <n v="77"/>
    <n v="10"/>
    <d v="1996-09-27T00:00:00"/>
  </r>
  <r>
    <n v="10316"/>
    <x v="4"/>
    <n v="77"/>
    <n v="10"/>
    <d v="1996-09-27T00:00:00"/>
  </r>
  <r>
    <n v="10316"/>
    <x v="5"/>
    <n v="77"/>
    <n v="10"/>
    <d v="1996-09-27T00:00:00"/>
  </r>
  <r>
    <n v="10316"/>
    <x v="6"/>
    <n v="77"/>
    <n v="10"/>
    <d v="1996-09-27T00:00:00"/>
  </r>
  <r>
    <n v="10316"/>
    <x v="7"/>
    <n v="77"/>
    <n v="10"/>
    <d v="1996-09-27T00:00:00"/>
  </r>
  <r>
    <n v="10316"/>
    <x v="0"/>
    <n v="2758"/>
    <n v="70"/>
    <d v="1996-09-27T00:00:00"/>
  </r>
  <r>
    <n v="10316"/>
    <x v="1"/>
    <n v="2758"/>
    <n v="70"/>
    <d v="1996-09-27T00:00:00"/>
  </r>
  <r>
    <n v="10316"/>
    <x v="2"/>
    <n v="2758"/>
    <n v="70"/>
    <d v="1996-09-27T00:00:00"/>
  </r>
  <r>
    <n v="10316"/>
    <x v="3"/>
    <n v="2758"/>
    <n v="70"/>
    <d v="1996-09-27T00:00:00"/>
  </r>
  <r>
    <n v="10316"/>
    <x v="4"/>
    <n v="2758"/>
    <n v="70"/>
    <d v="1996-09-27T00:00:00"/>
  </r>
  <r>
    <n v="10316"/>
    <x v="5"/>
    <n v="2758"/>
    <n v="70"/>
    <d v="1996-09-27T00:00:00"/>
  </r>
  <r>
    <n v="10316"/>
    <x v="6"/>
    <n v="2758"/>
    <n v="70"/>
    <d v="1996-09-27T00:00:00"/>
  </r>
  <r>
    <n v="10316"/>
    <x v="7"/>
    <n v="2758"/>
    <n v="70"/>
    <d v="1996-09-27T00:00:00"/>
  </r>
  <r>
    <n v="10317"/>
    <x v="0"/>
    <n v="288"/>
    <n v="20"/>
    <d v="1996-09-30T00:00:00"/>
  </r>
  <r>
    <n v="10317"/>
    <x v="1"/>
    <n v="288"/>
    <n v="20"/>
    <d v="1996-09-30T00:00:00"/>
  </r>
  <r>
    <n v="10317"/>
    <x v="2"/>
    <n v="288"/>
    <n v="20"/>
    <d v="1996-09-30T00:00:00"/>
  </r>
  <r>
    <n v="10317"/>
    <x v="3"/>
    <n v="288"/>
    <n v="20"/>
    <d v="1996-09-30T00:00:00"/>
  </r>
  <r>
    <n v="10317"/>
    <x v="4"/>
    <n v="288"/>
    <n v="20"/>
    <d v="1996-09-30T00:00:00"/>
  </r>
  <r>
    <n v="10317"/>
    <x v="5"/>
    <n v="288"/>
    <n v="20"/>
    <d v="1996-09-30T00:00:00"/>
  </r>
  <r>
    <n v="10317"/>
    <x v="6"/>
    <n v="288"/>
    <n v="20"/>
    <d v="1996-09-30T00:00:00"/>
  </r>
  <r>
    <n v="10317"/>
    <x v="7"/>
    <n v="288"/>
    <n v="20"/>
    <d v="1996-09-30T00:00:00"/>
  </r>
  <r>
    <n v="10318"/>
    <x v="0"/>
    <n v="154"/>
    <n v="20"/>
    <d v="1996-10-01T00:00:00"/>
  </r>
  <r>
    <n v="10318"/>
    <x v="1"/>
    <n v="154"/>
    <n v="20"/>
    <d v="1996-10-01T00:00:00"/>
  </r>
  <r>
    <n v="10318"/>
    <x v="2"/>
    <n v="154"/>
    <n v="20"/>
    <d v="1996-10-01T00:00:00"/>
  </r>
  <r>
    <n v="10318"/>
    <x v="3"/>
    <n v="154"/>
    <n v="20"/>
    <d v="1996-10-01T00:00:00"/>
  </r>
  <r>
    <n v="10318"/>
    <x v="4"/>
    <n v="154"/>
    <n v="20"/>
    <d v="1996-10-01T00:00:00"/>
  </r>
  <r>
    <n v="10318"/>
    <x v="5"/>
    <n v="154"/>
    <n v="20"/>
    <d v="1996-10-01T00:00:00"/>
  </r>
  <r>
    <n v="10318"/>
    <x v="6"/>
    <n v="154"/>
    <n v="20"/>
    <d v="1996-10-01T00:00:00"/>
  </r>
  <r>
    <n v="10318"/>
    <x v="7"/>
    <n v="154"/>
    <n v="20"/>
    <d v="1996-10-01T00:00:00"/>
  </r>
  <r>
    <n v="10318"/>
    <x v="0"/>
    <n v="86.4"/>
    <n v="6"/>
    <d v="1996-10-01T00:00:00"/>
  </r>
  <r>
    <n v="10318"/>
    <x v="1"/>
    <n v="86.4"/>
    <n v="6"/>
    <d v="1996-10-01T00:00:00"/>
  </r>
  <r>
    <n v="10318"/>
    <x v="2"/>
    <n v="86.4"/>
    <n v="6"/>
    <d v="1996-10-01T00:00:00"/>
  </r>
  <r>
    <n v="10318"/>
    <x v="3"/>
    <n v="86.4"/>
    <n v="6"/>
    <d v="1996-10-01T00:00:00"/>
  </r>
  <r>
    <n v="10318"/>
    <x v="4"/>
    <n v="86.4"/>
    <n v="6"/>
    <d v="1996-10-01T00:00:00"/>
  </r>
  <r>
    <n v="10318"/>
    <x v="5"/>
    <n v="86.4"/>
    <n v="6"/>
    <d v="1996-10-01T00:00:00"/>
  </r>
  <r>
    <n v="10318"/>
    <x v="6"/>
    <n v="86.4"/>
    <n v="6"/>
    <d v="1996-10-01T00:00:00"/>
  </r>
  <r>
    <n v="10318"/>
    <x v="7"/>
    <n v="86.4"/>
    <n v="6"/>
    <d v="1996-10-01T00:00:00"/>
  </r>
  <r>
    <n v="10319"/>
    <x v="0"/>
    <n v="249.6"/>
    <n v="8"/>
    <d v="1996-10-02T00:00:00"/>
  </r>
  <r>
    <n v="10319"/>
    <x v="1"/>
    <n v="249.6"/>
    <n v="8"/>
    <d v="1996-10-02T00:00:00"/>
  </r>
  <r>
    <n v="10319"/>
    <x v="2"/>
    <n v="249.6"/>
    <n v="8"/>
    <d v="1996-10-02T00:00:00"/>
  </r>
  <r>
    <n v="10319"/>
    <x v="3"/>
    <n v="249.6"/>
    <n v="8"/>
    <d v="1996-10-02T00:00:00"/>
  </r>
  <r>
    <n v="10319"/>
    <x v="4"/>
    <n v="249.6"/>
    <n v="8"/>
    <d v="1996-10-02T00:00:00"/>
  </r>
  <r>
    <n v="10319"/>
    <x v="5"/>
    <n v="249.6"/>
    <n v="8"/>
    <d v="1996-10-02T00:00:00"/>
  </r>
  <r>
    <n v="10319"/>
    <x v="6"/>
    <n v="249.6"/>
    <n v="8"/>
    <d v="1996-10-02T00:00:00"/>
  </r>
  <r>
    <n v="10319"/>
    <x v="7"/>
    <n v="249.6"/>
    <n v="8"/>
    <d v="1996-10-02T00:00:00"/>
  </r>
  <r>
    <n v="10319"/>
    <x v="0"/>
    <n v="509.6"/>
    <n v="14"/>
    <d v="1996-10-02T00:00:00"/>
  </r>
  <r>
    <n v="10319"/>
    <x v="1"/>
    <n v="509.6"/>
    <n v="14"/>
    <d v="1996-10-02T00:00:00"/>
  </r>
  <r>
    <n v="10319"/>
    <x v="2"/>
    <n v="509.6"/>
    <n v="14"/>
    <d v="1996-10-02T00:00:00"/>
  </r>
  <r>
    <n v="10319"/>
    <x v="3"/>
    <n v="509.6"/>
    <n v="14"/>
    <d v="1996-10-02T00:00:00"/>
  </r>
  <r>
    <n v="10319"/>
    <x v="4"/>
    <n v="509.6"/>
    <n v="14"/>
    <d v="1996-10-02T00:00:00"/>
  </r>
  <r>
    <n v="10319"/>
    <x v="5"/>
    <n v="509.6"/>
    <n v="14"/>
    <d v="1996-10-02T00:00:00"/>
  </r>
  <r>
    <n v="10319"/>
    <x v="6"/>
    <n v="509.6"/>
    <n v="14"/>
    <d v="1996-10-02T00:00:00"/>
  </r>
  <r>
    <n v="10319"/>
    <x v="7"/>
    <n v="509.6"/>
    <n v="14"/>
    <d v="1996-10-02T00:00:00"/>
  </r>
  <r>
    <n v="10319"/>
    <x v="0"/>
    <n v="432"/>
    <n v="30"/>
    <d v="1996-10-02T00:00:00"/>
  </r>
  <r>
    <n v="10319"/>
    <x v="1"/>
    <n v="432"/>
    <n v="30"/>
    <d v="1996-10-02T00:00:00"/>
  </r>
  <r>
    <n v="10319"/>
    <x v="2"/>
    <n v="432"/>
    <n v="30"/>
    <d v="1996-10-02T00:00:00"/>
  </r>
  <r>
    <n v="10319"/>
    <x v="3"/>
    <n v="432"/>
    <n v="30"/>
    <d v="1996-10-02T00:00:00"/>
  </r>
  <r>
    <n v="10319"/>
    <x v="4"/>
    <n v="432"/>
    <n v="30"/>
    <d v="1996-10-02T00:00:00"/>
  </r>
  <r>
    <n v="10319"/>
    <x v="5"/>
    <n v="432"/>
    <n v="30"/>
    <d v="1996-10-02T00:00:00"/>
  </r>
  <r>
    <n v="10319"/>
    <x v="6"/>
    <n v="432"/>
    <n v="30"/>
    <d v="1996-10-02T00:00:00"/>
  </r>
  <r>
    <n v="10319"/>
    <x v="7"/>
    <n v="432"/>
    <n v="30"/>
    <d v="1996-10-02T00:00:00"/>
  </r>
  <r>
    <n v="10320"/>
    <x v="0"/>
    <n v="516"/>
    <n v="30"/>
    <d v="1996-10-03T00:00:00"/>
  </r>
  <r>
    <n v="10320"/>
    <x v="1"/>
    <n v="516"/>
    <n v="30"/>
    <d v="1996-10-03T00:00:00"/>
  </r>
  <r>
    <n v="10320"/>
    <x v="2"/>
    <n v="516"/>
    <n v="30"/>
    <d v="1996-10-03T00:00:00"/>
  </r>
  <r>
    <n v="10320"/>
    <x v="3"/>
    <n v="516"/>
    <n v="30"/>
    <d v="1996-10-03T00:00:00"/>
  </r>
  <r>
    <n v="10320"/>
    <x v="4"/>
    <n v="516"/>
    <n v="30"/>
    <d v="1996-10-03T00:00:00"/>
  </r>
  <r>
    <n v="10320"/>
    <x v="5"/>
    <n v="516"/>
    <n v="30"/>
    <d v="1996-10-03T00:00:00"/>
  </r>
  <r>
    <n v="10320"/>
    <x v="6"/>
    <n v="516"/>
    <n v="30"/>
    <d v="1996-10-03T00:00:00"/>
  </r>
  <r>
    <n v="10320"/>
    <x v="7"/>
    <n v="516"/>
    <n v="30"/>
    <d v="1996-10-03T00:00:00"/>
  </r>
  <r>
    <n v="10321"/>
    <x v="0"/>
    <n v="144"/>
    <n v="10"/>
    <d v="1996-10-03T00:00:00"/>
  </r>
  <r>
    <n v="10321"/>
    <x v="1"/>
    <n v="144"/>
    <n v="10"/>
    <d v="1996-10-03T00:00:00"/>
  </r>
  <r>
    <n v="10321"/>
    <x v="2"/>
    <n v="144"/>
    <n v="10"/>
    <d v="1996-10-03T00:00:00"/>
  </r>
  <r>
    <n v="10321"/>
    <x v="3"/>
    <n v="144"/>
    <n v="10"/>
    <d v="1996-10-03T00:00:00"/>
  </r>
  <r>
    <n v="10321"/>
    <x v="4"/>
    <n v="144"/>
    <n v="10"/>
    <d v="1996-10-03T00:00:00"/>
  </r>
  <r>
    <n v="10321"/>
    <x v="5"/>
    <n v="144"/>
    <n v="10"/>
    <d v="1996-10-03T00:00:00"/>
  </r>
  <r>
    <n v="10321"/>
    <x v="6"/>
    <n v="144"/>
    <n v="10"/>
    <d v="1996-10-03T00:00:00"/>
  </r>
  <r>
    <n v="10321"/>
    <x v="7"/>
    <n v="144"/>
    <n v="10"/>
    <d v="1996-10-03T00:00:00"/>
  </r>
  <r>
    <n v="10322"/>
    <x v="0"/>
    <n v="112"/>
    <n v="20"/>
    <d v="1996-10-04T00:00:00"/>
  </r>
  <r>
    <n v="10322"/>
    <x v="1"/>
    <n v="112"/>
    <n v="20"/>
    <d v="1996-10-04T00:00:00"/>
  </r>
  <r>
    <n v="10322"/>
    <x v="2"/>
    <n v="112"/>
    <n v="20"/>
    <d v="1996-10-04T00:00:00"/>
  </r>
  <r>
    <n v="10322"/>
    <x v="3"/>
    <n v="112"/>
    <n v="20"/>
    <d v="1996-10-04T00:00:00"/>
  </r>
  <r>
    <n v="10322"/>
    <x v="4"/>
    <n v="112"/>
    <n v="20"/>
    <d v="1996-10-04T00:00:00"/>
  </r>
  <r>
    <n v="10322"/>
    <x v="5"/>
    <n v="112"/>
    <n v="20"/>
    <d v="1996-10-04T00:00:00"/>
  </r>
  <r>
    <n v="10322"/>
    <x v="6"/>
    <n v="112"/>
    <n v="20"/>
    <d v="1996-10-04T00:00:00"/>
  </r>
  <r>
    <n v="10322"/>
    <x v="7"/>
    <n v="112"/>
    <n v="20"/>
    <d v="1996-10-04T00:00:00"/>
  </r>
  <r>
    <n v="10323"/>
    <x v="0"/>
    <n v="62"/>
    <n v="5"/>
    <d v="1996-10-07T00:00:00"/>
  </r>
  <r>
    <n v="10323"/>
    <x v="1"/>
    <n v="62"/>
    <n v="5"/>
    <d v="1996-10-07T00:00:00"/>
  </r>
  <r>
    <n v="10323"/>
    <x v="2"/>
    <n v="62"/>
    <n v="5"/>
    <d v="1996-10-07T00:00:00"/>
  </r>
  <r>
    <n v="10323"/>
    <x v="3"/>
    <n v="62"/>
    <n v="5"/>
    <d v="1996-10-07T00:00:00"/>
  </r>
  <r>
    <n v="10323"/>
    <x v="4"/>
    <n v="62"/>
    <n v="5"/>
    <d v="1996-10-07T00:00:00"/>
  </r>
  <r>
    <n v="10323"/>
    <x v="5"/>
    <n v="62"/>
    <n v="5"/>
    <d v="1996-10-07T00:00:00"/>
  </r>
  <r>
    <n v="10323"/>
    <x v="6"/>
    <n v="62"/>
    <n v="5"/>
    <d v="1996-10-07T00:00:00"/>
  </r>
  <r>
    <n v="10323"/>
    <x v="7"/>
    <n v="62"/>
    <n v="5"/>
    <d v="1996-10-07T00:00:00"/>
  </r>
  <r>
    <n v="10323"/>
    <x v="0"/>
    <n v="44.8"/>
    <n v="4"/>
    <d v="1996-10-07T00:00:00"/>
  </r>
  <r>
    <n v="10323"/>
    <x v="1"/>
    <n v="44.8"/>
    <n v="4"/>
    <d v="1996-10-07T00:00:00"/>
  </r>
  <r>
    <n v="10323"/>
    <x v="2"/>
    <n v="44.8"/>
    <n v="4"/>
    <d v="1996-10-07T00:00:00"/>
  </r>
  <r>
    <n v="10323"/>
    <x v="3"/>
    <n v="44.8"/>
    <n v="4"/>
    <d v="1996-10-07T00:00:00"/>
  </r>
  <r>
    <n v="10323"/>
    <x v="4"/>
    <n v="44.8"/>
    <n v="4"/>
    <d v="1996-10-07T00:00:00"/>
  </r>
  <r>
    <n v="10323"/>
    <x v="5"/>
    <n v="44.8"/>
    <n v="4"/>
    <d v="1996-10-07T00:00:00"/>
  </r>
  <r>
    <n v="10323"/>
    <x v="6"/>
    <n v="44.8"/>
    <n v="4"/>
    <d v="1996-10-07T00:00:00"/>
  </r>
  <r>
    <n v="10323"/>
    <x v="7"/>
    <n v="44.8"/>
    <n v="4"/>
    <d v="1996-10-07T00:00:00"/>
  </r>
  <r>
    <n v="10323"/>
    <x v="0"/>
    <n v="57.6"/>
    <n v="4"/>
    <d v="1996-10-07T00:00:00"/>
  </r>
  <r>
    <n v="10323"/>
    <x v="1"/>
    <n v="57.6"/>
    <n v="4"/>
    <d v="1996-10-07T00:00:00"/>
  </r>
  <r>
    <n v="10323"/>
    <x v="2"/>
    <n v="57.6"/>
    <n v="4"/>
    <d v="1996-10-07T00:00:00"/>
  </r>
  <r>
    <n v="10323"/>
    <x v="3"/>
    <n v="57.6"/>
    <n v="4"/>
    <d v="1996-10-07T00:00:00"/>
  </r>
  <r>
    <n v="10323"/>
    <x v="4"/>
    <n v="57.6"/>
    <n v="4"/>
    <d v="1996-10-07T00:00:00"/>
  </r>
  <r>
    <n v="10323"/>
    <x v="5"/>
    <n v="57.6"/>
    <n v="4"/>
    <d v="1996-10-07T00:00:00"/>
  </r>
  <r>
    <n v="10323"/>
    <x v="6"/>
    <n v="57.6"/>
    <n v="4"/>
    <d v="1996-10-07T00:00:00"/>
  </r>
  <r>
    <n v="10323"/>
    <x v="7"/>
    <n v="57.6"/>
    <n v="4"/>
    <d v="1996-10-07T00:00:00"/>
  </r>
  <r>
    <n v="10324"/>
    <x v="0"/>
    <n v="248.1149982601404"/>
    <n v="21"/>
    <d v="1996-10-08T00:00:00"/>
  </r>
  <r>
    <n v="10324"/>
    <x v="1"/>
    <n v="248.1149982601404"/>
    <n v="21"/>
    <d v="1996-10-08T00:00:00"/>
  </r>
  <r>
    <n v="10324"/>
    <x v="2"/>
    <n v="248.1149982601404"/>
    <n v="21"/>
    <d v="1996-10-08T00:00:00"/>
  </r>
  <r>
    <n v="10324"/>
    <x v="3"/>
    <n v="248.1149982601404"/>
    <n v="21"/>
    <d v="1996-10-08T00:00:00"/>
  </r>
  <r>
    <n v="10324"/>
    <x v="4"/>
    <n v="248.1149982601404"/>
    <n v="21"/>
    <d v="1996-10-08T00:00:00"/>
  </r>
  <r>
    <n v="10324"/>
    <x v="5"/>
    <n v="248.1149982601404"/>
    <n v="21"/>
    <d v="1996-10-08T00:00:00"/>
  </r>
  <r>
    <n v="10324"/>
    <x v="6"/>
    <n v="248.1149982601404"/>
    <n v="21"/>
    <d v="1996-10-08T00:00:00"/>
  </r>
  <r>
    <n v="10324"/>
    <x v="7"/>
    <n v="248.1149982601404"/>
    <n v="21"/>
    <d v="1996-10-08T00:00:00"/>
  </r>
  <r>
    <n v="10324"/>
    <x v="0"/>
    <n v="856.79999399185181"/>
    <n v="70"/>
    <d v="1996-10-08T00:00:00"/>
  </r>
  <r>
    <n v="10324"/>
    <x v="1"/>
    <n v="856.79999399185181"/>
    <n v="70"/>
    <d v="1996-10-08T00:00:00"/>
  </r>
  <r>
    <n v="10324"/>
    <x v="2"/>
    <n v="856.79999399185181"/>
    <n v="70"/>
    <d v="1996-10-08T00:00:00"/>
  </r>
  <r>
    <n v="10324"/>
    <x v="3"/>
    <n v="856.79999399185181"/>
    <n v="70"/>
    <d v="1996-10-08T00:00:00"/>
  </r>
  <r>
    <n v="10324"/>
    <x v="4"/>
    <n v="856.79999399185181"/>
    <n v="70"/>
    <d v="1996-10-08T00:00:00"/>
  </r>
  <r>
    <n v="10324"/>
    <x v="5"/>
    <n v="856.79999399185181"/>
    <n v="70"/>
    <d v="1996-10-08T00:00:00"/>
  </r>
  <r>
    <n v="10324"/>
    <x v="6"/>
    <n v="856.79999399185181"/>
    <n v="70"/>
    <d v="1996-10-08T00:00:00"/>
  </r>
  <r>
    <n v="10324"/>
    <x v="7"/>
    <n v="856.79999399185181"/>
    <n v="70"/>
    <d v="1996-10-08T00:00:00"/>
  </r>
  <r>
    <n v="10324"/>
    <x v="0"/>
    <n v="288"/>
    <n v="30"/>
    <d v="1996-10-08T00:00:00"/>
  </r>
  <r>
    <n v="10324"/>
    <x v="1"/>
    <n v="288"/>
    <n v="30"/>
    <d v="1996-10-08T00:00:00"/>
  </r>
  <r>
    <n v="10324"/>
    <x v="2"/>
    <n v="288"/>
    <n v="30"/>
    <d v="1996-10-08T00:00:00"/>
  </r>
  <r>
    <n v="10324"/>
    <x v="3"/>
    <n v="288"/>
    <n v="30"/>
    <d v="1996-10-08T00:00:00"/>
  </r>
  <r>
    <n v="10324"/>
    <x v="4"/>
    <n v="288"/>
    <n v="30"/>
    <d v="1996-10-08T00:00:00"/>
  </r>
  <r>
    <n v="10324"/>
    <x v="5"/>
    <n v="288"/>
    <n v="30"/>
    <d v="1996-10-08T00:00:00"/>
  </r>
  <r>
    <n v="10324"/>
    <x v="6"/>
    <n v="288"/>
    <n v="30"/>
    <d v="1996-10-08T00:00:00"/>
  </r>
  <r>
    <n v="10324"/>
    <x v="7"/>
    <n v="288"/>
    <n v="30"/>
    <d v="1996-10-08T00:00:00"/>
  </r>
  <r>
    <n v="10324"/>
    <x v="0"/>
    <n v="1495.9999895095825"/>
    <n v="40"/>
    <d v="1996-10-08T00:00:00"/>
  </r>
  <r>
    <n v="10324"/>
    <x v="1"/>
    <n v="1495.9999895095825"/>
    <n v="40"/>
    <d v="1996-10-08T00:00:00"/>
  </r>
  <r>
    <n v="10324"/>
    <x v="2"/>
    <n v="1495.9999895095825"/>
    <n v="40"/>
    <d v="1996-10-08T00:00:00"/>
  </r>
  <r>
    <n v="10324"/>
    <x v="3"/>
    <n v="1495.9999895095825"/>
    <n v="40"/>
    <d v="1996-10-08T00:00:00"/>
  </r>
  <r>
    <n v="10324"/>
    <x v="4"/>
    <n v="1495.9999895095825"/>
    <n v="40"/>
    <d v="1996-10-08T00:00:00"/>
  </r>
  <r>
    <n v="10324"/>
    <x v="5"/>
    <n v="1495.9999895095825"/>
    <n v="40"/>
    <d v="1996-10-08T00:00:00"/>
  </r>
  <r>
    <n v="10324"/>
    <x v="6"/>
    <n v="1495.9999895095825"/>
    <n v="40"/>
    <d v="1996-10-08T00:00:00"/>
  </r>
  <r>
    <n v="10324"/>
    <x v="7"/>
    <n v="1495.9999895095825"/>
    <n v="40"/>
    <d v="1996-10-08T00:00:00"/>
  </r>
  <r>
    <n v="10324"/>
    <x v="0"/>
    <n v="2386.7999832630157"/>
    <n v="80"/>
    <d v="1996-10-08T00:00:00"/>
  </r>
  <r>
    <n v="10324"/>
    <x v="1"/>
    <n v="2386.7999832630157"/>
    <n v="80"/>
    <d v="1996-10-08T00:00:00"/>
  </r>
  <r>
    <n v="10324"/>
    <x v="2"/>
    <n v="2386.7999832630157"/>
    <n v="80"/>
    <d v="1996-10-08T00:00:00"/>
  </r>
  <r>
    <n v="10324"/>
    <x v="3"/>
    <n v="2386.7999832630157"/>
    <n v="80"/>
    <d v="1996-10-08T00:00:00"/>
  </r>
  <r>
    <n v="10324"/>
    <x v="4"/>
    <n v="2386.7999832630157"/>
    <n v="80"/>
    <d v="1996-10-08T00:00:00"/>
  </r>
  <r>
    <n v="10324"/>
    <x v="5"/>
    <n v="2386.7999832630157"/>
    <n v="80"/>
    <d v="1996-10-08T00:00:00"/>
  </r>
  <r>
    <n v="10324"/>
    <x v="6"/>
    <n v="2386.7999832630157"/>
    <n v="80"/>
    <d v="1996-10-08T00:00:00"/>
  </r>
  <r>
    <n v="10324"/>
    <x v="7"/>
    <n v="2386.7999832630157"/>
    <n v="80"/>
    <d v="1996-10-08T00:00:00"/>
  </r>
  <r>
    <n v="10325"/>
    <x v="0"/>
    <n v="120"/>
    <n v="6"/>
    <d v="1996-10-09T00:00:00"/>
  </r>
  <r>
    <n v="10325"/>
    <x v="1"/>
    <n v="120"/>
    <n v="6"/>
    <d v="1996-10-09T00:00:00"/>
  </r>
  <r>
    <n v="10325"/>
    <x v="2"/>
    <n v="120"/>
    <n v="6"/>
    <d v="1996-10-09T00:00:00"/>
  </r>
  <r>
    <n v="10325"/>
    <x v="3"/>
    <n v="120"/>
    <n v="6"/>
    <d v="1996-10-09T00:00:00"/>
  </r>
  <r>
    <n v="10325"/>
    <x v="4"/>
    <n v="120"/>
    <n v="6"/>
    <d v="1996-10-09T00:00:00"/>
  </r>
  <r>
    <n v="10325"/>
    <x v="5"/>
    <n v="120"/>
    <n v="6"/>
    <d v="1996-10-09T00:00:00"/>
  </r>
  <r>
    <n v="10325"/>
    <x v="6"/>
    <n v="120"/>
    <n v="6"/>
    <d v="1996-10-09T00:00:00"/>
  </r>
  <r>
    <n v="10325"/>
    <x v="7"/>
    <n v="120"/>
    <n v="6"/>
    <d v="1996-10-09T00:00:00"/>
  </r>
  <r>
    <n v="10325"/>
    <x v="0"/>
    <n v="57.6"/>
    <n v="12"/>
    <d v="1996-10-09T00:00:00"/>
  </r>
  <r>
    <n v="10325"/>
    <x v="1"/>
    <n v="57.6"/>
    <n v="12"/>
    <d v="1996-10-09T00:00:00"/>
  </r>
  <r>
    <n v="10325"/>
    <x v="2"/>
    <n v="57.6"/>
    <n v="12"/>
    <d v="1996-10-09T00:00:00"/>
  </r>
  <r>
    <n v="10325"/>
    <x v="3"/>
    <n v="57.6"/>
    <n v="12"/>
    <d v="1996-10-09T00:00:00"/>
  </r>
  <r>
    <n v="10325"/>
    <x v="4"/>
    <n v="57.6"/>
    <n v="12"/>
    <d v="1996-10-09T00:00:00"/>
  </r>
  <r>
    <n v="10325"/>
    <x v="5"/>
    <n v="57.6"/>
    <n v="12"/>
    <d v="1996-10-09T00:00:00"/>
  </r>
  <r>
    <n v="10325"/>
    <x v="6"/>
    <n v="57.6"/>
    <n v="12"/>
    <d v="1996-10-09T00:00:00"/>
  </r>
  <r>
    <n v="10325"/>
    <x v="7"/>
    <n v="57.6"/>
    <n v="12"/>
    <d v="1996-10-09T00:00:00"/>
  </r>
  <r>
    <n v="10325"/>
    <x v="0"/>
    <n v="167.4"/>
    <n v="9"/>
    <d v="1996-10-09T00:00:00"/>
  </r>
  <r>
    <n v="10325"/>
    <x v="1"/>
    <n v="167.4"/>
    <n v="9"/>
    <d v="1996-10-09T00:00:00"/>
  </r>
  <r>
    <n v="10325"/>
    <x v="2"/>
    <n v="167.4"/>
    <n v="9"/>
    <d v="1996-10-09T00:00:00"/>
  </r>
  <r>
    <n v="10325"/>
    <x v="3"/>
    <n v="167.4"/>
    <n v="9"/>
    <d v="1996-10-09T00:00:00"/>
  </r>
  <r>
    <n v="10325"/>
    <x v="4"/>
    <n v="167.4"/>
    <n v="9"/>
    <d v="1996-10-09T00:00:00"/>
  </r>
  <r>
    <n v="10325"/>
    <x v="5"/>
    <n v="167.4"/>
    <n v="9"/>
    <d v="1996-10-09T00:00:00"/>
  </r>
  <r>
    <n v="10325"/>
    <x v="6"/>
    <n v="167.4"/>
    <n v="9"/>
    <d v="1996-10-09T00:00:00"/>
  </r>
  <r>
    <n v="10325"/>
    <x v="7"/>
    <n v="167.4"/>
    <n v="9"/>
    <d v="1996-10-09T00:00:00"/>
  </r>
  <r>
    <n v="10325"/>
    <x v="0"/>
    <n v="40"/>
    <n v="4"/>
    <d v="1996-10-09T00:00:00"/>
  </r>
  <r>
    <n v="10325"/>
    <x v="1"/>
    <n v="40"/>
    <n v="4"/>
    <d v="1996-10-09T00:00:00"/>
  </r>
  <r>
    <n v="10325"/>
    <x v="2"/>
    <n v="40"/>
    <n v="4"/>
    <d v="1996-10-09T00:00:00"/>
  </r>
  <r>
    <n v="10325"/>
    <x v="3"/>
    <n v="40"/>
    <n v="4"/>
    <d v="1996-10-09T00:00:00"/>
  </r>
  <r>
    <n v="10325"/>
    <x v="4"/>
    <n v="40"/>
    <n v="4"/>
    <d v="1996-10-09T00:00:00"/>
  </r>
  <r>
    <n v="10325"/>
    <x v="5"/>
    <n v="40"/>
    <n v="4"/>
    <d v="1996-10-09T00:00:00"/>
  </r>
  <r>
    <n v="10325"/>
    <x v="6"/>
    <n v="40"/>
    <n v="4"/>
    <d v="1996-10-09T00:00:00"/>
  </r>
  <r>
    <n v="10325"/>
    <x v="7"/>
    <n v="40"/>
    <n v="4"/>
    <d v="1996-10-09T00:00:00"/>
  </r>
  <r>
    <n v="10325"/>
    <x v="0"/>
    <n v="1112"/>
    <n v="40"/>
    <d v="1996-10-09T00:00:00"/>
  </r>
  <r>
    <n v="10325"/>
    <x v="1"/>
    <n v="1112"/>
    <n v="40"/>
    <d v="1996-10-09T00:00:00"/>
  </r>
  <r>
    <n v="10325"/>
    <x v="2"/>
    <n v="1112"/>
    <n v="40"/>
    <d v="1996-10-09T00:00:00"/>
  </r>
  <r>
    <n v="10325"/>
    <x v="3"/>
    <n v="1112"/>
    <n v="40"/>
    <d v="1996-10-09T00:00:00"/>
  </r>
  <r>
    <n v="10325"/>
    <x v="4"/>
    <n v="1112"/>
    <n v="40"/>
    <d v="1996-10-09T00:00:00"/>
  </r>
  <r>
    <n v="10325"/>
    <x v="5"/>
    <n v="1112"/>
    <n v="40"/>
    <d v="1996-10-09T00:00:00"/>
  </r>
  <r>
    <n v="10325"/>
    <x v="6"/>
    <n v="1112"/>
    <n v="40"/>
    <d v="1996-10-09T00:00:00"/>
  </r>
  <r>
    <n v="10325"/>
    <x v="7"/>
    <n v="1112"/>
    <n v="40"/>
    <d v="1996-10-09T00:00:00"/>
  </r>
  <r>
    <n v="10326"/>
    <x v="0"/>
    <n v="422.4"/>
    <n v="24"/>
    <d v="1996-10-10T00:00:00"/>
  </r>
  <r>
    <n v="10326"/>
    <x v="1"/>
    <n v="422.4"/>
    <n v="24"/>
    <d v="1996-10-10T00:00:00"/>
  </r>
  <r>
    <n v="10326"/>
    <x v="2"/>
    <n v="422.4"/>
    <n v="24"/>
    <d v="1996-10-10T00:00:00"/>
  </r>
  <r>
    <n v="10326"/>
    <x v="3"/>
    <n v="422.4"/>
    <n v="24"/>
    <d v="1996-10-10T00:00:00"/>
  </r>
  <r>
    <n v="10326"/>
    <x v="4"/>
    <n v="422.4"/>
    <n v="24"/>
    <d v="1996-10-10T00:00:00"/>
  </r>
  <r>
    <n v="10326"/>
    <x v="5"/>
    <n v="422.4"/>
    <n v="24"/>
    <d v="1996-10-10T00:00:00"/>
  </r>
  <r>
    <n v="10326"/>
    <x v="6"/>
    <n v="422.4"/>
    <n v="24"/>
    <d v="1996-10-10T00:00:00"/>
  </r>
  <r>
    <n v="10326"/>
    <x v="7"/>
    <n v="422.4"/>
    <n v="24"/>
    <d v="1996-10-10T00:00:00"/>
  </r>
  <r>
    <n v="10326"/>
    <x v="0"/>
    <n v="249.6"/>
    <n v="16"/>
    <d v="1996-10-10T00:00:00"/>
  </r>
  <r>
    <n v="10326"/>
    <x v="1"/>
    <n v="249.6"/>
    <n v="16"/>
    <d v="1996-10-10T00:00:00"/>
  </r>
  <r>
    <n v="10326"/>
    <x v="2"/>
    <n v="249.6"/>
    <n v="16"/>
    <d v="1996-10-10T00:00:00"/>
  </r>
  <r>
    <n v="10326"/>
    <x v="3"/>
    <n v="249.6"/>
    <n v="16"/>
    <d v="1996-10-10T00:00:00"/>
  </r>
  <r>
    <n v="10326"/>
    <x v="4"/>
    <n v="249.6"/>
    <n v="16"/>
    <d v="1996-10-10T00:00:00"/>
  </r>
  <r>
    <n v="10326"/>
    <x v="5"/>
    <n v="249.6"/>
    <n v="16"/>
    <d v="1996-10-10T00:00:00"/>
  </r>
  <r>
    <n v="10326"/>
    <x v="6"/>
    <n v="249.6"/>
    <n v="16"/>
    <d v="1996-10-10T00:00:00"/>
  </r>
  <r>
    <n v="10326"/>
    <x v="7"/>
    <n v="249.6"/>
    <n v="16"/>
    <d v="1996-10-10T00:00:00"/>
  </r>
  <r>
    <n v="10326"/>
    <x v="0"/>
    <n v="310"/>
    <n v="50"/>
    <d v="1996-10-10T00:00:00"/>
  </r>
  <r>
    <n v="10326"/>
    <x v="1"/>
    <n v="310"/>
    <n v="50"/>
    <d v="1996-10-10T00:00:00"/>
  </r>
  <r>
    <n v="10326"/>
    <x v="2"/>
    <n v="310"/>
    <n v="50"/>
    <d v="1996-10-10T00:00:00"/>
  </r>
  <r>
    <n v="10326"/>
    <x v="3"/>
    <n v="310"/>
    <n v="50"/>
    <d v="1996-10-10T00:00:00"/>
  </r>
  <r>
    <n v="10326"/>
    <x v="4"/>
    <n v="310"/>
    <n v="50"/>
    <d v="1996-10-10T00:00:00"/>
  </r>
  <r>
    <n v="10326"/>
    <x v="5"/>
    <n v="310"/>
    <n v="50"/>
    <d v="1996-10-10T00:00:00"/>
  </r>
  <r>
    <n v="10326"/>
    <x v="6"/>
    <n v="310"/>
    <n v="50"/>
    <d v="1996-10-10T00:00:00"/>
  </r>
  <r>
    <n v="10326"/>
    <x v="7"/>
    <n v="310"/>
    <n v="50"/>
    <d v="1996-10-10T00:00:00"/>
  </r>
  <r>
    <n v="10327"/>
    <x v="0"/>
    <n v="303.99999886751175"/>
    <n v="25"/>
    <d v="1996-10-11T00:00:00"/>
  </r>
  <r>
    <n v="10327"/>
    <x v="1"/>
    <n v="303.99999886751175"/>
    <n v="25"/>
    <d v="1996-10-11T00:00:00"/>
  </r>
  <r>
    <n v="10327"/>
    <x v="2"/>
    <n v="303.99999886751175"/>
    <n v="25"/>
    <d v="1996-10-11T00:00:00"/>
  </r>
  <r>
    <n v="10327"/>
    <x v="3"/>
    <n v="303.99999886751175"/>
    <n v="25"/>
    <d v="1996-10-11T00:00:00"/>
  </r>
  <r>
    <n v="10327"/>
    <x v="4"/>
    <n v="303.99999886751175"/>
    <n v="25"/>
    <d v="1996-10-11T00:00:00"/>
  </r>
  <r>
    <n v="10327"/>
    <x v="5"/>
    <n v="303.99999886751175"/>
    <n v="25"/>
    <d v="1996-10-11T00:00:00"/>
  </r>
  <r>
    <n v="10327"/>
    <x v="6"/>
    <n v="303.99999886751175"/>
    <n v="25"/>
    <d v="1996-10-11T00:00:00"/>
  </r>
  <r>
    <n v="10327"/>
    <x v="7"/>
    <n v="303.99999886751175"/>
    <n v="25"/>
    <d v="1996-10-11T00:00:00"/>
  </r>
  <r>
    <n v="10327"/>
    <x v="0"/>
    <n v="671.99999749660492"/>
    <n v="50"/>
    <d v="1996-10-11T00:00:00"/>
  </r>
  <r>
    <n v="10327"/>
    <x v="1"/>
    <n v="671.99999749660492"/>
    <n v="50"/>
    <d v="1996-10-11T00:00:00"/>
  </r>
  <r>
    <n v="10327"/>
    <x v="2"/>
    <n v="671.99999749660492"/>
    <n v="50"/>
    <d v="1996-10-11T00:00:00"/>
  </r>
  <r>
    <n v="10327"/>
    <x v="3"/>
    <n v="671.99999749660492"/>
    <n v="50"/>
    <d v="1996-10-11T00:00:00"/>
  </r>
  <r>
    <n v="10327"/>
    <x v="4"/>
    <n v="671.99999749660492"/>
    <n v="50"/>
    <d v="1996-10-11T00:00:00"/>
  </r>
  <r>
    <n v="10327"/>
    <x v="5"/>
    <n v="671.99999749660492"/>
    <n v="50"/>
    <d v="1996-10-11T00:00:00"/>
  </r>
  <r>
    <n v="10327"/>
    <x v="6"/>
    <n v="671.99999749660492"/>
    <n v="50"/>
    <d v="1996-10-11T00:00:00"/>
  </r>
  <r>
    <n v="10327"/>
    <x v="7"/>
    <n v="671.99999749660492"/>
    <n v="50"/>
    <d v="1996-10-11T00:00:00"/>
  </r>
  <r>
    <n v="10327"/>
    <x v="0"/>
    <n v="579.59999784082174"/>
    <n v="35"/>
    <d v="1996-10-11T00:00:00"/>
  </r>
  <r>
    <n v="10327"/>
    <x v="1"/>
    <n v="579.59999784082174"/>
    <n v="35"/>
    <d v="1996-10-11T00:00:00"/>
  </r>
  <r>
    <n v="10327"/>
    <x v="2"/>
    <n v="579.59999784082174"/>
    <n v="35"/>
    <d v="1996-10-11T00:00:00"/>
  </r>
  <r>
    <n v="10327"/>
    <x v="3"/>
    <n v="579.59999784082174"/>
    <n v="35"/>
    <d v="1996-10-11T00:00:00"/>
  </r>
  <r>
    <n v="10327"/>
    <x v="4"/>
    <n v="579.59999784082174"/>
    <n v="35"/>
    <d v="1996-10-11T00:00:00"/>
  </r>
  <r>
    <n v="10327"/>
    <x v="5"/>
    <n v="579.59999784082174"/>
    <n v="35"/>
    <d v="1996-10-11T00:00:00"/>
  </r>
  <r>
    <n v="10327"/>
    <x v="6"/>
    <n v="579.59999784082174"/>
    <n v="35"/>
    <d v="1996-10-11T00:00:00"/>
  </r>
  <r>
    <n v="10327"/>
    <x v="7"/>
    <n v="579.59999784082174"/>
    <n v="35"/>
    <d v="1996-10-11T00:00:00"/>
  </r>
  <r>
    <n v="10327"/>
    <x v="0"/>
    <n v="254.39999905228615"/>
    <n v="30"/>
    <d v="1996-10-11T00:00:00"/>
  </r>
  <r>
    <n v="10327"/>
    <x v="1"/>
    <n v="254.39999905228615"/>
    <n v="30"/>
    <d v="1996-10-11T00:00:00"/>
  </r>
  <r>
    <n v="10327"/>
    <x v="2"/>
    <n v="254.39999905228615"/>
    <n v="30"/>
    <d v="1996-10-11T00:00:00"/>
  </r>
  <r>
    <n v="10327"/>
    <x v="3"/>
    <n v="254.39999905228615"/>
    <n v="30"/>
    <d v="1996-10-11T00:00:00"/>
  </r>
  <r>
    <n v="10327"/>
    <x v="4"/>
    <n v="254.39999905228615"/>
    <n v="30"/>
    <d v="1996-10-11T00:00:00"/>
  </r>
  <r>
    <n v="10327"/>
    <x v="5"/>
    <n v="254.39999905228615"/>
    <n v="30"/>
    <d v="1996-10-11T00:00:00"/>
  </r>
  <r>
    <n v="10327"/>
    <x v="6"/>
    <n v="254.39999905228615"/>
    <n v="30"/>
    <d v="1996-10-11T00:00:00"/>
  </r>
  <r>
    <n v="10327"/>
    <x v="7"/>
    <n v="254.39999905228615"/>
    <n v="30"/>
    <d v="1996-10-11T00:00:00"/>
  </r>
  <r>
    <n v="10328"/>
    <x v="0"/>
    <n v="396"/>
    <n v="9"/>
    <d v="1996-10-14T00:00:00"/>
  </r>
  <r>
    <n v="10328"/>
    <x v="1"/>
    <n v="396"/>
    <n v="9"/>
    <d v="1996-10-14T00:00:00"/>
  </r>
  <r>
    <n v="10328"/>
    <x v="2"/>
    <n v="396"/>
    <n v="9"/>
    <d v="1996-10-14T00:00:00"/>
  </r>
  <r>
    <n v="10328"/>
    <x v="3"/>
    <n v="396"/>
    <n v="9"/>
    <d v="1996-10-14T00:00:00"/>
  </r>
  <r>
    <n v="10328"/>
    <x v="4"/>
    <n v="396"/>
    <n v="9"/>
    <d v="1996-10-14T00:00:00"/>
  </r>
  <r>
    <n v="10328"/>
    <x v="5"/>
    <n v="396"/>
    <n v="9"/>
    <d v="1996-10-14T00:00:00"/>
  </r>
  <r>
    <n v="10328"/>
    <x v="6"/>
    <n v="396"/>
    <n v="9"/>
    <d v="1996-10-14T00:00:00"/>
  </r>
  <r>
    <n v="10328"/>
    <x v="7"/>
    <n v="396"/>
    <n v="9"/>
    <d v="1996-10-14T00:00:00"/>
  </r>
  <r>
    <n v="10328"/>
    <x v="0"/>
    <n v="672"/>
    <n v="40"/>
    <d v="1996-10-14T00:00:00"/>
  </r>
  <r>
    <n v="10328"/>
    <x v="1"/>
    <n v="672"/>
    <n v="40"/>
    <d v="1996-10-14T00:00:00"/>
  </r>
  <r>
    <n v="10328"/>
    <x v="2"/>
    <n v="672"/>
    <n v="40"/>
    <d v="1996-10-14T00:00:00"/>
  </r>
  <r>
    <n v="10328"/>
    <x v="3"/>
    <n v="672"/>
    <n v="40"/>
    <d v="1996-10-14T00:00:00"/>
  </r>
  <r>
    <n v="10328"/>
    <x v="4"/>
    <n v="672"/>
    <n v="40"/>
    <d v="1996-10-14T00:00:00"/>
  </r>
  <r>
    <n v="10328"/>
    <x v="5"/>
    <n v="672"/>
    <n v="40"/>
    <d v="1996-10-14T00:00:00"/>
  </r>
  <r>
    <n v="10328"/>
    <x v="6"/>
    <n v="672"/>
    <n v="40"/>
    <d v="1996-10-14T00:00:00"/>
  </r>
  <r>
    <n v="10328"/>
    <x v="7"/>
    <n v="672"/>
    <n v="40"/>
    <d v="1996-10-14T00:00:00"/>
  </r>
  <r>
    <n v="10328"/>
    <x v="0"/>
    <n v="100"/>
    <n v="10"/>
    <d v="1996-10-14T00:00:00"/>
  </r>
  <r>
    <n v="10328"/>
    <x v="1"/>
    <n v="100"/>
    <n v="10"/>
    <d v="1996-10-14T00:00:00"/>
  </r>
  <r>
    <n v="10328"/>
    <x v="2"/>
    <n v="100"/>
    <n v="10"/>
    <d v="1996-10-14T00:00:00"/>
  </r>
  <r>
    <n v="10328"/>
    <x v="3"/>
    <n v="100"/>
    <n v="10"/>
    <d v="1996-10-14T00:00:00"/>
  </r>
  <r>
    <n v="10328"/>
    <x v="4"/>
    <n v="100"/>
    <n v="10"/>
    <d v="1996-10-14T00:00:00"/>
  </r>
  <r>
    <n v="10328"/>
    <x v="5"/>
    <n v="100"/>
    <n v="10"/>
    <d v="1996-10-14T00:00:00"/>
  </r>
  <r>
    <n v="10328"/>
    <x v="6"/>
    <n v="100"/>
    <n v="10"/>
    <d v="1996-10-14T00:00:00"/>
  </r>
  <r>
    <n v="10328"/>
    <x v="7"/>
    <n v="100"/>
    <n v="10"/>
    <d v="1996-10-14T00:00:00"/>
  </r>
  <r>
    <n v="10329"/>
    <x v="0"/>
    <n v="69.349999945610762"/>
    <n v="10"/>
    <d v="1996-10-15T00:00:00"/>
  </r>
  <r>
    <n v="10329"/>
    <x v="1"/>
    <n v="69.349999945610762"/>
    <n v="10"/>
    <d v="1996-10-15T00:00:00"/>
  </r>
  <r>
    <n v="10329"/>
    <x v="2"/>
    <n v="69.349999945610762"/>
    <n v="10"/>
    <d v="1996-10-15T00:00:00"/>
  </r>
  <r>
    <n v="10329"/>
    <x v="3"/>
    <n v="69.349999945610762"/>
    <n v="10"/>
    <d v="1996-10-15T00:00:00"/>
  </r>
  <r>
    <n v="10329"/>
    <x v="4"/>
    <n v="69.349999945610762"/>
    <n v="10"/>
    <d v="1996-10-15T00:00:00"/>
  </r>
  <r>
    <n v="10329"/>
    <x v="5"/>
    <n v="69.349999945610762"/>
    <n v="10"/>
    <d v="1996-10-15T00:00:00"/>
  </r>
  <r>
    <n v="10329"/>
    <x v="6"/>
    <n v="69.349999945610762"/>
    <n v="10"/>
    <d v="1996-10-15T00:00:00"/>
  </r>
  <r>
    <n v="10329"/>
    <x v="7"/>
    <n v="69.349999945610762"/>
    <n v="10"/>
    <d v="1996-10-15T00:00:00"/>
  </r>
  <r>
    <n v="10329"/>
    <x v="0"/>
    <n v="157.31999987661837"/>
    <n v="8"/>
    <d v="1996-10-15T00:00:00"/>
  </r>
  <r>
    <n v="10329"/>
    <x v="1"/>
    <n v="157.31999987661837"/>
    <n v="8"/>
    <d v="1996-10-15T00:00:00"/>
  </r>
  <r>
    <n v="10329"/>
    <x v="2"/>
    <n v="157.31999987661837"/>
    <n v="8"/>
    <d v="1996-10-15T00:00:00"/>
  </r>
  <r>
    <n v="10329"/>
    <x v="3"/>
    <n v="157.31999987661837"/>
    <n v="8"/>
    <d v="1996-10-15T00:00:00"/>
  </r>
  <r>
    <n v="10329"/>
    <x v="4"/>
    <n v="157.31999987661837"/>
    <n v="8"/>
    <d v="1996-10-15T00:00:00"/>
  </r>
  <r>
    <n v="10329"/>
    <x v="5"/>
    <n v="157.31999987661837"/>
    <n v="8"/>
    <d v="1996-10-15T00:00:00"/>
  </r>
  <r>
    <n v="10329"/>
    <x v="6"/>
    <n v="157.31999987661837"/>
    <n v="8"/>
    <d v="1996-10-15T00:00:00"/>
  </r>
  <r>
    <n v="10329"/>
    <x v="7"/>
    <n v="157.31999987661837"/>
    <n v="8"/>
    <d v="1996-10-15T00:00:00"/>
  </r>
  <r>
    <n v="10329"/>
    <x v="0"/>
    <n v="4005.1999968588352"/>
    <n v="20"/>
    <d v="1996-10-15T00:00:00"/>
  </r>
  <r>
    <n v="10329"/>
    <x v="1"/>
    <n v="4005.1999968588352"/>
    <n v="20"/>
    <d v="1996-10-15T00:00:00"/>
  </r>
  <r>
    <n v="10329"/>
    <x v="2"/>
    <n v="4005.1999968588352"/>
    <n v="20"/>
    <d v="1996-10-15T00:00:00"/>
  </r>
  <r>
    <n v="10329"/>
    <x v="3"/>
    <n v="4005.1999968588352"/>
    <n v="20"/>
    <d v="1996-10-15T00:00:00"/>
  </r>
  <r>
    <n v="10329"/>
    <x v="4"/>
    <n v="4005.1999968588352"/>
    <n v="20"/>
    <d v="1996-10-15T00:00:00"/>
  </r>
  <r>
    <n v="10329"/>
    <x v="5"/>
    <n v="4005.1999968588352"/>
    <n v="20"/>
    <d v="1996-10-15T00:00:00"/>
  </r>
  <r>
    <n v="10329"/>
    <x v="6"/>
    <n v="4005.1999968588352"/>
    <n v="20"/>
    <d v="1996-10-15T00:00:00"/>
  </r>
  <r>
    <n v="10329"/>
    <x v="7"/>
    <n v="4005.1999968588352"/>
    <n v="20"/>
    <d v="1996-10-15T00:00:00"/>
  </r>
  <r>
    <n v="10329"/>
    <x v="0"/>
    <n v="346.55999972820285"/>
    <n v="12"/>
    <d v="1996-10-15T00:00:00"/>
  </r>
  <r>
    <n v="10329"/>
    <x v="1"/>
    <n v="346.55999972820285"/>
    <n v="12"/>
    <d v="1996-10-15T00:00:00"/>
  </r>
  <r>
    <n v="10329"/>
    <x v="2"/>
    <n v="346.55999972820285"/>
    <n v="12"/>
    <d v="1996-10-15T00:00:00"/>
  </r>
  <r>
    <n v="10329"/>
    <x v="3"/>
    <n v="346.55999972820285"/>
    <n v="12"/>
    <d v="1996-10-15T00:00:00"/>
  </r>
  <r>
    <n v="10329"/>
    <x v="4"/>
    <n v="346.55999972820285"/>
    <n v="12"/>
    <d v="1996-10-15T00:00:00"/>
  </r>
  <r>
    <n v="10329"/>
    <x v="5"/>
    <n v="346.55999972820285"/>
    <n v="12"/>
    <d v="1996-10-15T00:00:00"/>
  </r>
  <r>
    <n v="10329"/>
    <x v="6"/>
    <n v="346.55999972820285"/>
    <n v="12"/>
    <d v="1996-10-15T00:00:00"/>
  </r>
  <r>
    <n v="10329"/>
    <x v="7"/>
    <n v="346.55999972820285"/>
    <n v="12"/>
    <d v="1996-10-15T00:00:00"/>
  </r>
  <r>
    <n v="10330"/>
    <x v="0"/>
    <n v="1058.2499925792217"/>
    <n v="50"/>
    <d v="1996-10-16T00:00:00"/>
  </r>
  <r>
    <n v="10330"/>
    <x v="1"/>
    <n v="1058.2499925792217"/>
    <n v="50"/>
    <d v="1996-10-16T00:00:00"/>
  </r>
  <r>
    <n v="10330"/>
    <x v="2"/>
    <n v="1058.2499925792217"/>
    <n v="50"/>
    <d v="1996-10-16T00:00:00"/>
  </r>
  <r>
    <n v="10330"/>
    <x v="3"/>
    <n v="1058.2499925792217"/>
    <n v="50"/>
    <d v="1996-10-16T00:00:00"/>
  </r>
  <r>
    <n v="10330"/>
    <x v="4"/>
    <n v="1058.2499925792217"/>
    <n v="50"/>
    <d v="1996-10-16T00:00:00"/>
  </r>
  <r>
    <n v="10330"/>
    <x v="5"/>
    <n v="1058.2499925792217"/>
    <n v="50"/>
    <d v="1996-10-16T00:00:00"/>
  </r>
  <r>
    <n v="10330"/>
    <x v="6"/>
    <n v="1058.2499925792217"/>
    <n v="50"/>
    <d v="1996-10-16T00:00:00"/>
  </r>
  <r>
    <n v="10330"/>
    <x v="7"/>
    <n v="1058.2499925792217"/>
    <n v="50"/>
    <d v="1996-10-16T00:00:00"/>
  </r>
  <r>
    <n v="10330"/>
    <x v="0"/>
    <n v="590.74999585747719"/>
    <n v="25"/>
    <d v="1996-10-16T00:00:00"/>
  </r>
  <r>
    <n v="10330"/>
    <x v="1"/>
    <n v="590.74999585747719"/>
    <n v="25"/>
    <d v="1996-10-16T00:00:00"/>
  </r>
  <r>
    <n v="10330"/>
    <x v="2"/>
    <n v="590.74999585747719"/>
    <n v="25"/>
    <d v="1996-10-16T00:00:00"/>
  </r>
  <r>
    <n v="10330"/>
    <x v="3"/>
    <n v="590.74999585747719"/>
    <n v="25"/>
    <d v="1996-10-16T00:00:00"/>
  </r>
  <r>
    <n v="10330"/>
    <x v="4"/>
    <n v="590.74999585747719"/>
    <n v="25"/>
    <d v="1996-10-16T00:00:00"/>
  </r>
  <r>
    <n v="10330"/>
    <x v="5"/>
    <n v="590.74999585747719"/>
    <n v="25"/>
    <d v="1996-10-16T00:00:00"/>
  </r>
  <r>
    <n v="10330"/>
    <x v="6"/>
    <n v="590.74999585747719"/>
    <n v="25"/>
    <d v="1996-10-16T00:00:00"/>
  </r>
  <r>
    <n v="10330"/>
    <x v="7"/>
    <n v="590.74999585747719"/>
    <n v="25"/>
    <d v="1996-10-16T00:00:00"/>
  </r>
  <r>
    <n v="10331"/>
    <x v="0"/>
    <n v="88.5"/>
    <n v="15"/>
    <d v="1996-10-16T00:00:00"/>
  </r>
  <r>
    <n v="10331"/>
    <x v="1"/>
    <n v="88.5"/>
    <n v="15"/>
    <d v="1996-10-16T00:00:00"/>
  </r>
  <r>
    <n v="10331"/>
    <x v="2"/>
    <n v="88.5"/>
    <n v="15"/>
    <d v="1996-10-16T00:00:00"/>
  </r>
  <r>
    <n v="10331"/>
    <x v="3"/>
    <n v="88.5"/>
    <n v="15"/>
    <d v="1996-10-16T00:00:00"/>
  </r>
  <r>
    <n v="10331"/>
    <x v="4"/>
    <n v="88.5"/>
    <n v="15"/>
    <d v="1996-10-16T00:00:00"/>
  </r>
  <r>
    <n v="10331"/>
    <x v="5"/>
    <n v="88.5"/>
    <n v="15"/>
    <d v="1996-10-16T00:00:00"/>
  </r>
  <r>
    <n v="10331"/>
    <x v="6"/>
    <n v="88.5"/>
    <n v="15"/>
    <d v="1996-10-16T00:00:00"/>
  </r>
  <r>
    <n v="10331"/>
    <x v="7"/>
    <n v="88.5"/>
    <n v="15"/>
    <d v="1996-10-16T00:00:00"/>
  </r>
  <r>
    <n v="10332"/>
    <x v="0"/>
    <n v="1599.9999940395355"/>
    <n v="40"/>
    <d v="1996-10-17T00:00:00"/>
  </r>
  <r>
    <n v="10332"/>
    <x v="1"/>
    <n v="1599.9999940395355"/>
    <n v="40"/>
    <d v="1996-10-17T00:00:00"/>
  </r>
  <r>
    <n v="10332"/>
    <x v="2"/>
    <n v="1599.9999940395355"/>
    <n v="40"/>
    <d v="1996-10-17T00:00:00"/>
  </r>
  <r>
    <n v="10332"/>
    <x v="3"/>
    <n v="1599.9999940395355"/>
    <n v="40"/>
    <d v="1996-10-17T00:00:00"/>
  </r>
  <r>
    <n v="10332"/>
    <x v="4"/>
    <n v="1599.9999940395355"/>
    <n v="40"/>
    <d v="1996-10-17T00:00:00"/>
  </r>
  <r>
    <n v="10332"/>
    <x v="5"/>
    <n v="1599.9999940395355"/>
    <n v="40"/>
    <d v="1996-10-17T00:00:00"/>
  </r>
  <r>
    <n v="10332"/>
    <x v="6"/>
    <n v="1599.9999940395355"/>
    <n v="40"/>
    <d v="1996-10-17T00:00:00"/>
  </r>
  <r>
    <n v="10332"/>
    <x v="7"/>
    <n v="1599.9999940395355"/>
    <n v="40"/>
    <d v="1996-10-17T00:00:00"/>
  </r>
  <r>
    <n v="10332"/>
    <x v="0"/>
    <n v="89.599999666213989"/>
    <n v="10"/>
    <d v="1996-10-17T00:00:00"/>
  </r>
  <r>
    <n v="10332"/>
    <x v="1"/>
    <n v="89.599999666213989"/>
    <n v="10"/>
    <d v="1996-10-17T00:00:00"/>
  </r>
  <r>
    <n v="10332"/>
    <x v="2"/>
    <n v="89.599999666213989"/>
    <n v="10"/>
    <d v="1996-10-17T00:00:00"/>
  </r>
  <r>
    <n v="10332"/>
    <x v="3"/>
    <n v="89.599999666213989"/>
    <n v="10"/>
    <d v="1996-10-17T00:00:00"/>
  </r>
  <r>
    <n v="10332"/>
    <x v="4"/>
    <n v="89.599999666213989"/>
    <n v="10"/>
    <d v="1996-10-17T00:00:00"/>
  </r>
  <r>
    <n v="10332"/>
    <x v="5"/>
    <n v="89.599999666213989"/>
    <n v="10"/>
    <d v="1996-10-17T00:00:00"/>
  </r>
  <r>
    <n v="10332"/>
    <x v="6"/>
    <n v="89.599999666213989"/>
    <n v="10"/>
    <d v="1996-10-17T00:00:00"/>
  </r>
  <r>
    <n v="10332"/>
    <x v="7"/>
    <n v="89.599999666213989"/>
    <n v="10"/>
    <d v="1996-10-17T00:00:00"/>
  </r>
  <r>
    <n v="10332"/>
    <x v="0"/>
    <n v="97.279999637603751"/>
    <n v="16"/>
    <d v="1996-10-17T00:00:00"/>
  </r>
  <r>
    <n v="10332"/>
    <x v="1"/>
    <n v="97.279999637603751"/>
    <n v="16"/>
    <d v="1996-10-17T00:00:00"/>
  </r>
  <r>
    <n v="10332"/>
    <x v="2"/>
    <n v="97.279999637603751"/>
    <n v="16"/>
    <d v="1996-10-17T00:00:00"/>
  </r>
  <r>
    <n v="10332"/>
    <x v="3"/>
    <n v="97.279999637603751"/>
    <n v="16"/>
    <d v="1996-10-17T00:00:00"/>
  </r>
  <r>
    <n v="10332"/>
    <x v="4"/>
    <n v="97.279999637603751"/>
    <n v="16"/>
    <d v="1996-10-17T00:00:00"/>
  </r>
  <r>
    <n v="10332"/>
    <x v="5"/>
    <n v="97.279999637603751"/>
    <n v="16"/>
    <d v="1996-10-17T00:00:00"/>
  </r>
  <r>
    <n v="10332"/>
    <x v="6"/>
    <n v="97.279999637603751"/>
    <n v="16"/>
    <d v="1996-10-17T00:00:00"/>
  </r>
  <r>
    <n v="10332"/>
    <x v="7"/>
    <n v="97.279999637603751"/>
    <n v="16"/>
    <d v="1996-10-17T00:00:00"/>
  </r>
  <r>
    <n v="10333"/>
    <x v="0"/>
    <n v="186"/>
    <n v="10"/>
    <d v="1996-10-18T00:00:00"/>
  </r>
  <r>
    <n v="10333"/>
    <x v="1"/>
    <n v="186"/>
    <n v="10"/>
    <d v="1996-10-18T00:00:00"/>
  </r>
  <r>
    <n v="10333"/>
    <x v="2"/>
    <n v="186"/>
    <n v="10"/>
    <d v="1996-10-18T00:00:00"/>
  </r>
  <r>
    <n v="10333"/>
    <x v="3"/>
    <n v="186"/>
    <n v="10"/>
    <d v="1996-10-18T00:00:00"/>
  </r>
  <r>
    <n v="10333"/>
    <x v="4"/>
    <n v="186"/>
    <n v="10"/>
    <d v="1996-10-18T00:00:00"/>
  </r>
  <r>
    <n v="10333"/>
    <x v="5"/>
    <n v="186"/>
    <n v="10"/>
    <d v="1996-10-18T00:00:00"/>
  </r>
  <r>
    <n v="10333"/>
    <x v="6"/>
    <n v="186"/>
    <n v="10"/>
    <d v="1996-10-18T00:00:00"/>
  </r>
  <r>
    <n v="10333"/>
    <x v="7"/>
    <n v="186"/>
    <n v="10"/>
    <d v="1996-10-18T00:00:00"/>
  </r>
  <r>
    <n v="10333"/>
    <x v="0"/>
    <n v="71.99999988079071"/>
    <n v="10"/>
    <d v="1996-10-18T00:00:00"/>
  </r>
  <r>
    <n v="10333"/>
    <x v="1"/>
    <n v="71.99999988079071"/>
    <n v="10"/>
    <d v="1996-10-18T00:00:00"/>
  </r>
  <r>
    <n v="10333"/>
    <x v="2"/>
    <n v="71.99999988079071"/>
    <n v="10"/>
    <d v="1996-10-18T00:00:00"/>
  </r>
  <r>
    <n v="10333"/>
    <x v="3"/>
    <n v="71.99999988079071"/>
    <n v="10"/>
    <d v="1996-10-18T00:00:00"/>
  </r>
  <r>
    <n v="10333"/>
    <x v="4"/>
    <n v="71.99999988079071"/>
    <n v="10"/>
    <d v="1996-10-18T00:00:00"/>
  </r>
  <r>
    <n v="10333"/>
    <x v="5"/>
    <n v="71.99999988079071"/>
    <n v="10"/>
    <d v="1996-10-18T00:00:00"/>
  </r>
  <r>
    <n v="10333"/>
    <x v="6"/>
    <n v="71.99999988079071"/>
    <n v="10"/>
    <d v="1996-10-18T00:00:00"/>
  </r>
  <r>
    <n v="10333"/>
    <x v="7"/>
    <n v="71.99999988079071"/>
    <n v="10"/>
    <d v="1996-10-18T00:00:00"/>
  </r>
  <r>
    <n v="10333"/>
    <x v="0"/>
    <n v="619.19999897480011"/>
    <n v="40"/>
    <d v="1996-10-18T00:00:00"/>
  </r>
  <r>
    <n v="10333"/>
    <x v="1"/>
    <n v="619.19999897480011"/>
    <n v="40"/>
    <d v="1996-10-18T00:00:00"/>
  </r>
  <r>
    <n v="10333"/>
    <x v="2"/>
    <n v="619.19999897480011"/>
    <n v="40"/>
    <d v="1996-10-18T00:00:00"/>
  </r>
  <r>
    <n v="10333"/>
    <x v="3"/>
    <n v="619.19999897480011"/>
    <n v="40"/>
    <d v="1996-10-18T00:00:00"/>
  </r>
  <r>
    <n v="10333"/>
    <x v="4"/>
    <n v="619.19999897480011"/>
    <n v="40"/>
    <d v="1996-10-18T00:00:00"/>
  </r>
  <r>
    <n v="10333"/>
    <x v="5"/>
    <n v="619.19999897480011"/>
    <n v="40"/>
    <d v="1996-10-18T00:00:00"/>
  </r>
  <r>
    <n v="10333"/>
    <x v="6"/>
    <n v="619.19999897480011"/>
    <n v="40"/>
    <d v="1996-10-18T00:00:00"/>
  </r>
  <r>
    <n v="10333"/>
    <x v="7"/>
    <n v="619.19999897480011"/>
    <n v="40"/>
    <d v="1996-10-18T00:00:00"/>
  </r>
  <r>
    <n v="10334"/>
    <x v="0"/>
    <n v="44.8"/>
    <n v="8"/>
    <d v="1996-10-21T00:00:00"/>
  </r>
  <r>
    <n v="10334"/>
    <x v="1"/>
    <n v="44.8"/>
    <n v="8"/>
    <d v="1996-10-21T00:00:00"/>
  </r>
  <r>
    <n v="10334"/>
    <x v="2"/>
    <n v="44.8"/>
    <n v="8"/>
    <d v="1996-10-21T00:00:00"/>
  </r>
  <r>
    <n v="10334"/>
    <x v="3"/>
    <n v="44.8"/>
    <n v="8"/>
    <d v="1996-10-21T00:00:00"/>
  </r>
  <r>
    <n v="10334"/>
    <x v="4"/>
    <n v="44.8"/>
    <n v="8"/>
    <d v="1996-10-21T00:00:00"/>
  </r>
  <r>
    <n v="10334"/>
    <x v="5"/>
    <n v="44.8"/>
    <n v="8"/>
    <d v="1996-10-21T00:00:00"/>
  </r>
  <r>
    <n v="10334"/>
    <x v="6"/>
    <n v="44.8"/>
    <n v="8"/>
    <d v="1996-10-21T00:00:00"/>
  </r>
  <r>
    <n v="10334"/>
    <x v="7"/>
    <n v="44.8"/>
    <n v="8"/>
    <d v="1996-10-21T00:00:00"/>
  </r>
  <r>
    <n v="10334"/>
    <x v="0"/>
    <n v="100"/>
    <n v="10"/>
    <d v="1996-10-21T00:00:00"/>
  </r>
  <r>
    <n v="10334"/>
    <x v="1"/>
    <n v="100"/>
    <n v="10"/>
    <d v="1996-10-21T00:00:00"/>
  </r>
  <r>
    <n v="10334"/>
    <x v="2"/>
    <n v="100"/>
    <n v="10"/>
    <d v="1996-10-21T00:00:00"/>
  </r>
  <r>
    <n v="10334"/>
    <x v="3"/>
    <n v="100"/>
    <n v="10"/>
    <d v="1996-10-21T00:00:00"/>
  </r>
  <r>
    <n v="10334"/>
    <x v="4"/>
    <n v="100"/>
    <n v="10"/>
    <d v="1996-10-21T00:00:00"/>
  </r>
  <r>
    <n v="10334"/>
    <x v="5"/>
    <n v="100"/>
    <n v="10"/>
    <d v="1996-10-21T00:00:00"/>
  </r>
  <r>
    <n v="10334"/>
    <x v="6"/>
    <n v="100"/>
    <n v="10"/>
    <d v="1996-10-21T00:00:00"/>
  </r>
  <r>
    <n v="10334"/>
    <x v="7"/>
    <n v="100"/>
    <n v="10"/>
    <d v="1996-10-21T00:00:00"/>
  </r>
  <r>
    <n v="10335"/>
    <x v="0"/>
    <n v="85.119999682903298"/>
    <n v="7"/>
    <d v="1996-10-22T00:00:00"/>
  </r>
  <r>
    <n v="10335"/>
    <x v="1"/>
    <n v="85.119999682903298"/>
    <n v="7"/>
    <d v="1996-10-22T00:00:00"/>
  </r>
  <r>
    <n v="10335"/>
    <x v="2"/>
    <n v="85.119999682903298"/>
    <n v="7"/>
    <d v="1996-10-22T00:00:00"/>
  </r>
  <r>
    <n v="10335"/>
    <x v="3"/>
    <n v="85.119999682903298"/>
    <n v="7"/>
    <d v="1996-10-22T00:00:00"/>
  </r>
  <r>
    <n v="10335"/>
    <x v="4"/>
    <n v="85.119999682903298"/>
    <n v="7"/>
    <d v="1996-10-22T00:00:00"/>
  </r>
  <r>
    <n v="10335"/>
    <x v="5"/>
    <n v="85.119999682903298"/>
    <n v="7"/>
    <d v="1996-10-22T00:00:00"/>
  </r>
  <r>
    <n v="10335"/>
    <x v="6"/>
    <n v="85.119999682903298"/>
    <n v="7"/>
    <d v="1996-10-22T00:00:00"/>
  </r>
  <r>
    <n v="10335"/>
    <x v="7"/>
    <n v="85.119999682903298"/>
    <n v="7"/>
    <d v="1996-10-22T00:00:00"/>
  </r>
  <r>
    <n v="10335"/>
    <x v="0"/>
    <n v="199.99999925494194"/>
    <n v="25"/>
    <d v="1996-10-22T00:00:00"/>
  </r>
  <r>
    <n v="10335"/>
    <x v="1"/>
    <n v="199.99999925494194"/>
    <n v="25"/>
    <d v="1996-10-22T00:00:00"/>
  </r>
  <r>
    <n v="10335"/>
    <x v="2"/>
    <n v="199.99999925494194"/>
    <n v="25"/>
    <d v="1996-10-22T00:00:00"/>
  </r>
  <r>
    <n v="10335"/>
    <x v="3"/>
    <n v="199.99999925494194"/>
    <n v="25"/>
    <d v="1996-10-22T00:00:00"/>
  </r>
  <r>
    <n v="10335"/>
    <x v="4"/>
    <n v="199.99999925494194"/>
    <n v="25"/>
    <d v="1996-10-22T00:00:00"/>
  </r>
  <r>
    <n v="10335"/>
    <x v="5"/>
    <n v="199.99999925494194"/>
    <n v="25"/>
    <d v="1996-10-22T00:00:00"/>
  </r>
  <r>
    <n v="10335"/>
    <x v="6"/>
    <n v="199.99999925494194"/>
    <n v="25"/>
    <d v="1996-10-22T00:00:00"/>
  </r>
  <r>
    <n v="10335"/>
    <x v="7"/>
    <n v="199.99999925494194"/>
    <n v="25"/>
    <d v="1996-10-22T00:00:00"/>
  </r>
  <r>
    <n v="10335"/>
    <x v="0"/>
    <n v="122.87999954223632"/>
    <n v="6"/>
    <d v="1996-10-22T00:00:00"/>
  </r>
  <r>
    <n v="10335"/>
    <x v="1"/>
    <n v="122.87999954223632"/>
    <n v="6"/>
    <d v="1996-10-22T00:00:00"/>
  </r>
  <r>
    <n v="10335"/>
    <x v="2"/>
    <n v="122.87999954223632"/>
    <n v="6"/>
    <d v="1996-10-22T00:00:00"/>
  </r>
  <r>
    <n v="10335"/>
    <x v="3"/>
    <n v="122.87999954223632"/>
    <n v="6"/>
    <d v="1996-10-22T00:00:00"/>
  </r>
  <r>
    <n v="10335"/>
    <x v="4"/>
    <n v="122.87999954223632"/>
    <n v="6"/>
    <d v="1996-10-22T00:00:00"/>
  </r>
  <r>
    <n v="10335"/>
    <x v="5"/>
    <n v="122.87999954223632"/>
    <n v="6"/>
    <d v="1996-10-22T00:00:00"/>
  </r>
  <r>
    <n v="10335"/>
    <x v="6"/>
    <n v="122.87999954223632"/>
    <n v="6"/>
    <d v="1996-10-22T00:00:00"/>
  </r>
  <r>
    <n v="10335"/>
    <x v="7"/>
    <n v="122.87999954223632"/>
    <n v="6"/>
    <d v="1996-10-22T00:00:00"/>
  </r>
  <r>
    <n v="10335"/>
    <x v="0"/>
    <n v="1628.1599939346313"/>
    <n v="48"/>
    <d v="1996-10-22T00:00:00"/>
  </r>
  <r>
    <n v="10335"/>
    <x v="1"/>
    <n v="1628.1599939346313"/>
    <n v="48"/>
    <d v="1996-10-22T00:00:00"/>
  </r>
  <r>
    <n v="10335"/>
    <x v="2"/>
    <n v="1628.1599939346313"/>
    <n v="48"/>
    <d v="1996-10-22T00:00:00"/>
  </r>
  <r>
    <n v="10335"/>
    <x v="3"/>
    <n v="1628.1599939346313"/>
    <n v="48"/>
    <d v="1996-10-22T00:00:00"/>
  </r>
  <r>
    <n v="10335"/>
    <x v="4"/>
    <n v="1628.1599939346313"/>
    <n v="48"/>
    <d v="1996-10-22T00:00:00"/>
  </r>
  <r>
    <n v="10335"/>
    <x v="5"/>
    <n v="1628.1599939346313"/>
    <n v="48"/>
    <d v="1996-10-22T00:00:00"/>
  </r>
  <r>
    <n v="10335"/>
    <x v="6"/>
    <n v="1628.1599939346313"/>
    <n v="48"/>
    <d v="1996-10-22T00:00:00"/>
  </r>
  <r>
    <n v="10335"/>
    <x v="7"/>
    <n v="1628.1599939346313"/>
    <n v="48"/>
    <d v="1996-10-22T00:00:00"/>
  </r>
  <r>
    <n v="10336"/>
    <x v="0"/>
    <n v="285.11999952793121"/>
    <n v="18"/>
    <d v="1996-10-23T00:00:00"/>
  </r>
  <r>
    <n v="10336"/>
    <x v="1"/>
    <n v="285.11999952793121"/>
    <n v="18"/>
    <d v="1996-10-23T00:00:00"/>
  </r>
  <r>
    <n v="10336"/>
    <x v="2"/>
    <n v="285.11999952793121"/>
    <n v="18"/>
    <d v="1996-10-23T00:00:00"/>
  </r>
  <r>
    <n v="10336"/>
    <x v="3"/>
    <n v="285.11999952793121"/>
    <n v="18"/>
    <d v="1996-10-23T00:00:00"/>
  </r>
  <r>
    <n v="10336"/>
    <x v="4"/>
    <n v="285.11999952793121"/>
    <n v="18"/>
    <d v="1996-10-23T00:00:00"/>
  </r>
  <r>
    <n v="10336"/>
    <x v="5"/>
    <n v="285.11999952793121"/>
    <n v="18"/>
    <d v="1996-10-23T00:00:00"/>
  </r>
  <r>
    <n v="10336"/>
    <x v="6"/>
    <n v="285.11999952793121"/>
    <n v="18"/>
    <d v="1996-10-23T00:00:00"/>
  </r>
  <r>
    <n v="10336"/>
    <x v="7"/>
    <n v="285.11999952793121"/>
    <n v="18"/>
    <d v="1996-10-23T00:00:00"/>
  </r>
  <r>
    <n v="10337"/>
    <x v="0"/>
    <n v="288"/>
    <n v="40"/>
    <d v="1996-10-24T00:00:00"/>
  </r>
  <r>
    <n v="10337"/>
    <x v="1"/>
    <n v="288"/>
    <n v="40"/>
    <d v="1996-10-24T00:00:00"/>
  </r>
  <r>
    <n v="10337"/>
    <x v="2"/>
    <n v="288"/>
    <n v="40"/>
    <d v="1996-10-24T00:00:00"/>
  </r>
  <r>
    <n v="10337"/>
    <x v="3"/>
    <n v="288"/>
    <n v="40"/>
    <d v="1996-10-24T00:00:00"/>
  </r>
  <r>
    <n v="10337"/>
    <x v="4"/>
    <n v="288"/>
    <n v="40"/>
    <d v="1996-10-24T00:00:00"/>
  </r>
  <r>
    <n v="10337"/>
    <x v="5"/>
    <n v="288"/>
    <n v="40"/>
    <d v="1996-10-24T00:00:00"/>
  </r>
  <r>
    <n v="10337"/>
    <x v="6"/>
    <n v="288"/>
    <n v="40"/>
    <d v="1996-10-24T00:00:00"/>
  </r>
  <r>
    <n v="10337"/>
    <x v="7"/>
    <n v="288"/>
    <n v="40"/>
    <d v="1996-10-24T00:00:00"/>
  </r>
  <r>
    <n v="10337"/>
    <x v="0"/>
    <n v="597.6"/>
    <n v="24"/>
    <d v="1996-10-24T00:00:00"/>
  </r>
  <r>
    <n v="10337"/>
    <x v="1"/>
    <n v="597.6"/>
    <n v="24"/>
    <d v="1996-10-24T00:00:00"/>
  </r>
  <r>
    <n v="10337"/>
    <x v="2"/>
    <n v="597.6"/>
    <n v="24"/>
    <d v="1996-10-24T00:00:00"/>
  </r>
  <r>
    <n v="10337"/>
    <x v="3"/>
    <n v="597.6"/>
    <n v="24"/>
    <d v="1996-10-24T00:00:00"/>
  </r>
  <r>
    <n v="10337"/>
    <x v="4"/>
    <n v="597.6"/>
    <n v="24"/>
    <d v="1996-10-24T00:00:00"/>
  </r>
  <r>
    <n v="10337"/>
    <x v="5"/>
    <n v="597.6"/>
    <n v="24"/>
    <d v="1996-10-24T00:00:00"/>
  </r>
  <r>
    <n v="10337"/>
    <x v="6"/>
    <n v="597.6"/>
    <n v="24"/>
    <d v="1996-10-24T00:00:00"/>
  </r>
  <r>
    <n v="10337"/>
    <x v="7"/>
    <n v="597.6"/>
    <n v="24"/>
    <d v="1996-10-24T00:00:00"/>
  </r>
  <r>
    <n v="10337"/>
    <x v="0"/>
    <n v="304"/>
    <n v="20"/>
    <d v="1996-10-24T00:00:00"/>
  </r>
  <r>
    <n v="10337"/>
    <x v="1"/>
    <n v="304"/>
    <n v="20"/>
    <d v="1996-10-24T00:00:00"/>
  </r>
  <r>
    <n v="10337"/>
    <x v="2"/>
    <n v="304"/>
    <n v="20"/>
    <d v="1996-10-24T00:00:00"/>
  </r>
  <r>
    <n v="10337"/>
    <x v="3"/>
    <n v="304"/>
    <n v="20"/>
    <d v="1996-10-24T00:00:00"/>
  </r>
  <r>
    <n v="10337"/>
    <x v="4"/>
    <n v="304"/>
    <n v="20"/>
    <d v="1996-10-24T00:00:00"/>
  </r>
  <r>
    <n v="10337"/>
    <x v="5"/>
    <n v="304"/>
    <n v="20"/>
    <d v="1996-10-24T00:00:00"/>
  </r>
  <r>
    <n v="10337"/>
    <x v="6"/>
    <n v="304"/>
    <n v="20"/>
    <d v="1996-10-24T00:00:00"/>
  </r>
  <r>
    <n v="10337"/>
    <x v="7"/>
    <n v="304"/>
    <n v="20"/>
    <d v="1996-10-24T00:00:00"/>
  </r>
  <r>
    <n v="10337"/>
    <x v="0"/>
    <n v="582.4"/>
    <n v="28"/>
    <d v="1996-10-24T00:00:00"/>
  </r>
  <r>
    <n v="10337"/>
    <x v="1"/>
    <n v="582.4"/>
    <n v="28"/>
    <d v="1996-10-24T00:00:00"/>
  </r>
  <r>
    <n v="10337"/>
    <x v="2"/>
    <n v="582.4"/>
    <n v="28"/>
    <d v="1996-10-24T00:00:00"/>
  </r>
  <r>
    <n v="10337"/>
    <x v="3"/>
    <n v="582.4"/>
    <n v="28"/>
    <d v="1996-10-24T00:00:00"/>
  </r>
  <r>
    <n v="10337"/>
    <x v="4"/>
    <n v="582.4"/>
    <n v="28"/>
    <d v="1996-10-24T00:00:00"/>
  </r>
  <r>
    <n v="10337"/>
    <x v="5"/>
    <n v="582.4"/>
    <n v="28"/>
    <d v="1996-10-24T00:00:00"/>
  </r>
  <r>
    <n v="10337"/>
    <x v="6"/>
    <n v="582.4"/>
    <n v="28"/>
    <d v="1996-10-24T00:00:00"/>
  </r>
  <r>
    <n v="10337"/>
    <x v="7"/>
    <n v="582.4"/>
    <n v="28"/>
    <d v="1996-10-24T00:00:00"/>
  </r>
  <r>
    <n v="10337"/>
    <x v="0"/>
    <n v="695"/>
    <n v="25"/>
    <d v="1996-10-24T00:00:00"/>
  </r>
  <r>
    <n v="10337"/>
    <x v="1"/>
    <n v="695"/>
    <n v="25"/>
    <d v="1996-10-24T00:00:00"/>
  </r>
  <r>
    <n v="10337"/>
    <x v="2"/>
    <n v="695"/>
    <n v="25"/>
    <d v="1996-10-24T00:00:00"/>
  </r>
  <r>
    <n v="10337"/>
    <x v="3"/>
    <n v="695"/>
    <n v="25"/>
    <d v="1996-10-24T00:00:00"/>
  </r>
  <r>
    <n v="10337"/>
    <x v="4"/>
    <n v="695"/>
    <n v="25"/>
    <d v="1996-10-24T00:00:00"/>
  </r>
  <r>
    <n v="10337"/>
    <x v="5"/>
    <n v="695"/>
    <n v="25"/>
    <d v="1996-10-24T00:00:00"/>
  </r>
  <r>
    <n v="10337"/>
    <x v="6"/>
    <n v="695"/>
    <n v="25"/>
    <d v="1996-10-24T00:00:00"/>
  </r>
  <r>
    <n v="10337"/>
    <x v="7"/>
    <n v="695"/>
    <n v="25"/>
    <d v="1996-10-24T00:00:00"/>
  </r>
  <r>
    <n v="10338"/>
    <x v="0"/>
    <n v="624"/>
    <n v="20"/>
    <d v="1996-10-25T00:00:00"/>
  </r>
  <r>
    <n v="10338"/>
    <x v="1"/>
    <n v="624"/>
    <n v="20"/>
    <d v="1996-10-25T00:00:00"/>
  </r>
  <r>
    <n v="10338"/>
    <x v="2"/>
    <n v="624"/>
    <n v="20"/>
    <d v="1996-10-25T00:00:00"/>
  </r>
  <r>
    <n v="10338"/>
    <x v="3"/>
    <n v="624"/>
    <n v="20"/>
    <d v="1996-10-25T00:00:00"/>
  </r>
  <r>
    <n v="10338"/>
    <x v="4"/>
    <n v="624"/>
    <n v="20"/>
    <d v="1996-10-25T00:00:00"/>
  </r>
  <r>
    <n v="10338"/>
    <x v="5"/>
    <n v="624"/>
    <n v="20"/>
    <d v="1996-10-25T00:00:00"/>
  </r>
  <r>
    <n v="10338"/>
    <x v="6"/>
    <n v="624"/>
    <n v="20"/>
    <d v="1996-10-25T00:00:00"/>
  </r>
  <r>
    <n v="10338"/>
    <x v="7"/>
    <n v="624"/>
    <n v="20"/>
    <d v="1996-10-25T00:00:00"/>
  </r>
  <r>
    <n v="10338"/>
    <x v="0"/>
    <n v="310.5"/>
    <n v="15"/>
    <d v="1996-10-25T00:00:00"/>
  </r>
  <r>
    <n v="10338"/>
    <x v="1"/>
    <n v="310.5"/>
    <n v="15"/>
    <d v="1996-10-25T00:00:00"/>
  </r>
  <r>
    <n v="10338"/>
    <x v="2"/>
    <n v="310.5"/>
    <n v="15"/>
    <d v="1996-10-25T00:00:00"/>
  </r>
  <r>
    <n v="10338"/>
    <x v="3"/>
    <n v="310.5"/>
    <n v="15"/>
    <d v="1996-10-25T00:00:00"/>
  </r>
  <r>
    <n v="10338"/>
    <x v="4"/>
    <n v="310.5"/>
    <n v="15"/>
    <d v="1996-10-25T00:00:00"/>
  </r>
  <r>
    <n v="10338"/>
    <x v="5"/>
    <n v="310.5"/>
    <n v="15"/>
    <d v="1996-10-25T00:00:00"/>
  </r>
  <r>
    <n v="10338"/>
    <x v="6"/>
    <n v="310.5"/>
    <n v="15"/>
    <d v="1996-10-25T00:00:00"/>
  </r>
  <r>
    <n v="10338"/>
    <x v="7"/>
    <n v="310.5"/>
    <n v="15"/>
    <d v="1996-10-25T00:00:00"/>
  </r>
  <r>
    <n v="10339"/>
    <x v="0"/>
    <n v="176"/>
    <n v="10"/>
    <d v="1996-10-28T00:00:00"/>
  </r>
  <r>
    <n v="10339"/>
    <x v="1"/>
    <n v="176"/>
    <n v="10"/>
    <d v="1996-10-28T00:00:00"/>
  </r>
  <r>
    <n v="10339"/>
    <x v="2"/>
    <n v="176"/>
    <n v="10"/>
    <d v="1996-10-28T00:00:00"/>
  </r>
  <r>
    <n v="10339"/>
    <x v="3"/>
    <n v="176"/>
    <n v="10"/>
    <d v="1996-10-28T00:00:00"/>
  </r>
  <r>
    <n v="10339"/>
    <x v="4"/>
    <n v="176"/>
    <n v="10"/>
    <d v="1996-10-28T00:00:00"/>
  </r>
  <r>
    <n v="10339"/>
    <x v="5"/>
    <n v="176"/>
    <n v="10"/>
    <d v="1996-10-28T00:00:00"/>
  </r>
  <r>
    <n v="10339"/>
    <x v="6"/>
    <n v="176"/>
    <n v="10"/>
    <d v="1996-10-28T00:00:00"/>
  </r>
  <r>
    <n v="10339"/>
    <x v="7"/>
    <n v="176"/>
    <n v="10"/>
    <d v="1996-10-28T00:00:00"/>
  </r>
  <r>
    <n v="10339"/>
    <x v="0"/>
    <n v="2074.7999983727932"/>
    <n v="70"/>
    <d v="1996-10-28T00:00:00"/>
  </r>
  <r>
    <n v="10339"/>
    <x v="1"/>
    <n v="2074.7999983727932"/>
    <n v="70"/>
    <d v="1996-10-28T00:00:00"/>
  </r>
  <r>
    <n v="10339"/>
    <x v="2"/>
    <n v="2074.7999983727932"/>
    <n v="70"/>
    <d v="1996-10-28T00:00:00"/>
  </r>
  <r>
    <n v="10339"/>
    <x v="3"/>
    <n v="2074.7999983727932"/>
    <n v="70"/>
    <d v="1996-10-28T00:00:00"/>
  </r>
  <r>
    <n v="10339"/>
    <x v="4"/>
    <n v="2074.7999983727932"/>
    <n v="70"/>
    <d v="1996-10-28T00:00:00"/>
  </r>
  <r>
    <n v="10339"/>
    <x v="5"/>
    <n v="2074.7999983727932"/>
    <n v="70"/>
    <d v="1996-10-28T00:00:00"/>
  </r>
  <r>
    <n v="10339"/>
    <x v="6"/>
    <n v="2074.7999983727932"/>
    <n v="70"/>
    <d v="1996-10-28T00:00:00"/>
  </r>
  <r>
    <n v="10339"/>
    <x v="7"/>
    <n v="2074.7999983727932"/>
    <n v="70"/>
    <d v="1996-10-28T00:00:00"/>
  </r>
  <r>
    <n v="10339"/>
    <x v="0"/>
    <n v="1103.2"/>
    <n v="28"/>
    <d v="1996-10-28T00:00:00"/>
  </r>
  <r>
    <n v="10339"/>
    <x v="1"/>
    <n v="1103.2"/>
    <n v="28"/>
    <d v="1996-10-28T00:00:00"/>
  </r>
  <r>
    <n v="10339"/>
    <x v="2"/>
    <n v="1103.2"/>
    <n v="28"/>
    <d v="1996-10-28T00:00:00"/>
  </r>
  <r>
    <n v="10339"/>
    <x v="3"/>
    <n v="1103.2"/>
    <n v="28"/>
    <d v="1996-10-28T00:00:00"/>
  </r>
  <r>
    <n v="10339"/>
    <x v="4"/>
    <n v="1103.2"/>
    <n v="28"/>
    <d v="1996-10-28T00:00:00"/>
  </r>
  <r>
    <n v="10339"/>
    <x v="5"/>
    <n v="1103.2"/>
    <n v="28"/>
    <d v="1996-10-28T00:00:00"/>
  </r>
  <r>
    <n v="10339"/>
    <x v="6"/>
    <n v="1103.2"/>
    <n v="28"/>
    <d v="1996-10-28T00:00:00"/>
  </r>
  <r>
    <n v="10339"/>
    <x v="7"/>
    <n v="1103.2"/>
    <n v="28"/>
    <d v="1996-10-28T00:00:00"/>
  </r>
  <r>
    <n v="10340"/>
    <x v="0"/>
    <n v="949.99999925494194"/>
    <n v="20"/>
    <d v="1996-10-29T00:00:00"/>
  </r>
  <r>
    <n v="10340"/>
    <x v="1"/>
    <n v="949.99999925494194"/>
    <n v="20"/>
    <d v="1996-10-29T00:00:00"/>
  </r>
  <r>
    <n v="10340"/>
    <x v="2"/>
    <n v="949.99999925494194"/>
    <n v="20"/>
    <d v="1996-10-29T00:00:00"/>
  </r>
  <r>
    <n v="10340"/>
    <x v="3"/>
    <n v="949.99999925494194"/>
    <n v="20"/>
    <d v="1996-10-29T00:00:00"/>
  </r>
  <r>
    <n v="10340"/>
    <x v="4"/>
    <n v="949.99999925494194"/>
    <n v="20"/>
    <d v="1996-10-29T00:00:00"/>
  </r>
  <r>
    <n v="10340"/>
    <x v="5"/>
    <n v="949.99999925494194"/>
    <n v="20"/>
    <d v="1996-10-29T00:00:00"/>
  </r>
  <r>
    <n v="10340"/>
    <x v="6"/>
    <n v="949.99999925494194"/>
    <n v="20"/>
    <d v="1996-10-29T00:00:00"/>
  </r>
  <r>
    <n v="10340"/>
    <x v="7"/>
    <n v="949.99999925494194"/>
    <n v="20"/>
    <d v="1996-10-29T00:00:00"/>
  </r>
  <r>
    <n v="10340"/>
    <x v="0"/>
    <n v="87.779999931156638"/>
    <n v="12"/>
    <d v="1996-10-29T00:00:00"/>
  </r>
  <r>
    <n v="10340"/>
    <x v="1"/>
    <n v="87.779999931156638"/>
    <n v="12"/>
    <d v="1996-10-29T00:00:00"/>
  </r>
  <r>
    <n v="10340"/>
    <x v="2"/>
    <n v="87.779999931156638"/>
    <n v="12"/>
    <d v="1996-10-29T00:00:00"/>
  </r>
  <r>
    <n v="10340"/>
    <x v="3"/>
    <n v="87.779999931156638"/>
    <n v="12"/>
    <d v="1996-10-29T00:00:00"/>
  </r>
  <r>
    <n v="10340"/>
    <x v="4"/>
    <n v="87.779999931156638"/>
    <n v="12"/>
    <d v="1996-10-29T00:00:00"/>
  </r>
  <r>
    <n v="10340"/>
    <x v="5"/>
    <n v="87.779999931156638"/>
    <n v="12"/>
    <d v="1996-10-29T00:00:00"/>
  </r>
  <r>
    <n v="10340"/>
    <x v="6"/>
    <n v="87.779999931156638"/>
    <n v="12"/>
    <d v="1996-10-29T00:00:00"/>
  </r>
  <r>
    <n v="10340"/>
    <x v="7"/>
    <n v="87.779999931156638"/>
    <n v="12"/>
    <d v="1996-10-29T00:00:00"/>
  </r>
  <r>
    <n v="10340"/>
    <x v="0"/>
    <n v="1398.3999989032745"/>
    <n v="40"/>
    <d v="1996-10-29T00:00:00"/>
  </r>
  <r>
    <n v="10340"/>
    <x v="1"/>
    <n v="1398.3999989032745"/>
    <n v="40"/>
    <d v="1996-10-29T00:00:00"/>
  </r>
  <r>
    <n v="10340"/>
    <x v="2"/>
    <n v="1398.3999989032745"/>
    <n v="40"/>
    <d v="1996-10-29T00:00:00"/>
  </r>
  <r>
    <n v="10340"/>
    <x v="3"/>
    <n v="1398.3999989032745"/>
    <n v="40"/>
    <d v="1996-10-29T00:00:00"/>
  </r>
  <r>
    <n v="10340"/>
    <x v="4"/>
    <n v="1398.3999989032745"/>
    <n v="40"/>
    <d v="1996-10-29T00:00:00"/>
  </r>
  <r>
    <n v="10340"/>
    <x v="5"/>
    <n v="1398.3999989032745"/>
    <n v="40"/>
    <d v="1996-10-29T00:00:00"/>
  </r>
  <r>
    <n v="10340"/>
    <x v="6"/>
    <n v="1398.3999989032745"/>
    <n v="40"/>
    <d v="1996-10-29T00:00:00"/>
  </r>
  <r>
    <n v="10340"/>
    <x v="7"/>
    <n v="1398.3999989032745"/>
    <n v="40"/>
    <d v="1996-10-29T00:00:00"/>
  </r>
  <r>
    <n v="10341"/>
    <x v="0"/>
    <n v="16"/>
    <n v="8"/>
    <d v="1996-10-29T00:00:00"/>
  </r>
  <r>
    <n v="10341"/>
    <x v="1"/>
    <n v="16"/>
    <n v="8"/>
    <d v="1996-10-29T00:00:00"/>
  </r>
  <r>
    <n v="10341"/>
    <x v="2"/>
    <n v="16"/>
    <n v="8"/>
    <d v="1996-10-29T00:00:00"/>
  </r>
  <r>
    <n v="10341"/>
    <x v="3"/>
    <n v="16"/>
    <n v="8"/>
    <d v="1996-10-29T00:00:00"/>
  </r>
  <r>
    <n v="10341"/>
    <x v="4"/>
    <n v="16"/>
    <n v="8"/>
    <d v="1996-10-29T00:00:00"/>
  </r>
  <r>
    <n v="10341"/>
    <x v="5"/>
    <n v="16"/>
    <n v="8"/>
    <d v="1996-10-29T00:00:00"/>
  </r>
  <r>
    <n v="10341"/>
    <x v="6"/>
    <n v="16"/>
    <n v="8"/>
    <d v="1996-10-29T00:00:00"/>
  </r>
  <r>
    <n v="10341"/>
    <x v="7"/>
    <n v="16"/>
    <n v="8"/>
    <d v="1996-10-29T00:00:00"/>
  </r>
  <r>
    <n v="10341"/>
    <x v="0"/>
    <n v="336.59999763965607"/>
    <n v="9"/>
    <d v="1996-10-29T00:00:00"/>
  </r>
  <r>
    <n v="10341"/>
    <x v="1"/>
    <n v="336.59999763965607"/>
    <n v="9"/>
    <d v="1996-10-29T00:00:00"/>
  </r>
  <r>
    <n v="10341"/>
    <x v="2"/>
    <n v="336.59999763965607"/>
    <n v="9"/>
    <d v="1996-10-29T00:00:00"/>
  </r>
  <r>
    <n v="10341"/>
    <x v="3"/>
    <n v="336.59999763965607"/>
    <n v="9"/>
    <d v="1996-10-29T00:00:00"/>
  </r>
  <r>
    <n v="10341"/>
    <x v="4"/>
    <n v="336.59999763965607"/>
    <n v="9"/>
    <d v="1996-10-29T00:00:00"/>
  </r>
  <r>
    <n v="10341"/>
    <x v="5"/>
    <n v="336.59999763965607"/>
    <n v="9"/>
    <d v="1996-10-29T00:00:00"/>
  </r>
  <r>
    <n v="10341"/>
    <x v="6"/>
    <n v="336.59999763965607"/>
    <n v="9"/>
    <d v="1996-10-29T00:00:00"/>
  </r>
  <r>
    <n v="10341"/>
    <x v="7"/>
    <n v="336.59999763965607"/>
    <n v="9"/>
    <d v="1996-10-29T00:00:00"/>
  </r>
  <r>
    <n v="10342"/>
    <x v="0"/>
    <n v="291.83999891281127"/>
    <n v="24"/>
    <d v="1996-10-30T00:00:00"/>
  </r>
  <r>
    <n v="10342"/>
    <x v="1"/>
    <n v="291.83999891281127"/>
    <n v="24"/>
    <d v="1996-10-30T00:00:00"/>
  </r>
  <r>
    <n v="10342"/>
    <x v="2"/>
    <n v="291.83999891281127"/>
    <n v="24"/>
    <d v="1996-10-30T00:00:00"/>
  </r>
  <r>
    <n v="10342"/>
    <x v="3"/>
    <n v="291.83999891281127"/>
    <n v="24"/>
    <d v="1996-10-30T00:00:00"/>
  </r>
  <r>
    <n v="10342"/>
    <x v="4"/>
    <n v="291.83999891281127"/>
    <n v="24"/>
    <d v="1996-10-30T00:00:00"/>
  </r>
  <r>
    <n v="10342"/>
    <x v="5"/>
    <n v="291.83999891281127"/>
    <n v="24"/>
    <d v="1996-10-30T00:00:00"/>
  </r>
  <r>
    <n v="10342"/>
    <x v="6"/>
    <n v="291.83999891281127"/>
    <n v="24"/>
    <d v="1996-10-30T00:00:00"/>
  </r>
  <r>
    <n v="10342"/>
    <x v="7"/>
    <n v="291.83999891281127"/>
    <n v="24"/>
    <d v="1996-10-30T00:00:00"/>
  </r>
  <r>
    <n v="10342"/>
    <x v="0"/>
    <n v="447.99999833106995"/>
    <n v="56"/>
    <d v="1996-10-30T00:00:00"/>
  </r>
  <r>
    <n v="10342"/>
    <x v="1"/>
    <n v="447.99999833106995"/>
    <n v="56"/>
    <d v="1996-10-30T00:00:00"/>
  </r>
  <r>
    <n v="10342"/>
    <x v="2"/>
    <n v="447.99999833106995"/>
    <n v="56"/>
    <d v="1996-10-30T00:00:00"/>
  </r>
  <r>
    <n v="10342"/>
    <x v="3"/>
    <n v="447.99999833106995"/>
    <n v="56"/>
    <d v="1996-10-30T00:00:00"/>
  </r>
  <r>
    <n v="10342"/>
    <x v="4"/>
    <n v="447.99999833106995"/>
    <n v="56"/>
    <d v="1996-10-30T00:00:00"/>
  </r>
  <r>
    <n v="10342"/>
    <x v="5"/>
    <n v="447.99999833106995"/>
    <n v="56"/>
    <d v="1996-10-30T00:00:00"/>
  </r>
  <r>
    <n v="10342"/>
    <x v="6"/>
    <n v="447.99999833106995"/>
    <n v="56"/>
    <d v="1996-10-30T00:00:00"/>
  </r>
  <r>
    <n v="10342"/>
    <x v="7"/>
    <n v="447.99999833106995"/>
    <n v="56"/>
    <d v="1996-10-30T00:00:00"/>
  </r>
  <r>
    <n v="10342"/>
    <x v="0"/>
    <n v="486.3999981880188"/>
    <n v="40"/>
    <d v="1996-10-30T00:00:00"/>
  </r>
  <r>
    <n v="10342"/>
    <x v="1"/>
    <n v="486.3999981880188"/>
    <n v="40"/>
    <d v="1996-10-30T00:00:00"/>
  </r>
  <r>
    <n v="10342"/>
    <x v="2"/>
    <n v="486.3999981880188"/>
    <n v="40"/>
    <d v="1996-10-30T00:00:00"/>
  </r>
  <r>
    <n v="10342"/>
    <x v="3"/>
    <n v="486.3999981880188"/>
    <n v="40"/>
    <d v="1996-10-30T00:00:00"/>
  </r>
  <r>
    <n v="10342"/>
    <x v="4"/>
    <n v="486.3999981880188"/>
    <n v="40"/>
    <d v="1996-10-30T00:00:00"/>
  </r>
  <r>
    <n v="10342"/>
    <x v="5"/>
    <n v="486.3999981880188"/>
    <n v="40"/>
    <d v="1996-10-30T00:00:00"/>
  </r>
  <r>
    <n v="10342"/>
    <x v="6"/>
    <n v="486.3999981880188"/>
    <n v="40"/>
    <d v="1996-10-30T00:00:00"/>
  </r>
  <r>
    <n v="10342"/>
    <x v="7"/>
    <n v="486.3999981880188"/>
    <n v="40"/>
    <d v="1996-10-30T00:00:00"/>
  </r>
  <r>
    <n v="10342"/>
    <x v="0"/>
    <n v="614.39999771118164"/>
    <n v="40"/>
    <d v="1996-10-30T00:00:00"/>
  </r>
  <r>
    <n v="10342"/>
    <x v="1"/>
    <n v="614.39999771118164"/>
    <n v="40"/>
    <d v="1996-10-30T00:00:00"/>
  </r>
  <r>
    <n v="10342"/>
    <x v="2"/>
    <n v="614.39999771118164"/>
    <n v="40"/>
    <d v="1996-10-30T00:00:00"/>
  </r>
  <r>
    <n v="10342"/>
    <x v="3"/>
    <n v="614.39999771118164"/>
    <n v="40"/>
    <d v="1996-10-30T00:00:00"/>
  </r>
  <r>
    <n v="10342"/>
    <x v="4"/>
    <n v="614.39999771118164"/>
    <n v="40"/>
    <d v="1996-10-30T00:00:00"/>
  </r>
  <r>
    <n v="10342"/>
    <x v="5"/>
    <n v="614.39999771118164"/>
    <n v="40"/>
    <d v="1996-10-30T00:00:00"/>
  </r>
  <r>
    <n v="10342"/>
    <x v="6"/>
    <n v="614.39999771118164"/>
    <n v="40"/>
    <d v="1996-10-30T00:00:00"/>
  </r>
  <r>
    <n v="10342"/>
    <x v="7"/>
    <n v="614.39999771118164"/>
    <n v="40"/>
    <d v="1996-10-30T00:00:00"/>
  </r>
  <r>
    <n v="10343"/>
    <x v="0"/>
    <n v="1330"/>
    <n v="50"/>
    <d v="1996-10-31T00:00:00"/>
  </r>
  <r>
    <n v="10343"/>
    <x v="1"/>
    <n v="1330"/>
    <n v="50"/>
    <d v="1996-10-31T00:00:00"/>
  </r>
  <r>
    <n v="10343"/>
    <x v="2"/>
    <n v="1330"/>
    <n v="50"/>
    <d v="1996-10-31T00:00:00"/>
  </r>
  <r>
    <n v="10343"/>
    <x v="3"/>
    <n v="1330"/>
    <n v="50"/>
    <d v="1996-10-31T00:00:00"/>
  </r>
  <r>
    <n v="10343"/>
    <x v="4"/>
    <n v="1330"/>
    <n v="50"/>
    <d v="1996-10-31T00:00:00"/>
  </r>
  <r>
    <n v="10343"/>
    <x v="5"/>
    <n v="1330"/>
    <n v="50"/>
    <d v="1996-10-31T00:00:00"/>
  </r>
  <r>
    <n v="10343"/>
    <x v="6"/>
    <n v="1330"/>
    <n v="50"/>
    <d v="1996-10-31T00:00:00"/>
  </r>
  <r>
    <n v="10343"/>
    <x v="7"/>
    <n v="1330"/>
    <n v="50"/>
    <d v="1996-10-31T00:00:00"/>
  </r>
  <r>
    <n v="10343"/>
    <x v="0"/>
    <n v="37.999999970197678"/>
    <n v="4"/>
    <d v="1996-10-31T00:00:00"/>
  </r>
  <r>
    <n v="10343"/>
    <x v="1"/>
    <n v="37.999999970197678"/>
    <n v="4"/>
    <d v="1996-10-31T00:00:00"/>
  </r>
  <r>
    <n v="10343"/>
    <x v="2"/>
    <n v="37.999999970197678"/>
    <n v="4"/>
    <d v="1996-10-31T00:00:00"/>
  </r>
  <r>
    <n v="10343"/>
    <x v="3"/>
    <n v="37.999999970197678"/>
    <n v="4"/>
    <d v="1996-10-31T00:00:00"/>
  </r>
  <r>
    <n v="10343"/>
    <x v="4"/>
    <n v="37.999999970197678"/>
    <n v="4"/>
    <d v="1996-10-31T00:00:00"/>
  </r>
  <r>
    <n v="10343"/>
    <x v="5"/>
    <n v="37.999999970197678"/>
    <n v="4"/>
    <d v="1996-10-31T00:00:00"/>
  </r>
  <r>
    <n v="10343"/>
    <x v="6"/>
    <n v="37.999999970197678"/>
    <n v="4"/>
    <d v="1996-10-31T00:00:00"/>
  </r>
  <r>
    <n v="10343"/>
    <x v="7"/>
    <n v="37.999999970197678"/>
    <n v="4"/>
    <d v="1996-10-31T00:00:00"/>
  </r>
  <r>
    <n v="10343"/>
    <x v="0"/>
    <n v="216"/>
    <n v="15"/>
    <d v="1996-10-31T00:00:00"/>
  </r>
  <r>
    <n v="10343"/>
    <x v="1"/>
    <n v="216"/>
    <n v="15"/>
    <d v="1996-10-31T00:00:00"/>
  </r>
  <r>
    <n v="10343"/>
    <x v="2"/>
    <n v="216"/>
    <n v="15"/>
    <d v="1996-10-31T00:00:00"/>
  </r>
  <r>
    <n v="10343"/>
    <x v="3"/>
    <n v="216"/>
    <n v="15"/>
    <d v="1996-10-31T00:00:00"/>
  </r>
  <r>
    <n v="10343"/>
    <x v="4"/>
    <n v="216"/>
    <n v="15"/>
    <d v="1996-10-31T00:00:00"/>
  </r>
  <r>
    <n v="10343"/>
    <x v="5"/>
    <n v="216"/>
    <n v="15"/>
    <d v="1996-10-31T00:00:00"/>
  </r>
  <r>
    <n v="10343"/>
    <x v="6"/>
    <n v="216"/>
    <n v="15"/>
    <d v="1996-10-31T00:00:00"/>
  </r>
  <r>
    <n v="10343"/>
    <x v="7"/>
    <n v="216"/>
    <n v="15"/>
    <d v="1996-10-31T00:00:00"/>
  </r>
  <r>
    <n v="10344"/>
    <x v="0"/>
    <n v="616"/>
    <n v="35"/>
    <d v="1996-11-01T00:00:00"/>
  </r>
  <r>
    <n v="10344"/>
    <x v="1"/>
    <n v="616"/>
    <n v="35"/>
    <d v="1996-11-01T00:00:00"/>
  </r>
  <r>
    <n v="10344"/>
    <x v="2"/>
    <n v="616"/>
    <n v="35"/>
    <d v="1996-11-01T00:00:00"/>
  </r>
  <r>
    <n v="10344"/>
    <x v="3"/>
    <n v="616"/>
    <n v="35"/>
    <d v="1996-11-01T00:00:00"/>
  </r>
  <r>
    <n v="10344"/>
    <x v="4"/>
    <n v="616"/>
    <n v="35"/>
    <d v="1996-11-01T00:00:00"/>
  </r>
  <r>
    <n v="10344"/>
    <x v="5"/>
    <n v="616"/>
    <n v="35"/>
    <d v="1996-11-01T00:00:00"/>
  </r>
  <r>
    <n v="10344"/>
    <x v="6"/>
    <n v="616"/>
    <n v="35"/>
    <d v="1996-11-01T00:00:00"/>
  </r>
  <r>
    <n v="10344"/>
    <x v="7"/>
    <n v="616"/>
    <n v="35"/>
    <d v="1996-11-01T00:00:00"/>
  </r>
  <r>
    <n v="10344"/>
    <x v="0"/>
    <n v="1680"/>
    <n v="70"/>
    <d v="1996-11-01T00:00:00"/>
  </r>
  <r>
    <n v="10344"/>
    <x v="1"/>
    <n v="1680"/>
    <n v="70"/>
    <d v="1996-11-01T00:00:00"/>
  </r>
  <r>
    <n v="10344"/>
    <x v="2"/>
    <n v="1680"/>
    <n v="70"/>
    <d v="1996-11-01T00:00:00"/>
  </r>
  <r>
    <n v="10344"/>
    <x v="3"/>
    <n v="1680"/>
    <n v="70"/>
    <d v="1996-11-01T00:00:00"/>
  </r>
  <r>
    <n v="10344"/>
    <x v="4"/>
    <n v="1680"/>
    <n v="70"/>
    <d v="1996-11-01T00:00:00"/>
  </r>
  <r>
    <n v="10344"/>
    <x v="5"/>
    <n v="1680"/>
    <n v="70"/>
    <d v="1996-11-01T00:00:00"/>
  </r>
  <r>
    <n v="10344"/>
    <x v="6"/>
    <n v="1680"/>
    <n v="70"/>
    <d v="1996-11-01T00:00:00"/>
  </r>
  <r>
    <n v="10344"/>
    <x v="7"/>
    <n v="1680"/>
    <n v="70"/>
    <d v="1996-11-01T00:00:00"/>
  </r>
  <r>
    <n v="10345"/>
    <x v="0"/>
    <n v="2240"/>
    <n v="70"/>
    <d v="1996-11-04T00:00:00"/>
  </r>
  <r>
    <n v="10345"/>
    <x v="1"/>
    <n v="2240"/>
    <n v="70"/>
    <d v="1996-11-04T00:00:00"/>
  </r>
  <r>
    <n v="10345"/>
    <x v="2"/>
    <n v="2240"/>
    <n v="70"/>
    <d v="1996-11-04T00:00:00"/>
  </r>
  <r>
    <n v="10345"/>
    <x v="3"/>
    <n v="2240"/>
    <n v="70"/>
    <d v="1996-11-04T00:00:00"/>
  </r>
  <r>
    <n v="10345"/>
    <x v="4"/>
    <n v="2240"/>
    <n v="70"/>
    <d v="1996-11-04T00:00:00"/>
  </r>
  <r>
    <n v="10345"/>
    <x v="5"/>
    <n v="2240"/>
    <n v="70"/>
    <d v="1996-11-04T00:00:00"/>
  </r>
  <r>
    <n v="10345"/>
    <x v="6"/>
    <n v="2240"/>
    <n v="70"/>
    <d v="1996-11-04T00:00:00"/>
  </r>
  <r>
    <n v="10345"/>
    <x v="7"/>
    <n v="2240"/>
    <n v="70"/>
    <d v="1996-11-04T00:00:00"/>
  </r>
  <r>
    <n v="10345"/>
    <x v="0"/>
    <n v="584"/>
    <n v="80"/>
    <d v="1996-11-04T00:00:00"/>
  </r>
  <r>
    <n v="10345"/>
    <x v="1"/>
    <n v="584"/>
    <n v="80"/>
    <d v="1996-11-04T00:00:00"/>
  </r>
  <r>
    <n v="10345"/>
    <x v="2"/>
    <n v="584"/>
    <n v="80"/>
    <d v="1996-11-04T00:00:00"/>
  </r>
  <r>
    <n v="10345"/>
    <x v="3"/>
    <n v="584"/>
    <n v="80"/>
    <d v="1996-11-04T00:00:00"/>
  </r>
  <r>
    <n v="10345"/>
    <x v="4"/>
    <n v="584"/>
    <n v="80"/>
    <d v="1996-11-04T00:00:00"/>
  </r>
  <r>
    <n v="10345"/>
    <x v="5"/>
    <n v="584"/>
    <n v="80"/>
    <d v="1996-11-04T00:00:00"/>
  </r>
  <r>
    <n v="10345"/>
    <x v="6"/>
    <n v="584"/>
    <n v="80"/>
    <d v="1996-11-04T00:00:00"/>
  </r>
  <r>
    <n v="10345"/>
    <x v="7"/>
    <n v="584"/>
    <n v="80"/>
    <d v="1996-11-04T00:00:00"/>
  </r>
  <r>
    <n v="10345"/>
    <x v="0"/>
    <n v="100.8"/>
    <n v="9"/>
    <d v="1996-11-04T00:00:00"/>
  </r>
  <r>
    <n v="10345"/>
    <x v="1"/>
    <n v="100.8"/>
    <n v="9"/>
    <d v="1996-11-04T00:00:00"/>
  </r>
  <r>
    <n v="10345"/>
    <x v="2"/>
    <n v="100.8"/>
    <n v="9"/>
    <d v="1996-11-04T00:00:00"/>
  </r>
  <r>
    <n v="10345"/>
    <x v="3"/>
    <n v="100.8"/>
    <n v="9"/>
    <d v="1996-11-04T00:00:00"/>
  </r>
  <r>
    <n v="10345"/>
    <x v="4"/>
    <n v="100.8"/>
    <n v="9"/>
    <d v="1996-11-04T00:00:00"/>
  </r>
  <r>
    <n v="10345"/>
    <x v="5"/>
    <n v="100.8"/>
    <n v="9"/>
    <d v="1996-11-04T00:00:00"/>
  </r>
  <r>
    <n v="10345"/>
    <x v="6"/>
    <n v="100.8"/>
    <n v="9"/>
    <d v="1996-11-04T00:00:00"/>
  </r>
  <r>
    <n v="10345"/>
    <x v="7"/>
    <n v="100.8"/>
    <n v="9"/>
    <d v="1996-11-04T00:00:00"/>
  </r>
  <r>
    <n v="10346"/>
    <x v="0"/>
    <n v="1010.8799983263016"/>
    <n v="36"/>
    <d v="1996-11-05T00:00:00"/>
  </r>
  <r>
    <n v="10346"/>
    <x v="1"/>
    <n v="1010.8799983263016"/>
    <n v="36"/>
    <d v="1996-11-05T00:00:00"/>
  </r>
  <r>
    <n v="10346"/>
    <x v="2"/>
    <n v="1010.8799983263016"/>
    <n v="36"/>
    <d v="1996-11-05T00:00:00"/>
  </r>
  <r>
    <n v="10346"/>
    <x v="3"/>
    <n v="1010.8799983263016"/>
    <n v="36"/>
    <d v="1996-11-05T00:00:00"/>
  </r>
  <r>
    <n v="10346"/>
    <x v="4"/>
    <n v="1010.8799983263016"/>
    <n v="36"/>
    <d v="1996-11-05T00:00:00"/>
  </r>
  <r>
    <n v="10346"/>
    <x v="5"/>
    <n v="1010.8799983263016"/>
    <n v="36"/>
    <d v="1996-11-05T00:00:00"/>
  </r>
  <r>
    <n v="10346"/>
    <x v="6"/>
    <n v="1010.8799983263016"/>
    <n v="36"/>
    <d v="1996-11-05T00:00:00"/>
  </r>
  <r>
    <n v="10346"/>
    <x v="7"/>
    <n v="1010.8799983263016"/>
    <n v="36"/>
    <d v="1996-11-05T00:00:00"/>
  </r>
  <r>
    <n v="10346"/>
    <x v="0"/>
    <n v="608"/>
    <n v="20"/>
    <d v="1996-11-05T00:00:00"/>
  </r>
  <r>
    <n v="10346"/>
    <x v="1"/>
    <n v="608"/>
    <n v="20"/>
    <d v="1996-11-05T00:00:00"/>
  </r>
  <r>
    <n v="10346"/>
    <x v="2"/>
    <n v="608"/>
    <n v="20"/>
    <d v="1996-11-05T00:00:00"/>
  </r>
  <r>
    <n v="10346"/>
    <x v="3"/>
    <n v="608"/>
    <n v="20"/>
    <d v="1996-11-05T00:00:00"/>
  </r>
  <r>
    <n v="10346"/>
    <x v="4"/>
    <n v="608"/>
    <n v="20"/>
    <d v="1996-11-05T00:00:00"/>
  </r>
  <r>
    <n v="10346"/>
    <x v="5"/>
    <n v="608"/>
    <n v="20"/>
    <d v="1996-11-05T00:00:00"/>
  </r>
  <r>
    <n v="10346"/>
    <x v="6"/>
    <n v="608"/>
    <n v="20"/>
    <d v="1996-11-05T00:00:00"/>
  </r>
  <r>
    <n v="10346"/>
    <x v="7"/>
    <n v="608"/>
    <n v="20"/>
    <d v="1996-11-05T00:00:00"/>
  </r>
  <r>
    <n v="10347"/>
    <x v="0"/>
    <n v="112"/>
    <n v="10"/>
    <d v="1996-11-06T00:00:00"/>
  </r>
  <r>
    <n v="10347"/>
    <x v="1"/>
    <n v="112"/>
    <n v="10"/>
    <d v="1996-11-06T00:00:00"/>
  </r>
  <r>
    <n v="10347"/>
    <x v="2"/>
    <n v="112"/>
    <n v="10"/>
    <d v="1996-11-06T00:00:00"/>
  </r>
  <r>
    <n v="10347"/>
    <x v="3"/>
    <n v="112"/>
    <n v="10"/>
    <d v="1996-11-06T00:00:00"/>
  </r>
  <r>
    <n v="10347"/>
    <x v="4"/>
    <n v="112"/>
    <n v="10"/>
    <d v="1996-11-06T00:00:00"/>
  </r>
  <r>
    <n v="10347"/>
    <x v="5"/>
    <n v="112"/>
    <n v="10"/>
    <d v="1996-11-06T00:00:00"/>
  </r>
  <r>
    <n v="10347"/>
    <x v="6"/>
    <n v="112"/>
    <n v="10"/>
    <d v="1996-11-06T00:00:00"/>
  </r>
  <r>
    <n v="10347"/>
    <x v="7"/>
    <n v="112"/>
    <n v="10"/>
    <d v="1996-11-06T00:00:00"/>
  </r>
  <r>
    <n v="10347"/>
    <x v="0"/>
    <n v="611.99999570846558"/>
    <n v="50"/>
    <d v="1996-11-06T00:00:00"/>
  </r>
  <r>
    <n v="10347"/>
    <x v="1"/>
    <n v="611.99999570846558"/>
    <n v="50"/>
    <d v="1996-11-06T00:00:00"/>
  </r>
  <r>
    <n v="10347"/>
    <x v="2"/>
    <n v="611.99999570846558"/>
    <n v="50"/>
    <d v="1996-11-06T00:00:00"/>
  </r>
  <r>
    <n v="10347"/>
    <x v="3"/>
    <n v="611.99999570846558"/>
    <n v="50"/>
    <d v="1996-11-06T00:00:00"/>
  </r>
  <r>
    <n v="10347"/>
    <x v="4"/>
    <n v="611.99999570846558"/>
    <n v="50"/>
    <d v="1996-11-06T00:00:00"/>
  </r>
  <r>
    <n v="10347"/>
    <x v="5"/>
    <n v="611.99999570846558"/>
    <n v="50"/>
    <d v="1996-11-06T00:00:00"/>
  </r>
  <r>
    <n v="10347"/>
    <x v="6"/>
    <n v="611.99999570846558"/>
    <n v="50"/>
    <d v="1996-11-06T00:00:00"/>
  </r>
  <r>
    <n v="10347"/>
    <x v="7"/>
    <n v="611.99999570846558"/>
    <n v="50"/>
    <d v="1996-11-06T00:00:00"/>
  </r>
  <r>
    <n v="10347"/>
    <x v="0"/>
    <n v="58.8"/>
    <n v="4"/>
    <d v="1996-11-06T00:00:00"/>
  </r>
  <r>
    <n v="10347"/>
    <x v="1"/>
    <n v="58.8"/>
    <n v="4"/>
    <d v="1996-11-06T00:00:00"/>
  </r>
  <r>
    <n v="10347"/>
    <x v="2"/>
    <n v="58.8"/>
    <n v="4"/>
    <d v="1996-11-06T00:00:00"/>
  </r>
  <r>
    <n v="10347"/>
    <x v="3"/>
    <n v="58.8"/>
    <n v="4"/>
    <d v="1996-11-06T00:00:00"/>
  </r>
  <r>
    <n v="10347"/>
    <x v="4"/>
    <n v="58.8"/>
    <n v="4"/>
    <d v="1996-11-06T00:00:00"/>
  </r>
  <r>
    <n v="10347"/>
    <x v="5"/>
    <n v="58.8"/>
    <n v="4"/>
    <d v="1996-11-06T00:00:00"/>
  </r>
  <r>
    <n v="10347"/>
    <x v="6"/>
    <n v="58.8"/>
    <n v="4"/>
    <d v="1996-11-06T00:00:00"/>
  </r>
  <r>
    <n v="10347"/>
    <x v="7"/>
    <n v="58.8"/>
    <n v="4"/>
    <d v="1996-11-06T00:00:00"/>
  </r>
  <r>
    <n v="10347"/>
    <x v="0"/>
    <n v="31.619999778270724"/>
    <n v="6"/>
    <d v="1996-11-06T00:00:00"/>
  </r>
  <r>
    <n v="10347"/>
    <x v="1"/>
    <n v="31.619999778270724"/>
    <n v="6"/>
    <d v="1996-11-06T00:00:00"/>
  </r>
  <r>
    <n v="10347"/>
    <x v="2"/>
    <n v="31.619999778270724"/>
    <n v="6"/>
    <d v="1996-11-06T00:00:00"/>
  </r>
  <r>
    <n v="10347"/>
    <x v="3"/>
    <n v="31.619999778270724"/>
    <n v="6"/>
    <d v="1996-11-06T00:00:00"/>
  </r>
  <r>
    <n v="10347"/>
    <x v="4"/>
    <n v="31.619999778270724"/>
    <n v="6"/>
    <d v="1996-11-06T00:00:00"/>
  </r>
  <r>
    <n v="10347"/>
    <x v="5"/>
    <n v="31.619999778270724"/>
    <n v="6"/>
    <d v="1996-11-06T00:00:00"/>
  </r>
  <r>
    <n v="10347"/>
    <x v="6"/>
    <n v="31.619999778270724"/>
    <n v="6"/>
    <d v="1996-11-06T00:00:00"/>
  </r>
  <r>
    <n v="10347"/>
    <x v="7"/>
    <n v="31.619999778270724"/>
    <n v="6"/>
    <d v="1996-11-06T00:00:00"/>
  </r>
  <r>
    <n v="10348"/>
    <x v="0"/>
    <n v="183.59999871253967"/>
    <n v="15"/>
    <d v="1996-11-07T00:00:00"/>
  </r>
  <r>
    <n v="10348"/>
    <x v="1"/>
    <n v="183.59999871253967"/>
    <n v="15"/>
    <d v="1996-11-07T00:00:00"/>
  </r>
  <r>
    <n v="10348"/>
    <x v="2"/>
    <n v="183.59999871253967"/>
    <n v="15"/>
    <d v="1996-11-07T00:00:00"/>
  </r>
  <r>
    <n v="10348"/>
    <x v="3"/>
    <n v="183.59999871253967"/>
    <n v="15"/>
    <d v="1996-11-07T00:00:00"/>
  </r>
  <r>
    <n v="10348"/>
    <x v="4"/>
    <n v="183.59999871253967"/>
    <n v="15"/>
    <d v="1996-11-07T00:00:00"/>
  </r>
  <r>
    <n v="10348"/>
    <x v="5"/>
    <n v="183.59999871253967"/>
    <n v="15"/>
    <d v="1996-11-07T00:00:00"/>
  </r>
  <r>
    <n v="10348"/>
    <x v="6"/>
    <n v="183.59999871253967"/>
    <n v="15"/>
    <d v="1996-11-07T00:00:00"/>
  </r>
  <r>
    <n v="10348"/>
    <x v="7"/>
    <n v="183.59999871253967"/>
    <n v="15"/>
    <d v="1996-11-07T00:00:00"/>
  </r>
  <r>
    <n v="10348"/>
    <x v="0"/>
    <n v="180"/>
    <n v="25"/>
    <d v="1996-11-07T00:00:00"/>
  </r>
  <r>
    <n v="10348"/>
    <x v="1"/>
    <n v="180"/>
    <n v="25"/>
    <d v="1996-11-07T00:00:00"/>
  </r>
  <r>
    <n v="10348"/>
    <x v="2"/>
    <n v="180"/>
    <n v="25"/>
    <d v="1996-11-07T00:00:00"/>
  </r>
  <r>
    <n v="10348"/>
    <x v="3"/>
    <n v="180"/>
    <n v="25"/>
    <d v="1996-11-07T00:00:00"/>
  </r>
  <r>
    <n v="10348"/>
    <x v="4"/>
    <n v="180"/>
    <n v="25"/>
    <d v="1996-11-07T00:00:00"/>
  </r>
  <r>
    <n v="10348"/>
    <x v="5"/>
    <n v="180"/>
    <n v="25"/>
    <d v="1996-11-07T00:00:00"/>
  </r>
  <r>
    <n v="10348"/>
    <x v="6"/>
    <n v="180"/>
    <n v="25"/>
    <d v="1996-11-07T00:00:00"/>
  </r>
  <r>
    <n v="10348"/>
    <x v="7"/>
    <n v="180"/>
    <n v="25"/>
    <d v="1996-11-07T00:00:00"/>
  </r>
  <r>
    <n v="10349"/>
    <x v="0"/>
    <n v="141.6"/>
    <n v="24"/>
    <d v="1996-11-08T00:00:00"/>
  </r>
  <r>
    <n v="10349"/>
    <x v="1"/>
    <n v="141.6"/>
    <n v="24"/>
    <d v="1996-11-08T00:00:00"/>
  </r>
  <r>
    <n v="10349"/>
    <x v="2"/>
    <n v="141.6"/>
    <n v="24"/>
    <d v="1996-11-08T00:00:00"/>
  </r>
  <r>
    <n v="10349"/>
    <x v="3"/>
    <n v="141.6"/>
    <n v="24"/>
    <d v="1996-11-08T00:00:00"/>
  </r>
  <r>
    <n v="10349"/>
    <x v="4"/>
    <n v="141.6"/>
    <n v="24"/>
    <d v="1996-11-08T00:00:00"/>
  </r>
  <r>
    <n v="10349"/>
    <x v="5"/>
    <n v="141.6"/>
    <n v="24"/>
    <d v="1996-11-08T00:00:00"/>
  </r>
  <r>
    <n v="10349"/>
    <x v="6"/>
    <n v="141.6"/>
    <n v="24"/>
    <d v="1996-11-08T00:00:00"/>
  </r>
  <r>
    <n v="10349"/>
    <x v="7"/>
    <n v="141.6"/>
    <n v="24"/>
    <d v="1996-11-08T00:00:00"/>
  </r>
  <r>
    <n v="10350"/>
    <x v="0"/>
    <n v="175.49999970942736"/>
    <n v="15"/>
    <d v="1996-11-11T00:00:00"/>
  </r>
  <r>
    <n v="10350"/>
    <x v="1"/>
    <n v="175.49999970942736"/>
    <n v="15"/>
    <d v="1996-11-11T00:00:00"/>
  </r>
  <r>
    <n v="10350"/>
    <x v="2"/>
    <n v="175.49999970942736"/>
    <n v="15"/>
    <d v="1996-11-11T00:00:00"/>
  </r>
  <r>
    <n v="10350"/>
    <x v="3"/>
    <n v="175.49999970942736"/>
    <n v="15"/>
    <d v="1996-11-11T00:00:00"/>
  </r>
  <r>
    <n v="10350"/>
    <x v="4"/>
    <n v="175.49999970942736"/>
    <n v="15"/>
    <d v="1996-11-11T00:00:00"/>
  </r>
  <r>
    <n v="10350"/>
    <x v="5"/>
    <n v="175.49999970942736"/>
    <n v="15"/>
    <d v="1996-11-11T00:00:00"/>
  </r>
  <r>
    <n v="10350"/>
    <x v="6"/>
    <n v="175.49999970942736"/>
    <n v="15"/>
    <d v="1996-11-11T00:00:00"/>
  </r>
  <r>
    <n v="10350"/>
    <x v="7"/>
    <n v="175.49999970942736"/>
    <n v="15"/>
    <d v="1996-11-11T00:00:00"/>
  </r>
  <r>
    <n v="10350"/>
    <x v="0"/>
    <n v="466.5599992275238"/>
    <n v="18"/>
    <d v="1996-11-11T00:00:00"/>
  </r>
  <r>
    <n v="10350"/>
    <x v="1"/>
    <n v="466.5599992275238"/>
    <n v="18"/>
    <d v="1996-11-11T00:00:00"/>
  </r>
  <r>
    <n v="10350"/>
    <x v="2"/>
    <n v="466.5599992275238"/>
    <n v="18"/>
    <d v="1996-11-11T00:00:00"/>
  </r>
  <r>
    <n v="10350"/>
    <x v="3"/>
    <n v="466.5599992275238"/>
    <n v="18"/>
    <d v="1996-11-11T00:00:00"/>
  </r>
  <r>
    <n v="10350"/>
    <x v="4"/>
    <n v="466.5599992275238"/>
    <n v="18"/>
    <d v="1996-11-11T00:00:00"/>
  </r>
  <r>
    <n v="10350"/>
    <x v="5"/>
    <n v="466.5599992275238"/>
    <n v="18"/>
    <d v="1996-11-11T00:00:00"/>
  </r>
  <r>
    <n v="10350"/>
    <x v="6"/>
    <n v="466.5599992275238"/>
    <n v="18"/>
    <d v="1996-11-11T00:00:00"/>
  </r>
  <r>
    <n v="10350"/>
    <x v="7"/>
    <n v="466.5599992275238"/>
    <n v="18"/>
    <d v="1996-11-11T00:00:00"/>
  </r>
  <r>
    <n v="10351"/>
    <x v="0"/>
    <n v="4005.1999968588352"/>
    <n v="20"/>
    <d v="1996-11-11T00:00:00"/>
  </r>
  <r>
    <n v="10351"/>
    <x v="1"/>
    <n v="4005.1999968588352"/>
    <n v="20"/>
    <d v="1996-11-11T00:00:00"/>
  </r>
  <r>
    <n v="10351"/>
    <x v="2"/>
    <n v="4005.1999968588352"/>
    <n v="20"/>
    <d v="1996-11-11T00:00:00"/>
  </r>
  <r>
    <n v="10351"/>
    <x v="3"/>
    <n v="4005.1999968588352"/>
    <n v="20"/>
    <d v="1996-11-11T00:00:00"/>
  </r>
  <r>
    <n v="10351"/>
    <x v="4"/>
    <n v="4005.1999968588352"/>
    <n v="20"/>
    <d v="1996-11-11T00:00:00"/>
  </r>
  <r>
    <n v="10351"/>
    <x v="5"/>
    <n v="4005.1999968588352"/>
    <n v="20"/>
    <d v="1996-11-11T00:00:00"/>
  </r>
  <r>
    <n v="10351"/>
    <x v="6"/>
    <n v="4005.1999968588352"/>
    <n v="20"/>
    <d v="1996-11-11T00:00:00"/>
  </r>
  <r>
    <n v="10351"/>
    <x v="7"/>
    <n v="4005.1999968588352"/>
    <n v="20"/>
    <d v="1996-11-11T00:00:00"/>
  </r>
  <r>
    <n v="10351"/>
    <x v="0"/>
    <n v="100.1"/>
    <n v="13"/>
    <d v="1996-11-11T00:00:00"/>
  </r>
  <r>
    <n v="10351"/>
    <x v="1"/>
    <n v="100.1"/>
    <n v="13"/>
    <d v="1996-11-11T00:00:00"/>
  </r>
  <r>
    <n v="10351"/>
    <x v="2"/>
    <n v="100.1"/>
    <n v="13"/>
    <d v="1996-11-11T00:00:00"/>
  </r>
  <r>
    <n v="10351"/>
    <x v="3"/>
    <n v="100.1"/>
    <n v="13"/>
    <d v="1996-11-11T00:00:00"/>
  </r>
  <r>
    <n v="10351"/>
    <x v="4"/>
    <n v="100.1"/>
    <n v="13"/>
    <d v="1996-11-11T00:00:00"/>
  </r>
  <r>
    <n v="10351"/>
    <x v="5"/>
    <n v="100.1"/>
    <n v="13"/>
    <d v="1996-11-11T00:00:00"/>
  </r>
  <r>
    <n v="10351"/>
    <x v="6"/>
    <n v="100.1"/>
    <n v="13"/>
    <d v="1996-11-11T00:00:00"/>
  </r>
  <r>
    <n v="10351"/>
    <x v="7"/>
    <n v="100.1"/>
    <n v="13"/>
    <d v="1996-11-11T00:00:00"/>
  </r>
  <r>
    <n v="10351"/>
    <x v="0"/>
    <n v="1133.8249991107732"/>
    <n v="77"/>
    <d v="1996-11-11T00:00:00"/>
  </r>
  <r>
    <n v="10351"/>
    <x v="1"/>
    <n v="1133.8249991107732"/>
    <n v="77"/>
    <d v="1996-11-11T00:00:00"/>
  </r>
  <r>
    <n v="10351"/>
    <x v="2"/>
    <n v="1133.8249991107732"/>
    <n v="77"/>
    <d v="1996-11-11T00:00:00"/>
  </r>
  <r>
    <n v="10351"/>
    <x v="3"/>
    <n v="1133.8249991107732"/>
    <n v="77"/>
    <d v="1996-11-11T00:00:00"/>
  </r>
  <r>
    <n v="10351"/>
    <x v="4"/>
    <n v="1133.8249991107732"/>
    <n v="77"/>
    <d v="1996-11-11T00:00:00"/>
  </r>
  <r>
    <n v="10351"/>
    <x v="5"/>
    <n v="1133.8249991107732"/>
    <n v="77"/>
    <d v="1996-11-11T00:00:00"/>
  </r>
  <r>
    <n v="10351"/>
    <x v="6"/>
    <n v="1133.8249991107732"/>
    <n v="77"/>
    <d v="1996-11-11T00:00:00"/>
  </r>
  <r>
    <n v="10351"/>
    <x v="7"/>
    <n v="1133.8249991107732"/>
    <n v="77"/>
    <d v="1996-11-11T00:00:00"/>
  </r>
  <r>
    <n v="10351"/>
    <x v="0"/>
    <n v="159.59999987483025"/>
    <n v="10"/>
    <d v="1996-11-11T00:00:00"/>
  </r>
  <r>
    <n v="10351"/>
    <x v="1"/>
    <n v="159.59999987483025"/>
    <n v="10"/>
    <d v="1996-11-11T00:00:00"/>
  </r>
  <r>
    <n v="10351"/>
    <x v="2"/>
    <n v="159.59999987483025"/>
    <n v="10"/>
    <d v="1996-11-11T00:00:00"/>
  </r>
  <r>
    <n v="10351"/>
    <x v="3"/>
    <n v="159.59999987483025"/>
    <n v="10"/>
    <d v="1996-11-11T00:00:00"/>
  </r>
  <r>
    <n v="10351"/>
    <x v="4"/>
    <n v="159.59999987483025"/>
    <n v="10"/>
    <d v="1996-11-11T00:00:00"/>
  </r>
  <r>
    <n v="10351"/>
    <x v="5"/>
    <n v="159.59999987483025"/>
    <n v="10"/>
    <d v="1996-11-11T00:00:00"/>
  </r>
  <r>
    <n v="10351"/>
    <x v="6"/>
    <n v="159.59999987483025"/>
    <n v="10"/>
    <d v="1996-11-11T00:00:00"/>
  </r>
  <r>
    <n v="10351"/>
    <x v="7"/>
    <n v="159.59999987483025"/>
    <n v="10"/>
    <d v="1996-11-11T00:00:00"/>
  </r>
  <r>
    <n v="10352"/>
    <x v="0"/>
    <n v="36"/>
    <n v="10"/>
    <d v="1996-11-12T00:00:00"/>
  </r>
  <r>
    <n v="10352"/>
    <x v="1"/>
    <n v="36"/>
    <n v="10"/>
    <d v="1996-11-12T00:00:00"/>
  </r>
  <r>
    <n v="10352"/>
    <x v="2"/>
    <n v="36"/>
    <n v="10"/>
    <d v="1996-11-12T00:00:00"/>
  </r>
  <r>
    <n v="10352"/>
    <x v="3"/>
    <n v="36"/>
    <n v="10"/>
    <d v="1996-11-12T00:00:00"/>
  </r>
  <r>
    <n v="10352"/>
    <x v="4"/>
    <n v="36"/>
    <n v="10"/>
    <d v="1996-11-12T00:00:00"/>
  </r>
  <r>
    <n v="10352"/>
    <x v="5"/>
    <n v="36"/>
    <n v="10"/>
    <d v="1996-11-12T00:00:00"/>
  </r>
  <r>
    <n v="10352"/>
    <x v="6"/>
    <n v="36"/>
    <n v="10"/>
    <d v="1996-11-12T00:00:00"/>
  </r>
  <r>
    <n v="10352"/>
    <x v="7"/>
    <n v="36"/>
    <n v="10"/>
    <d v="1996-11-12T00:00:00"/>
  </r>
  <r>
    <n v="10352"/>
    <x v="0"/>
    <n v="100.29999929666519"/>
    <n v="20"/>
    <d v="1996-11-12T00:00:00"/>
  </r>
  <r>
    <n v="10352"/>
    <x v="1"/>
    <n v="100.29999929666519"/>
    <n v="20"/>
    <d v="1996-11-12T00:00:00"/>
  </r>
  <r>
    <n v="10352"/>
    <x v="2"/>
    <n v="100.29999929666519"/>
    <n v="20"/>
    <d v="1996-11-12T00:00:00"/>
  </r>
  <r>
    <n v="10352"/>
    <x v="3"/>
    <n v="100.29999929666519"/>
    <n v="20"/>
    <d v="1996-11-12T00:00:00"/>
  </r>
  <r>
    <n v="10352"/>
    <x v="4"/>
    <n v="100.29999929666519"/>
    <n v="20"/>
    <d v="1996-11-12T00:00:00"/>
  </r>
  <r>
    <n v="10352"/>
    <x v="5"/>
    <n v="100.29999929666519"/>
    <n v="20"/>
    <d v="1996-11-12T00:00:00"/>
  </r>
  <r>
    <n v="10352"/>
    <x v="6"/>
    <n v="100.29999929666519"/>
    <n v="20"/>
    <d v="1996-11-12T00:00:00"/>
  </r>
  <r>
    <n v="10352"/>
    <x v="7"/>
    <n v="100.29999929666519"/>
    <n v="20"/>
    <d v="1996-11-12T00:00:00"/>
  </r>
  <r>
    <n v="10353"/>
    <x v="0"/>
    <n v="161.27999939918519"/>
    <n v="12"/>
    <d v="1996-11-13T00:00:00"/>
  </r>
  <r>
    <n v="10353"/>
    <x v="1"/>
    <n v="161.27999939918519"/>
    <n v="12"/>
    <d v="1996-11-13T00:00:00"/>
  </r>
  <r>
    <n v="10353"/>
    <x v="2"/>
    <n v="161.27999939918519"/>
    <n v="12"/>
    <d v="1996-11-13T00:00:00"/>
  </r>
  <r>
    <n v="10353"/>
    <x v="3"/>
    <n v="161.27999939918519"/>
    <n v="12"/>
    <d v="1996-11-13T00:00:00"/>
  </r>
  <r>
    <n v="10353"/>
    <x v="4"/>
    <n v="161.27999939918519"/>
    <n v="12"/>
    <d v="1996-11-13T00:00:00"/>
  </r>
  <r>
    <n v="10353"/>
    <x v="5"/>
    <n v="161.27999939918519"/>
    <n v="12"/>
    <d v="1996-11-13T00:00:00"/>
  </r>
  <r>
    <n v="10353"/>
    <x v="6"/>
    <n v="161.27999939918519"/>
    <n v="12"/>
    <d v="1996-11-13T00:00:00"/>
  </r>
  <r>
    <n v="10353"/>
    <x v="7"/>
    <n v="161.27999939918519"/>
    <n v="12"/>
    <d v="1996-11-13T00:00:00"/>
  </r>
  <r>
    <n v="10353"/>
    <x v="0"/>
    <n v="8431.9999685883522"/>
    <n v="50"/>
    <d v="1996-11-13T00:00:00"/>
  </r>
  <r>
    <n v="10353"/>
    <x v="1"/>
    <n v="8431.9999685883522"/>
    <n v="50"/>
    <d v="1996-11-13T00:00:00"/>
  </r>
  <r>
    <n v="10353"/>
    <x v="2"/>
    <n v="8431.9999685883522"/>
    <n v="50"/>
    <d v="1996-11-13T00:00:00"/>
  </r>
  <r>
    <n v="10353"/>
    <x v="3"/>
    <n v="8431.9999685883522"/>
    <n v="50"/>
    <d v="1996-11-13T00:00:00"/>
  </r>
  <r>
    <n v="10353"/>
    <x v="4"/>
    <n v="8431.9999685883522"/>
    <n v="50"/>
    <d v="1996-11-13T00:00:00"/>
  </r>
  <r>
    <n v="10353"/>
    <x v="5"/>
    <n v="8431.9999685883522"/>
    <n v="50"/>
    <d v="1996-11-13T00:00:00"/>
  </r>
  <r>
    <n v="10353"/>
    <x v="6"/>
    <n v="8431.9999685883522"/>
    <n v="50"/>
    <d v="1996-11-13T00:00:00"/>
  </r>
  <r>
    <n v="10353"/>
    <x v="7"/>
    <n v="8431.9999685883522"/>
    <n v="50"/>
    <d v="1996-11-13T00:00:00"/>
  </r>
  <r>
    <n v="10354"/>
    <x v="0"/>
    <n v="172.8"/>
    <n v="12"/>
    <d v="1996-11-14T00:00:00"/>
  </r>
  <r>
    <n v="10354"/>
    <x v="1"/>
    <n v="172.8"/>
    <n v="12"/>
    <d v="1996-11-14T00:00:00"/>
  </r>
  <r>
    <n v="10354"/>
    <x v="2"/>
    <n v="172.8"/>
    <n v="12"/>
    <d v="1996-11-14T00:00:00"/>
  </r>
  <r>
    <n v="10354"/>
    <x v="3"/>
    <n v="172.8"/>
    <n v="12"/>
    <d v="1996-11-14T00:00:00"/>
  </r>
  <r>
    <n v="10354"/>
    <x v="4"/>
    <n v="172.8"/>
    <n v="12"/>
    <d v="1996-11-14T00:00:00"/>
  </r>
  <r>
    <n v="10354"/>
    <x v="5"/>
    <n v="172.8"/>
    <n v="12"/>
    <d v="1996-11-14T00:00:00"/>
  </r>
  <r>
    <n v="10354"/>
    <x v="6"/>
    <n v="172.8"/>
    <n v="12"/>
    <d v="1996-11-14T00:00:00"/>
  </r>
  <r>
    <n v="10354"/>
    <x v="7"/>
    <n v="172.8"/>
    <n v="12"/>
    <d v="1996-11-14T00:00:00"/>
  </r>
  <r>
    <n v="10354"/>
    <x v="0"/>
    <n v="396"/>
    <n v="4"/>
    <d v="1996-11-14T00:00:00"/>
  </r>
  <r>
    <n v="10354"/>
    <x v="1"/>
    <n v="396"/>
    <n v="4"/>
    <d v="1996-11-14T00:00:00"/>
  </r>
  <r>
    <n v="10354"/>
    <x v="2"/>
    <n v="396"/>
    <n v="4"/>
    <d v="1996-11-14T00:00:00"/>
  </r>
  <r>
    <n v="10354"/>
    <x v="3"/>
    <n v="396"/>
    <n v="4"/>
    <d v="1996-11-14T00:00:00"/>
  </r>
  <r>
    <n v="10354"/>
    <x v="4"/>
    <n v="396"/>
    <n v="4"/>
    <d v="1996-11-14T00:00:00"/>
  </r>
  <r>
    <n v="10354"/>
    <x v="5"/>
    <n v="396"/>
    <n v="4"/>
    <d v="1996-11-14T00:00:00"/>
  </r>
  <r>
    <n v="10354"/>
    <x v="6"/>
    <n v="396"/>
    <n v="4"/>
    <d v="1996-11-14T00:00:00"/>
  </r>
  <r>
    <n v="10354"/>
    <x v="7"/>
    <n v="396"/>
    <n v="4"/>
    <d v="1996-11-14T00:00:00"/>
  </r>
  <r>
    <n v="10355"/>
    <x v="0"/>
    <n v="90"/>
    <n v="25"/>
    <d v="1996-11-15T00:00:00"/>
  </r>
  <r>
    <n v="10355"/>
    <x v="1"/>
    <n v="90"/>
    <n v="25"/>
    <d v="1996-11-15T00:00:00"/>
  </r>
  <r>
    <n v="10355"/>
    <x v="2"/>
    <n v="90"/>
    <n v="25"/>
    <d v="1996-11-15T00:00:00"/>
  </r>
  <r>
    <n v="10355"/>
    <x v="3"/>
    <n v="90"/>
    <n v="25"/>
    <d v="1996-11-15T00:00:00"/>
  </r>
  <r>
    <n v="10355"/>
    <x v="4"/>
    <n v="90"/>
    <n v="25"/>
    <d v="1996-11-15T00:00:00"/>
  </r>
  <r>
    <n v="10355"/>
    <x v="5"/>
    <n v="90"/>
    <n v="25"/>
    <d v="1996-11-15T00:00:00"/>
  </r>
  <r>
    <n v="10355"/>
    <x v="6"/>
    <n v="90"/>
    <n v="25"/>
    <d v="1996-11-15T00:00:00"/>
  </r>
  <r>
    <n v="10355"/>
    <x v="7"/>
    <n v="90"/>
    <n v="25"/>
    <d v="1996-11-15T00:00:00"/>
  </r>
  <r>
    <n v="10355"/>
    <x v="0"/>
    <n v="390"/>
    <n v="25"/>
    <d v="1996-11-15T00:00:00"/>
  </r>
  <r>
    <n v="10355"/>
    <x v="1"/>
    <n v="390"/>
    <n v="25"/>
    <d v="1996-11-15T00:00:00"/>
  </r>
  <r>
    <n v="10355"/>
    <x v="2"/>
    <n v="390"/>
    <n v="25"/>
    <d v="1996-11-15T00:00:00"/>
  </r>
  <r>
    <n v="10355"/>
    <x v="3"/>
    <n v="390"/>
    <n v="25"/>
    <d v="1996-11-15T00:00:00"/>
  </r>
  <r>
    <n v="10355"/>
    <x v="4"/>
    <n v="390"/>
    <n v="25"/>
    <d v="1996-11-15T00:00:00"/>
  </r>
  <r>
    <n v="10355"/>
    <x v="5"/>
    <n v="390"/>
    <n v="25"/>
    <d v="1996-11-15T00:00:00"/>
  </r>
  <r>
    <n v="10355"/>
    <x v="6"/>
    <n v="390"/>
    <n v="25"/>
    <d v="1996-11-15T00:00:00"/>
  </r>
  <r>
    <n v="10355"/>
    <x v="7"/>
    <n v="390"/>
    <n v="25"/>
    <d v="1996-11-15T00:00:00"/>
  </r>
  <r>
    <n v="10356"/>
    <x v="0"/>
    <n v="300"/>
    <n v="30"/>
    <d v="1996-11-18T00:00:00"/>
  </r>
  <r>
    <n v="10356"/>
    <x v="1"/>
    <n v="300"/>
    <n v="30"/>
    <d v="1996-11-18T00:00:00"/>
  </r>
  <r>
    <n v="10356"/>
    <x v="2"/>
    <n v="300"/>
    <n v="30"/>
    <d v="1996-11-18T00:00:00"/>
  </r>
  <r>
    <n v="10356"/>
    <x v="3"/>
    <n v="300"/>
    <n v="30"/>
    <d v="1996-11-18T00:00:00"/>
  </r>
  <r>
    <n v="10356"/>
    <x v="4"/>
    <n v="300"/>
    <n v="30"/>
    <d v="1996-11-18T00:00:00"/>
  </r>
  <r>
    <n v="10356"/>
    <x v="5"/>
    <n v="300"/>
    <n v="30"/>
    <d v="1996-11-18T00:00:00"/>
  </r>
  <r>
    <n v="10356"/>
    <x v="6"/>
    <n v="300"/>
    <n v="30"/>
    <d v="1996-11-18T00:00:00"/>
  </r>
  <r>
    <n v="10356"/>
    <x v="7"/>
    <n v="300"/>
    <n v="30"/>
    <d v="1996-11-18T00:00:00"/>
  </r>
  <r>
    <n v="10356"/>
    <x v="0"/>
    <n v="230.4"/>
    <n v="12"/>
    <d v="1996-11-18T00:00:00"/>
  </r>
  <r>
    <n v="10356"/>
    <x v="1"/>
    <n v="230.4"/>
    <n v="12"/>
    <d v="1996-11-18T00:00:00"/>
  </r>
  <r>
    <n v="10356"/>
    <x v="2"/>
    <n v="230.4"/>
    <n v="12"/>
    <d v="1996-11-18T00:00:00"/>
  </r>
  <r>
    <n v="10356"/>
    <x v="3"/>
    <n v="230.4"/>
    <n v="12"/>
    <d v="1996-11-18T00:00:00"/>
  </r>
  <r>
    <n v="10356"/>
    <x v="4"/>
    <n v="230.4"/>
    <n v="12"/>
    <d v="1996-11-18T00:00:00"/>
  </r>
  <r>
    <n v="10356"/>
    <x v="5"/>
    <n v="230.4"/>
    <n v="12"/>
    <d v="1996-11-18T00:00:00"/>
  </r>
  <r>
    <n v="10356"/>
    <x v="6"/>
    <n v="230.4"/>
    <n v="12"/>
    <d v="1996-11-18T00:00:00"/>
  </r>
  <r>
    <n v="10356"/>
    <x v="7"/>
    <n v="230.4"/>
    <n v="12"/>
    <d v="1996-11-18T00:00:00"/>
  </r>
  <r>
    <n v="10356"/>
    <x v="0"/>
    <n v="576"/>
    <n v="20"/>
    <d v="1996-11-18T00:00:00"/>
  </r>
  <r>
    <n v="10356"/>
    <x v="1"/>
    <n v="576"/>
    <n v="20"/>
    <d v="1996-11-18T00:00:00"/>
  </r>
  <r>
    <n v="10356"/>
    <x v="2"/>
    <n v="576"/>
    <n v="20"/>
    <d v="1996-11-18T00:00:00"/>
  </r>
  <r>
    <n v="10356"/>
    <x v="3"/>
    <n v="576"/>
    <n v="20"/>
    <d v="1996-11-18T00:00:00"/>
  </r>
  <r>
    <n v="10356"/>
    <x v="4"/>
    <n v="576"/>
    <n v="20"/>
    <d v="1996-11-18T00:00:00"/>
  </r>
  <r>
    <n v="10356"/>
    <x v="5"/>
    <n v="576"/>
    <n v="20"/>
    <d v="1996-11-18T00:00:00"/>
  </r>
  <r>
    <n v="10356"/>
    <x v="6"/>
    <n v="576"/>
    <n v="20"/>
    <d v="1996-11-18T00:00:00"/>
  </r>
  <r>
    <n v="10356"/>
    <x v="7"/>
    <n v="576"/>
    <n v="20"/>
    <d v="1996-11-18T00:00:00"/>
  </r>
  <r>
    <n v="10357"/>
    <x v="0"/>
    <n v="595.19999778270721"/>
    <n v="30"/>
    <d v="1996-11-19T00:00:00"/>
  </r>
  <r>
    <n v="10357"/>
    <x v="1"/>
    <n v="595.19999778270721"/>
    <n v="30"/>
    <d v="1996-11-19T00:00:00"/>
  </r>
  <r>
    <n v="10357"/>
    <x v="2"/>
    <n v="595.19999778270721"/>
    <n v="30"/>
    <d v="1996-11-19T00:00:00"/>
  </r>
  <r>
    <n v="10357"/>
    <x v="3"/>
    <n v="595.19999778270721"/>
    <n v="30"/>
    <d v="1996-11-19T00:00:00"/>
  </r>
  <r>
    <n v="10357"/>
    <x v="4"/>
    <n v="595.19999778270721"/>
    <n v="30"/>
    <d v="1996-11-19T00:00:00"/>
  </r>
  <r>
    <n v="10357"/>
    <x v="5"/>
    <n v="595.19999778270721"/>
    <n v="30"/>
    <d v="1996-11-19T00:00:00"/>
  </r>
  <r>
    <n v="10357"/>
    <x v="6"/>
    <n v="595.19999778270721"/>
    <n v="30"/>
    <d v="1996-11-19T00:00:00"/>
  </r>
  <r>
    <n v="10357"/>
    <x v="7"/>
    <n v="595.19999778270721"/>
    <n v="30"/>
    <d v="1996-11-19T00:00:00"/>
  </r>
  <r>
    <n v="10357"/>
    <x v="0"/>
    <n v="398.4"/>
    <n v="16"/>
    <d v="1996-11-19T00:00:00"/>
  </r>
  <r>
    <n v="10357"/>
    <x v="1"/>
    <n v="398.4"/>
    <n v="16"/>
    <d v="1996-11-19T00:00:00"/>
  </r>
  <r>
    <n v="10357"/>
    <x v="2"/>
    <n v="398.4"/>
    <n v="16"/>
    <d v="1996-11-19T00:00:00"/>
  </r>
  <r>
    <n v="10357"/>
    <x v="3"/>
    <n v="398.4"/>
    <n v="16"/>
    <d v="1996-11-19T00:00:00"/>
  </r>
  <r>
    <n v="10357"/>
    <x v="4"/>
    <n v="398.4"/>
    <n v="16"/>
    <d v="1996-11-19T00:00:00"/>
  </r>
  <r>
    <n v="10357"/>
    <x v="5"/>
    <n v="398.4"/>
    <n v="16"/>
    <d v="1996-11-19T00:00:00"/>
  </r>
  <r>
    <n v="10357"/>
    <x v="6"/>
    <n v="398.4"/>
    <n v="16"/>
    <d v="1996-11-19T00:00:00"/>
  </r>
  <r>
    <n v="10357"/>
    <x v="7"/>
    <n v="398.4"/>
    <n v="16"/>
    <d v="1996-11-19T00:00:00"/>
  </r>
  <r>
    <n v="10357"/>
    <x v="0"/>
    <n v="174.07999935150147"/>
    <n v="8"/>
    <d v="1996-11-19T00:00:00"/>
  </r>
  <r>
    <n v="10357"/>
    <x v="1"/>
    <n v="174.07999935150147"/>
    <n v="8"/>
    <d v="1996-11-19T00:00:00"/>
  </r>
  <r>
    <n v="10357"/>
    <x v="2"/>
    <n v="174.07999935150147"/>
    <n v="8"/>
    <d v="1996-11-19T00:00:00"/>
  </r>
  <r>
    <n v="10357"/>
    <x v="3"/>
    <n v="174.07999935150147"/>
    <n v="8"/>
    <d v="1996-11-19T00:00:00"/>
  </r>
  <r>
    <n v="10357"/>
    <x v="4"/>
    <n v="174.07999935150147"/>
    <n v="8"/>
    <d v="1996-11-19T00:00:00"/>
  </r>
  <r>
    <n v="10357"/>
    <x v="5"/>
    <n v="174.07999935150147"/>
    <n v="8"/>
    <d v="1996-11-19T00:00:00"/>
  </r>
  <r>
    <n v="10357"/>
    <x v="6"/>
    <n v="174.07999935150147"/>
    <n v="8"/>
    <d v="1996-11-19T00:00:00"/>
  </r>
  <r>
    <n v="10357"/>
    <x v="7"/>
    <n v="174.07999935150147"/>
    <n v="8"/>
    <d v="1996-11-19T00:00:00"/>
  </r>
  <r>
    <n v="10358"/>
    <x v="0"/>
    <n v="34.19999997317791"/>
    <n v="10"/>
    <d v="1996-11-20T00:00:00"/>
  </r>
  <r>
    <n v="10358"/>
    <x v="1"/>
    <n v="34.19999997317791"/>
    <n v="10"/>
    <d v="1996-11-20T00:00:00"/>
  </r>
  <r>
    <n v="10358"/>
    <x v="2"/>
    <n v="34.19999997317791"/>
    <n v="10"/>
    <d v="1996-11-20T00:00:00"/>
  </r>
  <r>
    <n v="10358"/>
    <x v="3"/>
    <n v="34.19999997317791"/>
    <n v="10"/>
    <d v="1996-11-20T00:00:00"/>
  </r>
  <r>
    <n v="10358"/>
    <x v="4"/>
    <n v="34.19999997317791"/>
    <n v="10"/>
    <d v="1996-11-20T00:00:00"/>
  </r>
  <r>
    <n v="10358"/>
    <x v="5"/>
    <n v="34.19999997317791"/>
    <n v="10"/>
    <d v="1996-11-20T00:00:00"/>
  </r>
  <r>
    <n v="10358"/>
    <x v="6"/>
    <n v="34.19999997317791"/>
    <n v="10"/>
    <d v="1996-11-20T00:00:00"/>
  </r>
  <r>
    <n v="10358"/>
    <x v="7"/>
    <n v="34.19999997317791"/>
    <n v="10"/>
    <d v="1996-11-20T00:00:00"/>
  </r>
  <r>
    <n v="10358"/>
    <x v="0"/>
    <n v="106.3999999165535"/>
    <n v="10"/>
    <d v="1996-11-20T00:00:00"/>
  </r>
  <r>
    <n v="10358"/>
    <x v="1"/>
    <n v="106.3999999165535"/>
    <n v="10"/>
    <d v="1996-11-20T00:00:00"/>
  </r>
  <r>
    <n v="10358"/>
    <x v="2"/>
    <n v="106.3999999165535"/>
    <n v="10"/>
    <d v="1996-11-20T00:00:00"/>
  </r>
  <r>
    <n v="10358"/>
    <x v="3"/>
    <n v="106.3999999165535"/>
    <n v="10"/>
    <d v="1996-11-20T00:00:00"/>
  </r>
  <r>
    <n v="10358"/>
    <x v="4"/>
    <n v="106.3999999165535"/>
    <n v="10"/>
    <d v="1996-11-20T00:00:00"/>
  </r>
  <r>
    <n v="10358"/>
    <x v="5"/>
    <n v="106.3999999165535"/>
    <n v="10"/>
    <d v="1996-11-20T00:00:00"/>
  </r>
  <r>
    <n v="10358"/>
    <x v="6"/>
    <n v="106.3999999165535"/>
    <n v="10"/>
    <d v="1996-11-20T00:00:00"/>
  </r>
  <r>
    <n v="10358"/>
    <x v="7"/>
    <n v="106.3999999165535"/>
    <n v="10"/>
    <d v="1996-11-20T00:00:00"/>
  </r>
  <r>
    <n v="10358"/>
    <x v="0"/>
    <n v="288.79999977350235"/>
    <n v="20"/>
    <d v="1996-11-20T00:00:00"/>
  </r>
  <r>
    <n v="10358"/>
    <x v="1"/>
    <n v="288.79999977350235"/>
    <n v="20"/>
    <d v="1996-11-20T00:00:00"/>
  </r>
  <r>
    <n v="10358"/>
    <x v="2"/>
    <n v="288.79999977350235"/>
    <n v="20"/>
    <d v="1996-11-20T00:00:00"/>
  </r>
  <r>
    <n v="10358"/>
    <x v="3"/>
    <n v="288.79999977350235"/>
    <n v="20"/>
    <d v="1996-11-20T00:00:00"/>
  </r>
  <r>
    <n v="10358"/>
    <x v="4"/>
    <n v="288.79999977350235"/>
    <n v="20"/>
    <d v="1996-11-20T00:00:00"/>
  </r>
  <r>
    <n v="10358"/>
    <x v="5"/>
    <n v="288.79999977350235"/>
    <n v="20"/>
    <d v="1996-11-20T00:00:00"/>
  </r>
  <r>
    <n v="10358"/>
    <x v="6"/>
    <n v="288.79999977350235"/>
    <n v="20"/>
    <d v="1996-11-20T00:00:00"/>
  </r>
  <r>
    <n v="10358"/>
    <x v="7"/>
    <n v="288.79999977350235"/>
    <n v="20"/>
    <d v="1996-11-20T00:00:00"/>
  </r>
  <r>
    <n v="10359"/>
    <x v="0"/>
    <n v="739.47999942004674"/>
    <n v="56"/>
    <d v="1996-11-21T00:00:00"/>
  </r>
  <r>
    <n v="10359"/>
    <x v="1"/>
    <n v="739.47999942004674"/>
    <n v="56"/>
    <d v="1996-11-21T00:00:00"/>
  </r>
  <r>
    <n v="10359"/>
    <x v="2"/>
    <n v="739.47999942004674"/>
    <n v="56"/>
    <d v="1996-11-21T00:00:00"/>
  </r>
  <r>
    <n v="10359"/>
    <x v="3"/>
    <n v="739.47999942004674"/>
    <n v="56"/>
    <d v="1996-11-21T00:00:00"/>
  </r>
  <r>
    <n v="10359"/>
    <x v="4"/>
    <n v="739.47999942004674"/>
    <n v="56"/>
    <d v="1996-11-21T00:00:00"/>
  </r>
  <r>
    <n v="10359"/>
    <x v="5"/>
    <n v="739.47999942004674"/>
    <n v="56"/>
    <d v="1996-11-21T00:00:00"/>
  </r>
  <r>
    <n v="10359"/>
    <x v="6"/>
    <n v="739.47999942004674"/>
    <n v="56"/>
    <d v="1996-11-21T00:00:00"/>
  </r>
  <r>
    <n v="10359"/>
    <x v="7"/>
    <n v="739.47999942004674"/>
    <n v="56"/>
    <d v="1996-11-21T00:00:00"/>
  </r>
  <r>
    <n v="10359"/>
    <x v="0"/>
    <n v="664.99999947845936"/>
    <n v="70"/>
    <d v="1996-11-21T00:00:00"/>
  </r>
  <r>
    <n v="10359"/>
    <x v="1"/>
    <n v="664.99999947845936"/>
    <n v="70"/>
    <d v="1996-11-21T00:00:00"/>
  </r>
  <r>
    <n v="10359"/>
    <x v="2"/>
    <n v="664.99999947845936"/>
    <n v="70"/>
    <d v="1996-11-21T00:00:00"/>
  </r>
  <r>
    <n v="10359"/>
    <x v="3"/>
    <n v="664.99999947845936"/>
    <n v="70"/>
    <d v="1996-11-21T00:00:00"/>
  </r>
  <r>
    <n v="10359"/>
    <x v="4"/>
    <n v="664.99999947845936"/>
    <n v="70"/>
    <d v="1996-11-21T00:00:00"/>
  </r>
  <r>
    <n v="10359"/>
    <x v="5"/>
    <n v="664.99999947845936"/>
    <n v="70"/>
    <d v="1996-11-21T00:00:00"/>
  </r>
  <r>
    <n v="10359"/>
    <x v="6"/>
    <n v="664.99999947845936"/>
    <n v="70"/>
    <d v="1996-11-21T00:00:00"/>
  </r>
  <r>
    <n v="10359"/>
    <x v="7"/>
    <n v="664.99999947845936"/>
    <n v="70"/>
    <d v="1996-11-21T00:00:00"/>
  </r>
  <r>
    <n v="10359"/>
    <x v="0"/>
    <n v="2067.1999983787537"/>
    <n v="80"/>
    <d v="1996-11-21T00:00:00"/>
  </r>
  <r>
    <n v="10359"/>
    <x v="1"/>
    <n v="2067.1999983787537"/>
    <n v="80"/>
    <d v="1996-11-21T00:00:00"/>
  </r>
  <r>
    <n v="10359"/>
    <x v="2"/>
    <n v="2067.1999983787537"/>
    <n v="80"/>
    <d v="1996-11-21T00:00:00"/>
  </r>
  <r>
    <n v="10359"/>
    <x v="3"/>
    <n v="2067.1999983787537"/>
    <n v="80"/>
    <d v="1996-11-21T00:00:00"/>
  </r>
  <r>
    <n v="10359"/>
    <x v="4"/>
    <n v="2067.1999983787537"/>
    <n v="80"/>
    <d v="1996-11-21T00:00:00"/>
  </r>
  <r>
    <n v="10359"/>
    <x v="5"/>
    <n v="2067.1999983787537"/>
    <n v="80"/>
    <d v="1996-11-21T00:00:00"/>
  </r>
  <r>
    <n v="10359"/>
    <x v="6"/>
    <n v="2067.1999983787537"/>
    <n v="80"/>
    <d v="1996-11-21T00:00:00"/>
  </r>
  <r>
    <n v="10359"/>
    <x v="7"/>
    <n v="2067.1999983787537"/>
    <n v="80"/>
    <d v="1996-11-21T00:00:00"/>
  </r>
  <r>
    <n v="10360"/>
    <x v="0"/>
    <n v="1092"/>
    <n v="30"/>
    <d v="1996-11-22T00:00:00"/>
  </r>
  <r>
    <n v="10360"/>
    <x v="1"/>
    <n v="1092"/>
    <n v="30"/>
    <d v="1996-11-22T00:00:00"/>
  </r>
  <r>
    <n v="10360"/>
    <x v="2"/>
    <n v="1092"/>
    <n v="30"/>
    <d v="1996-11-22T00:00:00"/>
  </r>
  <r>
    <n v="10360"/>
    <x v="3"/>
    <n v="1092"/>
    <n v="30"/>
    <d v="1996-11-22T00:00:00"/>
  </r>
  <r>
    <n v="10360"/>
    <x v="4"/>
    <n v="1092"/>
    <n v="30"/>
    <d v="1996-11-22T00:00:00"/>
  </r>
  <r>
    <n v="10360"/>
    <x v="5"/>
    <n v="1092"/>
    <n v="30"/>
    <d v="1996-11-22T00:00:00"/>
  </r>
  <r>
    <n v="10360"/>
    <x v="6"/>
    <n v="1092"/>
    <n v="30"/>
    <d v="1996-11-22T00:00:00"/>
  </r>
  <r>
    <n v="10360"/>
    <x v="7"/>
    <n v="1092"/>
    <n v="30"/>
    <d v="1996-11-22T00:00:00"/>
  </r>
  <r>
    <n v="10360"/>
    <x v="0"/>
    <n v="3465"/>
    <n v="35"/>
    <d v="1996-11-22T00:00:00"/>
  </r>
  <r>
    <n v="10360"/>
    <x v="1"/>
    <n v="3465"/>
    <n v="35"/>
    <d v="1996-11-22T00:00:00"/>
  </r>
  <r>
    <n v="10360"/>
    <x v="2"/>
    <n v="3465"/>
    <n v="35"/>
    <d v="1996-11-22T00:00:00"/>
  </r>
  <r>
    <n v="10360"/>
    <x v="3"/>
    <n v="3465"/>
    <n v="35"/>
    <d v="1996-11-22T00:00:00"/>
  </r>
  <r>
    <n v="10360"/>
    <x v="4"/>
    <n v="3465"/>
    <n v="35"/>
    <d v="1996-11-22T00:00:00"/>
  </r>
  <r>
    <n v="10360"/>
    <x v="5"/>
    <n v="3465"/>
    <n v="35"/>
    <d v="1996-11-22T00:00:00"/>
  </r>
  <r>
    <n v="10360"/>
    <x v="6"/>
    <n v="3465"/>
    <n v="35"/>
    <d v="1996-11-22T00:00:00"/>
  </r>
  <r>
    <n v="10360"/>
    <x v="7"/>
    <n v="3465"/>
    <n v="35"/>
    <d v="1996-11-22T00:00:00"/>
  </r>
  <r>
    <n v="10360"/>
    <x v="0"/>
    <n v="2108"/>
    <n v="10"/>
    <d v="1996-11-22T00:00:00"/>
  </r>
  <r>
    <n v="10360"/>
    <x v="1"/>
    <n v="2108"/>
    <n v="10"/>
    <d v="1996-11-22T00:00:00"/>
  </r>
  <r>
    <n v="10360"/>
    <x v="2"/>
    <n v="2108"/>
    <n v="10"/>
    <d v="1996-11-22T00:00:00"/>
  </r>
  <r>
    <n v="10360"/>
    <x v="3"/>
    <n v="2108"/>
    <n v="10"/>
    <d v="1996-11-22T00:00:00"/>
  </r>
  <r>
    <n v="10360"/>
    <x v="4"/>
    <n v="2108"/>
    <n v="10"/>
    <d v="1996-11-22T00:00:00"/>
  </r>
  <r>
    <n v="10360"/>
    <x v="5"/>
    <n v="2108"/>
    <n v="10"/>
    <d v="1996-11-22T00:00:00"/>
  </r>
  <r>
    <n v="10360"/>
    <x v="6"/>
    <n v="2108"/>
    <n v="10"/>
    <d v="1996-11-22T00:00:00"/>
  </r>
  <r>
    <n v="10360"/>
    <x v="7"/>
    <n v="2108"/>
    <n v="10"/>
    <d v="1996-11-22T00:00:00"/>
  </r>
  <r>
    <n v="10360"/>
    <x v="0"/>
    <n v="560"/>
    <n v="35"/>
    <d v="1996-11-22T00:00:00"/>
  </r>
  <r>
    <n v="10360"/>
    <x v="1"/>
    <n v="560"/>
    <n v="35"/>
    <d v="1996-11-22T00:00:00"/>
  </r>
  <r>
    <n v="10360"/>
    <x v="2"/>
    <n v="560"/>
    <n v="35"/>
    <d v="1996-11-22T00:00:00"/>
  </r>
  <r>
    <n v="10360"/>
    <x v="3"/>
    <n v="560"/>
    <n v="35"/>
    <d v="1996-11-22T00:00:00"/>
  </r>
  <r>
    <n v="10360"/>
    <x v="4"/>
    <n v="560"/>
    <n v="35"/>
    <d v="1996-11-22T00:00:00"/>
  </r>
  <r>
    <n v="10360"/>
    <x v="5"/>
    <n v="560"/>
    <n v="35"/>
    <d v="1996-11-22T00:00:00"/>
  </r>
  <r>
    <n v="10360"/>
    <x v="6"/>
    <n v="560"/>
    <n v="35"/>
    <d v="1996-11-22T00:00:00"/>
  </r>
  <r>
    <n v="10360"/>
    <x v="7"/>
    <n v="560"/>
    <n v="35"/>
    <d v="1996-11-22T00:00:00"/>
  </r>
  <r>
    <n v="10360"/>
    <x v="0"/>
    <n v="165.2"/>
    <n v="28"/>
    <d v="1996-11-22T00:00:00"/>
  </r>
  <r>
    <n v="10360"/>
    <x v="1"/>
    <n v="165.2"/>
    <n v="28"/>
    <d v="1996-11-22T00:00:00"/>
  </r>
  <r>
    <n v="10360"/>
    <x v="2"/>
    <n v="165.2"/>
    <n v="28"/>
    <d v="1996-11-22T00:00:00"/>
  </r>
  <r>
    <n v="10360"/>
    <x v="3"/>
    <n v="165.2"/>
    <n v="28"/>
    <d v="1996-11-22T00:00:00"/>
  </r>
  <r>
    <n v="10360"/>
    <x v="4"/>
    <n v="165.2"/>
    <n v="28"/>
    <d v="1996-11-22T00:00:00"/>
  </r>
  <r>
    <n v="10360"/>
    <x v="5"/>
    <n v="165.2"/>
    <n v="28"/>
    <d v="1996-11-22T00:00:00"/>
  </r>
  <r>
    <n v="10360"/>
    <x v="6"/>
    <n v="165.2"/>
    <n v="28"/>
    <d v="1996-11-22T00:00:00"/>
  </r>
  <r>
    <n v="10360"/>
    <x v="7"/>
    <n v="165.2"/>
    <n v="28"/>
    <d v="1996-11-22T00:00:00"/>
  </r>
  <r>
    <n v="10361"/>
    <x v="0"/>
    <n v="699.83999884128571"/>
    <n v="54"/>
    <d v="1996-11-22T00:00:00"/>
  </r>
  <r>
    <n v="10361"/>
    <x v="1"/>
    <n v="699.83999884128571"/>
    <n v="54"/>
    <d v="1996-11-22T00:00:00"/>
  </r>
  <r>
    <n v="10361"/>
    <x v="2"/>
    <n v="699.83999884128571"/>
    <n v="54"/>
    <d v="1996-11-22T00:00:00"/>
  </r>
  <r>
    <n v="10361"/>
    <x v="3"/>
    <n v="699.83999884128571"/>
    <n v="54"/>
    <d v="1996-11-22T00:00:00"/>
  </r>
  <r>
    <n v="10361"/>
    <x v="4"/>
    <n v="699.83999884128571"/>
    <n v="54"/>
    <d v="1996-11-22T00:00:00"/>
  </r>
  <r>
    <n v="10361"/>
    <x v="5"/>
    <n v="699.83999884128571"/>
    <n v="54"/>
    <d v="1996-11-22T00:00:00"/>
  </r>
  <r>
    <n v="10361"/>
    <x v="6"/>
    <n v="699.83999884128571"/>
    <n v="54"/>
    <d v="1996-11-22T00:00:00"/>
  </r>
  <r>
    <n v="10361"/>
    <x v="7"/>
    <n v="699.83999884128571"/>
    <n v="54"/>
    <d v="1996-11-22T00:00:00"/>
  </r>
  <r>
    <n v="10361"/>
    <x v="0"/>
    <n v="1346.3999977707863"/>
    <n v="55"/>
    <d v="1996-11-22T00:00:00"/>
  </r>
  <r>
    <n v="10361"/>
    <x v="1"/>
    <n v="1346.3999977707863"/>
    <n v="55"/>
    <d v="1996-11-22T00:00:00"/>
  </r>
  <r>
    <n v="10361"/>
    <x v="2"/>
    <n v="1346.3999977707863"/>
    <n v="55"/>
    <d v="1996-11-22T00:00:00"/>
  </r>
  <r>
    <n v="10361"/>
    <x v="3"/>
    <n v="1346.3999977707863"/>
    <n v="55"/>
    <d v="1996-11-22T00:00:00"/>
  </r>
  <r>
    <n v="10361"/>
    <x v="4"/>
    <n v="1346.3999977707863"/>
    <n v="55"/>
    <d v="1996-11-22T00:00:00"/>
  </r>
  <r>
    <n v="10361"/>
    <x v="5"/>
    <n v="1346.3999977707863"/>
    <n v="55"/>
    <d v="1996-11-22T00:00:00"/>
  </r>
  <r>
    <n v="10361"/>
    <x v="6"/>
    <n v="1346.3999977707863"/>
    <n v="55"/>
    <d v="1996-11-22T00:00:00"/>
  </r>
  <r>
    <n v="10361"/>
    <x v="7"/>
    <n v="1346.3999977707863"/>
    <n v="55"/>
    <d v="1996-11-22T00:00:00"/>
  </r>
  <r>
    <n v="10362"/>
    <x v="0"/>
    <n v="560"/>
    <n v="50"/>
    <d v="1996-11-25T00:00:00"/>
  </r>
  <r>
    <n v="10362"/>
    <x v="1"/>
    <n v="560"/>
    <n v="50"/>
    <d v="1996-11-25T00:00:00"/>
  </r>
  <r>
    <n v="10362"/>
    <x v="2"/>
    <n v="560"/>
    <n v="50"/>
    <d v="1996-11-25T00:00:00"/>
  </r>
  <r>
    <n v="10362"/>
    <x v="3"/>
    <n v="560"/>
    <n v="50"/>
    <d v="1996-11-25T00:00:00"/>
  </r>
  <r>
    <n v="10362"/>
    <x v="4"/>
    <n v="560"/>
    <n v="50"/>
    <d v="1996-11-25T00:00:00"/>
  </r>
  <r>
    <n v="10362"/>
    <x v="5"/>
    <n v="560"/>
    <n v="50"/>
    <d v="1996-11-25T00:00:00"/>
  </r>
  <r>
    <n v="10362"/>
    <x v="6"/>
    <n v="560"/>
    <n v="50"/>
    <d v="1996-11-25T00:00:00"/>
  </r>
  <r>
    <n v="10362"/>
    <x v="7"/>
    <n v="560"/>
    <n v="50"/>
    <d v="1996-11-25T00:00:00"/>
  </r>
  <r>
    <n v="10362"/>
    <x v="0"/>
    <n v="848"/>
    <n v="20"/>
    <d v="1996-11-25T00:00:00"/>
  </r>
  <r>
    <n v="10362"/>
    <x v="1"/>
    <n v="848"/>
    <n v="20"/>
    <d v="1996-11-25T00:00:00"/>
  </r>
  <r>
    <n v="10362"/>
    <x v="2"/>
    <n v="848"/>
    <n v="20"/>
    <d v="1996-11-25T00:00:00"/>
  </r>
  <r>
    <n v="10362"/>
    <x v="3"/>
    <n v="848"/>
    <n v="20"/>
    <d v="1996-11-25T00:00:00"/>
  </r>
  <r>
    <n v="10362"/>
    <x v="4"/>
    <n v="848"/>
    <n v="20"/>
    <d v="1996-11-25T00:00:00"/>
  </r>
  <r>
    <n v="10362"/>
    <x v="5"/>
    <n v="848"/>
    <n v="20"/>
    <d v="1996-11-25T00:00:00"/>
  </r>
  <r>
    <n v="10362"/>
    <x v="6"/>
    <n v="848"/>
    <n v="20"/>
    <d v="1996-11-25T00:00:00"/>
  </r>
  <r>
    <n v="10362"/>
    <x v="7"/>
    <n v="848"/>
    <n v="20"/>
    <d v="1996-11-25T00:00:00"/>
  </r>
  <r>
    <n v="10362"/>
    <x v="0"/>
    <n v="141.6"/>
    <n v="24"/>
    <d v="1996-11-25T00:00:00"/>
  </r>
  <r>
    <n v="10362"/>
    <x v="1"/>
    <n v="141.6"/>
    <n v="24"/>
    <d v="1996-11-25T00:00:00"/>
  </r>
  <r>
    <n v="10362"/>
    <x v="2"/>
    <n v="141.6"/>
    <n v="24"/>
    <d v="1996-11-25T00:00:00"/>
  </r>
  <r>
    <n v="10362"/>
    <x v="3"/>
    <n v="141.6"/>
    <n v="24"/>
    <d v="1996-11-25T00:00:00"/>
  </r>
  <r>
    <n v="10362"/>
    <x v="4"/>
    <n v="141.6"/>
    <n v="24"/>
    <d v="1996-11-25T00:00:00"/>
  </r>
  <r>
    <n v="10362"/>
    <x v="5"/>
    <n v="141.6"/>
    <n v="24"/>
    <d v="1996-11-25T00:00:00"/>
  </r>
  <r>
    <n v="10362"/>
    <x v="6"/>
    <n v="141.6"/>
    <n v="24"/>
    <d v="1996-11-25T00:00:00"/>
  </r>
  <r>
    <n v="10362"/>
    <x v="7"/>
    <n v="141.6"/>
    <n v="24"/>
    <d v="1996-11-25T00:00:00"/>
  </r>
  <r>
    <n v="10363"/>
    <x v="0"/>
    <n v="200"/>
    <n v="20"/>
    <d v="1996-11-26T00:00:00"/>
  </r>
  <r>
    <n v="10363"/>
    <x v="1"/>
    <n v="200"/>
    <n v="20"/>
    <d v="1996-11-26T00:00:00"/>
  </r>
  <r>
    <n v="10363"/>
    <x v="2"/>
    <n v="200"/>
    <n v="20"/>
    <d v="1996-11-26T00:00:00"/>
  </r>
  <r>
    <n v="10363"/>
    <x v="3"/>
    <n v="200"/>
    <n v="20"/>
    <d v="1996-11-26T00:00:00"/>
  </r>
  <r>
    <n v="10363"/>
    <x v="4"/>
    <n v="200"/>
    <n v="20"/>
    <d v="1996-11-26T00:00:00"/>
  </r>
  <r>
    <n v="10363"/>
    <x v="5"/>
    <n v="200"/>
    <n v="20"/>
    <d v="1996-11-26T00:00:00"/>
  </r>
  <r>
    <n v="10363"/>
    <x v="6"/>
    <n v="200"/>
    <n v="20"/>
    <d v="1996-11-26T00:00:00"/>
  </r>
  <r>
    <n v="10363"/>
    <x v="7"/>
    <n v="200"/>
    <n v="20"/>
    <d v="1996-11-26T00:00:00"/>
  </r>
  <r>
    <n v="10363"/>
    <x v="0"/>
    <n v="74.400000000000006"/>
    <n v="12"/>
    <d v="1996-11-26T00:00:00"/>
  </r>
  <r>
    <n v="10363"/>
    <x v="1"/>
    <n v="74.400000000000006"/>
    <n v="12"/>
    <d v="1996-11-26T00:00:00"/>
  </r>
  <r>
    <n v="10363"/>
    <x v="2"/>
    <n v="74.400000000000006"/>
    <n v="12"/>
    <d v="1996-11-26T00:00:00"/>
  </r>
  <r>
    <n v="10363"/>
    <x v="3"/>
    <n v="74.400000000000006"/>
    <n v="12"/>
    <d v="1996-11-26T00:00:00"/>
  </r>
  <r>
    <n v="10363"/>
    <x v="4"/>
    <n v="74.400000000000006"/>
    <n v="12"/>
    <d v="1996-11-26T00:00:00"/>
  </r>
  <r>
    <n v="10363"/>
    <x v="5"/>
    <n v="74.400000000000006"/>
    <n v="12"/>
    <d v="1996-11-26T00:00:00"/>
  </r>
  <r>
    <n v="10363"/>
    <x v="6"/>
    <n v="74.400000000000006"/>
    <n v="12"/>
    <d v="1996-11-26T00:00:00"/>
  </r>
  <r>
    <n v="10363"/>
    <x v="7"/>
    <n v="74.400000000000006"/>
    <n v="12"/>
    <d v="1996-11-26T00:00:00"/>
  </r>
  <r>
    <n v="10363"/>
    <x v="0"/>
    <n v="172.8"/>
    <n v="12"/>
    <d v="1996-11-26T00:00:00"/>
  </r>
  <r>
    <n v="10363"/>
    <x v="1"/>
    <n v="172.8"/>
    <n v="12"/>
    <d v="1996-11-26T00:00:00"/>
  </r>
  <r>
    <n v="10363"/>
    <x v="2"/>
    <n v="172.8"/>
    <n v="12"/>
    <d v="1996-11-26T00:00:00"/>
  </r>
  <r>
    <n v="10363"/>
    <x v="3"/>
    <n v="172.8"/>
    <n v="12"/>
    <d v="1996-11-26T00:00:00"/>
  </r>
  <r>
    <n v="10363"/>
    <x v="4"/>
    <n v="172.8"/>
    <n v="12"/>
    <d v="1996-11-26T00:00:00"/>
  </r>
  <r>
    <n v="10363"/>
    <x v="5"/>
    <n v="172.8"/>
    <n v="12"/>
    <d v="1996-11-26T00:00:00"/>
  </r>
  <r>
    <n v="10363"/>
    <x v="6"/>
    <n v="172.8"/>
    <n v="12"/>
    <d v="1996-11-26T00:00:00"/>
  </r>
  <r>
    <n v="10363"/>
    <x v="7"/>
    <n v="172.8"/>
    <n v="12"/>
    <d v="1996-11-26T00:00:00"/>
  </r>
  <r>
    <n v="10364"/>
    <x v="0"/>
    <n v="864"/>
    <n v="30"/>
    <d v="1996-11-26T00:00:00"/>
  </r>
  <r>
    <n v="10364"/>
    <x v="1"/>
    <n v="864"/>
    <n v="30"/>
    <d v="1996-11-26T00:00:00"/>
  </r>
  <r>
    <n v="10364"/>
    <x v="2"/>
    <n v="864"/>
    <n v="30"/>
    <d v="1996-11-26T00:00:00"/>
  </r>
  <r>
    <n v="10364"/>
    <x v="3"/>
    <n v="864"/>
    <n v="30"/>
    <d v="1996-11-26T00:00:00"/>
  </r>
  <r>
    <n v="10364"/>
    <x v="4"/>
    <n v="864"/>
    <n v="30"/>
    <d v="1996-11-26T00:00:00"/>
  </r>
  <r>
    <n v="10364"/>
    <x v="5"/>
    <n v="864"/>
    <n v="30"/>
    <d v="1996-11-26T00:00:00"/>
  </r>
  <r>
    <n v="10364"/>
    <x v="6"/>
    <n v="864"/>
    <n v="30"/>
    <d v="1996-11-26T00:00:00"/>
  </r>
  <r>
    <n v="10364"/>
    <x v="7"/>
    <n v="864"/>
    <n v="30"/>
    <d v="1996-11-26T00:00:00"/>
  </r>
  <r>
    <n v="10364"/>
    <x v="0"/>
    <n v="86"/>
    <n v="5"/>
    <d v="1996-11-26T00:00:00"/>
  </r>
  <r>
    <n v="10364"/>
    <x v="1"/>
    <n v="86"/>
    <n v="5"/>
    <d v="1996-11-26T00:00:00"/>
  </r>
  <r>
    <n v="10364"/>
    <x v="2"/>
    <n v="86"/>
    <n v="5"/>
    <d v="1996-11-26T00:00:00"/>
  </r>
  <r>
    <n v="10364"/>
    <x v="3"/>
    <n v="86"/>
    <n v="5"/>
    <d v="1996-11-26T00:00:00"/>
  </r>
  <r>
    <n v="10364"/>
    <x v="4"/>
    <n v="86"/>
    <n v="5"/>
    <d v="1996-11-26T00:00:00"/>
  </r>
  <r>
    <n v="10364"/>
    <x v="5"/>
    <n v="86"/>
    <n v="5"/>
    <d v="1996-11-26T00:00:00"/>
  </r>
  <r>
    <n v="10364"/>
    <x v="6"/>
    <n v="86"/>
    <n v="5"/>
    <d v="1996-11-26T00:00:00"/>
  </r>
  <r>
    <n v="10364"/>
    <x v="7"/>
    <n v="86"/>
    <n v="5"/>
    <d v="1996-11-26T00:00:00"/>
  </r>
  <r>
    <n v="10365"/>
    <x v="0"/>
    <n v="403.2"/>
    <n v="24"/>
    <d v="1996-11-27T00:00:00"/>
  </r>
  <r>
    <n v="10365"/>
    <x v="1"/>
    <n v="403.2"/>
    <n v="24"/>
    <d v="1996-11-27T00:00:00"/>
  </r>
  <r>
    <n v="10365"/>
    <x v="2"/>
    <n v="403.2"/>
    <n v="24"/>
    <d v="1996-11-27T00:00:00"/>
  </r>
  <r>
    <n v="10365"/>
    <x v="3"/>
    <n v="403.2"/>
    <n v="24"/>
    <d v="1996-11-27T00:00:00"/>
  </r>
  <r>
    <n v="10365"/>
    <x v="4"/>
    <n v="403.2"/>
    <n v="24"/>
    <d v="1996-11-27T00:00:00"/>
  </r>
  <r>
    <n v="10365"/>
    <x v="5"/>
    <n v="403.2"/>
    <n v="24"/>
    <d v="1996-11-27T00:00:00"/>
  </r>
  <r>
    <n v="10365"/>
    <x v="6"/>
    <n v="403.2"/>
    <n v="24"/>
    <d v="1996-11-27T00:00:00"/>
  </r>
  <r>
    <n v="10365"/>
    <x v="7"/>
    <n v="403.2"/>
    <n v="24"/>
    <d v="1996-11-27T00:00:00"/>
  </r>
  <r>
    <n v="10366"/>
    <x v="0"/>
    <n v="84"/>
    <n v="5"/>
    <d v="1996-11-28T00:00:00"/>
  </r>
  <r>
    <n v="10366"/>
    <x v="1"/>
    <n v="84"/>
    <n v="5"/>
    <d v="1996-11-28T00:00:00"/>
  </r>
  <r>
    <n v="10366"/>
    <x v="2"/>
    <n v="84"/>
    <n v="5"/>
    <d v="1996-11-28T00:00:00"/>
  </r>
  <r>
    <n v="10366"/>
    <x v="3"/>
    <n v="84"/>
    <n v="5"/>
    <d v="1996-11-28T00:00:00"/>
  </r>
  <r>
    <n v="10366"/>
    <x v="4"/>
    <n v="84"/>
    <n v="5"/>
    <d v="1996-11-28T00:00:00"/>
  </r>
  <r>
    <n v="10366"/>
    <x v="5"/>
    <n v="84"/>
    <n v="5"/>
    <d v="1996-11-28T00:00:00"/>
  </r>
  <r>
    <n v="10366"/>
    <x v="6"/>
    <n v="84"/>
    <n v="5"/>
    <d v="1996-11-28T00:00:00"/>
  </r>
  <r>
    <n v="10366"/>
    <x v="7"/>
    <n v="84"/>
    <n v="5"/>
    <d v="1996-11-28T00:00:00"/>
  </r>
  <r>
    <n v="10366"/>
    <x v="0"/>
    <n v="52"/>
    <n v="5"/>
    <d v="1996-11-28T00:00:00"/>
  </r>
  <r>
    <n v="10366"/>
    <x v="1"/>
    <n v="52"/>
    <n v="5"/>
    <d v="1996-11-28T00:00:00"/>
  </r>
  <r>
    <n v="10366"/>
    <x v="2"/>
    <n v="52"/>
    <n v="5"/>
    <d v="1996-11-28T00:00:00"/>
  </r>
  <r>
    <n v="10366"/>
    <x v="3"/>
    <n v="52"/>
    <n v="5"/>
    <d v="1996-11-28T00:00:00"/>
  </r>
  <r>
    <n v="10366"/>
    <x v="4"/>
    <n v="52"/>
    <n v="5"/>
    <d v="1996-11-28T00:00:00"/>
  </r>
  <r>
    <n v="10366"/>
    <x v="5"/>
    <n v="52"/>
    <n v="5"/>
    <d v="1996-11-28T00:00:00"/>
  </r>
  <r>
    <n v="10366"/>
    <x v="6"/>
    <n v="52"/>
    <n v="5"/>
    <d v="1996-11-28T00:00:00"/>
  </r>
  <r>
    <n v="10366"/>
    <x v="7"/>
    <n v="52"/>
    <n v="5"/>
    <d v="1996-11-28T00:00:00"/>
  </r>
  <r>
    <n v="10367"/>
    <x v="0"/>
    <n v="403.2"/>
    <n v="36"/>
    <d v="1996-11-28T00:00:00"/>
  </r>
  <r>
    <n v="10367"/>
    <x v="1"/>
    <n v="403.2"/>
    <n v="36"/>
    <d v="1996-11-28T00:00:00"/>
  </r>
  <r>
    <n v="10367"/>
    <x v="2"/>
    <n v="403.2"/>
    <n v="36"/>
    <d v="1996-11-28T00:00:00"/>
  </r>
  <r>
    <n v="10367"/>
    <x v="3"/>
    <n v="403.2"/>
    <n v="36"/>
    <d v="1996-11-28T00:00:00"/>
  </r>
  <r>
    <n v="10367"/>
    <x v="4"/>
    <n v="403.2"/>
    <n v="36"/>
    <d v="1996-11-28T00:00:00"/>
  </r>
  <r>
    <n v="10367"/>
    <x v="5"/>
    <n v="403.2"/>
    <n v="36"/>
    <d v="1996-11-28T00:00:00"/>
  </r>
  <r>
    <n v="10367"/>
    <x v="6"/>
    <n v="403.2"/>
    <n v="36"/>
    <d v="1996-11-28T00:00:00"/>
  </r>
  <r>
    <n v="10367"/>
    <x v="7"/>
    <n v="403.2"/>
    <n v="36"/>
    <d v="1996-11-28T00:00:00"/>
  </r>
  <r>
    <n v="10367"/>
    <x v="0"/>
    <n v="106.2"/>
    <n v="18"/>
    <d v="1996-11-28T00:00:00"/>
  </r>
  <r>
    <n v="10367"/>
    <x v="1"/>
    <n v="106.2"/>
    <n v="18"/>
    <d v="1996-11-28T00:00:00"/>
  </r>
  <r>
    <n v="10367"/>
    <x v="2"/>
    <n v="106.2"/>
    <n v="18"/>
    <d v="1996-11-28T00:00:00"/>
  </r>
  <r>
    <n v="10367"/>
    <x v="3"/>
    <n v="106.2"/>
    <n v="18"/>
    <d v="1996-11-28T00:00:00"/>
  </r>
  <r>
    <n v="10367"/>
    <x v="4"/>
    <n v="106.2"/>
    <n v="18"/>
    <d v="1996-11-28T00:00:00"/>
  </r>
  <r>
    <n v="10367"/>
    <x v="5"/>
    <n v="106.2"/>
    <n v="18"/>
    <d v="1996-11-28T00:00:00"/>
  </r>
  <r>
    <n v="10367"/>
    <x v="6"/>
    <n v="106.2"/>
    <n v="18"/>
    <d v="1996-11-28T00:00:00"/>
  </r>
  <r>
    <n v="10367"/>
    <x v="7"/>
    <n v="106.2"/>
    <n v="18"/>
    <d v="1996-11-28T00:00:00"/>
  </r>
  <r>
    <n v="10367"/>
    <x v="0"/>
    <n v="252"/>
    <n v="15"/>
    <d v="1996-11-28T00:00:00"/>
  </r>
  <r>
    <n v="10367"/>
    <x v="1"/>
    <n v="252"/>
    <n v="15"/>
    <d v="1996-11-28T00:00:00"/>
  </r>
  <r>
    <n v="10367"/>
    <x v="2"/>
    <n v="252"/>
    <n v="15"/>
    <d v="1996-11-28T00:00:00"/>
  </r>
  <r>
    <n v="10367"/>
    <x v="3"/>
    <n v="252"/>
    <n v="15"/>
    <d v="1996-11-28T00:00:00"/>
  </r>
  <r>
    <n v="10367"/>
    <x v="4"/>
    <n v="252"/>
    <n v="15"/>
    <d v="1996-11-28T00:00:00"/>
  </r>
  <r>
    <n v="10367"/>
    <x v="5"/>
    <n v="252"/>
    <n v="15"/>
    <d v="1996-11-28T00:00:00"/>
  </r>
  <r>
    <n v="10367"/>
    <x v="6"/>
    <n v="252"/>
    <n v="15"/>
    <d v="1996-11-28T00:00:00"/>
  </r>
  <r>
    <n v="10367"/>
    <x v="7"/>
    <n v="252"/>
    <n v="15"/>
    <d v="1996-11-28T00:00:00"/>
  </r>
  <r>
    <n v="10367"/>
    <x v="0"/>
    <n v="72.8"/>
    <n v="7"/>
    <d v="1996-11-28T00:00:00"/>
  </r>
  <r>
    <n v="10367"/>
    <x v="1"/>
    <n v="72.8"/>
    <n v="7"/>
    <d v="1996-11-28T00:00:00"/>
  </r>
  <r>
    <n v="10367"/>
    <x v="2"/>
    <n v="72.8"/>
    <n v="7"/>
    <d v="1996-11-28T00:00:00"/>
  </r>
  <r>
    <n v="10367"/>
    <x v="3"/>
    <n v="72.8"/>
    <n v="7"/>
    <d v="1996-11-28T00:00:00"/>
  </r>
  <r>
    <n v="10367"/>
    <x v="4"/>
    <n v="72.8"/>
    <n v="7"/>
    <d v="1996-11-28T00:00:00"/>
  </r>
  <r>
    <n v="10367"/>
    <x v="5"/>
    <n v="72.8"/>
    <n v="7"/>
    <d v="1996-11-28T00:00:00"/>
  </r>
  <r>
    <n v="10367"/>
    <x v="6"/>
    <n v="72.8"/>
    <n v="7"/>
    <d v="1996-11-28T00:00:00"/>
  </r>
  <r>
    <n v="10367"/>
    <x v="7"/>
    <n v="72.8"/>
    <n v="7"/>
    <d v="1996-11-28T00:00:00"/>
  </r>
  <r>
    <n v="10368"/>
    <x v="0"/>
    <n v="35.999999940395355"/>
    <n v="5"/>
    <d v="1996-11-29T00:00:00"/>
  </r>
  <r>
    <n v="10368"/>
    <x v="1"/>
    <n v="35.999999940395355"/>
    <n v="5"/>
    <d v="1996-11-29T00:00:00"/>
  </r>
  <r>
    <n v="10368"/>
    <x v="2"/>
    <n v="35.999999940395355"/>
    <n v="5"/>
    <d v="1996-11-29T00:00:00"/>
  </r>
  <r>
    <n v="10368"/>
    <x v="3"/>
    <n v="35.999999940395355"/>
    <n v="5"/>
    <d v="1996-11-29T00:00:00"/>
  </r>
  <r>
    <n v="10368"/>
    <x v="4"/>
    <n v="35.999999940395355"/>
    <n v="5"/>
    <d v="1996-11-29T00:00:00"/>
  </r>
  <r>
    <n v="10368"/>
    <x v="5"/>
    <n v="35.999999940395355"/>
    <n v="5"/>
    <d v="1996-11-29T00:00:00"/>
  </r>
  <r>
    <n v="10368"/>
    <x v="6"/>
    <n v="35.999999940395355"/>
    <n v="5"/>
    <d v="1996-11-29T00:00:00"/>
  </r>
  <r>
    <n v="10368"/>
    <x v="7"/>
    <n v="35.999999940395355"/>
    <n v="5"/>
    <d v="1996-11-29T00:00:00"/>
  </r>
  <r>
    <n v="10368"/>
    <x v="0"/>
    <n v="425.87999929487705"/>
    <n v="13"/>
    <d v="1996-11-29T00:00:00"/>
  </r>
  <r>
    <n v="10368"/>
    <x v="1"/>
    <n v="425.87999929487705"/>
    <n v="13"/>
    <d v="1996-11-29T00:00:00"/>
  </r>
  <r>
    <n v="10368"/>
    <x v="2"/>
    <n v="425.87999929487705"/>
    <n v="13"/>
    <d v="1996-11-29T00:00:00"/>
  </r>
  <r>
    <n v="10368"/>
    <x v="3"/>
    <n v="425.87999929487705"/>
    <n v="13"/>
    <d v="1996-11-29T00:00:00"/>
  </r>
  <r>
    <n v="10368"/>
    <x v="4"/>
    <n v="425.87999929487705"/>
    <n v="13"/>
    <d v="1996-11-29T00:00:00"/>
  </r>
  <r>
    <n v="10368"/>
    <x v="5"/>
    <n v="425.87999929487705"/>
    <n v="13"/>
    <d v="1996-11-29T00:00:00"/>
  </r>
  <r>
    <n v="10368"/>
    <x v="6"/>
    <n v="425.87999929487705"/>
    <n v="13"/>
    <d v="1996-11-29T00:00:00"/>
  </r>
  <r>
    <n v="10368"/>
    <x v="7"/>
    <n v="425.87999929487705"/>
    <n v="13"/>
    <d v="1996-11-29T00:00:00"/>
  </r>
  <r>
    <n v="10368"/>
    <x v="0"/>
    <n v="390"/>
    <n v="25"/>
    <d v="1996-11-29T00:00:00"/>
  </r>
  <r>
    <n v="10368"/>
    <x v="1"/>
    <n v="390"/>
    <n v="25"/>
    <d v="1996-11-29T00:00:00"/>
  </r>
  <r>
    <n v="10368"/>
    <x v="2"/>
    <n v="390"/>
    <n v="25"/>
    <d v="1996-11-29T00:00:00"/>
  </r>
  <r>
    <n v="10368"/>
    <x v="3"/>
    <n v="390"/>
    <n v="25"/>
    <d v="1996-11-29T00:00:00"/>
  </r>
  <r>
    <n v="10368"/>
    <x v="4"/>
    <n v="390"/>
    <n v="25"/>
    <d v="1996-11-29T00:00:00"/>
  </r>
  <r>
    <n v="10368"/>
    <x v="5"/>
    <n v="390"/>
    <n v="25"/>
    <d v="1996-11-29T00:00:00"/>
  </r>
  <r>
    <n v="10368"/>
    <x v="6"/>
    <n v="390"/>
    <n v="25"/>
    <d v="1996-11-29T00:00:00"/>
  </r>
  <r>
    <n v="10368"/>
    <x v="7"/>
    <n v="390"/>
    <n v="25"/>
    <d v="1996-11-29T00:00:00"/>
  </r>
  <r>
    <n v="10368"/>
    <x v="0"/>
    <n v="837.89999861270189"/>
    <n v="35"/>
    <d v="1996-11-29T00:00:00"/>
  </r>
  <r>
    <n v="10368"/>
    <x v="1"/>
    <n v="837.89999861270189"/>
    <n v="35"/>
    <d v="1996-11-29T00:00:00"/>
  </r>
  <r>
    <n v="10368"/>
    <x v="2"/>
    <n v="837.89999861270189"/>
    <n v="35"/>
    <d v="1996-11-29T00:00:00"/>
  </r>
  <r>
    <n v="10368"/>
    <x v="3"/>
    <n v="837.89999861270189"/>
    <n v="35"/>
    <d v="1996-11-29T00:00:00"/>
  </r>
  <r>
    <n v="10368"/>
    <x v="4"/>
    <n v="837.89999861270189"/>
    <n v="35"/>
    <d v="1996-11-29T00:00:00"/>
  </r>
  <r>
    <n v="10368"/>
    <x v="5"/>
    <n v="837.89999861270189"/>
    <n v="35"/>
    <d v="1996-11-29T00:00:00"/>
  </r>
  <r>
    <n v="10368"/>
    <x v="6"/>
    <n v="837.89999861270189"/>
    <n v="35"/>
    <d v="1996-11-29T00:00:00"/>
  </r>
  <r>
    <n v="10368"/>
    <x v="7"/>
    <n v="837.89999861270189"/>
    <n v="35"/>
    <d v="1996-11-29T00:00:00"/>
  </r>
  <r>
    <n v="10369"/>
    <x v="0"/>
    <n v="1980"/>
    <n v="20"/>
    <d v="1996-12-02T00:00:00"/>
  </r>
  <r>
    <n v="10369"/>
    <x v="1"/>
    <n v="1980"/>
    <n v="20"/>
    <d v="1996-12-02T00:00:00"/>
  </r>
  <r>
    <n v="10369"/>
    <x v="2"/>
    <n v="1980"/>
    <n v="20"/>
    <d v="1996-12-02T00:00:00"/>
  </r>
  <r>
    <n v="10369"/>
    <x v="3"/>
    <n v="1980"/>
    <n v="20"/>
    <d v="1996-12-02T00:00:00"/>
  </r>
  <r>
    <n v="10369"/>
    <x v="4"/>
    <n v="1980"/>
    <n v="20"/>
    <d v="1996-12-02T00:00:00"/>
  </r>
  <r>
    <n v="10369"/>
    <x v="5"/>
    <n v="1980"/>
    <n v="20"/>
    <d v="1996-12-02T00:00:00"/>
  </r>
  <r>
    <n v="10369"/>
    <x v="6"/>
    <n v="1980"/>
    <n v="20"/>
    <d v="1996-12-02T00:00:00"/>
  </r>
  <r>
    <n v="10369"/>
    <x v="7"/>
    <n v="1980"/>
    <n v="20"/>
    <d v="1996-12-02T00:00:00"/>
  </r>
  <r>
    <n v="10369"/>
    <x v="0"/>
    <n v="410.40000000000003"/>
    <n v="18"/>
    <d v="1996-12-02T00:00:00"/>
  </r>
  <r>
    <n v="10369"/>
    <x v="1"/>
    <n v="410.40000000000003"/>
    <n v="18"/>
    <d v="1996-12-02T00:00:00"/>
  </r>
  <r>
    <n v="10369"/>
    <x v="2"/>
    <n v="410.40000000000003"/>
    <n v="18"/>
    <d v="1996-12-02T00:00:00"/>
  </r>
  <r>
    <n v="10369"/>
    <x v="3"/>
    <n v="410.40000000000003"/>
    <n v="18"/>
    <d v="1996-12-02T00:00:00"/>
  </r>
  <r>
    <n v="10369"/>
    <x v="4"/>
    <n v="410.40000000000003"/>
    <n v="18"/>
    <d v="1996-12-02T00:00:00"/>
  </r>
  <r>
    <n v="10369"/>
    <x v="5"/>
    <n v="410.40000000000003"/>
    <n v="18"/>
    <d v="1996-12-02T00:00:00"/>
  </r>
  <r>
    <n v="10369"/>
    <x v="6"/>
    <n v="410.40000000000003"/>
    <n v="18"/>
    <d v="1996-12-02T00:00:00"/>
  </r>
  <r>
    <n v="10369"/>
    <x v="7"/>
    <n v="410.40000000000003"/>
    <n v="18"/>
    <d v="1996-12-02T00:00:00"/>
  </r>
  <r>
    <n v="10370"/>
    <x v="0"/>
    <n v="183.59999871253967"/>
    <n v="15"/>
    <d v="1996-12-03T00:00:00"/>
  </r>
  <r>
    <n v="10370"/>
    <x v="1"/>
    <n v="183.59999871253967"/>
    <n v="15"/>
    <d v="1996-12-03T00:00:00"/>
  </r>
  <r>
    <n v="10370"/>
    <x v="2"/>
    <n v="183.59999871253967"/>
    <n v="15"/>
    <d v="1996-12-03T00:00:00"/>
  </r>
  <r>
    <n v="10370"/>
    <x v="3"/>
    <n v="183.59999871253967"/>
    <n v="15"/>
    <d v="1996-12-03T00:00:00"/>
  </r>
  <r>
    <n v="10370"/>
    <x v="4"/>
    <n v="183.59999871253967"/>
    <n v="15"/>
    <d v="1996-12-03T00:00:00"/>
  </r>
  <r>
    <n v="10370"/>
    <x v="5"/>
    <n v="183.59999871253967"/>
    <n v="15"/>
    <d v="1996-12-03T00:00:00"/>
  </r>
  <r>
    <n v="10370"/>
    <x v="6"/>
    <n v="183.59999871253967"/>
    <n v="15"/>
    <d v="1996-12-03T00:00:00"/>
  </r>
  <r>
    <n v="10370"/>
    <x v="7"/>
    <n v="183.59999871253967"/>
    <n v="15"/>
    <d v="1996-12-03T00:00:00"/>
  </r>
  <r>
    <n v="10370"/>
    <x v="0"/>
    <n v="798"/>
    <n v="30"/>
    <d v="1996-12-03T00:00:00"/>
  </r>
  <r>
    <n v="10370"/>
    <x v="1"/>
    <n v="798"/>
    <n v="30"/>
    <d v="1996-12-03T00:00:00"/>
  </r>
  <r>
    <n v="10370"/>
    <x v="2"/>
    <n v="798"/>
    <n v="30"/>
    <d v="1996-12-03T00:00:00"/>
  </r>
  <r>
    <n v="10370"/>
    <x v="3"/>
    <n v="798"/>
    <n v="30"/>
    <d v="1996-12-03T00:00:00"/>
  </r>
  <r>
    <n v="10370"/>
    <x v="4"/>
    <n v="798"/>
    <n v="30"/>
    <d v="1996-12-03T00:00:00"/>
  </r>
  <r>
    <n v="10370"/>
    <x v="5"/>
    <n v="798"/>
    <n v="30"/>
    <d v="1996-12-03T00:00:00"/>
  </r>
  <r>
    <n v="10370"/>
    <x v="6"/>
    <n v="798"/>
    <n v="30"/>
    <d v="1996-12-03T00:00:00"/>
  </r>
  <r>
    <n v="10370"/>
    <x v="7"/>
    <n v="798"/>
    <n v="30"/>
    <d v="1996-12-03T00:00:00"/>
  </r>
  <r>
    <n v="10370"/>
    <x v="0"/>
    <n v="135.99999904632568"/>
    <n v="20"/>
    <d v="1996-12-03T00:00:00"/>
  </r>
  <r>
    <n v="10370"/>
    <x v="1"/>
    <n v="135.99999904632568"/>
    <n v="20"/>
    <d v="1996-12-03T00:00:00"/>
  </r>
  <r>
    <n v="10370"/>
    <x v="2"/>
    <n v="135.99999904632568"/>
    <n v="20"/>
    <d v="1996-12-03T00:00:00"/>
  </r>
  <r>
    <n v="10370"/>
    <x v="3"/>
    <n v="135.99999904632568"/>
    <n v="20"/>
    <d v="1996-12-03T00:00:00"/>
  </r>
  <r>
    <n v="10370"/>
    <x v="4"/>
    <n v="135.99999904632568"/>
    <n v="20"/>
    <d v="1996-12-03T00:00:00"/>
  </r>
  <r>
    <n v="10370"/>
    <x v="5"/>
    <n v="135.99999904632568"/>
    <n v="20"/>
    <d v="1996-12-03T00:00:00"/>
  </r>
  <r>
    <n v="10370"/>
    <x v="6"/>
    <n v="135.99999904632568"/>
    <n v="20"/>
    <d v="1996-12-03T00:00:00"/>
  </r>
  <r>
    <n v="10370"/>
    <x v="7"/>
    <n v="135.99999904632568"/>
    <n v="20"/>
    <d v="1996-12-03T00:00:00"/>
  </r>
  <r>
    <n v="10371"/>
    <x v="0"/>
    <n v="72.959999728202817"/>
    <n v="6"/>
    <d v="1996-12-03T00:00:00"/>
  </r>
  <r>
    <n v="10371"/>
    <x v="1"/>
    <n v="72.959999728202817"/>
    <n v="6"/>
    <d v="1996-12-03T00:00:00"/>
  </r>
  <r>
    <n v="10371"/>
    <x v="2"/>
    <n v="72.959999728202817"/>
    <n v="6"/>
    <d v="1996-12-03T00:00:00"/>
  </r>
  <r>
    <n v="10371"/>
    <x v="3"/>
    <n v="72.959999728202817"/>
    <n v="6"/>
    <d v="1996-12-03T00:00:00"/>
  </r>
  <r>
    <n v="10371"/>
    <x v="4"/>
    <n v="72.959999728202817"/>
    <n v="6"/>
    <d v="1996-12-03T00:00:00"/>
  </r>
  <r>
    <n v="10371"/>
    <x v="5"/>
    <n v="72.959999728202817"/>
    <n v="6"/>
    <d v="1996-12-03T00:00:00"/>
  </r>
  <r>
    <n v="10371"/>
    <x v="6"/>
    <n v="72.959999728202817"/>
    <n v="6"/>
    <d v="1996-12-03T00:00:00"/>
  </r>
  <r>
    <n v="10371"/>
    <x v="7"/>
    <n v="72.959999728202817"/>
    <n v="6"/>
    <d v="1996-12-03T00:00:00"/>
  </r>
  <r>
    <n v="10372"/>
    <x v="0"/>
    <n v="583.20000000000005"/>
    <n v="12"/>
    <d v="1996-12-04T00:00:00"/>
  </r>
  <r>
    <n v="10372"/>
    <x v="1"/>
    <n v="583.20000000000005"/>
    <n v="12"/>
    <d v="1996-12-04T00:00:00"/>
  </r>
  <r>
    <n v="10372"/>
    <x v="2"/>
    <n v="583.20000000000005"/>
    <n v="12"/>
    <d v="1996-12-04T00:00:00"/>
  </r>
  <r>
    <n v="10372"/>
    <x v="3"/>
    <n v="583.20000000000005"/>
    <n v="12"/>
    <d v="1996-12-04T00:00:00"/>
  </r>
  <r>
    <n v="10372"/>
    <x v="4"/>
    <n v="583.20000000000005"/>
    <n v="12"/>
    <d v="1996-12-04T00:00:00"/>
  </r>
  <r>
    <n v="10372"/>
    <x v="5"/>
    <n v="583.20000000000005"/>
    <n v="12"/>
    <d v="1996-12-04T00:00:00"/>
  </r>
  <r>
    <n v="10372"/>
    <x v="6"/>
    <n v="583.20000000000005"/>
    <n v="12"/>
    <d v="1996-12-04T00:00:00"/>
  </r>
  <r>
    <n v="10372"/>
    <x v="7"/>
    <n v="583.20000000000005"/>
    <n v="12"/>
    <d v="1996-12-04T00:00:00"/>
  </r>
  <r>
    <n v="10372"/>
    <x v="0"/>
    <n v="6324"/>
    <n v="40"/>
    <d v="1996-12-04T00:00:00"/>
  </r>
  <r>
    <n v="10372"/>
    <x v="1"/>
    <n v="6324"/>
    <n v="40"/>
    <d v="1996-12-04T00:00:00"/>
  </r>
  <r>
    <n v="10372"/>
    <x v="2"/>
    <n v="6324"/>
    <n v="40"/>
    <d v="1996-12-04T00:00:00"/>
  </r>
  <r>
    <n v="10372"/>
    <x v="3"/>
    <n v="6324"/>
    <n v="40"/>
    <d v="1996-12-04T00:00:00"/>
  </r>
  <r>
    <n v="10372"/>
    <x v="4"/>
    <n v="6324"/>
    <n v="40"/>
    <d v="1996-12-04T00:00:00"/>
  </r>
  <r>
    <n v="10372"/>
    <x v="5"/>
    <n v="6324"/>
    <n v="40"/>
    <d v="1996-12-04T00:00:00"/>
  </r>
  <r>
    <n v="10372"/>
    <x v="6"/>
    <n v="6324"/>
    <n v="40"/>
    <d v="1996-12-04T00:00:00"/>
  </r>
  <r>
    <n v="10372"/>
    <x v="7"/>
    <n v="6324"/>
    <n v="40"/>
    <d v="1996-12-04T00:00:00"/>
  </r>
  <r>
    <n v="10372"/>
    <x v="0"/>
    <n v="1428"/>
    <n v="70"/>
    <d v="1996-12-04T00:00:00"/>
  </r>
  <r>
    <n v="10372"/>
    <x v="1"/>
    <n v="1428"/>
    <n v="70"/>
    <d v="1996-12-04T00:00:00"/>
  </r>
  <r>
    <n v="10372"/>
    <x v="2"/>
    <n v="1428"/>
    <n v="70"/>
    <d v="1996-12-04T00:00:00"/>
  </r>
  <r>
    <n v="10372"/>
    <x v="3"/>
    <n v="1428"/>
    <n v="70"/>
    <d v="1996-12-04T00:00:00"/>
  </r>
  <r>
    <n v="10372"/>
    <x v="4"/>
    <n v="1428"/>
    <n v="70"/>
    <d v="1996-12-04T00:00:00"/>
  </r>
  <r>
    <n v="10372"/>
    <x v="5"/>
    <n v="1428"/>
    <n v="70"/>
    <d v="1996-12-04T00:00:00"/>
  </r>
  <r>
    <n v="10372"/>
    <x v="6"/>
    <n v="1428"/>
    <n v="70"/>
    <d v="1996-12-04T00:00:00"/>
  </r>
  <r>
    <n v="10372"/>
    <x v="7"/>
    <n v="1428"/>
    <n v="70"/>
    <d v="1996-12-04T00:00:00"/>
  </r>
  <r>
    <n v="10372"/>
    <x v="0"/>
    <n v="875.69999999999993"/>
    <n v="42"/>
    <d v="1996-12-04T00:00:00"/>
  </r>
  <r>
    <n v="10372"/>
    <x v="1"/>
    <n v="875.69999999999993"/>
    <n v="42"/>
    <d v="1996-12-04T00:00:00"/>
  </r>
  <r>
    <n v="10372"/>
    <x v="2"/>
    <n v="875.69999999999993"/>
    <n v="42"/>
    <d v="1996-12-04T00:00:00"/>
  </r>
  <r>
    <n v="10372"/>
    <x v="3"/>
    <n v="875.69999999999993"/>
    <n v="42"/>
    <d v="1996-12-04T00:00:00"/>
  </r>
  <r>
    <n v="10372"/>
    <x v="4"/>
    <n v="875.69999999999993"/>
    <n v="42"/>
    <d v="1996-12-04T00:00:00"/>
  </r>
  <r>
    <n v="10372"/>
    <x v="5"/>
    <n v="875.69999999999993"/>
    <n v="42"/>
    <d v="1996-12-04T00:00:00"/>
  </r>
  <r>
    <n v="10372"/>
    <x v="6"/>
    <n v="875.69999999999993"/>
    <n v="42"/>
    <d v="1996-12-04T00:00:00"/>
  </r>
  <r>
    <n v="10372"/>
    <x v="7"/>
    <n v="875.69999999999993"/>
    <n v="42"/>
    <d v="1996-12-04T00:00:00"/>
  </r>
  <r>
    <n v="10373"/>
    <x v="0"/>
    <n v="678.39999747276306"/>
    <n v="80"/>
    <d v="1996-12-05T00:00:00"/>
  </r>
  <r>
    <n v="10373"/>
    <x v="1"/>
    <n v="678.39999747276306"/>
    <n v="80"/>
    <d v="1996-12-05T00:00:00"/>
  </r>
  <r>
    <n v="10373"/>
    <x v="2"/>
    <n v="678.39999747276306"/>
    <n v="80"/>
    <d v="1996-12-05T00:00:00"/>
  </r>
  <r>
    <n v="10373"/>
    <x v="3"/>
    <n v="678.39999747276306"/>
    <n v="80"/>
    <d v="1996-12-05T00:00:00"/>
  </r>
  <r>
    <n v="10373"/>
    <x v="4"/>
    <n v="678.39999747276306"/>
    <n v="80"/>
    <d v="1996-12-05T00:00:00"/>
  </r>
  <r>
    <n v="10373"/>
    <x v="5"/>
    <n v="678.39999747276306"/>
    <n v="80"/>
    <d v="1996-12-05T00:00:00"/>
  </r>
  <r>
    <n v="10373"/>
    <x v="6"/>
    <n v="678.39999747276306"/>
    <n v="80"/>
    <d v="1996-12-05T00:00:00"/>
  </r>
  <r>
    <n v="10373"/>
    <x v="7"/>
    <n v="678.39999747276306"/>
    <n v="80"/>
    <d v="1996-12-05T00:00:00"/>
  </r>
  <r>
    <n v="10373"/>
    <x v="0"/>
    <n v="687.99999743700027"/>
    <n v="50"/>
    <d v="1996-12-05T00:00:00"/>
  </r>
  <r>
    <n v="10373"/>
    <x v="1"/>
    <n v="687.99999743700027"/>
    <n v="50"/>
    <d v="1996-12-05T00:00:00"/>
  </r>
  <r>
    <n v="10373"/>
    <x v="2"/>
    <n v="687.99999743700027"/>
    <n v="50"/>
    <d v="1996-12-05T00:00:00"/>
  </r>
  <r>
    <n v="10373"/>
    <x v="3"/>
    <n v="687.99999743700027"/>
    <n v="50"/>
    <d v="1996-12-05T00:00:00"/>
  </r>
  <r>
    <n v="10373"/>
    <x v="4"/>
    <n v="687.99999743700027"/>
    <n v="50"/>
    <d v="1996-12-05T00:00:00"/>
  </r>
  <r>
    <n v="10373"/>
    <x v="5"/>
    <n v="687.99999743700027"/>
    <n v="50"/>
    <d v="1996-12-05T00:00:00"/>
  </r>
  <r>
    <n v="10373"/>
    <x v="6"/>
    <n v="687.99999743700027"/>
    <n v="50"/>
    <d v="1996-12-05T00:00:00"/>
  </r>
  <r>
    <n v="10373"/>
    <x v="7"/>
    <n v="687.99999743700027"/>
    <n v="50"/>
    <d v="1996-12-05T00:00:00"/>
  </r>
  <r>
    <n v="10374"/>
    <x v="0"/>
    <n v="300"/>
    <n v="30"/>
    <d v="1996-12-05T00:00:00"/>
  </r>
  <r>
    <n v="10374"/>
    <x v="1"/>
    <n v="300"/>
    <n v="30"/>
    <d v="1996-12-05T00:00:00"/>
  </r>
  <r>
    <n v="10374"/>
    <x v="2"/>
    <n v="300"/>
    <n v="30"/>
    <d v="1996-12-05T00:00:00"/>
  </r>
  <r>
    <n v="10374"/>
    <x v="3"/>
    <n v="300"/>
    <n v="30"/>
    <d v="1996-12-05T00:00:00"/>
  </r>
  <r>
    <n v="10374"/>
    <x v="4"/>
    <n v="300"/>
    <n v="30"/>
    <d v="1996-12-05T00:00:00"/>
  </r>
  <r>
    <n v="10374"/>
    <x v="5"/>
    <n v="300"/>
    <n v="30"/>
    <d v="1996-12-05T00:00:00"/>
  </r>
  <r>
    <n v="10374"/>
    <x v="6"/>
    <n v="300"/>
    <n v="30"/>
    <d v="1996-12-05T00:00:00"/>
  </r>
  <r>
    <n v="10374"/>
    <x v="7"/>
    <n v="300"/>
    <n v="30"/>
    <d v="1996-12-05T00:00:00"/>
  </r>
  <r>
    <n v="10374"/>
    <x v="0"/>
    <n v="159"/>
    <n v="15"/>
    <d v="1996-12-05T00:00:00"/>
  </r>
  <r>
    <n v="10374"/>
    <x v="1"/>
    <n v="159"/>
    <n v="15"/>
    <d v="1996-12-05T00:00:00"/>
  </r>
  <r>
    <n v="10374"/>
    <x v="2"/>
    <n v="159"/>
    <n v="15"/>
    <d v="1996-12-05T00:00:00"/>
  </r>
  <r>
    <n v="10374"/>
    <x v="3"/>
    <n v="159"/>
    <n v="15"/>
    <d v="1996-12-05T00:00:00"/>
  </r>
  <r>
    <n v="10374"/>
    <x v="4"/>
    <n v="159"/>
    <n v="15"/>
    <d v="1996-12-05T00:00:00"/>
  </r>
  <r>
    <n v="10374"/>
    <x v="5"/>
    <n v="159"/>
    <n v="15"/>
    <d v="1996-12-05T00:00:00"/>
  </r>
  <r>
    <n v="10374"/>
    <x v="6"/>
    <n v="159"/>
    <n v="15"/>
    <d v="1996-12-05T00:00:00"/>
  </r>
  <r>
    <n v="10374"/>
    <x v="7"/>
    <n v="159"/>
    <n v="15"/>
    <d v="1996-12-05T00:00:00"/>
  </r>
  <r>
    <n v="10375"/>
    <x v="0"/>
    <n v="279"/>
    <n v="15"/>
    <d v="1996-12-06T00:00:00"/>
  </r>
  <r>
    <n v="10375"/>
    <x v="1"/>
    <n v="279"/>
    <n v="15"/>
    <d v="1996-12-06T00:00:00"/>
  </r>
  <r>
    <n v="10375"/>
    <x v="2"/>
    <n v="279"/>
    <n v="15"/>
    <d v="1996-12-06T00:00:00"/>
  </r>
  <r>
    <n v="10375"/>
    <x v="3"/>
    <n v="279"/>
    <n v="15"/>
    <d v="1996-12-06T00:00:00"/>
  </r>
  <r>
    <n v="10375"/>
    <x v="4"/>
    <n v="279"/>
    <n v="15"/>
    <d v="1996-12-06T00:00:00"/>
  </r>
  <r>
    <n v="10375"/>
    <x v="5"/>
    <n v="279"/>
    <n v="15"/>
    <d v="1996-12-06T00:00:00"/>
  </r>
  <r>
    <n v="10375"/>
    <x v="6"/>
    <n v="279"/>
    <n v="15"/>
    <d v="1996-12-06T00:00:00"/>
  </r>
  <r>
    <n v="10375"/>
    <x v="7"/>
    <n v="279"/>
    <n v="15"/>
    <d v="1996-12-06T00:00:00"/>
  </r>
  <r>
    <n v="10375"/>
    <x v="0"/>
    <n v="59"/>
    <n v="10"/>
    <d v="1996-12-06T00:00:00"/>
  </r>
  <r>
    <n v="10375"/>
    <x v="1"/>
    <n v="59"/>
    <n v="10"/>
    <d v="1996-12-06T00:00:00"/>
  </r>
  <r>
    <n v="10375"/>
    <x v="2"/>
    <n v="59"/>
    <n v="10"/>
    <d v="1996-12-06T00:00:00"/>
  </r>
  <r>
    <n v="10375"/>
    <x v="3"/>
    <n v="59"/>
    <n v="10"/>
    <d v="1996-12-06T00:00:00"/>
  </r>
  <r>
    <n v="10375"/>
    <x v="4"/>
    <n v="59"/>
    <n v="10"/>
    <d v="1996-12-06T00:00:00"/>
  </r>
  <r>
    <n v="10375"/>
    <x v="5"/>
    <n v="59"/>
    <n v="10"/>
    <d v="1996-12-06T00:00:00"/>
  </r>
  <r>
    <n v="10375"/>
    <x v="6"/>
    <n v="59"/>
    <n v="10"/>
    <d v="1996-12-06T00:00:00"/>
  </r>
  <r>
    <n v="10375"/>
    <x v="7"/>
    <n v="59"/>
    <n v="10"/>
    <d v="1996-12-06T00:00:00"/>
  </r>
  <r>
    <n v="10376"/>
    <x v="0"/>
    <n v="398.99999968707561"/>
    <n v="42"/>
    <d v="1996-12-09T00:00:00"/>
  </r>
  <r>
    <n v="10376"/>
    <x v="1"/>
    <n v="398.99999968707561"/>
    <n v="42"/>
    <d v="1996-12-09T00:00:00"/>
  </r>
  <r>
    <n v="10376"/>
    <x v="2"/>
    <n v="398.99999968707561"/>
    <n v="42"/>
    <d v="1996-12-09T00:00:00"/>
  </r>
  <r>
    <n v="10376"/>
    <x v="3"/>
    <n v="398.99999968707561"/>
    <n v="42"/>
    <d v="1996-12-09T00:00:00"/>
  </r>
  <r>
    <n v="10376"/>
    <x v="4"/>
    <n v="398.99999968707561"/>
    <n v="42"/>
    <d v="1996-12-09T00:00:00"/>
  </r>
  <r>
    <n v="10376"/>
    <x v="5"/>
    <n v="398.99999968707561"/>
    <n v="42"/>
    <d v="1996-12-09T00:00:00"/>
  </r>
  <r>
    <n v="10376"/>
    <x v="6"/>
    <n v="398.99999968707561"/>
    <n v="42"/>
    <d v="1996-12-09T00:00:00"/>
  </r>
  <r>
    <n v="10376"/>
    <x v="7"/>
    <n v="398.99999968707561"/>
    <n v="42"/>
    <d v="1996-12-09T00:00:00"/>
  </r>
  <r>
    <n v="10377"/>
    <x v="0"/>
    <n v="618.79999566078186"/>
    <n v="20"/>
    <d v="1996-12-09T00:00:00"/>
  </r>
  <r>
    <n v="10377"/>
    <x v="1"/>
    <n v="618.79999566078186"/>
    <n v="20"/>
    <d v="1996-12-09T00:00:00"/>
  </r>
  <r>
    <n v="10377"/>
    <x v="2"/>
    <n v="618.79999566078186"/>
    <n v="20"/>
    <d v="1996-12-09T00:00:00"/>
  </r>
  <r>
    <n v="10377"/>
    <x v="3"/>
    <n v="618.79999566078186"/>
    <n v="20"/>
    <d v="1996-12-09T00:00:00"/>
  </r>
  <r>
    <n v="10377"/>
    <x v="4"/>
    <n v="618.79999566078186"/>
    <n v="20"/>
    <d v="1996-12-09T00:00:00"/>
  </r>
  <r>
    <n v="10377"/>
    <x v="5"/>
    <n v="618.79999566078186"/>
    <n v="20"/>
    <d v="1996-12-09T00:00:00"/>
  </r>
  <r>
    <n v="10377"/>
    <x v="6"/>
    <n v="618.79999566078186"/>
    <n v="20"/>
    <d v="1996-12-09T00:00:00"/>
  </r>
  <r>
    <n v="10377"/>
    <x v="7"/>
    <n v="618.79999566078186"/>
    <n v="20"/>
    <d v="1996-12-09T00:00:00"/>
  </r>
  <r>
    <n v="10377"/>
    <x v="0"/>
    <n v="244.79999828338623"/>
    <n v="20"/>
    <d v="1996-12-09T00:00:00"/>
  </r>
  <r>
    <n v="10377"/>
    <x v="1"/>
    <n v="244.79999828338623"/>
    <n v="20"/>
    <d v="1996-12-09T00:00:00"/>
  </r>
  <r>
    <n v="10377"/>
    <x v="2"/>
    <n v="244.79999828338623"/>
    <n v="20"/>
    <d v="1996-12-09T00:00:00"/>
  </r>
  <r>
    <n v="10377"/>
    <x v="3"/>
    <n v="244.79999828338623"/>
    <n v="20"/>
    <d v="1996-12-09T00:00:00"/>
  </r>
  <r>
    <n v="10377"/>
    <x v="4"/>
    <n v="244.79999828338623"/>
    <n v="20"/>
    <d v="1996-12-09T00:00:00"/>
  </r>
  <r>
    <n v="10377"/>
    <x v="5"/>
    <n v="244.79999828338623"/>
    <n v="20"/>
    <d v="1996-12-09T00:00:00"/>
  </r>
  <r>
    <n v="10377"/>
    <x v="6"/>
    <n v="244.79999828338623"/>
    <n v="20"/>
    <d v="1996-12-09T00:00:00"/>
  </r>
  <r>
    <n v="10377"/>
    <x v="7"/>
    <n v="244.79999828338623"/>
    <n v="20"/>
    <d v="1996-12-09T00:00:00"/>
  </r>
  <r>
    <n v="10378"/>
    <x v="0"/>
    <n v="103.2"/>
    <n v="6"/>
    <d v="1996-12-10T00:00:00"/>
  </r>
  <r>
    <n v="10378"/>
    <x v="1"/>
    <n v="103.2"/>
    <n v="6"/>
    <d v="1996-12-10T00:00:00"/>
  </r>
  <r>
    <n v="10378"/>
    <x v="2"/>
    <n v="103.2"/>
    <n v="6"/>
    <d v="1996-12-10T00:00:00"/>
  </r>
  <r>
    <n v="10378"/>
    <x v="3"/>
    <n v="103.2"/>
    <n v="6"/>
    <d v="1996-12-10T00:00:00"/>
  </r>
  <r>
    <n v="10378"/>
    <x v="4"/>
    <n v="103.2"/>
    <n v="6"/>
    <d v="1996-12-10T00:00:00"/>
  </r>
  <r>
    <n v="10378"/>
    <x v="5"/>
    <n v="103.2"/>
    <n v="6"/>
    <d v="1996-12-10T00:00:00"/>
  </r>
  <r>
    <n v="10378"/>
    <x v="6"/>
    <n v="103.2"/>
    <n v="6"/>
    <d v="1996-12-10T00:00:00"/>
  </r>
  <r>
    <n v="10378"/>
    <x v="7"/>
    <n v="103.2"/>
    <n v="6"/>
    <d v="1996-12-10T00:00:00"/>
  </r>
  <r>
    <n v="10379"/>
    <x v="0"/>
    <n v="55.439999908208847"/>
    <n v="8"/>
    <d v="1996-12-11T00:00:00"/>
  </r>
  <r>
    <n v="10379"/>
    <x v="1"/>
    <n v="55.439999908208847"/>
    <n v="8"/>
    <d v="1996-12-11T00:00:00"/>
  </r>
  <r>
    <n v="10379"/>
    <x v="2"/>
    <n v="55.439999908208847"/>
    <n v="8"/>
    <d v="1996-12-11T00:00:00"/>
  </r>
  <r>
    <n v="10379"/>
    <x v="3"/>
    <n v="55.439999908208847"/>
    <n v="8"/>
    <d v="1996-12-11T00:00:00"/>
  </r>
  <r>
    <n v="10379"/>
    <x v="4"/>
    <n v="55.439999908208847"/>
    <n v="8"/>
    <d v="1996-12-11T00:00:00"/>
  </r>
  <r>
    <n v="10379"/>
    <x v="5"/>
    <n v="55.439999908208847"/>
    <n v="8"/>
    <d v="1996-12-11T00:00:00"/>
  </r>
  <r>
    <n v="10379"/>
    <x v="6"/>
    <n v="55.439999908208847"/>
    <n v="8"/>
    <d v="1996-12-11T00:00:00"/>
  </r>
  <r>
    <n v="10379"/>
    <x v="7"/>
    <n v="55.439999908208847"/>
    <n v="8"/>
    <d v="1996-12-11T00:00:00"/>
  </r>
  <r>
    <n v="10379"/>
    <x v="0"/>
    <n v="505.43999916315079"/>
    <n v="16"/>
    <d v="1996-12-11T00:00:00"/>
  </r>
  <r>
    <n v="10379"/>
    <x v="1"/>
    <n v="505.43999916315079"/>
    <n v="16"/>
    <d v="1996-12-11T00:00:00"/>
  </r>
  <r>
    <n v="10379"/>
    <x v="2"/>
    <n v="505.43999916315079"/>
    <n v="16"/>
    <d v="1996-12-11T00:00:00"/>
  </r>
  <r>
    <n v="10379"/>
    <x v="3"/>
    <n v="505.43999916315079"/>
    <n v="16"/>
    <d v="1996-12-11T00:00:00"/>
  </r>
  <r>
    <n v="10379"/>
    <x v="4"/>
    <n v="505.43999916315079"/>
    <n v="16"/>
    <d v="1996-12-11T00:00:00"/>
  </r>
  <r>
    <n v="10379"/>
    <x v="5"/>
    <n v="505.43999916315079"/>
    <n v="16"/>
    <d v="1996-12-11T00:00:00"/>
  </r>
  <r>
    <n v="10379"/>
    <x v="6"/>
    <n v="505.43999916315079"/>
    <n v="16"/>
    <d v="1996-12-11T00:00:00"/>
  </r>
  <r>
    <n v="10379"/>
    <x v="7"/>
    <n v="505.43999916315079"/>
    <n v="16"/>
    <d v="1996-12-11T00:00:00"/>
  </r>
  <r>
    <n v="10379"/>
    <x v="0"/>
    <n v="302.39999949932098"/>
    <n v="20"/>
    <d v="1996-12-11T00:00:00"/>
  </r>
  <r>
    <n v="10379"/>
    <x v="1"/>
    <n v="302.39999949932098"/>
    <n v="20"/>
    <d v="1996-12-11T00:00:00"/>
  </r>
  <r>
    <n v="10379"/>
    <x v="2"/>
    <n v="302.39999949932098"/>
    <n v="20"/>
    <d v="1996-12-11T00:00:00"/>
  </r>
  <r>
    <n v="10379"/>
    <x v="3"/>
    <n v="302.39999949932098"/>
    <n v="20"/>
    <d v="1996-12-11T00:00:00"/>
  </r>
  <r>
    <n v="10379"/>
    <x v="4"/>
    <n v="302.39999949932098"/>
    <n v="20"/>
    <d v="1996-12-11T00:00:00"/>
  </r>
  <r>
    <n v="10379"/>
    <x v="5"/>
    <n v="302.39999949932098"/>
    <n v="20"/>
    <d v="1996-12-11T00:00:00"/>
  </r>
  <r>
    <n v="10379"/>
    <x v="6"/>
    <n v="302.39999949932098"/>
    <n v="20"/>
    <d v="1996-12-11T00:00:00"/>
  </r>
  <r>
    <n v="10379"/>
    <x v="7"/>
    <n v="302.39999949932098"/>
    <n v="20"/>
    <d v="1996-12-11T00:00:00"/>
  </r>
  <r>
    <n v="10380"/>
    <x v="0"/>
    <n v="335.33999944478273"/>
    <n v="18"/>
    <d v="1996-12-12T00:00:00"/>
  </r>
  <r>
    <n v="10380"/>
    <x v="1"/>
    <n v="335.33999944478273"/>
    <n v="18"/>
    <d v="1996-12-12T00:00:00"/>
  </r>
  <r>
    <n v="10380"/>
    <x v="2"/>
    <n v="335.33999944478273"/>
    <n v="18"/>
    <d v="1996-12-12T00:00:00"/>
  </r>
  <r>
    <n v="10380"/>
    <x v="3"/>
    <n v="335.33999944478273"/>
    <n v="18"/>
    <d v="1996-12-12T00:00:00"/>
  </r>
  <r>
    <n v="10380"/>
    <x v="4"/>
    <n v="335.33999944478273"/>
    <n v="18"/>
    <d v="1996-12-12T00:00:00"/>
  </r>
  <r>
    <n v="10380"/>
    <x v="5"/>
    <n v="335.33999944478273"/>
    <n v="18"/>
    <d v="1996-12-12T00:00:00"/>
  </r>
  <r>
    <n v="10380"/>
    <x v="6"/>
    <n v="335.33999944478273"/>
    <n v="18"/>
    <d v="1996-12-12T00:00:00"/>
  </r>
  <r>
    <n v="10380"/>
    <x v="7"/>
    <n v="335.33999944478273"/>
    <n v="18"/>
    <d v="1996-12-12T00:00:00"/>
  </r>
  <r>
    <n v="10380"/>
    <x v="0"/>
    <n v="471.59999921917915"/>
    <n v="20"/>
    <d v="1996-12-12T00:00:00"/>
  </r>
  <r>
    <n v="10380"/>
    <x v="1"/>
    <n v="471.59999921917915"/>
    <n v="20"/>
    <d v="1996-12-12T00:00:00"/>
  </r>
  <r>
    <n v="10380"/>
    <x v="2"/>
    <n v="471.59999921917915"/>
    <n v="20"/>
    <d v="1996-12-12T00:00:00"/>
  </r>
  <r>
    <n v="10380"/>
    <x v="3"/>
    <n v="471.59999921917915"/>
    <n v="20"/>
    <d v="1996-12-12T00:00:00"/>
  </r>
  <r>
    <n v="10380"/>
    <x v="4"/>
    <n v="471.59999921917915"/>
    <n v="20"/>
    <d v="1996-12-12T00:00:00"/>
  </r>
  <r>
    <n v="10380"/>
    <x v="5"/>
    <n v="471.59999921917915"/>
    <n v="20"/>
    <d v="1996-12-12T00:00:00"/>
  </r>
  <r>
    <n v="10380"/>
    <x v="6"/>
    <n v="471.59999921917915"/>
    <n v="20"/>
    <d v="1996-12-12T00:00:00"/>
  </r>
  <r>
    <n v="10380"/>
    <x v="7"/>
    <n v="471.59999921917915"/>
    <n v="20"/>
    <d v="1996-12-12T00:00:00"/>
  </r>
  <r>
    <n v="10380"/>
    <x v="0"/>
    <n v="146.87999975681305"/>
    <n v="6"/>
    <d v="1996-12-12T00:00:00"/>
  </r>
  <r>
    <n v="10380"/>
    <x v="1"/>
    <n v="146.87999975681305"/>
    <n v="6"/>
    <d v="1996-12-12T00:00:00"/>
  </r>
  <r>
    <n v="10380"/>
    <x v="2"/>
    <n v="146.87999975681305"/>
    <n v="6"/>
    <d v="1996-12-12T00:00:00"/>
  </r>
  <r>
    <n v="10380"/>
    <x v="3"/>
    <n v="146.87999975681305"/>
    <n v="6"/>
    <d v="1996-12-12T00:00:00"/>
  </r>
  <r>
    <n v="10380"/>
    <x v="4"/>
    <n v="146.87999975681305"/>
    <n v="6"/>
    <d v="1996-12-12T00:00:00"/>
  </r>
  <r>
    <n v="10380"/>
    <x v="5"/>
    <n v="146.87999975681305"/>
    <n v="6"/>
    <d v="1996-12-12T00:00:00"/>
  </r>
  <r>
    <n v="10380"/>
    <x v="6"/>
    <n v="146.87999975681305"/>
    <n v="6"/>
    <d v="1996-12-12T00:00:00"/>
  </r>
  <r>
    <n v="10380"/>
    <x v="7"/>
    <n v="146.87999975681305"/>
    <n v="6"/>
    <d v="1996-12-12T00:00:00"/>
  </r>
  <r>
    <n v="10380"/>
    <x v="0"/>
    <n v="360"/>
    <n v="30"/>
    <d v="1996-12-12T00:00:00"/>
  </r>
  <r>
    <n v="10380"/>
    <x v="1"/>
    <n v="360"/>
    <n v="30"/>
    <d v="1996-12-12T00:00:00"/>
  </r>
  <r>
    <n v="10380"/>
    <x v="2"/>
    <n v="360"/>
    <n v="30"/>
    <d v="1996-12-12T00:00:00"/>
  </r>
  <r>
    <n v="10380"/>
    <x v="3"/>
    <n v="360"/>
    <n v="30"/>
    <d v="1996-12-12T00:00:00"/>
  </r>
  <r>
    <n v="10380"/>
    <x v="4"/>
    <n v="360"/>
    <n v="30"/>
    <d v="1996-12-12T00:00:00"/>
  </r>
  <r>
    <n v="10380"/>
    <x v="5"/>
    <n v="360"/>
    <n v="30"/>
    <d v="1996-12-12T00:00:00"/>
  </r>
  <r>
    <n v="10380"/>
    <x v="6"/>
    <n v="360"/>
    <n v="30"/>
    <d v="1996-12-12T00:00:00"/>
  </r>
  <r>
    <n v="10380"/>
    <x v="7"/>
    <n v="360"/>
    <n v="30"/>
    <d v="1996-12-12T00:00:00"/>
  </r>
  <r>
    <n v="10381"/>
    <x v="0"/>
    <n v="112"/>
    <n v="14"/>
    <d v="1996-12-12T00:00:00"/>
  </r>
  <r>
    <n v="10381"/>
    <x v="1"/>
    <n v="112"/>
    <n v="14"/>
    <d v="1996-12-12T00:00:00"/>
  </r>
  <r>
    <n v="10381"/>
    <x v="2"/>
    <n v="112"/>
    <n v="14"/>
    <d v="1996-12-12T00:00:00"/>
  </r>
  <r>
    <n v="10381"/>
    <x v="3"/>
    <n v="112"/>
    <n v="14"/>
    <d v="1996-12-12T00:00:00"/>
  </r>
  <r>
    <n v="10381"/>
    <x v="4"/>
    <n v="112"/>
    <n v="14"/>
    <d v="1996-12-12T00:00:00"/>
  </r>
  <r>
    <n v="10381"/>
    <x v="5"/>
    <n v="112"/>
    <n v="14"/>
    <d v="1996-12-12T00:00:00"/>
  </r>
  <r>
    <n v="10381"/>
    <x v="6"/>
    <n v="112"/>
    <n v="14"/>
    <d v="1996-12-12T00:00:00"/>
  </r>
  <r>
    <n v="10381"/>
    <x v="7"/>
    <n v="112"/>
    <n v="14"/>
    <d v="1996-12-12T00:00:00"/>
  </r>
  <r>
    <n v="10382"/>
    <x v="0"/>
    <n v="544"/>
    <n v="32"/>
    <d v="1996-12-13T00:00:00"/>
  </r>
  <r>
    <n v="10382"/>
    <x v="1"/>
    <n v="544"/>
    <n v="32"/>
    <d v="1996-12-13T00:00:00"/>
  </r>
  <r>
    <n v="10382"/>
    <x v="2"/>
    <n v="544"/>
    <n v="32"/>
    <d v="1996-12-13T00:00:00"/>
  </r>
  <r>
    <n v="10382"/>
    <x v="3"/>
    <n v="544"/>
    <n v="32"/>
    <d v="1996-12-13T00:00:00"/>
  </r>
  <r>
    <n v="10382"/>
    <x v="4"/>
    <n v="544"/>
    <n v="32"/>
    <d v="1996-12-13T00:00:00"/>
  </r>
  <r>
    <n v="10382"/>
    <x v="5"/>
    <n v="544"/>
    <n v="32"/>
    <d v="1996-12-13T00:00:00"/>
  </r>
  <r>
    <n v="10382"/>
    <x v="6"/>
    <n v="544"/>
    <n v="32"/>
    <d v="1996-12-13T00:00:00"/>
  </r>
  <r>
    <n v="10382"/>
    <x v="7"/>
    <n v="544"/>
    <n v="32"/>
    <d v="1996-12-13T00:00:00"/>
  </r>
  <r>
    <n v="10382"/>
    <x v="0"/>
    <n v="450"/>
    <n v="9"/>
    <d v="1996-12-13T00:00:00"/>
  </r>
  <r>
    <n v="10382"/>
    <x v="1"/>
    <n v="450"/>
    <n v="9"/>
    <d v="1996-12-13T00:00:00"/>
  </r>
  <r>
    <n v="10382"/>
    <x v="2"/>
    <n v="450"/>
    <n v="9"/>
    <d v="1996-12-13T00:00:00"/>
  </r>
  <r>
    <n v="10382"/>
    <x v="3"/>
    <n v="450"/>
    <n v="9"/>
    <d v="1996-12-13T00:00:00"/>
  </r>
  <r>
    <n v="10382"/>
    <x v="4"/>
    <n v="450"/>
    <n v="9"/>
    <d v="1996-12-13T00:00:00"/>
  </r>
  <r>
    <n v="10382"/>
    <x v="5"/>
    <n v="450"/>
    <n v="9"/>
    <d v="1996-12-13T00:00:00"/>
  </r>
  <r>
    <n v="10382"/>
    <x v="6"/>
    <n v="450"/>
    <n v="9"/>
    <d v="1996-12-13T00:00:00"/>
  </r>
  <r>
    <n v="10382"/>
    <x v="7"/>
    <n v="450"/>
    <n v="9"/>
    <d v="1996-12-13T00:00:00"/>
  </r>
  <r>
    <n v="10382"/>
    <x v="0"/>
    <n v="1386"/>
    <n v="14"/>
    <d v="1996-12-13T00:00:00"/>
  </r>
  <r>
    <n v="10382"/>
    <x v="1"/>
    <n v="1386"/>
    <n v="14"/>
    <d v="1996-12-13T00:00:00"/>
  </r>
  <r>
    <n v="10382"/>
    <x v="2"/>
    <n v="1386"/>
    <n v="14"/>
    <d v="1996-12-13T00:00:00"/>
  </r>
  <r>
    <n v="10382"/>
    <x v="3"/>
    <n v="1386"/>
    <n v="14"/>
    <d v="1996-12-13T00:00:00"/>
  </r>
  <r>
    <n v="10382"/>
    <x v="4"/>
    <n v="1386"/>
    <n v="14"/>
    <d v="1996-12-13T00:00:00"/>
  </r>
  <r>
    <n v="10382"/>
    <x v="5"/>
    <n v="1386"/>
    <n v="14"/>
    <d v="1996-12-13T00:00:00"/>
  </r>
  <r>
    <n v="10382"/>
    <x v="6"/>
    <n v="1386"/>
    <n v="14"/>
    <d v="1996-12-13T00:00:00"/>
  </r>
  <r>
    <n v="10382"/>
    <x v="7"/>
    <n v="1386"/>
    <n v="14"/>
    <d v="1996-12-13T00:00:00"/>
  </r>
  <r>
    <n v="10382"/>
    <x v="0"/>
    <n v="120"/>
    <n v="60"/>
    <d v="1996-12-13T00:00:00"/>
  </r>
  <r>
    <n v="10382"/>
    <x v="1"/>
    <n v="120"/>
    <n v="60"/>
    <d v="1996-12-13T00:00:00"/>
  </r>
  <r>
    <n v="10382"/>
    <x v="2"/>
    <n v="120"/>
    <n v="60"/>
    <d v="1996-12-13T00:00:00"/>
  </r>
  <r>
    <n v="10382"/>
    <x v="3"/>
    <n v="120"/>
    <n v="60"/>
    <d v="1996-12-13T00:00:00"/>
  </r>
  <r>
    <n v="10382"/>
    <x v="4"/>
    <n v="120"/>
    <n v="60"/>
    <d v="1996-12-13T00:00:00"/>
  </r>
  <r>
    <n v="10382"/>
    <x v="5"/>
    <n v="120"/>
    <n v="60"/>
    <d v="1996-12-13T00:00:00"/>
  </r>
  <r>
    <n v="10382"/>
    <x v="6"/>
    <n v="120"/>
    <n v="60"/>
    <d v="1996-12-13T00:00:00"/>
  </r>
  <r>
    <n v="10382"/>
    <x v="7"/>
    <n v="120"/>
    <n v="60"/>
    <d v="1996-12-13T00:00:00"/>
  </r>
  <r>
    <n v="10382"/>
    <x v="0"/>
    <n v="400"/>
    <n v="50"/>
    <d v="1996-12-13T00:00:00"/>
  </r>
  <r>
    <n v="10382"/>
    <x v="1"/>
    <n v="400"/>
    <n v="50"/>
    <d v="1996-12-13T00:00:00"/>
  </r>
  <r>
    <n v="10382"/>
    <x v="2"/>
    <n v="400"/>
    <n v="50"/>
    <d v="1996-12-13T00:00:00"/>
  </r>
  <r>
    <n v="10382"/>
    <x v="3"/>
    <n v="400"/>
    <n v="50"/>
    <d v="1996-12-13T00:00:00"/>
  </r>
  <r>
    <n v="10382"/>
    <x v="4"/>
    <n v="400"/>
    <n v="50"/>
    <d v="1996-12-13T00:00:00"/>
  </r>
  <r>
    <n v="10382"/>
    <x v="5"/>
    <n v="400"/>
    <n v="50"/>
    <d v="1996-12-13T00:00:00"/>
  </r>
  <r>
    <n v="10382"/>
    <x v="6"/>
    <n v="400"/>
    <n v="50"/>
    <d v="1996-12-13T00:00:00"/>
  </r>
  <r>
    <n v="10382"/>
    <x v="7"/>
    <n v="400"/>
    <n v="50"/>
    <d v="1996-12-13T00:00:00"/>
  </r>
  <r>
    <n v="10383"/>
    <x v="0"/>
    <n v="96"/>
    <n v="20"/>
    <d v="1996-12-16T00:00:00"/>
  </r>
  <r>
    <n v="10383"/>
    <x v="1"/>
    <n v="96"/>
    <n v="20"/>
    <d v="1996-12-16T00:00:00"/>
  </r>
  <r>
    <n v="10383"/>
    <x v="2"/>
    <n v="96"/>
    <n v="20"/>
    <d v="1996-12-16T00:00:00"/>
  </r>
  <r>
    <n v="10383"/>
    <x v="3"/>
    <n v="96"/>
    <n v="20"/>
    <d v="1996-12-16T00:00:00"/>
  </r>
  <r>
    <n v="10383"/>
    <x v="4"/>
    <n v="96"/>
    <n v="20"/>
    <d v="1996-12-16T00:00:00"/>
  </r>
  <r>
    <n v="10383"/>
    <x v="5"/>
    <n v="96"/>
    <n v="20"/>
    <d v="1996-12-16T00:00:00"/>
  </r>
  <r>
    <n v="10383"/>
    <x v="6"/>
    <n v="96"/>
    <n v="20"/>
    <d v="1996-12-16T00:00:00"/>
  </r>
  <r>
    <n v="10383"/>
    <x v="7"/>
    <n v="96"/>
    <n v="20"/>
    <d v="1996-12-16T00:00:00"/>
  </r>
  <r>
    <n v="10383"/>
    <x v="0"/>
    <n v="195"/>
    <n v="15"/>
    <d v="1996-12-16T00:00:00"/>
  </r>
  <r>
    <n v="10383"/>
    <x v="1"/>
    <n v="195"/>
    <n v="15"/>
    <d v="1996-12-16T00:00:00"/>
  </r>
  <r>
    <n v="10383"/>
    <x v="2"/>
    <n v="195"/>
    <n v="15"/>
    <d v="1996-12-16T00:00:00"/>
  </r>
  <r>
    <n v="10383"/>
    <x v="3"/>
    <n v="195"/>
    <n v="15"/>
    <d v="1996-12-16T00:00:00"/>
  </r>
  <r>
    <n v="10383"/>
    <x v="4"/>
    <n v="195"/>
    <n v="15"/>
    <d v="1996-12-16T00:00:00"/>
  </r>
  <r>
    <n v="10383"/>
    <x v="5"/>
    <n v="195"/>
    <n v="15"/>
    <d v="1996-12-16T00:00:00"/>
  </r>
  <r>
    <n v="10383"/>
    <x v="6"/>
    <n v="195"/>
    <n v="15"/>
    <d v="1996-12-16T00:00:00"/>
  </r>
  <r>
    <n v="10383"/>
    <x v="7"/>
    <n v="195"/>
    <n v="15"/>
    <d v="1996-12-16T00:00:00"/>
  </r>
  <r>
    <n v="10383"/>
    <x v="0"/>
    <n v="608"/>
    <n v="20"/>
    <d v="1996-12-16T00:00:00"/>
  </r>
  <r>
    <n v="10383"/>
    <x v="1"/>
    <n v="608"/>
    <n v="20"/>
    <d v="1996-12-16T00:00:00"/>
  </r>
  <r>
    <n v="10383"/>
    <x v="2"/>
    <n v="608"/>
    <n v="20"/>
    <d v="1996-12-16T00:00:00"/>
  </r>
  <r>
    <n v="10383"/>
    <x v="3"/>
    <n v="608"/>
    <n v="20"/>
    <d v="1996-12-16T00:00:00"/>
  </r>
  <r>
    <n v="10383"/>
    <x v="4"/>
    <n v="608"/>
    <n v="20"/>
    <d v="1996-12-16T00:00:00"/>
  </r>
  <r>
    <n v="10383"/>
    <x v="5"/>
    <n v="608"/>
    <n v="20"/>
    <d v="1996-12-16T00:00:00"/>
  </r>
  <r>
    <n v="10383"/>
    <x v="6"/>
    <n v="608"/>
    <n v="20"/>
    <d v="1996-12-16T00:00:00"/>
  </r>
  <r>
    <n v="10383"/>
    <x v="7"/>
    <n v="608"/>
    <n v="20"/>
    <d v="1996-12-16T00:00:00"/>
  </r>
  <r>
    <n v="10384"/>
    <x v="0"/>
    <n v="1814.4"/>
    <n v="28"/>
    <d v="1996-12-16T00:00:00"/>
  </r>
  <r>
    <n v="10384"/>
    <x v="1"/>
    <n v="1814.4"/>
    <n v="28"/>
    <d v="1996-12-16T00:00:00"/>
  </r>
  <r>
    <n v="10384"/>
    <x v="2"/>
    <n v="1814.4"/>
    <n v="28"/>
    <d v="1996-12-16T00:00:00"/>
  </r>
  <r>
    <n v="10384"/>
    <x v="3"/>
    <n v="1814.4"/>
    <n v="28"/>
    <d v="1996-12-16T00:00:00"/>
  </r>
  <r>
    <n v="10384"/>
    <x v="4"/>
    <n v="1814.4"/>
    <n v="28"/>
    <d v="1996-12-16T00:00:00"/>
  </r>
  <r>
    <n v="10384"/>
    <x v="5"/>
    <n v="1814.4"/>
    <n v="28"/>
    <d v="1996-12-16T00:00:00"/>
  </r>
  <r>
    <n v="10384"/>
    <x v="6"/>
    <n v="1814.4"/>
    <n v="28"/>
    <d v="1996-12-16T00:00:00"/>
  </r>
  <r>
    <n v="10384"/>
    <x v="7"/>
    <n v="1814.4"/>
    <n v="28"/>
    <d v="1996-12-16T00:00:00"/>
  </r>
  <r>
    <n v="10384"/>
    <x v="0"/>
    <n v="408"/>
    <n v="15"/>
    <d v="1996-12-16T00:00:00"/>
  </r>
  <r>
    <n v="10384"/>
    <x v="1"/>
    <n v="408"/>
    <n v="15"/>
    <d v="1996-12-16T00:00:00"/>
  </r>
  <r>
    <n v="10384"/>
    <x v="2"/>
    <n v="408"/>
    <n v="15"/>
    <d v="1996-12-16T00:00:00"/>
  </r>
  <r>
    <n v="10384"/>
    <x v="3"/>
    <n v="408"/>
    <n v="15"/>
    <d v="1996-12-16T00:00:00"/>
  </r>
  <r>
    <n v="10384"/>
    <x v="4"/>
    <n v="408"/>
    <n v="15"/>
    <d v="1996-12-16T00:00:00"/>
  </r>
  <r>
    <n v="10384"/>
    <x v="5"/>
    <n v="408"/>
    <n v="15"/>
    <d v="1996-12-16T00:00:00"/>
  </r>
  <r>
    <n v="10384"/>
    <x v="6"/>
    <n v="408"/>
    <n v="15"/>
    <d v="1996-12-16T00:00:00"/>
  </r>
  <r>
    <n v="10384"/>
    <x v="7"/>
    <n v="408"/>
    <n v="15"/>
    <d v="1996-12-16T00:00:00"/>
  </r>
  <r>
    <n v="10385"/>
    <x v="0"/>
    <n v="191.99999928474426"/>
    <n v="10"/>
    <d v="1996-12-17T00:00:00"/>
  </r>
  <r>
    <n v="10385"/>
    <x v="1"/>
    <n v="191.99999928474426"/>
    <n v="10"/>
    <d v="1996-12-17T00:00:00"/>
  </r>
  <r>
    <n v="10385"/>
    <x v="2"/>
    <n v="191.99999928474426"/>
    <n v="10"/>
    <d v="1996-12-17T00:00:00"/>
  </r>
  <r>
    <n v="10385"/>
    <x v="3"/>
    <n v="191.99999928474426"/>
    <n v="10"/>
    <d v="1996-12-17T00:00:00"/>
  </r>
  <r>
    <n v="10385"/>
    <x v="4"/>
    <n v="191.99999928474426"/>
    <n v="10"/>
    <d v="1996-12-17T00:00:00"/>
  </r>
  <r>
    <n v="10385"/>
    <x v="5"/>
    <n v="191.99999928474426"/>
    <n v="10"/>
    <d v="1996-12-17T00:00:00"/>
  </r>
  <r>
    <n v="10385"/>
    <x v="6"/>
    <n v="191.99999928474426"/>
    <n v="10"/>
    <d v="1996-12-17T00:00:00"/>
  </r>
  <r>
    <n v="10385"/>
    <x v="7"/>
    <n v="191.99999928474426"/>
    <n v="10"/>
    <d v="1996-12-17T00:00:00"/>
  </r>
  <r>
    <n v="10385"/>
    <x v="0"/>
    <n v="435.19999837875366"/>
    <n v="20"/>
    <d v="1996-12-17T00:00:00"/>
  </r>
  <r>
    <n v="10385"/>
    <x v="1"/>
    <n v="435.19999837875366"/>
    <n v="20"/>
    <d v="1996-12-17T00:00:00"/>
  </r>
  <r>
    <n v="10385"/>
    <x v="2"/>
    <n v="435.19999837875366"/>
    <n v="20"/>
    <d v="1996-12-17T00:00:00"/>
  </r>
  <r>
    <n v="10385"/>
    <x v="3"/>
    <n v="435.19999837875366"/>
    <n v="20"/>
    <d v="1996-12-17T00:00:00"/>
  </r>
  <r>
    <n v="10385"/>
    <x v="4"/>
    <n v="435.19999837875366"/>
    <n v="20"/>
    <d v="1996-12-17T00:00:00"/>
  </r>
  <r>
    <n v="10385"/>
    <x v="5"/>
    <n v="435.19999837875366"/>
    <n v="20"/>
    <d v="1996-12-17T00:00:00"/>
  </r>
  <r>
    <n v="10385"/>
    <x v="6"/>
    <n v="435.19999837875366"/>
    <n v="20"/>
    <d v="1996-12-17T00:00:00"/>
  </r>
  <r>
    <n v="10385"/>
    <x v="7"/>
    <n v="435.19999837875366"/>
    <n v="20"/>
    <d v="1996-12-17T00:00:00"/>
  </r>
  <r>
    <n v="10385"/>
    <x v="0"/>
    <n v="63.999999761581421"/>
    <n v="8"/>
    <d v="1996-12-17T00:00:00"/>
  </r>
  <r>
    <n v="10385"/>
    <x v="1"/>
    <n v="63.999999761581421"/>
    <n v="8"/>
    <d v="1996-12-17T00:00:00"/>
  </r>
  <r>
    <n v="10385"/>
    <x v="2"/>
    <n v="63.999999761581421"/>
    <n v="8"/>
    <d v="1996-12-17T00:00:00"/>
  </r>
  <r>
    <n v="10385"/>
    <x v="3"/>
    <n v="63.999999761581421"/>
    <n v="8"/>
    <d v="1996-12-17T00:00:00"/>
  </r>
  <r>
    <n v="10385"/>
    <x v="4"/>
    <n v="63.999999761581421"/>
    <n v="8"/>
    <d v="1996-12-17T00:00:00"/>
  </r>
  <r>
    <n v="10385"/>
    <x v="5"/>
    <n v="63.999999761581421"/>
    <n v="8"/>
    <d v="1996-12-17T00:00:00"/>
  </r>
  <r>
    <n v="10385"/>
    <x v="6"/>
    <n v="63.999999761581421"/>
    <n v="8"/>
    <d v="1996-12-17T00:00:00"/>
  </r>
  <r>
    <n v="10385"/>
    <x v="7"/>
    <n v="63.999999761581421"/>
    <n v="8"/>
    <d v="1996-12-17T00:00:00"/>
  </r>
  <r>
    <n v="10386"/>
    <x v="0"/>
    <n v="54"/>
    <n v="15"/>
    <d v="1996-12-18T00:00:00"/>
  </r>
  <r>
    <n v="10386"/>
    <x v="1"/>
    <n v="54"/>
    <n v="15"/>
    <d v="1996-12-18T00:00:00"/>
  </r>
  <r>
    <n v="10386"/>
    <x v="2"/>
    <n v="54"/>
    <n v="15"/>
    <d v="1996-12-18T00:00:00"/>
  </r>
  <r>
    <n v="10386"/>
    <x v="3"/>
    <n v="54"/>
    <n v="15"/>
    <d v="1996-12-18T00:00:00"/>
  </r>
  <r>
    <n v="10386"/>
    <x v="4"/>
    <n v="54"/>
    <n v="15"/>
    <d v="1996-12-18T00:00:00"/>
  </r>
  <r>
    <n v="10386"/>
    <x v="5"/>
    <n v="54"/>
    <n v="15"/>
    <d v="1996-12-18T00:00:00"/>
  </r>
  <r>
    <n v="10386"/>
    <x v="6"/>
    <n v="54"/>
    <n v="15"/>
    <d v="1996-12-18T00:00:00"/>
  </r>
  <r>
    <n v="10386"/>
    <x v="7"/>
    <n v="54"/>
    <n v="15"/>
    <d v="1996-12-18T00:00:00"/>
  </r>
  <r>
    <n v="10386"/>
    <x v="0"/>
    <n v="112"/>
    <n v="10"/>
    <d v="1996-12-18T00:00:00"/>
  </r>
  <r>
    <n v="10386"/>
    <x v="1"/>
    <n v="112"/>
    <n v="10"/>
    <d v="1996-12-18T00:00:00"/>
  </r>
  <r>
    <n v="10386"/>
    <x v="2"/>
    <n v="112"/>
    <n v="10"/>
    <d v="1996-12-18T00:00:00"/>
  </r>
  <r>
    <n v="10386"/>
    <x v="3"/>
    <n v="112"/>
    <n v="10"/>
    <d v="1996-12-18T00:00:00"/>
  </r>
  <r>
    <n v="10386"/>
    <x v="4"/>
    <n v="112"/>
    <n v="10"/>
    <d v="1996-12-18T00:00:00"/>
  </r>
  <r>
    <n v="10386"/>
    <x v="5"/>
    <n v="112"/>
    <n v="10"/>
    <d v="1996-12-18T00:00:00"/>
  </r>
  <r>
    <n v="10386"/>
    <x v="6"/>
    <n v="112"/>
    <n v="10"/>
    <d v="1996-12-18T00:00:00"/>
  </r>
  <r>
    <n v="10386"/>
    <x v="7"/>
    <n v="112"/>
    <n v="10"/>
    <d v="1996-12-18T00:00:00"/>
  </r>
  <r>
    <n v="10387"/>
    <x v="0"/>
    <n v="54"/>
    <n v="15"/>
    <d v="1996-12-18T00:00:00"/>
  </r>
  <r>
    <n v="10387"/>
    <x v="1"/>
    <n v="54"/>
    <n v="15"/>
    <d v="1996-12-18T00:00:00"/>
  </r>
  <r>
    <n v="10387"/>
    <x v="2"/>
    <n v="54"/>
    <n v="15"/>
    <d v="1996-12-18T00:00:00"/>
  </r>
  <r>
    <n v="10387"/>
    <x v="3"/>
    <n v="54"/>
    <n v="15"/>
    <d v="1996-12-18T00:00:00"/>
  </r>
  <r>
    <n v="10387"/>
    <x v="4"/>
    <n v="54"/>
    <n v="15"/>
    <d v="1996-12-18T00:00:00"/>
  </r>
  <r>
    <n v="10387"/>
    <x v="5"/>
    <n v="54"/>
    <n v="15"/>
    <d v="1996-12-18T00:00:00"/>
  </r>
  <r>
    <n v="10387"/>
    <x v="6"/>
    <n v="54"/>
    <n v="15"/>
    <d v="1996-12-18T00:00:00"/>
  </r>
  <r>
    <n v="10387"/>
    <x v="7"/>
    <n v="54"/>
    <n v="15"/>
    <d v="1996-12-18T00:00:00"/>
  </r>
  <r>
    <n v="10387"/>
    <x v="0"/>
    <n v="218.4"/>
    <n v="6"/>
    <d v="1996-12-18T00:00:00"/>
  </r>
  <r>
    <n v="10387"/>
    <x v="1"/>
    <n v="218.4"/>
    <n v="6"/>
    <d v="1996-12-18T00:00:00"/>
  </r>
  <r>
    <n v="10387"/>
    <x v="2"/>
    <n v="218.4"/>
    <n v="6"/>
    <d v="1996-12-18T00:00:00"/>
  </r>
  <r>
    <n v="10387"/>
    <x v="3"/>
    <n v="218.4"/>
    <n v="6"/>
    <d v="1996-12-18T00:00:00"/>
  </r>
  <r>
    <n v="10387"/>
    <x v="4"/>
    <n v="218.4"/>
    <n v="6"/>
    <d v="1996-12-18T00:00:00"/>
  </r>
  <r>
    <n v="10387"/>
    <x v="5"/>
    <n v="218.4"/>
    <n v="6"/>
    <d v="1996-12-18T00:00:00"/>
  </r>
  <r>
    <n v="10387"/>
    <x v="6"/>
    <n v="218.4"/>
    <n v="6"/>
    <d v="1996-12-18T00:00:00"/>
  </r>
  <r>
    <n v="10387"/>
    <x v="7"/>
    <n v="218.4"/>
    <n v="6"/>
    <d v="1996-12-18T00:00:00"/>
  </r>
  <r>
    <n v="10387"/>
    <x v="0"/>
    <n v="528"/>
    <n v="12"/>
    <d v="1996-12-18T00:00:00"/>
  </r>
  <r>
    <n v="10387"/>
    <x v="1"/>
    <n v="528"/>
    <n v="12"/>
    <d v="1996-12-18T00:00:00"/>
  </r>
  <r>
    <n v="10387"/>
    <x v="2"/>
    <n v="528"/>
    <n v="12"/>
    <d v="1996-12-18T00:00:00"/>
  </r>
  <r>
    <n v="10387"/>
    <x v="3"/>
    <n v="528"/>
    <n v="12"/>
    <d v="1996-12-18T00:00:00"/>
  </r>
  <r>
    <n v="10387"/>
    <x v="4"/>
    <n v="528"/>
    <n v="12"/>
    <d v="1996-12-18T00:00:00"/>
  </r>
  <r>
    <n v="10387"/>
    <x v="5"/>
    <n v="528"/>
    <n v="12"/>
    <d v="1996-12-18T00:00:00"/>
  </r>
  <r>
    <n v="10387"/>
    <x v="6"/>
    <n v="528"/>
    <n v="12"/>
    <d v="1996-12-18T00:00:00"/>
  </r>
  <r>
    <n v="10387"/>
    <x v="7"/>
    <n v="528"/>
    <n v="12"/>
    <d v="1996-12-18T00:00:00"/>
  </r>
  <r>
    <n v="10387"/>
    <x v="0"/>
    <n v="258"/>
    <n v="15"/>
    <d v="1996-12-18T00:00:00"/>
  </r>
  <r>
    <n v="10387"/>
    <x v="1"/>
    <n v="258"/>
    <n v="15"/>
    <d v="1996-12-18T00:00:00"/>
  </r>
  <r>
    <n v="10387"/>
    <x v="2"/>
    <n v="258"/>
    <n v="15"/>
    <d v="1996-12-18T00:00:00"/>
  </r>
  <r>
    <n v="10387"/>
    <x v="3"/>
    <n v="258"/>
    <n v="15"/>
    <d v="1996-12-18T00:00:00"/>
  </r>
  <r>
    <n v="10387"/>
    <x v="4"/>
    <n v="258"/>
    <n v="15"/>
    <d v="1996-12-18T00:00:00"/>
  </r>
  <r>
    <n v="10387"/>
    <x v="5"/>
    <n v="258"/>
    <n v="15"/>
    <d v="1996-12-18T00:00:00"/>
  </r>
  <r>
    <n v="10387"/>
    <x v="6"/>
    <n v="258"/>
    <n v="15"/>
    <d v="1996-12-18T00:00:00"/>
  </r>
  <r>
    <n v="10387"/>
    <x v="7"/>
    <n v="258"/>
    <n v="15"/>
    <d v="1996-12-18T00:00:00"/>
  </r>
  <r>
    <n v="10388"/>
    <x v="0"/>
    <n v="91.199999660253525"/>
    <n v="15"/>
    <d v="1996-12-19T00:00:00"/>
  </r>
  <r>
    <n v="10388"/>
    <x v="1"/>
    <n v="91.199999660253525"/>
    <n v="15"/>
    <d v="1996-12-19T00:00:00"/>
  </r>
  <r>
    <n v="10388"/>
    <x v="2"/>
    <n v="91.199999660253525"/>
    <n v="15"/>
    <d v="1996-12-19T00:00:00"/>
  </r>
  <r>
    <n v="10388"/>
    <x v="3"/>
    <n v="91.199999660253525"/>
    <n v="15"/>
    <d v="1996-12-19T00:00:00"/>
  </r>
  <r>
    <n v="10388"/>
    <x v="4"/>
    <n v="91.199999660253525"/>
    <n v="15"/>
    <d v="1996-12-19T00:00:00"/>
  </r>
  <r>
    <n v="10388"/>
    <x v="5"/>
    <n v="91.199999660253525"/>
    <n v="15"/>
    <d v="1996-12-19T00:00:00"/>
  </r>
  <r>
    <n v="10388"/>
    <x v="6"/>
    <n v="91.199999660253525"/>
    <n v="15"/>
    <d v="1996-12-19T00:00:00"/>
  </r>
  <r>
    <n v="10388"/>
    <x v="7"/>
    <n v="91.199999660253525"/>
    <n v="15"/>
    <d v="1996-12-19T00:00:00"/>
  </r>
  <r>
    <n v="10388"/>
    <x v="0"/>
    <n v="89.599999666213989"/>
    <n v="20"/>
    <d v="1996-12-19T00:00:00"/>
  </r>
  <r>
    <n v="10388"/>
    <x v="1"/>
    <n v="89.599999666213989"/>
    <n v="20"/>
    <d v="1996-12-19T00:00:00"/>
  </r>
  <r>
    <n v="10388"/>
    <x v="2"/>
    <n v="89.599999666213989"/>
    <n v="20"/>
    <d v="1996-12-19T00:00:00"/>
  </r>
  <r>
    <n v="10388"/>
    <x v="3"/>
    <n v="89.599999666213989"/>
    <n v="20"/>
    <d v="1996-12-19T00:00:00"/>
  </r>
  <r>
    <n v="10388"/>
    <x v="4"/>
    <n v="89.599999666213989"/>
    <n v="20"/>
    <d v="1996-12-19T00:00:00"/>
  </r>
  <r>
    <n v="10388"/>
    <x v="5"/>
    <n v="89.599999666213989"/>
    <n v="20"/>
    <d v="1996-12-19T00:00:00"/>
  </r>
  <r>
    <n v="10388"/>
    <x v="6"/>
    <n v="89.599999666213989"/>
    <n v="20"/>
    <d v="1996-12-19T00:00:00"/>
  </r>
  <r>
    <n v="10388"/>
    <x v="7"/>
    <n v="89.599999666213989"/>
    <n v="20"/>
    <d v="1996-12-19T00:00:00"/>
  </r>
  <r>
    <n v="10388"/>
    <x v="0"/>
    <n v="1048"/>
    <n v="40"/>
    <d v="1996-12-19T00:00:00"/>
  </r>
  <r>
    <n v="10388"/>
    <x v="1"/>
    <n v="1048"/>
    <n v="40"/>
    <d v="1996-12-19T00:00:00"/>
  </r>
  <r>
    <n v="10388"/>
    <x v="2"/>
    <n v="1048"/>
    <n v="40"/>
    <d v="1996-12-19T00:00:00"/>
  </r>
  <r>
    <n v="10388"/>
    <x v="3"/>
    <n v="1048"/>
    <n v="40"/>
    <d v="1996-12-19T00:00:00"/>
  </r>
  <r>
    <n v="10388"/>
    <x v="4"/>
    <n v="1048"/>
    <n v="40"/>
    <d v="1996-12-19T00:00:00"/>
  </r>
  <r>
    <n v="10388"/>
    <x v="5"/>
    <n v="1048"/>
    <n v="40"/>
    <d v="1996-12-19T00:00:00"/>
  </r>
  <r>
    <n v="10388"/>
    <x v="6"/>
    <n v="1048"/>
    <n v="40"/>
    <d v="1996-12-19T00:00:00"/>
  </r>
  <r>
    <n v="10388"/>
    <x v="7"/>
    <n v="1048"/>
    <n v="40"/>
    <d v="1996-12-19T00:00:00"/>
  </r>
  <r>
    <n v="10389"/>
    <x v="0"/>
    <n v="396.8"/>
    <n v="16"/>
    <d v="1996-12-20T00:00:00"/>
  </r>
  <r>
    <n v="10389"/>
    <x v="1"/>
    <n v="396.8"/>
    <n v="16"/>
    <d v="1996-12-20T00:00:00"/>
  </r>
  <r>
    <n v="10389"/>
    <x v="2"/>
    <n v="396.8"/>
    <n v="16"/>
    <d v="1996-12-20T00:00:00"/>
  </r>
  <r>
    <n v="10389"/>
    <x v="3"/>
    <n v="396.8"/>
    <n v="16"/>
    <d v="1996-12-20T00:00:00"/>
  </r>
  <r>
    <n v="10389"/>
    <x v="4"/>
    <n v="396.8"/>
    <n v="16"/>
    <d v="1996-12-20T00:00:00"/>
  </r>
  <r>
    <n v="10389"/>
    <x v="5"/>
    <n v="396.8"/>
    <n v="16"/>
    <d v="1996-12-20T00:00:00"/>
  </r>
  <r>
    <n v="10389"/>
    <x v="6"/>
    <n v="396.8"/>
    <n v="16"/>
    <d v="1996-12-20T00:00:00"/>
  </r>
  <r>
    <n v="10389"/>
    <x v="7"/>
    <n v="396.8"/>
    <n v="16"/>
    <d v="1996-12-20T00:00:00"/>
  </r>
  <r>
    <n v="10389"/>
    <x v="0"/>
    <n v="288"/>
    <n v="15"/>
    <d v="1996-12-20T00:00:00"/>
  </r>
  <r>
    <n v="10389"/>
    <x v="1"/>
    <n v="288"/>
    <n v="15"/>
    <d v="1996-12-20T00:00:00"/>
  </r>
  <r>
    <n v="10389"/>
    <x v="2"/>
    <n v="288"/>
    <n v="15"/>
    <d v="1996-12-20T00:00:00"/>
  </r>
  <r>
    <n v="10389"/>
    <x v="3"/>
    <n v="288"/>
    <n v="15"/>
    <d v="1996-12-20T00:00:00"/>
  </r>
  <r>
    <n v="10389"/>
    <x v="4"/>
    <n v="288"/>
    <n v="15"/>
    <d v="1996-12-20T00:00:00"/>
  </r>
  <r>
    <n v="10389"/>
    <x v="5"/>
    <n v="288"/>
    <n v="15"/>
    <d v="1996-12-20T00:00:00"/>
  </r>
  <r>
    <n v="10389"/>
    <x v="6"/>
    <n v="288"/>
    <n v="15"/>
    <d v="1996-12-20T00:00:00"/>
  </r>
  <r>
    <n v="10389"/>
    <x v="7"/>
    <n v="288"/>
    <n v="15"/>
    <d v="1996-12-20T00:00:00"/>
  </r>
  <r>
    <n v="10389"/>
    <x v="0"/>
    <n v="788"/>
    <n v="20"/>
    <d v="1996-12-20T00:00:00"/>
  </r>
  <r>
    <n v="10389"/>
    <x v="1"/>
    <n v="788"/>
    <n v="20"/>
    <d v="1996-12-20T00:00:00"/>
  </r>
  <r>
    <n v="10389"/>
    <x v="2"/>
    <n v="788"/>
    <n v="20"/>
    <d v="1996-12-20T00:00:00"/>
  </r>
  <r>
    <n v="10389"/>
    <x v="3"/>
    <n v="788"/>
    <n v="20"/>
    <d v="1996-12-20T00:00:00"/>
  </r>
  <r>
    <n v="10389"/>
    <x v="4"/>
    <n v="788"/>
    <n v="20"/>
    <d v="1996-12-20T00:00:00"/>
  </r>
  <r>
    <n v="10389"/>
    <x v="5"/>
    <n v="788"/>
    <n v="20"/>
    <d v="1996-12-20T00:00:00"/>
  </r>
  <r>
    <n v="10389"/>
    <x v="6"/>
    <n v="788"/>
    <n v="20"/>
    <d v="1996-12-20T00:00:00"/>
  </r>
  <r>
    <n v="10389"/>
    <x v="7"/>
    <n v="788"/>
    <n v="20"/>
    <d v="1996-12-20T00:00:00"/>
  </r>
  <r>
    <n v="10389"/>
    <x v="0"/>
    <n v="360"/>
    <n v="30"/>
    <d v="1996-12-20T00:00:00"/>
  </r>
  <r>
    <n v="10389"/>
    <x v="1"/>
    <n v="360"/>
    <n v="30"/>
    <d v="1996-12-20T00:00:00"/>
  </r>
  <r>
    <n v="10389"/>
    <x v="2"/>
    <n v="360"/>
    <n v="30"/>
    <d v="1996-12-20T00:00:00"/>
  </r>
  <r>
    <n v="10389"/>
    <x v="3"/>
    <n v="360"/>
    <n v="30"/>
    <d v="1996-12-20T00:00:00"/>
  </r>
  <r>
    <n v="10389"/>
    <x v="4"/>
    <n v="360"/>
    <n v="30"/>
    <d v="1996-12-20T00:00:00"/>
  </r>
  <r>
    <n v="10389"/>
    <x v="5"/>
    <n v="360"/>
    <n v="30"/>
    <d v="1996-12-20T00:00:00"/>
  </r>
  <r>
    <n v="10389"/>
    <x v="6"/>
    <n v="360"/>
    <n v="30"/>
    <d v="1996-12-20T00:00:00"/>
  </r>
  <r>
    <n v="10389"/>
    <x v="7"/>
    <n v="360"/>
    <n v="30"/>
    <d v="1996-12-20T00:00:00"/>
  </r>
  <r>
    <n v="10390"/>
    <x v="0"/>
    <n v="539.99999910593033"/>
    <n v="60"/>
    <d v="1996-12-23T00:00:00"/>
  </r>
  <r>
    <n v="10390"/>
    <x v="1"/>
    <n v="539.99999910593033"/>
    <n v="60"/>
    <d v="1996-12-23T00:00:00"/>
  </r>
  <r>
    <n v="10390"/>
    <x v="2"/>
    <n v="539.99999910593033"/>
    <n v="60"/>
    <d v="1996-12-23T00:00:00"/>
  </r>
  <r>
    <n v="10390"/>
    <x v="3"/>
    <n v="539.99999910593033"/>
    <n v="60"/>
    <d v="1996-12-23T00:00:00"/>
  </r>
  <r>
    <n v="10390"/>
    <x v="4"/>
    <n v="539.99999910593033"/>
    <n v="60"/>
    <d v="1996-12-23T00:00:00"/>
  </r>
  <r>
    <n v="10390"/>
    <x v="5"/>
    <n v="539.99999910593033"/>
    <n v="60"/>
    <d v="1996-12-23T00:00:00"/>
  </r>
  <r>
    <n v="10390"/>
    <x v="6"/>
    <n v="539.99999910593033"/>
    <n v="60"/>
    <d v="1996-12-23T00:00:00"/>
  </r>
  <r>
    <n v="10390"/>
    <x v="7"/>
    <n v="539.99999910593033"/>
    <n v="60"/>
    <d v="1996-12-23T00:00:00"/>
  </r>
  <r>
    <n v="10390"/>
    <x v="0"/>
    <n v="518.39999914169312"/>
    <n v="40"/>
    <d v="1996-12-23T00:00:00"/>
  </r>
  <r>
    <n v="10390"/>
    <x v="1"/>
    <n v="518.39999914169312"/>
    <n v="40"/>
    <d v="1996-12-23T00:00:00"/>
  </r>
  <r>
    <n v="10390"/>
    <x v="2"/>
    <n v="518.39999914169312"/>
    <n v="40"/>
    <d v="1996-12-23T00:00:00"/>
  </r>
  <r>
    <n v="10390"/>
    <x v="3"/>
    <n v="518.39999914169312"/>
    <n v="40"/>
    <d v="1996-12-23T00:00:00"/>
  </r>
  <r>
    <n v="10390"/>
    <x v="4"/>
    <n v="518.39999914169312"/>
    <n v="40"/>
    <d v="1996-12-23T00:00:00"/>
  </r>
  <r>
    <n v="10390"/>
    <x v="5"/>
    <n v="518.39999914169312"/>
    <n v="40"/>
    <d v="1996-12-23T00:00:00"/>
  </r>
  <r>
    <n v="10390"/>
    <x v="6"/>
    <n v="518.39999914169312"/>
    <n v="40"/>
    <d v="1996-12-23T00:00:00"/>
  </r>
  <r>
    <n v="10390"/>
    <x v="7"/>
    <n v="518.39999914169312"/>
    <n v="40"/>
    <d v="1996-12-23T00:00:00"/>
  </r>
  <r>
    <n v="10390"/>
    <x v="0"/>
    <n v="432"/>
    <n v="45"/>
    <d v="1996-12-23T00:00:00"/>
  </r>
  <r>
    <n v="10390"/>
    <x v="1"/>
    <n v="432"/>
    <n v="45"/>
    <d v="1996-12-23T00:00:00"/>
  </r>
  <r>
    <n v="10390"/>
    <x v="2"/>
    <n v="432"/>
    <n v="45"/>
    <d v="1996-12-23T00:00:00"/>
  </r>
  <r>
    <n v="10390"/>
    <x v="3"/>
    <n v="432"/>
    <n v="45"/>
    <d v="1996-12-23T00:00:00"/>
  </r>
  <r>
    <n v="10390"/>
    <x v="4"/>
    <n v="432"/>
    <n v="45"/>
    <d v="1996-12-23T00:00:00"/>
  </r>
  <r>
    <n v="10390"/>
    <x v="5"/>
    <n v="432"/>
    <n v="45"/>
    <d v="1996-12-23T00:00:00"/>
  </r>
  <r>
    <n v="10390"/>
    <x v="6"/>
    <n v="432"/>
    <n v="45"/>
    <d v="1996-12-23T00:00:00"/>
  </r>
  <r>
    <n v="10390"/>
    <x v="7"/>
    <n v="432"/>
    <n v="45"/>
    <d v="1996-12-23T00:00:00"/>
  </r>
  <r>
    <n v="10390"/>
    <x v="0"/>
    <n v="600.47999900579453"/>
    <n v="24"/>
    <d v="1996-12-23T00:00:00"/>
  </r>
  <r>
    <n v="10390"/>
    <x v="1"/>
    <n v="600.47999900579453"/>
    <n v="24"/>
    <d v="1996-12-23T00:00:00"/>
  </r>
  <r>
    <n v="10390"/>
    <x v="2"/>
    <n v="600.47999900579453"/>
    <n v="24"/>
    <d v="1996-12-23T00:00:00"/>
  </r>
  <r>
    <n v="10390"/>
    <x v="3"/>
    <n v="600.47999900579453"/>
    <n v="24"/>
    <d v="1996-12-23T00:00:00"/>
  </r>
  <r>
    <n v="10390"/>
    <x v="4"/>
    <n v="600.47999900579453"/>
    <n v="24"/>
    <d v="1996-12-23T00:00:00"/>
  </r>
  <r>
    <n v="10390"/>
    <x v="5"/>
    <n v="600.47999900579453"/>
    <n v="24"/>
    <d v="1996-12-23T00:00:00"/>
  </r>
  <r>
    <n v="10390"/>
    <x v="6"/>
    <n v="600.47999900579453"/>
    <n v="24"/>
    <d v="1996-12-23T00:00:00"/>
  </r>
  <r>
    <n v="10390"/>
    <x v="7"/>
    <n v="600.47999900579453"/>
    <n v="24"/>
    <d v="1996-12-23T00:00:00"/>
  </r>
  <r>
    <n v="10391"/>
    <x v="0"/>
    <n v="86.4"/>
    <n v="18"/>
    <d v="1996-12-23T00:00:00"/>
  </r>
  <r>
    <n v="10391"/>
    <x v="1"/>
    <n v="86.4"/>
    <n v="18"/>
    <d v="1996-12-23T00:00:00"/>
  </r>
  <r>
    <n v="10391"/>
    <x v="2"/>
    <n v="86.4"/>
    <n v="18"/>
    <d v="1996-12-23T00:00:00"/>
  </r>
  <r>
    <n v="10391"/>
    <x v="3"/>
    <n v="86.4"/>
    <n v="18"/>
    <d v="1996-12-23T00:00:00"/>
  </r>
  <r>
    <n v="10391"/>
    <x v="4"/>
    <n v="86.4"/>
    <n v="18"/>
    <d v="1996-12-23T00:00:00"/>
  </r>
  <r>
    <n v="10391"/>
    <x v="5"/>
    <n v="86.4"/>
    <n v="18"/>
    <d v="1996-12-23T00:00:00"/>
  </r>
  <r>
    <n v="10391"/>
    <x v="6"/>
    <n v="86.4"/>
    <n v="18"/>
    <d v="1996-12-23T00:00:00"/>
  </r>
  <r>
    <n v="10391"/>
    <x v="7"/>
    <n v="86.4"/>
    <n v="18"/>
    <d v="1996-12-23T00:00:00"/>
  </r>
  <r>
    <n v="10392"/>
    <x v="0"/>
    <n v="1440"/>
    <n v="50"/>
    <d v="1996-12-24T00:00:00"/>
  </r>
  <r>
    <n v="10392"/>
    <x v="1"/>
    <n v="1440"/>
    <n v="50"/>
    <d v="1996-12-24T00:00:00"/>
  </r>
  <r>
    <n v="10392"/>
    <x v="2"/>
    <n v="1440"/>
    <n v="50"/>
    <d v="1996-12-24T00:00:00"/>
  </r>
  <r>
    <n v="10392"/>
    <x v="3"/>
    <n v="1440"/>
    <n v="50"/>
    <d v="1996-12-24T00:00:00"/>
  </r>
  <r>
    <n v="10392"/>
    <x v="4"/>
    <n v="1440"/>
    <n v="50"/>
    <d v="1996-12-24T00:00:00"/>
  </r>
  <r>
    <n v="10392"/>
    <x v="5"/>
    <n v="1440"/>
    <n v="50"/>
    <d v="1996-12-24T00:00:00"/>
  </r>
  <r>
    <n v="10392"/>
    <x v="6"/>
    <n v="1440"/>
    <n v="50"/>
    <d v="1996-12-24T00:00:00"/>
  </r>
  <r>
    <n v="10392"/>
    <x v="7"/>
    <n v="1440"/>
    <n v="50"/>
    <d v="1996-12-24T00:00:00"/>
  </r>
  <r>
    <n v="10393"/>
    <x v="0"/>
    <n v="285"/>
    <n v="25"/>
    <d v="1996-12-25T00:00:00"/>
  </r>
  <r>
    <n v="10393"/>
    <x v="1"/>
    <n v="285"/>
    <n v="25"/>
    <d v="1996-12-25T00:00:00"/>
  </r>
  <r>
    <n v="10393"/>
    <x v="2"/>
    <n v="285"/>
    <n v="25"/>
    <d v="1996-12-25T00:00:00"/>
  </r>
  <r>
    <n v="10393"/>
    <x v="3"/>
    <n v="285"/>
    <n v="25"/>
    <d v="1996-12-25T00:00:00"/>
  </r>
  <r>
    <n v="10393"/>
    <x v="4"/>
    <n v="285"/>
    <n v="25"/>
    <d v="1996-12-25T00:00:00"/>
  </r>
  <r>
    <n v="10393"/>
    <x v="5"/>
    <n v="285"/>
    <n v="25"/>
    <d v="1996-12-25T00:00:00"/>
  </r>
  <r>
    <n v="10393"/>
    <x v="6"/>
    <n v="285"/>
    <n v="25"/>
    <d v="1996-12-25T00:00:00"/>
  </r>
  <r>
    <n v="10393"/>
    <x v="7"/>
    <n v="285"/>
    <n v="25"/>
    <d v="1996-12-25T00:00:00"/>
  </r>
  <r>
    <n v="10393"/>
    <x v="0"/>
    <n v="585.90000000000009"/>
    <n v="42"/>
    <d v="1996-12-25T00:00:00"/>
  </r>
  <r>
    <n v="10393"/>
    <x v="1"/>
    <n v="585.90000000000009"/>
    <n v="42"/>
    <d v="1996-12-25T00:00:00"/>
  </r>
  <r>
    <n v="10393"/>
    <x v="2"/>
    <n v="585.90000000000009"/>
    <n v="42"/>
    <d v="1996-12-25T00:00:00"/>
  </r>
  <r>
    <n v="10393"/>
    <x v="3"/>
    <n v="585.90000000000009"/>
    <n v="42"/>
    <d v="1996-12-25T00:00:00"/>
  </r>
  <r>
    <n v="10393"/>
    <x v="4"/>
    <n v="585.90000000000009"/>
    <n v="42"/>
    <d v="1996-12-25T00:00:00"/>
  </r>
  <r>
    <n v="10393"/>
    <x v="5"/>
    <n v="585.90000000000009"/>
    <n v="42"/>
    <d v="1996-12-25T00:00:00"/>
  </r>
  <r>
    <n v="10393"/>
    <x v="6"/>
    <n v="585.90000000000009"/>
    <n v="42"/>
    <d v="1996-12-25T00:00:00"/>
  </r>
  <r>
    <n v="10393"/>
    <x v="7"/>
    <n v="585.90000000000009"/>
    <n v="42"/>
    <d v="1996-12-25T00:00:00"/>
  </r>
  <r>
    <n v="10393"/>
    <x v="0"/>
    <n v="58.800000000000004"/>
    <n v="7"/>
    <d v="1996-12-25T00:00:00"/>
  </r>
  <r>
    <n v="10393"/>
    <x v="1"/>
    <n v="58.800000000000004"/>
    <n v="7"/>
    <d v="1996-12-25T00:00:00"/>
  </r>
  <r>
    <n v="10393"/>
    <x v="2"/>
    <n v="58.800000000000004"/>
    <n v="7"/>
    <d v="1996-12-25T00:00:00"/>
  </r>
  <r>
    <n v="10393"/>
    <x v="3"/>
    <n v="58.800000000000004"/>
    <n v="7"/>
    <d v="1996-12-25T00:00:00"/>
  </r>
  <r>
    <n v="10393"/>
    <x v="4"/>
    <n v="58.800000000000004"/>
    <n v="7"/>
    <d v="1996-12-25T00:00:00"/>
  </r>
  <r>
    <n v="10393"/>
    <x v="5"/>
    <n v="58.800000000000004"/>
    <n v="7"/>
    <d v="1996-12-25T00:00:00"/>
  </r>
  <r>
    <n v="10393"/>
    <x v="6"/>
    <n v="58.800000000000004"/>
    <n v="7"/>
    <d v="1996-12-25T00:00:00"/>
  </r>
  <r>
    <n v="10393"/>
    <x v="7"/>
    <n v="58.800000000000004"/>
    <n v="7"/>
    <d v="1996-12-25T00:00:00"/>
  </r>
  <r>
    <n v="10393"/>
    <x v="0"/>
    <n v="1307.25"/>
    <n v="70"/>
    <d v="1996-12-25T00:00:00"/>
  </r>
  <r>
    <n v="10393"/>
    <x v="1"/>
    <n v="1307.25"/>
    <n v="70"/>
    <d v="1996-12-25T00:00:00"/>
  </r>
  <r>
    <n v="10393"/>
    <x v="2"/>
    <n v="1307.25"/>
    <n v="70"/>
    <d v="1996-12-25T00:00:00"/>
  </r>
  <r>
    <n v="10393"/>
    <x v="3"/>
    <n v="1307.25"/>
    <n v="70"/>
    <d v="1996-12-25T00:00:00"/>
  </r>
  <r>
    <n v="10393"/>
    <x v="4"/>
    <n v="1307.25"/>
    <n v="70"/>
    <d v="1996-12-25T00:00:00"/>
  </r>
  <r>
    <n v="10393"/>
    <x v="5"/>
    <n v="1307.25"/>
    <n v="70"/>
    <d v="1996-12-25T00:00:00"/>
  </r>
  <r>
    <n v="10393"/>
    <x v="6"/>
    <n v="1307.25"/>
    <n v="70"/>
    <d v="1996-12-25T00:00:00"/>
  </r>
  <r>
    <n v="10393"/>
    <x v="7"/>
    <n v="1307.25"/>
    <n v="70"/>
    <d v="1996-12-25T00:00:00"/>
  </r>
  <r>
    <n v="10393"/>
    <x v="0"/>
    <n v="320"/>
    <n v="32"/>
    <d v="1996-12-25T00:00:00"/>
  </r>
  <r>
    <n v="10393"/>
    <x v="1"/>
    <n v="320"/>
    <n v="32"/>
    <d v="1996-12-25T00:00:00"/>
  </r>
  <r>
    <n v="10393"/>
    <x v="2"/>
    <n v="320"/>
    <n v="32"/>
    <d v="1996-12-25T00:00:00"/>
  </r>
  <r>
    <n v="10393"/>
    <x v="3"/>
    <n v="320"/>
    <n v="32"/>
    <d v="1996-12-25T00:00:00"/>
  </r>
  <r>
    <n v="10393"/>
    <x v="4"/>
    <n v="320"/>
    <n v="32"/>
    <d v="1996-12-25T00:00:00"/>
  </r>
  <r>
    <n v="10393"/>
    <x v="5"/>
    <n v="320"/>
    <n v="32"/>
    <d v="1996-12-25T00:00:00"/>
  </r>
  <r>
    <n v="10393"/>
    <x v="6"/>
    <n v="320"/>
    <n v="32"/>
    <d v="1996-12-25T00:00:00"/>
  </r>
  <r>
    <n v="10393"/>
    <x v="7"/>
    <n v="320"/>
    <n v="32"/>
    <d v="1996-12-25T00:00:00"/>
  </r>
  <r>
    <n v="10394"/>
    <x v="0"/>
    <n v="48"/>
    <n v="10"/>
    <d v="1996-12-25T00:00:00"/>
  </r>
  <r>
    <n v="10394"/>
    <x v="1"/>
    <n v="48"/>
    <n v="10"/>
    <d v="1996-12-25T00:00:00"/>
  </r>
  <r>
    <n v="10394"/>
    <x v="2"/>
    <n v="48"/>
    <n v="10"/>
    <d v="1996-12-25T00:00:00"/>
  </r>
  <r>
    <n v="10394"/>
    <x v="3"/>
    <n v="48"/>
    <n v="10"/>
    <d v="1996-12-25T00:00:00"/>
  </r>
  <r>
    <n v="10394"/>
    <x v="4"/>
    <n v="48"/>
    <n v="10"/>
    <d v="1996-12-25T00:00:00"/>
  </r>
  <r>
    <n v="10394"/>
    <x v="5"/>
    <n v="48"/>
    <n v="10"/>
    <d v="1996-12-25T00:00:00"/>
  </r>
  <r>
    <n v="10394"/>
    <x v="6"/>
    <n v="48"/>
    <n v="10"/>
    <d v="1996-12-25T00:00:00"/>
  </r>
  <r>
    <n v="10394"/>
    <x v="7"/>
    <n v="48"/>
    <n v="10"/>
    <d v="1996-12-25T00:00:00"/>
  </r>
  <r>
    <n v="10394"/>
    <x v="0"/>
    <n v="394"/>
    <n v="10"/>
    <d v="1996-12-25T00:00:00"/>
  </r>
  <r>
    <n v="10394"/>
    <x v="1"/>
    <n v="394"/>
    <n v="10"/>
    <d v="1996-12-25T00:00:00"/>
  </r>
  <r>
    <n v="10394"/>
    <x v="2"/>
    <n v="394"/>
    <n v="10"/>
    <d v="1996-12-25T00:00:00"/>
  </r>
  <r>
    <n v="10394"/>
    <x v="3"/>
    <n v="394"/>
    <n v="10"/>
    <d v="1996-12-25T00:00:00"/>
  </r>
  <r>
    <n v="10394"/>
    <x v="4"/>
    <n v="394"/>
    <n v="10"/>
    <d v="1996-12-25T00:00:00"/>
  </r>
  <r>
    <n v="10394"/>
    <x v="5"/>
    <n v="394"/>
    <n v="10"/>
    <d v="1996-12-25T00:00:00"/>
  </r>
  <r>
    <n v="10394"/>
    <x v="6"/>
    <n v="394"/>
    <n v="10"/>
    <d v="1996-12-25T00:00:00"/>
  </r>
  <r>
    <n v="10394"/>
    <x v="7"/>
    <n v="394"/>
    <n v="10"/>
    <d v="1996-12-25T00:00:00"/>
  </r>
  <r>
    <n v="10395"/>
    <x v="0"/>
    <n v="241.91999959945679"/>
    <n v="28"/>
    <d v="1996-12-26T00:00:00"/>
  </r>
  <r>
    <n v="10395"/>
    <x v="1"/>
    <n v="241.91999959945679"/>
    <n v="28"/>
    <d v="1996-12-26T00:00:00"/>
  </r>
  <r>
    <n v="10395"/>
    <x v="2"/>
    <n v="241.91999959945679"/>
    <n v="28"/>
    <d v="1996-12-26T00:00:00"/>
  </r>
  <r>
    <n v="10395"/>
    <x v="3"/>
    <n v="241.91999959945679"/>
    <n v="28"/>
    <d v="1996-12-26T00:00:00"/>
  </r>
  <r>
    <n v="10395"/>
    <x v="4"/>
    <n v="241.91999959945679"/>
    <n v="28"/>
    <d v="1996-12-26T00:00:00"/>
  </r>
  <r>
    <n v="10395"/>
    <x v="5"/>
    <n v="241.91999959945679"/>
    <n v="28"/>
    <d v="1996-12-26T00:00:00"/>
  </r>
  <r>
    <n v="10395"/>
    <x v="6"/>
    <n v="241.91999959945679"/>
    <n v="28"/>
    <d v="1996-12-26T00:00:00"/>
  </r>
  <r>
    <n v="10395"/>
    <x v="7"/>
    <n v="241.91999959945679"/>
    <n v="28"/>
    <d v="1996-12-26T00:00:00"/>
  </r>
  <r>
    <n v="10395"/>
    <x v="0"/>
    <n v="1650.599997267127"/>
    <n v="70"/>
    <d v="1996-12-26T00:00:00"/>
  </r>
  <r>
    <n v="10395"/>
    <x v="1"/>
    <n v="1650.599997267127"/>
    <n v="70"/>
    <d v="1996-12-26T00:00:00"/>
  </r>
  <r>
    <n v="10395"/>
    <x v="2"/>
    <n v="1650.599997267127"/>
    <n v="70"/>
    <d v="1996-12-26T00:00:00"/>
  </r>
  <r>
    <n v="10395"/>
    <x v="3"/>
    <n v="1650.599997267127"/>
    <n v="70"/>
    <d v="1996-12-26T00:00:00"/>
  </r>
  <r>
    <n v="10395"/>
    <x v="4"/>
    <n v="1650.599997267127"/>
    <n v="70"/>
    <d v="1996-12-26T00:00:00"/>
  </r>
  <r>
    <n v="10395"/>
    <x v="5"/>
    <n v="1650.599997267127"/>
    <n v="70"/>
    <d v="1996-12-26T00:00:00"/>
  </r>
  <r>
    <n v="10395"/>
    <x v="6"/>
    <n v="1650.599997267127"/>
    <n v="70"/>
    <d v="1996-12-26T00:00:00"/>
  </r>
  <r>
    <n v="10395"/>
    <x v="7"/>
    <n v="1650.599997267127"/>
    <n v="70"/>
    <d v="1996-12-26T00:00:00"/>
  </r>
  <r>
    <n v="10395"/>
    <x v="0"/>
    <n v="230.4"/>
    <n v="8"/>
    <d v="1996-12-26T00:00:00"/>
  </r>
  <r>
    <n v="10395"/>
    <x v="1"/>
    <n v="230.4"/>
    <n v="8"/>
    <d v="1996-12-26T00:00:00"/>
  </r>
  <r>
    <n v="10395"/>
    <x v="2"/>
    <n v="230.4"/>
    <n v="8"/>
    <d v="1996-12-26T00:00:00"/>
  </r>
  <r>
    <n v="10395"/>
    <x v="3"/>
    <n v="230.4"/>
    <n v="8"/>
    <d v="1996-12-26T00:00:00"/>
  </r>
  <r>
    <n v="10395"/>
    <x v="4"/>
    <n v="230.4"/>
    <n v="8"/>
    <d v="1996-12-26T00:00:00"/>
  </r>
  <r>
    <n v="10395"/>
    <x v="5"/>
    <n v="230.4"/>
    <n v="8"/>
    <d v="1996-12-26T00:00:00"/>
  </r>
  <r>
    <n v="10395"/>
    <x v="6"/>
    <n v="230.4"/>
    <n v="8"/>
    <d v="1996-12-26T00:00:00"/>
  </r>
  <r>
    <n v="10395"/>
    <x v="7"/>
    <n v="230.4"/>
    <n v="8"/>
    <d v="1996-12-26T00:00:00"/>
  </r>
  <r>
    <n v="10396"/>
    <x v="0"/>
    <n v="288"/>
    <n v="40"/>
    <d v="1996-12-27T00:00:00"/>
  </r>
  <r>
    <n v="10396"/>
    <x v="1"/>
    <n v="288"/>
    <n v="40"/>
    <d v="1996-12-27T00:00:00"/>
  </r>
  <r>
    <n v="10396"/>
    <x v="2"/>
    <n v="288"/>
    <n v="40"/>
    <d v="1996-12-27T00:00:00"/>
  </r>
  <r>
    <n v="10396"/>
    <x v="3"/>
    <n v="288"/>
    <n v="40"/>
    <d v="1996-12-27T00:00:00"/>
  </r>
  <r>
    <n v="10396"/>
    <x v="4"/>
    <n v="288"/>
    <n v="40"/>
    <d v="1996-12-27T00:00:00"/>
  </r>
  <r>
    <n v="10396"/>
    <x v="5"/>
    <n v="288"/>
    <n v="40"/>
    <d v="1996-12-27T00:00:00"/>
  </r>
  <r>
    <n v="10396"/>
    <x v="6"/>
    <n v="288"/>
    <n v="40"/>
    <d v="1996-12-27T00:00:00"/>
  </r>
  <r>
    <n v="10396"/>
    <x v="7"/>
    <n v="288"/>
    <n v="40"/>
    <d v="1996-12-27T00:00:00"/>
  </r>
  <r>
    <n v="10396"/>
    <x v="0"/>
    <n v="1032"/>
    <n v="60"/>
    <d v="1996-12-27T00:00:00"/>
  </r>
  <r>
    <n v="10396"/>
    <x v="1"/>
    <n v="1032"/>
    <n v="60"/>
    <d v="1996-12-27T00:00:00"/>
  </r>
  <r>
    <n v="10396"/>
    <x v="2"/>
    <n v="1032"/>
    <n v="60"/>
    <d v="1996-12-27T00:00:00"/>
  </r>
  <r>
    <n v="10396"/>
    <x v="3"/>
    <n v="1032"/>
    <n v="60"/>
    <d v="1996-12-27T00:00:00"/>
  </r>
  <r>
    <n v="10396"/>
    <x v="4"/>
    <n v="1032"/>
    <n v="60"/>
    <d v="1996-12-27T00:00:00"/>
  </r>
  <r>
    <n v="10396"/>
    <x v="5"/>
    <n v="1032"/>
    <n v="60"/>
    <d v="1996-12-27T00:00:00"/>
  </r>
  <r>
    <n v="10396"/>
    <x v="6"/>
    <n v="1032"/>
    <n v="60"/>
    <d v="1996-12-27T00:00:00"/>
  </r>
  <r>
    <n v="10396"/>
    <x v="7"/>
    <n v="1032"/>
    <n v="60"/>
    <d v="1996-12-27T00:00:00"/>
  </r>
  <r>
    <n v="10396"/>
    <x v="0"/>
    <n v="583.79999999999995"/>
    <n v="21"/>
    <d v="1996-12-27T00:00:00"/>
  </r>
  <r>
    <n v="10396"/>
    <x v="1"/>
    <n v="583.79999999999995"/>
    <n v="21"/>
    <d v="1996-12-27T00:00:00"/>
  </r>
  <r>
    <n v="10396"/>
    <x v="2"/>
    <n v="583.79999999999995"/>
    <n v="21"/>
    <d v="1996-12-27T00:00:00"/>
  </r>
  <r>
    <n v="10396"/>
    <x v="3"/>
    <n v="583.79999999999995"/>
    <n v="21"/>
    <d v="1996-12-27T00:00:00"/>
  </r>
  <r>
    <n v="10396"/>
    <x v="4"/>
    <n v="583.79999999999995"/>
    <n v="21"/>
    <d v="1996-12-27T00:00:00"/>
  </r>
  <r>
    <n v="10396"/>
    <x v="5"/>
    <n v="583.79999999999995"/>
    <n v="21"/>
    <d v="1996-12-27T00:00:00"/>
  </r>
  <r>
    <n v="10396"/>
    <x v="6"/>
    <n v="583.79999999999995"/>
    <n v="21"/>
    <d v="1996-12-27T00:00:00"/>
  </r>
  <r>
    <n v="10396"/>
    <x v="7"/>
    <n v="583.79999999999995"/>
    <n v="21"/>
    <d v="1996-12-27T00:00:00"/>
  </r>
  <r>
    <n v="10397"/>
    <x v="0"/>
    <n v="67.999999523162842"/>
    <n v="10"/>
    <d v="1996-12-27T00:00:00"/>
  </r>
  <r>
    <n v="10397"/>
    <x v="1"/>
    <n v="67.999999523162842"/>
    <n v="10"/>
    <d v="1996-12-27T00:00:00"/>
  </r>
  <r>
    <n v="10397"/>
    <x v="2"/>
    <n v="67.999999523162842"/>
    <n v="10"/>
    <d v="1996-12-27T00:00:00"/>
  </r>
  <r>
    <n v="10397"/>
    <x v="3"/>
    <n v="67.999999523162842"/>
    <n v="10"/>
    <d v="1996-12-27T00:00:00"/>
  </r>
  <r>
    <n v="10397"/>
    <x v="4"/>
    <n v="67.999999523162842"/>
    <n v="10"/>
    <d v="1996-12-27T00:00:00"/>
  </r>
  <r>
    <n v="10397"/>
    <x v="5"/>
    <n v="67.999999523162842"/>
    <n v="10"/>
    <d v="1996-12-27T00:00:00"/>
  </r>
  <r>
    <n v="10397"/>
    <x v="6"/>
    <n v="67.999999523162842"/>
    <n v="10"/>
    <d v="1996-12-27T00:00:00"/>
  </r>
  <r>
    <n v="10397"/>
    <x v="7"/>
    <n v="67.999999523162842"/>
    <n v="10"/>
    <d v="1996-12-27T00:00:00"/>
  </r>
  <r>
    <n v="10397"/>
    <x v="0"/>
    <n v="648.71999545097356"/>
    <n v="18"/>
    <d v="1996-12-27T00:00:00"/>
  </r>
  <r>
    <n v="10397"/>
    <x v="1"/>
    <n v="648.71999545097356"/>
    <n v="18"/>
    <d v="1996-12-27T00:00:00"/>
  </r>
  <r>
    <n v="10397"/>
    <x v="2"/>
    <n v="648.71999545097356"/>
    <n v="18"/>
    <d v="1996-12-27T00:00:00"/>
  </r>
  <r>
    <n v="10397"/>
    <x v="3"/>
    <n v="648.71999545097356"/>
    <n v="18"/>
    <d v="1996-12-27T00:00:00"/>
  </r>
  <r>
    <n v="10397"/>
    <x v="4"/>
    <n v="648.71999545097356"/>
    <n v="18"/>
    <d v="1996-12-27T00:00:00"/>
  </r>
  <r>
    <n v="10397"/>
    <x v="5"/>
    <n v="648.71999545097356"/>
    <n v="18"/>
    <d v="1996-12-27T00:00:00"/>
  </r>
  <r>
    <n v="10397"/>
    <x v="6"/>
    <n v="648.71999545097356"/>
    <n v="18"/>
    <d v="1996-12-27T00:00:00"/>
  </r>
  <r>
    <n v="10397"/>
    <x v="7"/>
    <n v="648.71999545097356"/>
    <n v="18"/>
    <d v="1996-12-27T00:00:00"/>
  </r>
  <r>
    <n v="10398"/>
    <x v="0"/>
    <n v="432"/>
    <n v="30"/>
    <d v="1996-12-30T00:00:00"/>
  </r>
  <r>
    <n v="10398"/>
    <x v="1"/>
    <n v="432"/>
    <n v="30"/>
    <d v="1996-12-30T00:00:00"/>
  </r>
  <r>
    <n v="10398"/>
    <x v="2"/>
    <n v="432"/>
    <n v="30"/>
    <d v="1996-12-30T00:00:00"/>
  </r>
  <r>
    <n v="10398"/>
    <x v="3"/>
    <n v="432"/>
    <n v="30"/>
    <d v="1996-12-30T00:00:00"/>
  </r>
  <r>
    <n v="10398"/>
    <x v="4"/>
    <n v="432"/>
    <n v="30"/>
    <d v="1996-12-30T00:00:00"/>
  </r>
  <r>
    <n v="10398"/>
    <x v="5"/>
    <n v="432"/>
    <n v="30"/>
    <d v="1996-12-30T00:00:00"/>
  </r>
  <r>
    <n v="10398"/>
    <x v="6"/>
    <n v="432"/>
    <n v="30"/>
    <d v="1996-12-30T00:00:00"/>
  </r>
  <r>
    <n v="10398"/>
    <x v="7"/>
    <n v="432"/>
    <n v="30"/>
    <d v="1996-12-30T00:00:00"/>
  </r>
  <r>
    <n v="10398"/>
    <x v="0"/>
    <n v="2073.5999965667725"/>
    <n v="120"/>
    <d v="1996-12-30T00:00:00"/>
  </r>
  <r>
    <n v="10398"/>
    <x v="1"/>
    <n v="2073.5999965667725"/>
    <n v="120"/>
    <d v="1996-12-30T00:00:00"/>
  </r>
  <r>
    <n v="10398"/>
    <x v="2"/>
    <n v="2073.5999965667725"/>
    <n v="120"/>
    <d v="1996-12-30T00:00:00"/>
  </r>
  <r>
    <n v="10398"/>
    <x v="3"/>
    <n v="2073.5999965667725"/>
    <n v="120"/>
    <d v="1996-12-30T00:00:00"/>
  </r>
  <r>
    <n v="10398"/>
    <x v="4"/>
    <n v="2073.5999965667725"/>
    <n v="120"/>
    <d v="1996-12-30T00:00:00"/>
  </r>
  <r>
    <n v="10398"/>
    <x v="5"/>
    <n v="2073.5999965667725"/>
    <n v="120"/>
    <d v="1996-12-30T00:00:00"/>
  </r>
  <r>
    <n v="10398"/>
    <x v="6"/>
    <n v="2073.5999965667725"/>
    <n v="120"/>
    <d v="1996-12-30T00:00:00"/>
  </r>
  <r>
    <n v="10398"/>
    <x v="7"/>
    <n v="2073.5999965667725"/>
    <n v="120"/>
    <d v="1996-12-30T00:00:00"/>
  </r>
  <r>
    <n v="10399"/>
    <x v="0"/>
    <n v="600"/>
    <n v="60"/>
    <d v="1996-12-31T00:00:00"/>
  </r>
  <r>
    <n v="10399"/>
    <x v="1"/>
    <n v="600"/>
    <n v="60"/>
    <d v="1996-12-31T00:00:00"/>
  </r>
  <r>
    <n v="10399"/>
    <x v="2"/>
    <n v="600"/>
    <n v="60"/>
    <d v="1996-12-31T00:00:00"/>
  </r>
  <r>
    <n v="10399"/>
    <x v="3"/>
    <n v="600"/>
    <n v="60"/>
    <d v="1996-12-31T00:00:00"/>
  </r>
  <r>
    <n v="10399"/>
    <x v="4"/>
    <n v="600"/>
    <n v="60"/>
    <d v="1996-12-31T00:00:00"/>
  </r>
  <r>
    <n v="10399"/>
    <x v="5"/>
    <n v="600"/>
    <n v="60"/>
    <d v="1996-12-31T00:00:00"/>
  </r>
  <r>
    <n v="10399"/>
    <x v="6"/>
    <n v="600"/>
    <n v="60"/>
    <d v="1996-12-31T00:00:00"/>
  </r>
  <r>
    <n v="10399"/>
    <x v="7"/>
    <n v="600"/>
    <n v="60"/>
    <d v="1996-12-31T00:00:00"/>
  </r>
  <r>
    <n v="10399"/>
    <x v="0"/>
    <n v="516"/>
    <n v="30"/>
    <d v="1996-12-31T00:00:00"/>
  </r>
  <r>
    <n v="10399"/>
    <x v="1"/>
    <n v="516"/>
    <n v="30"/>
    <d v="1996-12-31T00:00:00"/>
  </r>
  <r>
    <n v="10399"/>
    <x v="2"/>
    <n v="516"/>
    <n v="30"/>
    <d v="1996-12-31T00:00:00"/>
  </r>
  <r>
    <n v="10399"/>
    <x v="3"/>
    <n v="516"/>
    <n v="30"/>
    <d v="1996-12-31T00:00:00"/>
  </r>
  <r>
    <n v="10399"/>
    <x v="4"/>
    <n v="516"/>
    <n v="30"/>
    <d v="1996-12-31T00:00:00"/>
  </r>
  <r>
    <n v="10399"/>
    <x v="5"/>
    <n v="516"/>
    <n v="30"/>
    <d v="1996-12-31T00:00:00"/>
  </r>
  <r>
    <n v="10399"/>
    <x v="6"/>
    <n v="516"/>
    <n v="30"/>
    <d v="1996-12-31T00:00:00"/>
  </r>
  <r>
    <n v="10399"/>
    <x v="7"/>
    <n v="516"/>
    <n v="30"/>
    <d v="1996-12-31T00:00:00"/>
  </r>
  <r>
    <n v="10399"/>
    <x v="0"/>
    <n v="504"/>
    <n v="35"/>
    <d v="1996-12-31T00:00:00"/>
  </r>
  <r>
    <n v="10399"/>
    <x v="1"/>
    <n v="504"/>
    <n v="35"/>
    <d v="1996-12-31T00:00:00"/>
  </r>
  <r>
    <n v="10399"/>
    <x v="2"/>
    <n v="504"/>
    <n v="35"/>
    <d v="1996-12-31T00:00:00"/>
  </r>
  <r>
    <n v="10399"/>
    <x v="3"/>
    <n v="504"/>
    <n v="35"/>
    <d v="1996-12-31T00:00:00"/>
  </r>
  <r>
    <n v="10399"/>
    <x v="4"/>
    <n v="504"/>
    <n v="35"/>
    <d v="1996-12-31T00:00:00"/>
  </r>
  <r>
    <n v="10399"/>
    <x v="5"/>
    <n v="504"/>
    <n v="35"/>
    <d v="1996-12-31T00:00:00"/>
  </r>
  <r>
    <n v="10399"/>
    <x v="6"/>
    <n v="504"/>
    <n v="35"/>
    <d v="1996-12-31T00:00:00"/>
  </r>
  <r>
    <n v="10399"/>
    <x v="7"/>
    <n v="504"/>
    <n v="35"/>
    <d v="1996-12-31T00:00:00"/>
  </r>
  <r>
    <n v="10399"/>
    <x v="0"/>
    <n v="145.6"/>
    <n v="14"/>
    <d v="1996-12-31T00:00:00"/>
  </r>
  <r>
    <n v="10399"/>
    <x v="1"/>
    <n v="145.6"/>
    <n v="14"/>
    <d v="1996-12-31T00:00:00"/>
  </r>
  <r>
    <n v="10399"/>
    <x v="2"/>
    <n v="145.6"/>
    <n v="14"/>
    <d v="1996-12-31T00:00:00"/>
  </r>
  <r>
    <n v="10399"/>
    <x v="3"/>
    <n v="145.6"/>
    <n v="14"/>
    <d v="1996-12-31T00:00:00"/>
  </r>
  <r>
    <n v="10399"/>
    <x v="4"/>
    <n v="145.6"/>
    <n v="14"/>
    <d v="1996-12-31T00:00:00"/>
  </r>
  <r>
    <n v="10399"/>
    <x v="5"/>
    <n v="145.6"/>
    <n v="14"/>
    <d v="1996-12-31T00:00:00"/>
  </r>
  <r>
    <n v="10399"/>
    <x v="6"/>
    <n v="145.6"/>
    <n v="14"/>
    <d v="1996-12-31T00:00:00"/>
  </r>
  <r>
    <n v="10399"/>
    <x v="7"/>
    <n v="145.6"/>
    <n v="14"/>
    <d v="1996-12-31T00:00:00"/>
  </r>
  <r>
    <n v="10400"/>
    <x v="0"/>
    <n v="2079"/>
    <n v="21"/>
    <d v="1997-01-01T00:00:00"/>
  </r>
  <r>
    <n v="10400"/>
    <x v="1"/>
    <n v="2079"/>
    <n v="21"/>
    <d v="1997-01-01T00:00:00"/>
  </r>
  <r>
    <n v="10400"/>
    <x v="2"/>
    <n v="2079"/>
    <n v="21"/>
    <d v="1997-01-01T00:00:00"/>
  </r>
  <r>
    <n v="10400"/>
    <x v="3"/>
    <n v="2079"/>
    <n v="21"/>
    <d v="1997-01-01T00:00:00"/>
  </r>
  <r>
    <n v="10400"/>
    <x v="4"/>
    <n v="2079"/>
    <n v="21"/>
    <d v="1997-01-01T00:00:00"/>
  </r>
  <r>
    <n v="10400"/>
    <x v="5"/>
    <n v="2079"/>
    <n v="21"/>
    <d v="1997-01-01T00:00:00"/>
  </r>
  <r>
    <n v="10400"/>
    <x v="6"/>
    <n v="2079"/>
    <n v="21"/>
    <d v="1997-01-01T00:00:00"/>
  </r>
  <r>
    <n v="10400"/>
    <x v="7"/>
    <n v="2079"/>
    <n v="21"/>
    <d v="1997-01-01T00:00:00"/>
  </r>
  <r>
    <n v="10400"/>
    <x v="0"/>
    <n v="504"/>
    <n v="35"/>
    <d v="1997-01-01T00:00:00"/>
  </r>
  <r>
    <n v="10400"/>
    <x v="1"/>
    <n v="504"/>
    <n v="35"/>
    <d v="1997-01-01T00:00:00"/>
  </r>
  <r>
    <n v="10400"/>
    <x v="2"/>
    <n v="504"/>
    <n v="35"/>
    <d v="1997-01-01T00:00:00"/>
  </r>
  <r>
    <n v="10400"/>
    <x v="3"/>
    <n v="504"/>
    <n v="35"/>
    <d v="1997-01-01T00:00:00"/>
  </r>
  <r>
    <n v="10400"/>
    <x v="4"/>
    <n v="504"/>
    <n v="35"/>
    <d v="1997-01-01T00:00:00"/>
  </r>
  <r>
    <n v="10400"/>
    <x v="5"/>
    <n v="504"/>
    <n v="35"/>
    <d v="1997-01-01T00:00:00"/>
  </r>
  <r>
    <n v="10400"/>
    <x v="6"/>
    <n v="504"/>
    <n v="35"/>
    <d v="1997-01-01T00:00:00"/>
  </r>
  <r>
    <n v="10400"/>
    <x v="7"/>
    <n v="504"/>
    <n v="35"/>
    <d v="1997-01-01T00:00:00"/>
  </r>
  <r>
    <n v="10400"/>
    <x v="0"/>
    <n v="480"/>
    <n v="30"/>
    <d v="1997-01-01T00:00:00"/>
  </r>
  <r>
    <n v="10400"/>
    <x v="1"/>
    <n v="480"/>
    <n v="30"/>
    <d v="1997-01-01T00:00:00"/>
  </r>
  <r>
    <n v="10400"/>
    <x v="2"/>
    <n v="480"/>
    <n v="30"/>
    <d v="1997-01-01T00:00:00"/>
  </r>
  <r>
    <n v="10400"/>
    <x v="3"/>
    <n v="480"/>
    <n v="30"/>
    <d v="1997-01-01T00:00:00"/>
  </r>
  <r>
    <n v="10400"/>
    <x v="4"/>
    <n v="480"/>
    <n v="30"/>
    <d v="1997-01-01T00:00:00"/>
  </r>
  <r>
    <n v="10400"/>
    <x v="5"/>
    <n v="480"/>
    <n v="30"/>
    <d v="1997-01-01T00:00:00"/>
  </r>
  <r>
    <n v="10400"/>
    <x v="6"/>
    <n v="480"/>
    <n v="30"/>
    <d v="1997-01-01T00:00:00"/>
  </r>
  <r>
    <n v="10400"/>
    <x v="7"/>
    <n v="480"/>
    <n v="30"/>
    <d v="1997-01-01T00:00:00"/>
  </r>
  <r>
    <n v="10401"/>
    <x v="0"/>
    <n v="372.6"/>
    <n v="18"/>
    <d v="1997-01-01T00:00:00"/>
  </r>
  <r>
    <n v="10401"/>
    <x v="1"/>
    <n v="372.6"/>
    <n v="18"/>
    <d v="1997-01-01T00:00:00"/>
  </r>
  <r>
    <n v="10401"/>
    <x v="2"/>
    <n v="372.6"/>
    <n v="18"/>
    <d v="1997-01-01T00:00:00"/>
  </r>
  <r>
    <n v="10401"/>
    <x v="3"/>
    <n v="372.6"/>
    <n v="18"/>
    <d v="1997-01-01T00:00:00"/>
  </r>
  <r>
    <n v="10401"/>
    <x v="4"/>
    <n v="372.6"/>
    <n v="18"/>
    <d v="1997-01-01T00:00:00"/>
  </r>
  <r>
    <n v="10401"/>
    <x v="5"/>
    <n v="372.6"/>
    <n v="18"/>
    <d v="1997-01-01T00:00:00"/>
  </r>
  <r>
    <n v="10401"/>
    <x v="6"/>
    <n v="372.6"/>
    <n v="18"/>
    <d v="1997-01-01T00:00:00"/>
  </r>
  <r>
    <n v="10401"/>
    <x v="7"/>
    <n v="372.6"/>
    <n v="18"/>
    <d v="1997-01-01T00:00:00"/>
  </r>
  <r>
    <n v="10401"/>
    <x v="0"/>
    <n v="2128"/>
    <n v="70"/>
    <d v="1997-01-01T00:00:00"/>
  </r>
  <r>
    <n v="10401"/>
    <x v="1"/>
    <n v="2128"/>
    <n v="70"/>
    <d v="1997-01-01T00:00:00"/>
  </r>
  <r>
    <n v="10401"/>
    <x v="2"/>
    <n v="2128"/>
    <n v="70"/>
    <d v="1997-01-01T00:00:00"/>
  </r>
  <r>
    <n v="10401"/>
    <x v="3"/>
    <n v="2128"/>
    <n v="70"/>
    <d v="1997-01-01T00:00:00"/>
  </r>
  <r>
    <n v="10401"/>
    <x v="4"/>
    <n v="2128"/>
    <n v="70"/>
    <d v="1997-01-01T00:00:00"/>
  </r>
  <r>
    <n v="10401"/>
    <x v="5"/>
    <n v="2128"/>
    <n v="70"/>
    <d v="1997-01-01T00:00:00"/>
  </r>
  <r>
    <n v="10401"/>
    <x v="6"/>
    <n v="2128"/>
    <n v="70"/>
    <d v="1997-01-01T00:00:00"/>
  </r>
  <r>
    <n v="10401"/>
    <x v="7"/>
    <n v="2128"/>
    <n v="70"/>
    <d v="1997-01-01T00:00:00"/>
  </r>
  <r>
    <n v="10401"/>
    <x v="0"/>
    <n v="336"/>
    <n v="20"/>
    <d v="1997-01-01T00:00:00"/>
  </r>
  <r>
    <n v="10401"/>
    <x v="1"/>
    <n v="336"/>
    <n v="20"/>
    <d v="1997-01-01T00:00:00"/>
  </r>
  <r>
    <n v="10401"/>
    <x v="2"/>
    <n v="336"/>
    <n v="20"/>
    <d v="1997-01-01T00:00:00"/>
  </r>
  <r>
    <n v="10401"/>
    <x v="3"/>
    <n v="336"/>
    <n v="20"/>
    <d v="1997-01-01T00:00:00"/>
  </r>
  <r>
    <n v="10401"/>
    <x v="4"/>
    <n v="336"/>
    <n v="20"/>
    <d v="1997-01-01T00:00:00"/>
  </r>
  <r>
    <n v="10401"/>
    <x v="5"/>
    <n v="336"/>
    <n v="20"/>
    <d v="1997-01-01T00:00:00"/>
  </r>
  <r>
    <n v="10401"/>
    <x v="6"/>
    <n v="336"/>
    <n v="20"/>
    <d v="1997-01-01T00:00:00"/>
  </r>
  <r>
    <n v="10401"/>
    <x v="7"/>
    <n v="336"/>
    <n v="20"/>
    <d v="1997-01-01T00:00:00"/>
  </r>
  <r>
    <n v="10401"/>
    <x v="0"/>
    <n v="1032"/>
    <n v="60"/>
    <d v="1997-01-01T00:00:00"/>
  </r>
  <r>
    <n v="10401"/>
    <x v="1"/>
    <n v="1032"/>
    <n v="60"/>
    <d v="1997-01-01T00:00:00"/>
  </r>
  <r>
    <n v="10401"/>
    <x v="2"/>
    <n v="1032"/>
    <n v="60"/>
    <d v="1997-01-01T00:00:00"/>
  </r>
  <r>
    <n v="10401"/>
    <x v="3"/>
    <n v="1032"/>
    <n v="60"/>
    <d v="1997-01-01T00:00:00"/>
  </r>
  <r>
    <n v="10401"/>
    <x v="4"/>
    <n v="1032"/>
    <n v="60"/>
    <d v="1997-01-01T00:00:00"/>
  </r>
  <r>
    <n v="10401"/>
    <x v="5"/>
    <n v="1032"/>
    <n v="60"/>
    <d v="1997-01-01T00:00:00"/>
  </r>
  <r>
    <n v="10401"/>
    <x v="6"/>
    <n v="1032"/>
    <n v="60"/>
    <d v="1997-01-01T00:00:00"/>
  </r>
  <r>
    <n v="10401"/>
    <x v="7"/>
    <n v="1032"/>
    <n v="60"/>
    <d v="1997-01-01T00:00:00"/>
  </r>
  <r>
    <n v="10402"/>
    <x v="0"/>
    <n v="432"/>
    <n v="60"/>
    <d v="1997-01-02T00:00:00"/>
  </r>
  <r>
    <n v="10402"/>
    <x v="1"/>
    <n v="432"/>
    <n v="60"/>
    <d v="1997-01-02T00:00:00"/>
  </r>
  <r>
    <n v="10402"/>
    <x v="2"/>
    <n v="432"/>
    <n v="60"/>
    <d v="1997-01-02T00:00:00"/>
  </r>
  <r>
    <n v="10402"/>
    <x v="3"/>
    <n v="432"/>
    <n v="60"/>
    <d v="1997-01-02T00:00:00"/>
  </r>
  <r>
    <n v="10402"/>
    <x v="4"/>
    <n v="432"/>
    <n v="60"/>
    <d v="1997-01-02T00:00:00"/>
  </r>
  <r>
    <n v="10402"/>
    <x v="5"/>
    <n v="432"/>
    <n v="60"/>
    <d v="1997-01-02T00:00:00"/>
  </r>
  <r>
    <n v="10402"/>
    <x v="6"/>
    <n v="432"/>
    <n v="60"/>
    <d v="1997-01-02T00:00:00"/>
  </r>
  <r>
    <n v="10402"/>
    <x v="7"/>
    <n v="432"/>
    <n v="60"/>
    <d v="1997-01-02T00:00:00"/>
  </r>
  <r>
    <n v="10402"/>
    <x v="0"/>
    <n v="2281.5"/>
    <n v="65"/>
    <d v="1997-01-02T00:00:00"/>
  </r>
  <r>
    <n v="10402"/>
    <x v="1"/>
    <n v="2281.5"/>
    <n v="65"/>
    <d v="1997-01-02T00:00:00"/>
  </r>
  <r>
    <n v="10402"/>
    <x v="2"/>
    <n v="2281.5"/>
    <n v="65"/>
    <d v="1997-01-02T00:00:00"/>
  </r>
  <r>
    <n v="10402"/>
    <x v="3"/>
    <n v="2281.5"/>
    <n v="65"/>
    <d v="1997-01-02T00:00:00"/>
  </r>
  <r>
    <n v="10402"/>
    <x v="4"/>
    <n v="2281.5"/>
    <n v="65"/>
    <d v="1997-01-02T00:00:00"/>
  </r>
  <r>
    <n v="10402"/>
    <x v="5"/>
    <n v="2281.5"/>
    <n v="65"/>
    <d v="1997-01-02T00:00:00"/>
  </r>
  <r>
    <n v="10402"/>
    <x v="6"/>
    <n v="2281.5"/>
    <n v="65"/>
    <d v="1997-01-02T00:00:00"/>
  </r>
  <r>
    <n v="10402"/>
    <x v="7"/>
    <n v="2281.5"/>
    <n v="65"/>
    <d v="1997-01-02T00:00:00"/>
  </r>
  <r>
    <n v="10403"/>
    <x v="0"/>
    <n v="248.1149982601404"/>
    <n v="21"/>
    <d v="1997-01-03T00:00:00"/>
  </r>
  <r>
    <n v="10403"/>
    <x v="1"/>
    <n v="248.1149982601404"/>
    <n v="21"/>
    <d v="1997-01-03T00:00:00"/>
  </r>
  <r>
    <n v="10403"/>
    <x v="2"/>
    <n v="248.1149982601404"/>
    <n v="21"/>
    <d v="1997-01-03T00:00:00"/>
  </r>
  <r>
    <n v="10403"/>
    <x v="3"/>
    <n v="248.1149982601404"/>
    <n v="21"/>
    <d v="1997-01-03T00:00:00"/>
  </r>
  <r>
    <n v="10403"/>
    <x v="4"/>
    <n v="248.1149982601404"/>
    <n v="21"/>
    <d v="1997-01-03T00:00:00"/>
  </r>
  <r>
    <n v="10403"/>
    <x v="5"/>
    <n v="248.1149982601404"/>
    <n v="21"/>
    <d v="1997-01-03T00:00:00"/>
  </r>
  <r>
    <n v="10403"/>
    <x v="6"/>
    <n v="248.1149982601404"/>
    <n v="21"/>
    <d v="1997-01-03T00:00:00"/>
  </r>
  <r>
    <n v="10403"/>
    <x v="7"/>
    <n v="248.1149982601404"/>
    <n v="21"/>
    <d v="1997-01-03T00:00:00"/>
  </r>
  <r>
    <n v="10403"/>
    <x v="0"/>
    <n v="606.89999574422836"/>
    <n v="70"/>
    <d v="1997-01-03T00:00:00"/>
  </r>
  <r>
    <n v="10403"/>
    <x v="1"/>
    <n v="606.89999574422836"/>
    <n v="70"/>
    <d v="1997-01-03T00:00:00"/>
  </r>
  <r>
    <n v="10403"/>
    <x v="2"/>
    <n v="606.89999574422836"/>
    <n v="70"/>
    <d v="1997-01-03T00:00:00"/>
  </r>
  <r>
    <n v="10403"/>
    <x v="3"/>
    <n v="606.89999574422836"/>
    <n v="70"/>
    <d v="1997-01-03T00:00:00"/>
  </r>
  <r>
    <n v="10403"/>
    <x v="4"/>
    <n v="606.89999574422836"/>
    <n v="70"/>
    <d v="1997-01-03T00:00:00"/>
  </r>
  <r>
    <n v="10403"/>
    <x v="5"/>
    <n v="606.89999574422836"/>
    <n v="70"/>
    <d v="1997-01-03T00:00:00"/>
  </r>
  <r>
    <n v="10403"/>
    <x v="6"/>
    <n v="606.89999574422836"/>
    <n v="70"/>
    <d v="1997-01-03T00:00:00"/>
  </r>
  <r>
    <n v="10403"/>
    <x v="7"/>
    <n v="606.89999574422836"/>
    <n v="70"/>
    <d v="1997-01-03T00:00:00"/>
  </r>
  <r>
    <n v="10404"/>
    <x v="0"/>
    <n v="709.64999944344163"/>
    <n v="30"/>
    <d v="1997-01-03T00:00:00"/>
  </r>
  <r>
    <n v="10404"/>
    <x v="1"/>
    <n v="709.64999944344163"/>
    <n v="30"/>
    <d v="1997-01-03T00:00:00"/>
  </r>
  <r>
    <n v="10404"/>
    <x v="2"/>
    <n v="709.64999944344163"/>
    <n v="30"/>
    <d v="1997-01-03T00:00:00"/>
  </r>
  <r>
    <n v="10404"/>
    <x v="3"/>
    <n v="709.64999944344163"/>
    <n v="30"/>
    <d v="1997-01-03T00:00:00"/>
  </r>
  <r>
    <n v="10404"/>
    <x v="4"/>
    <n v="709.64999944344163"/>
    <n v="30"/>
    <d v="1997-01-03T00:00:00"/>
  </r>
  <r>
    <n v="10404"/>
    <x v="5"/>
    <n v="709.64999944344163"/>
    <n v="30"/>
    <d v="1997-01-03T00:00:00"/>
  </r>
  <r>
    <n v="10404"/>
    <x v="6"/>
    <n v="709.64999944344163"/>
    <n v="30"/>
    <d v="1997-01-03T00:00:00"/>
  </r>
  <r>
    <n v="10404"/>
    <x v="7"/>
    <n v="709.64999944344163"/>
    <n v="30"/>
    <d v="1997-01-03T00:00:00"/>
  </r>
  <r>
    <n v="10404"/>
    <x v="0"/>
    <n v="425.59999966621399"/>
    <n v="40"/>
    <d v="1997-01-03T00:00:00"/>
  </r>
  <r>
    <n v="10404"/>
    <x v="1"/>
    <n v="425.59999966621399"/>
    <n v="40"/>
    <d v="1997-01-03T00:00:00"/>
  </r>
  <r>
    <n v="10404"/>
    <x v="2"/>
    <n v="425.59999966621399"/>
    <n v="40"/>
    <d v="1997-01-03T00:00:00"/>
  </r>
  <r>
    <n v="10404"/>
    <x v="3"/>
    <n v="425.59999966621399"/>
    <n v="40"/>
    <d v="1997-01-03T00:00:00"/>
  </r>
  <r>
    <n v="10404"/>
    <x v="4"/>
    <n v="425.59999966621399"/>
    <n v="40"/>
    <d v="1997-01-03T00:00:00"/>
  </r>
  <r>
    <n v="10404"/>
    <x v="5"/>
    <n v="425.59999966621399"/>
    <n v="40"/>
    <d v="1997-01-03T00:00:00"/>
  </r>
  <r>
    <n v="10404"/>
    <x v="6"/>
    <n v="425.59999966621399"/>
    <n v="40"/>
    <d v="1997-01-03T00:00:00"/>
  </r>
  <r>
    <n v="10404"/>
    <x v="7"/>
    <n v="425.59999966621399"/>
    <n v="40"/>
    <d v="1997-01-03T00:00:00"/>
  </r>
  <r>
    <n v="10404"/>
    <x v="0"/>
    <n v="455.99999964237213"/>
    <n v="30"/>
    <d v="1997-01-03T00:00:00"/>
  </r>
  <r>
    <n v="10404"/>
    <x v="1"/>
    <n v="455.99999964237213"/>
    <n v="30"/>
    <d v="1997-01-03T00:00:00"/>
  </r>
  <r>
    <n v="10404"/>
    <x v="2"/>
    <n v="455.99999964237213"/>
    <n v="30"/>
    <d v="1997-01-03T00:00:00"/>
  </r>
  <r>
    <n v="10404"/>
    <x v="3"/>
    <n v="455.99999964237213"/>
    <n v="30"/>
    <d v="1997-01-03T00:00:00"/>
  </r>
  <r>
    <n v="10404"/>
    <x v="4"/>
    <n v="455.99999964237213"/>
    <n v="30"/>
    <d v="1997-01-03T00:00:00"/>
  </r>
  <r>
    <n v="10404"/>
    <x v="5"/>
    <n v="455.99999964237213"/>
    <n v="30"/>
    <d v="1997-01-03T00:00:00"/>
  </r>
  <r>
    <n v="10404"/>
    <x v="6"/>
    <n v="455.99999964237213"/>
    <n v="30"/>
    <d v="1997-01-03T00:00:00"/>
  </r>
  <r>
    <n v="10404"/>
    <x v="7"/>
    <n v="455.99999964237213"/>
    <n v="30"/>
    <d v="1997-01-03T00:00:00"/>
  </r>
  <r>
    <n v="10405"/>
    <x v="0"/>
    <n v="400"/>
    <n v="50"/>
    <d v="1997-01-06T00:00:00"/>
  </r>
  <r>
    <n v="10405"/>
    <x v="1"/>
    <n v="400"/>
    <n v="50"/>
    <d v="1997-01-06T00:00:00"/>
  </r>
  <r>
    <n v="10405"/>
    <x v="2"/>
    <n v="400"/>
    <n v="50"/>
    <d v="1997-01-06T00:00:00"/>
  </r>
  <r>
    <n v="10405"/>
    <x v="3"/>
    <n v="400"/>
    <n v="50"/>
    <d v="1997-01-06T00:00:00"/>
  </r>
  <r>
    <n v="10405"/>
    <x v="4"/>
    <n v="400"/>
    <n v="50"/>
    <d v="1997-01-06T00:00:00"/>
  </r>
  <r>
    <n v="10405"/>
    <x v="5"/>
    <n v="400"/>
    <n v="50"/>
    <d v="1997-01-06T00:00:00"/>
  </r>
  <r>
    <n v="10405"/>
    <x v="6"/>
    <n v="400"/>
    <n v="50"/>
    <d v="1997-01-06T00:00:00"/>
  </r>
  <r>
    <n v="10405"/>
    <x v="7"/>
    <n v="400"/>
    <n v="50"/>
    <d v="1997-01-06T00:00:00"/>
  </r>
  <r>
    <n v="10406"/>
    <x v="0"/>
    <n v="144"/>
    <n v="10"/>
    <d v="1997-01-07T00:00:00"/>
  </r>
  <r>
    <n v="10406"/>
    <x v="1"/>
    <n v="144"/>
    <n v="10"/>
    <d v="1997-01-07T00:00:00"/>
  </r>
  <r>
    <n v="10406"/>
    <x v="2"/>
    <n v="144"/>
    <n v="10"/>
    <d v="1997-01-07T00:00:00"/>
  </r>
  <r>
    <n v="10406"/>
    <x v="3"/>
    <n v="144"/>
    <n v="10"/>
    <d v="1997-01-07T00:00:00"/>
  </r>
  <r>
    <n v="10406"/>
    <x v="4"/>
    <n v="144"/>
    <n v="10"/>
    <d v="1997-01-07T00:00:00"/>
  </r>
  <r>
    <n v="10406"/>
    <x v="5"/>
    <n v="144"/>
    <n v="10"/>
    <d v="1997-01-07T00:00:00"/>
  </r>
  <r>
    <n v="10406"/>
    <x v="6"/>
    <n v="144"/>
    <n v="10"/>
    <d v="1997-01-07T00:00:00"/>
  </r>
  <r>
    <n v="10406"/>
    <x v="7"/>
    <n v="144"/>
    <n v="10"/>
    <d v="1997-01-07T00:00:00"/>
  </r>
  <r>
    <n v="10406"/>
    <x v="0"/>
    <n v="215.99999964237213"/>
    <n v="30"/>
    <d v="1997-01-07T00:00:00"/>
  </r>
  <r>
    <n v="10406"/>
    <x v="1"/>
    <n v="215.99999964237213"/>
    <n v="30"/>
    <d v="1997-01-07T00:00:00"/>
  </r>
  <r>
    <n v="10406"/>
    <x v="2"/>
    <n v="215.99999964237213"/>
    <n v="30"/>
    <d v="1997-01-07T00:00:00"/>
  </r>
  <r>
    <n v="10406"/>
    <x v="3"/>
    <n v="215.99999964237213"/>
    <n v="30"/>
    <d v="1997-01-07T00:00:00"/>
  </r>
  <r>
    <n v="10406"/>
    <x v="4"/>
    <n v="215.99999964237213"/>
    <n v="30"/>
    <d v="1997-01-07T00:00:00"/>
  </r>
  <r>
    <n v="10406"/>
    <x v="5"/>
    <n v="215.99999964237213"/>
    <n v="30"/>
    <d v="1997-01-07T00:00:00"/>
  </r>
  <r>
    <n v="10406"/>
    <x v="6"/>
    <n v="215.99999964237213"/>
    <n v="30"/>
    <d v="1997-01-07T00:00:00"/>
  </r>
  <r>
    <n v="10406"/>
    <x v="7"/>
    <n v="215.99999964237213"/>
    <n v="30"/>
    <d v="1997-01-07T00:00:00"/>
  </r>
  <r>
    <n v="10406"/>
    <x v="0"/>
    <n v="1375.9199977219105"/>
    <n v="42"/>
    <d v="1997-01-07T00:00:00"/>
  </r>
  <r>
    <n v="10406"/>
    <x v="1"/>
    <n v="1375.9199977219105"/>
    <n v="42"/>
    <d v="1997-01-07T00:00:00"/>
  </r>
  <r>
    <n v="10406"/>
    <x v="2"/>
    <n v="1375.9199977219105"/>
    <n v="42"/>
    <d v="1997-01-07T00:00:00"/>
  </r>
  <r>
    <n v="10406"/>
    <x v="3"/>
    <n v="1375.9199977219105"/>
    <n v="42"/>
    <d v="1997-01-07T00:00:00"/>
  </r>
  <r>
    <n v="10406"/>
    <x v="4"/>
    <n v="1375.9199977219105"/>
    <n v="42"/>
    <d v="1997-01-07T00:00:00"/>
  </r>
  <r>
    <n v="10406"/>
    <x v="5"/>
    <n v="1375.9199977219105"/>
    <n v="42"/>
    <d v="1997-01-07T00:00:00"/>
  </r>
  <r>
    <n v="10406"/>
    <x v="6"/>
    <n v="1375.9199977219105"/>
    <n v="42"/>
    <d v="1997-01-07T00:00:00"/>
  </r>
  <r>
    <n v="10406"/>
    <x v="7"/>
    <n v="1375.9199977219105"/>
    <n v="42"/>
    <d v="1997-01-07T00:00:00"/>
  </r>
  <r>
    <n v="10406"/>
    <x v="0"/>
    <n v="68.399999886751175"/>
    <n v="5"/>
    <d v="1997-01-07T00:00:00"/>
  </r>
  <r>
    <n v="10406"/>
    <x v="1"/>
    <n v="68.399999886751175"/>
    <n v="5"/>
    <d v="1997-01-07T00:00:00"/>
  </r>
  <r>
    <n v="10406"/>
    <x v="2"/>
    <n v="68.399999886751175"/>
    <n v="5"/>
    <d v="1997-01-07T00:00:00"/>
  </r>
  <r>
    <n v="10406"/>
    <x v="3"/>
    <n v="68.399999886751175"/>
    <n v="5"/>
    <d v="1997-01-07T00:00:00"/>
  </r>
  <r>
    <n v="10406"/>
    <x v="4"/>
    <n v="68.399999886751175"/>
    <n v="5"/>
    <d v="1997-01-07T00:00:00"/>
  </r>
  <r>
    <n v="10406"/>
    <x v="5"/>
    <n v="68.399999886751175"/>
    <n v="5"/>
    <d v="1997-01-07T00:00:00"/>
  </r>
  <r>
    <n v="10406"/>
    <x v="6"/>
    <n v="68.399999886751175"/>
    <n v="5"/>
    <d v="1997-01-07T00:00:00"/>
  </r>
  <r>
    <n v="10406"/>
    <x v="7"/>
    <n v="68.399999886751175"/>
    <n v="5"/>
    <d v="1997-01-07T00:00:00"/>
  </r>
  <r>
    <n v="10406"/>
    <x v="0"/>
    <n v="26.459999956190586"/>
    <n v="2"/>
    <d v="1997-01-07T00:00:00"/>
  </r>
  <r>
    <n v="10406"/>
    <x v="1"/>
    <n v="26.459999956190586"/>
    <n v="2"/>
    <d v="1997-01-07T00:00:00"/>
  </r>
  <r>
    <n v="10406"/>
    <x v="2"/>
    <n v="26.459999956190586"/>
    <n v="2"/>
    <d v="1997-01-07T00:00:00"/>
  </r>
  <r>
    <n v="10406"/>
    <x v="3"/>
    <n v="26.459999956190586"/>
    <n v="2"/>
    <d v="1997-01-07T00:00:00"/>
  </r>
  <r>
    <n v="10406"/>
    <x v="4"/>
    <n v="26.459999956190586"/>
    <n v="2"/>
    <d v="1997-01-07T00:00:00"/>
  </r>
  <r>
    <n v="10406"/>
    <x v="5"/>
    <n v="26.459999956190586"/>
    <n v="2"/>
    <d v="1997-01-07T00:00:00"/>
  </r>
  <r>
    <n v="10406"/>
    <x v="6"/>
    <n v="26.459999956190586"/>
    <n v="2"/>
    <d v="1997-01-07T00:00:00"/>
  </r>
  <r>
    <n v="10406"/>
    <x v="7"/>
    <n v="26.459999956190586"/>
    <n v="2"/>
    <d v="1997-01-07T00:00:00"/>
  </r>
  <r>
    <n v="10407"/>
    <x v="0"/>
    <n v="504"/>
    <n v="30"/>
    <d v="1997-01-07T00:00:00"/>
  </r>
  <r>
    <n v="10407"/>
    <x v="1"/>
    <n v="504"/>
    <n v="30"/>
    <d v="1997-01-07T00:00:00"/>
  </r>
  <r>
    <n v="10407"/>
    <x v="2"/>
    <n v="504"/>
    <n v="30"/>
    <d v="1997-01-07T00:00:00"/>
  </r>
  <r>
    <n v="10407"/>
    <x v="3"/>
    <n v="504"/>
    <n v="30"/>
    <d v="1997-01-07T00:00:00"/>
  </r>
  <r>
    <n v="10407"/>
    <x v="4"/>
    <n v="504"/>
    <n v="30"/>
    <d v="1997-01-07T00:00:00"/>
  </r>
  <r>
    <n v="10407"/>
    <x v="5"/>
    <n v="504"/>
    <n v="30"/>
    <d v="1997-01-07T00:00:00"/>
  </r>
  <r>
    <n v="10407"/>
    <x v="6"/>
    <n v="504"/>
    <n v="30"/>
    <d v="1997-01-07T00:00:00"/>
  </r>
  <r>
    <n v="10407"/>
    <x v="7"/>
    <n v="504"/>
    <n v="30"/>
    <d v="1997-01-07T00:00:00"/>
  </r>
  <r>
    <n v="10407"/>
    <x v="0"/>
    <n v="432"/>
    <n v="15"/>
    <d v="1997-01-07T00:00:00"/>
  </r>
  <r>
    <n v="10407"/>
    <x v="1"/>
    <n v="432"/>
    <n v="15"/>
    <d v="1997-01-07T00:00:00"/>
  </r>
  <r>
    <n v="10407"/>
    <x v="2"/>
    <n v="432"/>
    <n v="15"/>
    <d v="1997-01-07T00:00:00"/>
  </r>
  <r>
    <n v="10407"/>
    <x v="3"/>
    <n v="432"/>
    <n v="15"/>
    <d v="1997-01-07T00:00:00"/>
  </r>
  <r>
    <n v="10407"/>
    <x v="4"/>
    <n v="432"/>
    <n v="15"/>
    <d v="1997-01-07T00:00:00"/>
  </r>
  <r>
    <n v="10407"/>
    <x v="5"/>
    <n v="432"/>
    <n v="15"/>
    <d v="1997-01-07T00:00:00"/>
  </r>
  <r>
    <n v="10407"/>
    <x v="6"/>
    <n v="432"/>
    <n v="15"/>
    <d v="1997-01-07T00:00:00"/>
  </r>
  <r>
    <n v="10407"/>
    <x v="7"/>
    <n v="432"/>
    <n v="15"/>
    <d v="1997-01-07T00:00:00"/>
  </r>
  <r>
    <n v="10407"/>
    <x v="0"/>
    <n v="258"/>
    <n v="15"/>
    <d v="1997-01-07T00:00:00"/>
  </r>
  <r>
    <n v="10407"/>
    <x v="1"/>
    <n v="258"/>
    <n v="15"/>
    <d v="1997-01-07T00:00:00"/>
  </r>
  <r>
    <n v="10407"/>
    <x v="2"/>
    <n v="258"/>
    <n v="15"/>
    <d v="1997-01-07T00:00:00"/>
  </r>
  <r>
    <n v="10407"/>
    <x v="3"/>
    <n v="258"/>
    <n v="15"/>
    <d v="1997-01-07T00:00:00"/>
  </r>
  <r>
    <n v="10407"/>
    <x v="4"/>
    <n v="258"/>
    <n v="15"/>
    <d v="1997-01-07T00:00:00"/>
  </r>
  <r>
    <n v="10407"/>
    <x v="5"/>
    <n v="258"/>
    <n v="15"/>
    <d v="1997-01-07T00:00:00"/>
  </r>
  <r>
    <n v="10407"/>
    <x v="6"/>
    <n v="258"/>
    <n v="15"/>
    <d v="1997-01-07T00:00:00"/>
  </r>
  <r>
    <n v="10407"/>
    <x v="7"/>
    <n v="258"/>
    <n v="15"/>
    <d v="1997-01-07T00:00:00"/>
  </r>
  <r>
    <n v="10408"/>
    <x v="0"/>
    <n v="208"/>
    <n v="10"/>
    <d v="1997-01-08T00:00:00"/>
  </r>
  <r>
    <n v="10408"/>
    <x v="1"/>
    <n v="208"/>
    <n v="10"/>
    <d v="1997-01-08T00:00:00"/>
  </r>
  <r>
    <n v="10408"/>
    <x v="2"/>
    <n v="208"/>
    <n v="10"/>
    <d v="1997-01-08T00:00:00"/>
  </r>
  <r>
    <n v="10408"/>
    <x v="3"/>
    <n v="208"/>
    <n v="10"/>
    <d v="1997-01-08T00:00:00"/>
  </r>
  <r>
    <n v="10408"/>
    <x v="4"/>
    <n v="208"/>
    <n v="10"/>
    <d v="1997-01-08T00:00:00"/>
  </r>
  <r>
    <n v="10408"/>
    <x v="5"/>
    <n v="208"/>
    <n v="10"/>
    <d v="1997-01-08T00:00:00"/>
  </r>
  <r>
    <n v="10408"/>
    <x v="6"/>
    <n v="208"/>
    <n v="10"/>
    <d v="1997-01-08T00:00:00"/>
  </r>
  <r>
    <n v="10408"/>
    <x v="7"/>
    <n v="208"/>
    <n v="10"/>
    <d v="1997-01-08T00:00:00"/>
  </r>
  <r>
    <n v="10408"/>
    <x v="0"/>
    <n v="35.4"/>
    <n v="6"/>
    <d v="1997-01-08T00:00:00"/>
  </r>
  <r>
    <n v="10408"/>
    <x v="1"/>
    <n v="35.4"/>
    <n v="6"/>
    <d v="1997-01-08T00:00:00"/>
  </r>
  <r>
    <n v="10408"/>
    <x v="2"/>
    <n v="35.4"/>
    <n v="6"/>
    <d v="1997-01-08T00:00:00"/>
  </r>
  <r>
    <n v="10408"/>
    <x v="3"/>
    <n v="35.4"/>
    <n v="6"/>
    <d v="1997-01-08T00:00:00"/>
  </r>
  <r>
    <n v="10408"/>
    <x v="4"/>
    <n v="35.4"/>
    <n v="6"/>
    <d v="1997-01-08T00:00:00"/>
  </r>
  <r>
    <n v="10408"/>
    <x v="5"/>
    <n v="35.4"/>
    <n v="6"/>
    <d v="1997-01-08T00:00:00"/>
  </r>
  <r>
    <n v="10408"/>
    <x v="6"/>
    <n v="35.4"/>
    <n v="6"/>
    <d v="1997-01-08T00:00:00"/>
  </r>
  <r>
    <n v="10408"/>
    <x v="7"/>
    <n v="35.4"/>
    <n v="6"/>
    <d v="1997-01-08T00:00:00"/>
  </r>
  <r>
    <n v="10408"/>
    <x v="0"/>
    <n v="1379"/>
    <n v="35"/>
    <d v="1997-01-08T00:00:00"/>
  </r>
  <r>
    <n v="10408"/>
    <x v="1"/>
    <n v="1379"/>
    <n v="35"/>
    <d v="1997-01-08T00:00:00"/>
  </r>
  <r>
    <n v="10408"/>
    <x v="2"/>
    <n v="1379"/>
    <n v="35"/>
    <d v="1997-01-08T00:00:00"/>
  </r>
  <r>
    <n v="10408"/>
    <x v="3"/>
    <n v="1379"/>
    <n v="35"/>
    <d v="1997-01-08T00:00:00"/>
  </r>
  <r>
    <n v="10408"/>
    <x v="4"/>
    <n v="1379"/>
    <n v="35"/>
    <d v="1997-01-08T00:00:00"/>
  </r>
  <r>
    <n v="10408"/>
    <x v="5"/>
    <n v="1379"/>
    <n v="35"/>
    <d v="1997-01-08T00:00:00"/>
  </r>
  <r>
    <n v="10408"/>
    <x v="6"/>
    <n v="1379"/>
    <n v="35"/>
    <d v="1997-01-08T00:00:00"/>
  </r>
  <r>
    <n v="10408"/>
    <x v="7"/>
    <n v="1379"/>
    <n v="35"/>
    <d v="1997-01-08T00:00:00"/>
  </r>
  <r>
    <n v="10409"/>
    <x v="0"/>
    <n v="223.2"/>
    <n v="12"/>
    <d v="1997-01-09T00:00:00"/>
  </r>
  <r>
    <n v="10409"/>
    <x v="1"/>
    <n v="223.2"/>
    <n v="12"/>
    <d v="1997-01-09T00:00:00"/>
  </r>
  <r>
    <n v="10409"/>
    <x v="2"/>
    <n v="223.2"/>
    <n v="12"/>
    <d v="1997-01-09T00:00:00"/>
  </r>
  <r>
    <n v="10409"/>
    <x v="3"/>
    <n v="223.2"/>
    <n v="12"/>
    <d v="1997-01-09T00:00:00"/>
  </r>
  <r>
    <n v="10409"/>
    <x v="4"/>
    <n v="223.2"/>
    <n v="12"/>
    <d v="1997-01-09T00:00:00"/>
  </r>
  <r>
    <n v="10409"/>
    <x v="5"/>
    <n v="223.2"/>
    <n v="12"/>
    <d v="1997-01-09T00:00:00"/>
  </r>
  <r>
    <n v="10409"/>
    <x v="6"/>
    <n v="223.2"/>
    <n v="12"/>
    <d v="1997-01-09T00:00:00"/>
  </r>
  <r>
    <n v="10409"/>
    <x v="7"/>
    <n v="223.2"/>
    <n v="12"/>
    <d v="1997-01-09T00:00:00"/>
  </r>
  <r>
    <n v="10409"/>
    <x v="0"/>
    <n v="96"/>
    <n v="12"/>
    <d v="1997-01-09T00:00:00"/>
  </r>
  <r>
    <n v="10409"/>
    <x v="1"/>
    <n v="96"/>
    <n v="12"/>
    <d v="1997-01-09T00:00:00"/>
  </r>
  <r>
    <n v="10409"/>
    <x v="2"/>
    <n v="96"/>
    <n v="12"/>
    <d v="1997-01-09T00:00:00"/>
  </r>
  <r>
    <n v="10409"/>
    <x v="3"/>
    <n v="96"/>
    <n v="12"/>
    <d v="1997-01-09T00:00:00"/>
  </r>
  <r>
    <n v="10409"/>
    <x v="4"/>
    <n v="96"/>
    <n v="12"/>
    <d v="1997-01-09T00:00:00"/>
  </r>
  <r>
    <n v="10409"/>
    <x v="5"/>
    <n v="96"/>
    <n v="12"/>
    <d v="1997-01-09T00:00:00"/>
  </r>
  <r>
    <n v="10409"/>
    <x v="6"/>
    <n v="96"/>
    <n v="12"/>
    <d v="1997-01-09T00:00:00"/>
  </r>
  <r>
    <n v="10409"/>
    <x v="7"/>
    <n v="96"/>
    <n v="12"/>
    <d v="1997-01-09T00:00:00"/>
  </r>
  <r>
    <n v="10410"/>
    <x v="0"/>
    <n v="98"/>
    <n v="49"/>
    <d v="1997-01-10T00:00:00"/>
  </r>
  <r>
    <n v="10410"/>
    <x v="1"/>
    <n v="98"/>
    <n v="49"/>
    <d v="1997-01-10T00:00:00"/>
  </r>
  <r>
    <n v="10410"/>
    <x v="2"/>
    <n v="98"/>
    <n v="49"/>
    <d v="1997-01-10T00:00:00"/>
  </r>
  <r>
    <n v="10410"/>
    <x v="3"/>
    <n v="98"/>
    <n v="49"/>
    <d v="1997-01-10T00:00:00"/>
  </r>
  <r>
    <n v="10410"/>
    <x v="4"/>
    <n v="98"/>
    <n v="49"/>
    <d v="1997-01-10T00:00:00"/>
  </r>
  <r>
    <n v="10410"/>
    <x v="5"/>
    <n v="98"/>
    <n v="49"/>
    <d v="1997-01-10T00:00:00"/>
  </r>
  <r>
    <n v="10410"/>
    <x v="6"/>
    <n v="98"/>
    <n v="49"/>
    <d v="1997-01-10T00:00:00"/>
  </r>
  <r>
    <n v="10410"/>
    <x v="7"/>
    <n v="98"/>
    <n v="49"/>
    <d v="1997-01-10T00:00:00"/>
  </r>
  <r>
    <n v="10410"/>
    <x v="0"/>
    <n v="704"/>
    <n v="16"/>
    <d v="1997-01-10T00:00:00"/>
  </r>
  <r>
    <n v="10410"/>
    <x v="1"/>
    <n v="704"/>
    <n v="16"/>
    <d v="1997-01-10T00:00:00"/>
  </r>
  <r>
    <n v="10410"/>
    <x v="2"/>
    <n v="704"/>
    <n v="16"/>
    <d v="1997-01-10T00:00:00"/>
  </r>
  <r>
    <n v="10410"/>
    <x v="3"/>
    <n v="704"/>
    <n v="16"/>
    <d v="1997-01-10T00:00:00"/>
  </r>
  <r>
    <n v="10410"/>
    <x v="4"/>
    <n v="704"/>
    <n v="16"/>
    <d v="1997-01-10T00:00:00"/>
  </r>
  <r>
    <n v="10410"/>
    <x v="5"/>
    <n v="704"/>
    <n v="16"/>
    <d v="1997-01-10T00:00:00"/>
  </r>
  <r>
    <n v="10410"/>
    <x v="6"/>
    <n v="704"/>
    <n v="16"/>
    <d v="1997-01-10T00:00:00"/>
  </r>
  <r>
    <n v="10410"/>
    <x v="7"/>
    <n v="704"/>
    <n v="16"/>
    <d v="1997-01-10T00:00:00"/>
  </r>
  <r>
    <n v="10411"/>
    <x v="0"/>
    <n v="153.99999942630529"/>
    <n v="25"/>
    <d v="1997-01-10T00:00:00"/>
  </r>
  <r>
    <n v="10411"/>
    <x v="1"/>
    <n v="153.99999942630529"/>
    <n v="25"/>
    <d v="1997-01-10T00:00:00"/>
  </r>
  <r>
    <n v="10411"/>
    <x v="2"/>
    <n v="153.99999942630529"/>
    <n v="25"/>
    <d v="1997-01-10T00:00:00"/>
  </r>
  <r>
    <n v="10411"/>
    <x v="3"/>
    <n v="153.99999942630529"/>
    <n v="25"/>
    <d v="1997-01-10T00:00:00"/>
  </r>
  <r>
    <n v="10411"/>
    <x v="4"/>
    <n v="153.99999942630529"/>
    <n v="25"/>
    <d v="1997-01-10T00:00:00"/>
  </r>
  <r>
    <n v="10411"/>
    <x v="5"/>
    <n v="153.99999942630529"/>
    <n v="25"/>
    <d v="1997-01-10T00:00:00"/>
  </r>
  <r>
    <n v="10411"/>
    <x v="6"/>
    <n v="153.99999942630529"/>
    <n v="25"/>
    <d v="1997-01-10T00:00:00"/>
  </r>
  <r>
    <n v="10411"/>
    <x v="7"/>
    <n v="153.99999942630529"/>
    <n v="25"/>
    <d v="1997-01-10T00:00:00"/>
  </r>
  <r>
    <n v="10411"/>
    <x v="0"/>
    <n v="495.99999815225601"/>
    <n v="40"/>
    <d v="1997-01-10T00:00:00"/>
  </r>
  <r>
    <n v="10411"/>
    <x v="1"/>
    <n v="495.99999815225601"/>
    <n v="40"/>
    <d v="1997-01-10T00:00:00"/>
  </r>
  <r>
    <n v="10411"/>
    <x v="2"/>
    <n v="495.99999815225601"/>
    <n v="40"/>
    <d v="1997-01-10T00:00:00"/>
  </r>
  <r>
    <n v="10411"/>
    <x v="3"/>
    <n v="495.99999815225601"/>
    <n v="40"/>
    <d v="1997-01-10T00:00:00"/>
  </r>
  <r>
    <n v="10411"/>
    <x v="4"/>
    <n v="495.99999815225601"/>
    <n v="40"/>
    <d v="1997-01-10T00:00:00"/>
  </r>
  <r>
    <n v="10411"/>
    <x v="5"/>
    <n v="495.99999815225601"/>
    <n v="40"/>
    <d v="1997-01-10T00:00:00"/>
  </r>
  <r>
    <n v="10411"/>
    <x v="6"/>
    <n v="495.99999815225601"/>
    <n v="40"/>
    <d v="1997-01-10T00:00:00"/>
  </r>
  <r>
    <n v="10411"/>
    <x v="7"/>
    <n v="495.99999815225601"/>
    <n v="40"/>
    <d v="1997-01-10T00:00:00"/>
  </r>
  <r>
    <n v="10411"/>
    <x v="0"/>
    <n v="316.79999881982803"/>
    <n v="9"/>
    <d v="1997-01-10T00:00:00"/>
  </r>
  <r>
    <n v="10411"/>
    <x v="1"/>
    <n v="316.79999881982803"/>
    <n v="9"/>
    <d v="1997-01-10T00:00:00"/>
  </r>
  <r>
    <n v="10411"/>
    <x v="2"/>
    <n v="316.79999881982803"/>
    <n v="9"/>
    <d v="1997-01-10T00:00:00"/>
  </r>
  <r>
    <n v="10411"/>
    <x v="3"/>
    <n v="316.79999881982803"/>
    <n v="9"/>
    <d v="1997-01-10T00:00:00"/>
  </r>
  <r>
    <n v="10411"/>
    <x v="4"/>
    <n v="316.79999881982803"/>
    <n v="9"/>
    <d v="1997-01-10T00:00:00"/>
  </r>
  <r>
    <n v="10411"/>
    <x v="5"/>
    <n v="316.79999881982803"/>
    <n v="9"/>
    <d v="1997-01-10T00:00:00"/>
  </r>
  <r>
    <n v="10411"/>
    <x v="6"/>
    <n v="316.79999881982803"/>
    <n v="9"/>
    <d v="1997-01-10T00:00:00"/>
  </r>
  <r>
    <n v="10411"/>
    <x v="7"/>
    <n v="316.79999881982803"/>
    <n v="9"/>
    <d v="1997-01-10T00:00:00"/>
  </r>
  <r>
    <n v="10412"/>
    <x v="0"/>
    <n v="334.7999994456768"/>
    <n v="20"/>
    <d v="1997-01-13T00:00:00"/>
  </r>
  <r>
    <n v="10412"/>
    <x v="1"/>
    <n v="334.7999994456768"/>
    <n v="20"/>
    <d v="1997-01-13T00:00:00"/>
  </r>
  <r>
    <n v="10412"/>
    <x v="2"/>
    <n v="334.7999994456768"/>
    <n v="20"/>
    <d v="1997-01-13T00:00:00"/>
  </r>
  <r>
    <n v="10412"/>
    <x v="3"/>
    <n v="334.7999994456768"/>
    <n v="20"/>
    <d v="1997-01-13T00:00:00"/>
  </r>
  <r>
    <n v="10412"/>
    <x v="4"/>
    <n v="334.7999994456768"/>
    <n v="20"/>
    <d v="1997-01-13T00:00:00"/>
  </r>
  <r>
    <n v="10412"/>
    <x v="5"/>
    <n v="334.7999994456768"/>
    <n v="20"/>
    <d v="1997-01-13T00:00:00"/>
  </r>
  <r>
    <n v="10412"/>
    <x v="6"/>
    <n v="334.7999994456768"/>
    <n v="20"/>
    <d v="1997-01-13T00:00:00"/>
  </r>
  <r>
    <n v="10412"/>
    <x v="7"/>
    <n v="334.7999994456768"/>
    <n v="20"/>
    <d v="1997-01-13T00:00:00"/>
  </r>
  <r>
    <n v="10413"/>
    <x v="0"/>
    <n v="345.6"/>
    <n v="24"/>
    <d v="1997-01-14T00:00:00"/>
  </r>
  <r>
    <n v="10413"/>
    <x v="1"/>
    <n v="345.6"/>
    <n v="24"/>
    <d v="1997-01-14T00:00:00"/>
  </r>
  <r>
    <n v="10413"/>
    <x v="2"/>
    <n v="345.6"/>
    <n v="24"/>
    <d v="1997-01-14T00:00:00"/>
  </r>
  <r>
    <n v="10413"/>
    <x v="3"/>
    <n v="345.6"/>
    <n v="24"/>
    <d v="1997-01-14T00:00:00"/>
  </r>
  <r>
    <n v="10413"/>
    <x v="4"/>
    <n v="345.6"/>
    <n v="24"/>
    <d v="1997-01-14T00:00:00"/>
  </r>
  <r>
    <n v="10413"/>
    <x v="5"/>
    <n v="345.6"/>
    <n v="24"/>
    <d v="1997-01-14T00:00:00"/>
  </r>
  <r>
    <n v="10413"/>
    <x v="6"/>
    <n v="345.6"/>
    <n v="24"/>
    <d v="1997-01-14T00:00:00"/>
  </r>
  <r>
    <n v="10413"/>
    <x v="7"/>
    <n v="345.6"/>
    <n v="24"/>
    <d v="1997-01-14T00:00:00"/>
  </r>
  <r>
    <n v="10413"/>
    <x v="0"/>
    <n v="1576"/>
    <n v="40"/>
    <d v="1997-01-14T00:00:00"/>
  </r>
  <r>
    <n v="10413"/>
    <x v="1"/>
    <n v="1576"/>
    <n v="40"/>
    <d v="1997-01-14T00:00:00"/>
  </r>
  <r>
    <n v="10413"/>
    <x v="2"/>
    <n v="1576"/>
    <n v="40"/>
    <d v="1997-01-14T00:00:00"/>
  </r>
  <r>
    <n v="10413"/>
    <x v="3"/>
    <n v="1576"/>
    <n v="40"/>
    <d v="1997-01-14T00:00:00"/>
  </r>
  <r>
    <n v="10413"/>
    <x v="4"/>
    <n v="1576"/>
    <n v="40"/>
    <d v="1997-01-14T00:00:00"/>
  </r>
  <r>
    <n v="10413"/>
    <x v="5"/>
    <n v="1576"/>
    <n v="40"/>
    <d v="1997-01-14T00:00:00"/>
  </r>
  <r>
    <n v="10413"/>
    <x v="6"/>
    <n v="1576"/>
    <n v="40"/>
    <d v="1997-01-14T00:00:00"/>
  </r>
  <r>
    <n v="10413"/>
    <x v="7"/>
    <n v="1576"/>
    <n v="40"/>
    <d v="1997-01-14T00:00:00"/>
  </r>
  <r>
    <n v="10413"/>
    <x v="0"/>
    <n v="201.6"/>
    <n v="14"/>
    <d v="1997-01-14T00:00:00"/>
  </r>
  <r>
    <n v="10413"/>
    <x v="1"/>
    <n v="201.6"/>
    <n v="14"/>
    <d v="1997-01-14T00:00:00"/>
  </r>
  <r>
    <n v="10413"/>
    <x v="2"/>
    <n v="201.6"/>
    <n v="14"/>
    <d v="1997-01-14T00:00:00"/>
  </r>
  <r>
    <n v="10413"/>
    <x v="3"/>
    <n v="201.6"/>
    <n v="14"/>
    <d v="1997-01-14T00:00:00"/>
  </r>
  <r>
    <n v="10413"/>
    <x v="4"/>
    <n v="201.6"/>
    <n v="14"/>
    <d v="1997-01-14T00:00:00"/>
  </r>
  <r>
    <n v="10413"/>
    <x v="5"/>
    <n v="201.6"/>
    <n v="14"/>
    <d v="1997-01-14T00:00:00"/>
  </r>
  <r>
    <n v="10413"/>
    <x v="6"/>
    <n v="201.6"/>
    <n v="14"/>
    <d v="1997-01-14T00:00:00"/>
  </r>
  <r>
    <n v="10413"/>
    <x v="7"/>
    <n v="201.6"/>
    <n v="14"/>
    <d v="1997-01-14T00:00:00"/>
  </r>
  <r>
    <n v="10414"/>
    <x v="0"/>
    <n v="124.82999990209937"/>
    <n v="18"/>
    <d v="1997-01-14T00:00:00"/>
  </r>
  <r>
    <n v="10414"/>
    <x v="1"/>
    <n v="124.82999990209937"/>
    <n v="18"/>
    <d v="1997-01-14T00:00:00"/>
  </r>
  <r>
    <n v="10414"/>
    <x v="2"/>
    <n v="124.82999990209937"/>
    <n v="18"/>
    <d v="1997-01-14T00:00:00"/>
  </r>
  <r>
    <n v="10414"/>
    <x v="3"/>
    <n v="124.82999990209937"/>
    <n v="18"/>
    <d v="1997-01-14T00:00:00"/>
  </r>
  <r>
    <n v="10414"/>
    <x v="4"/>
    <n v="124.82999990209937"/>
    <n v="18"/>
    <d v="1997-01-14T00:00:00"/>
  </r>
  <r>
    <n v="10414"/>
    <x v="5"/>
    <n v="124.82999990209937"/>
    <n v="18"/>
    <d v="1997-01-14T00:00:00"/>
  </r>
  <r>
    <n v="10414"/>
    <x v="6"/>
    <n v="124.82999990209937"/>
    <n v="18"/>
    <d v="1997-01-14T00:00:00"/>
  </r>
  <r>
    <n v="10414"/>
    <x v="7"/>
    <n v="124.82999990209937"/>
    <n v="18"/>
    <d v="1997-01-14T00:00:00"/>
  </r>
  <r>
    <n v="10414"/>
    <x v="0"/>
    <n v="100"/>
    <n v="50"/>
    <d v="1997-01-14T00:00:00"/>
  </r>
  <r>
    <n v="10414"/>
    <x v="1"/>
    <n v="100"/>
    <n v="50"/>
    <d v="1997-01-14T00:00:00"/>
  </r>
  <r>
    <n v="10414"/>
    <x v="2"/>
    <n v="100"/>
    <n v="50"/>
    <d v="1997-01-14T00:00:00"/>
  </r>
  <r>
    <n v="10414"/>
    <x v="3"/>
    <n v="100"/>
    <n v="50"/>
    <d v="1997-01-14T00:00:00"/>
  </r>
  <r>
    <n v="10414"/>
    <x v="4"/>
    <n v="100"/>
    <n v="50"/>
    <d v="1997-01-14T00:00:00"/>
  </r>
  <r>
    <n v="10414"/>
    <x v="5"/>
    <n v="100"/>
    <n v="50"/>
    <d v="1997-01-14T00:00:00"/>
  </r>
  <r>
    <n v="10414"/>
    <x v="6"/>
    <n v="100"/>
    <n v="50"/>
    <d v="1997-01-14T00:00:00"/>
  </r>
  <r>
    <n v="10414"/>
    <x v="7"/>
    <n v="100"/>
    <n v="50"/>
    <d v="1997-01-14T00:00:00"/>
  </r>
  <r>
    <n v="10415"/>
    <x v="0"/>
    <n v="62.4"/>
    <n v="2"/>
    <d v="1997-01-15T00:00:00"/>
  </r>
  <r>
    <n v="10415"/>
    <x v="1"/>
    <n v="62.4"/>
    <n v="2"/>
    <d v="1997-01-15T00:00:00"/>
  </r>
  <r>
    <n v="10415"/>
    <x v="2"/>
    <n v="62.4"/>
    <n v="2"/>
    <d v="1997-01-15T00:00:00"/>
  </r>
  <r>
    <n v="10415"/>
    <x v="3"/>
    <n v="62.4"/>
    <n v="2"/>
    <d v="1997-01-15T00:00:00"/>
  </r>
  <r>
    <n v="10415"/>
    <x v="4"/>
    <n v="62.4"/>
    <n v="2"/>
    <d v="1997-01-15T00:00:00"/>
  </r>
  <r>
    <n v="10415"/>
    <x v="5"/>
    <n v="62.4"/>
    <n v="2"/>
    <d v="1997-01-15T00:00:00"/>
  </r>
  <r>
    <n v="10415"/>
    <x v="6"/>
    <n v="62.4"/>
    <n v="2"/>
    <d v="1997-01-15T00:00:00"/>
  </r>
  <r>
    <n v="10415"/>
    <x v="7"/>
    <n v="62.4"/>
    <n v="2"/>
    <d v="1997-01-15T00:00:00"/>
  </r>
  <r>
    <n v="10415"/>
    <x v="0"/>
    <n v="40"/>
    <n v="20"/>
    <d v="1997-01-15T00:00:00"/>
  </r>
  <r>
    <n v="10415"/>
    <x v="1"/>
    <n v="40"/>
    <n v="20"/>
    <d v="1997-01-15T00:00:00"/>
  </r>
  <r>
    <n v="10415"/>
    <x v="2"/>
    <n v="40"/>
    <n v="20"/>
    <d v="1997-01-15T00:00:00"/>
  </r>
  <r>
    <n v="10415"/>
    <x v="3"/>
    <n v="40"/>
    <n v="20"/>
    <d v="1997-01-15T00:00:00"/>
  </r>
  <r>
    <n v="10415"/>
    <x v="4"/>
    <n v="40"/>
    <n v="20"/>
    <d v="1997-01-15T00:00:00"/>
  </r>
  <r>
    <n v="10415"/>
    <x v="5"/>
    <n v="40"/>
    <n v="20"/>
    <d v="1997-01-15T00:00:00"/>
  </r>
  <r>
    <n v="10415"/>
    <x v="6"/>
    <n v="40"/>
    <n v="20"/>
    <d v="1997-01-15T00:00:00"/>
  </r>
  <r>
    <n v="10415"/>
    <x v="7"/>
    <n v="40"/>
    <n v="20"/>
    <d v="1997-01-15T00:00:00"/>
  </r>
  <r>
    <n v="10416"/>
    <x v="0"/>
    <n v="146"/>
    <n v="20"/>
    <d v="1997-01-16T00:00:00"/>
  </r>
  <r>
    <n v="10416"/>
    <x v="1"/>
    <n v="146"/>
    <n v="20"/>
    <d v="1997-01-16T00:00:00"/>
  </r>
  <r>
    <n v="10416"/>
    <x v="2"/>
    <n v="146"/>
    <n v="20"/>
    <d v="1997-01-16T00:00:00"/>
  </r>
  <r>
    <n v="10416"/>
    <x v="3"/>
    <n v="146"/>
    <n v="20"/>
    <d v="1997-01-16T00:00:00"/>
  </r>
  <r>
    <n v="10416"/>
    <x v="4"/>
    <n v="146"/>
    <n v="20"/>
    <d v="1997-01-16T00:00:00"/>
  </r>
  <r>
    <n v="10416"/>
    <x v="5"/>
    <n v="146"/>
    <n v="20"/>
    <d v="1997-01-16T00:00:00"/>
  </r>
  <r>
    <n v="10416"/>
    <x v="6"/>
    <n v="146"/>
    <n v="20"/>
    <d v="1997-01-16T00:00:00"/>
  </r>
  <r>
    <n v="10416"/>
    <x v="7"/>
    <n v="146"/>
    <n v="20"/>
    <d v="1997-01-16T00:00:00"/>
  </r>
  <r>
    <n v="10416"/>
    <x v="0"/>
    <n v="262"/>
    <n v="10"/>
    <d v="1997-01-16T00:00:00"/>
  </r>
  <r>
    <n v="10416"/>
    <x v="1"/>
    <n v="262"/>
    <n v="10"/>
    <d v="1997-01-16T00:00:00"/>
  </r>
  <r>
    <n v="10416"/>
    <x v="2"/>
    <n v="262"/>
    <n v="10"/>
    <d v="1997-01-16T00:00:00"/>
  </r>
  <r>
    <n v="10416"/>
    <x v="3"/>
    <n v="262"/>
    <n v="10"/>
    <d v="1997-01-16T00:00:00"/>
  </r>
  <r>
    <n v="10416"/>
    <x v="4"/>
    <n v="262"/>
    <n v="10"/>
    <d v="1997-01-16T00:00:00"/>
  </r>
  <r>
    <n v="10416"/>
    <x v="5"/>
    <n v="262"/>
    <n v="10"/>
    <d v="1997-01-16T00:00:00"/>
  </r>
  <r>
    <n v="10416"/>
    <x v="6"/>
    <n v="262"/>
    <n v="10"/>
    <d v="1997-01-16T00:00:00"/>
  </r>
  <r>
    <n v="10416"/>
    <x v="7"/>
    <n v="262"/>
    <n v="10"/>
    <d v="1997-01-16T00:00:00"/>
  </r>
  <r>
    <n v="10416"/>
    <x v="0"/>
    <n v="312"/>
    <n v="20"/>
    <d v="1997-01-16T00:00:00"/>
  </r>
  <r>
    <n v="10416"/>
    <x v="1"/>
    <n v="312"/>
    <n v="20"/>
    <d v="1997-01-16T00:00:00"/>
  </r>
  <r>
    <n v="10416"/>
    <x v="2"/>
    <n v="312"/>
    <n v="20"/>
    <d v="1997-01-16T00:00:00"/>
  </r>
  <r>
    <n v="10416"/>
    <x v="3"/>
    <n v="312"/>
    <n v="20"/>
    <d v="1997-01-16T00:00:00"/>
  </r>
  <r>
    <n v="10416"/>
    <x v="4"/>
    <n v="312"/>
    <n v="20"/>
    <d v="1997-01-16T00:00:00"/>
  </r>
  <r>
    <n v="10416"/>
    <x v="5"/>
    <n v="312"/>
    <n v="20"/>
    <d v="1997-01-16T00:00:00"/>
  </r>
  <r>
    <n v="10416"/>
    <x v="6"/>
    <n v="312"/>
    <n v="20"/>
    <d v="1997-01-16T00:00:00"/>
  </r>
  <r>
    <n v="10416"/>
    <x v="7"/>
    <n v="312"/>
    <n v="20"/>
    <d v="1997-01-16T00:00:00"/>
  </r>
  <r>
    <n v="10417"/>
    <x v="0"/>
    <n v="10540"/>
    <n v="50"/>
    <d v="1997-01-16T00:00:00"/>
  </r>
  <r>
    <n v="10417"/>
    <x v="1"/>
    <n v="10540"/>
    <n v="50"/>
    <d v="1997-01-16T00:00:00"/>
  </r>
  <r>
    <n v="10417"/>
    <x v="2"/>
    <n v="10540"/>
    <n v="50"/>
    <d v="1997-01-16T00:00:00"/>
  </r>
  <r>
    <n v="10417"/>
    <x v="3"/>
    <n v="10540"/>
    <n v="50"/>
    <d v="1997-01-16T00:00:00"/>
  </r>
  <r>
    <n v="10417"/>
    <x v="4"/>
    <n v="10540"/>
    <n v="50"/>
    <d v="1997-01-16T00:00:00"/>
  </r>
  <r>
    <n v="10417"/>
    <x v="5"/>
    <n v="10540"/>
    <n v="50"/>
    <d v="1997-01-16T00:00:00"/>
  </r>
  <r>
    <n v="10417"/>
    <x v="6"/>
    <n v="10540"/>
    <n v="50"/>
    <d v="1997-01-16T00:00:00"/>
  </r>
  <r>
    <n v="10417"/>
    <x v="7"/>
    <n v="10540"/>
    <n v="50"/>
    <d v="1997-01-16T00:00:00"/>
  </r>
  <r>
    <n v="10417"/>
    <x v="0"/>
    <n v="14.399999999999999"/>
    <n v="2"/>
    <d v="1997-01-16T00:00:00"/>
  </r>
  <r>
    <n v="10417"/>
    <x v="1"/>
    <n v="14.399999999999999"/>
    <n v="2"/>
    <d v="1997-01-16T00:00:00"/>
  </r>
  <r>
    <n v="10417"/>
    <x v="2"/>
    <n v="14.399999999999999"/>
    <n v="2"/>
    <d v="1997-01-16T00:00:00"/>
  </r>
  <r>
    <n v="10417"/>
    <x v="3"/>
    <n v="14.399999999999999"/>
    <n v="2"/>
    <d v="1997-01-16T00:00:00"/>
  </r>
  <r>
    <n v="10417"/>
    <x v="4"/>
    <n v="14.399999999999999"/>
    <n v="2"/>
    <d v="1997-01-16T00:00:00"/>
  </r>
  <r>
    <n v="10417"/>
    <x v="5"/>
    <n v="14.399999999999999"/>
    <n v="2"/>
    <d v="1997-01-16T00:00:00"/>
  </r>
  <r>
    <n v="10417"/>
    <x v="6"/>
    <n v="14.399999999999999"/>
    <n v="2"/>
    <d v="1997-01-16T00:00:00"/>
  </r>
  <r>
    <n v="10417"/>
    <x v="7"/>
    <n v="14.399999999999999"/>
    <n v="2"/>
    <d v="1997-01-16T00:00:00"/>
  </r>
  <r>
    <n v="10417"/>
    <x v="0"/>
    <n v="270"/>
    <n v="36"/>
    <d v="1997-01-16T00:00:00"/>
  </r>
  <r>
    <n v="10417"/>
    <x v="1"/>
    <n v="270"/>
    <n v="36"/>
    <d v="1997-01-16T00:00:00"/>
  </r>
  <r>
    <n v="10417"/>
    <x v="2"/>
    <n v="270"/>
    <n v="36"/>
    <d v="1997-01-16T00:00:00"/>
  </r>
  <r>
    <n v="10417"/>
    <x v="3"/>
    <n v="270"/>
    <n v="36"/>
    <d v="1997-01-16T00:00:00"/>
  </r>
  <r>
    <n v="10417"/>
    <x v="4"/>
    <n v="270"/>
    <n v="36"/>
    <d v="1997-01-16T00:00:00"/>
  </r>
  <r>
    <n v="10417"/>
    <x v="5"/>
    <n v="270"/>
    <n v="36"/>
    <d v="1997-01-16T00:00:00"/>
  </r>
  <r>
    <n v="10417"/>
    <x v="6"/>
    <n v="270"/>
    <n v="36"/>
    <d v="1997-01-16T00:00:00"/>
  </r>
  <r>
    <n v="10417"/>
    <x v="7"/>
    <n v="270"/>
    <n v="36"/>
    <d v="1997-01-16T00:00:00"/>
  </r>
  <r>
    <n v="10417"/>
    <x v="0"/>
    <n v="364"/>
    <n v="35"/>
    <d v="1997-01-16T00:00:00"/>
  </r>
  <r>
    <n v="10417"/>
    <x v="1"/>
    <n v="364"/>
    <n v="35"/>
    <d v="1997-01-16T00:00:00"/>
  </r>
  <r>
    <n v="10417"/>
    <x v="2"/>
    <n v="364"/>
    <n v="35"/>
    <d v="1997-01-16T00:00:00"/>
  </r>
  <r>
    <n v="10417"/>
    <x v="3"/>
    <n v="364"/>
    <n v="35"/>
    <d v="1997-01-16T00:00:00"/>
  </r>
  <r>
    <n v="10417"/>
    <x v="4"/>
    <n v="364"/>
    <n v="35"/>
    <d v="1997-01-16T00:00:00"/>
  </r>
  <r>
    <n v="10417"/>
    <x v="5"/>
    <n v="364"/>
    <n v="35"/>
    <d v="1997-01-16T00:00:00"/>
  </r>
  <r>
    <n v="10417"/>
    <x v="6"/>
    <n v="364"/>
    <n v="35"/>
    <d v="1997-01-16T00:00:00"/>
  </r>
  <r>
    <n v="10417"/>
    <x v="7"/>
    <n v="364"/>
    <n v="35"/>
    <d v="1997-01-16T00:00:00"/>
  </r>
  <r>
    <n v="10418"/>
    <x v="0"/>
    <n v="912"/>
    <n v="60"/>
    <d v="1997-01-17T00:00:00"/>
  </r>
  <r>
    <n v="10418"/>
    <x v="1"/>
    <n v="912"/>
    <n v="60"/>
    <d v="1997-01-17T00:00:00"/>
  </r>
  <r>
    <n v="10418"/>
    <x v="2"/>
    <n v="912"/>
    <n v="60"/>
    <d v="1997-01-17T00:00:00"/>
  </r>
  <r>
    <n v="10418"/>
    <x v="3"/>
    <n v="912"/>
    <n v="60"/>
    <d v="1997-01-17T00:00:00"/>
  </r>
  <r>
    <n v="10418"/>
    <x v="4"/>
    <n v="912"/>
    <n v="60"/>
    <d v="1997-01-17T00:00:00"/>
  </r>
  <r>
    <n v="10418"/>
    <x v="5"/>
    <n v="912"/>
    <n v="60"/>
    <d v="1997-01-17T00:00:00"/>
  </r>
  <r>
    <n v="10418"/>
    <x v="6"/>
    <n v="912"/>
    <n v="60"/>
    <d v="1997-01-17T00:00:00"/>
  </r>
  <r>
    <n v="10418"/>
    <x v="7"/>
    <n v="912"/>
    <n v="60"/>
    <d v="1997-01-17T00:00:00"/>
  </r>
  <r>
    <n v="10418"/>
    <x v="0"/>
    <n v="418"/>
    <n v="55"/>
    <d v="1997-01-17T00:00:00"/>
  </r>
  <r>
    <n v="10418"/>
    <x v="1"/>
    <n v="418"/>
    <n v="55"/>
    <d v="1997-01-17T00:00:00"/>
  </r>
  <r>
    <n v="10418"/>
    <x v="2"/>
    <n v="418"/>
    <n v="55"/>
    <d v="1997-01-17T00:00:00"/>
  </r>
  <r>
    <n v="10418"/>
    <x v="3"/>
    <n v="418"/>
    <n v="55"/>
    <d v="1997-01-17T00:00:00"/>
  </r>
  <r>
    <n v="10418"/>
    <x v="4"/>
    <n v="418"/>
    <n v="55"/>
    <d v="1997-01-17T00:00:00"/>
  </r>
  <r>
    <n v="10418"/>
    <x v="5"/>
    <n v="418"/>
    <n v="55"/>
    <d v="1997-01-17T00:00:00"/>
  </r>
  <r>
    <n v="10418"/>
    <x v="6"/>
    <n v="418"/>
    <n v="55"/>
    <d v="1997-01-17T00:00:00"/>
  </r>
  <r>
    <n v="10418"/>
    <x v="7"/>
    <n v="418"/>
    <n v="55"/>
    <d v="1997-01-17T00:00:00"/>
  </r>
  <r>
    <n v="10418"/>
    <x v="0"/>
    <n v="364.8"/>
    <n v="16"/>
    <d v="1997-01-17T00:00:00"/>
  </r>
  <r>
    <n v="10418"/>
    <x v="1"/>
    <n v="364.8"/>
    <n v="16"/>
    <d v="1997-01-17T00:00:00"/>
  </r>
  <r>
    <n v="10418"/>
    <x v="2"/>
    <n v="364.8"/>
    <n v="16"/>
    <d v="1997-01-17T00:00:00"/>
  </r>
  <r>
    <n v="10418"/>
    <x v="3"/>
    <n v="364.8"/>
    <n v="16"/>
    <d v="1997-01-17T00:00:00"/>
  </r>
  <r>
    <n v="10418"/>
    <x v="4"/>
    <n v="364.8"/>
    <n v="16"/>
    <d v="1997-01-17T00:00:00"/>
  </r>
  <r>
    <n v="10418"/>
    <x v="5"/>
    <n v="364.8"/>
    <n v="16"/>
    <d v="1997-01-17T00:00:00"/>
  </r>
  <r>
    <n v="10418"/>
    <x v="6"/>
    <n v="364.8"/>
    <n v="16"/>
    <d v="1997-01-17T00:00:00"/>
  </r>
  <r>
    <n v="10418"/>
    <x v="7"/>
    <n v="364.8"/>
    <n v="16"/>
    <d v="1997-01-17T00:00:00"/>
  </r>
  <r>
    <n v="10418"/>
    <x v="0"/>
    <n v="120"/>
    <n v="15"/>
    <d v="1997-01-17T00:00:00"/>
  </r>
  <r>
    <n v="10418"/>
    <x v="1"/>
    <n v="120"/>
    <n v="15"/>
    <d v="1997-01-17T00:00:00"/>
  </r>
  <r>
    <n v="10418"/>
    <x v="2"/>
    <n v="120"/>
    <n v="15"/>
    <d v="1997-01-17T00:00:00"/>
  </r>
  <r>
    <n v="10418"/>
    <x v="3"/>
    <n v="120"/>
    <n v="15"/>
    <d v="1997-01-17T00:00:00"/>
  </r>
  <r>
    <n v="10418"/>
    <x v="4"/>
    <n v="120"/>
    <n v="15"/>
    <d v="1997-01-17T00:00:00"/>
  </r>
  <r>
    <n v="10418"/>
    <x v="5"/>
    <n v="120"/>
    <n v="15"/>
    <d v="1997-01-17T00:00:00"/>
  </r>
  <r>
    <n v="10418"/>
    <x v="6"/>
    <n v="120"/>
    <n v="15"/>
    <d v="1997-01-17T00:00:00"/>
  </r>
  <r>
    <n v="10418"/>
    <x v="7"/>
    <n v="120"/>
    <n v="15"/>
    <d v="1997-01-17T00:00:00"/>
  </r>
  <r>
    <n v="10419"/>
    <x v="0"/>
    <n v="1550.3999987840652"/>
    <n v="60"/>
    <d v="1997-01-20T00:00:00"/>
  </r>
  <r>
    <n v="10419"/>
    <x v="1"/>
    <n v="1550.3999987840652"/>
    <n v="60"/>
    <d v="1997-01-20T00:00:00"/>
  </r>
  <r>
    <n v="10419"/>
    <x v="2"/>
    <n v="1550.3999987840652"/>
    <n v="60"/>
    <d v="1997-01-20T00:00:00"/>
  </r>
  <r>
    <n v="10419"/>
    <x v="3"/>
    <n v="1550.3999987840652"/>
    <n v="60"/>
    <d v="1997-01-20T00:00:00"/>
  </r>
  <r>
    <n v="10419"/>
    <x v="4"/>
    <n v="1550.3999987840652"/>
    <n v="60"/>
    <d v="1997-01-20T00:00:00"/>
  </r>
  <r>
    <n v="10419"/>
    <x v="5"/>
    <n v="1550.3999987840652"/>
    <n v="60"/>
    <d v="1997-01-20T00:00:00"/>
  </r>
  <r>
    <n v="10419"/>
    <x v="6"/>
    <n v="1550.3999987840652"/>
    <n v="60"/>
    <d v="1997-01-20T00:00:00"/>
  </r>
  <r>
    <n v="10419"/>
    <x v="7"/>
    <n v="1550.3999987840652"/>
    <n v="60"/>
    <d v="1997-01-20T00:00:00"/>
  </r>
  <r>
    <n v="10419"/>
    <x v="0"/>
    <n v="547.19999957084656"/>
    <n v="20"/>
    <d v="1997-01-20T00:00:00"/>
  </r>
  <r>
    <n v="10419"/>
    <x v="1"/>
    <n v="547.19999957084656"/>
    <n v="20"/>
    <d v="1997-01-20T00:00:00"/>
  </r>
  <r>
    <n v="10419"/>
    <x v="2"/>
    <n v="547.19999957084656"/>
    <n v="20"/>
    <d v="1997-01-20T00:00:00"/>
  </r>
  <r>
    <n v="10419"/>
    <x v="3"/>
    <n v="547.19999957084656"/>
    <n v="20"/>
    <d v="1997-01-20T00:00:00"/>
  </r>
  <r>
    <n v="10419"/>
    <x v="4"/>
    <n v="547.19999957084656"/>
    <n v="20"/>
    <d v="1997-01-20T00:00:00"/>
  </r>
  <r>
    <n v="10419"/>
    <x v="5"/>
    <n v="547.19999957084656"/>
    <n v="20"/>
    <d v="1997-01-20T00:00:00"/>
  </r>
  <r>
    <n v="10419"/>
    <x v="6"/>
    <n v="547.19999957084656"/>
    <n v="20"/>
    <d v="1997-01-20T00:00:00"/>
  </r>
  <r>
    <n v="10419"/>
    <x v="7"/>
    <n v="547.19999957084656"/>
    <n v="20"/>
    <d v="1997-01-20T00:00:00"/>
  </r>
  <r>
    <n v="10420"/>
    <x v="0"/>
    <n v="1396.7999976873398"/>
    <n v="20"/>
    <d v="1997-01-21T00:00:00"/>
  </r>
  <r>
    <n v="10420"/>
    <x v="1"/>
    <n v="1396.7999976873398"/>
    <n v="20"/>
    <d v="1997-01-21T00:00:00"/>
  </r>
  <r>
    <n v="10420"/>
    <x v="2"/>
    <n v="1396.7999976873398"/>
    <n v="20"/>
    <d v="1997-01-21T00:00:00"/>
  </r>
  <r>
    <n v="10420"/>
    <x v="3"/>
    <n v="1396.7999976873398"/>
    <n v="20"/>
    <d v="1997-01-21T00:00:00"/>
  </r>
  <r>
    <n v="10420"/>
    <x v="4"/>
    <n v="1396.7999976873398"/>
    <n v="20"/>
    <d v="1997-01-21T00:00:00"/>
  </r>
  <r>
    <n v="10420"/>
    <x v="5"/>
    <n v="1396.7999976873398"/>
    <n v="20"/>
    <d v="1997-01-21T00:00:00"/>
  </r>
  <r>
    <n v="10420"/>
    <x v="6"/>
    <n v="1396.7999976873398"/>
    <n v="20"/>
    <d v="1997-01-21T00:00:00"/>
  </r>
  <r>
    <n v="10420"/>
    <x v="7"/>
    <n v="1396.7999976873398"/>
    <n v="20"/>
    <d v="1997-01-21T00:00:00"/>
  </r>
  <r>
    <n v="10420"/>
    <x v="0"/>
    <n v="8.6399999856948853"/>
    <n v="2"/>
    <d v="1997-01-21T00:00:00"/>
  </r>
  <r>
    <n v="10420"/>
    <x v="1"/>
    <n v="8.6399999856948853"/>
    <n v="2"/>
    <d v="1997-01-21T00:00:00"/>
  </r>
  <r>
    <n v="10420"/>
    <x v="2"/>
    <n v="8.6399999856948853"/>
    <n v="2"/>
    <d v="1997-01-21T00:00:00"/>
  </r>
  <r>
    <n v="10420"/>
    <x v="3"/>
    <n v="8.6399999856948853"/>
    <n v="2"/>
    <d v="1997-01-21T00:00:00"/>
  </r>
  <r>
    <n v="10420"/>
    <x v="4"/>
    <n v="8.6399999856948853"/>
    <n v="2"/>
    <d v="1997-01-21T00:00:00"/>
  </r>
  <r>
    <n v="10420"/>
    <x v="5"/>
    <n v="8.6399999856948853"/>
    <n v="2"/>
    <d v="1997-01-21T00:00:00"/>
  </r>
  <r>
    <n v="10420"/>
    <x v="6"/>
    <n v="8.6399999856948853"/>
    <n v="2"/>
    <d v="1997-01-21T00:00:00"/>
  </r>
  <r>
    <n v="10420"/>
    <x v="7"/>
    <n v="8.6399999856948853"/>
    <n v="2"/>
    <d v="1997-01-21T00:00:00"/>
  </r>
  <r>
    <n v="10420"/>
    <x v="0"/>
    <n v="86.399999856948853"/>
    <n v="8"/>
    <d v="1997-01-21T00:00:00"/>
  </r>
  <r>
    <n v="10420"/>
    <x v="1"/>
    <n v="86.399999856948853"/>
    <n v="8"/>
    <d v="1997-01-21T00:00:00"/>
  </r>
  <r>
    <n v="10420"/>
    <x v="2"/>
    <n v="86.399999856948853"/>
    <n v="8"/>
    <d v="1997-01-21T00:00:00"/>
  </r>
  <r>
    <n v="10420"/>
    <x v="3"/>
    <n v="86.399999856948853"/>
    <n v="8"/>
    <d v="1997-01-21T00:00:00"/>
  </r>
  <r>
    <n v="10420"/>
    <x v="4"/>
    <n v="86.399999856948853"/>
    <n v="8"/>
    <d v="1997-01-21T00:00:00"/>
  </r>
  <r>
    <n v="10420"/>
    <x v="5"/>
    <n v="86.399999856948853"/>
    <n v="8"/>
    <d v="1997-01-21T00:00:00"/>
  </r>
  <r>
    <n v="10420"/>
    <x v="6"/>
    <n v="86.399999856948853"/>
    <n v="8"/>
    <d v="1997-01-21T00:00:00"/>
  </r>
  <r>
    <n v="10420"/>
    <x v="7"/>
    <n v="86.399999856948853"/>
    <n v="8"/>
    <d v="1997-01-21T00:00:00"/>
  </r>
  <r>
    <n v="10420"/>
    <x v="0"/>
    <n v="215.99999964237213"/>
    <n v="20"/>
    <d v="1997-01-21T00:00:00"/>
  </r>
  <r>
    <n v="10420"/>
    <x v="1"/>
    <n v="215.99999964237213"/>
    <n v="20"/>
    <d v="1997-01-21T00:00:00"/>
  </r>
  <r>
    <n v="10420"/>
    <x v="2"/>
    <n v="215.99999964237213"/>
    <n v="20"/>
    <d v="1997-01-21T00:00:00"/>
  </r>
  <r>
    <n v="10420"/>
    <x v="3"/>
    <n v="215.99999964237213"/>
    <n v="20"/>
    <d v="1997-01-21T00:00:00"/>
  </r>
  <r>
    <n v="10420"/>
    <x v="4"/>
    <n v="215.99999964237213"/>
    <n v="20"/>
    <d v="1997-01-21T00:00:00"/>
  </r>
  <r>
    <n v="10420"/>
    <x v="5"/>
    <n v="215.99999964237213"/>
    <n v="20"/>
    <d v="1997-01-21T00:00:00"/>
  </r>
  <r>
    <n v="10420"/>
    <x v="6"/>
    <n v="215.99999964237213"/>
    <n v="20"/>
    <d v="1997-01-21T00:00:00"/>
  </r>
  <r>
    <n v="10420"/>
    <x v="7"/>
    <n v="215.99999964237213"/>
    <n v="20"/>
    <d v="1997-01-21T00:00:00"/>
  </r>
  <r>
    <n v="10421"/>
    <x v="0"/>
    <n v="24.819999825954437"/>
    <n v="4"/>
    <d v="1997-01-21T00:00:00"/>
  </r>
  <r>
    <n v="10421"/>
    <x v="1"/>
    <n v="24.819999825954437"/>
    <n v="4"/>
    <d v="1997-01-21T00:00:00"/>
  </r>
  <r>
    <n v="10421"/>
    <x v="2"/>
    <n v="24.819999825954437"/>
    <n v="4"/>
    <d v="1997-01-21T00:00:00"/>
  </r>
  <r>
    <n v="10421"/>
    <x v="3"/>
    <n v="24.819999825954437"/>
    <n v="4"/>
    <d v="1997-01-21T00:00:00"/>
  </r>
  <r>
    <n v="10421"/>
    <x v="4"/>
    <n v="24.819999825954437"/>
    <n v="4"/>
    <d v="1997-01-21T00:00:00"/>
  </r>
  <r>
    <n v="10421"/>
    <x v="5"/>
    <n v="24.819999825954437"/>
    <n v="4"/>
    <d v="1997-01-21T00:00:00"/>
  </r>
  <r>
    <n v="10421"/>
    <x v="6"/>
    <n v="24.819999825954437"/>
    <n v="4"/>
    <d v="1997-01-21T00:00:00"/>
  </r>
  <r>
    <n v="10421"/>
    <x v="7"/>
    <n v="24.819999825954437"/>
    <n v="4"/>
    <d v="1997-01-21T00:00:00"/>
  </r>
  <r>
    <n v="10421"/>
    <x v="0"/>
    <n v="747"/>
    <n v="30"/>
    <d v="1997-01-21T00:00:00"/>
  </r>
  <r>
    <n v="10421"/>
    <x v="1"/>
    <n v="747"/>
    <n v="30"/>
    <d v="1997-01-21T00:00:00"/>
  </r>
  <r>
    <n v="10421"/>
    <x v="2"/>
    <n v="747"/>
    <n v="30"/>
    <d v="1997-01-21T00:00:00"/>
  </r>
  <r>
    <n v="10421"/>
    <x v="3"/>
    <n v="747"/>
    <n v="30"/>
    <d v="1997-01-21T00:00:00"/>
  </r>
  <r>
    <n v="10421"/>
    <x v="4"/>
    <n v="747"/>
    <n v="30"/>
    <d v="1997-01-21T00:00:00"/>
  </r>
  <r>
    <n v="10421"/>
    <x v="5"/>
    <n v="747"/>
    <n v="30"/>
    <d v="1997-01-21T00:00:00"/>
  </r>
  <r>
    <n v="10421"/>
    <x v="6"/>
    <n v="747"/>
    <n v="30"/>
    <d v="1997-01-21T00:00:00"/>
  </r>
  <r>
    <n v="10421"/>
    <x v="7"/>
    <n v="747"/>
    <n v="30"/>
    <d v="1997-01-21T00:00:00"/>
  </r>
  <r>
    <n v="10421"/>
    <x v="0"/>
    <n v="334.04999765753746"/>
    <n v="15"/>
    <d v="1997-01-21T00:00:00"/>
  </r>
  <r>
    <n v="10421"/>
    <x v="1"/>
    <n v="334.04999765753746"/>
    <n v="15"/>
    <d v="1997-01-21T00:00:00"/>
  </r>
  <r>
    <n v="10421"/>
    <x v="2"/>
    <n v="334.04999765753746"/>
    <n v="15"/>
    <d v="1997-01-21T00:00:00"/>
  </r>
  <r>
    <n v="10421"/>
    <x v="3"/>
    <n v="334.04999765753746"/>
    <n v="15"/>
    <d v="1997-01-21T00:00:00"/>
  </r>
  <r>
    <n v="10421"/>
    <x v="4"/>
    <n v="334.04999765753746"/>
    <n v="15"/>
    <d v="1997-01-21T00:00:00"/>
  </r>
  <r>
    <n v="10421"/>
    <x v="5"/>
    <n v="334.04999765753746"/>
    <n v="15"/>
    <d v="1997-01-21T00:00:00"/>
  </r>
  <r>
    <n v="10421"/>
    <x v="6"/>
    <n v="334.04999765753746"/>
    <n v="15"/>
    <d v="1997-01-21T00:00:00"/>
  </r>
  <r>
    <n v="10421"/>
    <x v="7"/>
    <n v="334.04999765753746"/>
    <n v="15"/>
    <d v="1997-01-21T00:00:00"/>
  </r>
  <r>
    <n v="10421"/>
    <x v="0"/>
    <n v="88.399999380111694"/>
    <n v="10"/>
    <d v="1997-01-21T00:00:00"/>
  </r>
  <r>
    <n v="10421"/>
    <x v="1"/>
    <n v="88.399999380111694"/>
    <n v="10"/>
    <d v="1997-01-21T00:00:00"/>
  </r>
  <r>
    <n v="10421"/>
    <x v="2"/>
    <n v="88.399999380111694"/>
    <n v="10"/>
    <d v="1997-01-21T00:00:00"/>
  </r>
  <r>
    <n v="10421"/>
    <x v="3"/>
    <n v="88.399999380111694"/>
    <n v="10"/>
    <d v="1997-01-21T00:00:00"/>
  </r>
  <r>
    <n v="10421"/>
    <x v="4"/>
    <n v="88.399999380111694"/>
    <n v="10"/>
    <d v="1997-01-21T00:00:00"/>
  </r>
  <r>
    <n v="10421"/>
    <x v="5"/>
    <n v="88.399999380111694"/>
    <n v="10"/>
    <d v="1997-01-21T00:00:00"/>
  </r>
  <r>
    <n v="10421"/>
    <x v="6"/>
    <n v="88.399999380111694"/>
    <n v="10"/>
    <d v="1997-01-21T00:00:00"/>
  </r>
  <r>
    <n v="10421"/>
    <x v="7"/>
    <n v="88.399999380111694"/>
    <n v="10"/>
    <d v="1997-01-21T00:00:00"/>
  </r>
  <r>
    <n v="10422"/>
    <x v="0"/>
    <n v="49.8"/>
    <n v="2"/>
    <d v="1997-01-22T00:00:00"/>
  </r>
  <r>
    <n v="10422"/>
    <x v="1"/>
    <n v="49.8"/>
    <n v="2"/>
    <d v="1997-01-22T00:00:00"/>
  </r>
  <r>
    <n v="10422"/>
    <x v="2"/>
    <n v="49.8"/>
    <n v="2"/>
    <d v="1997-01-22T00:00:00"/>
  </r>
  <r>
    <n v="10422"/>
    <x v="3"/>
    <n v="49.8"/>
    <n v="2"/>
    <d v="1997-01-22T00:00:00"/>
  </r>
  <r>
    <n v="10422"/>
    <x v="4"/>
    <n v="49.8"/>
    <n v="2"/>
    <d v="1997-01-22T00:00:00"/>
  </r>
  <r>
    <n v="10422"/>
    <x v="5"/>
    <n v="49.8"/>
    <n v="2"/>
    <d v="1997-01-22T00:00:00"/>
  </r>
  <r>
    <n v="10422"/>
    <x v="6"/>
    <n v="49.8"/>
    <n v="2"/>
    <d v="1997-01-22T00:00:00"/>
  </r>
  <r>
    <n v="10422"/>
    <x v="7"/>
    <n v="49.8"/>
    <n v="2"/>
    <d v="1997-01-22T00:00:00"/>
  </r>
  <r>
    <n v="10423"/>
    <x v="0"/>
    <n v="140"/>
    <n v="14"/>
    <d v="1997-01-23T00:00:00"/>
  </r>
  <r>
    <n v="10423"/>
    <x v="1"/>
    <n v="140"/>
    <n v="14"/>
    <d v="1997-01-23T00:00:00"/>
  </r>
  <r>
    <n v="10423"/>
    <x v="2"/>
    <n v="140"/>
    <n v="14"/>
    <d v="1997-01-23T00:00:00"/>
  </r>
  <r>
    <n v="10423"/>
    <x v="3"/>
    <n v="140"/>
    <n v="14"/>
    <d v="1997-01-23T00:00:00"/>
  </r>
  <r>
    <n v="10423"/>
    <x v="4"/>
    <n v="140"/>
    <n v="14"/>
    <d v="1997-01-23T00:00:00"/>
  </r>
  <r>
    <n v="10423"/>
    <x v="5"/>
    <n v="140"/>
    <n v="14"/>
    <d v="1997-01-23T00:00:00"/>
  </r>
  <r>
    <n v="10423"/>
    <x v="6"/>
    <n v="140"/>
    <n v="14"/>
    <d v="1997-01-23T00:00:00"/>
  </r>
  <r>
    <n v="10423"/>
    <x v="7"/>
    <n v="140"/>
    <n v="14"/>
    <d v="1997-01-23T00:00:00"/>
  </r>
  <r>
    <n v="10423"/>
    <x v="0"/>
    <n v="880"/>
    <n v="20"/>
    <d v="1997-01-23T00:00:00"/>
  </r>
  <r>
    <n v="10423"/>
    <x v="1"/>
    <n v="880"/>
    <n v="20"/>
    <d v="1997-01-23T00:00:00"/>
  </r>
  <r>
    <n v="10423"/>
    <x v="2"/>
    <n v="880"/>
    <n v="20"/>
    <d v="1997-01-23T00:00:00"/>
  </r>
  <r>
    <n v="10423"/>
    <x v="3"/>
    <n v="880"/>
    <n v="20"/>
    <d v="1997-01-23T00:00:00"/>
  </r>
  <r>
    <n v="10423"/>
    <x v="4"/>
    <n v="880"/>
    <n v="20"/>
    <d v="1997-01-23T00:00:00"/>
  </r>
  <r>
    <n v="10423"/>
    <x v="5"/>
    <n v="880"/>
    <n v="20"/>
    <d v="1997-01-23T00:00:00"/>
  </r>
  <r>
    <n v="10423"/>
    <x v="6"/>
    <n v="880"/>
    <n v="20"/>
    <d v="1997-01-23T00:00:00"/>
  </r>
  <r>
    <n v="10423"/>
    <x v="7"/>
    <n v="880"/>
    <n v="20"/>
    <d v="1997-01-23T00:00:00"/>
  </r>
  <r>
    <n v="10424"/>
    <x v="0"/>
    <n v="691.19999742507935"/>
    <n v="60"/>
    <d v="1997-01-23T00:00:00"/>
  </r>
  <r>
    <n v="10424"/>
    <x v="1"/>
    <n v="691.19999742507935"/>
    <n v="60"/>
    <d v="1997-01-23T00:00:00"/>
  </r>
  <r>
    <n v="10424"/>
    <x v="2"/>
    <n v="691.19999742507935"/>
    <n v="60"/>
    <d v="1997-01-23T00:00:00"/>
  </r>
  <r>
    <n v="10424"/>
    <x v="3"/>
    <n v="691.19999742507935"/>
    <n v="60"/>
    <d v="1997-01-23T00:00:00"/>
  </r>
  <r>
    <n v="10424"/>
    <x v="4"/>
    <n v="691.19999742507935"/>
    <n v="60"/>
    <d v="1997-01-23T00:00:00"/>
  </r>
  <r>
    <n v="10424"/>
    <x v="5"/>
    <n v="691.19999742507935"/>
    <n v="60"/>
    <d v="1997-01-23T00:00:00"/>
  </r>
  <r>
    <n v="10424"/>
    <x v="6"/>
    <n v="691.19999742507935"/>
    <n v="60"/>
    <d v="1997-01-23T00:00:00"/>
  </r>
  <r>
    <n v="10424"/>
    <x v="7"/>
    <n v="691.19999742507935"/>
    <n v="60"/>
    <d v="1997-01-23T00:00:00"/>
  </r>
  <r>
    <n v="10424"/>
    <x v="0"/>
    <n v="8263.3599692165863"/>
    <n v="49"/>
    <d v="1997-01-23T00:00:00"/>
  </r>
  <r>
    <n v="10424"/>
    <x v="1"/>
    <n v="8263.3599692165863"/>
    <n v="49"/>
    <d v="1997-01-23T00:00:00"/>
  </r>
  <r>
    <n v="10424"/>
    <x v="2"/>
    <n v="8263.3599692165863"/>
    <n v="49"/>
    <d v="1997-01-23T00:00:00"/>
  </r>
  <r>
    <n v="10424"/>
    <x v="3"/>
    <n v="8263.3599692165863"/>
    <n v="49"/>
    <d v="1997-01-23T00:00:00"/>
  </r>
  <r>
    <n v="10424"/>
    <x v="4"/>
    <n v="8263.3599692165863"/>
    <n v="49"/>
    <d v="1997-01-23T00:00:00"/>
  </r>
  <r>
    <n v="10424"/>
    <x v="5"/>
    <n v="8263.3599692165863"/>
    <n v="49"/>
    <d v="1997-01-23T00:00:00"/>
  </r>
  <r>
    <n v="10424"/>
    <x v="6"/>
    <n v="8263.3599692165863"/>
    <n v="49"/>
    <d v="1997-01-23T00:00:00"/>
  </r>
  <r>
    <n v="10424"/>
    <x v="7"/>
    <n v="8263.3599692165863"/>
    <n v="49"/>
    <d v="1997-01-23T00:00:00"/>
  </r>
  <r>
    <n v="10424"/>
    <x v="0"/>
    <n v="239.99999910593033"/>
    <n v="30"/>
    <d v="1997-01-23T00:00:00"/>
  </r>
  <r>
    <n v="10424"/>
    <x v="1"/>
    <n v="239.99999910593033"/>
    <n v="30"/>
    <d v="1997-01-23T00:00:00"/>
  </r>
  <r>
    <n v="10424"/>
    <x v="2"/>
    <n v="239.99999910593033"/>
    <n v="30"/>
    <d v="1997-01-23T00:00:00"/>
  </r>
  <r>
    <n v="10424"/>
    <x v="3"/>
    <n v="239.99999910593033"/>
    <n v="30"/>
    <d v="1997-01-23T00:00:00"/>
  </r>
  <r>
    <n v="10424"/>
    <x v="4"/>
    <n v="239.99999910593033"/>
    <n v="30"/>
    <d v="1997-01-23T00:00:00"/>
  </r>
  <r>
    <n v="10424"/>
    <x v="5"/>
    <n v="239.99999910593033"/>
    <n v="30"/>
    <d v="1997-01-23T00:00:00"/>
  </r>
  <r>
    <n v="10424"/>
    <x v="6"/>
    <n v="239.99999910593033"/>
    <n v="30"/>
    <d v="1997-01-23T00:00:00"/>
  </r>
  <r>
    <n v="10424"/>
    <x v="7"/>
    <n v="239.99999910593033"/>
    <n v="30"/>
    <d v="1997-01-23T00:00:00"/>
  </r>
  <r>
    <n v="10425"/>
    <x v="0"/>
    <n v="144"/>
    <n v="10"/>
    <d v="1997-01-24T00:00:00"/>
  </r>
  <r>
    <n v="10425"/>
    <x v="1"/>
    <n v="144"/>
    <n v="10"/>
    <d v="1997-01-24T00:00:00"/>
  </r>
  <r>
    <n v="10425"/>
    <x v="2"/>
    <n v="144"/>
    <n v="10"/>
    <d v="1997-01-24T00:00:00"/>
  </r>
  <r>
    <n v="10425"/>
    <x v="3"/>
    <n v="144"/>
    <n v="10"/>
    <d v="1997-01-24T00:00:00"/>
  </r>
  <r>
    <n v="10425"/>
    <x v="4"/>
    <n v="144"/>
    <n v="10"/>
    <d v="1997-01-24T00:00:00"/>
  </r>
  <r>
    <n v="10425"/>
    <x v="5"/>
    <n v="144"/>
    <n v="10"/>
    <d v="1997-01-24T00:00:00"/>
  </r>
  <r>
    <n v="10425"/>
    <x v="6"/>
    <n v="144"/>
    <n v="10"/>
    <d v="1997-01-24T00:00:00"/>
  </r>
  <r>
    <n v="10425"/>
    <x v="7"/>
    <n v="144"/>
    <n v="10"/>
    <d v="1997-01-24T00:00:00"/>
  </r>
  <r>
    <n v="10425"/>
    <x v="0"/>
    <n v="216"/>
    <n v="20"/>
    <d v="1997-01-24T00:00:00"/>
  </r>
  <r>
    <n v="10425"/>
    <x v="1"/>
    <n v="216"/>
    <n v="20"/>
    <d v="1997-01-24T00:00:00"/>
  </r>
  <r>
    <n v="10425"/>
    <x v="2"/>
    <n v="216"/>
    <n v="20"/>
    <d v="1997-01-24T00:00:00"/>
  </r>
  <r>
    <n v="10425"/>
    <x v="3"/>
    <n v="216"/>
    <n v="20"/>
    <d v="1997-01-24T00:00:00"/>
  </r>
  <r>
    <n v="10425"/>
    <x v="4"/>
    <n v="216"/>
    <n v="20"/>
    <d v="1997-01-24T00:00:00"/>
  </r>
  <r>
    <n v="10425"/>
    <x v="5"/>
    <n v="216"/>
    <n v="20"/>
    <d v="1997-01-24T00:00:00"/>
  </r>
  <r>
    <n v="10425"/>
    <x v="6"/>
    <n v="216"/>
    <n v="20"/>
    <d v="1997-01-24T00:00:00"/>
  </r>
  <r>
    <n v="10425"/>
    <x v="7"/>
    <n v="216"/>
    <n v="20"/>
    <d v="1997-01-24T00:00:00"/>
  </r>
  <r>
    <n v="10426"/>
    <x v="0"/>
    <n v="152"/>
    <n v="5"/>
    <d v="1997-01-27T00:00:00"/>
  </r>
  <r>
    <n v="10426"/>
    <x v="1"/>
    <n v="152"/>
    <n v="5"/>
    <d v="1997-01-27T00:00:00"/>
  </r>
  <r>
    <n v="10426"/>
    <x v="2"/>
    <n v="152"/>
    <n v="5"/>
    <d v="1997-01-27T00:00:00"/>
  </r>
  <r>
    <n v="10426"/>
    <x v="3"/>
    <n v="152"/>
    <n v="5"/>
    <d v="1997-01-27T00:00:00"/>
  </r>
  <r>
    <n v="10426"/>
    <x v="4"/>
    <n v="152"/>
    <n v="5"/>
    <d v="1997-01-27T00:00:00"/>
  </r>
  <r>
    <n v="10426"/>
    <x v="5"/>
    <n v="152"/>
    <n v="5"/>
    <d v="1997-01-27T00:00:00"/>
  </r>
  <r>
    <n v="10426"/>
    <x v="6"/>
    <n v="152"/>
    <n v="5"/>
    <d v="1997-01-27T00:00:00"/>
  </r>
  <r>
    <n v="10426"/>
    <x v="7"/>
    <n v="152"/>
    <n v="5"/>
    <d v="1997-01-27T00:00:00"/>
  </r>
  <r>
    <n v="10426"/>
    <x v="0"/>
    <n v="186.2"/>
    <n v="7"/>
    <d v="1997-01-27T00:00:00"/>
  </r>
  <r>
    <n v="10426"/>
    <x v="1"/>
    <n v="186.2"/>
    <n v="7"/>
    <d v="1997-01-27T00:00:00"/>
  </r>
  <r>
    <n v="10426"/>
    <x v="2"/>
    <n v="186.2"/>
    <n v="7"/>
    <d v="1997-01-27T00:00:00"/>
  </r>
  <r>
    <n v="10426"/>
    <x v="3"/>
    <n v="186.2"/>
    <n v="7"/>
    <d v="1997-01-27T00:00:00"/>
  </r>
  <r>
    <n v="10426"/>
    <x v="4"/>
    <n v="186.2"/>
    <n v="7"/>
    <d v="1997-01-27T00:00:00"/>
  </r>
  <r>
    <n v="10426"/>
    <x v="5"/>
    <n v="186.2"/>
    <n v="7"/>
    <d v="1997-01-27T00:00:00"/>
  </r>
  <r>
    <n v="10426"/>
    <x v="6"/>
    <n v="186.2"/>
    <n v="7"/>
    <d v="1997-01-27T00:00:00"/>
  </r>
  <r>
    <n v="10426"/>
    <x v="7"/>
    <n v="186.2"/>
    <n v="7"/>
    <d v="1997-01-27T00:00:00"/>
  </r>
  <r>
    <n v="10427"/>
    <x v="0"/>
    <n v="651"/>
    <n v="35"/>
    <d v="1997-01-27T00:00:00"/>
  </r>
  <r>
    <n v="10427"/>
    <x v="1"/>
    <n v="651"/>
    <n v="35"/>
    <d v="1997-01-27T00:00:00"/>
  </r>
  <r>
    <n v="10427"/>
    <x v="2"/>
    <n v="651"/>
    <n v="35"/>
    <d v="1997-01-27T00:00:00"/>
  </r>
  <r>
    <n v="10427"/>
    <x v="3"/>
    <n v="651"/>
    <n v="35"/>
    <d v="1997-01-27T00:00:00"/>
  </r>
  <r>
    <n v="10427"/>
    <x v="4"/>
    <n v="651"/>
    <n v="35"/>
    <d v="1997-01-27T00:00:00"/>
  </r>
  <r>
    <n v="10427"/>
    <x v="5"/>
    <n v="651"/>
    <n v="35"/>
    <d v="1997-01-27T00:00:00"/>
  </r>
  <r>
    <n v="10427"/>
    <x v="6"/>
    <n v="651"/>
    <n v="35"/>
    <d v="1997-01-27T00:00:00"/>
  </r>
  <r>
    <n v="10427"/>
    <x v="7"/>
    <n v="651"/>
    <n v="35"/>
    <d v="1997-01-27T00:00:00"/>
  </r>
  <r>
    <n v="10428"/>
    <x v="0"/>
    <n v="192"/>
    <n v="20"/>
    <d v="1997-01-28T00:00:00"/>
  </r>
  <r>
    <n v="10428"/>
    <x v="1"/>
    <n v="192"/>
    <n v="20"/>
    <d v="1997-01-28T00:00:00"/>
  </r>
  <r>
    <n v="10428"/>
    <x v="2"/>
    <n v="192"/>
    <n v="20"/>
    <d v="1997-01-28T00:00:00"/>
  </r>
  <r>
    <n v="10428"/>
    <x v="3"/>
    <n v="192"/>
    <n v="20"/>
    <d v="1997-01-28T00:00:00"/>
  </r>
  <r>
    <n v="10428"/>
    <x v="4"/>
    <n v="192"/>
    <n v="20"/>
    <d v="1997-01-28T00:00:00"/>
  </r>
  <r>
    <n v="10428"/>
    <x v="5"/>
    <n v="192"/>
    <n v="20"/>
    <d v="1997-01-28T00:00:00"/>
  </r>
  <r>
    <n v="10428"/>
    <x v="6"/>
    <n v="192"/>
    <n v="20"/>
    <d v="1997-01-28T00:00:00"/>
  </r>
  <r>
    <n v="10428"/>
    <x v="7"/>
    <n v="192"/>
    <n v="20"/>
    <d v="1997-01-28T00:00:00"/>
  </r>
  <r>
    <n v="10429"/>
    <x v="0"/>
    <n v="520"/>
    <n v="40"/>
    <d v="1997-01-29T00:00:00"/>
  </r>
  <r>
    <n v="10429"/>
    <x v="1"/>
    <n v="520"/>
    <n v="40"/>
    <d v="1997-01-29T00:00:00"/>
  </r>
  <r>
    <n v="10429"/>
    <x v="2"/>
    <n v="520"/>
    <n v="40"/>
    <d v="1997-01-29T00:00:00"/>
  </r>
  <r>
    <n v="10429"/>
    <x v="3"/>
    <n v="520"/>
    <n v="40"/>
    <d v="1997-01-29T00:00:00"/>
  </r>
  <r>
    <n v="10429"/>
    <x v="4"/>
    <n v="520"/>
    <n v="40"/>
    <d v="1997-01-29T00:00:00"/>
  </r>
  <r>
    <n v="10429"/>
    <x v="5"/>
    <n v="520"/>
    <n v="40"/>
    <d v="1997-01-29T00:00:00"/>
  </r>
  <r>
    <n v="10429"/>
    <x v="6"/>
    <n v="520"/>
    <n v="40"/>
    <d v="1997-01-29T00:00:00"/>
  </r>
  <r>
    <n v="10429"/>
    <x v="7"/>
    <n v="520"/>
    <n v="40"/>
    <d v="1997-01-29T00:00:00"/>
  </r>
  <r>
    <n v="10429"/>
    <x v="0"/>
    <n v="921.375"/>
    <n v="35"/>
    <d v="1997-01-29T00:00:00"/>
  </r>
  <r>
    <n v="10429"/>
    <x v="1"/>
    <n v="921.375"/>
    <n v="35"/>
    <d v="1997-01-29T00:00:00"/>
  </r>
  <r>
    <n v="10429"/>
    <x v="2"/>
    <n v="921.375"/>
    <n v="35"/>
    <d v="1997-01-29T00:00:00"/>
  </r>
  <r>
    <n v="10429"/>
    <x v="3"/>
    <n v="921.375"/>
    <n v="35"/>
    <d v="1997-01-29T00:00:00"/>
  </r>
  <r>
    <n v="10429"/>
    <x v="4"/>
    <n v="921.375"/>
    <n v="35"/>
    <d v="1997-01-29T00:00:00"/>
  </r>
  <r>
    <n v="10429"/>
    <x v="5"/>
    <n v="921.375"/>
    <n v="35"/>
    <d v="1997-01-29T00:00:00"/>
  </r>
  <r>
    <n v="10429"/>
    <x v="6"/>
    <n v="921.375"/>
    <n v="35"/>
    <d v="1997-01-29T00:00:00"/>
  </r>
  <r>
    <n v="10429"/>
    <x v="7"/>
    <n v="921.375"/>
    <n v="35"/>
    <d v="1997-01-29T00:00:00"/>
  </r>
  <r>
    <n v="10430"/>
    <x v="0"/>
    <n v="1123.1999958157539"/>
    <n v="45"/>
    <d v="1997-01-30T00:00:00"/>
  </r>
  <r>
    <n v="10430"/>
    <x v="1"/>
    <n v="1123.1999958157539"/>
    <n v="45"/>
    <d v="1997-01-30T00:00:00"/>
  </r>
  <r>
    <n v="10430"/>
    <x v="2"/>
    <n v="1123.1999958157539"/>
    <n v="45"/>
    <d v="1997-01-30T00:00:00"/>
  </r>
  <r>
    <n v="10430"/>
    <x v="3"/>
    <n v="1123.1999958157539"/>
    <n v="45"/>
    <d v="1997-01-30T00:00:00"/>
  </r>
  <r>
    <n v="10430"/>
    <x v="4"/>
    <n v="1123.1999958157539"/>
    <n v="45"/>
    <d v="1997-01-30T00:00:00"/>
  </r>
  <r>
    <n v="10430"/>
    <x v="5"/>
    <n v="1123.1999958157539"/>
    <n v="45"/>
    <d v="1997-01-30T00:00:00"/>
  </r>
  <r>
    <n v="10430"/>
    <x v="6"/>
    <n v="1123.1999958157539"/>
    <n v="45"/>
    <d v="1997-01-30T00:00:00"/>
  </r>
  <r>
    <n v="10430"/>
    <x v="7"/>
    <n v="1123.1999958157539"/>
    <n v="45"/>
    <d v="1997-01-30T00:00:00"/>
  </r>
  <r>
    <n v="10430"/>
    <x v="0"/>
    <n v="400"/>
    <n v="50"/>
    <d v="1997-01-30T00:00:00"/>
  </r>
  <r>
    <n v="10430"/>
    <x v="1"/>
    <n v="400"/>
    <n v="50"/>
    <d v="1997-01-30T00:00:00"/>
  </r>
  <r>
    <n v="10430"/>
    <x v="2"/>
    <n v="400"/>
    <n v="50"/>
    <d v="1997-01-30T00:00:00"/>
  </r>
  <r>
    <n v="10430"/>
    <x v="3"/>
    <n v="400"/>
    <n v="50"/>
    <d v="1997-01-30T00:00:00"/>
  </r>
  <r>
    <n v="10430"/>
    <x v="4"/>
    <n v="400"/>
    <n v="50"/>
    <d v="1997-01-30T00:00:00"/>
  </r>
  <r>
    <n v="10430"/>
    <x v="5"/>
    <n v="400"/>
    <n v="50"/>
    <d v="1997-01-30T00:00:00"/>
  </r>
  <r>
    <n v="10430"/>
    <x v="6"/>
    <n v="400"/>
    <n v="50"/>
    <d v="1997-01-30T00:00:00"/>
  </r>
  <r>
    <n v="10430"/>
    <x v="7"/>
    <n v="400"/>
    <n v="50"/>
    <d v="1997-01-30T00:00:00"/>
  </r>
  <r>
    <n v="10430"/>
    <x v="0"/>
    <n v="912"/>
    <n v="30"/>
    <d v="1997-01-30T00:00:00"/>
  </r>
  <r>
    <n v="10430"/>
    <x v="1"/>
    <n v="912"/>
    <n v="30"/>
    <d v="1997-01-30T00:00:00"/>
  </r>
  <r>
    <n v="10430"/>
    <x v="2"/>
    <n v="912"/>
    <n v="30"/>
    <d v="1997-01-30T00:00:00"/>
  </r>
  <r>
    <n v="10430"/>
    <x v="3"/>
    <n v="912"/>
    <n v="30"/>
    <d v="1997-01-30T00:00:00"/>
  </r>
  <r>
    <n v="10430"/>
    <x v="4"/>
    <n v="912"/>
    <n v="30"/>
    <d v="1997-01-30T00:00:00"/>
  </r>
  <r>
    <n v="10430"/>
    <x v="5"/>
    <n v="912"/>
    <n v="30"/>
    <d v="1997-01-30T00:00:00"/>
  </r>
  <r>
    <n v="10430"/>
    <x v="6"/>
    <n v="912"/>
    <n v="30"/>
    <d v="1997-01-30T00:00:00"/>
  </r>
  <r>
    <n v="10430"/>
    <x v="7"/>
    <n v="912"/>
    <n v="30"/>
    <d v="1997-01-30T00:00:00"/>
  </r>
  <r>
    <n v="10430"/>
    <x v="0"/>
    <n v="2463.9999908208847"/>
    <n v="70"/>
    <d v="1997-01-30T00:00:00"/>
  </r>
  <r>
    <n v="10430"/>
    <x v="1"/>
    <n v="2463.9999908208847"/>
    <n v="70"/>
    <d v="1997-01-30T00:00:00"/>
  </r>
  <r>
    <n v="10430"/>
    <x v="2"/>
    <n v="2463.9999908208847"/>
    <n v="70"/>
    <d v="1997-01-30T00:00:00"/>
  </r>
  <r>
    <n v="10430"/>
    <x v="3"/>
    <n v="2463.9999908208847"/>
    <n v="70"/>
    <d v="1997-01-30T00:00:00"/>
  </r>
  <r>
    <n v="10430"/>
    <x v="4"/>
    <n v="2463.9999908208847"/>
    <n v="70"/>
    <d v="1997-01-30T00:00:00"/>
  </r>
  <r>
    <n v="10430"/>
    <x v="5"/>
    <n v="2463.9999908208847"/>
    <n v="70"/>
    <d v="1997-01-30T00:00:00"/>
  </r>
  <r>
    <n v="10430"/>
    <x v="6"/>
    <n v="2463.9999908208847"/>
    <n v="70"/>
    <d v="1997-01-30T00:00:00"/>
  </r>
  <r>
    <n v="10430"/>
    <x v="7"/>
    <n v="2463.9999908208847"/>
    <n v="70"/>
    <d v="1997-01-30T00:00:00"/>
  </r>
  <r>
    <n v="10431"/>
    <x v="0"/>
    <n v="1170"/>
    <n v="50"/>
    <d v="1997-01-30T00:00:00"/>
  </r>
  <r>
    <n v="10431"/>
    <x v="1"/>
    <n v="1170"/>
    <n v="50"/>
    <d v="1997-01-30T00:00:00"/>
  </r>
  <r>
    <n v="10431"/>
    <x v="2"/>
    <n v="1170"/>
    <n v="50"/>
    <d v="1997-01-30T00:00:00"/>
  </r>
  <r>
    <n v="10431"/>
    <x v="3"/>
    <n v="1170"/>
    <n v="50"/>
    <d v="1997-01-30T00:00:00"/>
  </r>
  <r>
    <n v="10431"/>
    <x v="4"/>
    <n v="1170"/>
    <n v="50"/>
    <d v="1997-01-30T00:00:00"/>
  </r>
  <r>
    <n v="10431"/>
    <x v="5"/>
    <n v="1170"/>
    <n v="50"/>
    <d v="1997-01-30T00:00:00"/>
  </r>
  <r>
    <n v="10431"/>
    <x v="6"/>
    <n v="1170"/>
    <n v="50"/>
    <d v="1997-01-30T00:00:00"/>
  </r>
  <r>
    <n v="10431"/>
    <x v="7"/>
    <n v="1170"/>
    <n v="50"/>
    <d v="1997-01-30T00:00:00"/>
  </r>
  <r>
    <n v="10431"/>
    <x v="0"/>
    <n v="551.25"/>
    <n v="50"/>
    <d v="1997-01-30T00:00:00"/>
  </r>
  <r>
    <n v="10431"/>
    <x v="1"/>
    <n v="551.25"/>
    <n v="50"/>
    <d v="1997-01-30T00:00:00"/>
  </r>
  <r>
    <n v="10431"/>
    <x v="2"/>
    <n v="551.25"/>
    <n v="50"/>
    <d v="1997-01-30T00:00:00"/>
  </r>
  <r>
    <n v="10431"/>
    <x v="3"/>
    <n v="551.25"/>
    <n v="50"/>
    <d v="1997-01-30T00:00:00"/>
  </r>
  <r>
    <n v="10431"/>
    <x v="4"/>
    <n v="551.25"/>
    <n v="50"/>
    <d v="1997-01-30T00:00:00"/>
  </r>
  <r>
    <n v="10431"/>
    <x v="5"/>
    <n v="551.25"/>
    <n v="50"/>
    <d v="1997-01-30T00:00:00"/>
  </r>
  <r>
    <n v="10431"/>
    <x v="6"/>
    <n v="551.25"/>
    <n v="50"/>
    <d v="1997-01-30T00:00:00"/>
  </r>
  <r>
    <n v="10431"/>
    <x v="7"/>
    <n v="551.25"/>
    <n v="50"/>
    <d v="1997-01-30T00:00:00"/>
  </r>
  <r>
    <n v="10431"/>
    <x v="0"/>
    <n v="171"/>
    <n v="30"/>
    <d v="1997-01-30T00:00:00"/>
  </r>
  <r>
    <n v="10431"/>
    <x v="1"/>
    <n v="171"/>
    <n v="30"/>
    <d v="1997-01-30T00:00:00"/>
  </r>
  <r>
    <n v="10431"/>
    <x v="2"/>
    <n v="171"/>
    <n v="30"/>
    <d v="1997-01-30T00:00:00"/>
  </r>
  <r>
    <n v="10431"/>
    <x v="3"/>
    <n v="171"/>
    <n v="30"/>
    <d v="1997-01-30T00:00:00"/>
  </r>
  <r>
    <n v="10431"/>
    <x v="4"/>
    <n v="171"/>
    <n v="30"/>
    <d v="1997-01-30T00:00:00"/>
  </r>
  <r>
    <n v="10431"/>
    <x v="5"/>
    <n v="171"/>
    <n v="30"/>
    <d v="1997-01-30T00:00:00"/>
  </r>
  <r>
    <n v="10431"/>
    <x v="6"/>
    <n v="171"/>
    <n v="30"/>
    <d v="1997-01-30T00:00:00"/>
  </r>
  <r>
    <n v="10431"/>
    <x v="7"/>
    <n v="171"/>
    <n v="30"/>
    <d v="1997-01-30T00:00:00"/>
  </r>
  <r>
    <n v="10432"/>
    <x v="0"/>
    <n v="249"/>
    <n v="10"/>
    <d v="1997-01-31T00:00:00"/>
  </r>
  <r>
    <n v="10432"/>
    <x v="1"/>
    <n v="249"/>
    <n v="10"/>
    <d v="1997-01-31T00:00:00"/>
  </r>
  <r>
    <n v="10432"/>
    <x v="2"/>
    <n v="249"/>
    <n v="10"/>
    <d v="1997-01-31T00:00:00"/>
  </r>
  <r>
    <n v="10432"/>
    <x v="3"/>
    <n v="249"/>
    <n v="10"/>
    <d v="1997-01-31T00:00:00"/>
  </r>
  <r>
    <n v="10432"/>
    <x v="4"/>
    <n v="249"/>
    <n v="10"/>
    <d v="1997-01-31T00:00:00"/>
  </r>
  <r>
    <n v="10432"/>
    <x v="5"/>
    <n v="249"/>
    <n v="10"/>
    <d v="1997-01-31T00:00:00"/>
  </r>
  <r>
    <n v="10432"/>
    <x v="6"/>
    <n v="249"/>
    <n v="10"/>
    <d v="1997-01-31T00:00:00"/>
  </r>
  <r>
    <n v="10432"/>
    <x v="7"/>
    <n v="249"/>
    <n v="10"/>
    <d v="1997-01-31T00:00:00"/>
  </r>
  <r>
    <n v="10432"/>
    <x v="0"/>
    <n v="236"/>
    <n v="40"/>
    <d v="1997-01-31T00:00:00"/>
  </r>
  <r>
    <n v="10432"/>
    <x v="1"/>
    <n v="236"/>
    <n v="40"/>
    <d v="1997-01-31T00:00:00"/>
  </r>
  <r>
    <n v="10432"/>
    <x v="2"/>
    <n v="236"/>
    <n v="40"/>
    <d v="1997-01-31T00:00:00"/>
  </r>
  <r>
    <n v="10432"/>
    <x v="3"/>
    <n v="236"/>
    <n v="40"/>
    <d v="1997-01-31T00:00:00"/>
  </r>
  <r>
    <n v="10432"/>
    <x v="4"/>
    <n v="236"/>
    <n v="40"/>
    <d v="1997-01-31T00:00:00"/>
  </r>
  <r>
    <n v="10432"/>
    <x v="5"/>
    <n v="236"/>
    <n v="40"/>
    <d v="1997-01-31T00:00:00"/>
  </r>
  <r>
    <n v="10432"/>
    <x v="6"/>
    <n v="236"/>
    <n v="40"/>
    <d v="1997-01-31T00:00:00"/>
  </r>
  <r>
    <n v="10432"/>
    <x v="7"/>
    <n v="236"/>
    <n v="40"/>
    <d v="1997-01-31T00:00:00"/>
  </r>
  <r>
    <n v="10433"/>
    <x v="0"/>
    <n v="851.2"/>
    <n v="28"/>
    <d v="1997-02-03T00:00:00"/>
  </r>
  <r>
    <n v="10433"/>
    <x v="1"/>
    <n v="851.2"/>
    <n v="28"/>
    <d v="1997-02-03T00:00:00"/>
  </r>
  <r>
    <n v="10433"/>
    <x v="2"/>
    <n v="851.2"/>
    <n v="28"/>
    <d v="1997-02-03T00:00:00"/>
  </r>
  <r>
    <n v="10433"/>
    <x v="3"/>
    <n v="851.2"/>
    <n v="28"/>
    <d v="1997-02-03T00:00:00"/>
  </r>
  <r>
    <n v="10433"/>
    <x v="4"/>
    <n v="851.2"/>
    <n v="28"/>
    <d v="1997-02-03T00:00:00"/>
  </r>
  <r>
    <n v="10433"/>
    <x v="5"/>
    <n v="851.2"/>
    <n v="28"/>
    <d v="1997-02-03T00:00:00"/>
  </r>
  <r>
    <n v="10433"/>
    <x v="6"/>
    <n v="851.2"/>
    <n v="28"/>
    <d v="1997-02-03T00:00:00"/>
  </r>
  <r>
    <n v="10433"/>
    <x v="7"/>
    <n v="851.2"/>
    <n v="28"/>
    <d v="1997-02-03T00:00:00"/>
  </r>
  <r>
    <n v="10434"/>
    <x v="0"/>
    <n v="100.8"/>
    <n v="6"/>
    <d v="1997-02-03T00:00:00"/>
  </r>
  <r>
    <n v="10434"/>
    <x v="1"/>
    <n v="100.8"/>
    <n v="6"/>
    <d v="1997-02-03T00:00:00"/>
  </r>
  <r>
    <n v="10434"/>
    <x v="2"/>
    <n v="100.8"/>
    <n v="6"/>
    <d v="1997-02-03T00:00:00"/>
  </r>
  <r>
    <n v="10434"/>
    <x v="3"/>
    <n v="100.8"/>
    <n v="6"/>
    <d v="1997-02-03T00:00:00"/>
  </r>
  <r>
    <n v="10434"/>
    <x v="4"/>
    <n v="100.8"/>
    <n v="6"/>
    <d v="1997-02-03T00:00:00"/>
  </r>
  <r>
    <n v="10434"/>
    <x v="5"/>
    <n v="100.8"/>
    <n v="6"/>
    <d v="1997-02-03T00:00:00"/>
  </r>
  <r>
    <n v="10434"/>
    <x v="6"/>
    <n v="100.8"/>
    <n v="6"/>
    <d v="1997-02-03T00:00:00"/>
  </r>
  <r>
    <n v="10434"/>
    <x v="7"/>
    <n v="100.8"/>
    <n v="6"/>
    <d v="1997-02-03T00:00:00"/>
  </r>
  <r>
    <n v="10434"/>
    <x v="0"/>
    <n v="220.3199984550476"/>
    <n v="18"/>
    <d v="1997-02-03T00:00:00"/>
  </r>
  <r>
    <n v="10434"/>
    <x v="1"/>
    <n v="220.3199984550476"/>
    <n v="18"/>
    <d v="1997-02-03T00:00:00"/>
  </r>
  <r>
    <n v="10434"/>
    <x v="2"/>
    <n v="220.3199984550476"/>
    <n v="18"/>
    <d v="1997-02-03T00:00:00"/>
  </r>
  <r>
    <n v="10434"/>
    <x v="3"/>
    <n v="220.3199984550476"/>
    <n v="18"/>
    <d v="1997-02-03T00:00:00"/>
  </r>
  <r>
    <n v="10434"/>
    <x v="4"/>
    <n v="220.3199984550476"/>
    <n v="18"/>
    <d v="1997-02-03T00:00:00"/>
  </r>
  <r>
    <n v="10434"/>
    <x v="5"/>
    <n v="220.3199984550476"/>
    <n v="18"/>
    <d v="1997-02-03T00:00:00"/>
  </r>
  <r>
    <n v="10434"/>
    <x v="6"/>
    <n v="220.3199984550476"/>
    <n v="18"/>
    <d v="1997-02-03T00:00:00"/>
  </r>
  <r>
    <n v="10434"/>
    <x v="7"/>
    <n v="220.3199984550476"/>
    <n v="18"/>
    <d v="1997-02-03T00:00:00"/>
  </r>
  <r>
    <n v="10435"/>
    <x v="0"/>
    <n v="152"/>
    <n v="10"/>
    <d v="1997-02-04T00:00:00"/>
  </r>
  <r>
    <n v="10435"/>
    <x v="1"/>
    <n v="152"/>
    <n v="10"/>
    <d v="1997-02-04T00:00:00"/>
  </r>
  <r>
    <n v="10435"/>
    <x v="2"/>
    <n v="152"/>
    <n v="10"/>
    <d v="1997-02-04T00:00:00"/>
  </r>
  <r>
    <n v="10435"/>
    <x v="3"/>
    <n v="152"/>
    <n v="10"/>
    <d v="1997-02-04T00:00:00"/>
  </r>
  <r>
    <n v="10435"/>
    <x v="4"/>
    <n v="152"/>
    <n v="10"/>
    <d v="1997-02-04T00:00:00"/>
  </r>
  <r>
    <n v="10435"/>
    <x v="5"/>
    <n v="152"/>
    <n v="10"/>
    <d v="1997-02-04T00:00:00"/>
  </r>
  <r>
    <n v="10435"/>
    <x v="6"/>
    <n v="152"/>
    <n v="10"/>
    <d v="1997-02-04T00:00:00"/>
  </r>
  <r>
    <n v="10435"/>
    <x v="7"/>
    <n v="152"/>
    <n v="10"/>
    <d v="1997-02-04T00:00:00"/>
  </r>
  <r>
    <n v="10435"/>
    <x v="0"/>
    <n v="201.6"/>
    <n v="12"/>
    <d v="1997-02-04T00:00:00"/>
  </r>
  <r>
    <n v="10435"/>
    <x v="1"/>
    <n v="201.6"/>
    <n v="12"/>
    <d v="1997-02-04T00:00:00"/>
  </r>
  <r>
    <n v="10435"/>
    <x v="2"/>
    <n v="201.6"/>
    <n v="12"/>
    <d v="1997-02-04T00:00:00"/>
  </r>
  <r>
    <n v="10435"/>
    <x v="3"/>
    <n v="201.6"/>
    <n v="12"/>
    <d v="1997-02-04T00:00:00"/>
  </r>
  <r>
    <n v="10435"/>
    <x v="4"/>
    <n v="201.6"/>
    <n v="12"/>
    <d v="1997-02-04T00:00:00"/>
  </r>
  <r>
    <n v="10435"/>
    <x v="5"/>
    <n v="201.6"/>
    <n v="12"/>
    <d v="1997-02-04T00:00:00"/>
  </r>
  <r>
    <n v="10435"/>
    <x v="6"/>
    <n v="201.6"/>
    <n v="12"/>
    <d v="1997-02-04T00:00:00"/>
  </r>
  <r>
    <n v="10435"/>
    <x v="7"/>
    <n v="201.6"/>
    <n v="12"/>
    <d v="1997-02-04T00:00:00"/>
  </r>
  <r>
    <n v="10435"/>
    <x v="0"/>
    <n v="278"/>
    <n v="10"/>
    <d v="1997-02-04T00:00:00"/>
  </r>
  <r>
    <n v="10435"/>
    <x v="1"/>
    <n v="278"/>
    <n v="10"/>
    <d v="1997-02-04T00:00:00"/>
  </r>
  <r>
    <n v="10435"/>
    <x v="2"/>
    <n v="278"/>
    <n v="10"/>
    <d v="1997-02-04T00:00:00"/>
  </r>
  <r>
    <n v="10435"/>
    <x v="3"/>
    <n v="278"/>
    <n v="10"/>
    <d v="1997-02-04T00:00:00"/>
  </r>
  <r>
    <n v="10435"/>
    <x v="4"/>
    <n v="278"/>
    <n v="10"/>
    <d v="1997-02-04T00:00:00"/>
  </r>
  <r>
    <n v="10435"/>
    <x v="5"/>
    <n v="278"/>
    <n v="10"/>
    <d v="1997-02-04T00:00:00"/>
  </r>
  <r>
    <n v="10435"/>
    <x v="6"/>
    <n v="278"/>
    <n v="10"/>
    <d v="1997-02-04T00:00:00"/>
  </r>
  <r>
    <n v="10435"/>
    <x v="7"/>
    <n v="278"/>
    <n v="10"/>
    <d v="1997-02-04T00:00:00"/>
  </r>
  <r>
    <n v="10436"/>
    <x v="0"/>
    <n v="48"/>
    <n v="5"/>
    <d v="1997-02-05T00:00:00"/>
  </r>
  <r>
    <n v="10436"/>
    <x v="1"/>
    <n v="48"/>
    <n v="5"/>
    <d v="1997-02-05T00:00:00"/>
  </r>
  <r>
    <n v="10436"/>
    <x v="2"/>
    <n v="48"/>
    <n v="5"/>
    <d v="1997-02-05T00:00:00"/>
  </r>
  <r>
    <n v="10436"/>
    <x v="3"/>
    <n v="48"/>
    <n v="5"/>
    <d v="1997-02-05T00:00:00"/>
  </r>
  <r>
    <n v="10436"/>
    <x v="4"/>
    <n v="48"/>
    <n v="5"/>
    <d v="1997-02-05T00:00:00"/>
  </r>
  <r>
    <n v="10436"/>
    <x v="5"/>
    <n v="48"/>
    <n v="5"/>
    <d v="1997-02-05T00:00:00"/>
  </r>
  <r>
    <n v="10436"/>
    <x v="6"/>
    <n v="48"/>
    <n v="5"/>
    <d v="1997-02-05T00:00:00"/>
  </r>
  <r>
    <n v="10436"/>
    <x v="7"/>
    <n v="48"/>
    <n v="5"/>
    <d v="1997-02-05T00:00:00"/>
  </r>
  <r>
    <n v="10436"/>
    <x v="0"/>
    <n v="1094.3999981880188"/>
    <n v="40"/>
    <d v="1997-02-05T00:00:00"/>
  </r>
  <r>
    <n v="10436"/>
    <x v="1"/>
    <n v="1094.3999981880188"/>
    <n v="40"/>
    <d v="1997-02-05T00:00:00"/>
  </r>
  <r>
    <n v="10436"/>
    <x v="2"/>
    <n v="1094.3999981880188"/>
    <n v="40"/>
    <d v="1997-02-05T00:00:00"/>
  </r>
  <r>
    <n v="10436"/>
    <x v="3"/>
    <n v="1094.3999981880188"/>
    <n v="40"/>
    <d v="1997-02-05T00:00:00"/>
  </r>
  <r>
    <n v="10436"/>
    <x v="4"/>
    <n v="1094.3999981880188"/>
    <n v="40"/>
    <d v="1997-02-05T00:00:00"/>
  </r>
  <r>
    <n v="10436"/>
    <x v="5"/>
    <n v="1094.3999981880188"/>
    <n v="40"/>
    <d v="1997-02-05T00:00:00"/>
  </r>
  <r>
    <n v="10436"/>
    <x v="6"/>
    <n v="1094.3999981880188"/>
    <n v="40"/>
    <d v="1997-02-05T00:00:00"/>
  </r>
  <r>
    <n v="10436"/>
    <x v="7"/>
    <n v="1094.3999981880188"/>
    <n v="40"/>
    <d v="1997-02-05T00:00:00"/>
  </r>
  <r>
    <n v="10436"/>
    <x v="0"/>
    <n v="718.19999881088734"/>
    <n v="30"/>
    <d v="1997-02-05T00:00:00"/>
  </r>
  <r>
    <n v="10436"/>
    <x v="1"/>
    <n v="718.19999881088734"/>
    <n v="30"/>
    <d v="1997-02-05T00:00:00"/>
  </r>
  <r>
    <n v="10436"/>
    <x v="2"/>
    <n v="718.19999881088734"/>
    <n v="30"/>
    <d v="1997-02-05T00:00:00"/>
  </r>
  <r>
    <n v="10436"/>
    <x v="3"/>
    <n v="718.19999881088734"/>
    <n v="30"/>
    <d v="1997-02-05T00:00:00"/>
  </r>
  <r>
    <n v="10436"/>
    <x v="4"/>
    <n v="718.19999881088734"/>
    <n v="30"/>
    <d v="1997-02-05T00:00:00"/>
  </r>
  <r>
    <n v="10436"/>
    <x v="5"/>
    <n v="718.19999881088734"/>
    <n v="30"/>
    <d v="1997-02-05T00:00:00"/>
  </r>
  <r>
    <n v="10436"/>
    <x v="6"/>
    <n v="718.19999881088734"/>
    <n v="30"/>
    <d v="1997-02-05T00:00:00"/>
  </r>
  <r>
    <n v="10436"/>
    <x v="7"/>
    <n v="718.19999881088734"/>
    <n v="30"/>
    <d v="1997-02-05T00:00:00"/>
  </r>
  <r>
    <n v="10436"/>
    <x v="0"/>
    <n v="133.91999977827072"/>
    <n v="24"/>
    <d v="1997-02-05T00:00:00"/>
  </r>
  <r>
    <n v="10436"/>
    <x v="1"/>
    <n v="133.91999977827072"/>
    <n v="24"/>
    <d v="1997-02-05T00:00:00"/>
  </r>
  <r>
    <n v="10436"/>
    <x v="2"/>
    <n v="133.91999977827072"/>
    <n v="24"/>
    <d v="1997-02-05T00:00:00"/>
  </r>
  <r>
    <n v="10436"/>
    <x v="3"/>
    <n v="133.91999977827072"/>
    <n v="24"/>
    <d v="1997-02-05T00:00:00"/>
  </r>
  <r>
    <n v="10436"/>
    <x v="4"/>
    <n v="133.91999977827072"/>
    <n v="24"/>
    <d v="1997-02-05T00:00:00"/>
  </r>
  <r>
    <n v="10436"/>
    <x v="5"/>
    <n v="133.91999977827072"/>
    <n v="24"/>
    <d v="1997-02-05T00:00:00"/>
  </r>
  <r>
    <n v="10436"/>
    <x v="6"/>
    <n v="133.91999977827072"/>
    <n v="24"/>
    <d v="1997-02-05T00:00:00"/>
  </r>
  <r>
    <n v="10436"/>
    <x v="7"/>
    <n v="133.91999977827072"/>
    <n v="24"/>
    <d v="1997-02-05T00:00:00"/>
  </r>
  <r>
    <n v="10437"/>
    <x v="0"/>
    <n v="393"/>
    <n v="15"/>
    <d v="1997-02-05T00:00:00"/>
  </r>
  <r>
    <n v="10437"/>
    <x v="1"/>
    <n v="393"/>
    <n v="15"/>
    <d v="1997-02-05T00:00:00"/>
  </r>
  <r>
    <n v="10437"/>
    <x v="2"/>
    <n v="393"/>
    <n v="15"/>
    <d v="1997-02-05T00:00:00"/>
  </r>
  <r>
    <n v="10437"/>
    <x v="3"/>
    <n v="393"/>
    <n v="15"/>
    <d v="1997-02-05T00:00:00"/>
  </r>
  <r>
    <n v="10437"/>
    <x v="4"/>
    <n v="393"/>
    <n v="15"/>
    <d v="1997-02-05T00:00:00"/>
  </r>
  <r>
    <n v="10437"/>
    <x v="5"/>
    <n v="393"/>
    <n v="15"/>
    <d v="1997-02-05T00:00:00"/>
  </r>
  <r>
    <n v="10437"/>
    <x v="6"/>
    <n v="393"/>
    <n v="15"/>
    <d v="1997-02-05T00:00:00"/>
  </r>
  <r>
    <n v="10437"/>
    <x v="7"/>
    <n v="393"/>
    <n v="15"/>
    <d v="1997-02-05T00:00:00"/>
  </r>
  <r>
    <n v="10438"/>
    <x v="0"/>
    <n v="87.59999967366457"/>
    <n v="15"/>
    <d v="1997-02-06T00:00:00"/>
  </r>
  <r>
    <n v="10438"/>
    <x v="1"/>
    <n v="87.59999967366457"/>
    <n v="15"/>
    <d v="1997-02-06T00:00:00"/>
  </r>
  <r>
    <n v="10438"/>
    <x v="2"/>
    <n v="87.59999967366457"/>
    <n v="15"/>
    <d v="1997-02-06T00:00:00"/>
  </r>
  <r>
    <n v="10438"/>
    <x v="3"/>
    <n v="87.59999967366457"/>
    <n v="15"/>
    <d v="1997-02-06T00:00:00"/>
  </r>
  <r>
    <n v="10438"/>
    <x v="4"/>
    <n v="87.59999967366457"/>
    <n v="15"/>
    <d v="1997-02-06T00:00:00"/>
  </r>
  <r>
    <n v="10438"/>
    <x v="5"/>
    <n v="87.59999967366457"/>
    <n v="15"/>
    <d v="1997-02-06T00:00:00"/>
  </r>
  <r>
    <n v="10438"/>
    <x v="6"/>
    <n v="87.59999967366457"/>
    <n v="15"/>
    <d v="1997-02-06T00:00:00"/>
  </r>
  <r>
    <n v="10438"/>
    <x v="7"/>
    <n v="87.59999967366457"/>
    <n v="15"/>
    <d v="1997-02-06T00:00:00"/>
  </r>
  <r>
    <n v="10438"/>
    <x v="0"/>
    <n v="179.19999933242798"/>
    <n v="20"/>
    <d v="1997-02-06T00:00:00"/>
  </r>
  <r>
    <n v="10438"/>
    <x v="1"/>
    <n v="179.19999933242798"/>
    <n v="20"/>
    <d v="1997-02-06T00:00:00"/>
  </r>
  <r>
    <n v="10438"/>
    <x v="2"/>
    <n v="179.19999933242798"/>
    <n v="20"/>
    <d v="1997-02-06T00:00:00"/>
  </r>
  <r>
    <n v="10438"/>
    <x v="3"/>
    <n v="179.19999933242798"/>
    <n v="20"/>
    <d v="1997-02-06T00:00:00"/>
  </r>
  <r>
    <n v="10438"/>
    <x v="4"/>
    <n v="179.19999933242798"/>
    <n v="20"/>
    <d v="1997-02-06T00:00:00"/>
  </r>
  <r>
    <n v="10438"/>
    <x v="5"/>
    <n v="179.19999933242798"/>
    <n v="20"/>
    <d v="1997-02-06T00:00:00"/>
  </r>
  <r>
    <n v="10438"/>
    <x v="6"/>
    <n v="179.19999933242798"/>
    <n v="20"/>
    <d v="1997-02-06T00:00:00"/>
  </r>
  <r>
    <n v="10438"/>
    <x v="7"/>
    <n v="179.19999933242798"/>
    <n v="20"/>
    <d v="1997-02-06T00:00:00"/>
  </r>
  <r>
    <n v="10438"/>
    <x v="0"/>
    <n v="187.19999930262566"/>
    <n v="15"/>
    <d v="1997-02-06T00:00:00"/>
  </r>
  <r>
    <n v="10438"/>
    <x v="1"/>
    <n v="187.19999930262566"/>
    <n v="15"/>
    <d v="1997-02-06T00:00:00"/>
  </r>
  <r>
    <n v="10438"/>
    <x v="2"/>
    <n v="187.19999930262566"/>
    <n v="15"/>
    <d v="1997-02-06T00:00:00"/>
  </r>
  <r>
    <n v="10438"/>
    <x v="3"/>
    <n v="187.19999930262566"/>
    <n v="15"/>
    <d v="1997-02-06T00:00:00"/>
  </r>
  <r>
    <n v="10438"/>
    <x v="4"/>
    <n v="187.19999930262566"/>
    <n v="15"/>
    <d v="1997-02-06T00:00:00"/>
  </r>
  <r>
    <n v="10438"/>
    <x v="5"/>
    <n v="187.19999930262566"/>
    <n v="15"/>
    <d v="1997-02-06T00:00:00"/>
  </r>
  <r>
    <n v="10438"/>
    <x v="6"/>
    <n v="187.19999930262566"/>
    <n v="15"/>
    <d v="1997-02-06T00:00:00"/>
  </r>
  <r>
    <n v="10438"/>
    <x v="7"/>
    <n v="187.19999930262566"/>
    <n v="15"/>
    <d v="1997-02-06T00:00:00"/>
  </r>
  <r>
    <n v="10439"/>
    <x v="0"/>
    <n v="456"/>
    <n v="15"/>
    <d v="1997-02-07T00:00:00"/>
  </r>
  <r>
    <n v="10439"/>
    <x v="1"/>
    <n v="456"/>
    <n v="15"/>
    <d v="1997-02-07T00:00:00"/>
  </r>
  <r>
    <n v="10439"/>
    <x v="2"/>
    <n v="456"/>
    <n v="15"/>
    <d v="1997-02-07T00:00:00"/>
  </r>
  <r>
    <n v="10439"/>
    <x v="3"/>
    <n v="456"/>
    <n v="15"/>
    <d v="1997-02-07T00:00:00"/>
  </r>
  <r>
    <n v="10439"/>
    <x v="4"/>
    <n v="456"/>
    <n v="15"/>
    <d v="1997-02-07T00:00:00"/>
  </r>
  <r>
    <n v="10439"/>
    <x v="5"/>
    <n v="456"/>
    <n v="15"/>
    <d v="1997-02-07T00:00:00"/>
  </r>
  <r>
    <n v="10439"/>
    <x v="6"/>
    <n v="456"/>
    <n v="15"/>
    <d v="1997-02-07T00:00:00"/>
  </r>
  <r>
    <n v="10439"/>
    <x v="7"/>
    <n v="456"/>
    <n v="15"/>
    <d v="1997-02-07T00:00:00"/>
  </r>
  <r>
    <n v="10439"/>
    <x v="0"/>
    <n v="222.4"/>
    <n v="16"/>
    <d v="1997-02-07T00:00:00"/>
  </r>
  <r>
    <n v="10439"/>
    <x v="1"/>
    <n v="222.4"/>
    <n v="16"/>
    <d v="1997-02-07T00:00:00"/>
  </r>
  <r>
    <n v="10439"/>
    <x v="2"/>
    <n v="222.4"/>
    <n v="16"/>
    <d v="1997-02-07T00:00:00"/>
  </r>
  <r>
    <n v="10439"/>
    <x v="3"/>
    <n v="222.4"/>
    <n v="16"/>
    <d v="1997-02-07T00:00:00"/>
  </r>
  <r>
    <n v="10439"/>
    <x v="4"/>
    <n v="222.4"/>
    <n v="16"/>
    <d v="1997-02-07T00:00:00"/>
  </r>
  <r>
    <n v="10439"/>
    <x v="5"/>
    <n v="222.4"/>
    <n v="16"/>
    <d v="1997-02-07T00:00:00"/>
  </r>
  <r>
    <n v="10439"/>
    <x v="6"/>
    <n v="222.4"/>
    <n v="16"/>
    <d v="1997-02-07T00:00:00"/>
  </r>
  <r>
    <n v="10439"/>
    <x v="7"/>
    <n v="222.4"/>
    <n v="16"/>
    <d v="1997-02-07T00:00:00"/>
  </r>
  <r>
    <n v="10439"/>
    <x v="0"/>
    <n v="159.6"/>
    <n v="6"/>
    <d v="1997-02-07T00:00:00"/>
  </r>
  <r>
    <n v="10439"/>
    <x v="1"/>
    <n v="159.6"/>
    <n v="6"/>
    <d v="1997-02-07T00:00:00"/>
  </r>
  <r>
    <n v="10439"/>
    <x v="2"/>
    <n v="159.6"/>
    <n v="6"/>
    <d v="1997-02-07T00:00:00"/>
  </r>
  <r>
    <n v="10439"/>
    <x v="3"/>
    <n v="159.6"/>
    <n v="6"/>
    <d v="1997-02-07T00:00:00"/>
  </r>
  <r>
    <n v="10439"/>
    <x v="4"/>
    <n v="159.6"/>
    <n v="6"/>
    <d v="1997-02-07T00:00:00"/>
  </r>
  <r>
    <n v="10439"/>
    <x v="5"/>
    <n v="159.6"/>
    <n v="6"/>
    <d v="1997-02-07T00:00:00"/>
  </r>
  <r>
    <n v="10439"/>
    <x v="6"/>
    <n v="159.6"/>
    <n v="6"/>
    <d v="1997-02-07T00:00:00"/>
  </r>
  <r>
    <n v="10439"/>
    <x v="7"/>
    <n v="159.6"/>
    <n v="6"/>
    <d v="1997-02-07T00:00:00"/>
  </r>
  <r>
    <n v="10439"/>
    <x v="0"/>
    <n v="240"/>
    <n v="30"/>
    <d v="1997-02-07T00:00:00"/>
  </r>
  <r>
    <n v="10439"/>
    <x v="1"/>
    <n v="240"/>
    <n v="30"/>
    <d v="1997-02-07T00:00:00"/>
  </r>
  <r>
    <n v="10439"/>
    <x v="2"/>
    <n v="240"/>
    <n v="30"/>
    <d v="1997-02-07T00:00:00"/>
  </r>
  <r>
    <n v="10439"/>
    <x v="3"/>
    <n v="240"/>
    <n v="30"/>
    <d v="1997-02-07T00:00:00"/>
  </r>
  <r>
    <n v="10439"/>
    <x v="4"/>
    <n v="240"/>
    <n v="30"/>
    <d v="1997-02-07T00:00:00"/>
  </r>
  <r>
    <n v="10439"/>
    <x v="5"/>
    <n v="240"/>
    <n v="30"/>
    <d v="1997-02-07T00:00:00"/>
  </r>
  <r>
    <n v="10439"/>
    <x v="6"/>
    <n v="240"/>
    <n v="30"/>
    <d v="1997-02-07T00:00:00"/>
  </r>
  <r>
    <n v="10439"/>
    <x v="7"/>
    <n v="240"/>
    <n v="30"/>
    <d v="1997-02-07T00:00:00"/>
  </r>
  <r>
    <n v="10440"/>
    <x v="0"/>
    <n v="581.3999959230423"/>
    <n v="45"/>
    <d v="1997-02-10T00:00:00"/>
  </r>
  <r>
    <n v="10440"/>
    <x v="1"/>
    <n v="581.3999959230423"/>
    <n v="45"/>
    <d v="1997-02-10T00:00:00"/>
  </r>
  <r>
    <n v="10440"/>
    <x v="2"/>
    <n v="581.3999959230423"/>
    <n v="45"/>
    <d v="1997-02-10T00:00:00"/>
  </r>
  <r>
    <n v="10440"/>
    <x v="3"/>
    <n v="581.3999959230423"/>
    <n v="45"/>
    <d v="1997-02-10T00:00:00"/>
  </r>
  <r>
    <n v="10440"/>
    <x v="4"/>
    <n v="581.3999959230423"/>
    <n v="45"/>
    <d v="1997-02-10T00:00:00"/>
  </r>
  <r>
    <n v="10440"/>
    <x v="5"/>
    <n v="581.3999959230423"/>
    <n v="45"/>
    <d v="1997-02-10T00:00:00"/>
  </r>
  <r>
    <n v="10440"/>
    <x v="6"/>
    <n v="581.3999959230423"/>
    <n v="45"/>
    <d v="1997-02-10T00:00:00"/>
  </r>
  <r>
    <n v="10440"/>
    <x v="7"/>
    <n v="581.3999959230423"/>
    <n v="45"/>
    <d v="1997-02-10T00:00:00"/>
  </r>
  <r>
    <n v="10440"/>
    <x v="0"/>
    <n v="578.93499594032767"/>
    <n v="49"/>
    <d v="1997-02-10T00:00:00"/>
  </r>
  <r>
    <n v="10440"/>
    <x v="1"/>
    <n v="578.93499594032767"/>
    <n v="49"/>
    <d v="1997-02-10T00:00:00"/>
  </r>
  <r>
    <n v="10440"/>
    <x v="2"/>
    <n v="578.93499594032767"/>
    <n v="49"/>
    <d v="1997-02-10T00:00:00"/>
  </r>
  <r>
    <n v="10440"/>
    <x v="3"/>
    <n v="578.93499594032767"/>
    <n v="49"/>
    <d v="1997-02-10T00:00:00"/>
  </r>
  <r>
    <n v="10440"/>
    <x v="4"/>
    <n v="578.93499594032767"/>
    <n v="49"/>
    <d v="1997-02-10T00:00:00"/>
  </r>
  <r>
    <n v="10440"/>
    <x v="5"/>
    <n v="578.93499594032767"/>
    <n v="49"/>
    <d v="1997-02-10T00:00:00"/>
  </r>
  <r>
    <n v="10440"/>
    <x v="6"/>
    <n v="578.93499594032767"/>
    <n v="49"/>
    <d v="1997-02-10T00:00:00"/>
  </r>
  <r>
    <n v="10440"/>
    <x v="7"/>
    <n v="578.93499594032767"/>
    <n v="49"/>
    <d v="1997-02-10T00:00:00"/>
  </r>
  <r>
    <n v="10440"/>
    <x v="0"/>
    <n v="2019.5999858379364"/>
    <n v="24"/>
    <d v="1997-02-10T00:00:00"/>
  </r>
  <r>
    <n v="10440"/>
    <x v="1"/>
    <n v="2019.5999858379364"/>
    <n v="24"/>
    <d v="1997-02-10T00:00:00"/>
  </r>
  <r>
    <n v="10440"/>
    <x v="2"/>
    <n v="2019.5999858379364"/>
    <n v="24"/>
    <d v="1997-02-10T00:00:00"/>
  </r>
  <r>
    <n v="10440"/>
    <x v="3"/>
    <n v="2019.5999858379364"/>
    <n v="24"/>
    <d v="1997-02-10T00:00:00"/>
  </r>
  <r>
    <n v="10440"/>
    <x v="4"/>
    <n v="2019.5999858379364"/>
    <n v="24"/>
    <d v="1997-02-10T00:00:00"/>
  </r>
  <r>
    <n v="10440"/>
    <x v="5"/>
    <n v="2019.5999858379364"/>
    <n v="24"/>
    <d v="1997-02-10T00:00:00"/>
  </r>
  <r>
    <n v="10440"/>
    <x v="6"/>
    <n v="2019.5999858379364"/>
    <n v="24"/>
    <d v="1997-02-10T00:00:00"/>
  </r>
  <r>
    <n v="10440"/>
    <x v="7"/>
    <n v="2019.5999858379364"/>
    <n v="24"/>
    <d v="1997-02-10T00:00:00"/>
  </r>
  <r>
    <n v="10440"/>
    <x v="0"/>
    <n v="1744.1999877691269"/>
    <n v="90"/>
    <d v="1997-02-10T00:00:00"/>
  </r>
  <r>
    <n v="10440"/>
    <x v="1"/>
    <n v="1744.1999877691269"/>
    <n v="90"/>
    <d v="1997-02-10T00:00:00"/>
  </r>
  <r>
    <n v="10440"/>
    <x v="2"/>
    <n v="1744.1999877691269"/>
    <n v="90"/>
    <d v="1997-02-10T00:00:00"/>
  </r>
  <r>
    <n v="10440"/>
    <x v="3"/>
    <n v="1744.1999877691269"/>
    <n v="90"/>
    <d v="1997-02-10T00:00:00"/>
  </r>
  <r>
    <n v="10440"/>
    <x v="4"/>
    <n v="1744.1999877691269"/>
    <n v="90"/>
    <d v="1997-02-10T00:00:00"/>
  </r>
  <r>
    <n v="10440"/>
    <x v="5"/>
    <n v="1744.1999877691269"/>
    <n v="90"/>
    <d v="1997-02-10T00:00:00"/>
  </r>
  <r>
    <n v="10440"/>
    <x v="6"/>
    <n v="1744.1999877691269"/>
    <n v="90"/>
    <d v="1997-02-10T00:00:00"/>
  </r>
  <r>
    <n v="10440"/>
    <x v="7"/>
    <n v="1744.1999877691269"/>
    <n v="90"/>
    <d v="1997-02-10T00:00:00"/>
  </r>
  <r>
    <n v="10441"/>
    <x v="0"/>
    <n v="1755"/>
    <n v="50"/>
    <d v="1997-02-10T00:00:00"/>
  </r>
  <r>
    <n v="10441"/>
    <x v="1"/>
    <n v="1755"/>
    <n v="50"/>
    <d v="1997-02-10T00:00:00"/>
  </r>
  <r>
    <n v="10441"/>
    <x v="2"/>
    <n v="1755"/>
    <n v="50"/>
    <d v="1997-02-10T00:00:00"/>
  </r>
  <r>
    <n v="10441"/>
    <x v="3"/>
    <n v="1755"/>
    <n v="50"/>
    <d v="1997-02-10T00:00:00"/>
  </r>
  <r>
    <n v="10441"/>
    <x v="4"/>
    <n v="1755"/>
    <n v="50"/>
    <d v="1997-02-10T00:00:00"/>
  </r>
  <r>
    <n v="10441"/>
    <x v="5"/>
    <n v="1755"/>
    <n v="50"/>
    <d v="1997-02-10T00:00:00"/>
  </r>
  <r>
    <n v="10441"/>
    <x v="6"/>
    <n v="1755"/>
    <n v="50"/>
    <d v="1997-02-10T00:00:00"/>
  </r>
  <r>
    <n v="10441"/>
    <x v="7"/>
    <n v="1755"/>
    <n v="50"/>
    <d v="1997-02-10T00:00:00"/>
  </r>
  <r>
    <n v="10442"/>
    <x v="0"/>
    <n v="504"/>
    <n v="30"/>
    <d v="1997-02-11T00:00:00"/>
  </r>
  <r>
    <n v="10442"/>
    <x v="1"/>
    <n v="504"/>
    <n v="30"/>
    <d v="1997-02-11T00:00:00"/>
  </r>
  <r>
    <n v="10442"/>
    <x v="2"/>
    <n v="504"/>
    <n v="30"/>
    <d v="1997-02-11T00:00:00"/>
  </r>
  <r>
    <n v="10442"/>
    <x v="3"/>
    <n v="504"/>
    <n v="30"/>
    <d v="1997-02-11T00:00:00"/>
  </r>
  <r>
    <n v="10442"/>
    <x v="4"/>
    <n v="504"/>
    <n v="30"/>
    <d v="1997-02-11T00:00:00"/>
  </r>
  <r>
    <n v="10442"/>
    <x v="5"/>
    <n v="504"/>
    <n v="30"/>
    <d v="1997-02-11T00:00:00"/>
  </r>
  <r>
    <n v="10442"/>
    <x v="6"/>
    <n v="504"/>
    <n v="30"/>
    <d v="1997-02-11T00:00:00"/>
  </r>
  <r>
    <n v="10442"/>
    <x v="7"/>
    <n v="504"/>
    <n v="30"/>
    <d v="1997-02-11T00:00:00"/>
  </r>
  <r>
    <n v="10442"/>
    <x v="0"/>
    <n v="472"/>
    <n v="80"/>
    <d v="1997-02-11T00:00:00"/>
  </r>
  <r>
    <n v="10442"/>
    <x v="1"/>
    <n v="472"/>
    <n v="80"/>
    <d v="1997-02-11T00:00:00"/>
  </r>
  <r>
    <n v="10442"/>
    <x v="2"/>
    <n v="472"/>
    <n v="80"/>
    <d v="1997-02-11T00:00:00"/>
  </r>
  <r>
    <n v="10442"/>
    <x v="3"/>
    <n v="472"/>
    <n v="80"/>
    <d v="1997-02-11T00:00:00"/>
  </r>
  <r>
    <n v="10442"/>
    <x v="4"/>
    <n v="472"/>
    <n v="80"/>
    <d v="1997-02-11T00:00:00"/>
  </r>
  <r>
    <n v="10442"/>
    <x v="5"/>
    <n v="472"/>
    <n v="80"/>
    <d v="1997-02-11T00:00:00"/>
  </r>
  <r>
    <n v="10442"/>
    <x v="6"/>
    <n v="472"/>
    <n v="80"/>
    <d v="1997-02-11T00:00:00"/>
  </r>
  <r>
    <n v="10442"/>
    <x v="7"/>
    <n v="472"/>
    <n v="80"/>
    <d v="1997-02-11T00:00:00"/>
  </r>
  <r>
    <n v="10442"/>
    <x v="0"/>
    <n v="816"/>
    <n v="60"/>
    <d v="1997-02-11T00:00:00"/>
  </r>
  <r>
    <n v="10442"/>
    <x v="1"/>
    <n v="816"/>
    <n v="60"/>
    <d v="1997-02-11T00:00:00"/>
  </r>
  <r>
    <n v="10442"/>
    <x v="2"/>
    <n v="816"/>
    <n v="60"/>
    <d v="1997-02-11T00:00:00"/>
  </r>
  <r>
    <n v="10442"/>
    <x v="3"/>
    <n v="816"/>
    <n v="60"/>
    <d v="1997-02-11T00:00:00"/>
  </r>
  <r>
    <n v="10442"/>
    <x v="4"/>
    <n v="816"/>
    <n v="60"/>
    <d v="1997-02-11T00:00:00"/>
  </r>
  <r>
    <n v="10442"/>
    <x v="5"/>
    <n v="816"/>
    <n v="60"/>
    <d v="1997-02-11T00:00:00"/>
  </r>
  <r>
    <n v="10442"/>
    <x v="6"/>
    <n v="816"/>
    <n v="60"/>
    <d v="1997-02-11T00:00:00"/>
  </r>
  <r>
    <n v="10442"/>
    <x v="7"/>
    <n v="816"/>
    <n v="60"/>
    <d v="1997-02-11T00:00:00"/>
  </r>
  <r>
    <n v="10443"/>
    <x v="0"/>
    <n v="80.639999699592593"/>
    <n v="6"/>
    <d v="1997-02-12T00:00:00"/>
  </r>
  <r>
    <n v="10443"/>
    <x v="1"/>
    <n v="80.639999699592593"/>
    <n v="6"/>
    <d v="1997-02-12T00:00:00"/>
  </r>
  <r>
    <n v="10443"/>
    <x v="2"/>
    <n v="80.639999699592593"/>
    <n v="6"/>
    <d v="1997-02-12T00:00:00"/>
  </r>
  <r>
    <n v="10443"/>
    <x v="3"/>
    <n v="80.639999699592593"/>
    <n v="6"/>
    <d v="1997-02-12T00:00:00"/>
  </r>
  <r>
    <n v="10443"/>
    <x v="4"/>
    <n v="80.639999699592593"/>
    <n v="6"/>
    <d v="1997-02-12T00:00:00"/>
  </r>
  <r>
    <n v="10443"/>
    <x v="5"/>
    <n v="80.639999699592593"/>
    <n v="6"/>
    <d v="1997-02-12T00:00:00"/>
  </r>
  <r>
    <n v="10443"/>
    <x v="6"/>
    <n v="80.639999699592593"/>
    <n v="6"/>
    <d v="1997-02-12T00:00:00"/>
  </r>
  <r>
    <n v="10443"/>
    <x v="7"/>
    <n v="80.639999699592593"/>
    <n v="6"/>
    <d v="1997-02-12T00:00:00"/>
  </r>
  <r>
    <n v="10443"/>
    <x v="0"/>
    <n v="436.8"/>
    <n v="12"/>
    <d v="1997-02-12T00:00:00"/>
  </r>
  <r>
    <n v="10443"/>
    <x v="1"/>
    <n v="436.8"/>
    <n v="12"/>
    <d v="1997-02-12T00:00:00"/>
  </r>
  <r>
    <n v="10443"/>
    <x v="2"/>
    <n v="436.8"/>
    <n v="12"/>
    <d v="1997-02-12T00:00:00"/>
  </r>
  <r>
    <n v="10443"/>
    <x v="3"/>
    <n v="436.8"/>
    <n v="12"/>
    <d v="1997-02-12T00:00:00"/>
  </r>
  <r>
    <n v="10443"/>
    <x v="4"/>
    <n v="436.8"/>
    <n v="12"/>
    <d v="1997-02-12T00:00:00"/>
  </r>
  <r>
    <n v="10443"/>
    <x v="5"/>
    <n v="436.8"/>
    <n v="12"/>
    <d v="1997-02-12T00:00:00"/>
  </r>
  <r>
    <n v="10443"/>
    <x v="6"/>
    <n v="436.8"/>
    <n v="12"/>
    <d v="1997-02-12T00:00:00"/>
  </r>
  <r>
    <n v="10443"/>
    <x v="7"/>
    <n v="436.8"/>
    <n v="12"/>
    <d v="1997-02-12T00:00:00"/>
  </r>
  <r>
    <n v="10444"/>
    <x v="0"/>
    <n v="312"/>
    <n v="10"/>
    <d v="1997-02-12T00:00:00"/>
  </r>
  <r>
    <n v="10444"/>
    <x v="1"/>
    <n v="312"/>
    <n v="10"/>
    <d v="1997-02-12T00:00:00"/>
  </r>
  <r>
    <n v="10444"/>
    <x v="2"/>
    <n v="312"/>
    <n v="10"/>
    <d v="1997-02-12T00:00:00"/>
  </r>
  <r>
    <n v="10444"/>
    <x v="3"/>
    <n v="312"/>
    <n v="10"/>
    <d v="1997-02-12T00:00:00"/>
  </r>
  <r>
    <n v="10444"/>
    <x v="4"/>
    <n v="312"/>
    <n v="10"/>
    <d v="1997-02-12T00:00:00"/>
  </r>
  <r>
    <n v="10444"/>
    <x v="5"/>
    <n v="312"/>
    <n v="10"/>
    <d v="1997-02-12T00:00:00"/>
  </r>
  <r>
    <n v="10444"/>
    <x v="6"/>
    <n v="312"/>
    <n v="10"/>
    <d v="1997-02-12T00:00:00"/>
  </r>
  <r>
    <n v="10444"/>
    <x v="7"/>
    <n v="312"/>
    <n v="10"/>
    <d v="1997-02-12T00:00:00"/>
  </r>
  <r>
    <n v="10444"/>
    <x v="0"/>
    <n v="373.5"/>
    <n v="15"/>
    <d v="1997-02-12T00:00:00"/>
  </r>
  <r>
    <n v="10444"/>
    <x v="1"/>
    <n v="373.5"/>
    <n v="15"/>
    <d v="1997-02-12T00:00:00"/>
  </r>
  <r>
    <n v="10444"/>
    <x v="2"/>
    <n v="373.5"/>
    <n v="15"/>
    <d v="1997-02-12T00:00:00"/>
  </r>
  <r>
    <n v="10444"/>
    <x v="3"/>
    <n v="373.5"/>
    <n v="15"/>
    <d v="1997-02-12T00:00:00"/>
  </r>
  <r>
    <n v="10444"/>
    <x v="4"/>
    <n v="373.5"/>
    <n v="15"/>
    <d v="1997-02-12T00:00:00"/>
  </r>
  <r>
    <n v="10444"/>
    <x v="5"/>
    <n v="373.5"/>
    <n v="15"/>
    <d v="1997-02-12T00:00:00"/>
  </r>
  <r>
    <n v="10444"/>
    <x v="6"/>
    <n v="373.5"/>
    <n v="15"/>
    <d v="1997-02-12T00:00:00"/>
  </r>
  <r>
    <n v="10444"/>
    <x v="7"/>
    <n v="373.5"/>
    <n v="15"/>
    <d v="1997-02-12T00:00:00"/>
  </r>
  <r>
    <n v="10444"/>
    <x v="0"/>
    <n v="115.2"/>
    <n v="8"/>
    <d v="1997-02-12T00:00:00"/>
  </r>
  <r>
    <n v="10444"/>
    <x v="1"/>
    <n v="115.2"/>
    <n v="8"/>
    <d v="1997-02-12T00:00:00"/>
  </r>
  <r>
    <n v="10444"/>
    <x v="2"/>
    <n v="115.2"/>
    <n v="8"/>
    <d v="1997-02-12T00:00:00"/>
  </r>
  <r>
    <n v="10444"/>
    <x v="3"/>
    <n v="115.2"/>
    <n v="8"/>
    <d v="1997-02-12T00:00:00"/>
  </r>
  <r>
    <n v="10444"/>
    <x v="4"/>
    <n v="115.2"/>
    <n v="8"/>
    <d v="1997-02-12T00:00:00"/>
  </r>
  <r>
    <n v="10444"/>
    <x v="5"/>
    <n v="115.2"/>
    <n v="8"/>
    <d v="1997-02-12T00:00:00"/>
  </r>
  <r>
    <n v="10444"/>
    <x v="6"/>
    <n v="115.2"/>
    <n v="8"/>
    <d v="1997-02-12T00:00:00"/>
  </r>
  <r>
    <n v="10444"/>
    <x v="7"/>
    <n v="115.2"/>
    <n v="8"/>
    <d v="1997-02-12T00:00:00"/>
  </r>
  <r>
    <n v="10444"/>
    <x v="0"/>
    <n v="231"/>
    <n v="30"/>
    <d v="1997-02-12T00:00:00"/>
  </r>
  <r>
    <n v="10444"/>
    <x v="1"/>
    <n v="231"/>
    <n v="30"/>
    <d v="1997-02-12T00:00:00"/>
  </r>
  <r>
    <n v="10444"/>
    <x v="2"/>
    <n v="231"/>
    <n v="30"/>
    <d v="1997-02-12T00:00:00"/>
  </r>
  <r>
    <n v="10444"/>
    <x v="3"/>
    <n v="231"/>
    <n v="30"/>
    <d v="1997-02-12T00:00:00"/>
  </r>
  <r>
    <n v="10444"/>
    <x v="4"/>
    <n v="231"/>
    <n v="30"/>
    <d v="1997-02-12T00:00:00"/>
  </r>
  <r>
    <n v="10444"/>
    <x v="5"/>
    <n v="231"/>
    <n v="30"/>
    <d v="1997-02-12T00:00:00"/>
  </r>
  <r>
    <n v="10444"/>
    <x v="6"/>
    <n v="231"/>
    <n v="30"/>
    <d v="1997-02-12T00:00:00"/>
  </r>
  <r>
    <n v="10444"/>
    <x v="7"/>
    <n v="231"/>
    <n v="30"/>
    <d v="1997-02-12T00:00:00"/>
  </r>
  <r>
    <n v="10445"/>
    <x v="0"/>
    <n v="86.4"/>
    <n v="6"/>
    <d v="1997-02-13T00:00:00"/>
  </r>
  <r>
    <n v="10445"/>
    <x v="1"/>
    <n v="86.4"/>
    <n v="6"/>
    <d v="1997-02-13T00:00:00"/>
  </r>
  <r>
    <n v="10445"/>
    <x v="2"/>
    <n v="86.4"/>
    <n v="6"/>
    <d v="1997-02-13T00:00:00"/>
  </r>
  <r>
    <n v="10445"/>
    <x v="3"/>
    <n v="86.4"/>
    <n v="6"/>
    <d v="1997-02-13T00:00:00"/>
  </r>
  <r>
    <n v="10445"/>
    <x v="4"/>
    <n v="86.4"/>
    <n v="6"/>
    <d v="1997-02-13T00:00:00"/>
  </r>
  <r>
    <n v="10445"/>
    <x v="5"/>
    <n v="86.4"/>
    <n v="6"/>
    <d v="1997-02-13T00:00:00"/>
  </r>
  <r>
    <n v="10445"/>
    <x v="6"/>
    <n v="86.4"/>
    <n v="6"/>
    <d v="1997-02-13T00:00:00"/>
  </r>
  <r>
    <n v="10445"/>
    <x v="7"/>
    <n v="86.4"/>
    <n v="6"/>
    <d v="1997-02-13T00:00:00"/>
  </r>
  <r>
    <n v="10445"/>
    <x v="0"/>
    <n v="88.5"/>
    <n v="15"/>
    <d v="1997-02-13T00:00:00"/>
  </r>
  <r>
    <n v="10445"/>
    <x v="1"/>
    <n v="88.5"/>
    <n v="15"/>
    <d v="1997-02-13T00:00:00"/>
  </r>
  <r>
    <n v="10445"/>
    <x v="2"/>
    <n v="88.5"/>
    <n v="15"/>
    <d v="1997-02-13T00:00:00"/>
  </r>
  <r>
    <n v="10445"/>
    <x v="3"/>
    <n v="88.5"/>
    <n v="15"/>
    <d v="1997-02-13T00:00:00"/>
  </r>
  <r>
    <n v="10445"/>
    <x v="4"/>
    <n v="88.5"/>
    <n v="15"/>
    <d v="1997-02-13T00:00:00"/>
  </r>
  <r>
    <n v="10445"/>
    <x v="5"/>
    <n v="88.5"/>
    <n v="15"/>
    <d v="1997-02-13T00:00:00"/>
  </r>
  <r>
    <n v="10445"/>
    <x v="6"/>
    <n v="88.5"/>
    <n v="15"/>
    <d v="1997-02-13T00:00:00"/>
  </r>
  <r>
    <n v="10445"/>
    <x v="7"/>
    <n v="88.5"/>
    <n v="15"/>
    <d v="1997-02-13T00:00:00"/>
  </r>
  <r>
    <n v="10446"/>
    <x v="0"/>
    <n v="78.839999869465828"/>
    <n v="12"/>
    <d v="1997-02-14T00:00:00"/>
  </r>
  <r>
    <n v="10446"/>
    <x v="1"/>
    <n v="78.839999869465828"/>
    <n v="12"/>
    <d v="1997-02-14T00:00:00"/>
  </r>
  <r>
    <n v="10446"/>
    <x v="2"/>
    <n v="78.839999869465828"/>
    <n v="12"/>
    <d v="1997-02-14T00:00:00"/>
  </r>
  <r>
    <n v="10446"/>
    <x v="3"/>
    <n v="78.839999869465828"/>
    <n v="12"/>
    <d v="1997-02-14T00:00:00"/>
  </r>
  <r>
    <n v="10446"/>
    <x v="4"/>
    <n v="78.839999869465828"/>
    <n v="12"/>
    <d v="1997-02-14T00:00:00"/>
  </r>
  <r>
    <n v="10446"/>
    <x v="5"/>
    <n v="78.839999869465828"/>
    <n v="12"/>
    <d v="1997-02-14T00:00:00"/>
  </r>
  <r>
    <n v="10446"/>
    <x v="6"/>
    <n v="78.839999869465828"/>
    <n v="12"/>
    <d v="1997-02-14T00:00:00"/>
  </r>
  <r>
    <n v="10446"/>
    <x v="7"/>
    <n v="78.839999869465828"/>
    <n v="12"/>
    <d v="1997-02-14T00:00:00"/>
  </r>
  <r>
    <n v="10446"/>
    <x v="0"/>
    <n v="64.799999892711639"/>
    <n v="20"/>
    <d v="1997-02-14T00:00:00"/>
  </r>
  <r>
    <n v="10446"/>
    <x v="1"/>
    <n v="64.799999892711639"/>
    <n v="20"/>
    <d v="1997-02-14T00:00:00"/>
  </r>
  <r>
    <n v="10446"/>
    <x v="2"/>
    <n v="64.799999892711639"/>
    <n v="20"/>
    <d v="1997-02-14T00:00:00"/>
  </r>
  <r>
    <n v="10446"/>
    <x v="3"/>
    <n v="64.799999892711639"/>
    <n v="20"/>
    <d v="1997-02-14T00:00:00"/>
  </r>
  <r>
    <n v="10446"/>
    <x v="4"/>
    <n v="64.799999892711639"/>
    <n v="20"/>
    <d v="1997-02-14T00:00:00"/>
  </r>
  <r>
    <n v="10446"/>
    <x v="5"/>
    <n v="64.799999892711639"/>
    <n v="20"/>
    <d v="1997-02-14T00:00:00"/>
  </r>
  <r>
    <n v="10446"/>
    <x v="6"/>
    <n v="64.799999892711639"/>
    <n v="20"/>
    <d v="1997-02-14T00:00:00"/>
  </r>
  <r>
    <n v="10446"/>
    <x v="7"/>
    <n v="64.799999892711639"/>
    <n v="20"/>
    <d v="1997-02-14T00:00:00"/>
  </r>
  <r>
    <n v="10446"/>
    <x v="0"/>
    <n v="26.999999955296516"/>
    <n v="3"/>
    <d v="1997-02-14T00:00:00"/>
  </r>
  <r>
    <n v="10446"/>
    <x v="1"/>
    <n v="26.999999955296516"/>
    <n v="3"/>
    <d v="1997-02-14T00:00:00"/>
  </r>
  <r>
    <n v="10446"/>
    <x v="2"/>
    <n v="26.999999955296516"/>
    <n v="3"/>
    <d v="1997-02-14T00:00:00"/>
  </r>
  <r>
    <n v="10446"/>
    <x v="3"/>
    <n v="26.999999955296516"/>
    <n v="3"/>
    <d v="1997-02-14T00:00:00"/>
  </r>
  <r>
    <n v="10446"/>
    <x v="4"/>
    <n v="26.999999955296516"/>
    <n v="3"/>
    <d v="1997-02-14T00:00:00"/>
  </r>
  <r>
    <n v="10446"/>
    <x v="5"/>
    <n v="26.999999955296516"/>
    <n v="3"/>
    <d v="1997-02-14T00:00:00"/>
  </r>
  <r>
    <n v="10446"/>
    <x v="6"/>
    <n v="26.999999955296516"/>
    <n v="3"/>
    <d v="1997-02-14T00:00:00"/>
  </r>
  <r>
    <n v="10446"/>
    <x v="7"/>
    <n v="26.999999955296516"/>
    <n v="3"/>
    <d v="1997-02-14T00:00:00"/>
  </r>
  <r>
    <n v="10446"/>
    <x v="0"/>
    <n v="75.599999874830246"/>
    <n v="15"/>
    <d v="1997-02-14T00:00:00"/>
  </r>
  <r>
    <n v="10446"/>
    <x v="1"/>
    <n v="75.599999874830246"/>
    <n v="15"/>
    <d v="1997-02-14T00:00:00"/>
  </r>
  <r>
    <n v="10446"/>
    <x v="2"/>
    <n v="75.599999874830246"/>
    <n v="15"/>
    <d v="1997-02-14T00:00:00"/>
  </r>
  <r>
    <n v="10446"/>
    <x v="3"/>
    <n v="75.599999874830246"/>
    <n v="15"/>
    <d v="1997-02-14T00:00:00"/>
  </r>
  <r>
    <n v="10446"/>
    <x v="4"/>
    <n v="75.599999874830246"/>
    <n v="15"/>
    <d v="1997-02-14T00:00:00"/>
  </r>
  <r>
    <n v="10446"/>
    <x v="5"/>
    <n v="75.599999874830246"/>
    <n v="15"/>
    <d v="1997-02-14T00:00:00"/>
  </r>
  <r>
    <n v="10446"/>
    <x v="6"/>
    <n v="75.599999874830246"/>
    <n v="15"/>
    <d v="1997-02-14T00:00:00"/>
  </r>
  <r>
    <n v="10446"/>
    <x v="7"/>
    <n v="75.599999874830246"/>
    <n v="15"/>
    <d v="1997-02-14T00:00:00"/>
  </r>
  <r>
    <n v="10447"/>
    <x v="0"/>
    <n v="292"/>
    <n v="40"/>
    <d v="1997-02-14T00:00:00"/>
  </r>
  <r>
    <n v="10447"/>
    <x v="1"/>
    <n v="292"/>
    <n v="40"/>
    <d v="1997-02-14T00:00:00"/>
  </r>
  <r>
    <n v="10447"/>
    <x v="2"/>
    <n v="292"/>
    <n v="40"/>
    <d v="1997-02-14T00:00:00"/>
  </r>
  <r>
    <n v="10447"/>
    <x v="3"/>
    <n v="292"/>
    <n v="40"/>
    <d v="1997-02-14T00:00:00"/>
  </r>
  <r>
    <n v="10447"/>
    <x v="4"/>
    <n v="292"/>
    <n v="40"/>
    <d v="1997-02-14T00:00:00"/>
  </r>
  <r>
    <n v="10447"/>
    <x v="5"/>
    <n v="292"/>
    <n v="40"/>
    <d v="1997-02-14T00:00:00"/>
  </r>
  <r>
    <n v="10447"/>
    <x v="6"/>
    <n v="292"/>
    <n v="40"/>
    <d v="1997-02-14T00:00:00"/>
  </r>
  <r>
    <n v="10447"/>
    <x v="7"/>
    <n v="292"/>
    <n v="40"/>
    <d v="1997-02-14T00:00:00"/>
  </r>
  <r>
    <n v="10447"/>
    <x v="0"/>
    <n v="588"/>
    <n v="35"/>
    <d v="1997-02-14T00:00:00"/>
  </r>
  <r>
    <n v="10447"/>
    <x v="1"/>
    <n v="588"/>
    <n v="35"/>
    <d v="1997-02-14T00:00:00"/>
  </r>
  <r>
    <n v="10447"/>
    <x v="2"/>
    <n v="588"/>
    <n v="35"/>
    <d v="1997-02-14T00:00:00"/>
  </r>
  <r>
    <n v="10447"/>
    <x v="3"/>
    <n v="588"/>
    <n v="35"/>
    <d v="1997-02-14T00:00:00"/>
  </r>
  <r>
    <n v="10447"/>
    <x v="4"/>
    <n v="588"/>
    <n v="35"/>
    <d v="1997-02-14T00:00:00"/>
  </r>
  <r>
    <n v="10447"/>
    <x v="5"/>
    <n v="588"/>
    <n v="35"/>
    <d v="1997-02-14T00:00:00"/>
  </r>
  <r>
    <n v="10447"/>
    <x v="6"/>
    <n v="588"/>
    <n v="35"/>
    <d v="1997-02-14T00:00:00"/>
  </r>
  <r>
    <n v="10447"/>
    <x v="7"/>
    <n v="588"/>
    <n v="35"/>
    <d v="1997-02-14T00:00:00"/>
  </r>
  <r>
    <n v="10447"/>
    <x v="0"/>
    <n v="34.4"/>
    <n v="2"/>
    <d v="1997-02-14T00:00:00"/>
  </r>
  <r>
    <n v="10447"/>
    <x v="1"/>
    <n v="34.4"/>
    <n v="2"/>
    <d v="1997-02-14T00:00:00"/>
  </r>
  <r>
    <n v="10447"/>
    <x v="2"/>
    <n v="34.4"/>
    <n v="2"/>
    <d v="1997-02-14T00:00:00"/>
  </r>
  <r>
    <n v="10447"/>
    <x v="3"/>
    <n v="34.4"/>
    <n v="2"/>
    <d v="1997-02-14T00:00:00"/>
  </r>
  <r>
    <n v="10447"/>
    <x v="4"/>
    <n v="34.4"/>
    <n v="2"/>
    <d v="1997-02-14T00:00:00"/>
  </r>
  <r>
    <n v="10447"/>
    <x v="5"/>
    <n v="34.4"/>
    <n v="2"/>
    <d v="1997-02-14T00:00:00"/>
  </r>
  <r>
    <n v="10447"/>
    <x v="6"/>
    <n v="34.4"/>
    <n v="2"/>
    <d v="1997-02-14T00:00:00"/>
  </r>
  <r>
    <n v="10447"/>
    <x v="7"/>
    <n v="34.4"/>
    <n v="2"/>
    <d v="1997-02-14T00:00:00"/>
  </r>
  <r>
    <n v="10448"/>
    <x v="0"/>
    <n v="149.4"/>
    <n v="6"/>
    <d v="1997-02-17T00:00:00"/>
  </r>
  <r>
    <n v="10448"/>
    <x v="1"/>
    <n v="149.4"/>
    <n v="6"/>
    <d v="1997-02-17T00:00:00"/>
  </r>
  <r>
    <n v="10448"/>
    <x v="2"/>
    <n v="149.4"/>
    <n v="6"/>
    <d v="1997-02-17T00:00:00"/>
  </r>
  <r>
    <n v="10448"/>
    <x v="3"/>
    <n v="149.4"/>
    <n v="6"/>
    <d v="1997-02-17T00:00:00"/>
  </r>
  <r>
    <n v="10448"/>
    <x v="4"/>
    <n v="149.4"/>
    <n v="6"/>
    <d v="1997-02-17T00:00:00"/>
  </r>
  <r>
    <n v="10448"/>
    <x v="5"/>
    <n v="149.4"/>
    <n v="6"/>
    <d v="1997-02-17T00:00:00"/>
  </r>
  <r>
    <n v="10448"/>
    <x v="6"/>
    <n v="149.4"/>
    <n v="6"/>
    <d v="1997-02-17T00:00:00"/>
  </r>
  <r>
    <n v="10448"/>
    <x v="7"/>
    <n v="149.4"/>
    <n v="6"/>
    <d v="1997-02-17T00:00:00"/>
  </r>
  <r>
    <n v="10448"/>
    <x v="0"/>
    <n v="294"/>
    <n v="20"/>
    <d v="1997-02-17T00:00:00"/>
  </r>
  <r>
    <n v="10448"/>
    <x v="1"/>
    <n v="294"/>
    <n v="20"/>
    <d v="1997-02-17T00:00:00"/>
  </r>
  <r>
    <n v="10448"/>
    <x v="2"/>
    <n v="294"/>
    <n v="20"/>
    <d v="1997-02-17T00:00:00"/>
  </r>
  <r>
    <n v="10448"/>
    <x v="3"/>
    <n v="294"/>
    <n v="20"/>
    <d v="1997-02-17T00:00:00"/>
  </r>
  <r>
    <n v="10448"/>
    <x v="4"/>
    <n v="294"/>
    <n v="20"/>
    <d v="1997-02-17T00:00:00"/>
  </r>
  <r>
    <n v="10448"/>
    <x v="5"/>
    <n v="294"/>
    <n v="20"/>
    <d v="1997-02-17T00:00:00"/>
  </r>
  <r>
    <n v="10448"/>
    <x v="6"/>
    <n v="294"/>
    <n v="20"/>
    <d v="1997-02-17T00:00:00"/>
  </r>
  <r>
    <n v="10448"/>
    <x v="7"/>
    <n v="294"/>
    <n v="20"/>
    <d v="1997-02-17T00:00:00"/>
  </r>
  <r>
    <n v="10449"/>
    <x v="0"/>
    <n v="347.2"/>
    <n v="14"/>
    <d v="1997-02-18T00:00:00"/>
  </r>
  <r>
    <n v="10449"/>
    <x v="1"/>
    <n v="347.2"/>
    <n v="14"/>
    <d v="1997-02-18T00:00:00"/>
  </r>
  <r>
    <n v="10449"/>
    <x v="2"/>
    <n v="347.2"/>
    <n v="14"/>
    <d v="1997-02-18T00:00:00"/>
  </r>
  <r>
    <n v="10449"/>
    <x v="3"/>
    <n v="347.2"/>
    <n v="14"/>
    <d v="1997-02-18T00:00:00"/>
  </r>
  <r>
    <n v="10449"/>
    <x v="4"/>
    <n v="347.2"/>
    <n v="14"/>
    <d v="1997-02-18T00:00:00"/>
  </r>
  <r>
    <n v="10449"/>
    <x v="5"/>
    <n v="347.2"/>
    <n v="14"/>
    <d v="1997-02-18T00:00:00"/>
  </r>
  <r>
    <n v="10449"/>
    <x v="6"/>
    <n v="347.2"/>
    <n v="14"/>
    <d v="1997-02-18T00:00:00"/>
  </r>
  <r>
    <n v="10449"/>
    <x v="7"/>
    <n v="347.2"/>
    <n v="14"/>
    <d v="1997-02-18T00:00:00"/>
  </r>
  <r>
    <n v="10449"/>
    <x v="0"/>
    <n v="112"/>
    <n v="20"/>
    <d v="1997-02-18T00:00:00"/>
  </r>
  <r>
    <n v="10449"/>
    <x v="1"/>
    <n v="112"/>
    <n v="20"/>
    <d v="1997-02-18T00:00:00"/>
  </r>
  <r>
    <n v="10449"/>
    <x v="2"/>
    <n v="112"/>
    <n v="20"/>
    <d v="1997-02-18T00:00:00"/>
  </r>
  <r>
    <n v="10449"/>
    <x v="3"/>
    <n v="112"/>
    <n v="20"/>
    <d v="1997-02-18T00:00:00"/>
  </r>
  <r>
    <n v="10449"/>
    <x v="4"/>
    <n v="112"/>
    <n v="20"/>
    <d v="1997-02-18T00:00:00"/>
  </r>
  <r>
    <n v="10449"/>
    <x v="5"/>
    <n v="112"/>
    <n v="20"/>
    <d v="1997-02-18T00:00:00"/>
  </r>
  <r>
    <n v="10449"/>
    <x v="6"/>
    <n v="112"/>
    <n v="20"/>
    <d v="1997-02-18T00:00:00"/>
  </r>
  <r>
    <n v="10449"/>
    <x v="7"/>
    <n v="112"/>
    <n v="20"/>
    <d v="1997-02-18T00:00:00"/>
  </r>
  <r>
    <n v="10449"/>
    <x v="0"/>
    <n v="1379"/>
    <n v="35"/>
    <d v="1997-02-18T00:00:00"/>
  </r>
  <r>
    <n v="10449"/>
    <x v="1"/>
    <n v="1379"/>
    <n v="35"/>
    <d v="1997-02-18T00:00:00"/>
  </r>
  <r>
    <n v="10449"/>
    <x v="2"/>
    <n v="1379"/>
    <n v="35"/>
    <d v="1997-02-18T00:00:00"/>
  </r>
  <r>
    <n v="10449"/>
    <x v="3"/>
    <n v="1379"/>
    <n v="35"/>
    <d v="1997-02-18T00:00:00"/>
  </r>
  <r>
    <n v="10449"/>
    <x v="4"/>
    <n v="1379"/>
    <n v="35"/>
    <d v="1997-02-18T00:00:00"/>
  </r>
  <r>
    <n v="10449"/>
    <x v="5"/>
    <n v="1379"/>
    <n v="35"/>
    <d v="1997-02-18T00:00:00"/>
  </r>
  <r>
    <n v="10449"/>
    <x v="6"/>
    <n v="1379"/>
    <n v="35"/>
    <d v="1997-02-18T00:00:00"/>
  </r>
  <r>
    <n v="10449"/>
    <x v="7"/>
    <n v="1379"/>
    <n v="35"/>
    <d v="1997-02-18T00:00:00"/>
  </r>
  <r>
    <n v="10450"/>
    <x v="0"/>
    <n v="396.79999852180481"/>
    <n v="20"/>
    <d v="1997-02-19T00:00:00"/>
  </r>
  <r>
    <n v="10450"/>
    <x v="1"/>
    <n v="396.79999852180481"/>
    <n v="20"/>
    <d v="1997-02-19T00:00:00"/>
  </r>
  <r>
    <n v="10450"/>
    <x v="2"/>
    <n v="396.79999852180481"/>
    <n v="20"/>
    <d v="1997-02-19T00:00:00"/>
  </r>
  <r>
    <n v="10450"/>
    <x v="3"/>
    <n v="396.79999852180481"/>
    <n v="20"/>
    <d v="1997-02-19T00:00:00"/>
  </r>
  <r>
    <n v="10450"/>
    <x v="4"/>
    <n v="396.79999852180481"/>
    <n v="20"/>
    <d v="1997-02-19T00:00:00"/>
  </r>
  <r>
    <n v="10450"/>
    <x v="5"/>
    <n v="396.79999852180481"/>
    <n v="20"/>
    <d v="1997-02-19T00:00:00"/>
  </r>
  <r>
    <n v="10450"/>
    <x v="6"/>
    <n v="396.79999852180481"/>
    <n v="20"/>
    <d v="1997-02-19T00:00:00"/>
  </r>
  <r>
    <n v="10450"/>
    <x v="7"/>
    <n v="396.79999852180481"/>
    <n v="20"/>
    <d v="1997-02-19T00:00:00"/>
  </r>
  <r>
    <n v="10450"/>
    <x v="0"/>
    <n v="28.319999894499777"/>
    <n v="6"/>
    <d v="1997-02-19T00:00:00"/>
  </r>
  <r>
    <n v="10450"/>
    <x v="1"/>
    <n v="28.319999894499777"/>
    <n v="6"/>
    <d v="1997-02-19T00:00:00"/>
  </r>
  <r>
    <n v="10450"/>
    <x v="2"/>
    <n v="28.319999894499777"/>
    <n v="6"/>
    <d v="1997-02-19T00:00:00"/>
  </r>
  <r>
    <n v="10450"/>
    <x v="3"/>
    <n v="28.319999894499777"/>
    <n v="6"/>
    <d v="1997-02-19T00:00:00"/>
  </r>
  <r>
    <n v="10450"/>
    <x v="4"/>
    <n v="28.319999894499777"/>
    <n v="6"/>
    <d v="1997-02-19T00:00:00"/>
  </r>
  <r>
    <n v="10450"/>
    <x v="5"/>
    <n v="28.319999894499777"/>
    <n v="6"/>
    <d v="1997-02-19T00:00:00"/>
  </r>
  <r>
    <n v="10450"/>
    <x v="6"/>
    <n v="28.319999894499777"/>
    <n v="6"/>
    <d v="1997-02-19T00:00:00"/>
  </r>
  <r>
    <n v="10450"/>
    <x v="7"/>
    <n v="28.319999894499777"/>
    <n v="6"/>
    <d v="1997-02-19T00:00:00"/>
  </r>
  <r>
    <n v="10451"/>
    <x v="0"/>
    <n v="2073.5999965667725"/>
    <n v="120"/>
    <d v="1997-02-19T00:00:00"/>
  </r>
  <r>
    <n v="10451"/>
    <x v="1"/>
    <n v="2073.5999965667725"/>
    <n v="120"/>
    <d v="1997-02-19T00:00:00"/>
  </r>
  <r>
    <n v="10451"/>
    <x v="2"/>
    <n v="2073.5999965667725"/>
    <n v="120"/>
    <d v="1997-02-19T00:00:00"/>
  </r>
  <r>
    <n v="10451"/>
    <x v="3"/>
    <n v="2073.5999965667725"/>
    <n v="120"/>
    <d v="1997-02-19T00:00:00"/>
  </r>
  <r>
    <n v="10451"/>
    <x v="4"/>
    <n v="2073.5999965667725"/>
    <n v="120"/>
    <d v="1997-02-19T00:00:00"/>
  </r>
  <r>
    <n v="10451"/>
    <x v="5"/>
    <n v="2073.5999965667725"/>
    <n v="120"/>
    <d v="1997-02-19T00:00:00"/>
  </r>
  <r>
    <n v="10451"/>
    <x v="6"/>
    <n v="2073.5999965667725"/>
    <n v="120"/>
    <d v="1997-02-19T00:00:00"/>
  </r>
  <r>
    <n v="10451"/>
    <x v="7"/>
    <n v="2073.5999965667725"/>
    <n v="120"/>
    <d v="1997-02-19T00:00:00"/>
  </r>
  <r>
    <n v="10451"/>
    <x v="0"/>
    <n v="837.89999861270189"/>
    <n v="35"/>
    <d v="1997-02-19T00:00:00"/>
  </r>
  <r>
    <n v="10451"/>
    <x v="1"/>
    <n v="837.89999861270189"/>
    <n v="35"/>
    <d v="1997-02-19T00:00:00"/>
  </r>
  <r>
    <n v="10451"/>
    <x v="2"/>
    <n v="837.89999861270189"/>
    <n v="35"/>
    <d v="1997-02-19T00:00:00"/>
  </r>
  <r>
    <n v="10451"/>
    <x v="3"/>
    <n v="837.89999861270189"/>
    <n v="35"/>
    <d v="1997-02-19T00:00:00"/>
  </r>
  <r>
    <n v="10451"/>
    <x v="4"/>
    <n v="837.89999861270189"/>
    <n v="35"/>
    <d v="1997-02-19T00:00:00"/>
  </r>
  <r>
    <n v="10451"/>
    <x v="5"/>
    <n v="837.89999861270189"/>
    <n v="35"/>
    <d v="1997-02-19T00:00:00"/>
  </r>
  <r>
    <n v="10451"/>
    <x v="6"/>
    <n v="837.89999861270189"/>
    <n v="35"/>
    <d v="1997-02-19T00:00:00"/>
  </r>
  <r>
    <n v="10451"/>
    <x v="7"/>
    <n v="837.89999861270189"/>
    <n v="35"/>
    <d v="1997-02-19T00:00:00"/>
  </r>
  <r>
    <n v="10451"/>
    <x v="0"/>
    <n v="423.35999929904938"/>
    <n v="28"/>
    <d v="1997-02-19T00:00:00"/>
  </r>
  <r>
    <n v="10451"/>
    <x v="1"/>
    <n v="423.35999929904938"/>
    <n v="28"/>
    <d v="1997-02-19T00:00:00"/>
  </r>
  <r>
    <n v="10451"/>
    <x v="2"/>
    <n v="423.35999929904938"/>
    <n v="28"/>
    <d v="1997-02-19T00:00:00"/>
  </r>
  <r>
    <n v="10451"/>
    <x v="3"/>
    <n v="423.35999929904938"/>
    <n v="28"/>
    <d v="1997-02-19T00:00:00"/>
  </r>
  <r>
    <n v="10451"/>
    <x v="4"/>
    <n v="423.35999929904938"/>
    <n v="28"/>
    <d v="1997-02-19T00:00:00"/>
  </r>
  <r>
    <n v="10451"/>
    <x v="5"/>
    <n v="423.35999929904938"/>
    <n v="28"/>
    <d v="1997-02-19T00:00:00"/>
  </r>
  <r>
    <n v="10451"/>
    <x v="6"/>
    <n v="423.35999929904938"/>
    <n v="28"/>
    <d v="1997-02-19T00:00:00"/>
  </r>
  <r>
    <n v="10451"/>
    <x v="7"/>
    <n v="423.35999929904938"/>
    <n v="28"/>
    <d v="1997-02-19T00:00:00"/>
  </r>
  <r>
    <n v="10451"/>
    <x v="0"/>
    <n v="514.79999914765358"/>
    <n v="55"/>
    <d v="1997-02-19T00:00:00"/>
  </r>
  <r>
    <n v="10451"/>
    <x v="1"/>
    <n v="514.79999914765358"/>
    <n v="55"/>
    <d v="1997-02-19T00:00:00"/>
  </r>
  <r>
    <n v="10451"/>
    <x v="2"/>
    <n v="514.79999914765358"/>
    <n v="55"/>
    <d v="1997-02-19T00:00:00"/>
  </r>
  <r>
    <n v="10451"/>
    <x v="3"/>
    <n v="514.79999914765358"/>
    <n v="55"/>
    <d v="1997-02-19T00:00:00"/>
  </r>
  <r>
    <n v="10451"/>
    <x v="4"/>
    <n v="514.79999914765358"/>
    <n v="55"/>
    <d v="1997-02-19T00:00:00"/>
  </r>
  <r>
    <n v="10451"/>
    <x v="5"/>
    <n v="514.79999914765358"/>
    <n v="55"/>
    <d v="1997-02-19T00:00:00"/>
  </r>
  <r>
    <n v="10451"/>
    <x v="6"/>
    <n v="514.79999914765358"/>
    <n v="55"/>
    <d v="1997-02-19T00:00:00"/>
  </r>
  <r>
    <n v="10451"/>
    <x v="7"/>
    <n v="514.79999914765358"/>
    <n v="55"/>
    <d v="1997-02-19T00:00:00"/>
  </r>
  <r>
    <n v="10452"/>
    <x v="0"/>
    <n v="546"/>
    <n v="15"/>
    <d v="1997-02-20T00:00:00"/>
  </r>
  <r>
    <n v="10452"/>
    <x v="1"/>
    <n v="546"/>
    <n v="15"/>
    <d v="1997-02-20T00:00:00"/>
  </r>
  <r>
    <n v="10452"/>
    <x v="2"/>
    <n v="546"/>
    <n v="15"/>
    <d v="1997-02-20T00:00:00"/>
  </r>
  <r>
    <n v="10452"/>
    <x v="3"/>
    <n v="546"/>
    <n v="15"/>
    <d v="1997-02-20T00:00:00"/>
  </r>
  <r>
    <n v="10452"/>
    <x v="4"/>
    <n v="546"/>
    <n v="15"/>
    <d v="1997-02-20T00:00:00"/>
  </r>
  <r>
    <n v="10452"/>
    <x v="5"/>
    <n v="546"/>
    <n v="15"/>
    <d v="1997-02-20T00:00:00"/>
  </r>
  <r>
    <n v="10452"/>
    <x v="6"/>
    <n v="546"/>
    <n v="15"/>
    <d v="1997-02-20T00:00:00"/>
  </r>
  <r>
    <n v="10452"/>
    <x v="7"/>
    <n v="546"/>
    <n v="15"/>
    <d v="1997-02-20T00:00:00"/>
  </r>
  <r>
    <n v="10452"/>
    <x v="0"/>
    <n v="1472.49999884516"/>
    <n v="100"/>
    <d v="1997-02-20T00:00:00"/>
  </r>
  <r>
    <n v="10452"/>
    <x v="1"/>
    <n v="1472.49999884516"/>
    <n v="100"/>
    <d v="1997-02-20T00:00:00"/>
  </r>
  <r>
    <n v="10452"/>
    <x v="2"/>
    <n v="1472.49999884516"/>
    <n v="100"/>
    <d v="1997-02-20T00:00:00"/>
  </r>
  <r>
    <n v="10452"/>
    <x v="3"/>
    <n v="1472.49999884516"/>
    <n v="100"/>
    <d v="1997-02-20T00:00:00"/>
  </r>
  <r>
    <n v="10452"/>
    <x v="4"/>
    <n v="1472.49999884516"/>
    <n v="100"/>
    <d v="1997-02-20T00:00:00"/>
  </r>
  <r>
    <n v="10452"/>
    <x v="5"/>
    <n v="1472.49999884516"/>
    <n v="100"/>
    <d v="1997-02-20T00:00:00"/>
  </r>
  <r>
    <n v="10452"/>
    <x v="6"/>
    <n v="1472.49999884516"/>
    <n v="100"/>
    <d v="1997-02-20T00:00:00"/>
  </r>
  <r>
    <n v="10452"/>
    <x v="7"/>
    <n v="1472.49999884516"/>
    <n v="100"/>
    <d v="1997-02-20T00:00:00"/>
  </r>
  <r>
    <n v="10453"/>
    <x v="0"/>
    <n v="137.69999977201223"/>
    <n v="15"/>
    <d v="1997-02-21T00:00:00"/>
  </r>
  <r>
    <n v="10453"/>
    <x v="1"/>
    <n v="137.69999977201223"/>
    <n v="15"/>
    <d v="1997-02-21T00:00:00"/>
  </r>
  <r>
    <n v="10453"/>
    <x v="2"/>
    <n v="137.69999977201223"/>
    <n v="15"/>
    <d v="1997-02-21T00:00:00"/>
  </r>
  <r>
    <n v="10453"/>
    <x v="3"/>
    <n v="137.69999977201223"/>
    <n v="15"/>
    <d v="1997-02-21T00:00:00"/>
  </r>
  <r>
    <n v="10453"/>
    <x v="4"/>
    <n v="137.69999977201223"/>
    <n v="15"/>
    <d v="1997-02-21T00:00:00"/>
  </r>
  <r>
    <n v="10453"/>
    <x v="5"/>
    <n v="137.69999977201223"/>
    <n v="15"/>
    <d v="1997-02-21T00:00:00"/>
  </r>
  <r>
    <n v="10453"/>
    <x v="6"/>
    <n v="137.69999977201223"/>
    <n v="15"/>
    <d v="1997-02-21T00:00:00"/>
  </r>
  <r>
    <n v="10453"/>
    <x v="7"/>
    <n v="137.69999977201223"/>
    <n v="15"/>
    <d v="1997-02-21T00:00:00"/>
  </r>
  <r>
    <n v="10453"/>
    <x v="0"/>
    <n v="269.99999955296516"/>
    <n v="25"/>
    <d v="1997-02-21T00:00:00"/>
  </r>
  <r>
    <n v="10453"/>
    <x v="1"/>
    <n v="269.99999955296516"/>
    <n v="25"/>
    <d v="1997-02-21T00:00:00"/>
  </r>
  <r>
    <n v="10453"/>
    <x v="2"/>
    <n v="269.99999955296516"/>
    <n v="25"/>
    <d v="1997-02-21T00:00:00"/>
  </r>
  <r>
    <n v="10453"/>
    <x v="3"/>
    <n v="269.99999955296516"/>
    <n v="25"/>
    <d v="1997-02-21T00:00:00"/>
  </r>
  <r>
    <n v="10453"/>
    <x v="4"/>
    <n v="269.99999955296516"/>
    <n v="25"/>
    <d v="1997-02-21T00:00:00"/>
  </r>
  <r>
    <n v="10453"/>
    <x v="5"/>
    <n v="269.99999955296516"/>
    <n v="25"/>
    <d v="1997-02-21T00:00:00"/>
  </r>
  <r>
    <n v="10453"/>
    <x v="6"/>
    <n v="269.99999955296516"/>
    <n v="25"/>
    <d v="1997-02-21T00:00:00"/>
  </r>
  <r>
    <n v="10453"/>
    <x v="7"/>
    <n v="269.99999955296516"/>
    <n v="25"/>
    <d v="1997-02-21T00:00:00"/>
  </r>
  <r>
    <n v="10454"/>
    <x v="0"/>
    <n v="222.39999917149544"/>
    <n v="20"/>
    <d v="1997-02-21T00:00:00"/>
  </r>
  <r>
    <n v="10454"/>
    <x v="1"/>
    <n v="222.39999917149544"/>
    <n v="20"/>
    <d v="1997-02-21T00:00:00"/>
  </r>
  <r>
    <n v="10454"/>
    <x v="2"/>
    <n v="222.39999917149544"/>
    <n v="20"/>
    <d v="1997-02-21T00:00:00"/>
  </r>
  <r>
    <n v="10454"/>
    <x v="3"/>
    <n v="222.39999917149544"/>
    <n v="20"/>
    <d v="1997-02-21T00:00:00"/>
  </r>
  <r>
    <n v="10454"/>
    <x v="4"/>
    <n v="222.39999917149544"/>
    <n v="20"/>
    <d v="1997-02-21T00:00:00"/>
  </r>
  <r>
    <n v="10454"/>
    <x v="5"/>
    <n v="222.39999917149544"/>
    <n v="20"/>
    <d v="1997-02-21T00:00:00"/>
  </r>
  <r>
    <n v="10454"/>
    <x v="6"/>
    <n v="222.39999917149544"/>
    <n v="20"/>
    <d v="1997-02-21T00:00:00"/>
  </r>
  <r>
    <n v="10454"/>
    <x v="7"/>
    <n v="222.39999917149544"/>
    <n v="20"/>
    <d v="1997-02-21T00:00:00"/>
  </r>
  <r>
    <n v="10454"/>
    <x v="0"/>
    <n v="31.99999988079071"/>
    <n v="20"/>
    <d v="1997-02-21T00:00:00"/>
  </r>
  <r>
    <n v="10454"/>
    <x v="1"/>
    <n v="31.99999988079071"/>
    <n v="20"/>
    <d v="1997-02-21T00:00:00"/>
  </r>
  <r>
    <n v="10454"/>
    <x v="2"/>
    <n v="31.99999988079071"/>
    <n v="20"/>
    <d v="1997-02-21T00:00:00"/>
  </r>
  <r>
    <n v="10454"/>
    <x v="3"/>
    <n v="31.99999988079071"/>
    <n v="20"/>
    <d v="1997-02-21T00:00:00"/>
  </r>
  <r>
    <n v="10454"/>
    <x v="4"/>
    <n v="31.99999988079071"/>
    <n v="20"/>
    <d v="1997-02-21T00:00:00"/>
  </r>
  <r>
    <n v="10454"/>
    <x v="5"/>
    <n v="31.99999988079071"/>
    <n v="20"/>
    <d v="1997-02-21T00:00:00"/>
  </r>
  <r>
    <n v="10454"/>
    <x v="6"/>
    <n v="31.99999988079071"/>
    <n v="20"/>
    <d v="1997-02-21T00:00:00"/>
  </r>
  <r>
    <n v="10454"/>
    <x v="7"/>
    <n v="31.99999988079071"/>
    <n v="20"/>
    <d v="1997-02-21T00:00:00"/>
  </r>
  <r>
    <n v="10454"/>
    <x v="0"/>
    <n v="76.799999713897705"/>
    <n v="10"/>
    <d v="1997-02-21T00:00:00"/>
  </r>
  <r>
    <n v="10454"/>
    <x v="1"/>
    <n v="76.799999713897705"/>
    <n v="10"/>
    <d v="1997-02-21T00:00:00"/>
  </r>
  <r>
    <n v="10454"/>
    <x v="2"/>
    <n v="76.799999713897705"/>
    <n v="10"/>
    <d v="1997-02-21T00:00:00"/>
  </r>
  <r>
    <n v="10454"/>
    <x v="3"/>
    <n v="76.799999713897705"/>
    <n v="10"/>
    <d v="1997-02-21T00:00:00"/>
  </r>
  <r>
    <n v="10454"/>
    <x v="4"/>
    <n v="76.799999713897705"/>
    <n v="10"/>
    <d v="1997-02-21T00:00:00"/>
  </r>
  <r>
    <n v="10454"/>
    <x v="5"/>
    <n v="76.799999713897705"/>
    <n v="10"/>
    <d v="1997-02-21T00:00:00"/>
  </r>
  <r>
    <n v="10454"/>
    <x v="6"/>
    <n v="76.799999713897705"/>
    <n v="10"/>
    <d v="1997-02-21T00:00:00"/>
  </r>
  <r>
    <n v="10454"/>
    <x v="7"/>
    <n v="76.799999713897705"/>
    <n v="10"/>
    <d v="1997-02-21T00:00:00"/>
  </r>
  <r>
    <n v="10455"/>
    <x v="0"/>
    <n v="288"/>
    <n v="20"/>
    <d v="1997-02-24T00:00:00"/>
  </r>
  <r>
    <n v="10455"/>
    <x v="1"/>
    <n v="288"/>
    <n v="20"/>
    <d v="1997-02-24T00:00:00"/>
  </r>
  <r>
    <n v="10455"/>
    <x v="2"/>
    <n v="288"/>
    <n v="20"/>
    <d v="1997-02-24T00:00:00"/>
  </r>
  <r>
    <n v="10455"/>
    <x v="3"/>
    <n v="288"/>
    <n v="20"/>
    <d v="1997-02-24T00:00:00"/>
  </r>
  <r>
    <n v="10455"/>
    <x v="4"/>
    <n v="288"/>
    <n v="20"/>
    <d v="1997-02-24T00:00:00"/>
  </r>
  <r>
    <n v="10455"/>
    <x v="5"/>
    <n v="288"/>
    <n v="20"/>
    <d v="1997-02-24T00:00:00"/>
  </r>
  <r>
    <n v="10455"/>
    <x v="6"/>
    <n v="288"/>
    <n v="20"/>
    <d v="1997-02-24T00:00:00"/>
  </r>
  <r>
    <n v="10455"/>
    <x v="7"/>
    <n v="288"/>
    <n v="20"/>
    <d v="1997-02-24T00:00:00"/>
  </r>
  <r>
    <n v="10455"/>
    <x v="0"/>
    <n v="1310"/>
    <n v="50"/>
    <d v="1997-02-24T00:00:00"/>
  </r>
  <r>
    <n v="10455"/>
    <x v="1"/>
    <n v="1310"/>
    <n v="50"/>
    <d v="1997-02-24T00:00:00"/>
  </r>
  <r>
    <n v="10455"/>
    <x v="2"/>
    <n v="1310"/>
    <n v="50"/>
    <d v="1997-02-24T00:00:00"/>
  </r>
  <r>
    <n v="10455"/>
    <x v="3"/>
    <n v="1310"/>
    <n v="50"/>
    <d v="1997-02-24T00:00:00"/>
  </r>
  <r>
    <n v="10455"/>
    <x v="4"/>
    <n v="1310"/>
    <n v="50"/>
    <d v="1997-02-24T00:00:00"/>
  </r>
  <r>
    <n v="10455"/>
    <x v="5"/>
    <n v="1310"/>
    <n v="50"/>
    <d v="1997-02-24T00:00:00"/>
  </r>
  <r>
    <n v="10455"/>
    <x v="6"/>
    <n v="1310"/>
    <n v="50"/>
    <d v="1997-02-24T00:00:00"/>
  </r>
  <r>
    <n v="10455"/>
    <x v="7"/>
    <n v="1310"/>
    <n v="50"/>
    <d v="1997-02-24T00:00:00"/>
  </r>
  <r>
    <n v="10455"/>
    <x v="0"/>
    <n v="570"/>
    <n v="25"/>
    <d v="1997-02-24T00:00:00"/>
  </r>
  <r>
    <n v="10455"/>
    <x v="1"/>
    <n v="570"/>
    <n v="25"/>
    <d v="1997-02-24T00:00:00"/>
  </r>
  <r>
    <n v="10455"/>
    <x v="2"/>
    <n v="570"/>
    <n v="25"/>
    <d v="1997-02-24T00:00:00"/>
  </r>
  <r>
    <n v="10455"/>
    <x v="3"/>
    <n v="570"/>
    <n v="25"/>
    <d v="1997-02-24T00:00:00"/>
  </r>
  <r>
    <n v="10455"/>
    <x v="4"/>
    <n v="570"/>
    <n v="25"/>
    <d v="1997-02-24T00:00:00"/>
  </r>
  <r>
    <n v="10455"/>
    <x v="5"/>
    <n v="570"/>
    <n v="25"/>
    <d v="1997-02-24T00:00:00"/>
  </r>
  <r>
    <n v="10455"/>
    <x v="6"/>
    <n v="570"/>
    <n v="25"/>
    <d v="1997-02-24T00:00:00"/>
  </r>
  <r>
    <n v="10455"/>
    <x v="7"/>
    <n v="570"/>
    <n v="25"/>
    <d v="1997-02-24T00:00:00"/>
  </r>
  <r>
    <n v="10455"/>
    <x v="0"/>
    <n v="516"/>
    <n v="30"/>
    <d v="1997-02-24T00:00:00"/>
  </r>
  <r>
    <n v="10455"/>
    <x v="1"/>
    <n v="516"/>
    <n v="30"/>
    <d v="1997-02-24T00:00:00"/>
  </r>
  <r>
    <n v="10455"/>
    <x v="2"/>
    <n v="516"/>
    <n v="30"/>
    <d v="1997-02-24T00:00:00"/>
  </r>
  <r>
    <n v="10455"/>
    <x v="3"/>
    <n v="516"/>
    <n v="30"/>
    <d v="1997-02-24T00:00:00"/>
  </r>
  <r>
    <n v="10455"/>
    <x v="4"/>
    <n v="516"/>
    <n v="30"/>
    <d v="1997-02-24T00:00:00"/>
  </r>
  <r>
    <n v="10455"/>
    <x v="5"/>
    <n v="516"/>
    <n v="30"/>
    <d v="1997-02-24T00:00:00"/>
  </r>
  <r>
    <n v="10455"/>
    <x v="6"/>
    <n v="516"/>
    <n v="30"/>
    <d v="1997-02-24T00:00:00"/>
  </r>
  <r>
    <n v="10455"/>
    <x v="7"/>
    <n v="516"/>
    <n v="30"/>
    <d v="1997-02-24T00:00:00"/>
  </r>
  <r>
    <n v="10456"/>
    <x v="0"/>
    <n v="271.99999809265137"/>
    <n v="40"/>
    <d v="1997-02-25T00:00:00"/>
  </r>
  <r>
    <n v="10456"/>
    <x v="1"/>
    <n v="271.99999809265137"/>
    <n v="40"/>
    <d v="1997-02-25T00:00:00"/>
  </r>
  <r>
    <n v="10456"/>
    <x v="2"/>
    <n v="271.99999809265137"/>
    <n v="40"/>
    <d v="1997-02-25T00:00:00"/>
  </r>
  <r>
    <n v="10456"/>
    <x v="3"/>
    <n v="271.99999809265137"/>
    <n v="40"/>
    <d v="1997-02-25T00:00:00"/>
  </r>
  <r>
    <n v="10456"/>
    <x v="4"/>
    <n v="271.99999809265137"/>
    <n v="40"/>
    <d v="1997-02-25T00:00:00"/>
  </r>
  <r>
    <n v="10456"/>
    <x v="5"/>
    <n v="271.99999809265137"/>
    <n v="40"/>
    <d v="1997-02-25T00:00:00"/>
  </r>
  <r>
    <n v="10456"/>
    <x v="6"/>
    <n v="271.99999809265137"/>
    <n v="40"/>
    <d v="1997-02-25T00:00:00"/>
  </r>
  <r>
    <n v="10456"/>
    <x v="7"/>
    <n v="271.99999809265137"/>
    <n v="40"/>
    <d v="1997-02-25T00:00:00"/>
  </r>
  <r>
    <n v="10456"/>
    <x v="0"/>
    <n v="285.59999799728394"/>
    <n v="21"/>
    <d v="1997-02-25T00:00:00"/>
  </r>
  <r>
    <n v="10456"/>
    <x v="1"/>
    <n v="285.59999799728394"/>
    <n v="21"/>
    <d v="1997-02-25T00:00:00"/>
  </r>
  <r>
    <n v="10456"/>
    <x v="2"/>
    <n v="285.59999799728394"/>
    <n v="21"/>
    <d v="1997-02-25T00:00:00"/>
  </r>
  <r>
    <n v="10456"/>
    <x v="3"/>
    <n v="285.59999799728394"/>
    <n v="21"/>
    <d v="1997-02-25T00:00:00"/>
  </r>
  <r>
    <n v="10456"/>
    <x v="4"/>
    <n v="285.59999799728394"/>
    <n v="21"/>
    <d v="1997-02-25T00:00:00"/>
  </r>
  <r>
    <n v="10456"/>
    <x v="5"/>
    <n v="285.59999799728394"/>
    <n v="21"/>
    <d v="1997-02-25T00:00:00"/>
  </r>
  <r>
    <n v="10456"/>
    <x v="6"/>
    <n v="285.59999799728394"/>
    <n v="21"/>
    <d v="1997-02-25T00:00:00"/>
  </r>
  <r>
    <n v="10456"/>
    <x v="7"/>
    <n v="285.59999799728394"/>
    <n v="21"/>
    <d v="1997-02-25T00:00:00"/>
  </r>
  <r>
    <n v="10457"/>
    <x v="0"/>
    <n v="1584"/>
    <n v="36"/>
    <d v="1997-02-25T00:00:00"/>
  </r>
  <r>
    <n v="10457"/>
    <x v="1"/>
    <n v="1584"/>
    <n v="36"/>
    <d v="1997-02-25T00:00:00"/>
  </r>
  <r>
    <n v="10457"/>
    <x v="2"/>
    <n v="1584"/>
    <n v="36"/>
    <d v="1997-02-25T00:00:00"/>
  </r>
  <r>
    <n v="10457"/>
    <x v="3"/>
    <n v="1584"/>
    <n v="36"/>
    <d v="1997-02-25T00:00:00"/>
  </r>
  <r>
    <n v="10457"/>
    <x v="4"/>
    <n v="1584"/>
    <n v="36"/>
    <d v="1997-02-25T00:00:00"/>
  </r>
  <r>
    <n v="10457"/>
    <x v="5"/>
    <n v="1584"/>
    <n v="36"/>
    <d v="1997-02-25T00:00:00"/>
  </r>
  <r>
    <n v="10457"/>
    <x v="6"/>
    <n v="1584"/>
    <n v="36"/>
    <d v="1997-02-25T00:00:00"/>
  </r>
  <r>
    <n v="10457"/>
    <x v="7"/>
    <n v="1584"/>
    <n v="36"/>
    <d v="1997-02-25T00:00:00"/>
  </r>
  <r>
    <n v="10458"/>
    <x v="0"/>
    <n v="747"/>
    <n v="30"/>
    <d v="1997-02-26T00:00:00"/>
  </r>
  <r>
    <n v="10458"/>
    <x v="1"/>
    <n v="747"/>
    <n v="30"/>
    <d v="1997-02-26T00:00:00"/>
  </r>
  <r>
    <n v="10458"/>
    <x v="2"/>
    <n v="747"/>
    <n v="30"/>
    <d v="1997-02-26T00:00:00"/>
  </r>
  <r>
    <n v="10458"/>
    <x v="3"/>
    <n v="747"/>
    <n v="30"/>
    <d v="1997-02-26T00:00:00"/>
  </r>
  <r>
    <n v="10458"/>
    <x v="4"/>
    <n v="747"/>
    <n v="30"/>
    <d v="1997-02-26T00:00:00"/>
  </r>
  <r>
    <n v="10458"/>
    <x v="5"/>
    <n v="747"/>
    <n v="30"/>
    <d v="1997-02-26T00:00:00"/>
  </r>
  <r>
    <n v="10458"/>
    <x v="6"/>
    <n v="747"/>
    <n v="30"/>
    <d v="1997-02-26T00:00:00"/>
  </r>
  <r>
    <n v="10458"/>
    <x v="7"/>
    <n v="747"/>
    <n v="30"/>
    <d v="1997-02-26T00:00:00"/>
  </r>
  <r>
    <n v="10458"/>
    <x v="0"/>
    <n v="1092"/>
    <n v="30"/>
    <d v="1997-02-26T00:00:00"/>
  </r>
  <r>
    <n v="10458"/>
    <x v="1"/>
    <n v="1092"/>
    <n v="30"/>
    <d v="1997-02-26T00:00:00"/>
  </r>
  <r>
    <n v="10458"/>
    <x v="2"/>
    <n v="1092"/>
    <n v="30"/>
    <d v="1997-02-26T00:00:00"/>
  </r>
  <r>
    <n v="10458"/>
    <x v="3"/>
    <n v="1092"/>
    <n v="30"/>
    <d v="1997-02-26T00:00:00"/>
  </r>
  <r>
    <n v="10458"/>
    <x v="4"/>
    <n v="1092"/>
    <n v="30"/>
    <d v="1997-02-26T00:00:00"/>
  </r>
  <r>
    <n v="10458"/>
    <x v="5"/>
    <n v="1092"/>
    <n v="30"/>
    <d v="1997-02-26T00:00:00"/>
  </r>
  <r>
    <n v="10458"/>
    <x v="6"/>
    <n v="1092"/>
    <n v="30"/>
    <d v="1997-02-26T00:00:00"/>
  </r>
  <r>
    <n v="10458"/>
    <x v="7"/>
    <n v="1092"/>
    <n v="30"/>
    <d v="1997-02-26T00:00:00"/>
  </r>
  <r>
    <n v="10458"/>
    <x v="0"/>
    <n v="736"/>
    <n v="20"/>
    <d v="1997-02-26T00:00:00"/>
  </r>
  <r>
    <n v="10458"/>
    <x v="1"/>
    <n v="736"/>
    <n v="20"/>
    <d v="1997-02-26T00:00:00"/>
  </r>
  <r>
    <n v="10458"/>
    <x v="2"/>
    <n v="736"/>
    <n v="20"/>
    <d v="1997-02-26T00:00:00"/>
  </r>
  <r>
    <n v="10458"/>
    <x v="3"/>
    <n v="736"/>
    <n v="20"/>
    <d v="1997-02-26T00:00:00"/>
  </r>
  <r>
    <n v="10458"/>
    <x v="4"/>
    <n v="736"/>
    <n v="20"/>
    <d v="1997-02-26T00:00:00"/>
  </r>
  <r>
    <n v="10458"/>
    <x v="5"/>
    <n v="736"/>
    <n v="20"/>
    <d v="1997-02-26T00:00:00"/>
  </r>
  <r>
    <n v="10458"/>
    <x v="6"/>
    <n v="736"/>
    <n v="20"/>
    <d v="1997-02-26T00:00:00"/>
  </r>
  <r>
    <n v="10458"/>
    <x v="7"/>
    <n v="736"/>
    <n v="20"/>
    <d v="1997-02-26T00:00:00"/>
  </r>
  <r>
    <n v="10458"/>
    <x v="0"/>
    <n v="456"/>
    <n v="15"/>
    <d v="1997-02-26T00:00:00"/>
  </r>
  <r>
    <n v="10458"/>
    <x v="1"/>
    <n v="456"/>
    <n v="15"/>
    <d v="1997-02-26T00:00:00"/>
  </r>
  <r>
    <n v="10458"/>
    <x v="2"/>
    <n v="456"/>
    <n v="15"/>
    <d v="1997-02-26T00:00:00"/>
  </r>
  <r>
    <n v="10458"/>
    <x v="3"/>
    <n v="456"/>
    <n v="15"/>
    <d v="1997-02-26T00:00:00"/>
  </r>
  <r>
    <n v="10458"/>
    <x v="4"/>
    <n v="456"/>
    <n v="15"/>
    <d v="1997-02-26T00:00:00"/>
  </r>
  <r>
    <n v="10458"/>
    <x v="5"/>
    <n v="456"/>
    <n v="15"/>
    <d v="1997-02-26T00:00:00"/>
  </r>
  <r>
    <n v="10458"/>
    <x v="6"/>
    <n v="456"/>
    <n v="15"/>
    <d v="1997-02-26T00:00:00"/>
  </r>
  <r>
    <n v="10458"/>
    <x v="7"/>
    <n v="456"/>
    <n v="15"/>
    <d v="1997-02-26T00:00:00"/>
  </r>
  <r>
    <n v="10458"/>
    <x v="0"/>
    <n v="860"/>
    <n v="50"/>
    <d v="1997-02-26T00:00:00"/>
  </r>
  <r>
    <n v="10458"/>
    <x v="1"/>
    <n v="860"/>
    <n v="50"/>
    <d v="1997-02-26T00:00:00"/>
  </r>
  <r>
    <n v="10458"/>
    <x v="2"/>
    <n v="860"/>
    <n v="50"/>
    <d v="1997-02-26T00:00:00"/>
  </r>
  <r>
    <n v="10458"/>
    <x v="3"/>
    <n v="860"/>
    <n v="50"/>
    <d v="1997-02-26T00:00:00"/>
  </r>
  <r>
    <n v="10458"/>
    <x v="4"/>
    <n v="860"/>
    <n v="50"/>
    <d v="1997-02-26T00:00:00"/>
  </r>
  <r>
    <n v="10458"/>
    <x v="5"/>
    <n v="860"/>
    <n v="50"/>
    <d v="1997-02-26T00:00:00"/>
  </r>
  <r>
    <n v="10458"/>
    <x v="6"/>
    <n v="860"/>
    <n v="50"/>
    <d v="1997-02-26T00:00:00"/>
  </r>
  <r>
    <n v="10458"/>
    <x v="7"/>
    <n v="860"/>
    <n v="50"/>
    <d v="1997-02-26T00:00:00"/>
  </r>
  <r>
    <n v="10459"/>
    <x v="0"/>
    <n v="364.79999971389771"/>
    <n v="16"/>
    <d v="1997-02-27T00:00:00"/>
  </r>
  <r>
    <n v="10459"/>
    <x v="1"/>
    <n v="364.79999971389771"/>
    <n v="16"/>
    <d v="1997-02-27T00:00:00"/>
  </r>
  <r>
    <n v="10459"/>
    <x v="2"/>
    <n v="364.79999971389771"/>
    <n v="16"/>
    <d v="1997-02-27T00:00:00"/>
  </r>
  <r>
    <n v="10459"/>
    <x v="3"/>
    <n v="364.79999971389771"/>
    <n v="16"/>
    <d v="1997-02-27T00:00:00"/>
  </r>
  <r>
    <n v="10459"/>
    <x v="4"/>
    <n v="364.79999971389771"/>
    <n v="16"/>
    <d v="1997-02-27T00:00:00"/>
  </r>
  <r>
    <n v="10459"/>
    <x v="5"/>
    <n v="364.79999971389771"/>
    <n v="16"/>
    <d v="1997-02-27T00:00:00"/>
  </r>
  <r>
    <n v="10459"/>
    <x v="6"/>
    <n v="364.79999971389771"/>
    <n v="16"/>
    <d v="1997-02-27T00:00:00"/>
  </r>
  <r>
    <n v="10459"/>
    <x v="7"/>
    <n v="364.79999971389771"/>
    <n v="16"/>
    <d v="1997-02-27T00:00:00"/>
  </r>
  <r>
    <n v="10459"/>
    <x v="0"/>
    <n v="182.39999985694885"/>
    <n v="20"/>
    <d v="1997-02-27T00:00:00"/>
  </r>
  <r>
    <n v="10459"/>
    <x v="1"/>
    <n v="182.39999985694885"/>
    <n v="20"/>
    <d v="1997-02-27T00:00:00"/>
  </r>
  <r>
    <n v="10459"/>
    <x v="2"/>
    <n v="182.39999985694885"/>
    <n v="20"/>
    <d v="1997-02-27T00:00:00"/>
  </r>
  <r>
    <n v="10459"/>
    <x v="3"/>
    <n v="182.39999985694885"/>
    <n v="20"/>
    <d v="1997-02-27T00:00:00"/>
  </r>
  <r>
    <n v="10459"/>
    <x v="4"/>
    <n v="182.39999985694885"/>
    <n v="20"/>
    <d v="1997-02-27T00:00:00"/>
  </r>
  <r>
    <n v="10459"/>
    <x v="5"/>
    <n v="182.39999985694885"/>
    <n v="20"/>
    <d v="1997-02-27T00:00:00"/>
  </r>
  <r>
    <n v="10459"/>
    <x v="6"/>
    <n v="182.39999985694885"/>
    <n v="20"/>
    <d v="1997-02-27T00:00:00"/>
  </r>
  <r>
    <n v="10459"/>
    <x v="7"/>
    <n v="182.39999985694885"/>
    <n v="20"/>
    <d v="1997-02-27T00:00:00"/>
  </r>
  <r>
    <n v="10459"/>
    <x v="0"/>
    <n v="1112"/>
    <n v="40"/>
    <d v="1997-02-27T00:00:00"/>
  </r>
  <r>
    <n v="10459"/>
    <x v="1"/>
    <n v="1112"/>
    <n v="40"/>
    <d v="1997-02-27T00:00:00"/>
  </r>
  <r>
    <n v="10459"/>
    <x v="2"/>
    <n v="1112"/>
    <n v="40"/>
    <d v="1997-02-27T00:00:00"/>
  </r>
  <r>
    <n v="10459"/>
    <x v="3"/>
    <n v="1112"/>
    <n v="40"/>
    <d v="1997-02-27T00:00:00"/>
  </r>
  <r>
    <n v="10459"/>
    <x v="4"/>
    <n v="1112"/>
    <n v="40"/>
    <d v="1997-02-27T00:00:00"/>
  </r>
  <r>
    <n v="10459"/>
    <x v="5"/>
    <n v="1112"/>
    <n v="40"/>
    <d v="1997-02-27T00:00:00"/>
  </r>
  <r>
    <n v="10459"/>
    <x v="6"/>
    <n v="1112"/>
    <n v="40"/>
    <d v="1997-02-27T00:00:00"/>
  </r>
  <r>
    <n v="10459"/>
    <x v="7"/>
    <n v="1112"/>
    <n v="40"/>
    <d v="1997-02-27T00:00:00"/>
  </r>
  <r>
    <n v="10460"/>
    <x v="0"/>
    <n v="157.5"/>
    <n v="21"/>
    <d v="1997-02-28T00:00:00"/>
  </r>
  <r>
    <n v="10460"/>
    <x v="1"/>
    <n v="157.5"/>
    <n v="21"/>
    <d v="1997-02-28T00:00:00"/>
  </r>
  <r>
    <n v="10460"/>
    <x v="2"/>
    <n v="157.5"/>
    <n v="21"/>
    <d v="1997-02-28T00:00:00"/>
  </r>
  <r>
    <n v="10460"/>
    <x v="3"/>
    <n v="157.5"/>
    <n v="21"/>
    <d v="1997-02-28T00:00:00"/>
  </r>
  <r>
    <n v="10460"/>
    <x v="4"/>
    <n v="157.5"/>
    <n v="21"/>
    <d v="1997-02-28T00:00:00"/>
  </r>
  <r>
    <n v="10460"/>
    <x v="5"/>
    <n v="157.5"/>
    <n v="21"/>
    <d v="1997-02-28T00:00:00"/>
  </r>
  <r>
    <n v="10460"/>
    <x v="6"/>
    <n v="157.5"/>
    <n v="21"/>
    <d v="1997-02-28T00:00:00"/>
  </r>
  <r>
    <n v="10460"/>
    <x v="7"/>
    <n v="157.5"/>
    <n v="21"/>
    <d v="1997-02-28T00:00:00"/>
  </r>
  <r>
    <n v="10460"/>
    <x v="0"/>
    <n v="18.600000000000001"/>
    <n v="4"/>
    <d v="1997-02-28T00:00:00"/>
  </r>
  <r>
    <n v="10460"/>
    <x v="1"/>
    <n v="18.600000000000001"/>
    <n v="4"/>
    <d v="1997-02-28T00:00:00"/>
  </r>
  <r>
    <n v="10460"/>
    <x v="2"/>
    <n v="18.600000000000001"/>
    <n v="4"/>
    <d v="1997-02-28T00:00:00"/>
  </r>
  <r>
    <n v="10460"/>
    <x v="3"/>
    <n v="18.600000000000001"/>
    <n v="4"/>
    <d v="1997-02-28T00:00:00"/>
  </r>
  <r>
    <n v="10460"/>
    <x v="4"/>
    <n v="18.600000000000001"/>
    <n v="4"/>
    <d v="1997-02-28T00:00:00"/>
  </r>
  <r>
    <n v="10460"/>
    <x v="5"/>
    <n v="18.600000000000001"/>
    <n v="4"/>
    <d v="1997-02-28T00:00:00"/>
  </r>
  <r>
    <n v="10460"/>
    <x v="6"/>
    <n v="18.600000000000001"/>
    <n v="4"/>
    <d v="1997-02-28T00:00:00"/>
  </r>
  <r>
    <n v="10460"/>
    <x v="7"/>
    <n v="18.600000000000001"/>
    <n v="4"/>
    <d v="1997-02-28T00:00:00"/>
  </r>
  <r>
    <n v="10461"/>
    <x v="0"/>
    <n v="240"/>
    <n v="40"/>
    <d v="1997-02-28T00:00:00"/>
  </r>
  <r>
    <n v="10461"/>
    <x v="1"/>
    <n v="240"/>
    <n v="40"/>
    <d v="1997-02-28T00:00:00"/>
  </r>
  <r>
    <n v="10461"/>
    <x v="2"/>
    <n v="240"/>
    <n v="40"/>
    <d v="1997-02-28T00:00:00"/>
  </r>
  <r>
    <n v="10461"/>
    <x v="3"/>
    <n v="240"/>
    <n v="40"/>
    <d v="1997-02-28T00:00:00"/>
  </r>
  <r>
    <n v="10461"/>
    <x v="4"/>
    <n v="240"/>
    <n v="40"/>
    <d v="1997-02-28T00:00:00"/>
  </r>
  <r>
    <n v="10461"/>
    <x v="5"/>
    <n v="240"/>
    <n v="40"/>
    <d v="1997-02-28T00:00:00"/>
  </r>
  <r>
    <n v="10461"/>
    <x v="6"/>
    <n v="240"/>
    <n v="40"/>
    <d v="1997-02-28T00:00:00"/>
  </r>
  <r>
    <n v="10461"/>
    <x v="7"/>
    <n v="240"/>
    <n v="40"/>
    <d v="1997-02-28T00:00:00"/>
  </r>
  <r>
    <n v="10461"/>
    <x v="0"/>
    <n v="434.70000000000005"/>
    <n v="28"/>
    <d v="1997-02-28T00:00:00"/>
  </r>
  <r>
    <n v="10461"/>
    <x v="1"/>
    <n v="434.70000000000005"/>
    <n v="28"/>
    <d v="1997-02-28T00:00:00"/>
  </r>
  <r>
    <n v="10461"/>
    <x v="2"/>
    <n v="434.70000000000005"/>
    <n v="28"/>
    <d v="1997-02-28T00:00:00"/>
  </r>
  <r>
    <n v="10461"/>
    <x v="3"/>
    <n v="434.70000000000005"/>
    <n v="28"/>
    <d v="1997-02-28T00:00:00"/>
  </r>
  <r>
    <n v="10461"/>
    <x v="4"/>
    <n v="434.70000000000005"/>
    <n v="28"/>
    <d v="1997-02-28T00:00:00"/>
  </r>
  <r>
    <n v="10461"/>
    <x v="5"/>
    <n v="434.70000000000005"/>
    <n v="28"/>
    <d v="1997-02-28T00:00:00"/>
  </r>
  <r>
    <n v="10461"/>
    <x v="6"/>
    <n v="434.70000000000005"/>
    <n v="28"/>
    <d v="1997-02-28T00:00:00"/>
  </r>
  <r>
    <n v="10461"/>
    <x v="7"/>
    <n v="434.70000000000005"/>
    <n v="28"/>
    <d v="1997-02-28T00:00:00"/>
  </r>
  <r>
    <n v="10461"/>
    <x v="0"/>
    <n v="864"/>
    <n v="60"/>
    <d v="1997-02-28T00:00:00"/>
  </r>
  <r>
    <n v="10461"/>
    <x v="1"/>
    <n v="864"/>
    <n v="60"/>
    <d v="1997-02-28T00:00:00"/>
  </r>
  <r>
    <n v="10461"/>
    <x v="2"/>
    <n v="864"/>
    <n v="60"/>
    <d v="1997-02-28T00:00:00"/>
  </r>
  <r>
    <n v="10461"/>
    <x v="3"/>
    <n v="864"/>
    <n v="60"/>
    <d v="1997-02-28T00:00:00"/>
  </r>
  <r>
    <n v="10461"/>
    <x v="4"/>
    <n v="864"/>
    <n v="60"/>
    <d v="1997-02-28T00:00:00"/>
  </r>
  <r>
    <n v="10461"/>
    <x v="5"/>
    <n v="864"/>
    <n v="60"/>
    <d v="1997-02-28T00:00:00"/>
  </r>
  <r>
    <n v="10461"/>
    <x v="6"/>
    <n v="864"/>
    <n v="60"/>
    <d v="1997-02-28T00:00:00"/>
  </r>
  <r>
    <n v="10461"/>
    <x v="7"/>
    <n v="864"/>
    <n v="60"/>
    <d v="1997-02-28T00:00:00"/>
  </r>
  <r>
    <n v="10462"/>
    <x v="0"/>
    <n v="4.8"/>
    <n v="1"/>
    <d v="1997-03-03T00:00:00"/>
  </r>
  <r>
    <n v="10462"/>
    <x v="1"/>
    <n v="4.8"/>
    <n v="1"/>
    <d v="1997-03-03T00:00:00"/>
  </r>
  <r>
    <n v="10462"/>
    <x v="2"/>
    <n v="4.8"/>
    <n v="1"/>
    <d v="1997-03-03T00:00:00"/>
  </r>
  <r>
    <n v="10462"/>
    <x v="3"/>
    <n v="4.8"/>
    <n v="1"/>
    <d v="1997-03-03T00:00:00"/>
  </r>
  <r>
    <n v="10462"/>
    <x v="4"/>
    <n v="4.8"/>
    <n v="1"/>
    <d v="1997-03-03T00:00:00"/>
  </r>
  <r>
    <n v="10462"/>
    <x v="5"/>
    <n v="4.8"/>
    <n v="1"/>
    <d v="1997-03-03T00:00:00"/>
  </r>
  <r>
    <n v="10462"/>
    <x v="6"/>
    <n v="4.8"/>
    <n v="1"/>
    <d v="1997-03-03T00:00:00"/>
  </r>
  <r>
    <n v="10462"/>
    <x v="7"/>
    <n v="4.8"/>
    <n v="1"/>
    <d v="1997-03-03T00:00:00"/>
  </r>
  <r>
    <n v="10462"/>
    <x v="0"/>
    <n v="151.19999999999999"/>
    <n v="21"/>
    <d v="1997-03-03T00:00:00"/>
  </r>
  <r>
    <n v="10462"/>
    <x v="1"/>
    <n v="151.19999999999999"/>
    <n v="21"/>
    <d v="1997-03-03T00:00:00"/>
  </r>
  <r>
    <n v="10462"/>
    <x v="2"/>
    <n v="151.19999999999999"/>
    <n v="21"/>
    <d v="1997-03-03T00:00:00"/>
  </r>
  <r>
    <n v="10462"/>
    <x v="3"/>
    <n v="151.19999999999999"/>
    <n v="21"/>
    <d v="1997-03-03T00:00:00"/>
  </r>
  <r>
    <n v="10462"/>
    <x v="4"/>
    <n v="151.19999999999999"/>
    <n v="21"/>
    <d v="1997-03-03T00:00:00"/>
  </r>
  <r>
    <n v="10462"/>
    <x v="5"/>
    <n v="151.19999999999999"/>
    <n v="21"/>
    <d v="1997-03-03T00:00:00"/>
  </r>
  <r>
    <n v="10462"/>
    <x v="6"/>
    <n v="151.19999999999999"/>
    <n v="21"/>
    <d v="1997-03-03T00:00:00"/>
  </r>
  <r>
    <n v="10462"/>
    <x v="7"/>
    <n v="151.19999999999999"/>
    <n v="21"/>
    <d v="1997-03-03T00:00:00"/>
  </r>
  <r>
    <n v="10463"/>
    <x v="0"/>
    <n v="153.30000000000001"/>
    <n v="21"/>
    <d v="1997-03-04T00:00:00"/>
  </r>
  <r>
    <n v="10463"/>
    <x v="1"/>
    <n v="153.30000000000001"/>
    <n v="21"/>
    <d v="1997-03-04T00:00:00"/>
  </r>
  <r>
    <n v="10463"/>
    <x v="2"/>
    <n v="153.30000000000001"/>
    <n v="21"/>
    <d v="1997-03-04T00:00:00"/>
  </r>
  <r>
    <n v="10463"/>
    <x v="3"/>
    <n v="153.30000000000001"/>
    <n v="21"/>
    <d v="1997-03-04T00:00:00"/>
  </r>
  <r>
    <n v="10463"/>
    <x v="4"/>
    <n v="153.30000000000001"/>
    <n v="21"/>
    <d v="1997-03-04T00:00:00"/>
  </r>
  <r>
    <n v="10463"/>
    <x v="5"/>
    <n v="153.30000000000001"/>
    <n v="21"/>
    <d v="1997-03-04T00:00:00"/>
  </r>
  <r>
    <n v="10463"/>
    <x v="6"/>
    <n v="153.30000000000001"/>
    <n v="21"/>
    <d v="1997-03-04T00:00:00"/>
  </r>
  <r>
    <n v="10463"/>
    <x v="7"/>
    <n v="153.30000000000001"/>
    <n v="21"/>
    <d v="1997-03-04T00:00:00"/>
  </r>
  <r>
    <n v="10463"/>
    <x v="0"/>
    <n v="560"/>
    <n v="50"/>
    <d v="1997-03-04T00:00:00"/>
  </r>
  <r>
    <n v="10463"/>
    <x v="1"/>
    <n v="560"/>
    <n v="50"/>
    <d v="1997-03-04T00:00:00"/>
  </r>
  <r>
    <n v="10463"/>
    <x v="2"/>
    <n v="560"/>
    <n v="50"/>
    <d v="1997-03-04T00:00:00"/>
  </r>
  <r>
    <n v="10463"/>
    <x v="3"/>
    <n v="560"/>
    <n v="50"/>
    <d v="1997-03-04T00:00:00"/>
  </r>
  <r>
    <n v="10463"/>
    <x v="4"/>
    <n v="560"/>
    <n v="50"/>
    <d v="1997-03-04T00:00:00"/>
  </r>
  <r>
    <n v="10463"/>
    <x v="5"/>
    <n v="560"/>
    <n v="50"/>
    <d v="1997-03-04T00:00:00"/>
  </r>
  <r>
    <n v="10463"/>
    <x v="6"/>
    <n v="560"/>
    <n v="50"/>
    <d v="1997-03-04T00:00:00"/>
  </r>
  <r>
    <n v="10463"/>
    <x v="7"/>
    <n v="560"/>
    <n v="50"/>
    <d v="1997-03-04T00:00:00"/>
  </r>
  <r>
    <n v="10464"/>
    <x v="0"/>
    <n v="225.27999916076661"/>
    <n v="16"/>
    <d v="1997-03-04T00:00:00"/>
  </r>
  <r>
    <n v="10464"/>
    <x v="1"/>
    <n v="225.27999916076661"/>
    <n v="16"/>
    <d v="1997-03-04T00:00:00"/>
  </r>
  <r>
    <n v="10464"/>
    <x v="2"/>
    <n v="225.27999916076661"/>
    <n v="16"/>
    <d v="1997-03-04T00:00:00"/>
  </r>
  <r>
    <n v="10464"/>
    <x v="3"/>
    <n v="225.27999916076661"/>
    <n v="16"/>
    <d v="1997-03-04T00:00:00"/>
  </r>
  <r>
    <n v="10464"/>
    <x v="4"/>
    <n v="225.27999916076661"/>
    <n v="16"/>
    <d v="1997-03-04T00:00:00"/>
  </r>
  <r>
    <n v="10464"/>
    <x v="5"/>
    <n v="225.27999916076661"/>
    <n v="16"/>
    <d v="1997-03-04T00:00:00"/>
  </r>
  <r>
    <n v="10464"/>
    <x v="6"/>
    <n v="225.27999916076661"/>
    <n v="16"/>
    <d v="1997-03-04T00:00:00"/>
  </r>
  <r>
    <n v="10464"/>
    <x v="7"/>
    <n v="225.27999916076661"/>
    <n v="16"/>
    <d v="1997-03-04T00:00:00"/>
  </r>
  <r>
    <n v="10464"/>
    <x v="0"/>
    <n v="110.4"/>
    <n v="3"/>
    <d v="1997-03-04T00:00:00"/>
  </r>
  <r>
    <n v="10464"/>
    <x v="1"/>
    <n v="110.4"/>
    <n v="3"/>
    <d v="1997-03-04T00:00:00"/>
  </r>
  <r>
    <n v="10464"/>
    <x v="2"/>
    <n v="110.4"/>
    <n v="3"/>
    <d v="1997-03-04T00:00:00"/>
  </r>
  <r>
    <n v="10464"/>
    <x v="3"/>
    <n v="110.4"/>
    <n v="3"/>
    <d v="1997-03-04T00:00:00"/>
  </r>
  <r>
    <n v="10464"/>
    <x v="4"/>
    <n v="110.4"/>
    <n v="3"/>
    <d v="1997-03-04T00:00:00"/>
  </r>
  <r>
    <n v="10464"/>
    <x v="5"/>
    <n v="110.4"/>
    <n v="3"/>
    <d v="1997-03-04T00:00:00"/>
  </r>
  <r>
    <n v="10464"/>
    <x v="6"/>
    <n v="110.4"/>
    <n v="3"/>
    <d v="1997-03-04T00:00:00"/>
  </r>
  <r>
    <n v="10464"/>
    <x v="7"/>
    <n v="110.4"/>
    <n v="3"/>
    <d v="1997-03-04T00:00:00"/>
  </r>
  <r>
    <n v="10464"/>
    <x v="0"/>
    <n v="729.5999972820282"/>
    <n v="30"/>
    <d v="1997-03-04T00:00:00"/>
  </r>
  <r>
    <n v="10464"/>
    <x v="1"/>
    <n v="729.5999972820282"/>
    <n v="30"/>
    <d v="1997-03-04T00:00:00"/>
  </r>
  <r>
    <n v="10464"/>
    <x v="2"/>
    <n v="729.5999972820282"/>
    <n v="30"/>
    <d v="1997-03-04T00:00:00"/>
  </r>
  <r>
    <n v="10464"/>
    <x v="3"/>
    <n v="729.5999972820282"/>
    <n v="30"/>
    <d v="1997-03-04T00:00:00"/>
  </r>
  <r>
    <n v="10464"/>
    <x v="4"/>
    <n v="729.5999972820282"/>
    <n v="30"/>
    <d v="1997-03-04T00:00:00"/>
  </r>
  <r>
    <n v="10464"/>
    <x v="5"/>
    <n v="729.5999972820282"/>
    <n v="30"/>
    <d v="1997-03-04T00:00:00"/>
  </r>
  <r>
    <n v="10464"/>
    <x v="6"/>
    <n v="729.5999972820282"/>
    <n v="30"/>
    <d v="1997-03-04T00:00:00"/>
  </r>
  <r>
    <n v="10464"/>
    <x v="7"/>
    <n v="729.5999972820282"/>
    <n v="30"/>
    <d v="1997-03-04T00:00:00"/>
  </r>
  <r>
    <n v="10464"/>
    <x v="0"/>
    <n v="544"/>
    <n v="20"/>
    <d v="1997-03-04T00:00:00"/>
  </r>
  <r>
    <n v="10464"/>
    <x v="1"/>
    <n v="544"/>
    <n v="20"/>
    <d v="1997-03-04T00:00:00"/>
  </r>
  <r>
    <n v="10464"/>
    <x v="2"/>
    <n v="544"/>
    <n v="20"/>
    <d v="1997-03-04T00:00:00"/>
  </r>
  <r>
    <n v="10464"/>
    <x v="3"/>
    <n v="544"/>
    <n v="20"/>
    <d v="1997-03-04T00:00:00"/>
  </r>
  <r>
    <n v="10464"/>
    <x v="4"/>
    <n v="544"/>
    <n v="20"/>
    <d v="1997-03-04T00:00:00"/>
  </r>
  <r>
    <n v="10464"/>
    <x v="5"/>
    <n v="544"/>
    <n v="20"/>
    <d v="1997-03-04T00:00:00"/>
  </r>
  <r>
    <n v="10464"/>
    <x v="6"/>
    <n v="544"/>
    <n v="20"/>
    <d v="1997-03-04T00:00:00"/>
  </r>
  <r>
    <n v="10464"/>
    <x v="7"/>
    <n v="544"/>
    <n v="20"/>
    <d v="1997-03-04T00:00:00"/>
  </r>
  <r>
    <n v="10465"/>
    <x v="0"/>
    <n v="90"/>
    <n v="25"/>
    <d v="1997-03-05T00:00:00"/>
  </r>
  <r>
    <n v="10465"/>
    <x v="1"/>
    <n v="90"/>
    <n v="25"/>
    <d v="1997-03-05T00:00:00"/>
  </r>
  <r>
    <n v="10465"/>
    <x v="2"/>
    <n v="90"/>
    <n v="25"/>
    <d v="1997-03-05T00:00:00"/>
  </r>
  <r>
    <n v="10465"/>
    <x v="3"/>
    <n v="90"/>
    <n v="25"/>
    <d v="1997-03-05T00:00:00"/>
  </r>
  <r>
    <n v="10465"/>
    <x v="4"/>
    <n v="90"/>
    <n v="25"/>
    <d v="1997-03-05T00:00:00"/>
  </r>
  <r>
    <n v="10465"/>
    <x v="5"/>
    <n v="90"/>
    <n v="25"/>
    <d v="1997-03-05T00:00:00"/>
  </r>
  <r>
    <n v="10465"/>
    <x v="6"/>
    <n v="90"/>
    <n v="25"/>
    <d v="1997-03-05T00:00:00"/>
  </r>
  <r>
    <n v="10465"/>
    <x v="7"/>
    <n v="90"/>
    <n v="25"/>
    <d v="1997-03-05T00:00:00"/>
  </r>
  <r>
    <n v="10465"/>
    <x v="0"/>
    <n v="1603.7999973446131"/>
    <n v="18"/>
    <d v="1997-03-05T00:00:00"/>
  </r>
  <r>
    <n v="10465"/>
    <x v="1"/>
    <n v="1603.7999973446131"/>
    <n v="18"/>
    <d v="1997-03-05T00:00:00"/>
  </r>
  <r>
    <n v="10465"/>
    <x v="2"/>
    <n v="1603.7999973446131"/>
    <n v="18"/>
    <d v="1997-03-05T00:00:00"/>
  </r>
  <r>
    <n v="10465"/>
    <x v="3"/>
    <n v="1603.7999973446131"/>
    <n v="18"/>
    <d v="1997-03-05T00:00:00"/>
  </r>
  <r>
    <n v="10465"/>
    <x v="4"/>
    <n v="1603.7999973446131"/>
    <n v="18"/>
    <d v="1997-03-05T00:00:00"/>
  </r>
  <r>
    <n v="10465"/>
    <x v="5"/>
    <n v="1603.7999973446131"/>
    <n v="18"/>
    <d v="1997-03-05T00:00:00"/>
  </r>
  <r>
    <n v="10465"/>
    <x v="6"/>
    <n v="1603.7999973446131"/>
    <n v="18"/>
    <d v="1997-03-05T00:00:00"/>
  </r>
  <r>
    <n v="10465"/>
    <x v="7"/>
    <n v="1603.7999973446131"/>
    <n v="18"/>
    <d v="1997-03-05T00:00:00"/>
  </r>
  <r>
    <n v="10465"/>
    <x v="0"/>
    <n v="294"/>
    <n v="20"/>
    <d v="1997-03-05T00:00:00"/>
  </r>
  <r>
    <n v="10465"/>
    <x v="1"/>
    <n v="294"/>
    <n v="20"/>
    <d v="1997-03-05T00:00:00"/>
  </r>
  <r>
    <n v="10465"/>
    <x v="2"/>
    <n v="294"/>
    <n v="20"/>
    <d v="1997-03-05T00:00:00"/>
  </r>
  <r>
    <n v="10465"/>
    <x v="3"/>
    <n v="294"/>
    <n v="20"/>
    <d v="1997-03-05T00:00:00"/>
  </r>
  <r>
    <n v="10465"/>
    <x v="4"/>
    <n v="294"/>
    <n v="20"/>
    <d v="1997-03-05T00:00:00"/>
  </r>
  <r>
    <n v="10465"/>
    <x v="5"/>
    <n v="294"/>
    <n v="20"/>
    <d v="1997-03-05T00:00:00"/>
  </r>
  <r>
    <n v="10465"/>
    <x v="6"/>
    <n v="294"/>
    <n v="20"/>
    <d v="1997-03-05T00:00:00"/>
  </r>
  <r>
    <n v="10465"/>
    <x v="7"/>
    <n v="294"/>
    <n v="20"/>
    <d v="1997-03-05T00:00:00"/>
  </r>
  <r>
    <n v="10465"/>
    <x v="0"/>
    <n v="205.19999966025352"/>
    <n v="30"/>
    <d v="1997-03-05T00:00:00"/>
  </r>
  <r>
    <n v="10465"/>
    <x v="1"/>
    <n v="205.19999966025352"/>
    <n v="30"/>
    <d v="1997-03-05T00:00:00"/>
  </r>
  <r>
    <n v="10465"/>
    <x v="2"/>
    <n v="205.19999966025352"/>
    <n v="30"/>
    <d v="1997-03-05T00:00:00"/>
  </r>
  <r>
    <n v="10465"/>
    <x v="3"/>
    <n v="205.19999966025352"/>
    <n v="30"/>
    <d v="1997-03-05T00:00:00"/>
  </r>
  <r>
    <n v="10465"/>
    <x v="4"/>
    <n v="205.19999966025352"/>
    <n v="30"/>
    <d v="1997-03-05T00:00:00"/>
  </r>
  <r>
    <n v="10465"/>
    <x v="5"/>
    <n v="205.19999966025352"/>
    <n v="30"/>
    <d v="1997-03-05T00:00:00"/>
  </r>
  <r>
    <n v="10465"/>
    <x v="6"/>
    <n v="205.19999966025352"/>
    <n v="30"/>
    <d v="1997-03-05T00:00:00"/>
  </r>
  <r>
    <n v="10465"/>
    <x v="7"/>
    <n v="205.19999966025352"/>
    <n v="30"/>
    <d v="1997-03-05T00:00:00"/>
  </r>
  <r>
    <n v="10465"/>
    <x v="0"/>
    <n v="325"/>
    <n v="25"/>
    <d v="1997-03-05T00:00:00"/>
  </r>
  <r>
    <n v="10465"/>
    <x v="1"/>
    <n v="325"/>
    <n v="25"/>
    <d v="1997-03-05T00:00:00"/>
  </r>
  <r>
    <n v="10465"/>
    <x v="2"/>
    <n v="325"/>
    <n v="25"/>
    <d v="1997-03-05T00:00:00"/>
  </r>
  <r>
    <n v="10465"/>
    <x v="3"/>
    <n v="325"/>
    <n v="25"/>
    <d v="1997-03-05T00:00:00"/>
  </r>
  <r>
    <n v="10465"/>
    <x v="4"/>
    <n v="325"/>
    <n v="25"/>
    <d v="1997-03-05T00:00:00"/>
  </r>
  <r>
    <n v="10465"/>
    <x v="5"/>
    <n v="325"/>
    <n v="25"/>
    <d v="1997-03-05T00:00:00"/>
  </r>
  <r>
    <n v="10465"/>
    <x v="6"/>
    <n v="325"/>
    <n v="25"/>
    <d v="1997-03-05T00:00:00"/>
  </r>
  <r>
    <n v="10465"/>
    <x v="7"/>
    <n v="325"/>
    <n v="25"/>
    <d v="1997-03-05T00:00:00"/>
  </r>
  <r>
    <n v="10466"/>
    <x v="0"/>
    <n v="168"/>
    <n v="10"/>
    <d v="1997-03-06T00:00:00"/>
  </r>
  <r>
    <n v="10466"/>
    <x v="1"/>
    <n v="168"/>
    <n v="10"/>
    <d v="1997-03-06T00:00:00"/>
  </r>
  <r>
    <n v="10466"/>
    <x v="2"/>
    <n v="168"/>
    <n v="10"/>
    <d v="1997-03-06T00:00:00"/>
  </r>
  <r>
    <n v="10466"/>
    <x v="3"/>
    <n v="168"/>
    <n v="10"/>
    <d v="1997-03-06T00:00:00"/>
  </r>
  <r>
    <n v="10466"/>
    <x v="4"/>
    <n v="168"/>
    <n v="10"/>
    <d v="1997-03-06T00:00:00"/>
  </r>
  <r>
    <n v="10466"/>
    <x v="5"/>
    <n v="168"/>
    <n v="10"/>
    <d v="1997-03-06T00:00:00"/>
  </r>
  <r>
    <n v="10466"/>
    <x v="6"/>
    <n v="168"/>
    <n v="10"/>
    <d v="1997-03-06T00:00:00"/>
  </r>
  <r>
    <n v="10466"/>
    <x v="7"/>
    <n v="168"/>
    <n v="10"/>
    <d v="1997-03-06T00:00:00"/>
  </r>
  <r>
    <n v="10466"/>
    <x v="0"/>
    <n v="48"/>
    <n v="5"/>
    <d v="1997-03-06T00:00:00"/>
  </r>
  <r>
    <n v="10466"/>
    <x v="1"/>
    <n v="48"/>
    <n v="5"/>
    <d v="1997-03-06T00:00:00"/>
  </r>
  <r>
    <n v="10466"/>
    <x v="2"/>
    <n v="48"/>
    <n v="5"/>
    <d v="1997-03-06T00:00:00"/>
  </r>
  <r>
    <n v="10466"/>
    <x v="3"/>
    <n v="48"/>
    <n v="5"/>
    <d v="1997-03-06T00:00:00"/>
  </r>
  <r>
    <n v="10466"/>
    <x v="4"/>
    <n v="48"/>
    <n v="5"/>
    <d v="1997-03-06T00:00:00"/>
  </r>
  <r>
    <n v="10466"/>
    <x v="5"/>
    <n v="48"/>
    <n v="5"/>
    <d v="1997-03-06T00:00:00"/>
  </r>
  <r>
    <n v="10466"/>
    <x v="6"/>
    <n v="48"/>
    <n v="5"/>
    <d v="1997-03-06T00:00:00"/>
  </r>
  <r>
    <n v="10466"/>
    <x v="7"/>
    <n v="48"/>
    <n v="5"/>
    <d v="1997-03-06T00:00:00"/>
  </r>
  <r>
    <n v="10467"/>
    <x v="0"/>
    <n v="100.8"/>
    <n v="28"/>
    <d v="1997-03-06T00:00:00"/>
  </r>
  <r>
    <n v="10467"/>
    <x v="1"/>
    <n v="100.8"/>
    <n v="28"/>
    <d v="1997-03-06T00:00:00"/>
  </r>
  <r>
    <n v="10467"/>
    <x v="2"/>
    <n v="100.8"/>
    <n v="28"/>
    <d v="1997-03-06T00:00:00"/>
  </r>
  <r>
    <n v="10467"/>
    <x v="3"/>
    <n v="100.8"/>
    <n v="28"/>
    <d v="1997-03-06T00:00:00"/>
  </r>
  <r>
    <n v="10467"/>
    <x v="4"/>
    <n v="100.8"/>
    <n v="28"/>
    <d v="1997-03-06T00:00:00"/>
  </r>
  <r>
    <n v="10467"/>
    <x v="5"/>
    <n v="100.8"/>
    <n v="28"/>
    <d v="1997-03-06T00:00:00"/>
  </r>
  <r>
    <n v="10467"/>
    <x v="6"/>
    <n v="100.8"/>
    <n v="28"/>
    <d v="1997-03-06T00:00:00"/>
  </r>
  <r>
    <n v="10467"/>
    <x v="7"/>
    <n v="100.8"/>
    <n v="28"/>
    <d v="1997-03-06T00:00:00"/>
  </r>
  <r>
    <n v="10467"/>
    <x v="0"/>
    <n v="134.4"/>
    <n v="12"/>
    <d v="1997-03-06T00:00:00"/>
  </r>
  <r>
    <n v="10467"/>
    <x v="1"/>
    <n v="134.4"/>
    <n v="12"/>
    <d v="1997-03-06T00:00:00"/>
  </r>
  <r>
    <n v="10467"/>
    <x v="2"/>
    <n v="134.4"/>
    <n v="12"/>
    <d v="1997-03-06T00:00:00"/>
  </r>
  <r>
    <n v="10467"/>
    <x v="3"/>
    <n v="134.4"/>
    <n v="12"/>
    <d v="1997-03-06T00:00:00"/>
  </r>
  <r>
    <n v="10467"/>
    <x v="4"/>
    <n v="134.4"/>
    <n v="12"/>
    <d v="1997-03-06T00:00:00"/>
  </r>
  <r>
    <n v="10467"/>
    <x v="5"/>
    <n v="134.4"/>
    <n v="12"/>
    <d v="1997-03-06T00:00:00"/>
  </r>
  <r>
    <n v="10467"/>
    <x v="6"/>
    <n v="134.4"/>
    <n v="12"/>
    <d v="1997-03-06T00:00:00"/>
  </r>
  <r>
    <n v="10467"/>
    <x v="7"/>
    <n v="134.4"/>
    <n v="12"/>
    <d v="1997-03-06T00:00:00"/>
  </r>
  <r>
    <n v="10468"/>
    <x v="0"/>
    <n v="165.6"/>
    <n v="8"/>
    <d v="1997-03-07T00:00:00"/>
  </r>
  <r>
    <n v="10468"/>
    <x v="1"/>
    <n v="165.6"/>
    <n v="8"/>
    <d v="1997-03-07T00:00:00"/>
  </r>
  <r>
    <n v="10468"/>
    <x v="2"/>
    <n v="165.6"/>
    <n v="8"/>
    <d v="1997-03-07T00:00:00"/>
  </r>
  <r>
    <n v="10468"/>
    <x v="3"/>
    <n v="165.6"/>
    <n v="8"/>
    <d v="1997-03-07T00:00:00"/>
  </r>
  <r>
    <n v="10468"/>
    <x v="4"/>
    <n v="165.6"/>
    <n v="8"/>
    <d v="1997-03-07T00:00:00"/>
  </r>
  <r>
    <n v="10468"/>
    <x v="5"/>
    <n v="165.6"/>
    <n v="8"/>
    <d v="1997-03-07T00:00:00"/>
  </r>
  <r>
    <n v="10468"/>
    <x v="6"/>
    <n v="165.6"/>
    <n v="8"/>
    <d v="1997-03-07T00:00:00"/>
  </r>
  <r>
    <n v="10468"/>
    <x v="7"/>
    <n v="165.6"/>
    <n v="8"/>
    <d v="1997-03-07T00:00:00"/>
  </r>
  <r>
    <n v="10468"/>
    <x v="0"/>
    <n v="552"/>
    <n v="15"/>
    <d v="1997-03-07T00:00:00"/>
  </r>
  <r>
    <n v="10468"/>
    <x v="1"/>
    <n v="552"/>
    <n v="15"/>
    <d v="1997-03-07T00:00:00"/>
  </r>
  <r>
    <n v="10468"/>
    <x v="2"/>
    <n v="552"/>
    <n v="15"/>
    <d v="1997-03-07T00:00:00"/>
  </r>
  <r>
    <n v="10468"/>
    <x v="3"/>
    <n v="552"/>
    <n v="15"/>
    <d v="1997-03-07T00:00:00"/>
  </r>
  <r>
    <n v="10468"/>
    <x v="4"/>
    <n v="552"/>
    <n v="15"/>
    <d v="1997-03-07T00:00:00"/>
  </r>
  <r>
    <n v="10468"/>
    <x v="5"/>
    <n v="552"/>
    <n v="15"/>
    <d v="1997-03-07T00:00:00"/>
  </r>
  <r>
    <n v="10468"/>
    <x v="6"/>
    <n v="552"/>
    <n v="15"/>
    <d v="1997-03-07T00:00:00"/>
  </r>
  <r>
    <n v="10468"/>
    <x v="7"/>
    <n v="552"/>
    <n v="15"/>
    <d v="1997-03-07T00:00:00"/>
  </r>
  <r>
    <n v="10469"/>
    <x v="0"/>
    <n v="516.7999963760376"/>
    <n v="40"/>
    <d v="1997-03-10T00:00:00"/>
  </r>
  <r>
    <n v="10469"/>
    <x v="1"/>
    <n v="516.7999963760376"/>
    <n v="40"/>
    <d v="1997-03-10T00:00:00"/>
  </r>
  <r>
    <n v="10469"/>
    <x v="2"/>
    <n v="516.7999963760376"/>
    <n v="40"/>
    <d v="1997-03-10T00:00:00"/>
  </r>
  <r>
    <n v="10469"/>
    <x v="3"/>
    <n v="516.7999963760376"/>
    <n v="40"/>
    <d v="1997-03-10T00:00:00"/>
  </r>
  <r>
    <n v="10469"/>
    <x v="4"/>
    <n v="516.7999963760376"/>
    <n v="40"/>
    <d v="1997-03-10T00:00:00"/>
  </r>
  <r>
    <n v="10469"/>
    <x v="5"/>
    <n v="516.7999963760376"/>
    <n v="40"/>
    <d v="1997-03-10T00:00:00"/>
  </r>
  <r>
    <n v="10469"/>
    <x v="6"/>
    <n v="516.7999963760376"/>
    <n v="40"/>
    <d v="1997-03-10T00:00:00"/>
  </r>
  <r>
    <n v="10469"/>
    <x v="7"/>
    <n v="516.7999963760376"/>
    <n v="40"/>
    <d v="1997-03-10T00:00:00"/>
  </r>
  <r>
    <n v="10469"/>
    <x v="0"/>
    <n v="413.52499710023403"/>
    <n v="35"/>
    <d v="1997-03-10T00:00:00"/>
  </r>
  <r>
    <n v="10469"/>
    <x v="1"/>
    <n v="413.52499710023403"/>
    <n v="35"/>
    <d v="1997-03-10T00:00:00"/>
  </r>
  <r>
    <n v="10469"/>
    <x v="2"/>
    <n v="413.52499710023403"/>
    <n v="35"/>
    <d v="1997-03-10T00:00:00"/>
  </r>
  <r>
    <n v="10469"/>
    <x v="3"/>
    <n v="413.52499710023403"/>
    <n v="35"/>
    <d v="1997-03-10T00:00:00"/>
  </r>
  <r>
    <n v="10469"/>
    <x v="4"/>
    <n v="413.52499710023403"/>
    <n v="35"/>
    <d v="1997-03-10T00:00:00"/>
  </r>
  <r>
    <n v="10469"/>
    <x v="5"/>
    <n v="413.52499710023403"/>
    <n v="35"/>
    <d v="1997-03-10T00:00:00"/>
  </r>
  <r>
    <n v="10469"/>
    <x v="6"/>
    <n v="413.52499710023403"/>
    <n v="35"/>
    <d v="1997-03-10T00:00:00"/>
  </r>
  <r>
    <n v="10469"/>
    <x v="7"/>
    <n v="413.52499710023403"/>
    <n v="35"/>
    <d v="1997-03-10T00:00:00"/>
  </r>
  <r>
    <n v="10469"/>
    <x v="0"/>
    <n v="26.349999815225601"/>
    <n v="2"/>
    <d v="1997-03-10T00:00:00"/>
  </r>
  <r>
    <n v="10469"/>
    <x v="1"/>
    <n v="26.349999815225601"/>
    <n v="2"/>
    <d v="1997-03-10T00:00:00"/>
  </r>
  <r>
    <n v="10469"/>
    <x v="2"/>
    <n v="26.349999815225601"/>
    <n v="2"/>
    <d v="1997-03-10T00:00:00"/>
  </r>
  <r>
    <n v="10469"/>
    <x v="3"/>
    <n v="26.349999815225601"/>
    <n v="2"/>
    <d v="1997-03-10T00:00:00"/>
  </r>
  <r>
    <n v="10469"/>
    <x v="4"/>
    <n v="26.349999815225601"/>
    <n v="2"/>
    <d v="1997-03-10T00:00:00"/>
  </r>
  <r>
    <n v="10469"/>
    <x v="5"/>
    <n v="26.349999815225601"/>
    <n v="2"/>
    <d v="1997-03-10T00:00:00"/>
  </r>
  <r>
    <n v="10469"/>
    <x v="6"/>
    <n v="26.349999815225601"/>
    <n v="2"/>
    <d v="1997-03-10T00:00:00"/>
  </r>
  <r>
    <n v="10469"/>
    <x v="7"/>
    <n v="26.349999815225601"/>
    <n v="2"/>
    <d v="1997-03-10T00:00:00"/>
  </r>
  <r>
    <n v="10470"/>
    <x v="0"/>
    <n v="1500"/>
    <n v="30"/>
    <d v="1997-03-11T00:00:00"/>
  </r>
  <r>
    <n v="10470"/>
    <x v="1"/>
    <n v="1500"/>
    <n v="30"/>
    <d v="1997-03-11T00:00:00"/>
  </r>
  <r>
    <n v="10470"/>
    <x v="2"/>
    <n v="1500"/>
    <n v="30"/>
    <d v="1997-03-11T00:00:00"/>
  </r>
  <r>
    <n v="10470"/>
    <x v="3"/>
    <n v="1500"/>
    <n v="30"/>
    <d v="1997-03-11T00:00:00"/>
  </r>
  <r>
    <n v="10470"/>
    <x v="4"/>
    <n v="1500"/>
    <n v="30"/>
    <d v="1997-03-11T00:00:00"/>
  </r>
  <r>
    <n v="10470"/>
    <x v="5"/>
    <n v="1500"/>
    <n v="30"/>
    <d v="1997-03-11T00:00:00"/>
  </r>
  <r>
    <n v="10470"/>
    <x v="6"/>
    <n v="1500"/>
    <n v="30"/>
    <d v="1997-03-11T00:00:00"/>
  </r>
  <r>
    <n v="10470"/>
    <x v="7"/>
    <n v="1500"/>
    <n v="30"/>
    <d v="1997-03-11T00:00:00"/>
  </r>
  <r>
    <n v="10470"/>
    <x v="0"/>
    <n v="108"/>
    <n v="15"/>
    <d v="1997-03-11T00:00:00"/>
  </r>
  <r>
    <n v="10470"/>
    <x v="1"/>
    <n v="108"/>
    <n v="15"/>
    <d v="1997-03-11T00:00:00"/>
  </r>
  <r>
    <n v="10470"/>
    <x v="2"/>
    <n v="108"/>
    <n v="15"/>
    <d v="1997-03-11T00:00:00"/>
  </r>
  <r>
    <n v="10470"/>
    <x v="3"/>
    <n v="108"/>
    <n v="15"/>
    <d v="1997-03-11T00:00:00"/>
  </r>
  <r>
    <n v="10470"/>
    <x v="4"/>
    <n v="108"/>
    <n v="15"/>
    <d v="1997-03-11T00:00:00"/>
  </r>
  <r>
    <n v="10470"/>
    <x v="5"/>
    <n v="108"/>
    <n v="15"/>
    <d v="1997-03-11T00:00:00"/>
  </r>
  <r>
    <n v="10470"/>
    <x v="6"/>
    <n v="108"/>
    <n v="15"/>
    <d v="1997-03-11T00:00:00"/>
  </r>
  <r>
    <n v="10470"/>
    <x v="7"/>
    <n v="108"/>
    <n v="15"/>
    <d v="1997-03-11T00:00:00"/>
  </r>
  <r>
    <n v="10470"/>
    <x v="0"/>
    <n v="212.8"/>
    <n v="8"/>
    <d v="1997-03-11T00:00:00"/>
  </r>
  <r>
    <n v="10470"/>
    <x v="1"/>
    <n v="212.8"/>
    <n v="8"/>
    <d v="1997-03-11T00:00:00"/>
  </r>
  <r>
    <n v="10470"/>
    <x v="2"/>
    <n v="212.8"/>
    <n v="8"/>
    <d v="1997-03-11T00:00:00"/>
  </r>
  <r>
    <n v="10470"/>
    <x v="3"/>
    <n v="212.8"/>
    <n v="8"/>
    <d v="1997-03-11T00:00:00"/>
  </r>
  <r>
    <n v="10470"/>
    <x v="4"/>
    <n v="212.8"/>
    <n v="8"/>
    <d v="1997-03-11T00:00:00"/>
  </r>
  <r>
    <n v="10470"/>
    <x v="5"/>
    <n v="212.8"/>
    <n v="8"/>
    <d v="1997-03-11T00:00:00"/>
  </r>
  <r>
    <n v="10470"/>
    <x v="6"/>
    <n v="212.8"/>
    <n v="8"/>
    <d v="1997-03-11T00:00:00"/>
  </r>
  <r>
    <n v="10470"/>
    <x v="7"/>
    <n v="212.8"/>
    <n v="8"/>
    <d v="1997-03-11T00:00:00"/>
  </r>
  <r>
    <n v="10471"/>
    <x v="0"/>
    <n v="720"/>
    <n v="30"/>
    <d v="1997-03-11T00:00:00"/>
  </r>
  <r>
    <n v="10471"/>
    <x v="1"/>
    <n v="720"/>
    <n v="30"/>
    <d v="1997-03-11T00:00:00"/>
  </r>
  <r>
    <n v="10471"/>
    <x v="2"/>
    <n v="720"/>
    <n v="30"/>
    <d v="1997-03-11T00:00:00"/>
  </r>
  <r>
    <n v="10471"/>
    <x v="3"/>
    <n v="720"/>
    <n v="30"/>
    <d v="1997-03-11T00:00:00"/>
  </r>
  <r>
    <n v="10471"/>
    <x v="4"/>
    <n v="720"/>
    <n v="30"/>
    <d v="1997-03-11T00:00:00"/>
  </r>
  <r>
    <n v="10471"/>
    <x v="5"/>
    <n v="720"/>
    <n v="30"/>
    <d v="1997-03-11T00:00:00"/>
  </r>
  <r>
    <n v="10471"/>
    <x v="6"/>
    <n v="720"/>
    <n v="30"/>
    <d v="1997-03-11T00:00:00"/>
  </r>
  <r>
    <n v="10471"/>
    <x v="7"/>
    <n v="720"/>
    <n v="30"/>
    <d v="1997-03-11T00:00:00"/>
  </r>
  <r>
    <n v="10471"/>
    <x v="0"/>
    <n v="608"/>
    <n v="20"/>
    <d v="1997-03-11T00:00:00"/>
  </r>
  <r>
    <n v="10471"/>
    <x v="1"/>
    <n v="608"/>
    <n v="20"/>
    <d v="1997-03-11T00:00:00"/>
  </r>
  <r>
    <n v="10471"/>
    <x v="2"/>
    <n v="608"/>
    <n v="20"/>
    <d v="1997-03-11T00:00:00"/>
  </r>
  <r>
    <n v="10471"/>
    <x v="3"/>
    <n v="608"/>
    <n v="20"/>
    <d v="1997-03-11T00:00:00"/>
  </r>
  <r>
    <n v="10471"/>
    <x v="4"/>
    <n v="608"/>
    <n v="20"/>
    <d v="1997-03-11T00:00:00"/>
  </r>
  <r>
    <n v="10471"/>
    <x v="5"/>
    <n v="608"/>
    <n v="20"/>
    <d v="1997-03-11T00:00:00"/>
  </r>
  <r>
    <n v="10471"/>
    <x v="6"/>
    <n v="608"/>
    <n v="20"/>
    <d v="1997-03-11T00:00:00"/>
  </r>
  <r>
    <n v="10471"/>
    <x v="7"/>
    <n v="608"/>
    <n v="20"/>
    <d v="1997-03-11T00:00:00"/>
  </r>
  <r>
    <n v="10472"/>
    <x v="0"/>
    <n v="273.59999978542328"/>
    <n v="80"/>
    <d v="1997-03-12T00:00:00"/>
  </r>
  <r>
    <n v="10472"/>
    <x v="1"/>
    <n v="273.59999978542328"/>
    <n v="80"/>
    <d v="1997-03-12T00:00:00"/>
  </r>
  <r>
    <n v="10472"/>
    <x v="2"/>
    <n v="273.59999978542328"/>
    <n v="80"/>
    <d v="1997-03-12T00:00:00"/>
  </r>
  <r>
    <n v="10472"/>
    <x v="3"/>
    <n v="273.59999978542328"/>
    <n v="80"/>
    <d v="1997-03-12T00:00:00"/>
  </r>
  <r>
    <n v="10472"/>
    <x v="4"/>
    <n v="273.59999978542328"/>
    <n v="80"/>
    <d v="1997-03-12T00:00:00"/>
  </r>
  <r>
    <n v="10472"/>
    <x v="5"/>
    <n v="273.59999978542328"/>
    <n v="80"/>
    <d v="1997-03-12T00:00:00"/>
  </r>
  <r>
    <n v="10472"/>
    <x v="6"/>
    <n v="273.59999978542328"/>
    <n v="80"/>
    <d v="1997-03-12T00:00:00"/>
  </r>
  <r>
    <n v="10472"/>
    <x v="7"/>
    <n v="273.59999978542328"/>
    <n v="80"/>
    <d v="1997-03-12T00:00:00"/>
  </r>
  <r>
    <n v="10472"/>
    <x v="0"/>
    <n v="763.2"/>
    <n v="18"/>
    <d v="1997-03-12T00:00:00"/>
  </r>
  <r>
    <n v="10472"/>
    <x v="1"/>
    <n v="763.2"/>
    <n v="18"/>
    <d v="1997-03-12T00:00:00"/>
  </r>
  <r>
    <n v="10472"/>
    <x v="2"/>
    <n v="763.2"/>
    <n v="18"/>
    <d v="1997-03-12T00:00:00"/>
  </r>
  <r>
    <n v="10472"/>
    <x v="3"/>
    <n v="763.2"/>
    <n v="18"/>
    <d v="1997-03-12T00:00:00"/>
  </r>
  <r>
    <n v="10472"/>
    <x v="4"/>
    <n v="763.2"/>
    <n v="18"/>
    <d v="1997-03-12T00:00:00"/>
  </r>
  <r>
    <n v="10472"/>
    <x v="5"/>
    <n v="763.2"/>
    <n v="18"/>
    <d v="1997-03-12T00:00:00"/>
  </r>
  <r>
    <n v="10472"/>
    <x v="6"/>
    <n v="763.2"/>
    <n v="18"/>
    <d v="1997-03-12T00:00:00"/>
  </r>
  <r>
    <n v="10472"/>
    <x v="7"/>
    <n v="763.2"/>
    <n v="18"/>
    <d v="1997-03-12T00:00:00"/>
  </r>
  <r>
    <n v="10473"/>
    <x v="0"/>
    <n v="24"/>
    <n v="12"/>
    <d v="1997-03-13T00:00:00"/>
  </r>
  <r>
    <n v="10473"/>
    <x v="1"/>
    <n v="24"/>
    <n v="12"/>
    <d v="1997-03-13T00:00:00"/>
  </r>
  <r>
    <n v="10473"/>
    <x v="2"/>
    <n v="24"/>
    <n v="12"/>
    <d v="1997-03-13T00:00:00"/>
  </r>
  <r>
    <n v="10473"/>
    <x v="3"/>
    <n v="24"/>
    <n v="12"/>
    <d v="1997-03-13T00:00:00"/>
  </r>
  <r>
    <n v="10473"/>
    <x v="4"/>
    <n v="24"/>
    <n v="12"/>
    <d v="1997-03-13T00:00:00"/>
  </r>
  <r>
    <n v="10473"/>
    <x v="5"/>
    <n v="24"/>
    <n v="12"/>
    <d v="1997-03-13T00:00:00"/>
  </r>
  <r>
    <n v="10473"/>
    <x v="6"/>
    <n v="24"/>
    <n v="12"/>
    <d v="1997-03-13T00:00:00"/>
  </r>
  <r>
    <n v="10473"/>
    <x v="7"/>
    <n v="24"/>
    <n v="12"/>
    <d v="1997-03-13T00:00:00"/>
  </r>
  <r>
    <n v="10473"/>
    <x v="0"/>
    <n v="206.4"/>
    <n v="12"/>
    <d v="1997-03-13T00:00:00"/>
  </r>
  <r>
    <n v="10473"/>
    <x v="1"/>
    <n v="206.4"/>
    <n v="12"/>
    <d v="1997-03-13T00:00:00"/>
  </r>
  <r>
    <n v="10473"/>
    <x v="2"/>
    <n v="206.4"/>
    <n v="12"/>
    <d v="1997-03-13T00:00:00"/>
  </r>
  <r>
    <n v="10473"/>
    <x v="3"/>
    <n v="206.4"/>
    <n v="12"/>
    <d v="1997-03-13T00:00:00"/>
  </r>
  <r>
    <n v="10473"/>
    <x v="4"/>
    <n v="206.4"/>
    <n v="12"/>
    <d v="1997-03-13T00:00:00"/>
  </r>
  <r>
    <n v="10473"/>
    <x v="5"/>
    <n v="206.4"/>
    <n v="12"/>
    <d v="1997-03-13T00:00:00"/>
  </r>
  <r>
    <n v="10473"/>
    <x v="6"/>
    <n v="206.4"/>
    <n v="12"/>
    <d v="1997-03-13T00:00:00"/>
  </r>
  <r>
    <n v="10473"/>
    <x v="7"/>
    <n v="206.4"/>
    <n v="12"/>
    <d v="1997-03-13T00:00:00"/>
  </r>
  <r>
    <n v="10474"/>
    <x v="0"/>
    <n v="223.2"/>
    <n v="12"/>
    <d v="1997-03-13T00:00:00"/>
  </r>
  <r>
    <n v="10474"/>
    <x v="1"/>
    <n v="223.2"/>
    <n v="12"/>
    <d v="1997-03-13T00:00:00"/>
  </r>
  <r>
    <n v="10474"/>
    <x v="2"/>
    <n v="223.2"/>
    <n v="12"/>
    <d v="1997-03-13T00:00:00"/>
  </r>
  <r>
    <n v="10474"/>
    <x v="3"/>
    <n v="223.2"/>
    <n v="12"/>
    <d v="1997-03-13T00:00:00"/>
  </r>
  <r>
    <n v="10474"/>
    <x v="4"/>
    <n v="223.2"/>
    <n v="12"/>
    <d v="1997-03-13T00:00:00"/>
  </r>
  <r>
    <n v="10474"/>
    <x v="5"/>
    <n v="223.2"/>
    <n v="12"/>
    <d v="1997-03-13T00:00:00"/>
  </r>
  <r>
    <n v="10474"/>
    <x v="6"/>
    <n v="223.2"/>
    <n v="12"/>
    <d v="1997-03-13T00:00:00"/>
  </r>
  <r>
    <n v="10474"/>
    <x v="7"/>
    <n v="223.2"/>
    <n v="12"/>
    <d v="1997-03-13T00:00:00"/>
  </r>
  <r>
    <n v="10474"/>
    <x v="0"/>
    <n v="655.20000000000005"/>
    <n v="18"/>
    <d v="1997-03-13T00:00:00"/>
  </r>
  <r>
    <n v="10474"/>
    <x v="1"/>
    <n v="655.20000000000005"/>
    <n v="18"/>
    <d v="1997-03-13T00:00:00"/>
  </r>
  <r>
    <n v="10474"/>
    <x v="2"/>
    <n v="655.20000000000005"/>
    <n v="18"/>
    <d v="1997-03-13T00:00:00"/>
  </r>
  <r>
    <n v="10474"/>
    <x v="3"/>
    <n v="655.20000000000005"/>
    <n v="18"/>
    <d v="1997-03-13T00:00:00"/>
  </r>
  <r>
    <n v="10474"/>
    <x v="4"/>
    <n v="655.20000000000005"/>
    <n v="18"/>
    <d v="1997-03-13T00:00:00"/>
  </r>
  <r>
    <n v="10474"/>
    <x v="5"/>
    <n v="655.20000000000005"/>
    <n v="18"/>
    <d v="1997-03-13T00:00:00"/>
  </r>
  <r>
    <n v="10474"/>
    <x v="6"/>
    <n v="655.20000000000005"/>
    <n v="18"/>
    <d v="1997-03-13T00:00:00"/>
  </r>
  <r>
    <n v="10474"/>
    <x v="7"/>
    <n v="655.20000000000005"/>
    <n v="18"/>
    <d v="1997-03-13T00:00:00"/>
  </r>
  <r>
    <n v="10474"/>
    <x v="0"/>
    <n v="308.7"/>
    <n v="21"/>
    <d v="1997-03-13T00:00:00"/>
  </r>
  <r>
    <n v="10474"/>
    <x v="1"/>
    <n v="308.7"/>
    <n v="21"/>
    <d v="1997-03-13T00:00:00"/>
  </r>
  <r>
    <n v="10474"/>
    <x v="2"/>
    <n v="308.7"/>
    <n v="21"/>
    <d v="1997-03-13T00:00:00"/>
  </r>
  <r>
    <n v="10474"/>
    <x v="3"/>
    <n v="308.7"/>
    <n v="21"/>
    <d v="1997-03-13T00:00:00"/>
  </r>
  <r>
    <n v="10474"/>
    <x v="4"/>
    <n v="308.7"/>
    <n v="21"/>
    <d v="1997-03-13T00:00:00"/>
  </r>
  <r>
    <n v="10474"/>
    <x v="5"/>
    <n v="308.7"/>
    <n v="21"/>
    <d v="1997-03-13T00:00:00"/>
  </r>
  <r>
    <n v="10474"/>
    <x v="6"/>
    <n v="308.7"/>
    <n v="21"/>
    <d v="1997-03-13T00:00:00"/>
  </r>
  <r>
    <n v="10474"/>
    <x v="7"/>
    <n v="308.7"/>
    <n v="21"/>
    <d v="1997-03-13T00:00:00"/>
  </r>
  <r>
    <n v="10474"/>
    <x v="0"/>
    <n v="62"/>
    <n v="10"/>
    <d v="1997-03-13T00:00:00"/>
  </r>
  <r>
    <n v="10474"/>
    <x v="1"/>
    <n v="62"/>
    <n v="10"/>
    <d v="1997-03-13T00:00:00"/>
  </r>
  <r>
    <n v="10474"/>
    <x v="2"/>
    <n v="62"/>
    <n v="10"/>
    <d v="1997-03-13T00:00:00"/>
  </r>
  <r>
    <n v="10474"/>
    <x v="3"/>
    <n v="62"/>
    <n v="10"/>
    <d v="1997-03-13T00:00:00"/>
  </r>
  <r>
    <n v="10474"/>
    <x v="4"/>
    <n v="62"/>
    <n v="10"/>
    <d v="1997-03-13T00:00:00"/>
  </r>
  <r>
    <n v="10474"/>
    <x v="5"/>
    <n v="62"/>
    <n v="10"/>
    <d v="1997-03-13T00:00:00"/>
  </r>
  <r>
    <n v="10474"/>
    <x v="6"/>
    <n v="62"/>
    <n v="10"/>
    <d v="1997-03-13T00:00:00"/>
  </r>
  <r>
    <n v="10474"/>
    <x v="7"/>
    <n v="62"/>
    <n v="10"/>
    <d v="1997-03-13T00:00:00"/>
  </r>
  <r>
    <n v="10475"/>
    <x v="0"/>
    <n v="297.49999791383743"/>
    <n v="35"/>
    <d v="1997-03-14T00:00:00"/>
  </r>
  <r>
    <n v="10475"/>
    <x v="1"/>
    <n v="297.49999791383743"/>
    <n v="35"/>
    <d v="1997-03-14T00:00:00"/>
  </r>
  <r>
    <n v="10475"/>
    <x v="2"/>
    <n v="297.49999791383743"/>
    <n v="35"/>
    <d v="1997-03-14T00:00:00"/>
  </r>
  <r>
    <n v="10475"/>
    <x v="3"/>
    <n v="297.49999791383743"/>
    <n v="35"/>
    <d v="1997-03-14T00:00:00"/>
  </r>
  <r>
    <n v="10475"/>
    <x v="4"/>
    <n v="297.49999791383743"/>
    <n v="35"/>
    <d v="1997-03-14T00:00:00"/>
  </r>
  <r>
    <n v="10475"/>
    <x v="5"/>
    <n v="297.49999791383743"/>
    <n v="35"/>
    <d v="1997-03-14T00:00:00"/>
  </r>
  <r>
    <n v="10475"/>
    <x v="6"/>
    <n v="297.49999791383743"/>
    <n v="35"/>
    <d v="1997-03-14T00:00:00"/>
  </r>
  <r>
    <n v="10475"/>
    <x v="7"/>
    <n v="297.49999791383743"/>
    <n v="35"/>
    <d v="1997-03-14T00:00:00"/>
  </r>
  <r>
    <n v="10475"/>
    <x v="0"/>
    <n v="693.59999513626099"/>
    <n v="60"/>
    <d v="1997-03-14T00:00:00"/>
  </r>
  <r>
    <n v="10475"/>
    <x v="1"/>
    <n v="693.59999513626099"/>
    <n v="60"/>
    <d v="1997-03-14T00:00:00"/>
  </r>
  <r>
    <n v="10475"/>
    <x v="2"/>
    <n v="693.59999513626099"/>
    <n v="60"/>
    <d v="1997-03-14T00:00:00"/>
  </r>
  <r>
    <n v="10475"/>
    <x v="3"/>
    <n v="693.59999513626099"/>
    <n v="60"/>
    <d v="1997-03-14T00:00:00"/>
  </r>
  <r>
    <n v="10475"/>
    <x v="4"/>
    <n v="693.59999513626099"/>
    <n v="60"/>
    <d v="1997-03-14T00:00:00"/>
  </r>
  <r>
    <n v="10475"/>
    <x v="5"/>
    <n v="693.59999513626099"/>
    <n v="60"/>
    <d v="1997-03-14T00:00:00"/>
  </r>
  <r>
    <n v="10475"/>
    <x v="6"/>
    <n v="693.59999513626099"/>
    <n v="60"/>
    <d v="1997-03-14T00:00:00"/>
  </r>
  <r>
    <n v="10475"/>
    <x v="7"/>
    <n v="693.59999513626099"/>
    <n v="60"/>
    <d v="1997-03-14T00:00:00"/>
  </r>
  <r>
    <n v="10475"/>
    <x v="0"/>
    <n v="514.07999639511104"/>
    <n v="42"/>
    <d v="1997-03-14T00:00:00"/>
  </r>
  <r>
    <n v="10475"/>
    <x v="1"/>
    <n v="514.07999639511104"/>
    <n v="42"/>
    <d v="1997-03-14T00:00:00"/>
  </r>
  <r>
    <n v="10475"/>
    <x v="2"/>
    <n v="514.07999639511104"/>
    <n v="42"/>
    <d v="1997-03-14T00:00:00"/>
  </r>
  <r>
    <n v="10475"/>
    <x v="3"/>
    <n v="514.07999639511104"/>
    <n v="42"/>
    <d v="1997-03-14T00:00:00"/>
  </r>
  <r>
    <n v="10475"/>
    <x v="4"/>
    <n v="514.07999639511104"/>
    <n v="42"/>
    <d v="1997-03-14T00:00:00"/>
  </r>
  <r>
    <n v="10475"/>
    <x v="5"/>
    <n v="514.07999639511104"/>
    <n v="42"/>
    <d v="1997-03-14T00:00:00"/>
  </r>
  <r>
    <n v="10475"/>
    <x v="6"/>
    <n v="514.07999639511104"/>
    <n v="42"/>
    <d v="1997-03-14T00:00:00"/>
  </r>
  <r>
    <n v="10475"/>
    <x v="7"/>
    <n v="514.07999639511104"/>
    <n v="42"/>
    <d v="1997-03-14T00:00:00"/>
  </r>
  <r>
    <n v="10476"/>
    <x v="0"/>
    <n v="36.479999971389766"/>
    <n v="2"/>
    <d v="1997-03-17T00:00:00"/>
  </r>
  <r>
    <n v="10476"/>
    <x v="1"/>
    <n v="36.479999971389766"/>
    <n v="2"/>
    <d v="1997-03-17T00:00:00"/>
  </r>
  <r>
    <n v="10476"/>
    <x v="2"/>
    <n v="36.479999971389766"/>
    <n v="2"/>
    <d v="1997-03-17T00:00:00"/>
  </r>
  <r>
    <n v="10476"/>
    <x v="3"/>
    <n v="36.479999971389766"/>
    <n v="2"/>
    <d v="1997-03-17T00:00:00"/>
  </r>
  <r>
    <n v="10476"/>
    <x v="4"/>
    <n v="36.479999971389766"/>
    <n v="2"/>
    <d v="1997-03-17T00:00:00"/>
  </r>
  <r>
    <n v="10476"/>
    <x v="5"/>
    <n v="36.479999971389766"/>
    <n v="2"/>
    <d v="1997-03-17T00:00:00"/>
  </r>
  <r>
    <n v="10476"/>
    <x v="6"/>
    <n v="36.479999971389766"/>
    <n v="2"/>
    <d v="1997-03-17T00:00:00"/>
  </r>
  <r>
    <n v="10476"/>
    <x v="7"/>
    <n v="36.479999971389766"/>
    <n v="2"/>
    <d v="1997-03-17T00:00:00"/>
  </r>
  <r>
    <n v="10476"/>
    <x v="0"/>
    <n v="144"/>
    <n v="12"/>
    <d v="1997-03-17T00:00:00"/>
  </r>
  <r>
    <n v="10476"/>
    <x v="1"/>
    <n v="144"/>
    <n v="12"/>
    <d v="1997-03-17T00:00:00"/>
  </r>
  <r>
    <n v="10476"/>
    <x v="2"/>
    <n v="144"/>
    <n v="12"/>
    <d v="1997-03-17T00:00:00"/>
  </r>
  <r>
    <n v="10476"/>
    <x v="3"/>
    <n v="144"/>
    <n v="12"/>
    <d v="1997-03-17T00:00:00"/>
  </r>
  <r>
    <n v="10476"/>
    <x v="4"/>
    <n v="144"/>
    <n v="12"/>
    <d v="1997-03-17T00:00:00"/>
  </r>
  <r>
    <n v="10476"/>
    <x v="5"/>
    <n v="144"/>
    <n v="12"/>
    <d v="1997-03-17T00:00:00"/>
  </r>
  <r>
    <n v="10476"/>
    <x v="6"/>
    <n v="144"/>
    <n v="12"/>
    <d v="1997-03-17T00:00:00"/>
  </r>
  <r>
    <n v="10476"/>
    <x v="7"/>
    <n v="144"/>
    <n v="12"/>
    <d v="1997-03-17T00:00:00"/>
  </r>
  <r>
    <n v="10477"/>
    <x v="0"/>
    <n v="216"/>
    <n v="15"/>
    <d v="1997-03-17T00:00:00"/>
  </r>
  <r>
    <n v="10477"/>
    <x v="1"/>
    <n v="216"/>
    <n v="15"/>
    <d v="1997-03-17T00:00:00"/>
  </r>
  <r>
    <n v="10477"/>
    <x v="2"/>
    <n v="216"/>
    <n v="15"/>
    <d v="1997-03-17T00:00:00"/>
  </r>
  <r>
    <n v="10477"/>
    <x v="3"/>
    <n v="216"/>
    <n v="15"/>
    <d v="1997-03-17T00:00:00"/>
  </r>
  <r>
    <n v="10477"/>
    <x v="4"/>
    <n v="216"/>
    <n v="15"/>
    <d v="1997-03-17T00:00:00"/>
  </r>
  <r>
    <n v="10477"/>
    <x v="5"/>
    <n v="216"/>
    <n v="15"/>
    <d v="1997-03-17T00:00:00"/>
  </r>
  <r>
    <n v="10477"/>
    <x v="6"/>
    <n v="216"/>
    <n v="15"/>
    <d v="1997-03-17T00:00:00"/>
  </r>
  <r>
    <n v="10477"/>
    <x v="7"/>
    <n v="216"/>
    <n v="15"/>
    <d v="1997-03-17T00:00:00"/>
  </r>
  <r>
    <n v="10477"/>
    <x v="0"/>
    <n v="126"/>
    <n v="21"/>
    <d v="1997-03-17T00:00:00"/>
  </r>
  <r>
    <n v="10477"/>
    <x v="1"/>
    <n v="126"/>
    <n v="21"/>
    <d v="1997-03-17T00:00:00"/>
  </r>
  <r>
    <n v="10477"/>
    <x v="2"/>
    <n v="126"/>
    <n v="21"/>
    <d v="1997-03-17T00:00:00"/>
  </r>
  <r>
    <n v="10477"/>
    <x v="3"/>
    <n v="126"/>
    <n v="21"/>
    <d v="1997-03-17T00:00:00"/>
  </r>
  <r>
    <n v="10477"/>
    <x v="4"/>
    <n v="126"/>
    <n v="21"/>
    <d v="1997-03-17T00:00:00"/>
  </r>
  <r>
    <n v="10477"/>
    <x v="5"/>
    <n v="126"/>
    <n v="21"/>
    <d v="1997-03-17T00:00:00"/>
  </r>
  <r>
    <n v="10477"/>
    <x v="6"/>
    <n v="126"/>
    <n v="21"/>
    <d v="1997-03-17T00:00:00"/>
  </r>
  <r>
    <n v="10477"/>
    <x v="7"/>
    <n v="126"/>
    <n v="21"/>
    <d v="1997-03-17T00:00:00"/>
  </r>
  <r>
    <n v="10477"/>
    <x v="0"/>
    <n v="216"/>
    <n v="20"/>
    <d v="1997-03-17T00:00:00"/>
  </r>
  <r>
    <n v="10477"/>
    <x v="1"/>
    <n v="216"/>
    <n v="20"/>
    <d v="1997-03-17T00:00:00"/>
  </r>
  <r>
    <n v="10477"/>
    <x v="2"/>
    <n v="216"/>
    <n v="20"/>
    <d v="1997-03-17T00:00:00"/>
  </r>
  <r>
    <n v="10477"/>
    <x v="3"/>
    <n v="216"/>
    <n v="20"/>
    <d v="1997-03-17T00:00:00"/>
  </r>
  <r>
    <n v="10477"/>
    <x v="4"/>
    <n v="216"/>
    <n v="20"/>
    <d v="1997-03-17T00:00:00"/>
  </r>
  <r>
    <n v="10477"/>
    <x v="5"/>
    <n v="216"/>
    <n v="20"/>
    <d v="1997-03-17T00:00:00"/>
  </r>
  <r>
    <n v="10477"/>
    <x v="6"/>
    <n v="216"/>
    <n v="20"/>
    <d v="1997-03-17T00:00:00"/>
  </r>
  <r>
    <n v="10477"/>
    <x v="7"/>
    <n v="216"/>
    <n v="20"/>
    <d v="1997-03-17T00:00:00"/>
  </r>
  <r>
    <n v="10478"/>
    <x v="0"/>
    <n v="471.1999996304512"/>
    <n v="20"/>
    <d v="1997-03-18T00:00:00"/>
  </r>
  <r>
    <n v="10478"/>
    <x v="1"/>
    <n v="471.1999996304512"/>
    <n v="20"/>
    <d v="1997-03-18T00:00:00"/>
  </r>
  <r>
    <n v="10478"/>
    <x v="2"/>
    <n v="471.1999996304512"/>
    <n v="20"/>
    <d v="1997-03-18T00:00:00"/>
  </r>
  <r>
    <n v="10478"/>
    <x v="3"/>
    <n v="471.1999996304512"/>
    <n v="20"/>
    <d v="1997-03-18T00:00:00"/>
  </r>
  <r>
    <n v="10478"/>
    <x v="4"/>
    <n v="471.1999996304512"/>
    <n v="20"/>
    <d v="1997-03-18T00:00:00"/>
  </r>
  <r>
    <n v="10478"/>
    <x v="5"/>
    <n v="471.1999996304512"/>
    <n v="20"/>
    <d v="1997-03-18T00:00:00"/>
  </r>
  <r>
    <n v="10478"/>
    <x v="6"/>
    <n v="471.1999996304512"/>
    <n v="20"/>
    <d v="1997-03-18T00:00:00"/>
  </r>
  <r>
    <n v="10478"/>
    <x v="7"/>
    <n v="471.1999996304512"/>
    <n v="20"/>
    <d v="1997-03-18T00:00:00"/>
  </r>
  <r>
    <n v="10479"/>
    <x v="0"/>
    <n v="6324"/>
    <n v="30"/>
    <d v="1997-03-19T00:00:00"/>
  </r>
  <r>
    <n v="10479"/>
    <x v="1"/>
    <n v="6324"/>
    <n v="30"/>
    <d v="1997-03-19T00:00:00"/>
  </r>
  <r>
    <n v="10479"/>
    <x v="2"/>
    <n v="6324"/>
    <n v="30"/>
    <d v="1997-03-19T00:00:00"/>
  </r>
  <r>
    <n v="10479"/>
    <x v="3"/>
    <n v="6324"/>
    <n v="30"/>
    <d v="1997-03-19T00:00:00"/>
  </r>
  <r>
    <n v="10479"/>
    <x v="4"/>
    <n v="6324"/>
    <n v="30"/>
    <d v="1997-03-19T00:00:00"/>
  </r>
  <r>
    <n v="10479"/>
    <x v="5"/>
    <n v="6324"/>
    <n v="30"/>
    <d v="1997-03-19T00:00:00"/>
  </r>
  <r>
    <n v="10479"/>
    <x v="6"/>
    <n v="6324"/>
    <n v="30"/>
    <d v="1997-03-19T00:00:00"/>
  </r>
  <r>
    <n v="10479"/>
    <x v="7"/>
    <n v="6324"/>
    <n v="30"/>
    <d v="1997-03-19T00:00:00"/>
  </r>
  <r>
    <n v="10479"/>
    <x v="0"/>
    <n v="733.6"/>
    <n v="28"/>
    <d v="1997-03-19T00:00:00"/>
  </r>
  <r>
    <n v="10479"/>
    <x v="1"/>
    <n v="733.6"/>
    <n v="28"/>
    <d v="1997-03-19T00:00:00"/>
  </r>
  <r>
    <n v="10479"/>
    <x v="2"/>
    <n v="733.6"/>
    <n v="28"/>
    <d v="1997-03-19T00:00:00"/>
  </r>
  <r>
    <n v="10479"/>
    <x v="3"/>
    <n v="733.6"/>
    <n v="28"/>
    <d v="1997-03-19T00:00:00"/>
  </r>
  <r>
    <n v="10479"/>
    <x v="4"/>
    <n v="733.6"/>
    <n v="28"/>
    <d v="1997-03-19T00:00:00"/>
  </r>
  <r>
    <n v="10479"/>
    <x v="5"/>
    <n v="733.6"/>
    <n v="28"/>
    <d v="1997-03-19T00:00:00"/>
  </r>
  <r>
    <n v="10479"/>
    <x v="6"/>
    <n v="733.6"/>
    <n v="28"/>
    <d v="1997-03-19T00:00:00"/>
  </r>
  <r>
    <n v="10479"/>
    <x v="7"/>
    <n v="733.6"/>
    <n v="28"/>
    <d v="1997-03-19T00:00:00"/>
  </r>
  <r>
    <n v="10479"/>
    <x v="0"/>
    <n v="2640"/>
    <n v="60"/>
    <d v="1997-03-19T00:00:00"/>
  </r>
  <r>
    <n v="10479"/>
    <x v="1"/>
    <n v="2640"/>
    <n v="60"/>
    <d v="1997-03-19T00:00:00"/>
  </r>
  <r>
    <n v="10479"/>
    <x v="2"/>
    <n v="2640"/>
    <n v="60"/>
    <d v="1997-03-19T00:00:00"/>
  </r>
  <r>
    <n v="10479"/>
    <x v="3"/>
    <n v="2640"/>
    <n v="60"/>
    <d v="1997-03-19T00:00:00"/>
  </r>
  <r>
    <n v="10479"/>
    <x v="4"/>
    <n v="2640"/>
    <n v="60"/>
    <d v="1997-03-19T00:00:00"/>
  </r>
  <r>
    <n v="10479"/>
    <x v="5"/>
    <n v="2640"/>
    <n v="60"/>
    <d v="1997-03-19T00:00:00"/>
  </r>
  <r>
    <n v="10479"/>
    <x v="6"/>
    <n v="2640"/>
    <n v="60"/>
    <d v="1997-03-19T00:00:00"/>
  </r>
  <r>
    <n v="10479"/>
    <x v="7"/>
    <n v="2640"/>
    <n v="60"/>
    <d v="1997-03-19T00:00:00"/>
  </r>
  <r>
    <n v="10479"/>
    <x v="0"/>
    <n v="798"/>
    <n v="30"/>
    <d v="1997-03-19T00:00:00"/>
  </r>
  <r>
    <n v="10479"/>
    <x v="1"/>
    <n v="798"/>
    <n v="30"/>
    <d v="1997-03-19T00:00:00"/>
  </r>
  <r>
    <n v="10479"/>
    <x v="2"/>
    <n v="798"/>
    <n v="30"/>
    <d v="1997-03-19T00:00:00"/>
  </r>
  <r>
    <n v="10479"/>
    <x v="3"/>
    <n v="798"/>
    <n v="30"/>
    <d v="1997-03-19T00:00:00"/>
  </r>
  <r>
    <n v="10479"/>
    <x v="4"/>
    <n v="798"/>
    <n v="30"/>
    <d v="1997-03-19T00:00:00"/>
  </r>
  <r>
    <n v="10479"/>
    <x v="5"/>
    <n v="798"/>
    <n v="30"/>
    <d v="1997-03-19T00:00:00"/>
  </r>
  <r>
    <n v="10479"/>
    <x v="6"/>
    <n v="798"/>
    <n v="30"/>
    <d v="1997-03-19T00:00:00"/>
  </r>
  <r>
    <n v="10479"/>
    <x v="7"/>
    <n v="798"/>
    <n v="30"/>
    <d v="1997-03-19T00:00:00"/>
  </r>
  <r>
    <n v="10480"/>
    <x v="0"/>
    <n v="228"/>
    <n v="30"/>
    <d v="1997-03-20T00:00:00"/>
  </r>
  <r>
    <n v="10480"/>
    <x v="1"/>
    <n v="228"/>
    <n v="30"/>
    <d v="1997-03-20T00:00:00"/>
  </r>
  <r>
    <n v="10480"/>
    <x v="2"/>
    <n v="228"/>
    <n v="30"/>
    <d v="1997-03-20T00:00:00"/>
  </r>
  <r>
    <n v="10480"/>
    <x v="3"/>
    <n v="228"/>
    <n v="30"/>
    <d v="1997-03-20T00:00:00"/>
  </r>
  <r>
    <n v="10480"/>
    <x v="4"/>
    <n v="228"/>
    <n v="30"/>
    <d v="1997-03-20T00:00:00"/>
  </r>
  <r>
    <n v="10480"/>
    <x v="5"/>
    <n v="228"/>
    <n v="30"/>
    <d v="1997-03-20T00:00:00"/>
  </r>
  <r>
    <n v="10480"/>
    <x v="6"/>
    <n v="228"/>
    <n v="30"/>
    <d v="1997-03-20T00:00:00"/>
  </r>
  <r>
    <n v="10480"/>
    <x v="7"/>
    <n v="228"/>
    <n v="30"/>
    <d v="1997-03-20T00:00:00"/>
  </r>
  <r>
    <n v="10480"/>
    <x v="0"/>
    <n v="528"/>
    <n v="12"/>
    <d v="1997-03-20T00:00:00"/>
  </r>
  <r>
    <n v="10480"/>
    <x v="1"/>
    <n v="528"/>
    <n v="12"/>
    <d v="1997-03-20T00:00:00"/>
  </r>
  <r>
    <n v="10480"/>
    <x v="2"/>
    <n v="528"/>
    <n v="12"/>
    <d v="1997-03-20T00:00:00"/>
  </r>
  <r>
    <n v="10480"/>
    <x v="3"/>
    <n v="528"/>
    <n v="12"/>
    <d v="1997-03-20T00:00:00"/>
  </r>
  <r>
    <n v="10480"/>
    <x v="4"/>
    <n v="528"/>
    <n v="12"/>
    <d v="1997-03-20T00:00:00"/>
  </r>
  <r>
    <n v="10480"/>
    <x v="5"/>
    <n v="528"/>
    <n v="12"/>
    <d v="1997-03-20T00:00:00"/>
  </r>
  <r>
    <n v="10480"/>
    <x v="6"/>
    <n v="528"/>
    <n v="12"/>
    <d v="1997-03-20T00:00:00"/>
  </r>
  <r>
    <n v="10480"/>
    <x v="7"/>
    <n v="528"/>
    <n v="12"/>
    <d v="1997-03-20T00:00:00"/>
  </r>
  <r>
    <n v="10481"/>
    <x v="0"/>
    <n v="384"/>
    <n v="24"/>
    <d v="1997-03-20T00:00:00"/>
  </r>
  <r>
    <n v="10481"/>
    <x v="1"/>
    <n v="384"/>
    <n v="24"/>
    <d v="1997-03-20T00:00:00"/>
  </r>
  <r>
    <n v="10481"/>
    <x v="2"/>
    <n v="384"/>
    <n v="24"/>
    <d v="1997-03-20T00:00:00"/>
  </r>
  <r>
    <n v="10481"/>
    <x v="3"/>
    <n v="384"/>
    <n v="24"/>
    <d v="1997-03-20T00:00:00"/>
  </r>
  <r>
    <n v="10481"/>
    <x v="4"/>
    <n v="384"/>
    <n v="24"/>
    <d v="1997-03-20T00:00:00"/>
  </r>
  <r>
    <n v="10481"/>
    <x v="5"/>
    <n v="384"/>
    <n v="24"/>
    <d v="1997-03-20T00:00:00"/>
  </r>
  <r>
    <n v="10481"/>
    <x v="6"/>
    <n v="384"/>
    <n v="24"/>
    <d v="1997-03-20T00:00:00"/>
  </r>
  <r>
    <n v="10481"/>
    <x v="7"/>
    <n v="384"/>
    <n v="24"/>
    <d v="1997-03-20T00:00:00"/>
  </r>
  <r>
    <n v="10481"/>
    <x v="0"/>
    <n v="1088"/>
    <n v="40"/>
    <d v="1997-03-20T00:00:00"/>
  </r>
  <r>
    <n v="10481"/>
    <x v="1"/>
    <n v="1088"/>
    <n v="40"/>
    <d v="1997-03-20T00:00:00"/>
  </r>
  <r>
    <n v="10481"/>
    <x v="2"/>
    <n v="1088"/>
    <n v="40"/>
    <d v="1997-03-20T00:00:00"/>
  </r>
  <r>
    <n v="10481"/>
    <x v="3"/>
    <n v="1088"/>
    <n v="40"/>
    <d v="1997-03-20T00:00:00"/>
  </r>
  <r>
    <n v="10481"/>
    <x v="4"/>
    <n v="1088"/>
    <n v="40"/>
    <d v="1997-03-20T00:00:00"/>
  </r>
  <r>
    <n v="10481"/>
    <x v="5"/>
    <n v="1088"/>
    <n v="40"/>
    <d v="1997-03-20T00:00:00"/>
  </r>
  <r>
    <n v="10481"/>
    <x v="6"/>
    <n v="1088"/>
    <n v="40"/>
    <d v="1997-03-20T00:00:00"/>
  </r>
  <r>
    <n v="10481"/>
    <x v="7"/>
    <n v="1088"/>
    <n v="40"/>
    <d v="1997-03-20T00:00:00"/>
  </r>
  <r>
    <n v="10482"/>
    <x v="0"/>
    <n v="147"/>
    <n v="10"/>
    <d v="1997-03-21T00:00:00"/>
  </r>
  <r>
    <n v="10482"/>
    <x v="1"/>
    <n v="147"/>
    <n v="10"/>
    <d v="1997-03-21T00:00:00"/>
  </r>
  <r>
    <n v="10482"/>
    <x v="2"/>
    <n v="147"/>
    <n v="10"/>
    <d v="1997-03-21T00:00:00"/>
  </r>
  <r>
    <n v="10482"/>
    <x v="3"/>
    <n v="147"/>
    <n v="10"/>
    <d v="1997-03-21T00:00:00"/>
  </r>
  <r>
    <n v="10482"/>
    <x v="4"/>
    <n v="147"/>
    <n v="10"/>
    <d v="1997-03-21T00:00:00"/>
  </r>
  <r>
    <n v="10482"/>
    <x v="5"/>
    <n v="147"/>
    <n v="10"/>
    <d v="1997-03-21T00:00:00"/>
  </r>
  <r>
    <n v="10482"/>
    <x v="6"/>
    <n v="147"/>
    <n v="10"/>
    <d v="1997-03-21T00:00:00"/>
  </r>
  <r>
    <n v="10482"/>
    <x v="7"/>
    <n v="147"/>
    <n v="10"/>
    <d v="1997-03-21T00:00:00"/>
  </r>
  <r>
    <n v="10483"/>
    <x v="0"/>
    <n v="372.39999970793724"/>
    <n v="35"/>
    <d v="1997-03-24T00:00:00"/>
  </r>
  <r>
    <n v="10483"/>
    <x v="1"/>
    <n v="372.39999970793724"/>
    <n v="35"/>
    <d v="1997-03-24T00:00:00"/>
  </r>
  <r>
    <n v="10483"/>
    <x v="2"/>
    <n v="372.39999970793724"/>
    <n v="35"/>
    <d v="1997-03-24T00:00:00"/>
  </r>
  <r>
    <n v="10483"/>
    <x v="3"/>
    <n v="372.39999970793724"/>
    <n v="35"/>
    <d v="1997-03-24T00:00:00"/>
  </r>
  <r>
    <n v="10483"/>
    <x v="4"/>
    <n v="372.39999970793724"/>
    <n v="35"/>
    <d v="1997-03-24T00:00:00"/>
  </r>
  <r>
    <n v="10483"/>
    <x v="5"/>
    <n v="372.39999970793724"/>
    <n v="35"/>
    <d v="1997-03-24T00:00:00"/>
  </r>
  <r>
    <n v="10483"/>
    <x v="6"/>
    <n v="372.39999970793724"/>
    <n v="35"/>
    <d v="1997-03-24T00:00:00"/>
  </r>
  <r>
    <n v="10483"/>
    <x v="7"/>
    <n v="372.39999970793724"/>
    <n v="35"/>
    <d v="1997-03-24T00:00:00"/>
  </r>
  <r>
    <n v="10483"/>
    <x v="0"/>
    <n v="296.39999976754189"/>
    <n v="30"/>
    <d v="1997-03-24T00:00:00"/>
  </r>
  <r>
    <n v="10483"/>
    <x v="1"/>
    <n v="296.39999976754189"/>
    <n v="30"/>
    <d v="1997-03-24T00:00:00"/>
  </r>
  <r>
    <n v="10483"/>
    <x v="2"/>
    <n v="296.39999976754189"/>
    <n v="30"/>
    <d v="1997-03-24T00:00:00"/>
  </r>
  <r>
    <n v="10483"/>
    <x v="3"/>
    <n v="296.39999976754189"/>
    <n v="30"/>
    <d v="1997-03-24T00:00:00"/>
  </r>
  <r>
    <n v="10483"/>
    <x v="4"/>
    <n v="296.39999976754189"/>
    <n v="30"/>
    <d v="1997-03-24T00:00:00"/>
  </r>
  <r>
    <n v="10483"/>
    <x v="5"/>
    <n v="296.39999976754189"/>
    <n v="30"/>
    <d v="1997-03-24T00:00:00"/>
  </r>
  <r>
    <n v="10483"/>
    <x v="6"/>
    <n v="296.39999976754189"/>
    <n v="30"/>
    <d v="1997-03-24T00:00:00"/>
  </r>
  <r>
    <n v="10483"/>
    <x v="7"/>
    <n v="296.39999976754189"/>
    <n v="30"/>
    <d v="1997-03-24T00:00:00"/>
  </r>
  <r>
    <n v="10484"/>
    <x v="0"/>
    <n v="112"/>
    <n v="14"/>
    <d v="1997-03-24T00:00:00"/>
  </r>
  <r>
    <n v="10484"/>
    <x v="1"/>
    <n v="112"/>
    <n v="14"/>
    <d v="1997-03-24T00:00:00"/>
  </r>
  <r>
    <n v="10484"/>
    <x v="2"/>
    <n v="112"/>
    <n v="14"/>
    <d v="1997-03-24T00:00:00"/>
  </r>
  <r>
    <n v="10484"/>
    <x v="3"/>
    <n v="112"/>
    <n v="14"/>
    <d v="1997-03-24T00:00:00"/>
  </r>
  <r>
    <n v="10484"/>
    <x v="4"/>
    <n v="112"/>
    <n v="14"/>
    <d v="1997-03-24T00:00:00"/>
  </r>
  <r>
    <n v="10484"/>
    <x v="5"/>
    <n v="112"/>
    <n v="14"/>
    <d v="1997-03-24T00:00:00"/>
  </r>
  <r>
    <n v="10484"/>
    <x v="6"/>
    <n v="112"/>
    <n v="14"/>
    <d v="1997-03-24T00:00:00"/>
  </r>
  <r>
    <n v="10484"/>
    <x v="7"/>
    <n v="112"/>
    <n v="14"/>
    <d v="1997-03-24T00:00:00"/>
  </r>
  <r>
    <n v="10484"/>
    <x v="0"/>
    <n v="147"/>
    <n v="10"/>
    <d v="1997-03-24T00:00:00"/>
  </r>
  <r>
    <n v="10484"/>
    <x v="1"/>
    <n v="147"/>
    <n v="10"/>
    <d v="1997-03-24T00:00:00"/>
  </r>
  <r>
    <n v="10484"/>
    <x v="2"/>
    <n v="147"/>
    <n v="10"/>
    <d v="1997-03-24T00:00:00"/>
  </r>
  <r>
    <n v="10484"/>
    <x v="3"/>
    <n v="147"/>
    <n v="10"/>
    <d v="1997-03-24T00:00:00"/>
  </r>
  <r>
    <n v="10484"/>
    <x v="4"/>
    <n v="147"/>
    <n v="10"/>
    <d v="1997-03-24T00:00:00"/>
  </r>
  <r>
    <n v="10484"/>
    <x v="5"/>
    <n v="147"/>
    <n v="10"/>
    <d v="1997-03-24T00:00:00"/>
  </r>
  <r>
    <n v="10484"/>
    <x v="6"/>
    <n v="147"/>
    <n v="10"/>
    <d v="1997-03-24T00:00:00"/>
  </r>
  <r>
    <n v="10484"/>
    <x v="7"/>
    <n v="147"/>
    <n v="10"/>
    <d v="1997-03-24T00:00:00"/>
  </r>
  <r>
    <n v="10484"/>
    <x v="0"/>
    <n v="127.2"/>
    <n v="3"/>
    <d v="1997-03-24T00:00:00"/>
  </r>
  <r>
    <n v="10484"/>
    <x v="1"/>
    <n v="127.2"/>
    <n v="3"/>
    <d v="1997-03-24T00:00:00"/>
  </r>
  <r>
    <n v="10484"/>
    <x v="2"/>
    <n v="127.2"/>
    <n v="3"/>
    <d v="1997-03-24T00:00:00"/>
  </r>
  <r>
    <n v="10484"/>
    <x v="3"/>
    <n v="127.2"/>
    <n v="3"/>
    <d v="1997-03-24T00:00:00"/>
  </r>
  <r>
    <n v="10484"/>
    <x v="4"/>
    <n v="127.2"/>
    <n v="3"/>
    <d v="1997-03-24T00:00:00"/>
  </r>
  <r>
    <n v="10484"/>
    <x v="5"/>
    <n v="127.2"/>
    <n v="3"/>
    <d v="1997-03-24T00:00:00"/>
  </r>
  <r>
    <n v="10484"/>
    <x v="6"/>
    <n v="127.2"/>
    <n v="3"/>
    <d v="1997-03-24T00:00:00"/>
  </r>
  <r>
    <n v="10484"/>
    <x v="7"/>
    <n v="127.2"/>
    <n v="3"/>
    <d v="1997-03-24T00:00:00"/>
  </r>
  <r>
    <n v="10485"/>
    <x v="0"/>
    <n v="273.5999995470047"/>
    <n v="20"/>
    <d v="1997-03-25T00:00:00"/>
  </r>
  <r>
    <n v="10485"/>
    <x v="1"/>
    <n v="273.5999995470047"/>
    <n v="20"/>
    <d v="1997-03-25T00:00:00"/>
  </r>
  <r>
    <n v="10485"/>
    <x v="2"/>
    <n v="273.5999995470047"/>
    <n v="20"/>
    <d v="1997-03-25T00:00:00"/>
  </r>
  <r>
    <n v="10485"/>
    <x v="3"/>
    <n v="273.5999995470047"/>
    <n v="20"/>
    <d v="1997-03-25T00:00:00"/>
  </r>
  <r>
    <n v="10485"/>
    <x v="4"/>
    <n v="273.5999995470047"/>
    <n v="20"/>
    <d v="1997-03-25T00:00:00"/>
  </r>
  <r>
    <n v="10485"/>
    <x v="5"/>
    <n v="273.5999995470047"/>
    <n v="20"/>
    <d v="1997-03-25T00:00:00"/>
  </r>
  <r>
    <n v="10485"/>
    <x v="6"/>
    <n v="273.5999995470047"/>
    <n v="20"/>
    <d v="1997-03-25T00:00:00"/>
  </r>
  <r>
    <n v="10485"/>
    <x v="7"/>
    <n v="273.5999995470047"/>
    <n v="20"/>
    <d v="1997-03-25T00:00:00"/>
  </r>
  <r>
    <n v="10485"/>
    <x v="0"/>
    <n v="143.99999976158142"/>
    <n v="20"/>
    <d v="1997-03-25T00:00:00"/>
  </r>
  <r>
    <n v="10485"/>
    <x v="1"/>
    <n v="143.99999976158142"/>
    <n v="20"/>
    <d v="1997-03-25T00:00:00"/>
  </r>
  <r>
    <n v="10485"/>
    <x v="2"/>
    <n v="143.99999976158142"/>
    <n v="20"/>
    <d v="1997-03-25T00:00:00"/>
  </r>
  <r>
    <n v="10485"/>
    <x v="3"/>
    <n v="143.99999976158142"/>
    <n v="20"/>
    <d v="1997-03-25T00:00:00"/>
  </r>
  <r>
    <n v="10485"/>
    <x v="4"/>
    <n v="143.99999976158142"/>
    <n v="20"/>
    <d v="1997-03-25T00:00:00"/>
  </r>
  <r>
    <n v="10485"/>
    <x v="5"/>
    <n v="143.99999976158142"/>
    <n v="20"/>
    <d v="1997-03-25T00:00:00"/>
  </r>
  <r>
    <n v="10485"/>
    <x v="6"/>
    <n v="143.99999976158142"/>
    <n v="20"/>
    <d v="1997-03-25T00:00:00"/>
  </r>
  <r>
    <n v="10485"/>
    <x v="7"/>
    <n v="143.99999976158142"/>
    <n v="20"/>
    <d v="1997-03-25T00:00:00"/>
  </r>
  <r>
    <n v="10485"/>
    <x v="0"/>
    <n v="518.39999914169312"/>
    <n v="30"/>
    <d v="1997-03-25T00:00:00"/>
  </r>
  <r>
    <n v="10485"/>
    <x v="1"/>
    <n v="518.39999914169312"/>
    <n v="30"/>
    <d v="1997-03-25T00:00:00"/>
  </r>
  <r>
    <n v="10485"/>
    <x v="2"/>
    <n v="518.39999914169312"/>
    <n v="30"/>
    <d v="1997-03-25T00:00:00"/>
  </r>
  <r>
    <n v="10485"/>
    <x v="3"/>
    <n v="518.39999914169312"/>
    <n v="30"/>
    <d v="1997-03-25T00:00:00"/>
  </r>
  <r>
    <n v="10485"/>
    <x v="4"/>
    <n v="518.39999914169312"/>
    <n v="30"/>
    <d v="1997-03-25T00:00:00"/>
  </r>
  <r>
    <n v="10485"/>
    <x v="5"/>
    <n v="518.39999914169312"/>
    <n v="30"/>
    <d v="1997-03-25T00:00:00"/>
  </r>
  <r>
    <n v="10485"/>
    <x v="6"/>
    <n v="518.39999914169312"/>
    <n v="30"/>
    <d v="1997-03-25T00:00:00"/>
  </r>
  <r>
    <n v="10485"/>
    <x v="7"/>
    <n v="518.39999914169312"/>
    <n v="30"/>
    <d v="1997-03-25T00:00:00"/>
  </r>
  <r>
    <n v="10485"/>
    <x v="0"/>
    <n v="647.99999892711639"/>
    <n v="60"/>
    <d v="1997-03-25T00:00:00"/>
  </r>
  <r>
    <n v="10485"/>
    <x v="1"/>
    <n v="647.99999892711639"/>
    <n v="60"/>
    <d v="1997-03-25T00:00:00"/>
  </r>
  <r>
    <n v="10485"/>
    <x v="2"/>
    <n v="647.99999892711639"/>
    <n v="60"/>
    <d v="1997-03-25T00:00:00"/>
  </r>
  <r>
    <n v="10485"/>
    <x v="3"/>
    <n v="647.99999892711639"/>
    <n v="60"/>
    <d v="1997-03-25T00:00:00"/>
  </r>
  <r>
    <n v="10485"/>
    <x v="4"/>
    <n v="647.99999892711639"/>
    <n v="60"/>
    <d v="1997-03-25T00:00:00"/>
  </r>
  <r>
    <n v="10485"/>
    <x v="5"/>
    <n v="647.99999892711639"/>
    <n v="60"/>
    <d v="1997-03-25T00:00:00"/>
  </r>
  <r>
    <n v="10485"/>
    <x v="6"/>
    <n v="647.99999892711639"/>
    <n v="60"/>
    <d v="1997-03-25T00:00:00"/>
  </r>
  <r>
    <n v="10485"/>
    <x v="7"/>
    <n v="647.99999892711639"/>
    <n v="60"/>
    <d v="1997-03-25T00:00:00"/>
  </r>
  <r>
    <n v="10486"/>
    <x v="0"/>
    <n v="84"/>
    <n v="5"/>
    <d v="1997-03-26T00:00:00"/>
  </r>
  <r>
    <n v="10486"/>
    <x v="1"/>
    <n v="84"/>
    <n v="5"/>
    <d v="1997-03-26T00:00:00"/>
  </r>
  <r>
    <n v="10486"/>
    <x v="2"/>
    <n v="84"/>
    <n v="5"/>
    <d v="1997-03-26T00:00:00"/>
  </r>
  <r>
    <n v="10486"/>
    <x v="3"/>
    <n v="84"/>
    <n v="5"/>
    <d v="1997-03-26T00:00:00"/>
  </r>
  <r>
    <n v="10486"/>
    <x v="4"/>
    <n v="84"/>
    <n v="5"/>
    <d v="1997-03-26T00:00:00"/>
  </r>
  <r>
    <n v="10486"/>
    <x v="5"/>
    <n v="84"/>
    <n v="5"/>
    <d v="1997-03-26T00:00:00"/>
  </r>
  <r>
    <n v="10486"/>
    <x v="6"/>
    <n v="84"/>
    <n v="5"/>
    <d v="1997-03-26T00:00:00"/>
  </r>
  <r>
    <n v="10486"/>
    <x v="7"/>
    <n v="84"/>
    <n v="5"/>
    <d v="1997-03-26T00:00:00"/>
  </r>
  <r>
    <n v="10486"/>
    <x v="0"/>
    <n v="1060"/>
    <n v="25"/>
    <d v="1997-03-26T00:00:00"/>
  </r>
  <r>
    <n v="10486"/>
    <x v="1"/>
    <n v="1060"/>
    <n v="25"/>
    <d v="1997-03-26T00:00:00"/>
  </r>
  <r>
    <n v="10486"/>
    <x v="2"/>
    <n v="1060"/>
    <n v="25"/>
    <d v="1997-03-26T00:00:00"/>
  </r>
  <r>
    <n v="10486"/>
    <x v="3"/>
    <n v="1060"/>
    <n v="25"/>
    <d v="1997-03-26T00:00:00"/>
  </r>
  <r>
    <n v="10486"/>
    <x v="4"/>
    <n v="1060"/>
    <n v="25"/>
    <d v="1997-03-26T00:00:00"/>
  </r>
  <r>
    <n v="10486"/>
    <x v="5"/>
    <n v="1060"/>
    <n v="25"/>
    <d v="1997-03-26T00:00:00"/>
  </r>
  <r>
    <n v="10486"/>
    <x v="6"/>
    <n v="1060"/>
    <n v="25"/>
    <d v="1997-03-26T00:00:00"/>
  </r>
  <r>
    <n v="10486"/>
    <x v="7"/>
    <n v="1060"/>
    <n v="25"/>
    <d v="1997-03-26T00:00:00"/>
  </r>
  <r>
    <n v="10486"/>
    <x v="0"/>
    <n v="128"/>
    <n v="16"/>
    <d v="1997-03-26T00:00:00"/>
  </r>
  <r>
    <n v="10486"/>
    <x v="1"/>
    <n v="128"/>
    <n v="16"/>
    <d v="1997-03-26T00:00:00"/>
  </r>
  <r>
    <n v="10486"/>
    <x v="2"/>
    <n v="128"/>
    <n v="16"/>
    <d v="1997-03-26T00:00:00"/>
  </r>
  <r>
    <n v="10486"/>
    <x v="3"/>
    <n v="128"/>
    <n v="16"/>
    <d v="1997-03-26T00:00:00"/>
  </r>
  <r>
    <n v="10486"/>
    <x v="4"/>
    <n v="128"/>
    <n v="16"/>
    <d v="1997-03-26T00:00:00"/>
  </r>
  <r>
    <n v="10486"/>
    <x v="5"/>
    <n v="128"/>
    <n v="16"/>
    <d v="1997-03-26T00:00:00"/>
  </r>
  <r>
    <n v="10486"/>
    <x v="6"/>
    <n v="128"/>
    <n v="16"/>
    <d v="1997-03-26T00:00:00"/>
  </r>
  <r>
    <n v="10486"/>
    <x v="7"/>
    <n v="128"/>
    <n v="16"/>
    <d v="1997-03-26T00:00:00"/>
  </r>
  <r>
    <n v="10487"/>
    <x v="0"/>
    <n v="36.5"/>
    <n v="5"/>
    <d v="1997-03-26T00:00:00"/>
  </r>
  <r>
    <n v="10487"/>
    <x v="1"/>
    <n v="36.5"/>
    <n v="5"/>
    <d v="1997-03-26T00:00:00"/>
  </r>
  <r>
    <n v="10487"/>
    <x v="2"/>
    <n v="36.5"/>
    <n v="5"/>
    <d v="1997-03-26T00:00:00"/>
  </r>
  <r>
    <n v="10487"/>
    <x v="3"/>
    <n v="36.5"/>
    <n v="5"/>
    <d v="1997-03-26T00:00:00"/>
  </r>
  <r>
    <n v="10487"/>
    <x v="4"/>
    <n v="36.5"/>
    <n v="5"/>
    <d v="1997-03-26T00:00:00"/>
  </r>
  <r>
    <n v="10487"/>
    <x v="5"/>
    <n v="36.5"/>
    <n v="5"/>
    <d v="1997-03-26T00:00:00"/>
  </r>
  <r>
    <n v="10487"/>
    <x v="6"/>
    <n v="36.5"/>
    <n v="5"/>
    <d v="1997-03-26T00:00:00"/>
  </r>
  <r>
    <n v="10487"/>
    <x v="7"/>
    <n v="36.5"/>
    <n v="5"/>
    <d v="1997-03-26T00:00:00"/>
  </r>
  <r>
    <n v="10487"/>
    <x v="0"/>
    <n v="747"/>
    <n v="30"/>
    <d v="1997-03-26T00:00:00"/>
  </r>
  <r>
    <n v="10487"/>
    <x v="1"/>
    <n v="747"/>
    <n v="30"/>
    <d v="1997-03-26T00:00:00"/>
  </r>
  <r>
    <n v="10487"/>
    <x v="2"/>
    <n v="747"/>
    <n v="30"/>
    <d v="1997-03-26T00:00:00"/>
  </r>
  <r>
    <n v="10487"/>
    <x v="3"/>
    <n v="747"/>
    <n v="30"/>
    <d v="1997-03-26T00:00:00"/>
  </r>
  <r>
    <n v="10487"/>
    <x v="4"/>
    <n v="747"/>
    <n v="30"/>
    <d v="1997-03-26T00:00:00"/>
  </r>
  <r>
    <n v="10487"/>
    <x v="5"/>
    <n v="747"/>
    <n v="30"/>
    <d v="1997-03-26T00:00:00"/>
  </r>
  <r>
    <n v="10487"/>
    <x v="6"/>
    <n v="747"/>
    <n v="30"/>
    <d v="1997-03-26T00:00:00"/>
  </r>
  <r>
    <n v="10487"/>
    <x v="7"/>
    <n v="747"/>
    <n v="30"/>
    <d v="1997-03-26T00:00:00"/>
  </r>
  <r>
    <n v="10487"/>
    <x v="0"/>
    <n v="106.19999999999999"/>
    <n v="24"/>
    <d v="1997-03-26T00:00:00"/>
  </r>
  <r>
    <n v="10487"/>
    <x v="1"/>
    <n v="106.19999999999999"/>
    <n v="24"/>
    <d v="1997-03-26T00:00:00"/>
  </r>
  <r>
    <n v="10487"/>
    <x v="2"/>
    <n v="106.19999999999999"/>
    <n v="24"/>
    <d v="1997-03-26T00:00:00"/>
  </r>
  <r>
    <n v="10487"/>
    <x v="3"/>
    <n v="106.19999999999999"/>
    <n v="24"/>
    <d v="1997-03-26T00:00:00"/>
  </r>
  <r>
    <n v="10487"/>
    <x v="4"/>
    <n v="106.19999999999999"/>
    <n v="24"/>
    <d v="1997-03-26T00:00:00"/>
  </r>
  <r>
    <n v="10487"/>
    <x v="5"/>
    <n v="106.19999999999999"/>
    <n v="24"/>
    <d v="1997-03-26T00:00:00"/>
  </r>
  <r>
    <n v="10487"/>
    <x v="6"/>
    <n v="106.19999999999999"/>
    <n v="24"/>
    <d v="1997-03-26T00:00:00"/>
  </r>
  <r>
    <n v="10487"/>
    <x v="7"/>
    <n v="106.19999999999999"/>
    <n v="24"/>
    <d v="1997-03-26T00:00:00"/>
  </r>
  <r>
    <n v="10488"/>
    <x v="0"/>
    <n v="1320"/>
    <n v="30"/>
    <d v="1997-03-27T00:00:00"/>
  </r>
  <r>
    <n v="10488"/>
    <x v="1"/>
    <n v="1320"/>
    <n v="30"/>
    <d v="1997-03-27T00:00:00"/>
  </r>
  <r>
    <n v="10488"/>
    <x v="2"/>
    <n v="1320"/>
    <n v="30"/>
    <d v="1997-03-27T00:00:00"/>
  </r>
  <r>
    <n v="10488"/>
    <x v="3"/>
    <n v="1320"/>
    <n v="30"/>
    <d v="1997-03-27T00:00:00"/>
  </r>
  <r>
    <n v="10488"/>
    <x v="4"/>
    <n v="1320"/>
    <n v="30"/>
    <d v="1997-03-27T00:00:00"/>
  </r>
  <r>
    <n v="10488"/>
    <x v="5"/>
    <n v="1320"/>
    <n v="30"/>
    <d v="1997-03-27T00:00:00"/>
  </r>
  <r>
    <n v="10488"/>
    <x v="6"/>
    <n v="1320"/>
    <n v="30"/>
    <d v="1997-03-27T00:00:00"/>
  </r>
  <r>
    <n v="10488"/>
    <x v="7"/>
    <n v="1320"/>
    <n v="30"/>
    <d v="1997-03-27T00:00:00"/>
  </r>
  <r>
    <n v="10488"/>
    <x v="0"/>
    <n v="191.99999928474426"/>
    <n v="20"/>
    <d v="1997-03-27T00:00:00"/>
  </r>
  <r>
    <n v="10488"/>
    <x v="1"/>
    <n v="191.99999928474426"/>
    <n v="20"/>
    <d v="1997-03-27T00:00:00"/>
  </r>
  <r>
    <n v="10488"/>
    <x v="2"/>
    <n v="191.99999928474426"/>
    <n v="20"/>
    <d v="1997-03-27T00:00:00"/>
  </r>
  <r>
    <n v="10488"/>
    <x v="3"/>
    <n v="191.99999928474426"/>
    <n v="20"/>
    <d v="1997-03-27T00:00:00"/>
  </r>
  <r>
    <n v="10488"/>
    <x v="4"/>
    <n v="191.99999928474426"/>
    <n v="20"/>
    <d v="1997-03-27T00:00:00"/>
  </r>
  <r>
    <n v="10488"/>
    <x v="5"/>
    <n v="191.99999928474426"/>
    <n v="20"/>
    <d v="1997-03-27T00:00:00"/>
  </r>
  <r>
    <n v="10488"/>
    <x v="6"/>
    <n v="191.99999928474426"/>
    <n v="20"/>
    <d v="1997-03-27T00:00:00"/>
  </r>
  <r>
    <n v="10488"/>
    <x v="7"/>
    <n v="191.99999928474426"/>
    <n v="20"/>
    <d v="1997-03-27T00:00:00"/>
  </r>
  <r>
    <n v="10489"/>
    <x v="0"/>
    <n v="189"/>
    <n v="15"/>
    <d v="1997-03-28T00:00:00"/>
  </r>
  <r>
    <n v="10489"/>
    <x v="1"/>
    <n v="189"/>
    <n v="15"/>
    <d v="1997-03-28T00:00:00"/>
  </r>
  <r>
    <n v="10489"/>
    <x v="2"/>
    <n v="189"/>
    <n v="15"/>
    <d v="1997-03-28T00:00:00"/>
  </r>
  <r>
    <n v="10489"/>
    <x v="3"/>
    <n v="189"/>
    <n v="15"/>
    <d v="1997-03-28T00:00:00"/>
  </r>
  <r>
    <n v="10489"/>
    <x v="4"/>
    <n v="189"/>
    <n v="15"/>
    <d v="1997-03-28T00:00:00"/>
  </r>
  <r>
    <n v="10489"/>
    <x v="5"/>
    <n v="189"/>
    <n v="15"/>
    <d v="1997-03-28T00:00:00"/>
  </r>
  <r>
    <n v="10489"/>
    <x v="6"/>
    <n v="189"/>
    <n v="15"/>
    <d v="1997-03-28T00:00:00"/>
  </r>
  <r>
    <n v="10489"/>
    <x v="7"/>
    <n v="189"/>
    <n v="15"/>
    <d v="1997-03-28T00:00:00"/>
  </r>
  <r>
    <n v="10489"/>
    <x v="0"/>
    <n v="250.2"/>
    <n v="18"/>
    <d v="1997-03-28T00:00:00"/>
  </r>
  <r>
    <n v="10489"/>
    <x v="1"/>
    <n v="250.2"/>
    <n v="18"/>
    <d v="1997-03-28T00:00:00"/>
  </r>
  <r>
    <n v="10489"/>
    <x v="2"/>
    <n v="250.2"/>
    <n v="18"/>
    <d v="1997-03-28T00:00:00"/>
  </r>
  <r>
    <n v="10489"/>
    <x v="3"/>
    <n v="250.2"/>
    <n v="18"/>
    <d v="1997-03-28T00:00:00"/>
  </r>
  <r>
    <n v="10489"/>
    <x v="4"/>
    <n v="250.2"/>
    <n v="18"/>
    <d v="1997-03-28T00:00:00"/>
  </r>
  <r>
    <n v="10489"/>
    <x v="5"/>
    <n v="250.2"/>
    <n v="18"/>
    <d v="1997-03-28T00:00:00"/>
  </r>
  <r>
    <n v="10489"/>
    <x v="6"/>
    <n v="250.2"/>
    <n v="18"/>
    <d v="1997-03-28T00:00:00"/>
  </r>
  <r>
    <n v="10489"/>
    <x v="7"/>
    <n v="250.2"/>
    <n v="18"/>
    <d v="1997-03-28T00:00:00"/>
  </r>
  <r>
    <n v="10490"/>
    <x v="0"/>
    <n v="2640"/>
    <n v="60"/>
    <d v="1997-03-31T00:00:00"/>
  </r>
  <r>
    <n v="10490"/>
    <x v="1"/>
    <n v="2640"/>
    <n v="60"/>
    <d v="1997-03-31T00:00:00"/>
  </r>
  <r>
    <n v="10490"/>
    <x v="2"/>
    <n v="2640"/>
    <n v="60"/>
    <d v="1997-03-31T00:00:00"/>
  </r>
  <r>
    <n v="10490"/>
    <x v="3"/>
    <n v="2640"/>
    <n v="60"/>
    <d v="1997-03-31T00:00:00"/>
  </r>
  <r>
    <n v="10490"/>
    <x v="4"/>
    <n v="2640"/>
    <n v="60"/>
    <d v="1997-03-31T00:00:00"/>
  </r>
  <r>
    <n v="10490"/>
    <x v="5"/>
    <n v="2640"/>
    <n v="60"/>
    <d v="1997-03-31T00:00:00"/>
  </r>
  <r>
    <n v="10490"/>
    <x v="6"/>
    <n v="2640"/>
    <n v="60"/>
    <d v="1997-03-31T00:00:00"/>
  </r>
  <r>
    <n v="10490"/>
    <x v="7"/>
    <n v="2640"/>
    <n v="60"/>
    <d v="1997-03-31T00:00:00"/>
  </r>
  <r>
    <n v="10490"/>
    <x v="0"/>
    <n v="300"/>
    <n v="30"/>
    <d v="1997-03-31T00:00:00"/>
  </r>
  <r>
    <n v="10490"/>
    <x v="1"/>
    <n v="300"/>
    <n v="30"/>
    <d v="1997-03-31T00:00:00"/>
  </r>
  <r>
    <n v="10490"/>
    <x v="2"/>
    <n v="300"/>
    <n v="30"/>
    <d v="1997-03-31T00:00:00"/>
  </r>
  <r>
    <n v="10490"/>
    <x v="3"/>
    <n v="300"/>
    <n v="30"/>
    <d v="1997-03-31T00:00:00"/>
  </r>
  <r>
    <n v="10490"/>
    <x v="4"/>
    <n v="300"/>
    <n v="30"/>
    <d v="1997-03-31T00:00:00"/>
  </r>
  <r>
    <n v="10490"/>
    <x v="5"/>
    <n v="300"/>
    <n v="30"/>
    <d v="1997-03-31T00:00:00"/>
  </r>
  <r>
    <n v="10490"/>
    <x v="6"/>
    <n v="300"/>
    <n v="30"/>
    <d v="1997-03-31T00:00:00"/>
  </r>
  <r>
    <n v="10490"/>
    <x v="7"/>
    <n v="300"/>
    <n v="30"/>
    <d v="1997-03-31T00:00:00"/>
  </r>
  <r>
    <n v="10490"/>
    <x v="0"/>
    <n v="223.2"/>
    <n v="36"/>
    <d v="1997-03-31T00:00:00"/>
  </r>
  <r>
    <n v="10490"/>
    <x v="1"/>
    <n v="223.2"/>
    <n v="36"/>
    <d v="1997-03-31T00:00:00"/>
  </r>
  <r>
    <n v="10490"/>
    <x v="2"/>
    <n v="223.2"/>
    <n v="36"/>
    <d v="1997-03-31T00:00:00"/>
  </r>
  <r>
    <n v="10490"/>
    <x v="3"/>
    <n v="223.2"/>
    <n v="36"/>
    <d v="1997-03-31T00:00:00"/>
  </r>
  <r>
    <n v="10490"/>
    <x v="4"/>
    <n v="223.2"/>
    <n v="36"/>
    <d v="1997-03-31T00:00:00"/>
  </r>
  <r>
    <n v="10490"/>
    <x v="5"/>
    <n v="223.2"/>
    <n v="36"/>
    <d v="1997-03-31T00:00:00"/>
  </r>
  <r>
    <n v="10490"/>
    <x v="6"/>
    <n v="223.2"/>
    <n v="36"/>
    <d v="1997-03-31T00:00:00"/>
  </r>
  <r>
    <n v="10490"/>
    <x v="7"/>
    <n v="223.2"/>
    <n v="36"/>
    <d v="1997-03-31T00:00:00"/>
  </r>
  <r>
    <n v="10491"/>
    <x v="0"/>
    <n v="197.62499861419201"/>
    <n v="15"/>
    <d v="1997-03-31T00:00:00"/>
  </r>
  <r>
    <n v="10491"/>
    <x v="1"/>
    <n v="197.62499861419201"/>
    <n v="15"/>
    <d v="1997-03-31T00:00:00"/>
  </r>
  <r>
    <n v="10491"/>
    <x v="2"/>
    <n v="197.62499861419201"/>
    <n v="15"/>
    <d v="1997-03-31T00:00:00"/>
  </r>
  <r>
    <n v="10491"/>
    <x v="3"/>
    <n v="197.62499861419201"/>
    <n v="15"/>
    <d v="1997-03-31T00:00:00"/>
  </r>
  <r>
    <n v="10491"/>
    <x v="4"/>
    <n v="197.62499861419201"/>
    <n v="15"/>
    <d v="1997-03-31T00:00:00"/>
  </r>
  <r>
    <n v="10491"/>
    <x v="5"/>
    <n v="197.62499861419201"/>
    <n v="15"/>
    <d v="1997-03-31T00:00:00"/>
  </r>
  <r>
    <n v="10491"/>
    <x v="6"/>
    <n v="197.62499861419201"/>
    <n v="15"/>
    <d v="1997-03-31T00:00:00"/>
  </r>
  <r>
    <n v="10491"/>
    <x v="7"/>
    <n v="197.62499861419201"/>
    <n v="15"/>
    <d v="1997-03-31T00:00:00"/>
  </r>
  <r>
    <n v="10491"/>
    <x v="0"/>
    <n v="61.879999566078183"/>
    <n v="7"/>
    <d v="1997-03-31T00:00:00"/>
  </r>
  <r>
    <n v="10491"/>
    <x v="1"/>
    <n v="61.879999566078183"/>
    <n v="7"/>
    <d v="1997-03-31T00:00:00"/>
  </r>
  <r>
    <n v="10491"/>
    <x v="2"/>
    <n v="61.879999566078183"/>
    <n v="7"/>
    <d v="1997-03-31T00:00:00"/>
  </r>
  <r>
    <n v="10491"/>
    <x v="3"/>
    <n v="61.879999566078183"/>
    <n v="7"/>
    <d v="1997-03-31T00:00:00"/>
  </r>
  <r>
    <n v="10491"/>
    <x v="4"/>
    <n v="61.879999566078183"/>
    <n v="7"/>
    <d v="1997-03-31T00:00:00"/>
  </r>
  <r>
    <n v="10491"/>
    <x v="5"/>
    <n v="61.879999566078183"/>
    <n v="7"/>
    <d v="1997-03-31T00:00:00"/>
  </r>
  <r>
    <n v="10491"/>
    <x v="6"/>
    <n v="61.879999566078183"/>
    <n v="7"/>
    <d v="1997-03-31T00:00:00"/>
  </r>
  <r>
    <n v="10491"/>
    <x v="7"/>
    <n v="61.879999566078183"/>
    <n v="7"/>
    <d v="1997-03-31T00:00:00"/>
  </r>
  <r>
    <n v="10492"/>
    <x v="0"/>
    <n v="638.39999949932098"/>
    <n v="60"/>
    <d v="1997-04-01T00:00:00"/>
  </r>
  <r>
    <n v="10492"/>
    <x v="1"/>
    <n v="638.39999949932098"/>
    <n v="60"/>
    <d v="1997-04-01T00:00:00"/>
  </r>
  <r>
    <n v="10492"/>
    <x v="2"/>
    <n v="638.39999949932098"/>
    <n v="60"/>
    <d v="1997-04-01T00:00:00"/>
  </r>
  <r>
    <n v="10492"/>
    <x v="3"/>
    <n v="638.39999949932098"/>
    <n v="60"/>
    <d v="1997-04-01T00:00:00"/>
  </r>
  <r>
    <n v="10492"/>
    <x v="4"/>
    <n v="638.39999949932098"/>
    <n v="60"/>
    <d v="1997-04-01T00:00:00"/>
  </r>
  <r>
    <n v="10492"/>
    <x v="5"/>
    <n v="638.39999949932098"/>
    <n v="60"/>
    <d v="1997-04-01T00:00:00"/>
  </r>
  <r>
    <n v="10492"/>
    <x v="6"/>
    <n v="638.39999949932098"/>
    <n v="60"/>
    <d v="1997-04-01T00:00:00"/>
  </r>
  <r>
    <n v="10492"/>
    <x v="7"/>
    <n v="638.39999949932098"/>
    <n v="60"/>
    <d v="1997-04-01T00:00:00"/>
  </r>
  <r>
    <n v="10492"/>
    <x v="0"/>
    <n v="212.79999983310699"/>
    <n v="20"/>
    <d v="1997-04-01T00:00:00"/>
  </r>
  <r>
    <n v="10492"/>
    <x v="1"/>
    <n v="212.79999983310699"/>
    <n v="20"/>
    <d v="1997-04-01T00:00:00"/>
  </r>
  <r>
    <n v="10492"/>
    <x v="2"/>
    <n v="212.79999983310699"/>
    <n v="20"/>
    <d v="1997-04-01T00:00:00"/>
  </r>
  <r>
    <n v="10492"/>
    <x v="3"/>
    <n v="212.79999983310699"/>
    <n v="20"/>
    <d v="1997-04-01T00:00:00"/>
  </r>
  <r>
    <n v="10492"/>
    <x v="4"/>
    <n v="212.79999983310699"/>
    <n v="20"/>
    <d v="1997-04-01T00:00:00"/>
  </r>
  <r>
    <n v="10492"/>
    <x v="5"/>
    <n v="212.79999983310699"/>
    <n v="20"/>
    <d v="1997-04-01T00:00:00"/>
  </r>
  <r>
    <n v="10492"/>
    <x v="6"/>
    <n v="212.79999983310699"/>
    <n v="20"/>
    <d v="1997-04-01T00:00:00"/>
  </r>
  <r>
    <n v="10492"/>
    <x v="7"/>
    <n v="212.79999983310699"/>
    <n v="20"/>
    <d v="1997-04-01T00:00:00"/>
  </r>
  <r>
    <n v="10493"/>
    <x v="0"/>
    <n v="226.79999962449074"/>
    <n v="15"/>
    <d v="1997-04-02T00:00:00"/>
  </r>
  <r>
    <n v="10493"/>
    <x v="1"/>
    <n v="226.79999962449074"/>
    <n v="15"/>
    <d v="1997-04-02T00:00:00"/>
  </r>
  <r>
    <n v="10493"/>
    <x v="2"/>
    <n v="226.79999962449074"/>
    <n v="15"/>
    <d v="1997-04-02T00:00:00"/>
  </r>
  <r>
    <n v="10493"/>
    <x v="3"/>
    <n v="226.79999962449074"/>
    <n v="15"/>
    <d v="1997-04-02T00:00:00"/>
  </r>
  <r>
    <n v="10493"/>
    <x v="4"/>
    <n v="226.79999962449074"/>
    <n v="15"/>
    <d v="1997-04-02T00:00:00"/>
  </r>
  <r>
    <n v="10493"/>
    <x v="5"/>
    <n v="226.79999962449074"/>
    <n v="15"/>
    <d v="1997-04-02T00:00:00"/>
  </r>
  <r>
    <n v="10493"/>
    <x v="6"/>
    <n v="226.79999962449074"/>
    <n v="15"/>
    <d v="1997-04-02T00:00:00"/>
  </r>
  <r>
    <n v="10493"/>
    <x v="7"/>
    <n v="226.79999962449074"/>
    <n v="15"/>
    <d v="1997-04-02T00:00:00"/>
  </r>
  <r>
    <n v="10493"/>
    <x v="0"/>
    <n v="122.39999979734421"/>
    <n v="10"/>
    <d v="1997-04-02T00:00:00"/>
  </r>
  <r>
    <n v="10493"/>
    <x v="1"/>
    <n v="122.39999979734421"/>
    <n v="10"/>
    <d v="1997-04-02T00:00:00"/>
  </r>
  <r>
    <n v="10493"/>
    <x v="2"/>
    <n v="122.39999979734421"/>
    <n v="10"/>
    <d v="1997-04-02T00:00:00"/>
  </r>
  <r>
    <n v="10493"/>
    <x v="3"/>
    <n v="122.39999979734421"/>
    <n v="10"/>
    <d v="1997-04-02T00:00:00"/>
  </r>
  <r>
    <n v="10493"/>
    <x v="4"/>
    <n v="122.39999979734421"/>
    <n v="10"/>
    <d v="1997-04-02T00:00:00"/>
  </r>
  <r>
    <n v="10493"/>
    <x v="5"/>
    <n v="122.39999979734421"/>
    <n v="10"/>
    <d v="1997-04-02T00:00:00"/>
  </r>
  <r>
    <n v="10493"/>
    <x v="6"/>
    <n v="122.39999979734421"/>
    <n v="10"/>
    <d v="1997-04-02T00:00:00"/>
  </r>
  <r>
    <n v="10493"/>
    <x v="7"/>
    <n v="122.39999979734421"/>
    <n v="10"/>
    <d v="1997-04-02T00:00:00"/>
  </r>
  <r>
    <n v="10493"/>
    <x v="0"/>
    <n v="259.19999957084656"/>
    <n v="10"/>
    <d v="1997-04-02T00:00:00"/>
  </r>
  <r>
    <n v="10493"/>
    <x v="1"/>
    <n v="259.19999957084656"/>
    <n v="10"/>
    <d v="1997-04-02T00:00:00"/>
  </r>
  <r>
    <n v="10493"/>
    <x v="2"/>
    <n v="259.19999957084656"/>
    <n v="10"/>
    <d v="1997-04-02T00:00:00"/>
  </r>
  <r>
    <n v="10493"/>
    <x v="3"/>
    <n v="259.19999957084656"/>
    <n v="10"/>
    <d v="1997-04-02T00:00:00"/>
  </r>
  <r>
    <n v="10493"/>
    <x v="4"/>
    <n v="259.19999957084656"/>
    <n v="10"/>
    <d v="1997-04-02T00:00:00"/>
  </r>
  <r>
    <n v="10493"/>
    <x v="5"/>
    <n v="259.19999957084656"/>
    <n v="10"/>
    <d v="1997-04-02T00:00:00"/>
  </r>
  <r>
    <n v="10493"/>
    <x v="6"/>
    <n v="259.19999957084656"/>
    <n v="10"/>
    <d v="1997-04-02T00:00:00"/>
  </r>
  <r>
    <n v="10493"/>
    <x v="7"/>
    <n v="259.19999957084656"/>
    <n v="10"/>
    <d v="1997-04-02T00:00:00"/>
  </r>
  <r>
    <n v="10494"/>
    <x v="0"/>
    <n v="912"/>
    <n v="30"/>
    <d v="1997-04-02T00:00:00"/>
  </r>
  <r>
    <n v="10494"/>
    <x v="1"/>
    <n v="912"/>
    <n v="30"/>
    <d v="1997-04-02T00:00:00"/>
  </r>
  <r>
    <n v="10494"/>
    <x v="2"/>
    <n v="912"/>
    <n v="30"/>
    <d v="1997-04-02T00:00:00"/>
  </r>
  <r>
    <n v="10494"/>
    <x v="3"/>
    <n v="912"/>
    <n v="30"/>
    <d v="1997-04-02T00:00:00"/>
  </r>
  <r>
    <n v="10494"/>
    <x v="4"/>
    <n v="912"/>
    <n v="30"/>
    <d v="1997-04-02T00:00:00"/>
  </r>
  <r>
    <n v="10494"/>
    <x v="5"/>
    <n v="912"/>
    <n v="30"/>
    <d v="1997-04-02T00:00:00"/>
  </r>
  <r>
    <n v="10494"/>
    <x v="6"/>
    <n v="912"/>
    <n v="30"/>
    <d v="1997-04-02T00:00:00"/>
  </r>
  <r>
    <n v="10494"/>
    <x v="7"/>
    <n v="912"/>
    <n v="30"/>
    <d v="1997-04-02T00:00:00"/>
  </r>
  <r>
    <n v="10495"/>
    <x v="0"/>
    <n v="72"/>
    <n v="10"/>
    <d v="1997-04-03T00:00:00"/>
  </r>
  <r>
    <n v="10495"/>
    <x v="1"/>
    <n v="72"/>
    <n v="10"/>
    <d v="1997-04-03T00:00:00"/>
  </r>
  <r>
    <n v="10495"/>
    <x v="2"/>
    <n v="72"/>
    <n v="10"/>
    <d v="1997-04-03T00:00:00"/>
  </r>
  <r>
    <n v="10495"/>
    <x v="3"/>
    <n v="72"/>
    <n v="10"/>
    <d v="1997-04-03T00:00:00"/>
  </r>
  <r>
    <n v="10495"/>
    <x v="4"/>
    <n v="72"/>
    <n v="10"/>
    <d v="1997-04-03T00:00:00"/>
  </r>
  <r>
    <n v="10495"/>
    <x v="5"/>
    <n v="72"/>
    <n v="10"/>
    <d v="1997-04-03T00:00:00"/>
  </r>
  <r>
    <n v="10495"/>
    <x v="6"/>
    <n v="72"/>
    <n v="10"/>
    <d v="1997-04-03T00:00:00"/>
  </r>
  <r>
    <n v="10495"/>
    <x v="7"/>
    <n v="72"/>
    <n v="10"/>
    <d v="1997-04-03T00:00:00"/>
  </r>
  <r>
    <n v="10495"/>
    <x v="0"/>
    <n v="154"/>
    <n v="20"/>
    <d v="1997-04-03T00:00:00"/>
  </r>
  <r>
    <n v="10495"/>
    <x v="1"/>
    <n v="154"/>
    <n v="20"/>
    <d v="1997-04-03T00:00:00"/>
  </r>
  <r>
    <n v="10495"/>
    <x v="2"/>
    <n v="154"/>
    <n v="20"/>
    <d v="1997-04-03T00:00:00"/>
  </r>
  <r>
    <n v="10495"/>
    <x v="3"/>
    <n v="154"/>
    <n v="20"/>
    <d v="1997-04-03T00:00:00"/>
  </r>
  <r>
    <n v="10495"/>
    <x v="4"/>
    <n v="154"/>
    <n v="20"/>
    <d v="1997-04-03T00:00:00"/>
  </r>
  <r>
    <n v="10495"/>
    <x v="5"/>
    <n v="154"/>
    <n v="20"/>
    <d v="1997-04-03T00:00:00"/>
  </r>
  <r>
    <n v="10495"/>
    <x v="6"/>
    <n v="154"/>
    <n v="20"/>
    <d v="1997-04-03T00:00:00"/>
  </r>
  <r>
    <n v="10495"/>
    <x v="7"/>
    <n v="154"/>
    <n v="20"/>
    <d v="1997-04-03T00:00:00"/>
  </r>
  <r>
    <n v="10495"/>
    <x v="0"/>
    <n v="52"/>
    <n v="5"/>
    <d v="1997-04-03T00:00:00"/>
  </r>
  <r>
    <n v="10495"/>
    <x v="1"/>
    <n v="52"/>
    <n v="5"/>
    <d v="1997-04-03T00:00:00"/>
  </r>
  <r>
    <n v="10495"/>
    <x v="2"/>
    <n v="52"/>
    <n v="5"/>
    <d v="1997-04-03T00:00:00"/>
  </r>
  <r>
    <n v="10495"/>
    <x v="3"/>
    <n v="52"/>
    <n v="5"/>
    <d v="1997-04-03T00:00:00"/>
  </r>
  <r>
    <n v="10495"/>
    <x v="4"/>
    <n v="52"/>
    <n v="5"/>
    <d v="1997-04-03T00:00:00"/>
  </r>
  <r>
    <n v="10495"/>
    <x v="5"/>
    <n v="52"/>
    <n v="5"/>
    <d v="1997-04-03T00:00:00"/>
  </r>
  <r>
    <n v="10495"/>
    <x v="6"/>
    <n v="52"/>
    <n v="5"/>
    <d v="1997-04-03T00:00:00"/>
  </r>
  <r>
    <n v="10495"/>
    <x v="7"/>
    <n v="52"/>
    <n v="5"/>
    <d v="1997-04-03T00:00:00"/>
  </r>
  <r>
    <n v="10496"/>
    <x v="0"/>
    <n v="189.99999985098839"/>
    <n v="20"/>
    <d v="1997-04-04T00:00:00"/>
  </r>
  <r>
    <n v="10496"/>
    <x v="1"/>
    <n v="189.99999985098839"/>
    <n v="20"/>
    <d v="1997-04-04T00:00:00"/>
  </r>
  <r>
    <n v="10496"/>
    <x v="2"/>
    <n v="189.99999985098839"/>
    <n v="20"/>
    <d v="1997-04-04T00:00:00"/>
  </r>
  <r>
    <n v="10496"/>
    <x v="3"/>
    <n v="189.99999985098839"/>
    <n v="20"/>
    <d v="1997-04-04T00:00:00"/>
  </r>
  <r>
    <n v="10496"/>
    <x v="4"/>
    <n v="189.99999985098839"/>
    <n v="20"/>
    <d v="1997-04-04T00:00:00"/>
  </r>
  <r>
    <n v="10496"/>
    <x v="5"/>
    <n v="189.99999985098839"/>
    <n v="20"/>
    <d v="1997-04-04T00:00:00"/>
  </r>
  <r>
    <n v="10496"/>
    <x v="6"/>
    <n v="189.99999985098839"/>
    <n v="20"/>
    <d v="1997-04-04T00:00:00"/>
  </r>
  <r>
    <n v="10496"/>
    <x v="7"/>
    <n v="189.99999985098839"/>
    <n v="20"/>
    <d v="1997-04-04T00:00:00"/>
  </r>
  <r>
    <n v="10497"/>
    <x v="0"/>
    <n v="425.6"/>
    <n v="14"/>
    <d v="1997-04-04T00:00:00"/>
  </r>
  <r>
    <n v="10497"/>
    <x v="1"/>
    <n v="425.6"/>
    <n v="14"/>
    <d v="1997-04-04T00:00:00"/>
  </r>
  <r>
    <n v="10497"/>
    <x v="2"/>
    <n v="425.6"/>
    <n v="14"/>
    <d v="1997-04-04T00:00:00"/>
  </r>
  <r>
    <n v="10497"/>
    <x v="3"/>
    <n v="425.6"/>
    <n v="14"/>
    <d v="1997-04-04T00:00:00"/>
  </r>
  <r>
    <n v="10497"/>
    <x v="4"/>
    <n v="425.6"/>
    <n v="14"/>
    <d v="1997-04-04T00:00:00"/>
  </r>
  <r>
    <n v="10497"/>
    <x v="5"/>
    <n v="425.6"/>
    <n v="14"/>
    <d v="1997-04-04T00:00:00"/>
  </r>
  <r>
    <n v="10497"/>
    <x v="6"/>
    <n v="425.6"/>
    <n v="14"/>
    <d v="1997-04-04T00:00:00"/>
  </r>
  <r>
    <n v="10497"/>
    <x v="7"/>
    <n v="425.6"/>
    <n v="14"/>
    <d v="1997-04-04T00:00:00"/>
  </r>
  <r>
    <n v="10497"/>
    <x v="0"/>
    <n v="695"/>
    <n v="25"/>
    <d v="1997-04-04T00:00:00"/>
  </r>
  <r>
    <n v="10497"/>
    <x v="1"/>
    <n v="695"/>
    <n v="25"/>
    <d v="1997-04-04T00:00:00"/>
  </r>
  <r>
    <n v="10497"/>
    <x v="2"/>
    <n v="695"/>
    <n v="25"/>
    <d v="1997-04-04T00:00:00"/>
  </r>
  <r>
    <n v="10497"/>
    <x v="3"/>
    <n v="695"/>
    <n v="25"/>
    <d v="1997-04-04T00:00:00"/>
  </r>
  <r>
    <n v="10497"/>
    <x v="4"/>
    <n v="695"/>
    <n v="25"/>
    <d v="1997-04-04T00:00:00"/>
  </r>
  <r>
    <n v="10497"/>
    <x v="5"/>
    <n v="695"/>
    <n v="25"/>
    <d v="1997-04-04T00:00:00"/>
  </r>
  <r>
    <n v="10497"/>
    <x v="6"/>
    <n v="695"/>
    <n v="25"/>
    <d v="1997-04-04T00:00:00"/>
  </r>
  <r>
    <n v="10497"/>
    <x v="7"/>
    <n v="695"/>
    <n v="25"/>
    <d v="1997-04-04T00:00:00"/>
  </r>
  <r>
    <n v="10497"/>
    <x v="0"/>
    <n v="260"/>
    <n v="25"/>
    <d v="1997-04-04T00:00:00"/>
  </r>
  <r>
    <n v="10497"/>
    <x v="1"/>
    <n v="260"/>
    <n v="25"/>
    <d v="1997-04-04T00:00:00"/>
  </r>
  <r>
    <n v="10497"/>
    <x v="2"/>
    <n v="260"/>
    <n v="25"/>
    <d v="1997-04-04T00:00:00"/>
  </r>
  <r>
    <n v="10497"/>
    <x v="3"/>
    <n v="260"/>
    <n v="25"/>
    <d v="1997-04-04T00:00:00"/>
  </r>
  <r>
    <n v="10497"/>
    <x v="4"/>
    <n v="260"/>
    <n v="25"/>
    <d v="1997-04-04T00:00:00"/>
  </r>
  <r>
    <n v="10497"/>
    <x v="5"/>
    <n v="260"/>
    <n v="25"/>
    <d v="1997-04-04T00:00:00"/>
  </r>
  <r>
    <n v="10497"/>
    <x v="6"/>
    <n v="260"/>
    <n v="25"/>
    <d v="1997-04-04T00:00:00"/>
  </r>
  <r>
    <n v="10497"/>
    <x v="7"/>
    <n v="260"/>
    <n v="25"/>
    <d v="1997-04-04T00:00:00"/>
  </r>
  <r>
    <n v="10498"/>
    <x v="0"/>
    <n v="63"/>
    <n v="14"/>
    <d v="1997-04-07T00:00:00"/>
  </r>
  <r>
    <n v="10498"/>
    <x v="1"/>
    <n v="63"/>
    <n v="14"/>
    <d v="1997-04-07T00:00:00"/>
  </r>
  <r>
    <n v="10498"/>
    <x v="2"/>
    <n v="63"/>
    <n v="14"/>
    <d v="1997-04-07T00:00:00"/>
  </r>
  <r>
    <n v="10498"/>
    <x v="3"/>
    <n v="63"/>
    <n v="14"/>
    <d v="1997-04-07T00:00:00"/>
  </r>
  <r>
    <n v="10498"/>
    <x v="4"/>
    <n v="63"/>
    <n v="14"/>
    <d v="1997-04-07T00:00:00"/>
  </r>
  <r>
    <n v="10498"/>
    <x v="5"/>
    <n v="63"/>
    <n v="14"/>
    <d v="1997-04-07T00:00:00"/>
  </r>
  <r>
    <n v="10498"/>
    <x v="6"/>
    <n v="63"/>
    <n v="14"/>
    <d v="1997-04-07T00:00:00"/>
  </r>
  <r>
    <n v="10498"/>
    <x v="7"/>
    <n v="63"/>
    <n v="14"/>
    <d v="1997-04-07T00:00:00"/>
  </r>
  <r>
    <n v="10498"/>
    <x v="0"/>
    <n v="92"/>
    <n v="5"/>
    <d v="1997-04-07T00:00:00"/>
  </r>
  <r>
    <n v="10498"/>
    <x v="1"/>
    <n v="92"/>
    <n v="5"/>
    <d v="1997-04-07T00:00:00"/>
  </r>
  <r>
    <n v="10498"/>
    <x v="2"/>
    <n v="92"/>
    <n v="5"/>
    <d v="1997-04-07T00:00:00"/>
  </r>
  <r>
    <n v="10498"/>
    <x v="3"/>
    <n v="92"/>
    <n v="5"/>
    <d v="1997-04-07T00:00:00"/>
  </r>
  <r>
    <n v="10498"/>
    <x v="4"/>
    <n v="92"/>
    <n v="5"/>
    <d v="1997-04-07T00:00:00"/>
  </r>
  <r>
    <n v="10498"/>
    <x v="5"/>
    <n v="92"/>
    <n v="5"/>
    <d v="1997-04-07T00:00:00"/>
  </r>
  <r>
    <n v="10498"/>
    <x v="6"/>
    <n v="92"/>
    <n v="5"/>
    <d v="1997-04-07T00:00:00"/>
  </r>
  <r>
    <n v="10498"/>
    <x v="7"/>
    <n v="92"/>
    <n v="5"/>
    <d v="1997-04-07T00:00:00"/>
  </r>
  <r>
    <n v="10498"/>
    <x v="0"/>
    <n v="420"/>
    <n v="30"/>
    <d v="1997-04-07T00:00:00"/>
  </r>
  <r>
    <n v="10498"/>
    <x v="1"/>
    <n v="420"/>
    <n v="30"/>
    <d v="1997-04-07T00:00:00"/>
  </r>
  <r>
    <n v="10498"/>
    <x v="2"/>
    <n v="420"/>
    <n v="30"/>
    <d v="1997-04-07T00:00:00"/>
  </r>
  <r>
    <n v="10498"/>
    <x v="3"/>
    <n v="420"/>
    <n v="30"/>
    <d v="1997-04-07T00:00:00"/>
  </r>
  <r>
    <n v="10498"/>
    <x v="4"/>
    <n v="420"/>
    <n v="30"/>
    <d v="1997-04-07T00:00:00"/>
  </r>
  <r>
    <n v="10498"/>
    <x v="5"/>
    <n v="420"/>
    <n v="30"/>
    <d v="1997-04-07T00:00:00"/>
  </r>
  <r>
    <n v="10498"/>
    <x v="6"/>
    <n v="420"/>
    <n v="30"/>
    <d v="1997-04-07T00:00:00"/>
  </r>
  <r>
    <n v="10498"/>
    <x v="7"/>
    <n v="420"/>
    <n v="30"/>
    <d v="1997-04-07T00:00:00"/>
  </r>
  <r>
    <n v="10499"/>
    <x v="0"/>
    <n v="912"/>
    <n v="20"/>
    <d v="1997-04-08T00:00:00"/>
  </r>
  <r>
    <n v="10499"/>
    <x v="1"/>
    <n v="912"/>
    <n v="20"/>
    <d v="1997-04-08T00:00:00"/>
  </r>
  <r>
    <n v="10499"/>
    <x v="2"/>
    <n v="912"/>
    <n v="20"/>
    <d v="1997-04-08T00:00:00"/>
  </r>
  <r>
    <n v="10499"/>
    <x v="3"/>
    <n v="912"/>
    <n v="20"/>
    <d v="1997-04-08T00:00:00"/>
  </r>
  <r>
    <n v="10499"/>
    <x v="4"/>
    <n v="912"/>
    <n v="20"/>
    <d v="1997-04-08T00:00:00"/>
  </r>
  <r>
    <n v="10499"/>
    <x v="5"/>
    <n v="912"/>
    <n v="20"/>
    <d v="1997-04-08T00:00:00"/>
  </r>
  <r>
    <n v="10499"/>
    <x v="6"/>
    <n v="912"/>
    <n v="20"/>
    <d v="1997-04-08T00:00:00"/>
  </r>
  <r>
    <n v="10499"/>
    <x v="7"/>
    <n v="912"/>
    <n v="20"/>
    <d v="1997-04-08T00:00:00"/>
  </r>
  <r>
    <n v="10499"/>
    <x v="0"/>
    <n v="500"/>
    <n v="25"/>
    <d v="1997-04-08T00:00:00"/>
  </r>
  <r>
    <n v="10499"/>
    <x v="1"/>
    <n v="500"/>
    <n v="25"/>
    <d v="1997-04-08T00:00:00"/>
  </r>
  <r>
    <n v="10499"/>
    <x v="2"/>
    <n v="500"/>
    <n v="25"/>
    <d v="1997-04-08T00:00:00"/>
  </r>
  <r>
    <n v="10499"/>
    <x v="3"/>
    <n v="500"/>
    <n v="25"/>
    <d v="1997-04-08T00:00:00"/>
  </r>
  <r>
    <n v="10499"/>
    <x v="4"/>
    <n v="500"/>
    <n v="25"/>
    <d v="1997-04-08T00:00:00"/>
  </r>
  <r>
    <n v="10499"/>
    <x v="5"/>
    <n v="500"/>
    <n v="25"/>
    <d v="1997-04-08T00:00:00"/>
  </r>
  <r>
    <n v="10499"/>
    <x v="6"/>
    <n v="500"/>
    <n v="25"/>
    <d v="1997-04-08T00:00:00"/>
  </r>
  <r>
    <n v="10499"/>
    <x v="7"/>
    <n v="500"/>
    <n v="25"/>
    <d v="1997-04-08T00:00:00"/>
  </r>
  <r>
    <n v="10500"/>
    <x v="0"/>
    <n v="176.6999998614192"/>
    <n v="12"/>
    <d v="1997-04-09T00:00:00"/>
  </r>
  <r>
    <n v="10500"/>
    <x v="1"/>
    <n v="176.6999998614192"/>
    <n v="12"/>
    <d v="1997-04-09T00:00:00"/>
  </r>
  <r>
    <n v="10500"/>
    <x v="2"/>
    <n v="176.6999998614192"/>
    <n v="12"/>
    <d v="1997-04-09T00:00:00"/>
  </r>
  <r>
    <n v="10500"/>
    <x v="3"/>
    <n v="176.6999998614192"/>
    <n v="12"/>
    <d v="1997-04-09T00:00:00"/>
  </r>
  <r>
    <n v="10500"/>
    <x v="4"/>
    <n v="176.6999998614192"/>
    <n v="12"/>
    <d v="1997-04-09T00:00:00"/>
  </r>
  <r>
    <n v="10500"/>
    <x v="5"/>
    <n v="176.6999998614192"/>
    <n v="12"/>
    <d v="1997-04-09T00:00:00"/>
  </r>
  <r>
    <n v="10500"/>
    <x v="6"/>
    <n v="176.6999998614192"/>
    <n v="12"/>
    <d v="1997-04-09T00:00:00"/>
  </r>
  <r>
    <n v="10500"/>
    <x v="7"/>
    <n v="176.6999998614192"/>
    <n v="12"/>
    <d v="1997-04-09T00:00:00"/>
  </r>
  <r>
    <n v="10500"/>
    <x v="0"/>
    <n v="346.55999972820285"/>
    <n v="8"/>
    <d v="1997-04-09T00:00:00"/>
  </r>
  <r>
    <n v="10500"/>
    <x v="1"/>
    <n v="346.55999972820285"/>
    <n v="8"/>
    <d v="1997-04-09T00:00:00"/>
  </r>
  <r>
    <n v="10500"/>
    <x v="2"/>
    <n v="346.55999972820285"/>
    <n v="8"/>
    <d v="1997-04-09T00:00:00"/>
  </r>
  <r>
    <n v="10500"/>
    <x v="3"/>
    <n v="346.55999972820285"/>
    <n v="8"/>
    <d v="1997-04-09T00:00:00"/>
  </r>
  <r>
    <n v="10500"/>
    <x v="4"/>
    <n v="346.55999972820285"/>
    <n v="8"/>
    <d v="1997-04-09T00:00:00"/>
  </r>
  <r>
    <n v="10500"/>
    <x v="5"/>
    <n v="346.55999972820285"/>
    <n v="8"/>
    <d v="1997-04-09T00:00:00"/>
  </r>
  <r>
    <n v="10500"/>
    <x v="6"/>
    <n v="346.55999972820285"/>
    <n v="8"/>
    <d v="1997-04-09T00:00:00"/>
  </r>
  <r>
    <n v="10500"/>
    <x v="7"/>
    <n v="346.55999972820285"/>
    <n v="8"/>
    <d v="1997-04-09T00:00:00"/>
  </r>
  <r>
    <n v="10501"/>
    <x v="0"/>
    <n v="149"/>
    <n v="20"/>
    <d v="1997-04-09T00:00:00"/>
  </r>
  <r>
    <n v="10501"/>
    <x v="1"/>
    <n v="149"/>
    <n v="20"/>
    <d v="1997-04-09T00:00:00"/>
  </r>
  <r>
    <n v="10501"/>
    <x v="2"/>
    <n v="149"/>
    <n v="20"/>
    <d v="1997-04-09T00:00:00"/>
  </r>
  <r>
    <n v="10501"/>
    <x v="3"/>
    <n v="149"/>
    <n v="20"/>
    <d v="1997-04-09T00:00:00"/>
  </r>
  <r>
    <n v="10501"/>
    <x v="4"/>
    <n v="149"/>
    <n v="20"/>
    <d v="1997-04-09T00:00:00"/>
  </r>
  <r>
    <n v="10501"/>
    <x v="5"/>
    <n v="149"/>
    <n v="20"/>
    <d v="1997-04-09T00:00:00"/>
  </r>
  <r>
    <n v="10501"/>
    <x v="6"/>
    <n v="149"/>
    <n v="20"/>
    <d v="1997-04-09T00:00:00"/>
  </r>
  <r>
    <n v="10501"/>
    <x v="7"/>
    <n v="149"/>
    <n v="20"/>
    <d v="1997-04-09T00:00:00"/>
  </r>
  <r>
    <n v="10502"/>
    <x v="0"/>
    <n v="199.5"/>
    <n v="21"/>
    <d v="1997-04-10T00:00:00"/>
  </r>
  <r>
    <n v="10502"/>
    <x v="1"/>
    <n v="199.5"/>
    <n v="21"/>
    <d v="1997-04-10T00:00:00"/>
  </r>
  <r>
    <n v="10502"/>
    <x v="2"/>
    <n v="199.5"/>
    <n v="21"/>
    <d v="1997-04-10T00:00:00"/>
  </r>
  <r>
    <n v="10502"/>
    <x v="3"/>
    <n v="199.5"/>
    <n v="21"/>
    <d v="1997-04-10T00:00:00"/>
  </r>
  <r>
    <n v="10502"/>
    <x v="4"/>
    <n v="199.5"/>
    <n v="21"/>
    <d v="1997-04-10T00:00:00"/>
  </r>
  <r>
    <n v="10502"/>
    <x v="5"/>
    <n v="199.5"/>
    <n v="21"/>
    <d v="1997-04-10T00:00:00"/>
  </r>
  <r>
    <n v="10502"/>
    <x v="6"/>
    <n v="199.5"/>
    <n v="21"/>
    <d v="1997-04-10T00:00:00"/>
  </r>
  <r>
    <n v="10502"/>
    <x v="7"/>
    <n v="199.5"/>
    <n v="21"/>
    <d v="1997-04-10T00:00:00"/>
  </r>
  <r>
    <n v="10502"/>
    <x v="0"/>
    <n v="196.8"/>
    <n v="6"/>
    <d v="1997-04-10T00:00:00"/>
  </r>
  <r>
    <n v="10502"/>
    <x v="1"/>
    <n v="196.8"/>
    <n v="6"/>
    <d v="1997-04-10T00:00:00"/>
  </r>
  <r>
    <n v="10502"/>
    <x v="2"/>
    <n v="196.8"/>
    <n v="6"/>
    <d v="1997-04-10T00:00:00"/>
  </r>
  <r>
    <n v="10502"/>
    <x v="3"/>
    <n v="196.8"/>
    <n v="6"/>
    <d v="1997-04-10T00:00:00"/>
  </r>
  <r>
    <n v="10502"/>
    <x v="4"/>
    <n v="196.8"/>
    <n v="6"/>
    <d v="1997-04-10T00:00:00"/>
  </r>
  <r>
    <n v="10502"/>
    <x v="5"/>
    <n v="196.8"/>
    <n v="6"/>
    <d v="1997-04-10T00:00:00"/>
  </r>
  <r>
    <n v="10502"/>
    <x v="6"/>
    <n v="196.8"/>
    <n v="6"/>
    <d v="1997-04-10T00:00:00"/>
  </r>
  <r>
    <n v="10502"/>
    <x v="7"/>
    <n v="196.8"/>
    <n v="6"/>
    <d v="1997-04-10T00:00:00"/>
  </r>
  <r>
    <n v="10502"/>
    <x v="0"/>
    <n v="420"/>
    <n v="30"/>
    <d v="1997-04-10T00:00:00"/>
  </r>
  <r>
    <n v="10502"/>
    <x v="1"/>
    <n v="420"/>
    <n v="30"/>
    <d v="1997-04-10T00:00:00"/>
  </r>
  <r>
    <n v="10502"/>
    <x v="2"/>
    <n v="420"/>
    <n v="30"/>
    <d v="1997-04-10T00:00:00"/>
  </r>
  <r>
    <n v="10502"/>
    <x v="3"/>
    <n v="420"/>
    <n v="30"/>
    <d v="1997-04-10T00:00:00"/>
  </r>
  <r>
    <n v="10502"/>
    <x v="4"/>
    <n v="420"/>
    <n v="30"/>
    <d v="1997-04-10T00:00:00"/>
  </r>
  <r>
    <n v="10502"/>
    <x v="5"/>
    <n v="420"/>
    <n v="30"/>
    <d v="1997-04-10T00:00:00"/>
  </r>
  <r>
    <n v="10502"/>
    <x v="6"/>
    <n v="420"/>
    <n v="30"/>
    <d v="1997-04-10T00:00:00"/>
  </r>
  <r>
    <n v="10502"/>
    <x v="7"/>
    <n v="420"/>
    <n v="30"/>
    <d v="1997-04-10T00:00:00"/>
  </r>
  <r>
    <n v="10503"/>
    <x v="0"/>
    <n v="1627.5"/>
    <n v="70"/>
    <d v="1997-04-11T00:00:00"/>
  </r>
  <r>
    <n v="10503"/>
    <x v="1"/>
    <n v="1627.5"/>
    <n v="70"/>
    <d v="1997-04-11T00:00:00"/>
  </r>
  <r>
    <n v="10503"/>
    <x v="2"/>
    <n v="1627.5"/>
    <n v="70"/>
    <d v="1997-04-11T00:00:00"/>
  </r>
  <r>
    <n v="10503"/>
    <x v="3"/>
    <n v="1627.5"/>
    <n v="70"/>
    <d v="1997-04-11T00:00:00"/>
  </r>
  <r>
    <n v="10503"/>
    <x v="4"/>
    <n v="1627.5"/>
    <n v="70"/>
    <d v="1997-04-11T00:00:00"/>
  </r>
  <r>
    <n v="10503"/>
    <x v="5"/>
    <n v="1627.5"/>
    <n v="70"/>
    <d v="1997-04-11T00:00:00"/>
  </r>
  <r>
    <n v="10503"/>
    <x v="6"/>
    <n v="1627.5"/>
    <n v="70"/>
    <d v="1997-04-11T00:00:00"/>
  </r>
  <r>
    <n v="10503"/>
    <x v="7"/>
    <n v="1627.5"/>
    <n v="70"/>
    <d v="1997-04-11T00:00:00"/>
  </r>
  <r>
    <n v="10503"/>
    <x v="0"/>
    <n v="421"/>
    <n v="20"/>
    <d v="1997-04-11T00:00:00"/>
  </r>
  <r>
    <n v="10503"/>
    <x v="1"/>
    <n v="421"/>
    <n v="20"/>
    <d v="1997-04-11T00:00:00"/>
  </r>
  <r>
    <n v="10503"/>
    <x v="2"/>
    <n v="421"/>
    <n v="20"/>
    <d v="1997-04-11T00:00:00"/>
  </r>
  <r>
    <n v="10503"/>
    <x v="3"/>
    <n v="421"/>
    <n v="20"/>
    <d v="1997-04-11T00:00:00"/>
  </r>
  <r>
    <n v="10503"/>
    <x v="4"/>
    <n v="421"/>
    <n v="20"/>
    <d v="1997-04-11T00:00:00"/>
  </r>
  <r>
    <n v="10503"/>
    <x v="5"/>
    <n v="421"/>
    <n v="20"/>
    <d v="1997-04-11T00:00:00"/>
  </r>
  <r>
    <n v="10503"/>
    <x v="6"/>
    <n v="421"/>
    <n v="20"/>
    <d v="1997-04-11T00:00:00"/>
  </r>
  <r>
    <n v="10503"/>
    <x v="7"/>
    <n v="421"/>
    <n v="20"/>
    <d v="1997-04-11T00:00:00"/>
  </r>
  <r>
    <n v="10504"/>
    <x v="0"/>
    <n v="228"/>
    <n v="12"/>
    <d v="1997-04-11T00:00:00"/>
  </r>
  <r>
    <n v="10504"/>
    <x v="1"/>
    <n v="228"/>
    <n v="12"/>
    <d v="1997-04-11T00:00:00"/>
  </r>
  <r>
    <n v="10504"/>
    <x v="2"/>
    <n v="228"/>
    <n v="12"/>
    <d v="1997-04-11T00:00:00"/>
  </r>
  <r>
    <n v="10504"/>
    <x v="3"/>
    <n v="228"/>
    <n v="12"/>
    <d v="1997-04-11T00:00:00"/>
  </r>
  <r>
    <n v="10504"/>
    <x v="4"/>
    <n v="228"/>
    <n v="12"/>
    <d v="1997-04-11T00:00:00"/>
  </r>
  <r>
    <n v="10504"/>
    <x v="5"/>
    <n v="228"/>
    <n v="12"/>
    <d v="1997-04-11T00:00:00"/>
  </r>
  <r>
    <n v="10504"/>
    <x v="6"/>
    <n v="228"/>
    <n v="12"/>
    <d v="1997-04-11T00:00:00"/>
  </r>
  <r>
    <n v="10504"/>
    <x v="7"/>
    <n v="228"/>
    <n v="12"/>
    <d v="1997-04-11T00:00:00"/>
  </r>
  <r>
    <n v="10504"/>
    <x v="0"/>
    <n v="120"/>
    <n v="12"/>
    <d v="1997-04-11T00:00:00"/>
  </r>
  <r>
    <n v="10504"/>
    <x v="1"/>
    <n v="120"/>
    <n v="12"/>
    <d v="1997-04-11T00:00:00"/>
  </r>
  <r>
    <n v="10504"/>
    <x v="2"/>
    <n v="120"/>
    <n v="12"/>
    <d v="1997-04-11T00:00:00"/>
  </r>
  <r>
    <n v="10504"/>
    <x v="3"/>
    <n v="120"/>
    <n v="12"/>
    <d v="1997-04-11T00:00:00"/>
  </r>
  <r>
    <n v="10504"/>
    <x v="4"/>
    <n v="120"/>
    <n v="12"/>
    <d v="1997-04-11T00:00:00"/>
  </r>
  <r>
    <n v="10504"/>
    <x v="5"/>
    <n v="120"/>
    <n v="12"/>
    <d v="1997-04-11T00:00:00"/>
  </r>
  <r>
    <n v="10504"/>
    <x v="6"/>
    <n v="120"/>
    <n v="12"/>
    <d v="1997-04-11T00:00:00"/>
  </r>
  <r>
    <n v="10504"/>
    <x v="7"/>
    <n v="120"/>
    <n v="12"/>
    <d v="1997-04-11T00:00:00"/>
  </r>
  <r>
    <n v="10504"/>
    <x v="0"/>
    <n v="328"/>
    <n v="10"/>
    <d v="1997-04-11T00:00:00"/>
  </r>
  <r>
    <n v="10504"/>
    <x v="1"/>
    <n v="328"/>
    <n v="10"/>
    <d v="1997-04-11T00:00:00"/>
  </r>
  <r>
    <n v="10504"/>
    <x v="2"/>
    <n v="328"/>
    <n v="10"/>
    <d v="1997-04-11T00:00:00"/>
  </r>
  <r>
    <n v="10504"/>
    <x v="3"/>
    <n v="328"/>
    <n v="10"/>
    <d v="1997-04-11T00:00:00"/>
  </r>
  <r>
    <n v="10504"/>
    <x v="4"/>
    <n v="328"/>
    <n v="10"/>
    <d v="1997-04-11T00:00:00"/>
  </r>
  <r>
    <n v="10504"/>
    <x v="5"/>
    <n v="328"/>
    <n v="10"/>
    <d v="1997-04-11T00:00:00"/>
  </r>
  <r>
    <n v="10504"/>
    <x v="6"/>
    <n v="328"/>
    <n v="10"/>
    <d v="1997-04-11T00:00:00"/>
  </r>
  <r>
    <n v="10504"/>
    <x v="7"/>
    <n v="328"/>
    <n v="10"/>
    <d v="1997-04-11T00:00:00"/>
  </r>
  <r>
    <n v="10504"/>
    <x v="0"/>
    <n v="712.5"/>
    <n v="25"/>
    <d v="1997-04-11T00:00:00"/>
  </r>
  <r>
    <n v="10504"/>
    <x v="1"/>
    <n v="712.5"/>
    <n v="25"/>
    <d v="1997-04-11T00:00:00"/>
  </r>
  <r>
    <n v="10504"/>
    <x v="2"/>
    <n v="712.5"/>
    <n v="25"/>
    <d v="1997-04-11T00:00:00"/>
  </r>
  <r>
    <n v="10504"/>
    <x v="3"/>
    <n v="712.5"/>
    <n v="25"/>
    <d v="1997-04-11T00:00:00"/>
  </r>
  <r>
    <n v="10504"/>
    <x v="4"/>
    <n v="712.5"/>
    <n v="25"/>
    <d v="1997-04-11T00:00:00"/>
  </r>
  <r>
    <n v="10504"/>
    <x v="5"/>
    <n v="712.5"/>
    <n v="25"/>
    <d v="1997-04-11T00:00:00"/>
  </r>
  <r>
    <n v="10504"/>
    <x v="6"/>
    <n v="712.5"/>
    <n v="25"/>
    <d v="1997-04-11T00:00:00"/>
  </r>
  <r>
    <n v="10504"/>
    <x v="7"/>
    <n v="712.5"/>
    <n v="25"/>
    <d v="1997-04-11T00:00:00"/>
  </r>
  <r>
    <n v="10505"/>
    <x v="0"/>
    <n v="147.9"/>
    <n v="3"/>
    <d v="1997-04-14T00:00:00"/>
  </r>
  <r>
    <n v="10505"/>
    <x v="1"/>
    <n v="147.9"/>
    <n v="3"/>
    <d v="1997-04-14T00:00:00"/>
  </r>
  <r>
    <n v="10505"/>
    <x v="2"/>
    <n v="147.9"/>
    <n v="3"/>
    <d v="1997-04-14T00:00:00"/>
  </r>
  <r>
    <n v="10505"/>
    <x v="3"/>
    <n v="147.9"/>
    <n v="3"/>
    <d v="1997-04-14T00:00:00"/>
  </r>
  <r>
    <n v="10505"/>
    <x v="4"/>
    <n v="147.9"/>
    <n v="3"/>
    <d v="1997-04-14T00:00:00"/>
  </r>
  <r>
    <n v="10505"/>
    <x v="5"/>
    <n v="147.9"/>
    <n v="3"/>
    <d v="1997-04-14T00:00:00"/>
  </r>
  <r>
    <n v="10505"/>
    <x v="6"/>
    <n v="147.9"/>
    <n v="3"/>
    <d v="1997-04-14T00:00:00"/>
  </r>
  <r>
    <n v="10505"/>
    <x v="7"/>
    <n v="147.9"/>
    <n v="3"/>
    <d v="1997-04-14T00:00:00"/>
  </r>
  <r>
    <n v="10506"/>
    <x v="0"/>
    <n v="226.79999962449074"/>
    <n v="18"/>
    <d v="1997-04-15T00:00:00"/>
  </r>
  <r>
    <n v="10506"/>
    <x v="1"/>
    <n v="226.79999962449074"/>
    <n v="18"/>
    <d v="1997-04-15T00:00:00"/>
  </r>
  <r>
    <n v="10506"/>
    <x v="2"/>
    <n v="226.79999962449074"/>
    <n v="18"/>
    <d v="1997-04-15T00:00:00"/>
  </r>
  <r>
    <n v="10506"/>
    <x v="3"/>
    <n v="226.79999962449074"/>
    <n v="18"/>
    <d v="1997-04-15T00:00:00"/>
  </r>
  <r>
    <n v="10506"/>
    <x v="4"/>
    <n v="226.79999962449074"/>
    <n v="18"/>
    <d v="1997-04-15T00:00:00"/>
  </r>
  <r>
    <n v="10506"/>
    <x v="5"/>
    <n v="226.79999962449074"/>
    <n v="18"/>
    <d v="1997-04-15T00:00:00"/>
  </r>
  <r>
    <n v="10506"/>
    <x v="6"/>
    <n v="226.79999962449074"/>
    <n v="18"/>
    <d v="1997-04-15T00:00:00"/>
  </r>
  <r>
    <n v="10506"/>
    <x v="7"/>
    <n v="226.79999962449074"/>
    <n v="18"/>
    <d v="1997-04-15T00:00:00"/>
  </r>
  <r>
    <n v="10506"/>
    <x v="0"/>
    <n v="188.99999968707561"/>
    <n v="14"/>
    <d v="1997-04-15T00:00:00"/>
  </r>
  <r>
    <n v="10506"/>
    <x v="1"/>
    <n v="188.99999968707561"/>
    <n v="14"/>
    <d v="1997-04-15T00:00:00"/>
  </r>
  <r>
    <n v="10506"/>
    <x v="2"/>
    <n v="188.99999968707561"/>
    <n v="14"/>
    <d v="1997-04-15T00:00:00"/>
  </r>
  <r>
    <n v="10506"/>
    <x v="3"/>
    <n v="188.99999968707561"/>
    <n v="14"/>
    <d v="1997-04-15T00:00:00"/>
  </r>
  <r>
    <n v="10506"/>
    <x v="4"/>
    <n v="188.99999968707561"/>
    <n v="14"/>
    <d v="1997-04-15T00:00:00"/>
  </r>
  <r>
    <n v="10506"/>
    <x v="5"/>
    <n v="188.99999968707561"/>
    <n v="14"/>
    <d v="1997-04-15T00:00:00"/>
  </r>
  <r>
    <n v="10506"/>
    <x v="6"/>
    <n v="188.99999968707561"/>
    <n v="14"/>
    <d v="1997-04-15T00:00:00"/>
  </r>
  <r>
    <n v="10506"/>
    <x v="7"/>
    <n v="188.99999968707561"/>
    <n v="14"/>
    <d v="1997-04-15T00:00:00"/>
  </r>
  <r>
    <n v="10507"/>
    <x v="0"/>
    <n v="586.49999588727951"/>
    <n v="15"/>
    <d v="1997-04-15T00:00:00"/>
  </r>
  <r>
    <n v="10507"/>
    <x v="1"/>
    <n v="586.49999588727951"/>
    <n v="15"/>
    <d v="1997-04-15T00:00:00"/>
  </r>
  <r>
    <n v="10507"/>
    <x v="2"/>
    <n v="586.49999588727951"/>
    <n v="15"/>
    <d v="1997-04-15T00:00:00"/>
  </r>
  <r>
    <n v="10507"/>
    <x v="3"/>
    <n v="586.49999588727951"/>
    <n v="15"/>
    <d v="1997-04-15T00:00:00"/>
  </r>
  <r>
    <n v="10507"/>
    <x v="4"/>
    <n v="586.49999588727951"/>
    <n v="15"/>
    <d v="1997-04-15T00:00:00"/>
  </r>
  <r>
    <n v="10507"/>
    <x v="5"/>
    <n v="586.49999588727951"/>
    <n v="15"/>
    <d v="1997-04-15T00:00:00"/>
  </r>
  <r>
    <n v="10507"/>
    <x v="6"/>
    <n v="586.49999588727951"/>
    <n v="15"/>
    <d v="1997-04-15T00:00:00"/>
  </r>
  <r>
    <n v="10507"/>
    <x v="7"/>
    <n v="586.49999588727951"/>
    <n v="15"/>
    <d v="1997-04-15T00:00:00"/>
  </r>
  <r>
    <n v="10507"/>
    <x v="0"/>
    <n v="162.56249886006117"/>
    <n v="15"/>
    <d v="1997-04-15T00:00:00"/>
  </r>
  <r>
    <n v="10507"/>
    <x v="1"/>
    <n v="162.56249886006117"/>
    <n v="15"/>
    <d v="1997-04-15T00:00:00"/>
  </r>
  <r>
    <n v="10507"/>
    <x v="2"/>
    <n v="162.56249886006117"/>
    <n v="15"/>
    <d v="1997-04-15T00:00:00"/>
  </r>
  <r>
    <n v="10507"/>
    <x v="3"/>
    <n v="162.56249886006117"/>
    <n v="15"/>
    <d v="1997-04-15T00:00:00"/>
  </r>
  <r>
    <n v="10507"/>
    <x v="4"/>
    <n v="162.56249886006117"/>
    <n v="15"/>
    <d v="1997-04-15T00:00:00"/>
  </r>
  <r>
    <n v="10507"/>
    <x v="5"/>
    <n v="162.56249886006117"/>
    <n v="15"/>
    <d v="1997-04-15T00:00:00"/>
  </r>
  <r>
    <n v="10507"/>
    <x v="6"/>
    <n v="162.56249886006117"/>
    <n v="15"/>
    <d v="1997-04-15T00:00:00"/>
  </r>
  <r>
    <n v="10507"/>
    <x v="7"/>
    <n v="162.56249886006117"/>
    <n v="15"/>
    <d v="1997-04-15T00:00:00"/>
  </r>
  <r>
    <n v="10508"/>
    <x v="0"/>
    <n v="60"/>
    <n v="10"/>
    <d v="1997-04-16T00:00:00"/>
  </r>
  <r>
    <n v="10508"/>
    <x v="1"/>
    <n v="60"/>
    <n v="10"/>
    <d v="1997-04-16T00:00:00"/>
  </r>
  <r>
    <n v="10508"/>
    <x v="2"/>
    <n v="60"/>
    <n v="10"/>
    <d v="1997-04-16T00:00:00"/>
  </r>
  <r>
    <n v="10508"/>
    <x v="3"/>
    <n v="60"/>
    <n v="10"/>
    <d v="1997-04-16T00:00:00"/>
  </r>
  <r>
    <n v="10508"/>
    <x v="4"/>
    <n v="60"/>
    <n v="10"/>
    <d v="1997-04-16T00:00:00"/>
  </r>
  <r>
    <n v="10508"/>
    <x v="5"/>
    <n v="60"/>
    <n v="10"/>
    <d v="1997-04-16T00:00:00"/>
  </r>
  <r>
    <n v="10508"/>
    <x v="6"/>
    <n v="60"/>
    <n v="10"/>
    <d v="1997-04-16T00:00:00"/>
  </r>
  <r>
    <n v="10508"/>
    <x v="7"/>
    <n v="60"/>
    <n v="10"/>
    <d v="1997-04-16T00:00:00"/>
  </r>
  <r>
    <n v="10508"/>
    <x v="0"/>
    <n v="180"/>
    <n v="10"/>
    <d v="1997-04-16T00:00:00"/>
  </r>
  <r>
    <n v="10508"/>
    <x v="1"/>
    <n v="180"/>
    <n v="10"/>
    <d v="1997-04-16T00:00:00"/>
  </r>
  <r>
    <n v="10508"/>
    <x v="2"/>
    <n v="180"/>
    <n v="10"/>
    <d v="1997-04-16T00:00:00"/>
  </r>
  <r>
    <n v="10508"/>
    <x v="3"/>
    <n v="180"/>
    <n v="10"/>
    <d v="1997-04-16T00:00:00"/>
  </r>
  <r>
    <n v="10508"/>
    <x v="4"/>
    <n v="180"/>
    <n v="10"/>
    <d v="1997-04-16T00:00:00"/>
  </r>
  <r>
    <n v="10508"/>
    <x v="5"/>
    <n v="180"/>
    <n v="10"/>
    <d v="1997-04-16T00:00:00"/>
  </r>
  <r>
    <n v="10508"/>
    <x v="6"/>
    <n v="180"/>
    <n v="10"/>
    <d v="1997-04-16T00:00:00"/>
  </r>
  <r>
    <n v="10508"/>
    <x v="7"/>
    <n v="180"/>
    <n v="10"/>
    <d v="1997-04-16T00:00:00"/>
  </r>
  <r>
    <n v="10509"/>
    <x v="0"/>
    <n v="136.80000000000001"/>
    <n v="3"/>
    <d v="1997-04-17T00:00:00"/>
  </r>
  <r>
    <n v="10509"/>
    <x v="1"/>
    <n v="136.80000000000001"/>
    <n v="3"/>
    <d v="1997-04-17T00:00:00"/>
  </r>
  <r>
    <n v="10509"/>
    <x v="2"/>
    <n v="136.80000000000001"/>
    <n v="3"/>
    <d v="1997-04-17T00:00:00"/>
  </r>
  <r>
    <n v="10509"/>
    <x v="3"/>
    <n v="136.80000000000001"/>
    <n v="3"/>
    <d v="1997-04-17T00:00:00"/>
  </r>
  <r>
    <n v="10509"/>
    <x v="4"/>
    <n v="136.80000000000001"/>
    <n v="3"/>
    <d v="1997-04-17T00:00:00"/>
  </r>
  <r>
    <n v="10509"/>
    <x v="5"/>
    <n v="136.80000000000001"/>
    <n v="3"/>
    <d v="1997-04-17T00:00:00"/>
  </r>
  <r>
    <n v="10509"/>
    <x v="6"/>
    <n v="136.80000000000001"/>
    <n v="3"/>
    <d v="1997-04-17T00:00:00"/>
  </r>
  <r>
    <n v="10509"/>
    <x v="7"/>
    <n v="136.80000000000001"/>
    <n v="3"/>
    <d v="1997-04-17T00:00:00"/>
  </r>
  <r>
    <n v="10510"/>
    <x v="0"/>
    <n v="4456.4399999999996"/>
    <n v="36"/>
    <d v="1997-04-18T00:00:00"/>
  </r>
  <r>
    <n v="10510"/>
    <x v="1"/>
    <n v="4456.4399999999996"/>
    <n v="36"/>
    <d v="1997-04-18T00:00:00"/>
  </r>
  <r>
    <n v="10510"/>
    <x v="2"/>
    <n v="4456.4399999999996"/>
    <n v="36"/>
    <d v="1997-04-18T00:00:00"/>
  </r>
  <r>
    <n v="10510"/>
    <x v="3"/>
    <n v="4456.4399999999996"/>
    <n v="36"/>
    <d v="1997-04-18T00:00:00"/>
  </r>
  <r>
    <n v="10510"/>
    <x v="4"/>
    <n v="4456.4399999999996"/>
    <n v="36"/>
    <d v="1997-04-18T00:00:00"/>
  </r>
  <r>
    <n v="10510"/>
    <x v="5"/>
    <n v="4456.4399999999996"/>
    <n v="36"/>
    <d v="1997-04-18T00:00:00"/>
  </r>
  <r>
    <n v="10510"/>
    <x v="6"/>
    <n v="4456.4399999999996"/>
    <n v="36"/>
    <d v="1997-04-18T00:00:00"/>
  </r>
  <r>
    <n v="10510"/>
    <x v="7"/>
    <n v="4456.4399999999996"/>
    <n v="36"/>
    <d v="1997-04-18T00:00:00"/>
  </r>
  <r>
    <n v="10510"/>
    <x v="0"/>
    <n v="251.0999995842576"/>
    <n v="36"/>
    <d v="1997-04-18T00:00:00"/>
  </r>
  <r>
    <n v="10510"/>
    <x v="1"/>
    <n v="251.0999995842576"/>
    <n v="36"/>
    <d v="1997-04-18T00:00:00"/>
  </r>
  <r>
    <n v="10510"/>
    <x v="2"/>
    <n v="251.0999995842576"/>
    <n v="36"/>
    <d v="1997-04-18T00:00:00"/>
  </r>
  <r>
    <n v="10510"/>
    <x v="3"/>
    <n v="251.0999995842576"/>
    <n v="36"/>
    <d v="1997-04-18T00:00:00"/>
  </r>
  <r>
    <n v="10510"/>
    <x v="4"/>
    <n v="251.0999995842576"/>
    <n v="36"/>
    <d v="1997-04-18T00:00:00"/>
  </r>
  <r>
    <n v="10510"/>
    <x v="5"/>
    <n v="251.0999995842576"/>
    <n v="36"/>
    <d v="1997-04-18T00:00:00"/>
  </r>
  <r>
    <n v="10510"/>
    <x v="6"/>
    <n v="251.0999995842576"/>
    <n v="36"/>
    <d v="1997-04-18T00:00:00"/>
  </r>
  <r>
    <n v="10510"/>
    <x v="7"/>
    <n v="251.0999995842576"/>
    <n v="36"/>
    <d v="1997-04-18T00:00:00"/>
  </r>
  <r>
    <n v="10511"/>
    <x v="0"/>
    <n v="934.99999344348907"/>
    <n v="50"/>
    <d v="1997-04-18T00:00:00"/>
  </r>
  <r>
    <n v="10511"/>
    <x v="1"/>
    <n v="934.99999344348907"/>
    <n v="50"/>
    <d v="1997-04-18T00:00:00"/>
  </r>
  <r>
    <n v="10511"/>
    <x v="2"/>
    <n v="934.99999344348907"/>
    <n v="50"/>
    <d v="1997-04-18T00:00:00"/>
  </r>
  <r>
    <n v="10511"/>
    <x v="3"/>
    <n v="934.99999344348907"/>
    <n v="50"/>
    <d v="1997-04-18T00:00:00"/>
  </r>
  <r>
    <n v="10511"/>
    <x v="4"/>
    <n v="934.99999344348907"/>
    <n v="50"/>
    <d v="1997-04-18T00:00:00"/>
  </r>
  <r>
    <n v="10511"/>
    <x v="5"/>
    <n v="934.99999344348907"/>
    <n v="50"/>
    <d v="1997-04-18T00:00:00"/>
  </r>
  <r>
    <n v="10511"/>
    <x v="6"/>
    <n v="934.99999344348907"/>
    <n v="50"/>
    <d v="1997-04-18T00:00:00"/>
  </r>
  <r>
    <n v="10511"/>
    <x v="7"/>
    <n v="934.99999344348907"/>
    <n v="50"/>
    <d v="1997-04-18T00:00:00"/>
  </r>
  <r>
    <n v="10511"/>
    <x v="0"/>
    <n v="1274.9999910593033"/>
    <n v="50"/>
    <d v="1997-04-18T00:00:00"/>
  </r>
  <r>
    <n v="10511"/>
    <x v="1"/>
    <n v="1274.9999910593033"/>
    <n v="50"/>
    <d v="1997-04-18T00:00:00"/>
  </r>
  <r>
    <n v="10511"/>
    <x v="2"/>
    <n v="1274.9999910593033"/>
    <n v="50"/>
    <d v="1997-04-18T00:00:00"/>
  </r>
  <r>
    <n v="10511"/>
    <x v="3"/>
    <n v="1274.9999910593033"/>
    <n v="50"/>
    <d v="1997-04-18T00:00:00"/>
  </r>
  <r>
    <n v="10511"/>
    <x v="4"/>
    <n v="1274.9999910593033"/>
    <n v="50"/>
    <d v="1997-04-18T00:00:00"/>
  </r>
  <r>
    <n v="10511"/>
    <x v="5"/>
    <n v="1274.9999910593033"/>
    <n v="50"/>
    <d v="1997-04-18T00:00:00"/>
  </r>
  <r>
    <n v="10511"/>
    <x v="6"/>
    <n v="1274.9999910593033"/>
    <n v="50"/>
    <d v="1997-04-18T00:00:00"/>
  </r>
  <r>
    <n v="10511"/>
    <x v="7"/>
    <n v="1274.9999910593033"/>
    <n v="50"/>
    <d v="1997-04-18T00:00:00"/>
  </r>
  <r>
    <n v="10511"/>
    <x v="0"/>
    <n v="339.99999761581421"/>
    <n v="10"/>
    <d v="1997-04-18T00:00:00"/>
  </r>
  <r>
    <n v="10511"/>
    <x v="1"/>
    <n v="339.99999761581421"/>
    <n v="10"/>
    <d v="1997-04-18T00:00:00"/>
  </r>
  <r>
    <n v="10511"/>
    <x v="2"/>
    <n v="339.99999761581421"/>
    <n v="10"/>
    <d v="1997-04-18T00:00:00"/>
  </r>
  <r>
    <n v="10511"/>
    <x v="3"/>
    <n v="339.99999761581421"/>
    <n v="10"/>
    <d v="1997-04-18T00:00:00"/>
  </r>
  <r>
    <n v="10511"/>
    <x v="4"/>
    <n v="339.99999761581421"/>
    <n v="10"/>
    <d v="1997-04-18T00:00:00"/>
  </r>
  <r>
    <n v="10511"/>
    <x v="5"/>
    <n v="339.99999761581421"/>
    <n v="10"/>
    <d v="1997-04-18T00:00:00"/>
  </r>
  <r>
    <n v="10511"/>
    <x v="6"/>
    <n v="339.99999761581421"/>
    <n v="10"/>
    <d v="1997-04-18T00:00:00"/>
  </r>
  <r>
    <n v="10511"/>
    <x v="7"/>
    <n v="339.99999761581421"/>
    <n v="10"/>
    <d v="1997-04-18T00:00:00"/>
  </r>
  <r>
    <n v="10512"/>
    <x v="0"/>
    <n v="38.249999731779099"/>
    <n v="10"/>
    <d v="1997-04-21T00:00:00"/>
  </r>
  <r>
    <n v="10512"/>
    <x v="1"/>
    <n v="38.249999731779099"/>
    <n v="10"/>
    <d v="1997-04-21T00:00:00"/>
  </r>
  <r>
    <n v="10512"/>
    <x v="2"/>
    <n v="38.249999731779099"/>
    <n v="10"/>
    <d v="1997-04-21T00:00:00"/>
  </r>
  <r>
    <n v="10512"/>
    <x v="3"/>
    <n v="38.249999731779099"/>
    <n v="10"/>
    <d v="1997-04-21T00:00:00"/>
  </r>
  <r>
    <n v="10512"/>
    <x v="4"/>
    <n v="38.249999731779099"/>
    <n v="10"/>
    <d v="1997-04-21T00:00:00"/>
  </r>
  <r>
    <n v="10512"/>
    <x v="5"/>
    <n v="38.249999731779099"/>
    <n v="10"/>
    <d v="1997-04-21T00:00:00"/>
  </r>
  <r>
    <n v="10512"/>
    <x v="6"/>
    <n v="38.249999731779099"/>
    <n v="10"/>
    <d v="1997-04-21T00:00:00"/>
  </r>
  <r>
    <n v="10512"/>
    <x v="7"/>
    <n v="38.249999731779099"/>
    <n v="10"/>
    <d v="1997-04-21T00:00:00"/>
  </r>
  <r>
    <n v="10512"/>
    <x v="0"/>
    <n v="91.799999356269836"/>
    <n v="9"/>
    <d v="1997-04-21T00:00:00"/>
  </r>
  <r>
    <n v="10512"/>
    <x v="1"/>
    <n v="91.799999356269836"/>
    <n v="9"/>
    <d v="1997-04-21T00:00:00"/>
  </r>
  <r>
    <n v="10512"/>
    <x v="2"/>
    <n v="91.799999356269836"/>
    <n v="9"/>
    <d v="1997-04-21T00:00:00"/>
  </r>
  <r>
    <n v="10512"/>
    <x v="3"/>
    <n v="91.799999356269836"/>
    <n v="9"/>
    <d v="1997-04-21T00:00:00"/>
  </r>
  <r>
    <n v="10512"/>
    <x v="4"/>
    <n v="91.799999356269836"/>
    <n v="9"/>
    <d v="1997-04-21T00:00:00"/>
  </r>
  <r>
    <n v="10512"/>
    <x v="5"/>
    <n v="91.799999356269836"/>
    <n v="9"/>
    <d v="1997-04-21T00:00:00"/>
  </r>
  <r>
    <n v="10512"/>
    <x v="6"/>
    <n v="91.799999356269836"/>
    <n v="9"/>
    <d v="1997-04-21T00:00:00"/>
  </r>
  <r>
    <n v="10512"/>
    <x v="7"/>
    <n v="91.799999356269836"/>
    <n v="9"/>
    <d v="1997-04-21T00:00:00"/>
  </r>
  <r>
    <n v="10512"/>
    <x v="0"/>
    <n v="48.449999660253525"/>
    <n v="6"/>
    <d v="1997-04-21T00:00:00"/>
  </r>
  <r>
    <n v="10512"/>
    <x v="1"/>
    <n v="48.449999660253525"/>
    <n v="6"/>
    <d v="1997-04-21T00:00:00"/>
  </r>
  <r>
    <n v="10512"/>
    <x v="2"/>
    <n v="48.449999660253525"/>
    <n v="6"/>
    <d v="1997-04-21T00:00:00"/>
  </r>
  <r>
    <n v="10512"/>
    <x v="3"/>
    <n v="48.449999660253525"/>
    <n v="6"/>
    <d v="1997-04-21T00:00:00"/>
  </r>
  <r>
    <n v="10512"/>
    <x v="4"/>
    <n v="48.449999660253525"/>
    <n v="6"/>
    <d v="1997-04-21T00:00:00"/>
  </r>
  <r>
    <n v="10512"/>
    <x v="5"/>
    <n v="48.449999660253525"/>
    <n v="6"/>
    <d v="1997-04-21T00:00:00"/>
  </r>
  <r>
    <n v="10512"/>
    <x v="6"/>
    <n v="48.449999660253525"/>
    <n v="6"/>
    <d v="1997-04-21T00:00:00"/>
  </r>
  <r>
    <n v="10512"/>
    <x v="7"/>
    <n v="48.449999660253525"/>
    <n v="6"/>
    <d v="1997-04-21T00:00:00"/>
  </r>
  <r>
    <n v="10512"/>
    <x v="0"/>
    <n v="346.79999756813049"/>
    <n v="12"/>
    <d v="1997-04-21T00:00:00"/>
  </r>
  <r>
    <n v="10512"/>
    <x v="1"/>
    <n v="346.79999756813049"/>
    <n v="12"/>
    <d v="1997-04-21T00:00:00"/>
  </r>
  <r>
    <n v="10512"/>
    <x v="2"/>
    <n v="346.79999756813049"/>
    <n v="12"/>
    <d v="1997-04-21T00:00:00"/>
  </r>
  <r>
    <n v="10512"/>
    <x v="3"/>
    <n v="346.79999756813049"/>
    <n v="12"/>
    <d v="1997-04-21T00:00:00"/>
  </r>
  <r>
    <n v="10512"/>
    <x v="4"/>
    <n v="346.79999756813049"/>
    <n v="12"/>
    <d v="1997-04-21T00:00:00"/>
  </r>
  <r>
    <n v="10512"/>
    <x v="5"/>
    <n v="346.79999756813049"/>
    <n v="12"/>
    <d v="1997-04-21T00:00:00"/>
  </r>
  <r>
    <n v="10512"/>
    <x v="6"/>
    <n v="346.79999756813049"/>
    <n v="12"/>
    <d v="1997-04-21T00:00:00"/>
  </r>
  <r>
    <n v="10512"/>
    <x v="7"/>
    <n v="346.79999756813049"/>
    <n v="12"/>
    <d v="1997-04-21T00:00:00"/>
  </r>
  <r>
    <n v="10513"/>
    <x v="0"/>
    <n v="319.9999988079071"/>
    <n v="40"/>
    <d v="1997-04-22T00:00:00"/>
  </r>
  <r>
    <n v="10513"/>
    <x v="1"/>
    <n v="319.9999988079071"/>
    <n v="40"/>
    <d v="1997-04-22T00:00:00"/>
  </r>
  <r>
    <n v="10513"/>
    <x v="2"/>
    <n v="319.9999988079071"/>
    <n v="40"/>
    <d v="1997-04-22T00:00:00"/>
  </r>
  <r>
    <n v="10513"/>
    <x v="3"/>
    <n v="319.9999988079071"/>
    <n v="40"/>
    <d v="1997-04-22T00:00:00"/>
  </r>
  <r>
    <n v="10513"/>
    <x v="4"/>
    <n v="319.9999988079071"/>
    <n v="40"/>
    <d v="1997-04-22T00:00:00"/>
  </r>
  <r>
    <n v="10513"/>
    <x v="5"/>
    <n v="319.9999988079071"/>
    <n v="40"/>
    <d v="1997-04-22T00:00:00"/>
  </r>
  <r>
    <n v="10513"/>
    <x v="6"/>
    <n v="319.9999988079071"/>
    <n v="40"/>
    <d v="1997-04-22T00:00:00"/>
  </r>
  <r>
    <n v="10513"/>
    <x v="7"/>
    <n v="319.9999988079071"/>
    <n v="40"/>
    <d v="1997-04-22T00:00:00"/>
  </r>
  <r>
    <n v="10513"/>
    <x v="0"/>
    <n v="1279.9999952316284"/>
    <n v="50"/>
    <d v="1997-04-22T00:00:00"/>
  </r>
  <r>
    <n v="10513"/>
    <x v="1"/>
    <n v="1279.9999952316284"/>
    <n v="50"/>
    <d v="1997-04-22T00:00:00"/>
  </r>
  <r>
    <n v="10513"/>
    <x v="2"/>
    <n v="1279.9999952316284"/>
    <n v="50"/>
    <d v="1997-04-22T00:00:00"/>
  </r>
  <r>
    <n v="10513"/>
    <x v="3"/>
    <n v="1279.9999952316284"/>
    <n v="50"/>
    <d v="1997-04-22T00:00:00"/>
  </r>
  <r>
    <n v="10513"/>
    <x v="4"/>
    <n v="1279.9999952316284"/>
    <n v="50"/>
    <d v="1997-04-22T00:00:00"/>
  </r>
  <r>
    <n v="10513"/>
    <x v="5"/>
    <n v="1279.9999952316284"/>
    <n v="50"/>
    <d v="1997-04-22T00:00:00"/>
  </r>
  <r>
    <n v="10513"/>
    <x v="6"/>
    <n v="1279.9999952316284"/>
    <n v="50"/>
    <d v="1997-04-22T00:00:00"/>
  </r>
  <r>
    <n v="10513"/>
    <x v="7"/>
    <n v="1279.9999952316284"/>
    <n v="50"/>
    <d v="1997-04-22T00:00:00"/>
  </r>
  <r>
    <n v="10513"/>
    <x v="0"/>
    <n v="341.99999872595072"/>
    <n v="15"/>
    <d v="1997-04-22T00:00:00"/>
  </r>
  <r>
    <n v="10513"/>
    <x v="1"/>
    <n v="341.99999872595072"/>
    <n v="15"/>
    <d v="1997-04-22T00:00:00"/>
  </r>
  <r>
    <n v="10513"/>
    <x v="2"/>
    <n v="341.99999872595072"/>
    <n v="15"/>
    <d v="1997-04-22T00:00:00"/>
  </r>
  <r>
    <n v="10513"/>
    <x v="3"/>
    <n v="341.99999872595072"/>
    <n v="15"/>
    <d v="1997-04-22T00:00:00"/>
  </r>
  <r>
    <n v="10513"/>
    <x v="4"/>
    <n v="341.99999872595072"/>
    <n v="15"/>
    <d v="1997-04-22T00:00:00"/>
  </r>
  <r>
    <n v="10513"/>
    <x v="5"/>
    <n v="341.99999872595072"/>
    <n v="15"/>
    <d v="1997-04-22T00:00:00"/>
  </r>
  <r>
    <n v="10513"/>
    <x v="6"/>
    <n v="341.99999872595072"/>
    <n v="15"/>
    <d v="1997-04-22T00:00:00"/>
  </r>
  <r>
    <n v="10513"/>
    <x v="7"/>
    <n v="341.99999872595072"/>
    <n v="15"/>
    <d v="1997-04-22T00:00:00"/>
  </r>
  <r>
    <n v="10514"/>
    <x v="0"/>
    <n v="3159"/>
    <n v="39"/>
    <d v="1997-04-22T00:00:00"/>
  </r>
  <r>
    <n v="10514"/>
    <x v="1"/>
    <n v="3159"/>
    <n v="39"/>
    <d v="1997-04-22T00:00:00"/>
  </r>
  <r>
    <n v="10514"/>
    <x v="2"/>
    <n v="3159"/>
    <n v="39"/>
    <d v="1997-04-22T00:00:00"/>
  </r>
  <r>
    <n v="10514"/>
    <x v="3"/>
    <n v="3159"/>
    <n v="39"/>
    <d v="1997-04-22T00:00:00"/>
  </r>
  <r>
    <n v="10514"/>
    <x v="4"/>
    <n v="3159"/>
    <n v="39"/>
    <d v="1997-04-22T00:00:00"/>
  </r>
  <r>
    <n v="10514"/>
    <x v="5"/>
    <n v="3159"/>
    <n v="39"/>
    <d v="1997-04-22T00:00:00"/>
  </r>
  <r>
    <n v="10514"/>
    <x v="6"/>
    <n v="3159"/>
    <n v="39"/>
    <d v="1997-04-22T00:00:00"/>
  </r>
  <r>
    <n v="10514"/>
    <x v="7"/>
    <n v="3159"/>
    <n v="39"/>
    <d v="1997-04-22T00:00:00"/>
  </r>
  <r>
    <n v="10514"/>
    <x v="0"/>
    <n v="1596"/>
    <n v="35"/>
    <d v="1997-04-22T00:00:00"/>
  </r>
  <r>
    <n v="10514"/>
    <x v="1"/>
    <n v="1596"/>
    <n v="35"/>
    <d v="1997-04-22T00:00:00"/>
  </r>
  <r>
    <n v="10514"/>
    <x v="2"/>
    <n v="1596"/>
    <n v="35"/>
    <d v="1997-04-22T00:00:00"/>
  </r>
  <r>
    <n v="10514"/>
    <x v="3"/>
    <n v="1596"/>
    <n v="35"/>
    <d v="1997-04-22T00:00:00"/>
  </r>
  <r>
    <n v="10514"/>
    <x v="4"/>
    <n v="1596"/>
    <n v="35"/>
    <d v="1997-04-22T00:00:00"/>
  </r>
  <r>
    <n v="10514"/>
    <x v="5"/>
    <n v="1596"/>
    <n v="35"/>
    <d v="1997-04-22T00:00:00"/>
  </r>
  <r>
    <n v="10514"/>
    <x v="6"/>
    <n v="1596"/>
    <n v="35"/>
    <d v="1997-04-22T00:00:00"/>
  </r>
  <r>
    <n v="10514"/>
    <x v="7"/>
    <n v="1596"/>
    <n v="35"/>
    <d v="1997-04-22T00:00:00"/>
  </r>
  <r>
    <n v="10514"/>
    <x v="0"/>
    <n v="2660"/>
    <n v="70"/>
    <d v="1997-04-22T00:00:00"/>
  </r>
  <r>
    <n v="10514"/>
    <x v="1"/>
    <n v="2660"/>
    <n v="70"/>
    <d v="1997-04-22T00:00:00"/>
  </r>
  <r>
    <n v="10514"/>
    <x v="2"/>
    <n v="2660"/>
    <n v="70"/>
    <d v="1997-04-22T00:00:00"/>
  </r>
  <r>
    <n v="10514"/>
    <x v="3"/>
    <n v="2660"/>
    <n v="70"/>
    <d v="1997-04-22T00:00:00"/>
  </r>
  <r>
    <n v="10514"/>
    <x v="4"/>
    <n v="2660"/>
    <n v="70"/>
    <d v="1997-04-22T00:00:00"/>
  </r>
  <r>
    <n v="10514"/>
    <x v="5"/>
    <n v="2660"/>
    <n v="70"/>
    <d v="1997-04-22T00:00:00"/>
  </r>
  <r>
    <n v="10514"/>
    <x v="6"/>
    <n v="2660"/>
    <n v="70"/>
    <d v="1997-04-22T00:00:00"/>
  </r>
  <r>
    <n v="10514"/>
    <x v="7"/>
    <n v="2660"/>
    <n v="70"/>
    <d v="1997-04-22T00:00:00"/>
  </r>
  <r>
    <n v="10514"/>
    <x v="0"/>
    <n v="820.95"/>
    <n v="39"/>
    <d v="1997-04-22T00:00:00"/>
  </r>
  <r>
    <n v="10514"/>
    <x v="1"/>
    <n v="820.95"/>
    <n v="39"/>
    <d v="1997-04-22T00:00:00"/>
  </r>
  <r>
    <n v="10514"/>
    <x v="2"/>
    <n v="820.95"/>
    <n v="39"/>
    <d v="1997-04-22T00:00:00"/>
  </r>
  <r>
    <n v="10514"/>
    <x v="3"/>
    <n v="820.95"/>
    <n v="39"/>
    <d v="1997-04-22T00:00:00"/>
  </r>
  <r>
    <n v="10514"/>
    <x v="4"/>
    <n v="820.95"/>
    <n v="39"/>
    <d v="1997-04-22T00:00:00"/>
  </r>
  <r>
    <n v="10514"/>
    <x v="5"/>
    <n v="820.95"/>
    <n v="39"/>
    <d v="1997-04-22T00:00:00"/>
  </r>
  <r>
    <n v="10514"/>
    <x v="6"/>
    <n v="820.95"/>
    <n v="39"/>
    <d v="1997-04-22T00:00:00"/>
  </r>
  <r>
    <n v="10514"/>
    <x v="7"/>
    <n v="820.95"/>
    <n v="39"/>
    <d v="1997-04-22T00:00:00"/>
  </r>
  <r>
    <n v="10514"/>
    <x v="0"/>
    <n v="387.5"/>
    <n v="50"/>
    <d v="1997-04-22T00:00:00"/>
  </r>
  <r>
    <n v="10514"/>
    <x v="1"/>
    <n v="387.5"/>
    <n v="50"/>
    <d v="1997-04-22T00:00:00"/>
  </r>
  <r>
    <n v="10514"/>
    <x v="2"/>
    <n v="387.5"/>
    <n v="50"/>
    <d v="1997-04-22T00:00:00"/>
  </r>
  <r>
    <n v="10514"/>
    <x v="3"/>
    <n v="387.5"/>
    <n v="50"/>
    <d v="1997-04-22T00:00:00"/>
  </r>
  <r>
    <n v="10514"/>
    <x v="4"/>
    <n v="387.5"/>
    <n v="50"/>
    <d v="1997-04-22T00:00:00"/>
  </r>
  <r>
    <n v="10514"/>
    <x v="5"/>
    <n v="387.5"/>
    <n v="50"/>
    <d v="1997-04-22T00:00:00"/>
  </r>
  <r>
    <n v="10514"/>
    <x v="6"/>
    <n v="387.5"/>
    <n v="50"/>
    <d v="1997-04-22T00:00:00"/>
  </r>
  <r>
    <n v="10514"/>
    <x v="7"/>
    <n v="387.5"/>
    <n v="50"/>
    <d v="1997-04-22T00:00:00"/>
  </r>
  <r>
    <n v="10515"/>
    <x v="0"/>
    <n v="1319.1999907493591"/>
    <n v="16"/>
    <d v="1997-04-23T00:00:00"/>
  </r>
  <r>
    <n v="10515"/>
    <x v="1"/>
    <n v="1319.1999907493591"/>
    <n v="16"/>
    <d v="1997-04-23T00:00:00"/>
  </r>
  <r>
    <n v="10515"/>
    <x v="2"/>
    <n v="1319.1999907493591"/>
    <n v="16"/>
    <d v="1997-04-23T00:00:00"/>
  </r>
  <r>
    <n v="10515"/>
    <x v="3"/>
    <n v="1319.1999907493591"/>
    <n v="16"/>
    <d v="1997-04-23T00:00:00"/>
  </r>
  <r>
    <n v="10515"/>
    <x v="4"/>
    <n v="1319.1999907493591"/>
    <n v="16"/>
    <d v="1997-04-23T00:00:00"/>
  </r>
  <r>
    <n v="10515"/>
    <x v="5"/>
    <n v="1319.1999907493591"/>
    <n v="16"/>
    <d v="1997-04-23T00:00:00"/>
  </r>
  <r>
    <n v="10515"/>
    <x v="6"/>
    <n v="1319.1999907493591"/>
    <n v="16"/>
    <d v="1997-04-23T00:00:00"/>
  </r>
  <r>
    <n v="10515"/>
    <x v="7"/>
    <n v="1319.1999907493591"/>
    <n v="16"/>
    <d v="1997-04-23T00:00:00"/>
  </r>
  <r>
    <n v="10515"/>
    <x v="0"/>
    <n v="872.5"/>
    <n v="50"/>
    <d v="1997-04-23T00:00:00"/>
  </r>
  <r>
    <n v="10515"/>
    <x v="1"/>
    <n v="872.5"/>
    <n v="50"/>
    <d v="1997-04-23T00:00:00"/>
  </r>
  <r>
    <n v="10515"/>
    <x v="2"/>
    <n v="872.5"/>
    <n v="50"/>
    <d v="1997-04-23T00:00:00"/>
  </r>
  <r>
    <n v="10515"/>
    <x v="3"/>
    <n v="872.5"/>
    <n v="50"/>
    <d v="1997-04-23T00:00:00"/>
  </r>
  <r>
    <n v="10515"/>
    <x v="4"/>
    <n v="872.5"/>
    <n v="50"/>
    <d v="1997-04-23T00:00:00"/>
  </r>
  <r>
    <n v="10515"/>
    <x v="5"/>
    <n v="872.5"/>
    <n v="50"/>
    <d v="1997-04-23T00:00:00"/>
  </r>
  <r>
    <n v="10515"/>
    <x v="6"/>
    <n v="872.5"/>
    <n v="50"/>
    <d v="1997-04-23T00:00:00"/>
  </r>
  <r>
    <n v="10515"/>
    <x v="7"/>
    <n v="872.5"/>
    <n v="50"/>
    <d v="1997-04-23T00:00:00"/>
  </r>
  <r>
    <n v="10515"/>
    <x v="0"/>
    <n v="5268"/>
    <n v="120"/>
    <d v="1997-04-23T00:00:00"/>
  </r>
  <r>
    <n v="10515"/>
    <x v="1"/>
    <n v="5268"/>
    <n v="120"/>
    <d v="1997-04-23T00:00:00"/>
  </r>
  <r>
    <n v="10515"/>
    <x v="2"/>
    <n v="5268"/>
    <n v="120"/>
    <d v="1997-04-23T00:00:00"/>
  </r>
  <r>
    <n v="10515"/>
    <x v="3"/>
    <n v="5268"/>
    <n v="120"/>
    <d v="1997-04-23T00:00:00"/>
  </r>
  <r>
    <n v="10515"/>
    <x v="4"/>
    <n v="5268"/>
    <n v="120"/>
    <d v="1997-04-23T00:00:00"/>
  </r>
  <r>
    <n v="10515"/>
    <x v="5"/>
    <n v="5268"/>
    <n v="120"/>
    <d v="1997-04-23T00:00:00"/>
  </r>
  <r>
    <n v="10515"/>
    <x v="6"/>
    <n v="5268"/>
    <n v="120"/>
    <d v="1997-04-23T00:00:00"/>
  </r>
  <r>
    <n v="10515"/>
    <x v="7"/>
    <n v="5268"/>
    <n v="120"/>
    <d v="1997-04-23T00:00:00"/>
  </r>
  <r>
    <n v="10515"/>
    <x v="0"/>
    <n v="33.999999761581421"/>
    <n v="16"/>
    <d v="1997-04-23T00:00:00"/>
  </r>
  <r>
    <n v="10515"/>
    <x v="1"/>
    <n v="33.999999761581421"/>
    <n v="16"/>
    <d v="1997-04-23T00:00:00"/>
  </r>
  <r>
    <n v="10515"/>
    <x v="2"/>
    <n v="33.999999761581421"/>
    <n v="16"/>
    <d v="1997-04-23T00:00:00"/>
  </r>
  <r>
    <n v="10515"/>
    <x v="3"/>
    <n v="33.999999761581421"/>
    <n v="16"/>
    <d v="1997-04-23T00:00:00"/>
  </r>
  <r>
    <n v="10515"/>
    <x v="4"/>
    <n v="33.999999761581421"/>
    <n v="16"/>
    <d v="1997-04-23T00:00:00"/>
  </r>
  <r>
    <n v="10515"/>
    <x v="5"/>
    <n v="33.999999761581421"/>
    <n v="16"/>
    <d v="1997-04-23T00:00:00"/>
  </r>
  <r>
    <n v="10515"/>
    <x v="6"/>
    <n v="33.999999761581421"/>
    <n v="16"/>
    <d v="1997-04-23T00:00:00"/>
  </r>
  <r>
    <n v="10515"/>
    <x v="7"/>
    <n v="33.999999761581421"/>
    <n v="16"/>
    <d v="1997-04-23T00:00:00"/>
  </r>
  <r>
    <n v="10515"/>
    <x v="0"/>
    <n v="2427.5999829769135"/>
    <n v="84"/>
    <d v="1997-04-23T00:00:00"/>
  </r>
  <r>
    <n v="10515"/>
    <x v="1"/>
    <n v="2427.5999829769135"/>
    <n v="84"/>
    <d v="1997-04-23T00:00:00"/>
  </r>
  <r>
    <n v="10515"/>
    <x v="2"/>
    <n v="2427.5999829769135"/>
    <n v="84"/>
    <d v="1997-04-23T00:00:00"/>
  </r>
  <r>
    <n v="10515"/>
    <x v="3"/>
    <n v="2427.5999829769135"/>
    <n v="84"/>
    <d v="1997-04-23T00:00:00"/>
  </r>
  <r>
    <n v="10515"/>
    <x v="4"/>
    <n v="2427.5999829769135"/>
    <n v="84"/>
    <d v="1997-04-23T00:00:00"/>
  </r>
  <r>
    <n v="10515"/>
    <x v="5"/>
    <n v="2427.5999829769135"/>
    <n v="84"/>
    <d v="1997-04-23T00:00:00"/>
  </r>
  <r>
    <n v="10515"/>
    <x v="6"/>
    <n v="2427.5999829769135"/>
    <n v="84"/>
    <d v="1997-04-23T00:00:00"/>
  </r>
  <r>
    <n v="10515"/>
    <x v="7"/>
    <n v="2427.5999829769135"/>
    <n v="84"/>
    <d v="1997-04-23T00:00:00"/>
  </r>
  <r>
    <n v="10516"/>
    <x v="0"/>
    <n v="1406.2499976716936"/>
    <n v="25"/>
    <d v="1997-04-24T00:00:00"/>
  </r>
  <r>
    <n v="10516"/>
    <x v="1"/>
    <n v="1406.2499976716936"/>
    <n v="25"/>
    <d v="1997-04-24T00:00:00"/>
  </r>
  <r>
    <n v="10516"/>
    <x v="2"/>
    <n v="1406.2499976716936"/>
    <n v="25"/>
    <d v="1997-04-24T00:00:00"/>
  </r>
  <r>
    <n v="10516"/>
    <x v="3"/>
    <n v="1406.2499976716936"/>
    <n v="25"/>
    <d v="1997-04-24T00:00:00"/>
  </r>
  <r>
    <n v="10516"/>
    <x v="4"/>
    <n v="1406.2499976716936"/>
    <n v="25"/>
    <d v="1997-04-24T00:00:00"/>
  </r>
  <r>
    <n v="10516"/>
    <x v="5"/>
    <n v="1406.2499976716936"/>
    <n v="25"/>
    <d v="1997-04-24T00:00:00"/>
  </r>
  <r>
    <n v="10516"/>
    <x v="6"/>
    <n v="1406.2499976716936"/>
    <n v="25"/>
    <d v="1997-04-24T00:00:00"/>
  </r>
  <r>
    <n v="10516"/>
    <x v="7"/>
    <n v="1406.2499976716936"/>
    <n v="25"/>
    <d v="1997-04-24T00:00:00"/>
  </r>
  <r>
    <n v="10516"/>
    <x v="0"/>
    <n v="694.79999884963036"/>
    <n v="80"/>
    <d v="1997-04-24T00:00:00"/>
  </r>
  <r>
    <n v="10516"/>
    <x v="1"/>
    <n v="694.79999884963036"/>
    <n v="80"/>
    <d v="1997-04-24T00:00:00"/>
  </r>
  <r>
    <n v="10516"/>
    <x v="2"/>
    <n v="694.79999884963036"/>
    <n v="80"/>
    <d v="1997-04-24T00:00:00"/>
  </r>
  <r>
    <n v="10516"/>
    <x v="3"/>
    <n v="694.79999884963036"/>
    <n v="80"/>
    <d v="1997-04-24T00:00:00"/>
  </r>
  <r>
    <n v="10516"/>
    <x v="4"/>
    <n v="694.79999884963036"/>
    <n v="80"/>
    <d v="1997-04-24T00:00:00"/>
  </r>
  <r>
    <n v="10516"/>
    <x v="5"/>
    <n v="694.79999884963036"/>
    <n v="80"/>
    <d v="1997-04-24T00:00:00"/>
  </r>
  <r>
    <n v="10516"/>
    <x v="6"/>
    <n v="694.79999884963036"/>
    <n v="80"/>
    <d v="1997-04-24T00:00:00"/>
  </r>
  <r>
    <n v="10516"/>
    <x v="7"/>
    <n v="694.79999884963036"/>
    <n v="80"/>
    <d v="1997-04-24T00:00:00"/>
  </r>
  <r>
    <n v="10516"/>
    <x v="0"/>
    <n v="280"/>
    <n v="20"/>
    <d v="1997-04-24T00:00:00"/>
  </r>
  <r>
    <n v="10516"/>
    <x v="1"/>
    <n v="280"/>
    <n v="20"/>
    <d v="1997-04-24T00:00:00"/>
  </r>
  <r>
    <n v="10516"/>
    <x v="2"/>
    <n v="280"/>
    <n v="20"/>
    <d v="1997-04-24T00:00:00"/>
  </r>
  <r>
    <n v="10516"/>
    <x v="3"/>
    <n v="280"/>
    <n v="20"/>
    <d v="1997-04-24T00:00:00"/>
  </r>
  <r>
    <n v="10516"/>
    <x v="4"/>
    <n v="280"/>
    <n v="20"/>
    <d v="1997-04-24T00:00:00"/>
  </r>
  <r>
    <n v="10516"/>
    <x v="5"/>
    <n v="280"/>
    <n v="20"/>
    <d v="1997-04-24T00:00:00"/>
  </r>
  <r>
    <n v="10516"/>
    <x v="6"/>
    <n v="280"/>
    <n v="20"/>
    <d v="1997-04-24T00:00:00"/>
  </r>
  <r>
    <n v="10516"/>
    <x v="7"/>
    <n v="280"/>
    <n v="20"/>
    <d v="1997-04-24T00:00:00"/>
  </r>
  <r>
    <n v="10517"/>
    <x v="0"/>
    <n v="42"/>
    <n v="6"/>
    <d v="1997-04-24T00:00:00"/>
  </r>
  <r>
    <n v="10517"/>
    <x v="1"/>
    <n v="42"/>
    <n v="6"/>
    <d v="1997-04-24T00:00:00"/>
  </r>
  <r>
    <n v="10517"/>
    <x v="2"/>
    <n v="42"/>
    <n v="6"/>
    <d v="1997-04-24T00:00:00"/>
  </r>
  <r>
    <n v="10517"/>
    <x v="3"/>
    <n v="42"/>
    <n v="6"/>
    <d v="1997-04-24T00:00:00"/>
  </r>
  <r>
    <n v="10517"/>
    <x v="4"/>
    <n v="42"/>
    <n v="6"/>
    <d v="1997-04-24T00:00:00"/>
  </r>
  <r>
    <n v="10517"/>
    <x v="5"/>
    <n v="42"/>
    <n v="6"/>
    <d v="1997-04-24T00:00:00"/>
  </r>
  <r>
    <n v="10517"/>
    <x v="6"/>
    <n v="42"/>
    <n v="6"/>
    <d v="1997-04-24T00:00:00"/>
  </r>
  <r>
    <n v="10517"/>
    <x v="7"/>
    <n v="42"/>
    <n v="6"/>
    <d v="1997-04-24T00:00:00"/>
  </r>
  <r>
    <n v="10517"/>
    <x v="0"/>
    <n v="220"/>
    <n v="4"/>
    <d v="1997-04-24T00:00:00"/>
  </r>
  <r>
    <n v="10517"/>
    <x v="1"/>
    <n v="220"/>
    <n v="4"/>
    <d v="1997-04-24T00:00:00"/>
  </r>
  <r>
    <n v="10517"/>
    <x v="2"/>
    <n v="220"/>
    <n v="4"/>
    <d v="1997-04-24T00:00:00"/>
  </r>
  <r>
    <n v="10517"/>
    <x v="3"/>
    <n v="220"/>
    <n v="4"/>
    <d v="1997-04-24T00:00:00"/>
  </r>
  <r>
    <n v="10517"/>
    <x v="4"/>
    <n v="220"/>
    <n v="4"/>
    <d v="1997-04-24T00:00:00"/>
  </r>
  <r>
    <n v="10517"/>
    <x v="5"/>
    <n v="220"/>
    <n v="4"/>
    <d v="1997-04-24T00:00:00"/>
  </r>
  <r>
    <n v="10517"/>
    <x v="6"/>
    <n v="220"/>
    <n v="4"/>
    <d v="1997-04-24T00:00:00"/>
  </r>
  <r>
    <n v="10517"/>
    <x v="7"/>
    <n v="220"/>
    <n v="4"/>
    <d v="1997-04-24T00:00:00"/>
  </r>
  <r>
    <n v="10517"/>
    <x v="0"/>
    <n v="90"/>
    <n v="6"/>
    <d v="1997-04-24T00:00:00"/>
  </r>
  <r>
    <n v="10517"/>
    <x v="1"/>
    <n v="90"/>
    <n v="6"/>
    <d v="1997-04-24T00:00:00"/>
  </r>
  <r>
    <n v="10517"/>
    <x v="2"/>
    <n v="90"/>
    <n v="6"/>
    <d v="1997-04-24T00:00:00"/>
  </r>
  <r>
    <n v="10517"/>
    <x v="3"/>
    <n v="90"/>
    <n v="6"/>
    <d v="1997-04-24T00:00:00"/>
  </r>
  <r>
    <n v="10517"/>
    <x v="4"/>
    <n v="90"/>
    <n v="6"/>
    <d v="1997-04-24T00:00:00"/>
  </r>
  <r>
    <n v="10517"/>
    <x v="5"/>
    <n v="90"/>
    <n v="6"/>
    <d v="1997-04-24T00:00:00"/>
  </r>
  <r>
    <n v="10517"/>
    <x v="6"/>
    <n v="90"/>
    <n v="6"/>
    <d v="1997-04-24T00:00:00"/>
  </r>
  <r>
    <n v="10517"/>
    <x v="7"/>
    <n v="90"/>
    <n v="6"/>
    <d v="1997-04-24T00:00:00"/>
  </r>
  <r>
    <n v="10518"/>
    <x v="0"/>
    <n v="22.5"/>
    <n v="5"/>
    <d v="1997-04-25T00:00:00"/>
  </r>
  <r>
    <n v="10518"/>
    <x v="1"/>
    <n v="22.5"/>
    <n v="5"/>
    <d v="1997-04-25T00:00:00"/>
  </r>
  <r>
    <n v="10518"/>
    <x v="2"/>
    <n v="22.5"/>
    <n v="5"/>
    <d v="1997-04-25T00:00:00"/>
  </r>
  <r>
    <n v="10518"/>
    <x v="3"/>
    <n v="22.5"/>
    <n v="5"/>
    <d v="1997-04-25T00:00:00"/>
  </r>
  <r>
    <n v="10518"/>
    <x v="4"/>
    <n v="22.5"/>
    <n v="5"/>
    <d v="1997-04-25T00:00:00"/>
  </r>
  <r>
    <n v="10518"/>
    <x v="5"/>
    <n v="22.5"/>
    <n v="5"/>
    <d v="1997-04-25T00:00:00"/>
  </r>
  <r>
    <n v="10518"/>
    <x v="6"/>
    <n v="22.5"/>
    <n v="5"/>
    <d v="1997-04-25T00:00:00"/>
  </r>
  <r>
    <n v="10518"/>
    <x v="7"/>
    <n v="22.5"/>
    <n v="5"/>
    <d v="1997-04-25T00:00:00"/>
  </r>
  <r>
    <n v="10518"/>
    <x v="0"/>
    <n v="3952.5"/>
    <n v="15"/>
    <d v="1997-04-25T00:00:00"/>
  </r>
  <r>
    <n v="10518"/>
    <x v="1"/>
    <n v="3952.5"/>
    <n v="15"/>
    <d v="1997-04-25T00:00:00"/>
  </r>
  <r>
    <n v="10518"/>
    <x v="2"/>
    <n v="3952.5"/>
    <n v="15"/>
    <d v="1997-04-25T00:00:00"/>
  </r>
  <r>
    <n v="10518"/>
    <x v="3"/>
    <n v="3952.5"/>
    <n v="15"/>
    <d v="1997-04-25T00:00:00"/>
  </r>
  <r>
    <n v="10518"/>
    <x v="4"/>
    <n v="3952.5"/>
    <n v="15"/>
    <d v="1997-04-25T00:00:00"/>
  </r>
  <r>
    <n v="10518"/>
    <x v="5"/>
    <n v="3952.5"/>
    <n v="15"/>
    <d v="1997-04-25T00:00:00"/>
  </r>
  <r>
    <n v="10518"/>
    <x v="6"/>
    <n v="3952.5"/>
    <n v="15"/>
    <d v="1997-04-25T00:00:00"/>
  </r>
  <r>
    <n v="10518"/>
    <x v="7"/>
    <n v="3952.5"/>
    <n v="15"/>
    <d v="1997-04-25T00:00:00"/>
  </r>
  <r>
    <n v="10518"/>
    <x v="0"/>
    <n v="175.05"/>
    <n v="9"/>
    <d v="1997-04-25T00:00:00"/>
  </r>
  <r>
    <n v="10518"/>
    <x v="1"/>
    <n v="175.05"/>
    <n v="9"/>
    <d v="1997-04-25T00:00:00"/>
  </r>
  <r>
    <n v="10518"/>
    <x v="2"/>
    <n v="175.05"/>
    <n v="9"/>
    <d v="1997-04-25T00:00:00"/>
  </r>
  <r>
    <n v="10518"/>
    <x v="3"/>
    <n v="175.05"/>
    <n v="9"/>
    <d v="1997-04-25T00:00:00"/>
  </r>
  <r>
    <n v="10518"/>
    <x v="4"/>
    <n v="175.05"/>
    <n v="9"/>
    <d v="1997-04-25T00:00:00"/>
  </r>
  <r>
    <n v="10518"/>
    <x v="5"/>
    <n v="175.05"/>
    <n v="9"/>
    <d v="1997-04-25T00:00:00"/>
  </r>
  <r>
    <n v="10518"/>
    <x v="6"/>
    <n v="175.05"/>
    <n v="9"/>
    <d v="1997-04-25T00:00:00"/>
  </r>
  <r>
    <n v="10518"/>
    <x v="7"/>
    <n v="175.05"/>
    <n v="9"/>
    <d v="1997-04-25T00:00:00"/>
  </r>
  <r>
    <n v="10519"/>
    <x v="0"/>
    <n v="471.1999996304512"/>
    <n v="16"/>
    <d v="1997-04-28T00:00:00"/>
  </r>
  <r>
    <n v="10519"/>
    <x v="1"/>
    <n v="471.1999996304512"/>
    <n v="16"/>
    <d v="1997-04-28T00:00:00"/>
  </r>
  <r>
    <n v="10519"/>
    <x v="2"/>
    <n v="471.1999996304512"/>
    <n v="16"/>
    <d v="1997-04-28T00:00:00"/>
  </r>
  <r>
    <n v="10519"/>
    <x v="3"/>
    <n v="471.1999996304512"/>
    <n v="16"/>
    <d v="1997-04-28T00:00:00"/>
  </r>
  <r>
    <n v="10519"/>
    <x v="4"/>
    <n v="471.1999996304512"/>
    <n v="16"/>
    <d v="1997-04-28T00:00:00"/>
  </r>
  <r>
    <n v="10519"/>
    <x v="5"/>
    <n v="471.1999996304512"/>
    <n v="16"/>
    <d v="1997-04-28T00:00:00"/>
  </r>
  <r>
    <n v="10519"/>
    <x v="6"/>
    <n v="471.1999996304512"/>
    <n v="16"/>
    <d v="1997-04-28T00:00:00"/>
  </r>
  <r>
    <n v="10519"/>
    <x v="7"/>
    <n v="471.1999996304512"/>
    <n v="16"/>
    <d v="1997-04-28T00:00:00"/>
  </r>
  <r>
    <n v="10519"/>
    <x v="0"/>
    <n v="1520"/>
    <n v="40"/>
    <d v="1997-04-28T00:00:00"/>
  </r>
  <r>
    <n v="10519"/>
    <x v="1"/>
    <n v="1520"/>
    <n v="40"/>
    <d v="1997-04-28T00:00:00"/>
  </r>
  <r>
    <n v="10519"/>
    <x v="2"/>
    <n v="1520"/>
    <n v="40"/>
    <d v="1997-04-28T00:00:00"/>
  </r>
  <r>
    <n v="10519"/>
    <x v="3"/>
    <n v="1520"/>
    <n v="40"/>
    <d v="1997-04-28T00:00:00"/>
  </r>
  <r>
    <n v="10519"/>
    <x v="4"/>
    <n v="1520"/>
    <n v="40"/>
    <d v="1997-04-28T00:00:00"/>
  </r>
  <r>
    <n v="10519"/>
    <x v="5"/>
    <n v="1520"/>
    <n v="40"/>
    <d v="1997-04-28T00:00:00"/>
  </r>
  <r>
    <n v="10519"/>
    <x v="6"/>
    <n v="1520"/>
    <n v="40"/>
    <d v="1997-04-28T00:00:00"/>
  </r>
  <r>
    <n v="10519"/>
    <x v="7"/>
    <n v="1520"/>
    <n v="40"/>
    <d v="1997-04-28T00:00:00"/>
  </r>
  <r>
    <n v="10519"/>
    <x v="0"/>
    <n v="322.99999974668026"/>
    <n v="10"/>
    <d v="1997-04-28T00:00:00"/>
  </r>
  <r>
    <n v="10519"/>
    <x v="1"/>
    <n v="322.99999974668026"/>
    <n v="10"/>
    <d v="1997-04-28T00:00:00"/>
  </r>
  <r>
    <n v="10519"/>
    <x v="2"/>
    <n v="322.99999974668026"/>
    <n v="10"/>
    <d v="1997-04-28T00:00:00"/>
  </r>
  <r>
    <n v="10519"/>
    <x v="3"/>
    <n v="322.99999974668026"/>
    <n v="10"/>
    <d v="1997-04-28T00:00:00"/>
  </r>
  <r>
    <n v="10519"/>
    <x v="4"/>
    <n v="322.99999974668026"/>
    <n v="10"/>
    <d v="1997-04-28T00:00:00"/>
  </r>
  <r>
    <n v="10519"/>
    <x v="5"/>
    <n v="322.99999974668026"/>
    <n v="10"/>
    <d v="1997-04-28T00:00:00"/>
  </r>
  <r>
    <n v="10519"/>
    <x v="6"/>
    <n v="322.99999974668026"/>
    <n v="10"/>
    <d v="1997-04-28T00:00:00"/>
  </r>
  <r>
    <n v="10519"/>
    <x v="7"/>
    <n v="322.99999974668026"/>
    <n v="10"/>
    <d v="1997-04-28T00:00:00"/>
  </r>
  <r>
    <n v="10520"/>
    <x v="0"/>
    <n v="36"/>
    <n v="8"/>
    <d v="1997-04-29T00:00:00"/>
  </r>
  <r>
    <n v="10520"/>
    <x v="1"/>
    <n v="36"/>
    <n v="8"/>
    <d v="1997-04-29T00:00:00"/>
  </r>
  <r>
    <n v="10520"/>
    <x v="2"/>
    <n v="36"/>
    <n v="8"/>
    <d v="1997-04-29T00:00:00"/>
  </r>
  <r>
    <n v="10520"/>
    <x v="3"/>
    <n v="36"/>
    <n v="8"/>
    <d v="1997-04-29T00:00:00"/>
  </r>
  <r>
    <n v="10520"/>
    <x v="4"/>
    <n v="36"/>
    <n v="8"/>
    <d v="1997-04-29T00:00:00"/>
  </r>
  <r>
    <n v="10520"/>
    <x v="5"/>
    <n v="36"/>
    <n v="8"/>
    <d v="1997-04-29T00:00:00"/>
  </r>
  <r>
    <n v="10520"/>
    <x v="6"/>
    <n v="36"/>
    <n v="8"/>
    <d v="1997-04-29T00:00:00"/>
  </r>
  <r>
    <n v="10520"/>
    <x v="7"/>
    <n v="36"/>
    <n v="8"/>
    <d v="1997-04-29T00:00:00"/>
  </r>
  <r>
    <n v="10520"/>
    <x v="0"/>
    <n v="164"/>
    <n v="5"/>
    <d v="1997-04-29T00:00:00"/>
  </r>
  <r>
    <n v="10520"/>
    <x v="1"/>
    <n v="164"/>
    <n v="5"/>
    <d v="1997-04-29T00:00:00"/>
  </r>
  <r>
    <n v="10520"/>
    <x v="2"/>
    <n v="164"/>
    <n v="5"/>
    <d v="1997-04-29T00:00:00"/>
  </r>
  <r>
    <n v="10520"/>
    <x v="3"/>
    <n v="164"/>
    <n v="5"/>
    <d v="1997-04-29T00:00:00"/>
  </r>
  <r>
    <n v="10520"/>
    <x v="4"/>
    <n v="164"/>
    <n v="5"/>
    <d v="1997-04-29T00:00:00"/>
  </r>
  <r>
    <n v="10520"/>
    <x v="5"/>
    <n v="164"/>
    <n v="5"/>
    <d v="1997-04-29T00:00:00"/>
  </r>
  <r>
    <n v="10520"/>
    <x v="6"/>
    <n v="164"/>
    <n v="5"/>
    <d v="1997-04-29T00:00:00"/>
  </r>
  <r>
    <n v="10520"/>
    <x v="7"/>
    <n v="164"/>
    <n v="5"/>
    <d v="1997-04-29T00:00:00"/>
  </r>
  <r>
    <n v="10521"/>
    <x v="0"/>
    <n v="54"/>
    <n v="3"/>
    <d v="1997-04-29T00:00:00"/>
  </r>
  <r>
    <n v="10521"/>
    <x v="1"/>
    <n v="54"/>
    <n v="3"/>
    <d v="1997-04-29T00:00:00"/>
  </r>
  <r>
    <n v="10521"/>
    <x v="2"/>
    <n v="54"/>
    <n v="3"/>
    <d v="1997-04-29T00:00:00"/>
  </r>
  <r>
    <n v="10521"/>
    <x v="3"/>
    <n v="54"/>
    <n v="3"/>
    <d v="1997-04-29T00:00:00"/>
  </r>
  <r>
    <n v="10521"/>
    <x v="4"/>
    <n v="54"/>
    <n v="3"/>
    <d v="1997-04-29T00:00:00"/>
  </r>
  <r>
    <n v="10521"/>
    <x v="5"/>
    <n v="54"/>
    <n v="3"/>
    <d v="1997-04-29T00:00:00"/>
  </r>
  <r>
    <n v="10521"/>
    <x v="6"/>
    <n v="54"/>
    <n v="3"/>
    <d v="1997-04-29T00:00:00"/>
  </r>
  <r>
    <n v="10521"/>
    <x v="7"/>
    <n v="54"/>
    <n v="3"/>
    <d v="1997-04-29T00:00:00"/>
  </r>
  <r>
    <n v="10521"/>
    <x v="0"/>
    <n v="96.5"/>
    <n v="10"/>
    <d v="1997-04-29T00:00:00"/>
  </r>
  <r>
    <n v="10521"/>
    <x v="1"/>
    <n v="96.5"/>
    <n v="10"/>
    <d v="1997-04-29T00:00:00"/>
  </r>
  <r>
    <n v="10521"/>
    <x v="2"/>
    <n v="96.5"/>
    <n v="10"/>
    <d v="1997-04-29T00:00:00"/>
  </r>
  <r>
    <n v="10521"/>
    <x v="3"/>
    <n v="96.5"/>
    <n v="10"/>
    <d v="1997-04-29T00:00:00"/>
  </r>
  <r>
    <n v="10521"/>
    <x v="4"/>
    <n v="96.5"/>
    <n v="10"/>
    <d v="1997-04-29T00:00:00"/>
  </r>
  <r>
    <n v="10521"/>
    <x v="5"/>
    <n v="96.5"/>
    <n v="10"/>
    <d v="1997-04-29T00:00:00"/>
  </r>
  <r>
    <n v="10521"/>
    <x v="6"/>
    <n v="96.5"/>
    <n v="10"/>
    <d v="1997-04-29T00:00:00"/>
  </r>
  <r>
    <n v="10521"/>
    <x v="7"/>
    <n v="96.5"/>
    <n v="10"/>
    <d v="1997-04-29T00:00:00"/>
  </r>
  <r>
    <n v="10521"/>
    <x v="0"/>
    <n v="75"/>
    <n v="6"/>
    <d v="1997-04-29T00:00:00"/>
  </r>
  <r>
    <n v="10521"/>
    <x v="1"/>
    <n v="75"/>
    <n v="6"/>
    <d v="1997-04-29T00:00:00"/>
  </r>
  <r>
    <n v="10521"/>
    <x v="2"/>
    <n v="75"/>
    <n v="6"/>
    <d v="1997-04-29T00:00:00"/>
  </r>
  <r>
    <n v="10521"/>
    <x v="3"/>
    <n v="75"/>
    <n v="6"/>
    <d v="1997-04-29T00:00:00"/>
  </r>
  <r>
    <n v="10521"/>
    <x v="4"/>
    <n v="75"/>
    <n v="6"/>
    <d v="1997-04-29T00:00:00"/>
  </r>
  <r>
    <n v="10521"/>
    <x v="5"/>
    <n v="75"/>
    <n v="6"/>
    <d v="1997-04-29T00:00:00"/>
  </r>
  <r>
    <n v="10521"/>
    <x v="6"/>
    <n v="75"/>
    <n v="6"/>
    <d v="1997-04-29T00:00:00"/>
  </r>
  <r>
    <n v="10521"/>
    <x v="7"/>
    <n v="75"/>
    <n v="6"/>
    <d v="1997-04-29T00:00:00"/>
  </r>
  <r>
    <n v="10522"/>
    <x v="0"/>
    <n v="575.99999785423279"/>
    <n v="40"/>
    <d v="1997-04-30T00:00:00"/>
  </r>
  <r>
    <n v="10522"/>
    <x v="1"/>
    <n v="575.99999785423279"/>
    <n v="40"/>
    <d v="1997-04-30T00:00:00"/>
  </r>
  <r>
    <n v="10522"/>
    <x v="2"/>
    <n v="575.99999785423279"/>
    <n v="40"/>
    <d v="1997-04-30T00:00:00"/>
  </r>
  <r>
    <n v="10522"/>
    <x v="3"/>
    <n v="575.99999785423279"/>
    <n v="40"/>
    <d v="1997-04-30T00:00:00"/>
  </r>
  <r>
    <n v="10522"/>
    <x v="4"/>
    <n v="575.99999785423279"/>
    <n v="40"/>
    <d v="1997-04-30T00:00:00"/>
  </r>
  <r>
    <n v="10522"/>
    <x v="5"/>
    <n v="575.99999785423279"/>
    <n v="40"/>
    <d v="1997-04-30T00:00:00"/>
  </r>
  <r>
    <n v="10522"/>
    <x v="6"/>
    <n v="575.99999785423279"/>
    <n v="40"/>
    <d v="1997-04-30T00:00:00"/>
  </r>
  <r>
    <n v="10522"/>
    <x v="7"/>
    <n v="575.99999785423279"/>
    <n v="40"/>
    <d v="1997-04-30T00:00:00"/>
  </r>
  <r>
    <n v="10522"/>
    <x v="0"/>
    <n v="960"/>
    <n v="24"/>
    <d v="1997-04-30T00:00:00"/>
  </r>
  <r>
    <n v="10522"/>
    <x v="1"/>
    <n v="960"/>
    <n v="24"/>
    <d v="1997-04-30T00:00:00"/>
  </r>
  <r>
    <n v="10522"/>
    <x v="2"/>
    <n v="960"/>
    <n v="24"/>
    <d v="1997-04-30T00:00:00"/>
  </r>
  <r>
    <n v="10522"/>
    <x v="3"/>
    <n v="960"/>
    <n v="24"/>
    <d v="1997-04-30T00:00:00"/>
  </r>
  <r>
    <n v="10522"/>
    <x v="4"/>
    <n v="960"/>
    <n v="24"/>
    <d v="1997-04-30T00:00:00"/>
  </r>
  <r>
    <n v="10522"/>
    <x v="5"/>
    <n v="960"/>
    <n v="24"/>
    <d v="1997-04-30T00:00:00"/>
  </r>
  <r>
    <n v="10522"/>
    <x v="6"/>
    <n v="960"/>
    <n v="24"/>
    <d v="1997-04-30T00:00:00"/>
  </r>
  <r>
    <n v="10522"/>
    <x v="7"/>
    <n v="960"/>
    <n v="24"/>
    <d v="1997-04-30T00:00:00"/>
  </r>
  <r>
    <n v="10522"/>
    <x v="0"/>
    <n v="414.23999845683574"/>
    <n v="20"/>
    <d v="1997-04-30T00:00:00"/>
  </r>
  <r>
    <n v="10522"/>
    <x v="1"/>
    <n v="414.23999845683574"/>
    <n v="20"/>
    <d v="1997-04-30T00:00:00"/>
  </r>
  <r>
    <n v="10522"/>
    <x v="2"/>
    <n v="414.23999845683574"/>
    <n v="20"/>
    <d v="1997-04-30T00:00:00"/>
  </r>
  <r>
    <n v="10522"/>
    <x v="3"/>
    <n v="414.23999845683574"/>
    <n v="20"/>
    <d v="1997-04-30T00:00:00"/>
  </r>
  <r>
    <n v="10522"/>
    <x v="4"/>
    <n v="414.23999845683574"/>
    <n v="20"/>
    <d v="1997-04-30T00:00:00"/>
  </r>
  <r>
    <n v="10522"/>
    <x v="5"/>
    <n v="414.23999845683574"/>
    <n v="20"/>
    <d v="1997-04-30T00:00:00"/>
  </r>
  <r>
    <n v="10522"/>
    <x v="6"/>
    <n v="414.23999845683574"/>
    <n v="20"/>
    <d v="1997-04-30T00:00:00"/>
  </r>
  <r>
    <n v="10522"/>
    <x v="7"/>
    <n v="414.23999845683574"/>
    <n v="20"/>
    <d v="1997-04-30T00:00:00"/>
  </r>
  <r>
    <n v="10522"/>
    <x v="0"/>
    <n v="367.99999862909317"/>
    <n v="25"/>
    <d v="1997-04-30T00:00:00"/>
  </r>
  <r>
    <n v="10522"/>
    <x v="1"/>
    <n v="367.99999862909317"/>
    <n v="25"/>
    <d v="1997-04-30T00:00:00"/>
  </r>
  <r>
    <n v="10522"/>
    <x v="2"/>
    <n v="367.99999862909317"/>
    <n v="25"/>
    <d v="1997-04-30T00:00:00"/>
  </r>
  <r>
    <n v="10522"/>
    <x v="3"/>
    <n v="367.99999862909317"/>
    <n v="25"/>
    <d v="1997-04-30T00:00:00"/>
  </r>
  <r>
    <n v="10522"/>
    <x v="4"/>
    <n v="367.99999862909317"/>
    <n v="25"/>
    <d v="1997-04-30T00:00:00"/>
  </r>
  <r>
    <n v="10522"/>
    <x v="5"/>
    <n v="367.99999862909317"/>
    <n v="25"/>
    <d v="1997-04-30T00:00:00"/>
  </r>
  <r>
    <n v="10522"/>
    <x v="6"/>
    <n v="367.99999862909317"/>
    <n v="25"/>
    <d v="1997-04-30T00:00:00"/>
  </r>
  <r>
    <n v="10522"/>
    <x v="7"/>
    <n v="367.99999862909317"/>
    <n v="25"/>
    <d v="1997-04-30T00:00:00"/>
  </r>
  <r>
    <n v="10523"/>
    <x v="0"/>
    <n v="877.49999854713678"/>
    <n v="25"/>
    <d v="1997-05-01T00:00:00"/>
  </r>
  <r>
    <n v="10523"/>
    <x v="1"/>
    <n v="877.49999854713678"/>
    <n v="25"/>
    <d v="1997-05-01T00:00:00"/>
  </r>
  <r>
    <n v="10523"/>
    <x v="2"/>
    <n v="877.49999854713678"/>
    <n v="25"/>
    <d v="1997-05-01T00:00:00"/>
  </r>
  <r>
    <n v="10523"/>
    <x v="3"/>
    <n v="877.49999854713678"/>
    <n v="25"/>
    <d v="1997-05-01T00:00:00"/>
  </r>
  <r>
    <n v="10523"/>
    <x v="4"/>
    <n v="877.49999854713678"/>
    <n v="25"/>
    <d v="1997-05-01T00:00:00"/>
  </r>
  <r>
    <n v="10523"/>
    <x v="5"/>
    <n v="877.49999854713678"/>
    <n v="25"/>
    <d v="1997-05-01T00:00:00"/>
  </r>
  <r>
    <n v="10523"/>
    <x v="6"/>
    <n v="877.49999854713678"/>
    <n v="25"/>
    <d v="1997-05-01T00:00:00"/>
  </r>
  <r>
    <n v="10523"/>
    <x v="7"/>
    <n v="877.49999854713678"/>
    <n v="25"/>
    <d v="1997-05-01T00:00:00"/>
  </r>
  <r>
    <n v="10523"/>
    <x v="0"/>
    <n v="1093.4999981895089"/>
    <n v="15"/>
    <d v="1997-05-01T00:00:00"/>
  </r>
  <r>
    <n v="10523"/>
    <x v="1"/>
    <n v="1093.4999981895089"/>
    <n v="15"/>
    <d v="1997-05-01T00:00:00"/>
  </r>
  <r>
    <n v="10523"/>
    <x v="2"/>
    <n v="1093.4999981895089"/>
    <n v="15"/>
    <d v="1997-05-01T00:00:00"/>
  </r>
  <r>
    <n v="10523"/>
    <x v="3"/>
    <n v="1093.4999981895089"/>
    <n v="15"/>
    <d v="1997-05-01T00:00:00"/>
  </r>
  <r>
    <n v="10523"/>
    <x v="4"/>
    <n v="1093.4999981895089"/>
    <n v="15"/>
    <d v="1997-05-01T00:00:00"/>
  </r>
  <r>
    <n v="10523"/>
    <x v="5"/>
    <n v="1093.4999981895089"/>
    <n v="15"/>
    <d v="1997-05-01T00:00:00"/>
  </r>
  <r>
    <n v="10523"/>
    <x v="6"/>
    <n v="1093.4999981895089"/>
    <n v="15"/>
    <d v="1997-05-01T00:00:00"/>
  </r>
  <r>
    <n v="10523"/>
    <x v="7"/>
    <n v="1093.4999981895089"/>
    <n v="15"/>
    <d v="1997-05-01T00:00:00"/>
  </r>
  <r>
    <n v="10523"/>
    <x v="0"/>
    <n v="421.19999930262566"/>
    <n v="18"/>
    <d v="1997-05-01T00:00:00"/>
  </r>
  <r>
    <n v="10523"/>
    <x v="1"/>
    <n v="421.19999930262566"/>
    <n v="18"/>
    <d v="1997-05-01T00:00:00"/>
  </r>
  <r>
    <n v="10523"/>
    <x v="2"/>
    <n v="421.19999930262566"/>
    <n v="18"/>
    <d v="1997-05-01T00:00:00"/>
  </r>
  <r>
    <n v="10523"/>
    <x v="3"/>
    <n v="421.19999930262566"/>
    <n v="18"/>
    <d v="1997-05-01T00:00:00"/>
  </r>
  <r>
    <n v="10523"/>
    <x v="4"/>
    <n v="421.19999930262566"/>
    <n v="18"/>
    <d v="1997-05-01T00:00:00"/>
  </r>
  <r>
    <n v="10523"/>
    <x v="5"/>
    <n v="421.19999930262566"/>
    <n v="18"/>
    <d v="1997-05-01T00:00:00"/>
  </r>
  <r>
    <n v="10523"/>
    <x v="6"/>
    <n v="421.19999930262566"/>
    <n v="18"/>
    <d v="1997-05-01T00:00:00"/>
  </r>
  <r>
    <n v="10523"/>
    <x v="7"/>
    <n v="421.19999930262566"/>
    <n v="18"/>
    <d v="1997-05-01T00:00:00"/>
  </r>
  <r>
    <n v="10523"/>
    <x v="0"/>
    <n v="52.109999913722277"/>
    <n v="6"/>
    <d v="1997-05-01T00:00:00"/>
  </r>
  <r>
    <n v="10523"/>
    <x v="1"/>
    <n v="52.109999913722277"/>
    <n v="6"/>
    <d v="1997-05-01T00:00:00"/>
  </r>
  <r>
    <n v="10523"/>
    <x v="2"/>
    <n v="52.109999913722277"/>
    <n v="6"/>
    <d v="1997-05-01T00:00:00"/>
  </r>
  <r>
    <n v="10523"/>
    <x v="3"/>
    <n v="52.109999913722277"/>
    <n v="6"/>
    <d v="1997-05-01T00:00:00"/>
  </r>
  <r>
    <n v="10523"/>
    <x v="4"/>
    <n v="52.109999913722277"/>
    <n v="6"/>
    <d v="1997-05-01T00:00:00"/>
  </r>
  <r>
    <n v="10523"/>
    <x v="5"/>
    <n v="52.109999913722277"/>
    <n v="6"/>
    <d v="1997-05-01T00:00:00"/>
  </r>
  <r>
    <n v="10523"/>
    <x v="6"/>
    <n v="52.109999913722277"/>
    <n v="6"/>
    <d v="1997-05-01T00:00:00"/>
  </r>
  <r>
    <n v="10523"/>
    <x v="7"/>
    <n v="52.109999913722277"/>
    <n v="6"/>
    <d v="1997-05-01T00:00:00"/>
  </r>
  <r>
    <n v="10524"/>
    <x v="0"/>
    <n v="62"/>
    <n v="2"/>
    <d v="1997-05-01T00:00:00"/>
  </r>
  <r>
    <n v="10524"/>
    <x v="1"/>
    <n v="62"/>
    <n v="2"/>
    <d v="1997-05-01T00:00:00"/>
  </r>
  <r>
    <n v="10524"/>
    <x v="2"/>
    <n v="62"/>
    <n v="2"/>
    <d v="1997-05-01T00:00:00"/>
  </r>
  <r>
    <n v="10524"/>
    <x v="3"/>
    <n v="62"/>
    <n v="2"/>
    <d v="1997-05-01T00:00:00"/>
  </r>
  <r>
    <n v="10524"/>
    <x v="4"/>
    <n v="62"/>
    <n v="2"/>
    <d v="1997-05-01T00:00:00"/>
  </r>
  <r>
    <n v="10524"/>
    <x v="5"/>
    <n v="62"/>
    <n v="2"/>
    <d v="1997-05-01T00:00:00"/>
  </r>
  <r>
    <n v="10524"/>
    <x v="6"/>
    <n v="62"/>
    <n v="2"/>
    <d v="1997-05-01T00:00:00"/>
  </r>
  <r>
    <n v="10524"/>
    <x v="7"/>
    <n v="62"/>
    <n v="2"/>
    <d v="1997-05-01T00:00:00"/>
  </r>
  <r>
    <n v="10524"/>
    <x v="0"/>
    <n v="258.89999999999998"/>
    <n v="10"/>
    <d v="1997-05-01T00:00:00"/>
  </r>
  <r>
    <n v="10524"/>
    <x v="1"/>
    <n v="258.89999999999998"/>
    <n v="10"/>
    <d v="1997-05-01T00:00:00"/>
  </r>
  <r>
    <n v="10524"/>
    <x v="2"/>
    <n v="258.89999999999998"/>
    <n v="10"/>
    <d v="1997-05-01T00:00:00"/>
  </r>
  <r>
    <n v="10524"/>
    <x v="3"/>
    <n v="258.89999999999998"/>
    <n v="10"/>
    <d v="1997-05-01T00:00:00"/>
  </r>
  <r>
    <n v="10524"/>
    <x v="4"/>
    <n v="258.89999999999998"/>
    <n v="10"/>
    <d v="1997-05-01T00:00:00"/>
  </r>
  <r>
    <n v="10524"/>
    <x v="5"/>
    <n v="258.89999999999998"/>
    <n v="10"/>
    <d v="1997-05-01T00:00:00"/>
  </r>
  <r>
    <n v="10524"/>
    <x v="6"/>
    <n v="258.89999999999998"/>
    <n v="10"/>
    <d v="1997-05-01T00:00:00"/>
  </r>
  <r>
    <n v="10524"/>
    <x v="7"/>
    <n v="258.89999999999998"/>
    <n v="10"/>
    <d v="1997-05-01T00:00:00"/>
  </r>
  <r>
    <n v="10524"/>
    <x v="0"/>
    <n v="2760"/>
    <n v="60"/>
    <d v="1997-05-01T00:00:00"/>
  </r>
  <r>
    <n v="10524"/>
    <x v="1"/>
    <n v="2760"/>
    <n v="60"/>
    <d v="1997-05-01T00:00:00"/>
  </r>
  <r>
    <n v="10524"/>
    <x v="2"/>
    <n v="2760"/>
    <n v="60"/>
    <d v="1997-05-01T00:00:00"/>
  </r>
  <r>
    <n v="10524"/>
    <x v="3"/>
    <n v="2760"/>
    <n v="60"/>
    <d v="1997-05-01T00:00:00"/>
  </r>
  <r>
    <n v="10524"/>
    <x v="4"/>
    <n v="2760"/>
    <n v="60"/>
    <d v="1997-05-01T00:00:00"/>
  </r>
  <r>
    <n v="10524"/>
    <x v="5"/>
    <n v="2760"/>
    <n v="60"/>
    <d v="1997-05-01T00:00:00"/>
  </r>
  <r>
    <n v="10524"/>
    <x v="6"/>
    <n v="2760"/>
    <n v="60"/>
    <d v="1997-05-01T00:00:00"/>
  </r>
  <r>
    <n v="10524"/>
    <x v="7"/>
    <n v="2760"/>
    <n v="60"/>
    <d v="1997-05-01T00:00:00"/>
  </r>
  <r>
    <n v="10524"/>
    <x v="0"/>
    <n v="111.75"/>
    <n v="15"/>
    <d v="1997-05-01T00:00:00"/>
  </r>
  <r>
    <n v="10524"/>
    <x v="1"/>
    <n v="111.75"/>
    <n v="15"/>
    <d v="1997-05-01T00:00:00"/>
  </r>
  <r>
    <n v="10524"/>
    <x v="2"/>
    <n v="111.75"/>
    <n v="15"/>
    <d v="1997-05-01T00:00:00"/>
  </r>
  <r>
    <n v="10524"/>
    <x v="3"/>
    <n v="111.75"/>
    <n v="15"/>
    <d v="1997-05-01T00:00:00"/>
  </r>
  <r>
    <n v="10524"/>
    <x v="4"/>
    <n v="111.75"/>
    <n v="15"/>
    <d v="1997-05-01T00:00:00"/>
  </r>
  <r>
    <n v="10524"/>
    <x v="5"/>
    <n v="111.75"/>
    <n v="15"/>
    <d v="1997-05-01T00:00:00"/>
  </r>
  <r>
    <n v="10524"/>
    <x v="6"/>
    <n v="111.75"/>
    <n v="15"/>
    <d v="1997-05-01T00:00:00"/>
  </r>
  <r>
    <n v="10524"/>
    <x v="7"/>
    <n v="111.75"/>
    <n v="15"/>
    <d v="1997-05-01T00:00:00"/>
  </r>
  <r>
    <n v="10525"/>
    <x v="0"/>
    <n v="570"/>
    <n v="30"/>
    <d v="1997-05-02T00:00:00"/>
  </r>
  <r>
    <n v="10525"/>
    <x v="1"/>
    <n v="570"/>
    <n v="30"/>
    <d v="1997-05-02T00:00:00"/>
  </r>
  <r>
    <n v="10525"/>
    <x v="2"/>
    <n v="570"/>
    <n v="30"/>
    <d v="1997-05-02T00:00:00"/>
  </r>
  <r>
    <n v="10525"/>
    <x v="3"/>
    <n v="570"/>
    <n v="30"/>
    <d v="1997-05-02T00:00:00"/>
  </r>
  <r>
    <n v="10525"/>
    <x v="4"/>
    <n v="570"/>
    <n v="30"/>
    <d v="1997-05-02T00:00:00"/>
  </r>
  <r>
    <n v="10525"/>
    <x v="5"/>
    <n v="570"/>
    <n v="30"/>
    <d v="1997-05-02T00:00:00"/>
  </r>
  <r>
    <n v="10525"/>
    <x v="6"/>
    <n v="570"/>
    <n v="30"/>
    <d v="1997-05-02T00:00:00"/>
  </r>
  <r>
    <n v="10525"/>
    <x v="7"/>
    <n v="570"/>
    <n v="30"/>
    <d v="1997-05-02T00:00:00"/>
  </r>
  <r>
    <n v="10525"/>
    <x v="0"/>
    <n v="248.39999958872795"/>
    <n v="15"/>
    <d v="1997-05-02T00:00:00"/>
  </r>
  <r>
    <n v="10525"/>
    <x v="1"/>
    <n v="248.39999958872795"/>
    <n v="15"/>
    <d v="1997-05-02T00:00:00"/>
  </r>
  <r>
    <n v="10525"/>
    <x v="2"/>
    <n v="248.39999958872795"/>
    <n v="15"/>
    <d v="1997-05-02T00:00:00"/>
  </r>
  <r>
    <n v="10525"/>
    <x v="3"/>
    <n v="248.39999958872795"/>
    <n v="15"/>
    <d v="1997-05-02T00:00:00"/>
  </r>
  <r>
    <n v="10525"/>
    <x v="4"/>
    <n v="248.39999958872795"/>
    <n v="15"/>
    <d v="1997-05-02T00:00:00"/>
  </r>
  <r>
    <n v="10525"/>
    <x v="5"/>
    <n v="248.39999958872795"/>
    <n v="15"/>
    <d v="1997-05-02T00:00:00"/>
  </r>
  <r>
    <n v="10525"/>
    <x v="6"/>
    <n v="248.39999958872795"/>
    <n v="15"/>
    <d v="1997-05-02T00:00:00"/>
  </r>
  <r>
    <n v="10525"/>
    <x v="7"/>
    <n v="248.39999958872795"/>
    <n v="15"/>
    <d v="1997-05-02T00:00:00"/>
  </r>
  <r>
    <n v="10526"/>
    <x v="0"/>
    <n v="122.39999914169312"/>
    <n v="8"/>
    <d v="1997-05-05T00:00:00"/>
  </r>
  <r>
    <n v="10526"/>
    <x v="1"/>
    <n v="122.39999914169312"/>
    <n v="8"/>
    <d v="1997-05-05T00:00:00"/>
  </r>
  <r>
    <n v="10526"/>
    <x v="2"/>
    <n v="122.39999914169312"/>
    <n v="8"/>
    <d v="1997-05-05T00:00:00"/>
  </r>
  <r>
    <n v="10526"/>
    <x v="3"/>
    <n v="122.39999914169312"/>
    <n v="8"/>
    <d v="1997-05-05T00:00:00"/>
  </r>
  <r>
    <n v="10526"/>
    <x v="4"/>
    <n v="122.39999914169312"/>
    <n v="8"/>
    <d v="1997-05-05T00:00:00"/>
  </r>
  <r>
    <n v="10526"/>
    <x v="5"/>
    <n v="122.39999914169312"/>
    <n v="8"/>
    <d v="1997-05-05T00:00:00"/>
  </r>
  <r>
    <n v="10526"/>
    <x v="6"/>
    <n v="122.39999914169312"/>
    <n v="8"/>
    <d v="1997-05-05T00:00:00"/>
  </r>
  <r>
    <n v="10526"/>
    <x v="7"/>
    <n v="122.39999914169312"/>
    <n v="8"/>
    <d v="1997-05-05T00:00:00"/>
  </r>
  <r>
    <n v="10526"/>
    <x v="0"/>
    <n v="60"/>
    <n v="10"/>
    <d v="1997-05-05T00:00:00"/>
  </r>
  <r>
    <n v="10526"/>
    <x v="1"/>
    <n v="60"/>
    <n v="10"/>
    <d v="1997-05-05T00:00:00"/>
  </r>
  <r>
    <n v="10526"/>
    <x v="2"/>
    <n v="60"/>
    <n v="10"/>
    <d v="1997-05-05T00:00:00"/>
  </r>
  <r>
    <n v="10526"/>
    <x v="3"/>
    <n v="60"/>
    <n v="10"/>
    <d v="1997-05-05T00:00:00"/>
  </r>
  <r>
    <n v="10526"/>
    <x v="4"/>
    <n v="60"/>
    <n v="10"/>
    <d v="1997-05-05T00:00:00"/>
  </r>
  <r>
    <n v="10526"/>
    <x v="5"/>
    <n v="60"/>
    <n v="10"/>
    <d v="1997-05-05T00:00:00"/>
  </r>
  <r>
    <n v="10526"/>
    <x v="6"/>
    <n v="60"/>
    <n v="10"/>
    <d v="1997-05-05T00:00:00"/>
  </r>
  <r>
    <n v="10526"/>
    <x v="7"/>
    <n v="60"/>
    <n v="10"/>
    <d v="1997-05-05T00:00:00"/>
  </r>
  <r>
    <n v="10526"/>
    <x v="0"/>
    <n v="968.9999932050705"/>
    <n v="30"/>
    <d v="1997-05-05T00:00:00"/>
  </r>
  <r>
    <n v="10526"/>
    <x v="1"/>
    <n v="968.9999932050705"/>
    <n v="30"/>
    <d v="1997-05-05T00:00:00"/>
  </r>
  <r>
    <n v="10526"/>
    <x v="2"/>
    <n v="968.9999932050705"/>
    <n v="30"/>
    <d v="1997-05-05T00:00:00"/>
  </r>
  <r>
    <n v="10526"/>
    <x v="3"/>
    <n v="968.9999932050705"/>
    <n v="30"/>
    <d v="1997-05-05T00:00:00"/>
  </r>
  <r>
    <n v="10526"/>
    <x v="4"/>
    <n v="968.9999932050705"/>
    <n v="30"/>
    <d v="1997-05-05T00:00:00"/>
  </r>
  <r>
    <n v="10526"/>
    <x v="5"/>
    <n v="968.9999932050705"/>
    <n v="30"/>
    <d v="1997-05-05T00:00:00"/>
  </r>
  <r>
    <n v="10526"/>
    <x v="6"/>
    <n v="968.9999932050705"/>
    <n v="30"/>
    <d v="1997-05-05T00:00:00"/>
  </r>
  <r>
    <n v="10526"/>
    <x v="7"/>
    <n v="968.9999932050705"/>
    <n v="30"/>
    <d v="1997-05-05T00:00:00"/>
  </r>
  <r>
    <n v="10527"/>
    <x v="0"/>
    <n v="989.99999836087227"/>
    <n v="50"/>
    <d v="1997-05-05T00:00:00"/>
  </r>
  <r>
    <n v="10527"/>
    <x v="1"/>
    <n v="989.99999836087227"/>
    <n v="50"/>
    <d v="1997-05-05T00:00:00"/>
  </r>
  <r>
    <n v="10527"/>
    <x v="2"/>
    <n v="989.99999836087227"/>
    <n v="50"/>
    <d v="1997-05-05T00:00:00"/>
  </r>
  <r>
    <n v="10527"/>
    <x v="3"/>
    <n v="989.99999836087227"/>
    <n v="50"/>
    <d v="1997-05-05T00:00:00"/>
  </r>
  <r>
    <n v="10527"/>
    <x v="4"/>
    <n v="989.99999836087227"/>
    <n v="50"/>
    <d v="1997-05-05T00:00:00"/>
  </r>
  <r>
    <n v="10527"/>
    <x v="5"/>
    <n v="989.99999836087227"/>
    <n v="50"/>
    <d v="1997-05-05T00:00:00"/>
  </r>
  <r>
    <n v="10527"/>
    <x v="6"/>
    <n v="989.99999836087227"/>
    <n v="50"/>
    <d v="1997-05-05T00:00:00"/>
  </r>
  <r>
    <n v="10527"/>
    <x v="7"/>
    <n v="989.99999836087227"/>
    <n v="50"/>
    <d v="1997-05-05T00:00:00"/>
  </r>
  <r>
    <n v="10527"/>
    <x v="0"/>
    <n v="512.99999915063381"/>
    <n v="30"/>
    <d v="1997-05-05T00:00:00"/>
  </r>
  <r>
    <n v="10527"/>
    <x v="1"/>
    <n v="512.99999915063381"/>
    <n v="30"/>
    <d v="1997-05-05T00:00:00"/>
  </r>
  <r>
    <n v="10527"/>
    <x v="2"/>
    <n v="512.99999915063381"/>
    <n v="30"/>
    <d v="1997-05-05T00:00:00"/>
  </r>
  <r>
    <n v="10527"/>
    <x v="3"/>
    <n v="512.99999915063381"/>
    <n v="30"/>
    <d v="1997-05-05T00:00:00"/>
  </r>
  <r>
    <n v="10527"/>
    <x v="4"/>
    <n v="512.99999915063381"/>
    <n v="30"/>
    <d v="1997-05-05T00:00:00"/>
  </r>
  <r>
    <n v="10527"/>
    <x v="5"/>
    <n v="512.99999915063381"/>
    <n v="30"/>
    <d v="1997-05-05T00:00:00"/>
  </r>
  <r>
    <n v="10527"/>
    <x v="6"/>
    <n v="512.99999915063381"/>
    <n v="30"/>
    <d v="1997-05-05T00:00:00"/>
  </r>
  <r>
    <n v="10527"/>
    <x v="7"/>
    <n v="512.99999915063381"/>
    <n v="30"/>
    <d v="1997-05-05T00:00:00"/>
  </r>
  <r>
    <n v="10528"/>
    <x v="0"/>
    <n v="63"/>
    <n v="3"/>
    <d v="1997-05-06T00:00:00"/>
  </r>
  <r>
    <n v="10528"/>
    <x v="1"/>
    <n v="63"/>
    <n v="3"/>
    <d v="1997-05-06T00:00:00"/>
  </r>
  <r>
    <n v="10528"/>
    <x v="2"/>
    <n v="63"/>
    <n v="3"/>
    <d v="1997-05-06T00:00:00"/>
  </r>
  <r>
    <n v="10528"/>
    <x v="3"/>
    <n v="63"/>
    <n v="3"/>
    <d v="1997-05-06T00:00:00"/>
  </r>
  <r>
    <n v="10528"/>
    <x v="4"/>
    <n v="63"/>
    <n v="3"/>
    <d v="1997-05-06T00:00:00"/>
  </r>
  <r>
    <n v="10528"/>
    <x v="5"/>
    <n v="63"/>
    <n v="3"/>
    <d v="1997-05-06T00:00:00"/>
  </r>
  <r>
    <n v="10528"/>
    <x v="6"/>
    <n v="63"/>
    <n v="3"/>
    <d v="1997-05-06T00:00:00"/>
  </r>
  <r>
    <n v="10528"/>
    <x v="7"/>
    <n v="63"/>
    <n v="3"/>
    <d v="1997-05-06T00:00:00"/>
  </r>
  <r>
    <n v="10528"/>
    <x v="0"/>
    <n v="15.999999940395355"/>
    <n v="8"/>
    <d v="1997-05-06T00:00:00"/>
  </r>
  <r>
    <n v="10528"/>
    <x v="1"/>
    <n v="15.999999940395355"/>
    <n v="8"/>
    <d v="1997-05-06T00:00:00"/>
  </r>
  <r>
    <n v="10528"/>
    <x v="2"/>
    <n v="15.999999940395355"/>
    <n v="8"/>
    <d v="1997-05-06T00:00:00"/>
  </r>
  <r>
    <n v="10528"/>
    <x v="3"/>
    <n v="15.999999940395355"/>
    <n v="8"/>
    <d v="1997-05-06T00:00:00"/>
  </r>
  <r>
    <n v="10528"/>
    <x v="4"/>
    <n v="15.999999940395355"/>
    <n v="8"/>
    <d v="1997-05-06T00:00:00"/>
  </r>
  <r>
    <n v="10528"/>
    <x v="5"/>
    <n v="15.999999940395355"/>
    <n v="8"/>
    <d v="1997-05-06T00:00:00"/>
  </r>
  <r>
    <n v="10528"/>
    <x v="6"/>
    <n v="15.999999940395355"/>
    <n v="8"/>
    <d v="1997-05-06T00:00:00"/>
  </r>
  <r>
    <n v="10528"/>
    <x v="7"/>
    <n v="15.999999940395355"/>
    <n v="8"/>
    <d v="1997-05-06T00:00:00"/>
  </r>
  <r>
    <n v="10528"/>
    <x v="0"/>
    <n v="313.2"/>
    <n v="9"/>
    <d v="1997-05-06T00:00:00"/>
  </r>
  <r>
    <n v="10528"/>
    <x v="1"/>
    <n v="313.2"/>
    <n v="9"/>
    <d v="1997-05-06T00:00:00"/>
  </r>
  <r>
    <n v="10528"/>
    <x v="2"/>
    <n v="313.2"/>
    <n v="9"/>
    <d v="1997-05-06T00:00:00"/>
  </r>
  <r>
    <n v="10528"/>
    <x v="3"/>
    <n v="313.2"/>
    <n v="9"/>
    <d v="1997-05-06T00:00:00"/>
  </r>
  <r>
    <n v="10528"/>
    <x v="4"/>
    <n v="313.2"/>
    <n v="9"/>
    <d v="1997-05-06T00:00:00"/>
  </r>
  <r>
    <n v="10528"/>
    <x v="5"/>
    <n v="313.2"/>
    <n v="9"/>
    <d v="1997-05-06T00:00:00"/>
  </r>
  <r>
    <n v="10528"/>
    <x v="6"/>
    <n v="313.2"/>
    <n v="9"/>
    <d v="1997-05-06T00:00:00"/>
  </r>
  <r>
    <n v="10528"/>
    <x v="7"/>
    <n v="313.2"/>
    <n v="9"/>
    <d v="1997-05-06T00:00:00"/>
  </r>
  <r>
    <n v="10529"/>
    <x v="0"/>
    <n v="336"/>
    <n v="14"/>
    <d v="1997-05-07T00:00:00"/>
  </r>
  <r>
    <n v="10529"/>
    <x v="1"/>
    <n v="336"/>
    <n v="14"/>
    <d v="1997-05-07T00:00:00"/>
  </r>
  <r>
    <n v="10529"/>
    <x v="2"/>
    <n v="336"/>
    <n v="14"/>
    <d v="1997-05-07T00:00:00"/>
  </r>
  <r>
    <n v="10529"/>
    <x v="3"/>
    <n v="336"/>
    <n v="14"/>
    <d v="1997-05-07T00:00:00"/>
  </r>
  <r>
    <n v="10529"/>
    <x v="4"/>
    <n v="336"/>
    <n v="14"/>
    <d v="1997-05-07T00:00:00"/>
  </r>
  <r>
    <n v="10529"/>
    <x v="5"/>
    <n v="336"/>
    <n v="14"/>
    <d v="1997-05-07T00:00:00"/>
  </r>
  <r>
    <n v="10529"/>
    <x v="6"/>
    <n v="336"/>
    <n v="14"/>
    <d v="1997-05-07T00:00:00"/>
  </r>
  <r>
    <n v="10529"/>
    <x v="7"/>
    <n v="336"/>
    <n v="14"/>
    <d v="1997-05-07T00:00:00"/>
  </r>
  <r>
    <n v="10529"/>
    <x v="0"/>
    <n v="250"/>
    <n v="20"/>
    <d v="1997-05-07T00:00:00"/>
  </r>
  <r>
    <n v="10529"/>
    <x v="1"/>
    <n v="250"/>
    <n v="20"/>
    <d v="1997-05-07T00:00:00"/>
  </r>
  <r>
    <n v="10529"/>
    <x v="2"/>
    <n v="250"/>
    <n v="20"/>
    <d v="1997-05-07T00:00:00"/>
  </r>
  <r>
    <n v="10529"/>
    <x v="3"/>
    <n v="250"/>
    <n v="20"/>
    <d v="1997-05-07T00:00:00"/>
  </r>
  <r>
    <n v="10529"/>
    <x v="4"/>
    <n v="250"/>
    <n v="20"/>
    <d v="1997-05-07T00:00:00"/>
  </r>
  <r>
    <n v="10529"/>
    <x v="5"/>
    <n v="250"/>
    <n v="20"/>
    <d v="1997-05-07T00:00:00"/>
  </r>
  <r>
    <n v="10529"/>
    <x v="6"/>
    <n v="250"/>
    <n v="20"/>
    <d v="1997-05-07T00:00:00"/>
  </r>
  <r>
    <n v="10529"/>
    <x v="7"/>
    <n v="250"/>
    <n v="20"/>
    <d v="1997-05-07T00:00:00"/>
  </r>
  <r>
    <n v="10529"/>
    <x v="0"/>
    <n v="360"/>
    <n v="10"/>
    <d v="1997-05-07T00:00:00"/>
  </r>
  <r>
    <n v="10529"/>
    <x v="1"/>
    <n v="360"/>
    <n v="10"/>
    <d v="1997-05-07T00:00:00"/>
  </r>
  <r>
    <n v="10529"/>
    <x v="2"/>
    <n v="360"/>
    <n v="10"/>
    <d v="1997-05-07T00:00:00"/>
  </r>
  <r>
    <n v="10529"/>
    <x v="3"/>
    <n v="360"/>
    <n v="10"/>
    <d v="1997-05-07T00:00:00"/>
  </r>
  <r>
    <n v="10529"/>
    <x v="4"/>
    <n v="360"/>
    <n v="10"/>
    <d v="1997-05-07T00:00:00"/>
  </r>
  <r>
    <n v="10529"/>
    <x v="5"/>
    <n v="360"/>
    <n v="10"/>
    <d v="1997-05-07T00:00:00"/>
  </r>
  <r>
    <n v="10529"/>
    <x v="6"/>
    <n v="360"/>
    <n v="10"/>
    <d v="1997-05-07T00:00:00"/>
  </r>
  <r>
    <n v="10529"/>
    <x v="7"/>
    <n v="360"/>
    <n v="10"/>
    <d v="1997-05-07T00:00:00"/>
  </r>
  <r>
    <n v="10530"/>
    <x v="0"/>
    <n v="1560"/>
    <n v="40"/>
    <d v="1997-05-08T00:00:00"/>
  </r>
  <r>
    <n v="10530"/>
    <x v="1"/>
    <n v="1560"/>
    <n v="40"/>
    <d v="1997-05-08T00:00:00"/>
  </r>
  <r>
    <n v="10530"/>
    <x v="2"/>
    <n v="1560"/>
    <n v="40"/>
    <d v="1997-05-08T00:00:00"/>
  </r>
  <r>
    <n v="10530"/>
    <x v="3"/>
    <n v="1560"/>
    <n v="40"/>
    <d v="1997-05-08T00:00:00"/>
  </r>
  <r>
    <n v="10530"/>
    <x v="4"/>
    <n v="1560"/>
    <n v="40"/>
    <d v="1997-05-08T00:00:00"/>
  </r>
  <r>
    <n v="10530"/>
    <x v="5"/>
    <n v="1560"/>
    <n v="40"/>
    <d v="1997-05-08T00:00:00"/>
  </r>
  <r>
    <n v="10530"/>
    <x v="6"/>
    <n v="1560"/>
    <n v="40"/>
    <d v="1997-05-08T00:00:00"/>
  </r>
  <r>
    <n v="10530"/>
    <x v="7"/>
    <n v="1560"/>
    <n v="40"/>
    <d v="1997-05-08T00:00:00"/>
  </r>
  <r>
    <n v="10530"/>
    <x v="0"/>
    <n v="1150"/>
    <n v="25"/>
    <d v="1997-05-08T00:00:00"/>
  </r>
  <r>
    <n v="10530"/>
    <x v="1"/>
    <n v="1150"/>
    <n v="25"/>
    <d v="1997-05-08T00:00:00"/>
  </r>
  <r>
    <n v="10530"/>
    <x v="2"/>
    <n v="1150"/>
    <n v="25"/>
    <d v="1997-05-08T00:00:00"/>
  </r>
  <r>
    <n v="10530"/>
    <x v="3"/>
    <n v="1150"/>
    <n v="25"/>
    <d v="1997-05-08T00:00:00"/>
  </r>
  <r>
    <n v="10530"/>
    <x v="4"/>
    <n v="1150"/>
    <n v="25"/>
    <d v="1997-05-08T00:00:00"/>
  </r>
  <r>
    <n v="10530"/>
    <x v="5"/>
    <n v="1150"/>
    <n v="25"/>
    <d v="1997-05-08T00:00:00"/>
  </r>
  <r>
    <n v="10530"/>
    <x v="6"/>
    <n v="1150"/>
    <n v="25"/>
    <d v="1997-05-08T00:00:00"/>
  </r>
  <r>
    <n v="10530"/>
    <x v="7"/>
    <n v="1150"/>
    <n v="25"/>
    <d v="1997-05-08T00:00:00"/>
  </r>
  <r>
    <n v="10530"/>
    <x v="0"/>
    <n v="570"/>
    <n v="20"/>
    <d v="1997-05-08T00:00:00"/>
  </r>
  <r>
    <n v="10530"/>
    <x v="1"/>
    <n v="570"/>
    <n v="20"/>
    <d v="1997-05-08T00:00:00"/>
  </r>
  <r>
    <n v="10530"/>
    <x v="2"/>
    <n v="570"/>
    <n v="20"/>
    <d v="1997-05-08T00:00:00"/>
  </r>
  <r>
    <n v="10530"/>
    <x v="3"/>
    <n v="570"/>
    <n v="20"/>
    <d v="1997-05-08T00:00:00"/>
  </r>
  <r>
    <n v="10530"/>
    <x v="4"/>
    <n v="570"/>
    <n v="20"/>
    <d v="1997-05-08T00:00:00"/>
  </r>
  <r>
    <n v="10530"/>
    <x v="5"/>
    <n v="570"/>
    <n v="20"/>
    <d v="1997-05-08T00:00:00"/>
  </r>
  <r>
    <n v="10530"/>
    <x v="6"/>
    <n v="570"/>
    <n v="20"/>
    <d v="1997-05-08T00:00:00"/>
  </r>
  <r>
    <n v="10530"/>
    <x v="7"/>
    <n v="570"/>
    <n v="20"/>
    <d v="1997-05-08T00:00:00"/>
  </r>
  <r>
    <n v="10530"/>
    <x v="0"/>
    <n v="900"/>
    <n v="50"/>
    <d v="1997-05-08T00:00:00"/>
  </r>
  <r>
    <n v="10530"/>
    <x v="1"/>
    <n v="900"/>
    <n v="50"/>
    <d v="1997-05-08T00:00:00"/>
  </r>
  <r>
    <n v="10530"/>
    <x v="2"/>
    <n v="900"/>
    <n v="50"/>
    <d v="1997-05-08T00:00:00"/>
  </r>
  <r>
    <n v="10530"/>
    <x v="3"/>
    <n v="900"/>
    <n v="50"/>
    <d v="1997-05-08T00:00:00"/>
  </r>
  <r>
    <n v="10530"/>
    <x v="4"/>
    <n v="900"/>
    <n v="50"/>
    <d v="1997-05-08T00:00:00"/>
  </r>
  <r>
    <n v="10530"/>
    <x v="5"/>
    <n v="900"/>
    <n v="50"/>
    <d v="1997-05-08T00:00:00"/>
  </r>
  <r>
    <n v="10530"/>
    <x v="6"/>
    <n v="900"/>
    <n v="50"/>
    <d v="1997-05-08T00:00:00"/>
  </r>
  <r>
    <n v="10530"/>
    <x v="7"/>
    <n v="900"/>
    <n v="50"/>
    <d v="1997-05-08T00:00:00"/>
  </r>
  <r>
    <n v="10531"/>
    <x v="0"/>
    <n v="110"/>
    <n v="2"/>
    <d v="1997-05-08T00:00:00"/>
  </r>
  <r>
    <n v="10531"/>
    <x v="1"/>
    <n v="110"/>
    <n v="2"/>
    <d v="1997-05-08T00:00:00"/>
  </r>
  <r>
    <n v="10531"/>
    <x v="2"/>
    <n v="110"/>
    <n v="2"/>
    <d v="1997-05-08T00:00:00"/>
  </r>
  <r>
    <n v="10531"/>
    <x v="3"/>
    <n v="110"/>
    <n v="2"/>
    <d v="1997-05-08T00:00:00"/>
  </r>
  <r>
    <n v="10531"/>
    <x v="4"/>
    <n v="110"/>
    <n v="2"/>
    <d v="1997-05-08T00:00:00"/>
  </r>
  <r>
    <n v="10531"/>
    <x v="5"/>
    <n v="110"/>
    <n v="2"/>
    <d v="1997-05-08T00:00:00"/>
  </r>
  <r>
    <n v="10531"/>
    <x v="6"/>
    <n v="110"/>
    <n v="2"/>
    <d v="1997-05-08T00:00:00"/>
  </r>
  <r>
    <n v="10531"/>
    <x v="7"/>
    <n v="110"/>
    <n v="2"/>
    <d v="1997-05-08T00:00:00"/>
  </r>
  <r>
    <n v="10532"/>
    <x v="0"/>
    <n v="388.35"/>
    <n v="15"/>
    <d v="1997-05-09T00:00:00"/>
  </r>
  <r>
    <n v="10532"/>
    <x v="1"/>
    <n v="388.35"/>
    <n v="15"/>
    <d v="1997-05-09T00:00:00"/>
  </r>
  <r>
    <n v="10532"/>
    <x v="2"/>
    <n v="388.35"/>
    <n v="15"/>
    <d v="1997-05-09T00:00:00"/>
  </r>
  <r>
    <n v="10532"/>
    <x v="3"/>
    <n v="388.35"/>
    <n v="15"/>
    <d v="1997-05-09T00:00:00"/>
  </r>
  <r>
    <n v="10532"/>
    <x v="4"/>
    <n v="388.35"/>
    <n v="15"/>
    <d v="1997-05-09T00:00:00"/>
  </r>
  <r>
    <n v="10532"/>
    <x v="5"/>
    <n v="388.35"/>
    <n v="15"/>
    <d v="1997-05-09T00:00:00"/>
  </r>
  <r>
    <n v="10532"/>
    <x v="6"/>
    <n v="388.35"/>
    <n v="15"/>
    <d v="1997-05-09T00:00:00"/>
  </r>
  <r>
    <n v="10532"/>
    <x v="7"/>
    <n v="388.35"/>
    <n v="15"/>
    <d v="1997-05-09T00:00:00"/>
  </r>
  <r>
    <n v="10532"/>
    <x v="0"/>
    <n v="408"/>
    <n v="24"/>
    <d v="1997-05-09T00:00:00"/>
  </r>
  <r>
    <n v="10532"/>
    <x v="1"/>
    <n v="408"/>
    <n v="24"/>
    <d v="1997-05-09T00:00:00"/>
  </r>
  <r>
    <n v="10532"/>
    <x v="2"/>
    <n v="408"/>
    <n v="24"/>
    <d v="1997-05-09T00:00:00"/>
  </r>
  <r>
    <n v="10532"/>
    <x v="3"/>
    <n v="408"/>
    <n v="24"/>
    <d v="1997-05-09T00:00:00"/>
  </r>
  <r>
    <n v="10532"/>
    <x v="4"/>
    <n v="408"/>
    <n v="24"/>
    <d v="1997-05-09T00:00:00"/>
  </r>
  <r>
    <n v="10532"/>
    <x v="5"/>
    <n v="408"/>
    <n v="24"/>
    <d v="1997-05-09T00:00:00"/>
  </r>
  <r>
    <n v="10532"/>
    <x v="6"/>
    <n v="408"/>
    <n v="24"/>
    <d v="1997-05-09T00:00:00"/>
  </r>
  <r>
    <n v="10532"/>
    <x v="7"/>
    <n v="408"/>
    <n v="24"/>
    <d v="1997-05-09T00:00:00"/>
  </r>
  <r>
    <n v="10533"/>
    <x v="0"/>
    <n v="1044.9999991804361"/>
    <n v="50"/>
    <d v="1997-05-12T00:00:00"/>
  </r>
  <r>
    <n v="10533"/>
    <x v="1"/>
    <n v="1044.9999991804361"/>
    <n v="50"/>
    <d v="1997-05-12T00:00:00"/>
  </r>
  <r>
    <n v="10533"/>
    <x v="2"/>
    <n v="1044.9999991804361"/>
    <n v="50"/>
    <d v="1997-05-12T00:00:00"/>
  </r>
  <r>
    <n v="10533"/>
    <x v="3"/>
    <n v="1044.9999991804361"/>
    <n v="50"/>
    <d v="1997-05-12T00:00:00"/>
  </r>
  <r>
    <n v="10533"/>
    <x v="4"/>
    <n v="1044.9999991804361"/>
    <n v="50"/>
    <d v="1997-05-12T00:00:00"/>
  </r>
  <r>
    <n v="10533"/>
    <x v="5"/>
    <n v="1044.9999991804361"/>
    <n v="50"/>
    <d v="1997-05-12T00:00:00"/>
  </r>
  <r>
    <n v="10533"/>
    <x v="6"/>
    <n v="1044.9999991804361"/>
    <n v="50"/>
    <d v="1997-05-12T00:00:00"/>
  </r>
  <r>
    <n v="10533"/>
    <x v="7"/>
    <n v="1044.9999991804361"/>
    <n v="50"/>
    <d v="1997-05-12T00:00:00"/>
  </r>
  <r>
    <n v="10533"/>
    <x v="0"/>
    <n v="835.2"/>
    <n v="24"/>
    <d v="1997-05-12T00:00:00"/>
  </r>
  <r>
    <n v="10533"/>
    <x v="1"/>
    <n v="835.2"/>
    <n v="24"/>
    <d v="1997-05-12T00:00:00"/>
  </r>
  <r>
    <n v="10533"/>
    <x v="2"/>
    <n v="835.2"/>
    <n v="24"/>
    <d v="1997-05-12T00:00:00"/>
  </r>
  <r>
    <n v="10533"/>
    <x v="3"/>
    <n v="835.2"/>
    <n v="24"/>
    <d v="1997-05-12T00:00:00"/>
  </r>
  <r>
    <n v="10533"/>
    <x v="4"/>
    <n v="835.2"/>
    <n v="24"/>
    <d v="1997-05-12T00:00:00"/>
  </r>
  <r>
    <n v="10533"/>
    <x v="5"/>
    <n v="835.2"/>
    <n v="24"/>
    <d v="1997-05-12T00:00:00"/>
  </r>
  <r>
    <n v="10533"/>
    <x v="6"/>
    <n v="835.2"/>
    <n v="24"/>
    <d v="1997-05-12T00:00:00"/>
  </r>
  <r>
    <n v="10533"/>
    <x v="7"/>
    <n v="835.2"/>
    <n v="24"/>
    <d v="1997-05-12T00:00:00"/>
  </r>
  <r>
    <n v="10533"/>
    <x v="0"/>
    <n v="341.9999997317791"/>
    <n v="24"/>
    <d v="1997-05-12T00:00:00"/>
  </r>
  <r>
    <n v="10533"/>
    <x v="1"/>
    <n v="341.9999997317791"/>
    <n v="24"/>
    <d v="1997-05-12T00:00:00"/>
  </r>
  <r>
    <n v="10533"/>
    <x v="2"/>
    <n v="341.9999997317791"/>
    <n v="24"/>
    <d v="1997-05-12T00:00:00"/>
  </r>
  <r>
    <n v="10533"/>
    <x v="3"/>
    <n v="341.9999997317791"/>
    <n v="24"/>
    <d v="1997-05-12T00:00:00"/>
  </r>
  <r>
    <n v="10533"/>
    <x v="4"/>
    <n v="341.9999997317791"/>
    <n v="24"/>
    <d v="1997-05-12T00:00:00"/>
  </r>
  <r>
    <n v="10533"/>
    <x v="5"/>
    <n v="341.9999997317791"/>
    <n v="24"/>
    <d v="1997-05-12T00:00:00"/>
  </r>
  <r>
    <n v="10533"/>
    <x v="6"/>
    <n v="341.9999997317791"/>
    <n v="24"/>
    <d v="1997-05-12T00:00:00"/>
  </r>
  <r>
    <n v="10533"/>
    <x v="7"/>
    <n v="341.9999997317791"/>
    <n v="24"/>
    <d v="1997-05-12T00:00:00"/>
  </r>
  <r>
    <n v="10534"/>
    <x v="0"/>
    <n v="258.89999999999998"/>
    <n v="10"/>
    <d v="1997-05-12T00:00:00"/>
  </r>
  <r>
    <n v="10534"/>
    <x v="1"/>
    <n v="258.89999999999998"/>
    <n v="10"/>
    <d v="1997-05-12T00:00:00"/>
  </r>
  <r>
    <n v="10534"/>
    <x v="2"/>
    <n v="258.89999999999998"/>
    <n v="10"/>
    <d v="1997-05-12T00:00:00"/>
  </r>
  <r>
    <n v="10534"/>
    <x v="3"/>
    <n v="258.89999999999998"/>
    <n v="10"/>
    <d v="1997-05-12T00:00:00"/>
  </r>
  <r>
    <n v="10534"/>
    <x v="4"/>
    <n v="258.89999999999998"/>
    <n v="10"/>
    <d v="1997-05-12T00:00:00"/>
  </r>
  <r>
    <n v="10534"/>
    <x v="5"/>
    <n v="258.89999999999998"/>
    <n v="10"/>
    <d v="1997-05-12T00:00:00"/>
  </r>
  <r>
    <n v="10534"/>
    <x v="6"/>
    <n v="258.89999999999998"/>
    <n v="10"/>
    <d v="1997-05-12T00:00:00"/>
  </r>
  <r>
    <n v="10534"/>
    <x v="7"/>
    <n v="258.89999999999998"/>
    <n v="10"/>
    <d v="1997-05-12T00:00:00"/>
  </r>
  <r>
    <n v="10534"/>
    <x v="0"/>
    <n v="147.19999945163727"/>
    <n v="10"/>
    <d v="1997-05-12T00:00:00"/>
  </r>
  <r>
    <n v="10534"/>
    <x v="1"/>
    <n v="147.19999945163727"/>
    <n v="10"/>
    <d v="1997-05-12T00:00:00"/>
  </r>
  <r>
    <n v="10534"/>
    <x v="2"/>
    <n v="147.19999945163727"/>
    <n v="10"/>
    <d v="1997-05-12T00:00:00"/>
  </r>
  <r>
    <n v="10534"/>
    <x v="3"/>
    <n v="147.19999945163727"/>
    <n v="10"/>
    <d v="1997-05-12T00:00:00"/>
  </r>
  <r>
    <n v="10534"/>
    <x v="4"/>
    <n v="147.19999945163727"/>
    <n v="10"/>
    <d v="1997-05-12T00:00:00"/>
  </r>
  <r>
    <n v="10534"/>
    <x v="5"/>
    <n v="147.19999945163727"/>
    <n v="10"/>
    <d v="1997-05-12T00:00:00"/>
  </r>
  <r>
    <n v="10534"/>
    <x v="6"/>
    <n v="147.19999945163727"/>
    <n v="10"/>
    <d v="1997-05-12T00:00:00"/>
  </r>
  <r>
    <n v="10534"/>
    <x v="7"/>
    <n v="147.19999945163727"/>
    <n v="10"/>
    <d v="1997-05-12T00:00:00"/>
  </r>
  <r>
    <n v="10534"/>
    <x v="0"/>
    <n v="59.599999777972698"/>
    <n v="10"/>
    <d v="1997-05-12T00:00:00"/>
  </r>
  <r>
    <n v="10534"/>
    <x v="1"/>
    <n v="59.599999777972698"/>
    <n v="10"/>
    <d v="1997-05-12T00:00:00"/>
  </r>
  <r>
    <n v="10534"/>
    <x v="2"/>
    <n v="59.599999777972698"/>
    <n v="10"/>
    <d v="1997-05-12T00:00:00"/>
  </r>
  <r>
    <n v="10534"/>
    <x v="3"/>
    <n v="59.599999777972698"/>
    <n v="10"/>
    <d v="1997-05-12T00:00:00"/>
  </r>
  <r>
    <n v="10534"/>
    <x v="4"/>
    <n v="59.599999777972698"/>
    <n v="10"/>
    <d v="1997-05-12T00:00:00"/>
  </r>
  <r>
    <n v="10534"/>
    <x v="5"/>
    <n v="59.599999777972698"/>
    <n v="10"/>
    <d v="1997-05-12T00:00:00"/>
  </r>
  <r>
    <n v="10534"/>
    <x v="6"/>
    <n v="59.599999777972698"/>
    <n v="10"/>
    <d v="1997-05-12T00:00:00"/>
  </r>
  <r>
    <n v="10534"/>
    <x v="7"/>
    <n v="59.599999777972698"/>
    <n v="10"/>
    <d v="1997-05-12T00:00:00"/>
  </r>
  <r>
    <n v="10535"/>
    <x v="0"/>
    <n v="944.99999843537807"/>
    <n v="50"/>
    <d v="1997-05-13T00:00:00"/>
  </r>
  <r>
    <n v="10535"/>
    <x v="1"/>
    <n v="944.99999843537807"/>
    <n v="50"/>
    <d v="1997-05-13T00:00:00"/>
  </r>
  <r>
    <n v="10535"/>
    <x v="2"/>
    <n v="944.99999843537807"/>
    <n v="50"/>
    <d v="1997-05-13T00:00:00"/>
  </r>
  <r>
    <n v="10535"/>
    <x v="3"/>
    <n v="944.99999843537807"/>
    <n v="50"/>
    <d v="1997-05-13T00:00:00"/>
  </r>
  <r>
    <n v="10535"/>
    <x v="4"/>
    <n v="944.99999843537807"/>
    <n v="50"/>
    <d v="1997-05-13T00:00:00"/>
  </r>
  <r>
    <n v="10535"/>
    <x v="5"/>
    <n v="944.99999843537807"/>
    <n v="50"/>
    <d v="1997-05-13T00:00:00"/>
  </r>
  <r>
    <n v="10535"/>
    <x v="6"/>
    <n v="944.99999843537807"/>
    <n v="50"/>
    <d v="1997-05-13T00:00:00"/>
  </r>
  <r>
    <n v="10535"/>
    <x v="7"/>
    <n v="944.99999843537807"/>
    <n v="50"/>
    <d v="1997-05-13T00:00:00"/>
  </r>
  <r>
    <n v="10535"/>
    <x v="0"/>
    <n v="165.59999972581863"/>
    <n v="10"/>
    <d v="1997-05-13T00:00:00"/>
  </r>
  <r>
    <n v="10535"/>
    <x v="1"/>
    <n v="165.59999972581863"/>
    <n v="10"/>
    <d v="1997-05-13T00:00:00"/>
  </r>
  <r>
    <n v="10535"/>
    <x v="2"/>
    <n v="165.59999972581863"/>
    <n v="10"/>
    <d v="1997-05-13T00:00:00"/>
  </r>
  <r>
    <n v="10535"/>
    <x v="3"/>
    <n v="165.59999972581863"/>
    <n v="10"/>
    <d v="1997-05-13T00:00:00"/>
  </r>
  <r>
    <n v="10535"/>
    <x v="4"/>
    <n v="165.59999972581863"/>
    <n v="10"/>
    <d v="1997-05-13T00:00:00"/>
  </r>
  <r>
    <n v="10535"/>
    <x v="5"/>
    <n v="165.59999972581863"/>
    <n v="10"/>
    <d v="1997-05-13T00:00:00"/>
  </r>
  <r>
    <n v="10535"/>
    <x v="6"/>
    <n v="165.59999972581863"/>
    <n v="10"/>
    <d v="1997-05-13T00:00:00"/>
  </r>
  <r>
    <n v="10535"/>
    <x v="7"/>
    <n v="165.59999972581863"/>
    <n v="10"/>
    <d v="1997-05-13T00:00:00"/>
  </r>
  <r>
    <n v="10535"/>
    <x v="0"/>
    <n v="87.749999854713678"/>
    <n v="5"/>
    <d v="1997-05-13T00:00:00"/>
  </r>
  <r>
    <n v="10535"/>
    <x v="1"/>
    <n v="87.749999854713678"/>
    <n v="5"/>
    <d v="1997-05-13T00:00:00"/>
  </r>
  <r>
    <n v="10535"/>
    <x v="2"/>
    <n v="87.749999854713678"/>
    <n v="5"/>
    <d v="1997-05-13T00:00:00"/>
  </r>
  <r>
    <n v="10535"/>
    <x v="3"/>
    <n v="87.749999854713678"/>
    <n v="5"/>
    <d v="1997-05-13T00:00:00"/>
  </r>
  <r>
    <n v="10535"/>
    <x v="4"/>
    <n v="87.749999854713678"/>
    <n v="5"/>
    <d v="1997-05-13T00:00:00"/>
  </r>
  <r>
    <n v="10535"/>
    <x v="5"/>
    <n v="87.749999854713678"/>
    <n v="5"/>
    <d v="1997-05-13T00:00:00"/>
  </r>
  <r>
    <n v="10535"/>
    <x v="6"/>
    <n v="87.749999854713678"/>
    <n v="5"/>
    <d v="1997-05-13T00:00:00"/>
  </r>
  <r>
    <n v="10535"/>
    <x v="7"/>
    <n v="87.749999854713678"/>
    <n v="5"/>
    <d v="1997-05-13T00:00:00"/>
  </r>
  <r>
    <n v="10535"/>
    <x v="0"/>
    <n v="742.4999987706542"/>
    <n v="15"/>
    <d v="1997-05-13T00:00:00"/>
  </r>
  <r>
    <n v="10535"/>
    <x v="1"/>
    <n v="742.4999987706542"/>
    <n v="15"/>
    <d v="1997-05-13T00:00:00"/>
  </r>
  <r>
    <n v="10535"/>
    <x v="2"/>
    <n v="742.4999987706542"/>
    <n v="15"/>
    <d v="1997-05-13T00:00:00"/>
  </r>
  <r>
    <n v="10535"/>
    <x v="3"/>
    <n v="742.4999987706542"/>
    <n v="15"/>
    <d v="1997-05-13T00:00:00"/>
  </r>
  <r>
    <n v="10535"/>
    <x v="4"/>
    <n v="742.4999987706542"/>
    <n v="15"/>
    <d v="1997-05-13T00:00:00"/>
  </r>
  <r>
    <n v="10535"/>
    <x v="5"/>
    <n v="742.4999987706542"/>
    <n v="15"/>
    <d v="1997-05-13T00:00:00"/>
  </r>
  <r>
    <n v="10535"/>
    <x v="6"/>
    <n v="742.4999987706542"/>
    <n v="15"/>
    <d v="1997-05-13T00:00:00"/>
  </r>
  <r>
    <n v="10535"/>
    <x v="7"/>
    <n v="742.4999987706542"/>
    <n v="15"/>
    <d v="1997-05-13T00:00:00"/>
  </r>
  <r>
    <n v="10536"/>
    <x v="0"/>
    <n v="427.5"/>
    <n v="15"/>
    <d v="1997-05-14T00:00:00"/>
  </r>
  <r>
    <n v="10536"/>
    <x v="1"/>
    <n v="427.5"/>
    <n v="15"/>
    <d v="1997-05-14T00:00:00"/>
  </r>
  <r>
    <n v="10536"/>
    <x v="2"/>
    <n v="427.5"/>
    <n v="15"/>
    <d v="1997-05-14T00:00:00"/>
  </r>
  <r>
    <n v="10536"/>
    <x v="3"/>
    <n v="427.5"/>
    <n v="15"/>
    <d v="1997-05-14T00:00:00"/>
  </r>
  <r>
    <n v="10536"/>
    <x v="4"/>
    <n v="427.5"/>
    <n v="15"/>
    <d v="1997-05-14T00:00:00"/>
  </r>
  <r>
    <n v="10536"/>
    <x v="5"/>
    <n v="427.5"/>
    <n v="15"/>
    <d v="1997-05-14T00:00:00"/>
  </r>
  <r>
    <n v="10536"/>
    <x v="6"/>
    <n v="427.5"/>
    <n v="15"/>
    <d v="1997-05-14T00:00:00"/>
  </r>
  <r>
    <n v="10536"/>
    <x v="7"/>
    <n v="427.5"/>
    <n v="15"/>
    <d v="1997-05-14T00:00:00"/>
  </r>
  <r>
    <n v="10536"/>
    <x v="0"/>
    <n v="250"/>
    <n v="20"/>
    <d v="1997-05-14T00:00:00"/>
  </r>
  <r>
    <n v="10536"/>
    <x v="1"/>
    <n v="250"/>
    <n v="20"/>
    <d v="1997-05-14T00:00:00"/>
  </r>
  <r>
    <n v="10536"/>
    <x v="2"/>
    <n v="250"/>
    <n v="20"/>
    <d v="1997-05-14T00:00:00"/>
  </r>
  <r>
    <n v="10536"/>
    <x v="3"/>
    <n v="250"/>
    <n v="20"/>
    <d v="1997-05-14T00:00:00"/>
  </r>
  <r>
    <n v="10536"/>
    <x v="4"/>
    <n v="250"/>
    <n v="20"/>
    <d v="1997-05-14T00:00:00"/>
  </r>
  <r>
    <n v="10536"/>
    <x v="5"/>
    <n v="250"/>
    <n v="20"/>
    <d v="1997-05-14T00:00:00"/>
  </r>
  <r>
    <n v="10536"/>
    <x v="6"/>
    <n v="250"/>
    <n v="20"/>
    <d v="1997-05-14T00:00:00"/>
  </r>
  <r>
    <n v="10536"/>
    <x v="7"/>
    <n v="250"/>
    <n v="20"/>
    <d v="1997-05-14T00:00:00"/>
  </r>
  <r>
    <n v="10536"/>
    <x v="0"/>
    <n v="75"/>
    <n v="30"/>
    <d v="1997-05-14T00:00:00"/>
  </r>
  <r>
    <n v="10536"/>
    <x v="1"/>
    <n v="75"/>
    <n v="30"/>
    <d v="1997-05-14T00:00:00"/>
  </r>
  <r>
    <n v="10536"/>
    <x v="2"/>
    <n v="75"/>
    <n v="30"/>
    <d v="1997-05-14T00:00:00"/>
  </r>
  <r>
    <n v="10536"/>
    <x v="3"/>
    <n v="75"/>
    <n v="30"/>
    <d v="1997-05-14T00:00:00"/>
  </r>
  <r>
    <n v="10536"/>
    <x v="4"/>
    <n v="75"/>
    <n v="30"/>
    <d v="1997-05-14T00:00:00"/>
  </r>
  <r>
    <n v="10536"/>
    <x v="5"/>
    <n v="75"/>
    <n v="30"/>
    <d v="1997-05-14T00:00:00"/>
  </r>
  <r>
    <n v="10536"/>
    <x v="6"/>
    <n v="75"/>
    <n v="30"/>
    <d v="1997-05-14T00:00:00"/>
  </r>
  <r>
    <n v="10536"/>
    <x v="7"/>
    <n v="75"/>
    <n v="30"/>
    <d v="1997-05-14T00:00:00"/>
  </r>
  <r>
    <n v="10536"/>
    <x v="0"/>
    <n v="892.5"/>
    <n v="35"/>
    <d v="1997-05-14T00:00:00"/>
  </r>
  <r>
    <n v="10536"/>
    <x v="1"/>
    <n v="892.5"/>
    <n v="35"/>
    <d v="1997-05-14T00:00:00"/>
  </r>
  <r>
    <n v="10536"/>
    <x v="2"/>
    <n v="892.5"/>
    <n v="35"/>
    <d v="1997-05-14T00:00:00"/>
  </r>
  <r>
    <n v="10536"/>
    <x v="3"/>
    <n v="892.5"/>
    <n v="35"/>
    <d v="1997-05-14T00:00:00"/>
  </r>
  <r>
    <n v="10536"/>
    <x v="4"/>
    <n v="892.5"/>
    <n v="35"/>
    <d v="1997-05-14T00:00:00"/>
  </r>
  <r>
    <n v="10536"/>
    <x v="5"/>
    <n v="892.5"/>
    <n v="35"/>
    <d v="1997-05-14T00:00:00"/>
  </r>
  <r>
    <n v="10536"/>
    <x v="6"/>
    <n v="892.5"/>
    <n v="35"/>
    <d v="1997-05-14T00:00:00"/>
  </r>
  <r>
    <n v="10536"/>
    <x v="7"/>
    <n v="892.5"/>
    <n v="35"/>
    <d v="1997-05-14T00:00:00"/>
  </r>
  <r>
    <n v="10537"/>
    <x v="0"/>
    <n v="375"/>
    <n v="30"/>
    <d v="1997-05-14T00:00:00"/>
  </r>
  <r>
    <n v="10537"/>
    <x v="1"/>
    <n v="375"/>
    <n v="30"/>
    <d v="1997-05-14T00:00:00"/>
  </r>
  <r>
    <n v="10537"/>
    <x v="2"/>
    <n v="375"/>
    <n v="30"/>
    <d v="1997-05-14T00:00:00"/>
  </r>
  <r>
    <n v="10537"/>
    <x v="3"/>
    <n v="375"/>
    <n v="30"/>
    <d v="1997-05-14T00:00:00"/>
  </r>
  <r>
    <n v="10537"/>
    <x v="4"/>
    <n v="375"/>
    <n v="30"/>
    <d v="1997-05-14T00:00:00"/>
  </r>
  <r>
    <n v="10537"/>
    <x v="5"/>
    <n v="375"/>
    <n v="30"/>
    <d v="1997-05-14T00:00:00"/>
  </r>
  <r>
    <n v="10537"/>
    <x v="6"/>
    <n v="375"/>
    <n v="30"/>
    <d v="1997-05-14T00:00:00"/>
  </r>
  <r>
    <n v="10537"/>
    <x v="7"/>
    <n v="375"/>
    <n v="30"/>
    <d v="1997-05-14T00:00:00"/>
  </r>
  <r>
    <n v="10537"/>
    <x v="0"/>
    <n v="318"/>
    <n v="6"/>
    <d v="1997-05-14T00:00:00"/>
  </r>
  <r>
    <n v="10537"/>
    <x v="1"/>
    <n v="318"/>
    <n v="6"/>
    <d v="1997-05-14T00:00:00"/>
  </r>
  <r>
    <n v="10537"/>
    <x v="2"/>
    <n v="318"/>
    <n v="6"/>
    <d v="1997-05-14T00:00:00"/>
  </r>
  <r>
    <n v="10537"/>
    <x v="3"/>
    <n v="318"/>
    <n v="6"/>
    <d v="1997-05-14T00:00:00"/>
  </r>
  <r>
    <n v="10537"/>
    <x v="4"/>
    <n v="318"/>
    <n v="6"/>
    <d v="1997-05-14T00:00:00"/>
  </r>
  <r>
    <n v="10537"/>
    <x v="5"/>
    <n v="318"/>
    <n v="6"/>
    <d v="1997-05-14T00:00:00"/>
  </r>
  <r>
    <n v="10537"/>
    <x v="6"/>
    <n v="318"/>
    <n v="6"/>
    <d v="1997-05-14T00:00:00"/>
  </r>
  <r>
    <n v="10537"/>
    <x v="7"/>
    <n v="318"/>
    <n v="6"/>
    <d v="1997-05-14T00:00:00"/>
  </r>
  <r>
    <n v="10537"/>
    <x v="0"/>
    <n v="265"/>
    <n v="20"/>
    <d v="1997-05-14T00:00:00"/>
  </r>
  <r>
    <n v="10537"/>
    <x v="1"/>
    <n v="265"/>
    <n v="20"/>
    <d v="1997-05-14T00:00:00"/>
  </r>
  <r>
    <n v="10537"/>
    <x v="2"/>
    <n v="265"/>
    <n v="20"/>
    <d v="1997-05-14T00:00:00"/>
  </r>
  <r>
    <n v="10537"/>
    <x v="3"/>
    <n v="265"/>
    <n v="20"/>
    <d v="1997-05-14T00:00:00"/>
  </r>
  <r>
    <n v="10537"/>
    <x v="4"/>
    <n v="265"/>
    <n v="20"/>
    <d v="1997-05-14T00:00:00"/>
  </r>
  <r>
    <n v="10537"/>
    <x v="5"/>
    <n v="265"/>
    <n v="20"/>
    <d v="1997-05-14T00:00:00"/>
  </r>
  <r>
    <n v="10537"/>
    <x v="6"/>
    <n v="265"/>
    <n v="20"/>
    <d v="1997-05-14T00:00:00"/>
  </r>
  <r>
    <n v="10537"/>
    <x v="7"/>
    <n v="265"/>
    <n v="20"/>
    <d v="1997-05-14T00:00:00"/>
  </r>
  <r>
    <n v="10537"/>
    <x v="0"/>
    <n v="730.8"/>
    <n v="21"/>
    <d v="1997-05-14T00:00:00"/>
  </r>
  <r>
    <n v="10537"/>
    <x v="1"/>
    <n v="730.8"/>
    <n v="21"/>
    <d v="1997-05-14T00:00:00"/>
  </r>
  <r>
    <n v="10537"/>
    <x v="2"/>
    <n v="730.8"/>
    <n v="21"/>
    <d v="1997-05-14T00:00:00"/>
  </r>
  <r>
    <n v="10537"/>
    <x v="3"/>
    <n v="730.8"/>
    <n v="21"/>
    <d v="1997-05-14T00:00:00"/>
  </r>
  <r>
    <n v="10537"/>
    <x v="4"/>
    <n v="730.8"/>
    <n v="21"/>
    <d v="1997-05-14T00:00:00"/>
  </r>
  <r>
    <n v="10537"/>
    <x v="5"/>
    <n v="730.8"/>
    <n v="21"/>
    <d v="1997-05-14T00:00:00"/>
  </r>
  <r>
    <n v="10537"/>
    <x v="6"/>
    <n v="730.8"/>
    <n v="21"/>
    <d v="1997-05-14T00:00:00"/>
  </r>
  <r>
    <n v="10537"/>
    <x v="7"/>
    <n v="730.8"/>
    <n v="21"/>
    <d v="1997-05-14T00:00:00"/>
  </r>
  <r>
    <n v="10537"/>
    <x v="0"/>
    <n v="135"/>
    <n v="9"/>
    <d v="1997-05-14T00:00:00"/>
  </r>
  <r>
    <n v="10537"/>
    <x v="1"/>
    <n v="135"/>
    <n v="9"/>
    <d v="1997-05-14T00:00:00"/>
  </r>
  <r>
    <n v="10537"/>
    <x v="2"/>
    <n v="135"/>
    <n v="9"/>
    <d v="1997-05-14T00:00:00"/>
  </r>
  <r>
    <n v="10537"/>
    <x v="3"/>
    <n v="135"/>
    <n v="9"/>
    <d v="1997-05-14T00:00:00"/>
  </r>
  <r>
    <n v="10537"/>
    <x v="4"/>
    <n v="135"/>
    <n v="9"/>
    <d v="1997-05-14T00:00:00"/>
  </r>
  <r>
    <n v="10537"/>
    <x v="5"/>
    <n v="135"/>
    <n v="9"/>
    <d v="1997-05-14T00:00:00"/>
  </r>
  <r>
    <n v="10537"/>
    <x v="6"/>
    <n v="135"/>
    <n v="9"/>
    <d v="1997-05-14T00:00:00"/>
  </r>
  <r>
    <n v="10537"/>
    <x v="7"/>
    <n v="135"/>
    <n v="9"/>
    <d v="1997-05-14T00:00:00"/>
  </r>
  <r>
    <n v="10538"/>
    <x v="0"/>
    <n v="105"/>
    <n v="7"/>
    <d v="1997-05-15T00:00:00"/>
  </r>
  <r>
    <n v="10538"/>
    <x v="1"/>
    <n v="105"/>
    <n v="7"/>
    <d v="1997-05-15T00:00:00"/>
  </r>
  <r>
    <n v="10538"/>
    <x v="2"/>
    <n v="105"/>
    <n v="7"/>
    <d v="1997-05-15T00:00:00"/>
  </r>
  <r>
    <n v="10538"/>
    <x v="3"/>
    <n v="105"/>
    <n v="7"/>
    <d v="1997-05-15T00:00:00"/>
  </r>
  <r>
    <n v="10538"/>
    <x v="4"/>
    <n v="105"/>
    <n v="7"/>
    <d v="1997-05-15T00:00:00"/>
  </r>
  <r>
    <n v="10538"/>
    <x v="5"/>
    <n v="105"/>
    <n v="7"/>
    <d v="1997-05-15T00:00:00"/>
  </r>
  <r>
    <n v="10538"/>
    <x v="6"/>
    <n v="105"/>
    <n v="7"/>
    <d v="1997-05-15T00:00:00"/>
  </r>
  <r>
    <n v="10538"/>
    <x v="7"/>
    <n v="105"/>
    <n v="7"/>
    <d v="1997-05-15T00:00:00"/>
  </r>
  <r>
    <n v="10538"/>
    <x v="0"/>
    <n v="34.799999999999997"/>
    <n v="1"/>
    <d v="1997-05-15T00:00:00"/>
  </r>
  <r>
    <n v="10538"/>
    <x v="1"/>
    <n v="34.799999999999997"/>
    <n v="1"/>
    <d v="1997-05-15T00:00:00"/>
  </r>
  <r>
    <n v="10538"/>
    <x v="2"/>
    <n v="34.799999999999997"/>
    <n v="1"/>
    <d v="1997-05-15T00:00:00"/>
  </r>
  <r>
    <n v="10538"/>
    <x v="3"/>
    <n v="34.799999999999997"/>
    <n v="1"/>
    <d v="1997-05-15T00:00:00"/>
  </r>
  <r>
    <n v="10538"/>
    <x v="4"/>
    <n v="34.799999999999997"/>
    <n v="1"/>
    <d v="1997-05-15T00:00:00"/>
  </r>
  <r>
    <n v="10538"/>
    <x v="5"/>
    <n v="34.799999999999997"/>
    <n v="1"/>
    <d v="1997-05-15T00:00:00"/>
  </r>
  <r>
    <n v="10538"/>
    <x v="6"/>
    <n v="34.799999999999997"/>
    <n v="1"/>
    <d v="1997-05-15T00:00:00"/>
  </r>
  <r>
    <n v="10538"/>
    <x v="7"/>
    <n v="34.799999999999997"/>
    <n v="1"/>
    <d v="1997-05-15T00:00:00"/>
  </r>
  <r>
    <n v="10539"/>
    <x v="0"/>
    <n v="48"/>
    <n v="8"/>
    <d v="1997-05-16T00:00:00"/>
  </r>
  <r>
    <n v="10539"/>
    <x v="1"/>
    <n v="48"/>
    <n v="8"/>
    <d v="1997-05-16T00:00:00"/>
  </r>
  <r>
    <n v="10539"/>
    <x v="2"/>
    <n v="48"/>
    <n v="8"/>
    <d v="1997-05-16T00:00:00"/>
  </r>
  <r>
    <n v="10539"/>
    <x v="3"/>
    <n v="48"/>
    <n v="8"/>
    <d v="1997-05-16T00:00:00"/>
  </r>
  <r>
    <n v="10539"/>
    <x v="4"/>
    <n v="48"/>
    <n v="8"/>
    <d v="1997-05-16T00:00:00"/>
  </r>
  <r>
    <n v="10539"/>
    <x v="5"/>
    <n v="48"/>
    <n v="8"/>
    <d v="1997-05-16T00:00:00"/>
  </r>
  <r>
    <n v="10539"/>
    <x v="6"/>
    <n v="48"/>
    <n v="8"/>
    <d v="1997-05-16T00:00:00"/>
  </r>
  <r>
    <n v="10539"/>
    <x v="7"/>
    <n v="48"/>
    <n v="8"/>
    <d v="1997-05-16T00:00:00"/>
  </r>
  <r>
    <n v="10539"/>
    <x v="0"/>
    <n v="150"/>
    <n v="15"/>
    <d v="1997-05-16T00:00:00"/>
  </r>
  <r>
    <n v="10539"/>
    <x v="1"/>
    <n v="150"/>
    <n v="15"/>
    <d v="1997-05-16T00:00:00"/>
  </r>
  <r>
    <n v="10539"/>
    <x v="2"/>
    <n v="150"/>
    <n v="15"/>
    <d v="1997-05-16T00:00:00"/>
  </r>
  <r>
    <n v="10539"/>
    <x v="3"/>
    <n v="150"/>
    <n v="15"/>
    <d v="1997-05-16T00:00:00"/>
  </r>
  <r>
    <n v="10539"/>
    <x v="4"/>
    <n v="150"/>
    <n v="15"/>
    <d v="1997-05-16T00:00:00"/>
  </r>
  <r>
    <n v="10539"/>
    <x v="5"/>
    <n v="150"/>
    <n v="15"/>
    <d v="1997-05-16T00:00:00"/>
  </r>
  <r>
    <n v="10539"/>
    <x v="6"/>
    <n v="150"/>
    <n v="15"/>
    <d v="1997-05-16T00:00:00"/>
  </r>
  <r>
    <n v="10539"/>
    <x v="7"/>
    <n v="150"/>
    <n v="15"/>
    <d v="1997-05-16T00:00:00"/>
  </r>
  <r>
    <n v="10539"/>
    <x v="0"/>
    <n v="37.5"/>
    <n v="15"/>
    <d v="1997-05-16T00:00:00"/>
  </r>
  <r>
    <n v="10539"/>
    <x v="1"/>
    <n v="37.5"/>
    <n v="15"/>
    <d v="1997-05-16T00:00:00"/>
  </r>
  <r>
    <n v="10539"/>
    <x v="2"/>
    <n v="37.5"/>
    <n v="15"/>
    <d v="1997-05-16T00:00:00"/>
  </r>
  <r>
    <n v="10539"/>
    <x v="3"/>
    <n v="37.5"/>
    <n v="15"/>
    <d v="1997-05-16T00:00:00"/>
  </r>
  <r>
    <n v="10539"/>
    <x v="4"/>
    <n v="37.5"/>
    <n v="15"/>
    <d v="1997-05-16T00:00:00"/>
  </r>
  <r>
    <n v="10539"/>
    <x v="5"/>
    <n v="37.5"/>
    <n v="15"/>
    <d v="1997-05-16T00:00:00"/>
  </r>
  <r>
    <n v="10539"/>
    <x v="6"/>
    <n v="37.5"/>
    <n v="15"/>
    <d v="1997-05-16T00:00:00"/>
  </r>
  <r>
    <n v="10539"/>
    <x v="7"/>
    <n v="37.5"/>
    <n v="15"/>
    <d v="1997-05-16T00:00:00"/>
  </r>
  <r>
    <n v="10539"/>
    <x v="0"/>
    <n v="120"/>
    <n v="6"/>
    <d v="1997-05-16T00:00:00"/>
  </r>
  <r>
    <n v="10539"/>
    <x v="1"/>
    <n v="120"/>
    <n v="6"/>
    <d v="1997-05-16T00:00:00"/>
  </r>
  <r>
    <n v="10539"/>
    <x v="2"/>
    <n v="120"/>
    <n v="6"/>
    <d v="1997-05-16T00:00:00"/>
  </r>
  <r>
    <n v="10539"/>
    <x v="3"/>
    <n v="120"/>
    <n v="6"/>
    <d v="1997-05-16T00:00:00"/>
  </r>
  <r>
    <n v="10539"/>
    <x v="4"/>
    <n v="120"/>
    <n v="6"/>
    <d v="1997-05-16T00:00:00"/>
  </r>
  <r>
    <n v="10539"/>
    <x v="5"/>
    <n v="120"/>
    <n v="6"/>
    <d v="1997-05-16T00:00:00"/>
  </r>
  <r>
    <n v="10539"/>
    <x v="6"/>
    <n v="120"/>
    <n v="6"/>
    <d v="1997-05-16T00:00:00"/>
  </r>
  <r>
    <n v="10539"/>
    <x v="7"/>
    <n v="120"/>
    <n v="6"/>
    <d v="1997-05-16T00:00:00"/>
  </r>
  <r>
    <n v="10540"/>
    <x v="0"/>
    <n v="600"/>
    <n v="60"/>
    <d v="1997-05-19T00:00:00"/>
  </r>
  <r>
    <n v="10540"/>
    <x v="1"/>
    <n v="600"/>
    <n v="60"/>
    <d v="1997-05-19T00:00:00"/>
  </r>
  <r>
    <n v="10540"/>
    <x v="2"/>
    <n v="600"/>
    <n v="60"/>
    <d v="1997-05-19T00:00:00"/>
  </r>
  <r>
    <n v="10540"/>
    <x v="3"/>
    <n v="600"/>
    <n v="60"/>
    <d v="1997-05-19T00:00:00"/>
  </r>
  <r>
    <n v="10540"/>
    <x v="4"/>
    <n v="600"/>
    <n v="60"/>
    <d v="1997-05-19T00:00:00"/>
  </r>
  <r>
    <n v="10540"/>
    <x v="5"/>
    <n v="600"/>
    <n v="60"/>
    <d v="1997-05-19T00:00:00"/>
  </r>
  <r>
    <n v="10540"/>
    <x v="6"/>
    <n v="600"/>
    <n v="60"/>
    <d v="1997-05-19T00:00:00"/>
  </r>
  <r>
    <n v="10540"/>
    <x v="7"/>
    <n v="600"/>
    <n v="60"/>
    <d v="1997-05-19T00:00:00"/>
  </r>
  <r>
    <n v="10540"/>
    <x v="0"/>
    <n v="1249.2"/>
    <n v="40"/>
    <d v="1997-05-19T00:00:00"/>
  </r>
  <r>
    <n v="10540"/>
    <x v="1"/>
    <n v="1249.2"/>
    <n v="40"/>
    <d v="1997-05-19T00:00:00"/>
  </r>
  <r>
    <n v="10540"/>
    <x v="2"/>
    <n v="1249.2"/>
    <n v="40"/>
    <d v="1997-05-19T00:00:00"/>
  </r>
  <r>
    <n v="10540"/>
    <x v="3"/>
    <n v="1249.2"/>
    <n v="40"/>
    <d v="1997-05-19T00:00:00"/>
  </r>
  <r>
    <n v="10540"/>
    <x v="4"/>
    <n v="1249.2"/>
    <n v="40"/>
    <d v="1997-05-19T00:00:00"/>
  </r>
  <r>
    <n v="10540"/>
    <x v="5"/>
    <n v="1249.2"/>
    <n v="40"/>
    <d v="1997-05-19T00:00:00"/>
  </r>
  <r>
    <n v="10540"/>
    <x v="6"/>
    <n v="1249.2"/>
    <n v="40"/>
    <d v="1997-05-19T00:00:00"/>
  </r>
  <r>
    <n v="10540"/>
    <x v="7"/>
    <n v="1249.2"/>
    <n v="40"/>
    <d v="1997-05-19T00:00:00"/>
  </r>
  <r>
    <n v="10540"/>
    <x v="0"/>
    <n v="7905"/>
    <n v="30"/>
    <d v="1997-05-19T00:00:00"/>
  </r>
  <r>
    <n v="10540"/>
    <x v="1"/>
    <n v="7905"/>
    <n v="30"/>
    <d v="1997-05-19T00:00:00"/>
  </r>
  <r>
    <n v="10540"/>
    <x v="2"/>
    <n v="7905"/>
    <n v="30"/>
    <d v="1997-05-19T00:00:00"/>
  </r>
  <r>
    <n v="10540"/>
    <x v="3"/>
    <n v="7905"/>
    <n v="30"/>
    <d v="1997-05-19T00:00:00"/>
  </r>
  <r>
    <n v="10540"/>
    <x v="4"/>
    <n v="7905"/>
    <n v="30"/>
    <d v="1997-05-19T00:00:00"/>
  </r>
  <r>
    <n v="10540"/>
    <x v="5"/>
    <n v="7905"/>
    <n v="30"/>
    <d v="1997-05-19T00:00:00"/>
  </r>
  <r>
    <n v="10540"/>
    <x v="6"/>
    <n v="7905"/>
    <n v="30"/>
    <d v="1997-05-19T00:00:00"/>
  </r>
  <r>
    <n v="10540"/>
    <x v="7"/>
    <n v="7905"/>
    <n v="30"/>
    <d v="1997-05-19T00:00:00"/>
  </r>
  <r>
    <n v="10540"/>
    <x v="0"/>
    <n v="437.5"/>
    <n v="35"/>
    <d v="1997-05-19T00:00:00"/>
  </r>
  <r>
    <n v="10540"/>
    <x v="1"/>
    <n v="437.5"/>
    <n v="35"/>
    <d v="1997-05-19T00:00:00"/>
  </r>
  <r>
    <n v="10540"/>
    <x v="2"/>
    <n v="437.5"/>
    <n v="35"/>
    <d v="1997-05-19T00:00:00"/>
  </r>
  <r>
    <n v="10540"/>
    <x v="3"/>
    <n v="437.5"/>
    <n v="35"/>
    <d v="1997-05-19T00:00:00"/>
  </r>
  <r>
    <n v="10540"/>
    <x v="4"/>
    <n v="437.5"/>
    <n v="35"/>
    <d v="1997-05-19T00:00:00"/>
  </r>
  <r>
    <n v="10540"/>
    <x v="5"/>
    <n v="437.5"/>
    <n v="35"/>
    <d v="1997-05-19T00:00:00"/>
  </r>
  <r>
    <n v="10540"/>
    <x v="6"/>
    <n v="437.5"/>
    <n v="35"/>
    <d v="1997-05-19T00:00:00"/>
  </r>
  <r>
    <n v="10540"/>
    <x v="7"/>
    <n v="437.5"/>
    <n v="35"/>
    <d v="1997-05-19T00:00:00"/>
  </r>
  <r>
    <n v="10541"/>
    <x v="0"/>
    <n v="141.74999976530671"/>
    <n v="35"/>
    <d v="1997-05-19T00:00:00"/>
  </r>
  <r>
    <n v="10541"/>
    <x v="1"/>
    <n v="141.74999976530671"/>
    <n v="35"/>
    <d v="1997-05-19T00:00:00"/>
  </r>
  <r>
    <n v="10541"/>
    <x v="2"/>
    <n v="141.74999976530671"/>
    <n v="35"/>
    <d v="1997-05-19T00:00:00"/>
  </r>
  <r>
    <n v="10541"/>
    <x v="3"/>
    <n v="141.74999976530671"/>
    <n v="35"/>
    <d v="1997-05-19T00:00:00"/>
  </r>
  <r>
    <n v="10541"/>
    <x v="4"/>
    <n v="141.74999976530671"/>
    <n v="35"/>
    <d v="1997-05-19T00:00:00"/>
  </r>
  <r>
    <n v="10541"/>
    <x v="5"/>
    <n v="141.74999976530671"/>
    <n v="35"/>
    <d v="1997-05-19T00:00:00"/>
  </r>
  <r>
    <n v="10541"/>
    <x v="6"/>
    <n v="141.74999976530671"/>
    <n v="35"/>
    <d v="1997-05-19T00:00:00"/>
  </r>
  <r>
    <n v="10541"/>
    <x v="7"/>
    <n v="141.74999976530671"/>
    <n v="35"/>
    <d v="1997-05-19T00:00:00"/>
  </r>
  <r>
    <n v="10541"/>
    <x v="0"/>
    <n v="948.59999842941761"/>
    <n v="4"/>
    <d v="1997-05-19T00:00:00"/>
  </r>
  <r>
    <n v="10541"/>
    <x v="1"/>
    <n v="948.59999842941761"/>
    <n v="4"/>
    <d v="1997-05-19T00:00:00"/>
  </r>
  <r>
    <n v="10541"/>
    <x v="2"/>
    <n v="948.59999842941761"/>
    <n v="4"/>
    <d v="1997-05-19T00:00:00"/>
  </r>
  <r>
    <n v="10541"/>
    <x v="3"/>
    <n v="948.59999842941761"/>
    <n v="4"/>
    <d v="1997-05-19T00:00:00"/>
  </r>
  <r>
    <n v="10541"/>
    <x v="4"/>
    <n v="948.59999842941761"/>
    <n v="4"/>
    <d v="1997-05-19T00:00:00"/>
  </r>
  <r>
    <n v="10541"/>
    <x v="5"/>
    <n v="948.59999842941761"/>
    <n v="4"/>
    <d v="1997-05-19T00:00:00"/>
  </r>
  <r>
    <n v="10541"/>
    <x v="6"/>
    <n v="948.59999842941761"/>
    <n v="4"/>
    <d v="1997-05-19T00:00:00"/>
  </r>
  <r>
    <n v="10541"/>
    <x v="7"/>
    <n v="948.59999842941761"/>
    <n v="4"/>
    <d v="1997-05-19T00:00:00"/>
  </r>
  <r>
    <n v="10541"/>
    <x v="0"/>
    <n v="682.01999887079"/>
    <n v="36"/>
    <d v="1997-05-19T00:00:00"/>
  </r>
  <r>
    <n v="10541"/>
    <x v="1"/>
    <n v="682.01999887079"/>
    <n v="36"/>
    <d v="1997-05-19T00:00:00"/>
  </r>
  <r>
    <n v="10541"/>
    <x v="2"/>
    <n v="682.01999887079"/>
    <n v="36"/>
    <d v="1997-05-19T00:00:00"/>
  </r>
  <r>
    <n v="10541"/>
    <x v="3"/>
    <n v="682.01999887079"/>
    <n v="36"/>
    <d v="1997-05-19T00:00:00"/>
  </r>
  <r>
    <n v="10541"/>
    <x v="4"/>
    <n v="682.01999887079"/>
    <n v="36"/>
    <d v="1997-05-19T00:00:00"/>
  </r>
  <r>
    <n v="10541"/>
    <x v="5"/>
    <n v="682.01999887079"/>
    <n v="36"/>
    <d v="1997-05-19T00:00:00"/>
  </r>
  <r>
    <n v="10541"/>
    <x v="6"/>
    <n v="682.01999887079"/>
    <n v="36"/>
    <d v="1997-05-19T00:00:00"/>
  </r>
  <r>
    <n v="10541"/>
    <x v="7"/>
    <n v="682.01999887079"/>
    <n v="36"/>
    <d v="1997-05-19T00:00:00"/>
  </r>
  <r>
    <n v="10541"/>
    <x v="0"/>
    <n v="174.14999971166253"/>
    <n v="9"/>
    <d v="1997-05-19T00:00:00"/>
  </r>
  <r>
    <n v="10541"/>
    <x v="1"/>
    <n v="174.14999971166253"/>
    <n v="9"/>
    <d v="1997-05-19T00:00:00"/>
  </r>
  <r>
    <n v="10541"/>
    <x v="2"/>
    <n v="174.14999971166253"/>
    <n v="9"/>
    <d v="1997-05-19T00:00:00"/>
  </r>
  <r>
    <n v="10541"/>
    <x v="3"/>
    <n v="174.14999971166253"/>
    <n v="9"/>
    <d v="1997-05-19T00:00:00"/>
  </r>
  <r>
    <n v="10541"/>
    <x v="4"/>
    <n v="174.14999971166253"/>
    <n v="9"/>
    <d v="1997-05-19T00:00:00"/>
  </r>
  <r>
    <n v="10541"/>
    <x v="5"/>
    <n v="174.14999971166253"/>
    <n v="9"/>
    <d v="1997-05-19T00:00:00"/>
  </r>
  <r>
    <n v="10541"/>
    <x v="6"/>
    <n v="174.14999971166253"/>
    <n v="9"/>
    <d v="1997-05-19T00:00:00"/>
  </r>
  <r>
    <n v="10541"/>
    <x v="7"/>
    <n v="174.14999971166253"/>
    <n v="9"/>
    <d v="1997-05-19T00:00:00"/>
  </r>
  <r>
    <n v="10542"/>
    <x v="0"/>
    <n v="299.24999976530671"/>
    <n v="15"/>
    <d v="1997-05-20T00:00:00"/>
  </r>
  <r>
    <n v="10542"/>
    <x v="1"/>
    <n v="299.24999976530671"/>
    <n v="15"/>
    <d v="1997-05-20T00:00:00"/>
  </r>
  <r>
    <n v="10542"/>
    <x v="2"/>
    <n v="299.24999976530671"/>
    <n v="15"/>
    <d v="1997-05-20T00:00:00"/>
  </r>
  <r>
    <n v="10542"/>
    <x v="3"/>
    <n v="299.24999976530671"/>
    <n v="15"/>
    <d v="1997-05-20T00:00:00"/>
  </r>
  <r>
    <n v="10542"/>
    <x v="4"/>
    <n v="299.24999976530671"/>
    <n v="15"/>
    <d v="1997-05-20T00:00:00"/>
  </r>
  <r>
    <n v="10542"/>
    <x v="5"/>
    <n v="299.24999976530671"/>
    <n v="15"/>
    <d v="1997-05-20T00:00:00"/>
  </r>
  <r>
    <n v="10542"/>
    <x v="6"/>
    <n v="299.24999976530671"/>
    <n v="15"/>
    <d v="1997-05-20T00:00:00"/>
  </r>
  <r>
    <n v="10542"/>
    <x v="7"/>
    <n v="299.24999976530671"/>
    <n v="15"/>
    <d v="1997-05-20T00:00:00"/>
  </r>
  <r>
    <n v="10542"/>
    <x v="0"/>
    <n v="169.85999986678362"/>
    <n v="24"/>
    <d v="1997-05-20T00:00:00"/>
  </r>
  <r>
    <n v="10542"/>
    <x v="1"/>
    <n v="169.85999986678362"/>
    <n v="24"/>
    <d v="1997-05-20T00:00:00"/>
  </r>
  <r>
    <n v="10542"/>
    <x v="2"/>
    <n v="169.85999986678362"/>
    <n v="24"/>
    <d v="1997-05-20T00:00:00"/>
  </r>
  <r>
    <n v="10542"/>
    <x v="3"/>
    <n v="169.85999986678362"/>
    <n v="24"/>
    <d v="1997-05-20T00:00:00"/>
  </r>
  <r>
    <n v="10542"/>
    <x v="4"/>
    <n v="169.85999986678362"/>
    <n v="24"/>
    <d v="1997-05-20T00:00:00"/>
  </r>
  <r>
    <n v="10542"/>
    <x v="5"/>
    <n v="169.85999986678362"/>
    <n v="24"/>
    <d v="1997-05-20T00:00:00"/>
  </r>
  <r>
    <n v="10542"/>
    <x v="6"/>
    <n v="169.85999986678362"/>
    <n v="24"/>
    <d v="1997-05-20T00:00:00"/>
  </r>
  <r>
    <n v="10542"/>
    <x v="7"/>
    <n v="169.85999986678362"/>
    <n v="24"/>
    <d v="1997-05-20T00:00:00"/>
  </r>
  <r>
    <n v="10543"/>
    <x v="0"/>
    <n v="968.9999932050705"/>
    <n v="30"/>
    <d v="1997-05-21T00:00:00"/>
  </r>
  <r>
    <n v="10543"/>
    <x v="1"/>
    <n v="968.9999932050705"/>
    <n v="30"/>
    <d v="1997-05-21T00:00:00"/>
  </r>
  <r>
    <n v="10543"/>
    <x v="2"/>
    <n v="968.9999932050705"/>
    <n v="30"/>
    <d v="1997-05-21T00:00:00"/>
  </r>
  <r>
    <n v="10543"/>
    <x v="3"/>
    <n v="968.9999932050705"/>
    <n v="30"/>
    <d v="1997-05-21T00:00:00"/>
  </r>
  <r>
    <n v="10543"/>
    <x v="4"/>
    <n v="968.9999932050705"/>
    <n v="30"/>
    <d v="1997-05-21T00:00:00"/>
  </r>
  <r>
    <n v="10543"/>
    <x v="5"/>
    <n v="968.9999932050705"/>
    <n v="30"/>
    <d v="1997-05-21T00:00:00"/>
  </r>
  <r>
    <n v="10543"/>
    <x v="6"/>
    <n v="968.9999932050705"/>
    <n v="30"/>
    <d v="1997-05-21T00:00:00"/>
  </r>
  <r>
    <n v="10543"/>
    <x v="7"/>
    <n v="968.9999932050705"/>
    <n v="30"/>
    <d v="1997-05-21T00:00:00"/>
  </r>
  <r>
    <n v="10543"/>
    <x v="0"/>
    <n v="535.49999624490738"/>
    <n v="70"/>
    <d v="1997-05-21T00:00:00"/>
  </r>
  <r>
    <n v="10543"/>
    <x v="1"/>
    <n v="535.49999624490738"/>
    <n v="70"/>
    <d v="1997-05-21T00:00:00"/>
  </r>
  <r>
    <n v="10543"/>
    <x v="2"/>
    <n v="535.49999624490738"/>
    <n v="70"/>
    <d v="1997-05-21T00:00:00"/>
  </r>
  <r>
    <n v="10543"/>
    <x v="3"/>
    <n v="535.49999624490738"/>
    <n v="70"/>
    <d v="1997-05-21T00:00:00"/>
  </r>
  <r>
    <n v="10543"/>
    <x v="4"/>
    <n v="535.49999624490738"/>
    <n v="70"/>
    <d v="1997-05-21T00:00:00"/>
  </r>
  <r>
    <n v="10543"/>
    <x v="5"/>
    <n v="535.49999624490738"/>
    <n v="70"/>
    <d v="1997-05-21T00:00:00"/>
  </r>
  <r>
    <n v="10543"/>
    <x v="6"/>
    <n v="535.49999624490738"/>
    <n v="70"/>
    <d v="1997-05-21T00:00:00"/>
  </r>
  <r>
    <n v="10543"/>
    <x v="7"/>
    <n v="535.49999624490738"/>
    <n v="70"/>
    <d v="1997-05-21T00:00:00"/>
  </r>
  <r>
    <n v="10544"/>
    <x v="0"/>
    <n v="319.2"/>
    <n v="7"/>
    <d v="1997-05-21T00:00:00"/>
  </r>
  <r>
    <n v="10544"/>
    <x v="1"/>
    <n v="319.2"/>
    <n v="7"/>
    <d v="1997-05-21T00:00:00"/>
  </r>
  <r>
    <n v="10544"/>
    <x v="2"/>
    <n v="319.2"/>
    <n v="7"/>
    <d v="1997-05-21T00:00:00"/>
  </r>
  <r>
    <n v="10544"/>
    <x v="3"/>
    <n v="319.2"/>
    <n v="7"/>
    <d v="1997-05-21T00:00:00"/>
  </r>
  <r>
    <n v="10544"/>
    <x v="4"/>
    <n v="319.2"/>
    <n v="7"/>
    <d v="1997-05-21T00:00:00"/>
  </r>
  <r>
    <n v="10544"/>
    <x v="5"/>
    <n v="319.2"/>
    <n v="7"/>
    <d v="1997-05-21T00:00:00"/>
  </r>
  <r>
    <n v="10544"/>
    <x v="6"/>
    <n v="319.2"/>
    <n v="7"/>
    <d v="1997-05-21T00:00:00"/>
  </r>
  <r>
    <n v="10544"/>
    <x v="7"/>
    <n v="319.2"/>
    <n v="7"/>
    <d v="1997-05-21T00:00:00"/>
  </r>
  <r>
    <n v="10544"/>
    <x v="0"/>
    <n v="98"/>
    <n v="7"/>
    <d v="1997-05-21T00:00:00"/>
  </r>
  <r>
    <n v="10544"/>
    <x v="1"/>
    <n v="98"/>
    <n v="7"/>
    <d v="1997-05-21T00:00:00"/>
  </r>
  <r>
    <n v="10544"/>
    <x v="2"/>
    <n v="98"/>
    <n v="7"/>
    <d v="1997-05-21T00:00:00"/>
  </r>
  <r>
    <n v="10544"/>
    <x v="3"/>
    <n v="98"/>
    <n v="7"/>
    <d v="1997-05-21T00:00:00"/>
  </r>
  <r>
    <n v="10544"/>
    <x v="4"/>
    <n v="98"/>
    <n v="7"/>
    <d v="1997-05-21T00:00:00"/>
  </r>
  <r>
    <n v="10544"/>
    <x v="5"/>
    <n v="98"/>
    <n v="7"/>
    <d v="1997-05-21T00:00:00"/>
  </r>
  <r>
    <n v="10544"/>
    <x v="6"/>
    <n v="98"/>
    <n v="7"/>
    <d v="1997-05-21T00:00:00"/>
  </r>
  <r>
    <n v="10544"/>
    <x v="7"/>
    <n v="98"/>
    <n v="7"/>
    <d v="1997-05-21T00:00:00"/>
  </r>
  <r>
    <n v="10545"/>
    <x v="0"/>
    <n v="210"/>
    <n v="10"/>
    <d v="1997-05-22T00:00:00"/>
  </r>
  <r>
    <n v="10545"/>
    <x v="1"/>
    <n v="210"/>
    <n v="10"/>
    <d v="1997-05-22T00:00:00"/>
  </r>
  <r>
    <n v="10545"/>
    <x v="2"/>
    <n v="210"/>
    <n v="10"/>
    <d v="1997-05-22T00:00:00"/>
  </r>
  <r>
    <n v="10545"/>
    <x v="3"/>
    <n v="210"/>
    <n v="10"/>
    <d v="1997-05-22T00:00:00"/>
  </r>
  <r>
    <n v="10545"/>
    <x v="4"/>
    <n v="210"/>
    <n v="10"/>
    <d v="1997-05-22T00:00:00"/>
  </r>
  <r>
    <n v="10545"/>
    <x v="5"/>
    <n v="210"/>
    <n v="10"/>
    <d v="1997-05-22T00:00:00"/>
  </r>
  <r>
    <n v="10545"/>
    <x v="6"/>
    <n v="210"/>
    <n v="10"/>
    <d v="1997-05-22T00:00:00"/>
  </r>
  <r>
    <n v="10545"/>
    <x v="7"/>
    <n v="210"/>
    <n v="10"/>
    <d v="1997-05-22T00:00:00"/>
  </r>
  <r>
    <n v="10546"/>
    <x v="0"/>
    <n v="300"/>
    <n v="10"/>
    <d v="1997-05-23T00:00:00"/>
  </r>
  <r>
    <n v="10546"/>
    <x v="1"/>
    <n v="300"/>
    <n v="10"/>
    <d v="1997-05-23T00:00:00"/>
  </r>
  <r>
    <n v="10546"/>
    <x v="2"/>
    <n v="300"/>
    <n v="10"/>
    <d v="1997-05-23T00:00:00"/>
  </r>
  <r>
    <n v="10546"/>
    <x v="3"/>
    <n v="300"/>
    <n v="10"/>
    <d v="1997-05-23T00:00:00"/>
  </r>
  <r>
    <n v="10546"/>
    <x v="4"/>
    <n v="300"/>
    <n v="10"/>
    <d v="1997-05-23T00:00:00"/>
  </r>
  <r>
    <n v="10546"/>
    <x v="5"/>
    <n v="300"/>
    <n v="10"/>
    <d v="1997-05-23T00:00:00"/>
  </r>
  <r>
    <n v="10546"/>
    <x v="6"/>
    <n v="300"/>
    <n v="10"/>
    <d v="1997-05-23T00:00:00"/>
  </r>
  <r>
    <n v="10546"/>
    <x v="7"/>
    <n v="300"/>
    <n v="10"/>
    <d v="1997-05-23T00:00:00"/>
  </r>
  <r>
    <n v="10546"/>
    <x v="0"/>
    <n v="540"/>
    <n v="30"/>
    <d v="1997-05-23T00:00:00"/>
  </r>
  <r>
    <n v="10546"/>
    <x v="1"/>
    <n v="540"/>
    <n v="30"/>
    <d v="1997-05-23T00:00:00"/>
  </r>
  <r>
    <n v="10546"/>
    <x v="2"/>
    <n v="540"/>
    <n v="30"/>
    <d v="1997-05-23T00:00:00"/>
  </r>
  <r>
    <n v="10546"/>
    <x v="3"/>
    <n v="540"/>
    <n v="30"/>
    <d v="1997-05-23T00:00:00"/>
  </r>
  <r>
    <n v="10546"/>
    <x v="4"/>
    <n v="540"/>
    <n v="30"/>
    <d v="1997-05-23T00:00:00"/>
  </r>
  <r>
    <n v="10546"/>
    <x v="5"/>
    <n v="540"/>
    <n v="30"/>
    <d v="1997-05-23T00:00:00"/>
  </r>
  <r>
    <n v="10546"/>
    <x v="6"/>
    <n v="540"/>
    <n v="30"/>
    <d v="1997-05-23T00:00:00"/>
  </r>
  <r>
    <n v="10546"/>
    <x v="7"/>
    <n v="540"/>
    <n v="30"/>
    <d v="1997-05-23T00:00:00"/>
  </r>
  <r>
    <n v="10546"/>
    <x v="0"/>
    <n v="1972"/>
    <n v="40"/>
    <d v="1997-05-23T00:00:00"/>
  </r>
  <r>
    <n v="10546"/>
    <x v="1"/>
    <n v="1972"/>
    <n v="40"/>
    <d v="1997-05-23T00:00:00"/>
  </r>
  <r>
    <n v="10546"/>
    <x v="2"/>
    <n v="1972"/>
    <n v="40"/>
    <d v="1997-05-23T00:00:00"/>
  </r>
  <r>
    <n v="10546"/>
    <x v="3"/>
    <n v="1972"/>
    <n v="40"/>
    <d v="1997-05-23T00:00:00"/>
  </r>
  <r>
    <n v="10546"/>
    <x v="4"/>
    <n v="1972"/>
    <n v="40"/>
    <d v="1997-05-23T00:00:00"/>
  </r>
  <r>
    <n v="10546"/>
    <x v="5"/>
    <n v="1972"/>
    <n v="40"/>
    <d v="1997-05-23T00:00:00"/>
  </r>
  <r>
    <n v="10546"/>
    <x v="6"/>
    <n v="1972"/>
    <n v="40"/>
    <d v="1997-05-23T00:00:00"/>
  </r>
  <r>
    <n v="10546"/>
    <x v="7"/>
    <n v="1972"/>
    <n v="40"/>
    <d v="1997-05-23T00:00:00"/>
  </r>
  <r>
    <n v="10547"/>
    <x v="0"/>
    <n v="652.79999542236328"/>
    <n v="24"/>
    <d v="1997-05-23T00:00:00"/>
  </r>
  <r>
    <n v="10547"/>
    <x v="1"/>
    <n v="652.79999542236328"/>
    <n v="24"/>
    <d v="1997-05-23T00:00:00"/>
  </r>
  <r>
    <n v="10547"/>
    <x v="2"/>
    <n v="652.79999542236328"/>
    <n v="24"/>
    <d v="1997-05-23T00:00:00"/>
  </r>
  <r>
    <n v="10547"/>
    <x v="3"/>
    <n v="652.79999542236328"/>
    <n v="24"/>
    <d v="1997-05-23T00:00:00"/>
  </r>
  <r>
    <n v="10547"/>
    <x v="4"/>
    <n v="652.79999542236328"/>
    <n v="24"/>
    <d v="1997-05-23T00:00:00"/>
  </r>
  <r>
    <n v="10547"/>
    <x v="5"/>
    <n v="652.79999542236328"/>
    <n v="24"/>
    <d v="1997-05-23T00:00:00"/>
  </r>
  <r>
    <n v="10547"/>
    <x v="6"/>
    <n v="652.79999542236328"/>
    <n v="24"/>
    <d v="1997-05-23T00:00:00"/>
  </r>
  <r>
    <n v="10547"/>
    <x v="7"/>
    <n v="652.79999542236328"/>
    <n v="24"/>
    <d v="1997-05-23T00:00:00"/>
  </r>
  <r>
    <n v="10547"/>
    <x v="0"/>
    <n v="1140"/>
    <n v="60"/>
    <d v="1997-05-23T00:00:00"/>
  </r>
  <r>
    <n v="10547"/>
    <x v="1"/>
    <n v="1140"/>
    <n v="60"/>
    <d v="1997-05-23T00:00:00"/>
  </r>
  <r>
    <n v="10547"/>
    <x v="2"/>
    <n v="1140"/>
    <n v="60"/>
    <d v="1997-05-23T00:00:00"/>
  </r>
  <r>
    <n v="10547"/>
    <x v="3"/>
    <n v="1140"/>
    <n v="60"/>
    <d v="1997-05-23T00:00:00"/>
  </r>
  <r>
    <n v="10547"/>
    <x v="4"/>
    <n v="1140"/>
    <n v="60"/>
    <d v="1997-05-23T00:00:00"/>
  </r>
  <r>
    <n v="10547"/>
    <x v="5"/>
    <n v="1140"/>
    <n v="60"/>
    <d v="1997-05-23T00:00:00"/>
  </r>
  <r>
    <n v="10547"/>
    <x v="6"/>
    <n v="1140"/>
    <n v="60"/>
    <d v="1997-05-23T00:00:00"/>
  </r>
  <r>
    <n v="10547"/>
    <x v="7"/>
    <n v="1140"/>
    <n v="60"/>
    <d v="1997-05-23T00:00:00"/>
  </r>
  <r>
    <n v="10548"/>
    <x v="0"/>
    <n v="105"/>
    <n v="10"/>
    <d v="1997-05-26T00:00:00"/>
  </r>
  <r>
    <n v="10548"/>
    <x v="1"/>
    <n v="105"/>
    <n v="10"/>
    <d v="1997-05-26T00:00:00"/>
  </r>
  <r>
    <n v="10548"/>
    <x v="2"/>
    <n v="105"/>
    <n v="10"/>
    <d v="1997-05-26T00:00:00"/>
  </r>
  <r>
    <n v="10548"/>
    <x v="3"/>
    <n v="105"/>
    <n v="10"/>
    <d v="1997-05-26T00:00:00"/>
  </r>
  <r>
    <n v="10548"/>
    <x v="4"/>
    <n v="105"/>
    <n v="10"/>
    <d v="1997-05-26T00:00:00"/>
  </r>
  <r>
    <n v="10548"/>
    <x v="5"/>
    <n v="105"/>
    <n v="10"/>
    <d v="1997-05-26T00:00:00"/>
  </r>
  <r>
    <n v="10548"/>
    <x v="6"/>
    <n v="105"/>
    <n v="10"/>
    <d v="1997-05-26T00:00:00"/>
  </r>
  <r>
    <n v="10548"/>
    <x v="7"/>
    <n v="105"/>
    <n v="10"/>
    <d v="1997-05-26T00:00:00"/>
  </r>
  <r>
    <n v="10548"/>
    <x v="0"/>
    <n v="135.1"/>
    <n v="14"/>
    <d v="1997-05-26T00:00:00"/>
  </r>
  <r>
    <n v="10548"/>
    <x v="1"/>
    <n v="135.1"/>
    <n v="14"/>
    <d v="1997-05-26T00:00:00"/>
  </r>
  <r>
    <n v="10548"/>
    <x v="2"/>
    <n v="135.1"/>
    <n v="14"/>
    <d v="1997-05-26T00:00:00"/>
  </r>
  <r>
    <n v="10548"/>
    <x v="3"/>
    <n v="135.1"/>
    <n v="14"/>
    <d v="1997-05-26T00:00:00"/>
  </r>
  <r>
    <n v="10548"/>
    <x v="4"/>
    <n v="135.1"/>
    <n v="14"/>
    <d v="1997-05-26T00:00:00"/>
  </r>
  <r>
    <n v="10548"/>
    <x v="5"/>
    <n v="135.1"/>
    <n v="14"/>
    <d v="1997-05-26T00:00:00"/>
  </r>
  <r>
    <n v="10548"/>
    <x v="6"/>
    <n v="135.1"/>
    <n v="14"/>
    <d v="1997-05-26T00:00:00"/>
  </r>
  <r>
    <n v="10548"/>
    <x v="7"/>
    <n v="135.1"/>
    <n v="14"/>
    <d v="1997-05-26T00:00:00"/>
  </r>
  <r>
    <n v="10549"/>
    <x v="0"/>
    <n v="584.37499590218067"/>
    <n v="55"/>
    <d v="1997-05-27T00:00:00"/>
  </r>
  <r>
    <n v="10549"/>
    <x v="1"/>
    <n v="584.37499590218067"/>
    <n v="55"/>
    <d v="1997-05-27T00:00:00"/>
  </r>
  <r>
    <n v="10549"/>
    <x v="2"/>
    <n v="584.37499590218067"/>
    <n v="55"/>
    <d v="1997-05-27T00:00:00"/>
  </r>
  <r>
    <n v="10549"/>
    <x v="3"/>
    <n v="584.37499590218067"/>
    <n v="55"/>
    <d v="1997-05-27T00:00:00"/>
  </r>
  <r>
    <n v="10549"/>
    <x v="4"/>
    <n v="584.37499590218067"/>
    <n v="55"/>
    <d v="1997-05-27T00:00:00"/>
  </r>
  <r>
    <n v="10549"/>
    <x v="5"/>
    <n v="584.37499590218067"/>
    <n v="55"/>
    <d v="1997-05-27T00:00:00"/>
  </r>
  <r>
    <n v="10549"/>
    <x v="6"/>
    <n v="584.37499590218067"/>
    <n v="55"/>
    <d v="1997-05-27T00:00:00"/>
  </r>
  <r>
    <n v="10549"/>
    <x v="7"/>
    <n v="584.37499590218067"/>
    <n v="55"/>
    <d v="1997-05-27T00:00:00"/>
  </r>
  <r>
    <n v="10549"/>
    <x v="0"/>
    <n v="807.49999433755875"/>
    <n v="100"/>
    <d v="1997-05-27T00:00:00"/>
  </r>
  <r>
    <n v="10549"/>
    <x v="1"/>
    <n v="807.49999433755875"/>
    <n v="100"/>
    <d v="1997-05-27T00:00:00"/>
  </r>
  <r>
    <n v="10549"/>
    <x v="2"/>
    <n v="807.49999433755875"/>
    <n v="100"/>
    <d v="1997-05-27T00:00:00"/>
  </r>
  <r>
    <n v="10549"/>
    <x v="3"/>
    <n v="807.49999433755875"/>
    <n v="100"/>
    <d v="1997-05-27T00:00:00"/>
  </r>
  <r>
    <n v="10549"/>
    <x v="4"/>
    <n v="807.49999433755875"/>
    <n v="100"/>
    <d v="1997-05-27T00:00:00"/>
  </r>
  <r>
    <n v="10549"/>
    <x v="5"/>
    <n v="807.49999433755875"/>
    <n v="100"/>
    <d v="1997-05-27T00:00:00"/>
  </r>
  <r>
    <n v="10549"/>
    <x v="6"/>
    <n v="807.49999433755875"/>
    <n v="100"/>
    <d v="1997-05-27T00:00:00"/>
  </r>
  <r>
    <n v="10549"/>
    <x v="7"/>
    <n v="807.49999433755875"/>
    <n v="100"/>
    <d v="1997-05-27T00:00:00"/>
  </r>
  <r>
    <n v="10549"/>
    <x v="0"/>
    <n v="2162.3999848365784"/>
    <n v="48"/>
    <d v="1997-05-27T00:00:00"/>
  </r>
  <r>
    <n v="10549"/>
    <x v="1"/>
    <n v="2162.3999848365784"/>
    <n v="48"/>
    <d v="1997-05-27T00:00:00"/>
  </r>
  <r>
    <n v="10549"/>
    <x v="2"/>
    <n v="2162.3999848365784"/>
    <n v="48"/>
    <d v="1997-05-27T00:00:00"/>
  </r>
  <r>
    <n v="10549"/>
    <x v="3"/>
    <n v="2162.3999848365784"/>
    <n v="48"/>
    <d v="1997-05-27T00:00:00"/>
  </r>
  <r>
    <n v="10549"/>
    <x v="4"/>
    <n v="2162.3999848365784"/>
    <n v="48"/>
    <d v="1997-05-27T00:00:00"/>
  </r>
  <r>
    <n v="10549"/>
    <x v="5"/>
    <n v="2162.3999848365784"/>
    <n v="48"/>
    <d v="1997-05-27T00:00:00"/>
  </r>
  <r>
    <n v="10549"/>
    <x v="6"/>
    <n v="2162.3999848365784"/>
    <n v="48"/>
    <d v="1997-05-27T00:00:00"/>
  </r>
  <r>
    <n v="10549"/>
    <x v="7"/>
    <n v="2162.3999848365784"/>
    <n v="48"/>
    <d v="1997-05-27T00:00:00"/>
  </r>
  <r>
    <n v="10550"/>
    <x v="0"/>
    <n v="280.79999953508377"/>
    <n v="8"/>
    <d v="1997-05-28T00:00:00"/>
  </r>
  <r>
    <n v="10550"/>
    <x v="1"/>
    <n v="280.79999953508377"/>
    <n v="8"/>
    <d v="1997-05-28T00:00:00"/>
  </r>
  <r>
    <n v="10550"/>
    <x v="2"/>
    <n v="280.79999953508377"/>
    <n v="8"/>
    <d v="1997-05-28T00:00:00"/>
  </r>
  <r>
    <n v="10550"/>
    <x v="3"/>
    <n v="280.79999953508377"/>
    <n v="8"/>
    <d v="1997-05-28T00:00:00"/>
  </r>
  <r>
    <n v="10550"/>
    <x v="4"/>
    <n v="280.79999953508377"/>
    <n v="8"/>
    <d v="1997-05-28T00:00:00"/>
  </r>
  <r>
    <n v="10550"/>
    <x v="5"/>
    <n v="280.79999953508377"/>
    <n v="8"/>
    <d v="1997-05-28T00:00:00"/>
  </r>
  <r>
    <n v="10550"/>
    <x v="6"/>
    <n v="280.79999953508377"/>
    <n v="8"/>
    <d v="1997-05-28T00:00:00"/>
  </r>
  <r>
    <n v="10550"/>
    <x v="7"/>
    <n v="280.79999953508377"/>
    <n v="8"/>
    <d v="1997-05-28T00:00:00"/>
  </r>
  <r>
    <n v="10550"/>
    <x v="0"/>
    <n v="92"/>
    <n v="10"/>
    <d v="1997-05-28T00:00:00"/>
  </r>
  <r>
    <n v="10550"/>
    <x v="1"/>
    <n v="92"/>
    <n v="10"/>
    <d v="1997-05-28T00:00:00"/>
  </r>
  <r>
    <n v="10550"/>
    <x v="2"/>
    <n v="92"/>
    <n v="10"/>
    <d v="1997-05-28T00:00:00"/>
  </r>
  <r>
    <n v="10550"/>
    <x v="3"/>
    <n v="92"/>
    <n v="10"/>
    <d v="1997-05-28T00:00:00"/>
  </r>
  <r>
    <n v="10550"/>
    <x v="4"/>
    <n v="92"/>
    <n v="10"/>
    <d v="1997-05-28T00:00:00"/>
  </r>
  <r>
    <n v="10550"/>
    <x v="5"/>
    <n v="92"/>
    <n v="10"/>
    <d v="1997-05-28T00:00:00"/>
  </r>
  <r>
    <n v="10550"/>
    <x v="6"/>
    <n v="92"/>
    <n v="10"/>
    <d v="1997-05-28T00:00:00"/>
  </r>
  <r>
    <n v="10550"/>
    <x v="7"/>
    <n v="92"/>
    <n v="10"/>
    <d v="1997-05-28T00:00:00"/>
  </r>
  <r>
    <n v="10550"/>
    <x v="0"/>
    <n v="53.999999910593033"/>
    <n v="6"/>
    <d v="1997-05-28T00:00:00"/>
  </r>
  <r>
    <n v="10550"/>
    <x v="1"/>
    <n v="53.999999910593033"/>
    <n v="6"/>
    <d v="1997-05-28T00:00:00"/>
  </r>
  <r>
    <n v="10550"/>
    <x v="2"/>
    <n v="53.999999910593033"/>
    <n v="6"/>
    <d v="1997-05-28T00:00:00"/>
  </r>
  <r>
    <n v="10550"/>
    <x v="3"/>
    <n v="53.999999910593033"/>
    <n v="6"/>
    <d v="1997-05-28T00:00:00"/>
  </r>
  <r>
    <n v="10550"/>
    <x v="4"/>
    <n v="53.999999910593033"/>
    <n v="6"/>
    <d v="1997-05-28T00:00:00"/>
  </r>
  <r>
    <n v="10550"/>
    <x v="5"/>
    <n v="53.999999910593033"/>
    <n v="6"/>
    <d v="1997-05-28T00:00:00"/>
  </r>
  <r>
    <n v="10550"/>
    <x v="6"/>
    <n v="53.999999910593033"/>
    <n v="6"/>
    <d v="1997-05-28T00:00:00"/>
  </r>
  <r>
    <n v="10550"/>
    <x v="7"/>
    <n v="53.999999910593033"/>
    <n v="6"/>
    <d v="1997-05-28T00:00:00"/>
  </r>
  <r>
    <n v="10550"/>
    <x v="0"/>
    <n v="256.49999957531691"/>
    <n v="10"/>
    <d v="1997-05-28T00:00:00"/>
  </r>
  <r>
    <n v="10550"/>
    <x v="1"/>
    <n v="256.49999957531691"/>
    <n v="10"/>
    <d v="1997-05-28T00:00:00"/>
  </r>
  <r>
    <n v="10550"/>
    <x v="2"/>
    <n v="256.49999957531691"/>
    <n v="10"/>
    <d v="1997-05-28T00:00:00"/>
  </r>
  <r>
    <n v="10550"/>
    <x v="3"/>
    <n v="256.49999957531691"/>
    <n v="10"/>
    <d v="1997-05-28T00:00:00"/>
  </r>
  <r>
    <n v="10550"/>
    <x v="4"/>
    <n v="256.49999957531691"/>
    <n v="10"/>
    <d v="1997-05-28T00:00:00"/>
  </r>
  <r>
    <n v="10550"/>
    <x v="5"/>
    <n v="256.49999957531691"/>
    <n v="10"/>
    <d v="1997-05-28T00:00:00"/>
  </r>
  <r>
    <n v="10550"/>
    <x v="6"/>
    <n v="256.49999957531691"/>
    <n v="10"/>
    <d v="1997-05-28T00:00:00"/>
  </r>
  <r>
    <n v="10550"/>
    <x v="7"/>
    <n v="256.49999957531691"/>
    <n v="10"/>
    <d v="1997-05-28T00:00:00"/>
  </r>
  <r>
    <n v="10551"/>
    <x v="0"/>
    <n v="593.29999583959579"/>
    <n v="40"/>
    <d v="1997-05-28T00:00:00"/>
  </r>
  <r>
    <n v="10551"/>
    <x v="1"/>
    <n v="593.29999583959579"/>
    <n v="40"/>
    <d v="1997-05-28T00:00:00"/>
  </r>
  <r>
    <n v="10551"/>
    <x v="2"/>
    <n v="593.29999583959579"/>
    <n v="40"/>
    <d v="1997-05-28T00:00:00"/>
  </r>
  <r>
    <n v="10551"/>
    <x v="3"/>
    <n v="593.29999583959579"/>
    <n v="40"/>
    <d v="1997-05-28T00:00:00"/>
  </r>
  <r>
    <n v="10551"/>
    <x v="4"/>
    <n v="593.29999583959579"/>
    <n v="40"/>
    <d v="1997-05-28T00:00:00"/>
  </r>
  <r>
    <n v="10551"/>
    <x v="5"/>
    <n v="593.29999583959579"/>
    <n v="40"/>
    <d v="1997-05-28T00:00:00"/>
  </r>
  <r>
    <n v="10551"/>
    <x v="6"/>
    <n v="593.29999583959579"/>
    <n v="40"/>
    <d v="1997-05-28T00:00:00"/>
  </r>
  <r>
    <n v="10551"/>
    <x v="7"/>
    <n v="593.29999583959579"/>
    <n v="40"/>
    <d v="1997-05-28T00:00:00"/>
  </r>
  <r>
    <n v="10551"/>
    <x v="0"/>
    <n v="305.99999785423279"/>
    <n v="20"/>
    <d v="1997-05-28T00:00:00"/>
  </r>
  <r>
    <n v="10551"/>
    <x v="1"/>
    <n v="305.99999785423279"/>
    <n v="20"/>
    <d v="1997-05-28T00:00:00"/>
  </r>
  <r>
    <n v="10551"/>
    <x v="2"/>
    <n v="305.99999785423279"/>
    <n v="20"/>
    <d v="1997-05-28T00:00:00"/>
  </r>
  <r>
    <n v="10551"/>
    <x v="3"/>
    <n v="305.99999785423279"/>
    <n v="20"/>
    <d v="1997-05-28T00:00:00"/>
  </r>
  <r>
    <n v="10551"/>
    <x v="4"/>
    <n v="305.99999785423279"/>
    <n v="20"/>
    <d v="1997-05-28T00:00:00"/>
  </r>
  <r>
    <n v="10551"/>
    <x v="5"/>
    <n v="305.99999785423279"/>
    <n v="20"/>
    <d v="1997-05-28T00:00:00"/>
  </r>
  <r>
    <n v="10551"/>
    <x v="6"/>
    <n v="305.99999785423279"/>
    <n v="20"/>
    <d v="1997-05-28T00:00:00"/>
  </r>
  <r>
    <n v="10551"/>
    <x v="7"/>
    <n v="305.99999785423279"/>
    <n v="20"/>
    <d v="1997-05-28T00:00:00"/>
  </r>
  <r>
    <n v="10551"/>
    <x v="0"/>
    <n v="778"/>
    <n v="40"/>
    <d v="1997-05-28T00:00:00"/>
  </r>
  <r>
    <n v="10551"/>
    <x v="1"/>
    <n v="778"/>
    <n v="40"/>
    <d v="1997-05-28T00:00:00"/>
  </r>
  <r>
    <n v="10551"/>
    <x v="2"/>
    <n v="778"/>
    <n v="40"/>
    <d v="1997-05-28T00:00:00"/>
  </r>
  <r>
    <n v="10551"/>
    <x v="3"/>
    <n v="778"/>
    <n v="40"/>
    <d v="1997-05-28T00:00:00"/>
  </r>
  <r>
    <n v="10551"/>
    <x v="4"/>
    <n v="778"/>
    <n v="40"/>
    <d v="1997-05-28T00:00:00"/>
  </r>
  <r>
    <n v="10551"/>
    <x v="5"/>
    <n v="778"/>
    <n v="40"/>
    <d v="1997-05-28T00:00:00"/>
  </r>
  <r>
    <n v="10551"/>
    <x v="6"/>
    <n v="778"/>
    <n v="40"/>
    <d v="1997-05-28T00:00:00"/>
  </r>
  <r>
    <n v="10551"/>
    <x v="7"/>
    <n v="778"/>
    <n v="40"/>
    <d v="1997-05-28T00:00:00"/>
  </r>
  <r>
    <n v="10552"/>
    <x v="0"/>
    <n v="648"/>
    <n v="18"/>
    <d v="1997-05-29T00:00:00"/>
  </r>
  <r>
    <n v="10552"/>
    <x v="1"/>
    <n v="648"/>
    <n v="18"/>
    <d v="1997-05-29T00:00:00"/>
  </r>
  <r>
    <n v="10552"/>
    <x v="2"/>
    <n v="648"/>
    <n v="18"/>
    <d v="1997-05-29T00:00:00"/>
  </r>
  <r>
    <n v="10552"/>
    <x v="3"/>
    <n v="648"/>
    <n v="18"/>
    <d v="1997-05-29T00:00:00"/>
  </r>
  <r>
    <n v="10552"/>
    <x v="4"/>
    <n v="648"/>
    <n v="18"/>
    <d v="1997-05-29T00:00:00"/>
  </r>
  <r>
    <n v="10552"/>
    <x v="5"/>
    <n v="648"/>
    <n v="18"/>
    <d v="1997-05-29T00:00:00"/>
  </r>
  <r>
    <n v="10552"/>
    <x v="6"/>
    <n v="648"/>
    <n v="18"/>
    <d v="1997-05-29T00:00:00"/>
  </r>
  <r>
    <n v="10552"/>
    <x v="7"/>
    <n v="648"/>
    <n v="18"/>
    <d v="1997-05-29T00:00:00"/>
  </r>
  <r>
    <n v="10552"/>
    <x v="0"/>
    <n v="232.5"/>
    <n v="30"/>
    <d v="1997-05-29T00:00:00"/>
  </r>
  <r>
    <n v="10552"/>
    <x v="1"/>
    <n v="232.5"/>
    <n v="30"/>
    <d v="1997-05-29T00:00:00"/>
  </r>
  <r>
    <n v="10552"/>
    <x v="2"/>
    <n v="232.5"/>
    <n v="30"/>
    <d v="1997-05-29T00:00:00"/>
  </r>
  <r>
    <n v="10552"/>
    <x v="3"/>
    <n v="232.5"/>
    <n v="30"/>
    <d v="1997-05-29T00:00:00"/>
  </r>
  <r>
    <n v="10552"/>
    <x v="4"/>
    <n v="232.5"/>
    <n v="30"/>
    <d v="1997-05-29T00:00:00"/>
  </r>
  <r>
    <n v="10552"/>
    <x v="5"/>
    <n v="232.5"/>
    <n v="30"/>
    <d v="1997-05-29T00:00:00"/>
  </r>
  <r>
    <n v="10552"/>
    <x v="6"/>
    <n v="232.5"/>
    <n v="30"/>
    <d v="1997-05-29T00:00:00"/>
  </r>
  <r>
    <n v="10552"/>
    <x v="7"/>
    <n v="232.5"/>
    <n v="30"/>
    <d v="1997-05-29T00:00:00"/>
  </r>
  <r>
    <n v="10553"/>
    <x v="0"/>
    <n v="315"/>
    <n v="15"/>
    <d v="1997-05-30T00:00:00"/>
  </r>
  <r>
    <n v="10553"/>
    <x v="1"/>
    <n v="315"/>
    <n v="15"/>
    <d v="1997-05-30T00:00:00"/>
  </r>
  <r>
    <n v="10553"/>
    <x v="2"/>
    <n v="315"/>
    <n v="15"/>
    <d v="1997-05-30T00:00:00"/>
  </r>
  <r>
    <n v="10553"/>
    <x v="3"/>
    <n v="315"/>
    <n v="15"/>
    <d v="1997-05-30T00:00:00"/>
  </r>
  <r>
    <n v="10553"/>
    <x v="4"/>
    <n v="315"/>
    <n v="15"/>
    <d v="1997-05-30T00:00:00"/>
  </r>
  <r>
    <n v="10553"/>
    <x v="5"/>
    <n v="315"/>
    <n v="15"/>
    <d v="1997-05-30T00:00:00"/>
  </r>
  <r>
    <n v="10553"/>
    <x v="6"/>
    <n v="315"/>
    <n v="15"/>
    <d v="1997-05-30T00:00:00"/>
  </r>
  <r>
    <n v="10553"/>
    <x v="7"/>
    <n v="315"/>
    <n v="15"/>
    <d v="1997-05-30T00:00:00"/>
  </r>
  <r>
    <n v="10553"/>
    <x v="0"/>
    <n v="244.3"/>
    <n v="14"/>
    <d v="1997-05-30T00:00:00"/>
  </r>
  <r>
    <n v="10553"/>
    <x v="1"/>
    <n v="244.3"/>
    <n v="14"/>
    <d v="1997-05-30T00:00:00"/>
  </r>
  <r>
    <n v="10553"/>
    <x v="2"/>
    <n v="244.3"/>
    <n v="14"/>
    <d v="1997-05-30T00:00:00"/>
  </r>
  <r>
    <n v="10553"/>
    <x v="3"/>
    <n v="244.3"/>
    <n v="14"/>
    <d v="1997-05-30T00:00:00"/>
  </r>
  <r>
    <n v="10553"/>
    <x v="4"/>
    <n v="244.3"/>
    <n v="14"/>
    <d v="1997-05-30T00:00:00"/>
  </r>
  <r>
    <n v="10553"/>
    <x v="5"/>
    <n v="244.3"/>
    <n v="14"/>
    <d v="1997-05-30T00:00:00"/>
  </r>
  <r>
    <n v="10553"/>
    <x v="6"/>
    <n v="244.3"/>
    <n v="14"/>
    <d v="1997-05-30T00:00:00"/>
  </r>
  <r>
    <n v="10553"/>
    <x v="7"/>
    <n v="244.3"/>
    <n v="14"/>
    <d v="1997-05-30T00:00:00"/>
  </r>
  <r>
    <n v="10553"/>
    <x v="0"/>
    <n v="504"/>
    <n v="24"/>
    <d v="1997-05-30T00:00:00"/>
  </r>
  <r>
    <n v="10553"/>
    <x v="1"/>
    <n v="504"/>
    <n v="24"/>
    <d v="1997-05-30T00:00:00"/>
  </r>
  <r>
    <n v="10553"/>
    <x v="2"/>
    <n v="504"/>
    <n v="24"/>
    <d v="1997-05-30T00:00:00"/>
  </r>
  <r>
    <n v="10553"/>
    <x v="3"/>
    <n v="504"/>
    <n v="24"/>
    <d v="1997-05-30T00:00:00"/>
  </r>
  <r>
    <n v="10553"/>
    <x v="4"/>
    <n v="504"/>
    <n v="24"/>
    <d v="1997-05-30T00:00:00"/>
  </r>
  <r>
    <n v="10553"/>
    <x v="5"/>
    <n v="504"/>
    <n v="24"/>
    <d v="1997-05-30T00:00:00"/>
  </r>
  <r>
    <n v="10553"/>
    <x v="6"/>
    <n v="504"/>
    <n v="24"/>
    <d v="1997-05-30T00:00:00"/>
  </r>
  <r>
    <n v="10553"/>
    <x v="7"/>
    <n v="504"/>
    <n v="24"/>
    <d v="1997-05-30T00:00:00"/>
  </r>
  <r>
    <n v="10553"/>
    <x v="0"/>
    <n v="375"/>
    <n v="30"/>
    <d v="1997-05-30T00:00:00"/>
  </r>
  <r>
    <n v="10553"/>
    <x v="1"/>
    <n v="375"/>
    <n v="30"/>
    <d v="1997-05-30T00:00:00"/>
  </r>
  <r>
    <n v="10553"/>
    <x v="2"/>
    <n v="375"/>
    <n v="30"/>
    <d v="1997-05-30T00:00:00"/>
  </r>
  <r>
    <n v="10553"/>
    <x v="3"/>
    <n v="375"/>
    <n v="30"/>
    <d v="1997-05-30T00:00:00"/>
  </r>
  <r>
    <n v="10553"/>
    <x v="4"/>
    <n v="375"/>
    <n v="30"/>
    <d v="1997-05-30T00:00:00"/>
  </r>
  <r>
    <n v="10553"/>
    <x v="5"/>
    <n v="375"/>
    <n v="30"/>
    <d v="1997-05-30T00:00:00"/>
  </r>
  <r>
    <n v="10553"/>
    <x v="6"/>
    <n v="375"/>
    <n v="30"/>
    <d v="1997-05-30T00:00:00"/>
  </r>
  <r>
    <n v="10553"/>
    <x v="7"/>
    <n v="375"/>
    <n v="30"/>
    <d v="1997-05-30T00:00:00"/>
  </r>
  <r>
    <n v="10553"/>
    <x v="0"/>
    <n v="108"/>
    <n v="6"/>
    <d v="1997-05-30T00:00:00"/>
  </r>
  <r>
    <n v="10553"/>
    <x v="1"/>
    <n v="108"/>
    <n v="6"/>
    <d v="1997-05-30T00:00:00"/>
  </r>
  <r>
    <n v="10553"/>
    <x v="2"/>
    <n v="108"/>
    <n v="6"/>
    <d v="1997-05-30T00:00:00"/>
  </r>
  <r>
    <n v="10553"/>
    <x v="3"/>
    <n v="108"/>
    <n v="6"/>
    <d v="1997-05-30T00:00:00"/>
  </r>
  <r>
    <n v="10553"/>
    <x v="4"/>
    <n v="108"/>
    <n v="6"/>
    <d v="1997-05-30T00:00:00"/>
  </r>
  <r>
    <n v="10553"/>
    <x v="5"/>
    <n v="108"/>
    <n v="6"/>
    <d v="1997-05-30T00:00:00"/>
  </r>
  <r>
    <n v="10553"/>
    <x v="6"/>
    <n v="108"/>
    <n v="6"/>
    <d v="1997-05-30T00:00:00"/>
  </r>
  <r>
    <n v="10553"/>
    <x v="7"/>
    <n v="108"/>
    <n v="6"/>
    <d v="1997-05-30T00:00:00"/>
  </r>
  <r>
    <n v="10554"/>
    <x v="0"/>
    <n v="497.32499960996211"/>
    <n v="30"/>
    <d v="1997-05-30T00:00:00"/>
  </r>
  <r>
    <n v="10554"/>
    <x v="1"/>
    <n v="497.32499960996211"/>
    <n v="30"/>
    <d v="1997-05-30T00:00:00"/>
  </r>
  <r>
    <n v="10554"/>
    <x v="2"/>
    <n v="497.32499960996211"/>
    <n v="30"/>
    <d v="1997-05-30T00:00:00"/>
  </r>
  <r>
    <n v="10554"/>
    <x v="3"/>
    <n v="497.32499960996211"/>
    <n v="30"/>
    <d v="1997-05-30T00:00:00"/>
  </r>
  <r>
    <n v="10554"/>
    <x v="4"/>
    <n v="497.32499960996211"/>
    <n v="30"/>
    <d v="1997-05-30T00:00:00"/>
  </r>
  <r>
    <n v="10554"/>
    <x v="5"/>
    <n v="497.32499960996211"/>
    <n v="30"/>
    <d v="1997-05-30T00:00:00"/>
  </r>
  <r>
    <n v="10554"/>
    <x v="6"/>
    <n v="497.32499960996211"/>
    <n v="30"/>
    <d v="1997-05-30T00:00:00"/>
  </r>
  <r>
    <n v="10554"/>
    <x v="7"/>
    <n v="497.32499960996211"/>
    <n v="30"/>
    <d v="1997-05-30T00:00:00"/>
  </r>
  <r>
    <n v="10554"/>
    <x v="0"/>
    <n v="170.99999986588955"/>
    <n v="20"/>
    <d v="1997-05-30T00:00:00"/>
  </r>
  <r>
    <n v="10554"/>
    <x v="1"/>
    <n v="170.99999986588955"/>
    <n v="20"/>
    <d v="1997-05-30T00:00:00"/>
  </r>
  <r>
    <n v="10554"/>
    <x v="2"/>
    <n v="170.99999986588955"/>
    <n v="20"/>
    <d v="1997-05-30T00:00:00"/>
  </r>
  <r>
    <n v="10554"/>
    <x v="3"/>
    <n v="170.99999986588955"/>
    <n v="20"/>
    <d v="1997-05-30T00:00:00"/>
  </r>
  <r>
    <n v="10554"/>
    <x v="4"/>
    <n v="170.99999986588955"/>
    <n v="20"/>
    <d v="1997-05-30T00:00:00"/>
  </r>
  <r>
    <n v="10554"/>
    <x v="5"/>
    <n v="170.99999986588955"/>
    <n v="20"/>
    <d v="1997-05-30T00:00:00"/>
  </r>
  <r>
    <n v="10554"/>
    <x v="6"/>
    <n v="170.99999986588955"/>
    <n v="20"/>
    <d v="1997-05-30T00:00:00"/>
  </r>
  <r>
    <n v="10554"/>
    <x v="7"/>
    <n v="170.99999986588955"/>
    <n v="20"/>
    <d v="1997-05-30T00:00:00"/>
  </r>
  <r>
    <n v="10554"/>
    <x v="0"/>
    <n v="936.69999926537275"/>
    <n v="20"/>
    <d v="1997-05-30T00:00:00"/>
  </r>
  <r>
    <n v="10554"/>
    <x v="1"/>
    <n v="936.69999926537275"/>
    <n v="20"/>
    <d v="1997-05-30T00:00:00"/>
  </r>
  <r>
    <n v="10554"/>
    <x v="2"/>
    <n v="936.69999926537275"/>
    <n v="20"/>
    <d v="1997-05-30T00:00:00"/>
  </r>
  <r>
    <n v="10554"/>
    <x v="3"/>
    <n v="936.69999926537275"/>
    <n v="20"/>
    <d v="1997-05-30T00:00:00"/>
  </r>
  <r>
    <n v="10554"/>
    <x v="4"/>
    <n v="936.69999926537275"/>
    <n v="20"/>
    <d v="1997-05-30T00:00:00"/>
  </r>
  <r>
    <n v="10554"/>
    <x v="5"/>
    <n v="936.69999926537275"/>
    <n v="20"/>
    <d v="1997-05-30T00:00:00"/>
  </r>
  <r>
    <n v="10554"/>
    <x v="6"/>
    <n v="936.69999926537275"/>
    <n v="20"/>
    <d v="1997-05-30T00:00:00"/>
  </r>
  <r>
    <n v="10554"/>
    <x v="7"/>
    <n v="936.69999926537275"/>
    <n v="20"/>
    <d v="1997-05-30T00:00:00"/>
  </r>
  <r>
    <n v="10554"/>
    <x v="0"/>
    <n v="123.49999990314245"/>
    <n v="10"/>
    <d v="1997-05-30T00:00:00"/>
  </r>
  <r>
    <n v="10554"/>
    <x v="1"/>
    <n v="123.49999990314245"/>
    <n v="10"/>
    <d v="1997-05-30T00:00:00"/>
  </r>
  <r>
    <n v="10554"/>
    <x v="2"/>
    <n v="123.49999990314245"/>
    <n v="10"/>
    <d v="1997-05-30T00:00:00"/>
  </r>
  <r>
    <n v="10554"/>
    <x v="3"/>
    <n v="123.49999990314245"/>
    <n v="10"/>
    <d v="1997-05-30T00:00:00"/>
  </r>
  <r>
    <n v="10554"/>
    <x v="4"/>
    <n v="123.49999990314245"/>
    <n v="10"/>
    <d v="1997-05-30T00:00:00"/>
  </r>
  <r>
    <n v="10554"/>
    <x v="5"/>
    <n v="123.49999990314245"/>
    <n v="10"/>
    <d v="1997-05-30T00:00:00"/>
  </r>
  <r>
    <n v="10554"/>
    <x v="6"/>
    <n v="123.49999990314245"/>
    <n v="10"/>
    <d v="1997-05-30T00:00:00"/>
  </r>
  <r>
    <n v="10554"/>
    <x v="7"/>
    <n v="123.49999990314245"/>
    <n v="10"/>
    <d v="1997-05-30T00:00:00"/>
  </r>
  <r>
    <n v="10555"/>
    <x v="0"/>
    <n v="557.99999792128801"/>
    <n v="30"/>
    <d v="1997-06-02T00:00:00"/>
  </r>
  <r>
    <n v="10555"/>
    <x v="1"/>
    <n v="557.99999792128801"/>
    <n v="30"/>
    <d v="1997-06-02T00:00:00"/>
  </r>
  <r>
    <n v="10555"/>
    <x v="2"/>
    <n v="557.99999792128801"/>
    <n v="30"/>
    <d v="1997-06-02T00:00:00"/>
  </r>
  <r>
    <n v="10555"/>
    <x v="3"/>
    <n v="557.99999792128801"/>
    <n v="30"/>
    <d v="1997-06-02T00:00:00"/>
  </r>
  <r>
    <n v="10555"/>
    <x v="4"/>
    <n v="557.99999792128801"/>
    <n v="30"/>
    <d v="1997-06-02T00:00:00"/>
  </r>
  <r>
    <n v="10555"/>
    <x v="5"/>
    <n v="557.99999792128801"/>
    <n v="30"/>
    <d v="1997-06-02T00:00:00"/>
  </r>
  <r>
    <n v="10555"/>
    <x v="6"/>
    <n v="557.99999792128801"/>
    <n v="30"/>
    <d v="1997-06-02T00:00:00"/>
  </r>
  <r>
    <n v="10555"/>
    <x v="7"/>
    <n v="557.99999792128801"/>
    <n v="30"/>
    <d v="1997-06-02T00:00:00"/>
  </r>
  <r>
    <n v="10555"/>
    <x v="0"/>
    <n v="257.59999904036522"/>
    <n v="35"/>
    <d v="1997-06-02T00:00:00"/>
  </r>
  <r>
    <n v="10555"/>
    <x v="1"/>
    <n v="257.59999904036522"/>
    <n v="35"/>
    <d v="1997-06-02T00:00:00"/>
  </r>
  <r>
    <n v="10555"/>
    <x v="2"/>
    <n v="257.59999904036522"/>
    <n v="35"/>
    <d v="1997-06-02T00:00:00"/>
  </r>
  <r>
    <n v="10555"/>
    <x v="3"/>
    <n v="257.59999904036522"/>
    <n v="35"/>
    <d v="1997-06-02T00:00:00"/>
  </r>
  <r>
    <n v="10555"/>
    <x v="4"/>
    <n v="257.59999904036522"/>
    <n v="35"/>
    <d v="1997-06-02T00:00:00"/>
  </r>
  <r>
    <n v="10555"/>
    <x v="5"/>
    <n v="257.59999904036522"/>
    <n v="35"/>
    <d v="1997-06-02T00:00:00"/>
  </r>
  <r>
    <n v="10555"/>
    <x v="6"/>
    <n v="257.59999904036522"/>
    <n v="35"/>
    <d v="1997-06-02T00:00:00"/>
  </r>
  <r>
    <n v="10555"/>
    <x v="7"/>
    <n v="257.59999904036522"/>
    <n v="35"/>
    <d v="1997-06-02T00:00:00"/>
  </r>
  <r>
    <n v="10555"/>
    <x v="0"/>
    <n v="64.799999758601189"/>
    <n v="18"/>
    <d v="1997-06-02T00:00:00"/>
  </r>
  <r>
    <n v="10555"/>
    <x v="1"/>
    <n v="64.799999758601189"/>
    <n v="18"/>
    <d v="1997-06-02T00:00:00"/>
  </r>
  <r>
    <n v="10555"/>
    <x v="2"/>
    <n v="64.799999758601189"/>
    <n v="18"/>
    <d v="1997-06-02T00:00:00"/>
  </r>
  <r>
    <n v="10555"/>
    <x v="3"/>
    <n v="64.799999758601189"/>
    <n v="18"/>
    <d v="1997-06-02T00:00:00"/>
  </r>
  <r>
    <n v="10555"/>
    <x v="4"/>
    <n v="64.799999758601189"/>
    <n v="18"/>
    <d v="1997-06-02T00:00:00"/>
  </r>
  <r>
    <n v="10555"/>
    <x v="5"/>
    <n v="64.799999758601189"/>
    <n v="18"/>
    <d v="1997-06-02T00:00:00"/>
  </r>
  <r>
    <n v="10555"/>
    <x v="6"/>
    <n v="64.799999758601189"/>
    <n v="18"/>
    <d v="1997-06-02T00:00:00"/>
  </r>
  <r>
    <n v="10555"/>
    <x v="7"/>
    <n v="64.799999758601189"/>
    <n v="18"/>
    <d v="1997-06-02T00:00:00"/>
  </r>
  <r>
    <n v="10555"/>
    <x v="0"/>
    <n v="847.99999684095383"/>
    <n v="20"/>
    <d v="1997-06-02T00:00:00"/>
  </r>
  <r>
    <n v="10555"/>
    <x v="1"/>
    <n v="847.99999684095383"/>
    <n v="20"/>
    <d v="1997-06-02T00:00:00"/>
  </r>
  <r>
    <n v="10555"/>
    <x v="2"/>
    <n v="847.99999684095383"/>
    <n v="20"/>
    <d v="1997-06-02T00:00:00"/>
  </r>
  <r>
    <n v="10555"/>
    <x v="3"/>
    <n v="847.99999684095383"/>
    <n v="20"/>
    <d v="1997-06-02T00:00:00"/>
  </r>
  <r>
    <n v="10555"/>
    <x v="4"/>
    <n v="847.99999684095383"/>
    <n v="20"/>
    <d v="1997-06-02T00:00:00"/>
  </r>
  <r>
    <n v="10555"/>
    <x v="5"/>
    <n v="847.99999684095383"/>
    <n v="20"/>
    <d v="1997-06-02T00:00:00"/>
  </r>
  <r>
    <n v="10555"/>
    <x v="6"/>
    <n v="847.99999684095383"/>
    <n v="20"/>
    <d v="1997-06-02T00:00:00"/>
  </r>
  <r>
    <n v="10555"/>
    <x v="7"/>
    <n v="847.99999684095383"/>
    <n v="20"/>
    <d v="1997-06-02T00:00:00"/>
  </r>
  <r>
    <n v="10555"/>
    <x v="0"/>
    <n v="1215.999995470047"/>
    <n v="40"/>
    <d v="1997-06-02T00:00:00"/>
  </r>
  <r>
    <n v="10555"/>
    <x v="1"/>
    <n v="1215.999995470047"/>
    <n v="40"/>
    <d v="1997-06-02T00:00:00"/>
  </r>
  <r>
    <n v="10555"/>
    <x v="2"/>
    <n v="1215.999995470047"/>
    <n v="40"/>
    <d v="1997-06-02T00:00:00"/>
  </r>
  <r>
    <n v="10555"/>
    <x v="3"/>
    <n v="1215.999995470047"/>
    <n v="40"/>
    <d v="1997-06-02T00:00:00"/>
  </r>
  <r>
    <n v="10555"/>
    <x v="4"/>
    <n v="1215.999995470047"/>
    <n v="40"/>
    <d v="1997-06-02T00:00:00"/>
  </r>
  <r>
    <n v="10555"/>
    <x v="5"/>
    <n v="1215.999995470047"/>
    <n v="40"/>
    <d v="1997-06-02T00:00:00"/>
  </r>
  <r>
    <n v="10555"/>
    <x v="6"/>
    <n v="1215.999995470047"/>
    <n v="40"/>
    <d v="1997-06-02T00:00:00"/>
  </r>
  <r>
    <n v="10555"/>
    <x v="7"/>
    <n v="1215.999995470047"/>
    <n v="40"/>
    <d v="1997-06-02T00:00:00"/>
  </r>
  <r>
    <n v="10556"/>
    <x v="0"/>
    <n v="835.2"/>
    <n v="24"/>
    <d v="1997-06-03T00:00:00"/>
  </r>
  <r>
    <n v="10556"/>
    <x v="1"/>
    <n v="835.2"/>
    <n v="24"/>
    <d v="1997-06-03T00:00:00"/>
  </r>
  <r>
    <n v="10556"/>
    <x v="2"/>
    <n v="835.2"/>
    <n v="24"/>
    <d v="1997-06-03T00:00:00"/>
  </r>
  <r>
    <n v="10556"/>
    <x v="3"/>
    <n v="835.2"/>
    <n v="24"/>
    <d v="1997-06-03T00:00:00"/>
  </r>
  <r>
    <n v="10556"/>
    <x v="4"/>
    <n v="835.2"/>
    <n v="24"/>
    <d v="1997-06-03T00:00:00"/>
  </r>
  <r>
    <n v="10556"/>
    <x v="5"/>
    <n v="835.2"/>
    <n v="24"/>
    <d v="1997-06-03T00:00:00"/>
  </r>
  <r>
    <n v="10556"/>
    <x v="6"/>
    <n v="835.2"/>
    <n v="24"/>
    <d v="1997-06-03T00:00:00"/>
  </r>
  <r>
    <n v="10556"/>
    <x v="7"/>
    <n v="835.2"/>
    <n v="24"/>
    <d v="1997-06-03T00:00:00"/>
  </r>
  <r>
    <n v="10557"/>
    <x v="0"/>
    <n v="997.5"/>
    <n v="30"/>
    <d v="1997-06-03T00:00:00"/>
  </r>
  <r>
    <n v="10557"/>
    <x v="1"/>
    <n v="997.5"/>
    <n v="30"/>
    <d v="1997-06-03T00:00:00"/>
  </r>
  <r>
    <n v="10557"/>
    <x v="2"/>
    <n v="997.5"/>
    <n v="30"/>
    <d v="1997-06-03T00:00:00"/>
  </r>
  <r>
    <n v="10557"/>
    <x v="3"/>
    <n v="997.5"/>
    <n v="30"/>
    <d v="1997-06-03T00:00:00"/>
  </r>
  <r>
    <n v="10557"/>
    <x v="4"/>
    <n v="997.5"/>
    <n v="30"/>
    <d v="1997-06-03T00:00:00"/>
  </r>
  <r>
    <n v="10557"/>
    <x v="5"/>
    <n v="997.5"/>
    <n v="30"/>
    <d v="1997-06-03T00:00:00"/>
  </r>
  <r>
    <n v="10557"/>
    <x v="6"/>
    <n v="997.5"/>
    <n v="30"/>
    <d v="1997-06-03T00:00:00"/>
  </r>
  <r>
    <n v="10557"/>
    <x v="7"/>
    <n v="997.5"/>
    <n v="30"/>
    <d v="1997-06-03T00:00:00"/>
  </r>
  <r>
    <n v="10557"/>
    <x v="0"/>
    <n v="155"/>
    <n v="20"/>
    <d v="1997-06-03T00:00:00"/>
  </r>
  <r>
    <n v="10557"/>
    <x v="1"/>
    <n v="155"/>
    <n v="20"/>
    <d v="1997-06-03T00:00:00"/>
  </r>
  <r>
    <n v="10557"/>
    <x v="2"/>
    <n v="155"/>
    <n v="20"/>
    <d v="1997-06-03T00:00:00"/>
  </r>
  <r>
    <n v="10557"/>
    <x v="3"/>
    <n v="155"/>
    <n v="20"/>
    <d v="1997-06-03T00:00:00"/>
  </r>
  <r>
    <n v="10557"/>
    <x v="4"/>
    <n v="155"/>
    <n v="20"/>
    <d v="1997-06-03T00:00:00"/>
  </r>
  <r>
    <n v="10557"/>
    <x v="5"/>
    <n v="155"/>
    <n v="20"/>
    <d v="1997-06-03T00:00:00"/>
  </r>
  <r>
    <n v="10557"/>
    <x v="6"/>
    <n v="155"/>
    <n v="20"/>
    <d v="1997-06-03T00:00:00"/>
  </r>
  <r>
    <n v="10557"/>
    <x v="7"/>
    <n v="155"/>
    <n v="20"/>
    <d v="1997-06-03T00:00:00"/>
  </r>
  <r>
    <n v="10558"/>
    <x v="0"/>
    <n v="237.5"/>
    <n v="25"/>
    <d v="1997-06-04T00:00:00"/>
  </r>
  <r>
    <n v="10558"/>
    <x v="1"/>
    <n v="237.5"/>
    <n v="25"/>
    <d v="1997-06-04T00:00:00"/>
  </r>
  <r>
    <n v="10558"/>
    <x v="2"/>
    <n v="237.5"/>
    <n v="25"/>
    <d v="1997-06-04T00:00:00"/>
  </r>
  <r>
    <n v="10558"/>
    <x v="3"/>
    <n v="237.5"/>
    <n v="25"/>
    <d v="1997-06-04T00:00:00"/>
  </r>
  <r>
    <n v="10558"/>
    <x v="4"/>
    <n v="237.5"/>
    <n v="25"/>
    <d v="1997-06-04T00:00:00"/>
  </r>
  <r>
    <n v="10558"/>
    <x v="5"/>
    <n v="237.5"/>
    <n v="25"/>
    <d v="1997-06-04T00:00:00"/>
  </r>
  <r>
    <n v="10558"/>
    <x v="6"/>
    <n v="237.5"/>
    <n v="25"/>
    <d v="1997-06-04T00:00:00"/>
  </r>
  <r>
    <n v="10558"/>
    <x v="7"/>
    <n v="237.5"/>
    <n v="25"/>
    <d v="1997-06-04T00:00:00"/>
  </r>
  <r>
    <n v="10558"/>
    <x v="0"/>
    <n v="1060"/>
    <n v="20"/>
    <d v="1997-06-04T00:00:00"/>
  </r>
  <r>
    <n v="10558"/>
    <x v="1"/>
    <n v="1060"/>
    <n v="20"/>
    <d v="1997-06-04T00:00:00"/>
  </r>
  <r>
    <n v="10558"/>
    <x v="2"/>
    <n v="1060"/>
    <n v="20"/>
    <d v="1997-06-04T00:00:00"/>
  </r>
  <r>
    <n v="10558"/>
    <x v="3"/>
    <n v="1060"/>
    <n v="20"/>
    <d v="1997-06-04T00:00:00"/>
  </r>
  <r>
    <n v="10558"/>
    <x v="4"/>
    <n v="1060"/>
    <n v="20"/>
    <d v="1997-06-04T00:00:00"/>
  </r>
  <r>
    <n v="10558"/>
    <x v="5"/>
    <n v="1060"/>
    <n v="20"/>
    <d v="1997-06-04T00:00:00"/>
  </r>
  <r>
    <n v="10558"/>
    <x v="6"/>
    <n v="1060"/>
    <n v="20"/>
    <d v="1997-06-04T00:00:00"/>
  </r>
  <r>
    <n v="10558"/>
    <x v="7"/>
    <n v="1060"/>
    <n v="20"/>
    <d v="1997-06-04T00:00:00"/>
  </r>
  <r>
    <n v="10558"/>
    <x v="0"/>
    <n v="210"/>
    <n v="30"/>
    <d v="1997-06-04T00:00:00"/>
  </r>
  <r>
    <n v="10558"/>
    <x v="1"/>
    <n v="210"/>
    <n v="30"/>
    <d v="1997-06-04T00:00:00"/>
  </r>
  <r>
    <n v="10558"/>
    <x v="2"/>
    <n v="210"/>
    <n v="30"/>
    <d v="1997-06-04T00:00:00"/>
  </r>
  <r>
    <n v="10558"/>
    <x v="3"/>
    <n v="210"/>
    <n v="30"/>
    <d v="1997-06-04T00:00:00"/>
  </r>
  <r>
    <n v="10558"/>
    <x v="4"/>
    <n v="210"/>
    <n v="30"/>
    <d v="1997-06-04T00:00:00"/>
  </r>
  <r>
    <n v="10558"/>
    <x v="5"/>
    <n v="210"/>
    <n v="30"/>
    <d v="1997-06-04T00:00:00"/>
  </r>
  <r>
    <n v="10558"/>
    <x v="6"/>
    <n v="210"/>
    <n v="30"/>
    <d v="1997-06-04T00:00:00"/>
  </r>
  <r>
    <n v="10558"/>
    <x v="7"/>
    <n v="210"/>
    <n v="30"/>
    <d v="1997-06-04T00:00:00"/>
  </r>
  <r>
    <n v="10558"/>
    <x v="0"/>
    <n v="590.4"/>
    <n v="18"/>
    <d v="1997-06-04T00:00:00"/>
  </r>
  <r>
    <n v="10558"/>
    <x v="1"/>
    <n v="590.4"/>
    <n v="18"/>
    <d v="1997-06-04T00:00:00"/>
  </r>
  <r>
    <n v="10558"/>
    <x v="2"/>
    <n v="590.4"/>
    <n v="18"/>
    <d v="1997-06-04T00:00:00"/>
  </r>
  <r>
    <n v="10558"/>
    <x v="3"/>
    <n v="590.4"/>
    <n v="18"/>
    <d v="1997-06-04T00:00:00"/>
  </r>
  <r>
    <n v="10558"/>
    <x v="4"/>
    <n v="590.4"/>
    <n v="18"/>
    <d v="1997-06-04T00:00:00"/>
  </r>
  <r>
    <n v="10558"/>
    <x v="5"/>
    <n v="590.4"/>
    <n v="18"/>
    <d v="1997-06-04T00:00:00"/>
  </r>
  <r>
    <n v="10558"/>
    <x v="6"/>
    <n v="590.4"/>
    <n v="18"/>
    <d v="1997-06-04T00:00:00"/>
  </r>
  <r>
    <n v="10558"/>
    <x v="7"/>
    <n v="590.4"/>
    <n v="18"/>
    <d v="1997-06-04T00:00:00"/>
  </r>
  <r>
    <n v="10558"/>
    <x v="0"/>
    <n v="45"/>
    <n v="3"/>
    <d v="1997-06-04T00:00:00"/>
  </r>
  <r>
    <n v="10558"/>
    <x v="1"/>
    <n v="45"/>
    <n v="3"/>
    <d v="1997-06-04T00:00:00"/>
  </r>
  <r>
    <n v="10558"/>
    <x v="2"/>
    <n v="45"/>
    <n v="3"/>
    <d v="1997-06-04T00:00:00"/>
  </r>
  <r>
    <n v="10558"/>
    <x v="3"/>
    <n v="45"/>
    <n v="3"/>
    <d v="1997-06-04T00:00:00"/>
  </r>
  <r>
    <n v="10558"/>
    <x v="4"/>
    <n v="45"/>
    <n v="3"/>
    <d v="1997-06-04T00:00:00"/>
  </r>
  <r>
    <n v="10558"/>
    <x v="5"/>
    <n v="45"/>
    <n v="3"/>
    <d v="1997-06-04T00:00:00"/>
  </r>
  <r>
    <n v="10558"/>
    <x v="6"/>
    <n v="45"/>
    <n v="3"/>
    <d v="1997-06-04T00:00:00"/>
  </r>
  <r>
    <n v="10558"/>
    <x v="7"/>
    <n v="45"/>
    <n v="3"/>
    <d v="1997-06-04T00:00:00"/>
  </r>
  <r>
    <n v="10559"/>
    <x v="0"/>
    <n v="110.00999991372227"/>
    <n v="12"/>
    <d v="1997-06-05T00:00:00"/>
  </r>
  <r>
    <n v="10559"/>
    <x v="1"/>
    <n v="110.00999991372227"/>
    <n v="12"/>
    <d v="1997-06-05T00:00:00"/>
  </r>
  <r>
    <n v="10559"/>
    <x v="2"/>
    <n v="110.00999991372227"/>
    <n v="12"/>
    <d v="1997-06-05T00:00:00"/>
  </r>
  <r>
    <n v="10559"/>
    <x v="3"/>
    <n v="110.00999991372227"/>
    <n v="12"/>
    <d v="1997-06-05T00:00:00"/>
  </r>
  <r>
    <n v="10559"/>
    <x v="4"/>
    <n v="110.00999991372227"/>
    <n v="12"/>
    <d v="1997-06-05T00:00:00"/>
  </r>
  <r>
    <n v="10559"/>
    <x v="5"/>
    <n v="110.00999991372227"/>
    <n v="12"/>
    <d v="1997-06-05T00:00:00"/>
  </r>
  <r>
    <n v="10559"/>
    <x v="6"/>
    <n v="110.00999991372227"/>
    <n v="12"/>
    <d v="1997-06-05T00:00:00"/>
  </r>
  <r>
    <n v="10559"/>
    <x v="7"/>
    <n v="110.00999991372227"/>
    <n v="12"/>
    <d v="1997-06-05T00:00:00"/>
  </r>
  <r>
    <n v="10559"/>
    <x v="0"/>
    <n v="410.39999967813492"/>
    <n v="18"/>
    <d v="1997-06-05T00:00:00"/>
  </r>
  <r>
    <n v="10559"/>
    <x v="1"/>
    <n v="410.39999967813492"/>
    <n v="18"/>
    <d v="1997-06-05T00:00:00"/>
  </r>
  <r>
    <n v="10559"/>
    <x v="2"/>
    <n v="410.39999967813492"/>
    <n v="18"/>
    <d v="1997-06-05T00:00:00"/>
  </r>
  <r>
    <n v="10559"/>
    <x v="3"/>
    <n v="410.39999967813492"/>
    <n v="18"/>
    <d v="1997-06-05T00:00:00"/>
  </r>
  <r>
    <n v="10559"/>
    <x v="4"/>
    <n v="410.39999967813492"/>
    <n v="18"/>
    <d v="1997-06-05T00:00:00"/>
  </r>
  <r>
    <n v="10559"/>
    <x v="5"/>
    <n v="410.39999967813492"/>
    <n v="18"/>
    <d v="1997-06-05T00:00:00"/>
  </r>
  <r>
    <n v="10559"/>
    <x v="6"/>
    <n v="410.39999967813492"/>
    <n v="18"/>
    <d v="1997-06-05T00:00:00"/>
  </r>
  <r>
    <n v="10559"/>
    <x v="7"/>
    <n v="410.39999967813492"/>
    <n v="18"/>
    <d v="1997-06-05T00:00:00"/>
  </r>
  <r>
    <n v="10560"/>
    <x v="0"/>
    <n v="517.79999999999995"/>
    <n v="20"/>
    <d v="1997-06-06T00:00:00"/>
  </r>
  <r>
    <n v="10560"/>
    <x v="1"/>
    <n v="517.79999999999995"/>
    <n v="20"/>
    <d v="1997-06-06T00:00:00"/>
  </r>
  <r>
    <n v="10560"/>
    <x v="2"/>
    <n v="517.79999999999995"/>
    <n v="20"/>
    <d v="1997-06-06T00:00:00"/>
  </r>
  <r>
    <n v="10560"/>
    <x v="3"/>
    <n v="517.79999999999995"/>
    <n v="20"/>
    <d v="1997-06-06T00:00:00"/>
  </r>
  <r>
    <n v="10560"/>
    <x v="4"/>
    <n v="517.79999999999995"/>
    <n v="20"/>
    <d v="1997-06-06T00:00:00"/>
  </r>
  <r>
    <n v="10560"/>
    <x v="5"/>
    <n v="517.79999999999995"/>
    <n v="20"/>
    <d v="1997-06-06T00:00:00"/>
  </r>
  <r>
    <n v="10560"/>
    <x v="6"/>
    <n v="517.79999999999995"/>
    <n v="20"/>
    <d v="1997-06-06T00:00:00"/>
  </r>
  <r>
    <n v="10560"/>
    <x v="7"/>
    <n v="517.79999999999995"/>
    <n v="20"/>
    <d v="1997-06-06T00:00:00"/>
  </r>
  <r>
    <n v="10560"/>
    <x v="0"/>
    <n v="554.625"/>
    <n v="15"/>
    <d v="1997-06-06T00:00:00"/>
  </r>
  <r>
    <n v="10560"/>
    <x v="1"/>
    <n v="554.625"/>
    <n v="15"/>
    <d v="1997-06-06T00:00:00"/>
  </r>
  <r>
    <n v="10560"/>
    <x v="2"/>
    <n v="554.625"/>
    <n v="15"/>
    <d v="1997-06-06T00:00:00"/>
  </r>
  <r>
    <n v="10560"/>
    <x v="3"/>
    <n v="554.625"/>
    <n v="15"/>
    <d v="1997-06-06T00:00:00"/>
  </r>
  <r>
    <n v="10560"/>
    <x v="4"/>
    <n v="554.625"/>
    <n v="15"/>
    <d v="1997-06-06T00:00:00"/>
  </r>
  <r>
    <n v="10560"/>
    <x v="5"/>
    <n v="554.625"/>
    <n v="15"/>
    <d v="1997-06-06T00:00:00"/>
  </r>
  <r>
    <n v="10560"/>
    <x v="6"/>
    <n v="554.625"/>
    <n v="15"/>
    <d v="1997-06-06T00:00:00"/>
  </r>
  <r>
    <n v="10560"/>
    <x v="7"/>
    <n v="554.625"/>
    <n v="15"/>
    <d v="1997-06-06T00:00:00"/>
  </r>
  <r>
    <n v="10561"/>
    <x v="0"/>
    <n v="194.5"/>
    <n v="10"/>
    <d v="1997-06-06T00:00:00"/>
  </r>
  <r>
    <n v="10561"/>
    <x v="1"/>
    <n v="194.5"/>
    <n v="10"/>
    <d v="1997-06-06T00:00:00"/>
  </r>
  <r>
    <n v="10561"/>
    <x v="2"/>
    <n v="194.5"/>
    <n v="10"/>
    <d v="1997-06-06T00:00:00"/>
  </r>
  <r>
    <n v="10561"/>
    <x v="3"/>
    <n v="194.5"/>
    <n v="10"/>
    <d v="1997-06-06T00:00:00"/>
  </r>
  <r>
    <n v="10561"/>
    <x v="4"/>
    <n v="194.5"/>
    <n v="10"/>
    <d v="1997-06-06T00:00:00"/>
  </r>
  <r>
    <n v="10561"/>
    <x v="5"/>
    <n v="194.5"/>
    <n v="10"/>
    <d v="1997-06-06T00:00:00"/>
  </r>
  <r>
    <n v="10561"/>
    <x v="6"/>
    <n v="194.5"/>
    <n v="10"/>
    <d v="1997-06-06T00:00:00"/>
  </r>
  <r>
    <n v="10561"/>
    <x v="7"/>
    <n v="194.5"/>
    <n v="10"/>
    <d v="1997-06-06T00:00:00"/>
  </r>
  <r>
    <n v="10561"/>
    <x v="0"/>
    <n v="2650"/>
    <n v="50"/>
    <d v="1997-06-06T00:00:00"/>
  </r>
  <r>
    <n v="10561"/>
    <x v="1"/>
    <n v="2650"/>
    <n v="50"/>
    <d v="1997-06-06T00:00:00"/>
  </r>
  <r>
    <n v="10561"/>
    <x v="2"/>
    <n v="2650"/>
    <n v="50"/>
    <d v="1997-06-06T00:00:00"/>
  </r>
  <r>
    <n v="10561"/>
    <x v="3"/>
    <n v="2650"/>
    <n v="50"/>
    <d v="1997-06-06T00:00:00"/>
  </r>
  <r>
    <n v="10561"/>
    <x v="4"/>
    <n v="2650"/>
    <n v="50"/>
    <d v="1997-06-06T00:00:00"/>
  </r>
  <r>
    <n v="10561"/>
    <x v="5"/>
    <n v="2650"/>
    <n v="50"/>
    <d v="1997-06-06T00:00:00"/>
  </r>
  <r>
    <n v="10561"/>
    <x v="6"/>
    <n v="2650"/>
    <n v="50"/>
    <d v="1997-06-06T00:00:00"/>
  </r>
  <r>
    <n v="10561"/>
    <x v="7"/>
    <n v="2650"/>
    <n v="50"/>
    <d v="1997-06-06T00:00:00"/>
  </r>
  <r>
    <n v="10562"/>
    <x v="0"/>
    <n v="44.999999925494194"/>
    <n v="20"/>
    <d v="1997-06-09T00:00:00"/>
  </r>
  <r>
    <n v="10562"/>
    <x v="1"/>
    <n v="44.999999925494194"/>
    <n v="20"/>
    <d v="1997-06-09T00:00:00"/>
  </r>
  <r>
    <n v="10562"/>
    <x v="2"/>
    <n v="44.999999925494194"/>
    <n v="20"/>
    <d v="1997-06-09T00:00:00"/>
  </r>
  <r>
    <n v="10562"/>
    <x v="3"/>
    <n v="44.999999925494194"/>
    <n v="20"/>
    <d v="1997-06-09T00:00:00"/>
  </r>
  <r>
    <n v="10562"/>
    <x v="4"/>
    <n v="44.999999925494194"/>
    <n v="20"/>
    <d v="1997-06-09T00:00:00"/>
  </r>
  <r>
    <n v="10562"/>
    <x v="5"/>
    <n v="44.999999925494194"/>
    <n v="20"/>
    <d v="1997-06-09T00:00:00"/>
  </r>
  <r>
    <n v="10562"/>
    <x v="6"/>
    <n v="44.999999925494194"/>
    <n v="20"/>
    <d v="1997-06-09T00:00:00"/>
  </r>
  <r>
    <n v="10562"/>
    <x v="7"/>
    <n v="44.999999925494194"/>
    <n v="20"/>
    <d v="1997-06-09T00:00:00"/>
  </r>
  <r>
    <n v="10562"/>
    <x v="0"/>
    <n v="443.69999926537275"/>
    <n v="10"/>
    <d v="1997-06-09T00:00:00"/>
  </r>
  <r>
    <n v="10562"/>
    <x v="1"/>
    <n v="443.69999926537275"/>
    <n v="10"/>
    <d v="1997-06-09T00:00:00"/>
  </r>
  <r>
    <n v="10562"/>
    <x v="2"/>
    <n v="443.69999926537275"/>
    <n v="10"/>
    <d v="1997-06-09T00:00:00"/>
  </r>
  <r>
    <n v="10562"/>
    <x v="3"/>
    <n v="443.69999926537275"/>
    <n v="10"/>
    <d v="1997-06-09T00:00:00"/>
  </r>
  <r>
    <n v="10562"/>
    <x v="4"/>
    <n v="443.69999926537275"/>
    <n v="10"/>
    <d v="1997-06-09T00:00:00"/>
  </r>
  <r>
    <n v="10562"/>
    <x v="5"/>
    <n v="443.69999926537275"/>
    <n v="10"/>
    <d v="1997-06-09T00:00:00"/>
  </r>
  <r>
    <n v="10562"/>
    <x v="6"/>
    <n v="443.69999926537275"/>
    <n v="10"/>
    <d v="1997-06-09T00:00:00"/>
  </r>
  <r>
    <n v="10562"/>
    <x v="7"/>
    <n v="443.69999926537275"/>
    <n v="10"/>
    <d v="1997-06-09T00:00:00"/>
  </r>
  <r>
    <n v="10563"/>
    <x v="0"/>
    <n v="475"/>
    <n v="25"/>
    <d v="1997-06-10T00:00:00"/>
  </r>
  <r>
    <n v="10563"/>
    <x v="1"/>
    <n v="475"/>
    <n v="25"/>
    <d v="1997-06-10T00:00:00"/>
  </r>
  <r>
    <n v="10563"/>
    <x v="2"/>
    <n v="475"/>
    <n v="25"/>
    <d v="1997-06-10T00:00:00"/>
  </r>
  <r>
    <n v="10563"/>
    <x v="3"/>
    <n v="475"/>
    <n v="25"/>
    <d v="1997-06-10T00:00:00"/>
  </r>
  <r>
    <n v="10563"/>
    <x v="4"/>
    <n v="475"/>
    <n v="25"/>
    <d v="1997-06-10T00:00:00"/>
  </r>
  <r>
    <n v="10563"/>
    <x v="5"/>
    <n v="475"/>
    <n v="25"/>
    <d v="1997-06-10T00:00:00"/>
  </r>
  <r>
    <n v="10563"/>
    <x v="6"/>
    <n v="475"/>
    <n v="25"/>
    <d v="1997-06-10T00:00:00"/>
  </r>
  <r>
    <n v="10563"/>
    <x v="7"/>
    <n v="475"/>
    <n v="25"/>
    <d v="1997-06-10T00:00:00"/>
  </r>
  <r>
    <n v="10563"/>
    <x v="0"/>
    <n v="490"/>
    <n v="70"/>
    <d v="1997-06-10T00:00:00"/>
  </r>
  <r>
    <n v="10563"/>
    <x v="1"/>
    <n v="490"/>
    <n v="70"/>
    <d v="1997-06-10T00:00:00"/>
  </r>
  <r>
    <n v="10563"/>
    <x v="2"/>
    <n v="490"/>
    <n v="70"/>
    <d v="1997-06-10T00:00:00"/>
  </r>
  <r>
    <n v="10563"/>
    <x v="3"/>
    <n v="490"/>
    <n v="70"/>
    <d v="1997-06-10T00:00:00"/>
  </r>
  <r>
    <n v="10563"/>
    <x v="4"/>
    <n v="490"/>
    <n v="70"/>
    <d v="1997-06-10T00:00:00"/>
  </r>
  <r>
    <n v="10563"/>
    <x v="5"/>
    <n v="490"/>
    <n v="70"/>
    <d v="1997-06-10T00:00:00"/>
  </r>
  <r>
    <n v="10563"/>
    <x v="6"/>
    <n v="490"/>
    <n v="70"/>
    <d v="1997-06-10T00:00:00"/>
  </r>
  <r>
    <n v="10563"/>
    <x v="7"/>
    <n v="490"/>
    <n v="70"/>
    <d v="1997-06-10T00:00:00"/>
  </r>
  <r>
    <n v="10564"/>
    <x v="0"/>
    <n v="592.79999953508377"/>
    <n v="16"/>
    <d v="1997-06-10T00:00:00"/>
  </r>
  <r>
    <n v="10564"/>
    <x v="1"/>
    <n v="592.79999953508377"/>
    <n v="16"/>
    <d v="1997-06-10T00:00:00"/>
  </r>
  <r>
    <n v="10564"/>
    <x v="2"/>
    <n v="592.79999953508377"/>
    <n v="16"/>
    <d v="1997-06-10T00:00:00"/>
  </r>
  <r>
    <n v="10564"/>
    <x v="3"/>
    <n v="592.79999953508377"/>
    <n v="16"/>
    <d v="1997-06-10T00:00:00"/>
  </r>
  <r>
    <n v="10564"/>
    <x v="4"/>
    <n v="592.79999953508377"/>
    <n v="16"/>
    <d v="1997-06-10T00:00:00"/>
  </r>
  <r>
    <n v="10564"/>
    <x v="5"/>
    <n v="592.79999953508377"/>
    <n v="16"/>
    <d v="1997-06-10T00:00:00"/>
  </r>
  <r>
    <n v="10564"/>
    <x v="6"/>
    <n v="592.79999953508377"/>
    <n v="16"/>
    <d v="1997-06-10T00:00:00"/>
  </r>
  <r>
    <n v="10564"/>
    <x v="7"/>
    <n v="592.79999953508377"/>
    <n v="16"/>
    <d v="1997-06-10T00:00:00"/>
  </r>
  <r>
    <n v="10564"/>
    <x v="0"/>
    <n v="71.249999944120646"/>
    <n v="6"/>
    <d v="1997-06-10T00:00:00"/>
  </r>
  <r>
    <n v="10564"/>
    <x v="1"/>
    <n v="71.249999944120646"/>
    <n v="6"/>
    <d v="1997-06-10T00:00:00"/>
  </r>
  <r>
    <n v="10564"/>
    <x v="2"/>
    <n v="71.249999944120646"/>
    <n v="6"/>
    <d v="1997-06-10T00:00:00"/>
  </r>
  <r>
    <n v="10564"/>
    <x v="3"/>
    <n v="71.249999944120646"/>
    <n v="6"/>
    <d v="1997-06-10T00:00:00"/>
  </r>
  <r>
    <n v="10564"/>
    <x v="4"/>
    <n v="71.249999944120646"/>
    <n v="6"/>
    <d v="1997-06-10T00:00:00"/>
  </r>
  <r>
    <n v="10564"/>
    <x v="5"/>
    <n v="71.249999944120646"/>
    <n v="6"/>
    <d v="1997-06-10T00:00:00"/>
  </r>
  <r>
    <n v="10564"/>
    <x v="6"/>
    <n v="71.249999944120646"/>
    <n v="6"/>
    <d v="1997-06-10T00:00:00"/>
  </r>
  <r>
    <n v="10564"/>
    <x v="7"/>
    <n v="71.249999944120646"/>
    <n v="6"/>
    <d v="1997-06-10T00:00:00"/>
  </r>
  <r>
    <n v="10564"/>
    <x v="0"/>
    <n v="569.99999955296516"/>
    <n v="25"/>
    <d v="1997-06-10T00:00:00"/>
  </r>
  <r>
    <n v="10564"/>
    <x v="1"/>
    <n v="569.99999955296516"/>
    <n v="25"/>
    <d v="1997-06-10T00:00:00"/>
  </r>
  <r>
    <n v="10564"/>
    <x v="2"/>
    <n v="569.99999955296516"/>
    <n v="25"/>
    <d v="1997-06-10T00:00:00"/>
  </r>
  <r>
    <n v="10564"/>
    <x v="3"/>
    <n v="569.99999955296516"/>
    <n v="25"/>
    <d v="1997-06-10T00:00:00"/>
  </r>
  <r>
    <n v="10564"/>
    <x v="4"/>
    <n v="569.99999955296516"/>
    <n v="25"/>
    <d v="1997-06-10T00:00:00"/>
  </r>
  <r>
    <n v="10564"/>
    <x v="5"/>
    <n v="569.99999955296516"/>
    <n v="25"/>
    <d v="1997-06-10T00:00:00"/>
  </r>
  <r>
    <n v="10564"/>
    <x v="6"/>
    <n v="569.99999955296516"/>
    <n v="25"/>
    <d v="1997-06-10T00:00:00"/>
  </r>
  <r>
    <n v="10564"/>
    <x v="7"/>
    <n v="569.99999955296516"/>
    <n v="25"/>
    <d v="1997-06-10T00:00:00"/>
  </r>
  <r>
    <n v="10565"/>
    <x v="0"/>
    <n v="101.24999983236194"/>
    <n v="25"/>
    <d v="1997-06-11T00:00:00"/>
  </r>
  <r>
    <n v="10565"/>
    <x v="1"/>
    <n v="101.24999983236194"/>
    <n v="25"/>
    <d v="1997-06-11T00:00:00"/>
  </r>
  <r>
    <n v="10565"/>
    <x v="2"/>
    <n v="101.24999983236194"/>
    <n v="25"/>
    <d v="1997-06-11T00:00:00"/>
  </r>
  <r>
    <n v="10565"/>
    <x v="3"/>
    <n v="101.24999983236194"/>
    <n v="25"/>
    <d v="1997-06-11T00:00:00"/>
  </r>
  <r>
    <n v="10565"/>
    <x v="4"/>
    <n v="101.24999983236194"/>
    <n v="25"/>
    <d v="1997-06-11T00:00:00"/>
  </r>
  <r>
    <n v="10565"/>
    <x v="5"/>
    <n v="101.24999983236194"/>
    <n v="25"/>
    <d v="1997-06-11T00:00:00"/>
  </r>
  <r>
    <n v="10565"/>
    <x v="6"/>
    <n v="101.24999983236194"/>
    <n v="25"/>
    <d v="1997-06-11T00:00:00"/>
  </r>
  <r>
    <n v="10565"/>
    <x v="7"/>
    <n v="101.24999983236194"/>
    <n v="25"/>
    <d v="1997-06-11T00:00:00"/>
  </r>
  <r>
    <n v="10565"/>
    <x v="0"/>
    <n v="538.6499991081655"/>
    <n v="18"/>
    <d v="1997-06-11T00:00:00"/>
  </r>
  <r>
    <n v="10565"/>
    <x v="1"/>
    <n v="538.6499991081655"/>
    <n v="18"/>
    <d v="1997-06-11T00:00:00"/>
  </r>
  <r>
    <n v="10565"/>
    <x v="2"/>
    <n v="538.6499991081655"/>
    <n v="18"/>
    <d v="1997-06-11T00:00:00"/>
  </r>
  <r>
    <n v="10565"/>
    <x v="3"/>
    <n v="538.6499991081655"/>
    <n v="18"/>
    <d v="1997-06-11T00:00:00"/>
  </r>
  <r>
    <n v="10565"/>
    <x v="4"/>
    <n v="538.6499991081655"/>
    <n v="18"/>
    <d v="1997-06-11T00:00:00"/>
  </r>
  <r>
    <n v="10565"/>
    <x v="5"/>
    <n v="538.6499991081655"/>
    <n v="18"/>
    <d v="1997-06-11T00:00:00"/>
  </r>
  <r>
    <n v="10565"/>
    <x v="6"/>
    <n v="538.6499991081655"/>
    <n v="18"/>
    <d v="1997-06-11T00:00:00"/>
  </r>
  <r>
    <n v="10565"/>
    <x v="7"/>
    <n v="538.6499991081655"/>
    <n v="18"/>
    <d v="1997-06-11T00:00:00"/>
  </r>
  <r>
    <n v="10566"/>
    <x v="0"/>
    <n v="624.74999561905861"/>
    <n v="35"/>
    <d v="1997-06-12T00:00:00"/>
  </r>
  <r>
    <n v="10566"/>
    <x v="1"/>
    <n v="624.74999561905861"/>
    <n v="35"/>
    <d v="1997-06-12T00:00:00"/>
  </r>
  <r>
    <n v="10566"/>
    <x v="2"/>
    <n v="624.74999561905861"/>
    <n v="35"/>
    <d v="1997-06-12T00:00:00"/>
  </r>
  <r>
    <n v="10566"/>
    <x v="3"/>
    <n v="624.74999561905861"/>
    <n v="35"/>
    <d v="1997-06-12T00:00:00"/>
  </r>
  <r>
    <n v="10566"/>
    <x v="4"/>
    <n v="624.74999561905861"/>
    <n v="35"/>
    <d v="1997-06-12T00:00:00"/>
  </r>
  <r>
    <n v="10566"/>
    <x v="5"/>
    <n v="624.74999561905861"/>
    <n v="35"/>
    <d v="1997-06-12T00:00:00"/>
  </r>
  <r>
    <n v="10566"/>
    <x v="6"/>
    <n v="624.74999561905861"/>
    <n v="35"/>
    <d v="1997-06-12T00:00:00"/>
  </r>
  <r>
    <n v="10566"/>
    <x v="7"/>
    <n v="624.74999561905861"/>
    <n v="35"/>
    <d v="1997-06-12T00:00:00"/>
  </r>
  <r>
    <n v="10566"/>
    <x v="0"/>
    <n v="956.24999329447746"/>
    <n v="18"/>
    <d v="1997-06-12T00:00:00"/>
  </r>
  <r>
    <n v="10566"/>
    <x v="1"/>
    <n v="956.24999329447746"/>
    <n v="18"/>
    <d v="1997-06-12T00:00:00"/>
  </r>
  <r>
    <n v="10566"/>
    <x v="2"/>
    <n v="956.24999329447746"/>
    <n v="18"/>
    <d v="1997-06-12T00:00:00"/>
  </r>
  <r>
    <n v="10566"/>
    <x v="3"/>
    <n v="956.24999329447746"/>
    <n v="18"/>
    <d v="1997-06-12T00:00:00"/>
  </r>
  <r>
    <n v="10566"/>
    <x v="4"/>
    <n v="956.24999329447746"/>
    <n v="18"/>
    <d v="1997-06-12T00:00:00"/>
  </r>
  <r>
    <n v="10566"/>
    <x v="5"/>
    <n v="956.24999329447746"/>
    <n v="18"/>
    <d v="1997-06-12T00:00:00"/>
  </r>
  <r>
    <n v="10566"/>
    <x v="6"/>
    <n v="956.24999329447746"/>
    <n v="18"/>
    <d v="1997-06-12T00:00:00"/>
  </r>
  <r>
    <n v="10566"/>
    <x v="7"/>
    <n v="956.24999329447746"/>
    <n v="18"/>
    <d v="1997-06-12T00:00:00"/>
  </r>
  <r>
    <n v="10566"/>
    <x v="0"/>
    <n v="180"/>
    <n v="10"/>
    <d v="1997-06-12T00:00:00"/>
  </r>
  <r>
    <n v="10566"/>
    <x v="1"/>
    <n v="180"/>
    <n v="10"/>
    <d v="1997-06-12T00:00:00"/>
  </r>
  <r>
    <n v="10566"/>
    <x v="2"/>
    <n v="180"/>
    <n v="10"/>
    <d v="1997-06-12T00:00:00"/>
  </r>
  <r>
    <n v="10566"/>
    <x v="3"/>
    <n v="180"/>
    <n v="10"/>
    <d v="1997-06-12T00:00:00"/>
  </r>
  <r>
    <n v="10566"/>
    <x v="4"/>
    <n v="180"/>
    <n v="10"/>
    <d v="1997-06-12T00:00:00"/>
  </r>
  <r>
    <n v="10566"/>
    <x v="5"/>
    <n v="180"/>
    <n v="10"/>
    <d v="1997-06-12T00:00:00"/>
  </r>
  <r>
    <n v="10566"/>
    <x v="6"/>
    <n v="180"/>
    <n v="10"/>
    <d v="1997-06-12T00:00:00"/>
  </r>
  <r>
    <n v="10566"/>
    <x v="7"/>
    <n v="180"/>
    <n v="10"/>
    <d v="1997-06-12T00:00:00"/>
  </r>
  <r>
    <n v="10567"/>
    <x v="0"/>
    <n v="599.99999776482582"/>
    <n v="60"/>
    <d v="1997-06-12T00:00:00"/>
  </r>
  <r>
    <n v="10567"/>
    <x v="1"/>
    <n v="599.99999776482582"/>
    <n v="60"/>
    <d v="1997-06-12T00:00:00"/>
  </r>
  <r>
    <n v="10567"/>
    <x v="2"/>
    <n v="599.99999776482582"/>
    <n v="60"/>
    <d v="1997-06-12T00:00:00"/>
  </r>
  <r>
    <n v="10567"/>
    <x v="3"/>
    <n v="599.99999776482582"/>
    <n v="60"/>
    <d v="1997-06-12T00:00:00"/>
  </r>
  <r>
    <n v="10567"/>
    <x v="4"/>
    <n v="599.99999776482582"/>
    <n v="60"/>
    <d v="1997-06-12T00:00:00"/>
  </r>
  <r>
    <n v="10567"/>
    <x v="5"/>
    <n v="599.99999776482582"/>
    <n v="60"/>
    <d v="1997-06-12T00:00:00"/>
  </r>
  <r>
    <n v="10567"/>
    <x v="6"/>
    <n v="599.99999776482582"/>
    <n v="60"/>
    <d v="1997-06-12T00:00:00"/>
  </r>
  <r>
    <n v="10567"/>
    <x v="7"/>
    <n v="599.99999776482582"/>
    <n v="60"/>
    <d v="1997-06-12T00:00:00"/>
  </r>
  <r>
    <n v="10567"/>
    <x v="0"/>
    <n v="159"/>
    <n v="3"/>
    <d v="1997-06-12T00:00:00"/>
  </r>
  <r>
    <n v="10567"/>
    <x v="1"/>
    <n v="159"/>
    <n v="3"/>
    <d v="1997-06-12T00:00:00"/>
  </r>
  <r>
    <n v="10567"/>
    <x v="2"/>
    <n v="159"/>
    <n v="3"/>
    <d v="1997-06-12T00:00:00"/>
  </r>
  <r>
    <n v="10567"/>
    <x v="3"/>
    <n v="159"/>
    <n v="3"/>
    <d v="1997-06-12T00:00:00"/>
  </r>
  <r>
    <n v="10567"/>
    <x v="4"/>
    <n v="159"/>
    <n v="3"/>
    <d v="1997-06-12T00:00:00"/>
  </r>
  <r>
    <n v="10567"/>
    <x v="5"/>
    <n v="159"/>
    <n v="3"/>
    <d v="1997-06-12T00:00:00"/>
  </r>
  <r>
    <n v="10567"/>
    <x v="6"/>
    <n v="159"/>
    <n v="3"/>
    <d v="1997-06-12T00:00:00"/>
  </r>
  <r>
    <n v="10567"/>
    <x v="7"/>
    <n v="159"/>
    <n v="3"/>
    <d v="1997-06-12T00:00:00"/>
  </r>
  <r>
    <n v="10567"/>
    <x v="0"/>
    <n v="1759.9999934434891"/>
    <n v="40"/>
    <d v="1997-06-12T00:00:00"/>
  </r>
  <r>
    <n v="10567"/>
    <x v="1"/>
    <n v="1759.9999934434891"/>
    <n v="40"/>
    <d v="1997-06-12T00:00:00"/>
  </r>
  <r>
    <n v="10567"/>
    <x v="2"/>
    <n v="1759.9999934434891"/>
    <n v="40"/>
    <d v="1997-06-12T00:00:00"/>
  </r>
  <r>
    <n v="10567"/>
    <x v="3"/>
    <n v="1759.9999934434891"/>
    <n v="40"/>
    <d v="1997-06-12T00:00:00"/>
  </r>
  <r>
    <n v="10567"/>
    <x v="4"/>
    <n v="1759.9999934434891"/>
    <n v="40"/>
    <d v="1997-06-12T00:00:00"/>
  </r>
  <r>
    <n v="10567"/>
    <x v="5"/>
    <n v="1759.9999934434891"/>
    <n v="40"/>
    <d v="1997-06-12T00:00:00"/>
  </r>
  <r>
    <n v="10567"/>
    <x v="6"/>
    <n v="1759.9999934434891"/>
    <n v="40"/>
    <d v="1997-06-12T00:00:00"/>
  </r>
  <r>
    <n v="10567"/>
    <x v="7"/>
    <n v="1759.9999934434891"/>
    <n v="40"/>
    <d v="1997-06-12T00:00:00"/>
  </r>
  <r>
    <n v="10568"/>
    <x v="0"/>
    <n v="155"/>
    <n v="5"/>
    <d v="1997-06-13T00:00:00"/>
  </r>
  <r>
    <n v="10568"/>
    <x v="1"/>
    <n v="155"/>
    <n v="5"/>
    <d v="1997-06-13T00:00:00"/>
  </r>
  <r>
    <n v="10568"/>
    <x v="2"/>
    <n v="155"/>
    <n v="5"/>
    <d v="1997-06-13T00:00:00"/>
  </r>
  <r>
    <n v="10568"/>
    <x v="3"/>
    <n v="155"/>
    <n v="5"/>
    <d v="1997-06-13T00:00:00"/>
  </r>
  <r>
    <n v="10568"/>
    <x v="4"/>
    <n v="155"/>
    <n v="5"/>
    <d v="1997-06-13T00:00:00"/>
  </r>
  <r>
    <n v="10568"/>
    <x v="5"/>
    <n v="155"/>
    <n v="5"/>
    <d v="1997-06-13T00:00:00"/>
  </r>
  <r>
    <n v="10568"/>
    <x v="6"/>
    <n v="155"/>
    <n v="5"/>
    <d v="1997-06-13T00:00:00"/>
  </r>
  <r>
    <n v="10568"/>
    <x v="7"/>
    <n v="155"/>
    <n v="5"/>
    <d v="1997-06-13T00:00:00"/>
  </r>
  <r>
    <n v="10569"/>
    <x v="0"/>
    <n v="349.9999986961484"/>
    <n v="35"/>
    <d v="1997-06-16T00:00:00"/>
  </r>
  <r>
    <n v="10569"/>
    <x v="1"/>
    <n v="349.9999986961484"/>
    <n v="35"/>
    <d v="1997-06-16T00:00:00"/>
  </r>
  <r>
    <n v="10569"/>
    <x v="2"/>
    <n v="349.9999986961484"/>
    <n v="35"/>
    <d v="1997-06-16T00:00:00"/>
  </r>
  <r>
    <n v="10569"/>
    <x v="3"/>
    <n v="349.9999986961484"/>
    <n v="35"/>
    <d v="1997-06-16T00:00:00"/>
  </r>
  <r>
    <n v="10569"/>
    <x v="4"/>
    <n v="349.9999986961484"/>
    <n v="35"/>
    <d v="1997-06-16T00:00:00"/>
  </r>
  <r>
    <n v="10569"/>
    <x v="5"/>
    <n v="349.9999986961484"/>
    <n v="35"/>
    <d v="1997-06-16T00:00:00"/>
  </r>
  <r>
    <n v="10569"/>
    <x v="6"/>
    <n v="349.9999986961484"/>
    <n v="35"/>
    <d v="1997-06-16T00:00:00"/>
  </r>
  <r>
    <n v="10569"/>
    <x v="7"/>
    <n v="349.9999986961484"/>
    <n v="35"/>
    <d v="1997-06-16T00:00:00"/>
  </r>
  <r>
    <n v="10569"/>
    <x v="0"/>
    <n v="540"/>
    <n v="30"/>
    <d v="1997-06-16T00:00:00"/>
  </r>
  <r>
    <n v="10569"/>
    <x v="1"/>
    <n v="540"/>
    <n v="30"/>
    <d v="1997-06-16T00:00:00"/>
  </r>
  <r>
    <n v="10569"/>
    <x v="2"/>
    <n v="540"/>
    <n v="30"/>
    <d v="1997-06-16T00:00:00"/>
  </r>
  <r>
    <n v="10569"/>
    <x v="3"/>
    <n v="540"/>
    <n v="30"/>
    <d v="1997-06-16T00:00:00"/>
  </r>
  <r>
    <n v="10569"/>
    <x v="4"/>
    <n v="540"/>
    <n v="30"/>
    <d v="1997-06-16T00:00:00"/>
  </r>
  <r>
    <n v="10569"/>
    <x v="5"/>
    <n v="540"/>
    <n v="30"/>
    <d v="1997-06-16T00:00:00"/>
  </r>
  <r>
    <n v="10569"/>
    <x v="6"/>
    <n v="540"/>
    <n v="30"/>
    <d v="1997-06-16T00:00:00"/>
  </r>
  <r>
    <n v="10569"/>
    <x v="7"/>
    <n v="540"/>
    <n v="30"/>
    <d v="1997-06-16T00:00:00"/>
  </r>
  <r>
    <n v="10570"/>
    <x v="0"/>
    <n v="299.24999976530671"/>
    <n v="15"/>
    <d v="1997-06-17T00:00:00"/>
  </r>
  <r>
    <n v="10570"/>
    <x v="1"/>
    <n v="299.24999976530671"/>
    <n v="15"/>
    <d v="1997-06-17T00:00:00"/>
  </r>
  <r>
    <n v="10570"/>
    <x v="2"/>
    <n v="299.24999976530671"/>
    <n v="15"/>
    <d v="1997-06-17T00:00:00"/>
  </r>
  <r>
    <n v="10570"/>
    <x v="3"/>
    <n v="299.24999976530671"/>
    <n v="15"/>
    <d v="1997-06-17T00:00:00"/>
  </r>
  <r>
    <n v="10570"/>
    <x v="4"/>
    <n v="299.24999976530671"/>
    <n v="15"/>
    <d v="1997-06-17T00:00:00"/>
  </r>
  <r>
    <n v="10570"/>
    <x v="5"/>
    <n v="299.24999976530671"/>
    <n v="15"/>
    <d v="1997-06-17T00:00:00"/>
  </r>
  <r>
    <n v="10570"/>
    <x v="6"/>
    <n v="299.24999976530671"/>
    <n v="15"/>
    <d v="1997-06-17T00:00:00"/>
  </r>
  <r>
    <n v="10570"/>
    <x v="7"/>
    <n v="299.24999976530671"/>
    <n v="15"/>
    <d v="1997-06-17T00:00:00"/>
  </r>
  <r>
    <n v="10570"/>
    <x v="0"/>
    <n v="2165.9999983012676"/>
    <n v="60"/>
    <d v="1997-06-17T00:00:00"/>
  </r>
  <r>
    <n v="10570"/>
    <x v="1"/>
    <n v="2165.9999983012676"/>
    <n v="60"/>
    <d v="1997-06-17T00:00:00"/>
  </r>
  <r>
    <n v="10570"/>
    <x v="2"/>
    <n v="2165.9999983012676"/>
    <n v="60"/>
    <d v="1997-06-17T00:00:00"/>
  </r>
  <r>
    <n v="10570"/>
    <x v="3"/>
    <n v="2165.9999983012676"/>
    <n v="60"/>
    <d v="1997-06-17T00:00:00"/>
  </r>
  <r>
    <n v="10570"/>
    <x v="4"/>
    <n v="2165.9999983012676"/>
    <n v="60"/>
    <d v="1997-06-17T00:00:00"/>
  </r>
  <r>
    <n v="10570"/>
    <x v="5"/>
    <n v="2165.9999983012676"/>
    <n v="60"/>
    <d v="1997-06-17T00:00:00"/>
  </r>
  <r>
    <n v="10570"/>
    <x v="6"/>
    <n v="2165.9999983012676"/>
    <n v="60"/>
    <d v="1997-06-17T00:00:00"/>
  </r>
  <r>
    <n v="10570"/>
    <x v="7"/>
    <n v="2165.9999983012676"/>
    <n v="60"/>
    <d v="1997-06-17T00:00:00"/>
  </r>
  <r>
    <n v="10571"/>
    <x v="0"/>
    <n v="217.38749847561121"/>
    <n v="11"/>
    <d v="1997-06-17T00:00:00"/>
  </r>
  <r>
    <n v="10571"/>
    <x v="1"/>
    <n v="217.38749847561121"/>
    <n v="11"/>
    <d v="1997-06-17T00:00:00"/>
  </r>
  <r>
    <n v="10571"/>
    <x v="2"/>
    <n v="217.38749847561121"/>
    <n v="11"/>
    <d v="1997-06-17T00:00:00"/>
  </r>
  <r>
    <n v="10571"/>
    <x v="3"/>
    <n v="217.38749847561121"/>
    <n v="11"/>
    <d v="1997-06-17T00:00:00"/>
  </r>
  <r>
    <n v="10571"/>
    <x v="4"/>
    <n v="217.38749847561121"/>
    <n v="11"/>
    <d v="1997-06-17T00:00:00"/>
  </r>
  <r>
    <n v="10571"/>
    <x v="5"/>
    <n v="217.38749847561121"/>
    <n v="11"/>
    <d v="1997-06-17T00:00:00"/>
  </r>
  <r>
    <n v="10571"/>
    <x v="6"/>
    <n v="217.38749847561121"/>
    <n v="11"/>
    <d v="1997-06-17T00:00:00"/>
  </r>
  <r>
    <n v="10571"/>
    <x v="7"/>
    <n v="217.38749847561121"/>
    <n v="11"/>
    <d v="1997-06-17T00:00:00"/>
  </r>
  <r>
    <n v="10571"/>
    <x v="0"/>
    <n v="333.19999766349792"/>
    <n v="28"/>
    <d v="1997-06-17T00:00:00"/>
  </r>
  <r>
    <n v="10571"/>
    <x v="1"/>
    <n v="333.19999766349792"/>
    <n v="28"/>
    <d v="1997-06-17T00:00:00"/>
  </r>
  <r>
    <n v="10571"/>
    <x v="2"/>
    <n v="333.19999766349792"/>
    <n v="28"/>
    <d v="1997-06-17T00:00:00"/>
  </r>
  <r>
    <n v="10571"/>
    <x v="3"/>
    <n v="333.19999766349792"/>
    <n v="28"/>
    <d v="1997-06-17T00:00:00"/>
  </r>
  <r>
    <n v="10571"/>
    <x v="4"/>
    <n v="333.19999766349792"/>
    <n v="28"/>
    <d v="1997-06-17T00:00:00"/>
  </r>
  <r>
    <n v="10571"/>
    <x v="5"/>
    <n v="333.19999766349792"/>
    <n v="28"/>
    <d v="1997-06-17T00:00:00"/>
  </r>
  <r>
    <n v="10571"/>
    <x v="6"/>
    <n v="333.19999766349792"/>
    <n v="28"/>
    <d v="1997-06-17T00:00:00"/>
  </r>
  <r>
    <n v="10571"/>
    <x v="7"/>
    <n v="333.19999766349792"/>
    <n v="28"/>
    <d v="1997-06-17T00:00:00"/>
  </r>
  <r>
    <n v="10572"/>
    <x v="0"/>
    <n v="188.45999968796968"/>
    <n v="12"/>
    <d v="1997-06-18T00:00:00"/>
  </r>
  <r>
    <n v="10572"/>
    <x v="1"/>
    <n v="188.45999968796968"/>
    <n v="12"/>
    <d v="1997-06-18T00:00:00"/>
  </r>
  <r>
    <n v="10572"/>
    <x v="2"/>
    <n v="188.45999968796968"/>
    <n v="12"/>
    <d v="1997-06-18T00:00:00"/>
  </r>
  <r>
    <n v="10572"/>
    <x v="3"/>
    <n v="188.45999968796968"/>
    <n v="12"/>
    <d v="1997-06-18T00:00:00"/>
  </r>
  <r>
    <n v="10572"/>
    <x v="4"/>
    <n v="188.45999968796968"/>
    <n v="12"/>
    <d v="1997-06-18T00:00:00"/>
  </r>
  <r>
    <n v="10572"/>
    <x v="5"/>
    <n v="188.45999968796968"/>
    <n v="12"/>
    <d v="1997-06-18T00:00:00"/>
  </r>
  <r>
    <n v="10572"/>
    <x v="6"/>
    <n v="188.45999968796968"/>
    <n v="12"/>
    <d v="1997-06-18T00:00:00"/>
  </r>
  <r>
    <n v="10572"/>
    <x v="7"/>
    <n v="188.45999968796968"/>
    <n v="12"/>
    <d v="1997-06-18T00:00:00"/>
  </r>
  <r>
    <n v="10572"/>
    <x v="0"/>
    <n v="287.99999952316284"/>
    <n v="10"/>
    <d v="1997-06-18T00:00:00"/>
  </r>
  <r>
    <n v="10572"/>
    <x v="1"/>
    <n v="287.99999952316284"/>
    <n v="10"/>
    <d v="1997-06-18T00:00:00"/>
  </r>
  <r>
    <n v="10572"/>
    <x v="2"/>
    <n v="287.99999952316284"/>
    <n v="10"/>
    <d v="1997-06-18T00:00:00"/>
  </r>
  <r>
    <n v="10572"/>
    <x v="3"/>
    <n v="287.99999952316284"/>
    <n v="10"/>
    <d v="1997-06-18T00:00:00"/>
  </r>
  <r>
    <n v="10572"/>
    <x v="4"/>
    <n v="287.99999952316284"/>
    <n v="10"/>
    <d v="1997-06-18T00:00:00"/>
  </r>
  <r>
    <n v="10572"/>
    <x v="5"/>
    <n v="287.99999952316284"/>
    <n v="10"/>
    <d v="1997-06-18T00:00:00"/>
  </r>
  <r>
    <n v="10572"/>
    <x v="6"/>
    <n v="287.99999952316284"/>
    <n v="10"/>
    <d v="1997-06-18T00:00:00"/>
  </r>
  <r>
    <n v="10572"/>
    <x v="7"/>
    <n v="287.99999952316284"/>
    <n v="10"/>
    <d v="1997-06-18T00:00:00"/>
  </r>
  <r>
    <n v="10572"/>
    <x v="0"/>
    <n v="920"/>
    <n v="50"/>
    <d v="1997-06-18T00:00:00"/>
  </r>
  <r>
    <n v="10572"/>
    <x v="1"/>
    <n v="920"/>
    <n v="50"/>
    <d v="1997-06-18T00:00:00"/>
  </r>
  <r>
    <n v="10572"/>
    <x v="2"/>
    <n v="920"/>
    <n v="50"/>
    <d v="1997-06-18T00:00:00"/>
  </r>
  <r>
    <n v="10572"/>
    <x v="3"/>
    <n v="920"/>
    <n v="50"/>
    <d v="1997-06-18T00:00:00"/>
  </r>
  <r>
    <n v="10572"/>
    <x v="4"/>
    <n v="920"/>
    <n v="50"/>
    <d v="1997-06-18T00:00:00"/>
  </r>
  <r>
    <n v="10572"/>
    <x v="5"/>
    <n v="920"/>
    <n v="50"/>
    <d v="1997-06-18T00:00:00"/>
  </r>
  <r>
    <n v="10572"/>
    <x v="6"/>
    <n v="920"/>
    <n v="50"/>
    <d v="1997-06-18T00:00:00"/>
  </r>
  <r>
    <n v="10572"/>
    <x v="7"/>
    <n v="920"/>
    <n v="50"/>
    <d v="1997-06-18T00:00:00"/>
  </r>
  <r>
    <n v="10572"/>
    <x v="0"/>
    <n v="104.624999826774"/>
    <n v="15"/>
    <d v="1997-06-18T00:00:00"/>
  </r>
  <r>
    <n v="10572"/>
    <x v="1"/>
    <n v="104.624999826774"/>
    <n v="15"/>
    <d v="1997-06-18T00:00:00"/>
  </r>
  <r>
    <n v="10572"/>
    <x v="2"/>
    <n v="104.624999826774"/>
    <n v="15"/>
    <d v="1997-06-18T00:00:00"/>
  </r>
  <r>
    <n v="10572"/>
    <x v="3"/>
    <n v="104.624999826774"/>
    <n v="15"/>
    <d v="1997-06-18T00:00:00"/>
  </r>
  <r>
    <n v="10572"/>
    <x v="4"/>
    <n v="104.624999826774"/>
    <n v="15"/>
    <d v="1997-06-18T00:00:00"/>
  </r>
  <r>
    <n v="10572"/>
    <x v="5"/>
    <n v="104.624999826774"/>
    <n v="15"/>
    <d v="1997-06-18T00:00:00"/>
  </r>
  <r>
    <n v="10572"/>
    <x v="6"/>
    <n v="104.624999826774"/>
    <n v="15"/>
    <d v="1997-06-18T00:00:00"/>
  </r>
  <r>
    <n v="10572"/>
    <x v="7"/>
    <n v="104.624999826774"/>
    <n v="15"/>
    <d v="1997-06-18T00:00:00"/>
  </r>
  <r>
    <n v="10573"/>
    <x v="0"/>
    <n v="702"/>
    <n v="18"/>
    <d v="1997-06-19T00:00:00"/>
  </r>
  <r>
    <n v="10573"/>
    <x v="1"/>
    <n v="702"/>
    <n v="18"/>
    <d v="1997-06-19T00:00:00"/>
  </r>
  <r>
    <n v="10573"/>
    <x v="2"/>
    <n v="702"/>
    <n v="18"/>
    <d v="1997-06-19T00:00:00"/>
  </r>
  <r>
    <n v="10573"/>
    <x v="3"/>
    <n v="702"/>
    <n v="18"/>
    <d v="1997-06-19T00:00:00"/>
  </r>
  <r>
    <n v="10573"/>
    <x v="4"/>
    <n v="702"/>
    <n v="18"/>
    <d v="1997-06-19T00:00:00"/>
  </r>
  <r>
    <n v="10573"/>
    <x v="5"/>
    <n v="702"/>
    <n v="18"/>
    <d v="1997-06-19T00:00:00"/>
  </r>
  <r>
    <n v="10573"/>
    <x v="6"/>
    <n v="702"/>
    <n v="18"/>
    <d v="1997-06-19T00:00:00"/>
  </r>
  <r>
    <n v="10573"/>
    <x v="7"/>
    <n v="702"/>
    <n v="18"/>
    <d v="1997-06-19T00:00:00"/>
  </r>
  <r>
    <n v="10573"/>
    <x v="0"/>
    <n v="560"/>
    <n v="40"/>
    <d v="1997-06-19T00:00:00"/>
  </r>
  <r>
    <n v="10573"/>
    <x v="1"/>
    <n v="560"/>
    <n v="40"/>
    <d v="1997-06-19T00:00:00"/>
  </r>
  <r>
    <n v="10573"/>
    <x v="2"/>
    <n v="560"/>
    <n v="40"/>
    <d v="1997-06-19T00:00:00"/>
  </r>
  <r>
    <n v="10573"/>
    <x v="3"/>
    <n v="560"/>
    <n v="40"/>
    <d v="1997-06-19T00:00:00"/>
  </r>
  <r>
    <n v="10573"/>
    <x v="4"/>
    <n v="560"/>
    <n v="40"/>
    <d v="1997-06-19T00:00:00"/>
  </r>
  <r>
    <n v="10573"/>
    <x v="5"/>
    <n v="560"/>
    <n v="40"/>
    <d v="1997-06-19T00:00:00"/>
  </r>
  <r>
    <n v="10573"/>
    <x v="6"/>
    <n v="560"/>
    <n v="40"/>
    <d v="1997-06-19T00:00:00"/>
  </r>
  <r>
    <n v="10573"/>
    <x v="7"/>
    <n v="560"/>
    <n v="40"/>
    <d v="1997-06-19T00:00:00"/>
  </r>
  <r>
    <n v="10573"/>
    <x v="0"/>
    <n v="820"/>
    <n v="25"/>
    <d v="1997-06-19T00:00:00"/>
  </r>
  <r>
    <n v="10573"/>
    <x v="1"/>
    <n v="820"/>
    <n v="25"/>
    <d v="1997-06-19T00:00:00"/>
  </r>
  <r>
    <n v="10573"/>
    <x v="2"/>
    <n v="820"/>
    <n v="25"/>
    <d v="1997-06-19T00:00:00"/>
  </r>
  <r>
    <n v="10573"/>
    <x v="3"/>
    <n v="820"/>
    <n v="25"/>
    <d v="1997-06-19T00:00:00"/>
  </r>
  <r>
    <n v="10573"/>
    <x v="4"/>
    <n v="820"/>
    <n v="25"/>
    <d v="1997-06-19T00:00:00"/>
  </r>
  <r>
    <n v="10573"/>
    <x v="5"/>
    <n v="820"/>
    <n v="25"/>
    <d v="1997-06-19T00:00:00"/>
  </r>
  <r>
    <n v="10573"/>
    <x v="6"/>
    <n v="820"/>
    <n v="25"/>
    <d v="1997-06-19T00:00:00"/>
  </r>
  <r>
    <n v="10573"/>
    <x v="7"/>
    <n v="820"/>
    <n v="25"/>
    <d v="1997-06-19T00:00:00"/>
  </r>
  <r>
    <n v="10574"/>
    <x v="0"/>
    <n v="35"/>
    <n v="14"/>
    <d v="1997-06-19T00:00:00"/>
  </r>
  <r>
    <n v="10574"/>
    <x v="1"/>
    <n v="35"/>
    <n v="14"/>
    <d v="1997-06-19T00:00:00"/>
  </r>
  <r>
    <n v="10574"/>
    <x v="2"/>
    <n v="35"/>
    <n v="14"/>
    <d v="1997-06-19T00:00:00"/>
  </r>
  <r>
    <n v="10574"/>
    <x v="3"/>
    <n v="35"/>
    <n v="14"/>
    <d v="1997-06-19T00:00:00"/>
  </r>
  <r>
    <n v="10574"/>
    <x v="4"/>
    <n v="35"/>
    <n v="14"/>
    <d v="1997-06-19T00:00:00"/>
  </r>
  <r>
    <n v="10574"/>
    <x v="5"/>
    <n v="35"/>
    <n v="14"/>
    <d v="1997-06-19T00:00:00"/>
  </r>
  <r>
    <n v="10574"/>
    <x v="6"/>
    <n v="35"/>
    <n v="14"/>
    <d v="1997-06-19T00:00:00"/>
  </r>
  <r>
    <n v="10574"/>
    <x v="7"/>
    <n v="35"/>
    <n v="14"/>
    <d v="1997-06-19T00:00:00"/>
  </r>
  <r>
    <n v="10574"/>
    <x v="0"/>
    <n v="36.799999999999997"/>
    <n v="2"/>
    <d v="1997-06-19T00:00:00"/>
  </r>
  <r>
    <n v="10574"/>
    <x v="1"/>
    <n v="36.799999999999997"/>
    <n v="2"/>
    <d v="1997-06-19T00:00:00"/>
  </r>
  <r>
    <n v="10574"/>
    <x v="2"/>
    <n v="36.799999999999997"/>
    <n v="2"/>
    <d v="1997-06-19T00:00:00"/>
  </r>
  <r>
    <n v="10574"/>
    <x v="3"/>
    <n v="36.799999999999997"/>
    <n v="2"/>
    <d v="1997-06-19T00:00:00"/>
  </r>
  <r>
    <n v="10574"/>
    <x v="4"/>
    <n v="36.799999999999997"/>
    <n v="2"/>
    <d v="1997-06-19T00:00:00"/>
  </r>
  <r>
    <n v="10574"/>
    <x v="5"/>
    <n v="36.799999999999997"/>
    <n v="2"/>
    <d v="1997-06-19T00:00:00"/>
  </r>
  <r>
    <n v="10574"/>
    <x v="6"/>
    <n v="36.799999999999997"/>
    <n v="2"/>
    <d v="1997-06-19T00:00:00"/>
  </r>
  <r>
    <n v="10574"/>
    <x v="7"/>
    <n v="36.799999999999997"/>
    <n v="2"/>
    <d v="1997-06-19T00:00:00"/>
  </r>
  <r>
    <n v="10574"/>
    <x v="0"/>
    <n v="493"/>
    <n v="10"/>
    <d v="1997-06-19T00:00:00"/>
  </r>
  <r>
    <n v="10574"/>
    <x v="1"/>
    <n v="493"/>
    <n v="10"/>
    <d v="1997-06-19T00:00:00"/>
  </r>
  <r>
    <n v="10574"/>
    <x v="2"/>
    <n v="493"/>
    <n v="10"/>
    <d v="1997-06-19T00:00:00"/>
  </r>
  <r>
    <n v="10574"/>
    <x v="3"/>
    <n v="493"/>
    <n v="10"/>
    <d v="1997-06-19T00:00:00"/>
  </r>
  <r>
    <n v="10574"/>
    <x v="4"/>
    <n v="493"/>
    <n v="10"/>
    <d v="1997-06-19T00:00:00"/>
  </r>
  <r>
    <n v="10574"/>
    <x v="5"/>
    <n v="493"/>
    <n v="10"/>
    <d v="1997-06-19T00:00:00"/>
  </r>
  <r>
    <n v="10574"/>
    <x v="6"/>
    <n v="493"/>
    <n v="10"/>
    <d v="1997-06-19T00:00:00"/>
  </r>
  <r>
    <n v="10574"/>
    <x v="7"/>
    <n v="493"/>
    <n v="10"/>
    <d v="1997-06-19T00:00:00"/>
  </r>
  <r>
    <n v="10574"/>
    <x v="0"/>
    <n v="199.5"/>
    <n v="6"/>
    <d v="1997-06-19T00:00:00"/>
  </r>
  <r>
    <n v="10574"/>
    <x v="1"/>
    <n v="199.5"/>
    <n v="6"/>
    <d v="1997-06-19T00:00:00"/>
  </r>
  <r>
    <n v="10574"/>
    <x v="2"/>
    <n v="199.5"/>
    <n v="6"/>
    <d v="1997-06-19T00:00:00"/>
  </r>
  <r>
    <n v="10574"/>
    <x v="3"/>
    <n v="199.5"/>
    <n v="6"/>
    <d v="1997-06-19T00:00:00"/>
  </r>
  <r>
    <n v="10574"/>
    <x v="4"/>
    <n v="199.5"/>
    <n v="6"/>
    <d v="1997-06-19T00:00:00"/>
  </r>
  <r>
    <n v="10574"/>
    <x v="5"/>
    <n v="199.5"/>
    <n v="6"/>
    <d v="1997-06-19T00:00:00"/>
  </r>
  <r>
    <n v="10574"/>
    <x v="6"/>
    <n v="199.5"/>
    <n v="6"/>
    <d v="1997-06-19T00:00:00"/>
  </r>
  <r>
    <n v="10574"/>
    <x v="7"/>
    <n v="199.5"/>
    <n v="6"/>
    <d v="1997-06-19T00:00:00"/>
  </r>
  <r>
    <n v="10575"/>
    <x v="0"/>
    <n v="660"/>
    <n v="12"/>
    <d v="1997-06-20T00:00:00"/>
  </r>
  <r>
    <n v="10575"/>
    <x v="1"/>
    <n v="660"/>
    <n v="12"/>
    <d v="1997-06-20T00:00:00"/>
  </r>
  <r>
    <n v="10575"/>
    <x v="2"/>
    <n v="660"/>
    <n v="12"/>
    <d v="1997-06-20T00:00:00"/>
  </r>
  <r>
    <n v="10575"/>
    <x v="3"/>
    <n v="660"/>
    <n v="12"/>
    <d v="1997-06-20T00:00:00"/>
  </r>
  <r>
    <n v="10575"/>
    <x v="4"/>
    <n v="660"/>
    <n v="12"/>
    <d v="1997-06-20T00:00:00"/>
  </r>
  <r>
    <n v="10575"/>
    <x v="5"/>
    <n v="660"/>
    <n v="12"/>
    <d v="1997-06-20T00:00:00"/>
  </r>
  <r>
    <n v="10575"/>
    <x v="6"/>
    <n v="660"/>
    <n v="12"/>
    <d v="1997-06-20T00:00:00"/>
  </r>
  <r>
    <n v="10575"/>
    <x v="7"/>
    <n v="660"/>
    <n v="12"/>
    <d v="1997-06-20T00:00:00"/>
  </r>
  <r>
    <n v="10575"/>
    <x v="0"/>
    <n v="263.39999999999998"/>
    <n v="6"/>
    <d v="1997-06-20T00:00:00"/>
  </r>
  <r>
    <n v="10575"/>
    <x v="1"/>
    <n v="263.39999999999998"/>
    <n v="6"/>
    <d v="1997-06-20T00:00:00"/>
  </r>
  <r>
    <n v="10575"/>
    <x v="2"/>
    <n v="263.39999999999998"/>
    <n v="6"/>
    <d v="1997-06-20T00:00:00"/>
  </r>
  <r>
    <n v="10575"/>
    <x v="3"/>
    <n v="263.39999999999998"/>
    <n v="6"/>
    <d v="1997-06-20T00:00:00"/>
  </r>
  <r>
    <n v="10575"/>
    <x v="4"/>
    <n v="263.39999999999998"/>
    <n v="6"/>
    <d v="1997-06-20T00:00:00"/>
  </r>
  <r>
    <n v="10575"/>
    <x v="5"/>
    <n v="263.39999999999998"/>
    <n v="6"/>
    <d v="1997-06-20T00:00:00"/>
  </r>
  <r>
    <n v="10575"/>
    <x v="6"/>
    <n v="263.39999999999998"/>
    <n v="6"/>
    <d v="1997-06-20T00:00:00"/>
  </r>
  <r>
    <n v="10575"/>
    <x v="7"/>
    <n v="263.39999999999998"/>
    <n v="6"/>
    <d v="1997-06-20T00:00:00"/>
  </r>
  <r>
    <n v="10575"/>
    <x v="0"/>
    <n v="1044"/>
    <n v="30"/>
    <d v="1997-06-20T00:00:00"/>
  </r>
  <r>
    <n v="10575"/>
    <x v="1"/>
    <n v="1044"/>
    <n v="30"/>
    <d v="1997-06-20T00:00:00"/>
  </r>
  <r>
    <n v="10575"/>
    <x v="2"/>
    <n v="1044"/>
    <n v="30"/>
    <d v="1997-06-20T00:00:00"/>
  </r>
  <r>
    <n v="10575"/>
    <x v="3"/>
    <n v="1044"/>
    <n v="30"/>
    <d v="1997-06-20T00:00:00"/>
  </r>
  <r>
    <n v="10575"/>
    <x v="4"/>
    <n v="1044"/>
    <n v="30"/>
    <d v="1997-06-20T00:00:00"/>
  </r>
  <r>
    <n v="10575"/>
    <x v="5"/>
    <n v="1044"/>
    <n v="30"/>
    <d v="1997-06-20T00:00:00"/>
  </r>
  <r>
    <n v="10575"/>
    <x v="6"/>
    <n v="1044"/>
    <n v="30"/>
    <d v="1997-06-20T00:00:00"/>
  </r>
  <r>
    <n v="10575"/>
    <x v="7"/>
    <n v="1044"/>
    <n v="30"/>
    <d v="1997-06-20T00:00:00"/>
  </r>
  <r>
    <n v="10575"/>
    <x v="0"/>
    <n v="180"/>
    <n v="10"/>
    <d v="1997-06-20T00:00:00"/>
  </r>
  <r>
    <n v="10575"/>
    <x v="1"/>
    <n v="180"/>
    <n v="10"/>
    <d v="1997-06-20T00:00:00"/>
  </r>
  <r>
    <n v="10575"/>
    <x v="2"/>
    <n v="180"/>
    <n v="10"/>
    <d v="1997-06-20T00:00:00"/>
  </r>
  <r>
    <n v="10575"/>
    <x v="3"/>
    <n v="180"/>
    <n v="10"/>
    <d v="1997-06-20T00:00:00"/>
  </r>
  <r>
    <n v="10575"/>
    <x v="4"/>
    <n v="180"/>
    <n v="10"/>
    <d v="1997-06-20T00:00:00"/>
  </r>
  <r>
    <n v="10575"/>
    <x v="5"/>
    <n v="180"/>
    <n v="10"/>
    <d v="1997-06-20T00:00:00"/>
  </r>
  <r>
    <n v="10575"/>
    <x v="6"/>
    <n v="180"/>
    <n v="10"/>
    <d v="1997-06-20T00:00:00"/>
  </r>
  <r>
    <n v="10575"/>
    <x v="7"/>
    <n v="180"/>
    <n v="10"/>
    <d v="1997-06-20T00:00:00"/>
  </r>
  <r>
    <n v="10576"/>
    <x v="0"/>
    <n v="180"/>
    <n v="10"/>
    <d v="1997-06-23T00:00:00"/>
  </r>
  <r>
    <n v="10576"/>
    <x v="1"/>
    <n v="180"/>
    <n v="10"/>
    <d v="1997-06-23T00:00:00"/>
  </r>
  <r>
    <n v="10576"/>
    <x v="2"/>
    <n v="180"/>
    <n v="10"/>
    <d v="1997-06-23T00:00:00"/>
  </r>
  <r>
    <n v="10576"/>
    <x v="3"/>
    <n v="180"/>
    <n v="10"/>
    <d v="1997-06-23T00:00:00"/>
  </r>
  <r>
    <n v="10576"/>
    <x v="4"/>
    <n v="180"/>
    <n v="10"/>
    <d v="1997-06-23T00:00:00"/>
  </r>
  <r>
    <n v="10576"/>
    <x v="5"/>
    <n v="180"/>
    <n v="10"/>
    <d v="1997-06-23T00:00:00"/>
  </r>
  <r>
    <n v="10576"/>
    <x v="6"/>
    <n v="180"/>
    <n v="10"/>
    <d v="1997-06-23T00:00:00"/>
  </r>
  <r>
    <n v="10576"/>
    <x v="7"/>
    <n v="180"/>
    <n v="10"/>
    <d v="1997-06-23T00:00:00"/>
  </r>
  <r>
    <n v="10576"/>
    <x v="0"/>
    <n v="250"/>
    <n v="20"/>
    <d v="1997-06-23T00:00:00"/>
  </r>
  <r>
    <n v="10576"/>
    <x v="1"/>
    <n v="250"/>
    <n v="20"/>
    <d v="1997-06-23T00:00:00"/>
  </r>
  <r>
    <n v="10576"/>
    <x v="2"/>
    <n v="250"/>
    <n v="20"/>
    <d v="1997-06-23T00:00:00"/>
  </r>
  <r>
    <n v="10576"/>
    <x v="3"/>
    <n v="250"/>
    <n v="20"/>
    <d v="1997-06-23T00:00:00"/>
  </r>
  <r>
    <n v="10576"/>
    <x v="4"/>
    <n v="250"/>
    <n v="20"/>
    <d v="1997-06-23T00:00:00"/>
  </r>
  <r>
    <n v="10576"/>
    <x v="5"/>
    <n v="250"/>
    <n v="20"/>
    <d v="1997-06-23T00:00:00"/>
  </r>
  <r>
    <n v="10576"/>
    <x v="6"/>
    <n v="250"/>
    <n v="20"/>
    <d v="1997-06-23T00:00:00"/>
  </r>
  <r>
    <n v="10576"/>
    <x v="7"/>
    <n v="250"/>
    <n v="20"/>
    <d v="1997-06-23T00:00:00"/>
  </r>
  <r>
    <n v="10576"/>
    <x v="0"/>
    <n v="408.45"/>
    <n v="21"/>
    <d v="1997-06-23T00:00:00"/>
  </r>
  <r>
    <n v="10576"/>
    <x v="1"/>
    <n v="408.45"/>
    <n v="21"/>
    <d v="1997-06-23T00:00:00"/>
  </r>
  <r>
    <n v="10576"/>
    <x v="2"/>
    <n v="408.45"/>
    <n v="21"/>
    <d v="1997-06-23T00:00:00"/>
  </r>
  <r>
    <n v="10576"/>
    <x v="3"/>
    <n v="408.45"/>
    <n v="21"/>
    <d v="1997-06-23T00:00:00"/>
  </r>
  <r>
    <n v="10576"/>
    <x v="4"/>
    <n v="408.45"/>
    <n v="21"/>
    <d v="1997-06-23T00:00:00"/>
  </r>
  <r>
    <n v="10576"/>
    <x v="5"/>
    <n v="408.45"/>
    <n v="21"/>
    <d v="1997-06-23T00:00:00"/>
  </r>
  <r>
    <n v="10576"/>
    <x v="6"/>
    <n v="408.45"/>
    <n v="21"/>
    <d v="1997-06-23T00:00:00"/>
  </r>
  <r>
    <n v="10576"/>
    <x v="7"/>
    <n v="408.45"/>
    <n v="21"/>
    <d v="1997-06-23T00:00:00"/>
  </r>
  <r>
    <n v="10577"/>
    <x v="0"/>
    <n v="180"/>
    <n v="10"/>
    <d v="1997-06-23T00:00:00"/>
  </r>
  <r>
    <n v="10577"/>
    <x v="1"/>
    <n v="180"/>
    <n v="10"/>
    <d v="1997-06-23T00:00:00"/>
  </r>
  <r>
    <n v="10577"/>
    <x v="2"/>
    <n v="180"/>
    <n v="10"/>
    <d v="1997-06-23T00:00:00"/>
  </r>
  <r>
    <n v="10577"/>
    <x v="3"/>
    <n v="180"/>
    <n v="10"/>
    <d v="1997-06-23T00:00:00"/>
  </r>
  <r>
    <n v="10577"/>
    <x v="4"/>
    <n v="180"/>
    <n v="10"/>
    <d v="1997-06-23T00:00:00"/>
  </r>
  <r>
    <n v="10577"/>
    <x v="5"/>
    <n v="180"/>
    <n v="10"/>
    <d v="1997-06-23T00:00:00"/>
  </r>
  <r>
    <n v="10577"/>
    <x v="6"/>
    <n v="180"/>
    <n v="10"/>
    <d v="1997-06-23T00:00:00"/>
  </r>
  <r>
    <n v="10577"/>
    <x v="7"/>
    <n v="180"/>
    <n v="10"/>
    <d v="1997-06-23T00:00:00"/>
  </r>
  <r>
    <n v="10577"/>
    <x v="0"/>
    <n v="155"/>
    <n v="20"/>
    <d v="1997-06-23T00:00:00"/>
  </r>
  <r>
    <n v="10577"/>
    <x v="1"/>
    <n v="155"/>
    <n v="20"/>
    <d v="1997-06-23T00:00:00"/>
  </r>
  <r>
    <n v="10577"/>
    <x v="2"/>
    <n v="155"/>
    <n v="20"/>
    <d v="1997-06-23T00:00:00"/>
  </r>
  <r>
    <n v="10577"/>
    <x v="3"/>
    <n v="155"/>
    <n v="20"/>
    <d v="1997-06-23T00:00:00"/>
  </r>
  <r>
    <n v="10577"/>
    <x v="4"/>
    <n v="155"/>
    <n v="20"/>
    <d v="1997-06-23T00:00:00"/>
  </r>
  <r>
    <n v="10577"/>
    <x v="5"/>
    <n v="155"/>
    <n v="20"/>
    <d v="1997-06-23T00:00:00"/>
  </r>
  <r>
    <n v="10577"/>
    <x v="6"/>
    <n v="155"/>
    <n v="20"/>
    <d v="1997-06-23T00:00:00"/>
  </r>
  <r>
    <n v="10577"/>
    <x v="7"/>
    <n v="155"/>
    <n v="20"/>
    <d v="1997-06-23T00:00:00"/>
  </r>
  <r>
    <n v="10577"/>
    <x v="0"/>
    <n v="234"/>
    <n v="18"/>
    <d v="1997-06-23T00:00:00"/>
  </r>
  <r>
    <n v="10577"/>
    <x v="1"/>
    <n v="234"/>
    <n v="18"/>
    <d v="1997-06-23T00:00:00"/>
  </r>
  <r>
    <n v="10577"/>
    <x v="2"/>
    <n v="234"/>
    <n v="18"/>
    <d v="1997-06-23T00:00:00"/>
  </r>
  <r>
    <n v="10577"/>
    <x v="3"/>
    <n v="234"/>
    <n v="18"/>
    <d v="1997-06-23T00:00:00"/>
  </r>
  <r>
    <n v="10577"/>
    <x v="4"/>
    <n v="234"/>
    <n v="18"/>
    <d v="1997-06-23T00:00:00"/>
  </r>
  <r>
    <n v="10577"/>
    <x v="5"/>
    <n v="234"/>
    <n v="18"/>
    <d v="1997-06-23T00:00:00"/>
  </r>
  <r>
    <n v="10577"/>
    <x v="6"/>
    <n v="234"/>
    <n v="18"/>
    <d v="1997-06-23T00:00:00"/>
  </r>
  <r>
    <n v="10577"/>
    <x v="7"/>
    <n v="234"/>
    <n v="18"/>
    <d v="1997-06-23T00:00:00"/>
  </r>
  <r>
    <n v="10578"/>
    <x v="0"/>
    <n v="360"/>
    <n v="20"/>
    <d v="1997-06-24T00:00:00"/>
  </r>
  <r>
    <n v="10578"/>
    <x v="1"/>
    <n v="360"/>
    <n v="20"/>
    <d v="1997-06-24T00:00:00"/>
  </r>
  <r>
    <n v="10578"/>
    <x v="2"/>
    <n v="360"/>
    <n v="20"/>
    <d v="1997-06-24T00:00:00"/>
  </r>
  <r>
    <n v="10578"/>
    <x v="3"/>
    <n v="360"/>
    <n v="20"/>
    <d v="1997-06-24T00:00:00"/>
  </r>
  <r>
    <n v="10578"/>
    <x v="4"/>
    <n v="360"/>
    <n v="20"/>
    <d v="1997-06-24T00:00:00"/>
  </r>
  <r>
    <n v="10578"/>
    <x v="5"/>
    <n v="360"/>
    <n v="20"/>
    <d v="1997-06-24T00:00:00"/>
  </r>
  <r>
    <n v="10578"/>
    <x v="6"/>
    <n v="360"/>
    <n v="20"/>
    <d v="1997-06-24T00:00:00"/>
  </r>
  <r>
    <n v="10578"/>
    <x v="7"/>
    <n v="360"/>
    <n v="20"/>
    <d v="1997-06-24T00:00:00"/>
  </r>
  <r>
    <n v="10578"/>
    <x v="0"/>
    <n v="117"/>
    <n v="6"/>
    <d v="1997-06-24T00:00:00"/>
  </r>
  <r>
    <n v="10578"/>
    <x v="1"/>
    <n v="117"/>
    <n v="6"/>
    <d v="1997-06-24T00:00:00"/>
  </r>
  <r>
    <n v="10578"/>
    <x v="2"/>
    <n v="117"/>
    <n v="6"/>
    <d v="1997-06-24T00:00:00"/>
  </r>
  <r>
    <n v="10578"/>
    <x v="3"/>
    <n v="117"/>
    <n v="6"/>
    <d v="1997-06-24T00:00:00"/>
  </r>
  <r>
    <n v="10578"/>
    <x v="4"/>
    <n v="117"/>
    <n v="6"/>
    <d v="1997-06-24T00:00:00"/>
  </r>
  <r>
    <n v="10578"/>
    <x v="5"/>
    <n v="117"/>
    <n v="6"/>
    <d v="1997-06-24T00:00:00"/>
  </r>
  <r>
    <n v="10578"/>
    <x v="6"/>
    <n v="117"/>
    <n v="6"/>
    <d v="1997-06-24T00:00:00"/>
  </r>
  <r>
    <n v="10578"/>
    <x v="7"/>
    <n v="117"/>
    <n v="6"/>
    <d v="1997-06-24T00:00:00"/>
  </r>
  <r>
    <n v="10579"/>
    <x v="0"/>
    <n v="155"/>
    <n v="10"/>
    <d v="1997-06-25T00:00:00"/>
  </r>
  <r>
    <n v="10579"/>
    <x v="1"/>
    <n v="155"/>
    <n v="10"/>
    <d v="1997-06-25T00:00:00"/>
  </r>
  <r>
    <n v="10579"/>
    <x v="2"/>
    <n v="155"/>
    <n v="10"/>
    <d v="1997-06-25T00:00:00"/>
  </r>
  <r>
    <n v="10579"/>
    <x v="3"/>
    <n v="155"/>
    <n v="10"/>
    <d v="1997-06-25T00:00:00"/>
  </r>
  <r>
    <n v="10579"/>
    <x v="4"/>
    <n v="155"/>
    <n v="10"/>
    <d v="1997-06-25T00:00:00"/>
  </r>
  <r>
    <n v="10579"/>
    <x v="5"/>
    <n v="155"/>
    <n v="10"/>
    <d v="1997-06-25T00:00:00"/>
  </r>
  <r>
    <n v="10579"/>
    <x v="6"/>
    <n v="155"/>
    <n v="10"/>
    <d v="1997-06-25T00:00:00"/>
  </r>
  <r>
    <n v="10579"/>
    <x v="7"/>
    <n v="155"/>
    <n v="10"/>
    <d v="1997-06-25T00:00:00"/>
  </r>
  <r>
    <n v="10579"/>
    <x v="0"/>
    <n v="162.75"/>
    <n v="21"/>
    <d v="1997-06-25T00:00:00"/>
  </r>
  <r>
    <n v="10579"/>
    <x v="1"/>
    <n v="162.75"/>
    <n v="21"/>
    <d v="1997-06-25T00:00:00"/>
  </r>
  <r>
    <n v="10579"/>
    <x v="2"/>
    <n v="162.75"/>
    <n v="21"/>
    <d v="1997-06-25T00:00:00"/>
  </r>
  <r>
    <n v="10579"/>
    <x v="3"/>
    <n v="162.75"/>
    <n v="21"/>
    <d v="1997-06-25T00:00:00"/>
  </r>
  <r>
    <n v="10579"/>
    <x v="4"/>
    <n v="162.75"/>
    <n v="21"/>
    <d v="1997-06-25T00:00:00"/>
  </r>
  <r>
    <n v="10579"/>
    <x v="5"/>
    <n v="162.75"/>
    <n v="21"/>
    <d v="1997-06-25T00:00:00"/>
  </r>
  <r>
    <n v="10579"/>
    <x v="6"/>
    <n v="162.75"/>
    <n v="21"/>
    <d v="1997-06-25T00:00:00"/>
  </r>
  <r>
    <n v="10579"/>
    <x v="7"/>
    <n v="162.75"/>
    <n v="21"/>
    <d v="1997-06-25T00:00:00"/>
  </r>
  <r>
    <n v="10580"/>
    <x v="0"/>
    <n v="331.312499740161"/>
    <n v="15"/>
    <d v="1997-06-26T00:00:00"/>
  </r>
  <r>
    <n v="10580"/>
    <x v="1"/>
    <n v="331.312499740161"/>
    <n v="15"/>
    <d v="1997-06-26T00:00:00"/>
  </r>
  <r>
    <n v="10580"/>
    <x v="2"/>
    <n v="331.312499740161"/>
    <n v="15"/>
    <d v="1997-06-26T00:00:00"/>
  </r>
  <r>
    <n v="10580"/>
    <x v="3"/>
    <n v="331.312499740161"/>
    <n v="15"/>
    <d v="1997-06-26T00:00:00"/>
  </r>
  <r>
    <n v="10580"/>
    <x v="4"/>
    <n v="331.312499740161"/>
    <n v="15"/>
    <d v="1997-06-26T00:00:00"/>
  </r>
  <r>
    <n v="10580"/>
    <x v="5"/>
    <n v="331.312499740161"/>
    <n v="15"/>
    <d v="1997-06-26T00:00:00"/>
  </r>
  <r>
    <n v="10580"/>
    <x v="6"/>
    <n v="331.312499740161"/>
    <n v="15"/>
    <d v="1997-06-26T00:00:00"/>
  </r>
  <r>
    <n v="10580"/>
    <x v="7"/>
    <n v="331.312499740161"/>
    <n v="15"/>
    <d v="1997-06-26T00:00:00"/>
  </r>
  <r>
    <n v="10580"/>
    <x v="0"/>
    <n v="82.507499935291705"/>
    <n v="9"/>
    <d v="1997-06-26T00:00:00"/>
  </r>
  <r>
    <n v="10580"/>
    <x v="1"/>
    <n v="82.507499935291705"/>
    <n v="9"/>
    <d v="1997-06-26T00:00:00"/>
  </r>
  <r>
    <n v="10580"/>
    <x v="2"/>
    <n v="82.507499935291705"/>
    <n v="9"/>
    <d v="1997-06-26T00:00:00"/>
  </r>
  <r>
    <n v="10580"/>
    <x v="3"/>
    <n v="82.507499935291705"/>
    <n v="9"/>
    <d v="1997-06-26T00:00:00"/>
  </r>
  <r>
    <n v="10580"/>
    <x v="4"/>
    <n v="82.507499935291705"/>
    <n v="9"/>
    <d v="1997-06-26T00:00:00"/>
  </r>
  <r>
    <n v="10580"/>
    <x v="5"/>
    <n v="82.507499935291705"/>
    <n v="9"/>
    <d v="1997-06-26T00:00:00"/>
  </r>
  <r>
    <n v="10580"/>
    <x v="6"/>
    <n v="82.507499935291705"/>
    <n v="9"/>
    <d v="1997-06-26T00:00:00"/>
  </r>
  <r>
    <n v="10580"/>
    <x v="7"/>
    <n v="82.507499935291705"/>
    <n v="9"/>
    <d v="1997-06-26T00:00:00"/>
  </r>
  <r>
    <n v="10580"/>
    <x v="0"/>
    <n v="599.92499952949584"/>
    <n v="30"/>
    <d v="1997-06-26T00:00:00"/>
  </r>
  <r>
    <n v="10580"/>
    <x v="1"/>
    <n v="599.92499952949584"/>
    <n v="30"/>
    <d v="1997-06-26T00:00:00"/>
  </r>
  <r>
    <n v="10580"/>
    <x v="2"/>
    <n v="599.92499952949584"/>
    <n v="30"/>
    <d v="1997-06-26T00:00:00"/>
  </r>
  <r>
    <n v="10580"/>
    <x v="3"/>
    <n v="599.92499952949584"/>
    <n v="30"/>
    <d v="1997-06-26T00:00:00"/>
  </r>
  <r>
    <n v="10580"/>
    <x v="4"/>
    <n v="599.92499952949584"/>
    <n v="30"/>
    <d v="1997-06-26T00:00:00"/>
  </r>
  <r>
    <n v="10580"/>
    <x v="5"/>
    <n v="599.92499952949584"/>
    <n v="30"/>
    <d v="1997-06-26T00:00:00"/>
  </r>
  <r>
    <n v="10580"/>
    <x v="6"/>
    <n v="599.92499952949584"/>
    <n v="30"/>
    <d v="1997-06-26T00:00:00"/>
  </r>
  <r>
    <n v="10580"/>
    <x v="7"/>
    <n v="599.92499952949584"/>
    <n v="30"/>
    <d v="1997-06-26T00:00:00"/>
  </r>
  <r>
    <n v="10581"/>
    <x v="0"/>
    <n v="309.99999884516001"/>
    <n v="50"/>
    <d v="1997-06-26T00:00:00"/>
  </r>
  <r>
    <n v="10581"/>
    <x v="1"/>
    <n v="309.99999884516001"/>
    <n v="50"/>
    <d v="1997-06-26T00:00:00"/>
  </r>
  <r>
    <n v="10581"/>
    <x v="2"/>
    <n v="309.99999884516001"/>
    <n v="50"/>
    <d v="1997-06-26T00:00:00"/>
  </r>
  <r>
    <n v="10581"/>
    <x v="3"/>
    <n v="309.99999884516001"/>
    <n v="50"/>
    <d v="1997-06-26T00:00:00"/>
  </r>
  <r>
    <n v="10581"/>
    <x v="4"/>
    <n v="309.99999884516001"/>
    <n v="50"/>
    <d v="1997-06-26T00:00:00"/>
  </r>
  <r>
    <n v="10581"/>
    <x v="5"/>
    <n v="309.99999884516001"/>
    <n v="50"/>
    <d v="1997-06-26T00:00:00"/>
  </r>
  <r>
    <n v="10581"/>
    <x v="6"/>
    <n v="309.99999884516001"/>
    <n v="50"/>
    <d v="1997-06-26T00:00:00"/>
  </r>
  <r>
    <n v="10581"/>
    <x v="7"/>
    <n v="309.99999884516001"/>
    <n v="50"/>
    <d v="1997-06-26T00:00:00"/>
  </r>
  <r>
    <n v="10582"/>
    <x v="0"/>
    <n v="78"/>
    <n v="4"/>
    <d v="1997-06-27T00:00:00"/>
  </r>
  <r>
    <n v="10582"/>
    <x v="1"/>
    <n v="78"/>
    <n v="4"/>
    <d v="1997-06-27T00:00:00"/>
  </r>
  <r>
    <n v="10582"/>
    <x v="2"/>
    <n v="78"/>
    <n v="4"/>
    <d v="1997-06-27T00:00:00"/>
  </r>
  <r>
    <n v="10582"/>
    <x v="3"/>
    <n v="78"/>
    <n v="4"/>
    <d v="1997-06-27T00:00:00"/>
  </r>
  <r>
    <n v="10582"/>
    <x v="4"/>
    <n v="78"/>
    <n v="4"/>
    <d v="1997-06-27T00:00:00"/>
  </r>
  <r>
    <n v="10582"/>
    <x v="5"/>
    <n v="78"/>
    <n v="4"/>
    <d v="1997-06-27T00:00:00"/>
  </r>
  <r>
    <n v="10582"/>
    <x v="6"/>
    <n v="78"/>
    <n v="4"/>
    <d v="1997-06-27T00:00:00"/>
  </r>
  <r>
    <n v="10582"/>
    <x v="7"/>
    <n v="78"/>
    <n v="4"/>
    <d v="1997-06-27T00:00:00"/>
  </r>
  <r>
    <n v="10582"/>
    <x v="0"/>
    <n v="252"/>
    <n v="14"/>
    <d v="1997-06-27T00:00:00"/>
  </r>
  <r>
    <n v="10582"/>
    <x v="1"/>
    <n v="252"/>
    <n v="14"/>
    <d v="1997-06-27T00:00:00"/>
  </r>
  <r>
    <n v="10582"/>
    <x v="2"/>
    <n v="252"/>
    <n v="14"/>
    <d v="1997-06-27T00:00:00"/>
  </r>
  <r>
    <n v="10582"/>
    <x v="3"/>
    <n v="252"/>
    <n v="14"/>
    <d v="1997-06-27T00:00:00"/>
  </r>
  <r>
    <n v="10582"/>
    <x v="4"/>
    <n v="252"/>
    <n v="14"/>
    <d v="1997-06-27T00:00:00"/>
  </r>
  <r>
    <n v="10582"/>
    <x v="5"/>
    <n v="252"/>
    <n v="14"/>
    <d v="1997-06-27T00:00:00"/>
  </r>
  <r>
    <n v="10582"/>
    <x v="6"/>
    <n v="252"/>
    <n v="14"/>
    <d v="1997-06-27T00:00:00"/>
  </r>
  <r>
    <n v="10582"/>
    <x v="7"/>
    <n v="252"/>
    <n v="14"/>
    <d v="1997-06-27T00:00:00"/>
  </r>
  <r>
    <n v="10583"/>
    <x v="0"/>
    <n v="1237.9000000000001"/>
    <n v="10"/>
    <d v="1997-06-30T00:00:00"/>
  </r>
  <r>
    <n v="10583"/>
    <x v="1"/>
    <n v="1237.9000000000001"/>
    <n v="10"/>
    <d v="1997-06-30T00:00:00"/>
  </r>
  <r>
    <n v="10583"/>
    <x v="2"/>
    <n v="1237.9000000000001"/>
    <n v="10"/>
    <d v="1997-06-30T00:00:00"/>
  </r>
  <r>
    <n v="10583"/>
    <x v="3"/>
    <n v="1237.9000000000001"/>
    <n v="10"/>
    <d v="1997-06-30T00:00:00"/>
  </r>
  <r>
    <n v="10583"/>
    <x v="4"/>
    <n v="1237.9000000000001"/>
    <n v="10"/>
    <d v="1997-06-30T00:00:00"/>
  </r>
  <r>
    <n v="10583"/>
    <x v="5"/>
    <n v="1237.9000000000001"/>
    <n v="10"/>
    <d v="1997-06-30T00:00:00"/>
  </r>
  <r>
    <n v="10583"/>
    <x v="6"/>
    <n v="1237.9000000000001"/>
    <n v="10"/>
    <d v="1997-06-30T00:00:00"/>
  </r>
  <r>
    <n v="10583"/>
    <x v="7"/>
    <n v="1237.9000000000001"/>
    <n v="10"/>
    <d v="1997-06-30T00:00:00"/>
  </r>
  <r>
    <n v="10583"/>
    <x v="0"/>
    <n v="693.59999513626099"/>
    <n v="24"/>
    <d v="1997-06-30T00:00:00"/>
  </r>
  <r>
    <n v="10583"/>
    <x v="1"/>
    <n v="693.59999513626099"/>
    <n v="24"/>
    <d v="1997-06-30T00:00:00"/>
  </r>
  <r>
    <n v="10583"/>
    <x v="2"/>
    <n v="693.59999513626099"/>
    <n v="24"/>
    <d v="1997-06-30T00:00:00"/>
  </r>
  <r>
    <n v="10583"/>
    <x v="3"/>
    <n v="693.59999513626099"/>
    <n v="24"/>
    <d v="1997-06-30T00:00:00"/>
  </r>
  <r>
    <n v="10583"/>
    <x v="4"/>
    <n v="693.59999513626099"/>
    <n v="24"/>
    <d v="1997-06-30T00:00:00"/>
  </r>
  <r>
    <n v="10583"/>
    <x v="5"/>
    <n v="693.59999513626099"/>
    <n v="24"/>
    <d v="1997-06-30T00:00:00"/>
  </r>
  <r>
    <n v="10583"/>
    <x v="6"/>
    <n v="693.59999513626099"/>
    <n v="24"/>
    <d v="1997-06-30T00:00:00"/>
  </r>
  <r>
    <n v="10583"/>
    <x v="7"/>
    <n v="693.59999513626099"/>
    <n v="24"/>
    <d v="1997-06-30T00:00:00"/>
  </r>
  <r>
    <n v="10583"/>
    <x v="0"/>
    <n v="305.99999785423279"/>
    <n v="10"/>
    <d v="1997-06-30T00:00:00"/>
  </r>
  <r>
    <n v="10583"/>
    <x v="1"/>
    <n v="305.99999785423279"/>
    <n v="10"/>
    <d v="1997-06-30T00:00:00"/>
  </r>
  <r>
    <n v="10583"/>
    <x v="2"/>
    <n v="305.99999785423279"/>
    <n v="10"/>
    <d v="1997-06-30T00:00:00"/>
  </r>
  <r>
    <n v="10583"/>
    <x v="3"/>
    <n v="305.99999785423279"/>
    <n v="10"/>
    <d v="1997-06-30T00:00:00"/>
  </r>
  <r>
    <n v="10583"/>
    <x v="4"/>
    <n v="305.99999785423279"/>
    <n v="10"/>
    <d v="1997-06-30T00:00:00"/>
  </r>
  <r>
    <n v="10583"/>
    <x v="5"/>
    <n v="305.99999785423279"/>
    <n v="10"/>
    <d v="1997-06-30T00:00:00"/>
  </r>
  <r>
    <n v="10583"/>
    <x v="6"/>
    <n v="305.99999785423279"/>
    <n v="10"/>
    <d v="1997-06-30T00:00:00"/>
  </r>
  <r>
    <n v="10583"/>
    <x v="7"/>
    <n v="305.99999785423279"/>
    <n v="10"/>
    <d v="1997-06-30T00:00:00"/>
  </r>
  <r>
    <n v="10584"/>
    <x v="0"/>
    <n v="593.74999953433871"/>
    <n v="50"/>
    <d v="1997-06-30T00:00:00"/>
  </r>
  <r>
    <n v="10584"/>
    <x v="1"/>
    <n v="593.74999953433871"/>
    <n v="50"/>
    <d v="1997-06-30T00:00:00"/>
  </r>
  <r>
    <n v="10584"/>
    <x v="2"/>
    <n v="593.74999953433871"/>
    <n v="50"/>
    <d v="1997-06-30T00:00:00"/>
  </r>
  <r>
    <n v="10584"/>
    <x v="3"/>
    <n v="593.74999953433871"/>
    <n v="50"/>
    <d v="1997-06-30T00:00:00"/>
  </r>
  <r>
    <n v="10584"/>
    <x v="4"/>
    <n v="593.74999953433871"/>
    <n v="50"/>
    <d v="1997-06-30T00:00:00"/>
  </r>
  <r>
    <n v="10584"/>
    <x v="5"/>
    <n v="593.74999953433871"/>
    <n v="50"/>
    <d v="1997-06-30T00:00:00"/>
  </r>
  <r>
    <n v="10584"/>
    <x v="6"/>
    <n v="593.74999953433871"/>
    <n v="50"/>
    <d v="1997-06-30T00:00:00"/>
  </r>
  <r>
    <n v="10584"/>
    <x v="7"/>
    <n v="593.74999953433871"/>
    <n v="50"/>
    <d v="1997-06-30T00:00:00"/>
  </r>
  <r>
    <n v="10585"/>
    <x v="0"/>
    <n v="142.5"/>
    <n v="15"/>
    <d v="1997-07-01T00:00:00"/>
  </r>
  <r>
    <n v="10585"/>
    <x v="1"/>
    <n v="142.5"/>
    <n v="15"/>
    <d v="1997-07-01T00:00:00"/>
  </r>
  <r>
    <n v="10585"/>
    <x v="2"/>
    <n v="142.5"/>
    <n v="15"/>
    <d v="1997-07-01T00:00:00"/>
  </r>
  <r>
    <n v="10585"/>
    <x v="3"/>
    <n v="142.5"/>
    <n v="15"/>
    <d v="1997-07-01T00:00:00"/>
  </r>
  <r>
    <n v="10585"/>
    <x v="4"/>
    <n v="142.5"/>
    <n v="15"/>
    <d v="1997-07-01T00:00:00"/>
  </r>
  <r>
    <n v="10585"/>
    <x v="5"/>
    <n v="142.5"/>
    <n v="15"/>
    <d v="1997-07-01T00:00:00"/>
  </r>
  <r>
    <n v="10585"/>
    <x v="6"/>
    <n v="142.5"/>
    <n v="15"/>
    <d v="1997-07-01T00:00:00"/>
  </r>
  <r>
    <n v="10585"/>
    <x v="7"/>
    <n v="142.5"/>
    <n v="15"/>
    <d v="1997-07-01T00:00:00"/>
  </r>
  <r>
    <n v="10586"/>
    <x v="0"/>
    <n v="23.799999833106995"/>
    <n v="4"/>
    <d v="1997-07-02T00:00:00"/>
  </r>
  <r>
    <n v="10586"/>
    <x v="1"/>
    <n v="23.799999833106995"/>
    <n v="4"/>
    <d v="1997-07-02T00:00:00"/>
  </r>
  <r>
    <n v="10586"/>
    <x v="2"/>
    <n v="23.799999833106995"/>
    <n v="4"/>
    <d v="1997-07-02T00:00:00"/>
  </r>
  <r>
    <n v="10586"/>
    <x v="3"/>
    <n v="23.799999833106995"/>
    <n v="4"/>
    <d v="1997-07-02T00:00:00"/>
  </r>
  <r>
    <n v="10586"/>
    <x v="4"/>
    <n v="23.799999833106995"/>
    <n v="4"/>
    <d v="1997-07-02T00:00:00"/>
  </r>
  <r>
    <n v="10586"/>
    <x v="5"/>
    <n v="23.799999833106995"/>
    <n v="4"/>
    <d v="1997-07-02T00:00:00"/>
  </r>
  <r>
    <n v="10586"/>
    <x v="6"/>
    <n v="23.799999833106995"/>
    <n v="4"/>
    <d v="1997-07-02T00:00:00"/>
  </r>
  <r>
    <n v="10586"/>
    <x v="7"/>
    <n v="23.799999833106995"/>
    <n v="4"/>
    <d v="1997-07-02T00:00:00"/>
  </r>
  <r>
    <n v="10587"/>
    <x v="0"/>
    <n v="187.38"/>
    <n v="6"/>
    <d v="1997-07-02T00:00:00"/>
  </r>
  <r>
    <n v="10587"/>
    <x v="1"/>
    <n v="187.38"/>
    <n v="6"/>
    <d v="1997-07-02T00:00:00"/>
  </r>
  <r>
    <n v="10587"/>
    <x v="2"/>
    <n v="187.38"/>
    <n v="6"/>
    <d v="1997-07-02T00:00:00"/>
  </r>
  <r>
    <n v="10587"/>
    <x v="3"/>
    <n v="187.38"/>
    <n v="6"/>
    <d v="1997-07-02T00:00:00"/>
  </r>
  <r>
    <n v="10587"/>
    <x v="4"/>
    <n v="187.38"/>
    <n v="6"/>
    <d v="1997-07-02T00:00:00"/>
  </r>
  <r>
    <n v="10587"/>
    <x v="5"/>
    <n v="187.38"/>
    <n v="6"/>
    <d v="1997-07-02T00:00:00"/>
  </r>
  <r>
    <n v="10587"/>
    <x v="6"/>
    <n v="187.38"/>
    <n v="6"/>
    <d v="1997-07-02T00:00:00"/>
  </r>
  <r>
    <n v="10587"/>
    <x v="7"/>
    <n v="187.38"/>
    <n v="6"/>
    <d v="1997-07-02T00:00:00"/>
  </r>
  <r>
    <n v="10587"/>
    <x v="0"/>
    <n v="360"/>
    <n v="20"/>
    <d v="1997-07-02T00:00:00"/>
  </r>
  <r>
    <n v="10587"/>
    <x v="1"/>
    <n v="360"/>
    <n v="20"/>
    <d v="1997-07-02T00:00:00"/>
  </r>
  <r>
    <n v="10587"/>
    <x v="2"/>
    <n v="360"/>
    <n v="20"/>
    <d v="1997-07-02T00:00:00"/>
  </r>
  <r>
    <n v="10587"/>
    <x v="3"/>
    <n v="360"/>
    <n v="20"/>
    <d v="1997-07-02T00:00:00"/>
  </r>
  <r>
    <n v="10587"/>
    <x v="4"/>
    <n v="360"/>
    <n v="20"/>
    <d v="1997-07-02T00:00:00"/>
  </r>
  <r>
    <n v="10587"/>
    <x v="5"/>
    <n v="360"/>
    <n v="20"/>
    <d v="1997-07-02T00:00:00"/>
  </r>
  <r>
    <n v="10587"/>
    <x v="6"/>
    <n v="360"/>
    <n v="20"/>
    <d v="1997-07-02T00:00:00"/>
  </r>
  <r>
    <n v="10587"/>
    <x v="7"/>
    <n v="360"/>
    <n v="20"/>
    <d v="1997-07-02T00:00:00"/>
  </r>
  <r>
    <n v="10587"/>
    <x v="0"/>
    <n v="260"/>
    <n v="20"/>
    <d v="1997-07-02T00:00:00"/>
  </r>
  <r>
    <n v="10587"/>
    <x v="1"/>
    <n v="260"/>
    <n v="20"/>
    <d v="1997-07-02T00:00:00"/>
  </r>
  <r>
    <n v="10587"/>
    <x v="2"/>
    <n v="260"/>
    <n v="20"/>
    <d v="1997-07-02T00:00:00"/>
  </r>
  <r>
    <n v="10587"/>
    <x v="3"/>
    <n v="260"/>
    <n v="20"/>
    <d v="1997-07-02T00:00:00"/>
  </r>
  <r>
    <n v="10587"/>
    <x v="4"/>
    <n v="260"/>
    <n v="20"/>
    <d v="1997-07-02T00:00:00"/>
  </r>
  <r>
    <n v="10587"/>
    <x v="5"/>
    <n v="260"/>
    <n v="20"/>
    <d v="1997-07-02T00:00:00"/>
  </r>
  <r>
    <n v="10587"/>
    <x v="6"/>
    <n v="260"/>
    <n v="20"/>
    <d v="1997-07-02T00:00:00"/>
  </r>
  <r>
    <n v="10587"/>
    <x v="7"/>
    <n v="260"/>
    <n v="20"/>
    <d v="1997-07-02T00:00:00"/>
  </r>
  <r>
    <n v="10588"/>
    <x v="0"/>
    <n v="1999.9999925494194"/>
    <n v="40"/>
    <d v="1997-07-03T00:00:00"/>
  </r>
  <r>
    <n v="10588"/>
    <x v="1"/>
    <n v="1999.9999925494194"/>
    <n v="40"/>
    <d v="1997-07-03T00:00:00"/>
  </r>
  <r>
    <n v="10588"/>
    <x v="2"/>
    <n v="1999.9999925494194"/>
    <n v="40"/>
    <d v="1997-07-03T00:00:00"/>
  </r>
  <r>
    <n v="10588"/>
    <x v="3"/>
    <n v="1999.9999925494194"/>
    <n v="40"/>
    <d v="1997-07-03T00:00:00"/>
  </r>
  <r>
    <n v="10588"/>
    <x v="4"/>
    <n v="1999.9999925494194"/>
    <n v="40"/>
    <d v="1997-07-03T00:00:00"/>
  </r>
  <r>
    <n v="10588"/>
    <x v="5"/>
    <n v="1999.9999925494194"/>
    <n v="40"/>
    <d v="1997-07-03T00:00:00"/>
  </r>
  <r>
    <n v="10588"/>
    <x v="6"/>
    <n v="1999.9999925494194"/>
    <n v="40"/>
    <d v="1997-07-03T00:00:00"/>
  </r>
  <r>
    <n v="10588"/>
    <x v="7"/>
    <n v="1999.9999925494194"/>
    <n v="40"/>
    <d v="1997-07-03T00:00:00"/>
  </r>
  <r>
    <n v="10588"/>
    <x v="0"/>
    <n v="1119.9999958276749"/>
    <n v="100"/>
    <d v="1997-07-03T00:00:00"/>
  </r>
  <r>
    <n v="10588"/>
    <x v="1"/>
    <n v="1119.9999958276749"/>
    <n v="100"/>
    <d v="1997-07-03T00:00:00"/>
  </r>
  <r>
    <n v="10588"/>
    <x v="2"/>
    <n v="1119.9999958276749"/>
    <n v="100"/>
    <d v="1997-07-03T00:00:00"/>
  </r>
  <r>
    <n v="10588"/>
    <x v="3"/>
    <n v="1119.9999958276749"/>
    <n v="100"/>
    <d v="1997-07-03T00:00:00"/>
  </r>
  <r>
    <n v="10588"/>
    <x v="4"/>
    <n v="1119.9999958276749"/>
    <n v="100"/>
    <d v="1997-07-03T00:00:00"/>
  </r>
  <r>
    <n v="10588"/>
    <x v="5"/>
    <n v="1119.9999958276749"/>
    <n v="100"/>
    <d v="1997-07-03T00:00:00"/>
  </r>
  <r>
    <n v="10588"/>
    <x v="6"/>
    <n v="1119.9999958276749"/>
    <n v="100"/>
    <d v="1997-07-03T00:00:00"/>
  </r>
  <r>
    <n v="10588"/>
    <x v="7"/>
    <n v="1119.9999958276749"/>
    <n v="100"/>
    <d v="1997-07-03T00:00:00"/>
  </r>
  <r>
    <n v="10589"/>
    <x v="0"/>
    <n v="72"/>
    <n v="4"/>
    <d v="1997-07-04T00:00:00"/>
  </r>
  <r>
    <n v="10589"/>
    <x v="1"/>
    <n v="72"/>
    <n v="4"/>
    <d v="1997-07-04T00:00:00"/>
  </r>
  <r>
    <n v="10589"/>
    <x v="2"/>
    <n v="72"/>
    <n v="4"/>
    <d v="1997-07-04T00:00:00"/>
  </r>
  <r>
    <n v="10589"/>
    <x v="3"/>
    <n v="72"/>
    <n v="4"/>
    <d v="1997-07-04T00:00:00"/>
  </r>
  <r>
    <n v="10589"/>
    <x v="4"/>
    <n v="72"/>
    <n v="4"/>
    <d v="1997-07-04T00:00:00"/>
  </r>
  <r>
    <n v="10589"/>
    <x v="5"/>
    <n v="72"/>
    <n v="4"/>
    <d v="1997-07-04T00:00:00"/>
  </r>
  <r>
    <n v="10589"/>
    <x v="6"/>
    <n v="72"/>
    <n v="4"/>
    <d v="1997-07-04T00:00:00"/>
  </r>
  <r>
    <n v="10589"/>
    <x v="7"/>
    <n v="72"/>
    <n v="4"/>
    <d v="1997-07-04T00:00:00"/>
  </r>
  <r>
    <n v="10590"/>
    <x v="0"/>
    <n v="360"/>
    <n v="20"/>
    <d v="1997-07-07T00:00:00"/>
  </r>
  <r>
    <n v="10590"/>
    <x v="1"/>
    <n v="360"/>
    <n v="20"/>
    <d v="1997-07-07T00:00:00"/>
  </r>
  <r>
    <n v="10590"/>
    <x v="2"/>
    <n v="360"/>
    <n v="20"/>
    <d v="1997-07-07T00:00:00"/>
  </r>
  <r>
    <n v="10590"/>
    <x v="3"/>
    <n v="360"/>
    <n v="20"/>
    <d v="1997-07-07T00:00:00"/>
  </r>
  <r>
    <n v="10590"/>
    <x v="4"/>
    <n v="360"/>
    <n v="20"/>
    <d v="1997-07-07T00:00:00"/>
  </r>
  <r>
    <n v="10590"/>
    <x v="5"/>
    <n v="360"/>
    <n v="20"/>
    <d v="1997-07-07T00:00:00"/>
  </r>
  <r>
    <n v="10590"/>
    <x v="6"/>
    <n v="360"/>
    <n v="20"/>
    <d v="1997-07-07T00:00:00"/>
  </r>
  <r>
    <n v="10590"/>
    <x v="7"/>
    <n v="360"/>
    <n v="20"/>
    <d v="1997-07-07T00:00:00"/>
  </r>
  <r>
    <n v="10590"/>
    <x v="0"/>
    <n v="740.99999941885471"/>
    <n v="60"/>
    <d v="1997-07-07T00:00:00"/>
  </r>
  <r>
    <n v="10590"/>
    <x v="1"/>
    <n v="740.99999941885471"/>
    <n v="60"/>
    <d v="1997-07-07T00:00:00"/>
  </r>
  <r>
    <n v="10590"/>
    <x v="2"/>
    <n v="740.99999941885471"/>
    <n v="60"/>
    <d v="1997-07-07T00:00:00"/>
  </r>
  <r>
    <n v="10590"/>
    <x v="3"/>
    <n v="740.99999941885471"/>
    <n v="60"/>
    <d v="1997-07-07T00:00:00"/>
  </r>
  <r>
    <n v="10590"/>
    <x v="4"/>
    <n v="740.99999941885471"/>
    <n v="60"/>
    <d v="1997-07-07T00:00:00"/>
  </r>
  <r>
    <n v="10590"/>
    <x v="5"/>
    <n v="740.99999941885471"/>
    <n v="60"/>
    <d v="1997-07-07T00:00:00"/>
  </r>
  <r>
    <n v="10590"/>
    <x v="6"/>
    <n v="740.99999941885471"/>
    <n v="60"/>
    <d v="1997-07-07T00:00:00"/>
  </r>
  <r>
    <n v="10590"/>
    <x v="7"/>
    <n v="740.99999941885471"/>
    <n v="60"/>
    <d v="1997-07-07T00:00:00"/>
  </r>
  <r>
    <n v="10591"/>
    <x v="0"/>
    <n v="140"/>
    <n v="14"/>
    <d v="1997-07-07T00:00:00"/>
  </r>
  <r>
    <n v="10591"/>
    <x v="1"/>
    <n v="140"/>
    <n v="14"/>
    <d v="1997-07-07T00:00:00"/>
  </r>
  <r>
    <n v="10591"/>
    <x v="2"/>
    <n v="140"/>
    <n v="14"/>
    <d v="1997-07-07T00:00:00"/>
  </r>
  <r>
    <n v="10591"/>
    <x v="3"/>
    <n v="140"/>
    <n v="14"/>
    <d v="1997-07-07T00:00:00"/>
  </r>
  <r>
    <n v="10591"/>
    <x v="4"/>
    <n v="140"/>
    <n v="14"/>
    <d v="1997-07-07T00:00:00"/>
  </r>
  <r>
    <n v="10591"/>
    <x v="5"/>
    <n v="140"/>
    <n v="14"/>
    <d v="1997-07-07T00:00:00"/>
  </r>
  <r>
    <n v="10591"/>
    <x v="6"/>
    <n v="140"/>
    <n v="14"/>
    <d v="1997-07-07T00:00:00"/>
  </r>
  <r>
    <n v="10591"/>
    <x v="7"/>
    <n v="140"/>
    <n v="14"/>
    <d v="1997-07-07T00:00:00"/>
  </r>
  <r>
    <n v="10591"/>
    <x v="0"/>
    <n v="300"/>
    <n v="10"/>
    <d v="1997-07-07T00:00:00"/>
  </r>
  <r>
    <n v="10591"/>
    <x v="1"/>
    <n v="300"/>
    <n v="10"/>
    <d v="1997-07-07T00:00:00"/>
  </r>
  <r>
    <n v="10591"/>
    <x v="2"/>
    <n v="300"/>
    <n v="10"/>
    <d v="1997-07-07T00:00:00"/>
  </r>
  <r>
    <n v="10591"/>
    <x v="3"/>
    <n v="300"/>
    <n v="10"/>
    <d v="1997-07-07T00:00:00"/>
  </r>
  <r>
    <n v="10591"/>
    <x v="4"/>
    <n v="300"/>
    <n v="10"/>
    <d v="1997-07-07T00:00:00"/>
  </r>
  <r>
    <n v="10591"/>
    <x v="5"/>
    <n v="300"/>
    <n v="10"/>
    <d v="1997-07-07T00:00:00"/>
  </r>
  <r>
    <n v="10591"/>
    <x v="6"/>
    <n v="300"/>
    <n v="10"/>
    <d v="1997-07-07T00:00:00"/>
  </r>
  <r>
    <n v="10591"/>
    <x v="7"/>
    <n v="300"/>
    <n v="10"/>
    <d v="1997-07-07T00:00:00"/>
  </r>
  <r>
    <n v="10591"/>
    <x v="0"/>
    <n v="372.5"/>
    <n v="50"/>
    <d v="1997-07-07T00:00:00"/>
  </r>
  <r>
    <n v="10591"/>
    <x v="1"/>
    <n v="372.5"/>
    <n v="50"/>
    <d v="1997-07-07T00:00:00"/>
  </r>
  <r>
    <n v="10591"/>
    <x v="2"/>
    <n v="372.5"/>
    <n v="50"/>
    <d v="1997-07-07T00:00:00"/>
  </r>
  <r>
    <n v="10591"/>
    <x v="3"/>
    <n v="372.5"/>
    <n v="50"/>
    <d v="1997-07-07T00:00:00"/>
  </r>
  <r>
    <n v="10591"/>
    <x v="4"/>
    <n v="372.5"/>
    <n v="50"/>
    <d v="1997-07-07T00:00:00"/>
  </r>
  <r>
    <n v="10591"/>
    <x v="5"/>
    <n v="372.5"/>
    <n v="50"/>
    <d v="1997-07-07T00:00:00"/>
  </r>
  <r>
    <n v="10591"/>
    <x v="6"/>
    <n v="372.5"/>
    <n v="50"/>
    <d v="1997-07-07T00:00:00"/>
  </r>
  <r>
    <n v="10591"/>
    <x v="7"/>
    <n v="372.5"/>
    <n v="50"/>
    <d v="1997-07-07T00:00:00"/>
  </r>
  <r>
    <n v="10592"/>
    <x v="0"/>
    <n v="368.12499971129"/>
    <n v="25"/>
    <d v="1997-07-08T00:00:00"/>
  </r>
  <r>
    <n v="10592"/>
    <x v="1"/>
    <n v="368.12499971129"/>
    <n v="25"/>
    <d v="1997-07-08T00:00:00"/>
  </r>
  <r>
    <n v="10592"/>
    <x v="2"/>
    <n v="368.12499971129"/>
    <n v="25"/>
    <d v="1997-07-08T00:00:00"/>
  </r>
  <r>
    <n v="10592"/>
    <x v="3"/>
    <n v="368.12499971129"/>
    <n v="25"/>
    <d v="1997-07-08T00:00:00"/>
  </r>
  <r>
    <n v="10592"/>
    <x v="4"/>
    <n v="368.12499971129"/>
    <n v="25"/>
    <d v="1997-07-08T00:00:00"/>
  </r>
  <r>
    <n v="10592"/>
    <x v="5"/>
    <n v="368.12499971129"/>
    <n v="25"/>
    <d v="1997-07-08T00:00:00"/>
  </r>
  <r>
    <n v="10592"/>
    <x v="6"/>
    <n v="368.12499971129"/>
    <n v="25"/>
    <d v="1997-07-08T00:00:00"/>
  </r>
  <r>
    <n v="10592"/>
    <x v="7"/>
    <n v="368.12499971129"/>
    <n v="25"/>
    <d v="1997-07-08T00:00:00"/>
  </r>
  <r>
    <n v="10592"/>
    <x v="0"/>
    <n v="148.3424998836592"/>
    <n v="5"/>
    <d v="1997-07-08T00:00:00"/>
  </r>
  <r>
    <n v="10592"/>
    <x v="1"/>
    <n v="148.3424998836592"/>
    <n v="5"/>
    <d v="1997-07-08T00:00:00"/>
  </r>
  <r>
    <n v="10592"/>
    <x v="2"/>
    <n v="148.3424998836592"/>
    <n v="5"/>
    <d v="1997-07-08T00:00:00"/>
  </r>
  <r>
    <n v="10592"/>
    <x v="3"/>
    <n v="148.3424998836592"/>
    <n v="5"/>
    <d v="1997-07-08T00:00:00"/>
  </r>
  <r>
    <n v="10592"/>
    <x v="4"/>
    <n v="148.3424998836592"/>
    <n v="5"/>
    <d v="1997-07-08T00:00:00"/>
  </r>
  <r>
    <n v="10592"/>
    <x v="5"/>
    <n v="148.3424998836592"/>
    <n v="5"/>
    <d v="1997-07-08T00:00:00"/>
  </r>
  <r>
    <n v="10592"/>
    <x v="6"/>
    <n v="148.3424998836592"/>
    <n v="5"/>
    <d v="1997-07-08T00:00:00"/>
  </r>
  <r>
    <n v="10592"/>
    <x v="7"/>
    <n v="148.3424998836592"/>
    <n v="5"/>
    <d v="1997-07-08T00:00:00"/>
  </r>
  <r>
    <n v="10593"/>
    <x v="0"/>
    <n v="1360.799994930625"/>
    <n v="21"/>
    <d v="1997-07-09T00:00:00"/>
  </r>
  <r>
    <n v="10593"/>
    <x v="1"/>
    <n v="1360.799994930625"/>
    <n v="21"/>
    <d v="1997-07-09T00:00:00"/>
  </r>
  <r>
    <n v="10593"/>
    <x v="2"/>
    <n v="1360.799994930625"/>
    <n v="21"/>
    <d v="1997-07-09T00:00:00"/>
  </r>
  <r>
    <n v="10593"/>
    <x v="3"/>
    <n v="1360.799994930625"/>
    <n v="21"/>
    <d v="1997-07-09T00:00:00"/>
  </r>
  <r>
    <n v="10593"/>
    <x v="4"/>
    <n v="1360.799994930625"/>
    <n v="21"/>
    <d v="1997-07-09T00:00:00"/>
  </r>
  <r>
    <n v="10593"/>
    <x v="5"/>
    <n v="1360.799994930625"/>
    <n v="21"/>
    <d v="1997-07-09T00:00:00"/>
  </r>
  <r>
    <n v="10593"/>
    <x v="6"/>
    <n v="1360.799994930625"/>
    <n v="21"/>
    <d v="1997-07-09T00:00:00"/>
  </r>
  <r>
    <n v="10593"/>
    <x v="7"/>
    <n v="1360.799994930625"/>
    <n v="21"/>
    <d v="1997-07-09T00:00:00"/>
  </r>
  <r>
    <n v="10593"/>
    <x v="0"/>
    <n v="575.99999785423279"/>
    <n v="20"/>
    <d v="1997-07-09T00:00:00"/>
  </r>
  <r>
    <n v="10593"/>
    <x v="1"/>
    <n v="575.99999785423279"/>
    <n v="20"/>
    <d v="1997-07-09T00:00:00"/>
  </r>
  <r>
    <n v="10593"/>
    <x v="2"/>
    <n v="575.99999785423279"/>
    <n v="20"/>
    <d v="1997-07-09T00:00:00"/>
  </r>
  <r>
    <n v="10593"/>
    <x v="3"/>
    <n v="575.99999785423279"/>
    <n v="20"/>
    <d v="1997-07-09T00:00:00"/>
  </r>
  <r>
    <n v="10593"/>
    <x v="4"/>
    <n v="575.99999785423279"/>
    <n v="20"/>
    <d v="1997-07-09T00:00:00"/>
  </r>
  <r>
    <n v="10593"/>
    <x v="5"/>
    <n v="575.99999785423279"/>
    <n v="20"/>
    <d v="1997-07-09T00:00:00"/>
  </r>
  <r>
    <n v="10593"/>
    <x v="6"/>
    <n v="575.99999785423279"/>
    <n v="20"/>
    <d v="1997-07-09T00:00:00"/>
  </r>
  <r>
    <n v="10593"/>
    <x v="7"/>
    <n v="575.99999785423279"/>
    <n v="20"/>
    <d v="1997-07-09T00:00:00"/>
  </r>
  <r>
    <n v="10593"/>
    <x v="0"/>
    <n v="57.599999785423279"/>
    <n v="4"/>
    <d v="1997-07-09T00:00:00"/>
  </r>
  <r>
    <n v="10593"/>
    <x v="1"/>
    <n v="57.599999785423279"/>
    <n v="4"/>
    <d v="1997-07-09T00:00:00"/>
  </r>
  <r>
    <n v="10593"/>
    <x v="2"/>
    <n v="57.599999785423279"/>
    <n v="4"/>
    <d v="1997-07-09T00:00:00"/>
  </r>
  <r>
    <n v="10593"/>
    <x v="3"/>
    <n v="57.599999785423279"/>
    <n v="4"/>
    <d v="1997-07-09T00:00:00"/>
  </r>
  <r>
    <n v="10593"/>
    <x v="4"/>
    <n v="57.599999785423279"/>
    <n v="4"/>
    <d v="1997-07-09T00:00:00"/>
  </r>
  <r>
    <n v="10593"/>
    <x v="5"/>
    <n v="57.599999785423279"/>
    <n v="4"/>
    <d v="1997-07-09T00:00:00"/>
  </r>
  <r>
    <n v="10593"/>
    <x v="6"/>
    <n v="57.599999785423279"/>
    <n v="4"/>
    <d v="1997-07-09T00:00:00"/>
  </r>
  <r>
    <n v="10593"/>
    <x v="7"/>
    <n v="57.599999785423279"/>
    <n v="4"/>
    <d v="1997-07-09T00:00:00"/>
  </r>
  <r>
    <n v="10594"/>
    <x v="0"/>
    <n v="168"/>
    <n v="24"/>
    <d v="1997-07-09T00:00:00"/>
  </r>
  <r>
    <n v="10594"/>
    <x v="1"/>
    <n v="168"/>
    <n v="24"/>
    <d v="1997-07-09T00:00:00"/>
  </r>
  <r>
    <n v="10594"/>
    <x v="2"/>
    <n v="168"/>
    <n v="24"/>
    <d v="1997-07-09T00:00:00"/>
  </r>
  <r>
    <n v="10594"/>
    <x v="3"/>
    <n v="168"/>
    <n v="24"/>
    <d v="1997-07-09T00:00:00"/>
  </r>
  <r>
    <n v="10594"/>
    <x v="4"/>
    <n v="168"/>
    <n v="24"/>
    <d v="1997-07-09T00:00:00"/>
  </r>
  <r>
    <n v="10594"/>
    <x v="5"/>
    <n v="168"/>
    <n v="24"/>
    <d v="1997-07-09T00:00:00"/>
  </r>
  <r>
    <n v="10594"/>
    <x v="6"/>
    <n v="168"/>
    <n v="24"/>
    <d v="1997-07-09T00:00:00"/>
  </r>
  <r>
    <n v="10594"/>
    <x v="7"/>
    <n v="168"/>
    <n v="24"/>
    <d v="1997-07-09T00:00:00"/>
  </r>
  <r>
    <n v="10594"/>
    <x v="0"/>
    <n v="397.5"/>
    <n v="30"/>
    <d v="1997-07-09T00:00:00"/>
  </r>
  <r>
    <n v="10594"/>
    <x v="1"/>
    <n v="397.5"/>
    <n v="30"/>
    <d v="1997-07-09T00:00:00"/>
  </r>
  <r>
    <n v="10594"/>
    <x v="2"/>
    <n v="397.5"/>
    <n v="30"/>
    <d v="1997-07-09T00:00:00"/>
  </r>
  <r>
    <n v="10594"/>
    <x v="3"/>
    <n v="397.5"/>
    <n v="30"/>
    <d v="1997-07-09T00:00:00"/>
  </r>
  <r>
    <n v="10594"/>
    <x v="4"/>
    <n v="397.5"/>
    <n v="30"/>
    <d v="1997-07-09T00:00:00"/>
  </r>
  <r>
    <n v="10594"/>
    <x v="5"/>
    <n v="397.5"/>
    <n v="30"/>
    <d v="1997-07-09T00:00:00"/>
  </r>
  <r>
    <n v="10594"/>
    <x v="6"/>
    <n v="397.5"/>
    <n v="30"/>
    <d v="1997-07-09T00:00:00"/>
  </r>
  <r>
    <n v="10594"/>
    <x v="7"/>
    <n v="397.5"/>
    <n v="30"/>
    <d v="1997-07-09T00:00:00"/>
  </r>
  <r>
    <n v="10595"/>
    <x v="0"/>
    <n v="405"/>
    <n v="30"/>
    <d v="1997-07-10T00:00:00"/>
  </r>
  <r>
    <n v="10595"/>
    <x v="1"/>
    <n v="405"/>
    <n v="30"/>
    <d v="1997-07-10T00:00:00"/>
  </r>
  <r>
    <n v="10595"/>
    <x v="2"/>
    <n v="405"/>
    <n v="30"/>
    <d v="1997-07-10T00:00:00"/>
  </r>
  <r>
    <n v="10595"/>
    <x v="3"/>
    <n v="405"/>
    <n v="30"/>
    <d v="1997-07-10T00:00:00"/>
  </r>
  <r>
    <n v="10595"/>
    <x v="4"/>
    <n v="405"/>
    <n v="30"/>
    <d v="1997-07-10T00:00:00"/>
  </r>
  <r>
    <n v="10595"/>
    <x v="5"/>
    <n v="405"/>
    <n v="30"/>
    <d v="1997-07-10T00:00:00"/>
  </r>
  <r>
    <n v="10595"/>
    <x v="6"/>
    <n v="405"/>
    <n v="30"/>
    <d v="1997-07-10T00:00:00"/>
  </r>
  <r>
    <n v="10595"/>
    <x v="7"/>
    <n v="405"/>
    <n v="30"/>
    <d v="1997-07-10T00:00:00"/>
  </r>
  <r>
    <n v="10595"/>
    <x v="0"/>
    <n v="2565"/>
    <n v="120"/>
    <d v="1997-07-10T00:00:00"/>
  </r>
  <r>
    <n v="10595"/>
    <x v="1"/>
    <n v="2565"/>
    <n v="120"/>
    <d v="1997-07-10T00:00:00"/>
  </r>
  <r>
    <n v="10595"/>
    <x v="2"/>
    <n v="2565"/>
    <n v="120"/>
    <d v="1997-07-10T00:00:00"/>
  </r>
  <r>
    <n v="10595"/>
    <x v="3"/>
    <n v="2565"/>
    <n v="120"/>
    <d v="1997-07-10T00:00:00"/>
  </r>
  <r>
    <n v="10595"/>
    <x v="4"/>
    <n v="2565"/>
    <n v="120"/>
    <d v="1997-07-10T00:00:00"/>
  </r>
  <r>
    <n v="10595"/>
    <x v="5"/>
    <n v="2565"/>
    <n v="120"/>
    <d v="1997-07-10T00:00:00"/>
  </r>
  <r>
    <n v="10595"/>
    <x v="6"/>
    <n v="2565"/>
    <n v="120"/>
    <d v="1997-07-10T00:00:00"/>
  </r>
  <r>
    <n v="10595"/>
    <x v="7"/>
    <n v="2565"/>
    <n v="120"/>
    <d v="1997-07-10T00:00:00"/>
  </r>
  <r>
    <n v="10595"/>
    <x v="0"/>
    <n v="1755"/>
    <n v="65"/>
    <d v="1997-07-10T00:00:00"/>
  </r>
  <r>
    <n v="10595"/>
    <x v="1"/>
    <n v="1755"/>
    <n v="65"/>
    <d v="1997-07-10T00:00:00"/>
  </r>
  <r>
    <n v="10595"/>
    <x v="2"/>
    <n v="1755"/>
    <n v="65"/>
    <d v="1997-07-10T00:00:00"/>
  </r>
  <r>
    <n v="10595"/>
    <x v="3"/>
    <n v="1755"/>
    <n v="65"/>
    <d v="1997-07-10T00:00:00"/>
  </r>
  <r>
    <n v="10595"/>
    <x v="4"/>
    <n v="1755"/>
    <n v="65"/>
    <d v="1997-07-10T00:00:00"/>
  </r>
  <r>
    <n v="10595"/>
    <x v="5"/>
    <n v="1755"/>
    <n v="65"/>
    <d v="1997-07-10T00:00:00"/>
  </r>
  <r>
    <n v="10595"/>
    <x v="6"/>
    <n v="1755"/>
    <n v="65"/>
    <d v="1997-07-10T00:00:00"/>
  </r>
  <r>
    <n v="10595"/>
    <x v="7"/>
    <n v="1755"/>
    <n v="65"/>
    <d v="1997-07-10T00:00:00"/>
  </r>
  <r>
    <n v="10596"/>
    <x v="0"/>
    <n v="151.99999943375587"/>
    <n v="5"/>
    <d v="1997-07-11T00:00:00"/>
  </r>
  <r>
    <n v="10596"/>
    <x v="1"/>
    <n v="151.99999943375587"/>
    <n v="5"/>
    <d v="1997-07-11T00:00:00"/>
  </r>
  <r>
    <n v="10596"/>
    <x v="2"/>
    <n v="151.99999943375587"/>
    <n v="5"/>
    <d v="1997-07-11T00:00:00"/>
  </r>
  <r>
    <n v="10596"/>
    <x v="3"/>
    <n v="151.99999943375587"/>
    <n v="5"/>
    <d v="1997-07-11T00:00:00"/>
  </r>
  <r>
    <n v="10596"/>
    <x v="4"/>
    <n v="151.99999943375587"/>
    <n v="5"/>
    <d v="1997-07-11T00:00:00"/>
  </r>
  <r>
    <n v="10596"/>
    <x v="5"/>
    <n v="151.99999943375587"/>
    <n v="5"/>
    <d v="1997-07-11T00:00:00"/>
  </r>
  <r>
    <n v="10596"/>
    <x v="6"/>
    <n v="151.99999943375587"/>
    <n v="5"/>
    <d v="1997-07-11T00:00:00"/>
  </r>
  <r>
    <n v="10596"/>
    <x v="7"/>
    <n v="151.99999943375587"/>
    <n v="5"/>
    <d v="1997-07-11T00:00:00"/>
  </r>
  <r>
    <n v="10596"/>
    <x v="0"/>
    <n v="842.87999686002729"/>
    <n v="24"/>
    <d v="1997-07-11T00:00:00"/>
  </r>
  <r>
    <n v="10596"/>
    <x v="1"/>
    <n v="842.87999686002729"/>
    <n v="24"/>
    <d v="1997-07-11T00:00:00"/>
  </r>
  <r>
    <n v="10596"/>
    <x v="2"/>
    <n v="842.87999686002729"/>
    <n v="24"/>
    <d v="1997-07-11T00:00:00"/>
  </r>
  <r>
    <n v="10596"/>
    <x v="3"/>
    <n v="842.87999686002729"/>
    <n v="24"/>
    <d v="1997-07-11T00:00:00"/>
  </r>
  <r>
    <n v="10596"/>
    <x v="4"/>
    <n v="842.87999686002729"/>
    <n v="24"/>
    <d v="1997-07-11T00:00:00"/>
  </r>
  <r>
    <n v="10596"/>
    <x v="5"/>
    <n v="842.87999686002729"/>
    <n v="24"/>
    <d v="1997-07-11T00:00:00"/>
  </r>
  <r>
    <n v="10596"/>
    <x v="6"/>
    <n v="842.87999686002729"/>
    <n v="24"/>
    <d v="1997-07-11T00:00:00"/>
  </r>
  <r>
    <n v="10596"/>
    <x v="7"/>
    <n v="842.87999686002729"/>
    <n v="24"/>
    <d v="1997-07-11T00:00:00"/>
  </r>
  <r>
    <n v="10596"/>
    <x v="0"/>
    <n v="185.999999307096"/>
    <n v="30"/>
    <d v="1997-07-11T00:00:00"/>
  </r>
  <r>
    <n v="10596"/>
    <x v="1"/>
    <n v="185.999999307096"/>
    <n v="30"/>
    <d v="1997-07-11T00:00:00"/>
  </r>
  <r>
    <n v="10596"/>
    <x v="2"/>
    <n v="185.999999307096"/>
    <n v="30"/>
    <d v="1997-07-11T00:00:00"/>
  </r>
  <r>
    <n v="10596"/>
    <x v="3"/>
    <n v="185.999999307096"/>
    <n v="30"/>
    <d v="1997-07-11T00:00:00"/>
  </r>
  <r>
    <n v="10596"/>
    <x v="4"/>
    <n v="185.999999307096"/>
    <n v="30"/>
    <d v="1997-07-11T00:00:00"/>
  </r>
  <r>
    <n v="10596"/>
    <x v="5"/>
    <n v="185.999999307096"/>
    <n v="30"/>
    <d v="1997-07-11T00:00:00"/>
  </r>
  <r>
    <n v="10596"/>
    <x v="6"/>
    <n v="185.999999307096"/>
    <n v="30"/>
    <d v="1997-07-11T00:00:00"/>
  </r>
  <r>
    <n v="10596"/>
    <x v="7"/>
    <n v="185.999999307096"/>
    <n v="30"/>
    <d v="1997-07-11T00:00:00"/>
  </r>
  <r>
    <n v="10597"/>
    <x v="0"/>
    <n v="125.99999953061342"/>
    <n v="35"/>
    <d v="1997-07-11T00:00:00"/>
  </r>
  <r>
    <n v="10597"/>
    <x v="1"/>
    <n v="125.99999953061342"/>
    <n v="35"/>
    <d v="1997-07-11T00:00:00"/>
  </r>
  <r>
    <n v="10597"/>
    <x v="2"/>
    <n v="125.99999953061342"/>
    <n v="35"/>
    <d v="1997-07-11T00:00:00"/>
  </r>
  <r>
    <n v="10597"/>
    <x v="3"/>
    <n v="125.99999953061342"/>
    <n v="35"/>
    <d v="1997-07-11T00:00:00"/>
  </r>
  <r>
    <n v="10597"/>
    <x v="4"/>
    <n v="125.99999953061342"/>
    <n v="35"/>
    <d v="1997-07-11T00:00:00"/>
  </r>
  <r>
    <n v="10597"/>
    <x v="5"/>
    <n v="125.99999953061342"/>
    <n v="35"/>
    <d v="1997-07-11T00:00:00"/>
  </r>
  <r>
    <n v="10597"/>
    <x v="6"/>
    <n v="125.99999953061342"/>
    <n v="35"/>
    <d v="1997-07-11T00:00:00"/>
  </r>
  <r>
    <n v="10597"/>
    <x v="7"/>
    <n v="125.99999953061342"/>
    <n v="35"/>
    <d v="1997-07-11T00:00:00"/>
  </r>
  <r>
    <n v="10597"/>
    <x v="0"/>
    <n v="390"/>
    <n v="20"/>
    <d v="1997-07-11T00:00:00"/>
  </r>
  <r>
    <n v="10597"/>
    <x v="1"/>
    <n v="390"/>
    <n v="20"/>
    <d v="1997-07-11T00:00:00"/>
  </r>
  <r>
    <n v="10597"/>
    <x v="2"/>
    <n v="390"/>
    <n v="20"/>
    <d v="1997-07-11T00:00:00"/>
  </r>
  <r>
    <n v="10597"/>
    <x v="3"/>
    <n v="390"/>
    <n v="20"/>
    <d v="1997-07-11T00:00:00"/>
  </r>
  <r>
    <n v="10597"/>
    <x v="4"/>
    <n v="390"/>
    <n v="20"/>
    <d v="1997-07-11T00:00:00"/>
  </r>
  <r>
    <n v="10597"/>
    <x v="5"/>
    <n v="390"/>
    <n v="20"/>
    <d v="1997-07-11T00:00:00"/>
  </r>
  <r>
    <n v="10597"/>
    <x v="6"/>
    <n v="390"/>
    <n v="20"/>
    <d v="1997-07-11T00:00:00"/>
  </r>
  <r>
    <n v="10597"/>
    <x v="7"/>
    <n v="390"/>
    <n v="20"/>
    <d v="1997-07-11T00:00:00"/>
  </r>
  <r>
    <n v="10597"/>
    <x v="0"/>
    <n v="202.07999924719334"/>
    <n v="12"/>
    <d v="1997-07-11T00:00:00"/>
  </r>
  <r>
    <n v="10597"/>
    <x v="1"/>
    <n v="202.07999924719334"/>
    <n v="12"/>
    <d v="1997-07-11T00:00:00"/>
  </r>
  <r>
    <n v="10597"/>
    <x v="2"/>
    <n v="202.07999924719334"/>
    <n v="12"/>
    <d v="1997-07-11T00:00:00"/>
  </r>
  <r>
    <n v="10597"/>
    <x v="3"/>
    <n v="202.07999924719334"/>
    <n v="12"/>
    <d v="1997-07-11T00:00:00"/>
  </r>
  <r>
    <n v="10597"/>
    <x v="4"/>
    <n v="202.07999924719334"/>
    <n v="12"/>
    <d v="1997-07-11T00:00:00"/>
  </r>
  <r>
    <n v="10597"/>
    <x v="5"/>
    <n v="202.07999924719334"/>
    <n v="12"/>
    <d v="1997-07-11T00:00:00"/>
  </r>
  <r>
    <n v="10597"/>
    <x v="6"/>
    <n v="202.07999924719334"/>
    <n v="12"/>
    <d v="1997-07-11T00:00:00"/>
  </r>
  <r>
    <n v="10597"/>
    <x v="7"/>
    <n v="202.07999924719334"/>
    <n v="12"/>
    <d v="1997-07-11T00:00:00"/>
  </r>
  <r>
    <n v="10598"/>
    <x v="0"/>
    <n v="2195"/>
    <n v="50"/>
    <d v="1997-07-14T00:00:00"/>
  </r>
  <r>
    <n v="10598"/>
    <x v="1"/>
    <n v="2195"/>
    <n v="50"/>
    <d v="1997-07-14T00:00:00"/>
  </r>
  <r>
    <n v="10598"/>
    <x v="2"/>
    <n v="2195"/>
    <n v="50"/>
    <d v="1997-07-14T00:00:00"/>
  </r>
  <r>
    <n v="10598"/>
    <x v="3"/>
    <n v="2195"/>
    <n v="50"/>
    <d v="1997-07-14T00:00:00"/>
  </r>
  <r>
    <n v="10598"/>
    <x v="4"/>
    <n v="2195"/>
    <n v="50"/>
    <d v="1997-07-14T00:00:00"/>
  </r>
  <r>
    <n v="10598"/>
    <x v="5"/>
    <n v="2195"/>
    <n v="50"/>
    <d v="1997-07-14T00:00:00"/>
  </r>
  <r>
    <n v="10598"/>
    <x v="6"/>
    <n v="2195"/>
    <n v="50"/>
    <d v="1997-07-14T00:00:00"/>
  </r>
  <r>
    <n v="10598"/>
    <x v="7"/>
    <n v="2195"/>
    <n v="50"/>
    <d v="1997-07-14T00:00:00"/>
  </r>
  <r>
    <n v="10598"/>
    <x v="0"/>
    <n v="193.5"/>
    <n v="9"/>
    <d v="1997-07-14T00:00:00"/>
  </r>
  <r>
    <n v="10598"/>
    <x v="1"/>
    <n v="193.5"/>
    <n v="9"/>
    <d v="1997-07-14T00:00:00"/>
  </r>
  <r>
    <n v="10598"/>
    <x v="2"/>
    <n v="193.5"/>
    <n v="9"/>
    <d v="1997-07-14T00:00:00"/>
  </r>
  <r>
    <n v="10598"/>
    <x v="3"/>
    <n v="193.5"/>
    <n v="9"/>
    <d v="1997-07-14T00:00:00"/>
  </r>
  <r>
    <n v="10598"/>
    <x v="4"/>
    <n v="193.5"/>
    <n v="9"/>
    <d v="1997-07-14T00:00:00"/>
  </r>
  <r>
    <n v="10598"/>
    <x v="5"/>
    <n v="193.5"/>
    <n v="9"/>
    <d v="1997-07-14T00:00:00"/>
  </r>
  <r>
    <n v="10598"/>
    <x v="6"/>
    <n v="193.5"/>
    <n v="9"/>
    <d v="1997-07-14T00:00:00"/>
  </r>
  <r>
    <n v="10598"/>
    <x v="7"/>
    <n v="193.5"/>
    <n v="9"/>
    <d v="1997-07-14T00:00:00"/>
  </r>
  <r>
    <n v="10599"/>
    <x v="0"/>
    <n v="493"/>
    <n v="10"/>
    <d v="1997-07-15T00:00:00"/>
  </r>
  <r>
    <n v="10599"/>
    <x v="1"/>
    <n v="493"/>
    <n v="10"/>
    <d v="1997-07-15T00:00:00"/>
  </r>
  <r>
    <n v="10599"/>
    <x v="2"/>
    <n v="493"/>
    <n v="10"/>
    <d v="1997-07-15T00:00:00"/>
  </r>
  <r>
    <n v="10599"/>
    <x v="3"/>
    <n v="493"/>
    <n v="10"/>
    <d v="1997-07-15T00:00:00"/>
  </r>
  <r>
    <n v="10599"/>
    <x v="4"/>
    <n v="493"/>
    <n v="10"/>
    <d v="1997-07-15T00:00:00"/>
  </r>
  <r>
    <n v="10599"/>
    <x v="5"/>
    <n v="493"/>
    <n v="10"/>
    <d v="1997-07-15T00:00:00"/>
  </r>
  <r>
    <n v="10599"/>
    <x v="6"/>
    <n v="493"/>
    <n v="10"/>
    <d v="1997-07-15T00:00:00"/>
  </r>
  <r>
    <n v="10599"/>
    <x v="7"/>
    <n v="493"/>
    <n v="10"/>
    <d v="1997-07-15T00:00:00"/>
  </r>
  <r>
    <n v="10600"/>
    <x v="0"/>
    <n v="29.8"/>
    <n v="4"/>
    <d v="1997-07-16T00:00:00"/>
  </r>
  <r>
    <n v="10600"/>
    <x v="1"/>
    <n v="29.8"/>
    <n v="4"/>
    <d v="1997-07-16T00:00:00"/>
  </r>
  <r>
    <n v="10600"/>
    <x v="2"/>
    <n v="29.8"/>
    <n v="4"/>
    <d v="1997-07-16T00:00:00"/>
  </r>
  <r>
    <n v="10600"/>
    <x v="3"/>
    <n v="29.8"/>
    <n v="4"/>
    <d v="1997-07-16T00:00:00"/>
  </r>
  <r>
    <n v="10600"/>
    <x v="4"/>
    <n v="29.8"/>
    <n v="4"/>
    <d v="1997-07-16T00:00:00"/>
  </r>
  <r>
    <n v="10600"/>
    <x v="5"/>
    <n v="29.8"/>
    <n v="4"/>
    <d v="1997-07-16T00:00:00"/>
  </r>
  <r>
    <n v="10600"/>
    <x v="6"/>
    <n v="29.8"/>
    <n v="4"/>
    <d v="1997-07-16T00:00:00"/>
  </r>
  <r>
    <n v="10600"/>
    <x v="7"/>
    <n v="29.8"/>
    <n v="4"/>
    <d v="1997-07-16T00:00:00"/>
  </r>
  <r>
    <n v="10600"/>
    <x v="0"/>
    <n v="450"/>
    <n v="30"/>
    <d v="1997-07-16T00:00:00"/>
  </r>
  <r>
    <n v="10600"/>
    <x v="1"/>
    <n v="450"/>
    <n v="30"/>
    <d v="1997-07-16T00:00:00"/>
  </r>
  <r>
    <n v="10600"/>
    <x v="2"/>
    <n v="450"/>
    <n v="30"/>
    <d v="1997-07-16T00:00:00"/>
  </r>
  <r>
    <n v="10600"/>
    <x v="3"/>
    <n v="450"/>
    <n v="30"/>
    <d v="1997-07-16T00:00:00"/>
  </r>
  <r>
    <n v="10600"/>
    <x v="4"/>
    <n v="450"/>
    <n v="30"/>
    <d v="1997-07-16T00:00:00"/>
  </r>
  <r>
    <n v="10600"/>
    <x v="5"/>
    <n v="450"/>
    <n v="30"/>
    <d v="1997-07-16T00:00:00"/>
  </r>
  <r>
    <n v="10600"/>
    <x v="6"/>
    <n v="450"/>
    <n v="30"/>
    <d v="1997-07-16T00:00:00"/>
  </r>
  <r>
    <n v="10600"/>
    <x v="7"/>
    <n v="450"/>
    <n v="30"/>
    <d v="1997-07-16T00:00:00"/>
  </r>
  <r>
    <n v="10601"/>
    <x v="0"/>
    <n v="360"/>
    <n v="60"/>
    <d v="1997-07-16T00:00:00"/>
  </r>
  <r>
    <n v="10601"/>
    <x v="1"/>
    <n v="360"/>
    <n v="60"/>
    <d v="1997-07-16T00:00:00"/>
  </r>
  <r>
    <n v="10601"/>
    <x v="2"/>
    <n v="360"/>
    <n v="60"/>
    <d v="1997-07-16T00:00:00"/>
  </r>
  <r>
    <n v="10601"/>
    <x v="3"/>
    <n v="360"/>
    <n v="60"/>
    <d v="1997-07-16T00:00:00"/>
  </r>
  <r>
    <n v="10601"/>
    <x v="4"/>
    <n v="360"/>
    <n v="60"/>
    <d v="1997-07-16T00:00:00"/>
  </r>
  <r>
    <n v="10601"/>
    <x v="5"/>
    <n v="360"/>
    <n v="60"/>
    <d v="1997-07-16T00:00:00"/>
  </r>
  <r>
    <n v="10601"/>
    <x v="6"/>
    <n v="360"/>
    <n v="60"/>
    <d v="1997-07-16T00:00:00"/>
  </r>
  <r>
    <n v="10601"/>
    <x v="7"/>
    <n v="360"/>
    <n v="60"/>
    <d v="1997-07-16T00:00:00"/>
  </r>
  <r>
    <n v="10601"/>
    <x v="0"/>
    <n v="1925"/>
    <n v="35"/>
    <d v="1997-07-16T00:00:00"/>
  </r>
  <r>
    <n v="10601"/>
    <x v="1"/>
    <n v="1925"/>
    <n v="35"/>
    <d v="1997-07-16T00:00:00"/>
  </r>
  <r>
    <n v="10601"/>
    <x v="2"/>
    <n v="1925"/>
    <n v="35"/>
    <d v="1997-07-16T00:00:00"/>
  </r>
  <r>
    <n v="10601"/>
    <x v="3"/>
    <n v="1925"/>
    <n v="35"/>
    <d v="1997-07-16T00:00:00"/>
  </r>
  <r>
    <n v="10601"/>
    <x v="4"/>
    <n v="1925"/>
    <n v="35"/>
    <d v="1997-07-16T00:00:00"/>
  </r>
  <r>
    <n v="10601"/>
    <x v="5"/>
    <n v="1925"/>
    <n v="35"/>
    <d v="1997-07-16T00:00:00"/>
  </r>
  <r>
    <n v="10601"/>
    <x v="6"/>
    <n v="1925"/>
    <n v="35"/>
    <d v="1997-07-16T00:00:00"/>
  </r>
  <r>
    <n v="10601"/>
    <x v="7"/>
    <n v="1925"/>
    <n v="35"/>
    <d v="1997-07-16T00:00:00"/>
  </r>
  <r>
    <n v="10602"/>
    <x v="0"/>
    <n v="48.75"/>
    <n v="5"/>
    <d v="1997-07-17T00:00:00"/>
  </r>
  <r>
    <n v="10602"/>
    <x v="1"/>
    <n v="48.75"/>
    <n v="5"/>
    <d v="1997-07-17T00:00:00"/>
  </r>
  <r>
    <n v="10602"/>
    <x v="2"/>
    <n v="48.75"/>
    <n v="5"/>
    <d v="1997-07-17T00:00:00"/>
  </r>
  <r>
    <n v="10602"/>
    <x v="3"/>
    <n v="48.75"/>
    <n v="5"/>
    <d v="1997-07-17T00:00:00"/>
  </r>
  <r>
    <n v="10602"/>
    <x v="4"/>
    <n v="48.75"/>
    <n v="5"/>
    <d v="1997-07-17T00:00:00"/>
  </r>
  <r>
    <n v="10602"/>
    <x v="5"/>
    <n v="48.75"/>
    <n v="5"/>
    <d v="1997-07-17T00:00:00"/>
  </r>
  <r>
    <n v="10602"/>
    <x v="6"/>
    <n v="48.75"/>
    <n v="5"/>
    <d v="1997-07-17T00:00:00"/>
  </r>
  <r>
    <n v="10602"/>
    <x v="7"/>
    <n v="48.75"/>
    <n v="5"/>
    <d v="1997-07-17T00:00:00"/>
  </r>
  <r>
    <n v="10603"/>
    <x v="0"/>
    <n v="1008"/>
    <n v="48"/>
    <d v="1997-07-18T00:00:00"/>
  </r>
  <r>
    <n v="10603"/>
    <x v="1"/>
    <n v="1008"/>
    <n v="48"/>
    <d v="1997-07-18T00:00:00"/>
  </r>
  <r>
    <n v="10603"/>
    <x v="2"/>
    <n v="1008"/>
    <n v="48"/>
    <d v="1997-07-18T00:00:00"/>
  </r>
  <r>
    <n v="10603"/>
    <x v="3"/>
    <n v="1008"/>
    <n v="48"/>
    <d v="1997-07-18T00:00:00"/>
  </r>
  <r>
    <n v="10603"/>
    <x v="4"/>
    <n v="1008"/>
    <n v="48"/>
    <d v="1997-07-18T00:00:00"/>
  </r>
  <r>
    <n v="10603"/>
    <x v="5"/>
    <n v="1008"/>
    <n v="48"/>
    <d v="1997-07-18T00:00:00"/>
  </r>
  <r>
    <n v="10603"/>
    <x v="6"/>
    <n v="1008"/>
    <n v="48"/>
    <d v="1997-07-18T00:00:00"/>
  </r>
  <r>
    <n v="10603"/>
    <x v="7"/>
    <n v="1008"/>
    <n v="48"/>
    <d v="1997-07-18T00:00:00"/>
  </r>
  <r>
    <n v="10603"/>
    <x v="0"/>
    <n v="474.99999962747097"/>
    <n v="25"/>
    <d v="1997-07-18T00:00:00"/>
  </r>
  <r>
    <n v="10603"/>
    <x v="1"/>
    <n v="474.99999962747097"/>
    <n v="25"/>
    <d v="1997-07-18T00:00:00"/>
  </r>
  <r>
    <n v="10603"/>
    <x v="2"/>
    <n v="474.99999962747097"/>
    <n v="25"/>
    <d v="1997-07-18T00:00:00"/>
  </r>
  <r>
    <n v="10603"/>
    <x v="3"/>
    <n v="474.99999962747097"/>
    <n v="25"/>
    <d v="1997-07-18T00:00:00"/>
  </r>
  <r>
    <n v="10603"/>
    <x v="4"/>
    <n v="474.99999962747097"/>
    <n v="25"/>
    <d v="1997-07-18T00:00:00"/>
  </r>
  <r>
    <n v="10603"/>
    <x v="5"/>
    <n v="474.99999962747097"/>
    <n v="25"/>
    <d v="1997-07-18T00:00:00"/>
  </r>
  <r>
    <n v="10603"/>
    <x v="6"/>
    <n v="474.99999962747097"/>
    <n v="25"/>
    <d v="1997-07-18T00:00:00"/>
  </r>
  <r>
    <n v="10603"/>
    <x v="7"/>
    <n v="474.99999962747097"/>
    <n v="25"/>
    <d v="1997-07-18T00:00:00"/>
  </r>
  <r>
    <n v="10604"/>
    <x v="0"/>
    <n v="68.849999886006117"/>
    <n v="6"/>
    <d v="1997-07-18T00:00:00"/>
  </r>
  <r>
    <n v="10604"/>
    <x v="1"/>
    <n v="68.849999886006117"/>
    <n v="6"/>
    <d v="1997-07-18T00:00:00"/>
  </r>
  <r>
    <n v="10604"/>
    <x v="2"/>
    <n v="68.849999886006117"/>
    <n v="6"/>
    <d v="1997-07-18T00:00:00"/>
  </r>
  <r>
    <n v="10604"/>
    <x v="3"/>
    <n v="68.849999886006117"/>
    <n v="6"/>
    <d v="1997-07-18T00:00:00"/>
  </r>
  <r>
    <n v="10604"/>
    <x v="4"/>
    <n v="68.849999886006117"/>
    <n v="6"/>
    <d v="1997-07-18T00:00:00"/>
  </r>
  <r>
    <n v="10604"/>
    <x v="5"/>
    <n v="68.849999886006117"/>
    <n v="6"/>
    <d v="1997-07-18T00:00:00"/>
  </r>
  <r>
    <n v="10604"/>
    <x v="6"/>
    <n v="68.849999886006117"/>
    <n v="6"/>
    <d v="1997-07-18T00:00:00"/>
  </r>
  <r>
    <n v="10604"/>
    <x v="7"/>
    <n v="68.849999886006117"/>
    <n v="6"/>
    <d v="1997-07-18T00:00:00"/>
  </r>
  <r>
    <n v="10604"/>
    <x v="0"/>
    <n v="161.9999997317791"/>
    <n v="10"/>
    <d v="1997-07-18T00:00:00"/>
  </r>
  <r>
    <n v="10604"/>
    <x v="1"/>
    <n v="161.9999997317791"/>
    <n v="10"/>
    <d v="1997-07-18T00:00:00"/>
  </r>
  <r>
    <n v="10604"/>
    <x v="2"/>
    <n v="161.9999997317791"/>
    <n v="10"/>
    <d v="1997-07-18T00:00:00"/>
  </r>
  <r>
    <n v="10604"/>
    <x v="3"/>
    <n v="161.9999997317791"/>
    <n v="10"/>
    <d v="1997-07-18T00:00:00"/>
  </r>
  <r>
    <n v="10604"/>
    <x v="4"/>
    <n v="161.9999997317791"/>
    <n v="10"/>
    <d v="1997-07-18T00:00:00"/>
  </r>
  <r>
    <n v="10604"/>
    <x v="5"/>
    <n v="161.9999997317791"/>
    <n v="10"/>
    <d v="1997-07-18T00:00:00"/>
  </r>
  <r>
    <n v="10604"/>
    <x v="6"/>
    <n v="161.9999997317791"/>
    <n v="10"/>
    <d v="1997-07-18T00:00:00"/>
  </r>
  <r>
    <n v="10604"/>
    <x v="7"/>
    <n v="161.9999997317791"/>
    <n v="10"/>
    <d v="1997-07-18T00:00:00"/>
  </r>
  <r>
    <n v="10605"/>
    <x v="0"/>
    <n v="497.32499960996211"/>
    <n v="30"/>
    <d v="1997-07-21T00:00:00"/>
  </r>
  <r>
    <n v="10605"/>
    <x v="1"/>
    <n v="497.32499960996211"/>
    <n v="30"/>
    <d v="1997-07-21T00:00:00"/>
  </r>
  <r>
    <n v="10605"/>
    <x v="2"/>
    <n v="497.32499960996211"/>
    <n v="30"/>
    <d v="1997-07-21T00:00:00"/>
  </r>
  <r>
    <n v="10605"/>
    <x v="3"/>
    <n v="497.32499960996211"/>
    <n v="30"/>
    <d v="1997-07-21T00:00:00"/>
  </r>
  <r>
    <n v="10605"/>
    <x v="4"/>
    <n v="497.32499960996211"/>
    <n v="30"/>
    <d v="1997-07-21T00:00:00"/>
  </r>
  <r>
    <n v="10605"/>
    <x v="5"/>
    <n v="497.32499960996211"/>
    <n v="30"/>
    <d v="1997-07-21T00:00:00"/>
  </r>
  <r>
    <n v="10605"/>
    <x v="6"/>
    <n v="497.32499960996211"/>
    <n v="30"/>
    <d v="1997-07-21T00:00:00"/>
  </r>
  <r>
    <n v="10605"/>
    <x v="7"/>
    <n v="497.32499960996211"/>
    <n v="30"/>
    <d v="1997-07-21T00:00:00"/>
  </r>
  <r>
    <n v="10605"/>
    <x v="0"/>
    <n v="1044.9999991804361"/>
    <n v="20"/>
    <d v="1997-07-21T00:00:00"/>
  </r>
  <r>
    <n v="10605"/>
    <x v="1"/>
    <n v="1044.9999991804361"/>
    <n v="20"/>
    <d v="1997-07-21T00:00:00"/>
  </r>
  <r>
    <n v="10605"/>
    <x v="2"/>
    <n v="1044.9999991804361"/>
    <n v="20"/>
    <d v="1997-07-21T00:00:00"/>
  </r>
  <r>
    <n v="10605"/>
    <x v="3"/>
    <n v="1044.9999991804361"/>
    <n v="20"/>
    <d v="1997-07-21T00:00:00"/>
  </r>
  <r>
    <n v="10605"/>
    <x v="4"/>
    <n v="1044.9999991804361"/>
    <n v="20"/>
    <d v="1997-07-21T00:00:00"/>
  </r>
  <r>
    <n v="10605"/>
    <x v="5"/>
    <n v="1044.9999991804361"/>
    <n v="20"/>
    <d v="1997-07-21T00:00:00"/>
  </r>
  <r>
    <n v="10605"/>
    <x v="6"/>
    <n v="1044.9999991804361"/>
    <n v="20"/>
    <d v="1997-07-21T00:00:00"/>
  </r>
  <r>
    <n v="10605"/>
    <x v="7"/>
    <n v="1044.9999991804361"/>
    <n v="20"/>
    <d v="1997-07-21T00:00:00"/>
  </r>
  <r>
    <n v="10605"/>
    <x v="0"/>
    <n v="2260.9999982267618"/>
    <n v="70"/>
    <d v="1997-07-21T00:00:00"/>
  </r>
  <r>
    <n v="10605"/>
    <x v="1"/>
    <n v="2260.9999982267618"/>
    <n v="70"/>
    <d v="1997-07-21T00:00:00"/>
  </r>
  <r>
    <n v="10605"/>
    <x v="2"/>
    <n v="2260.9999982267618"/>
    <n v="70"/>
    <d v="1997-07-21T00:00:00"/>
  </r>
  <r>
    <n v="10605"/>
    <x v="3"/>
    <n v="2260.9999982267618"/>
    <n v="70"/>
    <d v="1997-07-21T00:00:00"/>
  </r>
  <r>
    <n v="10605"/>
    <x v="4"/>
    <n v="2260.9999982267618"/>
    <n v="70"/>
    <d v="1997-07-21T00:00:00"/>
  </r>
  <r>
    <n v="10605"/>
    <x v="5"/>
    <n v="2260.9999982267618"/>
    <n v="70"/>
    <d v="1997-07-21T00:00:00"/>
  </r>
  <r>
    <n v="10605"/>
    <x v="6"/>
    <n v="2260.9999982267618"/>
    <n v="70"/>
    <d v="1997-07-21T00:00:00"/>
  </r>
  <r>
    <n v="10605"/>
    <x v="7"/>
    <n v="2260.9999982267618"/>
    <n v="70"/>
    <d v="1997-07-21T00:00:00"/>
  </r>
  <r>
    <n v="10605"/>
    <x v="0"/>
    <n v="306.37499975971878"/>
    <n v="15"/>
    <d v="1997-07-21T00:00:00"/>
  </r>
  <r>
    <n v="10605"/>
    <x v="1"/>
    <n v="306.37499975971878"/>
    <n v="15"/>
    <d v="1997-07-21T00:00:00"/>
  </r>
  <r>
    <n v="10605"/>
    <x v="2"/>
    <n v="306.37499975971878"/>
    <n v="15"/>
    <d v="1997-07-21T00:00:00"/>
  </r>
  <r>
    <n v="10605"/>
    <x v="3"/>
    <n v="306.37499975971878"/>
    <n v="15"/>
    <d v="1997-07-21T00:00:00"/>
  </r>
  <r>
    <n v="10605"/>
    <x v="4"/>
    <n v="306.37499975971878"/>
    <n v="15"/>
    <d v="1997-07-21T00:00:00"/>
  </r>
  <r>
    <n v="10605"/>
    <x v="5"/>
    <n v="306.37499975971878"/>
    <n v="15"/>
    <d v="1997-07-21T00:00:00"/>
  </r>
  <r>
    <n v="10605"/>
    <x v="6"/>
    <n v="306.37499975971878"/>
    <n v="15"/>
    <d v="1997-07-21T00:00:00"/>
  </r>
  <r>
    <n v="10605"/>
    <x v="7"/>
    <n v="306.37499975971878"/>
    <n v="15"/>
    <d v="1997-07-21T00:00:00"/>
  </r>
  <r>
    <n v="10606"/>
    <x v="0"/>
    <n v="351.99999868869781"/>
    <n v="20"/>
    <d v="1997-07-22T00:00:00"/>
  </r>
  <r>
    <n v="10606"/>
    <x v="1"/>
    <n v="351.99999868869781"/>
    <n v="20"/>
    <d v="1997-07-22T00:00:00"/>
  </r>
  <r>
    <n v="10606"/>
    <x v="2"/>
    <n v="351.99999868869781"/>
    <n v="20"/>
    <d v="1997-07-22T00:00:00"/>
  </r>
  <r>
    <n v="10606"/>
    <x v="3"/>
    <n v="351.99999868869781"/>
    <n v="20"/>
    <d v="1997-07-22T00:00:00"/>
  </r>
  <r>
    <n v="10606"/>
    <x v="4"/>
    <n v="351.99999868869781"/>
    <n v="20"/>
    <d v="1997-07-22T00:00:00"/>
  </r>
  <r>
    <n v="10606"/>
    <x v="5"/>
    <n v="351.99999868869781"/>
    <n v="20"/>
    <d v="1997-07-22T00:00:00"/>
  </r>
  <r>
    <n v="10606"/>
    <x v="6"/>
    <n v="351.99999868869781"/>
    <n v="20"/>
    <d v="1997-07-22T00:00:00"/>
  </r>
  <r>
    <n v="10606"/>
    <x v="7"/>
    <n v="351.99999868869781"/>
    <n v="20"/>
    <d v="1997-07-22T00:00:00"/>
  </r>
  <r>
    <n v="10606"/>
    <x v="0"/>
    <n v="383.99999856948853"/>
    <n v="20"/>
    <d v="1997-07-22T00:00:00"/>
  </r>
  <r>
    <n v="10606"/>
    <x v="1"/>
    <n v="383.99999856948853"/>
    <n v="20"/>
    <d v="1997-07-22T00:00:00"/>
  </r>
  <r>
    <n v="10606"/>
    <x v="2"/>
    <n v="383.99999856948853"/>
    <n v="20"/>
    <d v="1997-07-22T00:00:00"/>
  </r>
  <r>
    <n v="10606"/>
    <x v="3"/>
    <n v="383.99999856948853"/>
    <n v="20"/>
    <d v="1997-07-22T00:00:00"/>
  </r>
  <r>
    <n v="10606"/>
    <x v="4"/>
    <n v="383.99999856948853"/>
    <n v="20"/>
    <d v="1997-07-22T00:00:00"/>
  </r>
  <r>
    <n v="10606"/>
    <x v="5"/>
    <n v="383.99999856948853"/>
    <n v="20"/>
    <d v="1997-07-22T00:00:00"/>
  </r>
  <r>
    <n v="10606"/>
    <x v="6"/>
    <n v="383.99999856948853"/>
    <n v="20"/>
    <d v="1997-07-22T00:00:00"/>
  </r>
  <r>
    <n v="10606"/>
    <x v="7"/>
    <n v="383.99999856948853"/>
    <n v="20"/>
    <d v="1997-07-22T00:00:00"/>
  </r>
  <r>
    <n v="10606"/>
    <x v="0"/>
    <n v="394.39999853074551"/>
    <n v="10"/>
    <d v="1997-07-22T00:00:00"/>
  </r>
  <r>
    <n v="10606"/>
    <x v="1"/>
    <n v="394.39999853074551"/>
    <n v="10"/>
    <d v="1997-07-22T00:00:00"/>
  </r>
  <r>
    <n v="10606"/>
    <x v="2"/>
    <n v="394.39999853074551"/>
    <n v="10"/>
    <d v="1997-07-22T00:00:00"/>
  </r>
  <r>
    <n v="10606"/>
    <x v="3"/>
    <n v="394.39999853074551"/>
    <n v="10"/>
    <d v="1997-07-22T00:00:00"/>
  </r>
  <r>
    <n v="10606"/>
    <x v="4"/>
    <n v="394.39999853074551"/>
    <n v="10"/>
    <d v="1997-07-22T00:00:00"/>
  </r>
  <r>
    <n v="10606"/>
    <x v="5"/>
    <n v="394.39999853074551"/>
    <n v="10"/>
    <d v="1997-07-22T00:00:00"/>
  </r>
  <r>
    <n v="10606"/>
    <x v="6"/>
    <n v="394.39999853074551"/>
    <n v="10"/>
    <d v="1997-07-22T00:00:00"/>
  </r>
  <r>
    <n v="10606"/>
    <x v="7"/>
    <n v="394.39999853074551"/>
    <n v="10"/>
    <d v="1997-07-22T00:00:00"/>
  </r>
  <r>
    <n v="10607"/>
    <x v="0"/>
    <n v="1350"/>
    <n v="45"/>
    <d v="1997-07-22T00:00:00"/>
  </r>
  <r>
    <n v="10607"/>
    <x v="1"/>
    <n v="1350"/>
    <n v="45"/>
    <d v="1997-07-22T00:00:00"/>
  </r>
  <r>
    <n v="10607"/>
    <x v="2"/>
    <n v="1350"/>
    <n v="45"/>
    <d v="1997-07-22T00:00:00"/>
  </r>
  <r>
    <n v="10607"/>
    <x v="3"/>
    <n v="1350"/>
    <n v="45"/>
    <d v="1997-07-22T00:00:00"/>
  </r>
  <r>
    <n v="10607"/>
    <x v="4"/>
    <n v="1350"/>
    <n v="45"/>
    <d v="1997-07-22T00:00:00"/>
  </r>
  <r>
    <n v="10607"/>
    <x v="5"/>
    <n v="1350"/>
    <n v="45"/>
    <d v="1997-07-22T00:00:00"/>
  </r>
  <r>
    <n v="10607"/>
    <x v="6"/>
    <n v="1350"/>
    <n v="45"/>
    <d v="1997-07-22T00:00:00"/>
  </r>
  <r>
    <n v="10607"/>
    <x v="7"/>
    <n v="1350"/>
    <n v="45"/>
    <d v="1997-07-22T00:00:00"/>
  </r>
  <r>
    <n v="10607"/>
    <x v="0"/>
    <n v="3900"/>
    <n v="100"/>
    <d v="1997-07-22T00:00:00"/>
  </r>
  <r>
    <n v="10607"/>
    <x v="1"/>
    <n v="3900"/>
    <n v="100"/>
    <d v="1997-07-22T00:00:00"/>
  </r>
  <r>
    <n v="10607"/>
    <x v="2"/>
    <n v="3900"/>
    <n v="100"/>
    <d v="1997-07-22T00:00:00"/>
  </r>
  <r>
    <n v="10607"/>
    <x v="3"/>
    <n v="3900"/>
    <n v="100"/>
    <d v="1997-07-22T00:00:00"/>
  </r>
  <r>
    <n v="10607"/>
    <x v="4"/>
    <n v="3900"/>
    <n v="100"/>
    <d v="1997-07-22T00:00:00"/>
  </r>
  <r>
    <n v="10607"/>
    <x v="5"/>
    <n v="3900"/>
    <n v="100"/>
    <d v="1997-07-22T00:00:00"/>
  </r>
  <r>
    <n v="10607"/>
    <x v="6"/>
    <n v="3900"/>
    <n v="100"/>
    <d v="1997-07-22T00:00:00"/>
  </r>
  <r>
    <n v="10607"/>
    <x v="7"/>
    <n v="3900"/>
    <n v="100"/>
    <d v="1997-07-22T00:00:00"/>
  </r>
  <r>
    <n v="10607"/>
    <x v="0"/>
    <n v="35"/>
    <n v="14"/>
    <d v="1997-07-22T00:00:00"/>
  </r>
  <r>
    <n v="10607"/>
    <x v="1"/>
    <n v="35"/>
    <n v="14"/>
    <d v="1997-07-22T00:00:00"/>
  </r>
  <r>
    <n v="10607"/>
    <x v="2"/>
    <n v="35"/>
    <n v="14"/>
    <d v="1997-07-22T00:00:00"/>
  </r>
  <r>
    <n v="10607"/>
    <x v="3"/>
    <n v="35"/>
    <n v="14"/>
    <d v="1997-07-22T00:00:00"/>
  </r>
  <r>
    <n v="10607"/>
    <x v="4"/>
    <n v="35"/>
    <n v="14"/>
    <d v="1997-07-22T00:00:00"/>
  </r>
  <r>
    <n v="10607"/>
    <x v="5"/>
    <n v="35"/>
    <n v="14"/>
    <d v="1997-07-22T00:00:00"/>
  </r>
  <r>
    <n v="10607"/>
    <x v="6"/>
    <n v="35"/>
    <n v="14"/>
    <d v="1997-07-22T00:00:00"/>
  </r>
  <r>
    <n v="10607"/>
    <x v="7"/>
    <n v="35"/>
    <n v="14"/>
    <d v="1997-07-22T00:00:00"/>
  </r>
  <r>
    <n v="10607"/>
    <x v="0"/>
    <n v="772.8"/>
    <n v="42"/>
    <d v="1997-07-22T00:00:00"/>
  </r>
  <r>
    <n v="10607"/>
    <x v="1"/>
    <n v="772.8"/>
    <n v="42"/>
    <d v="1997-07-22T00:00:00"/>
  </r>
  <r>
    <n v="10607"/>
    <x v="2"/>
    <n v="772.8"/>
    <n v="42"/>
    <d v="1997-07-22T00:00:00"/>
  </r>
  <r>
    <n v="10607"/>
    <x v="3"/>
    <n v="772.8"/>
    <n v="42"/>
    <d v="1997-07-22T00:00:00"/>
  </r>
  <r>
    <n v="10607"/>
    <x v="4"/>
    <n v="772.8"/>
    <n v="42"/>
    <d v="1997-07-22T00:00:00"/>
  </r>
  <r>
    <n v="10607"/>
    <x v="5"/>
    <n v="772.8"/>
    <n v="42"/>
    <d v="1997-07-22T00:00:00"/>
  </r>
  <r>
    <n v="10607"/>
    <x v="6"/>
    <n v="772.8"/>
    <n v="42"/>
    <d v="1997-07-22T00:00:00"/>
  </r>
  <r>
    <n v="10607"/>
    <x v="7"/>
    <n v="772.8"/>
    <n v="42"/>
    <d v="1997-07-22T00:00:00"/>
  </r>
  <r>
    <n v="10607"/>
    <x v="0"/>
    <n v="417.6"/>
    <n v="12"/>
    <d v="1997-07-22T00:00:00"/>
  </r>
  <r>
    <n v="10607"/>
    <x v="1"/>
    <n v="417.6"/>
    <n v="12"/>
    <d v="1997-07-22T00:00:00"/>
  </r>
  <r>
    <n v="10607"/>
    <x v="2"/>
    <n v="417.6"/>
    <n v="12"/>
    <d v="1997-07-22T00:00:00"/>
  </r>
  <r>
    <n v="10607"/>
    <x v="3"/>
    <n v="417.6"/>
    <n v="12"/>
    <d v="1997-07-22T00:00:00"/>
  </r>
  <r>
    <n v="10607"/>
    <x v="4"/>
    <n v="417.6"/>
    <n v="12"/>
    <d v="1997-07-22T00:00:00"/>
  </r>
  <r>
    <n v="10607"/>
    <x v="5"/>
    <n v="417.6"/>
    <n v="12"/>
    <d v="1997-07-22T00:00:00"/>
  </r>
  <r>
    <n v="10607"/>
    <x v="6"/>
    <n v="417.6"/>
    <n v="12"/>
    <d v="1997-07-22T00:00:00"/>
  </r>
  <r>
    <n v="10607"/>
    <x v="7"/>
    <n v="417.6"/>
    <n v="12"/>
    <d v="1997-07-22T00:00:00"/>
  </r>
  <r>
    <n v="10608"/>
    <x v="0"/>
    <n v="1064"/>
    <n v="28"/>
    <d v="1997-07-23T00:00:00"/>
  </r>
  <r>
    <n v="10608"/>
    <x v="1"/>
    <n v="1064"/>
    <n v="28"/>
    <d v="1997-07-23T00:00:00"/>
  </r>
  <r>
    <n v="10608"/>
    <x v="2"/>
    <n v="1064"/>
    <n v="28"/>
    <d v="1997-07-23T00:00:00"/>
  </r>
  <r>
    <n v="10608"/>
    <x v="3"/>
    <n v="1064"/>
    <n v="28"/>
    <d v="1997-07-23T00:00:00"/>
  </r>
  <r>
    <n v="10608"/>
    <x v="4"/>
    <n v="1064"/>
    <n v="28"/>
    <d v="1997-07-23T00:00:00"/>
  </r>
  <r>
    <n v="10608"/>
    <x v="5"/>
    <n v="1064"/>
    <n v="28"/>
    <d v="1997-07-23T00:00:00"/>
  </r>
  <r>
    <n v="10608"/>
    <x v="6"/>
    <n v="1064"/>
    <n v="28"/>
    <d v="1997-07-23T00:00:00"/>
  </r>
  <r>
    <n v="10608"/>
    <x v="7"/>
    <n v="1064"/>
    <n v="28"/>
    <d v="1997-07-23T00:00:00"/>
  </r>
  <r>
    <n v="10609"/>
    <x v="0"/>
    <n v="54"/>
    <n v="3"/>
    <d v="1997-07-24T00:00:00"/>
  </r>
  <r>
    <n v="10609"/>
    <x v="1"/>
    <n v="54"/>
    <n v="3"/>
    <d v="1997-07-24T00:00:00"/>
  </r>
  <r>
    <n v="10609"/>
    <x v="2"/>
    <n v="54"/>
    <n v="3"/>
    <d v="1997-07-24T00:00:00"/>
  </r>
  <r>
    <n v="10609"/>
    <x v="3"/>
    <n v="54"/>
    <n v="3"/>
    <d v="1997-07-24T00:00:00"/>
  </r>
  <r>
    <n v="10609"/>
    <x v="4"/>
    <n v="54"/>
    <n v="3"/>
    <d v="1997-07-24T00:00:00"/>
  </r>
  <r>
    <n v="10609"/>
    <x v="5"/>
    <n v="54"/>
    <n v="3"/>
    <d v="1997-07-24T00:00:00"/>
  </r>
  <r>
    <n v="10609"/>
    <x v="6"/>
    <n v="54"/>
    <n v="3"/>
    <d v="1997-07-24T00:00:00"/>
  </r>
  <r>
    <n v="10609"/>
    <x v="7"/>
    <n v="54"/>
    <n v="3"/>
    <d v="1997-07-24T00:00:00"/>
  </r>
  <r>
    <n v="10609"/>
    <x v="0"/>
    <n v="310"/>
    <n v="10"/>
    <d v="1997-07-24T00:00:00"/>
  </r>
  <r>
    <n v="10609"/>
    <x v="1"/>
    <n v="310"/>
    <n v="10"/>
    <d v="1997-07-24T00:00:00"/>
  </r>
  <r>
    <n v="10609"/>
    <x v="2"/>
    <n v="310"/>
    <n v="10"/>
    <d v="1997-07-24T00:00:00"/>
  </r>
  <r>
    <n v="10609"/>
    <x v="3"/>
    <n v="310"/>
    <n v="10"/>
    <d v="1997-07-24T00:00:00"/>
  </r>
  <r>
    <n v="10609"/>
    <x v="4"/>
    <n v="310"/>
    <n v="10"/>
    <d v="1997-07-24T00:00:00"/>
  </r>
  <r>
    <n v="10609"/>
    <x v="5"/>
    <n v="310"/>
    <n v="10"/>
    <d v="1997-07-24T00:00:00"/>
  </r>
  <r>
    <n v="10609"/>
    <x v="6"/>
    <n v="310"/>
    <n v="10"/>
    <d v="1997-07-24T00:00:00"/>
  </r>
  <r>
    <n v="10609"/>
    <x v="7"/>
    <n v="310"/>
    <n v="10"/>
    <d v="1997-07-24T00:00:00"/>
  </r>
  <r>
    <n v="10609"/>
    <x v="0"/>
    <n v="60"/>
    <n v="6"/>
    <d v="1997-07-24T00:00:00"/>
  </r>
  <r>
    <n v="10609"/>
    <x v="1"/>
    <n v="60"/>
    <n v="6"/>
    <d v="1997-07-24T00:00:00"/>
  </r>
  <r>
    <n v="10609"/>
    <x v="2"/>
    <n v="60"/>
    <n v="6"/>
    <d v="1997-07-24T00:00:00"/>
  </r>
  <r>
    <n v="10609"/>
    <x v="3"/>
    <n v="60"/>
    <n v="6"/>
    <d v="1997-07-24T00:00:00"/>
  </r>
  <r>
    <n v="10609"/>
    <x v="4"/>
    <n v="60"/>
    <n v="6"/>
    <d v="1997-07-24T00:00:00"/>
  </r>
  <r>
    <n v="10609"/>
    <x v="5"/>
    <n v="60"/>
    <n v="6"/>
    <d v="1997-07-24T00:00:00"/>
  </r>
  <r>
    <n v="10609"/>
    <x v="6"/>
    <n v="60"/>
    <n v="6"/>
    <d v="1997-07-24T00:00:00"/>
  </r>
  <r>
    <n v="10609"/>
    <x v="7"/>
    <n v="60"/>
    <n v="6"/>
    <d v="1997-07-24T00:00:00"/>
  </r>
  <r>
    <n v="10610"/>
    <x v="0"/>
    <n v="299.25"/>
    <n v="21"/>
    <d v="1997-07-25T00:00:00"/>
  </r>
  <r>
    <n v="10610"/>
    <x v="1"/>
    <n v="299.25"/>
    <n v="21"/>
    <d v="1997-07-25T00:00:00"/>
  </r>
  <r>
    <n v="10610"/>
    <x v="2"/>
    <n v="299.25"/>
    <n v="21"/>
    <d v="1997-07-25T00:00:00"/>
  </r>
  <r>
    <n v="10610"/>
    <x v="3"/>
    <n v="299.25"/>
    <n v="21"/>
    <d v="1997-07-25T00:00:00"/>
  </r>
  <r>
    <n v="10610"/>
    <x v="4"/>
    <n v="299.25"/>
    <n v="21"/>
    <d v="1997-07-25T00:00:00"/>
  </r>
  <r>
    <n v="10610"/>
    <x v="5"/>
    <n v="299.25"/>
    <n v="21"/>
    <d v="1997-07-25T00:00:00"/>
  </r>
  <r>
    <n v="10610"/>
    <x v="6"/>
    <n v="299.25"/>
    <n v="21"/>
    <d v="1997-07-25T00:00:00"/>
  </r>
  <r>
    <n v="10610"/>
    <x v="7"/>
    <n v="299.25"/>
    <n v="21"/>
    <d v="1997-07-25T00:00:00"/>
  </r>
  <r>
    <n v="10611"/>
    <x v="0"/>
    <n v="108"/>
    <n v="6"/>
    <d v="1997-07-25T00:00:00"/>
  </r>
  <r>
    <n v="10611"/>
    <x v="1"/>
    <n v="108"/>
    <n v="6"/>
    <d v="1997-07-25T00:00:00"/>
  </r>
  <r>
    <n v="10611"/>
    <x v="2"/>
    <n v="108"/>
    <n v="6"/>
    <d v="1997-07-25T00:00:00"/>
  </r>
  <r>
    <n v="10611"/>
    <x v="3"/>
    <n v="108"/>
    <n v="6"/>
    <d v="1997-07-25T00:00:00"/>
  </r>
  <r>
    <n v="10611"/>
    <x v="4"/>
    <n v="108"/>
    <n v="6"/>
    <d v="1997-07-25T00:00:00"/>
  </r>
  <r>
    <n v="10611"/>
    <x v="5"/>
    <n v="108"/>
    <n v="6"/>
    <d v="1997-07-25T00:00:00"/>
  </r>
  <r>
    <n v="10611"/>
    <x v="6"/>
    <n v="108"/>
    <n v="6"/>
    <d v="1997-07-25T00:00:00"/>
  </r>
  <r>
    <n v="10611"/>
    <x v="7"/>
    <n v="108"/>
    <n v="6"/>
    <d v="1997-07-25T00:00:00"/>
  </r>
  <r>
    <n v="10611"/>
    <x v="0"/>
    <n v="190"/>
    <n v="10"/>
    <d v="1997-07-25T00:00:00"/>
  </r>
  <r>
    <n v="10611"/>
    <x v="1"/>
    <n v="190"/>
    <n v="10"/>
    <d v="1997-07-25T00:00:00"/>
  </r>
  <r>
    <n v="10611"/>
    <x v="2"/>
    <n v="190"/>
    <n v="10"/>
    <d v="1997-07-25T00:00:00"/>
  </r>
  <r>
    <n v="10611"/>
    <x v="3"/>
    <n v="190"/>
    <n v="10"/>
    <d v="1997-07-25T00:00:00"/>
  </r>
  <r>
    <n v="10611"/>
    <x v="4"/>
    <n v="190"/>
    <n v="10"/>
    <d v="1997-07-25T00:00:00"/>
  </r>
  <r>
    <n v="10611"/>
    <x v="5"/>
    <n v="190"/>
    <n v="10"/>
    <d v="1997-07-25T00:00:00"/>
  </r>
  <r>
    <n v="10611"/>
    <x v="6"/>
    <n v="190"/>
    <n v="10"/>
    <d v="1997-07-25T00:00:00"/>
  </r>
  <r>
    <n v="10611"/>
    <x v="7"/>
    <n v="190"/>
    <n v="10"/>
    <d v="1997-07-25T00:00:00"/>
  </r>
  <r>
    <n v="10611"/>
    <x v="0"/>
    <n v="510"/>
    <n v="15"/>
    <d v="1997-07-25T00:00:00"/>
  </r>
  <r>
    <n v="10611"/>
    <x v="1"/>
    <n v="510"/>
    <n v="15"/>
    <d v="1997-07-25T00:00:00"/>
  </r>
  <r>
    <n v="10611"/>
    <x v="2"/>
    <n v="510"/>
    <n v="15"/>
    <d v="1997-07-25T00:00:00"/>
  </r>
  <r>
    <n v="10611"/>
    <x v="3"/>
    <n v="510"/>
    <n v="15"/>
    <d v="1997-07-25T00:00:00"/>
  </r>
  <r>
    <n v="10611"/>
    <x v="4"/>
    <n v="510"/>
    <n v="15"/>
    <d v="1997-07-25T00:00:00"/>
  </r>
  <r>
    <n v="10611"/>
    <x v="5"/>
    <n v="510"/>
    <n v="15"/>
    <d v="1997-07-25T00:00:00"/>
  </r>
  <r>
    <n v="10611"/>
    <x v="6"/>
    <n v="510"/>
    <n v="15"/>
    <d v="1997-07-25T00:00:00"/>
  </r>
  <r>
    <n v="10611"/>
    <x v="7"/>
    <n v="510"/>
    <n v="15"/>
    <d v="1997-07-25T00:00:00"/>
  </r>
  <r>
    <n v="10612"/>
    <x v="0"/>
    <n v="2170"/>
    <n v="70"/>
    <d v="1997-07-28T00:00:00"/>
  </r>
  <r>
    <n v="10612"/>
    <x v="1"/>
    <n v="2170"/>
    <n v="70"/>
    <d v="1997-07-28T00:00:00"/>
  </r>
  <r>
    <n v="10612"/>
    <x v="2"/>
    <n v="2170"/>
    <n v="70"/>
    <d v="1997-07-28T00:00:00"/>
  </r>
  <r>
    <n v="10612"/>
    <x v="3"/>
    <n v="2170"/>
    <n v="70"/>
    <d v="1997-07-28T00:00:00"/>
  </r>
  <r>
    <n v="10612"/>
    <x v="4"/>
    <n v="2170"/>
    <n v="70"/>
    <d v="1997-07-28T00:00:00"/>
  </r>
  <r>
    <n v="10612"/>
    <x v="5"/>
    <n v="2170"/>
    <n v="70"/>
    <d v="1997-07-28T00:00:00"/>
  </r>
  <r>
    <n v="10612"/>
    <x v="6"/>
    <n v="2170"/>
    <n v="70"/>
    <d v="1997-07-28T00:00:00"/>
  </r>
  <r>
    <n v="10612"/>
    <x v="7"/>
    <n v="2170"/>
    <n v="70"/>
    <d v="1997-07-28T00:00:00"/>
  </r>
  <r>
    <n v="10612"/>
    <x v="0"/>
    <n v="1045"/>
    <n v="55"/>
    <d v="1997-07-28T00:00:00"/>
  </r>
  <r>
    <n v="10612"/>
    <x v="1"/>
    <n v="1045"/>
    <n v="55"/>
    <d v="1997-07-28T00:00:00"/>
  </r>
  <r>
    <n v="10612"/>
    <x v="2"/>
    <n v="1045"/>
    <n v="55"/>
    <d v="1997-07-28T00:00:00"/>
  </r>
  <r>
    <n v="10612"/>
    <x v="3"/>
    <n v="1045"/>
    <n v="55"/>
    <d v="1997-07-28T00:00:00"/>
  </r>
  <r>
    <n v="10612"/>
    <x v="4"/>
    <n v="1045"/>
    <n v="55"/>
    <d v="1997-07-28T00:00:00"/>
  </r>
  <r>
    <n v="10612"/>
    <x v="5"/>
    <n v="1045"/>
    <n v="55"/>
    <d v="1997-07-28T00:00:00"/>
  </r>
  <r>
    <n v="10612"/>
    <x v="6"/>
    <n v="1045"/>
    <n v="55"/>
    <d v="1997-07-28T00:00:00"/>
  </r>
  <r>
    <n v="10612"/>
    <x v="7"/>
    <n v="1045"/>
    <n v="55"/>
    <d v="1997-07-28T00:00:00"/>
  </r>
  <r>
    <n v="10612"/>
    <x v="0"/>
    <n v="360"/>
    <n v="18"/>
    <d v="1997-07-28T00:00:00"/>
  </r>
  <r>
    <n v="10612"/>
    <x v="1"/>
    <n v="360"/>
    <n v="18"/>
    <d v="1997-07-28T00:00:00"/>
  </r>
  <r>
    <n v="10612"/>
    <x v="2"/>
    <n v="360"/>
    <n v="18"/>
    <d v="1997-07-28T00:00:00"/>
  </r>
  <r>
    <n v="10612"/>
    <x v="3"/>
    <n v="360"/>
    <n v="18"/>
    <d v="1997-07-28T00:00:00"/>
  </r>
  <r>
    <n v="10612"/>
    <x v="4"/>
    <n v="360"/>
    <n v="18"/>
    <d v="1997-07-28T00:00:00"/>
  </r>
  <r>
    <n v="10612"/>
    <x v="5"/>
    <n v="360"/>
    <n v="18"/>
    <d v="1997-07-28T00:00:00"/>
  </r>
  <r>
    <n v="10612"/>
    <x v="6"/>
    <n v="360"/>
    <n v="18"/>
    <d v="1997-07-28T00:00:00"/>
  </r>
  <r>
    <n v="10612"/>
    <x v="7"/>
    <n v="360"/>
    <n v="18"/>
    <d v="1997-07-28T00:00:00"/>
  </r>
  <r>
    <n v="10612"/>
    <x v="0"/>
    <n v="1360"/>
    <n v="40"/>
    <d v="1997-07-28T00:00:00"/>
  </r>
  <r>
    <n v="10612"/>
    <x v="1"/>
    <n v="1360"/>
    <n v="40"/>
    <d v="1997-07-28T00:00:00"/>
  </r>
  <r>
    <n v="10612"/>
    <x v="2"/>
    <n v="1360"/>
    <n v="40"/>
    <d v="1997-07-28T00:00:00"/>
  </r>
  <r>
    <n v="10612"/>
    <x v="3"/>
    <n v="1360"/>
    <n v="40"/>
    <d v="1997-07-28T00:00:00"/>
  </r>
  <r>
    <n v="10612"/>
    <x v="4"/>
    <n v="1360"/>
    <n v="40"/>
    <d v="1997-07-28T00:00:00"/>
  </r>
  <r>
    <n v="10612"/>
    <x v="5"/>
    <n v="1360"/>
    <n v="40"/>
    <d v="1997-07-28T00:00:00"/>
  </r>
  <r>
    <n v="10612"/>
    <x v="6"/>
    <n v="1360"/>
    <n v="40"/>
    <d v="1997-07-28T00:00:00"/>
  </r>
  <r>
    <n v="10612"/>
    <x v="7"/>
    <n v="1360"/>
    <n v="40"/>
    <d v="1997-07-28T00:00:00"/>
  </r>
  <r>
    <n v="10612"/>
    <x v="0"/>
    <n v="1440"/>
    <n v="80"/>
    <d v="1997-07-28T00:00:00"/>
  </r>
  <r>
    <n v="10612"/>
    <x v="1"/>
    <n v="1440"/>
    <n v="80"/>
    <d v="1997-07-28T00:00:00"/>
  </r>
  <r>
    <n v="10612"/>
    <x v="2"/>
    <n v="1440"/>
    <n v="80"/>
    <d v="1997-07-28T00:00:00"/>
  </r>
  <r>
    <n v="10612"/>
    <x v="3"/>
    <n v="1440"/>
    <n v="80"/>
    <d v="1997-07-28T00:00:00"/>
  </r>
  <r>
    <n v="10612"/>
    <x v="4"/>
    <n v="1440"/>
    <n v="80"/>
    <d v="1997-07-28T00:00:00"/>
  </r>
  <r>
    <n v="10612"/>
    <x v="5"/>
    <n v="1440"/>
    <n v="80"/>
    <d v="1997-07-28T00:00:00"/>
  </r>
  <r>
    <n v="10612"/>
    <x v="6"/>
    <n v="1440"/>
    <n v="80"/>
    <d v="1997-07-28T00:00:00"/>
  </r>
  <r>
    <n v="10612"/>
    <x v="7"/>
    <n v="1440"/>
    <n v="80"/>
    <d v="1997-07-28T00:00:00"/>
  </r>
  <r>
    <n v="10613"/>
    <x v="0"/>
    <n v="43.199999928474426"/>
    <n v="8"/>
    <d v="1997-07-29T00:00:00"/>
  </r>
  <r>
    <n v="10613"/>
    <x v="1"/>
    <n v="43.199999928474426"/>
    <n v="8"/>
    <d v="1997-07-29T00:00:00"/>
  </r>
  <r>
    <n v="10613"/>
    <x v="2"/>
    <n v="43.199999928474426"/>
    <n v="8"/>
    <d v="1997-07-29T00:00:00"/>
  </r>
  <r>
    <n v="10613"/>
    <x v="3"/>
    <n v="43.199999928474426"/>
    <n v="8"/>
    <d v="1997-07-29T00:00:00"/>
  </r>
  <r>
    <n v="10613"/>
    <x v="4"/>
    <n v="43.199999928474426"/>
    <n v="8"/>
    <d v="1997-07-29T00:00:00"/>
  </r>
  <r>
    <n v="10613"/>
    <x v="5"/>
    <n v="43.199999928474426"/>
    <n v="8"/>
    <d v="1997-07-29T00:00:00"/>
  </r>
  <r>
    <n v="10613"/>
    <x v="6"/>
    <n v="43.199999928474426"/>
    <n v="8"/>
    <d v="1997-07-29T00:00:00"/>
  </r>
  <r>
    <n v="10613"/>
    <x v="7"/>
    <n v="43.199999928474426"/>
    <n v="8"/>
    <d v="1997-07-29T00:00:00"/>
  </r>
  <r>
    <n v="10613"/>
    <x v="0"/>
    <n v="310"/>
    <n v="40"/>
    <d v="1997-07-29T00:00:00"/>
  </r>
  <r>
    <n v="10613"/>
    <x v="1"/>
    <n v="310"/>
    <n v="40"/>
    <d v="1997-07-29T00:00:00"/>
  </r>
  <r>
    <n v="10613"/>
    <x v="2"/>
    <n v="310"/>
    <n v="40"/>
    <d v="1997-07-29T00:00:00"/>
  </r>
  <r>
    <n v="10613"/>
    <x v="3"/>
    <n v="310"/>
    <n v="40"/>
    <d v="1997-07-29T00:00:00"/>
  </r>
  <r>
    <n v="10613"/>
    <x v="4"/>
    <n v="310"/>
    <n v="40"/>
    <d v="1997-07-29T00:00:00"/>
  </r>
  <r>
    <n v="10613"/>
    <x v="5"/>
    <n v="310"/>
    <n v="40"/>
    <d v="1997-07-29T00:00:00"/>
  </r>
  <r>
    <n v="10613"/>
    <x v="6"/>
    <n v="310"/>
    <n v="40"/>
    <d v="1997-07-29T00:00:00"/>
  </r>
  <r>
    <n v="10613"/>
    <x v="7"/>
    <n v="310"/>
    <n v="40"/>
    <d v="1997-07-29T00:00:00"/>
  </r>
  <r>
    <n v="10614"/>
    <x v="0"/>
    <n v="294"/>
    <n v="14"/>
    <d v="1997-07-29T00:00:00"/>
  </r>
  <r>
    <n v="10614"/>
    <x v="1"/>
    <n v="294"/>
    <n v="14"/>
    <d v="1997-07-29T00:00:00"/>
  </r>
  <r>
    <n v="10614"/>
    <x v="2"/>
    <n v="294"/>
    <n v="14"/>
    <d v="1997-07-29T00:00:00"/>
  </r>
  <r>
    <n v="10614"/>
    <x v="3"/>
    <n v="294"/>
    <n v="14"/>
    <d v="1997-07-29T00:00:00"/>
  </r>
  <r>
    <n v="10614"/>
    <x v="4"/>
    <n v="294"/>
    <n v="14"/>
    <d v="1997-07-29T00:00:00"/>
  </r>
  <r>
    <n v="10614"/>
    <x v="5"/>
    <n v="294"/>
    <n v="14"/>
    <d v="1997-07-29T00:00:00"/>
  </r>
  <r>
    <n v="10614"/>
    <x v="6"/>
    <n v="294"/>
    <n v="14"/>
    <d v="1997-07-29T00:00:00"/>
  </r>
  <r>
    <n v="10614"/>
    <x v="7"/>
    <n v="294"/>
    <n v="14"/>
    <d v="1997-07-29T00:00:00"/>
  </r>
  <r>
    <n v="10614"/>
    <x v="0"/>
    <n v="80"/>
    <n v="8"/>
    <d v="1997-07-29T00:00:00"/>
  </r>
  <r>
    <n v="10614"/>
    <x v="1"/>
    <n v="80"/>
    <n v="8"/>
    <d v="1997-07-29T00:00:00"/>
  </r>
  <r>
    <n v="10614"/>
    <x v="2"/>
    <n v="80"/>
    <n v="8"/>
    <d v="1997-07-29T00:00:00"/>
  </r>
  <r>
    <n v="10614"/>
    <x v="3"/>
    <n v="80"/>
    <n v="8"/>
    <d v="1997-07-29T00:00:00"/>
  </r>
  <r>
    <n v="10614"/>
    <x v="4"/>
    <n v="80"/>
    <n v="8"/>
    <d v="1997-07-29T00:00:00"/>
  </r>
  <r>
    <n v="10614"/>
    <x v="5"/>
    <n v="80"/>
    <n v="8"/>
    <d v="1997-07-29T00:00:00"/>
  </r>
  <r>
    <n v="10614"/>
    <x v="6"/>
    <n v="80"/>
    <n v="8"/>
    <d v="1997-07-29T00:00:00"/>
  </r>
  <r>
    <n v="10614"/>
    <x v="7"/>
    <n v="80"/>
    <n v="8"/>
    <d v="1997-07-29T00:00:00"/>
  </r>
  <r>
    <n v="10614"/>
    <x v="0"/>
    <n v="90"/>
    <n v="5"/>
    <d v="1997-07-29T00:00:00"/>
  </r>
  <r>
    <n v="10614"/>
    <x v="1"/>
    <n v="90"/>
    <n v="5"/>
    <d v="1997-07-29T00:00:00"/>
  </r>
  <r>
    <n v="10614"/>
    <x v="2"/>
    <n v="90"/>
    <n v="5"/>
    <d v="1997-07-29T00:00:00"/>
  </r>
  <r>
    <n v="10614"/>
    <x v="3"/>
    <n v="90"/>
    <n v="5"/>
    <d v="1997-07-29T00:00:00"/>
  </r>
  <r>
    <n v="10614"/>
    <x v="4"/>
    <n v="90"/>
    <n v="5"/>
    <d v="1997-07-29T00:00:00"/>
  </r>
  <r>
    <n v="10614"/>
    <x v="5"/>
    <n v="90"/>
    <n v="5"/>
    <d v="1997-07-29T00:00:00"/>
  </r>
  <r>
    <n v="10614"/>
    <x v="6"/>
    <n v="90"/>
    <n v="5"/>
    <d v="1997-07-29T00:00:00"/>
  </r>
  <r>
    <n v="10614"/>
    <x v="7"/>
    <n v="90"/>
    <n v="5"/>
    <d v="1997-07-29T00:00:00"/>
  </r>
  <r>
    <n v="10615"/>
    <x v="0"/>
    <n v="120"/>
    <n v="5"/>
    <d v="1997-07-30T00:00:00"/>
  </r>
  <r>
    <n v="10615"/>
    <x v="1"/>
    <n v="120"/>
    <n v="5"/>
    <d v="1997-07-30T00:00:00"/>
  </r>
  <r>
    <n v="10615"/>
    <x v="2"/>
    <n v="120"/>
    <n v="5"/>
    <d v="1997-07-30T00:00:00"/>
  </r>
  <r>
    <n v="10615"/>
    <x v="3"/>
    <n v="120"/>
    <n v="5"/>
    <d v="1997-07-30T00:00:00"/>
  </r>
  <r>
    <n v="10615"/>
    <x v="4"/>
    <n v="120"/>
    <n v="5"/>
    <d v="1997-07-30T00:00:00"/>
  </r>
  <r>
    <n v="10615"/>
    <x v="5"/>
    <n v="120"/>
    <n v="5"/>
    <d v="1997-07-30T00:00:00"/>
  </r>
  <r>
    <n v="10615"/>
    <x v="6"/>
    <n v="120"/>
    <n v="5"/>
    <d v="1997-07-30T00:00:00"/>
  </r>
  <r>
    <n v="10615"/>
    <x v="7"/>
    <n v="120"/>
    <n v="5"/>
    <d v="1997-07-30T00:00:00"/>
  </r>
  <r>
    <n v="10616"/>
    <x v="0"/>
    <n v="3754.874997055158"/>
    <n v="15"/>
    <d v="1997-07-31T00:00:00"/>
  </r>
  <r>
    <n v="10616"/>
    <x v="1"/>
    <n v="3754.874997055158"/>
    <n v="15"/>
    <d v="1997-07-31T00:00:00"/>
  </r>
  <r>
    <n v="10616"/>
    <x v="2"/>
    <n v="3754.874997055158"/>
    <n v="15"/>
    <d v="1997-07-31T00:00:00"/>
  </r>
  <r>
    <n v="10616"/>
    <x v="3"/>
    <n v="3754.874997055158"/>
    <n v="15"/>
    <d v="1997-07-31T00:00:00"/>
  </r>
  <r>
    <n v="10616"/>
    <x v="4"/>
    <n v="3754.874997055158"/>
    <n v="15"/>
    <d v="1997-07-31T00:00:00"/>
  </r>
  <r>
    <n v="10616"/>
    <x v="5"/>
    <n v="3754.874997055158"/>
    <n v="15"/>
    <d v="1997-07-31T00:00:00"/>
  </r>
  <r>
    <n v="10616"/>
    <x v="6"/>
    <n v="3754.874997055158"/>
    <n v="15"/>
    <d v="1997-07-31T00:00:00"/>
  </r>
  <r>
    <n v="10616"/>
    <x v="7"/>
    <n v="3754.874997055158"/>
    <n v="15"/>
    <d v="1997-07-31T00:00:00"/>
  </r>
  <r>
    <n v="10616"/>
    <x v="0"/>
    <n v="532"/>
    <n v="14"/>
    <d v="1997-07-31T00:00:00"/>
  </r>
  <r>
    <n v="10616"/>
    <x v="1"/>
    <n v="532"/>
    <n v="14"/>
    <d v="1997-07-31T00:00:00"/>
  </r>
  <r>
    <n v="10616"/>
    <x v="2"/>
    <n v="532"/>
    <n v="14"/>
    <d v="1997-07-31T00:00:00"/>
  </r>
  <r>
    <n v="10616"/>
    <x v="3"/>
    <n v="532"/>
    <n v="14"/>
    <d v="1997-07-31T00:00:00"/>
  </r>
  <r>
    <n v="10616"/>
    <x v="4"/>
    <n v="532"/>
    <n v="14"/>
    <d v="1997-07-31T00:00:00"/>
  </r>
  <r>
    <n v="10616"/>
    <x v="5"/>
    <n v="532"/>
    <n v="14"/>
    <d v="1997-07-31T00:00:00"/>
  </r>
  <r>
    <n v="10616"/>
    <x v="6"/>
    <n v="532"/>
    <n v="14"/>
    <d v="1997-07-31T00:00:00"/>
  </r>
  <r>
    <n v="10616"/>
    <x v="7"/>
    <n v="532"/>
    <n v="14"/>
    <d v="1997-07-31T00:00:00"/>
  </r>
  <r>
    <n v="10616"/>
    <x v="0"/>
    <n v="213.74999983236194"/>
    <n v="15"/>
    <d v="1997-07-31T00:00:00"/>
  </r>
  <r>
    <n v="10616"/>
    <x v="1"/>
    <n v="213.74999983236194"/>
    <n v="15"/>
    <d v="1997-07-31T00:00:00"/>
  </r>
  <r>
    <n v="10616"/>
    <x v="2"/>
    <n v="213.74999983236194"/>
    <n v="15"/>
    <d v="1997-07-31T00:00:00"/>
  </r>
  <r>
    <n v="10616"/>
    <x v="3"/>
    <n v="213.74999983236194"/>
    <n v="15"/>
    <d v="1997-07-31T00:00:00"/>
  </r>
  <r>
    <n v="10616"/>
    <x v="4"/>
    <n v="213.74999983236194"/>
    <n v="15"/>
    <d v="1997-07-31T00:00:00"/>
  </r>
  <r>
    <n v="10616"/>
    <x v="5"/>
    <n v="213.74999983236194"/>
    <n v="15"/>
    <d v="1997-07-31T00:00:00"/>
  </r>
  <r>
    <n v="10616"/>
    <x v="6"/>
    <n v="213.74999983236194"/>
    <n v="15"/>
    <d v="1997-07-31T00:00:00"/>
  </r>
  <r>
    <n v="10616"/>
    <x v="7"/>
    <n v="213.74999983236194"/>
    <n v="15"/>
    <d v="1997-07-31T00:00:00"/>
  </r>
  <r>
    <n v="10616"/>
    <x v="0"/>
    <n v="306.37499975971878"/>
    <n v="15"/>
    <d v="1997-07-31T00:00:00"/>
  </r>
  <r>
    <n v="10616"/>
    <x v="1"/>
    <n v="306.37499975971878"/>
    <n v="15"/>
    <d v="1997-07-31T00:00:00"/>
  </r>
  <r>
    <n v="10616"/>
    <x v="2"/>
    <n v="306.37499975971878"/>
    <n v="15"/>
    <d v="1997-07-31T00:00:00"/>
  </r>
  <r>
    <n v="10616"/>
    <x v="3"/>
    <n v="306.37499975971878"/>
    <n v="15"/>
    <d v="1997-07-31T00:00:00"/>
  </r>
  <r>
    <n v="10616"/>
    <x v="4"/>
    <n v="306.37499975971878"/>
    <n v="15"/>
    <d v="1997-07-31T00:00:00"/>
  </r>
  <r>
    <n v="10616"/>
    <x v="5"/>
    <n v="306.37499975971878"/>
    <n v="15"/>
    <d v="1997-07-31T00:00:00"/>
  </r>
  <r>
    <n v="10616"/>
    <x v="6"/>
    <n v="306.37499975971878"/>
    <n v="15"/>
    <d v="1997-07-31T00:00:00"/>
  </r>
  <r>
    <n v="10616"/>
    <x v="7"/>
    <n v="306.37499975971878"/>
    <n v="15"/>
    <d v="1997-07-31T00:00:00"/>
  </r>
  <r>
    <n v="10617"/>
    <x v="0"/>
    <n v="1402.4999901652336"/>
    <n v="30"/>
    <d v="1997-07-31T00:00:00"/>
  </r>
  <r>
    <n v="10617"/>
    <x v="1"/>
    <n v="1402.4999901652336"/>
    <n v="30"/>
    <d v="1997-07-31T00:00:00"/>
  </r>
  <r>
    <n v="10617"/>
    <x v="2"/>
    <n v="1402.4999901652336"/>
    <n v="30"/>
    <d v="1997-07-31T00:00:00"/>
  </r>
  <r>
    <n v="10617"/>
    <x v="3"/>
    <n v="1402.4999901652336"/>
    <n v="30"/>
    <d v="1997-07-31T00:00:00"/>
  </r>
  <r>
    <n v="10617"/>
    <x v="4"/>
    <n v="1402.4999901652336"/>
    <n v="30"/>
    <d v="1997-07-31T00:00:00"/>
  </r>
  <r>
    <n v="10617"/>
    <x v="5"/>
    <n v="1402.4999901652336"/>
    <n v="30"/>
    <d v="1997-07-31T00:00:00"/>
  </r>
  <r>
    <n v="10617"/>
    <x v="6"/>
    <n v="1402.4999901652336"/>
    <n v="30"/>
    <d v="1997-07-31T00:00:00"/>
  </r>
  <r>
    <n v="10617"/>
    <x v="7"/>
    <n v="1402.4999901652336"/>
    <n v="30"/>
    <d v="1997-07-31T00:00:00"/>
  </r>
  <r>
    <n v="10618"/>
    <x v="0"/>
    <n v="1750"/>
    <n v="70"/>
    <d v="1997-08-01T00:00:00"/>
  </r>
  <r>
    <n v="10618"/>
    <x v="1"/>
    <n v="1750"/>
    <n v="70"/>
    <d v="1997-08-01T00:00:00"/>
  </r>
  <r>
    <n v="10618"/>
    <x v="2"/>
    <n v="1750"/>
    <n v="70"/>
    <d v="1997-08-01T00:00:00"/>
  </r>
  <r>
    <n v="10618"/>
    <x v="3"/>
    <n v="1750"/>
    <n v="70"/>
    <d v="1997-08-01T00:00:00"/>
  </r>
  <r>
    <n v="10618"/>
    <x v="4"/>
    <n v="1750"/>
    <n v="70"/>
    <d v="1997-08-01T00:00:00"/>
  </r>
  <r>
    <n v="10618"/>
    <x v="5"/>
    <n v="1750"/>
    <n v="70"/>
    <d v="1997-08-01T00:00:00"/>
  </r>
  <r>
    <n v="10618"/>
    <x v="6"/>
    <n v="1750"/>
    <n v="70"/>
    <d v="1997-08-01T00:00:00"/>
  </r>
  <r>
    <n v="10618"/>
    <x v="7"/>
    <n v="1750"/>
    <n v="70"/>
    <d v="1997-08-01T00:00:00"/>
  </r>
  <r>
    <n v="10618"/>
    <x v="0"/>
    <n v="760"/>
    <n v="20"/>
    <d v="1997-08-01T00:00:00"/>
  </r>
  <r>
    <n v="10618"/>
    <x v="1"/>
    <n v="760"/>
    <n v="20"/>
    <d v="1997-08-01T00:00:00"/>
  </r>
  <r>
    <n v="10618"/>
    <x v="2"/>
    <n v="760"/>
    <n v="20"/>
    <d v="1997-08-01T00:00:00"/>
  </r>
  <r>
    <n v="10618"/>
    <x v="3"/>
    <n v="760"/>
    <n v="20"/>
    <d v="1997-08-01T00:00:00"/>
  </r>
  <r>
    <n v="10618"/>
    <x v="4"/>
    <n v="760"/>
    <n v="20"/>
    <d v="1997-08-01T00:00:00"/>
  </r>
  <r>
    <n v="10618"/>
    <x v="5"/>
    <n v="760"/>
    <n v="20"/>
    <d v="1997-08-01T00:00:00"/>
  </r>
  <r>
    <n v="10618"/>
    <x v="6"/>
    <n v="760"/>
    <n v="20"/>
    <d v="1997-08-01T00:00:00"/>
  </r>
  <r>
    <n v="10618"/>
    <x v="7"/>
    <n v="760"/>
    <n v="20"/>
    <d v="1997-08-01T00:00:00"/>
  </r>
  <r>
    <n v="10618"/>
    <x v="0"/>
    <n v="187.5"/>
    <n v="15"/>
    <d v="1997-08-01T00:00:00"/>
  </r>
  <r>
    <n v="10618"/>
    <x v="1"/>
    <n v="187.5"/>
    <n v="15"/>
    <d v="1997-08-01T00:00:00"/>
  </r>
  <r>
    <n v="10618"/>
    <x v="2"/>
    <n v="187.5"/>
    <n v="15"/>
    <d v="1997-08-01T00:00:00"/>
  </r>
  <r>
    <n v="10618"/>
    <x v="3"/>
    <n v="187.5"/>
    <n v="15"/>
    <d v="1997-08-01T00:00:00"/>
  </r>
  <r>
    <n v="10618"/>
    <x v="4"/>
    <n v="187.5"/>
    <n v="15"/>
    <d v="1997-08-01T00:00:00"/>
  </r>
  <r>
    <n v="10618"/>
    <x v="5"/>
    <n v="187.5"/>
    <n v="15"/>
    <d v="1997-08-01T00:00:00"/>
  </r>
  <r>
    <n v="10618"/>
    <x v="6"/>
    <n v="187.5"/>
    <n v="15"/>
    <d v="1997-08-01T00:00:00"/>
  </r>
  <r>
    <n v="10618"/>
    <x v="7"/>
    <n v="187.5"/>
    <n v="15"/>
    <d v="1997-08-01T00:00:00"/>
  </r>
  <r>
    <n v="10619"/>
    <x v="0"/>
    <n v="420"/>
    <n v="42"/>
    <d v="1997-08-04T00:00:00"/>
  </r>
  <r>
    <n v="10619"/>
    <x v="1"/>
    <n v="420"/>
    <n v="42"/>
    <d v="1997-08-04T00:00:00"/>
  </r>
  <r>
    <n v="10619"/>
    <x v="2"/>
    <n v="420"/>
    <n v="42"/>
    <d v="1997-08-04T00:00:00"/>
  </r>
  <r>
    <n v="10619"/>
    <x v="3"/>
    <n v="420"/>
    <n v="42"/>
    <d v="1997-08-04T00:00:00"/>
  </r>
  <r>
    <n v="10619"/>
    <x v="4"/>
    <n v="420"/>
    <n v="42"/>
    <d v="1997-08-04T00:00:00"/>
  </r>
  <r>
    <n v="10619"/>
    <x v="5"/>
    <n v="420"/>
    <n v="42"/>
    <d v="1997-08-04T00:00:00"/>
  </r>
  <r>
    <n v="10619"/>
    <x v="6"/>
    <n v="420"/>
    <n v="42"/>
    <d v="1997-08-04T00:00:00"/>
  </r>
  <r>
    <n v="10619"/>
    <x v="7"/>
    <n v="420"/>
    <n v="42"/>
    <d v="1997-08-04T00:00:00"/>
  </r>
  <r>
    <n v="10619"/>
    <x v="0"/>
    <n v="840"/>
    <n v="40"/>
    <d v="1997-08-04T00:00:00"/>
  </r>
  <r>
    <n v="10619"/>
    <x v="1"/>
    <n v="840"/>
    <n v="40"/>
    <d v="1997-08-04T00:00:00"/>
  </r>
  <r>
    <n v="10619"/>
    <x v="2"/>
    <n v="840"/>
    <n v="40"/>
    <d v="1997-08-04T00:00:00"/>
  </r>
  <r>
    <n v="10619"/>
    <x v="3"/>
    <n v="840"/>
    <n v="40"/>
    <d v="1997-08-04T00:00:00"/>
  </r>
  <r>
    <n v="10619"/>
    <x v="4"/>
    <n v="840"/>
    <n v="40"/>
    <d v="1997-08-04T00:00:00"/>
  </r>
  <r>
    <n v="10619"/>
    <x v="5"/>
    <n v="840"/>
    <n v="40"/>
    <d v="1997-08-04T00:00:00"/>
  </r>
  <r>
    <n v="10619"/>
    <x v="6"/>
    <n v="840"/>
    <n v="40"/>
    <d v="1997-08-04T00:00:00"/>
  </r>
  <r>
    <n v="10619"/>
    <x v="7"/>
    <n v="840"/>
    <n v="40"/>
    <d v="1997-08-04T00:00:00"/>
  </r>
  <r>
    <n v="10620"/>
    <x v="0"/>
    <n v="22.5"/>
    <n v="5"/>
    <d v="1997-08-05T00:00:00"/>
  </r>
  <r>
    <n v="10620"/>
    <x v="1"/>
    <n v="22.5"/>
    <n v="5"/>
    <d v="1997-08-05T00:00:00"/>
  </r>
  <r>
    <n v="10620"/>
    <x v="2"/>
    <n v="22.5"/>
    <n v="5"/>
    <d v="1997-08-05T00:00:00"/>
  </r>
  <r>
    <n v="10620"/>
    <x v="3"/>
    <n v="22.5"/>
    <n v="5"/>
    <d v="1997-08-05T00:00:00"/>
  </r>
  <r>
    <n v="10620"/>
    <x v="4"/>
    <n v="22.5"/>
    <n v="5"/>
    <d v="1997-08-05T00:00:00"/>
  </r>
  <r>
    <n v="10620"/>
    <x v="5"/>
    <n v="22.5"/>
    <n v="5"/>
    <d v="1997-08-05T00:00:00"/>
  </r>
  <r>
    <n v="10620"/>
    <x v="6"/>
    <n v="22.5"/>
    <n v="5"/>
    <d v="1997-08-05T00:00:00"/>
  </r>
  <r>
    <n v="10620"/>
    <x v="7"/>
    <n v="22.5"/>
    <n v="5"/>
    <d v="1997-08-05T00:00:00"/>
  </r>
  <r>
    <n v="10620"/>
    <x v="0"/>
    <n v="35"/>
    <n v="5"/>
    <d v="1997-08-05T00:00:00"/>
  </r>
  <r>
    <n v="10620"/>
    <x v="1"/>
    <n v="35"/>
    <n v="5"/>
    <d v="1997-08-05T00:00:00"/>
  </r>
  <r>
    <n v="10620"/>
    <x v="2"/>
    <n v="35"/>
    <n v="5"/>
    <d v="1997-08-05T00:00:00"/>
  </r>
  <r>
    <n v="10620"/>
    <x v="3"/>
    <n v="35"/>
    <n v="5"/>
    <d v="1997-08-05T00:00:00"/>
  </r>
  <r>
    <n v="10620"/>
    <x v="4"/>
    <n v="35"/>
    <n v="5"/>
    <d v="1997-08-05T00:00:00"/>
  </r>
  <r>
    <n v="10620"/>
    <x v="5"/>
    <n v="35"/>
    <n v="5"/>
    <d v="1997-08-05T00:00:00"/>
  </r>
  <r>
    <n v="10620"/>
    <x v="6"/>
    <n v="35"/>
    <n v="5"/>
    <d v="1997-08-05T00:00:00"/>
  </r>
  <r>
    <n v="10620"/>
    <x v="7"/>
    <n v="35"/>
    <n v="5"/>
    <d v="1997-08-05T00:00:00"/>
  </r>
  <r>
    <n v="10621"/>
    <x v="0"/>
    <n v="46"/>
    <n v="5"/>
    <d v="1997-08-05T00:00:00"/>
  </r>
  <r>
    <n v="10621"/>
    <x v="1"/>
    <n v="46"/>
    <n v="5"/>
    <d v="1997-08-05T00:00:00"/>
  </r>
  <r>
    <n v="10621"/>
    <x v="2"/>
    <n v="46"/>
    <n v="5"/>
    <d v="1997-08-05T00:00:00"/>
  </r>
  <r>
    <n v="10621"/>
    <x v="3"/>
    <n v="46"/>
    <n v="5"/>
    <d v="1997-08-05T00:00:00"/>
  </r>
  <r>
    <n v="10621"/>
    <x v="4"/>
    <n v="46"/>
    <n v="5"/>
    <d v="1997-08-05T00:00:00"/>
  </r>
  <r>
    <n v="10621"/>
    <x v="5"/>
    <n v="46"/>
    <n v="5"/>
    <d v="1997-08-05T00:00:00"/>
  </r>
  <r>
    <n v="10621"/>
    <x v="6"/>
    <n v="46"/>
    <n v="5"/>
    <d v="1997-08-05T00:00:00"/>
  </r>
  <r>
    <n v="10621"/>
    <x v="7"/>
    <n v="46"/>
    <n v="5"/>
    <d v="1997-08-05T00:00:00"/>
  </r>
  <r>
    <n v="10621"/>
    <x v="0"/>
    <n v="90"/>
    <n v="10"/>
    <d v="1997-08-05T00:00:00"/>
  </r>
  <r>
    <n v="10621"/>
    <x v="1"/>
    <n v="90"/>
    <n v="10"/>
    <d v="1997-08-05T00:00:00"/>
  </r>
  <r>
    <n v="10621"/>
    <x v="2"/>
    <n v="90"/>
    <n v="10"/>
    <d v="1997-08-05T00:00:00"/>
  </r>
  <r>
    <n v="10621"/>
    <x v="3"/>
    <n v="90"/>
    <n v="10"/>
    <d v="1997-08-05T00:00:00"/>
  </r>
  <r>
    <n v="10621"/>
    <x v="4"/>
    <n v="90"/>
    <n v="10"/>
    <d v="1997-08-05T00:00:00"/>
  </r>
  <r>
    <n v="10621"/>
    <x v="5"/>
    <n v="90"/>
    <n v="10"/>
    <d v="1997-08-05T00:00:00"/>
  </r>
  <r>
    <n v="10621"/>
    <x v="6"/>
    <n v="90"/>
    <n v="10"/>
    <d v="1997-08-05T00:00:00"/>
  </r>
  <r>
    <n v="10621"/>
    <x v="7"/>
    <n v="90"/>
    <n v="10"/>
    <d v="1997-08-05T00:00:00"/>
  </r>
  <r>
    <n v="10621"/>
    <x v="0"/>
    <n v="300"/>
    <n v="20"/>
    <d v="1997-08-05T00:00:00"/>
  </r>
  <r>
    <n v="10621"/>
    <x v="1"/>
    <n v="300"/>
    <n v="20"/>
    <d v="1997-08-05T00:00:00"/>
  </r>
  <r>
    <n v="10621"/>
    <x v="2"/>
    <n v="300"/>
    <n v="20"/>
    <d v="1997-08-05T00:00:00"/>
  </r>
  <r>
    <n v="10621"/>
    <x v="3"/>
    <n v="300"/>
    <n v="20"/>
    <d v="1997-08-05T00:00:00"/>
  </r>
  <r>
    <n v="10621"/>
    <x v="4"/>
    <n v="300"/>
    <n v="20"/>
    <d v="1997-08-05T00:00:00"/>
  </r>
  <r>
    <n v="10621"/>
    <x v="5"/>
    <n v="300"/>
    <n v="20"/>
    <d v="1997-08-05T00:00:00"/>
  </r>
  <r>
    <n v="10621"/>
    <x v="6"/>
    <n v="300"/>
    <n v="20"/>
    <d v="1997-08-05T00:00:00"/>
  </r>
  <r>
    <n v="10621"/>
    <x v="7"/>
    <n v="300"/>
    <n v="20"/>
    <d v="1997-08-05T00:00:00"/>
  </r>
  <r>
    <n v="10621"/>
    <x v="0"/>
    <n v="322.5"/>
    <n v="15"/>
    <d v="1997-08-05T00:00:00"/>
  </r>
  <r>
    <n v="10621"/>
    <x v="1"/>
    <n v="322.5"/>
    <n v="15"/>
    <d v="1997-08-05T00:00:00"/>
  </r>
  <r>
    <n v="10621"/>
    <x v="2"/>
    <n v="322.5"/>
    <n v="15"/>
    <d v="1997-08-05T00:00:00"/>
  </r>
  <r>
    <n v="10621"/>
    <x v="3"/>
    <n v="322.5"/>
    <n v="15"/>
    <d v="1997-08-05T00:00:00"/>
  </r>
  <r>
    <n v="10621"/>
    <x v="4"/>
    <n v="322.5"/>
    <n v="15"/>
    <d v="1997-08-05T00:00:00"/>
  </r>
  <r>
    <n v="10621"/>
    <x v="5"/>
    <n v="322.5"/>
    <n v="15"/>
    <d v="1997-08-05T00:00:00"/>
  </r>
  <r>
    <n v="10621"/>
    <x v="6"/>
    <n v="322.5"/>
    <n v="15"/>
    <d v="1997-08-05T00:00:00"/>
  </r>
  <r>
    <n v="10621"/>
    <x v="7"/>
    <n v="322.5"/>
    <n v="15"/>
    <d v="1997-08-05T00:00:00"/>
  </r>
  <r>
    <n v="10622"/>
    <x v="0"/>
    <n v="380"/>
    <n v="20"/>
    <d v="1997-08-06T00:00:00"/>
  </r>
  <r>
    <n v="10622"/>
    <x v="1"/>
    <n v="380"/>
    <n v="20"/>
    <d v="1997-08-06T00:00:00"/>
  </r>
  <r>
    <n v="10622"/>
    <x v="2"/>
    <n v="380"/>
    <n v="20"/>
    <d v="1997-08-06T00:00:00"/>
  </r>
  <r>
    <n v="10622"/>
    <x v="3"/>
    <n v="380"/>
    <n v="20"/>
    <d v="1997-08-06T00:00:00"/>
  </r>
  <r>
    <n v="10622"/>
    <x v="4"/>
    <n v="380"/>
    <n v="20"/>
    <d v="1997-08-06T00:00:00"/>
  </r>
  <r>
    <n v="10622"/>
    <x v="5"/>
    <n v="380"/>
    <n v="20"/>
    <d v="1997-08-06T00:00:00"/>
  </r>
  <r>
    <n v="10622"/>
    <x v="6"/>
    <n v="380"/>
    <n v="20"/>
    <d v="1997-08-06T00:00:00"/>
  </r>
  <r>
    <n v="10622"/>
    <x v="7"/>
    <n v="380"/>
    <n v="20"/>
    <d v="1997-08-06T00:00:00"/>
  </r>
  <r>
    <n v="10622"/>
    <x v="0"/>
    <n v="179.99999932944775"/>
    <n v="18"/>
    <d v="1997-08-06T00:00:00"/>
  </r>
  <r>
    <n v="10622"/>
    <x v="1"/>
    <n v="179.99999932944775"/>
    <n v="18"/>
    <d v="1997-08-06T00:00:00"/>
  </r>
  <r>
    <n v="10622"/>
    <x v="2"/>
    <n v="179.99999932944775"/>
    <n v="18"/>
    <d v="1997-08-06T00:00:00"/>
  </r>
  <r>
    <n v="10622"/>
    <x v="3"/>
    <n v="179.99999932944775"/>
    <n v="18"/>
    <d v="1997-08-06T00:00:00"/>
  </r>
  <r>
    <n v="10622"/>
    <x v="4"/>
    <n v="179.99999932944775"/>
    <n v="18"/>
    <d v="1997-08-06T00:00:00"/>
  </r>
  <r>
    <n v="10622"/>
    <x v="5"/>
    <n v="179.99999932944775"/>
    <n v="18"/>
    <d v="1997-08-06T00:00:00"/>
  </r>
  <r>
    <n v="10622"/>
    <x v="6"/>
    <n v="179.99999932944775"/>
    <n v="18"/>
    <d v="1997-08-06T00:00:00"/>
  </r>
  <r>
    <n v="10622"/>
    <x v="7"/>
    <n v="179.99999932944775"/>
    <n v="18"/>
    <d v="1997-08-06T00:00:00"/>
  </r>
  <r>
    <n v="10623"/>
    <x v="0"/>
    <n v="488.25"/>
    <n v="21"/>
    <d v="1997-08-07T00:00:00"/>
  </r>
  <r>
    <n v="10623"/>
    <x v="1"/>
    <n v="488.25"/>
    <n v="21"/>
    <d v="1997-08-07T00:00:00"/>
  </r>
  <r>
    <n v="10623"/>
    <x v="2"/>
    <n v="488.25"/>
    <n v="21"/>
    <d v="1997-08-07T00:00:00"/>
  </r>
  <r>
    <n v="10623"/>
    <x v="3"/>
    <n v="488.25"/>
    <n v="21"/>
    <d v="1997-08-07T00:00:00"/>
  </r>
  <r>
    <n v="10623"/>
    <x v="4"/>
    <n v="488.25"/>
    <n v="21"/>
    <d v="1997-08-07T00:00:00"/>
  </r>
  <r>
    <n v="10623"/>
    <x v="5"/>
    <n v="488.25"/>
    <n v="21"/>
    <d v="1997-08-07T00:00:00"/>
  </r>
  <r>
    <n v="10623"/>
    <x v="6"/>
    <n v="488.25"/>
    <n v="21"/>
    <d v="1997-08-07T00:00:00"/>
  </r>
  <r>
    <n v="10623"/>
    <x v="7"/>
    <n v="488.25"/>
    <n v="21"/>
    <d v="1997-08-07T00:00:00"/>
  </r>
  <r>
    <n v="10623"/>
    <x v="0"/>
    <n v="124.19999979436398"/>
    <n v="15"/>
    <d v="1997-08-07T00:00:00"/>
  </r>
  <r>
    <n v="10623"/>
    <x v="1"/>
    <n v="124.19999979436398"/>
    <n v="15"/>
    <d v="1997-08-07T00:00:00"/>
  </r>
  <r>
    <n v="10623"/>
    <x v="2"/>
    <n v="124.19999979436398"/>
    <n v="15"/>
    <d v="1997-08-07T00:00:00"/>
  </r>
  <r>
    <n v="10623"/>
    <x v="3"/>
    <n v="124.19999979436398"/>
    <n v="15"/>
    <d v="1997-08-07T00:00:00"/>
  </r>
  <r>
    <n v="10623"/>
    <x v="4"/>
    <n v="124.19999979436398"/>
    <n v="15"/>
    <d v="1997-08-07T00:00:00"/>
  </r>
  <r>
    <n v="10623"/>
    <x v="5"/>
    <n v="124.19999979436398"/>
    <n v="15"/>
    <d v="1997-08-07T00:00:00"/>
  </r>
  <r>
    <n v="10623"/>
    <x v="6"/>
    <n v="124.19999979436398"/>
    <n v="15"/>
    <d v="1997-08-07T00:00:00"/>
  </r>
  <r>
    <n v="10623"/>
    <x v="7"/>
    <n v="124.19999979436398"/>
    <n v="15"/>
    <d v="1997-08-07T00:00:00"/>
  </r>
  <r>
    <n v="10623"/>
    <x v="0"/>
    <n v="224.99999962747097"/>
    <n v="25"/>
    <d v="1997-08-07T00:00:00"/>
  </r>
  <r>
    <n v="10623"/>
    <x v="1"/>
    <n v="224.99999962747097"/>
    <n v="25"/>
    <d v="1997-08-07T00:00:00"/>
  </r>
  <r>
    <n v="10623"/>
    <x v="2"/>
    <n v="224.99999962747097"/>
    <n v="25"/>
    <d v="1997-08-07T00:00:00"/>
  </r>
  <r>
    <n v="10623"/>
    <x v="3"/>
    <n v="224.99999962747097"/>
    <n v="25"/>
    <d v="1997-08-07T00:00:00"/>
  </r>
  <r>
    <n v="10623"/>
    <x v="4"/>
    <n v="224.99999962747097"/>
    <n v="25"/>
    <d v="1997-08-07T00:00:00"/>
  </r>
  <r>
    <n v="10623"/>
    <x v="5"/>
    <n v="224.99999962747097"/>
    <n v="25"/>
    <d v="1997-08-07T00:00:00"/>
  </r>
  <r>
    <n v="10623"/>
    <x v="6"/>
    <n v="224.99999962747097"/>
    <n v="25"/>
    <d v="1997-08-07T00:00:00"/>
  </r>
  <r>
    <n v="10623"/>
    <x v="7"/>
    <n v="224.99999962747097"/>
    <n v="25"/>
    <d v="1997-08-07T00:00:00"/>
  </r>
  <r>
    <n v="10623"/>
    <x v="0"/>
    <n v="13.5"/>
    <n v="3"/>
    <d v="1997-08-07T00:00:00"/>
  </r>
  <r>
    <n v="10623"/>
    <x v="1"/>
    <n v="13.5"/>
    <n v="3"/>
    <d v="1997-08-07T00:00:00"/>
  </r>
  <r>
    <n v="10623"/>
    <x v="2"/>
    <n v="13.5"/>
    <n v="3"/>
    <d v="1997-08-07T00:00:00"/>
  </r>
  <r>
    <n v="10623"/>
    <x v="3"/>
    <n v="13.5"/>
    <n v="3"/>
    <d v="1997-08-07T00:00:00"/>
  </r>
  <r>
    <n v="10623"/>
    <x v="4"/>
    <n v="13.5"/>
    <n v="3"/>
    <d v="1997-08-07T00:00:00"/>
  </r>
  <r>
    <n v="10623"/>
    <x v="5"/>
    <n v="13.5"/>
    <n v="3"/>
    <d v="1997-08-07T00:00:00"/>
  </r>
  <r>
    <n v="10623"/>
    <x v="6"/>
    <n v="13.5"/>
    <n v="3"/>
    <d v="1997-08-07T00:00:00"/>
  </r>
  <r>
    <n v="10623"/>
    <x v="7"/>
    <n v="13.5"/>
    <n v="3"/>
    <d v="1997-08-07T00:00:00"/>
  </r>
  <r>
    <n v="10623"/>
    <x v="0"/>
    <n v="485.9999991953373"/>
    <n v="30"/>
    <d v="1997-08-07T00:00:00"/>
  </r>
  <r>
    <n v="10623"/>
    <x v="1"/>
    <n v="485.9999991953373"/>
    <n v="30"/>
    <d v="1997-08-07T00:00:00"/>
  </r>
  <r>
    <n v="10623"/>
    <x v="2"/>
    <n v="485.9999991953373"/>
    <n v="30"/>
    <d v="1997-08-07T00:00:00"/>
  </r>
  <r>
    <n v="10623"/>
    <x v="3"/>
    <n v="485.9999991953373"/>
    <n v="30"/>
    <d v="1997-08-07T00:00:00"/>
  </r>
  <r>
    <n v="10623"/>
    <x v="4"/>
    <n v="485.9999991953373"/>
    <n v="30"/>
    <d v="1997-08-07T00:00:00"/>
  </r>
  <r>
    <n v="10623"/>
    <x v="5"/>
    <n v="485.9999991953373"/>
    <n v="30"/>
    <d v="1997-08-07T00:00:00"/>
  </r>
  <r>
    <n v="10623"/>
    <x v="6"/>
    <n v="485.9999991953373"/>
    <n v="30"/>
    <d v="1997-08-07T00:00:00"/>
  </r>
  <r>
    <n v="10623"/>
    <x v="7"/>
    <n v="485.9999991953373"/>
    <n v="30"/>
    <d v="1997-08-07T00:00:00"/>
  </r>
  <r>
    <n v="10624"/>
    <x v="0"/>
    <n v="456"/>
    <n v="10"/>
    <d v="1997-08-07T00:00:00"/>
  </r>
  <r>
    <n v="10624"/>
    <x v="1"/>
    <n v="456"/>
    <n v="10"/>
    <d v="1997-08-07T00:00:00"/>
  </r>
  <r>
    <n v="10624"/>
    <x v="2"/>
    <n v="456"/>
    <n v="10"/>
    <d v="1997-08-07T00:00:00"/>
  </r>
  <r>
    <n v="10624"/>
    <x v="3"/>
    <n v="456"/>
    <n v="10"/>
    <d v="1997-08-07T00:00:00"/>
  </r>
  <r>
    <n v="10624"/>
    <x v="4"/>
    <n v="456"/>
    <n v="10"/>
    <d v="1997-08-07T00:00:00"/>
  </r>
  <r>
    <n v="10624"/>
    <x v="5"/>
    <n v="456"/>
    <n v="10"/>
    <d v="1997-08-07T00:00:00"/>
  </r>
  <r>
    <n v="10624"/>
    <x v="6"/>
    <n v="456"/>
    <n v="10"/>
    <d v="1997-08-07T00:00:00"/>
  </r>
  <r>
    <n v="10624"/>
    <x v="7"/>
    <n v="456"/>
    <n v="10"/>
    <d v="1997-08-07T00:00:00"/>
  </r>
  <r>
    <n v="10624"/>
    <x v="0"/>
    <n v="742.74"/>
    <n v="6"/>
    <d v="1997-08-07T00:00:00"/>
  </r>
  <r>
    <n v="10624"/>
    <x v="1"/>
    <n v="742.74"/>
    <n v="6"/>
    <d v="1997-08-07T00:00:00"/>
  </r>
  <r>
    <n v="10624"/>
    <x v="2"/>
    <n v="742.74"/>
    <n v="6"/>
    <d v="1997-08-07T00:00:00"/>
  </r>
  <r>
    <n v="10624"/>
    <x v="3"/>
    <n v="742.74"/>
    <n v="6"/>
    <d v="1997-08-07T00:00:00"/>
  </r>
  <r>
    <n v="10624"/>
    <x v="4"/>
    <n v="742.74"/>
    <n v="6"/>
    <d v="1997-08-07T00:00:00"/>
  </r>
  <r>
    <n v="10624"/>
    <x v="5"/>
    <n v="742.74"/>
    <n v="6"/>
    <d v="1997-08-07T00:00:00"/>
  </r>
  <r>
    <n v="10624"/>
    <x v="6"/>
    <n v="742.74"/>
    <n v="6"/>
    <d v="1997-08-07T00:00:00"/>
  </r>
  <r>
    <n v="10624"/>
    <x v="7"/>
    <n v="742.74"/>
    <n v="6"/>
    <d v="1997-08-07T00:00:00"/>
  </r>
  <r>
    <n v="10624"/>
    <x v="0"/>
    <n v="194.5"/>
    <n v="10"/>
    <d v="1997-08-07T00:00:00"/>
  </r>
  <r>
    <n v="10624"/>
    <x v="1"/>
    <n v="194.5"/>
    <n v="10"/>
    <d v="1997-08-07T00:00:00"/>
  </r>
  <r>
    <n v="10624"/>
    <x v="2"/>
    <n v="194.5"/>
    <n v="10"/>
    <d v="1997-08-07T00:00:00"/>
  </r>
  <r>
    <n v="10624"/>
    <x v="3"/>
    <n v="194.5"/>
    <n v="10"/>
    <d v="1997-08-07T00:00:00"/>
  </r>
  <r>
    <n v="10624"/>
    <x v="4"/>
    <n v="194.5"/>
    <n v="10"/>
    <d v="1997-08-07T00:00:00"/>
  </r>
  <r>
    <n v="10624"/>
    <x v="5"/>
    <n v="194.5"/>
    <n v="10"/>
    <d v="1997-08-07T00:00:00"/>
  </r>
  <r>
    <n v="10624"/>
    <x v="6"/>
    <n v="194.5"/>
    <n v="10"/>
    <d v="1997-08-07T00:00:00"/>
  </r>
  <r>
    <n v="10624"/>
    <x v="7"/>
    <n v="194.5"/>
    <n v="10"/>
    <d v="1997-08-07T00:00:00"/>
  </r>
  <r>
    <n v="10625"/>
    <x v="0"/>
    <n v="69.75"/>
    <n v="3"/>
    <d v="1997-08-08T00:00:00"/>
  </r>
  <r>
    <n v="10625"/>
    <x v="1"/>
    <n v="69.75"/>
    <n v="3"/>
    <d v="1997-08-08T00:00:00"/>
  </r>
  <r>
    <n v="10625"/>
    <x v="2"/>
    <n v="69.75"/>
    <n v="3"/>
    <d v="1997-08-08T00:00:00"/>
  </r>
  <r>
    <n v="10625"/>
    <x v="3"/>
    <n v="69.75"/>
    <n v="3"/>
    <d v="1997-08-08T00:00:00"/>
  </r>
  <r>
    <n v="10625"/>
    <x v="4"/>
    <n v="69.75"/>
    <n v="3"/>
    <d v="1997-08-08T00:00:00"/>
  </r>
  <r>
    <n v="10625"/>
    <x v="5"/>
    <n v="69.75"/>
    <n v="3"/>
    <d v="1997-08-08T00:00:00"/>
  </r>
  <r>
    <n v="10625"/>
    <x v="6"/>
    <n v="69.75"/>
    <n v="3"/>
    <d v="1997-08-08T00:00:00"/>
  </r>
  <r>
    <n v="10625"/>
    <x v="7"/>
    <n v="69.75"/>
    <n v="3"/>
    <d v="1997-08-08T00:00:00"/>
  </r>
  <r>
    <n v="10625"/>
    <x v="0"/>
    <n v="70"/>
    <n v="5"/>
    <d v="1997-08-08T00:00:00"/>
  </r>
  <r>
    <n v="10625"/>
    <x v="1"/>
    <n v="70"/>
    <n v="5"/>
    <d v="1997-08-08T00:00:00"/>
  </r>
  <r>
    <n v="10625"/>
    <x v="2"/>
    <n v="70"/>
    <n v="5"/>
    <d v="1997-08-08T00:00:00"/>
  </r>
  <r>
    <n v="10625"/>
    <x v="3"/>
    <n v="70"/>
    <n v="5"/>
    <d v="1997-08-08T00:00:00"/>
  </r>
  <r>
    <n v="10625"/>
    <x v="4"/>
    <n v="70"/>
    <n v="5"/>
    <d v="1997-08-08T00:00:00"/>
  </r>
  <r>
    <n v="10625"/>
    <x v="5"/>
    <n v="70"/>
    <n v="5"/>
    <d v="1997-08-08T00:00:00"/>
  </r>
  <r>
    <n v="10625"/>
    <x v="6"/>
    <n v="70"/>
    <n v="5"/>
    <d v="1997-08-08T00:00:00"/>
  </r>
  <r>
    <n v="10625"/>
    <x v="7"/>
    <n v="70"/>
    <n v="5"/>
    <d v="1997-08-08T00:00:00"/>
  </r>
  <r>
    <n v="10625"/>
    <x v="0"/>
    <n v="340"/>
    <n v="10"/>
    <d v="1997-08-08T00:00:00"/>
  </r>
  <r>
    <n v="10625"/>
    <x v="1"/>
    <n v="340"/>
    <n v="10"/>
    <d v="1997-08-08T00:00:00"/>
  </r>
  <r>
    <n v="10625"/>
    <x v="2"/>
    <n v="340"/>
    <n v="10"/>
    <d v="1997-08-08T00:00:00"/>
  </r>
  <r>
    <n v="10625"/>
    <x v="3"/>
    <n v="340"/>
    <n v="10"/>
    <d v="1997-08-08T00:00:00"/>
  </r>
  <r>
    <n v="10625"/>
    <x v="4"/>
    <n v="340"/>
    <n v="10"/>
    <d v="1997-08-08T00:00:00"/>
  </r>
  <r>
    <n v="10625"/>
    <x v="5"/>
    <n v="340"/>
    <n v="10"/>
    <d v="1997-08-08T00:00:00"/>
  </r>
  <r>
    <n v="10625"/>
    <x v="6"/>
    <n v="340"/>
    <n v="10"/>
    <d v="1997-08-08T00:00:00"/>
  </r>
  <r>
    <n v="10625"/>
    <x v="7"/>
    <n v="340"/>
    <n v="10"/>
    <d v="1997-08-08T00:00:00"/>
  </r>
  <r>
    <n v="10626"/>
    <x v="0"/>
    <n v="393.6"/>
    <n v="12"/>
    <d v="1997-08-11T00:00:00"/>
  </r>
  <r>
    <n v="10626"/>
    <x v="1"/>
    <n v="393.6"/>
    <n v="12"/>
    <d v="1997-08-11T00:00:00"/>
  </r>
  <r>
    <n v="10626"/>
    <x v="2"/>
    <n v="393.6"/>
    <n v="12"/>
    <d v="1997-08-11T00:00:00"/>
  </r>
  <r>
    <n v="10626"/>
    <x v="3"/>
    <n v="393.6"/>
    <n v="12"/>
    <d v="1997-08-11T00:00:00"/>
  </r>
  <r>
    <n v="10626"/>
    <x v="4"/>
    <n v="393.6"/>
    <n v="12"/>
    <d v="1997-08-11T00:00:00"/>
  </r>
  <r>
    <n v="10626"/>
    <x v="5"/>
    <n v="393.6"/>
    <n v="12"/>
    <d v="1997-08-11T00:00:00"/>
  </r>
  <r>
    <n v="10626"/>
    <x v="6"/>
    <n v="393.6"/>
    <n v="12"/>
    <d v="1997-08-11T00:00:00"/>
  </r>
  <r>
    <n v="10626"/>
    <x v="7"/>
    <n v="393.6"/>
    <n v="12"/>
    <d v="1997-08-11T00:00:00"/>
  </r>
  <r>
    <n v="10626"/>
    <x v="0"/>
    <n v="680"/>
    <n v="20"/>
    <d v="1997-08-11T00:00:00"/>
  </r>
  <r>
    <n v="10626"/>
    <x v="1"/>
    <n v="680"/>
    <n v="20"/>
    <d v="1997-08-11T00:00:00"/>
  </r>
  <r>
    <n v="10626"/>
    <x v="2"/>
    <n v="680"/>
    <n v="20"/>
    <d v="1997-08-11T00:00:00"/>
  </r>
  <r>
    <n v="10626"/>
    <x v="3"/>
    <n v="680"/>
    <n v="20"/>
    <d v="1997-08-11T00:00:00"/>
  </r>
  <r>
    <n v="10626"/>
    <x v="4"/>
    <n v="680"/>
    <n v="20"/>
    <d v="1997-08-11T00:00:00"/>
  </r>
  <r>
    <n v="10626"/>
    <x v="5"/>
    <n v="680"/>
    <n v="20"/>
    <d v="1997-08-11T00:00:00"/>
  </r>
  <r>
    <n v="10626"/>
    <x v="6"/>
    <n v="680"/>
    <n v="20"/>
    <d v="1997-08-11T00:00:00"/>
  </r>
  <r>
    <n v="10626"/>
    <x v="7"/>
    <n v="680"/>
    <n v="20"/>
    <d v="1997-08-11T00:00:00"/>
  </r>
  <r>
    <n v="10626"/>
    <x v="0"/>
    <n v="430"/>
    <n v="20"/>
    <d v="1997-08-11T00:00:00"/>
  </r>
  <r>
    <n v="10626"/>
    <x v="1"/>
    <n v="430"/>
    <n v="20"/>
    <d v="1997-08-11T00:00:00"/>
  </r>
  <r>
    <n v="10626"/>
    <x v="2"/>
    <n v="430"/>
    <n v="20"/>
    <d v="1997-08-11T00:00:00"/>
  </r>
  <r>
    <n v="10626"/>
    <x v="3"/>
    <n v="430"/>
    <n v="20"/>
    <d v="1997-08-11T00:00:00"/>
  </r>
  <r>
    <n v="10626"/>
    <x v="4"/>
    <n v="430"/>
    <n v="20"/>
    <d v="1997-08-11T00:00:00"/>
  </r>
  <r>
    <n v="10626"/>
    <x v="5"/>
    <n v="430"/>
    <n v="20"/>
    <d v="1997-08-11T00:00:00"/>
  </r>
  <r>
    <n v="10626"/>
    <x v="6"/>
    <n v="430"/>
    <n v="20"/>
    <d v="1997-08-11T00:00:00"/>
  </r>
  <r>
    <n v="10626"/>
    <x v="7"/>
    <n v="430"/>
    <n v="20"/>
    <d v="1997-08-11T00:00:00"/>
  </r>
  <r>
    <n v="10627"/>
    <x v="0"/>
    <n v="739.5"/>
    <n v="15"/>
    <d v="1997-08-11T00:00:00"/>
  </r>
  <r>
    <n v="10627"/>
    <x v="1"/>
    <n v="739.5"/>
    <n v="15"/>
    <d v="1997-08-11T00:00:00"/>
  </r>
  <r>
    <n v="10627"/>
    <x v="2"/>
    <n v="739.5"/>
    <n v="15"/>
    <d v="1997-08-11T00:00:00"/>
  </r>
  <r>
    <n v="10627"/>
    <x v="3"/>
    <n v="739.5"/>
    <n v="15"/>
    <d v="1997-08-11T00:00:00"/>
  </r>
  <r>
    <n v="10627"/>
    <x v="4"/>
    <n v="739.5"/>
    <n v="15"/>
    <d v="1997-08-11T00:00:00"/>
  </r>
  <r>
    <n v="10627"/>
    <x v="5"/>
    <n v="739.5"/>
    <n v="15"/>
    <d v="1997-08-11T00:00:00"/>
  </r>
  <r>
    <n v="10627"/>
    <x v="6"/>
    <n v="739.5"/>
    <n v="15"/>
    <d v="1997-08-11T00:00:00"/>
  </r>
  <r>
    <n v="10627"/>
    <x v="7"/>
    <n v="739.5"/>
    <n v="15"/>
    <d v="1997-08-11T00:00:00"/>
  </r>
  <r>
    <n v="10627"/>
    <x v="0"/>
    <n v="446.24999687075615"/>
    <n v="35"/>
    <d v="1997-08-11T00:00:00"/>
  </r>
  <r>
    <n v="10627"/>
    <x v="1"/>
    <n v="446.24999687075615"/>
    <n v="35"/>
    <d v="1997-08-11T00:00:00"/>
  </r>
  <r>
    <n v="10627"/>
    <x v="2"/>
    <n v="446.24999687075615"/>
    <n v="35"/>
    <d v="1997-08-11T00:00:00"/>
  </r>
  <r>
    <n v="10627"/>
    <x v="3"/>
    <n v="446.24999687075615"/>
    <n v="35"/>
    <d v="1997-08-11T00:00:00"/>
  </r>
  <r>
    <n v="10627"/>
    <x v="4"/>
    <n v="446.24999687075615"/>
    <n v="35"/>
    <d v="1997-08-11T00:00:00"/>
  </r>
  <r>
    <n v="10627"/>
    <x v="5"/>
    <n v="446.24999687075615"/>
    <n v="35"/>
    <d v="1997-08-11T00:00:00"/>
  </r>
  <r>
    <n v="10627"/>
    <x v="6"/>
    <n v="446.24999687075615"/>
    <n v="35"/>
    <d v="1997-08-11T00:00:00"/>
  </r>
  <r>
    <n v="10627"/>
    <x v="7"/>
    <n v="446.24999687075615"/>
    <n v="35"/>
    <d v="1997-08-11T00:00:00"/>
  </r>
  <r>
    <n v="10628"/>
    <x v="0"/>
    <n v="450"/>
    <n v="25"/>
    <d v="1997-08-12T00:00:00"/>
  </r>
  <r>
    <n v="10628"/>
    <x v="1"/>
    <n v="450"/>
    <n v="25"/>
    <d v="1997-08-12T00:00:00"/>
  </r>
  <r>
    <n v="10628"/>
    <x v="2"/>
    <n v="450"/>
    <n v="25"/>
    <d v="1997-08-12T00:00:00"/>
  </r>
  <r>
    <n v="10628"/>
    <x v="3"/>
    <n v="450"/>
    <n v="25"/>
    <d v="1997-08-12T00:00:00"/>
  </r>
  <r>
    <n v="10628"/>
    <x v="4"/>
    <n v="450"/>
    <n v="25"/>
    <d v="1997-08-12T00:00:00"/>
  </r>
  <r>
    <n v="10628"/>
    <x v="5"/>
    <n v="450"/>
    <n v="25"/>
    <d v="1997-08-12T00:00:00"/>
  </r>
  <r>
    <n v="10628"/>
    <x v="6"/>
    <n v="450"/>
    <n v="25"/>
    <d v="1997-08-12T00:00:00"/>
  </r>
  <r>
    <n v="10628"/>
    <x v="7"/>
    <n v="450"/>
    <n v="25"/>
    <d v="1997-08-12T00:00:00"/>
  </r>
  <r>
    <n v="10629"/>
    <x v="0"/>
    <n v="2475.8000000000002"/>
    <n v="20"/>
    <d v="1997-08-12T00:00:00"/>
  </r>
  <r>
    <n v="10629"/>
    <x v="1"/>
    <n v="2475.8000000000002"/>
    <n v="20"/>
    <d v="1997-08-12T00:00:00"/>
  </r>
  <r>
    <n v="10629"/>
    <x v="2"/>
    <n v="2475.8000000000002"/>
    <n v="20"/>
    <d v="1997-08-12T00:00:00"/>
  </r>
  <r>
    <n v="10629"/>
    <x v="3"/>
    <n v="2475.8000000000002"/>
    <n v="20"/>
    <d v="1997-08-12T00:00:00"/>
  </r>
  <r>
    <n v="10629"/>
    <x v="4"/>
    <n v="2475.8000000000002"/>
    <n v="20"/>
    <d v="1997-08-12T00:00:00"/>
  </r>
  <r>
    <n v="10629"/>
    <x v="5"/>
    <n v="2475.8000000000002"/>
    <n v="20"/>
    <d v="1997-08-12T00:00:00"/>
  </r>
  <r>
    <n v="10629"/>
    <x v="6"/>
    <n v="2475.8000000000002"/>
    <n v="20"/>
    <d v="1997-08-12T00:00:00"/>
  </r>
  <r>
    <n v="10629"/>
    <x v="7"/>
    <n v="2475.8000000000002"/>
    <n v="20"/>
    <d v="1997-08-12T00:00:00"/>
  </r>
  <r>
    <n v="10629"/>
    <x v="0"/>
    <n v="299.25"/>
    <n v="9"/>
    <d v="1997-08-12T00:00:00"/>
  </r>
  <r>
    <n v="10629"/>
    <x v="1"/>
    <n v="299.25"/>
    <n v="9"/>
    <d v="1997-08-12T00:00:00"/>
  </r>
  <r>
    <n v="10629"/>
    <x v="2"/>
    <n v="299.25"/>
    <n v="9"/>
    <d v="1997-08-12T00:00:00"/>
  </r>
  <r>
    <n v="10629"/>
    <x v="3"/>
    <n v="299.25"/>
    <n v="9"/>
    <d v="1997-08-12T00:00:00"/>
  </r>
  <r>
    <n v="10629"/>
    <x v="4"/>
    <n v="299.25"/>
    <n v="9"/>
    <d v="1997-08-12T00:00:00"/>
  </r>
  <r>
    <n v="10629"/>
    <x v="5"/>
    <n v="299.25"/>
    <n v="9"/>
    <d v="1997-08-12T00:00:00"/>
  </r>
  <r>
    <n v="10629"/>
    <x v="6"/>
    <n v="299.25"/>
    <n v="9"/>
    <d v="1997-08-12T00:00:00"/>
  </r>
  <r>
    <n v="10629"/>
    <x v="7"/>
    <n v="299.25"/>
    <n v="9"/>
    <d v="1997-08-12T00:00:00"/>
  </r>
  <r>
    <n v="10630"/>
    <x v="0"/>
    <n v="273.59999978542328"/>
    <n v="12"/>
    <d v="1997-08-13T00:00:00"/>
  </r>
  <r>
    <n v="10630"/>
    <x v="1"/>
    <n v="273.59999978542328"/>
    <n v="12"/>
    <d v="1997-08-13T00:00:00"/>
  </r>
  <r>
    <n v="10630"/>
    <x v="2"/>
    <n v="273.59999978542328"/>
    <n v="12"/>
    <d v="1997-08-13T00:00:00"/>
  </r>
  <r>
    <n v="10630"/>
    <x v="3"/>
    <n v="273.59999978542328"/>
    <n v="12"/>
    <d v="1997-08-13T00:00:00"/>
  </r>
  <r>
    <n v="10630"/>
    <x v="4"/>
    <n v="273.59999978542328"/>
    <n v="12"/>
    <d v="1997-08-13T00:00:00"/>
  </r>
  <r>
    <n v="10630"/>
    <x v="5"/>
    <n v="273.59999978542328"/>
    <n v="12"/>
    <d v="1997-08-13T00:00:00"/>
  </r>
  <r>
    <n v="10630"/>
    <x v="6"/>
    <n v="273.59999978542328"/>
    <n v="12"/>
    <d v="1997-08-13T00:00:00"/>
  </r>
  <r>
    <n v="10630"/>
    <x v="7"/>
    <n v="273.59999978542328"/>
    <n v="12"/>
    <d v="1997-08-13T00:00:00"/>
  </r>
  <r>
    <n v="10630"/>
    <x v="0"/>
    <n v="630"/>
    <n v="35"/>
    <d v="1997-08-13T00:00:00"/>
  </r>
  <r>
    <n v="10630"/>
    <x v="1"/>
    <n v="630"/>
    <n v="35"/>
    <d v="1997-08-13T00:00:00"/>
  </r>
  <r>
    <n v="10630"/>
    <x v="2"/>
    <n v="630"/>
    <n v="35"/>
    <d v="1997-08-13T00:00:00"/>
  </r>
  <r>
    <n v="10630"/>
    <x v="3"/>
    <n v="630"/>
    <n v="35"/>
    <d v="1997-08-13T00:00:00"/>
  </r>
  <r>
    <n v="10630"/>
    <x v="4"/>
    <n v="630"/>
    <n v="35"/>
    <d v="1997-08-13T00:00:00"/>
  </r>
  <r>
    <n v="10630"/>
    <x v="5"/>
    <n v="630"/>
    <n v="35"/>
    <d v="1997-08-13T00:00:00"/>
  </r>
  <r>
    <n v="10630"/>
    <x v="6"/>
    <n v="630"/>
    <n v="35"/>
    <d v="1997-08-13T00:00:00"/>
  </r>
  <r>
    <n v="10630"/>
    <x v="7"/>
    <n v="630"/>
    <n v="35"/>
    <d v="1997-08-13T00:00:00"/>
  </r>
  <r>
    <n v="10631"/>
    <x v="0"/>
    <n v="55.799999907612801"/>
    <n v="8"/>
    <d v="1997-08-14T00:00:00"/>
  </r>
  <r>
    <n v="10631"/>
    <x v="1"/>
    <n v="55.799999907612801"/>
    <n v="8"/>
    <d v="1997-08-14T00:00:00"/>
  </r>
  <r>
    <n v="10631"/>
    <x v="2"/>
    <n v="55.799999907612801"/>
    <n v="8"/>
    <d v="1997-08-14T00:00:00"/>
  </r>
  <r>
    <n v="10631"/>
    <x v="3"/>
    <n v="55.799999907612801"/>
    <n v="8"/>
    <d v="1997-08-14T00:00:00"/>
  </r>
  <r>
    <n v="10631"/>
    <x v="4"/>
    <n v="55.799999907612801"/>
    <n v="8"/>
    <d v="1997-08-14T00:00:00"/>
  </r>
  <r>
    <n v="10631"/>
    <x v="5"/>
    <n v="55.799999907612801"/>
    <n v="8"/>
    <d v="1997-08-14T00:00:00"/>
  </r>
  <r>
    <n v="10631"/>
    <x v="6"/>
    <n v="55.799999907612801"/>
    <n v="8"/>
    <d v="1997-08-14T00:00:00"/>
  </r>
  <r>
    <n v="10631"/>
    <x v="7"/>
    <n v="55.799999907612801"/>
    <n v="8"/>
    <d v="1997-08-14T00:00:00"/>
  </r>
  <r>
    <n v="10632"/>
    <x v="0"/>
    <n v="541.49999957531691"/>
    <n v="30"/>
    <d v="1997-08-14T00:00:00"/>
  </r>
  <r>
    <n v="10632"/>
    <x v="1"/>
    <n v="541.49999957531691"/>
    <n v="30"/>
    <d v="1997-08-14T00:00:00"/>
  </r>
  <r>
    <n v="10632"/>
    <x v="2"/>
    <n v="541.49999957531691"/>
    <n v="30"/>
    <d v="1997-08-14T00:00:00"/>
  </r>
  <r>
    <n v="10632"/>
    <x v="3"/>
    <n v="541.49999957531691"/>
    <n v="30"/>
    <d v="1997-08-14T00:00:00"/>
  </r>
  <r>
    <n v="10632"/>
    <x v="4"/>
    <n v="541.49999957531691"/>
    <n v="30"/>
    <d v="1997-08-14T00:00:00"/>
  </r>
  <r>
    <n v="10632"/>
    <x v="5"/>
    <n v="541.49999957531691"/>
    <n v="30"/>
    <d v="1997-08-14T00:00:00"/>
  </r>
  <r>
    <n v="10632"/>
    <x v="6"/>
    <n v="541.49999957531691"/>
    <n v="30"/>
    <d v="1997-08-14T00:00:00"/>
  </r>
  <r>
    <n v="10632"/>
    <x v="7"/>
    <n v="541.49999957531691"/>
    <n v="30"/>
    <d v="1997-08-14T00:00:00"/>
  </r>
  <r>
    <n v="10632"/>
    <x v="0"/>
    <n v="47.499999962747097"/>
    <n v="20"/>
    <d v="1997-08-14T00:00:00"/>
  </r>
  <r>
    <n v="10632"/>
    <x v="1"/>
    <n v="47.499999962747097"/>
    <n v="20"/>
    <d v="1997-08-14T00:00:00"/>
  </r>
  <r>
    <n v="10632"/>
    <x v="2"/>
    <n v="47.499999962747097"/>
    <n v="20"/>
    <d v="1997-08-14T00:00:00"/>
  </r>
  <r>
    <n v="10632"/>
    <x v="3"/>
    <n v="47.499999962747097"/>
    <n v="20"/>
    <d v="1997-08-14T00:00:00"/>
  </r>
  <r>
    <n v="10632"/>
    <x v="4"/>
    <n v="47.499999962747097"/>
    <n v="20"/>
    <d v="1997-08-14T00:00:00"/>
  </r>
  <r>
    <n v="10632"/>
    <x v="5"/>
    <n v="47.499999962747097"/>
    <n v="20"/>
    <d v="1997-08-14T00:00:00"/>
  </r>
  <r>
    <n v="10632"/>
    <x v="6"/>
    <n v="47.499999962747097"/>
    <n v="20"/>
    <d v="1997-08-14T00:00:00"/>
  </r>
  <r>
    <n v="10632"/>
    <x v="7"/>
    <n v="47.499999962747097"/>
    <n v="20"/>
    <d v="1997-08-14T00:00:00"/>
  </r>
  <r>
    <n v="10633"/>
    <x v="0"/>
    <n v="1162.7999918460846"/>
    <n v="36"/>
    <d v="1997-08-15T00:00:00"/>
  </r>
  <r>
    <n v="10633"/>
    <x v="1"/>
    <n v="1162.7999918460846"/>
    <n v="36"/>
    <d v="1997-08-15T00:00:00"/>
  </r>
  <r>
    <n v="10633"/>
    <x v="2"/>
    <n v="1162.7999918460846"/>
    <n v="36"/>
    <d v="1997-08-15T00:00:00"/>
  </r>
  <r>
    <n v="10633"/>
    <x v="3"/>
    <n v="1162.7999918460846"/>
    <n v="36"/>
    <d v="1997-08-15T00:00:00"/>
  </r>
  <r>
    <n v="10633"/>
    <x v="4"/>
    <n v="1162.7999918460846"/>
    <n v="36"/>
    <d v="1997-08-15T00:00:00"/>
  </r>
  <r>
    <n v="10633"/>
    <x v="5"/>
    <n v="1162.7999918460846"/>
    <n v="36"/>
    <d v="1997-08-15T00:00:00"/>
  </r>
  <r>
    <n v="10633"/>
    <x v="6"/>
    <n v="1162.7999918460846"/>
    <n v="36"/>
    <d v="1997-08-15T00:00:00"/>
  </r>
  <r>
    <n v="10633"/>
    <x v="7"/>
    <n v="1162.7999918460846"/>
    <n v="36"/>
    <d v="1997-08-15T00:00:00"/>
  </r>
  <r>
    <n v="10633"/>
    <x v="0"/>
    <n v="66.299999535083771"/>
    <n v="13"/>
    <d v="1997-08-15T00:00:00"/>
  </r>
  <r>
    <n v="10633"/>
    <x v="1"/>
    <n v="66.299999535083771"/>
    <n v="13"/>
    <d v="1997-08-15T00:00:00"/>
  </r>
  <r>
    <n v="10633"/>
    <x v="2"/>
    <n v="66.299999535083771"/>
    <n v="13"/>
    <d v="1997-08-15T00:00:00"/>
  </r>
  <r>
    <n v="10633"/>
    <x v="3"/>
    <n v="66.299999535083771"/>
    <n v="13"/>
    <d v="1997-08-15T00:00:00"/>
  </r>
  <r>
    <n v="10633"/>
    <x v="4"/>
    <n v="66.299999535083771"/>
    <n v="13"/>
    <d v="1997-08-15T00:00:00"/>
  </r>
  <r>
    <n v="10633"/>
    <x v="5"/>
    <n v="66.299999535083771"/>
    <n v="13"/>
    <d v="1997-08-15T00:00:00"/>
  </r>
  <r>
    <n v="10633"/>
    <x v="6"/>
    <n v="66.299999535083771"/>
    <n v="13"/>
    <d v="1997-08-15T00:00:00"/>
  </r>
  <r>
    <n v="10633"/>
    <x v="7"/>
    <n v="66.299999535083771"/>
    <n v="13"/>
    <d v="1997-08-15T00:00:00"/>
  </r>
  <r>
    <n v="10633"/>
    <x v="0"/>
    <n v="929.09249348491426"/>
    <n v="35"/>
    <d v="1997-08-15T00:00:00"/>
  </r>
  <r>
    <n v="10633"/>
    <x v="1"/>
    <n v="929.09249348491426"/>
    <n v="35"/>
    <d v="1997-08-15T00:00:00"/>
  </r>
  <r>
    <n v="10633"/>
    <x v="2"/>
    <n v="929.09249348491426"/>
    <n v="35"/>
    <d v="1997-08-15T00:00:00"/>
  </r>
  <r>
    <n v="10633"/>
    <x v="3"/>
    <n v="929.09249348491426"/>
    <n v="35"/>
    <d v="1997-08-15T00:00:00"/>
  </r>
  <r>
    <n v="10633"/>
    <x v="4"/>
    <n v="929.09249348491426"/>
    <n v="35"/>
    <d v="1997-08-15T00:00:00"/>
  </r>
  <r>
    <n v="10633"/>
    <x v="5"/>
    <n v="929.09249348491426"/>
    <n v="35"/>
    <d v="1997-08-15T00:00:00"/>
  </r>
  <r>
    <n v="10633"/>
    <x v="6"/>
    <n v="929.09249348491426"/>
    <n v="35"/>
    <d v="1997-08-15T00:00:00"/>
  </r>
  <r>
    <n v="10633"/>
    <x v="7"/>
    <n v="929.09249348491426"/>
    <n v="35"/>
    <d v="1997-08-15T00:00:00"/>
  </r>
  <r>
    <n v="10633"/>
    <x v="0"/>
    <n v="3352.3999764919281"/>
    <n v="80"/>
    <d v="1997-08-15T00:00:00"/>
  </r>
  <r>
    <n v="10633"/>
    <x v="1"/>
    <n v="3352.3999764919281"/>
    <n v="80"/>
    <d v="1997-08-15T00:00:00"/>
  </r>
  <r>
    <n v="10633"/>
    <x v="2"/>
    <n v="3352.3999764919281"/>
    <n v="80"/>
    <d v="1997-08-15T00:00:00"/>
  </r>
  <r>
    <n v="10633"/>
    <x v="3"/>
    <n v="3352.3999764919281"/>
    <n v="80"/>
    <d v="1997-08-15T00:00:00"/>
  </r>
  <r>
    <n v="10633"/>
    <x v="4"/>
    <n v="3352.3999764919281"/>
    <n v="80"/>
    <d v="1997-08-15T00:00:00"/>
  </r>
  <r>
    <n v="10633"/>
    <x v="5"/>
    <n v="3352.3999764919281"/>
    <n v="80"/>
    <d v="1997-08-15T00:00:00"/>
  </r>
  <r>
    <n v="10633"/>
    <x v="6"/>
    <n v="3352.3999764919281"/>
    <n v="80"/>
    <d v="1997-08-15T00:00:00"/>
  </r>
  <r>
    <n v="10633"/>
    <x v="7"/>
    <n v="3352.3999764919281"/>
    <n v="80"/>
    <d v="1997-08-15T00:00:00"/>
  </r>
  <r>
    <n v="10634"/>
    <x v="0"/>
    <n v="1050"/>
    <n v="35"/>
    <d v="1997-08-15T00:00:00"/>
  </r>
  <r>
    <n v="10634"/>
    <x v="1"/>
    <n v="1050"/>
    <n v="35"/>
    <d v="1997-08-15T00:00:00"/>
  </r>
  <r>
    <n v="10634"/>
    <x v="2"/>
    <n v="1050"/>
    <n v="35"/>
    <d v="1997-08-15T00:00:00"/>
  </r>
  <r>
    <n v="10634"/>
    <x v="3"/>
    <n v="1050"/>
    <n v="35"/>
    <d v="1997-08-15T00:00:00"/>
  </r>
  <r>
    <n v="10634"/>
    <x v="4"/>
    <n v="1050"/>
    <n v="35"/>
    <d v="1997-08-15T00:00:00"/>
  </r>
  <r>
    <n v="10634"/>
    <x v="5"/>
    <n v="1050"/>
    <n v="35"/>
    <d v="1997-08-15T00:00:00"/>
  </r>
  <r>
    <n v="10634"/>
    <x v="6"/>
    <n v="1050"/>
    <n v="35"/>
    <d v="1997-08-15T00:00:00"/>
  </r>
  <r>
    <n v="10634"/>
    <x v="7"/>
    <n v="1050"/>
    <n v="35"/>
    <d v="1997-08-15T00:00:00"/>
  </r>
  <r>
    <n v="10634"/>
    <x v="0"/>
    <n v="3125"/>
    <n v="50"/>
    <d v="1997-08-15T00:00:00"/>
  </r>
  <r>
    <n v="10634"/>
    <x v="1"/>
    <n v="3125"/>
    <n v="50"/>
    <d v="1997-08-15T00:00:00"/>
  </r>
  <r>
    <n v="10634"/>
    <x v="2"/>
    <n v="3125"/>
    <n v="50"/>
    <d v="1997-08-15T00:00:00"/>
  </r>
  <r>
    <n v="10634"/>
    <x v="3"/>
    <n v="3125"/>
    <n v="50"/>
    <d v="1997-08-15T00:00:00"/>
  </r>
  <r>
    <n v="10634"/>
    <x v="4"/>
    <n v="3125"/>
    <n v="50"/>
    <d v="1997-08-15T00:00:00"/>
  </r>
  <r>
    <n v="10634"/>
    <x v="5"/>
    <n v="3125"/>
    <n v="50"/>
    <d v="1997-08-15T00:00:00"/>
  </r>
  <r>
    <n v="10634"/>
    <x v="6"/>
    <n v="3125"/>
    <n v="50"/>
    <d v="1997-08-15T00:00:00"/>
  </r>
  <r>
    <n v="10634"/>
    <x v="7"/>
    <n v="3125"/>
    <n v="50"/>
    <d v="1997-08-15T00:00:00"/>
  </r>
  <r>
    <n v="10634"/>
    <x v="0"/>
    <n v="795"/>
    <n v="15"/>
    <d v="1997-08-15T00:00:00"/>
  </r>
  <r>
    <n v="10634"/>
    <x v="1"/>
    <n v="795"/>
    <n v="15"/>
    <d v="1997-08-15T00:00:00"/>
  </r>
  <r>
    <n v="10634"/>
    <x v="2"/>
    <n v="795"/>
    <n v="15"/>
    <d v="1997-08-15T00:00:00"/>
  </r>
  <r>
    <n v="10634"/>
    <x v="3"/>
    <n v="795"/>
    <n v="15"/>
    <d v="1997-08-15T00:00:00"/>
  </r>
  <r>
    <n v="10634"/>
    <x v="4"/>
    <n v="795"/>
    <n v="15"/>
    <d v="1997-08-15T00:00:00"/>
  </r>
  <r>
    <n v="10634"/>
    <x v="5"/>
    <n v="795"/>
    <n v="15"/>
    <d v="1997-08-15T00:00:00"/>
  </r>
  <r>
    <n v="10634"/>
    <x v="6"/>
    <n v="795"/>
    <n v="15"/>
    <d v="1997-08-15T00:00:00"/>
  </r>
  <r>
    <n v="10634"/>
    <x v="7"/>
    <n v="795"/>
    <n v="15"/>
    <d v="1997-08-15T00:00:00"/>
  </r>
  <r>
    <n v="10634"/>
    <x v="0"/>
    <n v="15.5"/>
    <n v="2"/>
    <d v="1997-08-15T00:00:00"/>
  </r>
  <r>
    <n v="10634"/>
    <x v="1"/>
    <n v="15.5"/>
    <n v="2"/>
    <d v="1997-08-15T00:00:00"/>
  </r>
  <r>
    <n v="10634"/>
    <x v="2"/>
    <n v="15.5"/>
    <n v="2"/>
    <d v="1997-08-15T00:00:00"/>
  </r>
  <r>
    <n v="10634"/>
    <x v="3"/>
    <n v="15.5"/>
    <n v="2"/>
    <d v="1997-08-15T00:00:00"/>
  </r>
  <r>
    <n v="10634"/>
    <x v="4"/>
    <n v="15.5"/>
    <n v="2"/>
    <d v="1997-08-15T00:00:00"/>
  </r>
  <r>
    <n v="10634"/>
    <x v="5"/>
    <n v="15.5"/>
    <n v="2"/>
    <d v="1997-08-15T00:00:00"/>
  </r>
  <r>
    <n v="10634"/>
    <x v="6"/>
    <n v="15.5"/>
    <n v="2"/>
    <d v="1997-08-15T00:00:00"/>
  </r>
  <r>
    <n v="10634"/>
    <x v="7"/>
    <n v="15.5"/>
    <n v="2"/>
    <d v="1997-08-15T00:00:00"/>
  </r>
  <r>
    <n v="10635"/>
    <x v="0"/>
    <n v="197.99999967217445"/>
    <n v="10"/>
    <d v="1997-08-18T00:00:00"/>
  </r>
  <r>
    <n v="10635"/>
    <x v="1"/>
    <n v="197.99999967217445"/>
    <n v="10"/>
    <d v="1997-08-18T00:00:00"/>
  </r>
  <r>
    <n v="10635"/>
    <x v="2"/>
    <n v="197.99999967217445"/>
    <n v="10"/>
    <d v="1997-08-18T00:00:00"/>
  </r>
  <r>
    <n v="10635"/>
    <x v="3"/>
    <n v="197.99999967217445"/>
    <n v="10"/>
    <d v="1997-08-18T00:00:00"/>
  </r>
  <r>
    <n v="10635"/>
    <x v="4"/>
    <n v="197.99999967217445"/>
    <n v="10"/>
    <d v="1997-08-18T00:00:00"/>
  </r>
  <r>
    <n v="10635"/>
    <x v="5"/>
    <n v="197.99999967217445"/>
    <n v="10"/>
    <d v="1997-08-18T00:00:00"/>
  </r>
  <r>
    <n v="10635"/>
    <x v="6"/>
    <n v="197.99999967217445"/>
    <n v="10"/>
    <d v="1997-08-18T00:00:00"/>
  </r>
  <r>
    <n v="10635"/>
    <x v="7"/>
    <n v="197.99999967217445"/>
    <n v="10"/>
    <d v="1997-08-18T00:00:00"/>
  </r>
  <r>
    <n v="10635"/>
    <x v="0"/>
    <n v="288.22499952279031"/>
    <n v="15"/>
    <d v="1997-08-18T00:00:00"/>
  </r>
  <r>
    <n v="10635"/>
    <x v="1"/>
    <n v="288.22499952279031"/>
    <n v="15"/>
    <d v="1997-08-18T00:00:00"/>
  </r>
  <r>
    <n v="10635"/>
    <x v="2"/>
    <n v="288.22499952279031"/>
    <n v="15"/>
    <d v="1997-08-18T00:00:00"/>
  </r>
  <r>
    <n v="10635"/>
    <x v="3"/>
    <n v="288.22499952279031"/>
    <n v="15"/>
    <d v="1997-08-18T00:00:00"/>
  </r>
  <r>
    <n v="10635"/>
    <x v="4"/>
    <n v="288.22499952279031"/>
    <n v="15"/>
    <d v="1997-08-18T00:00:00"/>
  </r>
  <r>
    <n v="10635"/>
    <x v="5"/>
    <n v="288.22499952279031"/>
    <n v="15"/>
    <d v="1997-08-18T00:00:00"/>
  </r>
  <r>
    <n v="10635"/>
    <x v="6"/>
    <n v="288.22499952279031"/>
    <n v="15"/>
    <d v="1997-08-18T00:00:00"/>
  </r>
  <r>
    <n v="10635"/>
    <x v="7"/>
    <n v="288.22499952279031"/>
    <n v="15"/>
    <d v="1997-08-18T00:00:00"/>
  </r>
  <r>
    <n v="10635"/>
    <x v="0"/>
    <n v="840"/>
    <n v="40"/>
    <d v="1997-08-18T00:00:00"/>
  </r>
  <r>
    <n v="10635"/>
    <x v="1"/>
    <n v="840"/>
    <n v="40"/>
    <d v="1997-08-18T00:00:00"/>
  </r>
  <r>
    <n v="10635"/>
    <x v="2"/>
    <n v="840"/>
    <n v="40"/>
    <d v="1997-08-18T00:00:00"/>
  </r>
  <r>
    <n v="10635"/>
    <x v="3"/>
    <n v="840"/>
    <n v="40"/>
    <d v="1997-08-18T00:00:00"/>
  </r>
  <r>
    <n v="10635"/>
    <x v="4"/>
    <n v="840"/>
    <n v="40"/>
    <d v="1997-08-18T00:00:00"/>
  </r>
  <r>
    <n v="10635"/>
    <x v="5"/>
    <n v="840"/>
    <n v="40"/>
    <d v="1997-08-18T00:00:00"/>
  </r>
  <r>
    <n v="10635"/>
    <x v="6"/>
    <n v="840"/>
    <n v="40"/>
    <d v="1997-08-18T00:00:00"/>
  </r>
  <r>
    <n v="10635"/>
    <x v="7"/>
    <n v="840"/>
    <n v="40"/>
    <d v="1997-08-18T00:00:00"/>
  </r>
  <r>
    <n v="10636"/>
    <x v="0"/>
    <n v="550"/>
    <n v="25"/>
    <d v="1997-08-19T00:00:00"/>
  </r>
  <r>
    <n v="10636"/>
    <x v="1"/>
    <n v="550"/>
    <n v="25"/>
    <d v="1997-08-19T00:00:00"/>
  </r>
  <r>
    <n v="10636"/>
    <x v="2"/>
    <n v="550"/>
    <n v="25"/>
    <d v="1997-08-19T00:00:00"/>
  </r>
  <r>
    <n v="10636"/>
    <x v="3"/>
    <n v="550"/>
    <n v="25"/>
    <d v="1997-08-19T00:00:00"/>
  </r>
  <r>
    <n v="10636"/>
    <x v="4"/>
    <n v="550"/>
    <n v="25"/>
    <d v="1997-08-19T00:00:00"/>
  </r>
  <r>
    <n v="10636"/>
    <x v="5"/>
    <n v="550"/>
    <n v="25"/>
    <d v="1997-08-19T00:00:00"/>
  </r>
  <r>
    <n v="10636"/>
    <x v="6"/>
    <n v="550"/>
    <n v="25"/>
    <d v="1997-08-19T00:00:00"/>
  </r>
  <r>
    <n v="10636"/>
    <x v="7"/>
    <n v="550"/>
    <n v="25"/>
    <d v="1997-08-19T00:00:00"/>
  </r>
  <r>
    <n v="10636"/>
    <x v="0"/>
    <n v="79.5"/>
    <n v="6"/>
    <d v="1997-08-19T00:00:00"/>
  </r>
  <r>
    <n v="10636"/>
    <x v="1"/>
    <n v="79.5"/>
    <n v="6"/>
    <d v="1997-08-19T00:00:00"/>
  </r>
  <r>
    <n v="10636"/>
    <x v="2"/>
    <n v="79.5"/>
    <n v="6"/>
    <d v="1997-08-19T00:00:00"/>
  </r>
  <r>
    <n v="10636"/>
    <x v="3"/>
    <n v="79.5"/>
    <n v="6"/>
    <d v="1997-08-19T00:00:00"/>
  </r>
  <r>
    <n v="10636"/>
    <x v="4"/>
    <n v="79.5"/>
    <n v="6"/>
    <d v="1997-08-19T00:00:00"/>
  </r>
  <r>
    <n v="10636"/>
    <x v="5"/>
    <n v="79.5"/>
    <n v="6"/>
    <d v="1997-08-19T00:00:00"/>
  </r>
  <r>
    <n v="10636"/>
    <x v="6"/>
    <n v="79.5"/>
    <n v="6"/>
    <d v="1997-08-19T00:00:00"/>
  </r>
  <r>
    <n v="10636"/>
    <x v="7"/>
    <n v="79.5"/>
    <n v="6"/>
    <d v="1997-08-19T00:00:00"/>
  </r>
  <r>
    <n v="10637"/>
    <x v="0"/>
    <n v="210"/>
    <n v="10"/>
    <d v="1997-08-19T00:00:00"/>
  </r>
  <r>
    <n v="10637"/>
    <x v="1"/>
    <n v="210"/>
    <n v="10"/>
    <d v="1997-08-19T00:00:00"/>
  </r>
  <r>
    <n v="10637"/>
    <x v="2"/>
    <n v="210"/>
    <n v="10"/>
    <d v="1997-08-19T00:00:00"/>
  </r>
  <r>
    <n v="10637"/>
    <x v="3"/>
    <n v="210"/>
    <n v="10"/>
    <d v="1997-08-19T00:00:00"/>
  </r>
  <r>
    <n v="10637"/>
    <x v="4"/>
    <n v="210"/>
    <n v="10"/>
    <d v="1997-08-19T00:00:00"/>
  </r>
  <r>
    <n v="10637"/>
    <x v="5"/>
    <n v="210"/>
    <n v="10"/>
    <d v="1997-08-19T00:00:00"/>
  </r>
  <r>
    <n v="10637"/>
    <x v="6"/>
    <n v="210"/>
    <n v="10"/>
    <d v="1997-08-19T00:00:00"/>
  </r>
  <r>
    <n v="10637"/>
    <x v="7"/>
    <n v="210"/>
    <n v="10"/>
    <d v="1997-08-19T00:00:00"/>
  </r>
  <r>
    <n v="10637"/>
    <x v="0"/>
    <n v="385.93749969732016"/>
    <n v="25"/>
    <d v="1997-08-19T00:00:00"/>
  </r>
  <r>
    <n v="10637"/>
    <x v="1"/>
    <n v="385.93749969732016"/>
    <n v="25"/>
    <d v="1997-08-19T00:00:00"/>
  </r>
  <r>
    <n v="10637"/>
    <x v="2"/>
    <n v="385.93749969732016"/>
    <n v="25"/>
    <d v="1997-08-19T00:00:00"/>
  </r>
  <r>
    <n v="10637"/>
    <x v="3"/>
    <n v="385.93749969732016"/>
    <n v="25"/>
    <d v="1997-08-19T00:00:00"/>
  </r>
  <r>
    <n v="10637"/>
    <x v="4"/>
    <n v="385.93749969732016"/>
    <n v="25"/>
    <d v="1997-08-19T00:00:00"/>
  </r>
  <r>
    <n v="10637"/>
    <x v="5"/>
    <n v="385.93749969732016"/>
    <n v="25"/>
    <d v="1997-08-19T00:00:00"/>
  </r>
  <r>
    <n v="10637"/>
    <x v="6"/>
    <n v="385.93749969732016"/>
    <n v="25"/>
    <d v="1997-08-19T00:00:00"/>
  </r>
  <r>
    <n v="10637"/>
    <x v="7"/>
    <n v="385.93749969732016"/>
    <n v="25"/>
    <d v="1997-08-19T00:00:00"/>
  </r>
  <r>
    <n v="10637"/>
    <x v="0"/>
    <n v="2165.9999983012676"/>
    <n v="60"/>
    <d v="1997-08-19T00:00:00"/>
  </r>
  <r>
    <n v="10637"/>
    <x v="1"/>
    <n v="2165.9999983012676"/>
    <n v="60"/>
    <d v="1997-08-19T00:00:00"/>
  </r>
  <r>
    <n v="10637"/>
    <x v="2"/>
    <n v="2165.9999983012676"/>
    <n v="60"/>
    <d v="1997-08-19T00:00:00"/>
  </r>
  <r>
    <n v="10637"/>
    <x v="3"/>
    <n v="2165.9999983012676"/>
    <n v="60"/>
    <d v="1997-08-19T00:00:00"/>
  </r>
  <r>
    <n v="10637"/>
    <x v="4"/>
    <n v="2165.9999983012676"/>
    <n v="60"/>
    <d v="1997-08-19T00:00:00"/>
  </r>
  <r>
    <n v="10637"/>
    <x v="5"/>
    <n v="2165.9999983012676"/>
    <n v="60"/>
    <d v="1997-08-19T00:00:00"/>
  </r>
  <r>
    <n v="10637"/>
    <x v="6"/>
    <n v="2165.9999983012676"/>
    <n v="60"/>
    <d v="1997-08-19T00:00:00"/>
  </r>
  <r>
    <n v="10637"/>
    <x v="7"/>
    <n v="2165.9999983012676"/>
    <n v="60"/>
    <d v="1997-08-19T00:00:00"/>
  </r>
  <r>
    <n v="10638"/>
    <x v="0"/>
    <n v="190"/>
    <n v="20"/>
    <d v="1997-08-20T00:00:00"/>
  </r>
  <r>
    <n v="10638"/>
    <x v="1"/>
    <n v="190"/>
    <n v="20"/>
    <d v="1997-08-20T00:00:00"/>
  </r>
  <r>
    <n v="10638"/>
    <x v="2"/>
    <n v="190"/>
    <n v="20"/>
    <d v="1997-08-20T00:00:00"/>
  </r>
  <r>
    <n v="10638"/>
    <x v="3"/>
    <n v="190"/>
    <n v="20"/>
    <d v="1997-08-20T00:00:00"/>
  </r>
  <r>
    <n v="10638"/>
    <x v="4"/>
    <n v="190"/>
    <n v="20"/>
    <d v="1997-08-20T00:00:00"/>
  </r>
  <r>
    <n v="10638"/>
    <x v="5"/>
    <n v="190"/>
    <n v="20"/>
    <d v="1997-08-20T00:00:00"/>
  </r>
  <r>
    <n v="10638"/>
    <x v="6"/>
    <n v="190"/>
    <n v="20"/>
    <d v="1997-08-20T00:00:00"/>
  </r>
  <r>
    <n v="10638"/>
    <x v="7"/>
    <n v="190"/>
    <n v="20"/>
    <d v="1997-08-20T00:00:00"/>
  </r>
  <r>
    <n v="10638"/>
    <x v="0"/>
    <n v="442.05"/>
    <n v="21"/>
    <d v="1997-08-20T00:00:00"/>
  </r>
  <r>
    <n v="10638"/>
    <x v="1"/>
    <n v="442.05"/>
    <n v="21"/>
    <d v="1997-08-20T00:00:00"/>
  </r>
  <r>
    <n v="10638"/>
    <x v="2"/>
    <n v="442.05"/>
    <n v="21"/>
    <d v="1997-08-20T00:00:00"/>
  </r>
  <r>
    <n v="10638"/>
    <x v="3"/>
    <n v="442.05"/>
    <n v="21"/>
    <d v="1997-08-20T00:00:00"/>
  </r>
  <r>
    <n v="10638"/>
    <x v="4"/>
    <n v="442.05"/>
    <n v="21"/>
    <d v="1997-08-20T00:00:00"/>
  </r>
  <r>
    <n v="10638"/>
    <x v="5"/>
    <n v="442.05"/>
    <n v="21"/>
    <d v="1997-08-20T00:00:00"/>
  </r>
  <r>
    <n v="10638"/>
    <x v="6"/>
    <n v="442.05"/>
    <n v="21"/>
    <d v="1997-08-20T00:00:00"/>
  </r>
  <r>
    <n v="10638"/>
    <x v="7"/>
    <n v="442.05"/>
    <n v="21"/>
    <d v="1997-08-20T00:00:00"/>
  </r>
  <r>
    <n v="10638"/>
    <x v="0"/>
    <n v="2088"/>
    <n v="60"/>
    <d v="1997-08-20T00:00:00"/>
  </r>
  <r>
    <n v="10638"/>
    <x v="1"/>
    <n v="2088"/>
    <n v="60"/>
    <d v="1997-08-20T00:00:00"/>
  </r>
  <r>
    <n v="10638"/>
    <x v="2"/>
    <n v="2088"/>
    <n v="60"/>
    <d v="1997-08-20T00:00:00"/>
  </r>
  <r>
    <n v="10638"/>
    <x v="3"/>
    <n v="2088"/>
    <n v="60"/>
    <d v="1997-08-20T00:00:00"/>
  </r>
  <r>
    <n v="10638"/>
    <x v="4"/>
    <n v="2088"/>
    <n v="60"/>
    <d v="1997-08-20T00:00:00"/>
  </r>
  <r>
    <n v="10638"/>
    <x v="5"/>
    <n v="2088"/>
    <n v="60"/>
    <d v="1997-08-20T00:00:00"/>
  </r>
  <r>
    <n v="10638"/>
    <x v="6"/>
    <n v="2088"/>
    <n v="60"/>
    <d v="1997-08-20T00:00:00"/>
  </r>
  <r>
    <n v="10638"/>
    <x v="7"/>
    <n v="2088"/>
    <n v="60"/>
    <d v="1997-08-20T00:00:00"/>
  </r>
  <r>
    <n v="10639"/>
    <x v="0"/>
    <n v="500"/>
    <n v="8"/>
    <d v="1997-08-20T00:00:00"/>
  </r>
  <r>
    <n v="10639"/>
    <x v="1"/>
    <n v="500"/>
    <n v="8"/>
    <d v="1997-08-20T00:00:00"/>
  </r>
  <r>
    <n v="10639"/>
    <x v="2"/>
    <n v="500"/>
    <n v="8"/>
    <d v="1997-08-20T00:00:00"/>
  </r>
  <r>
    <n v="10639"/>
    <x v="3"/>
    <n v="500"/>
    <n v="8"/>
    <d v="1997-08-20T00:00:00"/>
  </r>
  <r>
    <n v="10639"/>
    <x v="4"/>
    <n v="500"/>
    <n v="8"/>
    <d v="1997-08-20T00:00:00"/>
  </r>
  <r>
    <n v="10639"/>
    <x v="5"/>
    <n v="500"/>
    <n v="8"/>
    <d v="1997-08-20T00:00:00"/>
  </r>
  <r>
    <n v="10639"/>
    <x v="6"/>
    <n v="500"/>
    <n v="8"/>
    <d v="1997-08-20T00:00:00"/>
  </r>
  <r>
    <n v="10639"/>
    <x v="7"/>
    <n v="500"/>
    <n v="8"/>
    <d v="1997-08-20T00:00:00"/>
  </r>
  <r>
    <n v="10640"/>
    <x v="0"/>
    <n v="540"/>
    <n v="20"/>
    <d v="1997-08-21T00:00:00"/>
  </r>
  <r>
    <n v="10640"/>
    <x v="1"/>
    <n v="540"/>
    <n v="20"/>
    <d v="1997-08-21T00:00:00"/>
  </r>
  <r>
    <n v="10640"/>
    <x v="2"/>
    <n v="540"/>
    <n v="20"/>
    <d v="1997-08-21T00:00:00"/>
  </r>
  <r>
    <n v="10640"/>
    <x v="3"/>
    <n v="540"/>
    <n v="20"/>
    <d v="1997-08-21T00:00:00"/>
  </r>
  <r>
    <n v="10640"/>
    <x v="4"/>
    <n v="540"/>
    <n v="20"/>
    <d v="1997-08-21T00:00:00"/>
  </r>
  <r>
    <n v="10640"/>
    <x v="5"/>
    <n v="540"/>
    <n v="20"/>
    <d v="1997-08-21T00:00:00"/>
  </r>
  <r>
    <n v="10640"/>
    <x v="6"/>
    <n v="540"/>
    <n v="20"/>
    <d v="1997-08-21T00:00:00"/>
  </r>
  <r>
    <n v="10640"/>
    <x v="7"/>
    <n v="540"/>
    <n v="20"/>
    <d v="1997-08-21T00:00:00"/>
  </r>
  <r>
    <n v="10640"/>
    <x v="0"/>
    <n v="168.75"/>
    <n v="15"/>
    <d v="1997-08-21T00:00:00"/>
  </r>
  <r>
    <n v="10640"/>
    <x v="1"/>
    <n v="168.75"/>
    <n v="15"/>
    <d v="1997-08-21T00:00:00"/>
  </r>
  <r>
    <n v="10640"/>
    <x v="2"/>
    <n v="168.75"/>
    <n v="15"/>
    <d v="1997-08-21T00:00:00"/>
  </r>
  <r>
    <n v="10640"/>
    <x v="3"/>
    <n v="168.75"/>
    <n v="15"/>
    <d v="1997-08-21T00:00:00"/>
  </r>
  <r>
    <n v="10640"/>
    <x v="4"/>
    <n v="168.75"/>
    <n v="15"/>
    <d v="1997-08-21T00:00:00"/>
  </r>
  <r>
    <n v="10640"/>
    <x v="5"/>
    <n v="168.75"/>
    <n v="15"/>
    <d v="1997-08-21T00:00:00"/>
  </r>
  <r>
    <n v="10640"/>
    <x v="6"/>
    <n v="168.75"/>
    <n v="15"/>
    <d v="1997-08-21T00:00:00"/>
  </r>
  <r>
    <n v="10640"/>
    <x v="7"/>
    <n v="168.75"/>
    <n v="15"/>
    <d v="1997-08-21T00:00:00"/>
  </r>
  <r>
    <n v="10641"/>
    <x v="0"/>
    <n v="950"/>
    <n v="50"/>
    <d v="1997-08-22T00:00:00"/>
  </r>
  <r>
    <n v="10641"/>
    <x v="1"/>
    <n v="950"/>
    <n v="50"/>
    <d v="1997-08-22T00:00:00"/>
  </r>
  <r>
    <n v="10641"/>
    <x v="2"/>
    <n v="950"/>
    <n v="50"/>
    <d v="1997-08-22T00:00:00"/>
  </r>
  <r>
    <n v="10641"/>
    <x v="3"/>
    <n v="950"/>
    <n v="50"/>
    <d v="1997-08-22T00:00:00"/>
  </r>
  <r>
    <n v="10641"/>
    <x v="4"/>
    <n v="950"/>
    <n v="50"/>
    <d v="1997-08-22T00:00:00"/>
  </r>
  <r>
    <n v="10641"/>
    <x v="5"/>
    <n v="950"/>
    <n v="50"/>
    <d v="1997-08-22T00:00:00"/>
  </r>
  <r>
    <n v="10641"/>
    <x v="6"/>
    <n v="950"/>
    <n v="50"/>
    <d v="1997-08-22T00:00:00"/>
  </r>
  <r>
    <n v="10641"/>
    <x v="7"/>
    <n v="950"/>
    <n v="50"/>
    <d v="1997-08-22T00:00:00"/>
  </r>
  <r>
    <n v="10641"/>
    <x v="0"/>
    <n v="1104"/>
    <n v="60"/>
    <d v="1997-08-22T00:00:00"/>
  </r>
  <r>
    <n v="10641"/>
    <x v="1"/>
    <n v="1104"/>
    <n v="60"/>
    <d v="1997-08-22T00:00:00"/>
  </r>
  <r>
    <n v="10641"/>
    <x v="2"/>
    <n v="1104"/>
    <n v="60"/>
    <d v="1997-08-22T00:00:00"/>
  </r>
  <r>
    <n v="10641"/>
    <x v="3"/>
    <n v="1104"/>
    <n v="60"/>
    <d v="1997-08-22T00:00:00"/>
  </r>
  <r>
    <n v="10641"/>
    <x v="4"/>
    <n v="1104"/>
    <n v="60"/>
    <d v="1997-08-22T00:00:00"/>
  </r>
  <r>
    <n v="10641"/>
    <x v="5"/>
    <n v="1104"/>
    <n v="60"/>
    <d v="1997-08-22T00:00:00"/>
  </r>
  <r>
    <n v="10641"/>
    <x v="6"/>
    <n v="1104"/>
    <n v="60"/>
    <d v="1997-08-22T00:00:00"/>
  </r>
  <r>
    <n v="10641"/>
    <x v="7"/>
    <n v="1104"/>
    <n v="60"/>
    <d v="1997-08-22T00:00:00"/>
  </r>
  <r>
    <n v="10642"/>
    <x v="0"/>
    <n v="239.99999910593033"/>
    <n v="30"/>
    <d v="1997-08-22T00:00:00"/>
  </r>
  <r>
    <n v="10642"/>
    <x v="1"/>
    <n v="239.99999910593033"/>
    <n v="30"/>
    <d v="1997-08-22T00:00:00"/>
  </r>
  <r>
    <n v="10642"/>
    <x v="2"/>
    <n v="239.99999910593033"/>
    <n v="30"/>
    <d v="1997-08-22T00:00:00"/>
  </r>
  <r>
    <n v="10642"/>
    <x v="3"/>
    <n v="239.99999910593033"/>
    <n v="30"/>
    <d v="1997-08-22T00:00:00"/>
  </r>
  <r>
    <n v="10642"/>
    <x v="4"/>
    <n v="239.99999910593033"/>
    <n v="30"/>
    <d v="1997-08-22T00:00:00"/>
  </r>
  <r>
    <n v="10642"/>
    <x v="5"/>
    <n v="239.99999910593033"/>
    <n v="30"/>
    <d v="1997-08-22T00:00:00"/>
  </r>
  <r>
    <n v="10642"/>
    <x v="6"/>
    <n v="239.99999910593033"/>
    <n v="30"/>
    <d v="1997-08-22T00:00:00"/>
  </r>
  <r>
    <n v="10642"/>
    <x v="7"/>
    <n v="239.99999910593033"/>
    <n v="30"/>
    <d v="1997-08-22T00:00:00"/>
  </r>
  <r>
    <n v="10642"/>
    <x v="0"/>
    <n v="455.99999830126762"/>
    <n v="20"/>
    <d v="1997-08-22T00:00:00"/>
  </r>
  <r>
    <n v="10642"/>
    <x v="1"/>
    <n v="455.99999830126762"/>
    <n v="20"/>
    <d v="1997-08-22T00:00:00"/>
  </r>
  <r>
    <n v="10642"/>
    <x v="2"/>
    <n v="455.99999830126762"/>
    <n v="20"/>
    <d v="1997-08-22T00:00:00"/>
  </r>
  <r>
    <n v="10642"/>
    <x v="3"/>
    <n v="455.99999830126762"/>
    <n v="20"/>
    <d v="1997-08-22T00:00:00"/>
  </r>
  <r>
    <n v="10642"/>
    <x v="4"/>
    <n v="455.99999830126762"/>
    <n v="20"/>
    <d v="1997-08-22T00:00:00"/>
  </r>
  <r>
    <n v="10642"/>
    <x v="5"/>
    <n v="455.99999830126762"/>
    <n v="20"/>
    <d v="1997-08-22T00:00:00"/>
  </r>
  <r>
    <n v="10642"/>
    <x v="6"/>
    <n v="455.99999830126762"/>
    <n v="20"/>
    <d v="1997-08-22T00:00:00"/>
  </r>
  <r>
    <n v="10642"/>
    <x v="7"/>
    <n v="455.99999830126762"/>
    <n v="20"/>
    <d v="1997-08-22T00:00:00"/>
  </r>
  <r>
    <n v="10643"/>
    <x v="0"/>
    <n v="513"/>
    <n v="15"/>
    <d v="1997-08-25T00:00:00"/>
  </r>
  <r>
    <n v="10643"/>
    <x v="1"/>
    <n v="513"/>
    <n v="15"/>
    <d v="1997-08-25T00:00:00"/>
  </r>
  <r>
    <n v="10643"/>
    <x v="2"/>
    <n v="513"/>
    <n v="15"/>
    <d v="1997-08-25T00:00:00"/>
  </r>
  <r>
    <n v="10643"/>
    <x v="3"/>
    <n v="513"/>
    <n v="15"/>
    <d v="1997-08-25T00:00:00"/>
  </r>
  <r>
    <n v="10643"/>
    <x v="4"/>
    <n v="513"/>
    <n v="15"/>
    <d v="1997-08-25T00:00:00"/>
  </r>
  <r>
    <n v="10643"/>
    <x v="5"/>
    <n v="513"/>
    <n v="15"/>
    <d v="1997-08-25T00:00:00"/>
  </r>
  <r>
    <n v="10643"/>
    <x v="6"/>
    <n v="513"/>
    <n v="15"/>
    <d v="1997-08-25T00:00:00"/>
  </r>
  <r>
    <n v="10643"/>
    <x v="7"/>
    <n v="513"/>
    <n v="15"/>
    <d v="1997-08-25T00:00:00"/>
  </r>
  <r>
    <n v="10643"/>
    <x v="0"/>
    <n v="283.5"/>
    <n v="21"/>
    <d v="1997-08-25T00:00:00"/>
  </r>
  <r>
    <n v="10643"/>
    <x v="1"/>
    <n v="283.5"/>
    <n v="21"/>
    <d v="1997-08-25T00:00:00"/>
  </r>
  <r>
    <n v="10643"/>
    <x v="2"/>
    <n v="283.5"/>
    <n v="21"/>
    <d v="1997-08-25T00:00:00"/>
  </r>
  <r>
    <n v="10643"/>
    <x v="3"/>
    <n v="283.5"/>
    <n v="21"/>
    <d v="1997-08-25T00:00:00"/>
  </r>
  <r>
    <n v="10643"/>
    <x v="4"/>
    <n v="283.5"/>
    <n v="21"/>
    <d v="1997-08-25T00:00:00"/>
  </r>
  <r>
    <n v="10643"/>
    <x v="5"/>
    <n v="283.5"/>
    <n v="21"/>
    <d v="1997-08-25T00:00:00"/>
  </r>
  <r>
    <n v="10643"/>
    <x v="6"/>
    <n v="283.5"/>
    <n v="21"/>
    <d v="1997-08-25T00:00:00"/>
  </r>
  <r>
    <n v="10643"/>
    <x v="7"/>
    <n v="283.5"/>
    <n v="21"/>
    <d v="1997-08-25T00:00:00"/>
  </r>
  <r>
    <n v="10643"/>
    <x v="0"/>
    <n v="18"/>
    <n v="2"/>
    <d v="1997-08-25T00:00:00"/>
  </r>
  <r>
    <n v="10643"/>
    <x v="1"/>
    <n v="18"/>
    <n v="2"/>
    <d v="1997-08-25T00:00:00"/>
  </r>
  <r>
    <n v="10643"/>
    <x v="2"/>
    <n v="18"/>
    <n v="2"/>
    <d v="1997-08-25T00:00:00"/>
  </r>
  <r>
    <n v="10643"/>
    <x v="3"/>
    <n v="18"/>
    <n v="2"/>
    <d v="1997-08-25T00:00:00"/>
  </r>
  <r>
    <n v="10643"/>
    <x v="4"/>
    <n v="18"/>
    <n v="2"/>
    <d v="1997-08-25T00:00:00"/>
  </r>
  <r>
    <n v="10643"/>
    <x v="5"/>
    <n v="18"/>
    <n v="2"/>
    <d v="1997-08-25T00:00:00"/>
  </r>
  <r>
    <n v="10643"/>
    <x v="6"/>
    <n v="18"/>
    <n v="2"/>
    <d v="1997-08-25T00:00:00"/>
  </r>
  <r>
    <n v="10643"/>
    <x v="7"/>
    <n v="18"/>
    <n v="2"/>
    <d v="1997-08-25T00:00:00"/>
  </r>
  <r>
    <n v="10644"/>
    <x v="0"/>
    <n v="224.99999962747097"/>
    <n v="4"/>
    <d v="1997-08-25T00:00:00"/>
  </r>
  <r>
    <n v="10644"/>
    <x v="1"/>
    <n v="224.99999962747097"/>
    <n v="4"/>
    <d v="1997-08-25T00:00:00"/>
  </r>
  <r>
    <n v="10644"/>
    <x v="2"/>
    <n v="224.99999962747097"/>
    <n v="4"/>
    <d v="1997-08-25T00:00:00"/>
  </r>
  <r>
    <n v="10644"/>
    <x v="3"/>
    <n v="224.99999962747097"/>
    <n v="4"/>
    <d v="1997-08-25T00:00:00"/>
  </r>
  <r>
    <n v="10644"/>
    <x v="4"/>
    <n v="224.99999962747097"/>
    <n v="4"/>
    <d v="1997-08-25T00:00:00"/>
  </r>
  <r>
    <n v="10644"/>
    <x v="5"/>
    <n v="224.99999962747097"/>
    <n v="4"/>
    <d v="1997-08-25T00:00:00"/>
  </r>
  <r>
    <n v="10644"/>
    <x v="6"/>
    <n v="224.99999962747097"/>
    <n v="4"/>
    <d v="1997-08-25T00:00:00"/>
  </r>
  <r>
    <n v="10644"/>
    <x v="7"/>
    <n v="224.99999962747097"/>
    <n v="4"/>
    <d v="1997-08-25T00:00:00"/>
  </r>
  <r>
    <n v="10644"/>
    <x v="0"/>
    <n v="920"/>
    <n v="20"/>
    <d v="1997-08-25T00:00:00"/>
  </r>
  <r>
    <n v="10644"/>
    <x v="1"/>
    <n v="920"/>
    <n v="20"/>
    <d v="1997-08-25T00:00:00"/>
  </r>
  <r>
    <n v="10644"/>
    <x v="2"/>
    <n v="920"/>
    <n v="20"/>
    <d v="1997-08-25T00:00:00"/>
  </r>
  <r>
    <n v="10644"/>
    <x v="3"/>
    <n v="920"/>
    <n v="20"/>
    <d v="1997-08-25T00:00:00"/>
  </r>
  <r>
    <n v="10644"/>
    <x v="4"/>
    <n v="920"/>
    <n v="20"/>
    <d v="1997-08-25T00:00:00"/>
  </r>
  <r>
    <n v="10644"/>
    <x v="5"/>
    <n v="920"/>
    <n v="20"/>
    <d v="1997-08-25T00:00:00"/>
  </r>
  <r>
    <n v="10644"/>
    <x v="6"/>
    <n v="920"/>
    <n v="20"/>
    <d v="1997-08-25T00:00:00"/>
  </r>
  <r>
    <n v="10644"/>
    <x v="7"/>
    <n v="920"/>
    <n v="20"/>
    <d v="1997-08-25T00:00:00"/>
  </r>
  <r>
    <n v="10644"/>
    <x v="0"/>
    <n v="226.79999962449074"/>
    <n v="21"/>
    <d v="1997-08-25T00:00:00"/>
  </r>
  <r>
    <n v="10644"/>
    <x v="1"/>
    <n v="226.79999962449074"/>
    <n v="21"/>
    <d v="1997-08-25T00:00:00"/>
  </r>
  <r>
    <n v="10644"/>
    <x v="2"/>
    <n v="226.79999962449074"/>
    <n v="21"/>
    <d v="1997-08-25T00:00:00"/>
  </r>
  <r>
    <n v="10644"/>
    <x v="3"/>
    <n v="226.79999962449074"/>
    <n v="21"/>
    <d v="1997-08-25T00:00:00"/>
  </r>
  <r>
    <n v="10644"/>
    <x v="4"/>
    <n v="226.79999962449074"/>
    <n v="21"/>
    <d v="1997-08-25T00:00:00"/>
  </r>
  <r>
    <n v="10644"/>
    <x v="5"/>
    <n v="226.79999962449074"/>
    <n v="21"/>
    <d v="1997-08-25T00:00:00"/>
  </r>
  <r>
    <n v="10644"/>
    <x v="6"/>
    <n v="226.79999962449074"/>
    <n v="21"/>
    <d v="1997-08-25T00:00:00"/>
  </r>
  <r>
    <n v="10644"/>
    <x v="7"/>
    <n v="226.79999962449074"/>
    <n v="21"/>
    <d v="1997-08-25T00:00:00"/>
  </r>
  <r>
    <n v="10645"/>
    <x v="0"/>
    <n v="1250"/>
    <n v="20"/>
    <d v="1997-08-26T00:00:00"/>
  </r>
  <r>
    <n v="10645"/>
    <x v="1"/>
    <n v="1250"/>
    <n v="20"/>
    <d v="1997-08-26T00:00:00"/>
  </r>
  <r>
    <n v="10645"/>
    <x v="2"/>
    <n v="1250"/>
    <n v="20"/>
    <d v="1997-08-26T00:00:00"/>
  </r>
  <r>
    <n v="10645"/>
    <x v="3"/>
    <n v="1250"/>
    <n v="20"/>
    <d v="1997-08-26T00:00:00"/>
  </r>
  <r>
    <n v="10645"/>
    <x v="4"/>
    <n v="1250"/>
    <n v="20"/>
    <d v="1997-08-26T00:00:00"/>
  </r>
  <r>
    <n v="10645"/>
    <x v="5"/>
    <n v="1250"/>
    <n v="20"/>
    <d v="1997-08-26T00:00:00"/>
  </r>
  <r>
    <n v="10645"/>
    <x v="6"/>
    <n v="1250"/>
    <n v="20"/>
    <d v="1997-08-26T00:00:00"/>
  </r>
  <r>
    <n v="10645"/>
    <x v="7"/>
    <n v="1250"/>
    <n v="20"/>
    <d v="1997-08-26T00:00:00"/>
  </r>
  <r>
    <n v="10645"/>
    <x v="0"/>
    <n v="285"/>
    <n v="15"/>
    <d v="1997-08-26T00:00:00"/>
  </r>
  <r>
    <n v="10645"/>
    <x v="1"/>
    <n v="285"/>
    <n v="15"/>
    <d v="1997-08-26T00:00:00"/>
  </r>
  <r>
    <n v="10645"/>
    <x v="2"/>
    <n v="285"/>
    <n v="15"/>
    <d v="1997-08-26T00:00:00"/>
  </r>
  <r>
    <n v="10645"/>
    <x v="3"/>
    <n v="285"/>
    <n v="15"/>
    <d v="1997-08-26T00:00:00"/>
  </r>
  <r>
    <n v="10645"/>
    <x v="4"/>
    <n v="285"/>
    <n v="15"/>
    <d v="1997-08-26T00:00:00"/>
  </r>
  <r>
    <n v="10645"/>
    <x v="5"/>
    <n v="285"/>
    <n v="15"/>
    <d v="1997-08-26T00:00:00"/>
  </r>
  <r>
    <n v="10645"/>
    <x v="6"/>
    <n v="285"/>
    <n v="15"/>
    <d v="1997-08-26T00:00:00"/>
  </r>
  <r>
    <n v="10645"/>
    <x v="7"/>
    <n v="285"/>
    <n v="15"/>
    <d v="1997-08-26T00:00:00"/>
  </r>
  <r>
    <n v="10646"/>
    <x v="0"/>
    <n v="202.5"/>
    <n v="15"/>
    <d v="1997-08-27T00:00:00"/>
  </r>
  <r>
    <n v="10646"/>
    <x v="1"/>
    <n v="202.5"/>
    <n v="15"/>
    <d v="1997-08-27T00:00:00"/>
  </r>
  <r>
    <n v="10646"/>
    <x v="2"/>
    <n v="202.5"/>
    <n v="15"/>
    <d v="1997-08-27T00:00:00"/>
  </r>
  <r>
    <n v="10646"/>
    <x v="3"/>
    <n v="202.5"/>
    <n v="15"/>
    <d v="1997-08-27T00:00:00"/>
  </r>
  <r>
    <n v="10646"/>
    <x v="4"/>
    <n v="202.5"/>
    <n v="15"/>
    <d v="1997-08-27T00:00:00"/>
  </r>
  <r>
    <n v="10646"/>
    <x v="5"/>
    <n v="202.5"/>
    <n v="15"/>
    <d v="1997-08-27T00:00:00"/>
  </r>
  <r>
    <n v="10646"/>
    <x v="6"/>
    <n v="202.5"/>
    <n v="15"/>
    <d v="1997-08-27T00:00:00"/>
  </r>
  <r>
    <n v="10646"/>
    <x v="7"/>
    <n v="202.5"/>
    <n v="15"/>
    <d v="1997-08-27T00:00:00"/>
  </r>
  <r>
    <n v="10646"/>
    <x v="0"/>
    <n v="418.5"/>
    <n v="18"/>
    <d v="1997-08-27T00:00:00"/>
  </r>
  <r>
    <n v="10646"/>
    <x v="1"/>
    <n v="418.5"/>
    <n v="18"/>
    <d v="1997-08-27T00:00:00"/>
  </r>
  <r>
    <n v="10646"/>
    <x v="2"/>
    <n v="418.5"/>
    <n v="18"/>
    <d v="1997-08-27T00:00:00"/>
  </r>
  <r>
    <n v="10646"/>
    <x v="3"/>
    <n v="418.5"/>
    <n v="18"/>
    <d v="1997-08-27T00:00:00"/>
  </r>
  <r>
    <n v="10646"/>
    <x v="4"/>
    <n v="418.5"/>
    <n v="18"/>
    <d v="1997-08-27T00:00:00"/>
  </r>
  <r>
    <n v="10646"/>
    <x v="5"/>
    <n v="418.5"/>
    <n v="18"/>
    <d v="1997-08-27T00:00:00"/>
  </r>
  <r>
    <n v="10646"/>
    <x v="6"/>
    <n v="418.5"/>
    <n v="18"/>
    <d v="1997-08-27T00:00:00"/>
  </r>
  <r>
    <n v="10646"/>
    <x v="7"/>
    <n v="418.5"/>
    <n v="18"/>
    <d v="1997-08-27T00:00:00"/>
  </r>
  <r>
    <n v="10646"/>
    <x v="0"/>
    <n v="483.75"/>
    <n v="30"/>
    <d v="1997-08-27T00:00:00"/>
  </r>
  <r>
    <n v="10646"/>
    <x v="1"/>
    <n v="483.75"/>
    <n v="30"/>
    <d v="1997-08-27T00:00:00"/>
  </r>
  <r>
    <n v="10646"/>
    <x v="2"/>
    <n v="483.75"/>
    <n v="30"/>
    <d v="1997-08-27T00:00:00"/>
  </r>
  <r>
    <n v="10646"/>
    <x v="3"/>
    <n v="483.75"/>
    <n v="30"/>
    <d v="1997-08-27T00:00:00"/>
  </r>
  <r>
    <n v="10646"/>
    <x v="4"/>
    <n v="483.75"/>
    <n v="30"/>
    <d v="1997-08-27T00:00:00"/>
  </r>
  <r>
    <n v="10646"/>
    <x v="5"/>
    <n v="483.75"/>
    <n v="30"/>
    <d v="1997-08-27T00:00:00"/>
  </r>
  <r>
    <n v="10646"/>
    <x v="6"/>
    <n v="483.75"/>
    <n v="30"/>
    <d v="1997-08-27T00:00:00"/>
  </r>
  <r>
    <n v="10646"/>
    <x v="7"/>
    <n v="483.75"/>
    <n v="30"/>
    <d v="1997-08-27T00:00:00"/>
  </r>
  <r>
    <n v="10646"/>
    <x v="0"/>
    <n v="341.25"/>
    <n v="35"/>
    <d v="1997-08-27T00:00:00"/>
  </r>
  <r>
    <n v="10646"/>
    <x v="1"/>
    <n v="341.25"/>
    <n v="35"/>
    <d v="1997-08-27T00:00:00"/>
  </r>
  <r>
    <n v="10646"/>
    <x v="2"/>
    <n v="341.25"/>
    <n v="35"/>
    <d v="1997-08-27T00:00:00"/>
  </r>
  <r>
    <n v="10646"/>
    <x v="3"/>
    <n v="341.25"/>
    <n v="35"/>
    <d v="1997-08-27T00:00:00"/>
  </r>
  <r>
    <n v="10646"/>
    <x v="4"/>
    <n v="341.25"/>
    <n v="35"/>
    <d v="1997-08-27T00:00:00"/>
  </r>
  <r>
    <n v="10646"/>
    <x v="5"/>
    <n v="341.25"/>
    <n v="35"/>
    <d v="1997-08-27T00:00:00"/>
  </r>
  <r>
    <n v="10646"/>
    <x v="6"/>
    <n v="341.25"/>
    <n v="35"/>
    <d v="1997-08-27T00:00:00"/>
  </r>
  <r>
    <n v="10646"/>
    <x v="7"/>
    <n v="341.25"/>
    <n v="35"/>
    <d v="1997-08-27T00:00:00"/>
  </r>
  <r>
    <n v="10647"/>
    <x v="0"/>
    <n v="276"/>
    <n v="30"/>
    <d v="1997-08-27T00:00:00"/>
  </r>
  <r>
    <n v="10647"/>
    <x v="1"/>
    <n v="276"/>
    <n v="30"/>
    <d v="1997-08-27T00:00:00"/>
  </r>
  <r>
    <n v="10647"/>
    <x v="2"/>
    <n v="276"/>
    <n v="30"/>
    <d v="1997-08-27T00:00:00"/>
  </r>
  <r>
    <n v="10647"/>
    <x v="3"/>
    <n v="276"/>
    <n v="30"/>
    <d v="1997-08-27T00:00:00"/>
  </r>
  <r>
    <n v="10647"/>
    <x v="4"/>
    <n v="276"/>
    <n v="30"/>
    <d v="1997-08-27T00:00:00"/>
  </r>
  <r>
    <n v="10647"/>
    <x v="5"/>
    <n v="276"/>
    <n v="30"/>
    <d v="1997-08-27T00:00:00"/>
  </r>
  <r>
    <n v="10647"/>
    <x v="6"/>
    <n v="276"/>
    <n v="30"/>
    <d v="1997-08-27T00:00:00"/>
  </r>
  <r>
    <n v="10647"/>
    <x v="7"/>
    <n v="276"/>
    <n v="30"/>
    <d v="1997-08-27T00:00:00"/>
  </r>
  <r>
    <n v="10647"/>
    <x v="0"/>
    <n v="360"/>
    <n v="20"/>
    <d v="1997-08-27T00:00:00"/>
  </r>
  <r>
    <n v="10647"/>
    <x v="1"/>
    <n v="360"/>
    <n v="20"/>
    <d v="1997-08-27T00:00:00"/>
  </r>
  <r>
    <n v="10647"/>
    <x v="2"/>
    <n v="360"/>
    <n v="20"/>
    <d v="1997-08-27T00:00:00"/>
  </r>
  <r>
    <n v="10647"/>
    <x v="3"/>
    <n v="360"/>
    <n v="20"/>
    <d v="1997-08-27T00:00:00"/>
  </r>
  <r>
    <n v="10647"/>
    <x v="4"/>
    <n v="360"/>
    <n v="20"/>
    <d v="1997-08-27T00:00:00"/>
  </r>
  <r>
    <n v="10647"/>
    <x v="5"/>
    <n v="360"/>
    <n v="20"/>
    <d v="1997-08-27T00:00:00"/>
  </r>
  <r>
    <n v="10647"/>
    <x v="6"/>
    <n v="360"/>
    <n v="20"/>
    <d v="1997-08-27T00:00:00"/>
  </r>
  <r>
    <n v="10647"/>
    <x v="7"/>
    <n v="360"/>
    <n v="20"/>
    <d v="1997-08-27T00:00:00"/>
  </r>
  <r>
    <n v="10648"/>
    <x v="0"/>
    <n v="315"/>
    <n v="15"/>
    <d v="1997-08-28T00:00:00"/>
  </r>
  <r>
    <n v="10648"/>
    <x v="1"/>
    <n v="315"/>
    <n v="15"/>
    <d v="1997-08-28T00:00:00"/>
  </r>
  <r>
    <n v="10648"/>
    <x v="2"/>
    <n v="315"/>
    <n v="15"/>
    <d v="1997-08-28T00:00:00"/>
  </r>
  <r>
    <n v="10648"/>
    <x v="3"/>
    <n v="315"/>
    <n v="15"/>
    <d v="1997-08-28T00:00:00"/>
  </r>
  <r>
    <n v="10648"/>
    <x v="4"/>
    <n v="315"/>
    <n v="15"/>
    <d v="1997-08-28T00:00:00"/>
  </r>
  <r>
    <n v="10648"/>
    <x v="5"/>
    <n v="315"/>
    <n v="15"/>
    <d v="1997-08-28T00:00:00"/>
  </r>
  <r>
    <n v="10648"/>
    <x v="6"/>
    <n v="315"/>
    <n v="15"/>
    <d v="1997-08-28T00:00:00"/>
  </r>
  <r>
    <n v="10648"/>
    <x v="7"/>
    <n v="315"/>
    <n v="15"/>
    <d v="1997-08-28T00:00:00"/>
  </r>
  <r>
    <n v="10648"/>
    <x v="0"/>
    <n v="57.374999597668648"/>
    <n v="15"/>
    <d v="1997-08-28T00:00:00"/>
  </r>
  <r>
    <n v="10648"/>
    <x v="1"/>
    <n v="57.374999597668648"/>
    <n v="15"/>
    <d v="1997-08-28T00:00:00"/>
  </r>
  <r>
    <n v="10648"/>
    <x v="2"/>
    <n v="57.374999597668648"/>
    <n v="15"/>
    <d v="1997-08-28T00:00:00"/>
  </r>
  <r>
    <n v="10648"/>
    <x v="3"/>
    <n v="57.374999597668648"/>
    <n v="15"/>
    <d v="1997-08-28T00:00:00"/>
  </r>
  <r>
    <n v="10648"/>
    <x v="4"/>
    <n v="57.374999597668648"/>
    <n v="15"/>
    <d v="1997-08-28T00:00:00"/>
  </r>
  <r>
    <n v="10648"/>
    <x v="5"/>
    <n v="57.374999597668648"/>
    <n v="15"/>
    <d v="1997-08-28T00:00:00"/>
  </r>
  <r>
    <n v="10648"/>
    <x v="6"/>
    <n v="57.374999597668648"/>
    <n v="15"/>
    <d v="1997-08-28T00:00:00"/>
  </r>
  <r>
    <n v="10648"/>
    <x v="7"/>
    <n v="57.374999597668648"/>
    <n v="15"/>
    <d v="1997-08-28T00:00:00"/>
  </r>
  <r>
    <n v="10649"/>
    <x v="0"/>
    <n v="912"/>
    <n v="20"/>
    <d v="1997-08-28T00:00:00"/>
  </r>
  <r>
    <n v="10649"/>
    <x v="1"/>
    <n v="912"/>
    <n v="20"/>
    <d v="1997-08-28T00:00:00"/>
  </r>
  <r>
    <n v="10649"/>
    <x v="2"/>
    <n v="912"/>
    <n v="20"/>
    <d v="1997-08-28T00:00:00"/>
  </r>
  <r>
    <n v="10649"/>
    <x v="3"/>
    <n v="912"/>
    <n v="20"/>
    <d v="1997-08-28T00:00:00"/>
  </r>
  <r>
    <n v="10649"/>
    <x v="4"/>
    <n v="912"/>
    <n v="20"/>
    <d v="1997-08-28T00:00:00"/>
  </r>
  <r>
    <n v="10649"/>
    <x v="5"/>
    <n v="912"/>
    <n v="20"/>
    <d v="1997-08-28T00:00:00"/>
  </r>
  <r>
    <n v="10649"/>
    <x v="6"/>
    <n v="912"/>
    <n v="20"/>
    <d v="1997-08-28T00:00:00"/>
  </r>
  <r>
    <n v="10649"/>
    <x v="7"/>
    <n v="912"/>
    <n v="20"/>
    <d v="1997-08-28T00:00:00"/>
  </r>
  <r>
    <n v="10649"/>
    <x v="0"/>
    <n v="522"/>
    <n v="15"/>
    <d v="1997-08-28T00:00:00"/>
  </r>
  <r>
    <n v="10649"/>
    <x v="1"/>
    <n v="522"/>
    <n v="15"/>
    <d v="1997-08-28T00:00:00"/>
  </r>
  <r>
    <n v="10649"/>
    <x v="2"/>
    <n v="522"/>
    <n v="15"/>
    <d v="1997-08-28T00:00:00"/>
  </r>
  <r>
    <n v="10649"/>
    <x v="3"/>
    <n v="522"/>
    <n v="15"/>
    <d v="1997-08-28T00:00:00"/>
  </r>
  <r>
    <n v="10649"/>
    <x v="4"/>
    <n v="522"/>
    <n v="15"/>
    <d v="1997-08-28T00:00:00"/>
  </r>
  <r>
    <n v="10649"/>
    <x v="5"/>
    <n v="522"/>
    <n v="15"/>
    <d v="1997-08-28T00:00:00"/>
  </r>
  <r>
    <n v="10649"/>
    <x v="6"/>
    <n v="522"/>
    <n v="15"/>
    <d v="1997-08-28T00:00:00"/>
  </r>
  <r>
    <n v="10649"/>
    <x v="7"/>
    <n v="522"/>
    <n v="15"/>
    <d v="1997-08-28T00:00:00"/>
  </r>
  <r>
    <n v="10650"/>
    <x v="0"/>
    <n v="776.7"/>
    <n v="30"/>
    <d v="1997-08-29T00:00:00"/>
  </r>
  <r>
    <n v="10650"/>
    <x v="1"/>
    <n v="776.7"/>
    <n v="30"/>
    <d v="1997-08-29T00:00:00"/>
  </r>
  <r>
    <n v="10650"/>
    <x v="2"/>
    <n v="776.7"/>
    <n v="30"/>
    <d v="1997-08-29T00:00:00"/>
  </r>
  <r>
    <n v="10650"/>
    <x v="3"/>
    <n v="776.7"/>
    <n v="30"/>
    <d v="1997-08-29T00:00:00"/>
  </r>
  <r>
    <n v="10650"/>
    <x v="4"/>
    <n v="776.7"/>
    <n v="30"/>
    <d v="1997-08-29T00:00:00"/>
  </r>
  <r>
    <n v="10650"/>
    <x v="5"/>
    <n v="776.7"/>
    <n v="30"/>
    <d v="1997-08-29T00:00:00"/>
  </r>
  <r>
    <n v="10650"/>
    <x v="6"/>
    <n v="776.7"/>
    <n v="30"/>
    <d v="1997-08-29T00:00:00"/>
  </r>
  <r>
    <n v="10650"/>
    <x v="7"/>
    <n v="776.7"/>
    <n v="30"/>
    <d v="1997-08-29T00:00:00"/>
  </r>
  <r>
    <n v="10650"/>
    <x v="0"/>
    <n v="778.99999938905239"/>
    <n v="25"/>
    <d v="1997-08-29T00:00:00"/>
  </r>
  <r>
    <n v="10650"/>
    <x v="1"/>
    <n v="778.99999938905239"/>
    <n v="25"/>
    <d v="1997-08-29T00:00:00"/>
  </r>
  <r>
    <n v="10650"/>
    <x v="2"/>
    <n v="778.99999938905239"/>
    <n v="25"/>
    <d v="1997-08-29T00:00:00"/>
  </r>
  <r>
    <n v="10650"/>
    <x v="3"/>
    <n v="778.99999938905239"/>
    <n v="25"/>
    <d v="1997-08-29T00:00:00"/>
  </r>
  <r>
    <n v="10650"/>
    <x v="4"/>
    <n v="778.99999938905239"/>
    <n v="25"/>
    <d v="1997-08-29T00:00:00"/>
  </r>
  <r>
    <n v="10650"/>
    <x v="5"/>
    <n v="778.99999938905239"/>
    <n v="25"/>
    <d v="1997-08-29T00:00:00"/>
  </r>
  <r>
    <n v="10650"/>
    <x v="6"/>
    <n v="778.99999938905239"/>
    <n v="25"/>
    <d v="1997-08-29T00:00:00"/>
  </r>
  <r>
    <n v="10650"/>
    <x v="7"/>
    <n v="778.99999938905239"/>
    <n v="25"/>
    <d v="1997-08-29T00:00:00"/>
  </r>
  <r>
    <n v="10650"/>
    <x v="0"/>
    <n v="223.5"/>
    <n v="30"/>
    <d v="1997-08-29T00:00:00"/>
  </r>
  <r>
    <n v="10650"/>
    <x v="1"/>
    <n v="223.5"/>
    <n v="30"/>
    <d v="1997-08-29T00:00:00"/>
  </r>
  <r>
    <n v="10650"/>
    <x v="2"/>
    <n v="223.5"/>
    <n v="30"/>
    <d v="1997-08-29T00:00:00"/>
  </r>
  <r>
    <n v="10650"/>
    <x v="3"/>
    <n v="223.5"/>
    <n v="30"/>
    <d v="1997-08-29T00:00:00"/>
  </r>
  <r>
    <n v="10650"/>
    <x v="4"/>
    <n v="223.5"/>
    <n v="30"/>
    <d v="1997-08-29T00:00:00"/>
  </r>
  <r>
    <n v="10650"/>
    <x v="5"/>
    <n v="223.5"/>
    <n v="30"/>
    <d v="1997-08-29T00:00:00"/>
  </r>
  <r>
    <n v="10650"/>
    <x v="6"/>
    <n v="223.5"/>
    <n v="30"/>
    <d v="1997-08-29T00:00:00"/>
  </r>
  <r>
    <n v="10650"/>
    <x v="7"/>
    <n v="223.5"/>
    <n v="30"/>
    <d v="1997-08-29T00:00:00"/>
  </r>
  <r>
    <n v="10651"/>
    <x v="0"/>
    <n v="82.800000000000011"/>
    <n v="12"/>
    <d v="1997-09-01T00:00:00"/>
  </r>
  <r>
    <n v="10651"/>
    <x v="1"/>
    <n v="82.800000000000011"/>
    <n v="12"/>
    <d v="1997-09-01T00:00:00"/>
  </r>
  <r>
    <n v="10651"/>
    <x v="2"/>
    <n v="82.800000000000011"/>
    <n v="12"/>
    <d v="1997-09-01T00:00:00"/>
  </r>
  <r>
    <n v="10651"/>
    <x v="3"/>
    <n v="82.800000000000011"/>
    <n v="12"/>
    <d v="1997-09-01T00:00:00"/>
  </r>
  <r>
    <n v="10651"/>
    <x v="4"/>
    <n v="82.800000000000011"/>
    <n v="12"/>
    <d v="1997-09-01T00:00:00"/>
  </r>
  <r>
    <n v="10651"/>
    <x v="5"/>
    <n v="82.800000000000011"/>
    <n v="12"/>
    <d v="1997-09-01T00:00:00"/>
  </r>
  <r>
    <n v="10651"/>
    <x v="6"/>
    <n v="82.800000000000011"/>
    <n v="12"/>
    <d v="1997-09-01T00:00:00"/>
  </r>
  <r>
    <n v="10651"/>
    <x v="7"/>
    <n v="82.800000000000011"/>
    <n v="12"/>
    <d v="1997-09-01T00:00:00"/>
  </r>
  <r>
    <n v="10651"/>
    <x v="0"/>
    <n v="315"/>
    <n v="20"/>
    <d v="1997-09-01T00:00:00"/>
  </r>
  <r>
    <n v="10651"/>
    <x v="1"/>
    <n v="315"/>
    <n v="20"/>
    <d v="1997-09-01T00:00:00"/>
  </r>
  <r>
    <n v="10651"/>
    <x v="2"/>
    <n v="315"/>
    <n v="20"/>
    <d v="1997-09-01T00:00:00"/>
  </r>
  <r>
    <n v="10651"/>
    <x v="3"/>
    <n v="315"/>
    <n v="20"/>
    <d v="1997-09-01T00:00:00"/>
  </r>
  <r>
    <n v="10651"/>
    <x v="4"/>
    <n v="315"/>
    <n v="20"/>
    <d v="1997-09-01T00:00:00"/>
  </r>
  <r>
    <n v="10651"/>
    <x v="5"/>
    <n v="315"/>
    <n v="20"/>
    <d v="1997-09-01T00:00:00"/>
  </r>
  <r>
    <n v="10651"/>
    <x v="6"/>
    <n v="315"/>
    <n v="20"/>
    <d v="1997-09-01T00:00:00"/>
  </r>
  <r>
    <n v="10651"/>
    <x v="7"/>
    <n v="315"/>
    <n v="20"/>
    <d v="1997-09-01T00:00:00"/>
  </r>
  <r>
    <n v="10652"/>
    <x v="0"/>
    <n v="38.835000000000001"/>
    <n v="2"/>
    <d v="1997-09-01T00:00:00"/>
  </r>
  <r>
    <n v="10652"/>
    <x v="1"/>
    <n v="38.835000000000001"/>
    <n v="2"/>
    <d v="1997-09-01T00:00:00"/>
  </r>
  <r>
    <n v="10652"/>
    <x v="2"/>
    <n v="38.835000000000001"/>
    <n v="2"/>
    <d v="1997-09-01T00:00:00"/>
  </r>
  <r>
    <n v="10652"/>
    <x v="3"/>
    <n v="38.835000000000001"/>
    <n v="2"/>
    <d v="1997-09-01T00:00:00"/>
  </r>
  <r>
    <n v="10652"/>
    <x v="4"/>
    <n v="38.835000000000001"/>
    <n v="2"/>
    <d v="1997-09-01T00:00:00"/>
  </r>
  <r>
    <n v="10652"/>
    <x v="5"/>
    <n v="38.835000000000001"/>
    <n v="2"/>
    <d v="1997-09-01T00:00:00"/>
  </r>
  <r>
    <n v="10652"/>
    <x v="6"/>
    <n v="38.835000000000001"/>
    <n v="2"/>
    <d v="1997-09-01T00:00:00"/>
  </r>
  <r>
    <n v="10652"/>
    <x v="7"/>
    <n v="38.835000000000001"/>
    <n v="2"/>
    <d v="1997-09-01T00:00:00"/>
  </r>
  <r>
    <n v="10652"/>
    <x v="0"/>
    <n v="280"/>
    <n v="20"/>
    <d v="1997-09-01T00:00:00"/>
  </r>
  <r>
    <n v="10652"/>
    <x v="1"/>
    <n v="280"/>
    <n v="20"/>
    <d v="1997-09-01T00:00:00"/>
  </r>
  <r>
    <n v="10652"/>
    <x v="2"/>
    <n v="280"/>
    <n v="20"/>
    <d v="1997-09-01T00:00:00"/>
  </r>
  <r>
    <n v="10652"/>
    <x v="3"/>
    <n v="280"/>
    <n v="20"/>
    <d v="1997-09-01T00:00:00"/>
  </r>
  <r>
    <n v="10652"/>
    <x v="4"/>
    <n v="280"/>
    <n v="20"/>
    <d v="1997-09-01T00:00:00"/>
  </r>
  <r>
    <n v="10652"/>
    <x v="5"/>
    <n v="280"/>
    <n v="20"/>
    <d v="1997-09-01T00:00:00"/>
  </r>
  <r>
    <n v="10652"/>
    <x v="6"/>
    <n v="280"/>
    <n v="20"/>
    <d v="1997-09-01T00:00:00"/>
  </r>
  <r>
    <n v="10652"/>
    <x v="7"/>
    <n v="280"/>
    <n v="20"/>
    <d v="1997-09-01T00:00:00"/>
  </r>
  <r>
    <n v="10653"/>
    <x v="0"/>
    <n v="471.14999921992421"/>
    <n v="30"/>
    <d v="1997-09-02T00:00:00"/>
  </r>
  <r>
    <n v="10653"/>
    <x v="1"/>
    <n v="471.14999921992421"/>
    <n v="30"/>
    <d v="1997-09-02T00:00:00"/>
  </r>
  <r>
    <n v="10653"/>
    <x v="2"/>
    <n v="471.14999921992421"/>
    <n v="30"/>
    <d v="1997-09-02T00:00:00"/>
  </r>
  <r>
    <n v="10653"/>
    <x v="3"/>
    <n v="471.14999921992421"/>
    <n v="30"/>
    <d v="1997-09-02T00:00:00"/>
  </r>
  <r>
    <n v="10653"/>
    <x v="4"/>
    <n v="471.14999921992421"/>
    <n v="30"/>
    <d v="1997-09-02T00:00:00"/>
  </r>
  <r>
    <n v="10653"/>
    <x v="5"/>
    <n v="471.14999921992421"/>
    <n v="30"/>
    <d v="1997-09-02T00:00:00"/>
  </r>
  <r>
    <n v="10653"/>
    <x v="6"/>
    <n v="471.14999921992421"/>
    <n v="30"/>
    <d v="1997-09-02T00:00:00"/>
  </r>
  <r>
    <n v="10653"/>
    <x v="7"/>
    <n v="471.14999921992421"/>
    <n v="30"/>
    <d v="1997-09-02T00:00:00"/>
  </r>
  <r>
    <n v="10653"/>
    <x v="0"/>
    <n v="611.99999898672104"/>
    <n v="20"/>
    <d v="1997-09-02T00:00:00"/>
  </r>
  <r>
    <n v="10653"/>
    <x v="1"/>
    <n v="611.99999898672104"/>
    <n v="20"/>
    <d v="1997-09-02T00:00:00"/>
  </r>
  <r>
    <n v="10653"/>
    <x v="2"/>
    <n v="611.99999898672104"/>
    <n v="20"/>
    <d v="1997-09-02T00:00:00"/>
  </r>
  <r>
    <n v="10653"/>
    <x v="3"/>
    <n v="611.99999898672104"/>
    <n v="20"/>
    <d v="1997-09-02T00:00:00"/>
  </r>
  <r>
    <n v="10653"/>
    <x v="4"/>
    <n v="611.99999898672104"/>
    <n v="20"/>
    <d v="1997-09-02T00:00:00"/>
  </r>
  <r>
    <n v="10653"/>
    <x v="5"/>
    <n v="611.99999898672104"/>
    <n v="20"/>
    <d v="1997-09-02T00:00:00"/>
  </r>
  <r>
    <n v="10653"/>
    <x v="6"/>
    <n v="611.99999898672104"/>
    <n v="20"/>
    <d v="1997-09-02T00:00:00"/>
  </r>
  <r>
    <n v="10653"/>
    <x v="7"/>
    <n v="611.99999898672104"/>
    <n v="20"/>
    <d v="1997-09-02T00:00:00"/>
  </r>
  <r>
    <n v="10654"/>
    <x v="0"/>
    <n v="237.59999960660934"/>
    <n v="12"/>
    <d v="1997-09-02T00:00:00"/>
  </r>
  <r>
    <n v="10654"/>
    <x v="1"/>
    <n v="237.59999960660934"/>
    <n v="12"/>
    <d v="1997-09-02T00:00:00"/>
  </r>
  <r>
    <n v="10654"/>
    <x v="2"/>
    <n v="237.59999960660934"/>
    <n v="12"/>
    <d v="1997-09-02T00:00:00"/>
  </r>
  <r>
    <n v="10654"/>
    <x v="3"/>
    <n v="237.59999960660934"/>
    <n v="12"/>
    <d v="1997-09-02T00:00:00"/>
  </r>
  <r>
    <n v="10654"/>
    <x v="4"/>
    <n v="237.59999960660934"/>
    <n v="12"/>
    <d v="1997-09-02T00:00:00"/>
  </r>
  <r>
    <n v="10654"/>
    <x v="5"/>
    <n v="237.59999960660934"/>
    <n v="12"/>
    <d v="1997-09-02T00:00:00"/>
  </r>
  <r>
    <n v="10654"/>
    <x v="6"/>
    <n v="237.59999960660934"/>
    <n v="12"/>
    <d v="1997-09-02T00:00:00"/>
  </r>
  <r>
    <n v="10654"/>
    <x v="7"/>
    <n v="237.59999960660934"/>
    <n v="12"/>
    <d v="1997-09-02T00:00:00"/>
  </r>
  <r>
    <n v="10654"/>
    <x v="0"/>
    <n v="323.9999994635582"/>
    <n v="20"/>
    <d v="1997-09-02T00:00:00"/>
  </r>
  <r>
    <n v="10654"/>
    <x v="1"/>
    <n v="323.9999994635582"/>
    <n v="20"/>
    <d v="1997-09-02T00:00:00"/>
  </r>
  <r>
    <n v="10654"/>
    <x v="2"/>
    <n v="323.9999994635582"/>
    <n v="20"/>
    <d v="1997-09-02T00:00:00"/>
  </r>
  <r>
    <n v="10654"/>
    <x v="3"/>
    <n v="323.9999994635582"/>
    <n v="20"/>
    <d v="1997-09-02T00:00:00"/>
  </r>
  <r>
    <n v="10654"/>
    <x v="4"/>
    <n v="323.9999994635582"/>
    <n v="20"/>
    <d v="1997-09-02T00:00:00"/>
  </r>
  <r>
    <n v="10654"/>
    <x v="5"/>
    <n v="323.9999994635582"/>
    <n v="20"/>
    <d v="1997-09-02T00:00:00"/>
  </r>
  <r>
    <n v="10654"/>
    <x v="6"/>
    <n v="323.9999994635582"/>
    <n v="20"/>
    <d v="1997-09-02T00:00:00"/>
  </r>
  <r>
    <n v="10654"/>
    <x v="7"/>
    <n v="323.9999994635582"/>
    <n v="20"/>
    <d v="1997-09-02T00:00:00"/>
  </r>
  <r>
    <n v="10654"/>
    <x v="0"/>
    <n v="40.229999933391809"/>
    <n v="6"/>
    <d v="1997-09-02T00:00:00"/>
  </r>
  <r>
    <n v="10654"/>
    <x v="1"/>
    <n v="40.229999933391809"/>
    <n v="6"/>
    <d v="1997-09-02T00:00:00"/>
  </r>
  <r>
    <n v="10654"/>
    <x v="2"/>
    <n v="40.229999933391809"/>
    <n v="6"/>
    <d v="1997-09-02T00:00:00"/>
  </r>
  <r>
    <n v="10654"/>
    <x v="3"/>
    <n v="40.229999933391809"/>
    <n v="6"/>
    <d v="1997-09-02T00:00:00"/>
  </r>
  <r>
    <n v="10654"/>
    <x v="4"/>
    <n v="40.229999933391809"/>
    <n v="6"/>
    <d v="1997-09-02T00:00:00"/>
  </r>
  <r>
    <n v="10654"/>
    <x v="5"/>
    <n v="40.229999933391809"/>
    <n v="6"/>
    <d v="1997-09-02T00:00:00"/>
  </r>
  <r>
    <n v="10654"/>
    <x v="6"/>
    <n v="40.229999933391809"/>
    <n v="6"/>
    <d v="1997-09-02T00:00:00"/>
  </r>
  <r>
    <n v="10654"/>
    <x v="7"/>
    <n v="40.229999933391809"/>
    <n v="6"/>
    <d v="1997-09-02T00:00:00"/>
  </r>
  <r>
    <n v="10655"/>
    <x v="0"/>
    <n v="154.39999942481518"/>
    <n v="20"/>
    <d v="1997-09-03T00:00:00"/>
  </r>
  <r>
    <n v="10655"/>
    <x v="1"/>
    <n v="154.39999942481518"/>
    <n v="20"/>
    <d v="1997-09-03T00:00:00"/>
  </r>
  <r>
    <n v="10655"/>
    <x v="2"/>
    <n v="154.39999942481518"/>
    <n v="20"/>
    <d v="1997-09-03T00:00:00"/>
  </r>
  <r>
    <n v="10655"/>
    <x v="3"/>
    <n v="154.39999942481518"/>
    <n v="20"/>
    <d v="1997-09-03T00:00:00"/>
  </r>
  <r>
    <n v="10655"/>
    <x v="4"/>
    <n v="154.39999942481518"/>
    <n v="20"/>
    <d v="1997-09-03T00:00:00"/>
  </r>
  <r>
    <n v="10655"/>
    <x v="5"/>
    <n v="154.39999942481518"/>
    <n v="20"/>
    <d v="1997-09-03T00:00:00"/>
  </r>
  <r>
    <n v="10655"/>
    <x v="6"/>
    <n v="154.39999942481518"/>
    <n v="20"/>
    <d v="1997-09-03T00:00:00"/>
  </r>
  <r>
    <n v="10655"/>
    <x v="7"/>
    <n v="154.39999942481518"/>
    <n v="20"/>
    <d v="1997-09-03T00:00:00"/>
  </r>
  <r>
    <n v="10656"/>
    <x v="0"/>
    <n v="62.774999896064401"/>
    <n v="3"/>
    <d v="1997-09-04T00:00:00"/>
  </r>
  <r>
    <n v="10656"/>
    <x v="1"/>
    <n v="62.774999896064401"/>
    <n v="3"/>
    <d v="1997-09-04T00:00:00"/>
  </r>
  <r>
    <n v="10656"/>
    <x v="2"/>
    <n v="62.774999896064401"/>
    <n v="3"/>
    <d v="1997-09-04T00:00:00"/>
  </r>
  <r>
    <n v="10656"/>
    <x v="3"/>
    <n v="62.774999896064401"/>
    <n v="3"/>
    <d v="1997-09-04T00:00:00"/>
  </r>
  <r>
    <n v="10656"/>
    <x v="4"/>
    <n v="62.774999896064401"/>
    <n v="3"/>
    <d v="1997-09-04T00:00:00"/>
  </r>
  <r>
    <n v="10656"/>
    <x v="5"/>
    <n v="62.774999896064401"/>
    <n v="3"/>
    <d v="1997-09-04T00:00:00"/>
  </r>
  <r>
    <n v="10656"/>
    <x v="6"/>
    <n v="62.774999896064401"/>
    <n v="3"/>
    <d v="1997-09-04T00:00:00"/>
  </r>
  <r>
    <n v="10656"/>
    <x v="7"/>
    <n v="62.774999896064401"/>
    <n v="3"/>
    <d v="1997-09-04T00:00:00"/>
  </r>
  <r>
    <n v="10656"/>
    <x v="0"/>
    <n v="490.13999918848276"/>
    <n v="28"/>
    <d v="1997-09-04T00:00:00"/>
  </r>
  <r>
    <n v="10656"/>
    <x v="1"/>
    <n v="490.13999918848276"/>
    <n v="28"/>
    <d v="1997-09-04T00:00:00"/>
  </r>
  <r>
    <n v="10656"/>
    <x v="2"/>
    <n v="490.13999918848276"/>
    <n v="28"/>
    <d v="1997-09-04T00:00:00"/>
  </r>
  <r>
    <n v="10656"/>
    <x v="3"/>
    <n v="490.13999918848276"/>
    <n v="28"/>
    <d v="1997-09-04T00:00:00"/>
  </r>
  <r>
    <n v="10656"/>
    <x v="4"/>
    <n v="490.13999918848276"/>
    <n v="28"/>
    <d v="1997-09-04T00:00:00"/>
  </r>
  <r>
    <n v="10656"/>
    <x v="5"/>
    <n v="490.13999918848276"/>
    <n v="28"/>
    <d v="1997-09-04T00:00:00"/>
  </r>
  <r>
    <n v="10656"/>
    <x v="6"/>
    <n v="490.13999918848276"/>
    <n v="28"/>
    <d v="1997-09-04T00:00:00"/>
  </r>
  <r>
    <n v="10656"/>
    <x v="7"/>
    <n v="490.13999918848276"/>
    <n v="28"/>
    <d v="1997-09-04T00:00:00"/>
  </r>
  <r>
    <n v="10656"/>
    <x v="0"/>
    <n v="51.299999915063381"/>
    <n v="6"/>
    <d v="1997-09-04T00:00:00"/>
  </r>
  <r>
    <n v="10656"/>
    <x v="1"/>
    <n v="51.299999915063381"/>
    <n v="6"/>
    <d v="1997-09-04T00:00:00"/>
  </r>
  <r>
    <n v="10656"/>
    <x v="2"/>
    <n v="51.299999915063381"/>
    <n v="6"/>
    <d v="1997-09-04T00:00:00"/>
  </r>
  <r>
    <n v="10656"/>
    <x v="3"/>
    <n v="51.299999915063381"/>
    <n v="6"/>
    <d v="1997-09-04T00:00:00"/>
  </r>
  <r>
    <n v="10656"/>
    <x v="4"/>
    <n v="51.299999915063381"/>
    <n v="6"/>
    <d v="1997-09-04T00:00:00"/>
  </r>
  <r>
    <n v="10656"/>
    <x v="5"/>
    <n v="51.299999915063381"/>
    <n v="6"/>
    <d v="1997-09-04T00:00:00"/>
  </r>
  <r>
    <n v="10656"/>
    <x v="6"/>
    <n v="51.299999915063381"/>
    <n v="6"/>
    <d v="1997-09-04T00:00:00"/>
  </r>
  <r>
    <n v="10656"/>
    <x v="7"/>
    <n v="51.299999915063381"/>
    <n v="6"/>
    <d v="1997-09-04T00:00:00"/>
  </r>
  <r>
    <n v="10657"/>
    <x v="0"/>
    <n v="775"/>
    <n v="50"/>
    <d v="1997-09-04T00:00:00"/>
  </r>
  <r>
    <n v="10657"/>
    <x v="1"/>
    <n v="775"/>
    <n v="50"/>
    <d v="1997-09-04T00:00:00"/>
  </r>
  <r>
    <n v="10657"/>
    <x v="2"/>
    <n v="775"/>
    <n v="50"/>
    <d v="1997-09-04T00:00:00"/>
  </r>
  <r>
    <n v="10657"/>
    <x v="3"/>
    <n v="775"/>
    <n v="50"/>
    <d v="1997-09-04T00:00:00"/>
  </r>
  <r>
    <n v="10657"/>
    <x v="4"/>
    <n v="775"/>
    <n v="50"/>
    <d v="1997-09-04T00:00:00"/>
  </r>
  <r>
    <n v="10657"/>
    <x v="5"/>
    <n v="775"/>
    <n v="50"/>
    <d v="1997-09-04T00:00:00"/>
  </r>
  <r>
    <n v="10657"/>
    <x v="6"/>
    <n v="775"/>
    <n v="50"/>
    <d v="1997-09-04T00:00:00"/>
  </r>
  <r>
    <n v="10657"/>
    <x v="7"/>
    <n v="775"/>
    <n v="50"/>
    <d v="1997-09-04T00:00:00"/>
  </r>
  <r>
    <n v="10657"/>
    <x v="0"/>
    <n v="231.6"/>
    <n v="24"/>
    <d v="1997-09-04T00:00:00"/>
  </r>
  <r>
    <n v="10657"/>
    <x v="1"/>
    <n v="231.6"/>
    <n v="24"/>
    <d v="1997-09-04T00:00:00"/>
  </r>
  <r>
    <n v="10657"/>
    <x v="2"/>
    <n v="231.6"/>
    <n v="24"/>
    <d v="1997-09-04T00:00:00"/>
  </r>
  <r>
    <n v="10657"/>
    <x v="3"/>
    <n v="231.6"/>
    <n v="24"/>
    <d v="1997-09-04T00:00:00"/>
  </r>
  <r>
    <n v="10657"/>
    <x v="4"/>
    <n v="231.6"/>
    <n v="24"/>
    <d v="1997-09-04T00:00:00"/>
  </r>
  <r>
    <n v="10657"/>
    <x v="5"/>
    <n v="231.6"/>
    <n v="24"/>
    <d v="1997-09-04T00:00:00"/>
  </r>
  <r>
    <n v="10657"/>
    <x v="6"/>
    <n v="231.6"/>
    <n v="24"/>
    <d v="1997-09-04T00:00:00"/>
  </r>
  <r>
    <n v="10657"/>
    <x v="7"/>
    <n v="231.6"/>
    <n v="24"/>
    <d v="1997-09-04T00:00:00"/>
  </r>
  <r>
    <n v="10657"/>
    <x v="0"/>
    <n v="540"/>
    <n v="45"/>
    <d v="1997-09-04T00:00:00"/>
  </r>
  <r>
    <n v="10657"/>
    <x v="1"/>
    <n v="540"/>
    <n v="45"/>
    <d v="1997-09-04T00:00:00"/>
  </r>
  <r>
    <n v="10657"/>
    <x v="2"/>
    <n v="540"/>
    <n v="45"/>
    <d v="1997-09-04T00:00:00"/>
  </r>
  <r>
    <n v="10657"/>
    <x v="3"/>
    <n v="540"/>
    <n v="45"/>
    <d v="1997-09-04T00:00:00"/>
  </r>
  <r>
    <n v="10657"/>
    <x v="4"/>
    <n v="540"/>
    <n v="45"/>
    <d v="1997-09-04T00:00:00"/>
  </r>
  <r>
    <n v="10657"/>
    <x v="5"/>
    <n v="540"/>
    <n v="45"/>
    <d v="1997-09-04T00:00:00"/>
  </r>
  <r>
    <n v="10657"/>
    <x v="6"/>
    <n v="540"/>
    <n v="45"/>
    <d v="1997-09-04T00:00:00"/>
  </r>
  <r>
    <n v="10657"/>
    <x v="7"/>
    <n v="540"/>
    <n v="45"/>
    <d v="1997-09-04T00:00:00"/>
  </r>
  <r>
    <n v="10657"/>
    <x v="0"/>
    <n v="95"/>
    <n v="10"/>
    <d v="1997-09-04T00:00:00"/>
  </r>
  <r>
    <n v="10657"/>
    <x v="1"/>
    <n v="95"/>
    <n v="10"/>
    <d v="1997-09-04T00:00:00"/>
  </r>
  <r>
    <n v="10657"/>
    <x v="2"/>
    <n v="95"/>
    <n v="10"/>
    <d v="1997-09-04T00:00:00"/>
  </r>
  <r>
    <n v="10657"/>
    <x v="3"/>
    <n v="95"/>
    <n v="10"/>
    <d v="1997-09-04T00:00:00"/>
  </r>
  <r>
    <n v="10657"/>
    <x v="4"/>
    <n v="95"/>
    <n v="10"/>
    <d v="1997-09-04T00:00:00"/>
  </r>
  <r>
    <n v="10657"/>
    <x v="5"/>
    <n v="95"/>
    <n v="10"/>
    <d v="1997-09-04T00:00:00"/>
  </r>
  <r>
    <n v="10657"/>
    <x v="6"/>
    <n v="95"/>
    <n v="10"/>
    <d v="1997-09-04T00:00:00"/>
  </r>
  <r>
    <n v="10657"/>
    <x v="7"/>
    <n v="95"/>
    <n v="10"/>
    <d v="1997-09-04T00:00:00"/>
  </r>
  <r>
    <n v="10657"/>
    <x v="0"/>
    <n v="1710"/>
    <n v="45"/>
    <d v="1997-09-04T00:00:00"/>
  </r>
  <r>
    <n v="10657"/>
    <x v="1"/>
    <n v="1710"/>
    <n v="45"/>
    <d v="1997-09-04T00:00:00"/>
  </r>
  <r>
    <n v="10657"/>
    <x v="2"/>
    <n v="1710"/>
    <n v="45"/>
    <d v="1997-09-04T00:00:00"/>
  </r>
  <r>
    <n v="10657"/>
    <x v="3"/>
    <n v="1710"/>
    <n v="45"/>
    <d v="1997-09-04T00:00:00"/>
  </r>
  <r>
    <n v="10657"/>
    <x v="4"/>
    <n v="1710"/>
    <n v="45"/>
    <d v="1997-09-04T00:00:00"/>
  </r>
  <r>
    <n v="10657"/>
    <x v="5"/>
    <n v="1710"/>
    <n v="45"/>
    <d v="1997-09-04T00:00:00"/>
  </r>
  <r>
    <n v="10657"/>
    <x v="6"/>
    <n v="1710"/>
    <n v="45"/>
    <d v="1997-09-04T00:00:00"/>
  </r>
  <r>
    <n v="10657"/>
    <x v="7"/>
    <n v="1710"/>
    <n v="45"/>
    <d v="1997-09-04T00:00:00"/>
  </r>
  <r>
    <n v="10657"/>
    <x v="0"/>
    <n v="1020"/>
    <n v="30"/>
    <d v="1997-09-04T00:00:00"/>
  </r>
  <r>
    <n v="10657"/>
    <x v="1"/>
    <n v="1020"/>
    <n v="30"/>
    <d v="1997-09-04T00:00:00"/>
  </r>
  <r>
    <n v="10657"/>
    <x v="2"/>
    <n v="1020"/>
    <n v="30"/>
    <d v="1997-09-04T00:00:00"/>
  </r>
  <r>
    <n v="10657"/>
    <x v="3"/>
    <n v="1020"/>
    <n v="30"/>
    <d v="1997-09-04T00:00:00"/>
  </r>
  <r>
    <n v="10657"/>
    <x v="4"/>
    <n v="1020"/>
    <n v="30"/>
    <d v="1997-09-04T00:00:00"/>
  </r>
  <r>
    <n v="10657"/>
    <x v="5"/>
    <n v="1020"/>
    <n v="30"/>
    <d v="1997-09-04T00:00:00"/>
  </r>
  <r>
    <n v="10657"/>
    <x v="6"/>
    <n v="1020"/>
    <n v="30"/>
    <d v="1997-09-04T00:00:00"/>
  </r>
  <r>
    <n v="10657"/>
    <x v="7"/>
    <n v="1020"/>
    <n v="30"/>
    <d v="1997-09-04T00:00:00"/>
  </r>
  <r>
    <n v="10658"/>
    <x v="0"/>
    <n v="600"/>
    <n v="60"/>
    <d v="1997-09-05T00:00:00"/>
  </r>
  <r>
    <n v="10658"/>
    <x v="1"/>
    <n v="600"/>
    <n v="60"/>
    <d v="1997-09-05T00:00:00"/>
  </r>
  <r>
    <n v="10658"/>
    <x v="2"/>
    <n v="600"/>
    <n v="60"/>
    <d v="1997-09-05T00:00:00"/>
  </r>
  <r>
    <n v="10658"/>
    <x v="3"/>
    <n v="600"/>
    <n v="60"/>
    <d v="1997-09-05T00:00:00"/>
  </r>
  <r>
    <n v="10658"/>
    <x v="4"/>
    <n v="600"/>
    <n v="60"/>
    <d v="1997-09-05T00:00:00"/>
  </r>
  <r>
    <n v="10658"/>
    <x v="5"/>
    <n v="600"/>
    <n v="60"/>
    <d v="1997-09-05T00:00:00"/>
  </r>
  <r>
    <n v="10658"/>
    <x v="6"/>
    <n v="600"/>
    <n v="60"/>
    <d v="1997-09-05T00:00:00"/>
  </r>
  <r>
    <n v="10658"/>
    <x v="7"/>
    <n v="600"/>
    <n v="60"/>
    <d v="1997-09-05T00:00:00"/>
  </r>
  <r>
    <n v="10658"/>
    <x v="0"/>
    <n v="1223.5999990403652"/>
    <n v="70"/>
    <d v="1997-09-05T00:00:00"/>
  </r>
  <r>
    <n v="10658"/>
    <x v="1"/>
    <n v="1223.5999990403652"/>
    <n v="70"/>
    <d v="1997-09-05T00:00:00"/>
  </r>
  <r>
    <n v="10658"/>
    <x v="2"/>
    <n v="1223.5999990403652"/>
    <n v="70"/>
    <d v="1997-09-05T00:00:00"/>
  </r>
  <r>
    <n v="10658"/>
    <x v="3"/>
    <n v="1223.5999990403652"/>
    <n v="70"/>
    <d v="1997-09-05T00:00:00"/>
  </r>
  <r>
    <n v="10658"/>
    <x v="4"/>
    <n v="1223.5999990403652"/>
    <n v="70"/>
    <d v="1997-09-05T00:00:00"/>
  </r>
  <r>
    <n v="10658"/>
    <x v="5"/>
    <n v="1223.5999990403652"/>
    <n v="70"/>
    <d v="1997-09-05T00:00:00"/>
  </r>
  <r>
    <n v="10658"/>
    <x v="6"/>
    <n v="1223.5999990403652"/>
    <n v="70"/>
    <d v="1997-09-05T00:00:00"/>
  </r>
  <r>
    <n v="10658"/>
    <x v="7"/>
    <n v="1223.5999990403652"/>
    <n v="70"/>
    <d v="1997-09-05T00:00:00"/>
  </r>
  <r>
    <n v="10658"/>
    <x v="0"/>
    <n v="1776.4999986067414"/>
    <n v="55"/>
    <d v="1997-09-05T00:00:00"/>
  </r>
  <r>
    <n v="10658"/>
    <x v="1"/>
    <n v="1776.4999986067414"/>
    <n v="55"/>
    <d v="1997-09-05T00:00:00"/>
  </r>
  <r>
    <n v="10658"/>
    <x v="2"/>
    <n v="1776.4999986067414"/>
    <n v="55"/>
    <d v="1997-09-05T00:00:00"/>
  </r>
  <r>
    <n v="10658"/>
    <x v="3"/>
    <n v="1776.4999986067414"/>
    <n v="55"/>
    <d v="1997-09-05T00:00:00"/>
  </r>
  <r>
    <n v="10658"/>
    <x v="4"/>
    <n v="1776.4999986067414"/>
    <n v="55"/>
    <d v="1997-09-05T00:00:00"/>
  </r>
  <r>
    <n v="10658"/>
    <x v="5"/>
    <n v="1776.4999986067414"/>
    <n v="55"/>
    <d v="1997-09-05T00:00:00"/>
  </r>
  <r>
    <n v="10658"/>
    <x v="6"/>
    <n v="1776.4999986067414"/>
    <n v="55"/>
    <d v="1997-09-05T00:00:00"/>
  </r>
  <r>
    <n v="10658"/>
    <x v="7"/>
    <n v="1776.4999986067414"/>
    <n v="55"/>
    <d v="1997-09-05T00:00:00"/>
  </r>
  <r>
    <n v="10658"/>
    <x v="0"/>
    <n v="864.49999932199717"/>
    <n v="70"/>
    <d v="1997-09-05T00:00:00"/>
  </r>
  <r>
    <n v="10658"/>
    <x v="1"/>
    <n v="864.49999932199717"/>
    <n v="70"/>
    <d v="1997-09-05T00:00:00"/>
  </r>
  <r>
    <n v="10658"/>
    <x v="2"/>
    <n v="864.49999932199717"/>
    <n v="70"/>
    <d v="1997-09-05T00:00:00"/>
  </r>
  <r>
    <n v="10658"/>
    <x v="3"/>
    <n v="864.49999932199717"/>
    <n v="70"/>
    <d v="1997-09-05T00:00:00"/>
  </r>
  <r>
    <n v="10658"/>
    <x v="4"/>
    <n v="864.49999932199717"/>
    <n v="70"/>
    <d v="1997-09-05T00:00:00"/>
  </r>
  <r>
    <n v="10658"/>
    <x v="5"/>
    <n v="864.49999932199717"/>
    <n v="70"/>
    <d v="1997-09-05T00:00:00"/>
  </r>
  <r>
    <n v="10658"/>
    <x v="6"/>
    <n v="864.49999932199717"/>
    <n v="70"/>
    <d v="1997-09-05T00:00:00"/>
  </r>
  <r>
    <n v="10658"/>
    <x v="7"/>
    <n v="864.49999932199717"/>
    <n v="70"/>
    <d v="1997-09-05T00:00:00"/>
  </r>
  <r>
    <n v="10659"/>
    <x v="0"/>
    <n v="237.49999981373549"/>
    <n v="20"/>
    <d v="1997-09-05T00:00:00"/>
  </r>
  <r>
    <n v="10659"/>
    <x v="1"/>
    <n v="237.49999981373549"/>
    <n v="20"/>
    <d v="1997-09-05T00:00:00"/>
  </r>
  <r>
    <n v="10659"/>
    <x v="2"/>
    <n v="237.49999981373549"/>
    <n v="20"/>
    <d v="1997-09-05T00:00:00"/>
  </r>
  <r>
    <n v="10659"/>
    <x v="3"/>
    <n v="237.49999981373549"/>
    <n v="20"/>
    <d v="1997-09-05T00:00:00"/>
  </r>
  <r>
    <n v="10659"/>
    <x v="4"/>
    <n v="237.49999981373549"/>
    <n v="20"/>
    <d v="1997-09-05T00:00:00"/>
  </r>
  <r>
    <n v="10659"/>
    <x v="5"/>
    <n v="237.49999981373549"/>
    <n v="20"/>
    <d v="1997-09-05T00:00:00"/>
  </r>
  <r>
    <n v="10659"/>
    <x v="6"/>
    <n v="237.49999981373549"/>
    <n v="20"/>
    <d v="1997-09-05T00:00:00"/>
  </r>
  <r>
    <n v="10659"/>
    <x v="7"/>
    <n v="237.49999981373549"/>
    <n v="20"/>
    <d v="1997-09-05T00:00:00"/>
  </r>
  <r>
    <n v="10659"/>
    <x v="0"/>
    <n v="419.51999967098237"/>
    <n v="24"/>
    <d v="1997-09-05T00:00:00"/>
  </r>
  <r>
    <n v="10659"/>
    <x v="1"/>
    <n v="419.51999967098237"/>
    <n v="24"/>
    <d v="1997-09-05T00:00:00"/>
  </r>
  <r>
    <n v="10659"/>
    <x v="2"/>
    <n v="419.51999967098237"/>
    <n v="24"/>
    <d v="1997-09-05T00:00:00"/>
  </r>
  <r>
    <n v="10659"/>
    <x v="3"/>
    <n v="419.51999967098237"/>
    <n v="24"/>
    <d v="1997-09-05T00:00:00"/>
  </r>
  <r>
    <n v="10659"/>
    <x v="4"/>
    <n v="419.51999967098237"/>
    <n v="24"/>
    <d v="1997-09-05T00:00:00"/>
  </r>
  <r>
    <n v="10659"/>
    <x v="5"/>
    <n v="419.51999967098237"/>
    <n v="24"/>
    <d v="1997-09-05T00:00:00"/>
  </r>
  <r>
    <n v="10659"/>
    <x v="6"/>
    <n v="419.51999967098237"/>
    <n v="24"/>
    <d v="1997-09-05T00:00:00"/>
  </r>
  <r>
    <n v="10659"/>
    <x v="7"/>
    <n v="419.51999967098237"/>
    <n v="24"/>
    <d v="1997-09-05T00:00:00"/>
  </r>
  <r>
    <n v="10659"/>
    <x v="0"/>
    <n v="569.99999955296516"/>
    <n v="40"/>
    <d v="1997-09-05T00:00:00"/>
  </r>
  <r>
    <n v="10659"/>
    <x v="1"/>
    <n v="569.99999955296516"/>
    <n v="40"/>
    <d v="1997-09-05T00:00:00"/>
  </r>
  <r>
    <n v="10659"/>
    <x v="2"/>
    <n v="569.99999955296516"/>
    <n v="40"/>
    <d v="1997-09-05T00:00:00"/>
  </r>
  <r>
    <n v="10659"/>
    <x v="3"/>
    <n v="569.99999955296516"/>
    <n v="40"/>
    <d v="1997-09-05T00:00:00"/>
  </r>
  <r>
    <n v="10659"/>
    <x v="4"/>
    <n v="569.99999955296516"/>
    <n v="40"/>
    <d v="1997-09-05T00:00:00"/>
  </r>
  <r>
    <n v="10659"/>
    <x v="5"/>
    <n v="569.99999955296516"/>
    <n v="40"/>
    <d v="1997-09-05T00:00:00"/>
  </r>
  <r>
    <n v="10659"/>
    <x v="6"/>
    <n v="569.99999955296516"/>
    <n v="40"/>
    <d v="1997-09-05T00:00:00"/>
  </r>
  <r>
    <n v="10659"/>
    <x v="7"/>
    <n v="569.99999955296516"/>
    <n v="40"/>
    <d v="1997-09-05T00:00:00"/>
  </r>
  <r>
    <n v="10660"/>
    <x v="0"/>
    <n v="1701"/>
    <n v="21"/>
    <d v="1997-09-08T00:00:00"/>
  </r>
  <r>
    <n v="10660"/>
    <x v="1"/>
    <n v="1701"/>
    <n v="21"/>
    <d v="1997-09-08T00:00:00"/>
  </r>
  <r>
    <n v="10660"/>
    <x v="2"/>
    <n v="1701"/>
    <n v="21"/>
    <d v="1997-09-08T00:00:00"/>
  </r>
  <r>
    <n v="10660"/>
    <x v="3"/>
    <n v="1701"/>
    <n v="21"/>
    <d v="1997-09-08T00:00:00"/>
  </r>
  <r>
    <n v="10660"/>
    <x v="4"/>
    <n v="1701"/>
    <n v="21"/>
    <d v="1997-09-08T00:00:00"/>
  </r>
  <r>
    <n v="10660"/>
    <x v="5"/>
    <n v="1701"/>
    <n v="21"/>
    <d v="1997-09-08T00:00:00"/>
  </r>
  <r>
    <n v="10660"/>
    <x v="6"/>
    <n v="1701"/>
    <n v="21"/>
    <d v="1997-09-08T00:00:00"/>
  </r>
  <r>
    <n v="10660"/>
    <x v="7"/>
    <n v="1701"/>
    <n v="21"/>
    <d v="1997-09-08T00:00:00"/>
  </r>
  <r>
    <n v="10661"/>
    <x v="0"/>
    <n v="43.199999839067459"/>
    <n v="3"/>
    <d v="1997-09-09T00:00:00"/>
  </r>
  <r>
    <n v="10661"/>
    <x v="1"/>
    <n v="43.199999839067459"/>
    <n v="3"/>
    <d v="1997-09-09T00:00:00"/>
  </r>
  <r>
    <n v="10661"/>
    <x v="2"/>
    <n v="43.199999839067459"/>
    <n v="3"/>
    <d v="1997-09-09T00:00:00"/>
  </r>
  <r>
    <n v="10661"/>
    <x v="3"/>
    <n v="43.199999839067459"/>
    <n v="3"/>
    <d v="1997-09-09T00:00:00"/>
  </r>
  <r>
    <n v="10661"/>
    <x v="4"/>
    <n v="43.199999839067459"/>
    <n v="3"/>
    <d v="1997-09-09T00:00:00"/>
  </r>
  <r>
    <n v="10661"/>
    <x v="5"/>
    <n v="43.199999839067459"/>
    <n v="3"/>
    <d v="1997-09-09T00:00:00"/>
  </r>
  <r>
    <n v="10661"/>
    <x v="6"/>
    <n v="43.199999839067459"/>
    <n v="3"/>
    <d v="1997-09-09T00:00:00"/>
  </r>
  <r>
    <n v="10661"/>
    <x v="7"/>
    <n v="43.199999839067459"/>
    <n v="3"/>
    <d v="1997-09-09T00:00:00"/>
  </r>
  <r>
    <n v="10661"/>
    <x v="0"/>
    <n v="519.39999806508422"/>
    <n v="49"/>
    <d v="1997-09-09T00:00:00"/>
  </r>
  <r>
    <n v="10661"/>
    <x v="1"/>
    <n v="519.39999806508422"/>
    <n v="49"/>
    <d v="1997-09-09T00:00:00"/>
  </r>
  <r>
    <n v="10661"/>
    <x v="2"/>
    <n v="519.39999806508422"/>
    <n v="49"/>
    <d v="1997-09-09T00:00:00"/>
  </r>
  <r>
    <n v="10661"/>
    <x v="3"/>
    <n v="519.39999806508422"/>
    <n v="49"/>
    <d v="1997-09-09T00:00:00"/>
  </r>
  <r>
    <n v="10661"/>
    <x v="4"/>
    <n v="519.39999806508422"/>
    <n v="49"/>
    <d v="1997-09-09T00:00:00"/>
  </r>
  <r>
    <n v="10661"/>
    <x v="5"/>
    <n v="519.39999806508422"/>
    <n v="49"/>
    <d v="1997-09-09T00:00:00"/>
  </r>
  <r>
    <n v="10661"/>
    <x v="6"/>
    <n v="519.39999806508422"/>
    <n v="49"/>
    <d v="1997-09-09T00:00:00"/>
  </r>
  <r>
    <n v="10661"/>
    <x v="7"/>
    <n v="519.39999806508422"/>
    <n v="49"/>
    <d v="1997-09-09T00:00:00"/>
  </r>
  <r>
    <n v="10662"/>
    <x v="0"/>
    <n v="125"/>
    <n v="10"/>
    <d v="1997-09-09T00:00:00"/>
  </r>
  <r>
    <n v="10662"/>
    <x v="1"/>
    <n v="125"/>
    <n v="10"/>
    <d v="1997-09-09T00:00:00"/>
  </r>
  <r>
    <n v="10662"/>
    <x v="2"/>
    <n v="125"/>
    <n v="10"/>
    <d v="1997-09-09T00:00:00"/>
  </r>
  <r>
    <n v="10662"/>
    <x v="3"/>
    <n v="125"/>
    <n v="10"/>
    <d v="1997-09-09T00:00:00"/>
  </r>
  <r>
    <n v="10662"/>
    <x v="4"/>
    <n v="125"/>
    <n v="10"/>
    <d v="1997-09-09T00:00:00"/>
  </r>
  <r>
    <n v="10662"/>
    <x v="5"/>
    <n v="125"/>
    <n v="10"/>
    <d v="1997-09-09T00:00:00"/>
  </r>
  <r>
    <n v="10662"/>
    <x v="6"/>
    <n v="125"/>
    <n v="10"/>
    <d v="1997-09-09T00:00:00"/>
  </r>
  <r>
    <n v="10662"/>
    <x v="7"/>
    <n v="125"/>
    <n v="10"/>
    <d v="1997-09-09T00:00:00"/>
  </r>
  <r>
    <n v="10663"/>
    <x v="0"/>
    <n v="524.39999958872795"/>
    <n v="30"/>
    <d v="1997-09-10T00:00:00"/>
  </r>
  <r>
    <n v="10663"/>
    <x v="1"/>
    <n v="524.39999958872795"/>
    <n v="30"/>
    <d v="1997-09-10T00:00:00"/>
  </r>
  <r>
    <n v="10663"/>
    <x v="2"/>
    <n v="524.39999958872795"/>
    <n v="30"/>
    <d v="1997-09-10T00:00:00"/>
  </r>
  <r>
    <n v="10663"/>
    <x v="3"/>
    <n v="524.39999958872795"/>
    <n v="30"/>
    <d v="1997-09-10T00:00:00"/>
  </r>
  <r>
    <n v="10663"/>
    <x v="4"/>
    <n v="524.39999958872795"/>
    <n v="30"/>
    <d v="1997-09-10T00:00:00"/>
  </r>
  <r>
    <n v="10663"/>
    <x v="5"/>
    <n v="524.39999958872795"/>
    <n v="30"/>
    <d v="1997-09-10T00:00:00"/>
  </r>
  <r>
    <n v="10663"/>
    <x v="6"/>
    <n v="524.39999958872795"/>
    <n v="30"/>
    <d v="1997-09-10T00:00:00"/>
  </r>
  <r>
    <n v="10663"/>
    <x v="7"/>
    <n v="524.39999958872795"/>
    <n v="30"/>
    <d v="1997-09-10T00:00:00"/>
  </r>
  <r>
    <n v="10663"/>
    <x v="0"/>
    <n v="398.99999968707561"/>
    <n v="30"/>
    <d v="1997-09-10T00:00:00"/>
  </r>
  <r>
    <n v="10663"/>
    <x v="1"/>
    <n v="398.99999968707561"/>
    <n v="30"/>
    <d v="1997-09-10T00:00:00"/>
  </r>
  <r>
    <n v="10663"/>
    <x v="2"/>
    <n v="398.99999968707561"/>
    <n v="30"/>
    <d v="1997-09-10T00:00:00"/>
  </r>
  <r>
    <n v="10663"/>
    <x v="3"/>
    <n v="398.99999968707561"/>
    <n v="30"/>
    <d v="1997-09-10T00:00:00"/>
  </r>
  <r>
    <n v="10663"/>
    <x v="4"/>
    <n v="398.99999968707561"/>
    <n v="30"/>
    <d v="1997-09-10T00:00:00"/>
  </r>
  <r>
    <n v="10663"/>
    <x v="5"/>
    <n v="398.99999968707561"/>
    <n v="30"/>
    <d v="1997-09-10T00:00:00"/>
  </r>
  <r>
    <n v="10663"/>
    <x v="6"/>
    <n v="398.99999968707561"/>
    <n v="30"/>
    <d v="1997-09-10T00:00:00"/>
  </r>
  <r>
    <n v="10663"/>
    <x v="7"/>
    <n v="398.99999968707561"/>
    <n v="30"/>
    <d v="1997-09-10T00:00:00"/>
  </r>
  <r>
    <n v="10663"/>
    <x v="0"/>
    <n v="1006.9999992102385"/>
    <n v="20"/>
    <d v="1997-09-10T00:00:00"/>
  </r>
  <r>
    <n v="10663"/>
    <x v="1"/>
    <n v="1006.9999992102385"/>
    <n v="20"/>
    <d v="1997-09-10T00:00:00"/>
  </r>
  <r>
    <n v="10663"/>
    <x v="2"/>
    <n v="1006.9999992102385"/>
    <n v="20"/>
    <d v="1997-09-10T00:00:00"/>
  </r>
  <r>
    <n v="10663"/>
    <x v="3"/>
    <n v="1006.9999992102385"/>
    <n v="20"/>
    <d v="1997-09-10T00:00:00"/>
  </r>
  <r>
    <n v="10663"/>
    <x v="4"/>
    <n v="1006.9999992102385"/>
    <n v="20"/>
    <d v="1997-09-10T00:00:00"/>
  </r>
  <r>
    <n v="10663"/>
    <x v="5"/>
    <n v="1006.9999992102385"/>
    <n v="20"/>
    <d v="1997-09-10T00:00:00"/>
  </r>
  <r>
    <n v="10663"/>
    <x v="6"/>
    <n v="1006.9999992102385"/>
    <n v="20"/>
    <d v="1997-09-10T00:00:00"/>
  </r>
  <r>
    <n v="10663"/>
    <x v="7"/>
    <n v="1006.9999992102385"/>
    <n v="20"/>
    <d v="1997-09-10T00:00:00"/>
  </r>
  <r>
    <n v="10664"/>
    <x v="0"/>
    <n v="632.39999556541443"/>
    <n v="24"/>
    <d v="1997-09-10T00:00:00"/>
  </r>
  <r>
    <n v="10664"/>
    <x v="1"/>
    <n v="632.39999556541443"/>
    <n v="24"/>
    <d v="1997-09-10T00:00:00"/>
  </r>
  <r>
    <n v="10664"/>
    <x v="2"/>
    <n v="632.39999556541443"/>
    <n v="24"/>
    <d v="1997-09-10T00:00:00"/>
  </r>
  <r>
    <n v="10664"/>
    <x v="3"/>
    <n v="632.39999556541443"/>
    <n v="24"/>
    <d v="1997-09-10T00:00:00"/>
  </r>
  <r>
    <n v="10664"/>
    <x v="4"/>
    <n v="632.39999556541443"/>
    <n v="24"/>
    <d v="1997-09-10T00:00:00"/>
  </r>
  <r>
    <n v="10664"/>
    <x v="5"/>
    <n v="632.39999556541443"/>
    <n v="24"/>
    <d v="1997-09-10T00:00:00"/>
  </r>
  <r>
    <n v="10664"/>
    <x v="6"/>
    <n v="632.39999556541443"/>
    <n v="24"/>
    <d v="1997-09-10T00:00:00"/>
  </r>
  <r>
    <n v="10664"/>
    <x v="7"/>
    <n v="632.39999556541443"/>
    <n v="24"/>
    <d v="1997-09-10T00:00:00"/>
  </r>
  <r>
    <n v="10664"/>
    <x v="0"/>
    <n v="387.5999972820282"/>
    <n v="12"/>
    <d v="1997-09-10T00:00:00"/>
  </r>
  <r>
    <n v="10664"/>
    <x v="1"/>
    <n v="387.5999972820282"/>
    <n v="12"/>
    <d v="1997-09-10T00:00:00"/>
  </r>
  <r>
    <n v="10664"/>
    <x v="2"/>
    <n v="387.5999972820282"/>
    <n v="12"/>
    <d v="1997-09-10T00:00:00"/>
  </r>
  <r>
    <n v="10664"/>
    <x v="3"/>
    <n v="387.5999972820282"/>
    <n v="12"/>
    <d v="1997-09-10T00:00:00"/>
  </r>
  <r>
    <n v="10664"/>
    <x v="4"/>
    <n v="387.5999972820282"/>
    <n v="12"/>
    <d v="1997-09-10T00:00:00"/>
  </r>
  <r>
    <n v="10664"/>
    <x v="5"/>
    <n v="387.5999972820282"/>
    <n v="12"/>
    <d v="1997-09-10T00:00:00"/>
  </r>
  <r>
    <n v="10664"/>
    <x v="6"/>
    <n v="387.5999972820282"/>
    <n v="12"/>
    <d v="1997-09-10T00:00:00"/>
  </r>
  <r>
    <n v="10664"/>
    <x v="7"/>
    <n v="387.5999972820282"/>
    <n v="12"/>
    <d v="1997-09-10T00:00:00"/>
  </r>
  <r>
    <n v="10664"/>
    <x v="0"/>
    <n v="268.38749811798334"/>
    <n v="15"/>
    <d v="1997-09-10T00:00:00"/>
  </r>
  <r>
    <n v="10664"/>
    <x v="1"/>
    <n v="268.38749811798334"/>
    <n v="15"/>
    <d v="1997-09-10T00:00:00"/>
  </r>
  <r>
    <n v="10664"/>
    <x v="2"/>
    <n v="268.38749811798334"/>
    <n v="15"/>
    <d v="1997-09-10T00:00:00"/>
  </r>
  <r>
    <n v="10664"/>
    <x v="3"/>
    <n v="268.38749811798334"/>
    <n v="15"/>
    <d v="1997-09-10T00:00:00"/>
  </r>
  <r>
    <n v="10664"/>
    <x v="4"/>
    <n v="268.38749811798334"/>
    <n v="15"/>
    <d v="1997-09-10T00:00:00"/>
  </r>
  <r>
    <n v="10664"/>
    <x v="5"/>
    <n v="268.38749811798334"/>
    <n v="15"/>
    <d v="1997-09-10T00:00:00"/>
  </r>
  <r>
    <n v="10664"/>
    <x v="6"/>
    <n v="268.38749811798334"/>
    <n v="15"/>
    <d v="1997-09-10T00:00:00"/>
  </r>
  <r>
    <n v="10664"/>
    <x v="7"/>
    <n v="268.38749811798334"/>
    <n v="15"/>
    <d v="1997-09-10T00:00:00"/>
  </r>
  <r>
    <n v="10665"/>
    <x v="0"/>
    <n v="1060"/>
    <n v="20"/>
    <d v="1997-09-11T00:00:00"/>
  </r>
  <r>
    <n v="10665"/>
    <x v="1"/>
    <n v="1060"/>
    <n v="20"/>
    <d v="1997-09-11T00:00:00"/>
  </r>
  <r>
    <n v="10665"/>
    <x v="2"/>
    <n v="1060"/>
    <n v="20"/>
    <d v="1997-09-11T00:00:00"/>
  </r>
  <r>
    <n v="10665"/>
    <x v="3"/>
    <n v="1060"/>
    <n v="20"/>
    <d v="1997-09-11T00:00:00"/>
  </r>
  <r>
    <n v="10665"/>
    <x v="4"/>
    <n v="1060"/>
    <n v="20"/>
    <d v="1997-09-11T00:00:00"/>
  </r>
  <r>
    <n v="10665"/>
    <x v="5"/>
    <n v="1060"/>
    <n v="20"/>
    <d v="1997-09-11T00:00:00"/>
  </r>
  <r>
    <n v="10665"/>
    <x v="6"/>
    <n v="1060"/>
    <n v="20"/>
    <d v="1997-09-11T00:00:00"/>
  </r>
  <r>
    <n v="10665"/>
    <x v="7"/>
    <n v="1060"/>
    <n v="20"/>
    <d v="1997-09-11T00:00:00"/>
  </r>
  <r>
    <n v="10665"/>
    <x v="0"/>
    <n v="55"/>
    <n v="1"/>
    <d v="1997-09-11T00:00:00"/>
  </r>
  <r>
    <n v="10665"/>
    <x v="1"/>
    <n v="55"/>
    <n v="1"/>
    <d v="1997-09-11T00:00:00"/>
  </r>
  <r>
    <n v="10665"/>
    <x v="2"/>
    <n v="55"/>
    <n v="1"/>
    <d v="1997-09-11T00:00:00"/>
  </r>
  <r>
    <n v="10665"/>
    <x v="3"/>
    <n v="55"/>
    <n v="1"/>
    <d v="1997-09-11T00:00:00"/>
  </r>
  <r>
    <n v="10665"/>
    <x v="4"/>
    <n v="55"/>
    <n v="1"/>
    <d v="1997-09-11T00:00:00"/>
  </r>
  <r>
    <n v="10665"/>
    <x v="5"/>
    <n v="55"/>
    <n v="1"/>
    <d v="1997-09-11T00:00:00"/>
  </r>
  <r>
    <n v="10665"/>
    <x v="6"/>
    <n v="55"/>
    <n v="1"/>
    <d v="1997-09-11T00:00:00"/>
  </r>
  <r>
    <n v="10665"/>
    <x v="7"/>
    <n v="55"/>
    <n v="1"/>
    <d v="1997-09-11T00:00:00"/>
  </r>
  <r>
    <n v="10665"/>
    <x v="0"/>
    <n v="180"/>
    <n v="10"/>
    <d v="1997-09-11T00:00:00"/>
  </r>
  <r>
    <n v="10665"/>
    <x v="1"/>
    <n v="180"/>
    <n v="10"/>
    <d v="1997-09-11T00:00:00"/>
  </r>
  <r>
    <n v="10665"/>
    <x v="2"/>
    <n v="180"/>
    <n v="10"/>
    <d v="1997-09-11T00:00:00"/>
  </r>
  <r>
    <n v="10665"/>
    <x v="3"/>
    <n v="180"/>
    <n v="10"/>
    <d v="1997-09-11T00:00:00"/>
  </r>
  <r>
    <n v="10665"/>
    <x v="4"/>
    <n v="180"/>
    <n v="10"/>
    <d v="1997-09-11T00:00:00"/>
  </r>
  <r>
    <n v="10665"/>
    <x v="5"/>
    <n v="180"/>
    <n v="10"/>
    <d v="1997-09-11T00:00:00"/>
  </r>
  <r>
    <n v="10665"/>
    <x v="6"/>
    <n v="180"/>
    <n v="10"/>
    <d v="1997-09-11T00:00:00"/>
  </r>
  <r>
    <n v="10665"/>
    <x v="7"/>
    <n v="180"/>
    <n v="10"/>
    <d v="1997-09-11T00:00:00"/>
  </r>
  <r>
    <n v="10666"/>
    <x v="0"/>
    <n v="4456.4399999999996"/>
    <n v="36"/>
    <d v="1997-09-12T00:00:00"/>
  </r>
  <r>
    <n v="10666"/>
    <x v="1"/>
    <n v="4456.4399999999996"/>
    <n v="36"/>
    <d v="1997-09-12T00:00:00"/>
  </r>
  <r>
    <n v="10666"/>
    <x v="2"/>
    <n v="4456.4399999999996"/>
    <n v="36"/>
    <d v="1997-09-12T00:00:00"/>
  </r>
  <r>
    <n v="10666"/>
    <x v="3"/>
    <n v="4456.4399999999996"/>
    <n v="36"/>
    <d v="1997-09-12T00:00:00"/>
  </r>
  <r>
    <n v="10666"/>
    <x v="4"/>
    <n v="4456.4399999999996"/>
    <n v="36"/>
    <d v="1997-09-12T00:00:00"/>
  </r>
  <r>
    <n v="10666"/>
    <x v="5"/>
    <n v="4456.4399999999996"/>
    <n v="36"/>
    <d v="1997-09-12T00:00:00"/>
  </r>
  <r>
    <n v="10666"/>
    <x v="6"/>
    <n v="4456.4399999999996"/>
    <n v="36"/>
    <d v="1997-09-12T00:00:00"/>
  </r>
  <r>
    <n v="10666"/>
    <x v="7"/>
    <n v="4456.4399999999996"/>
    <n v="36"/>
    <d v="1997-09-12T00:00:00"/>
  </r>
  <r>
    <n v="10666"/>
    <x v="0"/>
    <n v="210.5"/>
    <n v="10"/>
    <d v="1997-09-12T00:00:00"/>
  </r>
  <r>
    <n v="10666"/>
    <x v="1"/>
    <n v="210.5"/>
    <n v="10"/>
    <d v="1997-09-12T00:00:00"/>
  </r>
  <r>
    <n v="10666"/>
    <x v="2"/>
    <n v="210.5"/>
    <n v="10"/>
    <d v="1997-09-12T00:00:00"/>
  </r>
  <r>
    <n v="10666"/>
    <x v="3"/>
    <n v="210.5"/>
    <n v="10"/>
    <d v="1997-09-12T00:00:00"/>
  </r>
  <r>
    <n v="10666"/>
    <x v="4"/>
    <n v="210.5"/>
    <n v="10"/>
    <d v="1997-09-12T00:00:00"/>
  </r>
  <r>
    <n v="10666"/>
    <x v="5"/>
    <n v="210.5"/>
    <n v="10"/>
    <d v="1997-09-12T00:00:00"/>
  </r>
  <r>
    <n v="10666"/>
    <x v="6"/>
    <n v="210.5"/>
    <n v="10"/>
    <d v="1997-09-12T00:00:00"/>
  </r>
  <r>
    <n v="10666"/>
    <x v="7"/>
    <n v="210.5"/>
    <n v="10"/>
    <d v="1997-09-12T00:00:00"/>
  </r>
  <r>
    <n v="10667"/>
    <x v="0"/>
    <n v="1295.9999951720238"/>
    <n v="45"/>
    <d v="1997-09-12T00:00:00"/>
  </r>
  <r>
    <n v="10667"/>
    <x v="1"/>
    <n v="1295.9999951720238"/>
    <n v="45"/>
    <d v="1997-09-12T00:00:00"/>
  </r>
  <r>
    <n v="10667"/>
    <x v="2"/>
    <n v="1295.9999951720238"/>
    <n v="45"/>
    <d v="1997-09-12T00:00:00"/>
  </r>
  <r>
    <n v="10667"/>
    <x v="3"/>
    <n v="1295.9999951720238"/>
    <n v="45"/>
    <d v="1997-09-12T00:00:00"/>
  </r>
  <r>
    <n v="10667"/>
    <x v="4"/>
    <n v="1295.9999951720238"/>
    <n v="45"/>
    <d v="1997-09-12T00:00:00"/>
  </r>
  <r>
    <n v="10667"/>
    <x v="5"/>
    <n v="1295.9999951720238"/>
    <n v="45"/>
    <d v="1997-09-12T00:00:00"/>
  </r>
  <r>
    <n v="10667"/>
    <x v="6"/>
    <n v="1295.9999951720238"/>
    <n v="45"/>
    <d v="1997-09-12T00:00:00"/>
  </r>
  <r>
    <n v="10667"/>
    <x v="7"/>
    <n v="1295.9999951720238"/>
    <n v="45"/>
    <d v="1997-09-12T00:00:00"/>
  </r>
  <r>
    <n v="10667"/>
    <x v="0"/>
    <n v="240.7999991029501"/>
    <n v="14"/>
    <d v="1997-09-12T00:00:00"/>
  </r>
  <r>
    <n v="10667"/>
    <x v="1"/>
    <n v="240.7999991029501"/>
    <n v="14"/>
    <d v="1997-09-12T00:00:00"/>
  </r>
  <r>
    <n v="10667"/>
    <x v="2"/>
    <n v="240.7999991029501"/>
    <n v="14"/>
    <d v="1997-09-12T00:00:00"/>
  </r>
  <r>
    <n v="10667"/>
    <x v="3"/>
    <n v="240.7999991029501"/>
    <n v="14"/>
    <d v="1997-09-12T00:00:00"/>
  </r>
  <r>
    <n v="10667"/>
    <x v="4"/>
    <n v="240.7999991029501"/>
    <n v="14"/>
    <d v="1997-09-12T00:00:00"/>
  </r>
  <r>
    <n v="10667"/>
    <x v="5"/>
    <n v="240.7999991029501"/>
    <n v="14"/>
    <d v="1997-09-12T00:00:00"/>
  </r>
  <r>
    <n v="10667"/>
    <x v="6"/>
    <n v="240.7999991029501"/>
    <n v="14"/>
    <d v="1997-09-12T00:00:00"/>
  </r>
  <r>
    <n v="10667"/>
    <x v="7"/>
    <n v="240.7999991029501"/>
    <n v="14"/>
    <d v="1997-09-12T00:00:00"/>
  </r>
  <r>
    <n v="10668"/>
    <x v="0"/>
    <n v="89.999999850988388"/>
    <n v="8"/>
    <d v="1997-09-15T00:00:00"/>
  </r>
  <r>
    <n v="10668"/>
    <x v="1"/>
    <n v="89.999999850988388"/>
    <n v="8"/>
    <d v="1997-09-15T00:00:00"/>
  </r>
  <r>
    <n v="10668"/>
    <x v="2"/>
    <n v="89.999999850988388"/>
    <n v="8"/>
    <d v="1997-09-15T00:00:00"/>
  </r>
  <r>
    <n v="10668"/>
    <x v="3"/>
    <n v="89.999999850988388"/>
    <n v="8"/>
    <d v="1997-09-15T00:00:00"/>
  </r>
  <r>
    <n v="10668"/>
    <x v="4"/>
    <n v="89.999999850988388"/>
    <n v="8"/>
    <d v="1997-09-15T00:00:00"/>
  </r>
  <r>
    <n v="10668"/>
    <x v="5"/>
    <n v="89.999999850988388"/>
    <n v="8"/>
    <d v="1997-09-15T00:00:00"/>
  </r>
  <r>
    <n v="10668"/>
    <x v="6"/>
    <n v="89.999999850988388"/>
    <n v="8"/>
    <d v="1997-09-15T00:00:00"/>
  </r>
  <r>
    <n v="10668"/>
    <x v="7"/>
    <n v="89.999999850988388"/>
    <n v="8"/>
    <d v="1997-09-15T00:00:00"/>
  </r>
  <r>
    <n v="10668"/>
    <x v="0"/>
    <n v="86.399999856948853"/>
    <n v="4"/>
    <d v="1997-09-15T00:00:00"/>
  </r>
  <r>
    <n v="10668"/>
    <x v="1"/>
    <n v="86.399999856948853"/>
    <n v="4"/>
    <d v="1997-09-15T00:00:00"/>
  </r>
  <r>
    <n v="10668"/>
    <x v="2"/>
    <n v="86.399999856948853"/>
    <n v="4"/>
    <d v="1997-09-15T00:00:00"/>
  </r>
  <r>
    <n v="10668"/>
    <x v="3"/>
    <n v="86.399999856948853"/>
    <n v="4"/>
    <d v="1997-09-15T00:00:00"/>
  </r>
  <r>
    <n v="10668"/>
    <x v="4"/>
    <n v="86.399999856948853"/>
    <n v="4"/>
    <d v="1997-09-15T00:00:00"/>
  </r>
  <r>
    <n v="10668"/>
    <x v="5"/>
    <n v="86.399999856948853"/>
    <n v="4"/>
    <d v="1997-09-15T00:00:00"/>
  </r>
  <r>
    <n v="10668"/>
    <x v="6"/>
    <n v="86.399999856948853"/>
    <n v="4"/>
    <d v="1997-09-15T00:00:00"/>
  </r>
  <r>
    <n v="10668"/>
    <x v="7"/>
    <n v="86.399999856948853"/>
    <n v="4"/>
    <d v="1997-09-15T00:00:00"/>
  </r>
  <r>
    <n v="10668"/>
    <x v="0"/>
    <n v="448.87499925680459"/>
    <n v="15"/>
    <d v="1997-09-15T00:00:00"/>
  </r>
  <r>
    <n v="10668"/>
    <x v="1"/>
    <n v="448.87499925680459"/>
    <n v="15"/>
    <d v="1997-09-15T00:00:00"/>
  </r>
  <r>
    <n v="10668"/>
    <x v="2"/>
    <n v="448.87499925680459"/>
    <n v="15"/>
    <d v="1997-09-15T00:00:00"/>
  </r>
  <r>
    <n v="10668"/>
    <x v="3"/>
    <n v="448.87499925680459"/>
    <n v="15"/>
    <d v="1997-09-15T00:00:00"/>
  </r>
  <r>
    <n v="10668"/>
    <x v="4"/>
    <n v="448.87499925680459"/>
    <n v="15"/>
    <d v="1997-09-15T00:00:00"/>
  </r>
  <r>
    <n v="10668"/>
    <x v="5"/>
    <n v="448.87499925680459"/>
    <n v="15"/>
    <d v="1997-09-15T00:00:00"/>
  </r>
  <r>
    <n v="10668"/>
    <x v="6"/>
    <n v="448.87499925680459"/>
    <n v="15"/>
    <d v="1997-09-15T00:00:00"/>
  </r>
  <r>
    <n v="10668"/>
    <x v="7"/>
    <n v="448.87499925680459"/>
    <n v="15"/>
    <d v="1997-09-15T00:00:00"/>
  </r>
  <r>
    <n v="10669"/>
    <x v="0"/>
    <n v="570"/>
    <n v="30"/>
    <d v="1997-09-15T00:00:00"/>
  </r>
  <r>
    <n v="10669"/>
    <x v="1"/>
    <n v="570"/>
    <n v="30"/>
    <d v="1997-09-15T00:00:00"/>
  </r>
  <r>
    <n v="10669"/>
    <x v="2"/>
    <n v="570"/>
    <n v="30"/>
    <d v="1997-09-15T00:00:00"/>
  </r>
  <r>
    <n v="10669"/>
    <x v="3"/>
    <n v="570"/>
    <n v="30"/>
    <d v="1997-09-15T00:00:00"/>
  </r>
  <r>
    <n v="10669"/>
    <x v="4"/>
    <n v="570"/>
    <n v="30"/>
    <d v="1997-09-15T00:00:00"/>
  </r>
  <r>
    <n v="10669"/>
    <x v="5"/>
    <n v="570"/>
    <n v="30"/>
    <d v="1997-09-15T00:00:00"/>
  </r>
  <r>
    <n v="10669"/>
    <x v="6"/>
    <n v="570"/>
    <n v="30"/>
    <d v="1997-09-15T00:00:00"/>
  </r>
  <r>
    <n v="10669"/>
    <x v="7"/>
    <n v="570"/>
    <n v="30"/>
    <d v="1997-09-15T00:00:00"/>
  </r>
  <r>
    <n v="10670"/>
    <x v="0"/>
    <n v="288"/>
    <n v="32"/>
    <d v="1997-09-16T00:00:00"/>
  </r>
  <r>
    <n v="10670"/>
    <x v="1"/>
    <n v="288"/>
    <n v="32"/>
    <d v="1997-09-16T00:00:00"/>
  </r>
  <r>
    <n v="10670"/>
    <x v="2"/>
    <n v="288"/>
    <n v="32"/>
    <d v="1997-09-16T00:00:00"/>
  </r>
  <r>
    <n v="10670"/>
    <x v="3"/>
    <n v="288"/>
    <n v="32"/>
    <d v="1997-09-16T00:00:00"/>
  </r>
  <r>
    <n v="10670"/>
    <x v="4"/>
    <n v="288"/>
    <n v="32"/>
    <d v="1997-09-16T00:00:00"/>
  </r>
  <r>
    <n v="10670"/>
    <x v="5"/>
    <n v="288"/>
    <n v="32"/>
    <d v="1997-09-16T00:00:00"/>
  </r>
  <r>
    <n v="10670"/>
    <x v="6"/>
    <n v="288"/>
    <n v="32"/>
    <d v="1997-09-16T00:00:00"/>
  </r>
  <r>
    <n v="10670"/>
    <x v="7"/>
    <n v="288"/>
    <n v="32"/>
    <d v="1997-09-16T00:00:00"/>
  </r>
  <r>
    <n v="10670"/>
    <x v="0"/>
    <n v="720"/>
    <n v="60"/>
    <d v="1997-09-16T00:00:00"/>
  </r>
  <r>
    <n v="10670"/>
    <x v="1"/>
    <n v="720"/>
    <n v="60"/>
    <d v="1997-09-16T00:00:00"/>
  </r>
  <r>
    <n v="10670"/>
    <x v="2"/>
    <n v="720"/>
    <n v="60"/>
    <d v="1997-09-16T00:00:00"/>
  </r>
  <r>
    <n v="10670"/>
    <x v="3"/>
    <n v="720"/>
    <n v="60"/>
    <d v="1997-09-16T00:00:00"/>
  </r>
  <r>
    <n v="10670"/>
    <x v="4"/>
    <n v="720"/>
    <n v="60"/>
    <d v="1997-09-16T00:00:00"/>
  </r>
  <r>
    <n v="10670"/>
    <x v="5"/>
    <n v="720"/>
    <n v="60"/>
    <d v="1997-09-16T00:00:00"/>
  </r>
  <r>
    <n v="10670"/>
    <x v="6"/>
    <n v="720"/>
    <n v="60"/>
    <d v="1997-09-16T00:00:00"/>
  </r>
  <r>
    <n v="10670"/>
    <x v="7"/>
    <n v="720"/>
    <n v="60"/>
    <d v="1997-09-16T00:00:00"/>
  </r>
  <r>
    <n v="10670"/>
    <x v="0"/>
    <n v="350"/>
    <n v="25"/>
    <d v="1997-09-16T00:00:00"/>
  </r>
  <r>
    <n v="10670"/>
    <x v="1"/>
    <n v="350"/>
    <n v="25"/>
    <d v="1997-09-16T00:00:00"/>
  </r>
  <r>
    <n v="10670"/>
    <x v="2"/>
    <n v="350"/>
    <n v="25"/>
    <d v="1997-09-16T00:00:00"/>
  </r>
  <r>
    <n v="10670"/>
    <x v="3"/>
    <n v="350"/>
    <n v="25"/>
    <d v="1997-09-16T00:00:00"/>
  </r>
  <r>
    <n v="10670"/>
    <x v="4"/>
    <n v="350"/>
    <n v="25"/>
    <d v="1997-09-16T00:00:00"/>
  </r>
  <r>
    <n v="10670"/>
    <x v="5"/>
    <n v="350"/>
    <n v="25"/>
    <d v="1997-09-16T00:00:00"/>
  </r>
  <r>
    <n v="10670"/>
    <x v="6"/>
    <n v="350"/>
    <n v="25"/>
    <d v="1997-09-16T00:00:00"/>
  </r>
  <r>
    <n v="10670"/>
    <x v="7"/>
    <n v="350"/>
    <n v="25"/>
    <d v="1997-09-16T00:00:00"/>
  </r>
  <r>
    <n v="10670"/>
    <x v="0"/>
    <n v="750"/>
    <n v="50"/>
    <d v="1997-09-16T00:00:00"/>
  </r>
  <r>
    <n v="10670"/>
    <x v="1"/>
    <n v="750"/>
    <n v="50"/>
    <d v="1997-09-16T00:00:00"/>
  </r>
  <r>
    <n v="10670"/>
    <x v="2"/>
    <n v="750"/>
    <n v="50"/>
    <d v="1997-09-16T00:00:00"/>
  </r>
  <r>
    <n v="10670"/>
    <x v="3"/>
    <n v="750"/>
    <n v="50"/>
    <d v="1997-09-16T00:00:00"/>
  </r>
  <r>
    <n v="10670"/>
    <x v="4"/>
    <n v="750"/>
    <n v="50"/>
    <d v="1997-09-16T00:00:00"/>
  </r>
  <r>
    <n v="10670"/>
    <x v="5"/>
    <n v="750"/>
    <n v="50"/>
    <d v="1997-09-16T00:00:00"/>
  </r>
  <r>
    <n v="10670"/>
    <x v="6"/>
    <n v="750"/>
    <n v="50"/>
    <d v="1997-09-16T00:00:00"/>
  </r>
  <r>
    <n v="10670"/>
    <x v="7"/>
    <n v="750"/>
    <n v="50"/>
    <d v="1997-09-16T00:00:00"/>
  </r>
  <r>
    <n v="10670"/>
    <x v="0"/>
    <n v="193.75"/>
    <n v="25"/>
    <d v="1997-09-16T00:00:00"/>
  </r>
  <r>
    <n v="10670"/>
    <x v="1"/>
    <n v="193.75"/>
    <n v="25"/>
    <d v="1997-09-16T00:00:00"/>
  </r>
  <r>
    <n v="10670"/>
    <x v="2"/>
    <n v="193.75"/>
    <n v="25"/>
    <d v="1997-09-16T00:00:00"/>
  </r>
  <r>
    <n v="10670"/>
    <x v="3"/>
    <n v="193.75"/>
    <n v="25"/>
    <d v="1997-09-16T00:00:00"/>
  </r>
  <r>
    <n v="10670"/>
    <x v="4"/>
    <n v="193.75"/>
    <n v="25"/>
    <d v="1997-09-16T00:00:00"/>
  </r>
  <r>
    <n v="10670"/>
    <x v="5"/>
    <n v="193.75"/>
    <n v="25"/>
    <d v="1997-09-16T00:00:00"/>
  </r>
  <r>
    <n v="10670"/>
    <x v="6"/>
    <n v="193.75"/>
    <n v="25"/>
    <d v="1997-09-16T00:00:00"/>
  </r>
  <r>
    <n v="10670"/>
    <x v="7"/>
    <n v="193.75"/>
    <n v="25"/>
    <d v="1997-09-16T00:00:00"/>
  </r>
  <r>
    <n v="10671"/>
    <x v="0"/>
    <n v="174.5"/>
    <n v="10"/>
    <d v="1997-09-17T00:00:00"/>
  </r>
  <r>
    <n v="10671"/>
    <x v="1"/>
    <n v="174.5"/>
    <n v="10"/>
    <d v="1997-09-17T00:00:00"/>
  </r>
  <r>
    <n v="10671"/>
    <x v="2"/>
    <n v="174.5"/>
    <n v="10"/>
    <d v="1997-09-17T00:00:00"/>
  </r>
  <r>
    <n v="10671"/>
    <x v="3"/>
    <n v="174.5"/>
    <n v="10"/>
    <d v="1997-09-17T00:00:00"/>
  </r>
  <r>
    <n v="10671"/>
    <x v="4"/>
    <n v="174.5"/>
    <n v="10"/>
    <d v="1997-09-17T00:00:00"/>
  </r>
  <r>
    <n v="10671"/>
    <x v="5"/>
    <n v="174.5"/>
    <n v="10"/>
    <d v="1997-09-17T00:00:00"/>
  </r>
  <r>
    <n v="10671"/>
    <x v="6"/>
    <n v="174.5"/>
    <n v="10"/>
    <d v="1997-09-17T00:00:00"/>
  </r>
  <r>
    <n v="10671"/>
    <x v="7"/>
    <n v="174.5"/>
    <n v="10"/>
    <d v="1997-09-17T00:00:00"/>
  </r>
  <r>
    <n v="10671"/>
    <x v="0"/>
    <n v="493"/>
    <n v="10"/>
    <d v="1997-09-17T00:00:00"/>
  </r>
  <r>
    <n v="10671"/>
    <x v="1"/>
    <n v="493"/>
    <n v="10"/>
    <d v="1997-09-17T00:00:00"/>
  </r>
  <r>
    <n v="10671"/>
    <x v="2"/>
    <n v="493"/>
    <n v="10"/>
    <d v="1997-09-17T00:00:00"/>
  </r>
  <r>
    <n v="10671"/>
    <x v="3"/>
    <n v="493"/>
    <n v="10"/>
    <d v="1997-09-17T00:00:00"/>
  </r>
  <r>
    <n v="10671"/>
    <x v="4"/>
    <n v="493"/>
    <n v="10"/>
    <d v="1997-09-17T00:00:00"/>
  </r>
  <r>
    <n v="10671"/>
    <x v="5"/>
    <n v="493"/>
    <n v="10"/>
    <d v="1997-09-17T00:00:00"/>
  </r>
  <r>
    <n v="10671"/>
    <x v="6"/>
    <n v="493"/>
    <n v="10"/>
    <d v="1997-09-17T00:00:00"/>
  </r>
  <r>
    <n v="10671"/>
    <x v="7"/>
    <n v="493"/>
    <n v="10"/>
    <d v="1997-09-17T00:00:00"/>
  </r>
  <r>
    <n v="10671"/>
    <x v="0"/>
    <n v="252.6"/>
    <n v="12"/>
    <d v="1997-09-17T00:00:00"/>
  </r>
  <r>
    <n v="10671"/>
    <x v="1"/>
    <n v="252.6"/>
    <n v="12"/>
    <d v="1997-09-17T00:00:00"/>
  </r>
  <r>
    <n v="10671"/>
    <x v="2"/>
    <n v="252.6"/>
    <n v="12"/>
    <d v="1997-09-17T00:00:00"/>
  </r>
  <r>
    <n v="10671"/>
    <x v="3"/>
    <n v="252.6"/>
    <n v="12"/>
    <d v="1997-09-17T00:00:00"/>
  </r>
  <r>
    <n v="10671"/>
    <x v="4"/>
    <n v="252.6"/>
    <n v="12"/>
    <d v="1997-09-17T00:00:00"/>
  </r>
  <r>
    <n v="10671"/>
    <x v="5"/>
    <n v="252.6"/>
    <n v="12"/>
    <d v="1997-09-17T00:00:00"/>
  </r>
  <r>
    <n v="10671"/>
    <x v="6"/>
    <n v="252.6"/>
    <n v="12"/>
    <d v="1997-09-17T00:00:00"/>
  </r>
  <r>
    <n v="10671"/>
    <x v="7"/>
    <n v="252.6"/>
    <n v="12"/>
    <d v="1997-09-17T00:00:00"/>
  </r>
  <r>
    <n v="10672"/>
    <x v="0"/>
    <n v="3557.249994110316"/>
    <n v="15"/>
    <d v="1997-09-17T00:00:00"/>
  </r>
  <r>
    <n v="10672"/>
    <x v="1"/>
    <n v="3557.249994110316"/>
    <n v="15"/>
    <d v="1997-09-17T00:00:00"/>
  </r>
  <r>
    <n v="10672"/>
    <x v="2"/>
    <n v="3557.249994110316"/>
    <n v="15"/>
    <d v="1997-09-17T00:00:00"/>
  </r>
  <r>
    <n v="10672"/>
    <x v="3"/>
    <n v="3557.249994110316"/>
    <n v="15"/>
    <d v="1997-09-17T00:00:00"/>
  </r>
  <r>
    <n v="10672"/>
    <x v="4"/>
    <n v="3557.249994110316"/>
    <n v="15"/>
    <d v="1997-09-17T00:00:00"/>
  </r>
  <r>
    <n v="10672"/>
    <x v="5"/>
    <n v="3557.249994110316"/>
    <n v="15"/>
    <d v="1997-09-17T00:00:00"/>
  </r>
  <r>
    <n v="10672"/>
    <x v="6"/>
    <n v="3557.249994110316"/>
    <n v="15"/>
    <d v="1997-09-17T00:00:00"/>
  </r>
  <r>
    <n v="10672"/>
    <x v="7"/>
    <n v="3557.249994110316"/>
    <n v="15"/>
    <d v="1997-09-17T00:00:00"/>
  </r>
  <r>
    <n v="10672"/>
    <x v="0"/>
    <n v="258"/>
    <n v="12"/>
    <d v="1997-09-17T00:00:00"/>
  </r>
  <r>
    <n v="10672"/>
    <x v="1"/>
    <n v="258"/>
    <n v="12"/>
    <d v="1997-09-17T00:00:00"/>
  </r>
  <r>
    <n v="10672"/>
    <x v="2"/>
    <n v="258"/>
    <n v="12"/>
    <d v="1997-09-17T00:00:00"/>
  </r>
  <r>
    <n v="10672"/>
    <x v="3"/>
    <n v="258"/>
    <n v="12"/>
    <d v="1997-09-17T00:00:00"/>
  </r>
  <r>
    <n v="10672"/>
    <x v="4"/>
    <n v="258"/>
    <n v="12"/>
    <d v="1997-09-17T00:00:00"/>
  </r>
  <r>
    <n v="10672"/>
    <x v="5"/>
    <n v="258"/>
    <n v="12"/>
    <d v="1997-09-17T00:00:00"/>
  </r>
  <r>
    <n v="10672"/>
    <x v="6"/>
    <n v="258"/>
    <n v="12"/>
    <d v="1997-09-17T00:00:00"/>
  </r>
  <r>
    <n v="10672"/>
    <x v="7"/>
    <n v="258"/>
    <n v="12"/>
    <d v="1997-09-17T00:00:00"/>
  </r>
  <r>
    <n v="10673"/>
    <x v="0"/>
    <n v="52.35"/>
    <n v="3"/>
    <d v="1997-09-18T00:00:00"/>
  </r>
  <r>
    <n v="10673"/>
    <x v="1"/>
    <n v="52.35"/>
    <n v="3"/>
    <d v="1997-09-18T00:00:00"/>
  </r>
  <r>
    <n v="10673"/>
    <x v="2"/>
    <n v="52.35"/>
    <n v="3"/>
    <d v="1997-09-18T00:00:00"/>
  </r>
  <r>
    <n v="10673"/>
    <x v="3"/>
    <n v="52.35"/>
    <n v="3"/>
    <d v="1997-09-18T00:00:00"/>
  </r>
  <r>
    <n v="10673"/>
    <x v="4"/>
    <n v="52.35"/>
    <n v="3"/>
    <d v="1997-09-18T00:00:00"/>
  </r>
  <r>
    <n v="10673"/>
    <x v="5"/>
    <n v="52.35"/>
    <n v="3"/>
    <d v="1997-09-18T00:00:00"/>
  </r>
  <r>
    <n v="10673"/>
    <x v="6"/>
    <n v="52.35"/>
    <n v="3"/>
    <d v="1997-09-18T00:00:00"/>
  </r>
  <r>
    <n v="10673"/>
    <x v="7"/>
    <n v="52.35"/>
    <n v="3"/>
    <d v="1997-09-18T00:00:00"/>
  </r>
  <r>
    <n v="10673"/>
    <x v="0"/>
    <n v="84"/>
    <n v="6"/>
    <d v="1997-09-18T00:00:00"/>
  </r>
  <r>
    <n v="10673"/>
    <x v="1"/>
    <n v="84"/>
    <n v="6"/>
    <d v="1997-09-18T00:00:00"/>
  </r>
  <r>
    <n v="10673"/>
    <x v="2"/>
    <n v="84"/>
    <n v="6"/>
    <d v="1997-09-18T00:00:00"/>
  </r>
  <r>
    <n v="10673"/>
    <x v="3"/>
    <n v="84"/>
    <n v="6"/>
    <d v="1997-09-18T00:00:00"/>
  </r>
  <r>
    <n v="10673"/>
    <x v="4"/>
    <n v="84"/>
    <n v="6"/>
    <d v="1997-09-18T00:00:00"/>
  </r>
  <r>
    <n v="10673"/>
    <x v="5"/>
    <n v="84"/>
    <n v="6"/>
    <d v="1997-09-18T00:00:00"/>
  </r>
  <r>
    <n v="10673"/>
    <x v="6"/>
    <n v="84"/>
    <n v="6"/>
    <d v="1997-09-18T00:00:00"/>
  </r>
  <r>
    <n v="10673"/>
    <x v="7"/>
    <n v="84"/>
    <n v="6"/>
    <d v="1997-09-18T00:00:00"/>
  </r>
  <r>
    <n v="10673"/>
    <x v="0"/>
    <n v="276"/>
    <n v="6"/>
    <d v="1997-09-18T00:00:00"/>
  </r>
  <r>
    <n v="10673"/>
    <x v="1"/>
    <n v="276"/>
    <n v="6"/>
    <d v="1997-09-18T00:00:00"/>
  </r>
  <r>
    <n v="10673"/>
    <x v="2"/>
    <n v="276"/>
    <n v="6"/>
    <d v="1997-09-18T00:00:00"/>
  </r>
  <r>
    <n v="10673"/>
    <x v="3"/>
    <n v="276"/>
    <n v="6"/>
    <d v="1997-09-18T00:00:00"/>
  </r>
  <r>
    <n v="10673"/>
    <x v="4"/>
    <n v="276"/>
    <n v="6"/>
    <d v="1997-09-18T00:00:00"/>
  </r>
  <r>
    <n v="10673"/>
    <x v="5"/>
    <n v="276"/>
    <n v="6"/>
    <d v="1997-09-18T00:00:00"/>
  </r>
  <r>
    <n v="10673"/>
    <x v="6"/>
    <n v="276"/>
    <n v="6"/>
    <d v="1997-09-18T00:00:00"/>
  </r>
  <r>
    <n v="10673"/>
    <x v="7"/>
    <n v="276"/>
    <n v="6"/>
    <d v="1997-09-18T00:00:00"/>
  </r>
  <r>
    <n v="10674"/>
    <x v="0"/>
    <n v="45"/>
    <n v="5"/>
    <d v="1997-09-18T00:00:00"/>
  </r>
  <r>
    <n v="10674"/>
    <x v="1"/>
    <n v="45"/>
    <n v="5"/>
    <d v="1997-09-18T00:00:00"/>
  </r>
  <r>
    <n v="10674"/>
    <x v="2"/>
    <n v="45"/>
    <n v="5"/>
    <d v="1997-09-18T00:00:00"/>
  </r>
  <r>
    <n v="10674"/>
    <x v="3"/>
    <n v="45"/>
    <n v="5"/>
    <d v="1997-09-18T00:00:00"/>
  </r>
  <r>
    <n v="10674"/>
    <x v="4"/>
    <n v="45"/>
    <n v="5"/>
    <d v="1997-09-18T00:00:00"/>
  </r>
  <r>
    <n v="10674"/>
    <x v="5"/>
    <n v="45"/>
    <n v="5"/>
    <d v="1997-09-18T00:00:00"/>
  </r>
  <r>
    <n v="10674"/>
    <x v="6"/>
    <n v="45"/>
    <n v="5"/>
    <d v="1997-09-18T00:00:00"/>
  </r>
  <r>
    <n v="10674"/>
    <x v="7"/>
    <n v="45"/>
    <n v="5"/>
    <d v="1997-09-18T00:00:00"/>
  </r>
  <r>
    <n v="10675"/>
    <x v="0"/>
    <n v="697.5"/>
    <n v="30"/>
    <d v="1997-09-19T00:00:00"/>
  </r>
  <r>
    <n v="10675"/>
    <x v="1"/>
    <n v="697.5"/>
    <n v="30"/>
    <d v="1997-09-19T00:00:00"/>
  </r>
  <r>
    <n v="10675"/>
    <x v="2"/>
    <n v="697.5"/>
    <n v="30"/>
    <d v="1997-09-19T00:00:00"/>
  </r>
  <r>
    <n v="10675"/>
    <x v="3"/>
    <n v="697.5"/>
    <n v="30"/>
    <d v="1997-09-19T00:00:00"/>
  </r>
  <r>
    <n v="10675"/>
    <x v="4"/>
    <n v="697.5"/>
    <n v="30"/>
    <d v="1997-09-19T00:00:00"/>
  </r>
  <r>
    <n v="10675"/>
    <x v="5"/>
    <n v="697.5"/>
    <n v="30"/>
    <d v="1997-09-19T00:00:00"/>
  </r>
  <r>
    <n v="10675"/>
    <x v="6"/>
    <n v="697.5"/>
    <n v="30"/>
    <d v="1997-09-19T00:00:00"/>
  </r>
  <r>
    <n v="10675"/>
    <x v="7"/>
    <n v="697.5"/>
    <n v="30"/>
    <d v="1997-09-19T00:00:00"/>
  </r>
  <r>
    <n v="10675"/>
    <x v="0"/>
    <n v="328"/>
    <n v="10"/>
    <d v="1997-09-19T00:00:00"/>
  </r>
  <r>
    <n v="10675"/>
    <x v="1"/>
    <n v="328"/>
    <n v="10"/>
    <d v="1997-09-19T00:00:00"/>
  </r>
  <r>
    <n v="10675"/>
    <x v="2"/>
    <n v="328"/>
    <n v="10"/>
    <d v="1997-09-19T00:00:00"/>
  </r>
  <r>
    <n v="10675"/>
    <x v="3"/>
    <n v="328"/>
    <n v="10"/>
    <d v="1997-09-19T00:00:00"/>
  </r>
  <r>
    <n v="10675"/>
    <x v="4"/>
    <n v="328"/>
    <n v="10"/>
    <d v="1997-09-19T00:00:00"/>
  </r>
  <r>
    <n v="10675"/>
    <x v="5"/>
    <n v="328"/>
    <n v="10"/>
    <d v="1997-09-19T00:00:00"/>
  </r>
  <r>
    <n v="10675"/>
    <x v="6"/>
    <n v="328"/>
    <n v="10"/>
    <d v="1997-09-19T00:00:00"/>
  </r>
  <r>
    <n v="10675"/>
    <x v="7"/>
    <n v="328"/>
    <n v="10"/>
    <d v="1997-09-19T00:00:00"/>
  </r>
  <r>
    <n v="10675"/>
    <x v="0"/>
    <n v="397.5"/>
    <n v="30"/>
    <d v="1997-09-19T00:00:00"/>
  </r>
  <r>
    <n v="10675"/>
    <x v="1"/>
    <n v="397.5"/>
    <n v="30"/>
    <d v="1997-09-19T00:00:00"/>
  </r>
  <r>
    <n v="10675"/>
    <x v="2"/>
    <n v="397.5"/>
    <n v="30"/>
    <d v="1997-09-19T00:00:00"/>
  </r>
  <r>
    <n v="10675"/>
    <x v="3"/>
    <n v="397.5"/>
    <n v="30"/>
    <d v="1997-09-19T00:00:00"/>
  </r>
  <r>
    <n v="10675"/>
    <x v="4"/>
    <n v="397.5"/>
    <n v="30"/>
    <d v="1997-09-19T00:00:00"/>
  </r>
  <r>
    <n v="10675"/>
    <x v="5"/>
    <n v="397.5"/>
    <n v="30"/>
    <d v="1997-09-19T00:00:00"/>
  </r>
  <r>
    <n v="10675"/>
    <x v="6"/>
    <n v="397.5"/>
    <n v="30"/>
    <d v="1997-09-19T00:00:00"/>
  </r>
  <r>
    <n v="10675"/>
    <x v="7"/>
    <n v="397.5"/>
    <n v="30"/>
    <d v="1997-09-19T00:00:00"/>
  </r>
  <r>
    <n v="10676"/>
    <x v="0"/>
    <n v="62"/>
    <n v="2"/>
    <d v="1997-09-22T00:00:00"/>
  </r>
  <r>
    <n v="10676"/>
    <x v="1"/>
    <n v="62"/>
    <n v="2"/>
    <d v="1997-09-22T00:00:00"/>
  </r>
  <r>
    <n v="10676"/>
    <x v="2"/>
    <n v="62"/>
    <n v="2"/>
    <d v="1997-09-22T00:00:00"/>
  </r>
  <r>
    <n v="10676"/>
    <x v="3"/>
    <n v="62"/>
    <n v="2"/>
    <d v="1997-09-22T00:00:00"/>
  </r>
  <r>
    <n v="10676"/>
    <x v="4"/>
    <n v="62"/>
    <n v="2"/>
    <d v="1997-09-22T00:00:00"/>
  </r>
  <r>
    <n v="10676"/>
    <x v="5"/>
    <n v="62"/>
    <n v="2"/>
    <d v="1997-09-22T00:00:00"/>
  </r>
  <r>
    <n v="10676"/>
    <x v="6"/>
    <n v="62"/>
    <n v="2"/>
    <d v="1997-09-22T00:00:00"/>
  </r>
  <r>
    <n v="10676"/>
    <x v="7"/>
    <n v="62"/>
    <n v="2"/>
    <d v="1997-09-22T00:00:00"/>
  </r>
  <r>
    <n v="10676"/>
    <x v="0"/>
    <n v="64.400000000000006"/>
    <n v="7"/>
    <d v="1997-09-22T00:00:00"/>
  </r>
  <r>
    <n v="10676"/>
    <x v="1"/>
    <n v="64.400000000000006"/>
    <n v="7"/>
    <d v="1997-09-22T00:00:00"/>
  </r>
  <r>
    <n v="10676"/>
    <x v="2"/>
    <n v="64.400000000000006"/>
    <n v="7"/>
    <d v="1997-09-22T00:00:00"/>
  </r>
  <r>
    <n v="10676"/>
    <x v="3"/>
    <n v="64.400000000000006"/>
    <n v="7"/>
    <d v="1997-09-22T00:00:00"/>
  </r>
  <r>
    <n v="10676"/>
    <x v="4"/>
    <n v="64.400000000000006"/>
    <n v="7"/>
    <d v="1997-09-22T00:00:00"/>
  </r>
  <r>
    <n v="10676"/>
    <x v="5"/>
    <n v="64.400000000000006"/>
    <n v="7"/>
    <d v="1997-09-22T00:00:00"/>
  </r>
  <r>
    <n v="10676"/>
    <x v="6"/>
    <n v="64.400000000000006"/>
    <n v="7"/>
    <d v="1997-09-22T00:00:00"/>
  </r>
  <r>
    <n v="10676"/>
    <x v="7"/>
    <n v="64.400000000000006"/>
    <n v="7"/>
    <d v="1997-09-22T00:00:00"/>
  </r>
  <r>
    <n v="10676"/>
    <x v="0"/>
    <n v="408.45"/>
    <n v="21"/>
    <d v="1997-09-22T00:00:00"/>
  </r>
  <r>
    <n v="10676"/>
    <x v="1"/>
    <n v="408.45"/>
    <n v="21"/>
    <d v="1997-09-22T00:00:00"/>
  </r>
  <r>
    <n v="10676"/>
    <x v="2"/>
    <n v="408.45"/>
    <n v="21"/>
    <d v="1997-09-22T00:00:00"/>
  </r>
  <r>
    <n v="10676"/>
    <x v="3"/>
    <n v="408.45"/>
    <n v="21"/>
    <d v="1997-09-22T00:00:00"/>
  </r>
  <r>
    <n v="10676"/>
    <x v="4"/>
    <n v="408.45"/>
    <n v="21"/>
    <d v="1997-09-22T00:00:00"/>
  </r>
  <r>
    <n v="10676"/>
    <x v="5"/>
    <n v="408.45"/>
    <n v="21"/>
    <d v="1997-09-22T00:00:00"/>
  </r>
  <r>
    <n v="10676"/>
    <x v="6"/>
    <n v="408.45"/>
    <n v="21"/>
    <d v="1997-09-22T00:00:00"/>
  </r>
  <r>
    <n v="10676"/>
    <x v="7"/>
    <n v="408.45"/>
    <n v="21"/>
    <d v="1997-09-22T00:00:00"/>
  </r>
  <r>
    <n v="10677"/>
    <x v="0"/>
    <n v="796.36499441564081"/>
    <n v="30"/>
    <d v="1997-09-22T00:00:00"/>
  </r>
  <r>
    <n v="10677"/>
    <x v="1"/>
    <n v="796.36499441564081"/>
    <n v="30"/>
    <d v="1997-09-22T00:00:00"/>
  </r>
  <r>
    <n v="10677"/>
    <x v="2"/>
    <n v="796.36499441564081"/>
    <n v="30"/>
    <d v="1997-09-22T00:00:00"/>
  </r>
  <r>
    <n v="10677"/>
    <x v="3"/>
    <n v="796.36499441564081"/>
    <n v="30"/>
    <d v="1997-09-22T00:00:00"/>
  </r>
  <r>
    <n v="10677"/>
    <x v="4"/>
    <n v="796.36499441564081"/>
    <n v="30"/>
    <d v="1997-09-22T00:00:00"/>
  </r>
  <r>
    <n v="10677"/>
    <x v="5"/>
    <n v="796.36499441564081"/>
    <n v="30"/>
    <d v="1997-09-22T00:00:00"/>
  </r>
  <r>
    <n v="10677"/>
    <x v="6"/>
    <n v="796.36499441564081"/>
    <n v="30"/>
    <d v="1997-09-22T00:00:00"/>
  </r>
  <r>
    <n v="10677"/>
    <x v="7"/>
    <n v="796.36499441564081"/>
    <n v="30"/>
    <d v="1997-09-22T00:00:00"/>
  </r>
  <r>
    <n v="10677"/>
    <x v="0"/>
    <n v="16.99999988079071"/>
    <n v="8"/>
    <d v="1997-09-22T00:00:00"/>
  </r>
  <r>
    <n v="10677"/>
    <x v="1"/>
    <n v="16.99999988079071"/>
    <n v="8"/>
    <d v="1997-09-22T00:00:00"/>
  </r>
  <r>
    <n v="10677"/>
    <x v="2"/>
    <n v="16.99999988079071"/>
    <n v="8"/>
    <d v="1997-09-22T00:00:00"/>
  </r>
  <r>
    <n v="10677"/>
    <x v="3"/>
    <n v="16.99999988079071"/>
    <n v="8"/>
    <d v="1997-09-22T00:00:00"/>
  </r>
  <r>
    <n v="10677"/>
    <x v="4"/>
    <n v="16.99999988079071"/>
    <n v="8"/>
    <d v="1997-09-22T00:00:00"/>
  </r>
  <r>
    <n v="10677"/>
    <x v="5"/>
    <n v="16.99999988079071"/>
    <n v="8"/>
    <d v="1997-09-22T00:00:00"/>
  </r>
  <r>
    <n v="10677"/>
    <x v="6"/>
    <n v="16.99999988079071"/>
    <n v="8"/>
    <d v="1997-09-22T00:00:00"/>
  </r>
  <r>
    <n v="10677"/>
    <x v="7"/>
    <n v="16.99999988079071"/>
    <n v="8"/>
    <d v="1997-09-22T00:00:00"/>
  </r>
  <r>
    <n v="10678"/>
    <x v="0"/>
    <n v="3800"/>
    <n v="100"/>
    <d v="1997-09-23T00:00:00"/>
  </r>
  <r>
    <n v="10678"/>
    <x v="1"/>
    <n v="3800"/>
    <n v="100"/>
    <d v="1997-09-23T00:00:00"/>
  </r>
  <r>
    <n v="10678"/>
    <x v="2"/>
    <n v="3800"/>
    <n v="100"/>
    <d v="1997-09-23T00:00:00"/>
  </r>
  <r>
    <n v="10678"/>
    <x v="3"/>
    <n v="3800"/>
    <n v="100"/>
    <d v="1997-09-23T00:00:00"/>
  </r>
  <r>
    <n v="10678"/>
    <x v="4"/>
    <n v="3800"/>
    <n v="100"/>
    <d v="1997-09-23T00:00:00"/>
  </r>
  <r>
    <n v="10678"/>
    <x v="5"/>
    <n v="3800"/>
    <n v="100"/>
    <d v="1997-09-23T00:00:00"/>
  </r>
  <r>
    <n v="10678"/>
    <x v="6"/>
    <n v="3800"/>
    <n v="100"/>
    <d v="1997-09-23T00:00:00"/>
  </r>
  <r>
    <n v="10678"/>
    <x v="7"/>
    <n v="3800"/>
    <n v="100"/>
    <d v="1997-09-23T00:00:00"/>
  </r>
  <r>
    <n v="10678"/>
    <x v="0"/>
    <n v="75"/>
    <n v="30"/>
    <d v="1997-09-23T00:00:00"/>
  </r>
  <r>
    <n v="10678"/>
    <x v="1"/>
    <n v="75"/>
    <n v="30"/>
    <d v="1997-09-23T00:00:00"/>
  </r>
  <r>
    <n v="10678"/>
    <x v="2"/>
    <n v="75"/>
    <n v="30"/>
    <d v="1997-09-23T00:00:00"/>
  </r>
  <r>
    <n v="10678"/>
    <x v="3"/>
    <n v="75"/>
    <n v="30"/>
    <d v="1997-09-23T00:00:00"/>
  </r>
  <r>
    <n v="10678"/>
    <x v="4"/>
    <n v="75"/>
    <n v="30"/>
    <d v="1997-09-23T00:00:00"/>
  </r>
  <r>
    <n v="10678"/>
    <x v="5"/>
    <n v="75"/>
    <n v="30"/>
    <d v="1997-09-23T00:00:00"/>
  </r>
  <r>
    <n v="10678"/>
    <x v="6"/>
    <n v="75"/>
    <n v="30"/>
    <d v="1997-09-23T00:00:00"/>
  </r>
  <r>
    <n v="10678"/>
    <x v="7"/>
    <n v="75"/>
    <n v="30"/>
    <d v="1997-09-23T00:00:00"/>
  </r>
  <r>
    <n v="10678"/>
    <x v="0"/>
    <n v="1158"/>
    <n v="120"/>
    <d v="1997-09-23T00:00:00"/>
  </r>
  <r>
    <n v="10678"/>
    <x v="1"/>
    <n v="1158"/>
    <n v="120"/>
    <d v="1997-09-23T00:00:00"/>
  </r>
  <r>
    <n v="10678"/>
    <x v="2"/>
    <n v="1158"/>
    <n v="120"/>
    <d v="1997-09-23T00:00:00"/>
  </r>
  <r>
    <n v="10678"/>
    <x v="3"/>
    <n v="1158"/>
    <n v="120"/>
    <d v="1997-09-23T00:00:00"/>
  </r>
  <r>
    <n v="10678"/>
    <x v="4"/>
    <n v="1158"/>
    <n v="120"/>
    <d v="1997-09-23T00:00:00"/>
  </r>
  <r>
    <n v="10678"/>
    <x v="5"/>
    <n v="1158"/>
    <n v="120"/>
    <d v="1997-09-23T00:00:00"/>
  </r>
  <r>
    <n v="10678"/>
    <x v="6"/>
    <n v="1158"/>
    <n v="120"/>
    <d v="1997-09-23T00:00:00"/>
  </r>
  <r>
    <n v="10678"/>
    <x v="7"/>
    <n v="1158"/>
    <n v="120"/>
    <d v="1997-09-23T00:00:00"/>
  </r>
  <r>
    <n v="10678"/>
    <x v="0"/>
    <n v="223.5"/>
    <n v="30"/>
    <d v="1997-09-23T00:00:00"/>
  </r>
  <r>
    <n v="10678"/>
    <x v="1"/>
    <n v="223.5"/>
    <n v="30"/>
    <d v="1997-09-23T00:00:00"/>
  </r>
  <r>
    <n v="10678"/>
    <x v="2"/>
    <n v="223.5"/>
    <n v="30"/>
    <d v="1997-09-23T00:00:00"/>
  </r>
  <r>
    <n v="10678"/>
    <x v="3"/>
    <n v="223.5"/>
    <n v="30"/>
    <d v="1997-09-23T00:00:00"/>
  </r>
  <r>
    <n v="10678"/>
    <x v="4"/>
    <n v="223.5"/>
    <n v="30"/>
    <d v="1997-09-23T00:00:00"/>
  </r>
  <r>
    <n v="10678"/>
    <x v="5"/>
    <n v="223.5"/>
    <n v="30"/>
    <d v="1997-09-23T00:00:00"/>
  </r>
  <r>
    <n v="10678"/>
    <x v="6"/>
    <n v="223.5"/>
    <n v="30"/>
    <d v="1997-09-23T00:00:00"/>
  </r>
  <r>
    <n v="10678"/>
    <x v="7"/>
    <n v="223.5"/>
    <n v="30"/>
    <d v="1997-09-23T00:00:00"/>
  </r>
  <r>
    <n v="10679"/>
    <x v="0"/>
    <n v="660"/>
    <n v="12"/>
    <d v="1997-09-23T00:00:00"/>
  </r>
  <r>
    <n v="10679"/>
    <x v="1"/>
    <n v="660"/>
    <n v="12"/>
    <d v="1997-09-23T00:00:00"/>
  </r>
  <r>
    <n v="10679"/>
    <x v="2"/>
    <n v="660"/>
    <n v="12"/>
    <d v="1997-09-23T00:00:00"/>
  </r>
  <r>
    <n v="10679"/>
    <x v="3"/>
    <n v="660"/>
    <n v="12"/>
    <d v="1997-09-23T00:00:00"/>
  </r>
  <r>
    <n v="10679"/>
    <x v="4"/>
    <n v="660"/>
    <n v="12"/>
    <d v="1997-09-23T00:00:00"/>
  </r>
  <r>
    <n v="10679"/>
    <x v="5"/>
    <n v="660"/>
    <n v="12"/>
    <d v="1997-09-23T00:00:00"/>
  </r>
  <r>
    <n v="10679"/>
    <x v="6"/>
    <n v="660"/>
    <n v="12"/>
    <d v="1997-09-23T00:00:00"/>
  </r>
  <r>
    <n v="10679"/>
    <x v="7"/>
    <n v="660"/>
    <n v="12"/>
    <d v="1997-09-23T00:00:00"/>
  </r>
  <r>
    <n v="10680"/>
    <x v="0"/>
    <n v="654.375"/>
    <n v="50"/>
    <d v="1997-09-24T00:00:00"/>
  </r>
  <r>
    <n v="10680"/>
    <x v="1"/>
    <n v="654.375"/>
    <n v="50"/>
    <d v="1997-09-24T00:00:00"/>
  </r>
  <r>
    <n v="10680"/>
    <x v="2"/>
    <n v="654.375"/>
    <n v="50"/>
    <d v="1997-09-24T00:00:00"/>
  </r>
  <r>
    <n v="10680"/>
    <x v="3"/>
    <n v="654.375"/>
    <n v="50"/>
    <d v="1997-09-24T00:00:00"/>
  </r>
  <r>
    <n v="10680"/>
    <x v="4"/>
    <n v="654.375"/>
    <n v="50"/>
    <d v="1997-09-24T00:00:00"/>
  </r>
  <r>
    <n v="10680"/>
    <x v="5"/>
    <n v="654.375"/>
    <n v="50"/>
    <d v="1997-09-24T00:00:00"/>
  </r>
  <r>
    <n v="10680"/>
    <x v="6"/>
    <n v="654.375"/>
    <n v="50"/>
    <d v="1997-09-24T00:00:00"/>
  </r>
  <r>
    <n v="10680"/>
    <x v="7"/>
    <n v="654.375"/>
    <n v="50"/>
    <d v="1997-09-24T00:00:00"/>
  </r>
  <r>
    <n v="10680"/>
    <x v="0"/>
    <n v="187.5"/>
    <n v="20"/>
    <d v="1997-09-24T00:00:00"/>
  </r>
  <r>
    <n v="10680"/>
    <x v="1"/>
    <n v="187.5"/>
    <n v="20"/>
    <d v="1997-09-24T00:00:00"/>
  </r>
  <r>
    <n v="10680"/>
    <x v="2"/>
    <n v="187.5"/>
    <n v="20"/>
    <d v="1997-09-24T00:00:00"/>
  </r>
  <r>
    <n v="10680"/>
    <x v="3"/>
    <n v="187.5"/>
    <n v="20"/>
    <d v="1997-09-24T00:00:00"/>
  </r>
  <r>
    <n v="10680"/>
    <x v="4"/>
    <n v="187.5"/>
    <n v="20"/>
    <d v="1997-09-24T00:00:00"/>
  </r>
  <r>
    <n v="10680"/>
    <x v="5"/>
    <n v="187.5"/>
    <n v="20"/>
    <d v="1997-09-24T00:00:00"/>
  </r>
  <r>
    <n v="10680"/>
    <x v="6"/>
    <n v="187.5"/>
    <n v="20"/>
    <d v="1997-09-24T00:00:00"/>
  </r>
  <r>
    <n v="10680"/>
    <x v="7"/>
    <n v="187.5"/>
    <n v="20"/>
    <d v="1997-09-24T00:00:00"/>
  </r>
  <r>
    <n v="10680"/>
    <x v="0"/>
    <n v="420"/>
    <n v="40"/>
    <d v="1997-09-24T00:00:00"/>
  </r>
  <r>
    <n v="10680"/>
    <x v="1"/>
    <n v="420"/>
    <n v="40"/>
    <d v="1997-09-24T00:00:00"/>
  </r>
  <r>
    <n v="10680"/>
    <x v="2"/>
    <n v="420"/>
    <n v="40"/>
    <d v="1997-09-24T00:00:00"/>
  </r>
  <r>
    <n v="10680"/>
    <x v="3"/>
    <n v="420"/>
    <n v="40"/>
    <d v="1997-09-24T00:00:00"/>
  </r>
  <r>
    <n v="10680"/>
    <x v="4"/>
    <n v="420"/>
    <n v="40"/>
    <d v="1997-09-24T00:00:00"/>
  </r>
  <r>
    <n v="10680"/>
    <x v="5"/>
    <n v="420"/>
    <n v="40"/>
    <d v="1997-09-24T00:00:00"/>
  </r>
  <r>
    <n v="10680"/>
    <x v="6"/>
    <n v="420"/>
    <n v="40"/>
    <d v="1997-09-24T00:00:00"/>
  </r>
  <r>
    <n v="10680"/>
    <x v="7"/>
    <n v="420"/>
    <n v="40"/>
    <d v="1997-09-24T00:00:00"/>
  </r>
  <r>
    <n v="10681"/>
    <x v="0"/>
    <n v="248.39999958872795"/>
    <n v="30"/>
    <d v="1997-09-25T00:00:00"/>
  </r>
  <r>
    <n v="10681"/>
    <x v="1"/>
    <n v="248.39999958872795"/>
    <n v="30"/>
    <d v="1997-09-25T00:00:00"/>
  </r>
  <r>
    <n v="10681"/>
    <x v="2"/>
    <n v="248.39999958872795"/>
    <n v="30"/>
    <d v="1997-09-25T00:00:00"/>
  </r>
  <r>
    <n v="10681"/>
    <x v="3"/>
    <n v="248.39999958872795"/>
    <n v="30"/>
    <d v="1997-09-25T00:00:00"/>
  </r>
  <r>
    <n v="10681"/>
    <x v="4"/>
    <n v="248.39999958872795"/>
    <n v="30"/>
    <d v="1997-09-25T00:00:00"/>
  </r>
  <r>
    <n v="10681"/>
    <x v="5"/>
    <n v="248.39999958872795"/>
    <n v="30"/>
    <d v="1997-09-25T00:00:00"/>
  </r>
  <r>
    <n v="10681"/>
    <x v="6"/>
    <n v="248.39999958872795"/>
    <n v="30"/>
    <d v="1997-09-25T00:00:00"/>
  </r>
  <r>
    <n v="10681"/>
    <x v="7"/>
    <n v="248.39999958872795"/>
    <n v="30"/>
    <d v="1997-09-25T00:00:00"/>
  </r>
  <r>
    <n v="10681"/>
    <x v="0"/>
    <n v="107.99999982118607"/>
    <n v="12"/>
    <d v="1997-09-25T00:00:00"/>
  </r>
  <r>
    <n v="10681"/>
    <x v="1"/>
    <n v="107.99999982118607"/>
    <n v="12"/>
    <d v="1997-09-25T00:00:00"/>
  </r>
  <r>
    <n v="10681"/>
    <x v="2"/>
    <n v="107.99999982118607"/>
    <n v="12"/>
    <d v="1997-09-25T00:00:00"/>
  </r>
  <r>
    <n v="10681"/>
    <x v="3"/>
    <n v="107.99999982118607"/>
    <n v="12"/>
    <d v="1997-09-25T00:00:00"/>
  </r>
  <r>
    <n v="10681"/>
    <x v="4"/>
    <n v="107.99999982118607"/>
    <n v="12"/>
    <d v="1997-09-25T00:00:00"/>
  </r>
  <r>
    <n v="10681"/>
    <x v="5"/>
    <n v="107.99999982118607"/>
    <n v="12"/>
    <d v="1997-09-25T00:00:00"/>
  </r>
  <r>
    <n v="10681"/>
    <x v="6"/>
    <n v="107.99999982118607"/>
    <n v="12"/>
    <d v="1997-09-25T00:00:00"/>
  </r>
  <r>
    <n v="10681"/>
    <x v="7"/>
    <n v="107.99999982118607"/>
    <n v="12"/>
    <d v="1997-09-25T00:00:00"/>
  </r>
  <r>
    <n v="10681"/>
    <x v="0"/>
    <n v="931"/>
    <n v="28"/>
    <d v="1997-09-25T00:00:00"/>
  </r>
  <r>
    <n v="10681"/>
    <x v="1"/>
    <n v="931"/>
    <n v="28"/>
    <d v="1997-09-25T00:00:00"/>
  </r>
  <r>
    <n v="10681"/>
    <x v="2"/>
    <n v="931"/>
    <n v="28"/>
    <d v="1997-09-25T00:00:00"/>
  </r>
  <r>
    <n v="10681"/>
    <x v="3"/>
    <n v="931"/>
    <n v="28"/>
    <d v="1997-09-25T00:00:00"/>
  </r>
  <r>
    <n v="10681"/>
    <x v="4"/>
    <n v="931"/>
    <n v="28"/>
    <d v="1997-09-25T00:00:00"/>
  </r>
  <r>
    <n v="10681"/>
    <x v="5"/>
    <n v="931"/>
    <n v="28"/>
    <d v="1997-09-25T00:00:00"/>
  </r>
  <r>
    <n v="10681"/>
    <x v="6"/>
    <n v="931"/>
    <n v="28"/>
    <d v="1997-09-25T00:00:00"/>
  </r>
  <r>
    <n v="10681"/>
    <x v="7"/>
    <n v="931"/>
    <n v="28"/>
    <d v="1997-09-25T00:00:00"/>
  </r>
  <r>
    <n v="10682"/>
    <x v="0"/>
    <n v="75"/>
    <n v="30"/>
    <d v="1997-09-25T00:00:00"/>
  </r>
  <r>
    <n v="10682"/>
    <x v="1"/>
    <n v="75"/>
    <n v="30"/>
    <d v="1997-09-25T00:00:00"/>
  </r>
  <r>
    <n v="10682"/>
    <x v="2"/>
    <n v="75"/>
    <n v="30"/>
    <d v="1997-09-25T00:00:00"/>
  </r>
  <r>
    <n v="10682"/>
    <x v="3"/>
    <n v="75"/>
    <n v="30"/>
    <d v="1997-09-25T00:00:00"/>
  </r>
  <r>
    <n v="10682"/>
    <x v="4"/>
    <n v="75"/>
    <n v="30"/>
    <d v="1997-09-25T00:00:00"/>
  </r>
  <r>
    <n v="10682"/>
    <x v="5"/>
    <n v="75"/>
    <n v="30"/>
    <d v="1997-09-25T00:00:00"/>
  </r>
  <r>
    <n v="10682"/>
    <x v="6"/>
    <n v="75"/>
    <n v="30"/>
    <d v="1997-09-25T00:00:00"/>
  </r>
  <r>
    <n v="10682"/>
    <x v="7"/>
    <n v="75"/>
    <n v="30"/>
    <d v="1997-09-25T00:00:00"/>
  </r>
  <r>
    <n v="10682"/>
    <x v="0"/>
    <n v="68"/>
    <n v="4"/>
    <d v="1997-09-25T00:00:00"/>
  </r>
  <r>
    <n v="10682"/>
    <x v="1"/>
    <n v="68"/>
    <n v="4"/>
    <d v="1997-09-25T00:00:00"/>
  </r>
  <r>
    <n v="10682"/>
    <x v="2"/>
    <n v="68"/>
    <n v="4"/>
    <d v="1997-09-25T00:00:00"/>
  </r>
  <r>
    <n v="10682"/>
    <x v="3"/>
    <n v="68"/>
    <n v="4"/>
    <d v="1997-09-25T00:00:00"/>
  </r>
  <r>
    <n v="10682"/>
    <x v="4"/>
    <n v="68"/>
    <n v="4"/>
    <d v="1997-09-25T00:00:00"/>
  </r>
  <r>
    <n v="10682"/>
    <x v="5"/>
    <n v="68"/>
    <n v="4"/>
    <d v="1997-09-25T00:00:00"/>
  </r>
  <r>
    <n v="10682"/>
    <x v="6"/>
    <n v="68"/>
    <n v="4"/>
    <d v="1997-09-25T00:00:00"/>
  </r>
  <r>
    <n v="10682"/>
    <x v="7"/>
    <n v="68"/>
    <n v="4"/>
    <d v="1997-09-25T00:00:00"/>
  </r>
  <r>
    <n v="10682"/>
    <x v="0"/>
    <n v="232.5"/>
    <n v="30"/>
    <d v="1997-09-25T00:00:00"/>
  </r>
  <r>
    <n v="10682"/>
    <x v="1"/>
    <n v="232.5"/>
    <n v="30"/>
    <d v="1997-09-25T00:00:00"/>
  </r>
  <r>
    <n v="10682"/>
    <x v="2"/>
    <n v="232.5"/>
    <n v="30"/>
    <d v="1997-09-25T00:00:00"/>
  </r>
  <r>
    <n v="10682"/>
    <x v="3"/>
    <n v="232.5"/>
    <n v="30"/>
    <d v="1997-09-25T00:00:00"/>
  </r>
  <r>
    <n v="10682"/>
    <x v="4"/>
    <n v="232.5"/>
    <n v="30"/>
    <d v="1997-09-25T00:00:00"/>
  </r>
  <r>
    <n v="10682"/>
    <x v="5"/>
    <n v="232.5"/>
    <n v="30"/>
    <d v="1997-09-25T00:00:00"/>
  </r>
  <r>
    <n v="10682"/>
    <x v="6"/>
    <n v="232.5"/>
    <n v="30"/>
    <d v="1997-09-25T00:00:00"/>
  </r>
  <r>
    <n v="10682"/>
    <x v="7"/>
    <n v="232.5"/>
    <n v="30"/>
    <d v="1997-09-25T00:00:00"/>
  </r>
  <r>
    <n v="10683"/>
    <x v="0"/>
    <n v="63"/>
    <n v="9"/>
    <d v="1997-09-26T00:00:00"/>
  </r>
  <r>
    <n v="10683"/>
    <x v="1"/>
    <n v="63"/>
    <n v="9"/>
    <d v="1997-09-26T00:00:00"/>
  </r>
  <r>
    <n v="10683"/>
    <x v="2"/>
    <n v="63"/>
    <n v="9"/>
    <d v="1997-09-26T00:00:00"/>
  </r>
  <r>
    <n v="10683"/>
    <x v="3"/>
    <n v="63"/>
    <n v="9"/>
    <d v="1997-09-26T00:00:00"/>
  </r>
  <r>
    <n v="10683"/>
    <x v="4"/>
    <n v="63"/>
    <n v="9"/>
    <d v="1997-09-26T00:00:00"/>
  </r>
  <r>
    <n v="10683"/>
    <x v="5"/>
    <n v="63"/>
    <n v="9"/>
    <d v="1997-09-26T00:00:00"/>
  </r>
  <r>
    <n v="10683"/>
    <x v="6"/>
    <n v="63"/>
    <n v="9"/>
    <d v="1997-09-26T00:00:00"/>
  </r>
  <r>
    <n v="10683"/>
    <x v="7"/>
    <n v="63"/>
    <n v="9"/>
    <d v="1997-09-26T00:00:00"/>
  </r>
  <r>
    <n v="10684"/>
    <x v="0"/>
    <n v="368"/>
    <n v="20"/>
    <d v="1997-09-26T00:00:00"/>
  </r>
  <r>
    <n v="10684"/>
    <x v="1"/>
    <n v="368"/>
    <n v="20"/>
    <d v="1997-09-26T00:00:00"/>
  </r>
  <r>
    <n v="10684"/>
    <x v="2"/>
    <n v="368"/>
    <n v="20"/>
    <d v="1997-09-26T00:00:00"/>
  </r>
  <r>
    <n v="10684"/>
    <x v="3"/>
    <n v="368"/>
    <n v="20"/>
    <d v="1997-09-26T00:00:00"/>
  </r>
  <r>
    <n v="10684"/>
    <x v="4"/>
    <n v="368"/>
    <n v="20"/>
    <d v="1997-09-26T00:00:00"/>
  </r>
  <r>
    <n v="10684"/>
    <x v="5"/>
    <n v="368"/>
    <n v="20"/>
    <d v="1997-09-26T00:00:00"/>
  </r>
  <r>
    <n v="10684"/>
    <x v="6"/>
    <n v="368"/>
    <n v="20"/>
    <d v="1997-09-26T00:00:00"/>
  </r>
  <r>
    <n v="10684"/>
    <x v="7"/>
    <n v="368"/>
    <n v="20"/>
    <d v="1997-09-26T00:00:00"/>
  </r>
  <r>
    <n v="10684"/>
    <x v="0"/>
    <n v="380"/>
    <n v="40"/>
    <d v="1997-09-26T00:00:00"/>
  </r>
  <r>
    <n v="10684"/>
    <x v="1"/>
    <n v="380"/>
    <n v="40"/>
    <d v="1997-09-26T00:00:00"/>
  </r>
  <r>
    <n v="10684"/>
    <x v="2"/>
    <n v="380"/>
    <n v="40"/>
    <d v="1997-09-26T00:00:00"/>
  </r>
  <r>
    <n v="10684"/>
    <x v="3"/>
    <n v="380"/>
    <n v="40"/>
    <d v="1997-09-26T00:00:00"/>
  </r>
  <r>
    <n v="10684"/>
    <x v="4"/>
    <n v="380"/>
    <n v="40"/>
    <d v="1997-09-26T00:00:00"/>
  </r>
  <r>
    <n v="10684"/>
    <x v="5"/>
    <n v="380"/>
    <n v="40"/>
    <d v="1997-09-26T00:00:00"/>
  </r>
  <r>
    <n v="10684"/>
    <x v="6"/>
    <n v="380"/>
    <n v="40"/>
    <d v="1997-09-26T00:00:00"/>
  </r>
  <r>
    <n v="10684"/>
    <x v="7"/>
    <n v="380"/>
    <n v="40"/>
    <d v="1997-09-26T00:00:00"/>
  </r>
  <r>
    <n v="10684"/>
    <x v="0"/>
    <n v="1020"/>
    <n v="30"/>
    <d v="1997-09-26T00:00:00"/>
  </r>
  <r>
    <n v="10684"/>
    <x v="1"/>
    <n v="1020"/>
    <n v="30"/>
    <d v="1997-09-26T00:00:00"/>
  </r>
  <r>
    <n v="10684"/>
    <x v="2"/>
    <n v="1020"/>
    <n v="30"/>
    <d v="1997-09-26T00:00:00"/>
  </r>
  <r>
    <n v="10684"/>
    <x v="3"/>
    <n v="1020"/>
    <n v="30"/>
    <d v="1997-09-26T00:00:00"/>
  </r>
  <r>
    <n v="10684"/>
    <x v="4"/>
    <n v="1020"/>
    <n v="30"/>
    <d v="1997-09-26T00:00:00"/>
  </r>
  <r>
    <n v="10684"/>
    <x v="5"/>
    <n v="1020"/>
    <n v="30"/>
    <d v="1997-09-26T00:00:00"/>
  </r>
  <r>
    <n v="10684"/>
    <x v="6"/>
    <n v="1020"/>
    <n v="30"/>
    <d v="1997-09-26T00:00:00"/>
  </r>
  <r>
    <n v="10684"/>
    <x v="7"/>
    <n v="1020"/>
    <n v="30"/>
    <d v="1997-09-26T00:00:00"/>
  </r>
  <r>
    <n v="10685"/>
    <x v="0"/>
    <n v="620"/>
    <n v="20"/>
    <d v="1997-09-29T00:00:00"/>
  </r>
  <r>
    <n v="10685"/>
    <x v="1"/>
    <n v="620"/>
    <n v="20"/>
    <d v="1997-09-29T00:00:00"/>
  </r>
  <r>
    <n v="10685"/>
    <x v="2"/>
    <n v="620"/>
    <n v="20"/>
    <d v="1997-09-29T00:00:00"/>
  </r>
  <r>
    <n v="10685"/>
    <x v="3"/>
    <n v="620"/>
    <n v="20"/>
    <d v="1997-09-29T00:00:00"/>
  </r>
  <r>
    <n v="10685"/>
    <x v="4"/>
    <n v="620"/>
    <n v="20"/>
    <d v="1997-09-29T00:00:00"/>
  </r>
  <r>
    <n v="10685"/>
    <x v="5"/>
    <n v="620"/>
    <n v="20"/>
    <d v="1997-09-29T00:00:00"/>
  </r>
  <r>
    <n v="10685"/>
    <x v="6"/>
    <n v="620"/>
    <n v="20"/>
    <d v="1997-09-29T00:00:00"/>
  </r>
  <r>
    <n v="10685"/>
    <x v="7"/>
    <n v="620"/>
    <n v="20"/>
    <d v="1997-09-29T00:00:00"/>
  </r>
  <r>
    <n v="10685"/>
    <x v="0"/>
    <n v="38.6"/>
    <n v="4"/>
    <d v="1997-09-29T00:00:00"/>
  </r>
  <r>
    <n v="10685"/>
    <x v="1"/>
    <n v="38.6"/>
    <n v="4"/>
    <d v="1997-09-29T00:00:00"/>
  </r>
  <r>
    <n v="10685"/>
    <x v="2"/>
    <n v="38.6"/>
    <n v="4"/>
    <d v="1997-09-29T00:00:00"/>
  </r>
  <r>
    <n v="10685"/>
    <x v="3"/>
    <n v="38.6"/>
    <n v="4"/>
    <d v="1997-09-29T00:00:00"/>
  </r>
  <r>
    <n v="10685"/>
    <x v="4"/>
    <n v="38.6"/>
    <n v="4"/>
    <d v="1997-09-29T00:00:00"/>
  </r>
  <r>
    <n v="10685"/>
    <x v="5"/>
    <n v="38.6"/>
    <n v="4"/>
    <d v="1997-09-29T00:00:00"/>
  </r>
  <r>
    <n v="10685"/>
    <x v="6"/>
    <n v="38.6"/>
    <n v="4"/>
    <d v="1997-09-29T00:00:00"/>
  </r>
  <r>
    <n v="10685"/>
    <x v="7"/>
    <n v="38.6"/>
    <n v="4"/>
    <d v="1997-09-29T00:00:00"/>
  </r>
  <r>
    <n v="10685"/>
    <x v="0"/>
    <n v="142.5"/>
    <n v="15"/>
    <d v="1997-09-29T00:00:00"/>
  </r>
  <r>
    <n v="10685"/>
    <x v="1"/>
    <n v="142.5"/>
    <n v="15"/>
    <d v="1997-09-29T00:00:00"/>
  </r>
  <r>
    <n v="10685"/>
    <x v="2"/>
    <n v="142.5"/>
    <n v="15"/>
    <d v="1997-09-29T00:00:00"/>
  </r>
  <r>
    <n v="10685"/>
    <x v="3"/>
    <n v="142.5"/>
    <n v="15"/>
    <d v="1997-09-29T00:00:00"/>
  </r>
  <r>
    <n v="10685"/>
    <x v="4"/>
    <n v="142.5"/>
    <n v="15"/>
    <d v="1997-09-29T00:00:00"/>
  </r>
  <r>
    <n v="10685"/>
    <x v="5"/>
    <n v="142.5"/>
    <n v="15"/>
    <d v="1997-09-29T00:00:00"/>
  </r>
  <r>
    <n v="10685"/>
    <x v="6"/>
    <n v="142.5"/>
    <n v="15"/>
    <d v="1997-09-29T00:00:00"/>
  </r>
  <r>
    <n v="10685"/>
    <x v="7"/>
    <n v="142.5"/>
    <n v="15"/>
    <d v="1997-09-29T00:00:00"/>
  </r>
  <r>
    <n v="10686"/>
    <x v="0"/>
    <n v="935.99999651312828"/>
    <n v="30"/>
    <d v="1997-09-30T00:00:00"/>
  </r>
  <r>
    <n v="10686"/>
    <x v="1"/>
    <n v="935.99999651312828"/>
    <n v="30"/>
    <d v="1997-09-30T00:00:00"/>
  </r>
  <r>
    <n v="10686"/>
    <x v="2"/>
    <n v="935.99999651312828"/>
    <n v="30"/>
    <d v="1997-09-30T00:00:00"/>
  </r>
  <r>
    <n v="10686"/>
    <x v="3"/>
    <n v="935.99999651312828"/>
    <n v="30"/>
    <d v="1997-09-30T00:00:00"/>
  </r>
  <r>
    <n v="10686"/>
    <x v="4"/>
    <n v="935.99999651312828"/>
    <n v="30"/>
    <d v="1997-09-30T00:00:00"/>
  </r>
  <r>
    <n v="10686"/>
    <x v="5"/>
    <n v="935.99999651312828"/>
    <n v="30"/>
    <d v="1997-09-30T00:00:00"/>
  </r>
  <r>
    <n v="10686"/>
    <x v="6"/>
    <n v="935.99999651312828"/>
    <n v="30"/>
    <d v="1997-09-30T00:00:00"/>
  </r>
  <r>
    <n v="10686"/>
    <x v="7"/>
    <n v="935.99999651312828"/>
    <n v="30"/>
    <d v="1997-09-30T00:00:00"/>
  </r>
  <r>
    <n v="10686"/>
    <x v="0"/>
    <n v="468.45"/>
    <n v="15"/>
    <d v="1997-09-30T00:00:00"/>
  </r>
  <r>
    <n v="10686"/>
    <x v="1"/>
    <n v="468.45"/>
    <n v="15"/>
    <d v="1997-09-30T00:00:00"/>
  </r>
  <r>
    <n v="10686"/>
    <x v="2"/>
    <n v="468.45"/>
    <n v="15"/>
    <d v="1997-09-30T00:00:00"/>
  </r>
  <r>
    <n v="10686"/>
    <x v="3"/>
    <n v="468.45"/>
    <n v="15"/>
    <d v="1997-09-30T00:00:00"/>
  </r>
  <r>
    <n v="10686"/>
    <x v="4"/>
    <n v="468.45"/>
    <n v="15"/>
    <d v="1997-09-30T00:00:00"/>
  </r>
  <r>
    <n v="10686"/>
    <x v="5"/>
    <n v="468.45"/>
    <n v="15"/>
    <d v="1997-09-30T00:00:00"/>
  </r>
  <r>
    <n v="10686"/>
    <x v="6"/>
    <n v="468.45"/>
    <n v="15"/>
    <d v="1997-09-30T00:00:00"/>
  </r>
  <r>
    <n v="10686"/>
    <x v="7"/>
    <n v="468.45"/>
    <n v="15"/>
    <d v="1997-09-30T00:00:00"/>
  </r>
  <r>
    <n v="10687"/>
    <x v="0"/>
    <n v="3637.5"/>
    <n v="50"/>
    <d v="1997-09-30T00:00:00"/>
  </r>
  <r>
    <n v="10687"/>
    <x v="1"/>
    <n v="3637.5"/>
    <n v="50"/>
    <d v="1997-09-30T00:00:00"/>
  </r>
  <r>
    <n v="10687"/>
    <x v="2"/>
    <n v="3637.5"/>
    <n v="50"/>
    <d v="1997-09-30T00:00:00"/>
  </r>
  <r>
    <n v="10687"/>
    <x v="3"/>
    <n v="3637.5"/>
    <n v="50"/>
    <d v="1997-09-30T00:00:00"/>
  </r>
  <r>
    <n v="10687"/>
    <x v="4"/>
    <n v="3637.5"/>
    <n v="50"/>
    <d v="1997-09-30T00:00:00"/>
  </r>
  <r>
    <n v="10687"/>
    <x v="5"/>
    <n v="3637.5"/>
    <n v="50"/>
    <d v="1997-09-30T00:00:00"/>
  </r>
  <r>
    <n v="10687"/>
    <x v="6"/>
    <n v="3637.5"/>
    <n v="50"/>
    <d v="1997-09-30T00:00:00"/>
  </r>
  <r>
    <n v="10687"/>
    <x v="7"/>
    <n v="3637.5"/>
    <n v="50"/>
    <d v="1997-09-30T00:00:00"/>
  </r>
  <r>
    <n v="10687"/>
    <x v="0"/>
    <n v="1237.9000000000001"/>
    <n v="10"/>
    <d v="1997-09-30T00:00:00"/>
  </r>
  <r>
    <n v="10687"/>
    <x v="1"/>
    <n v="1237.9000000000001"/>
    <n v="10"/>
    <d v="1997-09-30T00:00:00"/>
  </r>
  <r>
    <n v="10687"/>
    <x v="2"/>
    <n v="1237.9000000000001"/>
    <n v="10"/>
    <d v="1997-09-30T00:00:00"/>
  </r>
  <r>
    <n v="10687"/>
    <x v="3"/>
    <n v="1237.9000000000001"/>
    <n v="10"/>
    <d v="1997-09-30T00:00:00"/>
  </r>
  <r>
    <n v="10687"/>
    <x v="4"/>
    <n v="1237.9000000000001"/>
    <n v="10"/>
    <d v="1997-09-30T00:00:00"/>
  </r>
  <r>
    <n v="10687"/>
    <x v="5"/>
    <n v="1237.9000000000001"/>
    <n v="10"/>
    <d v="1997-09-30T00:00:00"/>
  </r>
  <r>
    <n v="10687"/>
    <x v="6"/>
    <n v="1237.9000000000001"/>
    <n v="10"/>
    <d v="1997-09-30T00:00:00"/>
  </r>
  <r>
    <n v="10687"/>
    <x v="7"/>
    <n v="1237.9000000000001"/>
    <n v="10"/>
    <d v="1997-09-30T00:00:00"/>
  </r>
  <r>
    <n v="10687"/>
    <x v="0"/>
    <n v="85.5"/>
    <n v="6"/>
    <d v="1997-09-30T00:00:00"/>
  </r>
  <r>
    <n v="10687"/>
    <x v="1"/>
    <n v="85.5"/>
    <n v="6"/>
    <d v="1997-09-30T00:00:00"/>
  </r>
  <r>
    <n v="10687"/>
    <x v="2"/>
    <n v="85.5"/>
    <n v="6"/>
    <d v="1997-09-30T00:00:00"/>
  </r>
  <r>
    <n v="10687"/>
    <x v="3"/>
    <n v="85.5"/>
    <n v="6"/>
    <d v="1997-09-30T00:00:00"/>
  </r>
  <r>
    <n v="10687"/>
    <x v="4"/>
    <n v="85.5"/>
    <n v="6"/>
    <d v="1997-09-30T00:00:00"/>
  </r>
  <r>
    <n v="10687"/>
    <x v="5"/>
    <n v="85.5"/>
    <n v="6"/>
    <d v="1997-09-30T00:00:00"/>
  </r>
  <r>
    <n v="10687"/>
    <x v="6"/>
    <n v="85.5"/>
    <n v="6"/>
    <d v="1997-09-30T00:00:00"/>
  </r>
  <r>
    <n v="10687"/>
    <x v="7"/>
    <n v="85.5"/>
    <n v="6"/>
    <d v="1997-09-30T00:00:00"/>
  </r>
  <r>
    <n v="10688"/>
    <x v="0"/>
    <n v="502.19999916851521"/>
    <n v="18"/>
    <d v="1997-10-01T00:00:00"/>
  </r>
  <r>
    <n v="10688"/>
    <x v="1"/>
    <n v="502.19999916851521"/>
    <n v="18"/>
    <d v="1997-10-01T00:00:00"/>
  </r>
  <r>
    <n v="10688"/>
    <x v="2"/>
    <n v="502.19999916851521"/>
    <n v="18"/>
    <d v="1997-10-01T00:00:00"/>
  </r>
  <r>
    <n v="10688"/>
    <x v="3"/>
    <n v="502.19999916851521"/>
    <n v="18"/>
    <d v="1997-10-01T00:00:00"/>
  </r>
  <r>
    <n v="10688"/>
    <x v="4"/>
    <n v="502.19999916851521"/>
    <n v="18"/>
    <d v="1997-10-01T00:00:00"/>
  </r>
  <r>
    <n v="10688"/>
    <x v="5"/>
    <n v="502.19999916851521"/>
    <n v="18"/>
    <d v="1997-10-01T00:00:00"/>
  </r>
  <r>
    <n v="10688"/>
    <x v="6"/>
    <n v="502.19999916851521"/>
    <n v="18"/>
    <d v="1997-10-01T00:00:00"/>
  </r>
  <r>
    <n v="10688"/>
    <x v="7"/>
    <n v="502.19999916851521"/>
    <n v="18"/>
    <d v="1997-10-01T00:00:00"/>
  </r>
  <r>
    <n v="10688"/>
    <x v="0"/>
    <n v="2462.3999959230423"/>
    <n v="60"/>
    <d v="1997-10-01T00:00:00"/>
  </r>
  <r>
    <n v="10688"/>
    <x v="1"/>
    <n v="2462.3999959230423"/>
    <n v="60"/>
    <d v="1997-10-01T00:00:00"/>
  </r>
  <r>
    <n v="10688"/>
    <x v="2"/>
    <n v="2462.3999959230423"/>
    <n v="60"/>
    <d v="1997-10-01T00:00:00"/>
  </r>
  <r>
    <n v="10688"/>
    <x v="3"/>
    <n v="2462.3999959230423"/>
    <n v="60"/>
    <d v="1997-10-01T00:00:00"/>
  </r>
  <r>
    <n v="10688"/>
    <x v="4"/>
    <n v="2462.3999959230423"/>
    <n v="60"/>
    <d v="1997-10-01T00:00:00"/>
  </r>
  <r>
    <n v="10688"/>
    <x v="5"/>
    <n v="2462.3999959230423"/>
    <n v="60"/>
    <d v="1997-10-01T00:00:00"/>
  </r>
  <r>
    <n v="10688"/>
    <x v="6"/>
    <n v="2462.3999959230423"/>
    <n v="60"/>
    <d v="1997-10-01T00:00:00"/>
  </r>
  <r>
    <n v="10688"/>
    <x v="7"/>
    <n v="2462.3999959230423"/>
    <n v="60"/>
    <d v="1997-10-01T00:00:00"/>
  </r>
  <r>
    <n v="10688"/>
    <x v="0"/>
    <n v="196"/>
    <n v="14"/>
    <d v="1997-10-01T00:00:00"/>
  </r>
  <r>
    <n v="10688"/>
    <x v="1"/>
    <n v="196"/>
    <n v="14"/>
    <d v="1997-10-01T00:00:00"/>
  </r>
  <r>
    <n v="10688"/>
    <x v="2"/>
    <n v="196"/>
    <n v="14"/>
    <d v="1997-10-01T00:00:00"/>
  </r>
  <r>
    <n v="10688"/>
    <x v="3"/>
    <n v="196"/>
    <n v="14"/>
    <d v="1997-10-01T00:00:00"/>
  </r>
  <r>
    <n v="10688"/>
    <x v="4"/>
    <n v="196"/>
    <n v="14"/>
    <d v="1997-10-01T00:00:00"/>
  </r>
  <r>
    <n v="10688"/>
    <x v="5"/>
    <n v="196"/>
    <n v="14"/>
    <d v="1997-10-01T00:00:00"/>
  </r>
  <r>
    <n v="10688"/>
    <x v="6"/>
    <n v="196"/>
    <n v="14"/>
    <d v="1997-10-01T00:00:00"/>
  </r>
  <r>
    <n v="10688"/>
    <x v="7"/>
    <n v="196"/>
    <n v="14"/>
    <d v="1997-10-01T00:00:00"/>
  </r>
  <r>
    <n v="10689"/>
    <x v="0"/>
    <n v="472.5"/>
    <n v="35"/>
    <d v="1997-10-01T00:00:00"/>
  </r>
  <r>
    <n v="10689"/>
    <x v="1"/>
    <n v="472.5"/>
    <n v="35"/>
    <d v="1997-10-01T00:00:00"/>
  </r>
  <r>
    <n v="10689"/>
    <x v="2"/>
    <n v="472.5"/>
    <n v="35"/>
    <d v="1997-10-01T00:00:00"/>
  </r>
  <r>
    <n v="10689"/>
    <x v="3"/>
    <n v="472.5"/>
    <n v="35"/>
    <d v="1997-10-01T00:00:00"/>
  </r>
  <r>
    <n v="10689"/>
    <x v="4"/>
    <n v="472.5"/>
    <n v="35"/>
    <d v="1997-10-01T00:00:00"/>
  </r>
  <r>
    <n v="10689"/>
    <x v="5"/>
    <n v="472.5"/>
    <n v="35"/>
    <d v="1997-10-01T00:00:00"/>
  </r>
  <r>
    <n v="10689"/>
    <x v="6"/>
    <n v="472.5"/>
    <n v="35"/>
    <d v="1997-10-01T00:00:00"/>
  </r>
  <r>
    <n v="10689"/>
    <x v="7"/>
    <n v="472.5"/>
    <n v="35"/>
    <d v="1997-10-01T00:00:00"/>
  </r>
  <r>
    <n v="10690"/>
    <x v="0"/>
    <n v="570"/>
    <n v="20"/>
    <d v="1997-10-02T00:00:00"/>
  </r>
  <r>
    <n v="10690"/>
    <x v="1"/>
    <n v="570"/>
    <n v="20"/>
    <d v="1997-10-02T00:00:00"/>
  </r>
  <r>
    <n v="10690"/>
    <x v="2"/>
    <n v="570"/>
    <n v="20"/>
    <d v="1997-10-02T00:00:00"/>
  </r>
  <r>
    <n v="10690"/>
    <x v="3"/>
    <n v="570"/>
    <n v="20"/>
    <d v="1997-10-02T00:00:00"/>
  </r>
  <r>
    <n v="10690"/>
    <x v="4"/>
    <n v="570"/>
    <n v="20"/>
    <d v="1997-10-02T00:00:00"/>
  </r>
  <r>
    <n v="10690"/>
    <x v="5"/>
    <n v="570"/>
    <n v="20"/>
    <d v="1997-10-02T00:00:00"/>
  </r>
  <r>
    <n v="10690"/>
    <x v="6"/>
    <n v="570"/>
    <n v="20"/>
    <d v="1997-10-02T00:00:00"/>
  </r>
  <r>
    <n v="10690"/>
    <x v="7"/>
    <n v="570"/>
    <n v="20"/>
    <d v="1997-10-02T00:00:00"/>
  </r>
  <r>
    <n v="10690"/>
    <x v="0"/>
    <n v="292.5"/>
    <n v="30"/>
    <d v="1997-10-02T00:00:00"/>
  </r>
  <r>
    <n v="10690"/>
    <x v="1"/>
    <n v="292.5"/>
    <n v="30"/>
    <d v="1997-10-02T00:00:00"/>
  </r>
  <r>
    <n v="10690"/>
    <x v="2"/>
    <n v="292.5"/>
    <n v="30"/>
    <d v="1997-10-02T00:00:00"/>
  </r>
  <r>
    <n v="10690"/>
    <x v="3"/>
    <n v="292.5"/>
    <n v="30"/>
    <d v="1997-10-02T00:00:00"/>
  </r>
  <r>
    <n v="10690"/>
    <x v="4"/>
    <n v="292.5"/>
    <n v="30"/>
    <d v="1997-10-02T00:00:00"/>
  </r>
  <r>
    <n v="10690"/>
    <x v="5"/>
    <n v="292.5"/>
    <n v="30"/>
    <d v="1997-10-02T00:00:00"/>
  </r>
  <r>
    <n v="10690"/>
    <x v="6"/>
    <n v="292.5"/>
    <n v="30"/>
    <d v="1997-10-02T00:00:00"/>
  </r>
  <r>
    <n v="10690"/>
    <x v="7"/>
    <n v="292.5"/>
    <n v="30"/>
    <d v="1997-10-02T00:00:00"/>
  </r>
  <r>
    <n v="10691"/>
    <x v="0"/>
    <n v="540"/>
    <n v="30"/>
    <d v="1997-10-03T00:00:00"/>
  </r>
  <r>
    <n v="10691"/>
    <x v="1"/>
    <n v="540"/>
    <n v="30"/>
    <d v="1997-10-03T00:00:00"/>
  </r>
  <r>
    <n v="10691"/>
    <x v="2"/>
    <n v="540"/>
    <n v="30"/>
    <d v="1997-10-03T00:00:00"/>
  </r>
  <r>
    <n v="10691"/>
    <x v="3"/>
    <n v="540"/>
    <n v="30"/>
    <d v="1997-10-03T00:00:00"/>
  </r>
  <r>
    <n v="10691"/>
    <x v="4"/>
    <n v="540"/>
    <n v="30"/>
    <d v="1997-10-03T00:00:00"/>
  </r>
  <r>
    <n v="10691"/>
    <x v="5"/>
    <n v="540"/>
    <n v="30"/>
    <d v="1997-10-03T00:00:00"/>
  </r>
  <r>
    <n v="10691"/>
    <x v="6"/>
    <n v="540"/>
    <n v="30"/>
    <d v="1997-10-03T00:00:00"/>
  </r>
  <r>
    <n v="10691"/>
    <x v="7"/>
    <n v="540"/>
    <n v="30"/>
    <d v="1997-10-03T00:00:00"/>
  </r>
  <r>
    <n v="10691"/>
    <x v="0"/>
    <n v="4951.6000000000004"/>
    <n v="40"/>
    <d v="1997-10-03T00:00:00"/>
  </r>
  <r>
    <n v="10691"/>
    <x v="1"/>
    <n v="4951.6000000000004"/>
    <n v="40"/>
    <d v="1997-10-03T00:00:00"/>
  </r>
  <r>
    <n v="10691"/>
    <x v="2"/>
    <n v="4951.6000000000004"/>
    <n v="40"/>
    <d v="1997-10-03T00:00:00"/>
  </r>
  <r>
    <n v="10691"/>
    <x v="3"/>
    <n v="4951.6000000000004"/>
    <n v="40"/>
    <d v="1997-10-03T00:00:00"/>
  </r>
  <r>
    <n v="10691"/>
    <x v="4"/>
    <n v="4951.6000000000004"/>
    <n v="40"/>
    <d v="1997-10-03T00:00:00"/>
  </r>
  <r>
    <n v="10691"/>
    <x v="5"/>
    <n v="4951.6000000000004"/>
    <n v="40"/>
    <d v="1997-10-03T00:00:00"/>
  </r>
  <r>
    <n v="10691"/>
    <x v="6"/>
    <n v="4951.6000000000004"/>
    <n v="40"/>
    <d v="1997-10-03T00:00:00"/>
  </r>
  <r>
    <n v="10691"/>
    <x v="7"/>
    <n v="4951.6000000000004"/>
    <n v="40"/>
    <d v="1997-10-03T00:00:00"/>
  </r>
  <r>
    <n v="10691"/>
    <x v="0"/>
    <n v="1840"/>
    <n v="40"/>
    <d v="1997-10-03T00:00:00"/>
  </r>
  <r>
    <n v="10691"/>
    <x v="1"/>
    <n v="1840"/>
    <n v="40"/>
    <d v="1997-10-03T00:00:00"/>
  </r>
  <r>
    <n v="10691"/>
    <x v="2"/>
    <n v="1840"/>
    <n v="40"/>
    <d v="1997-10-03T00:00:00"/>
  </r>
  <r>
    <n v="10691"/>
    <x v="3"/>
    <n v="1840"/>
    <n v="40"/>
    <d v="1997-10-03T00:00:00"/>
  </r>
  <r>
    <n v="10691"/>
    <x v="4"/>
    <n v="1840"/>
    <n v="40"/>
    <d v="1997-10-03T00:00:00"/>
  </r>
  <r>
    <n v="10691"/>
    <x v="5"/>
    <n v="1840"/>
    <n v="40"/>
    <d v="1997-10-03T00:00:00"/>
  </r>
  <r>
    <n v="10691"/>
    <x v="6"/>
    <n v="1840"/>
    <n v="40"/>
    <d v="1997-10-03T00:00:00"/>
  </r>
  <r>
    <n v="10691"/>
    <x v="7"/>
    <n v="1840"/>
    <n v="40"/>
    <d v="1997-10-03T00:00:00"/>
  </r>
  <r>
    <n v="10691"/>
    <x v="0"/>
    <n v="466.8"/>
    <n v="24"/>
    <d v="1997-10-03T00:00:00"/>
  </r>
  <r>
    <n v="10691"/>
    <x v="1"/>
    <n v="466.8"/>
    <n v="24"/>
    <d v="1997-10-03T00:00:00"/>
  </r>
  <r>
    <n v="10691"/>
    <x v="2"/>
    <n v="466.8"/>
    <n v="24"/>
    <d v="1997-10-03T00:00:00"/>
  </r>
  <r>
    <n v="10691"/>
    <x v="3"/>
    <n v="466.8"/>
    <n v="24"/>
    <d v="1997-10-03T00:00:00"/>
  </r>
  <r>
    <n v="10691"/>
    <x v="4"/>
    <n v="466.8"/>
    <n v="24"/>
    <d v="1997-10-03T00:00:00"/>
  </r>
  <r>
    <n v="10691"/>
    <x v="5"/>
    <n v="466.8"/>
    <n v="24"/>
    <d v="1997-10-03T00:00:00"/>
  </r>
  <r>
    <n v="10691"/>
    <x v="6"/>
    <n v="466.8"/>
    <n v="24"/>
    <d v="1997-10-03T00:00:00"/>
  </r>
  <r>
    <n v="10691"/>
    <x v="7"/>
    <n v="466.8"/>
    <n v="24"/>
    <d v="1997-10-03T00:00:00"/>
  </r>
  <r>
    <n v="10691"/>
    <x v="0"/>
    <n v="2366.4"/>
    <n v="48"/>
    <d v="1997-10-03T00:00:00"/>
  </r>
  <r>
    <n v="10691"/>
    <x v="1"/>
    <n v="2366.4"/>
    <n v="48"/>
    <d v="1997-10-03T00:00:00"/>
  </r>
  <r>
    <n v="10691"/>
    <x v="2"/>
    <n v="2366.4"/>
    <n v="48"/>
    <d v="1997-10-03T00:00:00"/>
  </r>
  <r>
    <n v="10691"/>
    <x v="3"/>
    <n v="2366.4"/>
    <n v="48"/>
    <d v="1997-10-03T00:00:00"/>
  </r>
  <r>
    <n v="10691"/>
    <x v="4"/>
    <n v="2366.4"/>
    <n v="48"/>
    <d v="1997-10-03T00:00:00"/>
  </r>
  <r>
    <n v="10691"/>
    <x v="5"/>
    <n v="2366.4"/>
    <n v="48"/>
    <d v="1997-10-03T00:00:00"/>
  </r>
  <r>
    <n v="10691"/>
    <x v="6"/>
    <n v="2366.4"/>
    <n v="48"/>
    <d v="1997-10-03T00:00:00"/>
  </r>
  <r>
    <n v="10691"/>
    <x v="7"/>
    <n v="2366.4"/>
    <n v="48"/>
    <d v="1997-10-03T00:00:00"/>
  </r>
  <r>
    <n v="10692"/>
    <x v="0"/>
    <n v="878"/>
    <n v="20"/>
    <d v="1997-10-03T00:00:00"/>
  </r>
  <r>
    <n v="10692"/>
    <x v="1"/>
    <n v="878"/>
    <n v="20"/>
    <d v="1997-10-03T00:00:00"/>
  </r>
  <r>
    <n v="10692"/>
    <x v="2"/>
    <n v="878"/>
    <n v="20"/>
    <d v="1997-10-03T00:00:00"/>
  </r>
  <r>
    <n v="10692"/>
    <x v="3"/>
    <n v="878"/>
    <n v="20"/>
    <d v="1997-10-03T00:00:00"/>
  </r>
  <r>
    <n v="10692"/>
    <x v="4"/>
    <n v="878"/>
    <n v="20"/>
    <d v="1997-10-03T00:00:00"/>
  </r>
  <r>
    <n v="10692"/>
    <x v="5"/>
    <n v="878"/>
    <n v="20"/>
    <d v="1997-10-03T00:00:00"/>
  </r>
  <r>
    <n v="10692"/>
    <x v="6"/>
    <n v="878"/>
    <n v="20"/>
    <d v="1997-10-03T00:00:00"/>
  </r>
  <r>
    <n v="10692"/>
    <x v="7"/>
    <n v="878"/>
    <n v="20"/>
    <d v="1997-10-03T00:00:00"/>
  </r>
  <r>
    <n v="10693"/>
    <x v="0"/>
    <n v="582"/>
    <n v="6"/>
    <d v="1997-10-06T00:00:00"/>
  </r>
  <r>
    <n v="10693"/>
    <x v="1"/>
    <n v="582"/>
    <n v="6"/>
    <d v="1997-10-06T00:00:00"/>
  </r>
  <r>
    <n v="10693"/>
    <x v="2"/>
    <n v="582"/>
    <n v="6"/>
    <d v="1997-10-06T00:00:00"/>
  </r>
  <r>
    <n v="10693"/>
    <x v="3"/>
    <n v="582"/>
    <n v="6"/>
    <d v="1997-10-06T00:00:00"/>
  </r>
  <r>
    <n v="10693"/>
    <x v="4"/>
    <n v="582"/>
    <n v="6"/>
    <d v="1997-10-06T00:00:00"/>
  </r>
  <r>
    <n v="10693"/>
    <x v="5"/>
    <n v="582"/>
    <n v="6"/>
    <d v="1997-10-06T00:00:00"/>
  </r>
  <r>
    <n v="10693"/>
    <x v="6"/>
    <n v="582"/>
    <n v="6"/>
    <d v="1997-10-06T00:00:00"/>
  </r>
  <r>
    <n v="10693"/>
    <x v="7"/>
    <n v="582"/>
    <n v="6"/>
    <d v="1997-10-06T00:00:00"/>
  </r>
  <r>
    <n v="10693"/>
    <x v="0"/>
    <n v="379.94999733567238"/>
    <n v="60"/>
    <d v="1997-10-06T00:00:00"/>
  </r>
  <r>
    <n v="10693"/>
    <x v="1"/>
    <n v="379.94999733567238"/>
    <n v="60"/>
    <d v="1997-10-06T00:00:00"/>
  </r>
  <r>
    <n v="10693"/>
    <x v="2"/>
    <n v="379.94999733567238"/>
    <n v="60"/>
    <d v="1997-10-06T00:00:00"/>
  </r>
  <r>
    <n v="10693"/>
    <x v="3"/>
    <n v="379.94999733567238"/>
    <n v="60"/>
    <d v="1997-10-06T00:00:00"/>
  </r>
  <r>
    <n v="10693"/>
    <x v="4"/>
    <n v="379.94999733567238"/>
    <n v="60"/>
    <d v="1997-10-06T00:00:00"/>
  </r>
  <r>
    <n v="10693"/>
    <x v="5"/>
    <n v="379.94999733567238"/>
    <n v="60"/>
    <d v="1997-10-06T00:00:00"/>
  </r>
  <r>
    <n v="10693"/>
    <x v="6"/>
    <n v="379.94999733567238"/>
    <n v="60"/>
    <d v="1997-10-06T00:00:00"/>
  </r>
  <r>
    <n v="10693"/>
    <x v="7"/>
    <n v="379.94999733567238"/>
    <n v="60"/>
    <d v="1997-10-06T00:00:00"/>
  </r>
  <r>
    <n v="10693"/>
    <x v="0"/>
    <n v="917.99999356269836"/>
    <n v="30"/>
    <d v="1997-10-06T00:00:00"/>
  </r>
  <r>
    <n v="10693"/>
    <x v="1"/>
    <n v="917.99999356269836"/>
    <n v="30"/>
    <d v="1997-10-06T00:00:00"/>
  </r>
  <r>
    <n v="10693"/>
    <x v="2"/>
    <n v="917.99999356269836"/>
    <n v="30"/>
    <d v="1997-10-06T00:00:00"/>
  </r>
  <r>
    <n v="10693"/>
    <x v="3"/>
    <n v="917.99999356269836"/>
    <n v="30"/>
    <d v="1997-10-06T00:00:00"/>
  </r>
  <r>
    <n v="10693"/>
    <x v="4"/>
    <n v="917.99999356269836"/>
    <n v="30"/>
    <d v="1997-10-06T00:00:00"/>
  </r>
  <r>
    <n v="10693"/>
    <x v="5"/>
    <n v="917.99999356269836"/>
    <n v="30"/>
    <d v="1997-10-06T00:00:00"/>
  </r>
  <r>
    <n v="10693"/>
    <x v="6"/>
    <n v="917.99999356269836"/>
    <n v="30"/>
    <d v="1997-10-06T00:00:00"/>
  </r>
  <r>
    <n v="10693"/>
    <x v="7"/>
    <n v="917.99999356269836"/>
    <n v="30"/>
    <d v="1997-10-06T00:00:00"/>
  </r>
  <r>
    <n v="10693"/>
    <x v="0"/>
    <n v="191.24999865889549"/>
    <n v="15"/>
    <d v="1997-10-06T00:00:00"/>
  </r>
  <r>
    <n v="10693"/>
    <x v="1"/>
    <n v="191.24999865889549"/>
    <n v="15"/>
    <d v="1997-10-06T00:00:00"/>
  </r>
  <r>
    <n v="10693"/>
    <x v="2"/>
    <n v="191.24999865889549"/>
    <n v="15"/>
    <d v="1997-10-06T00:00:00"/>
  </r>
  <r>
    <n v="10693"/>
    <x v="3"/>
    <n v="191.24999865889549"/>
    <n v="15"/>
    <d v="1997-10-06T00:00:00"/>
  </r>
  <r>
    <n v="10693"/>
    <x v="4"/>
    <n v="191.24999865889549"/>
    <n v="15"/>
    <d v="1997-10-06T00:00:00"/>
  </r>
  <r>
    <n v="10693"/>
    <x v="5"/>
    <n v="191.24999865889549"/>
    <n v="15"/>
    <d v="1997-10-06T00:00:00"/>
  </r>
  <r>
    <n v="10693"/>
    <x v="6"/>
    <n v="191.24999865889549"/>
    <n v="15"/>
    <d v="1997-10-06T00:00:00"/>
  </r>
  <r>
    <n v="10693"/>
    <x v="7"/>
    <n v="191.24999865889549"/>
    <n v="15"/>
    <d v="1997-10-06T00:00:00"/>
  </r>
  <r>
    <n v="10694"/>
    <x v="0"/>
    <n v="2700"/>
    <n v="90"/>
    <d v="1997-10-06T00:00:00"/>
  </r>
  <r>
    <n v="10694"/>
    <x v="1"/>
    <n v="2700"/>
    <n v="90"/>
    <d v="1997-10-06T00:00:00"/>
  </r>
  <r>
    <n v="10694"/>
    <x v="2"/>
    <n v="2700"/>
    <n v="90"/>
    <d v="1997-10-06T00:00:00"/>
  </r>
  <r>
    <n v="10694"/>
    <x v="3"/>
    <n v="2700"/>
    <n v="90"/>
    <d v="1997-10-06T00:00:00"/>
  </r>
  <r>
    <n v="10694"/>
    <x v="4"/>
    <n v="2700"/>
    <n v="90"/>
    <d v="1997-10-06T00:00:00"/>
  </r>
  <r>
    <n v="10694"/>
    <x v="5"/>
    <n v="2700"/>
    <n v="90"/>
    <d v="1997-10-06T00:00:00"/>
  </r>
  <r>
    <n v="10694"/>
    <x v="6"/>
    <n v="2700"/>
    <n v="90"/>
    <d v="1997-10-06T00:00:00"/>
  </r>
  <r>
    <n v="10694"/>
    <x v="7"/>
    <n v="2700"/>
    <n v="90"/>
    <d v="1997-10-06T00:00:00"/>
  </r>
  <r>
    <n v="10694"/>
    <x v="0"/>
    <n v="1375"/>
    <n v="25"/>
    <d v="1997-10-06T00:00:00"/>
  </r>
  <r>
    <n v="10694"/>
    <x v="1"/>
    <n v="1375"/>
    <n v="25"/>
    <d v="1997-10-06T00:00:00"/>
  </r>
  <r>
    <n v="10694"/>
    <x v="2"/>
    <n v="1375"/>
    <n v="25"/>
    <d v="1997-10-06T00:00:00"/>
  </r>
  <r>
    <n v="10694"/>
    <x v="3"/>
    <n v="1375"/>
    <n v="25"/>
    <d v="1997-10-06T00:00:00"/>
  </r>
  <r>
    <n v="10694"/>
    <x v="4"/>
    <n v="1375"/>
    <n v="25"/>
    <d v="1997-10-06T00:00:00"/>
  </r>
  <r>
    <n v="10694"/>
    <x v="5"/>
    <n v="1375"/>
    <n v="25"/>
    <d v="1997-10-06T00:00:00"/>
  </r>
  <r>
    <n v="10694"/>
    <x v="6"/>
    <n v="1375"/>
    <n v="25"/>
    <d v="1997-10-06T00:00:00"/>
  </r>
  <r>
    <n v="10694"/>
    <x v="7"/>
    <n v="1375"/>
    <n v="25"/>
    <d v="1997-10-06T00:00:00"/>
  </r>
  <r>
    <n v="10694"/>
    <x v="0"/>
    <n v="750"/>
    <n v="50"/>
    <d v="1997-10-06T00:00:00"/>
  </r>
  <r>
    <n v="10694"/>
    <x v="1"/>
    <n v="750"/>
    <n v="50"/>
    <d v="1997-10-06T00:00:00"/>
  </r>
  <r>
    <n v="10694"/>
    <x v="2"/>
    <n v="750"/>
    <n v="50"/>
    <d v="1997-10-06T00:00:00"/>
  </r>
  <r>
    <n v="10694"/>
    <x v="3"/>
    <n v="750"/>
    <n v="50"/>
    <d v="1997-10-06T00:00:00"/>
  </r>
  <r>
    <n v="10694"/>
    <x v="4"/>
    <n v="750"/>
    <n v="50"/>
    <d v="1997-10-06T00:00:00"/>
  </r>
  <r>
    <n v="10694"/>
    <x v="5"/>
    <n v="750"/>
    <n v="50"/>
    <d v="1997-10-06T00:00:00"/>
  </r>
  <r>
    <n v="10694"/>
    <x v="6"/>
    <n v="750"/>
    <n v="50"/>
    <d v="1997-10-06T00:00:00"/>
  </r>
  <r>
    <n v="10694"/>
    <x v="7"/>
    <n v="750"/>
    <n v="50"/>
    <d v="1997-10-06T00:00:00"/>
  </r>
  <r>
    <n v="10695"/>
    <x v="0"/>
    <n v="400"/>
    <n v="10"/>
    <d v="1997-10-07T00:00:00"/>
  </r>
  <r>
    <n v="10695"/>
    <x v="1"/>
    <n v="400"/>
    <n v="10"/>
    <d v="1997-10-07T00:00:00"/>
  </r>
  <r>
    <n v="10695"/>
    <x v="2"/>
    <n v="400"/>
    <n v="10"/>
    <d v="1997-10-07T00:00:00"/>
  </r>
  <r>
    <n v="10695"/>
    <x v="3"/>
    <n v="400"/>
    <n v="10"/>
    <d v="1997-10-07T00:00:00"/>
  </r>
  <r>
    <n v="10695"/>
    <x v="4"/>
    <n v="400"/>
    <n v="10"/>
    <d v="1997-10-07T00:00:00"/>
  </r>
  <r>
    <n v="10695"/>
    <x v="5"/>
    <n v="400"/>
    <n v="10"/>
    <d v="1997-10-07T00:00:00"/>
  </r>
  <r>
    <n v="10695"/>
    <x v="6"/>
    <n v="400"/>
    <n v="10"/>
    <d v="1997-10-07T00:00:00"/>
  </r>
  <r>
    <n v="10695"/>
    <x v="7"/>
    <n v="400"/>
    <n v="10"/>
    <d v="1997-10-07T00:00:00"/>
  </r>
  <r>
    <n v="10695"/>
    <x v="0"/>
    <n v="152"/>
    <n v="4"/>
    <d v="1997-10-07T00:00:00"/>
  </r>
  <r>
    <n v="10695"/>
    <x v="1"/>
    <n v="152"/>
    <n v="4"/>
    <d v="1997-10-07T00:00:00"/>
  </r>
  <r>
    <n v="10695"/>
    <x v="2"/>
    <n v="152"/>
    <n v="4"/>
    <d v="1997-10-07T00:00:00"/>
  </r>
  <r>
    <n v="10695"/>
    <x v="3"/>
    <n v="152"/>
    <n v="4"/>
    <d v="1997-10-07T00:00:00"/>
  </r>
  <r>
    <n v="10695"/>
    <x v="4"/>
    <n v="152"/>
    <n v="4"/>
    <d v="1997-10-07T00:00:00"/>
  </r>
  <r>
    <n v="10695"/>
    <x v="5"/>
    <n v="152"/>
    <n v="4"/>
    <d v="1997-10-07T00:00:00"/>
  </r>
  <r>
    <n v="10695"/>
    <x v="6"/>
    <n v="152"/>
    <n v="4"/>
    <d v="1997-10-07T00:00:00"/>
  </r>
  <r>
    <n v="10695"/>
    <x v="7"/>
    <n v="152"/>
    <n v="4"/>
    <d v="1997-10-07T00:00:00"/>
  </r>
  <r>
    <n v="10695"/>
    <x v="0"/>
    <n v="90"/>
    <n v="20"/>
    <d v="1997-10-07T00:00:00"/>
  </r>
  <r>
    <n v="10695"/>
    <x v="1"/>
    <n v="90"/>
    <n v="20"/>
    <d v="1997-10-07T00:00:00"/>
  </r>
  <r>
    <n v="10695"/>
    <x v="2"/>
    <n v="90"/>
    <n v="20"/>
    <d v="1997-10-07T00:00:00"/>
  </r>
  <r>
    <n v="10695"/>
    <x v="3"/>
    <n v="90"/>
    <n v="20"/>
    <d v="1997-10-07T00:00:00"/>
  </r>
  <r>
    <n v="10695"/>
    <x v="4"/>
    <n v="90"/>
    <n v="20"/>
    <d v="1997-10-07T00:00:00"/>
  </r>
  <r>
    <n v="10695"/>
    <x v="5"/>
    <n v="90"/>
    <n v="20"/>
    <d v="1997-10-07T00:00:00"/>
  </r>
  <r>
    <n v="10695"/>
    <x v="6"/>
    <n v="90"/>
    <n v="20"/>
    <d v="1997-10-07T00:00:00"/>
  </r>
  <r>
    <n v="10695"/>
    <x v="7"/>
    <n v="90"/>
    <n v="20"/>
    <d v="1997-10-07T00:00:00"/>
  </r>
  <r>
    <n v="10696"/>
    <x v="0"/>
    <n v="780"/>
    <n v="20"/>
    <d v="1997-10-08T00:00:00"/>
  </r>
  <r>
    <n v="10696"/>
    <x v="1"/>
    <n v="780"/>
    <n v="20"/>
    <d v="1997-10-08T00:00:00"/>
  </r>
  <r>
    <n v="10696"/>
    <x v="2"/>
    <n v="780"/>
    <n v="20"/>
    <d v="1997-10-08T00:00:00"/>
  </r>
  <r>
    <n v="10696"/>
    <x v="3"/>
    <n v="780"/>
    <n v="20"/>
    <d v="1997-10-08T00:00:00"/>
  </r>
  <r>
    <n v="10696"/>
    <x v="4"/>
    <n v="780"/>
    <n v="20"/>
    <d v="1997-10-08T00:00:00"/>
  </r>
  <r>
    <n v="10696"/>
    <x v="5"/>
    <n v="780"/>
    <n v="20"/>
    <d v="1997-10-08T00:00:00"/>
  </r>
  <r>
    <n v="10696"/>
    <x v="6"/>
    <n v="780"/>
    <n v="20"/>
    <d v="1997-10-08T00:00:00"/>
  </r>
  <r>
    <n v="10696"/>
    <x v="7"/>
    <n v="780"/>
    <n v="20"/>
    <d v="1997-10-08T00:00:00"/>
  </r>
  <r>
    <n v="10696"/>
    <x v="0"/>
    <n v="216"/>
    <n v="18"/>
    <d v="1997-10-08T00:00:00"/>
  </r>
  <r>
    <n v="10696"/>
    <x v="1"/>
    <n v="216"/>
    <n v="18"/>
    <d v="1997-10-08T00:00:00"/>
  </r>
  <r>
    <n v="10696"/>
    <x v="2"/>
    <n v="216"/>
    <n v="18"/>
    <d v="1997-10-08T00:00:00"/>
  </r>
  <r>
    <n v="10696"/>
    <x v="3"/>
    <n v="216"/>
    <n v="18"/>
    <d v="1997-10-08T00:00:00"/>
  </r>
  <r>
    <n v="10696"/>
    <x v="4"/>
    <n v="216"/>
    <n v="18"/>
    <d v="1997-10-08T00:00:00"/>
  </r>
  <r>
    <n v="10696"/>
    <x v="5"/>
    <n v="216"/>
    <n v="18"/>
    <d v="1997-10-08T00:00:00"/>
  </r>
  <r>
    <n v="10696"/>
    <x v="6"/>
    <n v="216"/>
    <n v="18"/>
    <d v="1997-10-08T00:00:00"/>
  </r>
  <r>
    <n v="10696"/>
    <x v="7"/>
    <n v="216"/>
    <n v="18"/>
    <d v="1997-10-08T00:00:00"/>
  </r>
  <r>
    <n v="10697"/>
    <x v="0"/>
    <n v="48.300000000000004"/>
    <n v="7"/>
    <d v="1997-10-08T00:00:00"/>
  </r>
  <r>
    <n v="10697"/>
    <x v="1"/>
    <n v="48.300000000000004"/>
    <n v="7"/>
    <d v="1997-10-08T00:00:00"/>
  </r>
  <r>
    <n v="10697"/>
    <x v="2"/>
    <n v="48.300000000000004"/>
    <n v="7"/>
    <d v="1997-10-08T00:00:00"/>
  </r>
  <r>
    <n v="10697"/>
    <x v="3"/>
    <n v="48.300000000000004"/>
    <n v="7"/>
    <d v="1997-10-08T00:00:00"/>
  </r>
  <r>
    <n v="10697"/>
    <x v="4"/>
    <n v="48.300000000000004"/>
    <n v="7"/>
    <d v="1997-10-08T00:00:00"/>
  </r>
  <r>
    <n v="10697"/>
    <x v="5"/>
    <n v="48.300000000000004"/>
    <n v="7"/>
    <d v="1997-10-08T00:00:00"/>
  </r>
  <r>
    <n v="10697"/>
    <x v="6"/>
    <n v="48.300000000000004"/>
    <n v="7"/>
    <d v="1997-10-08T00:00:00"/>
  </r>
  <r>
    <n v="10697"/>
    <x v="7"/>
    <n v="48.300000000000004"/>
    <n v="7"/>
    <d v="1997-10-08T00:00:00"/>
  </r>
  <r>
    <n v="10697"/>
    <x v="0"/>
    <n v="121.5"/>
    <n v="9"/>
    <d v="1997-10-08T00:00:00"/>
  </r>
  <r>
    <n v="10697"/>
    <x v="1"/>
    <n v="121.5"/>
    <n v="9"/>
    <d v="1997-10-08T00:00:00"/>
  </r>
  <r>
    <n v="10697"/>
    <x v="2"/>
    <n v="121.5"/>
    <n v="9"/>
    <d v="1997-10-08T00:00:00"/>
  </r>
  <r>
    <n v="10697"/>
    <x v="3"/>
    <n v="121.5"/>
    <n v="9"/>
    <d v="1997-10-08T00:00:00"/>
  </r>
  <r>
    <n v="10697"/>
    <x v="4"/>
    <n v="121.5"/>
    <n v="9"/>
    <d v="1997-10-08T00:00:00"/>
  </r>
  <r>
    <n v="10697"/>
    <x v="5"/>
    <n v="121.5"/>
    <n v="9"/>
    <d v="1997-10-08T00:00:00"/>
  </r>
  <r>
    <n v="10697"/>
    <x v="6"/>
    <n v="121.5"/>
    <n v="9"/>
    <d v="1997-10-08T00:00:00"/>
  </r>
  <r>
    <n v="10697"/>
    <x v="7"/>
    <n v="121.5"/>
    <n v="9"/>
    <d v="1997-10-08T00:00:00"/>
  </r>
  <r>
    <n v="10697"/>
    <x v="0"/>
    <n v="298.125"/>
    <n v="30"/>
    <d v="1997-10-08T00:00:00"/>
  </r>
  <r>
    <n v="10697"/>
    <x v="1"/>
    <n v="298.125"/>
    <n v="30"/>
    <d v="1997-10-08T00:00:00"/>
  </r>
  <r>
    <n v="10697"/>
    <x v="2"/>
    <n v="298.125"/>
    <n v="30"/>
    <d v="1997-10-08T00:00:00"/>
  </r>
  <r>
    <n v="10697"/>
    <x v="3"/>
    <n v="298.125"/>
    <n v="30"/>
    <d v="1997-10-08T00:00:00"/>
  </r>
  <r>
    <n v="10697"/>
    <x v="4"/>
    <n v="298.125"/>
    <n v="30"/>
    <d v="1997-10-08T00:00:00"/>
  </r>
  <r>
    <n v="10697"/>
    <x v="5"/>
    <n v="298.125"/>
    <n v="30"/>
    <d v="1997-10-08T00:00:00"/>
  </r>
  <r>
    <n v="10697"/>
    <x v="6"/>
    <n v="298.125"/>
    <n v="30"/>
    <d v="1997-10-08T00:00:00"/>
  </r>
  <r>
    <n v="10697"/>
    <x v="7"/>
    <n v="298.125"/>
    <n v="30"/>
    <d v="1997-10-08T00:00:00"/>
  </r>
  <r>
    <n v="10697"/>
    <x v="0"/>
    <n v="337.5"/>
    <n v="30"/>
    <d v="1997-10-08T00:00:00"/>
  </r>
  <r>
    <n v="10697"/>
    <x v="1"/>
    <n v="337.5"/>
    <n v="30"/>
    <d v="1997-10-08T00:00:00"/>
  </r>
  <r>
    <n v="10697"/>
    <x v="2"/>
    <n v="337.5"/>
    <n v="30"/>
    <d v="1997-10-08T00:00:00"/>
  </r>
  <r>
    <n v="10697"/>
    <x v="3"/>
    <n v="337.5"/>
    <n v="30"/>
    <d v="1997-10-08T00:00:00"/>
  </r>
  <r>
    <n v="10697"/>
    <x v="4"/>
    <n v="337.5"/>
    <n v="30"/>
    <d v="1997-10-08T00:00:00"/>
  </r>
  <r>
    <n v="10697"/>
    <x v="5"/>
    <n v="337.5"/>
    <n v="30"/>
    <d v="1997-10-08T00:00:00"/>
  </r>
  <r>
    <n v="10697"/>
    <x v="6"/>
    <n v="337.5"/>
    <n v="30"/>
    <d v="1997-10-08T00:00:00"/>
  </r>
  <r>
    <n v="10697"/>
    <x v="7"/>
    <n v="337.5"/>
    <n v="30"/>
    <d v="1997-10-08T00:00:00"/>
  </r>
  <r>
    <n v="10698"/>
    <x v="0"/>
    <n v="315"/>
    <n v="15"/>
    <d v="1997-10-09T00:00:00"/>
  </r>
  <r>
    <n v="10698"/>
    <x v="1"/>
    <n v="315"/>
    <n v="15"/>
    <d v="1997-10-09T00:00:00"/>
  </r>
  <r>
    <n v="10698"/>
    <x v="2"/>
    <n v="315"/>
    <n v="15"/>
    <d v="1997-10-09T00:00:00"/>
  </r>
  <r>
    <n v="10698"/>
    <x v="3"/>
    <n v="315"/>
    <n v="15"/>
    <d v="1997-10-09T00:00:00"/>
  </r>
  <r>
    <n v="10698"/>
    <x v="4"/>
    <n v="315"/>
    <n v="15"/>
    <d v="1997-10-09T00:00:00"/>
  </r>
  <r>
    <n v="10698"/>
    <x v="5"/>
    <n v="315"/>
    <n v="15"/>
    <d v="1997-10-09T00:00:00"/>
  </r>
  <r>
    <n v="10698"/>
    <x v="6"/>
    <n v="315"/>
    <n v="15"/>
    <d v="1997-10-09T00:00:00"/>
  </r>
  <r>
    <n v="10698"/>
    <x v="7"/>
    <n v="315"/>
    <n v="15"/>
    <d v="1997-10-09T00:00:00"/>
  </r>
  <r>
    <n v="10698"/>
    <x v="0"/>
    <n v="296.39999976754189"/>
    <n v="8"/>
    <d v="1997-10-09T00:00:00"/>
  </r>
  <r>
    <n v="10698"/>
    <x v="1"/>
    <n v="296.39999976754189"/>
    <n v="8"/>
    <d v="1997-10-09T00:00:00"/>
  </r>
  <r>
    <n v="10698"/>
    <x v="2"/>
    <n v="296.39999976754189"/>
    <n v="8"/>
    <d v="1997-10-09T00:00:00"/>
  </r>
  <r>
    <n v="10698"/>
    <x v="3"/>
    <n v="296.39999976754189"/>
    <n v="8"/>
    <d v="1997-10-09T00:00:00"/>
  </r>
  <r>
    <n v="10698"/>
    <x v="4"/>
    <n v="296.39999976754189"/>
    <n v="8"/>
    <d v="1997-10-09T00:00:00"/>
  </r>
  <r>
    <n v="10698"/>
    <x v="5"/>
    <n v="296.39999976754189"/>
    <n v="8"/>
    <d v="1997-10-09T00:00:00"/>
  </r>
  <r>
    <n v="10698"/>
    <x v="6"/>
    <n v="296.39999976754189"/>
    <n v="8"/>
    <d v="1997-10-09T00:00:00"/>
  </r>
  <r>
    <n v="10698"/>
    <x v="7"/>
    <n v="296.39999976754189"/>
    <n v="8"/>
    <d v="1997-10-09T00:00:00"/>
  </r>
  <r>
    <n v="10698"/>
    <x v="0"/>
    <n v="1411.2059988932313"/>
    <n v="12"/>
    <d v="1997-10-09T00:00:00"/>
  </r>
  <r>
    <n v="10698"/>
    <x v="1"/>
    <n v="1411.2059988932313"/>
    <n v="12"/>
    <d v="1997-10-09T00:00:00"/>
  </r>
  <r>
    <n v="10698"/>
    <x v="2"/>
    <n v="1411.2059988932313"/>
    <n v="12"/>
    <d v="1997-10-09T00:00:00"/>
  </r>
  <r>
    <n v="10698"/>
    <x v="3"/>
    <n v="1411.2059988932313"/>
    <n v="12"/>
    <d v="1997-10-09T00:00:00"/>
  </r>
  <r>
    <n v="10698"/>
    <x v="4"/>
    <n v="1411.2059988932313"/>
    <n v="12"/>
    <d v="1997-10-09T00:00:00"/>
  </r>
  <r>
    <n v="10698"/>
    <x v="5"/>
    <n v="1411.2059988932313"/>
    <n v="12"/>
    <d v="1997-10-09T00:00:00"/>
  </r>
  <r>
    <n v="10698"/>
    <x v="6"/>
    <n v="1411.2059988932313"/>
    <n v="12"/>
    <d v="1997-10-09T00:00:00"/>
  </r>
  <r>
    <n v="10698"/>
    <x v="7"/>
    <n v="1411.2059988932313"/>
    <n v="12"/>
    <d v="1997-10-09T00:00:00"/>
  </r>
  <r>
    <n v="10698"/>
    <x v="0"/>
    <n v="1299.8374989805743"/>
    <n v="65"/>
    <d v="1997-10-09T00:00:00"/>
  </r>
  <r>
    <n v="10698"/>
    <x v="1"/>
    <n v="1299.8374989805743"/>
    <n v="65"/>
    <d v="1997-10-09T00:00:00"/>
  </r>
  <r>
    <n v="10698"/>
    <x v="2"/>
    <n v="1299.8374989805743"/>
    <n v="65"/>
    <d v="1997-10-09T00:00:00"/>
  </r>
  <r>
    <n v="10698"/>
    <x v="3"/>
    <n v="1299.8374989805743"/>
    <n v="65"/>
    <d v="1997-10-09T00:00:00"/>
  </r>
  <r>
    <n v="10698"/>
    <x v="4"/>
    <n v="1299.8374989805743"/>
    <n v="65"/>
    <d v="1997-10-09T00:00:00"/>
  </r>
  <r>
    <n v="10698"/>
    <x v="5"/>
    <n v="1299.8374989805743"/>
    <n v="65"/>
    <d v="1997-10-09T00:00:00"/>
  </r>
  <r>
    <n v="10698"/>
    <x v="6"/>
    <n v="1299.8374989805743"/>
    <n v="65"/>
    <d v="1997-10-09T00:00:00"/>
  </r>
  <r>
    <n v="10698"/>
    <x v="7"/>
    <n v="1299.8374989805743"/>
    <n v="65"/>
    <d v="1997-10-09T00:00:00"/>
  </r>
  <r>
    <n v="10698"/>
    <x v="0"/>
    <n v="113.99999991059303"/>
    <n v="8"/>
    <d v="1997-10-09T00:00:00"/>
  </r>
  <r>
    <n v="10698"/>
    <x v="1"/>
    <n v="113.99999991059303"/>
    <n v="8"/>
    <d v="1997-10-09T00:00:00"/>
  </r>
  <r>
    <n v="10698"/>
    <x v="2"/>
    <n v="113.99999991059303"/>
    <n v="8"/>
    <d v="1997-10-09T00:00:00"/>
  </r>
  <r>
    <n v="10698"/>
    <x v="3"/>
    <n v="113.99999991059303"/>
    <n v="8"/>
    <d v="1997-10-09T00:00:00"/>
  </r>
  <r>
    <n v="10698"/>
    <x v="4"/>
    <n v="113.99999991059303"/>
    <n v="8"/>
    <d v="1997-10-09T00:00:00"/>
  </r>
  <r>
    <n v="10698"/>
    <x v="5"/>
    <n v="113.99999991059303"/>
    <n v="8"/>
    <d v="1997-10-09T00:00:00"/>
  </r>
  <r>
    <n v="10698"/>
    <x v="6"/>
    <n v="113.99999991059303"/>
    <n v="8"/>
    <d v="1997-10-09T00:00:00"/>
  </r>
  <r>
    <n v="10698"/>
    <x v="7"/>
    <n v="113.99999991059303"/>
    <n v="8"/>
    <d v="1997-10-09T00:00:00"/>
  </r>
  <r>
    <n v="10699"/>
    <x v="0"/>
    <n v="114"/>
    <n v="12"/>
    <d v="1997-10-09T00:00:00"/>
  </r>
  <r>
    <n v="10699"/>
    <x v="1"/>
    <n v="114"/>
    <n v="12"/>
    <d v="1997-10-09T00:00:00"/>
  </r>
  <r>
    <n v="10699"/>
    <x v="2"/>
    <n v="114"/>
    <n v="12"/>
    <d v="1997-10-09T00:00:00"/>
  </r>
  <r>
    <n v="10699"/>
    <x v="3"/>
    <n v="114"/>
    <n v="12"/>
    <d v="1997-10-09T00:00:00"/>
  </r>
  <r>
    <n v="10699"/>
    <x v="4"/>
    <n v="114"/>
    <n v="12"/>
    <d v="1997-10-09T00:00:00"/>
  </r>
  <r>
    <n v="10699"/>
    <x v="5"/>
    <n v="114"/>
    <n v="12"/>
    <d v="1997-10-09T00:00:00"/>
  </r>
  <r>
    <n v="10699"/>
    <x v="6"/>
    <n v="114"/>
    <n v="12"/>
    <d v="1997-10-09T00:00:00"/>
  </r>
  <r>
    <n v="10699"/>
    <x v="7"/>
    <n v="114"/>
    <n v="12"/>
    <d v="1997-10-09T00:00:00"/>
  </r>
  <r>
    <n v="10700"/>
    <x v="0"/>
    <n v="71.999999731779099"/>
    <n v="5"/>
    <d v="1997-10-10T00:00:00"/>
  </r>
  <r>
    <n v="10700"/>
    <x v="1"/>
    <n v="71.999999731779099"/>
    <n v="5"/>
    <d v="1997-10-10T00:00:00"/>
  </r>
  <r>
    <n v="10700"/>
    <x v="2"/>
    <n v="71.999999731779099"/>
    <n v="5"/>
    <d v="1997-10-10T00:00:00"/>
  </r>
  <r>
    <n v="10700"/>
    <x v="3"/>
    <n v="71.999999731779099"/>
    <n v="5"/>
    <d v="1997-10-10T00:00:00"/>
  </r>
  <r>
    <n v="10700"/>
    <x v="4"/>
    <n v="71.999999731779099"/>
    <n v="5"/>
    <d v="1997-10-10T00:00:00"/>
  </r>
  <r>
    <n v="10700"/>
    <x v="5"/>
    <n v="71.999999731779099"/>
    <n v="5"/>
    <d v="1997-10-10T00:00:00"/>
  </r>
  <r>
    <n v="10700"/>
    <x v="6"/>
    <n v="71.999999731779099"/>
    <n v="5"/>
    <d v="1997-10-10T00:00:00"/>
  </r>
  <r>
    <n v="10700"/>
    <x v="7"/>
    <n v="71.999999731779099"/>
    <n v="5"/>
    <d v="1997-10-10T00:00:00"/>
  </r>
  <r>
    <n v="10700"/>
    <x v="0"/>
    <n v="134.39999949932098"/>
    <n v="12"/>
    <d v="1997-10-10T00:00:00"/>
  </r>
  <r>
    <n v="10700"/>
    <x v="1"/>
    <n v="134.39999949932098"/>
    <n v="12"/>
    <d v="1997-10-10T00:00:00"/>
  </r>
  <r>
    <n v="10700"/>
    <x v="2"/>
    <n v="134.39999949932098"/>
    <n v="12"/>
    <d v="1997-10-10T00:00:00"/>
  </r>
  <r>
    <n v="10700"/>
    <x v="3"/>
    <n v="134.39999949932098"/>
    <n v="12"/>
    <d v="1997-10-10T00:00:00"/>
  </r>
  <r>
    <n v="10700"/>
    <x v="4"/>
    <n v="134.39999949932098"/>
    <n v="12"/>
    <d v="1997-10-10T00:00:00"/>
  </r>
  <r>
    <n v="10700"/>
    <x v="5"/>
    <n v="134.39999949932098"/>
    <n v="12"/>
    <d v="1997-10-10T00:00:00"/>
  </r>
  <r>
    <n v="10700"/>
    <x v="6"/>
    <n v="134.39999949932098"/>
    <n v="12"/>
    <d v="1997-10-10T00:00:00"/>
  </r>
  <r>
    <n v="10700"/>
    <x v="7"/>
    <n v="134.39999949932098"/>
    <n v="12"/>
    <d v="1997-10-10T00:00:00"/>
  </r>
  <r>
    <n v="10700"/>
    <x v="0"/>
    <n v="399.99999850988388"/>
    <n v="40"/>
    <d v="1997-10-10T00:00:00"/>
  </r>
  <r>
    <n v="10700"/>
    <x v="1"/>
    <n v="399.99999850988388"/>
    <n v="40"/>
    <d v="1997-10-10T00:00:00"/>
  </r>
  <r>
    <n v="10700"/>
    <x v="2"/>
    <n v="399.99999850988388"/>
    <n v="40"/>
    <d v="1997-10-10T00:00:00"/>
  </r>
  <r>
    <n v="10700"/>
    <x v="3"/>
    <n v="399.99999850988388"/>
    <n v="40"/>
    <d v="1997-10-10T00:00:00"/>
  </r>
  <r>
    <n v="10700"/>
    <x v="4"/>
    <n v="399.99999850988388"/>
    <n v="40"/>
    <d v="1997-10-10T00:00:00"/>
  </r>
  <r>
    <n v="10700"/>
    <x v="5"/>
    <n v="399.99999850988388"/>
    <n v="40"/>
    <d v="1997-10-10T00:00:00"/>
  </r>
  <r>
    <n v="10700"/>
    <x v="6"/>
    <n v="399.99999850988388"/>
    <n v="40"/>
    <d v="1997-10-10T00:00:00"/>
  </r>
  <r>
    <n v="10700"/>
    <x v="7"/>
    <n v="399.99999850988388"/>
    <n v="40"/>
    <d v="1997-10-10T00:00:00"/>
  </r>
  <r>
    <n v="10700"/>
    <x v="0"/>
    <n v="1031.9999961555004"/>
    <n v="60"/>
    <d v="1997-10-10T00:00:00"/>
  </r>
  <r>
    <n v="10700"/>
    <x v="1"/>
    <n v="1031.9999961555004"/>
    <n v="60"/>
    <d v="1997-10-10T00:00:00"/>
  </r>
  <r>
    <n v="10700"/>
    <x v="2"/>
    <n v="1031.9999961555004"/>
    <n v="60"/>
    <d v="1997-10-10T00:00:00"/>
  </r>
  <r>
    <n v="10700"/>
    <x v="3"/>
    <n v="1031.9999961555004"/>
    <n v="60"/>
    <d v="1997-10-10T00:00:00"/>
  </r>
  <r>
    <n v="10700"/>
    <x v="4"/>
    <n v="1031.9999961555004"/>
    <n v="60"/>
    <d v="1997-10-10T00:00:00"/>
  </r>
  <r>
    <n v="10700"/>
    <x v="5"/>
    <n v="1031.9999961555004"/>
    <n v="60"/>
    <d v="1997-10-10T00:00:00"/>
  </r>
  <r>
    <n v="10700"/>
    <x v="6"/>
    <n v="1031.9999961555004"/>
    <n v="60"/>
    <d v="1997-10-10T00:00:00"/>
  </r>
  <r>
    <n v="10700"/>
    <x v="7"/>
    <n v="1031.9999961555004"/>
    <n v="60"/>
    <d v="1997-10-10T00:00:00"/>
  </r>
  <r>
    <n v="10701"/>
    <x v="0"/>
    <n v="1963.4999862313271"/>
    <n v="42"/>
    <d v="1997-10-13T00:00:00"/>
  </r>
  <r>
    <n v="10701"/>
    <x v="1"/>
    <n v="1963.4999862313271"/>
    <n v="42"/>
    <d v="1997-10-13T00:00:00"/>
  </r>
  <r>
    <n v="10701"/>
    <x v="2"/>
    <n v="1963.4999862313271"/>
    <n v="42"/>
    <d v="1997-10-13T00:00:00"/>
  </r>
  <r>
    <n v="10701"/>
    <x v="3"/>
    <n v="1963.4999862313271"/>
    <n v="42"/>
    <d v="1997-10-13T00:00:00"/>
  </r>
  <r>
    <n v="10701"/>
    <x v="4"/>
    <n v="1963.4999862313271"/>
    <n v="42"/>
    <d v="1997-10-13T00:00:00"/>
  </r>
  <r>
    <n v="10701"/>
    <x v="5"/>
    <n v="1963.4999862313271"/>
    <n v="42"/>
    <d v="1997-10-13T00:00:00"/>
  </r>
  <r>
    <n v="10701"/>
    <x v="6"/>
    <n v="1963.4999862313271"/>
    <n v="42"/>
    <d v="1997-10-13T00:00:00"/>
  </r>
  <r>
    <n v="10701"/>
    <x v="7"/>
    <n v="1963.4999862313271"/>
    <n v="42"/>
    <d v="1997-10-13T00:00:00"/>
  </r>
  <r>
    <n v="10701"/>
    <x v="0"/>
    <n v="365.49999743700027"/>
    <n v="20"/>
    <d v="1997-10-13T00:00:00"/>
  </r>
  <r>
    <n v="10701"/>
    <x v="1"/>
    <n v="365.49999743700027"/>
    <n v="20"/>
    <d v="1997-10-13T00:00:00"/>
  </r>
  <r>
    <n v="10701"/>
    <x v="2"/>
    <n v="365.49999743700027"/>
    <n v="20"/>
    <d v="1997-10-13T00:00:00"/>
  </r>
  <r>
    <n v="10701"/>
    <x v="3"/>
    <n v="365.49999743700027"/>
    <n v="20"/>
    <d v="1997-10-13T00:00:00"/>
  </r>
  <r>
    <n v="10701"/>
    <x v="4"/>
    <n v="365.49999743700027"/>
    <n v="20"/>
    <d v="1997-10-13T00:00:00"/>
  </r>
  <r>
    <n v="10701"/>
    <x v="5"/>
    <n v="365.49999743700027"/>
    <n v="20"/>
    <d v="1997-10-13T00:00:00"/>
  </r>
  <r>
    <n v="10701"/>
    <x v="6"/>
    <n v="365.49999743700027"/>
    <n v="20"/>
    <d v="1997-10-13T00:00:00"/>
  </r>
  <r>
    <n v="10701"/>
    <x v="7"/>
    <n v="365.49999743700027"/>
    <n v="20"/>
    <d v="1997-10-13T00:00:00"/>
  </r>
  <r>
    <n v="10701"/>
    <x v="0"/>
    <n v="535.49999624490738"/>
    <n v="35"/>
    <d v="1997-10-13T00:00:00"/>
  </r>
  <r>
    <n v="10701"/>
    <x v="1"/>
    <n v="535.49999624490738"/>
    <n v="35"/>
    <d v="1997-10-13T00:00:00"/>
  </r>
  <r>
    <n v="10701"/>
    <x v="2"/>
    <n v="535.49999624490738"/>
    <n v="35"/>
    <d v="1997-10-13T00:00:00"/>
  </r>
  <r>
    <n v="10701"/>
    <x v="3"/>
    <n v="535.49999624490738"/>
    <n v="35"/>
    <d v="1997-10-13T00:00:00"/>
  </r>
  <r>
    <n v="10701"/>
    <x v="4"/>
    <n v="535.49999624490738"/>
    <n v="35"/>
    <d v="1997-10-13T00:00:00"/>
  </r>
  <r>
    <n v="10701"/>
    <x v="5"/>
    <n v="535.49999624490738"/>
    <n v="35"/>
    <d v="1997-10-13T00:00:00"/>
  </r>
  <r>
    <n v="10701"/>
    <x v="6"/>
    <n v="535.49999624490738"/>
    <n v="35"/>
    <d v="1997-10-13T00:00:00"/>
  </r>
  <r>
    <n v="10701"/>
    <x v="7"/>
    <n v="535.49999624490738"/>
    <n v="35"/>
    <d v="1997-10-13T00:00:00"/>
  </r>
  <r>
    <n v="10702"/>
    <x v="0"/>
    <n v="60"/>
    <n v="6"/>
    <d v="1997-10-13T00:00:00"/>
  </r>
  <r>
    <n v="10702"/>
    <x v="1"/>
    <n v="60"/>
    <n v="6"/>
    <d v="1997-10-13T00:00:00"/>
  </r>
  <r>
    <n v="10702"/>
    <x v="2"/>
    <n v="60"/>
    <n v="6"/>
    <d v="1997-10-13T00:00:00"/>
  </r>
  <r>
    <n v="10702"/>
    <x v="3"/>
    <n v="60"/>
    <n v="6"/>
    <d v="1997-10-13T00:00:00"/>
  </r>
  <r>
    <n v="10702"/>
    <x v="4"/>
    <n v="60"/>
    <n v="6"/>
    <d v="1997-10-13T00:00:00"/>
  </r>
  <r>
    <n v="10702"/>
    <x v="5"/>
    <n v="60"/>
    <n v="6"/>
    <d v="1997-10-13T00:00:00"/>
  </r>
  <r>
    <n v="10702"/>
    <x v="6"/>
    <n v="60"/>
    <n v="6"/>
    <d v="1997-10-13T00:00:00"/>
  </r>
  <r>
    <n v="10702"/>
    <x v="7"/>
    <n v="60"/>
    <n v="6"/>
    <d v="1997-10-13T00:00:00"/>
  </r>
  <r>
    <n v="10702"/>
    <x v="0"/>
    <n v="270"/>
    <n v="15"/>
    <d v="1997-10-13T00:00:00"/>
  </r>
  <r>
    <n v="10702"/>
    <x v="1"/>
    <n v="270"/>
    <n v="15"/>
    <d v="1997-10-13T00:00:00"/>
  </r>
  <r>
    <n v="10702"/>
    <x v="2"/>
    <n v="270"/>
    <n v="15"/>
    <d v="1997-10-13T00:00:00"/>
  </r>
  <r>
    <n v="10702"/>
    <x v="3"/>
    <n v="270"/>
    <n v="15"/>
    <d v="1997-10-13T00:00:00"/>
  </r>
  <r>
    <n v="10702"/>
    <x v="4"/>
    <n v="270"/>
    <n v="15"/>
    <d v="1997-10-13T00:00:00"/>
  </r>
  <r>
    <n v="10702"/>
    <x v="5"/>
    <n v="270"/>
    <n v="15"/>
    <d v="1997-10-13T00:00:00"/>
  </r>
  <r>
    <n v="10702"/>
    <x v="6"/>
    <n v="270"/>
    <n v="15"/>
    <d v="1997-10-13T00:00:00"/>
  </r>
  <r>
    <n v="10702"/>
    <x v="7"/>
    <n v="270"/>
    <n v="15"/>
    <d v="1997-10-13T00:00:00"/>
  </r>
  <r>
    <n v="10703"/>
    <x v="0"/>
    <n v="95"/>
    <n v="5"/>
    <d v="1997-10-14T00:00:00"/>
  </r>
  <r>
    <n v="10703"/>
    <x v="1"/>
    <n v="95"/>
    <n v="5"/>
    <d v="1997-10-14T00:00:00"/>
  </r>
  <r>
    <n v="10703"/>
    <x v="2"/>
    <n v="95"/>
    <n v="5"/>
    <d v="1997-10-14T00:00:00"/>
  </r>
  <r>
    <n v="10703"/>
    <x v="3"/>
    <n v="95"/>
    <n v="5"/>
    <d v="1997-10-14T00:00:00"/>
  </r>
  <r>
    <n v="10703"/>
    <x v="4"/>
    <n v="95"/>
    <n v="5"/>
    <d v="1997-10-14T00:00:00"/>
  </r>
  <r>
    <n v="10703"/>
    <x v="5"/>
    <n v="95"/>
    <n v="5"/>
    <d v="1997-10-14T00:00:00"/>
  </r>
  <r>
    <n v="10703"/>
    <x v="6"/>
    <n v="95"/>
    <n v="5"/>
    <d v="1997-10-14T00:00:00"/>
  </r>
  <r>
    <n v="10703"/>
    <x v="7"/>
    <n v="95"/>
    <n v="5"/>
    <d v="1997-10-14T00:00:00"/>
  </r>
  <r>
    <n v="10703"/>
    <x v="0"/>
    <n v="1925"/>
    <n v="35"/>
    <d v="1997-10-14T00:00:00"/>
  </r>
  <r>
    <n v="10703"/>
    <x v="1"/>
    <n v="1925"/>
    <n v="35"/>
    <d v="1997-10-14T00:00:00"/>
  </r>
  <r>
    <n v="10703"/>
    <x v="2"/>
    <n v="1925"/>
    <n v="35"/>
    <d v="1997-10-14T00:00:00"/>
  </r>
  <r>
    <n v="10703"/>
    <x v="3"/>
    <n v="1925"/>
    <n v="35"/>
    <d v="1997-10-14T00:00:00"/>
  </r>
  <r>
    <n v="10703"/>
    <x v="4"/>
    <n v="1925"/>
    <n v="35"/>
    <d v="1997-10-14T00:00:00"/>
  </r>
  <r>
    <n v="10703"/>
    <x v="5"/>
    <n v="1925"/>
    <n v="35"/>
    <d v="1997-10-14T00:00:00"/>
  </r>
  <r>
    <n v="10703"/>
    <x v="6"/>
    <n v="1925"/>
    <n v="35"/>
    <d v="1997-10-14T00:00:00"/>
  </r>
  <r>
    <n v="10703"/>
    <x v="7"/>
    <n v="1925"/>
    <n v="35"/>
    <d v="1997-10-14T00:00:00"/>
  </r>
  <r>
    <n v="10703"/>
    <x v="0"/>
    <n v="525"/>
    <n v="35"/>
    <d v="1997-10-14T00:00:00"/>
  </r>
  <r>
    <n v="10703"/>
    <x v="1"/>
    <n v="525"/>
    <n v="35"/>
    <d v="1997-10-14T00:00:00"/>
  </r>
  <r>
    <n v="10703"/>
    <x v="2"/>
    <n v="525"/>
    <n v="35"/>
    <d v="1997-10-14T00:00:00"/>
  </r>
  <r>
    <n v="10703"/>
    <x v="3"/>
    <n v="525"/>
    <n v="35"/>
    <d v="1997-10-14T00:00:00"/>
  </r>
  <r>
    <n v="10703"/>
    <x v="4"/>
    <n v="525"/>
    <n v="35"/>
    <d v="1997-10-14T00:00:00"/>
  </r>
  <r>
    <n v="10703"/>
    <x v="5"/>
    <n v="525"/>
    <n v="35"/>
    <d v="1997-10-14T00:00:00"/>
  </r>
  <r>
    <n v="10703"/>
    <x v="6"/>
    <n v="525"/>
    <n v="35"/>
    <d v="1997-10-14T00:00:00"/>
  </r>
  <r>
    <n v="10703"/>
    <x v="7"/>
    <n v="525"/>
    <n v="35"/>
    <d v="1997-10-14T00:00:00"/>
  </r>
  <r>
    <n v="10704"/>
    <x v="0"/>
    <n v="132"/>
    <n v="6"/>
    <d v="1997-10-14T00:00:00"/>
  </r>
  <r>
    <n v="10704"/>
    <x v="1"/>
    <n v="132"/>
    <n v="6"/>
    <d v="1997-10-14T00:00:00"/>
  </r>
  <r>
    <n v="10704"/>
    <x v="2"/>
    <n v="132"/>
    <n v="6"/>
    <d v="1997-10-14T00:00:00"/>
  </r>
  <r>
    <n v="10704"/>
    <x v="3"/>
    <n v="132"/>
    <n v="6"/>
    <d v="1997-10-14T00:00:00"/>
  </r>
  <r>
    <n v="10704"/>
    <x v="4"/>
    <n v="132"/>
    <n v="6"/>
    <d v="1997-10-14T00:00:00"/>
  </r>
  <r>
    <n v="10704"/>
    <x v="5"/>
    <n v="132"/>
    <n v="6"/>
    <d v="1997-10-14T00:00:00"/>
  </r>
  <r>
    <n v="10704"/>
    <x v="6"/>
    <n v="132"/>
    <n v="6"/>
    <d v="1997-10-14T00:00:00"/>
  </r>
  <r>
    <n v="10704"/>
    <x v="7"/>
    <n v="132"/>
    <n v="6"/>
    <d v="1997-10-14T00:00:00"/>
  </r>
  <r>
    <n v="10704"/>
    <x v="0"/>
    <n v="157.5"/>
    <n v="35"/>
    <d v="1997-10-14T00:00:00"/>
  </r>
  <r>
    <n v="10704"/>
    <x v="1"/>
    <n v="157.5"/>
    <n v="35"/>
    <d v="1997-10-14T00:00:00"/>
  </r>
  <r>
    <n v="10704"/>
    <x v="2"/>
    <n v="157.5"/>
    <n v="35"/>
    <d v="1997-10-14T00:00:00"/>
  </r>
  <r>
    <n v="10704"/>
    <x v="3"/>
    <n v="157.5"/>
    <n v="35"/>
    <d v="1997-10-14T00:00:00"/>
  </r>
  <r>
    <n v="10704"/>
    <x v="4"/>
    <n v="157.5"/>
    <n v="35"/>
    <d v="1997-10-14T00:00:00"/>
  </r>
  <r>
    <n v="10704"/>
    <x v="5"/>
    <n v="157.5"/>
    <n v="35"/>
    <d v="1997-10-14T00:00:00"/>
  </r>
  <r>
    <n v="10704"/>
    <x v="6"/>
    <n v="157.5"/>
    <n v="35"/>
    <d v="1997-10-14T00:00:00"/>
  </r>
  <r>
    <n v="10704"/>
    <x v="7"/>
    <n v="157.5"/>
    <n v="35"/>
    <d v="1997-10-14T00:00:00"/>
  </r>
  <r>
    <n v="10704"/>
    <x v="0"/>
    <n v="306"/>
    <n v="24"/>
    <d v="1997-10-14T00:00:00"/>
  </r>
  <r>
    <n v="10704"/>
    <x v="1"/>
    <n v="306"/>
    <n v="24"/>
    <d v="1997-10-14T00:00:00"/>
  </r>
  <r>
    <n v="10704"/>
    <x v="2"/>
    <n v="306"/>
    <n v="24"/>
    <d v="1997-10-14T00:00:00"/>
  </r>
  <r>
    <n v="10704"/>
    <x v="3"/>
    <n v="306"/>
    <n v="24"/>
    <d v="1997-10-14T00:00:00"/>
  </r>
  <r>
    <n v="10704"/>
    <x v="4"/>
    <n v="306"/>
    <n v="24"/>
    <d v="1997-10-14T00:00:00"/>
  </r>
  <r>
    <n v="10704"/>
    <x v="5"/>
    <n v="306"/>
    <n v="24"/>
    <d v="1997-10-14T00:00:00"/>
  </r>
  <r>
    <n v="10704"/>
    <x v="6"/>
    <n v="306"/>
    <n v="24"/>
    <d v="1997-10-14T00:00:00"/>
  </r>
  <r>
    <n v="10704"/>
    <x v="7"/>
    <n v="306"/>
    <n v="24"/>
    <d v="1997-10-14T00:00:00"/>
  </r>
  <r>
    <n v="10705"/>
    <x v="0"/>
    <n v="250"/>
    <n v="20"/>
    <d v="1997-10-15T00:00:00"/>
  </r>
  <r>
    <n v="10705"/>
    <x v="1"/>
    <n v="250"/>
    <n v="20"/>
    <d v="1997-10-15T00:00:00"/>
  </r>
  <r>
    <n v="10705"/>
    <x v="2"/>
    <n v="250"/>
    <n v="20"/>
    <d v="1997-10-15T00:00:00"/>
  </r>
  <r>
    <n v="10705"/>
    <x v="3"/>
    <n v="250"/>
    <n v="20"/>
    <d v="1997-10-15T00:00:00"/>
  </r>
  <r>
    <n v="10705"/>
    <x v="4"/>
    <n v="250"/>
    <n v="20"/>
    <d v="1997-10-15T00:00:00"/>
  </r>
  <r>
    <n v="10705"/>
    <x v="5"/>
    <n v="250"/>
    <n v="20"/>
    <d v="1997-10-15T00:00:00"/>
  </r>
  <r>
    <n v="10705"/>
    <x v="6"/>
    <n v="250"/>
    <n v="20"/>
    <d v="1997-10-15T00:00:00"/>
  </r>
  <r>
    <n v="10705"/>
    <x v="7"/>
    <n v="250"/>
    <n v="20"/>
    <d v="1997-10-15T00:00:00"/>
  </r>
  <r>
    <n v="10705"/>
    <x v="0"/>
    <n v="128"/>
    <n v="4"/>
    <d v="1997-10-15T00:00:00"/>
  </r>
  <r>
    <n v="10705"/>
    <x v="1"/>
    <n v="128"/>
    <n v="4"/>
    <d v="1997-10-15T00:00:00"/>
  </r>
  <r>
    <n v="10705"/>
    <x v="2"/>
    <n v="128"/>
    <n v="4"/>
    <d v="1997-10-15T00:00:00"/>
  </r>
  <r>
    <n v="10705"/>
    <x v="3"/>
    <n v="128"/>
    <n v="4"/>
    <d v="1997-10-15T00:00:00"/>
  </r>
  <r>
    <n v="10705"/>
    <x v="4"/>
    <n v="128"/>
    <n v="4"/>
    <d v="1997-10-15T00:00:00"/>
  </r>
  <r>
    <n v="10705"/>
    <x v="5"/>
    <n v="128"/>
    <n v="4"/>
    <d v="1997-10-15T00:00:00"/>
  </r>
  <r>
    <n v="10705"/>
    <x v="6"/>
    <n v="128"/>
    <n v="4"/>
    <d v="1997-10-15T00:00:00"/>
  </r>
  <r>
    <n v="10705"/>
    <x v="7"/>
    <n v="128"/>
    <n v="4"/>
    <d v="1997-10-15T00:00:00"/>
  </r>
  <r>
    <n v="10706"/>
    <x v="0"/>
    <n v="349"/>
    <n v="20"/>
    <d v="1997-10-16T00:00:00"/>
  </r>
  <r>
    <n v="10706"/>
    <x v="1"/>
    <n v="349"/>
    <n v="20"/>
    <d v="1997-10-16T00:00:00"/>
  </r>
  <r>
    <n v="10706"/>
    <x v="2"/>
    <n v="349"/>
    <n v="20"/>
    <d v="1997-10-16T00:00:00"/>
  </r>
  <r>
    <n v="10706"/>
    <x v="3"/>
    <n v="349"/>
    <n v="20"/>
    <d v="1997-10-16T00:00:00"/>
  </r>
  <r>
    <n v="10706"/>
    <x v="4"/>
    <n v="349"/>
    <n v="20"/>
    <d v="1997-10-16T00:00:00"/>
  </r>
  <r>
    <n v="10706"/>
    <x v="5"/>
    <n v="349"/>
    <n v="20"/>
    <d v="1997-10-16T00:00:00"/>
  </r>
  <r>
    <n v="10706"/>
    <x v="6"/>
    <n v="349"/>
    <n v="20"/>
    <d v="1997-10-16T00:00:00"/>
  </r>
  <r>
    <n v="10706"/>
    <x v="7"/>
    <n v="349"/>
    <n v="20"/>
    <d v="1997-10-16T00:00:00"/>
  </r>
  <r>
    <n v="10706"/>
    <x v="0"/>
    <n v="1104"/>
    <n v="24"/>
    <d v="1997-10-16T00:00:00"/>
  </r>
  <r>
    <n v="10706"/>
    <x v="1"/>
    <n v="1104"/>
    <n v="24"/>
    <d v="1997-10-16T00:00:00"/>
  </r>
  <r>
    <n v="10706"/>
    <x v="2"/>
    <n v="1104"/>
    <n v="24"/>
    <d v="1997-10-16T00:00:00"/>
  </r>
  <r>
    <n v="10706"/>
    <x v="3"/>
    <n v="1104"/>
    <n v="24"/>
    <d v="1997-10-16T00:00:00"/>
  </r>
  <r>
    <n v="10706"/>
    <x v="4"/>
    <n v="1104"/>
    <n v="24"/>
    <d v="1997-10-16T00:00:00"/>
  </r>
  <r>
    <n v="10706"/>
    <x v="5"/>
    <n v="1104"/>
    <n v="24"/>
    <d v="1997-10-16T00:00:00"/>
  </r>
  <r>
    <n v="10706"/>
    <x v="6"/>
    <n v="1104"/>
    <n v="24"/>
    <d v="1997-10-16T00:00:00"/>
  </r>
  <r>
    <n v="10706"/>
    <x v="7"/>
    <n v="1104"/>
    <n v="24"/>
    <d v="1997-10-16T00:00:00"/>
  </r>
  <r>
    <n v="10706"/>
    <x v="0"/>
    <n v="440"/>
    <n v="8"/>
    <d v="1997-10-16T00:00:00"/>
  </r>
  <r>
    <n v="10706"/>
    <x v="1"/>
    <n v="440"/>
    <n v="8"/>
    <d v="1997-10-16T00:00:00"/>
  </r>
  <r>
    <n v="10706"/>
    <x v="2"/>
    <n v="440"/>
    <n v="8"/>
    <d v="1997-10-16T00:00:00"/>
  </r>
  <r>
    <n v="10706"/>
    <x v="3"/>
    <n v="440"/>
    <n v="8"/>
    <d v="1997-10-16T00:00:00"/>
  </r>
  <r>
    <n v="10706"/>
    <x v="4"/>
    <n v="440"/>
    <n v="8"/>
    <d v="1997-10-16T00:00:00"/>
  </r>
  <r>
    <n v="10706"/>
    <x v="5"/>
    <n v="440"/>
    <n v="8"/>
    <d v="1997-10-16T00:00:00"/>
  </r>
  <r>
    <n v="10706"/>
    <x v="6"/>
    <n v="440"/>
    <n v="8"/>
    <d v="1997-10-16T00:00:00"/>
  </r>
  <r>
    <n v="10706"/>
    <x v="7"/>
    <n v="440"/>
    <n v="8"/>
    <d v="1997-10-16T00:00:00"/>
  </r>
  <r>
    <n v="10707"/>
    <x v="0"/>
    <n v="504"/>
    <n v="21"/>
    <d v="1997-10-16T00:00:00"/>
  </r>
  <r>
    <n v="10707"/>
    <x v="1"/>
    <n v="504"/>
    <n v="21"/>
    <d v="1997-10-16T00:00:00"/>
  </r>
  <r>
    <n v="10707"/>
    <x v="2"/>
    <n v="504"/>
    <n v="21"/>
    <d v="1997-10-16T00:00:00"/>
  </r>
  <r>
    <n v="10707"/>
    <x v="3"/>
    <n v="504"/>
    <n v="21"/>
    <d v="1997-10-16T00:00:00"/>
  </r>
  <r>
    <n v="10707"/>
    <x v="4"/>
    <n v="504"/>
    <n v="21"/>
    <d v="1997-10-16T00:00:00"/>
  </r>
  <r>
    <n v="10707"/>
    <x v="5"/>
    <n v="504"/>
    <n v="21"/>
    <d v="1997-10-16T00:00:00"/>
  </r>
  <r>
    <n v="10707"/>
    <x v="6"/>
    <n v="504"/>
    <n v="21"/>
    <d v="1997-10-16T00:00:00"/>
  </r>
  <r>
    <n v="10707"/>
    <x v="7"/>
    <n v="504"/>
    <n v="21"/>
    <d v="1997-10-16T00:00:00"/>
  </r>
  <r>
    <n v="10707"/>
    <x v="0"/>
    <n v="780"/>
    <n v="40"/>
    <d v="1997-10-16T00:00:00"/>
  </r>
  <r>
    <n v="10707"/>
    <x v="1"/>
    <n v="780"/>
    <n v="40"/>
    <d v="1997-10-16T00:00:00"/>
  </r>
  <r>
    <n v="10707"/>
    <x v="2"/>
    <n v="780"/>
    <n v="40"/>
    <d v="1997-10-16T00:00:00"/>
  </r>
  <r>
    <n v="10707"/>
    <x v="3"/>
    <n v="780"/>
    <n v="40"/>
    <d v="1997-10-16T00:00:00"/>
  </r>
  <r>
    <n v="10707"/>
    <x v="4"/>
    <n v="780"/>
    <n v="40"/>
    <d v="1997-10-16T00:00:00"/>
  </r>
  <r>
    <n v="10707"/>
    <x v="5"/>
    <n v="780"/>
    <n v="40"/>
    <d v="1997-10-16T00:00:00"/>
  </r>
  <r>
    <n v="10707"/>
    <x v="6"/>
    <n v="780"/>
    <n v="40"/>
    <d v="1997-10-16T00:00:00"/>
  </r>
  <r>
    <n v="10707"/>
    <x v="7"/>
    <n v="780"/>
    <n v="40"/>
    <d v="1997-10-16T00:00:00"/>
  </r>
  <r>
    <n v="10707"/>
    <x v="0"/>
    <n v="356.99999749660492"/>
    <n v="28"/>
    <d v="1997-10-16T00:00:00"/>
  </r>
  <r>
    <n v="10707"/>
    <x v="1"/>
    <n v="356.99999749660492"/>
    <n v="28"/>
    <d v="1997-10-16T00:00:00"/>
  </r>
  <r>
    <n v="10707"/>
    <x v="2"/>
    <n v="356.99999749660492"/>
    <n v="28"/>
    <d v="1997-10-16T00:00:00"/>
  </r>
  <r>
    <n v="10707"/>
    <x v="3"/>
    <n v="356.99999749660492"/>
    <n v="28"/>
    <d v="1997-10-16T00:00:00"/>
  </r>
  <r>
    <n v="10707"/>
    <x v="4"/>
    <n v="356.99999749660492"/>
    <n v="28"/>
    <d v="1997-10-16T00:00:00"/>
  </r>
  <r>
    <n v="10707"/>
    <x v="5"/>
    <n v="356.99999749660492"/>
    <n v="28"/>
    <d v="1997-10-16T00:00:00"/>
  </r>
  <r>
    <n v="10707"/>
    <x v="6"/>
    <n v="356.99999749660492"/>
    <n v="28"/>
    <d v="1997-10-16T00:00:00"/>
  </r>
  <r>
    <n v="10707"/>
    <x v="7"/>
    <n v="356.99999749660492"/>
    <n v="28"/>
    <d v="1997-10-16T00:00:00"/>
  </r>
  <r>
    <n v="10708"/>
    <x v="0"/>
    <n v="85.4"/>
    <n v="4"/>
    <d v="1997-10-17T00:00:00"/>
  </r>
  <r>
    <n v="10708"/>
    <x v="1"/>
    <n v="85.4"/>
    <n v="4"/>
    <d v="1997-10-17T00:00:00"/>
  </r>
  <r>
    <n v="10708"/>
    <x v="2"/>
    <n v="85.4"/>
    <n v="4"/>
    <d v="1997-10-17T00:00:00"/>
  </r>
  <r>
    <n v="10708"/>
    <x v="3"/>
    <n v="85.4"/>
    <n v="4"/>
    <d v="1997-10-17T00:00:00"/>
  </r>
  <r>
    <n v="10708"/>
    <x v="4"/>
    <n v="85.4"/>
    <n v="4"/>
    <d v="1997-10-17T00:00:00"/>
  </r>
  <r>
    <n v="10708"/>
    <x v="5"/>
    <n v="85.4"/>
    <n v="4"/>
    <d v="1997-10-17T00:00:00"/>
  </r>
  <r>
    <n v="10708"/>
    <x v="6"/>
    <n v="85.4"/>
    <n v="4"/>
    <d v="1997-10-17T00:00:00"/>
  </r>
  <r>
    <n v="10708"/>
    <x v="7"/>
    <n v="85.4"/>
    <n v="4"/>
    <d v="1997-10-17T00:00:00"/>
  </r>
  <r>
    <n v="10708"/>
    <x v="0"/>
    <n v="95"/>
    <n v="5"/>
    <d v="1997-10-17T00:00:00"/>
  </r>
  <r>
    <n v="10708"/>
    <x v="1"/>
    <n v="95"/>
    <n v="5"/>
    <d v="1997-10-17T00:00:00"/>
  </r>
  <r>
    <n v="10708"/>
    <x v="2"/>
    <n v="95"/>
    <n v="5"/>
    <d v="1997-10-17T00:00:00"/>
  </r>
  <r>
    <n v="10708"/>
    <x v="3"/>
    <n v="95"/>
    <n v="5"/>
    <d v="1997-10-17T00:00:00"/>
  </r>
  <r>
    <n v="10708"/>
    <x v="4"/>
    <n v="95"/>
    <n v="5"/>
    <d v="1997-10-17T00:00:00"/>
  </r>
  <r>
    <n v="10708"/>
    <x v="5"/>
    <n v="95"/>
    <n v="5"/>
    <d v="1997-10-17T00:00:00"/>
  </r>
  <r>
    <n v="10708"/>
    <x v="6"/>
    <n v="95"/>
    <n v="5"/>
    <d v="1997-10-17T00:00:00"/>
  </r>
  <r>
    <n v="10708"/>
    <x v="7"/>
    <n v="95"/>
    <n v="5"/>
    <d v="1997-10-17T00:00:00"/>
  </r>
  <r>
    <n v="10709"/>
    <x v="0"/>
    <n v="1600"/>
    <n v="40"/>
    <d v="1997-10-17T00:00:00"/>
  </r>
  <r>
    <n v="10709"/>
    <x v="1"/>
    <n v="1600"/>
    <n v="40"/>
    <d v="1997-10-17T00:00:00"/>
  </r>
  <r>
    <n v="10709"/>
    <x v="2"/>
    <n v="1600"/>
    <n v="40"/>
    <d v="1997-10-17T00:00:00"/>
  </r>
  <r>
    <n v="10709"/>
    <x v="3"/>
    <n v="1600"/>
    <n v="40"/>
    <d v="1997-10-17T00:00:00"/>
  </r>
  <r>
    <n v="10709"/>
    <x v="4"/>
    <n v="1600"/>
    <n v="40"/>
    <d v="1997-10-17T00:00:00"/>
  </r>
  <r>
    <n v="10709"/>
    <x v="5"/>
    <n v="1600"/>
    <n v="40"/>
    <d v="1997-10-17T00:00:00"/>
  </r>
  <r>
    <n v="10709"/>
    <x v="6"/>
    <n v="1600"/>
    <n v="40"/>
    <d v="1997-10-17T00:00:00"/>
  </r>
  <r>
    <n v="10709"/>
    <x v="7"/>
    <n v="1600"/>
    <n v="40"/>
    <d v="1997-10-17T00:00:00"/>
  </r>
  <r>
    <n v="10709"/>
    <x v="0"/>
    <n v="1484"/>
    <n v="28"/>
    <d v="1997-10-17T00:00:00"/>
  </r>
  <r>
    <n v="10709"/>
    <x v="1"/>
    <n v="1484"/>
    <n v="28"/>
    <d v="1997-10-17T00:00:00"/>
  </r>
  <r>
    <n v="10709"/>
    <x v="2"/>
    <n v="1484"/>
    <n v="28"/>
    <d v="1997-10-17T00:00:00"/>
  </r>
  <r>
    <n v="10709"/>
    <x v="3"/>
    <n v="1484"/>
    <n v="28"/>
    <d v="1997-10-17T00:00:00"/>
  </r>
  <r>
    <n v="10709"/>
    <x v="4"/>
    <n v="1484"/>
    <n v="28"/>
    <d v="1997-10-17T00:00:00"/>
  </r>
  <r>
    <n v="10709"/>
    <x v="5"/>
    <n v="1484"/>
    <n v="28"/>
    <d v="1997-10-17T00:00:00"/>
  </r>
  <r>
    <n v="10709"/>
    <x v="6"/>
    <n v="1484"/>
    <n v="28"/>
    <d v="1997-10-17T00:00:00"/>
  </r>
  <r>
    <n v="10709"/>
    <x v="7"/>
    <n v="1484"/>
    <n v="28"/>
    <d v="1997-10-17T00:00:00"/>
  </r>
  <r>
    <n v="10709"/>
    <x v="0"/>
    <n v="340"/>
    <n v="10"/>
    <d v="1997-10-17T00:00:00"/>
  </r>
  <r>
    <n v="10709"/>
    <x v="1"/>
    <n v="340"/>
    <n v="10"/>
    <d v="1997-10-17T00:00:00"/>
  </r>
  <r>
    <n v="10709"/>
    <x v="2"/>
    <n v="340"/>
    <n v="10"/>
    <d v="1997-10-17T00:00:00"/>
  </r>
  <r>
    <n v="10709"/>
    <x v="3"/>
    <n v="340"/>
    <n v="10"/>
    <d v="1997-10-17T00:00:00"/>
  </r>
  <r>
    <n v="10709"/>
    <x v="4"/>
    <n v="340"/>
    <n v="10"/>
    <d v="1997-10-17T00:00:00"/>
  </r>
  <r>
    <n v="10709"/>
    <x v="5"/>
    <n v="340"/>
    <n v="10"/>
    <d v="1997-10-17T00:00:00"/>
  </r>
  <r>
    <n v="10709"/>
    <x v="6"/>
    <n v="340"/>
    <n v="10"/>
    <d v="1997-10-17T00:00:00"/>
  </r>
  <r>
    <n v="10709"/>
    <x v="7"/>
    <n v="340"/>
    <n v="10"/>
    <d v="1997-10-17T00:00:00"/>
  </r>
  <r>
    <n v="10710"/>
    <x v="0"/>
    <n v="46"/>
    <n v="5"/>
    <d v="1997-10-20T00:00:00"/>
  </r>
  <r>
    <n v="10710"/>
    <x v="1"/>
    <n v="46"/>
    <n v="5"/>
    <d v="1997-10-20T00:00:00"/>
  </r>
  <r>
    <n v="10710"/>
    <x v="2"/>
    <n v="46"/>
    <n v="5"/>
    <d v="1997-10-20T00:00:00"/>
  </r>
  <r>
    <n v="10710"/>
    <x v="3"/>
    <n v="46"/>
    <n v="5"/>
    <d v="1997-10-20T00:00:00"/>
  </r>
  <r>
    <n v="10710"/>
    <x v="4"/>
    <n v="46"/>
    <n v="5"/>
    <d v="1997-10-20T00:00:00"/>
  </r>
  <r>
    <n v="10710"/>
    <x v="5"/>
    <n v="46"/>
    <n v="5"/>
    <d v="1997-10-20T00:00:00"/>
  </r>
  <r>
    <n v="10710"/>
    <x v="6"/>
    <n v="46"/>
    <n v="5"/>
    <d v="1997-10-20T00:00:00"/>
  </r>
  <r>
    <n v="10710"/>
    <x v="7"/>
    <n v="46"/>
    <n v="5"/>
    <d v="1997-10-20T00:00:00"/>
  </r>
  <r>
    <n v="10710"/>
    <x v="0"/>
    <n v="47.5"/>
    <n v="5"/>
    <d v="1997-10-20T00:00:00"/>
  </r>
  <r>
    <n v="10710"/>
    <x v="1"/>
    <n v="47.5"/>
    <n v="5"/>
    <d v="1997-10-20T00:00:00"/>
  </r>
  <r>
    <n v="10710"/>
    <x v="2"/>
    <n v="47.5"/>
    <n v="5"/>
    <d v="1997-10-20T00:00:00"/>
  </r>
  <r>
    <n v="10710"/>
    <x v="3"/>
    <n v="47.5"/>
    <n v="5"/>
    <d v="1997-10-20T00:00:00"/>
  </r>
  <r>
    <n v="10710"/>
    <x v="4"/>
    <n v="47.5"/>
    <n v="5"/>
    <d v="1997-10-20T00:00:00"/>
  </r>
  <r>
    <n v="10710"/>
    <x v="5"/>
    <n v="47.5"/>
    <n v="5"/>
    <d v="1997-10-20T00:00:00"/>
  </r>
  <r>
    <n v="10710"/>
    <x v="6"/>
    <n v="47.5"/>
    <n v="5"/>
    <d v="1997-10-20T00:00:00"/>
  </r>
  <r>
    <n v="10710"/>
    <x v="7"/>
    <n v="47.5"/>
    <n v="5"/>
    <d v="1997-10-20T00:00:00"/>
  </r>
  <r>
    <n v="10711"/>
    <x v="0"/>
    <n v="110.4"/>
    <n v="12"/>
    <d v="1997-10-21T00:00:00"/>
  </r>
  <r>
    <n v="10711"/>
    <x v="1"/>
    <n v="110.4"/>
    <n v="12"/>
    <d v="1997-10-21T00:00:00"/>
  </r>
  <r>
    <n v="10711"/>
    <x v="2"/>
    <n v="110.4"/>
    <n v="12"/>
    <d v="1997-10-21T00:00:00"/>
  </r>
  <r>
    <n v="10711"/>
    <x v="3"/>
    <n v="110.4"/>
    <n v="12"/>
    <d v="1997-10-21T00:00:00"/>
  </r>
  <r>
    <n v="10711"/>
    <x v="4"/>
    <n v="110.4"/>
    <n v="12"/>
    <d v="1997-10-21T00:00:00"/>
  </r>
  <r>
    <n v="10711"/>
    <x v="5"/>
    <n v="110.4"/>
    <n v="12"/>
    <d v="1997-10-21T00:00:00"/>
  </r>
  <r>
    <n v="10711"/>
    <x v="6"/>
    <n v="110.4"/>
    <n v="12"/>
    <d v="1997-10-21T00:00:00"/>
  </r>
  <r>
    <n v="10711"/>
    <x v="7"/>
    <n v="110.4"/>
    <n v="12"/>
    <d v="1997-10-21T00:00:00"/>
  </r>
  <r>
    <n v="10711"/>
    <x v="0"/>
    <n v="405.3"/>
    <n v="42"/>
    <d v="1997-10-21T00:00:00"/>
  </r>
  <r>
    <n v="10711"/>
    <x v="1"/>
    <n v="405.3"/>
    <n v="42"/>
    <d v="1997-10-21T00:00:00"/>
  </r>
  <r>
    <n v="10711"/>
    <x v="2"/>
    <n v="405.3"/>
    <n v="42"/>
    <d v="1997-10-21T00:00:00"/>
  </r>
  <r>
    <n v="10711"/>
    <x v="3"/>
    <n v="405.3"/>
    <n v="42"/>
    <d v="1997-10-21T00:00:00"/>
  </r>
  <r>
    <n v="10711"/>
    <x v="4"/>
    <n v="405.3"/>
    <n v="42"/>
    <d v="1997-10-21T00:00:00"/>
  </r>
  <r>
    <n v="10711"/>
    <x v="5"/>
    <n v="405.3"/>
    <n v="42"/>
    <d v="1997-10-21T00:00:00"/>
  </r>
  <r>
    <n v="10711"/>
    <x v="6"/>
    <n v="405.3"/>
    <n v="42"/>
    <d v="1997-10-21T00:00:00"/>
  </r>
  <r>
    <n v="10711"/>
    <x v="7"/>
    <n v="405.3"/>
    <n v="42"/>
    <d v="1997-10-21T00:00:00"/>
  </r>
  <r>
    <n v="10711"/>
    <x v="0"/>
    <n v="3936"/>
    <n v="120"/>
    <d v="1997-10-21T00:00:00"/>
  </r>
  <r>
    <n v="10711"/>
    <x v="1"/>
    <n v="3936"/>
    <n v="120"/>
    <d v="1997-10-21T00:00:00"/>
  </r>
  <r>
    <n v="10711"/>
    <x v="2"/>
    <n v="3936"/>
    <n v="120"/>
    <d v="1997-10-21T00:00:00"/>
  </r>
  <r>
    <n v="10711"/>
    <x v="3"/>
    <n v="3936"/>
    <n v="120"/>
    <d v="1997-10-21T00:00:00"/>
  </r>
  <r>
    <n v="10711"/>
    <x v="4"/>
    <n v="3936"/>
    <n v="120"/>
    <d v="1997-10-21T00:00:00"/>
  </r>
  <r>
    <n v="10711"/>
    <x v="5"/>
    <n v="3936"/>
    <n v="120"/>
    <d v="1997-10-21T00:00:00"/>
  </r>
  <r>
    <n v="10711"/>
    <x v="6"/>
    <n v="3936"/>
    <n v="120"/>
    <d v="1997-10-21T00:00:00"/>
  </r>
  <r>
    <n v="10711"/>
    <x v="7"/>
    <n v="3936"/>
    <n v="120"/>
    <d v="1997-10-21T00:00:00"/>
  </r>
  <r>
    <n v="10712"/>
    <x v="0"/>
    <n v="93.47999992668629"/>
    <n v="3"/>
    <d v="1997-10-21T00:00:00"/>
  </r>
  <r>
    <n v="10712"/>
    <x v="1"/>
    <n v="93.47999992668629"/>
    <n v="3"/>
    <d v="1997-10-21T00:00:00"/>
  </r>
  <r>
    <n v="10712"/>
    <x v="2"/>
    <n v="93.47999992668629"/>
    <n v="3"/>
    <d v="1997-10-21T00:00:00"/>
  </r>
  <r>
    <n v="10712"/>
    <x v="3"/>
    <n v="93.47999992668629"/>
    <n v="3"/>
    <d v="1997-10-21T00:00:00"/>
  </r>
  <r>
    <n v="10712"/>
    <x v="4"/>
    <n v="93.47999992668629"/>
    <n v="3"/>
    <d v="1997-10-21T00:00:00"/>
  </r>
  <r>
    <n v="10712"/>
    <x v="5"/>
    <n v="93.47999992668629"/>
    <n v="3"/>
    <d v="1997-10-21T00:00:00"/>
  </r>
  <r>
    <n v="10712"/>
    <x v="6"/>
    <n v="93.47999992668629"/>
    <n v="3"/>
    <d v="1997-10-21T00:00:00"/>
  </r>
  <r>
    <n v="10712"/>
    <x v="7"/>
    <n v="93.47999992668629"/>
    <n v="3"/>
    <d v="1997-10-21T00:00:00"/>
  </r>
  <r>
    <n v="10712"/>
    <x v="0"/>
    <n v="1140"/>
    <n v="30"/>
    <d v="1997-10-21T00:00:00"/>
  </r>
  <r>
    <n v="10712"/>
    <x v="1"/>
    <n v="1140"/>
    <n v="30"/>
    <d v="1997-10-21T00:00:00"/>
  </r>
  <r>
    <n v="10712"/>
    <x v="2"/>
    <n v="1140"/>
    <n v="30"/>
    <d v="1997-10-21T00:00:00"/>
  </r>
  <r>
    <n v="10712"/>
    <x v="3"/>
    <n v="1140"/>
    <n v="30"/>
    <d v="1997-10-21T00:00:00"/>
  </r>
  <r>
    <n v="10712"/>
    <x v="4"/>
    <n v="1140"/>
    <n v="30"/>
    <d v="1997-10-21T00:00:00"/>
  </r>
  <r>
    <n v="10712"/>
    <x v="5"/>
    <n v="1140"/>
    <n v="30"/>
    <d v="1997-10-21T00:00:00"/>
  </r>
  <r>
    <n v="10712"/>
    <x v="6"/>
    <n v="1140"/>
    <n v="30"/>
    <d v="1997-10-21T00:00:00"/>
  </r>
  <r>
    <n v="10712"/>
    <x v="7"/>
    <n v="1140"/>
    <n v="30"/>
    <d v="1997-10-21T00:00:00"/>
  </r>
  <r>
    <n v="10713"/>
    <x v="0"/>
    <n v="558"/>
    <n v="18"/>
    <d v="1997-10-22T00:00:00"/>
  </r>
  <r>
    <n v="10713"/>
    <x v="1"/>
    <n v="558"/>
    <n v="18"/>
    <d v="1997-10-22T00:00:00"/>
  </r>
  <r>
    <n v="10713"/>
    <x v="2"/>
    <n v="558"/>
    <n v="18"/>
    <d v="1997-10-22T00:00:00"/>
  </r>
  <r>
    <n v="10713"/>
    <x v="3"/>
    <n v="558"/>
    <n v="18"/>
    <d v="1997-10-22T00:00:00"/>
  </r>
  <r>
    <n v="10713"/>
    <x v="4"/>
    <n v="558"/>
    <n v="18"/>
    <d v="1997-10-22T00:00:00"/>
  </r>
  <r>
    <n v="10713"/>
    <x v="5"/>
    <n v="558"/>
    <n v="18"/>
    <d v="1997-10-22T00:00:00"/>
  </r>
  <r>
    <n v="10713"/>
    <x v="6"/>
    <n v="558"/>
    <n v="18"/>
    <d v="1997-10-22T00:00:00"/>
  </r>
  <r>
    <n v="10713"/>
    <x v="7"/>
    <n v="558"/>
    <n v="18"/>
    <d v="1997-10-22T00:00:00"/>
  </r>
  <r>
    <n v="10713"/>
    <x v="0"/>
    <n v="936.9"/>
    <n v="30"/>
    <d v="1997-10-22T00:00:00"/>
  </r>
  <r>
    <n v="10713"/>
    <x v="1"/>
    <n v="936.9"/>
    <n v="30"/>
    <d v="1997-10-22T00:00:00"/>
  </r>
  <r>
    <n v="10713"/>
    <x v="2"/>
    <n v="936.9"/>
    <n v="30"/>
    <d v="1997-10-22T00:00:00"/>
  </r>
  <r>
    <n v="10713"/>
    <x v="3"/>
    <n v="936.9"/>
    <n v="30"/>
    <d v="1997-10-22T00:00:00"/>
  </r>
  <r>
    <n v="10713"/>
    <x v="4"/>
    <n v="936.9"/>
    <n v="30"/>
    <d v="1997-10-22T00:00:00"/>
  </r>
  <r>
    <n v="10713"/>
    <x v="5"/>
    <n v="936.9"/>
    <n v="30"/>
    <d v="1997-10-22T00:00:00"/>
  </r>
  <r>
    <n v="10713"/>
    <x v="6"/>
    <n v="936.9"/>
    <n v="30"/>
    <d v="1997-10-22T00:00:00"/>
  </r>
  <r>
    <n v="10713"/>
    <x v="7"/>
    <n v="936.9"/>
    <n v="30"/>
    <d v="1997-10-22T00:00:00"/>
  </r>
  <r>
    <n v="10713"/>
    <x v="0"/>
    <n v="1045"/>
    <n v="110"/>
    <d v="1997-10-22T00:00:00"/>
  </r>
  <r>
    <n v="10713"/>
    <x v="1"/>
    <n v="1045"/>
    <n v="110"/>
    <d v="1997-10-22T00:00:00"/>
  </r>
  <r>
    <n v="10713"/>
    <x v="2"/>
    <n v="1045"/>
    <n v="110"/>
    <d v="1997-10-22T00:00:00"/>
  </r>
  <r>
    <n v="10713"/>
    <x v="3"/>
    <n v="1045"/>
    <n v="110"/>
    <d v="1997-10-22T00:00:00"/>
  </r>
  <r>
    <n v="10713"/>
    <x v="4"/>
    <n v="1045"/>
    <n v="110"/>
    <d v="1997-10-22T00:00:00"/>
  </r>
  <r>
    <n v="10713"/>
    <x v="5"/>
    <n v="1045"/>
    <n v="110"/>
    <d v="1997-10-22T00:00:00"/>
  </r>
  <r>
    <n v="10713"/>
    <x v="6"/>
    <n v="1045"/>
    <n v="110"/>
    <d v="1997-10-22T00:00:00"/>
  </r>
  <r>
    <n v="10713"/>
    <x v="7"/>
    <n v="1045"/>
    <n v="110"/>
    <d v="1997-10-22T00:00:00"/>
  </r>
  <r>
    <n v="10713"/>
    <x v="0"/>
    <n v="288"/>
    <n v="24"/>
    <d v="1997-10-22T00:00:00"/>
  </r>
  <r>
    <n v="10713"/>
    <x v="1"/>
    <n v="288"/>
    <n v="24"/>
    <d v="1997-10-22T00:00:00"/>
  </r>
  <r>
    <n v="10713"/>
    <x v="2"/>
    <n v="288"/>
    <n v="24"/>
    <d v="1997-10-22T00:00:00"/>
  </r>
  <r>
    <n v="10713"/>
    <x v="3"/>
    <n v="288"/>
    <n v="24"/>
    <d v="1997-10-22T00:00:00"/>
  </r>
  <r>
    <n v="10713"/>
    <x v="4"/>
    <n v="288"/>
    <n v="24"/>
    <d v="1997-10-22T00:00:00"/>
  </r>
  <r>
    <n v="10713"/>
    <x v="5"/>
    <n v="288"/>
    <n v="24"/>
    <d v="1997-10-22T00:00:00"/>
  </r>
  <r>
    <n v="10713"/>
    <x v="6"/>
    <n v="288"/>
    <n v="24"/>
    <d v="1997-10-22T00:00:00"/>
  </r>
  <r>
    <n v="10713"/>
    <x v="7"/>
    <n v="288"/>
    <n v="24"/>
    <d v="1997-10-22T00:00:00"/>
  </r>
  <r>
    <n v="10714"/>
    <x v="0"/>
    <n v="427.5"/>
    <n v="30"/>
    <d v="1997-10-22T00:00:00"/>
  </r>
  <r>
    <n v="10714"/>
    <x v="1"/>
    <n v="427.5"/>
    <n v="30"/>
    <d v="1997-10-22T00:00:00"/>
  </r>
  <r>
    <n v="10714"/>
    <x v="2"/>
    <n v="427.5"/>
    <n v="30"/>
    <d v="1997-10-22T00:00:00"/>
  </r>
  <r>
    <n v="10714"/>
    <x v="3"/>
    <n v="427.5"/>
    <n v="30"/>
    <d v="1997-10-22T00:00:00"/>
  </r>
  <r>
    <n v="10714"/>
    <x v="4"/>
    <n v="427.5"/>
    <n v="30"/>
    <d v="1997-10-22T00:00:00"/>
  </r>
  <r>
    <n v="10714"/>
    <x v="5"/>
    <n v="427.5"/>
    <n v="30"/>
    <d v="1997-10-22T00:00:00"/>
  </r>
  <r>
    <n v="10714"/>
    <x v="6"/>
    <n v="427.5"/>
    <n v="30"/>
    <d v="1997-10-22T00:00:00"/>
  </r>
  <r>
    <n v="10714"/>
    <x v="7"/>
    <n v="427.5"/>
    <n v="30"/>
    <d v="1997-10-22T00:00:00"/>
  </r>
  <r>
    <n v="10714"/>
    <x v="0"/>
    <n v="789.75"/>
    <n v="27"/>
    <d v="1997-10-22T00:00:00"/>
  </r>
  <r>
    <n v="10714"/>
    <x v="1"/>
    <n v="789.75"/>
    <n v="27"/>
    <d v="1997-10-22T00:00:00"/>
  </r>
  <r>
    <n v="10714"/>
    <x v="2"/>
    <n v="789.75"/>
    <n v="27"/>
    <d v="1997-10-22T00:00:00"/>
  </r>
  <r>
    <n v="10714"/>
    <x v="3"/>
    <n v="789.75"/>
    <n v="27"/>
    <d v="1997-10-22T00:00:00"/>
  </r>
  <r>
    <n v="10714"/>
    <x v="4"/>
    <n v="789.75"/>
    <n v="27"/>
    <d v="1997-10-22T00:00:00"/>
  </r>
  <r>
    <n v="10714"/>
    <x v="5"/>
    <n v="789.75"/>
    <n v="27"/>
    <d v="1997-10-22T00:00:00"/>
  </r>
  <r>
    <n v="10714"/>
    <x v="6"/>
    <n v="789.75"/>
    <n v="27"/>
    <d v="1997-10-22T00:00:00"/>
  </r>
  <r>
    <n v="10714"/>
    <x v="7"/>
    <n v="789.75"/>
    <n v="27"/>
    <d v="1997-10-22T00:00:00"/>
  </r>
  <r>
    <n v="10714"/>
    <x v="0"/>
    <n v="356.25"/>
    <n v="50"/>
    <d v="1997-10-22T00:00:00"/>
  </r>
  <r>
    <n v="10714"/>
    <x v="1"/>
    <n v="356.25"/>
    <n v="50"/>
    <d v="1997-10-22T00:00:00"/>
  </r>
  <r>
    <n v="10714"/>
    <x v="2"/>
    <n v="356.25"/>
    <n v="50"/>
    <d v="1997-10-22T00:00:00"/>
  </r>
  <r>
    <n v="10714"/>
    <x v="3"/>
    <n v="356.25"/>
    <n v="50"/>
    <d v="1997-10-22T00:00:00"/>
  </r>
  <r>
    <n v="10714"/>
    <x v="4"/>
    <n v="356.25"/>
    <n v="50"/>
    <d v="1997-10-22T00:00:00"/>
  </r>
  <r>
    <n v="10714"/>
    <x v="5"/>
    <n v="356.25"/>
    <n v="50"/>
    <d v="1997-10-22T00:00:00"/>
  </r>
  <r>
    <n v="10714"/>
    <x v="6"/>
    <n v="356.25"/>
    <n v="50"/>
    <d v="1997-10-22T00:00:00"/>
  </r>
  <r>
    <n v="10714"/>
    <x v="7"/>
    <n v="356.25"/>
    <n v="50"/>
    <d v="1997-10-22T00:00:00"/>
  </r>
  <r>
    <n v="10714"/>
    <x v="0"/>
    <n v="513"/>
    <n v="18"/>
    <d v="1997-10-22T00:00:00"/>
  </r>
  <r>
    <n v="10714"/>
    <x v="1"/>
    <n v="513"/>
    <n v="18"/>
    <d v="1997-10-22T00:00:00"/>
  </r>
  <r>
    <n v="10714"/>
    <x v="2"/>
    <n v="513"/>
    <n v="18"/>
    <d v="1997-10-22T00:00:00"/>
  </r>
  <r>
    <n v="10714"/>
    <x v="3"/>
    <n v="513"/>
    <n v="18"/>
    <d v="1997-10-22T00:00:00"/>
  </r>
  <r>
    <n v="10714"/>
    <x v="4"/>
    <n v="513"/>
    <n v="18"/>
    <d v="1997-10-22T00:00:00"/>
  </r>
  <r>
    <n v="10714"/>
    <x v="5"/>
    <n v="513"/>
    <n v="18"/>
    <d v="1997-10-22T00:00:00"/>
  </r>
  <r>
    <n v="10714"/>
    <x v="6"/>
    <n v="513"/>
    <n v="18"/>
    <d v="1997-10-22T00:00:00"/>
  </r>
  <r>
    <n v="10714"/>
    <x v="7"/>
    <n v="513"/>
    <n v="18"/>
    <d v="1997-10-22T00:00:00"/>
  </r>
  <r>
    <n v="10714"/>
    <x v="0"/>
    <n v="119.25"/>
    <n v="12"/>
    <d v="1997-10-22T00:00:00"/>
  </r>
  <r>
    <n v="10714"/>
    <x v="1"/>
    <n v="119.25"/>
    <n v="12"/>
    <d v="1997-10-22T00:00:00"/>
  </r>
  <r>
    <n v="10714"/>
    <x v="2"/>
    <n v="119.25"/>
    <n v="12"/>
    <d v="1997-10-22T00:00:00"/>
  </r>
  <r>
    <n v="10714"/>
    <x v="3"/>
    <n v="119.25"/>
    <n v="12"/>
    <d v="1997-10-22T00:00:00"/>
  </r>
  <r>
    <n v="10714"/>
    <x v="4"/>
    <n v="119.25"/>
    <n v="12"/>
    <d v="1997-10-22T00:00:00"/>
  </r>
  <r>
    <n v="10714"/>
    <x v="5"/>
    <n v="119.25"/>
    <n v="12"/>
    <d v="1997-10-22T00:00:00"/>
  </r>
  <r>
    <n v="10714"/>
    <x v="6"/>
    <n v="119.25"/>
    <n v="12"/>
    <d v="1997-10-22T00:00:00"/>
  </r>
  <r>
    <n v="10714"/>
    <x v="7"/>
    <n v="119.25"/>
    <n v="12"/>
    <d v="1997-10-22T00:00:00"/>
  </r>
  <r>
    <n v="10715"/>
    <x v="0"/>
    <n v="651"/>
    <n v="21"/>
    <d v="1997-10-23T00:00:00"/>
  </r>
  <r>
    <n v="10715"/>
    <x v="1"/>
    <n v="651"/>
    <n v="21"/>
    <d v="1997-10-23T00:00:00"/>
  </r>
  <r>
    <n v="10715"/>
    <x v="2"/>
    <n v="651"/>
    <n v="21"/>
    <d v="1997-10-23T00:00:00"/>
  </r>
  <r>
    <n v="10715"/>
    <x v="3"/>
    <n v="651"/>
    <n v="21"/>
    <d v="1997-10-23T00:00:00"/>
  </r>
  <r>
    <n v="10715"/>
    <x v="4"/>
    <n v="651"/>
    <n v="21"/>
    <d v="1997-10-23T00:00:00"/>
  </r>
  <r>
    <n v="10715"/>
    <x v="5"/>
    <n v="651"/>
    <n v="21"/>
    <d v="1997-10-23T00:00:00"/>
  </r>
  <r>
    <n v="10715"/>
    <x v="6"/>
    <n v="651"/>
    <n v="21"/>
    <d v="1997-10-23T00:00:00"/>
  </r>
  <r>
    <n v="10715"/>
    <x v="7"/>
    <n v="651"/>
    <n v="21"/>
    <d v="1997-10-23T00:00:00"/>
  </r>
  <r>
    <n v="10715"/>
    <x v="0"/>
    <n v="645"/>
    <n v="30"/>
    <d v="1997-10-23T00:00:00"/>
  </r>
  <r>
    <n v="10715"/>
    <x v="1"/>
    <n v="645"/>
    <n v="30"/>
    <d v="1997-10-23T00:00:00"/>
  </r>
  <r>
    <n v="10715"/>
    <x v="2"/>
    <n v="645"/>
    <n v="30"/>
    <d v="1997-10-23T00:00:00"/>
  </r>
  <r>
    <n v="10715"/>
    <x v="3"/>
    <n v="645"/>
    <n v="30"/>
    <d v="1997-10-23T00:00:00"/>
  </r>
  <r>
    <n v="10715"/>
    <x v="4"/>
    <n v="645"/>
    <n v="30"/>
    <d v="1997-10-23T00:00:00"/>
  </r>
  <r>
    <n v="10715"/>
    <x v="5"/>
    <n v="645"/>
    <n v="30"/>
    <d v="1997-10-23T00:00:00"/>
  </r>
  <r>
    <n v="10715"/>
    <x v="6"/>
    <n v="645"/>
    <n v="30"/>
    <d v="1997-10-23T00:00:00"/>
  </r>
  <r>
    <n v="10715"/>
    <x v="7"/>
    <n v="645"/>
    <n v="30"/>
    <d v="1997-10-23T00:00:00"/>
  </r>
  <r>
    <n v="10716"/>
    <x v="0"/>
    <n v="50"/>
    <n v="5"/>
    <d v="1997-10-24T00:00:00"/>
  </r>
  <r>
    <n v="10716"/>
    <x v="1"/>
    <n v="50"/>
    <n v="5"/>
    <d v="1997-10-24T00:00:00"/>
  </r>
  <r>
    <n v="10716"/>
    <x v="2"/>
    <n v="50"/>
    <n v="5"/>
    <d v="1997-10-24T00:00:00"/>
  </r>
  <r>
    <n v="10716"/>
    <x v="3"/>
    <n v="50"/>
    <n v="5"/>
    <d v="1997-10-24T00:00:00"/>
  </r>
  <r>
    <n v="10716"/>
    <x v="4"/>
    <n v="50"/>
    <n v="5"/>
    <d v="1997-10-24T00:00:00"/>
  </r>
  <r>
    <n v="10716"/>
    <x v="5"/>
    <n v="50"/>
    <n v="5"/>
    <d v="1997-10-24T00:00:00"/>
  </r>
  <r>
    <n v="10716"/>
    <x v="6"/>
    <n v="50"/>
    <n v="5"/>
    <d v="1997-10-24T00:00:00"/>
  </r>
  <r>
    <n v="10716"/>
    <x v="7"/>
    <n v="50"/>
    <n v="5"/>
    <d v="1997-10-24T00:00:00"/>
  </r>
  <r>
    <n v="10716"/>
    <x v="0"/>
    <n v="371"/>
    <n v="7"/>
    <d v="1997-10-24T00:00:00"/>
  </r>
  <r>
    <n v="10716"/>
    <x v="1"/>
    <n v="371"/>
    <n v="7"/>
    <d v="1997-10-24T00:00:00"/>
  </r>
  <r>
    <n v="10716"/>
    <x v="2"/>
    <n v="371"/>
    <n v="7"/>
    <d v="1997-10-24T00:00:00"/>
  </r>
  <r>
    <n v="10716"/>
    <x v="3"/>
    <n v="371"/>
    <n v="7"/>
    <d v="1997-10-24T00:00:00"/>
  </r>
  <r>
    <n v="10716"/>
    <x v="4"/>
    <n v="371"/>
    <n v="7"/>
    <d v="1997-10-24T00:00:00"/>
  </r>
  <r>
    <n v="10716"/>
    <x v="5"/>
    <n v="371"/>
    <n v="7"/>
    <d v="1997-10-24T00:00:00"/>
  </r>
  <r>
    <n v="10716"/>
    <x v="6"/>
    <n v="371"/>
    <n v="7"/>
    <d v="1997-10-24T00:00:00"/>
  </r>
  <r>
    <n v="10716"/>
    <x v="7"/>
    <n v="371"/>
    <n v="7"/>
    <d v="1997-10-24T00:00:00"/>
  </r>
  <r>
    <n v="10716"/>
    <x v="0"/>
    <n v="285"/>
    <n v="10"/>
    <d v="1997-10-24T00:00:00"/>
  </r>
  <r>
    <n v="10716"/>
    <x v="1"/>
    <n v="285"/>
    <n v="10"/>
    <d v="1997-10-24T00:00:00"/>
  </r>
  <r>
    <n v="10716"/>
    <x v="2"/>
    <n v="285"/>
    <n v="10"/>
    <d v="1997-10-24T00:00:00"/>
  </r>
  <r>
    <n v="10716"/>
    <x v="3"/>
    <n v="285"/>
    <n v="10"/>
    <d v="1997-10-24T00:00:00"/>
  </r>
  <r>
    <n v="10716"/>
    <x v="4"/>
    <n v="285"/>
    <n v="10"/>
    <d v="1997-10-24T00:00:00"/>
  </r>
  <r>
    <n v="10716"/>
    <x v="5"/>
    <n v="285"/>
    <n v="10"/>
    <d v="1997-10-24T00:00:00"/>
  </r>
  <r>
    <n v="10716"/>
    <x v="6"/>
    <n v="285"/>
    <n v="10"/>
    <d v="1997-10-24T00:00:00"/>
  </r>
  <r>
    <n v="10716"/>
    <x v="7"/>
    <n v="285"/>
    <n v="10"/>
    <d v="1997-10-24T00:00:00"/>
  </r>
  <r>
    <n v="10717"/>
    <x v="0"/>
    <n v="303.99999976158142"/>
    <n v="32"/>
    <d v="1997-10-24T00:00:00"/>
  </r>
  <r>
    <n v="10717"/>
    <x v="1"/>
    <n v="303.99999976158142"/>
    <n v="32"/>
    <d v="1997-10-24T00:00:00"/>
  </r>
  <r>
    <n v="10717"/>
    <x v="2"/>
    <n v="303.99999976158142"/>
    <n v="32"/>
    <d v="1997-10-24T00:00:00"/>
  </r>
  <r>
    <n v="10717"/>
    <x v="3"/>
    <n v="303.99999976158142"/>
    <n v="32"/>
    <d v="1997-10-24T00:00:00"/>
  </r>
  <r>
    <n v="10717"/>
    <x v="4"/>
    <n v="303.99999976158142"/>
    <n v="32"/>
    <d v="1997-10-24T00:00:00"/>
  </r>
  <r>
    <n v="10717"/>
    <x v="5"/>
    <n v="303.99999976158142"/>
    <n v="32"/>
    <d v="1997-10-24T00:00:00"/>
  </r>
  <r>
    <n v="10717"/>
    <x v="6"/>
    <n v="303.99999976158142"/>
    <n v="32"/>
    <d v="1997-10-24T00:00:00"/>
  </r>
  <r>
    <n v="10717"/>
    <x v="7"/>
    <n v="303.99999976158142"/>
    <n v="32"/>
    <d v="1997-10-24T00:00:00"/>
  </r>
  <r>
    <n v="10717"/>
    <x v="0"/>
    <n v="111.75"/>
    <n v="15"/>
    <d v="1997-10-24T00:00:00"/>
  </r>
  <r>
    <n v="10717"/>
    <x v="1"/>
    <n v="111.75"/>
    <n v="15"/>
    <d v="1997-10-24T00:00:00"/>
  </r>
  <r>
    <n v="10717"/>
    <x v="2"/>
    <n v="111.75"/>
    <n v="15"/>
    <d v="1997-10-24T00:00:00"/>
  </r>
  <r>
    <n v="10717"/>
    <x v="3"/>
    <n v="111.75"/>
    <n v="15"/>
    <d v="1997-10-24T00:00:00"/>
  </r>
  <r>
    <n v="10717"/>
    <x v="4"/>
    <n v="111.75"/>
    <n v="15"/>
    <d v="1997-10-24T00:00:00"/>
  </r>
  <r>
    <n v="10717"/>
    <x v="5"/>
    <n v="111.75"/>
    <n v="15"/>
    <d v="1997-10-24T00:00:00"/>
  </r>
  <r>
    <n v="10717"/>
    <x v="6"/>
    <n v="111.75"/>
    <n v="15"/>
    <d v="1997-10-24T00:00:00"/>
  </r>
  <r>
    <n v="10717"/>
    <x v="7"/>
    <n v="111.75"/>
    <n v="15"/>
    <d v="1997-10-24T00:00:00"/>
  </r>
  <r>
    <n v="10717"/>
    <x v="0"/>
    <n v="854.99999932944775"/>
    <n v="25"/>
    <d v="1997-10-24T00:00:00"/>
  </r>
  <r>
    <n v="10717"/>
    <x v="1"/>
    <n v="854.99999932944775"/>
    <n v="25"/>
    <d v="1997-10-24T00:00:00"/>
  </r>
  <r>
    <n v="10717"/>
    <x v="2"/>
    <n v="854.99999932944775"/>
    <n v="25"/>
    <d v="1997-10-24T00:00:00"/>
  </r>
  <r>
    <n v="10717"/>
    <x v="3"/>
    <n v="854.99999932944775"/>
    <n v="25"/>
    <d v="1997-10-24T00:00:00"/>
  </r>
  <r>
    <n v="10717"/>
    <x v="4"/>
    <n v="854.99999932944775"/>
    <n v="25"/>
    <d v="1997-10-24T00:00:00"/>
  </r>
  <r>
    <n v="10717"/>
    <x v="5"/>
    <n v="854.99999932944775"/>
    <n v="25"/>
    <d v="1997-10-24T00:00:00"/>
  </r>
  <r>
    <n v="10717"/>
    <x v="6"/>
    <n v="854.99999932944775"/>
    <n v="25"/>
    <d v="1997-10-24T00:00:00"/>
  </r>
  <r>
    <n v="10717"/>
    <x v="7"/>
    <n v="854.99999932944775"/>
    <n v="25"/>
    <d v="1997-10-24T00:00:00"/>
  </r>
  <r>
    <n v="10718"/>
    <x v="0"/>
    <n v="1368"/>
    <n v="36"/>
    <d v="1997-10-27T00:00:00"/>
  </r>
  <r>
    <n v="10718"/>
    <x v="1"/>
    <n v="1368"/>
    <n v="36"/>
    <d v="1997-10-27T00:00:00"/>
  </r>
  <r>
    <n v="10718"/>
    <x v="2"/>
    <n v="1368"/>
    <n v="36"/>
    <d v="1997-10-27T00:00:00"/>
  </r>
  <r>
    <n v="10718"/>
    <x v="3"/>
    <n v="1368"/>
    <n v="36"/>
    <d v="1997-10-27T00:00:00"/>
  </r>
  <r>
    <n v="10718"/>
    <x v="4"/>
    <n v="1368"/>
    <n v="36"/>
    <d v="1997-10-27T00:00:00"/>
  </r>
  <r>
    <n v="10718"/>
    <x v="5"/>
    <n v="1368"/>
    <n v="36"/>
    <d v="1997-10-27T00:00:00"/>
  </r>
  <r>
    <n v="10718"/>
    <x v="6"/>
    <n v="1368"/>
    <n v="36"/>
    <d v="1997-10-27T00:00:00"/>
  </r>
  <r>
    <n v="10718"/>
    <x v="7"/>
    <n v="1368"/>
    <n v="36"/>
    <d v="1997-10-27T00:00:00"/>
  </r>
  <r>
    <n v="10718"/>
    <x v="0"/>
    <n v="349"/>
    <n v="20"/>
    <d v="1997-10-27T00:00:00"/>
  </r>
  <r>
    <n v="10718"/>
    <x v="1"/>
    <n v="349"/>
    <n v="20"/>
    <d v="1997-10-27T00:00:00"/>
  </r>
  <r>
    <n v="10718"/>
    <x v="2"/>
    <n v="349"/>
    <n v="20"/>
    <d v="1997-10-27T00:00:00"/>
  </r>
  <r>
    <n v="10718"/>
    <x v="3"/>
    <n v="349"/>
    <n v="20"/>
    <d v="1997-10-27T00:00:00"/>
  </r>
  <r>
    <n v="10718"/>
    <x v="4"/>
    <n v="349"/>
    <n v="20"/>
    <d v="1997-10-27T00:00:00"/>
  </r>
  <r>
    <n v="10718"/>
    <x v="5"/>
    <n v="349"/>
    <n v="20"/>
    <d v="1997-10-27T00:00:00"/>
  </r>
  <r>
    <n v="10718"/>
    <x v="6"/>
    <n v="349"/>
    <n v="20"/>
    <d v="1997-10-27T00:00:00"/>
  </r>
  <r>
    <n v="10718"/>
    <x v="7"/>
    <n v="349"/>
    <n v="20"/>
    <d v="1997-10-27T00:00:00"/>
  </r>
  <r>
    <n v="10718"/>
    <x v="0"/>
    <n v="760"/>
    <n v="40"/>
    <d v="1997-10-27T00:00:00"/>
  </r>
  <r>
    <n v="10718"/>
    <x v="1"/>
    <n v="760"/>
    <n v="40"/>
    <d v="1997-10-27T00:00:00"/>
  </r>
  <r>
    <n v="10718"/>
    <x v="2"/>
    <n v="760"/>
    <n v="40"/>
    <d v="1997-10-27T00:00:00"/>
  </r>
  <r>
    <n v="10718"/>
    <x v="3"/>
    <n v="760"/>
    <n v="40"/>
    <d v="1997-10-27T00:00:00"/>
  </r>
  <r>
    <n v="10718"/>
    <x v="4"/>
    <n v="760"/>
    <n v="40"/>
    <d v="1997-10-27T00:00:00"/>
  </r>
  <r>
    <n v="10718"/>
    <x v="5"/>
    <n v="760"/>
    <n v="40"/>
    <d v="1997-10-27T00:00:00"/>
  </r>
  <r>
    <n v="10718"/>
    <x v="6"/>
    <n v="760"/>
    <n v="40"/>
    <d v="1997-10-27T00:00:00"/>
  </r>
  <r>
    <n v="10718"/>
    <x v="7"/>
    <n v="760"/>
    <n v="40"/>
    <d v="1997-10-27T00:00:00"/>
  </r>
  <r>
    <n v="10718"/>
    <x v="0"/>
    <n v="986"/>
    <n v="20"/>
    <d v="1997-10-27T00:00:00"/>
  </r>
  <r>
    <n v="10718"/>
    <x v="1"/>
    <n v="986"/>
    <n v="20"/>
    <d v="1997-10-27T00:00:00"/>
  </r>
  <r>
    <n v="10718"/>
    <x v="2"/>
    <n v="986"/>
    <n v="20"/>
    <d v="1997-10-27T00:00:00"/>
  </r>
  <r>
    <n v="10718"/>
    <x v="3"/>
    <n v="986"/>
    <n v="20"/>
    <d v="1997-10-27T00:00:00"/>
  </r>
  <r>
    <n v="10718"/>
    <x v="4"/>
    <n v="986"/>
    <n v="20"/>
    <d v="1997-10-27T00:00:00"/>
  </r>
  <r>
    <n v="10718"/>
    <x v="5"/>
    <n v="986"/>
    <n v="20"/>
    <d v="1997-10-27T00:00:00"/>
  </r>
  <r>
    <n v="10718"/>
    <x v="6"/>
    <n v="986"/>
    <n v="20"/>
    <d v="1997-10-27T00:00:00"/>
  </r>
  <r>
    <n v="10718"/>
    <x v="7"/>
    <n v="986"/>
    <n v="20"/>
    <d v="1997-10-27T00:00:00"/>
  </r>
  <r>
    <n v="10719"/>
    <x v="0"/>
    <n v="562.5"/>
    <n v="12"/>
    <d v="1997-10-27T00:00:00"/>
  </r>
  <r>
    <n v="10719"/>
    <x v="1"/>
    <n v="562.5"/>
    <n v="12"/>
    <d v="1997-10-27T00:00:00"/>
  </r>
  <r>
    <n v="10719"/>
    <x v="2"/>
    <n v="562.5"/>
    <n v="12"/>
    <d v="1997-10-27T00:00:00"/>
  </r>
  <r>
    <n v="10719"/>
    <x v="3"/>
    <n v="562.5"/>
    <n v="12"/>
    <d v="1997-10-27T00:00:00"/>
  </r>
  <r>
    <n v="10719"/>
    <x v="4"/>
    <n v="562.5"/>
    <n v="12"/>
    <d v="1997-10-27T00:00:00"/>
  </r>
  <r>
    <n v="10719"/>
    <x v="5"/>
    <n v="562.5"/>
    <n v="12"/>
    <d v="1997-10-27T00:00:00"/>
  </r>
  <r>
    <n v="10719"/>
    <x v="6"/>
    <n v="562.5"/>
    <n v="12"/>
    <d v="1997-10-27T00:00:00"/>
  </r>
  <r>
    <n v="10719"/>
    <x v="7"/>
    <n v="562.5"/>
    <n v="12"/>
    <d v="1997-10-27T00:00:00"/>
  </r>
  <r>
    <n v="10719"/>
    <x v="0"/>
    <n v="58.252499999999998"/>
    <n v="3"/>
    <d v="1997-10-27T00:00:00"/>
  </r>
  <r>
    <n v="10719"/>
    <x v="1"/>
    <n v="58.252499999999998"/>
    <n v="3"/>
    <d v="1997-10-27T00:00:00"/>
  </r>
  <r>
    <n v="10719"/>
    <x v="2"/>
    <n v="58.252499999999998"/>
    <n v="3"/>
    <d v="1997-10-27T00:00:00"/>
  </r>
  <r>
    <n v="10719"/>
    <x v="3"/>
    <n v="58.252499999999998"/>
    <n v="3"/>
    <d v="1997-10-27T00:00:00"/>
  </r>
  <r>
    <n v="10719"/>
    <x v="4"/>
    <n v="58.252499999999998"/>
    <n v="3"/>
    <d v="1997-10-27T00:00:00"/>
  </r>
  <r>
    <n v="10719"/>
    <x v="5"/>
    <n v="58.252499999999998"/>
    <n v="3"/>
    <d v="1997-10-27T00:00:00"/>
  </r>
  <r>
    <n v="10719"/>
    <x v="6"/>
    <n v="58.252499999999998"/>
    <n v="3"/>
    <d v="1997-10-27T00:00:00"/>
  </r>
  <r>
    <n v="10719"/>
    <x v="7"/>
    <n v="58.252499999999998"/>
    <n v="3"/>
    <d v="1997-10-27T00:00:00"/>
  </r>
  <r>
    <n v="10719"/>
    <x v="0"/>
    <n v="223.5"/>
    <n v="40"/>
    <d v="1997-10-27T00:00:00"/>
  </r>
  <r>
    <n v="10719"/>
    <x v="1"/>
    <n v="223.5"/>
    <n v="40"/>
    <d v="1997-10-27T00:00:00"/>
  </r>
  <r>
    <n v="10719"/>
    <x v="2"/>
    <n v="223.5"/>
    <n v="40"/>
    <d v="1997-10-27T00:00:00"/>
  </r>
  <r>
    <n v="10719"/>
    <x v="3"/>
    <n v="223.5"/>
    <n v="40"/>
    <d v="1997-10-27T00:00:00"/>
  </r>
  <r>
    <n v="10719"/>
    <x v="4"/>
    <n v="223.5"/>
    <n v="40"/>
    <d v="1997-10-27T00:00:00"/>
  </r>
  <r>
    <n v="10719"/>
    <x v="5"/>
    <n v="223.5"/>
    <n v="40"/>
    <d v="1997-10-27T00:00:00"/>
  </r>
  <r>
    <n v="10719"/>
    <x v="6"/>
    <n v="223.5"/>
    <n v="40"/>
    <d v="1997-10-27T00:00:00"/>
  </r>
  <r>
    <n v="10719"/>
    <x v="7"/>
    <n v="223.5"/>
    <n v="40"/>
    <d v="1997-10-27T00:00:00"/>
  </r>
  <r>
    <n v="10720"/>
    <x v="0"/>
    <n v="378"/>
    <n v="21"/>
    <d v="1997-10-28T00:00:00"/>
  </r>
  <r>
    <n v="10720"/>
    <x v="1"/>
    <n v="378"/>
    <n v="21"/>
    <d v="1997-10-28T00:00:00"/>
  </r>
  <r>
    <n v="10720"/>
    <x v="2"/>
    <n v="378"/>
    <n v="21"/>
    <d v="1997-10-28T00:00:00"/>
  </r>
  <r>
    <n v="10720"/>
    <x v="3"/>
    <n v="378"/>
    <n v="21"/>
    <d v="1997-10-28T00:00:00"/>
  </r>
  <r>
    <n v="10720"/>
    <x v="4"/>
    <n v="378"/>
    <n v="21"/>
    <d v="1997-10-28T00:00:00"/>
  </r>
  <r>
    <n v="10720"/>
    <x v="5"/>
    <n v="378"/>
    <n v="21"/>
    <d v="1997-10-28T00:00:00"/>
  </r>
  <r>
    <n v="10720"/>
    <x v="6"/>
    <n v="378"/>
    <n v="21"/>
    <d v="1997-10-28T00:00:00"/>
  </r>
  <r>
    <n v="10720"/>
    <x v="7"/>
    <n v="378"/>
    <n v="21"/>
    <d v="1997-10-28T00:00:00"/>
  </r>
  <r>
    <n v="10720"/>
    <x v="0"/>
    <n v="172"/>
    <n v="8"/>
    <d v="1997-10-28T00:00:00"/>
  </r>
  <r>
    <n v="10720"/>
    <x v="1"/>
    <n v="172"/>
    <n v="8"/>
    <d v="1997-10-28T00:00:00"/>
  </r>
  <r>
    <n v="10720"/>
    <x v="2"/>
    <n v="172"/>
    <n v="8"/>
    <d v="1997-10-28T00:00:00"/>
  </r>
  <r>
    <n v="10720"/>
    <x v="3"/>
    <n v="172"/>
    <n v="8"/>
    <d v="1997-10-28T00:00:00"/>
  </r>
  <r>
    <n v="10720"/>
    <x v="4"/>
    <n v="172"/>
    <n v="8"/>
    <d v="1997-10-28T00:00:00"/>
  </r>
  <r>
    <n v="10720"/>
    <x v="5"/>
    <n v="172"/>
    <n v="8"/>
    <d v="1997-10-28T00:00:00"/>
  </r>
  <r>
    <n v="10720"/>
    <x v="6"/>
    <n v="172"/>
    <n v="8"/>
    <d v="1997-10-28T00:00:00"/>
  </r>
  <r>
    <n v="10720"/>
    <x v="7"/>
    <n v="172"/>
    <n v="8"/>
    <d v="1997-10-28T00:00:00"/>
  </r>
  <r>
    <n v="10721"/>
    <x v="0"/>
    <n v="923.87499927543104"/>
    <n v="50"/>
    <d v="1997-10-29T00:00:00"/>
  </r>
  <r>
    <n v="10721"/>
    <x v="1"/>
    <n v="923.87499927543104"/>
    <n v="50"/>
    <d v="1997-10-29T00:00:00"/>
  </r>
  <r>
    <n v="10721"/>
    <x v="2"/>
    <n v="923.87499927543104"/>
    <n v="50"/>
    <d v="1997-10-29T00:00:00"/>
  </r>
  <r>
    <n v="10721"/>
    <x v="3"/>
    <n v="923.87499927543104"/>
    <n v="50"/>
    <d v="1997-10-29T00:00:00"/>
  </r>
  <r>
    <n v="10721"/>
    <x v="4"/>
    <n v="923.87499927543104"/>
    <n v="50"/>
    <d v="1997-10-29T00:00:00"/>
  </r>
  <r>
    <n v="10721"/>
    <x v="5"/>
    <n v="923.87499927543104"/>
    <n v="50"/>
    <d v="1997-10-29T00:00:00"/>
  </r>
  <r>
    <n v="10721"/>
    <x v="6"/>
    <n v="923.87499927543104"/>
    <n v="50"/>
    <d v="1997-10-29T00:00:00"/>
  </r>
  <r>
    <n v="10721"/>
    <x v="7"/>
    <n v="923.87499927543104"/>
    <n v="50"/>
    <d v="1997-10-29T00:00:00"/>
  </r>
  <r>
    <n v="10722"/>
    <x v="0"/>
    <n v="57"/>
    <n v="3"/>
    <d v="1997-10-29T00:00:00"/>
  </r>
  <r>
    <n v="10722"/>
    <x v="1"/>
    <n v="57"/>
    <n v="3"/>
    <d v="1997-10-29T00:00:00"/>
  </r>
  <r>
    <n v="10722"/>
    <x v="2"/>
    <n v="57"/>
    <n v="3"/>
    <d v="1997-10-29T00:00:00"/>
  </r>
  <r>
    <n v="10722"/>
    <x v="3"/>
    <n v="57"/>
    <n v="3"/>
    <d v="1997-10-29T00:00:00"/>
  </r>
  <r>
    <n v="10722"/>
    <x v="4"/>
    <n v="57"/>
    <n v="3"/>
    <d v="1997-10-29T00:00:00"/>
  </r>
  <r>
    <n v="10722"/>
    <x v="5"/>
    <n v="57"/>
    <n v="3"/>
    <d v="1997-10-29T00:00:00"/>
  </r>
  <r>
    <n v="10722"/>
    <x v="6"/>
    <n v="57"/>
    <n v="3"/>
    <d v="1997-10-29T00:00:00"/>
  </r>
  <r>
    <n v="10722"/>
    <x v="7"/>
    <n v="57"/>
    <n v="3"/>
    <d v="1997-10-29T00:00:00"/>
  </r>
  <r>
    <n v="10722"/>
    <x v="0"/>
    <n v="625"/>
    <n v="50"/>
    <d v="1997-10-29T00:00:00"/>
  </r>
  <r>
    <n v="10722"/>
    <x v="1"/>
    <n v="625"/>
    <n v="50"/>
    <d v="1997-10-29T00:00:00"/>
  </r>
  <r>
    <n v="10722"/>
    <x v="2"/>
    <n v="625"/>
    <n v="50"/>
    <d v="1997-10-29T00:00:00"/>
  </r>
  <r>
    <n v="10722"/>
    <x v="3"/>
    <n v="625"/>
    <n v="50"/>
    <d v="1997-10-29T00:00:00"/>
  </r>
  <r>
    <n v="10722"/>
    <x v="4"/>
    <n v="625"/>
    <n v="50"/>
    <d v="1997-10-29T00:00:00"/>
  </r>
  <r>
    <n v="10722"/>
    <x v="5"/>
    <n v="625"/>
    <n v="50"/>
    <d v="1997-10-29T00:00:00"/>
  </r>
  <r>
    <n v="10722"/>
    <x v="6"/>
    <n v="625"/>
    <n v="50"/>
    <d v="1997-10-29T00:00:00"/>
  </r>
  <r>
    <n v="10722"/>
    <x v="7"/>
    <n v="625"/>
    <n v="50"/>
    <d v="1997-10-29T00:00:00"/>
  </r>
  <r>
    <n v="10722"/>
    <x v="0"/>
    <n v="562.5"/>
    <n v="45"/>
    <d v="1997-10-29T00:00:00"/>
  </r>
  <r>
    <n v="10722"/>
    <x v="1"/>
    <n v="562.5"/>
    <n v="45"/>
    <d v="1997-10-29T00:00:00"/>
  </r>
  <r>
    <n v="10722"/>
    <x v="2"/>
    <n v="562.5"/>
    <n v="45"/>
    <d v="1997-10-29T00:00:00"/>
  </r>
  <r>
    <n v="10722"/>
    <x v="3"/>
    <n v="562.5"/>
    <n v="45"/>
    <d v="1997-10-29T00:00:00"/>
  </r>
  <r>
    <n v="10722"/>
    <x v="4"/>
    <n v="562.5"/>
    <n v="45"/>
    <d v="1997-10-29T00:00:00"/>
  </r>
  <r>
    <n v="10722"/>
    <x v="5"/>
    <n v="562.5"/>
    <n v="45"/>
    <d v="1997-10-29T00:00:00"/>
  </r>
  <r>
    <n v="10722"/>
    <x v="6"/>
    <n v="562.5"/>
    <n v="45"/>
    <d v="1997-10-29T00:00:00"/>
  </r>
  <r>
    <n v="10722"/>
    <x v="7"/>
    <n v="562.5"/>
    <n v="45"/>
    <d v="1997-10-29T00:00:00"/>
  </r>
  <r>
    <n v="10722"/>
    <x v="0"/>
    <n v="325.5"/>
    <n v="42"/>
    <d v="1997-10-29T00:00:00"/>
  </r>
  <r>
    <n v="10722"/>
    <x v="1"/>
    <n v="325.5"/>
    <n v="42"/>
    <d v="1997-10-29T00:00:00"/>
  </r>
  <r>
    <n v="10722"/>
    <x v="2"/>
    <n v="325.5"/>
    <n v="42"/>
    <d v="1997-10-29T00:00:00"/>
  </r>
  <r>
    <n v="10722"/>
    <x v="3"/>
    <n v="325.5"/>
    <n v="42"/>
    <d v="1997-10-29T00:00:00"/>
  </r>
  <r>
    <n v="10722"/>
    <x v="4"/>
    <n v="325.5"/>
    <n v="42"/>
    <d v="1997-10-29T00:00:00"/>
  </r>
  <r>
    <n v="10722"/>
    <x v="5"/>
    <n v="325.5"/>
    <n v="42"/>
    <d v="1997-10-29T00:00:00"/>
  </r>
  <r>
    <n v="10722"/>
    <x v="6"/>
    <n v="325.5"/>
    <n v="42"/>
    <d v="1997-10-29T00:00:00"/>
  </r>
  <r>
    <n v="10722"/>
    <x v="7"/>
    <n v="325.5"/>
    <n v="42"/>
    <d v="1997-10-29T00:00:00"/>
  </r>
  <r>
    <n v="10723"/>
    <x v="0"/>
    <n v="468.45"/>
    <n v="15"/>
    <d v="1997-10-30T00:00:00"/>
  </r>
  <r>
    <n v="10723"/>
    <x v="1"/>
    <n v="468.45"/>
    <n v="15"/>
    <d v="1997-10-30T00:00:00"/>
  </r>
  <r>
    <n v="10723"/>
    <x v="2"/>
    <n v="468.45"/>
    <n v="15"/>
    <d v="1997-10-30T00:00:00"/>
  </r>
  <r>
    <n v="10723"/>
    <x v="3"/>
    <n v="468.45"/>
    <n v="15"/>
    <d v="1997-10-30T00:00:00"/>
  </r>
  <r>
    <n v="10723"/>
    <x v="4"/>
    <n v="468.45"/>
    <n v="15"/>
    <d v="1997-10-30T00:00:00"/>
  </r>
  <r>
    <n v="10723"/>
    <x v="5"/>
    <n v="468.45"/>
    <n v="15"/>
    <d v="1997-10-30T00:00:00"/>
  </r>
  <r>
    <n v="10723"/>
    <x v="6"/>
    <n v="468.45"/>
    <n v="15"/>
    <d v="1997-10-30T00:00:00"/>
  </r>
  <r>
    <n v="10723"/>
    <x v="7"/>
    <n v="468.45"/>
    <n v="15"/>
    <d v="1997-10-30T00:00:00"/>
  </r>
  <r>
    <n v="10724"/>
    <x v="0"/>
    <n v="496"/>
    <n v="16"/>
    <d v="1997-10-30T00:00:00"/>
  </r>
  <r>
    <n v="10724"/>
    <x v="1"/>
    <n v="496"/>
    <n v="16"/>
    <d v="1997-10-30T00:00:00"/>
  </r>
  <r>
    <n v="10724"/>
    <x v="2"/>
    <n v="496"/>
    <n v="16"/>
    <d v="1997-10-30T00:00:00"/>
  </r>
  <r>
    <n v="10724"/>
    <x v="3"/>
    <n v="496"/>
    <n v="16"/>
    <d v="1997-10-30T00:00:00"/>
  </r>
  <r>
    <n v="10724"/>
    <x v="4"/>
    <n v="496"/>
    <n v="16"/>
    <d v="1997-10-30T00:00:00"/>
  </r>
  <r>
    <n v="10724"/>
    <x v="5"/>
    <n v="496"/>
    <n v="16"/>
    <d v="1997-10-30T00:00:00"/>
  </r>
  <r>
    <n v="10724"/>
    <x v="6"/>
    <n v="496"/>
    <n v="16"/>
    <d v="1997-10-30T00:00:00"/>
  </r>
  <r>
    <n v="10724"/>
    <x v="7"/>
    <n v="496"/>
    <n v="16"/>
    <d v="1997-10-30T00:00:00"/>
  </r>
  <r>
    <n v="10724"/>
    <x v="0"/>
    <n v="142.5"/>
    <n v="5"/>
    <d v="1997-10-30T00:00:00"/>
  </r>
  <r>
    <n v="10724"/>
    <x v="1"/>
    <n v="142.5"/>
    <n v="5"/>
    <d v="1997-10-30T00:00:00"/>
  </r>
  <r>
    <n v="10724"/>
    <x v="2"/>
    <n v="142.5"/>
    <n v="5"/>
    <d v="1997-10-30T00:00:00"/>
  </r>
  <r>
    <n v="10724"/>
    <x v="3"/>
    <n v="142.5"/>
    <n v="5"/>
    <d v="1997-10-30T00:00:00"/>
  </r>
  <r>
    <n v="10724"/>
    <x v="4"/>
    <n v="142.5"/>
    <n v="5"/>
    <d v="1997-10-30T00:00:00"/>
  </r>
  <r>
    <n v="10724"/>
    <x v="5"/>
    <n v="142.5"/>
    <n v="5"/>
    <d v="1997-10-30T00:00:00"/>
  </r>
  <r>
    <n v="10724"/>
    <x v="6"/>
    <n v="142.5"/>
    <n v="5"/>
    <d v="1997-10-30T00:00:00"/>
  </r>
  <r>
    <n v="10724"/>
    <x v="7"/>
    <n v="142.5"/>
    <n v="5"/>
    <d v="1997-10-30T00:00:00"/>
  </r>
  <r>
    <n v="10725"/>
    <x v="0"/>
    <n v="115.8"/>
    <n v="12"/>
    <d v="1997-10-31T00:00:00"/>
  </r>
  <r>
    <n v="10725"/>
    <x v="1"/>
    <n v="115.8"/>
    <n v="12"/>
    <d v="1997-10-31T00:00:00"/>
  </r>
  <r>
    <n v="10725"/>
    <x v="2"/>
    <n v="115.8"/>
    <n v="12"/>
    <d v="1997-10-31T00:00:00"/>
  </r>
  <r>
    <n v="10725"/>
    <x v="3"/>
    <n v="115.8"/>
    <n v="12"/>
    <d v="1997-10-31T00:00:00"/>
  </r>
  <r>
    <n v="10725"/>
    <x v="4"/>
    <n v="115.8"/>
    <n v="12"/>
    <d v="1997-10-31T00:00:00"/>
  </r>
  <r>
    <n v="10725"/>
    <x v="5"/>
    <n v="115.8"/>
    <n v="12"/>
    <d v="1997-10-31T00:00:00"/>
  </r>
  <r>
    <n v="10725"/>
    <x v="6"/>
    <n v="115.8"/>
    <n v="12"/>
    <d v="1997-10-31T00:00:00"/>
  </r>
  <r>
    <n v="10725"/>
    <x v="7"/>
    <n v="115.8"/>
    <n v="12"/>
    <d v="1997-10-31T00:00:00"/>
  </r>
  <r>
    <n v="10725"/>
    <x v="0"/>
    <n v="28"/>
    <n v="4"/>
    <d v="1997-10-31T00:00:00"/>
  </r>
  <r>
    <n v="10725"/>
    <x v="1"/>
    <n v="28"/>
    <n v="4"/>
    <d v="1997-10-31T00:00:00"/>
  </r>
  <r>
    <n v="10725"/>
    <x v="2"/>
    <n v="28"/>
    <n v="4"/>
    <d v="1997-10-31T00:00:00"/>
  </r>
  <r>
    <n v="10725"/>
    <x v="3"/>
    <n v="28"/>
    <n v="4"/>
    <d v="1997-10-31T00:00:00"/>
  </r>
  <r>
    <n v="10725"/>
    <x v="4"/>
    <n v="28"/>
    <n v="4"/>
    <d v="1997-10-31T00:00:00"/>
  </r>
  <r>
    <n v="10725"/>
    <x v="5"/>
    <n v="28"/>
    <n v="4"/>
    <d v="1997-10-31T00:00:00"/>
  </r>
  <r>
    <n v="10725"/>
    <x v="6"/>
    <n v="28"/>
    <n v="4"/>
    <d v="1997-10-31T00:00:00"/>
  </r>
  <r>
    <n v="10725"/>
    <x v="7"/>
    <n v="28"/>
    <n v="4"/>
    <d v="1997-10-31T00:00:00"/>
  </r>
  <r>
    <n v="10725"/>
    <x v="0"/>
    <n v="144"/>
    <n v="6"/>
    <d v="1997-10-31T00:00:00"/>
  </r>
  <r>
    <n v="10725"/>
    <x v="1"/>
    <n v="144"/>
    <n v="6"/>
    <d v="1997-10-31T00:00:00"/>
  </r>
  <r>
    <n v="10725"/>
    <x v="2"/>
    <n v="144"/>
    <n v="6"/>
    <d v="1997-10-31T00:00:00"/>
  </r>
  <r>
    <n v="10725"/>
    <x v="3"/>
    <n v="144"/>
    <n v="6"/>
    <d v="1997-10-31T00:00:00"/>
  </r>
  <r>
    <n v="10725"/>
    <x v="4"/>
    <n v="144"/>
    <n v="6"/>
    <d v="1997-10-31T00:00:00"/>
  </r>
  <r>
    <n v="10725"/>
    <x v="5"/>
    <n v="144"/>
    <n v="6"/>
    <d v="1997-10-31T00:00:00"/>
  </r>
  <r>
    <n v="10725"/>
    <x v="6"/>
    <n v="144"/>
    <n v="6"/>
    <d v="1997-10-31T00:00:00"/>
  </r>
  <r>
    <n v="10725"/>
    <x v="7"/>
    <n v="144"/>
    <n v="6"/>
    <d v="1997-10-31T00:00:00"/>
  </r>
  <r>
    <n v="10726"/>
    <x v="0"/>
    <n v="550"/>
    <n v="25"/>
    <d v="1997-11-03T00:00:00"/>
  </r>
  <r>
    <n v="10726"/>
    <x v="1"/>
    <n v="550"/>
    <n v="25"/>
    <d v="1997-11-03T00:00:00"/>
  </r>
  <r>
    <n v="10726"/>
    <x v="2"/>
    <n v="550"/>
    <n v="25"/>
    <d v="1997-11-03T00:00:00"/>
  </r>
  <r>
    <n v="10726"/>
    <x v="3"/>
    <n v="550"/>
    <n v="25"/>
    <d v="1997-11-03T00:00:00"/>
  </r>
  <r>
    <n v="10726"/>
    <x v="4"/>
    <n v="550"/>
    <n v="25"/>
    <d v="1997-11-03T00:00:00"/>
  </r>
  <r>
    <n v="10726"/>
    <x v="5"/>
    <n v="550"/>
    <n v="25"/>
    <d v="1997-11-03T00:00:00"/>
  </r>
  <r>
    <n v="10726"/>
    <x v="6"/>
    <n v="550"/>
    <n v="25"/>
    <d v="1997-11-03T00:00:00"/>
  </r>
  <r>
    <n v="10726"/>
    <x v="7"/>
    <n v="550"/>
    <n v="25"/>
    <d v="1997-11-03T00:00:00"/>
  </r>
  <r>
    <n v="10726"/>
    <x v="0"/>
    <n v="105"/>
    <n v="5"/>
    <d v="1997-11-03T00:00:00"/>
  </r>
  <r>
    <n v="10726"/>
    <x v="1"/>
    <n v="105"/>
    <n v="5"/>
    <d v="1997-11-03T00:00:00"/>
  </r>
  <r>
    <n v="10726"/>
    <x v="2"/>
    <n v="105"/>
    <n v="5"/>
    <d v="1997-11-03T00:00:00"/>
  </r>
  <r>
    <n v="10726"/>
    <x v="3"/>
    <n v="105"/>
    <n v="5"/>
    <d v="1997-11-03T00:00:00"/>
  </r>
  <r>
    <n v="10726"/>
    <x v="4"/>
    <n v="105"/>
    <n v="5"/>
    <d v="1997-11-03T00:00:00"/>
  </r>
  <r>
    <n v="10726"/>
    <x v="5"/>
    <n v="105"/>
    <n v="5"/>
    <d v="1997-11-03T00:00:00"/>
  </r>
  <r>
    <n v="10726"/>
    <x v="6"/>
    <n v="105"/>
    <n v="5"/>
    <d v="1997-11-03T00:00:00"/>
  </r>
  <r>
    <n v="10726"/>
    <x v="7"/>
    <n v="105"/>
    <n v="5"/>
    <d v="1997-11-03T00:00:00"/>
  </r>
  <r>
    <n v="10727"/>
    <x v="0"/>
    <n v="740.99999941885471"/>
    <n v="20"/>
    <d v="1997-11-03T00:00:00"/>
  </r>
  <r>
    <n v="10727"/>
    <x v="1"/>
    <n v="740.99999941885471"/>
    <n v="20"/>
    <d v="1997-11-03T00:00:00"/>
  </r>
  <r>
    <n v="10727"/>
    <x v="2"/>
    <n v="740.99999941885471"/>
    <n v="20"/>
    <d v="1997-11-03T00:00:00"/>
  </r>
  <r>
    <n v="10727"/>
    <x v="3"/>
    <n v="740.99999941885471"/>
    <n v="20"/>
    <d v="1997-11-03T00:00:00"/>
  </r>
  <r>
    <n v="10727"/>
    <x v="4"/>
    <n v="740.99999941885471"/>
    <n v="20"/>
    <d v="1997-11-03T00:00:00"/>
  </r>
  <r>
    <n v="10727"/>
    <x v="5"/>
    <n v="740.99999941885471"/>
    <n v="20"/>
    <d v="1997-11-03T00:00:00"/>
  </r>
  <r>
    <n v="10727"/>
    <x v="6"/>
    <n v="740.99999941885471"/>
    <n v="20"/>
    <d v="1997-11-03T00:00:00"/>
  </r>
  <r>
    <n v="10727"/>
    <x v="7"/>
    <n v="740.99999941885471"/>
    <n v="20"/>
    <d v="1997-11-03T00:00:00"/>
  </r>
  <r>
    <n v="10727"/>
    <x v="0"/>
    <n v="360.99999971687794"/>
    <n v="10"/>
    <d v="1997-11-03T00:00:00"/>
  </r>
  <r>
    <n v="10727"/>
    <x v="1"/>
    <n v="360.99999971687794"/>
    <n v="10"/>
    <d v="1997-11-03T00:00:00"/>
  </r>
  <r>
    <n v="10727"/>
    <x v="2"/>
    <n v="360.99999971687794"/>
    <n v="10"/>
    <d v="1997-11-03T00:00:00"/>
  </r>
  <r>
    <n v="10727"/>
    <x v="3"/>
    <n v="360.99999971687794"/>
    <n v="10"/>
    <d v="1997-11-03T00:00:00"/>
  </r>
  <r>
    <n v="10727"/>
    <x v="4"/>
    <n v="360.99999971687794"/>
    <n v="10"/>
    <d v="1997-11-03T00:00:00"/>
  </r>
  <r>
    <n v="10727"/>
    <x v="5"/>
    <n v="360.99999971687794"/>
    <n v="10"/>
    <d v="1997-11-03T00:00:00"/>
  </r>
  <r>
    <n v="10727"/>
    <x v="6"/>
    <n v="360.99999971687794"/>
    <n v="10"/>
    <d v="1997-11-03T00:00:00"/>
  </r>
  <r>
    <n v="10727"/>
    <x v="7"/>
    <n v="360.99999971687794"/>
    <n v="10"/>
    <d v="1997-11-03T00:00:00"/>
  </r>
  <r>
    <n v="10727"/>
    <x v="0"/>
    <n v="522.49999959021807"/>
    <n v="10"/>
    <d v="1997-11-03T00:00:00"/>
  </r>
  <r>
    <n v="10727"/>
    <x v="1"/>
    <n v="522.49999959021807"/>
    <n v="10"/>
    <d v="1997-11-03T00:00:00"/>
  </r>
  <r>
    <n v="10727"/>
    <x v="2"/>
    <n v="522.49999959021807"/>
    <n v="10"/>
    <d v="1997-11-03T00:00:00"/>
  </r>
  <r>
    <n v="10727"/>
    <x v="3"/>
    <n v="522.49999959021807"/>
    <n v="10"/>
    <d v="1997-11-03T00:00:00"/>
  </r>
  <r>
    <n v="10727"/>
    <x v="4"/>
    <n v="522.49999959021807"/>
    <n v="10"/>
    <d v="1997-11-03T00:00:00"/>
  </r>
  <r>
    <n v="10727"/>
    <x v="5"/>
    <n v="522.49999959021807"/>
    <n v="10"/>
    <d v="1997-11-03T00:00:00"/>
  </r>
  <r>
    <n v="10727"/>
    <x v="6"/>
    <n v="522.49999959021807"/>
    <n v="10"/>
    <d v="1997-11-03T00:00:00"/>
  </r>
  <r>
    <n v="10727"/>
    <x v="7"/>
    <n v="522.49999959021807"/>
    <n v="10"/>
    <d v="1997-11-03T00:00:00"/>
  </r>
  <r>
    <n v="10728"/>
    <x v="0"/>
    <n v="388.35"/>
    <n v="15"/>
    <d v="1997-11-04T00:00:00"/>
  </r>
  <r>
    <n v="10728"/>
    <x v="1"/>
    <n v="388.35"/>
    <n v="15"/>
    <d v="1997-11-04T00:00:00"/>
  </r>
  <r>
    <n v="10728"/>
    <x v="2"/>
    <n v="388.35"/>
    <n v="15"/>
    <d v="1997-11-04T00:00:00"/>
  </r>
  <r>
    <n v="10728"/>
    <x v="3"/>
    <n v="388.35"/>
    <n v="15"/>
    <d v="1997-11-04T00:00:00"/>
  </r>
  <r>
    <n v="10728"/>
    <x v="4"/>
    <n v="388.35"/>
    <n v="15"/>
    <d v="1997-11-04T00:00:00"/>
  </r>
  <r>
    <n v="10728"/>
    <x v="5"/>
    <n v="388.35"/>
    <n v="15"/>
    <d v="1997-11-04T00:00:00"/>
  </r>
  <r>
    <n v="10728"/>
    <x v="6"/>
    <n v="388.35"/>
    <n v="15"/>
    <d v="1997-11-04T00:00:00"/>
  </r>
  <r>
    <n v="10728"/>
    <x v="7"/>
    <n v="388.35"/>
    <n v="15"/>
    <d v="1997-11-04T00:00:00"/>
  </r>
  <r>
    <n v="10728"/>
    <x v="0"/>
    <n v="110.4"/>
    <n v="6"/>
    <d v="1997-11-04T00:00:00"/>
  </r>
  <r>
    <n v="10728"/>
    <x v="1"/>
    <n v="110.4"/>
    <n v="6"/>
    <d v="1997-11-04T00:00:00"/>
  </r>
  <r>
    <n v="10728"/>
    <x v="2"/>
    <n v="110.4"/>
    <n v="6"/>
    <d v="1997-11-04T00:00:00"/>
  </r>
  <r>
    <n v="10728"/>
    <x v="3"/>
    <n v="110.4"/>
    <n v="6"/>
    <d v="1997-11-04T00:00:00"/>
  </r>
  <r>
    <n v="10728"/>
    <x v="4"/>
    <n v="110.4"/>
    <n v="6"/>
    <d v="1997-11-04T00:00:00"/>
  </r>
  <r>
    <n v="10728"/>
    <x v="5"/>
    <n v="110.4"/>
    <n v="6"/>
    <d v="1997-11-04T00:00:00"/>
  </r>
  <r>
    <n v="10728"/>
    <x v="6"/>
    <n v="110.4"/>
    <n v="6"/>
    <d v="1997-11-04T00:00:00"/>
  </r>
  <r>
    <n v="10728"/>
    <x v="7"/>
    <n v="110.4"/>
    <n v="6"/>
    <d v="1997-11-04T00:00:00"/>
  </r>
  <r>
    <n v="10728"/>
    <x v="0"/>
    <n v="288"/>
    <n v="12"/>
    <d v="1997-11-04T00:00:00"/>
  </r>
  <r>
    <n v="10728"/>
    <x v="1"/>
    <n v="288"/>
    <n v="12"/>
    <d v="1997-11-04T00:00:00"/>
  </r>
  <r>
    <n v="10728"/>
    <x v="2"/>
    <n v="288"/>
    <n v="12"/>
    <d v="1997-11-04T00:00:00"/>
  </r>
  <r>
    <n v="10728"/>
    <x v="3"/>
    <n v="288"/>
    <n v="12"/>
    <d v="1997-11-04T00:00:00"/>
  </r>
  <r>
    <n v="10728"/>
    <x v="4"/>
    <n v="288"/>
    <n v="12"/>
    <d v="1997-11-04T00:00:00"/>
  </r>
  <r>
    <n v="10728"/>
    <x v="5"/>
    <n v="288"/>
    <n v="12"/>
    <d v="1997-11-04T00:00:00"/>
  </r>
  <r>
    <n v="10728"/>
    <x v="6"/>
    <n v="288"/>
    <n v="12"/>
    <d v="1997-11-04T00:00:00"/>
  </r>
  <r>
    <n v="10728"/>
    <x v="7"/>
    <n v="288"/>
    <n v="12"/>
    <d v="1997-11-04T00:00:00"/>
  </r>
  <r>
    <n v="10728"/>
    <x v="0"/>
    <n v="510"/>
    <n v="15"/>
    <d v="1997-11-04T00:00:00"/>
  </r>
  <r>
    <n v="10728"/>
    <x v="1"/>
    <n v="510"/>
    <n v="15"/>
    <d v="1997-11-04T00:00:00"/>
  </r>
  <r>
    <n v="10728"/>
    <x v="2"/>
    <n v="510"/>
    <n v="15"/>
    <d v="1997-11-04T00:00:00"/>
  </r>
  <r>
    <n v="10728"/>
    <x v="3"/>
    <n v="510"/>
    <n v="15"/>
    <d v="1997-11-04T00:00:00"/>
  </r>
  <r>
    <n v="10728"/>
    <x v="4"/>
    <n v="510"/>
    <n v="15"/>
    <d v="1997-11-04T00:00:00"/>
  </r>
  <r>
    <n v="10728"/>
    <x v="5"/>
    <n v="510"/>
    <n v="15"/>
    <d v="1997-11-04T00:00:00"/>
  </r>
  <r>
    <n v="10728"/>
    <x v="6"/>
    <n v="510"/>
    <n v="15"/>
    <d v="1997-11-04T00:00:00"/>
  </r>
  <r>
    <n v="10728"/>
    <x v="7"/>
    <n v="510"/>
    <n v="15"/>
    <d v="1997-11-04T00:00:00"/>
  </r>
  <r>
    <n v="10729"/>
    <x v="0"/>
    <n v="900"/>
    <n v="50"/>
    <d v="1997-11-04T00:00:00"/>
  </r>
  <r>
    <n v="10729"/>
    <x v="1"/>
    <n v="900"/>
    <n v="50"/>
    <d v="1997-11-04T00:00:00"/>
  </r>
  <r>
    <n v="10729"/>
    <x v="2"/>
    <n v="900"/>
    <n v="50"/>
    <d v="1997-11-04T00:00:00"/>
  </r>
  <r>
    <n v="10729"/>
    <x v="3"/>
    <n v="900"/>
    <n v="50"/>
    <d v="1997-11-04T00:00:00"/>
  </r>
  <r>
    <n v="10729"/>
    <x v="4"/>
    <n v="900"/>
    <n v="50"/>
    <d v="1997-11-04T00:00:00"/>
  </r>
  <r>
    <n v="10729"/>
    <x v="5"/>
    <n v="900"/>
    <n v="50"/>
    <d v="1997-11-04T00:00:00"/>
  </r>
  <r>
    <n v="10729"/>
    <x v="6"/>
    <n v="900"/>
    <n v="50"/>
    <d v="1997-11-04T00:00:00"/>
  </r>
  <r>
    <n v="10729"/>
    <x v="7"/>
    <n v="900"/>
    <n v="50"/>
    <d v="1997-11-04T00:00:00"/>
  </r>
  <r>
    <n v="10729"/>
    <x v="0"/>
    <n v="300"/>
    <n v="30"/>
    <d v="1997-11-04T00:00:00"/>
  </r>
  <r>
    <n v="10729"/>
    <x v="1"/>
    <n v="300"/>
    <n v="30"/>
    <d v="1997-11-04T00:00:00"/>
  </r>
  <r>
    <n v="10729"/>
    <x v="2"/>
    <n v="300"/>
    <n v="30"/>
    <d v="1997-11-04T00:00:00"/>
  </r>
  <r>
    <n v="10729"/>
    <x v="3"/>
    <n v="300"/>
    <n v="30"/>
    <d v="1997-11-04T00:00:00"/>
  </r>
  <r>
    <n v="10729"/>
    <x v="4"/>
    <n v="300"/>
    <n v="30"/>
    <d v="1997-11-04T00:00:00"/>
  </r>
  <r>
    <n v="10729"/>
    <x v="5"/>
    <n v="300"/>
    <n v="30"/>
    <d v="1997-11-04T00:00:00"/>
  </r>
  <r>
    <n v="10729"/>
    <x v="6"/>
    <n v="300"/>
    <n v="30"/>
    <d v="1997-11-04T00:00:00"/>
  </r>
  <r>
    <n v="10729"/>
    <x v="7"/>
    <n v="300"/>
    <n v="30"/>
    <d v="1997-11-04T00:00:00"/>
  </r>
  <r>
    <n v="10729"/>
    <x v="0"/>
    <n v="650"/>
    <n v="40"/>
    <d v="1997-11-04T00:00:00"/>
  </r>
  <r>
    <n v="10729"/>
    <x v="1"/>
    <n v="650"/>
    <n v="40"/>
    <d v="1997-11-04T00:00:00"/>
  </r>
  <r>
    <n v="10729"/>
    <x v="2"/>
    <n v="650"/>
    <n v="40"/>
    <d v="1997-11-04T00:00:00"/>
  </r>
  <r>
    <n v="10729"/>
    <x v="3"/>
    <n v="650"/>
    <n v="40"/>
    <d v="1997-11-04T00:00:00"/>
  </r>
  <r>
    <n v="10729"/>
    <x v="4"/>
    <n v="650"/>
    <n v="40"/>
    <d v="1997-11-04T00:00:00"/>
  </r>
  <r>
    <n v="10729"/>
    <x v="5"/>
    <n v="650"/>
    <n v="40"/>
    <d v="1997-11-04T00:00:00"/>
  </r>
  <r>
    <n v="10729"/>
    <x v="6"/>
    <n v="650"/>
    <n v="40"/>
    <d v="1997-11-04T00:00:00"/>
  </r>
  <r>
    <n v="10729"/>
    <x v="7"/>
    <n v="650"/>
    <n v="40"/>
    <d v="1997-11-04T00:00:00"/>
  </r>
  <r>
    <n v="10730"/>
    <x v="0"/>
    <n v="248.66249980498105"/>
    <n v="15"/>
    <d v="1997-11-05T00:00:00"/>
  </r>
  <r>
    <n v="10730"/>
    <x v="1"/>
    <n v="248.66249980498105"/>
    <n v="15"/>
    <d v="1997-11-05T00:00:00"/>
  </r>
  <r>
    <n v="10730"/>
    <x v="2"/>
    <n v="248.66249980498105"/>
    <n v="15"/>
    <d v="1997-11-05T00:00:00"/>
  </r>
  <r>
    <n v="10730"/>
    <x v="3"/>
    <n v="248.66249980498105"/>
    <n v="15"/>
    <d v="1997-11-05T00:00:00"/>
  </r>
  <r>
    <n v="10730"/>
    <x v="4"/>
    <n v="248.66249980498105"/>
    <n v="15"/>
    <d v="1997-11-05T00:00:00"/>
  </r>
  <r>
    <n v="10730"/>
    <x v="5"/>
    <n v="248.66249980498105"/>
    <n v="15"/>
    <d v="1997-11-05T00:00:00"/>
  </r>
  <r>
    <n v="10730"/>
    <x v="6"/>
    <n v="248.66249980498105"/>
    <n v="15"/>
    <d v="1997-11-05T00:00:00"/>
  </r>
  <r>
    <n v="10730"/>
    <x v="7"/>
    <n v="248.66249980498105"/>
    <n v="15"/>
    <d v="1997-11-05T00:00:00"/>
  </r>
  <r>
    <n v="10730"/>
    <x v="0"/>
    <n v="35.624999972060323"/>
    <n v="3"/>
    <d v="1997-11-05T00:00:00"/>
  </r>
  <r>
    <n v="10730"/>
    <x v="1"/>
    <n v="35.624999972060323"/>
    <n v="3"/>
    <d v="1997-11-05T00:00:00"/>
  </r>
  <r>
    <n v="10730"/>
    <x v="2"/>
    <n v="35.624999972060323"/>
    <n v="3"/>
    <d v="1997-11-05T00:00:00"/>
  </r>
  <r>
    <n v="10730"/>
    <x v="3"/>
    <n v="35.624999972060323"/>
    <n v="3"/>
    <d v="1997-11-05T00:00:00"/>
  </r>
  <r>
    <n v="10730"/>
    <x v="4"/>
    <n v="35.624999972060323"/>
    <n v="3"/>
    <d v="1997-11-05T00:00:00"/>
  </r>
  <r>
    <n v="10730"/>
    <x v="5"/>
    <n v="35.624999972060323"/>
    <n v="3"/>
    <d v="1997-11-05T00:00:00"/>
  </r>
  <r>
    <n v="10730"/>
    <x v="6"/>
    <n v="35.624999972060323"/>
    <n v="3"/>
    <d v="1997-11-05T00:00:00"/>
  </r>
  <r>
    <n v="10730"/>
    <x v="7"/>
    <n v="35.624999972060323"/>
    <n v="3"/>
    <d v="1997-11-05T00:00:00"/>
  </r>
  <r>
    <n v="10730"/>
    <x v="0"/>
    <n v="199.97499984316528"/>
    <n v="10"/>
    <d v="1997-11-05T00:00:00"/>
  </r>
  <r>
    <n v="10730"/>
    <x v="1"/>
    <n v="199.97499984316528"/>
    <n v="10"/>
    <d v="1997-11-05T00:00:00"/>
  </r>
  <r>
    <n v="10730"/>
    <x v="2"/>
    <n v="199.97499984316528"/>
    <n v="10"/>
    <d v="1997-11-05T00:00:00"/>
  </r>
  <r>
    <n v="10730"/>
    <x v="3"/>
    <n v="199.97499984316528"/>
    <n v="10"/>
    <d v="1997-11-05T00:00:00"/>
  </r>
  <r>
    <n v="10730"/>
    <x v="4"/>
    <n v="199.97499984316528"/>
    <n v="10"/>
    <d v="1997-11-05T00:00:00"/>
  </r>
  <r>
    <n v="10730"/>
    <x v="5"/>
    <n v="199.97499984316528"/>
    <n v="10"/>
    <d v="1997-11-05T00:00:00"/>
  </r>
  <r>
    <n v="10730"/>
    <x v="6"/>
    <n v="199.97499984316528"/>
    <n v="10"/>
    <d v="1997-11-05T00:00:00"/>
  </r>
  <r>
    <n v="10730"/>
    <x v="7"/>
    <n v="199.97499984316528"/>
    <n v="10"/>
    <d v="1997-11-05T00:00:00"/>
  </r>
  <r>
    <n v="10731"/>
    <x v="0"/>
    <n v="379.99999970197678"/>
    <n v="40"/>
    <d v="1997-11-06T00:00:00"/>
  </r>
  <r>
    <n v="10731"/>
    <x v="1"/>
    <n v="379.99999970197678"/>
    <n v="40"/>
    <d v="1997-11-06T00:00:00"/>
  </r>
  <r>
    <n v="10731"/>
    <x v="2"/>
    <n v="379.99999970197678"/>
    <n v="40"/>
    <d v="1997-11-06T00:00:00"/>
  </r>
  <r>
    <n v="10731"/>
    <x v="3"/>
    <n v="379.99999970197678"/>
    <n v="40"/>
    <d v="1997-11-06T00:00:00"/>
  </r>
  <r>
    <n v="10731"/>
    <x v="4"/>
    <n v="379.99999970197678"/>
    <n v="40"/>
    <d v="1997-11-06T00:00:00"/>
  </r>
  <r>
    <n v="10731"/>
    <x v="5"/>
    <n v="379.99999970197678"/>
    <n v="40"/>
    <d v="1997-11-06T00:00:00"/>
  </r>
  <r>
    <n v="10731"/>
    <x v="6"/>
    <n v="379.99999970197678"/>
    <n v="40"/>
    <d v="1997-11-06T00:00:00"/>
  </r>
  <r>
    <n v="10731"/>
    <x v="7"/>
    <n v="379.99999970197678"/>
    <n v="40"/>
    <d v="1997-11-06T00:00:00"/>
  </r>
  <r>
    <n v="10731"/>
    <x v="0"/>
    <n v="1510.4999988153577"/>
    <n v="30"/>
    <d v="1997-11-06T00:00:00"/>
  </r>
  <r>
    <n v="10731"/>
    <x v="1"/>
    <n v="1510.4999988153577"/>
    <n v="30"/>
    <d v="1997-11-06T00:00:00"/>
  </r>
  <r>
    <n v="10731"/>
    <x v="2"/>
    <n v="1510.4999988153577"/>
    <n v="30"/>
    <d v="1997-11-06T00:00:00"/>
  </r>
  <r>
    <n v="10731"/>
    <x v="3"/>
    <n v="1510.4999988153577"/>
    <n v="30"/>
    <d v="1997-11-06T00:00:00"/>
  </r>
  <r>
    <n v="10731"/>
    <x v="4"/>
    <n v="1510.4999988153577"/>
    <n v="30"/>
    <d v="1997-11-06T00:00:00"/>
  </r>
  <r>
    <n v="10731"/>
    <x v="5"/>
    <n v="1510.4999988153577"/>
    <n v="30"/>
    <d v="1997-11-06T00:00:00"/>
  </r>
  <r>
    <n v="10731"/>
    <x v="6"/>
    <n v="1510.4999988153577"/>
    <n v="30"/>
    <d v="1997-11-06T00:00:00"/>
  </r>
  <r>
    <n v="10731"/>
    <x v="7"/>
    <n v="1510.4999988153577"/>
    <n v="30"/>
    <d v="1997-11-06T00:00:00"/>
  </r>
  <r>
    <n v="10732"/>
    <x v="0"/>
    <n v="360"/>
    <n v="20"/>
    <d v="1997-11-06T00:00:00"/>
  </r>
  <r>
    <n v="10732"/>
    <x v="1"/>
    <n v="360"/>
    <n v="20"/>
    <d v="1997-11-06T00:00:00"/>
  </r>
  <r>
    <n v="10732"/>
    <x v="2"/>
    <n v="360"/>
    <n v="20"/>
    <d v="1997-11-06T00:00:00"/>
  </r>
  <r>
    <n v="10732"/>
    <x v="3"/>
    <n v="360"/>
    <n v="20"/>
    <d v="1997-11-06T00:00:00"/>
  </r>
  <r>
    <n v="10732"/>
    <x v="4"/>
    <n v="360"/>
    <n v="20"/>
    <d v="1997-11-06T00:00:00"/>
  </r>
  <r>
    <n v="10732"/>
    <x v="5"/>
    <n v="360"/>
    <n v="20"/>
    <d v="1997-11-06T00:00:00"/>
  </r>
  <r>
    <n v="10732"/>
    <x v="6"/>
    <n v="360"/>
    <n v="20"/>
    <d v="1997-11-06T00:00:00"/>
  </r>
  <r>
    <n v="10732"/>
    <x v="7"/>
    <n v="360"/>
    <n v="20"/>
    <d v="1997-11-06T00:00:00"/>
  </r>
  <r>
    <n v="10733"/>
    <x v="0"/>
    <n v="372"/>
    <n v="16"/>
    <d v="1997-11-07T00:00:00"/>
  </r>
  <r>
    <n v="10733"/>
    <x v="1"/>
    <n v="372"/>
    <n v="16"/>
    <d v="1997-11-07T00:00:00"/>
  </r>
  <r>
    <n v="10733"/>
    <x v="2"/>
    <n v="372"/>
    <n v="16"/>
    <d v="1997-11-07T00:00:00"/>
  </r>
  <r>
    <n v="10733"/>
    <x v="3"/>
    <n v="372"/>
    <n v="16"/>
    <d v="1997-11-07T00:00:00"/>
  </r>
  <r>
    <n v="10733"/>
    <x v="4"/>
    <n v="372"/>
    <n v="16"/>
    <d v="1997-11-07T00:00:00"/>
  </r>
  <r>
    <n v="10733"/>
    <x v="5"/>
    <n v="372"/>
    <n v="16"/>
    <d v="1997-11-07T00:00:00"/>
  </r>
  <r>
    <n v="10733"/>
    <x v="6"/>
    <n v="372"/>
    <n v="16"/>
    <d v="1997-11-07T00:00:00"/>
  </r>
  <r>
    <n v="10733"/>
    <x v="7"/>
    <n v="372"/>
    <n v="16"/>
    <d v="1997-11-07T00:00:00"/>
  </r>
  <r>
    <n v="10733"/>
    <x v="0"/>
    <n v="912"/>
    <n v="20"/>
    <d v="1997-11-07T00:00:00"/>
  </r>
  <r>
    <n v="10733"/>
    <x v="1"/>
    <n v="912"/>
    <n v="20"/>
    <d v="1997-11-07T00:00:00"/>
  </r>
  <r>
    <n v="10733"/>
    <x v="2"/>
    <n v="912"/>
    <n v="20"/>
    <d v="1997-11-07T00:00:00"/>
  </r>
  <r>
    <n v="10733"/>
    <x v="3"/>
    <n v="912"/>
    <n v="20"/>
    <d v="1997-11-07T00:00:00"/>
  </r>
  <r>
    <n v="10733"/>
    <x v="4"/>
    <n v="912"/>
    <n v="20"/>
    <d v="1997-11-07T00:00:00"/>
  </r>
  <r>
    <n v="10733"/>
    <x v="5"/>
    <n v="912"/>
    <n v="20"/>
    <d v="1997-11-07T00:00:00"/>
  </r>
  <r>
    <n v="10733"/>
    <x v="6"/>
    <n v="912"/>
    <n v="20"/>
    <d v="1997-11-07T00:00:00"/>
  </r>
  <r>
    <n v="10733"/>
    <x v="7"/>
    <n v="912"/>
    <n v="20"/>
    <d v="1997-11-07T00:00:00"/>
  </r>
  <r>
    <n v="10733"/>
    <x v="0"/>
    <n v="175"/>
    <n v="25"/>
    <d v="1997-11-07T00:00:00"/>
  </r>
  <r>
    <n v="10733"/>
    <x v="1"/>
    <n v="175"/>
    <n v="25"/>
    <d v="1997-11-07T00:00:00"/>
  </r>
  <r>
    <n v="10733"/>
    <x v="2"/>
    <n v="175"/>
    <n v="25"/>
    <d v="1997-11-07T00:00:00"/>
  </r>
  <r>
    <n v="10733"/>
    <x v="3"/>
    <n v="175"/>
    <n v="25"/>
    <d v="1997-11-07T00:00:00"/>
  </r>
  <r>
    <n v="10733"/>
    <x v="4"/>
    <n v="175"/>
    <n v="25"/>
    <d v="1997-11-07T00:00:00"/>
  </r>
  <r>
    <n v="10733"/>
    <x v="5"/>
    <n v="175"/>
    <n v="25"/>
    <d v="1997-11-07T00:00:00"/>
  </r>
  <r>
    <n v="10733"/>
    <x v="6"/>
    <n v="175"/>
    <n v="25"/>
    <d v="1997-11-07T00:00:00"/>
  </r>
  <r>
    <n v="10733"/>
    <x v="7"/>
    <n v="175"/>
    <n v="25"/>
    <d v="1997-11-07T00:00:00"/>
  </r>
  <r>
    <n v="10734"/>
    <x v="0"/>
    <n v="750"/>
    <n v="30"/>
    <d v="1997-11-07T00:00:00"/>
  </r>
  <r>
    <n v="10734"/>
    <x v="1"/>
    <n v="750"/>
    <n v="30"/>
    <d v="1997-11-07T00:00:00"/>
  </r>
  <r>
    <n v="10734"/>
    <x v="2"/>
    <n v="750"/>
    <n v="30"/>
    <d v="1997-11-07T00:00:00"/>
  </r>
  <r>
    <n v="10734"/>
    <x v="3"/>
    <n v="750"/>
    <n v="30"/>
    <d v="1997-11-07T00:00:00"/>
  </r>
  <r>
    <n v="10734"/>
    <x v="4"/>
    <n v="750"/>
    <n v="30"/>
    <d v="1997-11-07T00:00:00"/>
  </r>
  <r>
    <n v="10734"/>
    <x v="5"/>
    <n v="750"/>
    <n v="30"/>
    <d v="1997-11-07T00:00:00"/>
  </r>
  <r>
    <n v="10734"/>
    <x v="6"/>
    <n v="750"/>
    <n v="30"/>
    <d v="1997-11-07T00:00:00"/>
  </r>
  <r>
    <n v="10734"/>
    <x v="7"/>
    <n v="750"/>
    <n v="30"/>
    <d v="1997-11-07T00:00:00"/>
  </r>
  <r>
    <n v="10734"/>
    <x v="0"/>
    <n v="388.35"/>
    <n v="15"/>
    <d v="1997-11-07T00:00:00"/>
  </r>
  <r>
    <n v="10734"/>
    <x v="1"/>
    <n v="388.35"/>
    <n v="15"/>
    <d v="1997-11-07T00:00:00"/>
  </r>
  <r>
    <n v="10734"/>
    <x v="2"/>
    <n v="388.35"/>
    <n v="15"/>
    <d v="1997-11-07T00:00:00"/>
  </r>
  <r>
    <n v="10734"/>
    <x v="3"/>
    <n v="388.35"/>
    <n v="15"/>
    <d v="1997-11-07T00:00:00"/>
  </r>
  <r>
    <n v="10734"/>
    <x v="4"/>
    <n v="388.35"/>
    <n v="15"/>
    <d v="1997-11-07T00:00:00"/>
  </r>
  <r>
    <n v="10734"/>
    <x v="5"/>
    <n v="388.35"/>
    <n v="15"/>
    <d v="1997-11-07T00:00:00"/>
  </r>
  <r>
    <n v="10734"/>
    <x v="6"/>
    <n v="388.35"/>
    <n v="15"/>
    <d v="1997-11-07T00:00:00"/>
  </r>
  <r>
    <n v="10734"/>
    <x v="7"/>
    <n v="388.35"/>
    <n v="15"/>
    <d v="1997-11-07T00:00:00"/>
  </r>
  <r>
    <n v="10734"/>
    <x v="0"/>
    <n v="360"/>
    <n v="20"/>
    <d v="1997-11-07T00:00:00"/>
  </r>
  <r>
    <n v="10734"/>
    <x v="1"/>
    <n v="360"/>
    <n v="20"/>
    <d v="1997-11-07T00:00:00"/>
  </r>
  <r>
    <n v="10734"/>
    <x v="2"/>
    <n v="360"/>
    <n v="20"/>
    <d v="1997-11-07T00:00:00"/>
  </r>
  <r>
    <n v="10734"/>
    <x v="3"/>
    <n v="360"/>
    <n v="20"/>
    <d v="1997-11-07T00:00:00"/>
  </r>
  <r>
    <n v="10734"/>
    <x v="4"/>
    <n v="360"/>
    <n v="20"/>
    <d v="1997-11-07T00:00:00"/>
  </r>
  <r>
    <n v="10734"/>
    <x v="5"/>
    <n v="360"/>
    <n v="20"/>
    <d v="1997-11-07T00:00:00"/>
  </r>
  <r>
    <n v="10734"/>
    <x v="6"/>
    <n v="360"/>
    <n v="20"/>
    <d v="1997-11-07T00:00:00"/>
  </r>
  <r>
    <n v="10734"/>
    <x v="7"/>
    <n v="360"/>
    <n v="20"/>
    <d v="1997-11-07T00:00:00"/>
  </r>
  <r>
    <n v="10735"/>
    <x v="0"/>
    <n v="512.99999915063381"/>
    <n v="20"/>
    <d v="1997-11-10T00:00:00"/>
  </r>
  <r>
    <n v="10735"/>
    <x v="1"/>
    <n v="512.99999915063381"/>
    <n v="20"/>
    <d v="1997-11-10T00:00:00"/>
  </r>
  <r>
    <n v="10735"/>
    <x v="2"/>
    <n v="512.99999915063381"/>
    <n v="20"/>
    <d v="1997-11-10T00:00:00"/>
  </r>
  <r>
    <n v="10735"/>
    <x v="3"/>
    <n v="512.99999915063381"/>
    <n v="20"/>
    <d v="1997-11-10T00:00:00"/>
  </r>
  <r>
    <n v="10735"/>
    <x v="4"/>
    <n v="512.99999915063381"/>
    <n v="20"/>
    <d v="1997-11-10T00:00:00"/>
  </r>
  <r>
    <n v="10735"/>
    <x v="5"/>
    <n v="512.99999915063381"/>
    <n v="20"/>
    <d v="1997-11-10T00:00:00"/>
  </r>
  <r>
    <n v="10735"/>
    <x v="6"/>
    <n v="512.99999915063381"/>
    <n v="20"/>
    <d v="1997-11-10T00:00:00"/>
  </r>
  <r>
    <n v="10735"/>
    <x v="7"/>
    <n v="512.99999915063381"/>
    <n v="20"/>
    <d v="1997-11-10T00:00:00"/>
  </r>
  <r>
    <n v="10735"/>
    <x v="0"/>
    <n v="23.399999961256981"/>
    <n v="2"/>
    <d v="1997-11-10T00:00:00"/>
  </r>
  <r>
    <n v="10735"/>
    <x v="1"/>
    <n v="23.399999961256981"/>
    <n v="2"/>
    <d v="1997-11-10T00:00:00"/>
  </r>
  <r>
    <n v="10735"/>
    <x v="2"/>
    <n v="23.399999961256981"/>
    <n v="2"/>
    <d v="1997-11-10T00:00:00"/>
  </r>
  <r>
    <n v="10735"/>
    <x v="3"/>
    <n v="23.399999961256981"/>
    <n v="2"/>
    <d v="1997-11-10T00:00:00"/>
  </r>
  <r>
    <n v="10735"/>
    <x v="4"/>
    <n v="23.399999961256981"/>
    <n v="2"/>
    <d v="1997-11-10T00:00:00"/>
  </r>
  <r>
    <n v="10735"/>
    <x v="5"/>
    <n v="23.399999961256981"/>
    <n v="2"/>
    <d v="1997-11-10T00:00:00"/>
  </r>
  <r>
    <n v="10735"/>
    <x v="6"/>
    <n v="23.399999961256981"/>
    <n v="2"/>
    <d v="1997-11-10T00:00:00"/>
  </r>
  <r>
    <n v="10735"/>
    <x v="7"/>
    <n v="23.399999961256981"/>
    <n v="2"/>
    <d v="1997-11-10T00:00:00"/>
  </r>
  <r>
    <n v="10736"/>
    <x v="0"/>
    <n v="842"/>
    <n v="40"/>
    <d v="1997-11-11T00:00:00"/>
  </r>
  <r>
    <n v="10736"/>
    <x v="1"/>
    <n v="842"/>
    <n v="40"/>
    <d v="1997-11-11T00:00:00"/>
  </r>
  <r>
    <n v="10736"/>
    <x v="2"/>
    <n v="842"/>
    <n v="40"/>
    <d v="1997-11-11T00:00:00"/>
  </r>
  <r>
    <n v="10736"/>
    <x v="3"/>
    <n v="842"/>
    <n v="40"/>
    <d v="1997-11-11T00:00:00"/>
  </r>
  <r>
    <n v="10736"/>
    <x v="4"/>
    <n v="842"/>
    <n v="40"/>
    <d v="1997-11-11T00:00:00"/>
  </r>
  <r>
    <n v="10736"/>
    <x v="5"/>
    <n v="842"/>
    <n v="40"/>
    <d v="1997-11-11T00:00:00"/>
  </r>
  <r>
    <n v="10736"/>
    <x v="6"/>
    <n v="842"/>
    <n v="40"/>
    <d v="1997-11-11T00:00:00"/>
  </r>
  <r>
    <n v="10736"/>
    <x v="7"/>
    <n v="842"/>
    <n v="40"/>
    <d v="1997-11-11T00:00:00"/>
  </r>
  <r>
    <n v="10736"/>
    <x v="0"/>
    <n v="155"/>
    <n v="20"/>
    <d v="1997-11-11T00:00:00"/>
  </r>
  <r>
    <n v="10736"/>
    <x v="1"/>
    <n v="155"/>
    <n v="20"/>
    <d v="1997-11-11T00:00:00"/>
  </r>
  <r>
    <n v="10736"/>
    <x v="2"/>
    <n v="155"/>
    <n v="20"/>
    <d v="1997-11-11T00:00:00"/>
  </r>
  <r>
    <n v="10736"/>
    <x v="3"/>
    <n v="155"/>
    <n v="20"/>
    <d v="1997-11-11T00:00:00"/>
  </r>
  <r>
    <n v="10736"/>
    <x v="4"/>
    <n v="155"/>
    <n v="20"/>
    <d v="1997-11-11T00:00:00"/>
  </r>
  <r>
    <n v="10736"/>
    <x v="5"/>
    <n v="155"/>
    <n v="20"/>
    <d v="1997-11-11T00:00:00"/>
  </r>
  <r>
    <n v="10736"/>
    <x v="6"/>
    <n v="155"/>
    <n v="20"/>
    <d v="1997-11-11T00:00:00"/>
  </r>
  <r>
    <n v="10736"/>
    <x v="7"/>
    <n v="155"/>
    <n v="20"/>
    <d v="1997-11-11T00:00:00"/>
  </r>
  <r>
    <n v="10737"/>
    <x v="0"/>
    <n v="24"/>
    <n v="4"/>
    <d v="1997-11-11T00:00:00"/>
  </r>
  <r>
    <n v="10737"/>
    <x v="1"/>
    <n v="24"/>
    <n v="4"/>
    <d v="1997-11-11T00:00:00"/>
  </r>
  <r>
    <n v="10737"/>
    <x v="2"/>
    <n v="24"/>
    <n v="4"/>
    <d v="1997-11-11T00:00:00"/>
  </r>
  <r>
    <n v="10737"/>
    <x v="3"/>
    <n v="24"/>
    <n v="4"/>
    <d v="1997-11-11T00:00:00"/>
  </r>
  <r>
    <n v="10737"/>
    <x v="4"/>
    <n v="24"/>
    <n v="4"/>
    <d v="1997-11-11T00:00:00"/>
  </r>
  <r>
    <n v="10737"/>
    <x v="5"/>
    <n v="24"/>
    <n v="4"/>
    <d v="1997-11-11T00:00:00"/>
  </r>
  <r>
    <n v="10737"/>
    <x v="6"/>
    <n v="24"/>
    <n v="4"/>
    <d v="1997-11-11T00:00:00"/>
  </r>
  <r>
    <n v="10737"/>
    <x v="7"/>
    <n v="24"/>
    <n v="4"/>
    <d v="1997-11-11T00:00:00"/>
  </r>
  <r>
    <n v="10737"/>
    <x v="0"/>
    <n v="115.8"/>
    <n v="12"/>
    <d v="1997-11-11T00:00:00"/>
  </r>
  <r>
    <n v="10737"/>
    <x v="1"/>
    <n v="115.8"/>
    <n v="12"/>
    <d v="1997-11-11T00:00:00"/>
  </r>
  <r>
    <n v="10737"/>
    <x v="2"/>
    <n v="115.8"/>
    <n v="12"/>
    <d v="1997-11-11T00:00:00"/>
  </r>
  <r>
    <n v="10737"/>
    <x v="3"/>
    <n v="115.8"/>
    <n v="12"/>
    <d v="1997-11-11T00:00:00"/>
  </r>
  <r>
    <n v="10737"/>
    <x v="4"/>
    <n v="115.8"/>
    <n v="12"/>
    <d v="1997-11-11T00:00:00"/>
  </r>
  <r>
    <n v="10737"/>
    <x v="5"/>
    <n v="115.8"/>
    <n v="12"/>
    <d v="1997-11-11T00:00:00"/>
  </r>
  <r>
    <n v="10737"/>
    <x v="6"/>
    <n v="115.8"/>
    <n v="12"/>
    <d v="1997-11-11T00:00:00"/>
  </r>
  <r>
    <n v="10737"/>
    <x v="7"/>
    <n v="115.8"/>
    <n v="12"/>
    <d v="1997-11-11T00:00:00"/>
  </r>
  <r>
    <n v="10738"/>
    <x v="0"/>
    <n v="52.35"/>
    <n v="3"/>
    <d v="1997-11-12T00:00:00"/>
  </r>
  <r>
    <n v="10738"/>
    <x v="1"/>
    <n v="52.35"/>
    <n v="3"/>
    <d v="1997-11-12T00:00:00"/>
  </r>
  <r>
    <n v="10738"/>
    <x v="2"/>
    <n v="52.35"/>
    <n v="3"/>
    <d v="1997-11-12T00:00:00"/>
  </r>
  <r>
    <n v="10738"/>
    <x v="3"/>
    <n v="52.35"/>
    <n v="3"/>
    <d v="1997-11-12T00:00:00"/>
  </r>
  <r>
    <n v="10738"/>
    <x v="4"/>
    <n v="52.35"/>
    <n v="3"/>
    <d v="1997-11-12T00:00:00"/>
  </r>
  <r>
    <n v="10738"/>
    <x v="5"/>
    <n v="52.35"/>
    <n v="3"/>
    <d v="1997-11-12T00:00:00"/>
  </r>
  <r>
    <n v="10738"/>
    <x v="6"/>
    <n v="52.35"/>
    <n v="3"/>
    <d v="1997-11-12T00:00:00"/>
  </r>
  <r>
    <n v="10738"/>
    <x v="7"/>
    <n v="52.35"/>
    <n v="3"/>
    <d v="1997-11-12T00:00:00"/>
  </r>
  <r>
    <n v="10739"/>
    <x v="0"/>
    <n v="114"/>
    <n v="6"/>
    <d v="1997-11-12T00:00:00"/>
  </r>
  <r>
    <n v="10739"/>
    <x v="1"/>
    <n v="114"/>
    <n v="6"/>
    <d v="1997-11-12T00:00:00"/>
  </r>
  <r>
    <n v="10739"/>
    <x v="2"/>
    <n v="114"/>
    <n v="6"/>
    <d v="1997-11-12T00:00:00"/>
  </r>
  <r>
    <n v="10739"/>
    <x v="3"/>
    <n v="114"/>
    <n v="6"/>
    <d v="1997-11-12T00:00:00"/>
  </r>
  <r>
    <n v="10739"/>
    <x v="4"/>
    <n v="114"/>
    <n v="6"/>
    <d v="1997-11-12T00:00:00"/>
  </r>
  <r>
    <n v="10739"/>
    <x v="5"/>
    <n v="114"/>
    <n v="6"/>
    <d v="1997-11-12T00:00:00"/>
  </r>
  <r>
    <n v="10739"/>
    <x v="6"/>
    <n v="114"/>
    <n v="6"/>
    <d v="1997-11-12T00:00:00"/>
  </r>
  <r>
    <n v="10739"/>
    <x v="7"/>
    <n v="114"/>
    <n v="6"/>
    <d v="1997-11-12T00:00:00"/>
  </r>
  <r>
    <n v="10739"/>
    <x v="0"/>
    <n v="126"/>
    <n v="18"/>
    <d v="1997-11-12T00:00:00"/>
  </r>
  <r>
    <n v="10739"/>
    <x v="1"/>
    <n v="126"/>
    <n v="18"/>
    <d v="1997-11-12T00:00:00"/>
  </r>
  <r>
    <n v="10739"/>
    <x v="2"/>
    <n v="126"/>
    <n v="18"/>
    <d v="1997-11-12T00:00:00"/>
  </r>
  <r>
    <n v="10739"/>
    <x v="3"/>
    <n v="126"/>
    <n v="18"/>
    <d v="1997-11-12T00:00:00"/>
  </r>
  <r>
    <n v="10739"/>
    <x v="4"/>
    <n v="126"/>
    <n v="18"/>
    <d v="1997-11-12T00:00:00"/>
  </r>
  <r>
    <n v="10739"/>
    <x v="5"/>
    <n v="126"/>
    <n v="18"/>
    <d v="1997-11-12T00:00:00"/>
  </r>
  <r>
    <n v="10739"/>
    <x v="6"/>
    <n v="126"/>
    <n v="18"/>
    <d v="1997-11-12T00:00:00"/>
  </r>
  <r>
    <n v="10739"/>
    <x v="7"/>
    <n v="126"/>
    <n v="18"/>
    <d v="1997-11-12T00:00:00"/>
  </r>
  <r>
    <n v="10740"/>
    <x v="0"/>
    <n v="182.39999932050705"/>
    <n v="5"/>
    <d v="1997-11-13T00:00:00"/>
  </r>
  <r>
    <n v="10740"/>
    <x v="1"/>
    <n v="182.39999932050705"/>
    <n v="5"/>
    <d v="1997-11-13T00:00:00"/>
  </r>
  <r>
    <n v="10740"/>
    <x v="2"/>
    <n v="182.39999932050705"/>
    <n v="5"/>
    <d v="1997-11-13T00:00:00"/>
  </r>
  <r>
    <n v="10740"/>
    <x v="3"/>
    <n v="182.39999932050705"/>
    <n v="5"/>
    <d v="1997-11-13T00:00:00"/>
  </r>
  <r>
    <n v="10740"/>
    <x v="4"/>
    <n v="182.39999932050705"/>
    <n v="5"/>
    <d v="1997-11-13T00:00:00"/>
  </r>
  <r>
    <n v="10740"/>
    <x v="5"/>
    <n v="182.39999932050705"/>
    <n v="5"/>
    <d v="1997-11-13T00:00:00"/>
  </r>
  <r>
    <n v="10740"/>
    <x v="6"/>
    <n v="182.39999932050705"/>
    <n v="5"/>
    <d v="1997-11-13T00:00:00"/>
  </r>
  <r>
    <n v="10740"/>
    <x v="7"/>
    <n v="182.39999932050705"/>
    <n v="5"/>
    <d v="1997-11-13T00:00:00"/>
  </r>
  <r>
    <n v="10740"/>
    <x v="0"/>
    <n v="503.99999812245369"/>
    <n v="35"/>
    <d v="1997-11-13T00:00:00"/>
  </r>
  <r>
    <n v="10740"/>
    <x v="1"/>
    <n v="503.99999812245369"/>
    <n v="35"/>
    <d v="1997-11-13T00:00:00"/>
  </r>
  <r>
    <n v="10740"/>
    <x v="2"/>
    <n v="503.99999812245369"/>
    <n v="35"/>
    <d v="1997-11-13T00:00:00"/>
  </r>
  <r>
    <n v="10740"/>
    <x v="3"/>
    <n v="503.99999812245369"/>
    <n v="35"/>
    <d v="1997-11-13T00:00:00"/>
  </r>
  <r>
    <n v="10740"/>
    <x v="4"/>
    <n v="503.99999812245369"/>
    <n v="35"/>
    <d v="1997-11-13T00:00:00"/>
  </r>
  <r>
    <n v="10740"/>
    <x v="5"/>
    <n v="503.99999812245369"/>
    <n v="35"/>
    <d v="1997-11-13T00:00:00"/>
  </r>
  <r>
    <n v="10740"/>
    <x v="6"/>
    <n v="503.99999812245369"/>
    <n v="35"/>
    <d v="1997-11-13T00:00:00"/>
  </r>
  <r>
    <n v="10740"/>
    <x v="7"/>
    <n v="503.99999812245369"/>
    <n v="35"/>
    <d v="1997-11-13T00:00:00"/>
  </r>
  <r>
    <n v="10740"/>
    <x v="0"/>
    <n v="303.99999886751175"/>
    <n v="40"/>
    <d v="1997-11-13T00:00:00"/>
  </r>
  <r>
    <n v="10740"/>
    <x v="1"/>
    <n v="303.99999886751175"/>
    <n v="40"/>
    <d v="1997-11-13T00:00:00"/>
  </r>
  <r>
    <n v="10740"/>
    <x v="2"/>
    <n v="303.99999886751175"/>
    <n v="40"/>
    <d v="1997-11-13T00:00:00"/>
  </r>
  <r>
    <n v="10740"/>
    <x v="3"/>
    <n v="303.99999886751175"/>
    <n v="40"/>
    <d v="1997-11-13T00:00:00"/>
  </r>
  <r>
    <n v="10740"/>
    <x v="4"/>
    <n v="303.99999886751175"/>
    <n v="40"/>
    <d v="1997-11-13T00:00:00"/>
  </r>
  <r>
    <n v="10740"/>
    <x v="5"/>
    <n v="303.99999886751175"/>
    <n v="40"/>
    <d v="1997-11-13T00:00:00"/>
  </r>
  <r>
    <n v="10740"/>
    <x v="6"/>
    <n v="303.99999886751175"/>
    <n v="40"/>
    <d v="1997-11-13T00:00:00"/>
  </r>
  <r>
    <n v="10740"/>
    <x v="7"/>
    <n v="303.99999886751175"/>
    <n v="40"/>
    <d v="1997-11-13T00:00:00"/>
  </r>
  <r>
    <n v="10740"/>
    <x v="0"/>
    <n v="425.59999841451645"/>
    <n v="14"/>
    <d v="1997-11-13T00:00:00"/>
  </r>
  <r>
    <n v="10740"/>
    <x v="1"/>
    <n v="425.59999841451645"/>
    <n v="14"/>
    <d v="1997-11-13T00:00:00"/>
  </r>
  <r>
    <n v="10740"/>
    <x v="2"/>
    <n v="425.59999841451645"/>
    <n v="14"/>
    <d v="1997-11-13T00:00:00"/>
  </r>
  <r>
    <n v="10740"/>
    <x v="3"/>
    <n v="425.59999841451645"/>
    <n v="14"/>
    <d v="1997-11-13T00:00:00"/>
  </r>
  <r>
    <n v="10740"/>
    <x v="4"/>
    <n v="425.59999841451645"/>
    <n v="14"/>
    <d v="1997-11-13T00:00:00"/>
  </r>
  <r>
    <n v="10740"/>
    <x v="5"/>
    <n v="425.59999841451645"/>
    <n v="14"/>
    <d v="1997-11-13T00:00:00"/>
  </r>
  <r>
    <n v="10740"/>
    <x v="6"/>
    <n v="425.59999841451645"/>
    <n v="14"/>
    <d v="1997-11-13T00:00:00"/>
  </r>
  <r>
    <n v="10740"/>
    <x v="7"/>
    <n v="425.59999841451645"/>
    <n v="14"/>
    <d v="1997-11-13T00:00:00"/>
  </r>
  <r>
    <n v="10741"/>
    <x v="0"/>
    <n v="227.99999915063381"/>
    <n v="15"/>
    <d v="1997-11-14T00:00:00"/>
  </r>
  <r>
    <n v="10741"/>
    <x v="1"/>
    <n v="227.99999915063381"/>
    <n v="15"/>
    <d v="1997-11-14T00:00:00"/>
  </r>
  <r>
    <n v="10741"/>
    <x v="2"/>
    <n v="227.99999915063381"/>
    <n v="15"/>
    <d v="1997-11-14T00:00:00"/>
  </r>
  <r>
    <n v="10741"/>
    <x v="3"/>
    <n v="227.99999915063381"/>
    <n v="15"/>
    <d v="1997-11-14T00:00:00"/>
  </r>
  <r>
    <n v="10741"/>
    <x v="4"/>
    <n v="227.99999915063381"/>
    <n v="15"/>
    <d v="1997-11-14T00:00:00"/>
  </r>
  <r>
    <n v="10741"/>
    <x v="5"/>
    <n v="227.99999915063381"/>
    <n v="15"/>
    <d v="1997-11-14T00:00:00"/>
  </r>
  <r>
    <n v="10741"/>
    <x v="6"/>
    <n v="227.99999915063381"/>
    <n v="15"/>
    <d v="1997-11-14T00:00:00"/>
  </r>
  <r>
    <n v="10741"/>
    <x v="7"/>
    <n v="227.99999915063381"/>
    <n v="15"/>
    <d v="1997-11-14T00:00:00"/>
  </r>
  <r>
    <n v="10742"/>
    <x v="0"/>
    <n v="200"/>
    <n v="20"/>
    <d v="1997-11-14T00:00:00"/>
  </r>
  <r>
    <n v="10742"/>
    <x v="1"/>
    <n v="200"/>
    <n v="20"/>
    <d v="1997-11-14T00:00:00"/>
  </r>
  <r>
    <n v="10742"/>
    <x v="2"/>
    <n v="200"/>
    <n v="20"/>
    <d v="1997-11-14T00:00:00"/>
  </r>
  <r>
    <n v="10742"/>
    <x v="3"/>
    <n v="200"/>
    <n v="20"/>
    <d v="1997-11-14T00:00:00"/>
  </r>
  <r>
    <n v="10742"/>
    <x v="4"/>
    <n v="200"/>
    <n v="20"/>
    <d v="1997-11-14T00:00:00"/>
  </r>
  <r>
    <n v="10742"/>
    <x v="5"/>
    <n v="200"/>
    <n v="20"/>
    <d v="1997-11-14T00:00:00"/>
  </r>
  <r>
    <n v="10742"/>
    <x v="6"/>
    <n v="200"/>
    <n v="20"/>
    <d v="1997-11-14T00:00:00"/>
  </r>
  <r>
    <n v="10742"/>
    <x v="7"/>
    <n v="200"/>
    <n v="20"/>
    <d v="1997-11-14T00:00:00"/>
  </r>
  <r>
    <n v="10742"/>
    <x v="0"/>
    <n v="1700"/>
    <n v="50"/>
    <d v="1997-11-14T00:00:00"/>
  </r>
  <r>
    <n v="10742"/>
    <x v="1"/>
    <n v="1700"/>
    <n v="50"/>
    <d v="1997-11-14T00:00:00"/>
  </r>
  <r>
    <n v="10742"/>
    <x v="2"/>
    <n v="1700"/>
    <n v="50"/>
    <d v="1997-11-14T00:00:00"/>
  </r>
  <r>
    <n v="10742"/>
    <x v="3"/>
    <n v="1700"/>
    <n v="50"/>
    <d v="1997-11-14T00:00:00"/>
  </r>
  <r>
    <n v="10742"/>
    <x v="4"/>
    <n v="1700"/>
    <n v="50"/>
    <d v="1997-11-14T00:00:00"/>
  </r>
  <r>
    <n v="10742"/>
    <x v="5"/>
    <n v="1700"/>
    <n v="50"/>
    <d v="1997-11-14T00:00:00"/>
  </r>
  <r>
    <n v="10742"/>
    <x v="6"/>
    <n v="1700"/>
    <n v="50"/>
    <d v="1997-11-14T00:00:00"/>
  </r>
  <r>
    <n v="10742"/>
    <x v="7"/>
    <n v="1700"/>
    <n v="50"/>
    <d v="1997-11-14T00:00:00"/>
  </r>
  <r>
    <n v="10742"/>
    <x v="0"/>
    <n v="1218"/>
    <n v="35"/>
    <d v="1997-11-14T00:00:00"/>
  </r>
  <r>
    <n v="10742"/>
    <x v="1"/>
    <n v="1218"/>
    <n v="35"/>
    <d v="1997-11-14T00:00:00"/>
  </r>
  <r>
    <n v="10742"/>
    <x v="2"/>
    <n v="1218"/>
    <n v="35"/>
    <d v="1997-11-14T00:00:00"/>
  </r>
  <r>
    <n v="10742"/>
    <x v="3"/>
    <n v="1218"/>
    <n v="35"/>
    <d v="1997-11-14T00:00:00"/>
  </r>
  <r>
    <n v="10742"/>
    <x v="4"/>
    <n v="1218"/>
    <n v="35"/>
    <d v="1997-11-14T00:00:00"/>
  </r>
  <r>
    <n v="10742"/>
    <x v="5"/>
    <n v="1218"/>
    <n v="35"/>
    <d v="1997-11-14T00:00:00"/>
  </r>
  <r>
    <n v="10742"/>
    <x v="6"/>
    <n v="1218"/>
    <n v="35"/>
    <d v="1997-11-14T00:00:00"/>
  </r>
  <r>
    <n v="10742"/>
    <x v="7"/>
    <n v="1218"/>
    <n v="35"/>
    <d v="1997-11-14T00:00:00"/>
  </r>
  <r>
    <n v="10743"/>
    <x v="0"/>
    <n v="319.19999974966049"/>
    <n v="28"/>
    <d v="1997-11-17T00:00:00"/>
  </r>
  <r>
    <n v="10743"/>
    <x v="1"/>
    <n v="319.19999974966049"/>
    <n v="28"/>
    <d v="1997-11-17T00:00:00"/>
  </r>
  <r>
    <n v="10743"/>
    <x v="2"/>
    <n v="319.19999974966049"/>
    <n v="28"/>
    <d v="1997-11-17T00:00:00"/>
  </r>
  <r>
    <n v="10743"/>
    <x v="3"/>
    <n v="319.19999974966049"/>
    <n v="28"/>
    <d v="1997-11-17T00:00:00"/>
  </r>
  <r>
    <n v="10743"/>
    <x v="4"/>
    <n v="319.19999974966049"/>
    <n v="28"/>
    <d v="1997-11-17T00:00:00"/>
  </r>
  <r>
    <n v="10743"/>
    <x v="5"/>
    <n v="319.19999974966049"/>
    <n v="28"/>
    <d v="1997-11-17T00:00:00"/>
  </r>
  <r>
    <n v="10743"/>
    <x v="6"/>
    <n v="319.19999974966049"/>
    <n v="28"/>
    <d v="1997-11-17T00:00:00"/>
  </r>
  <r>
    <n v="10743"/>
    <x v="7"/>
    <n v="319.19999974966049"/>
    <n v="28"/>
    <d v="1997-11-17T00:00:00"/>
  </r>
  <r>
    <n v="10744"/>
    <x v="0"/>
    <n v="735.99999725818634"/>
    <n v="50"/>
    <d v="1997-11-17T00:00:00"/>
  </r>
  <r>
    <n v="10744"/>
    <x v="1"/>
    <n v="735.99999725818634"/>
    <n v="50"/>
    <d v="1997-11-17T00:00:00"/>
  </r>
  <r>
    <n v="10744"/>
    <x v="2"/>
    <n v="735.99999725818634"/>
    <n v="50"/>
    <d v="1997-11-17T00:00:00"/>
  </r>
  <r>
    <n v="10744"/>
    <x v="3"/>
    <n v="735.99999725818634"/>
    <n v="50"/>
    <d v="1997-11-17T00:00:00"/>
  </r>
  <r>
    <n v="10744"/>
    <x v="4"/>
    <n v="735.99999725818634"/>
    <n v="50"/>
    <d v="1997-11-17T00:00:00"/>
  </r>
  <r>
    <n v="10744"/>
    <x v="5"/>
    <n v="735.99999725818634"/>
    <n v="50"/>
    <d v="1997-11-17T00:00:00"/>
  </r>
  <r>
    <n v="10744"/>
    <x v="6"/>
    <n v="735.99999725818634"/>
    <n v="50"/>
    <d v="1997-11-17T00:00:00"/>
  </r>
  <r>
    <n v="10744"/>
    <x v="7"/>
    <n v="735.99999725818634"/>
    <n v="50"/>
    <d v="1997-11-17T00:00:00"/>
  </r>
  <r>
    <n v="10745"/>
    <x v="0"/>
    <n v="1500"/>
    <n v="24"/>
    <d v="1997-11-18T00:00:00"/>
  </r>
  <r>
    <n v="10745"/>
    <x v="1"/>
    <n v="1500"/>
    <n v="24"/>
    <d v="1997-11-18T00:00:00"/>
  </r>
  <r>
    <n v="10745"/>
    <x v="2"/>
    <n v="1500"/>
    <n v="24"/>
    <d v="1997-11-18T00:00:00"/>
  </r>
  <r>
    <n v="10745"/>
    <x v="3"/>
    <n v="1500"/>
    <n v="24"/>
    <d v="1997-11-18T00:00:00"/>
  </r>
  <r>
    <n v="10745"/>
    <x v="4"/>
    <n v="1500"/>
    <n v="24"/>
    <d v="1997-11-18T00:00:00"/>
  </r>
  <r>
    <n v="10745"/>
    <x v="5"/>
    <n v="1500"/>
    <n v="24"/>
    <d v="1997-11-18T00:00:00"/>
  </r>
  <r>
    <n v="10745"/>
    <x v="6"/>
    <n v="1500"/>
    <n v="24"/>
    <d v="1997-11-18T00:00:00"/>
  </r>
  <r>
    <n v="10745"/>
    <x v="7"/>
    <n v="1500"/>
    <n v="24"/>
    <d v="1997-11-18T00:00:00"/>
  </r>
  <r>
    <n v="10745"/>
    <x v="0"/>
    <n v="311.2"/>
    <n v="16"/>
    <d v="1997-11-18T00:00:00"/>
  </r>
  <r>
    <n v="10745"/>
    <x v="1"/>
    <n v="311.2"/>
    <n v="16"/>
    <d v="1997-11-18T00:00:00"/>
  </r>
  <r>
    <n v="10745"/>
    <x v="2"/>
    <n v="311.2"/>
    <n v="16"/>
    <d v="1997-11-18T00:00:00"/>
  </r>
  <r>
    <n v="10745"/>
    <x v="3"/>
    <n v="311.2"/>
    <n v="16"/>
    <d v="1997-11-18T00:00:00"/>
  </r>
  <r>
    <n v="10745"/>
    <x v="4"/>
    <n v="311.2"/>
    <n v="16"/>
    <d v="1997-11-18T00:00:00"/>
  </r>
  <r>
    <n v="10745"/>
    <x v="5"/>
    <n v="311.2"/>
    <n v="16"/>
    <d v="1997-11-18T00:00:00"/>
  </r>
  <r>
    <n v="10745"/>
    <x v="6"/>
    <n v="311.2"/>
    <n v="16"/>
    <d v="1997-11-18T00:00:00"/>
  </r>
  <r>
    <n v="10745"/>
    <x v="7"/>
    <n v="311.2"/>
    <n v="16"/>
    <d v="1997-11-18T00:00:00"/>
  </r>
  <r>
    <n v="10745"/>
    <x v="0"/>
    <n v="2475"/>
    <n v="45"/>
    <d v="1997-11-18T00:00:00"/>
  </r>
  <r>
    <n v="10745"/>
    <x v="1"/>
    <n v="2475"/>
    <n v="45"/>
    <d v="1997-11-18T00:00:00"/>
  </r>
  <r>
    <n v="10745"/>
    <x v="2"/>
    <n v="2475"/>
    <n v="45"/>
    <d v="1997-11-18T00:00:00"/>
  </r>
  <r>
    <n v="10745"/>
    <x v="3"/>
    <n v="2475"/>
    <n v="45"/>
    <d v="1997-11-18T00:00:00"/>
  </r>
  <r>
    <n v="10745"/>
    <x v="4"/>
    <n v="2475"/>
    <n v="45"/>
    <d v="1997-11-18T00:00:00"/>
  </r>
  <r>
    <n v="10745"/>
    <x v="5"/>
    <n v="2475"/>
    <n v="45"/>
    <d v="1997-11-18T00:00:00"/>
  </r>
  <r>
    <n v="10745"/>
    <x v="6"/>
    <n v="2475"/>
    <n v="45"/>
    <d v="1997-11-18T00:00:00"/>
  </r>
  <r>
    <n v="10745"/>
    <x v="7"/>
    <n v="2475"/>
    <n v="45"/>
    <d v="1997-11-18T00:00:00"/>
  </r>
  <r>
    <n v="10745"/>
    <x v="0"/>
    <n v="243.6"/>
    <n v="7"/>
    <d v="1997-11-18T00:00:00"/>
  </r>
  <r>
    <n v="10745"/>
    <x v="1"/>
    <n v="243.6"/>
    <n v="7"/>
    <d v="1997-11-18T00:00:00"/>
  </r>
  <r>
    <n v="10745"/>
    <x v="2"/>
    <n v="243.6"/>
    <n v="7"/>
    <d v="1997-11-18T00:00:00"/>
  </r>
  <r>
    <n v="10745"/>
    <x v="3"/>
    <n v="243.6"/>
    <n v="7"/>
    <d v="1997-11-18T00:00:00"/>
  </r>
  <r>
    <n v="10745"/>
    <x v="4"/>
    <n v="243.6"/>
    <n v="7"/>
    <d v="1997-11-18T00:00:00"/>
  </r>
  <r>
    <n v="10745"/>
    <x v="5"/>
    <n v="243.6"/>
    <n v="7"/>
    <d v="1997-11-18T00:00:00"/>
  </r>
  <r>
    <n v="10745"/>
    <x v="6"/>
    <n v="243.6"/>
    <n v="7"/>
    <d v="1997-11-18T00:00:00"/>
  </r>
  <r>
    <n v="10745"/>
    <x v="7"/>
    <n v="243.6"/>
    <n v="7"/>
    <d v="1997-11-18T00:00:00"/>
  </r>
  <r>
    <n v="10746"/>
    <x v="0"/>
    <n v="36"/>
    <n v="6"/>
    <d v="1997-11-19T00:00:00"/>
  </r>
  <r>
    <n v="10746"/>
    <x v="1"/>
    <n v="36"/>
    <n v="6"/>
    <d v="1997-11-19T00:00:00"/>
  </r>
  <r>
    <n v="10746"/>
    <x v="2"/>
    <n v="36"/>
    <n v="6"/>
    <d v="1997-11-19T00:00:00"/>
  </r>
  <r>
    <n v="10746"/>
    <x v="3"/>
    <n v="36"/>
    <n v="6"/>
    <d v="1997-11-19T00:00:00"/>
  </r>
  <r>
    <n v="10746"/>
    <x v="4"/>
    <n v="36"/>
    <n v="6"/>
    <d v="1997-11-19T00:00:00"/>
  </r>
  <r>
    <n v="10746"/>
    <x v="5"/>
    <n v="36"/>
    <n v="6"/>
    <d v="1997-11-19T00:00:00"/>
  </r>
  <r>
    <n v="10746"/>
    <x v="6"/>
    <n v="36"/>
    <n v="6"/>
    <d v="1997-11-19T00:00:00"/>
  </r>
  <r>
    <n v="10746"/>
    <x v="7"/>
    <n v="36"/>
    <n v="6"/>
    <d v="1997-11-19T00:00:00"/>
  </r>
  <r>
    <n v="10746"/>
    <x v="0"/>
    <n v="392"/>
    <n v="28"/>
    <d v="1997-11-19T00:00:00"/>
  </r>
  <r>
    <n v="10746"/>
    <x v="1"/>
    <n v="392"/>
    <n v="28"/>
    <d v="1997-11-19T00:00:00"/>
  </r>
  <r>
    <n v="10746"/>
    <x v="2"/>
    <n v="392"/>
    <n v="28"/>
    <d v="1997-11-19T00:00:00"/>
  </r>
  <r>
    <n v="10746"/>
    <x v="3"/>
    <n v="392"/>
    <n v="28"/>
    <d v="1997-11-19T00:00:00"/>
  </r>
  <r>
    <n v="10746"/>
    <x v="4"/>
    <n v="392"/>
    <n v="28"/>
    <d v="1997-11-19T00:00:00"/>
  </r>
  <r>
    <n v="10746"/>
    <x v="5"/>
    <n v="392"/>
    <n v="28"/>
    <d v="1997-11-19T00:00:00"/>
  </r>
  <r>
    <n v="10746"/>
    <x v="6"/>
    <n v="392"/>
    <n v="28"/>
    <d v="1997-11-19T00:00:00"/>
  </r>
  <r>
    <n v="10746"/>
    <x v="7"/>
    <n v="392"/>
    <n v="28"/>
    <d v="1997-11-19T00:00:00"/>
  </r>
  <r>
    <n v="10746"/>
    <x v="0"/>
    <n v="443.7"/>
    <n v="9"/>
    <d v="1997-11-19T00:00:00"/>
  </r>
  <r>
    <n v="10746"/>
    <x v="1"/>
    <n v="443.7"/>
    <n v="9"/>
    <d v="1997-11-19T00:00:00"/>
  </r>
  <r>
    <n v="10746"/>
    <x v="2"/>
    <n v="443.7"/>
    <n v="9"/>
    <d v="1997-11-19T00:00:00"/>
  </r>
  <r>
    <n v="10746"/>
    <x v="3"/>
    <n v="443.7"/>
    <n v="9"/>
    <d v="1997-11-19T00:00:00"/>
  </r>
  <r>
    <n v="10746"/>
    <x v="4"/>
    <n v="443.7"/>
    <n v="9"/>
    <d v="1997-11-19T00:00:00"/>
  </r>
  <r>
    <n v="10746"/>
    <x v="5"/>
    <n v="443.7"/>
    <n v="9"/>
    <d v="1997-11-19T00:00:00"/>
  </r>
  <r>
    <n v="10746"/>
    <x v="6"/>
    <n v="443.7"/>
    <n v="9"/>
    <d v="1997-11-19T00:00:00"/>
  </r>
  <r>
    <n v="10746"/>
    <x v="7"/>
    <n v="443.7"/>
    <n v="9"/>
    <d v="1997-11-19T00:00:00"/>
  </r>
  <r>
    <n v="10746"/>
    <x v="0"/>
    <n v="1440"/>
    <n v="40"/>
    <d v="1997-11-19T00:00:00"/>
  </r>
  <r>
    <n v="10746"/>
    <x v="1"/>
    <n v="1440"/>
    <n v="40"/>
    <d v="1997-11-19T00:00:00"/>
  </r>
  <r>
    <n v="10746"/>
    <x v="2"/>
    <n v="1440"/>
    <n v="40"/>
    <d v="1997-11-19T00:00:00"/>
  </r>
  <r>
    <n v="10746"/>
    <x v="3"/>
    <n v="1440"/>
    <n v="40"/>
    <d v="1997-11-19T00:00:00"/>
  </r>
  <r>
    <n v="10746"/>
    <x v="4"/>
    <n v="1440"/>
    <n v="40"/>
    <d v="1997-11-19T00:00:00"/>
  </r>
  <r>
    <n v="10746"/>
    <x v="5"/>
    <n v="1440"/>
    <n v="40"/>
    <d v="1997-11-19T00:00:00"/>
  </r>
  <r>
    <n v="10746"/>
    <x v="6"/>
    <n v="1440"/>
    <n v="40"/>
    <d v="1997-11-19T00:00:00"/>
  </r>
  <r>
    <n v="10746"/>
    <x v="7"/>
    <n v="1440"/>
    <n v="40"/>
    <d v="1997-11-19T00:00:00"/>
  </r>
  <r>
    <n v="10747"/>
    <x v="0"/>
    <n v="100"/>
    <n v="8"/>
    <d v="1997-11-19T00:00:00"/>
  </r>
  <r>
    <n v="10747"/>
    <x v="1"/>
    <n v="100"/>
    <n v="8"/>
    <d v="1997-11-19T00:00:00"/>
  </r>
  <r>
    <n v="10747"/>
    <x v="2"/>
    <n v="100"/>
    <n v="8"/>
    <d v="1997-11-19T00:00:00"/>
  </r>
  <r>
    <n v="10747"/>
    <x v="3"/>
    <n v="100"/>
    <n v="8"/>
    <d v="1997-11-19T00:00:00"/>
  </r>
  <r>
    <n v="10747"/>
    <x v="4"/>
    <n v="100"/>
    <n v="8"/>
    <d v="1997-11-19T00:00:00"/>
  </r>
  <r>
    <n v="10747"/>
    <x v="5"/>
    <n v="100"/>
    <n v="8"/>
    <d v="1997-11-19T00:00:00"/>
  </r>
  <r>
    <n v="10747"/>
    <x v="6"/>
    <n v="100"/>
    <n v="8"/>
    <d v="1997-11-19T00:00:00"/>
  </r>
  <r>
    <n v="10747"/>
    <x v="7"/>
    <n v="100"/>
    <n v="8"/>
    <d v="1997-11-19T00:00:00"/>
  </r>
  <r>
    <n v="10747"/>
    <x v="0"/>
    <n v="337.75"/>
    <n v="35"/>
    <d v="1997-11-19T00:00:00"/>
  </r>
  <r>
    <n v="10747"/>
    <x v="1"/>
    <n v="337.75"/>
    <n v="35"/>
    <d v="1997-11-19T00:00:00"/>
  </r>
  <r>
    <n v="10747"/>
    <x v="2"/>
    <n v="337.75"/>
    <n v="35"/>
    <d v="1997-11-19T00:00:00"/>
  </r>
  <r>
    <n v="10747"/>
    <x v="3"/>
    <n v="337.75"/>
    <n v="35"/>
    <d v="1997-11-19T00:00:00"/>
  </r>
  <r>
    <n v="10747"/>
    <x v="4"/>
    <n v="337.75"/>
    <n v="35"/>
    <d v="1997-11-19T00:00:00"/>
  </r>
  <r>
    <n v="10747"/>
    <x v="5"/>
    <n v="337.75"/>
    <n v="35"/>
    <d v="1997-11-19T00:00:00"/>
  </r>
  <r>
    <n v="10747"/>
    <x v="6"/>
    <n v="337.75"/>
    <n v="35"/>
    <d v="1997-11-19T00:00:00"/>
  </r>
  <r>
    <n v="10747"/>
    <x v="7"/>
    <n v="337.75"/>
    <n v="35"/>
    <d v="1997-11-19T00:00:00"/>
  </r>
  <r>
    <n v="10747"/>
    <x v="0"/>
    <n v="395.1"/>
    <n v="9"/>
    <d v="1997-11-19T00:00:00"/>
  </r>
  <r>
    <n v="10747"/>
    <x v="1"/>
    <n v="395.1"/>
    <n v="9"/>
    <d v="1997-11-19T00:00:00"/>
  </r>
  <r>
    <n v="10747"/>
    <x v="2"/>
    <n v="395.1"/>
    <n v="9"/>
    <d v="1997-11-19T00:00:00"/>
  </r>
  <r>
    <n v="10747"/>
    <x v="3"/>
    <n v="395.1"/>
    <n v="9"/>
    <d v="1997-11-19T00:00:00"/>
  </r>
  <r>
    <n v="10747"/>
    <x v="4"/>
    <n v="395.1"/>
    <n v="9"/>
    <d v="1997-11-19T00:00:00"/>
  </r>
  <r>
    <n v="10747"/>
    <x v="5"/>
    <n v="395.1"/>
    <n v="9"/>
    <d v="1997-11-19T00:00:00"/>
  </r>
  <r>
    <n v="10747"/>
    <x v="6"/>
    <n v="395.1"/>
    <n v="9"/>
    <d v="1997-11-19T00:00:00"/>
  </r>
  <r>
    <n v="10747"/>
    <x v="7"/>
    <n v="395.1"/>
    <n v="9"/>
    <d v="1997-11-19T00:00:00"/>
  </r>
  <r>
    <n v="10747"/>
    <x v="0"/>
    <n v="1080"/>
    <n v="30"/>
    <d v="1997-11-19T00:00:00"/>
  </r>
  <r>
    <n v="10747"/>
    <x v="1"/>
    <n v="1080"/>
    <n v="30"/>
    <d v="1997-11-19T00:00:00"/>
  </r>
  <r>
    <n v="10747"/>
    <x v="2"/>
    <n v="1080"/>
    <n v="30"/>
    <d v="1997-11-19T00:00:00"/>
  </r>
  <r>
    <n v="10747"/>
    <x v="3"/>
    <n v="1080"/>
    <n v="30"/>
    <d v="1997-11-19T00:00:00"/>
  </r>
  <r>
    <n v="10747"/>
    <x v="4"/>
    <n v="1080"/>
    <n v="30"/>
    <d v="1997-11-19T00:00:00"/>
  </r>
  <r>
    <n v="10747"/>
    <x v="5"/>
    <n v="1080"/>
    <n v="30"/>
    <d v="1997-11-19T00:00:00"/>
  </r>
  <r>
    <n v="10747"/>
    <x v="6"/>
    <n v="1080"/>
    <n v="30"/>
    <d v="1997-11-19T00:00:00"/>
  </r>
  <r>
    <n v="10747"/>
    <x v="7"/>
    <n v="1080"/>
    <n v="30"/>
    <d v="1997-11-19T00:00:00"/>
  </r>
  <r>
    <n v="10748"/>
    <x v="0"/>
    <n v="396"/>
    <n v="44"/>
    <d v="1997-11-20T00:00:00"/>
  </r>
  <r>
    <n v="10748"/>
    <x v="1"/>
    <n v="396"/>
    <n v="44"/>
    <d v="1997-11-20T00:00:00"/>
  </r>
  <r>
    <n v="10748"/>
    <x v="2"/>
    <n v="396"/>
    <n v="44"/>
    <d v="1997-11-20T00:00:00"/>
  </r>
  <r>
    <n v="10748"/>
    <x v="3"/>
    <n v="396"/>
    <n v="44"/>
    <d v="1997-11-20T00:00:00"/>
  </r>
  <r>
    <n v="10748"/>
    <x v="4"/>
    <n v="396"/>
    <n v="44"/>
    <d v="1997-11-20T00:00:00"/>
  </r>
  <r>
    <n v="10748"/>
    <x v="5"/>
    <n v="396"/>
    <n v="44"/>
    <d v="1997-11-20T00:00:00"/>
  </r>
  <r>
    <n v="10748"/>
    <x v="6"/>
    <n v="396"/>
    <n v="44"/>
    <d v="1997-11-20T00:00:00"/>
  </r>
  <r>
    <n v="10748"/>
    <x v="7"/>
    <n v="396"/>
    <n v="44"/>
    <d v="1997-11-20T00:00:00"/>
  </r>
  <r>
    <n v="10748"/>
    <x v="0"/>
    <n v="736"/>
    <n v="40"/>
    <d v="1997-11-20T00:00:00"/>
  </r>
  <r>
    <n v="10748"/>
    <x v="1"/>
    <n v="736"/>
    <n v="40"/>
    <d v="1997-11-20T00:00:00"/>
  </r>
  <r>
    <n v="10748"/>
    <x v="2"/>
    <n v="736"/>
    <n v="40"/>
    <d v="1997-11-20T00:00:00"/>
  </r>
  <r>
    <n v="10748"/>
    <x v="3"/>
    <n v="736"/>
    <n v="40"/>
    <d v="1997-11-20T00:00:00"/>
  </r>
  <r>
    <n v="10748"/>
    <x v="4"/>
    <n v="736"/>
    <n v="40"/>
    <d v="1997-11-20T00:00:00"/>
  </r>
  <r>
    <n v="10748"/>
    <x v="5"/>
    <n v="736"/>
    <n v="40"/>
    <d v="1997-11-20T00:00:00"/>
  </r>
  <r>
    <n v="10748"/>
    <x v="6"/>
    <n v="736"/>
    <n v="40"/>
    <d v="1997-11-20T00:00:00"/>
  </r>
  <r>
    <n v="10748"/>
    <x v="7"/>
    <n v="736"/>
    <n v="40"/>
    <d v="1997-11-20T00:00:00"/>
  </r>
  <r>
    <n v="10748"/>
    <x v="0"/>
    <n v="1064"/>
    <n v="28"/>
    <d v="1997-11-20T00:00:00"/>
  </r>
  <r>
    <n v="10748"/>
    <x v="1"/>
    <n v="1064"/>
    <n v="28"/>
    <d v="1997-11-20T00:00:00"/>
  </r>
  <r>
    <n v="10748"/>
    <x v="2"/>
    <n v="1064"/>
    <n v="28"/>
    <d v="1997-11-20T00:00:00"/>
  </r>
  <r>
    <n v="10748"/>
    <x v="3"/>
    <n v="1064"/>
    <n v="28"/>
    <d v="1997-11-20T00:00:00"/>
  </r>
  <r>
    <n v="10748"/>
    <x v="4"/>
    <n v="1064"/>
    <n v="28"/>
    <d v="1997-11-20T00:00:00"/>
  </r>
  <r>
    <n v="10748"/>
    <x v="5"/>
    <n v="1064"/>
    <n v="28"/>
    <d v="1997-11-20T00:00:00"/>
  </r>
  <r>
    <n v="10748"/>
    <x v="6"/>
    <n v="1064"/>
    <n v="28"/>
    <d v="1997-11-20T00:00:00"/>
  </r>
  <r>
    <n v="10748"/>
    <x v="7"/>
    <n v="1064"/>
    <n v="28"/>
    <d v="1997-11-20T00:00:00"/>
  </r>
  <r>
    <n v="10749"/>
    <x v="0"/>
    <n v="570"/>
    <n v="15"/>
    <d v="1997-11-20T00:00:00"/>
  </r>
  <r>
    <n v="10749"/>
    <x v="1"/>
    <n v="570"/>
    <n v="15"/>
    <d v="1997-11-20T00:00:00"/>
  </r>
  <r>
    <n v="10749"/>
    <x v="2"/>
    <n v="570"/>
    <n v="15"/>
    <d v="1997-11-20T00:00:00"/>
  </r>
  <r>
    <n v="10749"/>
    <x v="3"/>
    <n v="570"/>
    <n v="15"/>
    <d v="1997-11-20T00:00:00"/>
  </r>
  <r>
    <n v="10749"/>
    <x v="4"/>
    <n v="570"/>
    <n v="15"/>
    <d v="1997-11-20T00:00:00"/>
  </r>
  <r>
    <n v="10749"/>
    <x v="5"/>
    <n v="570"/>
    <n v="15"/>
    <d v="1997-11-20T00:00:00"/>
  </r>
  <r>
    <n v="10749"/>
    <x v="6"/>
    <n v="570"/>
    <n v="15"/>
    <d v="1997-11-20T00:00:00"/>
  </r>
  <r>
    <n v="10749"/>
    <x v="7"/>
    <n v="570"/>
    <n v="15"/>
    <d v="1997-11-20T00:00:00"/>
  </r>
  <r>
    <n v="10749"/>
    <x v="0"/>
    <n v="330"/>
    <n v="6"/>
    <d v="1997-11-20T00:00:00"/>
  </r>
  <r>
    <n v="10749"/>
    <x v="1"/>
    <n v="330"/>
    <n v="6"/>
    <d v="1997-11-20T00:00:00"/>
  </r>
  <r>
    <n v="10749"/>
    <x v="2"/>
    <n v="330"/>
    <n v="6"/>
    <d v="1997-11-20T00:00:00"/>
  </r>
  <r>
    <n v="10749"/>
    <x v="3"/>
    <n v="330"/>
    <n v="6"/>
    <d v="1997-11-20T00:00:00"/>
  </r>
  <r>
    <n v="10749"/>
    <x v="4"/>
    <n v="330"/>
    <n v="6"/>
    <d v="1997-11-20T00:00:00"/>
  </r>
  <r>
    <n v="10749"/>
    <x v="5"/>
    <n v="330"/>
    <n v="6"/>
    <d v="1997-11-20T00:00:00"/>
  </r>
  <r>
    <n v="10749"/>
    <x v="6"/>
    <n v="330"/>
    <n v="6"/>
    <d v="1997-11-20T00:00:00"/>
  </r>
  <r>
    <n v="10749"/>
    <x v="7"/>
    <n v="330"/>
    <n v="6"/>
    <d v="1997-11-20T00:00:00"/>
  </r>
  <r>
    <n v="10749"/>
    <x v="0"/>
    <n v="180"/>
    <n v="10"/>
    <d v="1997-11-20T00:00:00"/>
  </r>
  <r>
    <n v="10749"/>
    <x v="1"/>
    <n v="180"/>
    <n v="10"/>
    <d v="1997-11-20T00:00:00"/>
  </r>
  <r>
    <n v="10749"/>
    <x v="2"/>
    <n v="180"/>
    <n v="10"/>
    <d v="1997-11-20T00:00:00"/>
  </r>
  <r>
    <n v="10749"/>
    <x v="3"/>
    <n v="180"/>
    <n v="10"/>
    <d v="1997-11-20T00:00:00"/>
  </r>
  <r>
    <n v="10749"/>
    <x v="4"/>
    <n v="180"/>
    <n v="10"/>
    <d v="1997-11-20T00:00:00"/>
  </r>
  <r>
    <n v="10749"/>
    <x v="5"/>
    <n v="180"/>
    <n v="10"/>
    <d v="1997-11-20T00:00:00"/>
  </r>
  <r>
    <n v="10749"/>
    <x v="6"/>
    <n v="180"/>
    <n v="10"/>
    <d v="1997-11-20T00:00:00"/>
  </r>
  <r>
    <n v="10749"/>
    <x v="7"/>
    <n v="180"/>
    <n v="10"/>
    <d v="1997-11-20T00:00:00"/>
  </r>
  <r>
    <n v="10750"/>
    <x v="0"/>
    <n v="98.812499307096004"/>
    <n v="5"/>
    <d v="1997-11-21T00:00:00"/>
  </r>
  <r>
    <n v="10750"/>
    <x v="1"/>
    <n v="98.812499307096004"/>
    <n v="5"/>
    <d v="1997-11-21T00:00:00"/>
  </r>
  <r>
    <n v="10750"/>
    <x v="2"/>
    <n v="98.812499307096004"/>
    <n v="5"/>
    <d v="1997-11-21T00:00:00"/>
  </r>
  <r>
    <n v="10750"/>
    <x v="3"/>
    <n v="98.812499307096004"/>
    <n v="5"/>
    <d v="1997-11-21T00:00:00"/>
  </r>
  <r>
    <n v="10750"/>
    <x v="4"/>
    <n v="98.812499307096004"/>
    <n v="5"/>
    <d v="1997-11-21T00:00:00"/>
  </r>
  <r>
    <n v="10750"/>
    <x v="5"/>
    <n v="98.812499307096004"/>
    <n v="5"/>
    <d v="1997-11-21T00:00:00"/>
  </r>
  <r>
    <n v="10750"/>
    <x v="6"/>
    <n v="98.812499307096004"/>
    <n v="5"/>
    <d v="1997-11-21T00:00:00"/>
  </r>
  <r>
    <n v="10750"/>
    <x v="7"/>
    <n v="98.812499307096004"/>
    <n v="5"/>
    <d v="1997-11-21T00:00:00"/>
  </r>
  <r>
    <n v="10750"/>
    <x v="0"/>
    <n v="322.9999977350235"/>
    <n v="40"/>
    <d v="1997-11-21T00:00:00"/>
  </r>
  <r>
    <n v="10750"/>
    <x v="1"/>
    <n v="322.9999977350235"/>
    <n v="40"/>
    <d v="1997-11-21T00:00:00"/>
  </r>
  <r>
    <n v="10750"/>
    <x v="2"/>
    <n v="322.9999977350235"/>
    <n v="40"/>
    <d v="1997-11-21T00:00:00"/>
  </r>
  <r>
    <n v="10750"/>
    <x v="3"/>
    <n v="322.9999977350235"/>
    <n v="40"/>
    <d v="1997-11-21T00:00:00"/>
  </r>
  <r>
    <n v="10750"/>
    <x v="4"/>
    <n v="322.9999977350235"/>
    <n v="40"/>
    <d v="1997-11-21T00:00:00"/>
  </r>
  <r>
    <n v="10750"/>
    <x v="5"/>
    <n v="322.9999977350235"/>
    <n v="40"/>
    <d v="1997-11-21T00:00:00"/>
  </r>
  <r>
    <n v="10750"/>
    <x v="6"/>
    <n v="322.9999977350235"/>
    <n v="40"/>
    <d v="1997-11-21T00:00:00"/>
  </r>
  <r>
    <n v="10750"/>
    <x v="7"/>
    <n v="322.9999977350235"/>
    <n v="40"/>
    <d v="1997-11-21T00:00:00"/>
  </r>
  <r>
    <n v="10750"/>
    <x v="0"/>
    <n v="1168.7499918043613"/>
    <n v="25"/>
    <d v="1997-11-21T00:00:00"/>
  </r>
  <r>
    <n v="10750"/>
    <x v="1"/>
    <n v="1168.7499918043613"/>
    <n v="25"/>
    <d v="1997-11-21T00:00:00"/>
  </r>
  <r>
    <n v="10750"/>
    <x v="2"/>
    <n v="1168.7499918043613"/>
    <n v="25"/>
    <d v="1997-11-21T00:00:00"/>
  </r>
  <r>
    <n v="10750"/>
    <x v="3"/>
    <n v="1168.7499918043613"/>
    <n v="25"/>
    <d v="1997-11-21T00:00:00"/>
  </r>
  <r>
    <n v="10750"/>
    <x v="4"/>
    <n v="1168.7499918043613"/>
    <n v="25"/>
    <d v="1997-11-21T00:00:00"/>
  </r>
  <r>
    <n v="10750"/>
    <x v="5"/>
    <n v="1168.7499918043613"/>
    <n v="25"/>
    <d v="1997-11-21T00:00:00"/>
  </r>
  <r>
    <n v="10750"/>
    <x v="6"/>
    <n v="1168.7499918043613"/>
    <n v="25"/>
    <d v="1997-11-21T00:00:00"/>
  </r>
  <r>
    <n v="10750"/>
    <x v="7"/>
    <n v="1168.7499918043613"/>
    <n v="25"/>
    <d v="1997-11-21T00:00:00"/>
  </r>
  <r>
    <n v="10751"/>
    <x v="0"/>
    <n v="337.28399944156405"/>
    <n v="12"/>
    <d v="1997-11-24T00:00:00"/>
  </r>
  <r>
    <n v="10751"/>
    <x v="1"/>
    <n v="337.28399944156405"/>
    <n v="12"/>
    <d v="1997-11-24T00:00:00"/>
  </r>
  <r>
    <n v="10751"/>
    <x v="2"/>
    <n v="337.28399944156405"/>
    <n v="12"/>
    <d v="1997-11-24T00:00:00"/>
  </r>
  <r>
    <n v="10751"/>
    <x v="3"/>
    <n v="337.28399944156405"/>
    <n v="12"/>
    <d v="1997-11-24T00:00:00"/>
  </r>
  <r>
    <n v="10751"/>
    <x v="4"/>
    <n v="337.28399944156405"/>
    <n v="12"/>
    <d v="1997-11-24T00:00:00"/>
  </r>
  <r>
    <n v="10751"/>
    <x v="5"/>
    <n v="337.28399944156405"/>
    <n v="12"/>
    <d v="1997-11-24T00:00:00"/>
  </r>
  <r>
    <n v="10751"/>
    <x v="6"/>
    <n v="337.28399944156405"/>
    <n v="12"/>
    <d v="1997-11-24T00:00:00"/>
  </r>
  <r>
    <n v="10751"/>
    <x v="7"/>
    <n v="337.28399944156405"/>
    <n v="12"/>
    <d v="1997-11-24T00:00:00"/>
  </r>
  <r>
    <n v="10751"/>
    <x v="0"/>
    <n v="776.7"/>
    <n v="30"/>
    <d v="1997-11-24T00:00:00"/>
  </r>
  <r>
    <n v="10751"/>
    <x v="1"/>
    <n v="776.7"/>
    <n v="30"/>
    <d v="1997-11-24T00:00:00"/>
  </r>
  <r>
    <n v="10751"/>
    <x v="2"/>
    <n v="776.7"/>
    <n v="30"/>
    <d v="1997-11-24T00:00:00"/>
  </r>
  <r>
    <n v="10751"/>
    <x v="3"/>
    <n v="776.7"/>
    <n v="30"/>
    <d v="1997-11-24T00:00:00"/>
  </r>
  <r>
    <n v="10751"/>
    <x v="4"/>
    <n v="776.7"/>
    <n v="30"/>
    <d v="1997-11-24T00:00:00"/>
  </r>
  <r>
    <n v="10751"/>
    <x v="5"/>
    <n v="776.7"/>
    <n v="30"/>
    <d v="1997-11-24T00:00:00"/>
  </r>
  <r>
    <n v="10751"/>
    <x v="6"/>
    <n v="776.7"/>
    <n v="30"/>
    <d v="1997-11-24T00:00:00"/>
  </r>
  <r>
    <n v="10751"/>
    <x v="7"/>
    <n v="776.7"/>
    <n v="30"/>
    <d v="1997-11-24T00:00:00"/>
  </r>
  <r>
    <n v="10751"/>
    <x v="0"/>
    <n v="292.49999951571226"/>
    <n v="20"/>
    <d v="1997-11-24T00:00:00"/>
  </r>
  <r>
    <n v="10751"/>
    <x v="1"/>
    <n v="292.49999951571226"/>
    <n v="20"/>
    <d v="1997-11-24T00:00:00"/>
  </r>
  <r>
    <n v="10751"/>
    <x v="2"/>
    <n v="292.49999951571226"/>
    <n v="20"/>
    <d v="1997-11-24T00:00:00"/>
  </r>
  <r>
    <n v="10751"/>
    <x v="3"/>
    <n v="292.49999951571226"/>
    <n v="20"/>
    <d v="1997-11-24T00:00:00"/>
  </r>
  <r>
    <n v="10751"/>
    <x v="4"/>
    <n v="292.49999951571226"/>
    <n v="20"/>
    <d v="1997-11-24T00:00:00"/>
  </r>
  <r>
    <n v="10751"/>
    <x v="5"/>
    <n v="292.49999951571226"/>
    <n v="20"/>
    <d v="1997-11-24T00:00:00"/>
  </r>
  <r>
    <n v="10751"/>
    <x v="6"/>
    <n v="292.49999951571226"/>
    <n v="20"/>
    <d v="1997-11-24T00:00:00"/>
  </r>
  <r>
    <n v="10751"/>
    <x v="7"/>
    <n v="292.49999951571226"/>
    <n v="20"/>
    <d v="1997-11-24T00:00:00"/>
  </r>
  <r>
    <n v="10751"/>
    <x v="0"/>
    <n v="225"/>
    <n v="15"/>
    <d v="1997-11-24T00:00:00"/>
  </r>
  <r>
    <n v="10751"/>
    <x v="1"/>
    <n v="225"/>
    <n v="15"/>
    <d v="1997-11-24T00:00:00"/>
  </r>
  <r>
    <n v="10751"/>
    <x v="2"/>
    <n v="225"/>
    <n v="15"/>
    <d v="1997-11-24T00:00:00"/>
  </r>
  <r>
    <n v="10751"/>
    <x v="3"/>
    <n v="225"/>
    <n v="15"/>
    <d v="1997-11-24T00:00:00"/>
  </r>
  <r>
    <n v="10751"/>
    <x v="4"/>
    <n v="225"/>
    <n v="15"/>
    <d v="1997-11-24T00:00:00"/>
  </r>
  <r>
    <n v="10751"/>
    <x v="5"/>
    <n v="225"/>
    <n v="15"/>
    <d v="1997-11-24T00:00:00"/>
  </r>
  <r>
    <n v="10751"/>
    <x v="6"/>
    <n v="225"/>
    <n v="15"/>
    <d v="1997-11-24T00:00:00"/>
  </r>
  <r>
    <n v="10751"/>
    <x v="7"/>
    <n v="225"/>
    <n v="15"/>
    <d v="1997-11-24T00:00:00"/>
  </r>
  <r>
    <n v="10752"/>
    <x v="0"/>
    <n v="144"/>
    <n v="8"/>
    <d v="1997-11-24T00:00:00"/>
  </r>
  <r>
    <n v="10752"/>
    <x v="1"/>
    <n v="144"/>
    <n v="8"/>
    <d v="1997-11-24T00:00:00"/>
  </r>
  <r>
    <n v="10752"/>
    <x v="2"/>
    <n v="144"/>
    <n v="8"/>
    <d v="1997-11-24T00:00:00"/>
  </r>
  <r>
    <n v="10752"/>
    <x v="3"/>
    <n v="144"/>
    <n v="8"/>
    <d v="1997-11-24T00:00:00"/>
  </r>
  <r>
    <n v="10752"/>
    <x v="4"/>
    <n v="144"/>
    <n v="8"/>
    <d v="1997-11-24T00:00:00"/>
  </r>
  <r>
    <n v="10752"/>
    <x v="5"/>
    <n v="144"/>
    <n v="8"/>
    <d v="1997-11-24T00:00:00"/>
  </r>
  <r>
    <n v="10752"/>
    <x v="6"/>
    <n v="144"/>
    <n v="8"/>
    <d v="1997-11-24T00:00:00"/>
  </r>
  <r>
    <n v="10752"/>
    <x v="7"/>
    <n v="144"/>
    <n v="8"/>
    <d v="1997-11-24T00:00:00"/>
  </r>
  <r>
    <n v="10752"/>
    <x v="0"/>
    <n v="108"/>
    <n v="3"/>
    <d v="1997-11-24T00:00:00"/>
  </r>
  <r>
    <n v="10752"/>
    <x v="1"/>
    <n v="108"/>
    <n v="3"/>
    <d v="1997-11-24T00:00:00"/>
  </r>
  <r>
    <n v="10752"/>
    <x v="2"/>
    <n v="108"/>
    <n v="3"/>
    <d v="1997-11-24T00:00:00"/>
  </r>
  <r>
    <n v="10752"/>
    <x v="3"/>
    <n v="108"/>
    <n v="3"/>
    <d v="1997-11-24T00:00:00"/>
  </r>
  <r>
    <n v="10752"/>
    <x v="4"/>
    <n v="108"/>
    <n v="3"/>
    <d v="1997-11-24T00:00:00"/>
  </r>
  <r>
    <n v="10752"/>
    <x v="5"/>
    <n v="108"/>
    <n v="3"/>
    <d v="1997-11-24T00:00:00"/>
  </r>
  <r>
    <n v="10752"/>
    <x v="6"/>
    <n v="108"/>
    <n v="3"/>
    <d v="1997-11-24T00:00:00"/>
  </r>
  <r>
    <n v="10752"/>
    <x v="7"/>
    <n v="108"/>
    <n v="3"/>
    <d v="1997-11-24T00:00:00"/>
  </r>
  <r>
    <n v="10753"/>
    <x v="0"/>
    <n v="38"/>
    <n v="4"/>
    <d v="1997-11-25T00:00:00"/>
  </r>
  <r>
    <n v="10753"/>
    <x v="1"/>
    <n v="38"/>
    <n v="4"/>
    <d v="1997-11-25T00:00:00"/>
  </r>
  <r>
    <n v="10753"/>
    <x v="2"/>
    <n v="38"/>
    <n v="4"/>
    <d v="1997-11-25T00:00:00"/>
  </r>
  <r>
    <n v="10753"/>
    <x v="3"/>
    <n v="38"/>
    <n v="4"/>
    <d v="1997-11-25T00:00:00"/>
  </r>
  <r>
    <n v="10753"/>
    <x v="4"/>
    <n v="38"/>
    <n v="4"/>
    <d v="1997-11-25T00:00:00"/>
  </r>
  <r>
    <n v="10753"/>
    <x v="5"/>
    <n v="38"/>
    <n v="4"/>
    <d v="1997-11-25T00:00:00"/>
  </r>
  <r>
    <n v="10753"/>
    <x v="6"/>
    <n v="38"/>
    <n v="4"/>
    <d v="1997-11-25T00:00:00"/>
  </r>
  <r>
    <n v="10753"/>
    <x v="7"/>
    <n v="38"/>
    <n v="4"/>
    <d v="1997-11-25T00:00:00"/>
  </r>
  <r>
    <n v="10753"/>
    <x v="0"/>
    <n v="50"/>
    <n v="5"/>
    <d v="1997-11-25T00:00:00"/>
  </r>
  <r>
    <n v="10753"/>
    <x v="1"/>
    <n v="50"/>
    <n v="5"/>
    <d v="1997-11-25T00:00:00"/>
  </r>
  <r>
    <n v="10753"/>
    <x v="2"/>
    <n v="50"/>
    <n v="5"/>
    <d v="1997-11-25T00:00:00"/>
  </r>
  <r>
    <n v="10753"/>
    <x v="3"/>
    <n v="50"/>
    <n v="5"/>
    <d v="1997-11-25T00:00:00"/>
  </r>
  <r>
    <n v="10753"/>
    <x v="4"/>
    <n v="50"/>
    <n v="5"/>
    <d v="1997-11-25T00:00:00"/>
  </r>
  <r>
    <n v="10753"/>
    <x v="5"/>
    <n v="50"/>
    <n v="5"/>
    <d v="1997-11-25T00:00:00"/>
  </r>
  <r>
    <n v="10753"/>
    <x v="6"/>
    <n v="50"/>
    <n v="5"/>
    <d v="1997-11-25T00:00:00"/>
  </r>
  <r>
    <n v="10753"/>
    <x v="7"/>
    <n v="50"/>
    <n v="5"/>
    <d v="1997-11-25T00:00:00"/>
  </r>
  <r>
    <n v="10754"/>
    <x v="0"/>
    <n v="55.2"/>
    <n v="3"/>
    <d v="1997-11-25T00:00:00"/>
  </r>
  <r>
    <n v="10754"/>
    <x v="1"/>
    <n v="55.2"/>
    <n v="3"/>
    <d v="1997-11-25T00:00:00"/>
  </r>
  <r>
    <n v="10754"/>
    <x v="2"/>
    <n v="55.2"/>
    <n v="3"/>
    <d v="1997-11-25T00:00:00"/>
  </r>
  <r>
    <n v="10754"/>
    <x v="3"/>
    <n v="55.2"/>
    <n v="3"/>
    <d v="1997-11-25T00:00:00"/>
  </r>
  <r>
    <n v="10754"/>
    <x v="4"/>
    <n v="55.2"/>
    <n v="3"/>
    <d v="1997-11-25T00:00:00"/>
  </r>
  <r>
    <n v="10754"/>
    <x v="5"/>
    <n v="55.2"/>
    <n v="3"/>
    <d v="1997-11-25T00:00:00"/>
  </r>
  <r>
    <n v="10754"/>
    <x v="6"/>
    <n v="55.2"/>
    <n v="3"/>
    <d v="1997-11-25T00:00:00"/>
  </r>
  <r>
    <n v="10754"/>
    <x v="7"/>
    <n v="55.2"/>
    <n v="3"/>
    <d v="1997-11-25T00:00:00"/>
  </r>
  <r>
    <n v="10755"/>
    <x v="0"/>
    <n v="213.75"/>
    <n v="30"/>
    <d v="1997-11-26T00:00:00"/>
  </r>
  <r>
    <n v="10755"/>
    <x v="1"/>
    <n v="213.75"/>
    <n v="30"/>
    <d v="1997-11-26T00:00:00"/>
  </r>
  <r>
    <n v="10755"/>
    <x v="2"/>
    <n v="213.75"/>
    <n v="30"/>
    <d v="1997-11-26T00:00:00"/>
  </r>
  <r>
    <n v="10755"/>
    <x v="3"/>
    <n v="213.75"/>
    <n v="30"/>
    <d v="1997-11-26T00:00:00"/>
  </r>
  <r>
    <n v="10755"/>
    <x v="4"/>
    <n v="213.75"/>
    <n v="30"/>
    <d v="1997-11-26T00:00:00"/>
  </r>
  <r>
    <n v="10755"/>
    <x v="5"/>
    <n v="213.75"/>
    <n v="30"/>
    <d v="1997-11-26T00:00:00"/>
  </r>
  <r>
    <n v="10755"/>
    <x v="6"/>
    <n v="213.75"/>
    <n v="30"/>
    <d v="1997-11-26T00:00:00"/>
  </r>
  <r>
    <n v="10755"/>
    <x v="7"/>
    <n v="213.75"/>
    <n v="30"/>
    <d v="1997-11-26T00:00:00"/>
  </r>
  <r>
    <n v="10755"/>
    <x v="0"/>
    <n v="855"/>
    <n v="30"/>
    <d v="1997-11-26T00:00:00"/>
  </r>
  <r>
    <n v="10755"/>
    <x v="1"/>
    <n v="855"/>
    <n v="30"/>
    <d v="1997-11-26T00:00:00"/>
  </r>
  <r>
    <n v="10755"/>
    <x v="2"/>
    <n v="855"/>
    <n v="30"/>
    <d v="1997-11-26T00:00:00"/>
  </r>
  <r>
    <n v="10755"/>
    <x v="3"/>
    <n v="855"/>
    <n v="30"/>
    <d v="1997-11-26T00:00:00"/>
  </r>
  <r>
    <n v="10755"/>
    <x v="4"/>
    <n v="855"/>
    <n v="30"/>
    <d v="1997-11-26T00:00:00"/>
  </r>
  <r>
    <n v="10755"/>
    <x v="5"/>
    <n v="855"/>
    <n v="30"/>
    <d v="1997-11-26T00:00:00"/>
  </r>
  <r>
    <n v="10755"/>
    <x v="6"/>
    <n v="855"/>
    <n v="30"/>
    <d v="1997-11-26T00:00:00"/>
  </r>
  <r>
    <n v="10755"/>
    <x v="7"/>
    <n v="855"/>
    <n v="30"/>
    <d v="1997-11-26T00:00:00"/>
  </r>
  <r>
    <n v="10755"/>
    <x v="0"/>
    <n v="204.75"/>
    <n v="14"/>
    <d v="1997-11-26T00:00:00"/>
  </r>
  <r>
    <n v="10755"/>
    <x v="1"/>
    <n v="204.75"/>
    <n v="14"/>
    <d v="1997-11-26T00:00:00"/>
  </r>
  <r>
    <n v="10755"/>
    <x v="2"/>
    <n v="204.75"/>
    <n v="14"/>
    <d v="1997-11-26T00:00:00"/>
  </r>
  <r>
    <n v="10755"/>
    <x v="3"/>
    <n v="204.75"/>
    <n v="14"/>
    <d v="1997-11-26T00:00:00"/>
  </r>
  <r>
    <n v="10755"/>
    <x v="4"/>
    <n v="204.75"/>
    <n v="14"/>
    <d v="1997-11-26T00:00:00"/>
  </r>
  <r>
    <n v="10755"/>
    <x v="5"/>
    <n v="204.75"/>
    <n v="14"/>
    <d v="1997-11-26T00:00:00"/>
  </r>
  <r>
    <n v="10755"/>
    <x v="6"/>
    <n v="204.75"/>
    <n v="14"/>
    <d v="1997-11-26T00:00:00"/>
  </r>
  <r>
    <n v="10755"/>
    <x v="7"/>
    <n v="204.75"/>
    <n v="14"/>
    <d v="1997-11-26T00:00:00"/>
  </r>
  <r>
    <n v="10755"/>
    <x v="0"/>
    <n v="675"/>
    <n v="25"/>
    <d v="1997-11-26T00:00:00"/>
  </r>
  <r>
    <n v="10755"/>
    <x v="1"/>
    <n v="675"/>
    <n v="25"/>
    <d v="1997-11-26T00:00:00"/>
  </r>
  <r>
    <n v="10755"/>
    <x v="2"/>
    <n v="675"/>
    <n v="25"/>
    <d v="1997-11-26T00:00:00"/>
  </r>
  <r>
    <n v="10755"/>
    <x v="3"/>
    <n v="675"/>
    <n v="25"/>
    <d v="1997-11-26T00:00:00"/>
  </r>
  <r>
    <n v="10755"/>
    <x v="4"/>
    <n v="675"/>
    <n v="25"/>
    <d v="1997-11-26T00:00:00"/>
  </r>
  <r>
    <n v="10755"/>
    <x v="5"/>
    <n v="675"/>
    <n v="25"/>
    <d v="1997-11-26T00:00:00"/>
  </r>
  <r>
    <n v="10755"/>
    <x v="6"/>
    <n v="675"/>
    <n v="25"/>
    <d v="1997-11-26T00:00:00"/>
  </r>
  <r>
    <n v="10755"/>
    <x v="7"/>
    <n v="675"/>
    <n v="25"/>
    <d v="1997-11-26T00:00:00"/>
  </r>
  <r>
    <n v="10756"/>
    <x v="0"/>
    <n v="1049.9999960884452"/>
    <n v="21"/>
    <d v="1997-11-27T00:00:00"/>
  </r>
  <r>
    <n v="10756"/>
    <x v="1"/>
    <n v="1049.9999960884452"/>
    <n v="21"/>
    <d v="1997-11-27T00:00:00"/>
  </r>
  <r>
    <n v="10756"/>
    <x v="2"/>
    <n v="1049.9999960884452"/>
    <n v="21"/>
    <d v="1997-11-27T00:00:00"/>
  </r>
  <r>
    <n v="10756"/>
    <x v="3"/>
    <n v="1049.9999960884452"/>
    <n v="21"/>
    <d v="1997-11-27T00:00:00"/>
  </r>
  <r>
    <n v="10756"/>
    <x v="4"/>
    <n v="1049.9999960884452"/>
    <n v="21"/>
    <d v="1997-11-27T00:00:00"/>
  </r>
  <r>
    <n v="10756"/>
    <x v="5"/>
    <n v="1049.9999960884452"/>
    <n v="21"/>
    <d v="1997-11-27T00:00:00"/>
  </r>
  <r>
    <n v="10756"/>
    <x v="6"/>
    <n v="1049.9999960884452"/>
    <n v="21"/>
    <d v="1997-11-27T00:00:00"/>
  </r>
  <r>
    <n v="10756"/>
    <x v="7"/>
    <n v="1049.9999960884452"/>
    <n v="21"/>
    <d v="1997-11-27T00:00:00"/>
  </r>
  <r>
    <n v="10756"/>
    <x v="0"/>
    <n v="303.99999886751175"/>
    <n v="20"/>
    <d v="1997-11-27T00:00:00"/>
  </r>
  <r>
    <n v="10756"/>
    <x v="1"/>
    <n v="303.99999886751175"/>
    <n v="20"/>
    <d v="1997-11-27T00:00:00"/>
  </r>
  <r>
    <n v="10756"/>
    <x v="2"/>
    <n v="303.99999886751175"/>
    <n v="20"/>
    <d v="1997-11-27T00:00:00"/>
  </r>
  <r>
    <n v="10756"/>
    <x v="3"/>
    <n v="303.99999886751175"/>
    <n v="20"/>
    <d v="1997-11-27T00:00:00"/>
  </r>
  <r>
    <n v="10756"/>
    <x v="4"/>
    <n v="303.99999886751175"/>
    <n v="20"/>
    <d v="1997-11-27T00:00:00"/>
  </r>
  <r>
    <n v="10756"/>
    <x v="5"/>
    <n v="303.99999886751175"/>
    <n v="20"/>
    <d v="1997-11-27T00:00:00"/>
  </r>
  <r>
    <n v="10756"/>
    <x v="6"/>
    <n v="303.99999886751175"/>
    <n v="20"/>
    <d v="1997-11-27T00:00:00"/>
  </r>
  <r>
    <n v="10756"/>
    <x v="7"/>
    <n v="303.99999886751175"/>
    <n v="20"/>
    <d v="1997-11-27T00:00:00"/>
  </r>
  <r>
    <n v="10756"/>
    <x v="0"/>
    <n v="59.999999776482582"/>
    <n v="6"/>
    <d v="1997-11-27T00:00:00"/>
  </r>
  <r>
    <n v="10756"/>
    <x v="1"/>
    <n v="59.999999776482582"/>
    <n v="6"/>
    <d v="1997-11-27T00:00:00"/>
  </r>
  <r>
    <n v="10756"/>
    <x v="2"/>
    <n v="59.999999776482582"/>
    <n v="6"/>
    <d v="1997-11-27T00:00:00"/>
  </r>
  <r>
    <n v="10756"/>
    <x v="3"/>
    <n v="59.999999776482582"/>
    <n v="6"/>
    <d v="1997-11-27T00:00:00"/>
  </r>
  <r>
    <n v="10756"/>
    <x v="4"/>
    <n v="59.999999776482582"/>
    <n v="6"/>
    <d v="1997-11-27T00:00:00"/>
  </r>
  <r>
    <n v="10756"/>
    <x v="5"/>
    <n v="59.999999776482582"/>
    <n v="6"/>
    <d v="1997-11-27T00:00:00"/>
  </r>
  <r>
    <n v="10756"/>
    <x v="6"/>
    <n v="59.999999776482582"/>
    <n v="6"/>
    <d v="1997-11-27T00:00:00"/>
  </r>
  <r>
    <n v="10756"/>
    <x v="7"/>
    <n v="59.999999776482582"/>
    <n v="6"/>
    <d v="1997-11-27T00:00:00"/>
  </r>
  <r>
    <n v="10756"/>
    <x v="0"/>
    <n v="575.99999785423279"/>
    <n v="20"/>
    <d v="1997-11-27T00:00:00"/>
  </r>
  <r>
    <n v="10756"/>
    <x v="1"/>
    <n v="575.99999785423279"/>
    <n v="20"/>
    <d v="1997-11-27T00:00:00"/>
  </r>
  <r>
    <n v="10756"/>
    <x v="2"/>
    <n v="575.99999785423279"/>
    <n v="20"/>
    <d v="1997-11-27T00:00:00"/>
  </r>
  <r>
    <n v="10756"/>
    <x v="3"/>
    <n v="575.99999785423279"/>
    <n v="20"/>
    <d v="1997-11-27T00:00:00"/>
  </r>
  <r>
    <n v="10756"/>
    <x v="4"/>
    <n v="575.99999785423279"/>
    <n v="20"/>
    <d v="1997-11-27T00:00:00"/>
  </r>
  <r>
    <n v="10756"/>
    <x v="5"/>
    <n v="575.99999785423279"/>
    <n v="20"/>
    <d v="1997-11-27T00:00:00"/>
  </r>
  <r>
    <n v="10756"/>
    <x v="6"/>
    <n v="575.99999785423279"/>
    <n v="20"/>
    <d v="1997-11-27T00:00:00"/>
  </r>
  <r>
    <n v="10756"/>
    <x v="7"/>
    <n v="575.99999785423279"/>
    <n v="20"/>
    <d v="1997-11-27T00:00:00"/>
  </r>
  <r>
    <n v="10757"/>
    <x v="0"/>
    <n v="420"/>
    <n v="30"/>
    <d v="1997-11-27T00:00:00"/>
  </r>
  <r>
    <n v="10757"/>
    <x v="1"/>
    <n v="420"/>
    <n v="30"/>
    <d v="1997-11-27T00:00:00"/>
  </r>
  <r>
    <n v="10757"/>
    <x v="2"/>
    <n v="420"/>
    <n v="30"/>
    <d v="1997-11-27T00:00:00"/>
  </r>
  <r>
    <n v="10757"/>
    <x v="3"/>
    <n v="420"/>
    <n v="30"/>
    <d v="1997-11-27T00:00:00"/>
  </r>
  <r>
    <n v="10757"/>
    <x v="4"/>
    <n v="420"/>
    <n v="30"/>
    <d v="1997-11-27T00:00:00"/>
  </r>
  <r>
    <n v="10757"/>
    <x v="5"/>
    <n v="420"/>
    <n v="30"/>
    <d v="1997-11-27T00:00:00"/>
  </r>
  <r>
    <n v="10757"/>
    <x v="6"/>
    <n v="420"/>
    <n v="30"/>
    <d v="1997-11-27T00:00:00"/>
  </r>
  <r>
    <n v="10757"/>
    <x v="7"/>
    <n v="420"/>
    <n v="30"/>
    <d v="1997-11-27T00:00:00"/>
  </r>
  <r>
    <n v="10757"/>
    <x v="0"/>
    <n v="385"/>
    <n v="7"/>
    <d v="1997-11-27T00:00:00"/>
  </r>
  <r>
    <n v="10757"/>
    <x v="1"/>
    <n v="385"/>
    <n v="7"/>
    <d v="1997-11-27T00:00:00"/>
  </r>
  <r>
    <n v="10757"/>
    <x v="2"/>
    <n v="385"/>
    <n v="7"/>
    <d v="1997-11-27T00:00:00"/>
  </r>
  <r>
    <n v="10757"/>
    <x v="3"/>
    <n v="385"/>
    <n v="7"/>
    <d v="1997-11-27T00:00:00"/>
  </r>
  <r>
    <n v="10757"/>
    <x v="4"/>
    <n v="385"/>
    <n v="7"/>
    <d v="1997-11-27T00:00:00"/>
  </r>
  <r>
    <n v="10757"/>
    <x v="5"/>
    <n v="385"/>
    <n v="7"/>
    <d v="1997-11-27T00:00:00"/>
  </r>
  <r>
    <n v="10757"/>
    <x v="6"/>
    <n v="385"/>
    <n v="7"/>
    <d v="1997-11-27T00:00:00"/>
  </r>
  <r>
    <n v="10757"/>
    <x v="7"/>
    <n v="385"/>
    <n v="7"/>
    <d v="1997-11-27T00:00:00"/>
  </r>
  <r>
    <n v="10757"/>
    <x v="0"/>
    <n v="1479"/>
    <n v="30"/>
    <d v="1997-11-27T00:00:00"/>
  </r>
  <r>
    <n v="10757"/>
    <x v="1"/>
    <n v="1479"/>
    <n v="30"/>
    <d v="1997-11-27T00:00:00"/>
  </r>
  <r>
    <n v="10757"/>
    <x v="2"/>
    <n v="1479"/>
    <n v="30"/>
    <d v="1997-11-27T00:00:00"/>
  </r>
  <r>
    <n v="10757"/>
    <x v="3"/>
    <n v="1479"/>
    <n v="30"/>
    <d v="1997-11-27T00:00:00"/>
  </r>
  <r>
    <n v="10757"/>
    <x v="4"/>
    <n v="1479"/>
    <n v="30"/>
    <d v="1997-11-27T00:00:00"/>
  </r>
  <r>
    <n v="10757"/>
    <x v="5"/>
    <n v="1479"/>
    <n v="30"/>
    <d v="1997-11-27T00:00:00"/>
  </r>
  <r>
    <n v="10757"/>
    <x v="6"/>
    <n v="1479"/>
    <n v="30"/>
    <d v="1997-11-27T00:00:00"/>
  </r>
  <r>
    <n v="10757"/>
    <x v="7"/>
    <n v="1479"/>
    <n v="30"/>
    <d v="1997-11-27T00:00:00"/>
  </r>
  <r>
    <n v="10757"/>
    <x v="0"/>
    <n v="798"/>
    <n v="24"/>
    <d v="1997-11-27T00:00:00"/>
  </r>
  <r>
    <n v="10757"/>
    <x v="1"/>
    <n v="798"/>
    <n v="24"/>
    <d v="1997-11-27T00:00:00"/>
  </r>
  <r>
    <n v="10757"/>
    <x v="2"/>
    <n v="798"/>
    <n v="24"/>
    <d v="1997-11-27T00:00:00"/>
  </r>
  <r>
    <n v="10757"/>
    <x v="3"/>
    <n v="798"/>
    <n v="24"/>
    <d v="1997-11-27T00:00:00"/>
  </r>
  <r>
    <n v="10757"/>
    <x v="4"/>
    <n v="798"/>
    <n v="24"/>
    <d v="1997-11-27T00:00:00"/>
  </r>
  <r>
    <n v="10757"/>
    <x v="5"/>
    <n v="798"/>
    <n v="24"/>
    <d v="1997-11-27T00:00:00"/>
  </r>
  <r>
    <n v="10757"/>
    <x v="6"/>
    <n v="798"/>
    <n v="24"/>
    <d v="1997-11-27T00:00:00"/>
  </r>
  <r>
    <n v="10757"/>
    <x v="7"/>
    <n v="798"/>
    <n v="24"/>
    <d v="1997-11-27T00:00:00"/>
  </r>
  <r>
    <n v="10758"/>
    <x v="0"/>
    <n v="624.6"/>
    <n v="20"/>
    <d v="1997-11-28T00:00:00"/>
  </r>
  <r>
    <n v="10758"/>
    <x v="1"/>
    <n v="624.6"/>
    <n v="20"/>
    <d v="1997-11-28T00:00:00"/>
  </r>
  <r>
    <n v="10758"/>
    <x v="2"/>
    <n v="624.6"/>
    <n v="20"/>
    <d v="1997-11-28T00:00:00"/>
  </r>
  <r>
    <n v="10758"/>
    <x v="3"/>
    <n v="624.6"/>
    <n v="20"/>
    <d v="1997-11-28T00:00:00"/>
  </r>
  <r>
    <n v="10758"/>
    <x v="4"/>
    <n v="624.6"/>
    <n v="20"/>
    <d v="1997-11-28T00:00:00"/>
  </r>
  <r>
    <n v="10758"/>
    <x v="5"/>
    <n v="624.6"/>
    <n v="20"/>
    <d v="1997-11-28T00:00:00"/>
  </r>
  <r>
    <n v="10758"/>
    <x v="6"/>
    <n v="624.6"/>
    <n v="20"/>
    <d v="1997-11-28T00:00:00"/>
  </r>
  <r>
    <n v="10758"/>
    <x v="7"/>
    <n v="624.6"/>
    <n v="20"/>
    <d v="1997-11-28T00:00:00"/>
  </r>
  <r>
    <n v="10758"/>
    <x v="0"/>
    <n v="420"/>
    <n v="60"/>
    <d v="1997-11-28T00:00:00"/>
  </r>
  <r>
    <n v="10758"/>
    <x v="1"/>
    <n v="420"/>
    <n v="60"/>
    <d v="1997-11-28T00:00:00"/>
  </r>
  <r>
    <n v="10758"/>
    <x v="2"/>
    <n v="420"/>
    <n v="60"/>
    <d v="1997-11-28T00:00:00"/>
  </r>
  <r>
    <n v="10758"/>
    <x v="3"/>
    <n v="420"/>
    <n v="60"/>
    <d v="1997-11-28T00:00:00"/>
  </r>
  <r>
    <n v="10758"/>
    <x v="4"/>
    <n v="420"/>
    <n v="60"/>
    <d v="1997-11-28T00:00:00"/>
  </r>
  <r>
    <n v="10758"/>
    <x v="5"/>
    <n v="420"/>
    <n v="60"/>
    <d v="1997-11-28T00:00:00"/>
  </r>
  <r>
    <n v="10758"/>
    <x v="6"/>
    <n v="420"/>
    <n v="60"/>
    <d v="1997-11-28T00:00:00"/>
  </r>
  <r>
    <n v="10758"/>
    <x v="7"/>
    <n v="420"/>
    <n v="60"/>
    <d v="1997-11-28T00:00:00"/>
  </r>
  <r>
    <n v="10758"/>
    <x v="0"/>
    <n v="600"/>
    <n v="40"/>
    <d v="1997-11-28T00:00:00"/>
  </r>
  <r>
    <n v="10758"/>
    <x v="1"/>
    <n v="600"/>
    <n v="40"/>
    <d v="1997-11-28T00:00:00"/>
  </r>
  <r>
    <n v="10758"/>
    <x v="2"/>
    <n v="600"/>
    <n v="40"/>
    <d v="1997-11-28T00:00:00"/>
  </r>
  <r>
    <n v="10758"/>
    <x v="3"/>
    <n v="600"/>
    <n v="40"/>
    <d v="1997-11-28T00:00:00"/>
  </r>
  <r>
    <n v="10758"/>
    <x v="4"/>
    <n v="600"/>
    <n v="40"/>
    <d v="1997-11-28T00:00:00"/>
  </r>
  <r>
    <n v="10758"/>
    <x v="5"/>
    <n v="600"/>
    <n v="40"/>
    <d v="1997-11-28T00:00:00"/>
  </r>
  <r>
    <n v="10758"/>
    <x v="6"/>
    <n v="600"/>
    <n v="40"/>
    <d v="1997-11-28T00:00:00"/>
  </r>
  <r>
    <n v="10758"/>
    <x v="7"/>
    <n v="600"/>
    <n v="40"/>
    <d v="1997-11-28T00:00:00"/>
  </r>
  <r>
    <n v="10759"/>
    <x v="0"/>
    <n v="320"/>
    <n v="10"/>
    <d v="1997-11-28T00:00:00"/>
  </r>
  <r>
    <n v="10759"/>
    <x v="1"/>
    <n v="320"/>
    <n v="10"/>
    <d v="1997-11-28T00:00:00"/>
  </r>
  <r>
    <n v="10759"/>
    <x v="2"/>
    <n v="320"/>
    <n v="10"/>
    <d v="1997-11-28T00:00:00"/>
  </r>
  <r>
    <n v="10759"/>
    <x v="3"/>
    <n v="320"/>
    <n v="10"/>
    <d v="1997-11-28T00:00:00"/>
  </r>
  <r>
    <n v="10759"/>
    <x v="4"/>
    <n v="320"/>
    <n v="10"/>
    <d v="1997-11-28T00:00:00"/>
  </r>
  <r>
    <n v="10759"/>
    <x v="5"/>
    <n v="320"/>
    <n v="10"/>
    <d v="1997-11-28T00:00:00"/>
  </r>
  <r>
    <n v="10759"/>
    <x v="6"/>
    <n v="320"/>
    <n v="10"/>
    <d v="1997-11-28T00:00:00"/>
  </r>
  <r>
    <n v="10759"/>
    <x v="7"/>
    <n v="320"/>
    <n v="10"/>
    <d v="1997-11-28T00:00:00"/>
  </r>
  <r>
    <n v="10760"/>
    <x v="0"/>
    <n v="126"/>
    <n v="12"/>
    <d v="1997-12-01T00:00:00"/>
  </r>
  <r>
    <n v="10760"/>
    <x v="1"/>
    <n v="126"/>
    <n v="12"/>
    <d v="1997-12-01T00:00:00"/>
  </r>
  <r>
    <n v="10760"/>
    <x v="2"/>
    <n v="126"/>
    <n v="12"/>
    <d v="1997-12-01T00:00:00"/>
  </r>
  <r>
    <n v="10760"/>
    <x v="3"/>
    <n v="126"/>
    <n v="12"/>
    <d v="1997-12-01T00:00:00"/>
  </r>
  <r>
    <n v="10760"/>
    <x v="4"/>
    <n v="126"/>
    <n v="12"/>
    <d v="1997-12-01T00:00:00"/>
  </r>
  <r>
    <n v="10760"/>
    <x v="5"/>
    <n v="126"/>
    <n v="12"/>
    <d v="1997-12-01T00:00:00"/>
  </r>
  <r>
    <n v="10760"/>
    <x v="6"/>
    <n v="126"/>
    <n v="12"/>
    <d v="1997-12-01T00:00:00"/>
  </r>
  <r>
    <n v="10760"/>
    <x v="7"/>
    <n v="126"/>
    <n v="12"/>
    <d v="1997-12-01T00:00:00"/>
  </r>
  <r>
    <n v="10760"/>
    <x v="0"/>
    <n v="1756"/>
    <n v="40"/>
    <d v="1997-12-01T00:00:00"/>
  </r>
  <r>
    <n v="10760"/>
    <x v="1"/>
    <n v="1756"/>
    <n v="40"/>
    <d v="1997-12-01T00:00:00"/>
  </r>
  <r>
    <n v="10760"/>
    <x v="2"/>
    <n v="1756"/>
    <n v="40"/>
    <d v="1997-12-01T00:00:00"/>
  </r>
  <r>
    <n v="10760"/>
    <x v="3"/>
    <n v="1756"/>
    <n v="40"/>
    <d v="1997-12-01T00:00:00"/>
  </r>
  <r>
    <n v="10760"/>
    <x v="4"/>
    <n v="1756"/>
    <n v="40"/>
    <d v="1997-12-01T00:00:00"/>
  </r>
  <r>
    <n v="10760"/>
    <x v="5"/>
    <n v="1756"/>
    <n v="40"/>
    <d v="1997-12-01T00:00:00"/>
  </r>
  <r>
    <n v="10760"/>
    <x v="6"/>
    <n v="1756"/>
    <n v="40"/>
    <d v="1997-12-01T00:00:00"/>
  </r>
  <r>
    <n v="10760"/>
    <x v="7"/>
    <n v="1756"/>
    <n v="40"/>
    <d v="1997-12-01T00:00:00"/>
  </r>
  <r>
    <n v="10760"/>
    <x v="0"/>
    <n v="1035"/>
    <n v="30"/>
    <d v="1997-12-01T00:00:00"/>
  </r>
  <r>
    <n v="10760"/>
    <x v="1"/>
    <n v="1035"/>
    <n v="30"/>
    <d v="1997-12-01T00:00:00"/>
  </r>
  <r>
    <n v="10760"/>
    <x v="2"/>
    <n v="1035"/>
    <n v="30"/>
    <d v="1997-12-01T00:00:00"/>
  </r>
  <r>
    <n v="10760"/>
    <x v="3"/>
    <n v="1035"/>
    <n v="30"/>
    <d v="1997-12-01T00:00:00"/>
  </r>
  <r>
    <n v="10760"/>
    <x v="4"/>
    <n v="1035"/>
    <n v="30"/>
    <d v="1997-12-01T00:00:00"/>
  </r>
  <r>
    <n v="10760"/>
    <x v="5"/>
    <n v="1035"/>
    <n v="30"/>
    <d v="1997-12-01T00:00:00"/>
  </r>
  <r>
    <n v="10760"/>
    <x v="6"/>
    <n v="1035"/>
    <n v="30"/>
    <d v="1997-12-01T00:00:00"/>
  </r>
  <r>
    <n v="10760"/>
    <x v="7"/>
    <n v="1035"/>
    <n v="30"/>
    <d v="1997-12-01T00:00:00"/>
  </r>
  <r>
    <n v="10761"/>
    <x v="0"/>
    <n v="367.5"/>
    <n v="35"/>
    <d v="1997-12-02T00:00:00"/>
  </r>
  <r>
    <n v="10761"/>
    <x v="1"/>
    <n v="367.5"/>
    <n v="35"/>
    <d v="1997-12-02T00:00:00"/>
  </r>
  <r>
    <n v="10761"/>
    <x v="2"/>
    <n v="367.5"/>
    <n v="35"/>
    <d v="1997-12-02T00:00:00"/>
  </r>
  <r>
    <n v="10761"/>
    <x v="3"/>
    <n v="367.5"/>
    <n v="35"/>
    <d v="1997-12-02T00:00:00"/>
  </r>
  <r>
    <n v="10761"/>
    <x v="4"/>
    <n v="367.5"/>
    <n v="35"/>
    <d v="1997-12-02T00:00:00"/>
  </r>
  <r>
    <n v="10761"/>
    <x v="5"/>
    <n v="367.5"/>
    <n v="35"/>
    <d v="1997-12-02T00:00:00"/>
  </r>
  <r>
    <n v="10761"/>
    <x v="6"/>
    <n v="367.5"/>
    <n v="35"/>
    <d v="1997-12-02T00:00:00"/>
  </r>
  <r>
    <n v="10761"/>
    <x v="7"/>
    <n v="367.5"/>
    <n v="35"/>
    <d v="1997-12-02T00:00:00"/>
  </r>
  <r>
    <n v="10761"/>
    <x v="0"/>
    <n v="139.5"/>
    <n v="18"/>
    <d v="1997-12-02T00:00:00"/>
  </r>
  <r>
    <n v="10761"/>
    <x v="1"/>
    <n v="139.5"/>
    <n v="18"/>
    <d v="1997-12-02T00:00:00"/>
  </r>
  <r>
    <n v="10761"/>
    <x v="2"/>
    <n v="139.5"/>
    <n v="18"/>
    <d v="1997-12-02T00:00:00"/>
  </r>
  <r>
    <n v="10761"/>
    <x v="3"/>
    <n v="139.5"/>
    <n v="18"/>
    <d v="1997-12-02T00:00:00"/>
  </r>
  <r>
    <n v="10761"/>
    <x v="4"/>
    <n v="139.5"/>
    <n v="18"/>
    <d v="1997-12-02T00:00:00"/>
  </r>
  <r>
    <n v="10761"/>
    <x v="5"/>
    <n v="139.5"/>
    <n v="18"/>
    <d v="1997-12-02T00:00:00"/>
  </r>
  <r>
    <n v="10761"/>
    <x v="6"/>
    <n v="139.5"/>
    <n v="18"/>
    <d v="1997-12-02T00:00:00"/>
  </r>
  <r>
    <n v="10761"/>
    <x v="7"/>
    <n v="139.5"/>
    <n v="18"/>
    <d v="1997-12-02T00:00:00"/>
  </r>
  <r>
    <n v="10762"/>
    <x v="0"/>
    <n v="288"/>
    <n v="16"/>
    <d v="1997-12-02T00:00:00"/>
  </r>
  <r>
    <n v="10762"/>
    <x v="1"/>
    <n v="288"/>
    <n v="16"/>
    <d v="1997-12-02T00:00:00"/>
  </r>
  <r>
    <n v="10762"/>
    <x v="2"/>
    <n v="288"/>
    <n v="16"/>
    <d v="1997-12-02T00:00:00"/>
  </r>
  <r>
    <n v="10762"/>
    <x v="3"/>
    <n v="288"/>
    <n v="16"/>
    <d v="1997-12-02T00:00:00"/>
  </r>
  <r>
    <n v="10762"/>
    <x v="4"/>
    <n v="288"/>
    <n v="16"/>
    <d v="1997-12-02T00:00:00"/>
  </r>
  <r>
    <n v="10762"/>
    <x v="5"/>
    <n v="288"/>
    <n v="16"/>
    <d v="1997-12-02T00:00:00"/>
  </r>
  <r>
    <n v="10762"/>
    <x v="6"/>
    <n v="288"/>
    <n v="16"/>
    <d v="1997-12-02T00:00:00"/>
  </r>
  <r>
    <n v="10762"/>
    <x v="7"/>
    <n v="288"/>
    <n v="16"/>
    <d v="1997-12-02T00:00:00"/>
  </r>
  <r>
    <n v="10762"/>
    <x v="0"/>
    <n v="285"/>
    <n v="30"/>
    <d v="1997-12-02T00:00:00"/>
  </r>
  <r>
    <n v="10762"/>
    <x v="1"/>
    <n v="285"/>
    <n v="30"/>
    <d v="1997-12-02T00:00:00"/>
  </r>
  <r>
    <n v="10762"/>
    <x v="2"/>
    <n v="285"/>
    <n v="30"/>
    <d v="1997-12-02T00:00:00"/>
  </r>
  <r>
    <n v="10762"/>
    <x v="3"/>
    <n v="285"/>
    <n v="30"/>
    <d v="1997-12-02T00:00:00"/>
  </r>
  <r>
    <n v="10762"/>
    <x v="4"/>
    <n v="285"/>
    <n v="30"/>
    <d v="1997-12-02T00:00:00"/>
  </r>
  <r>
    <n v="10762"/>
    <x v="5"/>
    <n v="285"/>
    <n v="30"/>
    <d v="1997-12-02T00:00:00"/>
  </r>
  <r>
    <n v="10762"/>
    <x v="6"/>
    <n v="285"/>
    <n v="30"/>
    <d v="1997-12-02T00:00:00"/>
  </r>
  <r>
    <n v="10762"/>
    <x v="7"/>
    <n v="285"/>
    <n v="30"/>
    <d v="1997-12-02T00:00:00"/>
  </r>
  <r>
    <n v="10762"/>
    <x v="0"/>
    <n v="1484"/>
    <n v="28"/>
    <d v="1997-12-02T00:00:00"/>
  </r>
  <r>
    <n v="10762"/>
    <x v="1"/>
    <n v="1484"/>
    <n v="28"/>
    <d v="1997-12-02T00:00:00"/>
  </r>
  <r>
    <n v="10762"/>
    <x v="2"/>
    <n v="1484"/>
    <n v="28"/>
    <d v="1997-12-02T00:00:00"/>
  </r>
  <r>
    <n v="10762"/>
    <x v="3"/>
    <n v="1484"/>
    <n v="28"/>
    <d v="1997-12-02T00:00:00"/>
  </r>
  <r>
    <n v="10762"/>
    <x v="4"/>
    <n v="1484"/>
    <n v="28"/>
    <d v="1997-12-02T00:00:00"/>
  </r>
  <r>
    <n v="10762"/>
    <x v="5"/>
    <n v="1484"/>
    <n v="28"/>
    <d v="1997-12-02T00:00:00"/>
  </r>
  <r>
    <n v="10762"/>
    <x v="6"/>
    <n v="1484"/>
    <n v="28"/>
    <d v="1997-12-02T00:00:00"/>
  </r>
  <r>
    <n v="10762"/>
    <x v="7"/>
    <n v="1484"/>
    <n v="28"/>
    <d v="1997-12-02T00:00:00"/>
  </r>
  <r>
    <n v="10762"/>
    <x v="0"/>
    <n v="2280"/>
    <n v="60"/>
    <d v="1997-12-02T00:00:00"/>
  </r>
  <r>
    <n v="10762"/>
    <x v="1"/>
    <n v="2280"/>
    <n v="60"/>
    <d v="1997-12-02T00:00:00"/>
  </r>
  <r>
    <n v="10762"/>
    <x v="2"/>
    <n v="2280"/>
    <n v="60"/>
    <d v="1997-12-02T00:00:00"/>
  </r>
  <r>
    <n v="10762"/>
    <x v="3"/>
    <n v="2280"/>
    <n v="60"/>
    <d v="1997-12-02T00:00:00"/>
  </r>
  <r>
    <n v="10762"/>
    <x v="4"/>
    <n v="2280"/>
    <n v="60"/>
    <d v="1997-12-02T00:00:00"/>
  </r>
  <r>
    <n v="10762"/>
    <x v="5"/>
    <n v="2280"/>
    <n v="60"/>
    <d v="1997-12-02T00:00:00"/>
  </r>
  <r>
    <n v="10762"/>
    <x v="6"/>
    <n v="2280"/>
    <n v="60"/>
    <d v="1997-12-02T00:00:00"/>
  </r>
  <r>
    <n v="10762"/>
    <x v="7"/>
    <n v="2280"/>
    <n v="60"/>
    <d v="1997-12-02T00:00:00"/>
  </r>
  <r>
    <n v="10763"/>
    <x v="0"/>
    <n v="400"/>
    <n v="40"/>
    <d v="1997-12-03T00:00:00"/>
  </r>
  <r>
    <n v="10763"/>
    <x v="1"/>
    <n v="400"/>
    <n v="40"/>
    <d v="1997-12-03T00:00:00"/>
  </r>
  <r>
    <n v="10763"/>
    <x v="2"/>
    <n v="400"/>
    <n v="40"/>
    <d v="1997-12-03T00:00:00"/>
  </r>
  <r>
    <n v="10763"/>
    <x v="3"/>
    <n v="400"/>
    <n v="40"/>
    <d v="1997-12-03T00:00:00"/>
  </r>
  <r>
    <n v="10763"/>
    <x v="4"/>
    <n v="400"/>
    <n v="40"/>
    <d v="1997-12-03T00:00:00"/>
  </r>
  <r>
    <n v="10763"/>
    <x v="5"/>
    <n v="400"/>
    <n v="40"/>
    <d v="1997-12-03T00:00:00"/>
  </r>
  <r>
    <n v="10763"/>
    <x v="6"/>
    <n v="400"/>
    <n v="40"/>
    <d v="1997-12-03T00:00:00"/>
  </r>
  <r>
    <n v="10763"/>
    <x v="7"/>
    <n v="400"/>
    <n v="40"/>
    <d v="1997-12-03T00:00:00"/>
  </r>
  <r>
    <n v="10763"/>
    <x v="0"/>
    <n v="126"/>
    <n v="6"/>
    <d v="1997-12-03T00:00:00"/>
  </r>
  <r>
    <n v="10763"/>
    <x v="1"/>
    <n v="126"/>
    <n v="6"/>
    <d v="1997-12-03T00:00:00"/>
  </r>
  <r>
    <n v="10763"/>
    <x v="2"/>
    <n v="126"/>
    <n v="6"/>
    <d v="1997-12-03T00:00:00"/>
  </r>
  <r>
    <n v="10763"/>
    <x v="3"/>
    <n v="126"/>
    <n v="6"/>
    <d v="1997-12-03T00:00:00"/>
  </r>
  <r>
    <n v="10763"/>
    <x v="4"/>
    <n v="126"/>
    <n v="6"/>
    <d v="1997-12-03T00:00:00"/>
  </r>
  <r>
    <n v="10763"/>
    <x v="5"/>
    <n v="126"/>
    <n v="6"/>
    <d v="1997-12-03T00:00:00"/>
  </r>
  <r>
    <n v="10763"/>
    <x v="6"/>
    <n v="126"/>
    <n v="6"/>
    <d v="1997-12-03T00:00:00"/>
  </r>
  <r>
    <n v="10763"/>
    <x v="7"/>
    <n v="126"/>
    <n v="6"/>
    <d v="1997-12-03T00:00:00"/>
  </r>
  <r>
    <n v="10763"/>
    <x v="0"/>
    <n v="90"/>
    <n v="20"/>
    <d v="1997-12-03T00:00:00"/>
  </r>
  <r>
    <n v="10763"/>
    <x v="1"/>
    <n v="90"/>
    <n v="20"/>
    <d v="1997-12-03T00:00:00"/>
  </r>
  <r>
    <n v="10763"/>
    <x v="2"/>
    <n v="90"/>
    <n v="20"/>
    <d v="1997-12-03T00:00:00"/>
  </r>
  <r>
    <n v="10763"/>
    <x v="3"/>
    <n v="90"/>
    <n v="20"/>
    <d v="1997-12-03T00:00:00"/>
  </r>
  <r>
    <n v="10763"/>
    <x v="4"/>
    <n v="90"/>
    <n v="20"/>
    <d v="1997-12-03T00:00:00"/>
  </r>
  <r>
    <n v="10763"/>
    <x v="5"/>
    <n v="90"/>
    <n v="20"/>
    <d v="1997-12-03T00:00:00"/>
  </r>
  <r>
    <n v="10763"/>
    <x v="6"/>
    <n v="90"/>
    <n v="20"/>
    <d v="1997-12-03T00:00:00"/>
  </r>
  <r>
    <n v="10763"/>
    <x v="7"/>
    <n v="90"/>
    <n v="20"/>
    <d v="1997-12-03T00:00:00"/>
  </r>
  <r>
    <n v="10764"/>
    <x v="0"/>
    <n v="179.99999970197678"/>
    <n v="20"/>
    <d v="1997-12-03T00:00:00"/>
  </r>
  <r>
    <n v="10764"/>
    <x v="1"/>
    <n v="179.99999970197678"/>
    <n v="20"/>
    <d v="1997-12-03T00:00:00"/>
  </r>
  <r>
    <n v="10764"/>
    <x v="2"/>
    <n v="179.99999970197678"/>
    <n v="20"/>
    <d v="1997-12-03T00:00:00"/>
  </r>
  <r>
    <n v="10764"/>
    <x v="3"/>
    <n v="179.99999970197678"/>
    <n v="20"/>
    <d v="1997-12-03T00:00:00"/>
  </r>
  <r>
    <n v="10764"/>
    <x v="4"/>
    <n v="179.99999970197678"/>
    <n v="20"/>
    <d v="1997-12-03T00:00:00"/>
  </r>
  <r>
    <n v="10764"/>
    <x v="5"/>
    <n v="179.99999970197678"/>
    <n v="20"/>
    <d v="1997-12-03T00:00:00"/>
  </r>
  <r>
    <n v="10764"/>
    <x v="6"/>
    <n v="179.99999970197678"/>
    <n v="20"/>
    <d v="1997-12-03T00:00:00"/>
  </r>
  <r>
    <n v="10764"/>
    <x v="7"/>
    <n v="179.99999970197678"/>
    <n v="20"/>
    <d v="1997-12-03T00:00:00"/>
  </r>
  <r>
    <n v="10764"/>
    <x v="0"/>
    <n v="2105.9999965131283"/>
    <n v="130"/>
    <d v="1997-12-03T00:00:00"/>
  </r>
  <r>
    <n v="10764"/>
    <x v="1"/>
    <n v="2105.9999965131283"/>
    <n v="130"/>
    <d v="1997-12-03T00:00:00"/>
  </r>
  <r>
    <n v="10764"/>
    <x v="2"/>
    <n v="2105.9999965131283"/>
    <n v="130"/>
    <d v="1997-12-03T00:00:00"/>
  </r>
  <r>
    <n v="10764"/>
    <x v="3"/>
    <n v="2105.9999965131283"/>
    <n v="130"/>
    <d v="1997-12-03T00:00:00"/>
  </r>
  <r>
    <n v="10764"/>
    <x v="4"/>
    <n v="2105.9999965131283"/>
    <n v="130"/>
    <d v="1997-12-03T00:00:00"/>
  </r>
  <r>
    <n v="10764"/>
    <x v="5"/>
    <n v="2105.9999965131283"/>
    <n v="130"/>
    <d v="1997-12-03T00:00:00"/>
  </r>
  <r>
    <n v="10764"/>
    <x v="6"/>
    <n v="2105.9999965131283"/>
    <n v="130"/>
    <d v="1997-12-03T00:00:00"/>
  </r>
  <r>
    <n v="10764"/>
    <x v="7"/>
    <n v="2105.9999965131283"/>
    <n v="130"/>
    <d v="1997-12-03T00:00:00"/>
  </r>
  <r>
    <n v="10765"/>
    <x v="0"/>
    <n v="1515.5999974906445"/>
    <n v="80"/>
    <d v="1997-12-04T00:00:00"/>
  </r>
  <r>
    <n v="10765"/>
    <x v="1"/>
    <n v="1515.5999974906445"/>
    <n v="80"/>
    <d v="1997-12-04T00:00:00"/>
  </r>
  <r>
    <n v="10765"/>
    <x v="2"/>
    <n v="1515.5999974906445"/>
    <n v="80"/>
    <d v="1997-12-04T00:00:00"/>
  </r>
  <r>
    <n v="10765"/>
    <x v="3"/>
    <n v="1515.5999974906445"/>
    <n v="80"/>
    <d v="1997-12-04T00:00:00"/>
  </r>
  <r>
    <n v="10765"/>
    <x v="4"/>
    <n v="1515.5999974906445"/>
    <n v="80"/>
    <d v="1997-12-04T00:00:00"/>
  </r>
  <r>
    <n v="10765"/>
    <x v="5"/>
    <n v="1515.5999974906445"/>
    <n v="80"/>
    <d v="1997-12-04T00:00:00"/>
  </r>
  <r>
    <n v="10765"/>
    <x v="6"/>
    <n v="1515.5999974906445"/>
    <n v="80"/>
    <d v="1997-12-04T00:00:00"/>
  </r>
  <r>
    <n v="10765"/>
    <x v="7"/>
    <n v="1515.5999974906445"/>
    <n v="80"/>
    <d v="1997-12-04T00:00:00"/>
  </r>
  <r>
    <n v="10766"/>
    <x v="0"/>
    <n v="760"/>
    <n v="40"/>
    <d v="1997-12-05T00:00:00"/>
  </r>
  <r>
    <n v="10766"/>
    <x v="1"/>
    <n v="760"/>
    <n v="40"/>
    <d v="1997-12-05T00:00:00"/>
  </r>
  <r>
    <n v="10766"/>
    <x v="2"/>
    <n v="760"/>
    <n v="40"/>
    <d v="1997-12-05T00:00:00"/>
  </r>
  <r>
    <n v="10766"/>
    <x v="3"/>
    <n v="760"/>
    <n v="40"/>
    <d v="1997-12-05T00:00:00"/>
  </r>
  <r>
    <n v="10766"/>
    <x v="4"/>
    <n v="760"/>
    <n v="40"/>
    <d v="1997-12-05T00:00:00"/>
  </r>
  <r>
    <n v="10766"/>
    <x v="5"/>
    <n v="760"/>
    <n v="40"/>
    <d v="1997-12-05T00:00:00"/>
  </r>
  <r>
    <n v="10766"/>
    <x v="6"/>
    <n v="760"/>
    <n v="40"/>
    <d v="1997-12-05T00:00:00"/>
  </r>
  <r>
    <n v="10766"/>
    <x v="7"/>
    <n v="760"/>
    <n v="40"/>
    <d v="1997-12-05T00:00:00"/>
  </r>
  <r>
    <n v="10766"/>
    <x v="0"/>
    <n v="1050"/>
    <n v="35"/>
    <d v="1997-12-05T00:00:00"/>
  </r>
  <r>
    <n v="10766"/>
    <x v="1"/>
    <n v="1050"/>
    <n v="35"/>
    <d v="1997-12-05T00:00:00"/>
  </r>
  <r>
    <n v="10766"/>
    <x v="2"/>
    <n v="1050"/>
    <n v="35"/>
    <d v="1997-12-05T00:00:00"/>
  </r>
  <r>
    <n v="10766"/>
    <x v="3"/>
    <n v="1050"/>
    <n v="35"/>
    <d v="1997-12-05T00:00:00"/>
  </r>
  <r>
    <n v="10766"/>
    <x v="4"/>
    <n v="1050"/>
    <n v="35"/>
    <d v="1997-12-05T00:00:00"/>
  </r>
  <r>
    <n v="10766"/>
    <x v="5"/>
    <n v="1050"/>
    <n v="35"/>
    <d v="1997-12-05T00:00:00"/>
  </r>
  <r>
    <n v="10766"/>
    <x v="6"/>
    <n v="1050"/>
    <n v="35"/>
    <d v="1997-12-05T00:00:00"/>
  </r>
  <r>
    <n v="10766"/>
    <x v="7"/>
    <n v="1050"/>
    <n v="35"/>
    <d v="1997-12-05T00:00:00"/>
  </r>
  <r>
    <n v="10766"/>
    <x v="0"/>
    <n v="500"/>
    <n v="40"/>
    <d v="1997-12-05T00:00:00"/>
  </r>
  <r>
    <n v="10766"/>
    <x v="1"/>
    <n v="500"/>
    <n v="40"/>
    <d v="1997-12-05T00:00:00"/>
  </r>
  <r>
    <n v="10766"/>
    <x v="2"/>
    <n v="500"/>
    <n v="40"/>
    <d v="1997-12-05T00:00:00"/>
  </r>
  <r>
    <n v="10766"/>
    <x v="3"/>
    <n v="500"/>
    <n v="40"/>
    <d v="1997-12-05T00:00:00"/>
  </r>
  <r>
    <n v="10766"/>
    <x v="4"/>
    <n v="500"/>
    <n v="40"/>
    <d v="1997-12-05T00:00:00"/>
  </r>
  <r>
    <n v="10766"/>
    <x v="5"/>
    <n v="500"/>
    <n v="40"/>
    <d v="1997-12-05T00:00:00"/>
  </r>
  <r>
    <n v="10766"/>
    <x v="6"/>
    <n v="500"/>
    <n v="40"/>
    <d v="1997-12-05T00:00:00"/>
  </r>
  <r>
    <n v="10766"/>
    <x v="7"/>
    <n v="500"/>
    <n v="40"/>
    <d v="1997-12-05T00:00:00"/>
  </r>
  <r>
    <n v="10767"/>
    <x v="0"/>
    <n v="28"/>
    <n v="2"/>
    <d v="1997-12-05T00:00:00"/>
  </r>
  <r>
    <n v="10767"/>
    <x v="1"/>
    <n v="28"/>
    <n v="2"/>
    <d v="1997-12-05T00:00:00"/>
  </r>
  <r>
    <n v="10767"/>
    <x v="2"/>
    <n v="28"/>
    <n v="2"/>
    <d v="1997-12-05T00:00:00"/>
  </r>
  <r>
    <n v="10767"/>
    <x v="3"/>
    <n v="28"/>
    <n v="2"/>
    <d v="1997-12-05T00:00:00"/>
  </r>
  <r>
    <n v="10767"/>
    <x v="4"/>
    <n v="28"/>
    <n v="2"/>
    <d v="1997-12-05T00:00:00"/>
  </r>
  <r>
    <n v="10767"/>
    <x v="5"/>
    <n v="28"/>
    <n v="2"/>
    <d v="1997-12-05T00:00:00"/>
  </r>
  <r>
    <n v="10767"/>
    <x v="6"/>
    <n v="28"/>
    <n v="2"/>
    <d v="1997-12-05T00:00:00"/>
  </r>
  <r>
    <n v="10767"/>
    <x v="7"/>
    <n v="28"/>
    <n v="2"/>
    <d v="1997-12-05T00:00:00"/>
  </r>
  <r>
    <n v="10768"/>
    <x v="0"/>
    <n v="84"/>
    <n v="4"/>
    <d v="1997-12-08T00:00:00"/>
  </r>
  <r>
    <n v="10768"/>
    <x v="1"/>
    <n v="84"/>
    <n v="4"/>
    <d v="1997-12-08T00:00:00"/>
  </r>
  <r>
    <n v="10768"/>
    <x v="2"/>
    <n v="84"/>
    <n v="4"/>
    <d v="1997-12-08T00:00:00"/>
  </r>
  <r>
    <n v="10768"/>
    <x v="3"/>
    <n v="84"/>
    <n v="4"/>
    <d v="1997-12-08T00:00:00"/>
  </r>
  <r>
    <n v="10768"/>
    <x v="4"/>
    <n v="84"/>
    <n v="4"/>
    <d v="1997-12-08T00:00:00"/>
  </r>
  <r>
    <n v="10768"/>
    <x v="5"/>
    <n v="84"/>
    <n v="4"/>
    <d v="1997-12-08T00:00:00"/>
  </r>
  <r>
    <n v="10768"/>
    <x v="6"/>
    <n v="84"/>
    <n v="4"/>
    <d v="1997-12-08T00:00:00"/>
  </r>
  <r>
    <n v="10768"/>
    <x v="7"/>
    <n v="84"/>
    <n v="4"/>
    <d v="1997-12-08T00:00:00"/>
  </r>
  <r>
    <n v="10768"/>
    <x v="0"/>
    <n v="625"/>
    <n v="50"/>
    <d v="1997-12-08T00:00:00"/>
  </r>
  <r>
    <n v="10768"/>
    <x v="1"/>
    <n v="625"/>
    <n v="50"/>
    <d v="1997-12-08T00:00:00"/>
  </r>
  <r>
    <n v="10768"/>
    <x v="2"/>
    <n v="625"/>
    <n v="50"/>
    <d v="1997-12-08T00:00:00"/>
  </r>
  <r>
    <n v="10768"/>
    <x v="3"/>
    <n v="625"/>
    <n v="50"/>
    <d v="1997-12-08T00:00:00"/>
  </r>
  <r>
    <n v="10768"/>
    <x v="4"/>
    <n v="625"/>
    <n v="50"/>
    <d v="1997-12-08T00:00:00"/>
  </r>
  <r>
    <n v="10768"/>
    <x v="5"/>
    <n v="625"/>
    <n v="50"/>
    <d v="1997-12-08T00:00:00"/>
  </r>
  <r>
    <n v="10768"/>
    <x v="6"/>
    <n v="625"/>
    <n v="50"/>
    <d v="1997-12-08T00:00:00"/>
  </r>
  <r>
    <n v="10768"/>
    <x v="7"/>
    <n v="625"/>
    <n v="50"/>
    <d v="1997-12-08T00:00:00"/>
  </r>
  <r>
    <n v="10768"/>
    <x v="0"/>
    <n v="510"/>
    <n v="15"/>
    <d v="1997-12-08T00:00:00"/>
  </r>
  <r>
    <n v="10768"/>
    <x v="1"/>
    <n v="510"/>
    <n v="15"/>
    <d v="1997-12-08T00:00:00"/>
  </r>
  <r>
    <n v="10768"/>
    <x v="2"/>
    <n v="510"/>
    <n v="15"/>
    <d v="1997-12-08T00:00:00"/>
  </r>
  <r>
    <n v="10768"/>
    <x v="3"/>
    <n v="510"/>
    <n v="15"/>
    <d v="1997-12-08T00:00:00"/>
  </r>
  <r>
    <n v="10768"/>
    <x v="4"/>
    <n v="510"/>
    <n v="15"/>
    <d v="1997-12-08T00:00:00"/>
  </r>
  <r>
    <n v="10768"/>
    <x v="5"/>
    <n v="510"/>
    <n v="15"/>
    <d v="1997-12-08T00:00:00"/>
  </r>
  <r>
    <n v="10768"/>
    <x v="6"/>
    <n v="510"/>
    <n v="15"/>
    <d v="1997-12-08T00:00:00"/>
  </r>
  <r>
    <n v="10768"/>
    <x v="7"/>
    <n v="510"/>
    <n v="15"/>
    <d v="1997-12-08T00:00:00"/>
  </r>
  <r>
    <n v="10768"/>
    <x v="0"/>
    <n v="258"/>
    <n v="12"/>
    <d v="1997-12-08T00:00:00"/>
  </r>
  <r>
    <n v="10768"/>
    <x v="1"/>
    <n v="258"/>
    <n v="12"/>
    <d v="1997-12-08T00:00:00"/>
  </r>
  <r>
    <n v="10768"/>
    <x v="2"/>
    <n v="258"/>
    <n v="12"/>
    <d v="1997-12-08T00:00:00"/>
  </r>
  <r>
    <n v="10768"/>
    <x v="3"/>
    <n v="258"/>
    <n v="12"/>
    <d v="1997-12-08T00:00:00"/>
  </r>
  <r>
    <n v="10768"/>
    <x v="4"/>
    <n v="258"/>
    <n v="12"/>
    <d v="1997-12-08T00:00:00"/>
  </r>
  <r>
    <n v="10768"/>
    <x v="5"/>
    <n v="258"/>
    <n v="12"/>
    <d v="1997-12-08T00:00:00"/>
  </r>
  <r>
    <n v="10768"/>
    <x v="6"/>
    <n v="258"/>
    <n v="12"/>
    <d v="1997-12-08T00:00:00"/>
  </r>
  <r>
    <n v="10768"/>
    <x v="7"/>
    <n v="258"/>
    <n v="12"/>
    <d v="1997-12-08T00:00:00"/>
  </r>
  <r>
    <n v="10769"/>
    <x v="0"/>
    <n v="275.02499978430569"/>
    <n v="30"/>
    <d v="1997-12-08T00:00:00"/>
  </r>
  <r>
    <n v="10769"/>
    <x v="1"/>
    <n v="275.02499978430569"/>
    <n v="30"/>
    <d v="1997-12-08T00:00:00"/>
  </r>
  <r>
    <n v="10769"/>
    <x v="2"/>
    <n v="275.02499978430569"/>
    <n v="30"/>
    <d v="1997-12-08T00:00:00"/>
  </r>
  <r>
    <n v="10769"/>
    <x v="3"/>
    <n v="275.02499978430569"/>
    <n v="30"/>
    <d v="1997-12-08T00:00:00"/>
  </r>
  <r>
    <n v="10769"/>
    <x v="4"/>
    <n v="275.02499978430569"/>
    <n v="30"/>
    <d v="1997-12-08T00:00:00"/>
  </r>
  <r>
    <n v="10769"/>
    <x v="5"/>
    <n v="275.02499978430569"/>
    <n v="30"/>
    <d v="1997-12-08T00:00:00"/>
  </r>
  <r>
    <n v="10769"/>
    <x v="6"/>
    <n v="275.02499978430569"/>
    <n v="30"/>
    <d v="1997-12-08T00:00:00"/>
  </r>
  <r>
    <n v="10769"/>
    <x v="7"/>
    <n v="275.02499978430569"/>
    <n v="30"/>
    <d v="1997-12-08T00:00:00"/>
  </r>
  <r>
    <n v="10769"/>
    <x v="0"/>
    <n v="99.749999921768904"/>
    <n v="15"/>
    <d v="1997-12-08T00:00:00"/>
  </r>
  <r>
    <n v="10769"/>
    <x v="1"/>
    <n v="99.749999921768904"/>
    <n v="15"/>
    <d v="1997-12-08T00:00:00"/>
  </r>
  <r>
    <n v="10769"/>
    <x v="2"/>
    <n v="99.749999921768904"/>
    <n v="15"/>
    <d v="1997-12-08T00:00:00"/>
  </r>
  <r>
    <n v="10769"/>
    <x v="3"/>
    <n v="99.749999921768904"/>
    <n v="15"/>
    <d v="1997-12-08T00:00:00"/>
  </r>
  <r>
    <n v="10769"/>
    <x v="4"/>
    <n v="99.749999921768904"/>
    <n v="15"/>
    <d v="1997-12-08T00:00:00"/>
  </r>
  <r>
    <n v="10769"/>
    <x v="5"/>
    <n v="99.749999921768904"/>
    <n v="15"/>
    <d v="1997-12-08T00:00:00"/>
  </r>
  <r>
    <n v="10769"/>
    <x v="6"/>
    <n v="99.749999921768904"/>
    <n v="15"/>
    <d v="1997-12-08T00:00:00"/>
  </r>
  <r>
    <n v="10769"/>
    <x v="7"/>
    <n v="99.749999921768904"/>
    <n v="15"/>
    <d v="1997-12-08T00:00:00"/>
  </r>
  <r>
    <n v="10769"/>
    <x v="0"/>
    <n v="570"/>
    <n v="20"/>
    <d v="1997-12-08T00:00:00"/>
  </r>
  <r>
    <n v="10769"/>
    <x v="1"/>
    <n v="570"/>
    <n v="20"/>
    <d v="1997-12-08T00:00:00"/>
  </r>
  <r>
    <n v="10769"/>
    <x v="2"/>
    <n v="570"/>
    <n v="20"/>
    <d v="1997-12-08T00:00:00"/>
  </r>
  <r>
    <n v="10769"/>
    <x v="3"/>
    <n v="570"/>
    <n v="20"/>
    <d v="1997-12-08T00:00:00"/>
  </r>
  <r>
    <n v="10769"/>
    <x v="4"/>
    <n v="570"/>
    <n v="20"/>
    <d v="1997-12-08T00:00:00"/>
  </r>
  <r>
    <n v="10769"/>
    <x v="5"/>
    <n v="570"/>
    <n v="20"/>
    <d v="1997-12-08T00:00:00"/>
  </r>
  <r>
    <n v="10769"/>
    <x v="6"/>
    <n v="570"/>
    <n v="20"/>
    <d v="1997-12-08T00:00:00"/>
  </r>
  <r>
    <n v="10769"/>
    <x v="7"/>
    <n v="570"/>
    <n v="20"/>
    <d v="1997-12-08T00:00:00"/>
  </r>
  <r>
    <n v="10769"/>
    <x v="0"/>
    <n v="739.5"/>
    <n v="15"/>
    <d v="1997-12-08T00:00:00"/>
  </r>
  <r>
    <n v="10769"/>
    <x v="1"/>
    <n v="739.5"/>
    <n v="15"/>
    <d v="1997-12-08T00:00:00"/>
  </r>
  <r>
    <n v="10769"/>
    <x v="2"/>
    <n v="739.5"/>
    <n v="15"/>
    <d v="1997-12-08T00:00:00"/>
  </r>
  <r>
    <n v="10769"/>
    <x v="3"/>
    <n v="739.5"/>
    <n v="15"/>
    <d v="1997-12-08T00:00:00"/>
  </r>
  <r>
    <n v="10769"/>
    <x v="4"/>
    <n v="739.5"/>
    <n v="15"/>
    <d v="1997-12-08T00:00:00"/>
  </r>
  <r>
    <n v="10769"/>
    <x v="5"/>
    <n v="739.5"/>
    <n v="15"/>
    <d v="1997-12-08T00:00:00"/>
  </r>
  <r>
    <n v="10769"/>
    <x v="6"/>
    <n v="739.5"/>
    <n v="15"/>
    <d v="1997-12-08T00:00:00"/>
  </r>
  <r>
    <n v="10769"/>
    <x v="7"/>
    <n v="739.5"/>
    <n v="15"/>
    <d v="1997-12-08T00:00:00"/>
  </r>
  <r>
    <n v="10770"/>
    <x v="0"/>
    <n v="236.25"/>
    <n v="15"/>
    <d v="1997-12-09T00:00:00"/>
  </r>
  <r>
    <n v="10770"/>
    <x v="1"/>
    <n v="236.25"/>
    <n v="15"/>
    <d v="1997-12-09T00:00:00"/>
  </r>
  <r>
    <n v="10770"/>
    <x v="2"/>
    <n v="236.25"/>
    <n v="15"/>
    <d v="1997-12-09T00:00:00"/>
  </r>
  <r>
    <n v="10770"/>
    <x v="3"/>
    <n v="236.25"/>
    <n v="15"/>
    <d v="1997-12-09T00:00:00"/>
  </r>
  <r>
    <n v="10770"/>
    <x v="4"/>
    <n v="236.25"/>
    <n v="15"/>
    <d v="1997-12-09T00:00:00"/>
  </r>
  <r>
    <n v="10770"/>
    <x v="5"/>
    <n v="236.25"/>
    <n v="15"/>
    <d v="1997-12-09T00:00:00"/>
  </r>
  <r>
    <n v="10770"/>
    <x v="6"/>
    <n v="236.25"/>
    <n v="15"/>
    <d v="1997-12-09T00:00:00"/>
  </r>
  <r>
    <n v="10770"/>
    <x v="7"/>
    <n v="236.25"/>
    <n v="15"/>
    <d v="1997-12-09T00:00:00"/>
  </r>
  <r>
    <n v="10771"/>
    <x v="0"/>
    <n v="344"/>
    <n v="16"/>
    <d v="1997-12-10T00:00:00"/>
  </r>
  <r>
    <n v="10771"/>
    <x v="1"/>
    <n v="344"/>
    <n v="16"/>
    <d v="1997-12-10T00:00:00"/>
  </r>
  <r>
    <n v="10771"/>
    <x v="2"/>
    <n v="344"/>
    <n v="16"/>
    <d v="1997-12-10T00:00:00"/>
  </r>
  <r>
    <n v="10771"/>
    <x v="3"/>
    <n v="344"/>
    <n v="16"/>
    <d v="1997-12-10T00:00:00"/>
  </r>
  <r>
    <n v="10771"/>
    <x v="4"/>
    <n v="344"/>
    <n v="16"/>
    <d v="1997-12-10T00:00:00"/>
  </r>
  <r>
    <n v="10771"/>
    <x v="5"/>
    <n v="344"/>
    <n v="16"/>
    <d v="1997-12-10T00:00:00"/>
  </r>
  <r>
    <n v="10771"/>
    <x v="6"/>
    <n v="344"/>
    <n v="16"/>
    <d v="1997-12-10T00:00:00"/>
  </r>
  <r>
    <n v="10771"/>
    <x v="7"/>
    <n v="344"/>
    <n v="16"/>
    <d v="1997-12-10T00:00:00"/>
  </r>
  <r>
    <n v="10772"/>
    <x v="0"/>
    <n v="2228.2199999999998"/>
    <n v="18"/>
    <d v="1997-12-10T00:00:00"/>
  </r>
  <r>
    <n v="10772"/>
    <x v="1"/>
    <n v="2228.2199999999998"/>
    <n v="18"/>
    <d v="1997-12-10T00:00:00"/>
  </r>
  <r>
    <n v="10772"/>
    <x v="2"/>
    <n v="2228.2199999999998"/>
    <n v="18"/>
    <d v="1997-12-10T00:00:00"/>
  </r>
  <r>
    <n v="10772"/>
    <x v="3"/>
    <n v="2228.2199999999998"/>
    <n v="18"/>
    <d v="1997-12-10T00:00:00"/>
  </r>
  <r>
    <n v="10772"/>
    <x v="4"/>
    <n v="2228.2199999999998"/>
    <n v="18"/>
    <d v="1997-12-10T00:00:00"/>
  </r>
  <r>
    <n v="10772"/>
    <x v="5"/>
    <n v="2228.2199999999998"/>
    <n v="18"/>
    <d v="1997-12-10T00:00:00"/>
  </r>
  <r>
    <n v="10772"/>
    <x v="6"/>
    <n v="2228.2199999999998"/>
    <n v="18"/>
    <d v="1997-12-10T00:00:00"/>
  </r>
  <r>
    <n v="10772"/>
    <x v="7"/>
    <n v="2228.2199999999998"/>
    <n v="18"/>
    <d v="1997-12-10T00:00:00"/>
  </r>
  <r>
    <n v="10772"/>
    <x v="0"/>
    <n v="1375"/>
    <n v="25"/>
    <d v="1997-12-10T00:00:00"/>
  </r>
  <r>
    <n v="10772"/>
    <x v="1"/>
    <n v="1375"/>
    <n v="25"/>
    <d v="1997-12-10T00:00:00"/>
  </r>
  <r>
    <n v="10772"/>
    <x v="2"/>
    <n v="1375"/>
    <n v="25"/>
    <d v="1997-12-10T00:00:00"/>
  </r>
  <r>
    <n v="10772"/>
    <x v="3"/>
    <n v="1375"/>
    <n v="25"/>
    <d v="1997-12-10T00:00:00"/>
  </r>
  <r>
    <n v="10772"/>
    <x v="4"/>
    <n v="1375"/>
    <n v="25"/>
    <d v="1997-12-10T00:00:00"/>
  </r>
  <r>
    <n v="10772"/>
    <x v="5"/>
    <n v="1375"/>
    <n v="25"/>
    <d v="1997-12-10T00:00:00"/>
  </r>
  <r>
    <n v="10772"/>
    <x v="6"/>
    <n v="1375"/>
    <n v="25"/>
    <d v="1997-12-10T00:00:00"/>
  </r>
  <r>
    <n v="10772"/>
    <x v="7"/>
    <n v="1375"/>
    <n v="25"/>
    <d v="1997-12-10T00:00:00"/>
  </r>
  <r>
    <n v="10773"/>
    <x v="0"/>
    <n v="1287"/>
    <n v="33"/>
    <d v="1997-12-11T00:00:00"/>
  </r>
  <r>
    <n v="10773"/>
    <x v="1"/>
    <n v="1287"/>
    <n v="33"/>
    <d v="1997-12-11T00:00:00"/>
  </r>
  <r>
    <n v="10773"/>
    <x v="2"/>
    <n v="1287"/>
    <n v="33"/>
    <d v="1997-12-11T00:00:00"/>
  </r>
  <r>
    <n v="10773"/>
    <x v="3"/>
    <n v="1287"/>
    <n v="33"/>
    <d v="1997-12-11T00:00:00"/>
  </r>
  <r>
    <n v="10773"/>
    <x v="4"/>
    <n v="1287"/>
    <n v="33"/>
    <d v="1997-12-11T00:00:00"/>
  </r>
  <r>
    <n v="10773"/>
    <x v="5"/>
    <n v="1287"/>
    <n v="33"/>
    <d v="1997-12-11T00:00:00"/>
  </r>
  <r>
    <n v="10773"/>
    <x v="6"/>
    <n v="1287"/>
    <n v="33"/>
    <d v="1997-12-11T00:00:00"/>
  </r>
  <r>
    <n v="10773"/>
    <x v="7"/>
    <n v="1287"/>
    <n v="33"/>
    <d v="1997-12-11T00:00:00"/>
  </r>
  <r>
    <n v="10773"/>
    <x v="0"/>
    <n v="699.99999739229679"/>
    <n v="70"/>
    <d v="1997-12-11T00:00:00"/>
  </r>
  <r>
    <n v="10773"/>
    <x v="1"/>
    <n v="699.99999739229679"/>
    <n v="70"/>
    <d v="1997-12-11T00:00:00"/>
  </r>
  <r>
    <n v="10773"/>
    <x v="2"/>
    <n v="699.99999739229679"/>
    <n v="70"/>
    <d v="1997-12-11T00:00:00"/>
  </r>
  <r>
    <n v="10773"/>
    <x v="3"/>
    <n v="699.99999739229679"/>
    <n v="70"/>
    <d v="1997-12-11T00:00:00"/>
  </r>
  <r>
    <n v="10773"/>
    <x v="4"/>
    <n v="699.99999739229679"/>
    <n v="70"/>
    <d v="1997-12-11T00:00:00"/>
  </r>
  <r>
    <n v="10773"/>
    <x v="5"/>
    <n v="699.99999739229679"/>
    <n v="70"/>
    <d v="1997-12-11T00:00:00"/>
  </r>
  <r>
    <n v="10773"/>
    <x v="6"/>
    <n v="699.99999739229679"/>
    <n v="70"/>
    <d v="1997-12-11T00:00:00"/>
  </r>
  <r>
    <n v="10773"/>
    <x v="7"/>
    <n v="699.99999739229679"/>
    <n v="70"/>
    <d v="1997-12-11T00:00:00"/>
  </r>
  <r>
    <n v="10773"/>
    <x v="0"/>
    <n v="43.399999838322401"/>
    <n v="7"/>
    <d v="1997-12-11T00:00:00"/>
  </r>
  <r>
    <n v="10773"/>
    <x v="1"/>
    <n v="43.399999838322401"/>
    <n v="7"/>
    <d v="1997-12-11T00:00:00"/>
  </r>
  <r>
    <n v="10773"/>
    <x v="2"/>
    <n v="43.399999838322401"/>
    <n v="7"/>
    <d v="1997-12-11T00:00:00"/>
  </r>
  <r>
    <n v="10773"/>
    <x v="3"/>
    <n v="43.399999838322401"/>
    <n v="7"/>
    <d v="1997-12-11T00:00:00"/>
  </r>
  <r>
    <n v="10773"/>
    <x v="4"/>
    <n v="43.399999838322401"/>
    <n v="7"/>
    <d v="1997-12-11T00:00:00"/>
  </r>
  <r>
    <n v="10773"/>
    <x v="5"/>
    <n v="43.399999838322401"/>
    <n v="7"/>
    <d v="1997-12-11T00:00:00"/>
  </r>
  <r>
    <n v="10773"/>
    <x v="6"/>
    <n v="43.399999838322401"/>
    <n v="7"/>
    <d v="1997-12-11T00:00:00"/>
  </r>
  <r>
    <n v="10773"/>
    <x v="7"/>
    <n v="43.399999838322401"/>
    <n v="7"/>
    <d v="1997-12-11T00:00:00"/>
  </r>
  <r>
    <n v="10774"/>
    <x v="0"/>
    <n v="18.75"/>
    <n v="2"/>
    <d v="1997-12-11T00:00:00"/>
  </r>
  <r>
    <n v="10774"/>
    <x v="1"/>
    <n v="18.75"/>
    <n v="2"/>
    <d v="1997-12-11T00:00:00"/>
  </r>
  <r>
    <n v="10774"/>
    <x v="2"/>
    <n v="18.75"/>
    <n v="2"/>
    <d v="1997-12-11T00:00:00"/>
  </r>
  <r>
    <n v="10774"/>
    <x v="3"/>
    <n v="18.75"/>
    <n v="2"/>
    <d v="1997-12-11T00:00:00"/>
  </r>
  <r>
    <n v="10774"/>
    <x v="4"/>
    <n v="18.75"/>
    <n v="2"/>
    <d v="1997-12-11T00:00:00"/>
  </r>
  <r>
    <n v="10774"/>
    <x v="5"/>
    <n v="18.75"/>
    <n v="2"/>
    <d v="1997-12-11T00:00:00"/>
  </r>
  <r>
    <n v="10774"/>
    <x v="6"/>
    <n v="18.75"/>
    <n v="2"/>
    <d v="1997-12-11T00:00:00"/>
  </r>
  <r>
    <n v="10774"/>
    <x v="7"/>
    <n v="18.75"/>
    <n v="2"/>
    <d v="1997-12-11T00:00:00"/>
  </r>
  <r>
    <n v="10774"/>
    <x v="0"/>
    <n v="850"/>
    <n v="50"/>
    <d v="1997-12-11T00:00:00"/>
  </r>
  <r>
    <n v="10774"/>
    <x v="1"/>
    <n v="850"/>
    <n v="50"/>
    <d v="1997-12-11T00:00:00"/>
  </r>
  <r>
    <n v="10774"/>
    <x v="2"/>
    <n v="850"/>
    <n v="50"/>
    <d v="1997-12-11T00:00:00"/>
  </r>
  <r>
    <n v="10774"/>
    <x v="3"/>
    <n v="850"/>
    <n v="50"/>
    <d v="1997-12-11T00:00:00"/>
  </r>
  <r>
    <n v="10774"/>
    <x v="4"/>
    <n v="850"/>
    <n v="50"/>
    <d v="1997-12-11T00:00:00"/>
  </r>
  <r>
    <n v="10774"/>
    <x v="5"/>
    <n v="850"/>
    <n v="50"/>
    <d v="1997-12-11T00:00:00"/>
  </r>
  <r>
    <n v="10774"/>
    <x v="6"/>
    <n v="850"/>
    <n v="50"/>
    <d v="1997-12-11T00:00:00"/>
  </r>
  <r>
    <n v="10774"/>
    <x v="7"/>
    <n v="850"/>
    <n v="50"/>
    <d v="1997-12-11T00:00:00"/>
  </r>
  <r>
    <n v="10775"/>
    <x v="0"/>
    <n v="186"/>
    <n v="6"/>
    <d v="1997-12-12T00:00:00"/>
  </r>
  <r>
    <n v="10775"/>
    <x v="1"/>
    <n v="186"/>
    <n v="6"/>
    <d v="1997-12-12T00:00:00"/>
  </r>
  <r>
    <n v="10775"/>
    <x v="2"/>
    <n v="186"/>
    <n v="6"/>
    <d v="1997-12-12T00:00:00"/>
  </r>
  <r>
    <n v="10775"/>
    <x v="3"/>
    <n v="186"/>
    <n v="6"/>
    <d v="1997-12-12T00:00:00"/>
  </r>
  <r>
    <n v="10775"/>
    <x v="4"/>
    <n v="186"/>
    <n v="6"/>
    <d v="1997-12-12T00:00:00"/>
  </r>
  <r>
    <n v="10775"/>
    <x v="5"/>
    <n v="186"/>
    <n v="6"/>
    <d v="1997-12-12T00:00:00"/>
  </r>
  <r>
    <n v="10775"/>
    <x v="6"/>
    <n v="186"/>
    <n v="6"/>
    <d v="1997-12-12T00:00:00"/>
  </r>
  <r>
    <n v="10775"/>
    <x v="7"/>
    <n v="186"/>
    <n v="6"/>
    <d v="1997-12-12T00:00:00"/>
  </r>
  <r>
    <n v="10775"/>
    <x v="0"/>
    <n v="42"/>
    <n v="3"/>
    <d v="1997-12-12T00:00:00"/>
  </r>
  <r>
    <n v="10775"/>
    <x v="1"/>
    <n v="42"/>
    <n v="3"/>
    <d v="1997-12-12T00:00:00"/>
  </r>
  <r>
    <n v="10775"/>
    <x v="2"/>
    <n v="42"/>
    <n v="3"/>
    <d v="1997-12-12T00:00:00"/>
  </r>
  <r>
    <n v="10775"/>
    <x v="3"/>
    <n v="42"/>
    <n v="3"/>
    <d v="1997-12-12T00:00:00"/>
  </r>
  <r>
    <n v="10775"/>
    <x v="4"/>
    <n v="42"/>
    <n v="3"/>
    <d v="1997-12-12T00:00:00"/>
  </r>
  <r>
    <n v="10775"/>
    <x v="5"/>
    <n v="42"/>
    <n v="3"/>
    <d v="1997-12-12T00:00:00"/>
  </r>
  <r>
    <n v="10775"/>
    <x v="6"/>
    <n v="42"/>
    <n v="3"/>
    <d v="1997-12-12T00:00:00"/>
  </r>
  <r>
    <n v="10775"/>
    <x v="7"/>
    <n v="42"/>
    <n v="3"/>
    <d v="1997-12-12T00:00:00"/>
  </r>
  <r>
    <n v="10776"/>
    <x v="0"/>
    <n v="189.99999985098839"/>
    <n v="16"/>
    <d v="1997-12-15T00:00:00"/>
  </r>
  <r>
    <n v="10776"/>
    <x v="1"/>
    <n v="189.99999985098839"/>
    <n v="16"/>
    <d v="1997-12-15T00:00:00"/>
  </r>
  <r>
    <n v="10776"/>
    <x v="2"/>
    <n v="189.99999985098839"/>
    <n v="16"/>
    <d v="1997-12-15T00:00:00"/>
  </r>
  <r>
    <n v="10776"/>
    <x v="3"/>
    <n v="189.99999985098839"/>
    <n v="16"/>
    <d v="1997-12-15T00:00:00"/>
  </r>
  <r>
    <n v="10776"/>
    <x v="4"/>
    <n v="189.99999985098839"/>
    <n v="16"/>
    <d v="1997-12-15T00:00:00"/>
  </r>
  <r>
    <n v="10776"/>
    <x v="5"/>
    <n v="189.99999985098839"/>
    <n v="16"/>
    <d v="1997-12-15T00:00:00"/>
  </r>
  <r>
    <n v="10776"/>
    <x v="6"/>
    <n v="189.99999985098839"/>
    <n v="16"/>
    <d v="1997-12-15T00:00:00"/>
  </r>
  <r>
    <n v="10776"/>
    <x v="7"/>
    <n v="189.99999985098839"/>
    <n v="16"/>
    <d v="1997-12-15T00:00:00"/>
  </r>
  <r>
    <n v="10776"/>
    <x v="0"/>
    <n v="159.59999987483025"/>
    <n v="12"/>
    <d v="1997-12-15T00:00:00"/>
  </r>
  <r>
    <n v="10776"/>
    <x v="1"/>
    <n v="159.59999987483025"/>
    <n v="12"/>
    <d v="1997-12-15T00:00:00"/>
  </r>
  <r>
    <n v="10776"/>
    <x v="2"/>
    <n v="159.59999987483025"/>
    <n v="12"/>
    <d v="1997-12-15T00:00:00"/>
  </r>
  <r>
    <n v="10776"/>
    <x v="3"/>
    <n v="159.59999987483025"/>
    <n v="12"/>
    <d v="1997-12-15T00:00:00"/>
  </r>
  <r>
    <n v="10776"/>
    <x v="4"/>
    <n v="159.59999987483025"/>
    <n v="12"/>
    <d v="1997-12-15T00:00:00"/>
  </r>
  <r>
    <n v="10776"/>
    <x v="5"/>
    <n v="159.59999987483025"/>
    <n v="12"/>
    <d v="1997-12-15T00:00:00"/>
  </r>
  <r>
    <n v="10776"/>
    <x v="6"/>
    <n v="159.59999987483025"/>
    <n v="12"/>
    <d v="1997-12-15T00:00:00"/>
  </r>
  <r>
    <n v="10776"/>
    <x v="7"/>
    <n v="159.59999987483025"/>
    <n v="12"/>
    <d v="1997-12-15T00:00:00"/>
  </r>
  <r>
    <n v="10776"/>
    <x v="0"/>
    <n v="243.67499980889261"/>
    <n v="27"/>
    <d v="1997-12-15T00:00:00"/>
  </r>
  <r>
    <n v="10776"/>
    <x v="1"/>
    <n v="243.67499980889261"/>
    <n v="27"/>
    <d v="1997-12-15T00:00:00"/>
  </r>
  <r>
    <n v="10776"/>
    <x v="2"/>
    <n v="243.67499980889261"/>
    <n v="27"/>
    <d v="1997-12-15T00:00:00"/>
  </r>
  <r>
    <n v="10776"/>
    <x v="3"/>
    <n v="243.67499980889261"/>
    <n v="27"/>
    <d v="1997-12-15T00:00:00"/>
  </r>
  <r>
    <n v="10776"/>
    <x v="4"/>
    <n v="243.67499980889261"/>
    <n v="27"/>
    <d v="1997-12-15T00:00:00"/>
  </r>
  <r>
    <n v="10776"/>
    <x v="5"/>
    <n v="243.67499980889261"/>
    <n v="27"/>
    <d v="1997-12-15T00:00:00"/>
  </r>
  <r>
    <n v="10776"/>
    <x v="6"/>
    <n v="243.67499980889261"/>
    <n v="27"/>
    <d v="1997-12-15T00:00:00"/>
  </r>
  <r>
    <n v="10776"/>
    <x v="7"/>
    <n v="243.67499980889261"/>
    <n v="27"/>
    <d v="1997-12-15T00:00:00"/>
  </r>
  <r>
    <n v="10776"/>
    <x v="0"/>
    <n v="6041.9999952614307"/>
    <n v="120"/>
    <d v="1997-12-15T00:00:00"/>
  </r>
  <r>
    <n v="10776"/>
    <x v="1"/>
    <n v="6041.9999952614307"/>
    <n v="120"/>
    <d v="1997-12-15T00:00:00"/>
  </r>
  <r>
    <n v="10776"/>
    <x v="2"/>
    <n v="6041.9999952614307"/>
    <n v="120"/>
    <d v="1997-12-15T00:00:00"/>
  </r>
  <r>
    <n v="10776"/>
    <x v="3"/>
    <n v="6041.9999952614307"/>
    <n v="120"/>
    <d v="1997-12-15T00:00:00"/>
  </r>
  <r>
    <n v="10776"/>
    <x v="4"/>
    <n v="6041.9999952614307"/>
    <n v="120"/>
    <d v="1997-12-15T00:00:00"/>
  </r>
  <r>
    <n v="10776"/>
    <x v="5"/>
    <n v="6041.9999952614307"/>
    <n v="120"/>
    <d v="1997-12-15T00:00:00"/>
  </r>
  <r>
    <n v="10776"/>
    <x v="6"/>
    <n v="6041.9999952614307"/>
    <n v="120"/>
    <d v="1997-12-15T00:00:00"/>
  </r>
  <r>
    <n v="10776"/>
    <x v="7"/>
    <n v="6041.9999952614307"/>
    <n v="120"/>
    <d v="1997-12-15T00:00:00"/>
  </r>
  <r>
    <n v="10777"/>
    <x v="0"/>
    <n v="223.99999916553497"/>
    <n v="20"/>
    <d v="1997-12-15T00:00:00"/>
  </r>
  <r>
    <n v="10777"/>
    <x v="1"/>
    <n v="223.99999916553497"/>
    <n v="20"/>
    <d v="1997-12-15T00:00:00"/>
  </r>
  <r>
    <n v="10777"/>
    <x v="2"/>
    <n v="223.99999916553497"/>
    <n v="20"/>
    <d v="1997-12-15T00:00:00"/>
  </r>
  <r>
    <n v="10777"/>
    <x v="3"/>
    <n v="223.99999916553497"/>
    <n v="20"/>
    <d v="1997-12-15T00:00:00"/>
  </r>
  <r>
    <n v="10777"/>
    <x v="4"/>
    <n v="223.99999916553497"/>
    <n v="20"/>
    <d v="1997-12-15T00:00:00"/>
  </r>
  <r>
    <n v="10777"/>
    <x v="5"/>
    <n v="223.99999916553497"/>
    <n v="20"/>
    <d v="1997-12-15T00:00:00"/>
  </r>
  <r>
    <n v="10777"/>
    <x v="6"/>
    <n v="223.99999916553497"/>
    <n v="20"/>
    <d v="1997-12-15T00:00:00"/>
  </r>
  <r>
    <n v="10777"/>
    <x v="7"/>
    <n v="223.99999916553497"/>
    <n v="20"/>
    <d v="1997-12-15T00:00:00"/>
  </r>
  <r>
    <n v="10778"/>
    <x v="0"/>
    <n v="96.5"/>
    <n v="10"/>
    <d v="1997-12-16T00:00:00"/>
  </r>
  <r>
    <n v="10778"/>
    <x v="1"/>
    <n v="96.5"/>
    <n v="10"/>
    <d v="1997-12-16T00:00:00"/>
  </r>
  <r>
    <n v="10778"/>
    <x v="2"/>
    <n v="96.5"/>
    <n v="10"/>
    <d v="1997-12-16T00:00:00"/>
  </r>
  <r>
    <n v="10778"/>
    <x v="3"/>
    <n v="96.5"/>
    <n v="10"/>
    <d v="1997-12-16T00:00:00"/>
  </r>
  <r>
    <n v="10778"/>
    <x v="4"/>
    <n v="96.5"/>
    <n v="10"/>
    <d v="1997-12-16T00:00:00"/>
  </r>
  <r>
    <n v="10778"/>
    <x v="5"/>
    <n v="96.5"/>
    <n v="10"/>
    <d v="1997-12-16T00:00:00"/>
  </r>
  <r>
    <n v="10778"/>
    <x v="6"/>
    <n v="96.5"/>
    <n v="10"/>
    <d v="1997-12-16T00:00:00"/>
  </r>
  <r>
    <n v="10778"/>
    <x v="7"/>
    <n v="96.5"/>
    <n v="10"/>
    <d v="1997-12-16T00:00:00"/>
  </r>
  <r>
    <n v="10779"/>
    <x v="0"/>
    <n v="349"/>
    <n v="20"/>
    <d v="1997-12-16T00:00:00"/>
  </r>
  <r>
    <n v="10779"/>
    <x v="1"/>
    <n v="349"/>
    <n v="20"/>
    <d v="1997-12-16T00:00:00"/>
  </r>
  <r>
    <n v="10779"/>
    <x v="2"/>
    <n v="349"/>
    <n v="20"/>
    <d v="1997-12-16T00:00:00"/>
  </r>
  <r>
    <n v="10779"/>
    <x v="3"/>
    <n v="349"/>
    <n v="20"/>
    <d v="1997-12-16T00:00:00"/>
  </r>
  <r>
    <n v="10779"/>
    <x v="4"/>
    <n v="349"/>
    <n v="20"/>
    <d v="1997-12-16T00:00:00"/>
  </r>
  <r>
    <n v="10779"/>
    <x v="5"/>
    <n v="349"/>
    <n v="20"/>
    <d v="1997-12-16T00:00:00"/>
  </r>
  <r>
    <n v="10779"/>
    <x v="6"/>
    <n v="349"/>
    <n v="20"/>
    <d v="1997-12-16T00:00:00"/>
  </r>
  <r>
    <n v="10779"/>
    <x v="7"/>
    <n v="349"/>
    <n v="20"/>
    <d v="1997-12-16T00:00:00"/>
  </r>
  <r>
    <n v="10779"/>
    <x v="0"/>
    <n v="986"/>
    <n v="20"/>
    <d v="1997-12-16T00:00:00"/>
  </r>
  <r>
    <n v="10779"/>
    <x v="1"/>
    <n v="986"/>
    <n v="20"/>
    <d v="1997-12-16T00:00:00"/>
  </r>
  <r>
    <n v="10779"/>
    <x v="2"/>
    <n v="986"/>
    <n v="20"/>
    <d v="1997-12-16T00:00:00"/>
  </r>
  <r>
    <n v="10779"/>
    <x v="3"/>
    <n v="986"/>
    <n v="20"/>
    <d v="1997-12-16T00:00:00"/>
  </r>
  <r>
    <n v="10779"/>
    <x v="4"/>
    <n v="986"/>
    <n v="20"/>
    <d v="1997-12-16T00:00:00"/>
  </r>
  <r>
    <n v="10779"/>
    <x v="5"/>
    <n v="986"/>
    <n v="20"/>
    <d v="1997-12-16T00:00:00"/>
  </r>
  <r>
    <n v="10779"/>
    <x v="6"/>
    <n v="986"/>
    <n v="20"/>
    <d v="1997-12-16T00:00:00"/>
  </r>
  <r>
    <n v="10779"/>
    <x v="7"/>
    <n v="986"/>
    <n v="20"/>
    <d v="1997-12-16T00:00:00"/>
  </r>
  <r>
    <n v="10780"/>
    <x v="0"/>
    <n v="525"/>
    <n v="35"/>
    <d v="1997-12-16T00:00:00"/>
  </r>
  <r>
    <n v="10780"/>
    <x v="1"/>
    <n v="525"/>
    <n v="35"/>
    <d v="1997-12-16T00:00:00"/>
  </r>
  <r>
    <n v="10780"/>
    <x v="2"/>
    <n v="525"/>
    <n v="35"/>
    <d v="1997-12-16T00:00:00"/>
  </r>
  <r>
    <n v="10780"/>
    <x v="3"/>
    <n v="525"/>
    <n v="35"/>
    <d v="1997-12-16T00:00:00"/>
  </r>
  <r>
    <n v="10780"/>
    <x v="4"/>
    <n v="525"/>
    <n v="35"/>
    <d v="1997-12-16T00:00:00"/>
  </r>
  <r>
    <n v="10780"/>
    <x v="5"/>
    <n v="525"/>
    <n v="35"/>
    <d v="1997-12-16T00:00:00"/>
  </r>
  <r>
    <n v="10780"/>
    <x v="6"/>
    <n v="525"/>
    <n v="35"/>
    <d v="1997-12-16T00:00:00"/>
  </r>
  <r>
    <n v="10780"/>
    <x v="7"/>
    <n v="525"/>
    <n v="35"/>
    <d v="1997-12-16T00:00:00"/>
  </r>
  <r>
    <n v="10780"/>
    <x v="0"/>
    <n v="195"/>
    <n v="15"/>
    <d v="1997-12-16T00:00:00"/>
  </r>
  <r>
    <n v="10780"/>
    <x v="1"/>
    <n v="195"/>
    <n v="15"/>
    <d v="1997-12-16T00:00:00"/>
  </r>
  <r>
    <n v="10780"/>
    <x v="2"/>
    <n v="195"/>
    <n v="15"/>
    <d v="1997-12-16T00:00:00"/>
  </r>
  <r>
    <n v="10780"/>
    <x v="3"/>
    <n v="195"/>
    <n v="15"/>
    <d v="1997-12-16T00:00:00"/>
  </r>
  <r>
    <n v="10780"/>
    <x v="4"/>
    <n v="195"/>
    <n v="15"/>
    <d v="1997-12-16T00:00:00"/>
  </r>
  <r>
    <n v="10780"/>
    <x v="5"/>
    <n v="195"/>
    <n v="15"/>
    <d v="1997-12-16T00:00:00"/>
  </r>
  <r>
    <n v="10780"/>
    <x v="6"/>
    <n v="195"/>
    <n v="15"/>
    <d v="1997-12-16T00:00:00"/>
  </r>
  <r>
    <n v="10780"/>
    <x v="7"/>
    <n v="195"/>
    <n v="15"/>
    <d v="1997-12-16T00:00:00"/>
  </r>
  <r>
    <n v="10781"/>
    <x v="0"/>
    <n v="17.879999933391812"/>
    <n v="3"/>
    <d v="1997-12-17T00:00:00"/>
  </r>
  <r>
    <n v="10781"/>
    <x v="1"/>
    <n v="17.879999933391812"/>
    <n v="3"/>
    <d v="1997-12-17T00:00:00"/>
  </r>
  <r>
    <n v="10781"/>
    <x v="2"/>
    <n v="17.879999933391812"/>
    <n v="3"/>
    <d v="1997-12-17T00:00:00"/>
  </r>
  <r>
    <n v="10781"/>
    <x v="3"/>
    <n v="17.879999933391812"/>
    <n v="3"/>
    <d v="1997-12-17T00:00:00"/>
  </r>
  <r>
    <n v="10781"/>
    <x v="4"/>
    <n v="17.879999933391812"/>
    <n v="3"/>
    <d v="1997-12-17T00:00:00"/>
  </r>
  <r>
    <n v="10781"/>
    <x v="5"/>
    <n v="17.879999933391812"/>
    <n v="3"/>
    <d v="1997-12-17T00:00:00"/>
  </r>
  <r>
    <n v="10781"/>
    <x v="6"/>
    <n v="17.879999933391812"/>
    <n v="3"/>
    <d v="1997-12-17T00:00:00"/>
  </r>
  <r>
    <n v="10781"/>
    <x v="7"/>
    <n v="17.879999933391812"/>
    <n v="3"/>
    <d v="1997-12-17T00:00:00"/>
  </r>
  <r>
    <n v="10781"/>
    <x v="0"/>
    <n v="607.9999977350235"/>
    <n v="20"/>
    <d v="1997-12-17T00:00:00"/>
  </r>
  <r>
    <n v="10781"/>
    <x v="1"/>
    <n v="607.9999977350235"/>
    <n v="20"/>
    <d v="1997-12-17T00:00:00"/>
  </r>
  <r>
    <n v="10781"/>
    <x v="2"/>
    <n v="607.9999977350235"/>
    <n v="20"/>
    <d v="1997-12-17T00:00:00"/>
  </r>
  <r>
    <n v="10781"/>
    <x v="3"/>
    <n v="607.9999977350235"/>
    <n v="20"/>
    <d v="1997-12-17T00:00:00"/>
  </r>
  <r>
    <n v="10781"/>
    <x v="4"/>
    <n v="607.9999977350235"/>
    <n v="20"/>
    <d v="1997-12-17T00:00:00"/>
  </r>
  <r>
    <n v="10781"/>
    <x v="5"/>
    <n v="607.9999977350235"/>
    <n v="20"/>
    <d v="1997-12-17T00:00:00"/>
  </r>
  <r>
    <n v="10781"/>
    <x v="6"/>
    <n v="607.9999977350235"/>
    <n v="20"/>
    <d v="1997-12-17T00:00:00"/>
  </r>
  <r>
    <n v="10781"/>
    <x v="7"/>
    <n v="607.9999977350235"/>
    <n v="20"/>
    <d v="1997-12-17T00:00:00"/>
  </r>
  <r>
    <n v="10781"/>
    <x v="0"/>
    <n v="350"/>
    <n v="35"/>
    <d v="1997-12-17T00:00:00"/>
  </r>
  <r>
    <n v="10781"/>
    <x v="1"/>
    <n v="350"/>
    <n v="35"/>
    <d v="1997-12-17T00:00:00"/>
  </r>
  <r>
    <n v="10781"/>
    <x v="2"/>
    <n v="350"/>
    <n v="35"/>
    <d v="1997-12-17T00:00:00"/>
  </r>
  <r>
    <n v="10781"/>
    <x v="3"/>
    <n v="350"/>
    <n v="35"/>
    <d v="1997-12-17T00:00:00"/>
  </r>
  <r>
    <n v="10781"/>
    <x v="4"/>
    <n v="350"/>
    <n v="35"/>
    <d v="1997-12-17T00:00:00"/>
  </r>
  <r>
    <n v="10781"/>
    <x v="5"/>
    <n v="350"/>
    <n v="35"/>
    <d v="1997-12-17T00:00:00"/>
  </r>
  <r>
    <n v="10781"/>
    <x v="6"/>
    <n v="350"/>
    <n v="35"/>
    <d v="1997-12-17T00:00:00"/>
  </r>
  <r>
    <n v="10781"/>
    <x v="7"/>
    <n v="350"/>
    <n v="35"/>
    <d v="1997-12-17T00:00:00"/>
  </r>
  <r>
    <n v="10782"/>
    <x v="0"/>
    <n v="12.5"/>
    <n v="1"/>
    <d v="1997-12-17T00:00:00"/>
  </r>
  <r>
    <n v="10782"/>
    <x v="1"/>
    <n v="12.5"/>
    <n v="1"/>
    <d v="1997-12-17T00:00:00"/>
  </r>
  <r>
    <n v="10782"/>
    <x v="2"/>
    <n v="12.5"/>
    <n v="1"/>
    <d v="1997-12-17T00:00:00"/>
  </r>
  <r>
    <n v="10782"/>
    <x v="3"/>
    <n v="12.5"/>
    <n v="1"/>
    <d v="1997-12-17T00:00:00"/>
  </r>
  <r>
    <n v="10782"/>
    <x v="4"/>
    <n v="12.5"/>
    <n v="1"/>
    <d v="1997-12-17T00:00:00"/>
  </r>
  <r>
    <n v="10782"/>
    <x v="5"/>
    <n v="12.5"/>
    <n v="1"/>
    <d v="1997-12-17T00:00:00"/>
  </r>
  <r>
    <n v="10782"/>
    <x v="6"/>
    <n v="12.5"/>
    <n v="1"/>
    <d v="1997-12-17T00:00:00"/>
  </r>
  <r>
    <n v="10782"/>
    <x v="7"/>
    <n v="12.5"/>
    <n v="1"/>
    <d v="1997-12-17T00:00:00"/>
  </r>
  <r>
    <n v="10783"/>
    <x v="0"/>
    <n v="125"/>
    <n v="10"/>
    <d v="1997-12-18T00:00:00"/>
  </r>
  <r>
    <n v="10783"/>
    <x v="1"/>
    <n v="125"/>
    <n v="10"/>
    <d v="1997-12-18T00:00:00"/>
  </r>
  <r>
    <n v="10783"/>
    <x v="2"/>
    <n v="125"/>
    <n v="10"/>
    <d v="1997-12-18T00:00:00"/>
  </r>
  <r>
    <n v="10783"/>
    <x v="3"/>
    <n v="125"/>
    <n v="10"/>
    <d v="1997-12-18T00:00:00"/>
  </r>
  <r>
    <n v="10783"/>
    <x v="4"/>
    <n v="125"/>
    <n v="10"/>
    <d v="1997-12-18T00:00:00"/>
  </r>
  <r>
    <n v="10783"/>
    <x v="5"/>
    <n v="125"/>
    <n v="10"/>
    <d v="1997-12-18T00:00:00"/>
  </r>
  <r>
    <n v="10783"/>
    <x v="6"/>
    <n v="125"/>
    <n v="10"/>
    <d v="1997-12-18T00:00:00"/>
  </r>
  <r>
    <n v="10783"/>
    <x v="7"/>
    <n v="125"/>
    <n v="10"/>
    <d v="1997-12-18T00:00:00"/>
  </r>
  <r>
    <n v="10783"/>
    <x v="0"/>
    <n v="1317.5"/>
    <n v="5"/>
    <d v="1997-12-18T00:00:00"/>
  </r>
  <r>
    <n v="10783"/>
    <x v="1"/>
    <n v="1317.5"/>
    <n v="5"/>
    <d v="1997-12-18T00:00:00"/>
  </r>
  <r>
    <n v="10783"/>
    <x v="2"/>
    <n v="1317.5"/>
    <n v="5"/>
    <d v="1997-12-18T00:00:00"/>
  </r>
  <r>
    <n v="10783"/>
    <x v="3"/>
    <n v="1317.5"/>
    <n v="5"/>
    <d v="1997-12-18T00:00:00"/>
  </r>
  <r>
    <n v="10783"/>
    <x v="4"/>
    <n v="1317.5"/>
    <n v="5"/>
    <d v="1997-12-18T00:00:00"/>
  </r>
  <r>
    <n v="10783"/>
    <x v="5"/>
    <n v="1317.5"/>
    <n v="5"/>
    <d v="1997-12-18T00:00:00"/>
  </r>
  <r>
    <n v="10783"/>
    <x v="6"/>
    <n v="1317.5"/>
    <n v="5"/>
    <d v="1997-12-18T00:00:00"/>
  </r>
  <r>
    <n v="10783"/>
    <x v="7"/>
    <n v="1317.5"/>
    <n v="5"/>
    <d v="1997-12-18T00:00:00"/>
  </r>
  <r>
    <n v="10784"/>
    <x v="0"/>
    <n v="570"/>
    <n v="30"/>
    <d v="1997-12-18T00:00:00"/>
  </r>
  <r>
    <n v="10784"/>
    <x v="1"/>
    <n v="570"/>
    <n v="30"/>
    <d v="1997-12-18T00:00:00"/>
  </r>
  <r>
    <n v="10784"/>
    <x v="2"/>
    <n v="570"/>
    <n v="30"/>
    <d v="1997-12-18T00:00:00"/>
  </r>
  <r>
    <n v="10784"/>
    <x v="3"/>
    <n v="570"/>
    <n v="30"/>
    <d v="1997-12-18T00:00:00"/>
  </r>
  <r>
    <n v="10784"/>
    <x v="4"/>
    <n v="570"/>
    <n v="30"/>
    <d v="1997-12-18T00:00:00"/>
  </r>
  <r>
    <n v="10784"/>
    <x v="5"/>
    <n v="570"/>
    <n v="30"/>
    <d v="1997-12-18T00:00:00"/>
  </r>
  <r>
    <n v="10784"/>
    <x v="6"/>
    <n v="570"/>
    <n v="30"/>
    <d v="1997-12-18T00:00:00"/>
  </r>
  <r>
    <n v="10784"/>
    <x v="7"/>
    <n v="570"/>
    <n v="30"/>
    <d v="1997-12-18T00:00:00"/>
  </r>
  <r>
    <n v="10784"/>
    <x v="0"/>
    <n v="30.599999785423279"/>
    <n v="2"/>
    <d v="1997-12-18T00:00:00"/>
  </r>
  <r>
    <n v="10784"/>
    <x v="1"/>
    <n v="30.599999785423279"/>
    <n v="2"/>
    <d v="1997-12-18T00:00:00"/>
  </r>
  <r>
    <n v="10784"/>
    <x v="2"/>
    <n v="30.599999785423279"/>
    <n v="2"/>
    <d v="1997-12-18T00:00:00"/>
  </r>
  <r>
    <n v="10784"/>
    <x v="3"/>
    <n v="30.599999785423279"/>
    <n v="2"/>
    <d v="1997-12-18T00:00:00"/>
  </r>
  <r>
    <n v="10784"/>
    <x v="4"/>
    <n v="30.599999785423279"/>
    <n v="2"/>
    <d v="1997-12-18T00:00:00"/>
  </r>
  <r>
    <n v="10784"/>
    <x v="5"/>
    <n v="30.599999785423279"/>
    <n v="2"/>
    <d v="1997-12-18T00:00:00"/>
  </r>
  <r>
    <n v="10784"/>
    <x v="6"/>
    <n v="30.599999785423279"/>
    <n v="2"/>
    <d v="1997-12-18T00:00:00"/>
  </r>
  <r>
    <n v="10784"/>
    <x v="7"/>
    <n v="30.599999785423279"/>
    <n v="2"/>
    <d v="1997-12-18T00:00:00"/>
  </r>
  <r>
    <n v="10784"/>
    <x v="0"/>
    <n v="887.39999377727509"/>
    <n v="30"/>
    <d v="1997-12-18T00:00:00"/>
  </r>
  <r>
    <n v="10784"/>
    <x v="1"/>
    <n v="887.39999377727509"/>
    <n v="30"/>
    <d v="1997-12-18T00:00:00"/>
  </r>
  <r>
    <n v="10784"/>
    <x v="2"/>
    <n v="887.39999377727509"/>
    <n v="30"/>
    <d v="1997-12-18T00:00:00"/>
  </r>
  <r>
    <n v="10784"/>
    <x v="3"/>
    <n v="887.39999377727509"/>
    <n v="30"/>
    <d v="1997-12-18T00:00:00"/>
  </r>
  <r>
    <n v="10784"/>
    <x v="4"/>
    <n v="887.39999377727509"/>
    <n v="30"/>
    <d v="1997-12-18T00:00:00"/>
  </r>
  <r>
    <n v="10784"/>
    <x v="5"/>
    <n v="887.39999377727509"/>
    <n v="30"/>
    <d v="1997-12-18T00:00:00"/>
  </r>
  <r>
    <n v="10784"/>
    <x v="6"/>
    <n v="887.39999377727509"/>
    <n v="30"/>
    <d v="1997-12-18T00:00:00"/>
  </r>
  <r>
    <n v="10784"/>
    <x v="7"/>
    <n v="887.39999377727509"/>
    <n v="30"/>
    <d v="1997-12-18T00:00:00"/>
  </r>
  <r>
    <n v="10785"/>
    <x v="0"/>
    <n v="310"/>
    <n v="10"/>
    <d v="1997-12-18T00:00:00"/>
  </r>
  <r>
    <n v="10785"/>
    <x v="1"/>
    <n v="310"/>
    <n v="10"/>
    <d v="1997-12-18T00:00:00"/>
  </r>
  <r>
    <n v="10785"/>
    <x v="2"/>
    <n v="310"/>
    <n v="10"/>
    <d v="1997-12-18T00:00:00"/>
  </r>
  <r>
    <n v="10785"/>
    <x v="3"/>
    <n v="310"/>
    <n v="10"/>
    <d v="1997-12-18T00:00:00"/>
  </r>
  <r>
    <n v="10785"/>
    <x v="4"/>
    <n v="310"/>
    <n v="10"/>
    <d v="1997-12-18T00:00:00"/>
  </r>
  <r>
    <n v="10785"/>
    <x v="5"/>
    <n v="310"/>
    <n v="10"/>
    <d v="1997-12-18T00:00:00"/>
  </r>
  <r>
    <n v="10785"/>
    <x v="6"/>
    <n v="310"/>
    <n v="10"/>
    <d v="1997-12-18T00:00:00"/>
  </r>
  <r>
    <n v="10785"/>
    <x v="7"/>
    <n v="310"/>
    <n v="10"/>
    <d v="1997-12-18T00:00:00"/>
  </r>
  <r>
    <n v="10785"/>
    <x v="0"/>
    <n v="77.5"/>
    <n v="10"/>
    <d v="1997-12-18T00:00:00"/>
  </r>
  <r>
    <n v="10785"/>
    <x v="1"/>
    <n v="77.5"/>
    <n v="10"/>
    <d v="1997-12-18T00:00:00"/>
  </r>
  <r>
    <n v="10785"/>
    <x v="2"/>
    <n v="77.5"/>
    <n v="10"/>
    <d v="1997-12-18T00:00:00"/>
  </r>
  <r>
    <n v="10785"/>
    <x v="3"/>
    <n v="77.5"/>
    <n v="10"/>
    <d v="1997-12-18T00:00:00"/>
  </r>
  <r>
    <n v="10785"/>
    <x v="4"/>
    <n v="77.5"/>
    <n v="10"/>
    <d v="1997-12-18T00:00:00"/>
  </r>
  <r>
    <n v="10785"/>
    <x v="5"/>
    <n v="77.5"/>
    <n v="10"/>
    <d v="1997-12-18T00:00:00"/>
  </r>
  <r>
    <n v="10785"/>
    <x v="6"/>
    <n v="77.5"/>
    <n v="10"/>
    <d v="1997-12-18T00:00:00"/>
  </r>
  <r>
    <n v="10785"/>
    <x v="7"/>
    <n v="77.5"/>
    <n v="10"/>
    <d v="1997-12-18T00:00:00"/>
  </r>
  <r>
    <n v="10786"/>
    <x v="0"/>
    <n v="959.99999642372131"/>
    <n v="30"/>
    <d v="1997-12-19T00:00:00"/>
  </r>
  <r>
    <n v="10786"/>
    <x v="1"/>
    <n v="959.99999642372131"/>
    <n v="30"/>
    <d v="1997-12-19T00:00:00"/>
  </r>
  <r>
    <n v="10786"/>
    <x v="2"/>
    <n v="959.99999642372131"/>
    <n v="30"/>
    <d v="1997-12-19T00:00:00"/>
  </r>
  <r>
    <n v="10786"/>
    <x v="3"/>
    <n v="959.99999642372131"/>
    <n v="30"/>
    <d v="1997-12-19T00:00:00"/>
  </r>
  <r>
    <n v="10786"/>
    <x v="4"/>
    <n v="959.99999642372131"/>
    <n v="30"/>
    <d v="1997-12-19T00:00:00"/>
  </r>
  <r>
    <n v="10786"/>
    <x v="5"/>
    <n v="959.99999642372131"/>
    <n v="30"/>
    <d v="1997-12-19T00:00:00"/>
  </r>
  <r>
    <n v="10786"/>
    <x v="6"/>
    <n v="959.99999642372131"/>
    <n v="30"/>
    <d v="1997-12-19T00:00:00"/>
  </r>
  <r>
    <n v="10786"/>
    <x v="7"/>
    <n v="959.99999642372131"/>
    <n v="30"/>
    <d v="1997-12-19T00:00:00"/>
  </r>
  <r>
    <n v="10786"/>
    <x v="0"/>
    <n v="310.67999884262684"/>
    <n v="15"/>
    <d v="1997-12-19T00:00:00"/>
  </r>
  <r>
    <n v="10786"/>
    <x v="1"/>
    <n v="310.67999884262684"/>
    <n v="15"/>
    <d v="1997-12-19T00:00:00"/>
  </r>
  <r>
    <n v="10786"/>
    <x v="2"/>
    <n v="310.67999884262684"/>
    <n v="15"/>
    <d v="1997-12-19T00:00:00"/>
  </r>
  <r>
    <n v="10786"/>
    <x v="3"/>
    <n v="310.67999884262684"/>
    <n v="15"/>
    <d v="1997-12-19T00:00:00"/>
  </r>
  <r>
    <n v="10786"/>
    <x v="4"/>
    <n v="310.67999884262684"/>
    <n v="15"/>
    <d v="1997-12-19T00:00:00"/>
  </r>
  <r>
    <n v="10786"/>
    <x v="5"/>
    <n v="310.67999884262684"/>
    <n v="15"/>
    <d v="1997-12-19T00:00:00"/>
  </r>
  <r>
    <n v="10786"/>
    <x v="6"/>
    <n v="310.67999884262684"/>
    <n v="15"/>
    <d v="1997-12-19T00:00:00"/>
  </r>
  <r>
    <n v="10786"/>
    <x v="7"/>
    <n v="310.67999884262684"/>
    <n v="15"/>
    <d v="1997-12-19T00:00:00"/>
  </r>
  <r>
    <n v="10786"/>
    <x v="0"/>
    <n v="260.39999902993441"/>
    <n v="42"/>
    <d v="1997-12-19T00:00:00"/>
  </r>
  <r>
    <n v="10786"/>
    <x v="1"/>
    <n v="260.39999902993441"/>
    <n v="42"/>
    <d v="1997-12-19T00:00:00"/>
  </r>
  <r>
    <n v="10786"/>
    <x v="2"/>
    <n v="260.39999902993441"/>
    <n v="42"/>
    <d v="1997-12-19T00:00:00"/>
  </r>
  <r>
    <n v="10786"/>
    <x v="3"/>
    <n v="260.39999902993441"/>
    <n v="42"/>
    <d v="1997-12-19T00:00:00"/>
  </r>
  <r>
    <n v="10786"/>
    <x v="4"/>
    <n v="260.39999902993441"/>
    <n v="42"/>
    <d v="1997-12-19T00:00:00"/>
  </r>
  <r>
    <n v="10786"/>
    <x v="5"/>
    <n v="260.39999902993441"/>
    <n v="42"/>
    <d v="1997-12-19T00:00:00"/>
  </r>
  <r>
    <n v="10786"/>
    <x v="6"/>
    <n v="260.39999902993441"/>
    <n v="42"/>
    <d v="1997-12-19T00:00:00"/>
  </r>
  <r>
    <n v="10786"/>
    <x v="7"/>
    <n v="260.39999902993441"/>
    <n v="42"/>
    <d v="1997-12-19T00:00:00"/>
  </r>
  <r>
    <n v="10787"/>
    <x v="0"/>
    <n v="270.74999978765845"/>
    <n v="15"/>
    <d v="1997-12-19T00:00:00"/>
  </r>
  <r>
    <n v="10787"/>
    <x v="1"/>
    <n v="270.74999978765845"/>
    <n v="15"/>
    <d v="1997-12-19T00:00:00"/>
  </r>
  <r>
    <n v="10787"/>
    <x v="2"/>
    <n v="270.74999978765845"/>
    <n v="15"/>
    <d v="1997-12-19T00:00:00"/>
  </r>
  <r>
    <n v="10787"/>
    <x v="3"/>
    <n v="270.74999978765845"/>
    <n v="15"/>
    <d v="1997-12-19T00:00:00"/>
  </r>
  <r>
    <n v="10787"/>
    <x v="4"/>
    <n v="270.74999978765845"/>
    <n v="15"/>
    <d v="1997-12-19T00:00:00"/>
  </r>
  <r>
    <n v="10787"/>
    <x v="5"/>
    <n v="270.74999978765845"/>
    <n v="15"/>
    <d v="1997-12-19T00:00:00"/>
  </r>
  <r>
    <n v="10787"/>
    <x v="6"/>
    <n v="270.74999978765845"/>
    <n v="15"/>
    <d v="1997-12-19T00:00:00"/>
  </r>
  <r>
    <n v="10787"/>
    <x v="7"/>
    <n v="270.74999978765845"/>
    <n v="15"/>
    <d v="1997-12-19T00:00:00"/>
  </r>
  <r>
    <n v="10787"/>
    <x v="0"/>
    <n v="2352.0099981553853"/>
    <n v="20"/>
    <d v="1997-12-19T00:00:00"/>
  </r>
  <r>
    <n v="10787"/>
    <x v="1"/>
    <n v="2352.0099981553853"/>
    <n v="20"/>
    <d v="1997-12-19T00:00:00"/>
  </r>
  <r>
    <n v="10787"/>
    <x v="2"/>
    <n v="2352.0099981553853"/>
    <n v="20"/>
    <d v="1997-12-19T00:00:00"/>
  </r>
  <r>
    <n v="10787"/>
    <x v="3"/>
    <n v="2352.0099981553853"/>
    <n v="20"/>
    <d v="1997-12-19T00:00:00"/>
  </r>
  <r>
    <n v="10787"/>
    <x v="4"/>
    <n v="2352.0099981553853"/>
    <n v="20"/>
    <d v="1997-12-19T00:00:00"/>
  </r>
  <r>
    <n v="10787"/>
    <x v="5"/>
    <n v="2352.0099981553853"/>
    <n v="20"/>
    <d v="1997-12-19T00:00:00"/>
  </r>
  <r>
    <n v="10787"/>
    <x v="6"/>
    <n v="2352.0099981553853"/>
    <n v="20"/>
    <d v="1997-12-19T00:00:00"/>
  </r>
  <r>
    <n v="10787"/>
    <x v="7"/>
    <n v="2352.0099981553853"/>
    <n v="20"/>
    <d v="1997-12-19T00:00:00"/>
  </r>
  <r>
    <n v="10788"/>
    <x v="0"/>
    <n v="436.99999965727329"/>
    <n v="50"/>
    <d v="1997-12-22T00:00:00"/>
  </r>
  <r>
    <n v="10788"/>
    <x v="1"/>
    <n v="436.99999965727329"/>
    <n v="50"/>
    <d v="1997-12-22T00:00:00"/>
  </r>
  <r>
    <n v="10788"/>
    <x v="2"/>
    <n v="436.99999965727329"/>
    <n v="50"/>
    <d v="1997-12-22T00:00:00"/>
  </r>
  <r>
    <n v="10788"/>
    <x v="3"/>
    <n v="436.99999965727329"/>
    <n v="50"/>
    <d v="1997-12-22T00:00:00"/>
  </r>
  <r>
    <n v="10788"/>
    <x v="4"/>
    <n v="436.99999965727329"/>
    <n v="50"/>
    <d v="1997-12-22T00:00:00"/>
  </r>
  <r>
    <n v="10788"/>
    <x v="5"/>
    <n v="436.99999965727329"/>
    <n v="50"/>
    <d v="1997-12-22T00:00:00"/>
  </r>
  <r>
    <n v="10788"/>
    <x v="6"/>
    <n v="436.99999965727329"/>
    <n v="50"/>
    <d v="1997-12-22T00:00:00"/>
  </r>
  <r>
    <n v="10788"/>
    <x v="7"/>
    <n v="436.99999965727329"/>
    <n v="50"/>
    <d v="1997-12-22T00:00:00"/>
  </r>
  <r>
    <n v="10788"/>
    <x v="0"/>
    <n v="294.499999769032"/>
    <n v="40"/>
    <d v="1997-12-22T00:00:00"/>
  </r>
  <r>
    <n v="10788"/>
    <x v="1"/>
    <n v="294.499999769032"/>
    <n v="40"/>
    <d v="1997-12-22T00:00:00"/>
  </r>
  <r>
    <n v="10788"/>
    <x v="2"/>
    <n v="294.499999769032"/>
    <n v="40"/>
    <d v="1997-12-22T00:00:00"/>
  </r>
  <r>
    <n v="10788"/>
    <x v="3"/>
    <n v="294.499999769032"/>
    <n v="40"/>
    <d v="1997-12-22T00:00:00"/>
  </r>
  <r>
    <n v="10788"/>
    <x v="4"/>
    <n v="294.499999769032"/>
    <n v="40"/>
    <d v="1997-12-22T00:00:00"/>
  </r>
  <r>
    <n v="10788"/>
    <x v="5"/>
    <n v="294.499999769032"/>
    <n v="40"/>
    <d v="1997-12-22T00:00:00"/>
  </r>
  <r>
    <n v="10788"/>
    <x v="6"/>
    <n v="294.499999769032"/>
    <n v="40"/>
    <d v="1997-12-22T00:00:00"/>
  </r>
  <r>
    <n v="10788"/>
    <x v="7"/>
    <n v="294.499999769032"/>
    <n v="40"/>
    <d v="1997-12-22T00:00:00"/>
  </r>
  <r>
    <n v="10789"/>
    <x v="0"/>
    <n v="1875"/>
    <n v="30"/>
    <d v="1997-12-22T00:00:00"/>
  </r>
  <r>
    <n v="10789"/>
    <x v="1"/>
    <n v="1875"/>
    <n v="30"/>
    <d v="1997-12-22T00:00:00"/>
  </r>
  <r>
    <n v="10789"/>
    <x v="2"/>
    <n v="1875"/>
    <n v="30"/>
    <d v="1997-12-22T00:00:00"/>
  </r>
  <r>
    <n v="10789"/>
    <x v="3"/>
    <n v="1875"/>
    <n v="30"/>
    <d v="1997-12-22T00:00:00"/>
  </r>
  <r>
    <n v="10789"/>
    <x v="4"/>
    <n v="1875"/>
    <n v="30"/>
    <d v="1997-12-22T00:00:00"/>
  </r>
  <r>
    <n v="10789"/>
    <x v="5"/>
    <n v="1875"/>
    <n v="30"/>
    <d v="1997-12-22T00:00:00"/>
  </r>
  <r>
    <n v="10789"/>
    <x v="6"/>
    <n v="1875"/>
    <n v="30"/>
    <d v="1997-12-22T00:00:00"/>
  </r>
  <r>
    <n v="10789"/>
    <x v="7"/>
    <n v="1875"/>
    <n v="30"/>
    <d v="1997-12-22T00:00:00"/>
  </r>
  <r>
    <n v="10789"/>
    <x v="0"/>
    <n v="270"/>
    <n v="15"/>
    <d v="1997-12-22T00:00:00"/>
  </r>
  <r>
    <n v="10789"/>
    <x v="1"/>
    <n v="270"/>
    <n v="15"/>
    <d v="1997-12-22T00:00:00"/>
  </r>
  <r>
    <n v="10789"/>
    <x v="2"/>
    <n v="270"/>
    <n v="15"/>
    <d v="1997-12-22T00:00:00"/>
  </r>
  <r>
    <n v="10789"/>
    <x v="3"/>
    <n v="270"/>
    <n v="15"/>
    <d v="1997-12-22T00:00:00"/>
  </r>
  <r>
    <n v="10789"/>
    <x v="4"/>
    <n v="270"/>
    <n v="15"/>
    <d v="1997-12-22T00:00:00"/>
  </r>
  <r>
    <n v="10789"/>
    <x v="5"/>
    <n v="270"/>
    <n v="15"/>
    <d v="1997-12-22T00:00:00"/>
  </r>
  <r>
    <n v="10789"/>
    <x v="6"/>
    <n v="270"/>
    <n v="15"/>
    <d v="1997-12-22T00:00:00"/>
  </r>
  <r>
    <n v="10789"/>
    <x v="7"/>
    <n v="270"/>
    <n v="15"/>
    <d v="1997-12-22T00:00:00"/>
  </r>
  <r>
    <n v="10789"/>
    <x v="0"/>
    <n v="1317"/>
    <n v="30"/>
    <d v="1997-12-22T00:00:00"/>
  </r>
  <r>
    <n v="10789"/>
    <x v="1"/>
    <n v="1317"/>
    <n v="30"/>
    <d v="1997-12-22T00:00:00"/>
  </r>
  <r>
    <n v="10789"/>
    <x v="2"/>
    <n v="1317"/>
    <n v="30"/>
    <d v="1997-12-22T00:00:00"/>
  </r>
  <r>
    <n v="10789"/>
    <x v="3"/>
    <n v="1317"/>
    <n v="30"/>
    <d v="1997-12-22T00:00:00"/>
  </r>
  <r>
    <n v="10789"/>
    <x v="4"/>
    <n v="1317"/>
    <n v="30"/>
    <d v="1997-12-22T00:00:00"/>
  </r>
  <r>
    <n v="10789"/>
    <x v="5"/>
    <n v="1317"/>
    <n v="30"/>
    <d v="1997-12-22T00:00:00"/>
  </r>
  <r>
    <n v="10789"/>
    <x v="6"/>
    <n v="1317"/>
    <n v="30"/>
    <d v="1997-12-22T00:00:00"/>
  </r>
  <r>
    <n v="10789"/>
    <x v="7"/>
    <n v="1317"/>
    <n v="30"/>
    <d v="1997-12-22T00:00:00"/>
  </r>
  <r>
    <n v="10789"/>
    <x v="0"/>
    <n v="225"/>
    <n v="18"/>
    <d v="1997-12-22T00:00:00"/>
  </r>
  <r>
    <n v="10789"/>
    <x v="1"/>
    <n v="225"/>
    <n v="18"/>
    <d v="1997-12-22T00:00:00"/>
  </r>
  <r>
    <n v="10789"/>
    <x v="2"/>
    <n v="225"/>
    <n v="18"/>
    <d v="1997-12-22T00:00:00"/>
  </r>
  <r>
    <n v="10789"/>
    <x v="3"/>
    <n v="225"/>
    <n v="18"/>
    <d v="1997-12-22T00:00:00"/>
  </r>
  <r>
    <n v="10789"/>
    <x v="4"/>
    <n v="225"/>
    <n v="18"/>
    <d v="1997-12-22T00:00:00"/>
  </r>
  <r>
    <n v="10789"/>
    <x v="5"/>
    <n v="225"/>
    <n v="18"/>
    <d v="1997-12-22T00:00:00"/>
  </r>
  <r>
    <n v="10789"/>
    <x v="6"/>
    <n v="225"/>
    <n v="18"/>
    <d v="1997-12-22T00:00:00"/>
  </r>
  <r>
    <n v="10789"/>
    <x v="7"/>
    <n v="225"/>
    <n v="18"/>
    <d v="1997-12-22T00:00:00"/>
  </r>
  <r>
    <n v="10790"/>
    <x v="0"/>
    <n v="76.499999463558197"/>
    <n v="3"/>
    <d v="1997-12-22T00:00:00"/>
  </r>
  <r>
    <n v="10790"/>
    <x v="1"/>
    <n v="76.499999463558197"/>
    <n v="3"/>
    <d v="1997-12-22T00:00:00"/>
  </r>
  <r>
    <n v="10790"/>
    <x v="2"/>
    <n v="76.499999463558197"/>
    <n v="3"/>
    <d v="1997-12-22T00:00:00"/>
  </r>
  <r>
    <n v="10790"/>
    <x v="3"/>
    <n v="76.499999463558197"/>
    <n v="3"/>
    <d v="1997-12-22T00:00:00"/>
  </r>
  <r>
    <n v="10790"/>
    <x v="4"/>
    <n v="76.499999463558197"/>
    <n v="3"/>
    <d v="1997-12-22T00:00:00"/>
  </r>
  <r>
    <n v="10790"/>
    <x v="5"/>
    <n v="76.499999463558197"/>
    <n v="3"/>
    <d v="1997-12-22T00:00:00"/>
  </r>
  <r>
    <n v="10790"/>
    <x v="6"/>
    <n v="76.499999463558197"/>
    <n v="3"/>
    <d v="1997-12-22T00:00:00"/>
  </r>
  <r>
    <n v="10790"/>
    <x v="7"/>
    <n v="76.499999463558197"/>
    <n v="3"/>
    <d v="1997-12-22T00:00:00"/>
  </r>
  <r>
    <n v="10790"/>
    <x v="0"/>
    <n v="645.999995470047"/>
    <n v="20"/>
    <d v="1997-12-22T00:00:00"/>
  </r>
  <r>
    <n v="10790"/>
    <x v="1"/>
    <n v="645.999995470047"/>
    <n v="20"/>
    <d v="1997-12-22T00:00:00"/>
  </r>
  <r>
    <n v="10790"/>
    <x v="2"/>
    <n v="645.999995470047"/>
    <n v="20"/>
    <d v="1997-12-22T00:00:00"/>
  </r>
  <r>
    <n v="10790"/>
    <x v="3"/>
    <n v="645.999995470047"/>
    <n v="20"/>
    <d v="1997-12-22T00:00:00"/>
  </r>
  <r>
    <n v="10790"/>
    <x v="4"/>
    <n v="645.999995470047"/>
    <n v="20"/>
    <d v="1997-12-22T00:00:00"/>
  </r>
  <r>
    <n v="10790"/>
    <x v="5"/>
    <n v="645.999995470047"/>
    <n v="20"/>
    <d v="1997-12-22T00:00:00"/>
  </r>
  <r>
    <n v="10790"/>
    <x v="6"/>
    <n v="645.999995470047"/>
    <n v="20"/>
    <d v="1997-12-22T00:00:00"/>
  </r>
  <r>
    <n v="10790"/>
    <x v="7"/>
    <n v="645.999995470047"/>
    <n v="20"/>
    <d v="1997-12-22T00:00:00"/>
  </r>
  <r>
    <n v="10791"/>
    <x v="0"/>
    <n v="1646.4069987087696"/>
    <n v="14"/>
    <d v="1997-12-23T00:00:00"/>
  </r>
  <r>
    <n v="10791"/>
    <x v="1"/>
    <n v="1646.4069987087696"/>
    <n v="14"/>
    <d v="1997-12-23T00:00:00"/>
  </r>
  <r>
    <n v="10791"/>
    <x v="2"/>
    <n v="1646.4069987087696"/>
    <n v="14"/>
    <d v="1997-12-23T00:00:00"/>
  </r>
  <r>
    <n v="10791"/>
    <x v="3"/>
    <n v="1646.4069987087696"/>
    <n v="14"/>
    <d v="1997-12-23T00:00:00"/>
  </r>
  <r>
    <n v="10791"/>
    <x v="4"/>
    <n v="1646.4069987087696"/>
    <n v="14"/>
    <d v="1997-12-23T00:00:00"/>
  </r>
  <r>
    <n v="10791"/>
    <x v="5"/>
    <n v="1646.4069987087696"/>
    <n v="14"/>
    <d v="1997-12-23T00:00:00"/>
  </r>
  <r>
    <n v="10791"/>
    <x v="6"/>
    <n v="1646.4069987087696"/>
    <n v="14"/>
    <d v="1997-12-23T00:00:00"/>
  </r>
  <r>
    <n v="10791"/>
    <x v="7"/>
    <n v="1646.4069987087696"/>
    <n v="14"/>
    <d v="1997-12-23T00:00:00"/>
  </r>
  <r>
    <n v="10791"/>
    <x v="0"/>
    <n v="183.34999985620379"/>
    <n v="20"/>
    <d v="1997-12-23T00:00:00"/>
  </r>
  <r>
    <n v="10791"/>
    <x v="1"/>
    <n v="183.34999985620379"/>
    <n v="20"/>
    <d v="1997-12-23T00:00:00"/>
  </r>
  <r>
    <n v="10791"/>
    <x v="2"/>
    <n v="183.34999985620379"/>
    <n v="20"/>
    <d v="1997-12-23T00:00:00"/>
  </r>
  <r>
    <n v="10791"/>
    <x v="3"/>
    <n v="183.34999985620379"/>
    <n v="20"/>
    <d v="1997-12-23T00:00:00"/>
  </r>
  <r>
    <n v="10791"/>
    <x v="4"/>
    <n v="183.34999985620379"/>
    <n v="20"/>
    <d v="1997-12-23T00:00:00"/>
  </r>
  <r>
    <n v="10791"/>
    <x v="5"/>
    <n v="183.34999985620379"/>
    <n v="20"/>
    <d v="1997-12-23T00:00:00"/>
  </r>
  <r>
    <n v="10791"/>
    <x v="6"/>
    <n v="183.34999985620379"/>
    <n v="20"/>
    <d v="1997-12-23T00:00:00"/>
  </r>
  <r>
    <n v="10791"/>
    <x v="7"/>
    <n v="183.34999985620379"/>
    <n v="20"/>
    <d v="1997-12-23T00:00:00"/>
  </r>
  <r>
    <n v="10792"/>
    <x v="0"/>
    <n v="190"/>
    <n v="10"/>
    <d v="1997-12-23T00:00:00"/>
  </r>
  <r>
    <n v="10792"/>
    <x v="1"/>
    <n v="190"/>
    <n v="10"/>
    <d v="1997-12-23T00:00:00"/>
  </r>
  <r>
    <n v="10792"/>
    <x v="2"/>
    <n v="190"/>
    <n v="10"/>
    <d v="1997-12-23T00:00:00"/>
  </r>
  <r>
    <n v="10792"/>
    <x v="3"/>
    <n v="190"/>
    <n v="10"/>
    <d v="1997-12-23T00:00:00"/>
  </r>
  <r>
    <n v="10792"/>
    <x v="4"/>
    <n v="190"/>
    <n v="10"/>
    <d v="1997-12-23T00:00:00"/>
  </r>
  <r>
    <n v="10792"/>
    <x v="5"/>
    <n v="190"/>
    <n v="10"/>
    <d v="1997-12-23T00:00:00"/>
  </r>
  <r>
    <n v="10792"/>
    <x v="6"/>
    <n v="190"/>
    <n v="10"/>
    <d v="1997-12-23T00:00:00"/>
  </r>
  <r>
    <n v="10792"/>
    <x v="7"/>
    <n v="190"/>
    <n v="10"/>
    <d v="1997-12-23T00:00:00"/>
  </r>
  <r>
    <n v="10792"/>
    <x v="0"/>
    <n v="22.35"/>
    <n v="3"/>
    <d v="1997-12-23T00:00:00"/>
  </r>
  <r>
    <n v="10792"/>
    <x v="1"/>
    <n v="22.35"/>
    <n v="3"/>
    <d v="1997-12-23T00:00:00"/>
  </r>
  <r>
    <n v="10792"/>
    <x v="2"/>
    <n v="22.35"/>
    <n v="3"/>
    <d v="1997-12-23T00:00:00"/>
  </r>
  <r>
    <n v="10792"/>
    <x v="3"/>
    <n v="22.35"/>
    <n v="3"/>
    <d v="1997-12-23T00:00:00"/>
  </r>
  <r>
    <n v="10792"/>
    <x v="4"/>
    <n v="22.35"/>
    <n v="3"/>
    <d v="1997-12-23T00:00:00"/>
  </r>
  <r>
    <n v="10792"/>
    <x v="5"/>
    <n v="22.35"/>
    <n v="3"/>
    <d v="1997-12-23T00:00:00"/>
  </r>
  <r>
    <n v="10792"/>
    <x v="6"/>
    <n v="22.35"/>
    <n v="3"/>
    <d v="1997-12-23T00:00:00"/>
  </r>
  <r>
    <n v="10792"/>
    <x v="7"/>
    <n v="22.35"/>
    <n v="3"/>
    <d v="1997-12-23T00:00:00"/>
  </r>
  <r>
    <n v="10792"/>
    <x v="0"/>
    <n v="187.5"/>
    <n v="15"/>
    <d v="1997-12-23T00:00:00"/>
  </r>
  <r>
    <n v="10792"/>
    <x v="1"/>
    <n v="187.5"/>
    <n v="15"/>
    <d v="1997-12-23T00:00:00"/>
  </r>
  <r>
    <n v="10792"/>
    <x v="2"/>
    <n v="187.5"/>
    <n v="15"/>
    <d v="1997-12-23T00:00:00"/>
  </r>
  <r>
    <n v="10792"/>
    <x v="3"/>
    <n v="187.5"/>
    <n v="15"/>
    <d v="1997-12-23T00:00:00"/>
  </r>
  <r>
    <n v="10792"/>
    <x v="4"/>
    <n v="187.5"/>
    <n v="15"/>
    <d v="1997-12-23T00:00:00"/>
  </r>
  <r>
    <n v="10792"/>
    <x v="5"/>
    <n v="187.5"/>
    <n v="15"/>
    <d v="1997-12-23T00:00:00"/>
  </r>
  <r>
    <n v="10792"/>
    <x v="6"/>
    <n v="187.5"/>
    <n v="15"/>
    <d v="1997-12-23T00:00:00"/>
  </r>
  <r>
    <n v="10792"/>
    <x v="7"/>
    <n v="187.5"/>
    <n v="15"/>
    <d v="1997-12-23T00:00:00"/>
  </r>
  <r>
    <n v="10793"/>
    <x v="0"/>
    <n v="135.1"/>
    <n v="14"/>
    <d v="1997-12-24T00:00:00"/>
  </r>
  <r>
    <n v="10793"/>
    <x v="1"/>
    <n v="135.1"/>
    <n v="14"/>
    <d v="1997-12-24T00:00:00"/>
  </r>
  <r>
    <n v="10793"/>
    <x v="2"/>
    <n v="135.1"/>
    <n v="14"/>
    <d v="1997-12-24T00:00:00"/>
  </r>
  <r>
    <n v="10793"/>
    <x v="3"/>
    <n v="135.1"/>
    <n v="14"/>
    <d v="1997-12-24T00:00:00"/>
  </r>
  <r>
    <n v="10793"/>
    <x v="4"/>
    <n v="135.1"/>
    <n v="14"/>
    <d v="1997-12-24T00:00:00"/>
  </r>
  <r>
    <n v="10793"/>
    <x v="5"/>
    <n v="135.1"/>
    <n v="14"/>
    <d v="1997-12-24T00:00:00"/>
  </r>
  <r>
    <n v="10793"/>
    <x v="6"/>
    <n v="135.1"/>
    <n v="14"/>
    <d v="1997-12-24T00:00:00"/>
  </r>
  <r>
    <n v="10793"/>
    <x v="7"/>
    <n v="135.1"/>
    <n v="14"/>
    <d v="1997-12-24T00:00:00"/>
  </r>
  <r>
    <n v="10793"/>
    <x v="0"/>
    <n v="56"/>
    <n v="8"/>
    <d v="1997-12-24T00:00:00"/>
  </r>
  <r>
    <n v="10793"/>
    <x v="1"/>
    <n v="56"/>
    <n v="8"/>
    <d v="1997-12-24T00:00:00"/>
  </r>
  <r>
    <n v="10793"/>
    <x v="2"/>
    <n v="56"/>
    <n v="8"/>
    <d v="1997-12-24T00:00:00"/>
  </r>
  <r>
    <n v="10793"/>
    <x v="3"/>
    <n v="56"/>
    <n v="8"/>
    <d v="1997-12-24T00:00:00"/>
  </r>
  <r>
    <n v="10793"/>
    <x v="4"/>
    <n v="56"/>
    <n v="8"/>
    <d v="1997-12-24T00:00:00"/>
  </r>
  <r>
    <n v="10793"/>
    <x v="5"/>
    <n v="56"/>
    <n v="8"/>
    <d v="1997-12-24T00:00:00"/>
  </r>
  <r>
    <n v="10793"/>
    <x v="6"/>
    <n v="56"/>
    <n v="8"/>
    <d v="1997-12-24T00:00:00"/>
  </r>
  <r>
    <n v="10793"/>
    <x v="7"/>
    <n v="56"/>
    <n v="8"/>
    <d v="1997-12-24T00:00:00"/>
  </r>
  <r>
    <n v="10794"/>
    <x v="0"/>
    <n v="278.99999896064401"/>
    <n v="15"/>
    <d v="1997-12-24T00:00:00"/>
  </r>
  <r>
    <n v="10794"/>
    <x v="1"/>
    <n v="278.99999896064401"/>
    <n v="15"/>
    <d v="1997-12-24T00:00:00"/>
  </r>
  <r>
    <n v="10794"/>
    <x v="2"/>
    <n v="278.99999896064401"/>
    <n v="15"/>
    <d v="1997-12-24T00:00:00"/>
  </r>
  <r>
    <n v="10794"/>
    <x v="3"/>
    <n v="278.99999896064401"/>
    <n v="15"/>
    <d v="1997-12-24T00:00:00"/>
  </r>
  <r>
    <n v="10794"/>
    <x v="4"/>
    <n v="278.99999896064401"/>
    <n v="15"/>
    <d v="1997-12-24T00:00:00"/>
  </r>
  <r>
    <n v="10794"/>
    <x v="5"/>
    <n v="278.99999896064401"/>
    <n v="15"/>
    <d v="1997-12-24T00:00:00"/>
  </r>
  <r>
    <n v="10794"/>
    <x v="6"/>
    <n v="278.99999896064401"/>
    <n v="15"/>
    <d v="1997-12-24T00:00:00"/>
  </r>
  <r>
    <n v="10794"/>
    <x v="7"/>
    <n v="278.99999896064401"/>
    <n v="15"/>
    <d v="1997-12-24T00:00:00"/>
  </r>
  <r>
    <n v="10794"/>
    <x v="0"/>
    <n v="35.759999866783623"/>
    <n v="6"/>
    <d v="1997-12-24T00:00:00"/>
  </r>
  <r>
    <n v="10794"/>
    <x v="1"/>
    <n v="35.759999866783623"/>
    <n v="6"/>
    <d v="1997-12-24T00:00:00"/>
  </r>
  <r>
    <n v="10794"/>
    <x v="2"/>
    <n v="35.759999866783623"/>
    <n v="6"/>
    <d v="1997-12-24T00:00:00"/>
  </r>
  <r>
    <n v="10794"/>
    <x v="3"/>
    <n v="35.759999866783623"/>
    <n v="6"/>
    <d v="1997-12-24T00:00:00"/>
  </r>
  <r>
    <n v="10794"/>
    <x v="4"/>
    <n v="35.759999866783623"/>
    <n v="6"/>
    <d v="1997-12-24T00:00:00"/>
  </r>
  <r>
    <n v="10794"/>
    <x v="5"/>
    <n v="35.759999866783623"/>
    <n v="6"/>
    <d v="1997-12-24T00:00:00"/>
  </r>
  <r>
    <n v="10794"/>
    <x v="6"/>
    <n v="35.759999866783623"/>
    <n v="6"/>
    <d v="1997-12-24T00:00:00"/>
  </r>
  <r>
    <n v="10794"/>
    <x v="7"/>
    <n v="35.759999866783623"/>
    <n v="6"/>
    <d v="1997-12-24T00:00:00"/>
  </r>
  <r>
    <n v="10795"/>
    <x v="0"/>
    <n v="1134.25"/>
    <n v="65"/>
    <d v="1997-12-24T00:00:00"/>
  </r>
  <r>
    <n v="10795"/>
    <x v="1"/>
    <n v="1134.25"/>
    <n v="65"/>
    <d v="1997-12-24T00:00:00"/>
  </r>
  <r>
    <n v="10795"/>
    <x v="2"/>
    <n v="1134.25"/>
    <n v="65"/>
    <d v="1997-12-24T00:00:00"/>
  </r>
  <r>
    <n v="10795"/>
    <x v="3"/>
    <n v="1134.25"/>
    <n v="65"/>
    <d v="1997-12-24T00:00:00"/>
  </r>
  <r>
    <n v="10795"/>
    <x v="4"/>
    <n v="1134.25"/>
    <n v="65"/>
    <d v="1997-12-24T00:00:00"/>
  </r>
  <r>
    <n v="10795"/>
    <x v="5"/>
    <n v="1134.25"/>
    <n v="65"/>
    <d v="1997-12-24T00:00:00"/>
  </r>
  <r>
    <n v="10795"/>
    <x v="6"/>
    <n v="1134.25"/>
    <n v="65"/>
    <d v="1997-12-24T00:00:00"/>
  </r>
  <r>
    <n v="10795"/>
    <x v="7"/>
    <n v="1134.25"/>
    <n v="65"/>
    <d v="1997-12-24T00:00:00"/>
  </r>
  <r>
    <n v="10795"/>
    <x v="0"/>
    <n v="1023.75"/>
    <n v="35"/>
    <d v="1997-12-24T00:00:00"/>
  </r>
  <r>
    <n v="10795"/>
    <x v="1"/>
    <n v="1023.75"/>
    <n v="35"/>
    <d v="1997-12-24T00:00:00"/>
  </r>
  <r>
    <n v="10795"/>
    <x v="2"/>
    <n v="1023.75"/>
    <n v="35"/>
    <d v="1997-12-24T00:00:00"/>
  </r>
  <r>
    <n v="10795"/>
    <x v="3"/>
    <n v="1023.75"/>
    <n v="35"/>
    <d v="1997-12-24T00:00:00"/>
  </r>
  <r>
    <n v="10795"/>
    <x v="4"/>
    <n v="1023.75"/>
    <n v="35"/>
    <d v="1997-12-24T00:00:00"/>
  </r>
  <r>
    <n v="10795"/>
    <x v="5"/>
    <n v="1023.75"/>
    <n v="35"/>
    <d v="1997-12-24T00:00:00"/>
  </r>
  <r>
    <n v="10795"/>
    <x v="6"/>
    <n v="1023.75"/>
    <n v="35"/>
    <d v="1997-12-24T00:00:00"/>
  </r>
  <r>
    <n v="10795"/>
    <x v="7"/>
    <n v="1023.75"/>
    <n v="35"/>
    <d v="1997-12-24T00:00:00"/>
  </r>
  <r>
    <n v="10796"/>
    <x v="0"/>
    <n v="524.66399804547427"/>
    <n v="21"/>
    <d v="1997-12-25T00:00:00"/>
  </r>
  <r>
    <n v="10796"/>
    <x v="1"/>
    <n v="524.66399804547427"/>
    <n v="21"/>
    <d v="1997-12-25T00:00:00"/>
  </r>
  <r>
    <n v="10796"/>
    <x v="2"/>
    <n v="524.66399804547427"/>
    <n v="21"/>
    <d v="1997-12-25T00:00:00"/>
  </r>
  <r>
    <n v="10796"/>
    <x v="3"/>
    <n v="524.66399804547427"/>
    <n v="21"/>
    <d v="1997-12-25T00:00:00"/>
  </r>
  <r>
    <n v="10796"/>
    <x v="4"/>
    <n v="524.66399804547427"/>
    <n v="21"/>
    <d v="1997-12-25T00:00:00"/>
  </r>
  <r>
    <n v="10796"/>
    <x v="5"/>
    <n v="524.66399804547427"/>
    <n v="21"/>
    <d v="1997-12-25T00:00:00"/>
  </r>
  <r>
    <n v="10796"/>
    <x v="6"/>
    <n v="524.66399804547427"/>
    <n v="21"/>
    <d v="1997-12-25T00:00:00"/>
  </r>
  <r>
    <n v="10796"/>
    <x v="7"/>
    <n v="524.66399804547427"/>
    <n v="21"/>
    <d v="1997-12-25T00:00:00"/>
  </r>
  <r>
    <n v="10796"/>
    <x v="0"/>
    <n v="194.5"/>
    <n v="10"/>
    <d v="1997-12-25T00:00:00"/>
  </r>
  <r>
    <n v="10796"/>
    <x v="1"/>
    <n v="194.5"/>
    <n v="10"/>
    <d v="1997-12-25T00:00:00"/>
  </r>
  <r>
    <n v="10796"/>
    <x v="2"/>
    <n v="194.5"/>
    <n v="10"/>
    <d v="1997-12-25T00:00:00"/>
  </r>
  <r>
    <n v="10796"/>
    <x v="3"/>
    <n v="194.5"/>
    <n v="10"/>
    <d v="1997-12-25T00:00:00"/>
  </r>
  <r>
    <n v="10796"/>
    <x v="4"/>
    <n v="194.5"/>
    <n v="10"/>
    <d v="1997-12-25T00:00:00"/>
  </r>
  <r>
    <n v="10796"/>
    <x v="5"/>
    <n v="194.5"/>
    <n v="10"/>
    <d v="1997-12-25T00:00:00"/>
  </r>
  <r>
    <n v="10796"/>
    <x v="6"/>
    <n v="194.5"/>
    <n v="10"/>
    <d v="1997-12-25T00:00:00"/>
  </r>
  <r>
    <n v="10796"/>
    <x v="7"/>
    <n v="194.5"/>
    <n v="10"/>
    <d v="1997-12-25T00:00:00"/>
  </r>
  <r>
    <n v="10796"/>
    <x v="0"/>
    <n v="930.99999653175473"/>
    <n v="35"/>
    <d v="1997-12-25T00:00:00"/>
  </r>
  <r>
    <n v="10796"/>
    <x v="1"/>
    <n v="930.99999653175473"/>
    <n v="35"/>
    <d v="1997-12-25T00:00:00"/>
  </r>
  <r>
    <n v="10796"/>
    <x v="2"/>
    <n v="930.99999653175473"/>
    <n v="35"/>
    <d v="1997-12-25T00:00:00"/>
  </r>
  <r>
    <n v="10796"/>
    <x v="3"/>
    <n v="930.99999653175473"/>
    <n v="35"/>
    <d v="1997-12-25T00:00:00"/>
  </r>
  <r>
    <n v="10796"/>
    <x v="4"/>
    <n v="930.99999653175473"/>
    <n v="35"/>
    <d v="1997-12-25T00:00:00"/>
  </r>
  <r>
    <n v="10796"/>
    <x v="5"/>
    <n v="930.99999653175473"/>
    <n v="35"/>
    <d v="1997-12-25T00:00:00"/>
  </r>
  <r>
    <n v="10796"/>
    <x v="6"/>
    <n v="930.99999653175473"/>
    <n v="35"/>
    <d v="1997-12-25T00:00:00"/>
  </r>
  <r>
    <n v="10796"/>
    <x v="7"/>
    <n v="930.99999653175473"/>
    <n v="35"/>
    <d v="1997-12-25T00:00:00"/>
  </r>
  <r>
    <n v="10796"/>
    <x v="0"/>
    <n v="691.19999742507935"/>
    <n v="24"/>
    <d v="1997-12-25T00:00:00"/>
  </r>
  <r>
    <n v="10796"/>
    <x v="1"/>
    <n v="691.19999742507935"/>
    <n v="24"/>
    <d v="1997-12-25T00:00:00"/>
  </r>
  <r>
    <n v="10796"/>
    <x v="2"/>
    <n v="691.19999742507935"/>
    <n v="24"/>
    <d v="1997-12-25T00:00:00"/>
  </r>
  <r>
    <n v="10796"/>
    <x v="3"/>
    <n v="691.19999742507935"/>
    <n v="24"/>
    <d v="1997-12-25T00:00:00"/>
  </r>
  <r>
    <n v="10796"/>
    <x v="4"/>
    <n v="691.19999742507935"/>
    <n v="24"/>
    <d v="1997-12-25T00:00:00"/>
  </r>
  <r>
    <n v="10796"/>
    <x v="5"/>
    <n v="691.19999742507935"/>
    <n v="24"/>
    <d v="1997-12-25T00:00:00"/>
  </r>
  <r>
    <n v="10796"/>
    <x v="6"/>
    <n v="691.19999742507935"/>
    <n v="24"/>
    <d v="1997-12-25T00:00:00"/>
  </r>
  <r>
    <n v="10796"/>
    <x v="7"/>
    <n v="691.19999742507935"/>
    <n v="24"/>
    <d v="1997-12-25T00:00:00"/>
  </r>
  <r>
    <n v="10797"/>
    <x v="0"/>
    <n v="420"/>
    <n v="20"/>
    <d v="1997-12-25T00:00:00"/>
  </r>
  <r>
    <n v="10797"/>
    <x v="1"/>
    <n v="420"/>
    <n v="20"/>
    <d v="1997-12-25T00:00:00"/>
  </r>
  <r>
    <n v="10797"/>
    <x v="2"/>
    <n v="420"/>
    <n v="20"/>
    <d v="1997-12-25T00:00:00"/>
  </r>
  <r>
    <n v="10797"/>
    <x v="3"/>
    <n v="420"/>
    <n v="20"/>
    <d v="1997-12-25T00:00:00"/>
  </r>
  <r>
    <n v="10797"/>
    <x v="4"/>
    <n v="420"/>
    <n v="20"/>
    <d v="1997-12-25T00:00:00"/>
  </r>
  <r>
    <n v="10797"/>
    <x v="5"/>
    <n v="420"/>
    <n v="20"/>
    <d v="1997-12-25T00:00:00"/>
  </r>
  <r>
    <n v="10797"/>
    <x v="6"/>
    <n v="420"/>
    <n v="20"/>
    <d v="1997-12-25T00:00:00"/>
  </r>
  <r>
    <n v="10797"/>
    <x v="7"/>
    <n v="420"/>
    <n v="20"/>
    <d v="1997-12-25T00:00:00"/>
  </r>
  <r>
    <n v="10798"/>
    <x v="0"/>
    <n v="98.6"/>
    <n v="2"/>
    <d v="1997-12-26T00:00:00"/>
  </r>
  <r>
    <n v="10798"/>
    <x v="1"/>
    <n v="98.6"/>
    <n v="2"/>
    <d v="1997-12-26T00:00:00"/>
  </r>
  <r>
    <n v="10798"/>
    <x v="2"/>
    <n v="98.6"/>
    <n v="2"/>
    <d v="1997-12-26T00:00:00"/>
  </r>
  <r>
    <n v="10798"/>
    <x v="3"/>
    <n v="98.6"/>
    <n v="2"/>
    <d v="1997-12-26T00:00:00"/>
  </r>
  <r>
    <n v="10798"/>
    <x v="4"/>
    <n v="98.6"/>
    <n v="2"/>
    <d v="1997-12-26T00:00:00"/>
  </r>
  <r>
    <n v="10798"/>
    <x v="5"/>
    <n v="98.6"/>
    <n v="2"/>
    <d v="1997-12-26T00:00:00"/>
  </r>
  <r>
    <n v="10798"/>
    <x v="6"/>
    <n v="98.6"/>
    <n v="2"/>
    <d v="1997-12-26T00:00:00"/>
  </r>
  <r>
    <n v="10798"/>
    <x v="7"/>
    <n v="98.6"/>
    <n v="2"/>
    <d v="1997-12-26T00:00:00"/>
  </r>
  <r>
    <n v="10798"/>
    <x v="0"/>
    <n v="348"/>
    <n v="10"/>
    <d v="1997-12-26T00:00:00"/>
  </r>
  <r>
    <n v="10798"/>
    <x v="1"/>
    <n v="348"/>
    <n v="10"/>
    <d v="1997-12-26T00:00:00"/>
  </r>
  <r>
    <n v="10798"/>
    <x v="2"/>
    <n v="348"/>
    <n v="10"/>
    <d v="1997-12-26T00:00:00"/>
  </r>
  <r>
    <n v="10798"/>
    <x v="3"/>
    <n v="348"/>
    <n v="10"/>
    <d v="1997-12-26T00:00:00"/>
  </r>
  <r>
    <n v="10798"/>
    <x v="4"/>
    <n v="348"/>
    <n v="10"/>
    <d v="1997-12-26T00:00:00"/>
  </r>
  <r>
    <n v="10798"/>
    <x v="5"/>
    <n v="348"/>
    <n v="10"/>
    <d v="1997-12-26T00:00:00"/>
  </r>
  <r>
    <n v="10798"/>
    <x v="6"/>
    <n v="348"/>
    <n v="10"/>
    <d v="1997-12-26T00:00:00"/>
  </r>
  <r>
    <n v="10798"/>
    <x v="7"/>
    <n v="348"/>
    <n v="10"/>
    <d v="1997-12-26T00:00:00"/>
  </r>
  <r>
    <n v="10799"/>
    <x v="0"/>
    <n v="101.99999928474426"/>
    <n v="20"/>
    <d v="1997-12-26T00:00:00"/>
  </r>
  <r>
    <n v="10799"/>
    <x v="1"/>
    <n v="101.99999928474426"/>
    <n v="20"/>
    <d v="1997-12-26T00:00:00"/>
  </r>
  <r>
    <n v="10799"/>
    <x v="2"/>
    <n v="101.99999928474426"/>
    <n v="20"/>
    <d v="1997-12-26T00:00:00"/>
  </r>
  <r>
    <n v="10799"/>
    <x v="3"/>
    <n v="101.99999928474426"/>
    <n v="20"/>
    <d v="1997-12-26T00:00:00"/>
  </r>
  <r>
    <n v="10799"/>
    <x v="4"/>
    <n v="101.99999928474426"/>
    <n v="20"/>
    <d v="1997-12-26T00:00:00"/>
  </r>
  <r>
    <n v="10799"/>
    <x v="5"/>
    <n v="101.99999928474426"/>
    <n v="20"/>
    <d v="1997-12-26T00:00:00"/>
  </r>
  <r>
    <n v="10799"/>
    <x v="6"/>
    <n v="101.99999928474426"/>
    <n v="20"/>
    <d v="1997-12-26T00:00:00"/>
  </r>
  <r>
    <n v="10799"/>
    <x v="7"/>
    <n v="101.99999928474426"/>
    <n v="20"/>
    <d v="1997-12-26T00:00:00"/>
  </r>
  <r>
    <n v="10799"/>
    <x v="0"/>
    <n v="76.499999463558197"/>
    <n v="20"/>
    <d v="1997-12-26T00:00:00"/>
  </r>
  <r>
    <n v="10799"/>
    <x v="1"/>
    <n v="76.499999463558197"/>
    <n v="20"/>
    <d v="1997-12-26T00:00:00"/>
  </r>
  <r>
    <n v="10799"/>
    <x v="2"/>
    <n v="76.499999463558197"/>
    <n v="20"/>
    <d v="1997-12-26T00:00:00"/>
  </r>
  <r>
    <n v="10799"/>
    <x v="3"/>
    <n v="76.499999463558197"/>
    <n v="20"/>
    <d v="1997-12-26T00:00:00"/>
  </r>
  <r>
    <n v="10799"/>
    <x v="4"/>
    <n v="76.499999463558197"/>
    <n v="20"/>
    <d v="1997-12-26T00:00:00"/>
  </r>
  <r>
    <n v="10799"/>
    <x v="5"/>
    <n v="76.499999463558197"/>
    <n v="20"/>
    <d v="1997-12-26T00:00:00"/>
  </r>
  <r>
    <n v="10799"/>
    <x v="6"/>
    <n v="76.499999463558197"/>
    <n v="20"/>
    <d v="1997-12-26T00:00:00"/>
  </r>
  <r>
    <n v="10799"/>
    <x v="7"/>
    <n v="76.499999463558197"/>
    <n v="20"/>
    <d v="1997-12-26T00:00:00"/>
  </r>
  <r>
    <n v="10799"/>
    <x v="0"/>
    <n v="1375"/>
    <n v="25"/>
    <d v="1997-12-26T00:00:00"/>
  </r>
  <r>
    <n v="10799"/>
    <x v="1"/>
    <n v="1375"/>
    <n v="25"/>
    <d v="1997-12-26T00:00:00"/>
  </r>
  <r>
    <n v="10799"/>
    <x v="2"/>
    <n v="1375"/>
    <n v="25"/>
    <d v="1997-12-26T00:00:00"/>
  </r>
  <r>
    <n v="10799"/>
    <x v="3"/>
    <n v="1375"/>
    <n v="25"/>
    <d v="1997-12-26T00:00:00"/>
  </r>
  <r>
    <n v="10799"/>
    <x v="4"/>
    <n v="1375"/>
    <n v="25"/>
    <d v="1997-12-26T00:00:00"/>
  </r>
  <r>
    <n v="10799"/>
    <x v="5"/>
    <n v="1375"/>
    <n v="25"/>
    <d v="1997-12-26T00:00:00"/>
  </r>
  <r>
    <n v="10799"/>
    <x v="6"/>
    <n v="1375"/>
    <n v="25"/>
    <d v="1997-12-26T00:00:00"/>
  </r>
  <r>
    <n v="10799"/>
    <x v="7"/>
    <n v="1375"/>
    <n v="25"/>
    <d v="1997-12-26T00:00:00"/>
  </r>
  <r>
    <n v="10800"/>
    <x v="0"/>
    <n v="944.99999843537807"/>
    <n v="50"/>
    <d v="1997-12-26T00:00:00"/>
  </r>
  <r>
    <n v="10800"/>
    <x v="1"/>
    <n v="944.99999843537807"/>
    <n v="50"/>
    <d v="1997-12-26T00:00:00"/>
  </r>
  <r>
    <n v="10800"/>
    <x v="2"/>
    <n v="944.99999843537807"/>
    <n v="50"/>
    <d v="1997-12-26T00:00:00"/>
  </r>
  <r>
    <n v="10800"/>
    <x v="3"/>
    <n v="944.99999843537807"/>
    <n v="50"/>
    <d v="1997-12-26T00:00:00"/>
  </r>
  <r>
    <n v="10800"/>
    <x v="4"/>
    <n v="944.99999843537807"/>
    <n v="50"/>
    <d v="1997-12-26T00:00:00"/>
  </r>
  <r>
    <n v="10800"/>
    <x v="5"/>
    <n v="944.99999843537807"/>
    <n v="50"/>
    <d v="1997-12-26T00:00:00"/>
  </r>
  <r>
    <n v="10800"/>
    <x v="6"/>
    <n v="944.99999843537807"/>
    <n v="50"/>
    <d v="1997-12-26T00:00:00"/>
  </r>
  <r>
    <n v="10800"/>
    <x v="7"/>
    <n v="944.99999843537807"/>
    <n v="50"/>
    <d v="1997-12-26T00:00:00"/>
  </r>
  <r>
    <n v="10800"/>
    <x v="0"/>
    <n v="476.99999921023846"/>
    <n v="10"/>
    <d v="1997-12-26T00:00:00"/>
  </r>
  <r>
    <n v="10800"/>
    <x v="1"/>
    <n v="476.99999921023846"/>
    <n v="10"/>
    <d v="1997-12-26T00:00:00"/>
  </r>
  <r>
    <n v="10800"/>
    <x v="2"/>
    <n v="476.99999921023846"/>
    <n v="10"/>
    <d v="1997-12-26T00:00:00"/>
  </r>
  <r>
    <n v="10800"/>
    <x v="3"/>
    <n v="476.99999921023846"/>
    <n v="10"/>
    <d v="1997-12-26T00:00:00"/>
  </r>
  <r>
    <n v="10800"/>
    <x v="4"/>
    <n v="476.99999921023846"/>
    <n v="10"/>
    <d v="1997-12-26T00:00:00"/>
  </r>
  <r>
    <n v="10800"/>
    <x v="5"/>
    <n v="476.99999921023846"/>
    <n v="10"/>
    <d v="1997-12-26T00:00:00"/>
  </r>
  <r>
    <n v="10800"/>
    <x v="6"/>
    <n v="476.99999921023846"/>
    <n v="10"/>
    <d v="1997-12-26T00:00:00"/>
  </r>
  <r>
    <n v="10800"/>
    <x v="7"/>
    <n v="476.99999921023846"/>
    <n v="10"/>
    <d v="1997-12-26T00:00:00"/>
  </r>
  <r>
    <n v="10800"/>
    <x v="0"/>
    <n v="46.934999922290444"/>
    <n v="7"/>
    <d v="1997-12-26T00:00:00"/>
  </r>
  <r>
    <n v="10800"/>
    <x v="1"/>
    <n v="46.934999922290444"/>
    <n v="7"/>
    <d v="1997-12-26T00:00:00"/>
  </r>
  <r>
    <n v="10800"/>
    <x v="2"/>
    <n v="46.934999922290444"/>
    <n v="7"/>
    <d v="1997-12-26T00:00:00"/>
  </r>
  <r>
    <n v="10800"/>
    <x v="3"/>
    <n v="46.934999922290444"/>
    <n v="7"/>
    <d v="1997-12-26T00:00:00"/>
  </r>
  <r>
    <n v="10800"/>
    <x v="4"/>
    <n v="46.934999922290444"/>
    <n v="7"/>
    <d v="1997-12-26T00:00:00"/>
  </r>
  <r>
    <n v="10800"/>
    <x v="5"/>
    <n v="46.934999922290444"/>
    <n v="7"/>
    <d v="1997-12-26T00:00:00"/>
  </r>
  <r>
    <n v="10800"/>
    <x v="6"/>
    <n v="46.934999922290444"/>
    <n v="7"/>
    <d v="1997-12-26T00:00:00"/>
  </r>
  <r>
    <n v="10800"/>
    <x v="7"/>
    <n v="46.934999922290444"/>
    <n v="7"/>
    <d v="1997-12-26T00:00:00"/>
  </r>
  <r>
    <n v="10801"/>
    <x v="0"/>
    <n v="1170"/>
    <n v="40"/>
    <d v="1997-12-29T00:00:00"/>
  </r>
  <r>
    <n v="10801"/>
    <x v="1"/>
    <n v="1170"/>
    <n v="40"/>
    <d v="1997-12-29T00:00:00"/>
  </r>
  <r>
    <n v="10801"/>
    <x v="2"/>
    <n v="1170"/>
    <n v="40"/>
    <d v="1997-12-29T00:00:00"/>
  </r>
  <r>
    <n v="10801"/>
    <x v="3"/>
    <n v="1170"/>
    <n v="40"/>
    <d v="1997-12-29T00:00:00"/>
  </r>
  <r>
    <n v="10801"/>
    <x v="4"/>
    <n v="1170"/>
    <n v="40"/>
    <d v="1997-12-29T00:00:00"/>
  </r>
  <r>
    <n v="10801"/>
    <x v="5"/>
    <n v="1170"/>
    <n v="40"/>
    <d v="1997-12-29T00:00:00"/>
  </r>
  <r>
    <n v="10801"/>
    <x v="6"/>
    <n v="1170"/>
    <n v="40"/>
    <d v="1997-12-29T00:00:00"/>
  </r>
  <r>
    <n v="10801"/>
    <x v="7"/>
    <n v="1170"/>
    <n v="40"/>
    <d v="1997-12-29T00:00:00"/>
  </r>
  <r>
    <n v="10801"/>
    <x v="0"/>
    <n v="1856.8500000000001"/>
    <n v="20"/>
    <d v="1997-12-29T00:00:00"/>
  </r>
  <r>
    <n v="10801"/>
    <x v="1"/>
    <n v="1856.8500000000001"/>
    <n v="20"/>
    <d v="1997-12-29T00:00:00"/>
  </r>
  <r>
    <n v="10801"/>
    <x v="2"/>
    <n v="1856.8500000000001"/>
    <n v="20"/>
    <d v="1997-12-29T00:00:00"/>
  </r>
  <r>
    <n v="10801"/>
    <x v="3"/>
    <n v="1856.8500000000001"/>
    <n v="20"/>
    <d v="1997-12-29T00:00:00"/>
  </r>
  <r>
    <n v="10801"/>
    <x v="4"/>
    <n v="1856.8500000000001"/>
    <n v="20"/>
    <d v="1997-12-29T00:00:00"/>
  </r>
  <r>
    <n v="10801"/>
    <x v="5"/>
    <n v="1856.8500000000001"/>
    <n v="20"/>
    <d v="1997-12-29T00:00:00"/>
  </r>
  <r>
    <n v="10801"/>
    <x v="6"/>
    <n v="1856.8500000000001"/>
    <n v="20"/>
    <d v="1997-12-29T00:00:00"/>
  </r>
  <r>
    <n v="10801"/>
    <x v="7"/>
    <n v="1856.8500000000001"/>
    <n v="20"/>
    <d v="1997-12-29T00:00:00"/>
  </r>
  <r>
    <n v="10802"/>
    <x v="0"/>
    <n v="485.4375"/>
    <n v="25"/>
    <d v="1997-12-29T00:00:00"/>
  </r>
  <r>
    <n v="10802"/>
    <x v="1"/>
    <n v="485.4375"/>
    <n v="25"/>
    <d v="1997-12-29T00:00:00"/>
  </r>
  <r>
    <n v="10802"/>
    <x v="2"/>
    <n v="485.4375"/>
    <n v="25"/>
    <d v="1997-12-29T00:00:00"/>
  </r>
  <r>
    <n v="10802"/>
    <x v="3"/>
    <n v="485.4375"/>
    <n v="25"/>
    <d v="1997-12-29T00:00:00"/>
  </r>
  <r>
    <n v="10802"/>
    <x v="4"/>
    <n v="485.4375"/>
    <n v="25"/>
    <d v="1997-12-29T00:00:00"/>
  </r>
  <r>
    <n v="10802"/>
    <x v="5"/>
    <n v="485.4375"/>
    <n v="25"/>
    <d v="1997-12-29T00:00:00"/>
  </r>
  <r>
    <n v="10802"/>
    <x v="6"/>
    <n v="485.4375"/>
    <n v="25"/>
    <d v="1997-12-29T00:00:00"/>
  </r>
  <r>
    <n v="10802"/>
    <x v="7"/>
    <n v="485.4375"/>
    <n v="25"/>
    <d v="1997-12-29T00:00:00"/>
  </r>
  <r>
    <n v="10802"/>
    <x v="0"/>
    <n v="1192.5"/>
    <n v="30"/>
    <d v="1997-12-29T00:00:00"/>
  </r>
  <r>
    <n v="10802"/>
    <x v="1"/>
    <n v="1192.5"/>
    <n v="30"/>
    <d v="1997-12-29T00:00:00"/>
  </r>
  <r>
    <n v="10802"/>
    <x v="2"/>
    <n v="1192.5"/>
    <n v="30"/>
    <d v="1997-12-29T00:00:00"/>
  </r>
  <r>
    <n v="10802"/>
    <x v="3"/>
    <n v="1192.5"/>
    <n v="30"/>
    <d v="1997-12-29T00:00:00"/>
  </r>
  <r>
    <n v="10802"/>
    <x v="4"/>
    <n v="1192.5"/>
    <n v="30"/>
    <d v="1997-12-29T00:00:00"/>
  </r>
  <r>
    <n v="10802"/>
    <x v="5"/>
    <n v="1192.5"/>
    <n v="30"/>
    <d v="1997-12-29T00:00:00"/>
  </r>
  <r>
    <n v="10802"/>
    <x v="6"/>
    <n v="1192.5"/>
    <n v="30"/>
    <d v="1997-12-29T00:00:00"/>
  </r>
  <r>
    <n v="10802"/>
    <x v="7"/>
    <n v="1192.5"/>
    <n v="30"/>
    <d v="1997-12-29T00:00:00"/>
  </r>
  <r>
    <n v="10802"/>
    <x v="0"/>
    <n v="1080"/>
    <n v="60"/>
    <d v="1997-12-29T00:00:00"/>
  </r>
  <r>
    <n v="10802"/>
    <x v="1"/>
    <n v="1080"/>
    <n v="60"/>
    <d v="1997-12-29T00:00:00"/>
  </r>
  <r>
    <n v="10802"/>
    <x v="2"/>
    <n v="1080"/>
    <n v="60"/>
    <d v="1997-12-29T00:00:00"/>
  </r>
  <r>
    <n v="10802"/>
    <x v="3"/>
    <n v="1080"/>
    <n v="60"/>
    <d v="1997-12-29T00:00:00"/>
  </r>
  <r>
    <n v="10802"/>
    <x v="4"/>
    <n v="1080"/>
    <n v="60"/>
    <d v="1997-12-29T00:00:00"/>
  </r>
  <r>
    <n v="10802"/>
    <x v="5"/>
    <n v="1080"/>
    <n v="60"/>
    <d v="1997-12-29T00:00:00"/>
  </r>
  <r>
    <n v="10802"/>
    <x v="6"/>
    <n v="1080"/>
    <n v="60"/>
    <d v="1997-12-29T00:00:00"/>
  </r>
  <r>
    <n v="10802"/>
    <x v="7"/>
    <n v="1080"/>
    <n v="60"/>
    <d v="1997-12-29T00:00:00"/>
  </r>
  <r>
    <n v="10802"/>
    <x v="0"/>
    <n v="184.875"/>
    <n v="5"/>
    <d v="1997-12-29T00:00:00"/>
  </r>
  <r>
    <n v="10802"/>
    <x v="1"/>
    <n v="184.875"/>
    <n v="5"/>
    <d v="1997-12-29T00:00:00"/>
  </r>
  <r>
    <n v="10802"/>
    <x v="2"/>
    <n v="184.875"/>
    <n v="5"/>
    <d v="1997-12-29T00:00:00"/>
  </r>
  <r>
    <n v="10802"/>
    <x v="3"/>
    <n v="184.875"/>
    <n v="5"/>
    <d v="1997-12-29T00:00:00"/>
  </r>
  <r>
    <n v="10802"/>
    <x v="4"/>
    <n v="184.875"/>
    <n v="5"/>
    <d v="1997-12-29T00:00:00"/>
  </r>
  <r>
    <n v="10802"/>
    <x v="5"/>
    <n v="184.875"/>
    <n v="5"/>
    <d v="1997-12-29T00:00:00"/>
  </r>
  <r>
    <n v="10802"/>
    <x v="6"/>
    <n v="184.875"/>
    <n v="5"/>
    <d v="1997-12-29T00:00:00"/>
  </r>
  <r>
    <n v="10802"/>
    <x v="7"/>
    <n v="184.875"/>
    <n v="5"/>
    <d v="1997-12-29T00:00:00"/>
  </r>
  <r>
    <n v="10803"/>
    <x v="0"/>
    <n v="209.75999983549119"/>
    <n v="24"/>
    <d v="1997-12-30T00:00:00"/>
  </r>
  <r>
    <n v="10803"/>
    <x v="1"/>
    <n v="209.75999983549119"/>
    <n v="24"/>
    <d v="1997-12-30T00:00:00"/>
  </r>
  <r>
    <n v="10803"/>
    <x v="2"/>
    <n v="209.75999983549119"/>
    <n v="24"/>
    <d v="1997-12-30T00:00:00"/>
  </r>
  <r>
    <n v="10803"/>
    <x v="3"/>
    <n v="209.75999983549119"/>
    <n v="24"/>
    <d v="1997-12-30T00:00:00"/>
  </r>
  <r>
    <n v="10803"/>
    <x v="4"/>
    <n v="209.75999983549119"/>
    <n v="24"/>
    <d v="1997-12-30T00:00:00"/>
  </r>
  <r>
    <n v="10803"/>
    <x v="5"/>
    <n v="209.75999983549119"/>
    <n v="24"/>
    <d v="1997-12-30T00:00:00"/>
  </r>
  <r>
    <n v="10803"/>
    <x v="6"/>
    <n v="209.75999983549119"/>
    <n v="24"/>
    <d v="1997-12-30T00:00:00"/>
  </r>
  <r>
    <n v="10803"/>
    <x v="7"/>
    <n v="209.75999983549119"/>
    <n v="24"/>
    <d v="1997-12-30T00:00:00"/>
  </r>
  <r>
    <n v="10803"/>
    <x v="0"/>
    <n v="199.49999984353781"/>
    <n v="15"/>
    <d v="1997-12-30T00:00:00"/>
  </r>
  <r>
    <n v="10803"/>
    <x v="1"/>
    <n v="199.49999984353781"/>
    <n v="15"/>
    <d v="1997-12-30T00:00:00"/>
  </r>
  <r>
    <n v="10803"/>
    <x v="2"/>
    <n v="199.49999984353781"/>
    <n v="15"/>
    <d v="1997-12-30T00:00:00"/>
  </r>
  <r>
    <n v="10803"/>
    <x v="3"/>
    <n v="199.49999984353781"/>
    <n v="15"/>
    <d v="1997-12-30T00:00:00"/>
  </r>
  <r>
    <n v="10803"/>
    <x v="4"/>
    <n v="199.49999984353781"/>
    <n v="15"/>
    <d v="1997-12-30T00:00:00"/>
  </r>
  <r>
    <n v="10803"/>
    <x v="5"/>
    <n v="199.49999984353781"/>
    <n v="15"/>
    <d v="1997-12-30T00:00:00"/>
  </r>
  <r>
    <n v="10803"/>
    <x v="6"/>
    <n v="199.49999984353781"/>
    <n v="15"/>
    <d v="1997-12-30T00:00:00"/>
  </r>
  <r>
    <n v="10803"/>
    <x v="7"/>
    <n v="199.49999984353781"/>
    <n v="15"/>
    <d v="1997-12-30T00:00:00"/>
  </r>
  <r>
    <n v="10803"/>
    <x v="0"/>
    <n v="783.7499993853271"/>
    <n v="15"/>
    <d v="1997-12-30T00:00:00"/>
  </r>
  <r>
    <n v="10803"/>
    <x v="1"/>
    <n v="783.7499993853271"/>
    <n v="15"/>
    <d v="1997-12-30T00:00:00"/>
  </r>
  <r>
    <n v="10803"/>
    <x v="2"/>
    <n v="783.7499993853271"/>
    <n v="15"/>
    <d v="1997-12-30T00:00:00"/>
  </r>
  <r>
    <n v="10803"/>
    <x v="3"/>
    <n v="783.7499993853271"/>
    <n v="15"/>
    <d v="1997-12-30T00:00:00"/>
  </r>
  <r>
    <n v="10803"/>
    <x v="4"/>
    <n v="783.7499993853271"/>
    <n v="15"/>
    <d v="1997-12-30T00:00:00"/>
  </r>
  <r>
    <n v="10803"/>
    <x v="5"/>
    <n v="783.7499993853271"/>
    <n v="15"/>
    <d v="1997-12-30T00:00:00"/>
  </r>
  <r>
    <n v="10803"/>
    <x v="6"/>
    <n v="783.7499993853271"/>
    <n v="15"/>
    <d v="1997-12-30T00:00:00"/>
  </r>
  <r>
    <n v="10803"/>
    <x v="7"/>
    <n v="783.7499993853271"/>
    <n v="15"/>
    <d v="1997-12-30T00:00:00"/>
  </r>
  <r>
    <n v="10804"/>
    <x v="0"/>
    <n v="1116"/>
    <n v="36"/>
    <d v="1997-12-30T00:00:00"/>
  </r>
  <r>
    <n v="10804"/>
    <x v="1"/>
    <n v="1116"/>
    <n v="36"/>
    <d v="1997-12-30T00:00:00"/>
  </r>
  <r>
    <n v="10804"/>
    <x v="2"/>
    <n v="1116"/>
    <n v="36"/>
    <d v="1997-12-30T00:00:00"/>
  </r>
  <r>
    <n v="10804"/>
    <x v="3"/>
    <n v="1116"/>
    <n v="36"/>
    <d v="1997-12-30T00:00:00"/>
  </r>
  <r>
    <n v="10804"/>
    <x v="4"/>
    <n v="1116"/>
    <n v="36"/>
    <d v="1997-12-30T00:00:00"/>
  </r>
  <r>
    <n v="10804"/>
    <x v="5"/>
    <n v="1116"/>
    <n v="36"/>
    <d v="1997-12-30T00:00:00"/>
  </r>
  <r>
    <n v="10804"/>
    <x v="6"/>
    <n v="1116"/>
    <n v="36"/>
    <d v="1997-12-30T00:00:00"/>
  </r>
  <r>
    <n v="10804"/>
    <x v="7"/>
    <n v="1116"/>
    <n v="36"/>
    <d v="1997-12-30T00:00:00"/>
  </r>
  <r>
    <n v="10804"/>
    <x v="0"/>
    <n v="1094.4000000000001"/>
    <n v="24"/>
    <d v="1997-12-30T00:00:00"/>
  </r>
  <r>
    <n v="10804"/>
    <x v="1"/>
    <n v="1094.4000000000001"/>
    <n v="24"/>
    <d v="1997-12-30T00:00:00"/>
  </r>
  <r>
    <n v="10804"/>
    <x v="2"/>
    <n v="1094.4000000000001"/>
    <n v="24"/>
    <d v="1997-12-30T00:00:00"/>
  </r>
  <r>
    <n v="10804"/>
    <x v="3"/>
    <n v="1094.4000000000001"/>
    <n v="24"/>
    <d v="1997-12-30T00:00:00"/>
  </r>
  <r>
    <n v="10804"/>
    <x v="4"/>
    <n v="1094.4000000000001"/>
    <n v="24"/>
    <d v="1997-12-30T00:00:00"/>
  </r>
  <r>
    <n v="10804"/>
    <x v="5"/>
    <n v="1094.4000000000001"/>
    <n v="24"/>
    <d v="1997-12-30T00:00:00"/>
  </r>
  <r>
    <n v="10804"/>
    <x v="6"/>
    <n v="1094.4000000000001"/>
    <n v="24"/>
    <d v="1997-12-30T00:00:00"/>
  </r>
  <r>
    <n v="10804"/>
    <x v="7"/>
    <n v="1094.4000000000001"/>
    <n v="24"/>
    <d v="1997-12-30T00:00:00"/>
  </r>
  <r>
    <n v="10804"/>
    <x v="0"/>
    <n v="67.999999523162842"/>
    <n v="4"/>
    <d v="1997-12-30T00:00:00"/>
  </r>
  <r>
    <n v="10804"/>
    <x v="1"/>
    <n v="67.999999523162842"/>
    <n v="4"/>
    <d v="1997-12-30T00:00:00"/>
  </r>
  <r>
    <n v="10804"/>
    <x v="2"/>
    <n v="67.999999523162842"/>
    <n v="4"/>
    <d v="1997-12-30T00:00:00"/>
  </r>
  <r>
    <n v="10804"/>
    <x v="3"/>
    <n v="67.999999523162842"/>
    <n v="4"/>
    <d v="1997-12-30T00:00:00"/>
  </r>
  <r>
    <n v="10804"/>
    <x v="4"/>
    <n v="67.999999523162842"/>
    <n v="4"/>
    <d v="1997-12-30T00:00:00"/>
  </r>
  <r>
    <n v="10804"/>
    <x v="5"/>
    <n v="67.999999523162842"/>
    <n v="4"/>
    <d v="1997-12-30T00:00:00"/>
  </r>
  <r>
    <n v="10804"/>
    <x v="6"/>
    <n v="67.999999523162842"/>
    <n v="4"/>
    <d v="1997-12-30T00:00:00"/>
  </r>
  <r>
    <n v="10804"/>
    <x v="7"/>
    <n v="67.999999523162842"/>
    <n v="4"/>
    <d v="1997-12-30T00:00:00"/>
  </r>
  <r>
    <n v="10805"/>
    <x v="0"/>
    <n v="140"/>
    <n v="10"/>
    <d v="1997-12-30T00:00:00"/>
  </r>
  <r>
    <n v="10805"/>
    <x v="1"/>
    <n v="140"/>
    <n v="10"/>
    <d v="1997-12-30T00:00:00"/>
  </r>
  <r>
    <n v="10805"/>
    <x v="2"/>
    <n v="140"/>
    <n v="10"/>
    <d v="1997-12-30T00:00:00"/>
  </r>
  <r>
    <n v="10805"/>
    <x v="3"/>
    <n v="140"/>
    <n v="10"/>
    <d v="1997-12-30T00:00:00"/>
  </r>
  <r>
    <n v="10805"/>
    <x v="4"/>
    <n v="140"/>
    <n v="10"/>
    <d v="1997-12-30T00:00:00"/>
  </r>
  <r>
    <n v="10805"/>
    <x v="5"/>
    <n v="140"/>
    <n v="10"/>
    <d v="1997-12-30T00:00:00"/>
  </r>
  <r>
    <n v="10805"/>
    <x v="6"/>
    <n v="140"/>
    <n v="10"/>
    <d v="1997-12-30T00:00:00"/>
  </r>
  <r>
    <n v="10805"/>
    <x v="7"/>
    <n v="140"/>
    <n v="10"/>
    <d v="1997-12-30T00:00:00"/>
  </r>
  <r>
    <n v="10805"/>
    <x v="0"/>
    <n v="2635"/>
    <n v="10"/>
    <d v="1997-12-30T00:00:00"/>
  </r>
  <r>
    <n v="10805"/>
    <x v="1"/>
    <n v="2635"/>
    <n v="10"/>
    <d v="1997-12-30T00:00:00"/>
  </r>
  <r>
    <n v="10805"/>
    <x v="2"/>
    <n v="2635"/>
    <n v="10"/>
    <d v="1997-12-30T00:00:00"/>
  </r>
  <r>
    <n v="10805"/>
    <x v="3"/>
    <n v="2635"/>
    <n v="10"/>
    <d v="1997-12-30T00:00:00"/>
  </r>
  <r>
    <n v="10805"/>
    <x v="4"/>
    <n v="2635"/>
    <n v="10"/>
    <d v="1997-12-30T00:00:00"/>
  </r>
  <r>
    <n v="10805"/>
    <x v="5"/>
    <n v="2635"/>
    <n v="10"/>
    <d v="1997-12-30T00:00:00"/>
  </r>
  <r>
    <n v="10805"/>
    <x v="6"/>
    <n v="2635"/>
    <n v="10"/>
    <d v="1997-12-30T00:00:00"/>
  </r>
  <r>
    <n v="10805"/>
    <x v="7"/>
    <n v="2635"/>
    <n v="10"/>
    <d v="1997-12-30T00:00:00"/>
  </r>
  <r>
    <n v="10806"/>
    <x v="0"/>
    <n v="285"/>
    <n v="20"/>
    <d v="1997-12-31T00:00:00"/>
  </r>
  <r>
    <n v="10806"/>
    <x v="1"/>
    <n v="285"/>
    <n v="20"/>
    <d v="1997-12-31T00:00:00"/>
  </r>
  <r>
    <n v="10806"/>
    <x v="2"/>
    <n v="285"/>
    <n v="20"/>
    <d v="1997-12-31T00:00:00"/>
  </r>
  <r>
    <n v="10806"/>
    <x v="3"/>
    <n v="285"/>
    <n v="20"/>
    <d v="1997-12-31T00:00:00"/>
  </r>
  <r>
    <n v="10806"/>
    <x v="4"/>
    <n v="285"/>
    <n v="20"/>
    <d v="1997-12-31T00:00:00"/>
  </r>
  <r>
    <n v="10806"/>
    <x v="5"/>
    <n v="285"/>
    <n v="20"/>
    <d v="1997-12-31T00:00:00"/>
  </r>
  <r>
    <n v="10806"/>
    <x v="6"/>
    <n v="285"/>
    <n v="20"/>
    <d v="1997-12-31T00:00:00"/>
  </r>
  <r>
    <n v="10806"/>
    <x v="7"/>
    <n v="285"/>
    <n v="20"/>
    <d v="1997-12-31T00:00:00"/>
  </r>
  <r>
    <n v="10806"/>
    <x v="0"/>
    <n v="42.1"/>
    <n v="2"/>
    <d v="1997-12-31T00:00:00"/>
  </r>
  <r>
    <n v="10806"/>
    <x v="1"/>
    <n v="42.1"/>
    <n v="2"/>
    <d v="1997-12-31T00:00:00"/>
  </r>
  <r>
    <n v="10806"/>
    <x v="2"/>
    <n v="42.1"/>
    <n v="2"/>
    <d v="1997-12-31T00:00:00"/>
  </r>
  <r>
    <n v="10806"/>
    <x v="3"/>
    <n v="42.1"/>
    <n v="2"/>
    <d v="1997-12-31T00:00:00"/>
  </r>
  <r>
    <n v="10806"/>
    <x v="4"/>
    <n v="42.1"/>
    <n v="2"/>
    <d v="1997-12-31T00:00:00"/>
  </r>
  <r>
    <n v="10806"/>
    <x v="5"/>
    <n v="42.1"/>
    <n v="2"/>
    <d v="1997-12-31T00:00:00"/>
  </r>
  <r>
    <n v="10806"/>
    <x v="6"/>
    <n v="42.1"/>
    <n v="2"/>
    <d v="1997-12-31T00:00:00"/>
  </r>
  <r>
    <n v="10806"/>
    <x v="7"/>
    <n v="42.1"/>
    <n v="2"/>
    <d v="1997-12-31T00:00:00"/>
  </r>
  <r>
    <n v="10806"/>
    <x v="0"/>
    <n v="112.5"/>
    <n v="15"/>
    <d v="1997-12-31T00:00:00"/>
  </r>
  <r>
    <n v="10806"/>
    <x v="1"/>
    <n v="112.5"/>
    <n v="15"/>
    <d v="1997-12-31T00:00:00"/>
  </r>
  <r>
    <n v="10806"/>
    <x v="2"/>
    <n v="112.5"/>
    <n v="15"/>
    <d v="1997-12-31T00:00:00"/>
  </r>
  <r>
    <n v="10806"/>
    <x v="3"/>
    <n v="112.5"/>
    <n v="15"/>
    <d v="1997-12-31T00:00:00"/>
  </r>
  <r>
    <n v="10806"/>
    <x v="4"/>
    <n v="112.5"/>
    <n v="15"/>
    <d v="1997-12-31T00:00:00"/>
  </r>
  <r>
    <n v="10806"/>
    <x v="5"/>
    <n v="112.5"/>
    <n v="15"/>
    <d v="1997-12-31T00:00:00"/>
  </r>
  <r>
    <n v="10806"/>
    <x v="6"/>
    <n v="112.5"/>
    <n v="15"/>
    <d v="1997-12-31T00:00:00"/>
  </r>
  <r>
    <n v="10806"/>
    <x v="7"/>
    <n v="112.5"/>
    <n v="15"/>
    <d v="1997-12-31T00:00:00"/>
  </r>
  <r>
    <n v="10807"/>
    <x v="0"/>
    <n v="18.399999999999999"/>
    <n v="1"/>
    <d v="1997-12-31T00:00:00"/>
  </r>
  <r>
    <n v="10807"/>
    <x v="1"/>
    <n v="18.399999999999999"/>
    <n v="1"/>
    <d v="1997-12-31T00:00:00"/>
  </r>
  <r>
    <n v="10807"/>
    <x v="2"/>
    <n v="18.399999999999999"/>
    <n v="1"/>
    <d v="1997-12-31T00:00:00"/>
  </r>
  <r>
    <n v="10807"/>
    <x v="3"/>
    <n v="18.399999999999999"/>
    <n v="1"/>
    <d v="1997-12-31T00:00:00"/>
  </r>
  <r>
    <n v="10807"/>
    <x v="4"/>
    <n v="18.399999999999999"/>
    <n v="1"/>
    <d v="1997-12-31T00:00:00"/>
  </r>
  <r>
    <n v="10807"/>
    <x v="5"/>
    <n v="18.399999999999999"/>
    <n v="1"/>
    <d v="1997-12-31T00:00:00"/>
  </r>
  <r>
    <n v="10807"/>
    <x v="6"/>
    <n v="18.399999999999999"/>
    <n v="1"/>
    <d v="1997-12-31T00:00:00"/>
  </r>
  <r>
    <n v="10807"/>
    <x v="7"/>
    <n v="18.399999999999999"/>
    <n v="1"/>
    <d v="1997-12-31T00:00:00"/>
  </r>
  <r>
    <n v="10808"/>
    <x v="0"/>
    <n v="645.999995470047"/>
    <n v="20"/>
    <d v="1998-01-01T00:00:00"/>
  </r>
  <r>
    <n v="10808"/>
    <x v="1"/>
    <n v="645.999995470047"/>
    <n v="20"/>
    <d v="1998-01-01T00:00:00"/>
  </r>
  <r>
    <n v="10808"/>
    <x v="2"/>
    <n v="645.999995470047"/>
    <n v="20"/>
    <d v="1998-01-01T00:00:00"/>
  </r>
  <r>
    <n v="10808"/>
    <x v="3"/>
    <n v="645.999995470047"/>
    <n v="20"/>
    <d v="1998-01-01T00:00:00"/>
  </r>
  <r>
    <n v="10808"/>
    <x v="4"/>
    <n v="645.999995470047"/>
    <n v="20"/>
    <d v="1998-01-01T00:00:00"/>
  </r>
  <r>
    <n v="10808"/>
    <x v="5"/>
    <n v="645.999995470047"/>
    <n v="20"/>
    <d v="1998-01-01T00:00:00"/>
  </r>
  <r>
    <n v="10808"/>
    <x v="6"/>
    <n v="645.999995470047"/>
    <n v="20"/>
    <d v="1998-01-01T00:00:00"/>
  </r>
  <r>
    <n v="10808"/>
    <x v="7"/>
    <n v="645.999995470047"/>
    <n v="20"/>
    <d v="1998-01-01T00:00:00"/>
  </r>
  <r>
    <n v="10808"/>
    <x v="0"/>
    <n v="764.99999463558197"/>
    <n v="50"/>
    <d v="1998-01-01T00:00:00"/>
  </r>
  <r>
    <n v="10808"/>
    <x v="1"/>
    <n v="764.99999463558197"/>
    <n v="50"/>
    <d v="1998-01-01T00:00:00"/>
  </r>
  <r>
    <n v="10808"/>
    <x v="2"/>
    <n v="764.99999463558197"/>
    <n v="50"/>
    <d v="1998-01-01T00:00:00"/>
  </r>
  <r>
    <n v="10808"/>
    <x v="3"/>
    <n v="764.99999463558197"/>
    <n v="50"/>
    <d v="1998-01-01T00:00:00"/>
  </r>
  <r>
    <n v="10808"/>
    <x v="4"/>
    <n v="764.99999463558197"/>
    <n v="50"/>
    <d v="1998-01-01T00:00:00"/>
  </r>
  <r>
    <n v="10808"/>
    <x v="5"/>
    <n v="764.99999463558197"/>
    <n v="50"/>
    <d v="1998-01-01T00:00:00"/>
  </r>
  <r>
    <n v="10808"/>
    <x v="6"/>
    <n v="764.99999463558197"/>
    <n v="50"/>
    <d v="1998-01-01T00:00:00"/>
  </r>
  <r>
    <n v="10808"/>
    <x v="7"/>
    <n v="764.99999463558197"/>
    <n v="50"/>
    <d v="1998-01-01T00:00:00"/>
  </r>
  <r>
    <n v="10809"/>
    <x v="0"/>
    <n v="140"/>
    <n v="20"/>
    <d v="1998-01-01T00:00:00"/>
  </r>
  <r>
    <n v="10809"/>
    <x v="1"/>
    <n v="140"/>
    <n v="20"/>
    <d v="1998-01-01T00:00:00"/>
  </r>
  <r>
    <n v="10809"/>
    <x v="2"/>
    <n v="140"/>
    <n v="20"/>
    <d v="1998-01-01T00:00:00"/>
  </r>
  <r>
    <n v="10809"/>
    <x v="3"/>
    <n v="140"/>
    <n v="20"/>
    <d v="1998-01-01T00:00:00"/>
  </r>
  <r>
    <n v="10809"/>
    <x v="4"/>
    <n v="140"/>
    <n v="20"/>
    <d v="1998-01-01T00:00:00"/>
  </r>
  <r>
    <n v="10809"/>
    <x v="5"/>
    <n v="140"/>
    <n v="20"/>
    <d v="1998-01-01T00:00:00"/>
  </r>
  <r>
    <n v="10809"/>
    <x v="6"/>
    <n v="140"/>
    <n v="20"/>
    <d v="1998-01-01T00:00:00"/>
  </r>
  <r>
    <n v="10809"/>
    <x v="7"/>
    <n v="140"/>
    <n v="20"/>
    <d v="1998-01-01T00:00:00"/>
  </r>
  <r>
    <n v="10810"/>
    <x v="0"/>
    <n v="42"/>
    <n v="7"/>
    <d v="1998-01-01T00:00:00"/>
  </r>
  <r>
    <n v="10810"/>
    <x v="1"/>
    <n v="42"/>
    <n v="7"/>
    <d v="1998-01-01T00:00:00"/>
  </r>
  <r>
    <n v="10810"/>
    <x v="2"/>
    <n v="42"/>
    <n v="7"/>
    <d v="1998-01-01T00:00:00"/>
  </r>
  <r>
    <n v="10810"/>
    <x v="3"/>
    <n v="42"/>
    <n v="7"/>
    <d v="1998-01-01T00:00:00"/>
  </r>
  <r>
    <n v="10810"/>
    <x v="4"/>
    <n v="42"/>
    <n v="7"/>
    <d v="1998-01-01T00:00:00"/>
  </r>
  <r>
    <n v="10810"/>
    <x v="5"/>
    <n v="42"/>
    <n v="7"/>
    <d v="1998-01-01T00:00:00"/>
  </r>
  <r>
    <n v="10810"/>
    <x v="6"/>
    <n v="42"/>
    <n v="7"/>
    <d v="1998-01-01T00:00:00"/>
  </r>
  <r>
    <n v="10810"/>
    <x v="7"/>
    <n v="42"/>
    <n v="7"/>
    <d v="1998-01-01T00:00:00"/>
  </r>
  <r>
    <n v="10810"/>
    <x v="0"/>
    <n v="70"/>
    <n v="5"/>
    <d v="1998-01-01T00:00:00"/>
  </r>
  <r>
    <n v="10810"/>
    <x v="1"/>
    <n v="70"/>
    <n v="5"/>
    <d v="1998-01-01T00:00:00"/>
  </r>
  <r>
    <n v="10810"/>
    <x v="2"/>
    <n v="70"/>
    <n v="5"/>
    <d v="1998-01-01T00:00:00"/>
  </r>
  <r>
    <n v="10810"/>
    <x v="3"/>
    <n v="70"/>
    <n v="5"/>
    <d v="1998-01-01T00:00:00"/>
  </r>
  <r>
    <n v="10810"/>
    <x v="4"/>
    <n v="70"/>
    <n v="5"/>
    <d v="1998-01-01T00:00:00"/>
  </r>
  <r>
    <n v="10810"/>
    <x v="5"/>
    <n v="70"/>
    <n v="5"/>
    <d v="1998-01-01T00:00:00"/>
  </r>
  <r>
    <n v="10810"/>
    <x v="6"/>
    <n v="70"/>
    <n v="5"/>
    <d v="1998-01-01T00:00:00"/>
  </r>
  <r>
    <n v="10810"/>
    <x v="7"/>
    <n v="70"/>
    <n v="5"/>
    <d v="1998-01-01T00:00:00"/>
  </r>
  <r>
    <n v="10810"/>
    <x v="0"/>
    <n v="75"/>
    <n v="5"/>
    <d v="1998-01-01T00:00:00"/>
  </r>
  <r>
    <n v="10810"/>
    <x v="1"/>
    <n v="75"/>
    <n v="5"/>
    <d v="1998-01-01T00:00:00"/>
  </r>
  <r>
    <n v="10810"/>
    <x v="2"/>
    <n v="75"/>
    <n v="5"/>
    <d v="1998-01-01T00:00:00"/>
  </r>
  <r>
    <n v="10810"/>
    <x v="3"/>
    <n v="75"/>
    <n v="5"/>
    <d v="1998-01-01T00:00:00"/>
  </r>
  <r>
    <n v="10810"/>
    <x v="4"/>
    <n v="75"/>
    <n v="5"/>
    <d v="1998-01-01T00:00:00"/>
  </r>
  <r>
    <n v="10810"/>
    <x v="5"/>
    <n v="75"/>
    <n v="5"/>
    <d v="1998-01-01T00:00:00"/>
  </r>
  <r>
    <n v="10810"/>
    <x v="6"/>
    <n v="75"/>
    <n v="5"/>
    <d v="1998-01-01T00:00:00"/>
  </r>
  <r>
    <n v="10810"/>
    <x v="7"/>
    <n v="75"/>
    <n v="5"/>
    <d v="1998-01-01T00:00:00"/>
  </r>
  <r>
    <n v="10811"/>
    <x v="0"/>
    <n v="138"/>
    <n v="15"/>
    <d v="1998-01-02T00:00:00"/>
  </r>
  <r>
    <n v="10811"/>
    <x v="1"/>
    <n v="138"/>
    <n v="15"/>
    <d v="1998-01-02T00:00:00"/>
  </r>
  <r>
    <n v="10811"/>
    <x v="2"/>
    <n v="138"/>
    <n v="15"/>
    <d v="1998-01-02T00:00:00"/>
  </r>
  <r>
    <n v="10811"/>
    <x v="3"/>
    <n v="138"/>
    <n v="15"/>
    <d v="1998-01-02T00:00:00"/>
  </r>
  <r>
    <n v="10811"/>
    <x v="4"/>
    <n v="138"/>
    <n v="15"/>
    <d v="1998-01-02T00:00:00"/>
  </r>
  <r>
    <n v="10811"/>
    <x v="5"/>
    <n v="138"/>
    <n v="15"/>
    <d v="1998-01-02T00:00:00"/>
  </r>
  <r>
    <n v="10811"/>
    <x v="6"/>
    <n v="138"/>
    <n v="15"/>
    <d v="1998-01-02T00:00:00"/>
  </r>
  <r>
    <n v="10811"/>
    <x v="7"/>
    <n v="138"/>
    <n v="15"/>
    <d v="1998-01-02T00:00:00"/>
  </r>
  <r>
    <n v="10811"/>
    <x v="0"/>
    <n v="162"/>
    <n v="18"/>
    <d v="1998-01-02T00:00:00"/>
  </r>
  <r>
    <n v="10811"/>
    <x v="1"/>
    <n v="162"/>
    <n v="18"/>
    <d v="1998-01-02T00:00:00"/>
  </r>
  <r>
    <n v="10811"/>
    <x v="2"/>
    <n v="162"/>
    <n v="18"/>
    <d v="1998-01-02T00:00:00"/>
  </r>
  <r>
    <n v="10811"/>
    <x v="3"/>
    <n v="162"/>
    <n v="18"/>
    <d v="1998-01-02T00:00:00"/>
  </r>
  <r>
    <n v="10811"/>
    <x v="4"/>
    <n v="162"/>
    <n v="18"/>
    <d v="1998-01-02T00:00:00"/>
  </r>
  <r>
    <n v="10811"/>
    <x v="5"/>
    <n v="162"/>
    <n v="18"/>
    <d v="1998-01-02T00:00:00"/>
  </r>
  <r>
    <n v="10811"/>
    <x v="6"/>
    <n v="162"/>
    <n v="18"/>
    <d v="1998-01-02T00:00:00"/>
  </r>
  <r>
    <n v="10811"/>
    <x v="7"/>
    <n v="162"/>
    <n v="18"/>
    <d v="1998-01-02T00:00:00"/>
  </r>
  <r>
    <n v="10811"/>
    <x v="0"/>
    <n v="552"/>
    <n v="30"/>
    <d v="1998-01-02T00:00:00"/>
  </r>
  <r>
    <n v="10811"/>
    <x v="1"/>
    <n v="552"/>
    <n v="30"/>
    <d v="1998-01-02T00:00:00"/>
  </r>
  <r>
    <n v="10811"/>
    <x v="2"/>
    <n v="552"/>
    <n v="30"/>
    <d v="1998-01-02T00:00:00"/>
  </r>
  <r>
    <n v="10811"/>
    <x v="3"/>
    <n v="552"/>
    <n v="30"/>
    <d v="1998-01-02T00:00:00"/>
  </r>
  <r>
    <n v="10811"/>
    <x v="4"/>
    <n v="552"/>
    <n v="30"/>
    <d v="1998-01-02T00:00:00"/>
  </r>
  <r>
    <n v="10811"/>
    <x v="5"/>
    <n v="552"/>
    <n v="30"/>
    <d v="1998-01-02T00:00:00"/>
  </r>
  <r>
    <n v="10811"/>
    <x v="6"/>
    <n v="552"/>
    <n v="30"/>
    <d v="1998-01-02T00:00:00"/>
  </r>
  <r>
    <n v="10811"/>
    <x v="7"/>
    <n v="552"/>
    <n v="30"/>
    <d v="1998-01-02T00:00:00"/>
  </r>
  <r>
    <n v="10812"/>
    <x v="0"/>
    <n v="179.99999970197678"/>
    <n v="16"/>
    <d v="1998-01-02T00:00:00"/>
  </r>
  <r>
    <n v="10812"/>
    <x v="1"/>
    <n v="179.99999970197678"/>
    <n v="16"/>
    <d v="1998-01-02T00:00:00"/>
  </r>
  <r>
    <n v="10812"/>
    <x v="2"/>
    <n v="179.99999970197678"/>
    <n v="16"/>
    <d v="1998-01-02T00:00:00"/>
  </r>
  <r>
    <n v="10812"/>
    <x v="3"/>
    <n v="179.99999970197678"/>
    <n v="16"/>
    <d v="1998-01-02T00:00:00"/>
  </r>
  <r>
    <n v="10812"/>
    <x v="4"/>
    <n v="179.99999970197678"/>
    <n v="16"/>
    <d v="1998-01-02T00:00:00"/>
  </r>
  <r>
    <n v="10812"/>
    <x v="5"/>
    <n v="179.99999970197678"/>
    <n v="16"/>
    <d v="1998-01-02T00:00:00"/>
  </r>
  <r>
    <n v="10812"/>
    <x v="6"/>
    <n v="179.99999970197678"/>
    <n v="16"/>
    <d v="1998-01-02T00:00:00"/>
  </r>
  <r>
    <n v="10812"/>
    <x v="7"/>
    <n v="179.99999970197678"/>
    <n v="16"/>
    <d v="1998-01-02T00:00:00"/>
  </r>
  <r>
    <n v="10812"/>
    <x v="0"/>
    <n v="1252.7999979257584"/>
    <n v="40"/>
    <d v="1998-01-02T00:00:00"/>
  </r>
  <r>
    <n v="10812"/>
    <x v="1"/>
    <n v="1252.7999979257584"/>
    <n v="40"/>
    <d v="1998-01-02T00:00:00"/>
  </r>
  <r>
    <n v="10812"/>
    <x v="2"/>
    <n v="1252.7999979257584"/>
    <n v="40"/>
    <d v="1998-01-02T00:00:00"/>
  </r>
  <r>
    <n v="10812"/>
    <x v="3"/>
    <n v="1252.7999979257584"/>
    <n v="40"/>
    <d v="1998-01-02T00:00:00"/>
  </r>
  <r>
    <n v="10812"/>
    <x v="4"/>
    <n v="1252.7999979257584"/>
    <n v="40"/>
    <d v="1998-01-02T00:00:00"/>
  </r>
  <r>
    <n v="10812"/>
    <x v="5"/>
    <n v="1252.7999979257584"/>
    <n v="40"/>
    <d v="1998-01-02T00:00:00"/>
  </r>
  <r>
    <n v="10812"/>
    <x v="6"/>
    <n v="1252.7999979257584"/>
    <n v="40"/>
    <d v="1998-01-02T00:00:00"/>
  </r>
  <r>
    <n v="10812"/>
    <x v="7"/>
    <n v="1252.7999979257584"/>
    <n v="40"/>
    <d v="1998-01-02T00:00:00"/>
  </r>
  <r>
    <n v="10812"/>
    <x v="0"/>
    <n v="260"/>
    <n v="20"/>
    <d v="1998-01-02T00:00:00"/>
  </r>
  <r>
    <n v="10812"/>
    <x v="1"/>
    <n v="260"/>
    <n v="20"/>
    <d v="1998-01-02T00:00:00"/>
  </r>
  <r>
    <n v="10812"/>
    <x v="2"/>
    <n v="260"/>
    <n v="20"/>
    <d v="1998-01-02T00:00:00"/>
  </r>
  <r>
    <n v="10812"/>
    <x v="3"/>
    <n v="260"/>
    <n v="20"/>
    <d v="1998-01-02T00:00:00"/>
  </r>
  <r>
    <n v="10812"/>
    <x v="4"/>
    <n v="260"/>
    <n v="20"/>
    <d v="1998-01-02T00:00:00"/>
  </r>
  <r>
    <n v="10812"/>
    <x v="5"/>
    <n v="260"/>
    <n v="20"/>
    <d v="1998-01-02T00:00:00"/>
  </r>
  <r>
    <n v="10812"/>
    <x v="6"/>
    <n v="260"/>
    <n v="20"/>
    <d v="1998-01-02T00:00:00"/>
  </r>
  <r>
    <n v="10812"/>
    <x v="7"/>
    <n v="260"/>
    <n v="20"/>
    <d v="1998-01-02T00:00:00"/>
  </r>
  <r>
    <n v="10813"/>
    <x v="0"/>
    <n v="182.39999932050705"/>
    <n v="12"/>
    <d v="1998-01-05T00:00:00"/>
  </r>
  <r>
    <n v="10813"/>
    <x v="1"/>
    <n v="182.39999932050705"/>
    <n v="12"/>
    <d v="1998-01-05T00:00:00"/>
  </r>
  <r>
    <n v="10813"/>
    <x v="2"/>
    <n v="182.39999932050705"/>
    <n v="12"/>
    <d v="1998-01-05T00:00:00"/>
  </r>
  <r>
    <n v="10813"/>
    <x v="3"/>
    <n v="182.39999932050705"/>
    <n v="12"/>
    <d v="1998-01-05T00:00:00"/>
  </r>
  <r>
    <n v="10813"/>
    <x v="4"/>
    <n v="182.39999932050705"/>
    <n v="12"/>
    <d v="1998-01-05T00:00:00"/>
  </r>
  <r>
    <n v="10813"/>
    <x v="5"/>
    <n v="182.39999932050705"/>
    <n v="12"/>
    <d v="1998-01-05T00:00:00"/>
  </r>
  <r>
    <n v="10813"/>
    <x v="6"/>
    <n v="182.39999932050705"/>
    <n v="12"/>
    <d v="1998-01-05T00:00:00"/>
  </r>
  <r>
    <n v="10813"/>
    <x v="7"/>
    <n v="182.39999932050705"/>
    <n v="12"/>
    <d v="1998-01-05T00:00:00"/>
  </r>
  <r>
    <n v="10813"/>
    <x v="0"/>
    <n v="420"/>
    <n v="35"/>
    <d v="1998-01-05T00:00:00"/>
  </r>
  <r>
    <n v="10813"/>
    <x v="1"/>
    <n v="420"/>
    <n v="35"/>
    <d v="1998-01-05T00:00:00"/>
  </r>
  <r>
    <n v="10813"/>
    <x v="2"/>
    <n v="420"/>
    <n v="35"/>
    <d v="1998-01-05T00:00:00"/>
  </r>
  <r>
    <n v="10813"/>
    <x v="3"/>
    <n v="420"/>
    <n v="35"/>
    <d v="1998-01-05T00:00:00"/>
  </r>
  <r>
    <n v="10813"/>
    <x v="4"/>
    <n v="420"/>
    <n v="35"/>
    <d v="1998-01-05T00:00:00"/>
  </r>
  <r>
    <n v="10813"/>
    <x v="5"/>
    <n v="420"/>
    <n v="35"/>
    <d v="1998-01-05T00:00:00"/>
  </r>
  <r>
    <n v="10813"/>
    <x v="6"/>
    <n v="420"/>
    <n v="35"/>
    <d v="1998-01-05T00:00:00"/>
  </r>
  <r>
    <n v="10813"/>
    <x v="7"/>
    <n v="420"/>
    <n v="35"/>
    <d v="1998-01-05T00:00:00"/>
  </r>
  <r>
    <n v="10814"/>
    <x v="0"/>
    <n v="193"/>
    <n v="20"/>
    <d v="1998-01-05T00:00:00"/>
  </r>
  <r>
    <n v="10814"/>
    <x v="1"/>
    <n v="193"/>
    <n v="20"/>
    <d v="1998-01-05T00:00:00"/>
  </r>
  <r>
    <n v="10814"/>
    <x v="2"/>
    <n v="193"/>
    <n v="20"/>
    <d v="1998-01-05T00:00:00"/>
  </r>
  <r>
    <n v="10814"/>
    <x v="3"/>
    <n v="193"/>
    <n v="20"/>
    <d v="1998-01-05T00:00:00"/>
  </r>
  <r>
    <n v="10814"/>
    <x v="4"/>
    <n v="193"/>
    <n v="20"/>
    <d v="1998-01-05T00:00:00"/>
  </r>
  <r>
    <n v="10814"/>
    <x v="5"/>
    <n v="193"/>
    <n v="20"/>
    <d v="1998-01-05T00:00:00"/>
  </r>
  <r>
    <n v="10814"/>
    <x v="6"/>
    <n v="193"/>
    <n v="20"/>
    <d v="1998-01-05T00:00:00"/>
  </r>
  <r>
    <n v="10814"/>
    <x v="7"/>
    <n v="193"/>
    <n v="20"/>
    <d v="1998-01-05T00:00:00"/>
  </r>
  <r>
    <n v="10814"/>
    <x v="0"/>
    <n v="781.99999451637268"/>
    <n v="20"/>
    <d v="1998-01-05T00:00:00"/>
  </r>
  <r>
    <n v="10814"/>
    <x v="1"/>
    <n v="781.99999451637268"/>
    <n v="20"/>
    <d v="1998-01-05T00:00:00"/>
  </r>
  <r>
    <n v="10814"/>
    <x v="2"/>
    <n v="781.99999451637268"/>
    <n v="20"/>
    <d v="1998-01-05T00:00:00"/>
  </r>
  <r>
    <n v="10814"/>
    <x v="3"/>
    <n v="781.99999451637268"/>
    <n v="20"/>
    <d v="1998-01-05T00:00:00"/>
  </r>
  <r>
    <n v="10814"/>
    <x v="4"/>
    <n v="781.99999451637268"/>
    <n v="20"/>
    <d v="1998-01-05T00:00:00"/>
  </r>
  <r>
    <n v="10814"/>
    <x v="5"/>
    <n v="781.99999451637268"/>
    <n v="20"/>
    <d v="1998-01-05T00:00:00"/>
  </r>
  <r>
    <n v="10814"/>
    <x v="6"/>
    <n v="781.99999451637268"/>
    <n v="20"/>
    <d v="1998-01-05T00:00:00"/>
  </r>
  <r>
    <n v="10814"/>
    <x v="7"/>
    <n v="781.99999451637268"/>
    <n v="20"/>
    <d v="1998-01-05T00:00:00"/>
  </r>
  <r>
    <n v="10814"/>
    <x v="0"/>
    <n v="86.699999392032623"/>
    <n v="8"/>
    <d v="1998-01-05T00:00:00"/>
  </r>
  <r>
    <n v="10814"/>
    <x v="1"/>
    <n v="86.699999392032623"/>
    <n v="8"/>
    <d v="1998-01-05T00:00:00"/>
  </r>
  <r>
    <n v="10814"/>
    <x v="2"/>
    <n v="86.699999392032623"/>
    <n v="8"/>
    <d v="1998-01-05T00:00:00"/>
  </r>
  <r>
    <n v="10814"/>
    <x v="3"/>
    <n v="86.699999392032623"/>
    <n v="8"/>
    <d v="1998-01-05T00:00:00"/>
  </r>
  <r>
    <n v="10814"/>
    <x v="4"/>
    <n v="86.699999392032623"/>
    <n v="8"/>
    <d v="1998-01-05T00:00:00"/>
  </r>
  <r>
    <n v="10814"/>
    <x v="5"/>
    <n v="86.699999392032623"/>
    <n v="8"/>
    <d v="1998-01-05T00:00:00"/>
  </r>
  <r>
    <n v="10814"/>
    <x v="6"/>
    <n v="86.699999392032623"/>
    <n v="8"/>
    <d v="1998-01-05T00:00:00"/>
  </r>
  <r>
    <n v="10814"/>
    <x v="7"/>
    <n v="86.699999392032623"/>
    <n v="8"/>
    <d v="1998-01-05T00:00:00"/>
  </r>
  <r>
    <n v="10814"/>
    <x v="0"/>
    <n v="726.74999490380287"/>
    <n v="30"/>
    <d v="1998-01-05T00:00:00"/>
  </r>
  <r>
    <n v="10814"/>
    <x v="1"/>
    <n v="726.74999490380287"/>
    <n v="30"/>
    <d v="1998-01-05T00:00:00"/>
  </r>
  <r>
    <n v="10814"/>
    <x v="2"/>
    <n v="726.74999490380287"/>
    <n v="30"/>
    <d v="1998-01-05T00:00:00"/>
  </r>
  <r>
    <n v="10814"/>
    <x v="3"/>
    <n v="726.74999490380287"/>
    <n v="30"/>
    <d v="1998-01-05T00:00:00"/>
  </r>
  <r>
    <n v="10814"/>
    <x v="4"/>
    <n v="726.74999490380287"/>
    <n v="30"/>
    <d v="1998-01-05T00:00:00"/>
  </r>
  <r>
    <n v="10814"/>
    <x v="5"/>
    <n v="726.74999490380287"/>
    <n v="30"/>
    <d v="1998-01-05T00:00:00"/>
  </r>
  <r>
    <n v="10814"/>
    <x v="6"/>
    <n v="726.74999490380287"/>
    <n v="30"/>
    <d v="1998-01-05T00:00:00"/>
  </r>
  <r>
    <n v="10814"/>
    <x v="7"/>
    <n v="726.74999490380287"/>
    <n v="30"/>
    <d v="1998-01-05T00:00:00"/>
  </r>
  <r>
    <n v="10815"/>
    <x v="0"/>
    <n v="40"/>
    <n v="16"/>
    <d v="1998-01-05T00:00:00"/>
  </r>
  <r>
    <n v="10815"/>
    <x v="1"/>
    <n v="40"/>
    <n v="16"/>
    <d v="1998-01-05T00:00:00"/>
  </r>
  <r>
    <n v="10815"/>
    <x v="2"/>
    <n v="40"/>
    <n v="16"/>
    <d v="1998-01-05T00:00:00"/>
  </r>
  <r>
    <n v="10815"/>
    <x v="3"/>
    <n v="40"/>
    <n v="16"/>
    <d v="1998-01-05T00:00:00"/>
  </r>
  <r>
    <n v="10815"/>
    <x v="4"/>
    <n v="40"/>
    <n v="16"/>
    <d v="1998-01-05T00:00:00"/>
  </r>
  <r>
    <n v="10815"/>
    <x v="5"/>
    <n v="40"/>
    <n v="16"/>
    <d v="1998-01-05T00:00:00"/>
  </r>
  <r>
    <n v="10815"/>
    <x v="6"/>
    <n v="40"/>
    <n v="16"/>
    <d v="1998-01-05T00:00:00"/>
  </r>
  <r>
    <n v="10815"/>
    <x v="7"/>
    <n v="40"/>
    <n v="16"/>
    <d v="1998-01-05T00:00:00"/>
  </r>
  <r>
    <n v="10816"/>
    <x v="0"/>
    <n v="7509.749994110316"/>
    <n v="30"/>
    <d v="1998-01-06T00:00:00"/>
  </r>
  <r>
    <n v="10816"/>
    <x v="1"/>
    <n v="7509.749994110316"/>
    <n v="30"/>
    <d v="1998-01-06T00:00:00"/>
  </r>
  <r>
    <n v="10816"/>
    <x v="2"/>
    <n v="7509.749994110316"/>
    <n v="30"/>
    <d v="1998-01-06T00:00:00"/>
  </r>
  <r>
    <n v="10816"/>
    <x v="3"/>
    <n v="7509.749994110316"/>
    <n v="30"/>
    <d v="1998-01-06T00:00:00"/>
  </r>
  <r>
    <n v="10816"/>
    <x v="4"/>
    <n v="7509.749994110316"/>
    <n v="30"/>
    <d v="1998-01-06T00:00:00"/>
  </r>
  <r>
    <n v="10816"/>
    <x v="5"/>
    <n v="7509.749994110316"/>
    <n v="30"/>
    <d v="1998-01-06T00:00:00"/>
  </r>
  <r>
    <n v="10816"/>
    <x v="6"/>
    <n v="7509.749994110316"/>
    <n v="30"/>
    <d v="1998-01-06T00:00:00"/>
  </r>
  <r>
    <n v="10816"/>
    <x v="7"/>
    <n v="7509.749994110316"/>
    <n v="30"/>
    <d v="1998-01-06T00:00:00"/>
  </r>
  <r>
    <n v="10816"/>
    <x v="0"/>
    <n v="936.69999926537275"/>
    <n v="20"/>
    <d v="1998-01-06T00:00:00"/>
  </r>
  <r>
    <n v="10816"/>
    <x v="1"/>
    <n v="936.69999926537275"/>
    <n v="20"/>
    <d v="1998-01-06T00:00:00"/>
  </r>
  <r>
    <n v="10816"/>
    <x v="2"/>
    <n v="936.69999926537275"/>
    <n v="20"/>
    <d v="1998-01-06T00:00:00"/>
  </r>
  <r>
    <n v="10816"/>
    <x v="3"/>
    <n v="936.69999926537275"/>
    <n v="20"/>
    <d v="1998-01-06T00:00:00"/>
  </r>
  <r>
    <n v="10816"/>
    <x v="4"/>
    <n v="936.69999926537275"/>
    <n v="20"/>
    <d v="1998-01-06T00:00:00"/>
  </r>
  <r>
    <n v="10816"/>
    <x v="5"/>
    <n v="936.69999926537275"/>
    <n v="20"/>
    <d v="1998-01-06T00:00:00"/>
  </r>
  <r>
    <n v="10816"/>
    <x v="6"/>
    <n v="936.69999926537275"/>
    <n v="20"/>
    <d v="1998-01-06T00:00:00"/>
  </r>
  <r>
    <n v="10816"/>
    <x v="7"/>
    <n v="936.69999926537275"/>
    <n v="20"/>
    <d v="1998-01-06T00:00:00"/>
  </r>
  <r>
    <n v="10817"/>
    <x v="0"/>
    <n v="1061.8199925541878"/>
    <n v="40"/>
    <d v="1998-01-06T00:00:00"/>
  </r>
  <r>
    <n v="10817"/>
    <x v="1"/>
    <n v="1061.8199925541878"/>
    <n v="40"/>
    <d v="1998-01-06T00:00:00"/>
  </r>
  <r>
    <n v="10817"/>
    <x v="2"/>
    <n v="1061.8199925541878"/>
    <n v="40"/>
    <d v="1998-01-06T00:00:00"/>
  </r>
  <r>
    <n v="10817"/>
    <x v="3"/>
    <n v="1061.8199925541878"/>
    <n v="40"/>
    <d v="1998-01-06T00:00:00"/>
  </r>
  <r>
    <n v="10817"/>
    <x v="4"/>
    <n v="1061.8199925541878"/>
    <n v="40"/>
    <d v="1998-01-06T00:00:00"/>
  </r>
  <r>
    <n v="10817"/>
    <x v="5"/>
    <n v="1061.8199925541878"/>
    <n v="40"/>
    <d v="1998-01-06T00:00:00"/>
  </r>
  <r>
    <n v="10817"/>
    <x v="6"/>
    <n v="1061.8199925541878"/>
    <n v="40"/>
    <d v="1998-01-06T00:00:00"/>
  </r>
  <r>
    <n v="10817"/>
    <x v="7"/>
    <n v="1061.8199925541878"/>
    <n v="40"/>
    <d v="1998-01-06T00:00:00"/>
  </r>
  <r>
    <n v="10817"/>
    <x v="0"/>
    <n v="7905"/>
    <n v="30"/>
    <d v="1998-01-06T00:00:00"/>
  </r>
  <r>
    <n v="10817"/>
    <x v="1"/>
    <n v="7905"/>
    <n v="30"/>
    <d v="1998-01-06T00:00:00"/>
  </r>
  <r>
    <n v="10817"/>
    <x v="2"/>
    <n v="7905"/>
    <n v="30"/>
    <d v="1998-01-06T00:00:00"/>
  </r>
  <r>
    <n v="10817"/>
    <x v="3"/>
    <n v="7905"/>
    <n v="30"/>
    <d v="1998-01-06T00:00:00"/>
  </r>
  <r>
    <n v="10817"/>
    <x v="4"/>
    <n v="7905"/>
    <n v="30"/>
    <d v="1998-01-06T00:00:00"/>
  </r>
  <r>
    <n v="10817"/>
    <x v="5"/>
    <n v="7905"/>
    <n v="30"/>
    <d v="1998-01-06T00:00:00"/>
  </r>
  <r>
    <n v="10817"/>
    <x v="6"/>
    <n v="7905"/>
    <n v="30"/>
    <d v="1998-01-06T00:00:00"/>
  </r>
  <r>
    <n v="10817"/>
    <x v="7"/>
    <n v="7905"/>
    <n v="30"/>
    <d v="1998-01-06T00:00:00"/>
  </r>
  <r>
    <n v="10817"/>
    <x v="0"/>
    <n v="938.39999341964722"/>
    <n v="60"/>
    <d v="1998-01-06T00:00:00"/>
  </r>
  <r>
    <n v="10817"/>
    <x v="1"/>
    <n v="938.39999341964722"/>
    <n v="60"/>
    <d v="1998-01-06T00:00:00"/>
  </r>
  <r>
    <n v="10817"/>
    <x v="2"/>
    <n v="938.39999341964722"/>
    <n v="60"/>
    <d v="1998-01-06T00:00:00"/>
  </r>
  <r>
    <n v="10817"/>
    <x v="3"/>
    <n v="938.39999341964722"/>
    <n v="60"/>
    <d v="1998-01-06T00:00:00"/>
  </r>
  <r>
    <n v="10817"/>
    <x v="4"/>
    <n v="938.39999341964722"/>
    <n v="60"/>
    <d v="1998-01-06T00:00:00"/>
  </r>
  <r>
    <n v="10817"/>
    <x v="5"/>
    <n v="938.39999341964722"/>
    <n v="60"/>
    <d v="1998-01-06T00:00:00"/>
  </r>
  <r>
    <n v="10817"/>
    <x v="6"/>
    <n v="938.39999341964722"/>
    <n v="60"/>
    <d v="1998-01-06T00:00:00"/>
  </r>
  <r>
    <n v="10817"/>
    <x v="7"/>
    <n v="938.39999341964722"/>
    <n v="60"/>
    <d v="1998-01-06T00:00:00"/>
  </r>
  <r>
    <n v="10817"/>
    <x v="0"/>
    <n v="1047.6249926537275"/>
    <n v="25"/>
    <d v="1998-01-06T00:00:00"/>
  </r>
  <r>
    <n v="10817"/>
    <x v="1"/>
    <n v="1047.6249926537275"/>
    <n v="25"/>
    <d v="1998-01-06T00:00:00"/>
  </r>
  <r>
    <n v="10817"/>
    <x v="2"/>
    <n v="1047.6249926537275"/>
    <n v="25"/>
    <d v="1998-01-06T00:00:00"/>
  </r>
  <r>
    <n v="10817"/>
    <x v="3"/>
    <n v="1047.6249926537275"/>
    <n v="25"/>
    <d v="1998-01-06T00:00:00"/>
  </r>
  <r>
    <n v="10817"/>
    <x v="4"/>
    <n v="1047.6249926537275"/>
    <n v="25"/>
    <d v="1998-01-06T00:00:00"/>
  </r>
  <r>
    <n v="10817"/>
    <x v="5"/>
    <n v="1047.6249926537275"/>
    <n v="25"/>
    <d v="1998-01-06T00:00:00"/>
  </r>
  <r>
    <n v="10817"/>
    <x v="6"/>
    <n v="1047.6249926537275"/>
    <n v="25"/>
    <d v="1998-01-06T00:00:00"/>
  </r>
  <r>
    <n v="10817"/>
    <x v="7"/>
    <n v="1047.6249926537275"/>
    <n v="25"/>
    <d v="1998-01-06T00:00:00"/>
  </r>
  <r>
    <n v="10818"/>
    <x v="0"/>
    <n v="640"/>
    <n v="20"/>
    <d v="1998-01-07T00:00:00"/>
  </r>
  <r>
    <n v="10818"/>
    <x v="1"/>
    <n v="640"/>
    <n v="20"/>
    <d v="1998-01-07T00:00:00"/>
  </r>
  <r>
    <n v="10818"/>
    <x v="2"/>
    <n v="640"/>
    <n v="20"/>
    <d v="1998-01-07T00:00:00"/>
  </r>
  <r>
    <n v="10818"/>
    <x v="3"/>
    <n v="640"/>
    <n v="20"/>
    <d v="1998-01-07T00:00:00"/>
  </r>
  <r>
    <n v="10818"/>
    <x v="4"/>
    <n v="640"/>
    <n v="20"/>
    <d v="1998-01-07T00:00:00"/>
  </r>
  <r>
    <n v="10818"/>
    <x v="5"/>
    <n v="640"/>
    <n v="20"/>
    <d v="1998-01-07T00:00:00"/>
  </r>
  <r>
    <n v="10818"/>
    <x v="6"/>
    <n v="640"/>
    <n v="20"/>
    <d v="1998-01-07T00:00:00"/>
  </r>
  <r>
    <n v="10818"/>
    <x v="7"/>
    <n v="640"/>
    <n v="20"/>
    <d v="1998-01-07T00:00:00"/>
  </r>
  <r>
    <n v="10818"/>
    <x v="0"/>
    <n v="193"/>
    <n v="20"/>
    <d v="1998-01-07T00:00:00"/>
  </r>
  <r>
    <n v="10818"/>
    <x v="1"/>
    <n v="193"/>
    <n v="20"/>
    <d v="1998-01-07T00:00:00"/>
  </r>
  <r>
    <n v="10818"/>
    <x v="2"/>
    <n v="193"/>
    <n v="20"/>
    <d v="1998-01-07T00:00:00"/>
  </r>
  <r>
    <n v="10818"/>
    <x v="3"/>
    <n v="193"/>
    <n v="20"/>
    <d v="1998-01-07T00:00:00"/>
  </r>
  <r>
    <n v="10818"/>
    <x v="4"/>
    <n v="193"/>
    <n v="20"/>
    <d v="1998-01-07T00:00:00"/>
  </r>
  <r>
    <n v="10818"/>
    <x v="5"/>
    <n v="193"/>
    <n v="20"/>
    <d v="1998-01-07T00:00:00"/>
  </r>
  <r>
    <n v="10818"/>
    <x v="6"/>
    <n v="193"/>
    <n v="20"/>
    <d v="1998-01-07T00:00:00"/>
  </r>
  <r>
    <n v="10818"/>
    <x v="7"/>
    <n v="193"/>
    <n v="20"/>
    <d v="1998-01-07T00:00:00"/>
  </r>
  <r>
    <n v="10819"/>
    <x v="0"/>
    <n v="322"/>
    <n v="7"/>
    <d v="1998-01-07T00:00:00"/>
  </r>
  <r>
    <n v="10819"/>
    <x v="1"/>
    <n v="322"/>
    <n v="7"/>
    <d v="1998-01-07T00:00:00"/>
  </r>
  <r>
    <n v="10819"/>
    <x v="2"/>
    <n v="322"/>
    <n v="7"/>
    <d v="1998-01-07T00:00:00"/>
  </r>
  <r>
    <n v="10819"/>
    <x v="3"/>
    <n v="322"/>
    <n v="7"/>
    <d v="1998-01-07T00:00:00"/>
  </r>
  <r>
    <n v="10819"/>
    <x v="4"/>
    <n v="322"/>
    <n v="7"/>
    <d v="1998-01-07T00:00:00"/>
  </r>
  <r>
    <n v="10819"/>
    <x v="5"/>
    <n v="322"/>
    <n v="7"/>
    <d v="1998-01-07T00:00:00"/>
  </r>
  <r>
    <n v="10819"/>
    <x v="6"/>
    <n v="322"/>
    <n v="7"/>
    <d v="1998-01-07T00:00:00"/>
  </r>
  <r>
    <n v="10819"/>
    <x v="7"/>
    <n v="322"/>
    <n v="7"/>
    <d v="1998-01-07T00:00:00"/>
  </r>
  <r>
    <n v="10819"/>
    <x v="0"/>
    <n v="155"/>
    <n v="20"/>
    <d v="1998-01-07T00:00:00"/>
  </r>
  <r>
    <n v="10819"/>
    <x v="1"/>
    <n v="155"/>
    <n v="20"/>
    <d v="1998-01-07T00:00:00"/>
  </r>
  <r>
    <n v="10819"/>
    <x v="2"/>
    <n v="155"/>
    <n v="20"/>
    <d v="1998-01-07T00:00:00"/>
  </r>
  <r>
    <n v="10819"/>
    <x v="3"/>
    <n v="155"/>
    <n v="20"/>
    <d v="1998-01-07T00:00:00"/>
  </r>
  <r>
    <n v="10819"/>
    <x v="4"/>
    <n v="155"/>
    <n v="20"/>
    <d v="1998-01-07T00:00:00"/>
  </r>
  <r>
    <n v="10819"/>
    <x v="5"/>
    <n v="155"/>
    <n v="20"/>
    <d v="1998-01-07T00:00:00"/>
  </r>
  <r>
    <n v="10819"/>
    <x v="6"/>
    <n v="155"/>
    <n v="20"/>
    <d v="1998-01-07T00:00:00"/>
  </r>
  <r>
    <n v="10819"/>
    <x v="7"/>
    <n v="155"/>
    <n v="20"/>
    <d v="1998-01-07T00:00:00"/>
  </r>
  <r>
    <n v="10820"/>
    <x v="0"/>
    <n v="1140"/>
    <n v="30"/>
    <d v="1998-01-07T00:00:00"/>
  </r>
  <r>
    <n v="10820"/>
    <x v="1"/>
    <n v="1140"/>
    <n v="30"/>
    <d v="1998-01-07T00:00:00"/>
  </r>
  <r>
    <n v="10820"/>
    <x v="2"/>
    <n v="1140"/>
    <n v="30"/>
    <d v="1998-01-07T00:00:00"/>
  </r>
  <r>
    <n v="10820"/>
    <x v="3"/>
    <n v="1140"/>
    <n v="30"/>
    <d v="1998-01-07T00:00:00"/>
  </r>
  <r>
    <n v="10820"/>
    <x v="4"/>
    <n v="1140"/>
    <n v="30"/>
    <d v="1998-01-07T00:00:00"/>
  </r>
  <r>
    <n v="10820"/>
    <x v="5"/>
    <n v="1140"/>
    <n v="30"/>
    <d v="1998-01-07T00:00:00"/>
  </r>
  <r>
    <n v="10820"/>
    <x v="6"/>
    <n v="1140"/>
    <n v="30"/>
    <d v="1998-01-07T00:00:00"/>
  </r>
  <r>
    <n v="10820"/>
    <x v="7"/>
    <n v="1140"/>
    <n v="30"/>
    <d v="1998-01-07T00:00:00"/>
  </r>
  <r>
    <n v="10821"/>
    <x v="0"/>
    <n v="360"/>
    <n v="20"/>
    <d v="1998-01-08T00:00:00"/>
  </r>
  <r>
    <n v="10821"/>
    <x v="1"/>
    <n v="360"/>
    <n v="20"/>
    <d v="1998-01-08T00:00:00"/>
  </r>
  <r>
    <n v="10821"/>
    <x v="2"/>
    <n v="360"/>
    <n v="20"/>
    <d v="1998-01-08T00:00:00"/>
  </r>
  <r>
    <n v="10821"/>
    <x v="3"/>
    <n v="360"/>
    <n v="20"/>
    <d v="1998-01-08T00:00:00"/>
  </r>
  <r>
    <n v="10821"/>
    <x v="4"/>
    <n v="360"/>
    <n v="20"/>
    <d v="1998-01-08T00:00:00"/>
  </r>
  <r>
    <n v="10821"/>
    <x v="5"/>
    <n v="360"/>
    <n v="20"/>
    <d v="1998-01-08T00:00:00"/>
  </r>
  <r>
    <n v="10821"/>
    <x v="6"/>
    <n v="360"/>
    <n v="20"/>
    <d v="1998-01-08T00:00:00"/>
  </r>
  <r>
    <n v="10821"/>
    <x v="7"/>
    <n v="360"/>
    <n v="20"/>
    <d v="1998-01-08T00:00:00"/>
  </r>
  <r>
    <n v="10821"/>
    <x v="0"/>
    <n v="318"/>
    <n v="6"/>
    <d v="1998-01-08T00:00:00"/>
  </r>
  <r>
    <n v="10821"/>
    <x v="1"/>
    <n v="318"/>
    <n v="6"/>
    <d v="1998-01-08T00:00:00"/>
  </r>
  <r>
    <n v="10821"/>
    <x v="2"/>
    <n v="318"/>
    <n v="6"/>
    <d v="1998-01-08T00:00:00"/>
  </r>
  <r>
    <n v="10821"/>
    <x v="3"/>
    <n v="318"/>
    <n v="6"/>
    <d v="1998-01-08T00:00:00"/>
  </r>
  <r>
    <n v="10821"/>
    <x v="4"/>
    <n v="318"/>
    <n v="6"/>
    <d v="1998-01-08T00:00:00"/>
  </r>
  <r>
    <n v="10821"/>
    <x v="5"/>
    <n v="318"/>
    <n v="6"/>
    <d v="1998-01-08T00:00:00"/>
  </r>
  <r>
    <n v="10821"/>
    <x v="6"/>
    <n v="318"/>
    <n v="6"/>
    <d v="1998-01-08T00:00:00"/>
  </r>
  <r>
    <n v="10821"/>
    <x v="7"/>
    <n v="318"/>
    <n v="6"/>
    <d v="1998-01-08T00:00:00"/>
  </r>
  <r>
    <n v="10822"/>
    <x v="0"/>
    <n v="147.9"/>
    <n v="3"/>
    <d v="1998-01-08T00:00:00"/>
  </r>
  <r>
    <n v="10822"/>
    <x v="1"/>
    <n v="147.9"/>
    <n v="3"/>
    <d v="1998-01-08T00:00:00"/>
  </r>
  <r>
    <n v="10822"/>
    <x v="2"/>
    <n v="147.9"/>
    <n v="3"/>
    <d v="1998-01-08T00:00:00"/>
  </r>
  <r>
    <n v="10822"/>
    <x v="3"/>
    <n v="147.9"/>
    <n v="3"/>
    <d v="1998-01-08T00:00:00"/>
  </r>
  <r>
    <n v="10822"/>
    <x v="4"/>
    <n v="147.9"/>
    <n v="3"/>
    <d v="1998-01-08T00:00:00"/>
  </r>
  <r>
    <n v="10822"/>
    <x v="5"/>
    <n v="147.9"/>
    <n v="3"/>
    <d v="1998-01-08T00:00:00"/>
  </r>
  <r>
    <n v="10822"/>
    <x v="6"/>
    <n v="147.9"/>
    <n v="3"/>
    <d v="1998-01-08T00:00:00"/>
  </r>
  <r>
    <n v="10822"/>
    <x v="7"/>
    <n v="147.9"/>
    <n v="3"/>
    <d v="1998-01-08T00:00:00"/>
  </r>
  <r>
    <n v="10822"/>
    <x v="0"/>
    <n v="90"/>
    <n v="6"/>
    <d v="1998-01-08T00:00:00"/>
  </r>
  <r>
    <n v="10822"/>
    <x v="1"/>
    <n v="90"/>
    <n v="6"/>
    <d v="1998-01-08T00:00:00"/>
  </r>
  <r>
    <n v="10822"/>
    <x v="2"/>
    <n v="90"/>
    <n v="6"/>
    <d v="1998-01-08T00:00:00"/>
  </r>
  <r>
    <n v="10822"/>
    <x v="3"/>
    <n v="90"/>
    <n v="6"/>
    <d v="1998-01-08T00:00:00"/>
  </r>
  <r>
    <n v="10822"/>
    <x v="4"/>
    <n v="90"/>
    <n v="6"/>
    <d v="1998-01-08T00:00:00"/>
  </r>
  <r>
    <n v="10822"/>
    <x v="5"/>
    <n v="90"/>
    <n v="6"/>
    <d v="1998-01-08T00:00:00"/>
  </r>
  <r>
    <n v="10822"/>
    <x v="6"/>
    <n v="90"/>
    <n v="6"/>
    <d v="1998-01-08T00:00:00"/>
  </r>
  <r>
    <n v="10822"/>
    <x v="7"/>
    <n v="90"/>
    <n v="6"/>
    <d v="1998-01-08T00:00:00"/>
  </r>
  <r>
    <n v="10823"/>
    <x v="0"/>
    <n v="377.99999937415123"/>
    <n v="20"/>
    <d v="1998-01-09T00:00:00"/>
  </r>
  <r>
    <n v="10823"/>
    <x v="1"/>
    <n v="377.99999937415123"/>
    <n v="20"/>
    <d v="1998-01-09T00:00:00"/>
  </r>
  <r>
    <n v="10823"/>
    <x v="2"/>
    <n v="377.99999937415123"/>
    <n v="20"/>
    <d v="1998-01-09T00:00:00"/>
  </r>
  <r>
    <n v="10823"/>
    <x v="3"/>
    <n v="377.99999937415123"/>
    <n v="20"/>
    <d v="1998-01-09T00:00:00"/>
  </r>
  <r>
    <n v="10823"/>
    <x v="4"/>
    <n v="377.99999937415123"/>
    <n v="20"/>
    <d v="1998-01-09T00:00:00"/>
  </r>
  <r>
    <n v="10823"/>
    <x v="5"/>
    <n v="377.99999937415123"/>
    <n v="20"/>
    <d v="1998-01-09T00:00:00"/>
  </r>
  <r>
    <n v="10823"/>
    <x v="6"/>
    <n v="377.99999937415123"/>
    <n v="20"/>
    <d v="1998-01-09T00:00:00"/>
  </r>
  <r>
    <n v="10823"/>
    <x v="7"/>
    <n v="377.99999937415123"/>
    <n v="20"/>
    <d v="1998-01-09T00:00:00"/>
  </r>
  <r>
    <n v="10823"/>
    <x v="0"/>
    <n v="292.5"/>
    <n v="15"/>
    <d v="1998-01-09T00:00:00"/>
  </r>
  <r>
    <n v="10823"/>
    <x v="1"/>
    <n v="292.5"/>
    <n v="15"/>
    <d v="1998-01-09T00:00:00"/>
  </r>
  <r>
    <n v="10823"/>
    <x v="2"/>
    <n v="292.5"/>
    <n v="15"/>
    <d v="1998-01-09T00:00:00"/>
  </r>
  <r>
    <n v="10823"/>
    <x v="3"/>
    <n v="292.5"/>
    <n v="15"/>
    <d v="1998-01-09T00:00:00"/>
  </r>
  <r>
    <n v="10823"/>
    <x v="4"/>
    <n v="292.5"/>
    <n v="15"/>
    <d v="1998-01-09T00:00:00"/>
  </r>
  <r>
    <n v="10823"/>
    <x v="5"/>
    <n v="292.5"/>
    <n v="15"/>
    <d v="1998-01-09T00:00:00"/>
  </r>
  <r>
    <n v="10823"/>
    <x v="6"/>
    <n v="292.5"/>
    <n v="15"/>
    <d v="1998-01-09T00:00:00"/>
  </r>
  <r>
    <n v="10823"/>
    <x v="7"/>
    <n v="292.5"/>
    <n v="15"/>
    <d v="1998-01-09T00:00:00"/>
  </r>
  <r>
    <n v="10823"/>
    <x v="0"/>
    <n v="1979.9999967217445"/>
    <n v="40"/>
    <d v="1998-01-09T00:00:00"/>
  </r>
  <r>
    <n v="10823"/>
    <x v="1"/>
    <n v="1979.9999967217445"/>
    <n v="40"/>
    <d v="1998-01-09T00:00:00"/>
  </r>
  <r>
    <n v="10823"/>
    <x v="2"/>
    <n v="1979.9999967217445"/>
    <n v="40"/>
    <d v="1998-01-09T00:00:00"/>
  </r>
  <r>
    <n v="10823"/>
    <x v="3"/>
    <n v="1979.9999967217445"/>
    <n v="40"/>
    <d v="1998-01-09T00:00:00"/>
  </r>
  <r>
    <n v="10823"/>
    <x v="4"/>
    <n v="1979.9999967217445"/>
    <n v="40"/>
    <d v="1998-01-09T00:00:00"/>
  </r>
  <r>
    <n v="10823"/>
    <x v="5"/>
    <n v="1979.9999967217445"/>
    <n v="40"/>
    <d v="1998-01-09T00:00:00"/>
  </r>
  <r>
    <n v="10823"/>
    <x v="6"/>
    <n v="1979.9999967217445"/>
    <n v="40"/>
    <d v="1998-01-09T00:00:00"/>
  </r>
  <r>
    <n v="10823"/>
    <x v="7"/>
    <n v="1979.9999967217445"/>
    <n v="40"/>
    <d v="1998-01-09T00:00:00"/>
  </r>
  <r>
    <n v="10823"/>
    <x v="0"/>
    <n v="175.49999970942736"/>
    <n v="15"/>
    <d v="1998-01-09T00:00:00"/>
  </r>
  <r>
    <n v="10823"/>
    <x v="1"/>
    <n v="175.49999970942736"/>
    <n v="15"/>
    <d v="1998-01-09T00:00:00"/>
  </r>
  <r>
    <n v="10823"/>
    <x v="2"/>
    <n v="175.49999970942736"/>
    <n v="15"/>
    <d v="1998-01-09T00:00:00"/>
  </r>
  <r>
    <n v="10823"/>
    <x v="3"/>
    <n v="175.49999970942736"/>
    <n v="15"/>
    <d v="1998-01-09T00:00:00"/>
  </r>
  <r>
    <n v="10823"/>
    <x v="4"/>
    <n v="175.49999970942736"/>
    <n v="15"/>
    <d v="1998-01-09T00:00:00"/>
  </r>
  <r>
    <n v="10823"/>
    <x v="5"/>
    <n v="175.49999970942736"/>
    <n v="15"/>
    <d v="1998-01-09T00:00:00"/>
  </r>
  <r>
    <n v="10823"/>
    <x v="6"/>
    <n v="175.49999970942736"/>
    <n v="15"/>
    <d v="1998-01-09T00:00:00"/>
  </r>
  <r>
    <n v="10823"/>
    <x v="7"/>
    <n v="175.49999970942736"/>
    <n v="15"/>
    <d v="1998-01-09T00:00:00"/>
  </r>
  <r>
    <n v="10824"/>
    <x v="0"/>
    <n v="115.8"/>
    <n v="12"/>
    <d v="1998-01-09T00:00:00"/>
  </r>
  <r>
    <n v="10824"/>
    <x v="1"/>
    <n v="115.8"/>
    <n v="12"/>
    <d v="1998-01-09T00:00:00"/>
  </r>
  <r>
    <n v="10824"/>
    <x v="2"/>
    <n v="115.8"/>
    <n v="12"/>
    <d v="1998-01-09T00:00:00"/>
  </r>
  <r>
    <n v="10824"/>
    <x v="3"/>
    <n v="115.8"/>
    <n v="12"/>
    <d v="1998-01-09T00:00:00"/>
  </r>
  <r>
    <n v="10824"/>
    <x v="4"/>
    <n v="115.8"/>
    <n v="12"/>
    <d v="1998-01-09T00:00:00"/>
  </r>
  <r>
    <n v="10824"/>
    <x v="5"/>
    <n v="115.8"/>
    <n v="12"/>
    <d v="1998-01-09T00:00:00"/>
  </r>
  <r>
    <n v="10824"/>
    <x v="6"/>
    <n v="115.8"/>
    <n v="12"/>
    <d v="1998-01-09T00:00:00"/>
  </r>
  <r>
    <n v="10824"/>
    <x v="7"/>
    <n v="115.8"/>
    <n v="12"/>
    <d v="1998-01-09T00:00:00"/>
  </r>
  <r>
    <n v="10824"/>
    <x v="0"/>
    <n v="135"/>
    <n v="9"/>
    <d v="1998-01-09T00:00:00"/>
  </r>
  <r>
    <n v="10824"/>
    <x v="1"/>
    <n v="135"/>
    <n v="9"/>
    <d v="1998-01-09T00:00:00"/>
  </r>
  <r>
    <n v="10824"/>
    <x v="2"/>
    <n v="135"/>
    <n v="9"/>
    <d v="1998-01-09T00:00:00"/>
  </r>
  <r>
    <n v="10824"/>
    <x v="3"/>
    <n v="135"/>
    <n v="9"/>
    <d v="1998-01-09T00:00:00"/>
  </r>
  <r>
    <n v="10824"/>
    <x v="4"/>
    <n v="135"/>
    <n v="9"/>
    <d v="1998-01-09T00:00:00"/>
  </r>
  <r>
    <n v="10824"/>
    <x v="5"/>
    <n v="135"/>
    <n v="9"/>
    <d v="1998-01-09T00:00:00"/>
  </r>
  <r>
    <n v="10824"/>
    <x v="6"/>
    <n v="135"/>
    <n v="9"/>
    <d v="1998-01-09T00:00:00"/>
  </r>
  <r>
    <n v="10824"/>
    <x v="7"/>
    <n v="135"/>
    <n v="9"/>
    <d v="1998-01-09T00:00:00"/>
  </r>
  <r>
    <n v="10825"/>
    <x v="0"/>
    <n v="374.76"/>
    <n v="12"/>
    <d v="1998-01-09T00:00:00"/>
  </r>
  <r>
    <n v="10825"/>
    <x v="1"/>
    <n v="374.76"/>
    <n v="12"/>
    <d v="1998-01-09T00:00:00"/>
  </r>
  <r>
    <n v="10825"/>
    <x v="2"/>
    <n v="374.76"/>
    <n v="12"/>
    <d v="1998-01-09T00:00:00"/>
  </r>
  <r>
    <n v="10825"/>
    <x v="3"/>
    <n v="374.76"/>
    <n v="12"/>
    <d v="1998-01-09T00:00:00"/>
  </r>
  <r>
    <n v="10825"/>
    <x v="4"/>
    <n v="374.76"/>
    <n v="12"/>
    <d v="1998-01-09T00:00:00"/>
  </r>
  <r>
    <n v="10825"/>
    <x v="5"/>
    <n v="374.76"/>
    <n v="12"/>
    <d v="1998-01-09T00:00:00"/>
  </r>
  <r>
    <n v="10825"/>
    <x v="6"/>
    <n v="374.76"/>
    <n v="12"/>
    <d v="1998-01-09T00:00:00"/>
  </r>
  <r>
    <n v="10825"/>
    <x v="7"/>
    <n v="374.76"/>
    <n v="12"/>
    <d v="1998-01-09T00:00:00"/>
  </r>
  <r>
    <n v="10825"/>
    <x v="0"/>
    <n v="656"/>
    <n v="20"/>
    <d v="1998-01-09T00:00:00"/>
  </r>
  <r>
    <n v="10825"/>
    <x v="1"/>
    <n v="656"/>
    <n v="20"/>
    <d v="1998-01-09T00:00:00"/>
  </r>
  <r>
    <n v="10825"/>
    <x v="2"/>
    <n v="656"/>
    <n v="20"/>
    <d v="1998-01-09T00:00:00"/>
  </r>
  <r>
    <n v="10825"/>
    <x v="3"/>
    <n v="656"/>
    <n v="20"/>
    <d v="1998-01-09T00:00:00"/>
  </r>
  <r>
    <n v="10825"/>
    <x v="4"/>
    <n v="656"/>
    <n v="20"/>
    <d v="1998-01-09T00:00:00"/>
  </r>
  <r>
    <n v="10825"/>
    <x v="5"/>
    <n v="656"/>
    <n v="20"/>
    <d v="1998-01-09T00:00:00"/>
  </r>
  <r>
    <n v="10825"/>
    <x v="6"/>
    <n v="656"/>
    <n v="20"/>
    <d v="1998-01-09T00:00:00"/>
  </r>
  <r>
    <n v="10825"/>
    <x v="7"/>
    <n v="656"/>
    <n v="20"/>
    <d v="1998-01-09T00:00:00"/>
  </r>
  <r>
    <n v="10826"/>
    <x v="0"/>
    <n v="437.5"/>
    <n v="35"/>
    <d v="1998-01-12T00:00:00"/>
  </r>
  <r>
    <n v="10826"/>
    <x v="1"/>
    <n v="437.5"/>
    <n v="35"/>
    <d v="1998-01-12T00:00:00"/>
  </r>
  <r>
    <n v="10826"/>
    <x v="2"/>
    <n v="437.5"/>
    <n v="35"/>
    <d v="1998-01-12T00:00:00"/>
  </r>
  <r>
    <n v="10826"/>
    <x v="3"/>
    <n v="437.5"/>
    <n v="35"/>
    <d v="1998-01-12T00:00:00"/>
  </r>
  <r>
    <n v="10826"/>
    <x v="4"/>
    <n v="437.5"/>
    <n v="35"/>
    <d v="1998-01-12T00:00:00"/>
  </r>
  <r>
    <n v="10826"/>
    <x v="5"/>
    <n v="437.5"/>
    <n v="35"/>
    <d v="1998-01-12T00:00:00"/>
  </r>
  <r>
    <n v="10826"/>
    <x v="6"/>
    <n v="437.5"/>
    <n v="35"/>
    <d v="1998-01-12T00:00:00"/>
  </r>
  <r>
    <n v="10826"/>
    <x v="7"/>
    <n v="437.5"/>
    <n v="35"/>
    <d v="1998-01-12T00:00:00"/>
  </r>
  <r>
    <n v="10826"/>
    <x v="0"/>
    <n v="292.5"/>
    <n v="15"/>
    <d v="1998-01-12T00:00:00"/>
  </r>
  <r>
    <n v="10826"/>
    <x v="1"/>
    <n v="292.5"/>
    <n v="15"/>
    <d v="1998-01-12T00:00:00"/>
  </r>
  <r>
    <n v="10826"/>
    <x v="2"/>
    <n v="292.5"/>
    <n v="15"/>
    <d v="1998-01-12T00:00:00"/>
  </r>
  <r>
    <n v="10826"/>
    <x v="3"/>
    <n v="292.5"/>
    <n v="15"/>
    <d v="1998-01-12T00:00:00"/>
  </r>
  <r>
    <n v="10826"/>
    <x v="4"/>
    <n v="292.5"/>
    <n v="15"/>
    <d v="1998-01-12T00:00:00"/>
  </r>
  <r>
    <n v="10826"/>
    <x v="5"/>
    <n v="292.5"/>
    <n v="15"/>
    <d v="1998-01-12T00:00:00"/>
  </r>
  <r>
    <n v="10826"/>
    <x v="6"/>
    <n v="292.5"/>
    <n v="15"/>
    <d v="1998-01-12T00:00:00"/>
  </r>
  <r>
    <n v="10826"/>
    <x v="7"/>
    <n v="292.5"/>
    <n v="15"/>
    <d v="1998-01-12T00:00:00"/>
  </r>
  <r>
    <n v="10827"/>
    <x v="0"/>
    <n v="465"/>
    <n v="15"/>
    <d v="1998-01-12T00:00:00"/>
  </r>
  <r>
    <n v="10827"/>
    <x v="1"/>
    <n v="465"/>
    <n v="15"/>
    <d v="1998-01-12T00:00:00"/>
  </r>
  <r>
    <n v="10827"/>
    <x v="2"/>
    <n v="465"/>
    <n v="15"/>
    <d v="1998-01-12T00:00:00"/>
  </r>
  <r>
    <n v="10827"/>
    <x v="3"/>
    <n v="465"/>
    <n v="15"/>
    <d v="1998-01-12T00:00:00"/>
  </r>
  <r>
    <n v="10827"/>
    <x v="4"/>
    <n v="465"/>
    <n v="15"/>
    <d v="1998-01-12T00:00:00"/>
  </r>
  <r>
    <n v="10827"/>
    <x v="5"/>
    <n v="465"/>
    <n v="15"/>
    <d v="1998-01-12T00:00:00"/>
  </r>
  <r>
    <n v="10827"/>
    <x v="6"/>
    <n v="465"/>
    <n v="15"/>
    <d v="1998-01-12T00:00:00"/>
  </r>
  <r>
    <n v="10827"/>
    <x v="7"/>
    <n v="465"/>
    <n v="15"/>
    <d v="1998-01-12T00:00:00"/>
  </r>
  <r>
    <n v="10827"/>
    <x v="0"/>
    <n v="378"/>
    <n v="21"/>
    <d v="1998-01-12T00:00:00"/>
  </r>
  <r>
    <n v="10827"/>
    <x v="1"/>
    <n v="378"/>
    <n v="21"/>
    <d v="1998-01-12T00:00:00"/>
  </r>
  <r>
    <n v="10827"/>
    <x v="2"/>
    <n v="378"/>
    <n v="21"/>
    <d v="1998-01-12T00:00:00"/>
  </r>
  <r>
    <n v="10827"/>
    <x v="3"/>
    <n v="378"/>
    <n v="21"/>
    <d v="1998-01-12T00:00:00"/>
  </r>
  <r>
    <n v="10827"/>
    <x v="4"/>
    <n v="378"/>
    <n v="21"/>
    <d v="1998-01-12T00:00:00"/>
  </r>
  <r>
    <n v="10827"/>
    <x v="5"/>
    <n v="378"/>
    <n v="21"/>
    <d v="1998-01-12T00:00:00"/>
  </r>
  <r>
    <n v="10827"/>
    <x v="6"/>
    <n v="378"/>
    <n v="21"/>
    <d v="1998-01-12T00:00:00"/>
  </r>
  <r>
    <n v="10827"/>
    <x v="7"/>
    <n v="378"/>
    <n v="21"/>
    <d v="1998-01-12T00:00:00"/>
  </r>
  <r>
    <n v="10828"/>
    <x v="0"/>
    <n v="405"/>
    <n v="5"/>
    <d v="1998-01-13T00:00:00"/>
  </r>
  <r>
    <n v="10828"/>
    <x v="1"/>
    <n v="405"/>
    <n v="5"/>
    <d v="1998-01-13T00:00:00"/>
  </r>
  <r>
    <n v="10828"/>
    <x v="2"/>
    <n v="405"/>
    <n v="5"/>
    <d v="1998-01-13T00:00:00"/>
  </r>
  <r>
    <n v="10828"/>
    <x v="3"/>
    <n v="405"/>
    <n v="5"/>
    <d v="1998-01-13T00:00:00"/>
  </r>
  <r>
    <n v="10828"/>
    <x v="4"/>
    <n v="405"/>
    <n v="5"/>
    <d v="1998-01-13T00:00:00"/>
  </r>
  <r>
    <n v="10828"/>
    <x v="5"/>
    <n v="405"/>
    <n v="5"/>
    <d v="1998-01-13T00:00:00"/>
  </r>
  <r>
    <n v="10828"/>
    <x v="6"/>
    <n v="405"/>
    <n v="5"/>
    <d v="1998-01-13T00:00:00"/>
  </r>
  <r>
    <n v="10828"/>
    <x v="7"/>
    <n v="405"/>
    <n v="5"/>
    <d v="1998-01-13T00:00:00"/>
  </r>
  <r>
    <n v="10828"/>
    <x v="0"/>
    <n v="527"/>
    <n v="2"/>
    <d v="1998-01-13T00:00:00"/>
  </r>
  <r>
    <n v="10828"/>
    <x v="1"/>
    <n v="527"/>
    <n v="2"/>
    <d v="1998-01-13T00:00:00"/>
  </r>
  <r>
    <n v="10828"/>
    <x v="2"/>
    <n v="527"/>
    <n v="2"/>
    <d v="1998-01-13T00:00:00"/>
  </r>
  <r>
    <n v="10828"/>
    <x v="3"/>
    <n v="527"/>
    <n v="2"/>
    <d v="1998-01-13T00:00:00"/>
  </r>
  <r>
    <n v="10828"/>
    <x v="4"/>
    <n v="527"/>
    <n v="2"/>
    <d v="1998-01-13T00:00:00"/>
  </r>
  <r>
    <n v="10828"/>
    <x v="5"/>
    <n v="527"/>
    <n v="2"/>
    <d v="1998-01-13T00:00:00"/>
  </r>
  <r>
    <n v="10828"/>
    <x v="6"/>
    <n v="527"/>
    <n v="2"/>
    <d v="1998-01-13T00:00:00"/>
  </r>
  <r>
    <n v="10828"/>
    <x v="7"/>
    <n v="527"/>
    <n v="2"/>
    <d v="1998-01-13T00:00:00"/>
  </r>
  <r>
    <n v="10829"/>
    <x v="0"/>
    <n v="190"/>
    <n v="10"/>
    <d v="1998-01-13T00:00:00"/>
  </r>
  <r>
    <n v="10829"/>
    <x v="1"/>
    <n v="190"/>
    <n v="10"/>
    <d v="1998-01-13T00:00:00"/>
  </r>
  <r>
    <n v="10829"/>
    <x v="2"/>
    <n v="190"/>
    <n v="10"/>
    <d v="1998-01-13T00:00:00"/>
  </r>
  <r>
    <n v="10829"/>
    <x v="3"/>
    <n v="190"/>
    <n v="10"/>
    <d v="1998-01-13T00:00:00"/>
  </r>
  <r>
    <n v="10829"/>
    <x v="4"/>
    <n v="190"/>
    <n v="10"/>
    <d v="1998-01-13T00:00:00"/>
  </r>
  <r>
    <n v="10829"/>
    <x v="5"/>
    <n v="190"/>
    <n v="10"/>
    <d v="1998-01-13T00:00:00"/>
  </r>
  <r>
    <n v="10829"/>
    <x v="6"/>
    <n v="190"/>
    <n v="10"/>
    <d v="1998-01-13T00:00:00"/>
  </r>
  <r>
    <n v="10829"/>
    <x v="7"/>
    <n v="190"/>
    <n v="10"/>
    <d v="1998-01-13T00:00:00"/>
  </r>
  <r>
    <n v="10829"/>
    <x v="0"/>
    <n v="800"/>
    <n v="20"/>
    <d v="1998-01-13T00:00:00"/>
  </r>
  <r>
    <n v="10829"/>
    <x v="1"/>
    <n v="800"/>
    <n v="20"/>
    <d v="1998-01-13T00:00:00"/>
  </r>
  <r>
    <n v="10829"/>
    <x v="2"/>
    <n v="800"/>
    <n v="20"/>
    <d v="1998-01-13T00:00:00"/>
  </r>
  <r>
    <n v="10829"/>
    <x v="3"/>
    <n v="800"/>
    <n v="20"/>
    <d v="1998-01-13T00:00:00"/>
  </r>
  <r>
    <n v="10829"/>
    <x v="4"/>
    <n v="800"/>
    <n v="20"/>
    <d v="1998-01-13T00:00:00"/>
  </r>
  <r>
    <n v="10829"/>
    <x v="5"/>
    <n v="800"/>
    <n v="20"/>
    <d v="1998-01-13T00:00:00"/>
  </r>
  <r>
    <n v="10829"/>
    <x v="6"/>
    <n v="800"/>
    <n v="20"/>
    <d v="1998-01-13T00:00:00"/>
  </r>
  <r>
    <n v="10829"/>
    <x v="7"/>
    <n v="800"/>
    <n v="20"/>
    <d v="1998-01-13T00:00:00"/>
  </r>
  <r>
    <n v="10829"/>
    <x v="0"/>
    <n v="60"/>
    <n v="10"/>
    <d v="1998-01-13T00:00:00"/>
  </r>
  <r>
    <n v="10829"/>
    <x v="1"/>
    <n v="60"/>
    <n v="10"/>
    <d v="1998-01-13T00:00:00"/>
  </r>
  <r>
    <n v="10829"/>
    <x v="2"/>
    <n v="60"/>
    <n v="10"/>
    <d v="1998-01-13T00:00:00"/>
  </r>
  <r>
    <n v="10829"/>
    <x v="3"/>
    <n v="60"/>
    <n v="10"/>
    <d v="1998-01-13T00:00:00"/>
  </r>
  <r>
    <n v="10829"/>
    <x v="4"/>
    <n v="60"/>
    <n v="10"/>
    <d v="1998-01-13T00:00:00"/>
  </r>
  <r>
    <n v="10829"/>
    <x v="5"/>
    <n v="60"/>
    <n v="10"/>
    <d v="1998-01-13T00:00:00"/>
  </r>
  <r>
    <n v="10829"/>
    <x v="6"/>
    <n v="60"/>
    <n v="10"/>
    <d v="1998-01-13T00:00:00"/>
  </r>
  <r>
    <n v="10829"/>
    <x v="7"/>
    <n v="60"/>
    <n v="10"/>
    <d v="1998-01-13T00:00:00"/>
  </r>
  <r>
    <n v="10829"/>
    <x v="0"/>
    <n v="714"/>
    <n v="21"/>
    <d v="1998-01-13T00:00:00"/>
  </r>
  <r>
    <n v="10829"/>
    <x v="1"/>
    <n v="714"/>
    <n v="21"/>
    <d v="1998-01-13T00:00:00"/>
  </r>
  <r>
    <n v="10829"/>
    <x v="2"/>
    <n v="714"/>
    <n v="21"/>
    <d v="1998-01-13T00:00:00"/>
  </r>
  <r>
    <n v="10829"/>
    <x v="3"/>
    <n v="714"/>
    <n v="21"/>
    <d v="1998-01-13T00:00:00"/>
  </r>
  <r>
    <n v="10829"/>
    <x v="4"/>
    <n v="714"/>
    <n v="21"/>
    <d v="1998-01-13T00:00:00"/>
  </r>
  <r>
    <n v="10829"/>
    <x v="5"/>
    <n v="714"/>
    <n v="21"/>
    <d v="1998-01-13T00:00:00"/>
  </r>
  <r>
    <n v="10829"/>
    <x v="6"/>
    <n v="714"/>
    <n v="21"/>
    <d v="1998-01-13T00:00:00"/>
  </r>
  <r>
    <n v="10829"/>
    <x v="7"/>
    <n v="714"/>
    <n v="21"/>
    <d v="1998-01-13T00:00:00"/>
  </r>
  <r>
    <n v="10830"/>
    <x v="0"/>
    <n v="150"/>
    <n v="6"/>
    <d v="1998-01-13T00:00:00"/>
  </r>
  <r>
    <n v="10830"/>
    <x v="1"/>
    <n v="150"/>
    <n v="6"/>
    <d v="1998-01-13T00:00:00"/>
  </r>
  <r>
    <n v="10830"/>
    <x v="2"/>
    <n v="150"/>
    <n v="6"/>
    <d v="1998-01-13T00:00:00"/>
  </r>
  <r>
    <n v="10830"/>
    <x v="3"/>
    <n v="150"/>
    <n v="6"/>
    <d v="1998-01-13T00:00:00"/>
  </r>
  <r>
    <n v="10830"/>
    <x v="4"/>
    <n v="150"/>
    <n v="6"/>
    <d v="1998-01-13T00:00:00"/>
  </r>
  <r>
    <n v="10830"/>
    <x v="5"/>
    <n v="150"/>
    <n v="6"/>
    <d v="1998-01-13T00:00:00"/>
  </r>
  <r>
    <n v="10830"/>
    <x v="6"/>
    <n v="150"/>
    <n v="6"/>
    <d v="1998-01-13T00:00:00"/>
  </r>
  <r>
    <n v="10830"/>
    <x v="7"/>
    <n v="150"/>
    <n v="6"/>
    <d v="1998-01-13T00:00:00"/>
  </r>
  <r>
    <n v="10830"/>
    <x v="0"/>
    <n v="504"/>
    <n v="28"/>
    <d v="1998-01-13T00:00:00"/>
  </r>
  <r>
    <n v="10830"/>
    <x v="1"/>
    <n v="504"/>
    <n v="28"/>
    <d v="1998-01-13T00:00:00"/>
  </r>
  <r>
    <n v="10830"/>
    <x v="2"/>
    <n v="504"/>
    <n v="28"/>
    <d v="1998-01-13T00:00:00"/>
  </r>
  <r>
    <n v="10830"/>
    <x v="3"/>
    <n v="504"/>
    <n v="28"/>
    <d v="1998-01-13T00:00:00"/>
  </r>
  <r>
    <n v="10830"/>
    <x v="4"/>
    <n v="504"/>
    <n v="28"/>
    <d v="1998-01-13T00:00:00"/>
  </r>
  <r>
    <n v="10830"/>
    <x v="5"/>
    <n v="504"/>
    <n v="28"/>
    <d v="1998-01-13T00:00:00"/>
  </r>
  <r>
    <n v="10830"/>
    <x v="6"/>
    <n v="504"/>
    <n v="28"/>
    <d v="1998-01-13T00:00:00"/>
  </r>
  <r>
    <n v="10830"/>
    <x v="7"/>
    <n v="504"/>
    <n v="28"/>
    <d v="1998-01-13T00:00:00"/>
  </r>
  <r>
    <n v="10830"/>
    <x v="0"/>
    <n v="1020"/>
    <n v="30"/>
    <d v="1998-01-13T00:00:00"/>
  </r>
  <r>
    <n v="10830"/>
    <x v="1"/>
    <n v="1020"/>
    <n v="30"/>
    <d v="1998-01-13T00:00:00"/>
  </r>
  <r>
    <n v="10830"/>
    <x v="2"/>
    <n v="1020"/>
    <n v="30"/>
    <d v="1998-01-13T00:00:00"/>
  </r>
  <r>
    <n v="10830"/>
    <x v="3"/>
    <n v="1020"/>
    <n v="30"/>
    <d v="1998-01-13T00:00:00"/>
  </r>
  <r>
    <n v="10830"/>
    <x v="4"/>
    <n v="1020"/>
    <n v="30"/>
    <d v="1998-01-13T00:00:00"/>
  </r>
  <r>
    <n v="10830"/>
    <x v="5"/>
    <n v="1020"/>
    <n v="30"/>
    <d v="1998-01-13T00:00:00"/>
  </r>
  <r>
    <n v="10830"/>
    <x v="6"/>
    <n v="1020"/>
    <n v="30"/>
    <d v="1998-01-13T00:00:00"/>
  </r>
  <r>
    <n v="10830"/>
    <x v="7"/>
    <n v="1020"/>
    <n v="30"/>
    <d v="1998-01-13T00:00:00"/>
  </r>
  <r>
    <n v="10830"/>
    <x v="0"/>
    <n v="300"/>
    <n v="24"/>
    <d v="1998-01-13T00:00:00"/>
  </r>
  <r>
    <n v="10830"/>
    <x v="1"/>
    <n v="300"/>
    <n v="24"/>
    <d v="1998-01-13T00:00:00"/>
  </r>
  <r>
    <n v="10830"/>
    <x v="2"/>
    <n v="300"/>
    <n v="24"/>
    <d v="1998-01-13T00:00:00"/>
  </r>
  <r>
    <n v="10830"/>
    <x v="3"/>
    <n v="300"/>
    <n v="24"/>
    <d v="1998-01-13T00:00:00"/>
  </r>
  <r>
    <n v="10830"/>
    <x v="4"/>
    <n v="300"/>
    <n v="24"/>
    <d v="1998-01-13T00:00:00"/>
  </r>
  <r>
    <n v="10830"/>
    <x v="5"/>
    <n v="300"/>
    <n v="24"/>
    <d v="1998-01-13T00:00:00"/>
  </r>
  <r>
    <n v="10830"/>
    <x v="6"/>
    <n v="300"/>
    <n v="24"/>
    <d v="1998-01-13T00:00:00"/>
  </r>
  <r>
    <n v="10830"/>
    <x v="7"/>
    <n v="300"/>
    <n v="24"/>
    <d v="1998-01-13T00:00:00"/>
  </r>
  <r>
    <n v="10831"/>
    <x v="0"/>
    <n v="18.399999999999999"/>
    <n v="2"/>
    <d v="1998-01-14T00:00:00"/>
  </r>
  <r>
    <n v="10831"/>
    <x v="1"/>
    <n v="18.399999999999999"/>
    <n v="2"/>
    <d v="1998-01-14T00:00:00"/>
  </r>
  <r>
    <n v="10831"/>
    <x v="2"/>
    <n v="18.399999999999999"/>
    <n v="2"/>
    <d v="1998-01-14T00:00:00"/>
  </r>
  <r>
    <n v="10831"/>
    <x v="3"/>
    <n v="18.399999999999999"/>
    <n v="2"/>
    <d v="1998-01-14T00:00:00"/>
  </r>
  <r>
    <n v="10831"/>
    <x v="4"/>
    <n v="18.399999999999999"/>
    <n v="2"/>
    <d v="1998-01-14T00:00:00"/>
  </r>
  <r>
    <n v="10831"/>
    <x v="5"/>
    <n v="18.399999999999999"/>
    <n v="2"/>
    <d v="1998-01-14T00:00:00"/>
  </r>
  <r>
    <n v="10831"/>
    <x v="6"/>
    <n v="18.399999999999999"/>
    <n v="2"/>
    <d v="1998-01-14T00:00:00"/>
  </r>
  <r>
    <n v="10831"/>
    <x v="7"/>
    <n v="18.399999999999999"/>
    <n v="2"/>
    <d v="1998-01-14T00:00:00"/>
  </r>
  <r>
    <n v="10831"/>
    <x v="0"/>
    <n v="144"/>
    <n v="8"/>
    <d v="1998-01-14T00:00:00"/>
  </r>
  <r>
    <n v="10831"/>
    <x v="1"/>
    <n v="144"/>
    <n v="8"/>
    <d v="1998-01-14T00:00:00"/>
  </r>
  <r>
    <n v="10831"/>
    <x v="2"/>
    <n v="144"/>
    <n v="8"/>
    <d v="1998-01-14T00:00:00"/>
  </r>
  <r>
    <n v="10831"/>
    <x v="3"/>
    <n v="144"/>
    <n v="8"/>
    <d v="1998-01-14T00:00:00"/>
  </r>
  <r>
    <n v="10831"/>
    <x v="4"/>
    <n v="144"/>
    <n v="8"/>
    <d v="1998-01-14T00:00:00"/>
  </r>
  <r>
    <n v="10831"/>
    <x v="5"/>
    <n v="144"/>
    <n v="8"/>
    <d v="1998-01-14T00:00:00"/>
  </r>
  <r>
    <n v="10831"/>
    <x v="6"/>
    <n v="144"/>
    <n v="8"/>
    <d v="1998-01-14T00:00:00"/>
  </r>
  <r>
    <n v="10831"/>
    <x v="7"/>
    <n v="144"/>
    <n v="8"/>
    <d v="1998-01-14T00:00:00"/>
  </r>
  <r>
    <n v="10831"/>
    <x v="0"/>
    <n v="2108"/>
    <n v="8"/>
    <d v="1998-01-14T00:00:00"/>
  </r>
  <r>
    <n v="10831"/>
    <x v="1"/>
    <n v="2108"/>
    <n v="8"/>
    <d v="1998-01-14T00:00:00"/>
  </r>
  <r>
    <n v="10831"/>
    <x v="2"/>
    <n v="2108"/>
    <n v="8"/>
    <d v="1998-01-14T00:00:00"/>
  </r>
  <r>
    <n v="10831"/>
    <x v="3"/>
    <n v="2108"/>
    <n v="8"/>
    <d v="1998-01-14T00:00:00"/>
  </r>
  <r>
    <n v="10831"/>
    <x v="4"/>
    <n v="2108"/>
    <n v="8"/>
    <d v="1998-01-14T00:00:00"/>
  </r>
  <r>
    <n v="10831"/>
    <x v="5"/>
    <n v="2108"/>
    <n v="8"/>
    <d v="1998-01-14T00:00:00"/>
  </r>
  <r>
    <n v="10831"/>
    <x v="6"/>
    <n v="2108"/>
    <n v="8"/>
    <d v="1998-01-14T00:00:00"/>
  </r>
  <r>
    <n v="10831"/>
    <x v="7"/>
    <n v="2108"/>
    <n v="8"/>
    <d v="1998-01-14T00:00:00"/>
  </r>
  <r>
    <n v="10831"/>
    <x v="0"/>
    <n v="414"/>
    <n v="9"/>
    <d v="1998-01-14T00:00:00"/>
  </r>
  <r>
    <n v="10831"/>
    <x v="1"/>
    <n v="414"/>
    <n v="9"/>
    <d v="1998-01-14T00:00:00"/>
  </r>
  <r>
    <n v="10831"/>
    <x v="2"/>
    <n v="414"/>
    <n v="9"/>
    <d v="1998-01-14T00:00:00"/>
  </r>
  <r>
    <n v="10831"/>
    <x v="3"/>
    <n v="414"/>
    <n v="9"/>
    <d v="1998-01-14T00:00:00"/>
  </r>
  <r>
    <n v="10831"/>
    <x v="4"/>
    <n v="414"/>
    <n v="9"/>
    <d v="1998-01-14T00:00:00"/>
  </r>
  <r>
    <n v="10831"/>
    <x v="5"/>
    <n v="414"/>
    <n v="9"/>
    <d v="1998-01-14T00:00:00"/>
  </r>
  <r>
    <n v="10831"/>
    <x v="6"/>
    <n v="414"/>
    <n v="9"/>
    <d v="1998-01-14T00:00:00"/>
  </r>
  <r>
    <n v="10831"/>
    <x v="7"/>
    <n v="414"/>
    <n v="9"/>
    <d v="1998-01-14T00:00:00"/>
  </r>
  <r>
    <n v="10832"/>
    <x v="0"/>
    <n v="14.39999994635582"/>
    <n v="3"/>
    <d v="1998-01-14T00:00:00"/>
  </r>
  <r>
    <n v="10832"/>
    <x v="1"/>
    <n v="14.39999994635582"/>
    <n v="3"/>
    <d v="1998-01-14T00:00:00"/>
  </r>
  <r>
    <n v="10832"/>
    <x v="2"/>
    <n v="14.39999994635582"/>
    <n v="3"/>
    <d v="1998-01-14T00:00:00"/>
  </r>
  <r>
    <n v="10832"/>
    <x v="3"/>
    <n v="14.39999994635582"/>
    <n v="3"/>
    <d v="1998-01-14T00:00:00"/>
  </r>
  <r>
    <n v="10832"/>
    <x v="4"/>
    <n v="14.39999994635582"/>
    <n v="3"/>
    <d v="1998-01-14T00:00:00"/>
  </r>
  <r>
    <n v="10832"/>
    <x v="5"/>
    <n v="14.39999994635582"/>
    <n v="3"/>
    <d v="1998-01-14T00:00:00"/>
  </r>
  <r>
    <n v="10832"/>
    <x v="6"/>
    <n v="14.39999994635582"/>
    <n v="3"/>
    <d v="1998-01-14T00:00:00"/>
  </r>
  <r>
    <n v="10832"/>
    <x v="7"/>
    <n v="14.39999994635582"/>
    <n v="3"/>
    <d v="1998-01-14T00:00:00"/>
  </r>
  <r>
    <n v="10832"/>
    <x v="0"/>
    <n v="111.99999958276749"/>
    <n v="10"/>
    <d v="1998-01-14T00:00:00"/>
  </r>
  <r>
    <n v="10832"/>
    <x v="1"/>
    <n v="111.99999958276749"/>
    <n v="10"/>
    <d v="1998-01-14T00:00:00"/>
  </r>
  <r>
    <n v="10832"/>
    <x v="2"/>
    <n v="111.99999958276749"/>
    <n v="10"/>
    <d v="1998-01-14T00:00:00"/>
  </r>
  <r>
    <n v="10832"/>
    <x v="3"/>
    <n v="111.99999958276749"/>
    <n v="10"/>
    <d v="1998-01-14T00:00:00"/>
  </r>
  <r>
    <n v="10832"/>
    <x v="4"/>
    <n v="111.99999958276749"/>
    <n v="10"/>
    <d v="1998-01-14T00:00:00"/>
  </r>
  <r>
    <n v="10832"/>
    <x v="5"/>
    <n v="111.99999958276749"/>
    <n v="10"/>
    <d v="1998-01-14T00:00:00"/>
  </r>
  <r>
    <n v="10832"/>
    <x v="6"/>
    <n v="111.99999958276749"/>
    <n v="10"/>
    <d v="1998-01-14T00:00:00"/>
  </r>
  <r>
    <n v="10832"/>
    <x v="7"/>
    <n v="111.99999958276749"/>
    <n v="10"/>
    <d v="1998-01-14T00:00:00"/>
  </r>
  <r>
    <n v="10832"/>
    <x v="0"/>
    <n v="248.95999907255171"/>
    <n v="16"/>
    <d v="1998-01-14T00:00:00"/>
  </r>
  <r>
    <n v="10832"/>
    <x v="1"/>
    <n v="248.95999907255171"/>
    <n v="16"/>
    <d v="1998-01-14T00:00:00"/>
  </r>
  <r>
    <n v="10832"/>
    <x v="2"/>
    <n v="248.95999907255171"/>
    <n v="16"/>
    <d v="1998-01-14T00:00:00"/>
  </r>
  <r>
    <n v="10832"/>
    <x v="3"/>
    <n v="248.95999907255171"/>
    <n v="16"/>
    <d v="1998-01-14T00:00:00"/>
  </r>
  <r>
    <n v="10832"/>
    <x v="4"/>
    <n v="248.95999907255171"/>
    <n v="16"/>
    <d v="1998-01-14T00:00:00"/>
  </r>
  <r>
    <n v="10832"/>
    <x v="5"/>
    <n v="248.95999907255171"/>
    <n v="16"/>
    <d v="1998-01-14T00:00:00"/>
  </r>
  <r>
    <n v="10832"/>
    <x v="6"/>
    <n v="248.95999907255171"/>
    <n v="16"/>
    <d v="1998-01-14T00:00:00"/>
  </r>
  <r>
    <n v="10832"/>
    <x v="7"/>
    <n v="248.95999907255171"/>
    <n v="16"/>
    <d v="1998-01-14T00:00:00"/>
  </r>
  <r>
    <n v="10832"/>
    <x v="0"/>
    <n v="99.75"/>
    <n v="3"/>
    <d v="1998-01-14T00:00:00"/>
  </r>
  <r>
    <n v="10832"/>
    <x v="1"/>
    <n v="99.75"/>
    <n v="3"/>
    <d v="1998-01-14T00:00:00"/>
  </r>
  <r>
    <n v="10832"/>
    <x v="2"/>
    <n v="99.75"/>
    <n v="3"/>
    <d v="1998-01-14T00:00:00"/>
  </r>
  <r>
    <n v="10832"/>
    <x v="3"/>
    <n v="99.75"/>
    <n v="3"/>
    <d v="1998-01-14T00:00:00"/>
  </r>
  <r>
    <n v="10832"/>
    <x v="4"/>
    <n v="99.75"/>
    <n v="3"/>
    <d v="1998-01-14T00:00:00"/>
  </r>
  <r>
    <n v="10832"/>
    <x v="5"/>
    <n v="99.75"/>
    <n v="3"/>
    <d v="1998-01-14T00:00:00"/>
  </r>
  <r>
    <n v="10832"/>
    <x v="6"/>
    <n v="99.75"/>
    <n v="3"/>
    <d v="1998-01-14T00:00:00"/>
  </r>
  <r>
    <n v="10832"/>
    <x v="7"/>
    <n v="99.75"/>
    <n v="3"/>
    <d v="1998-01-14T00:00:00"/>
  </r>
  <r>
    <n v="10833"/>
    <x v="0"/>
    <n v="539.99999910593033"/>
    <n v="20"/>
    <d v="1998-01-15T00:00:00"/>
  </r>
  <r>
    <n v="10833"/>
    <x v="1"/>
    <n v="539.99999910593033"/>
    <n v="20"/>
    <d v="1998-01-15T00:00:00"/>
  </r>
  <r>
    <n v="10833"/>
    <x v="2"/>
    <n v="539.99999910593033"/>
    <n v="20"/>
    <d v="1998-01-15T00:00:00"/>
  </r>
  <r>
    <n v="10833"/>
    <x v="3"/>
    <n v="539.99999910593033"/>
    <n v="20"/>
    <d v="1998-01-15T00:00:00"/>
  </r>
  <r>
    <n v="10833"/>
    <x v="4"/>
    <n v="539.99999910593033"/>
    <n v="20"/>
    <d v="1998-01-15T00:00:00"/>
  </r>
  <r>
    <n v="10833"/>
    <x v="5"/>
    <n v="539.99999910593033"/>
    <n v="20"/>
    <d v="1998-01-15T00:00:00"/>
  </r>
  <r>
    <n v="10833"/>
    <x v="6"/>
    <n v="539.99999910593033"/>
    <n v="20"/>
    <d v="1998-01-15T00:00:00"/>
  </r>
  <r>
    <n v="10833"/>
    <x v="7"/>
    <n v="539.99999910593033"/>
    <n v="20"/>
    <d v="1998-01-15T00:00:00"/>
  </r>
  <r>
    <n v="10833"/>
    <x v="0"/>
    <n v="101.24999983236194"/>
    <n v="9"/>
    <d v="1998-01-15T00:00:00"/>
  </r>
  <r>
    <n v="10833"/>
    <x v="1"/>
    <n v="101.24999983236194"/>
    <n v="9"/>
    <d v="1998-01-15T00:00:00"/>
  </r>
  <r>
    <n v="10833"/>
    <x v="2"/>
    <n v="101.24999983236194"/>
    <n v="9"/>
    <d v="1998-01-15T00:00:00"/>
  </r>
  <r>
    <n v="10833"/>
    <x v="3"/>
    <n v="101.24999983236194"/>
    <n v="9"/>
    <d v="1998-01-15T00:00:00"/>
  </r>
  <r>
    <n v="10833"/>
    <x v="4"/>
    <n v="101.24999983236194"/>
    <n v="9"/>
    <d v="1998-01-15T00:00:00"/>
  </r>
  <r>
    <n v="10833"/>
    <x v="5"/>
    <n v="101.24999983236194"/>
    <n v="9"/>
    <d v="1998-01-15T00:00:00"/>
  </r>
  <r>
    <n v="10833"/>
    <x v="6"/>
    <n v="101.24999983236194"/>
    <n v="9"/>
    <d v="1998-01-15T00:00:00"/>
  </r>
  <r>
    <n v="10833"/>
    <x v="7"/>
    <n v="101.24999983236194"/>
    <n v="9"/>
    <d v="1998-01-15T00:00:00"/>
  </r>
  <r>
    <n v="10833"/>
    <x v="0"/>
    <n v="265.67999956011772"/>
    <n v="9"/>
    <d v="1998-01-15T00:00:00"/>
  </r>
  <r>
    <n v="10833"/>
    <x v="1"/>
    <n v="265.67999956011772"/>
    <n v="9"/>
    <d v="1998-01-15T00:00:00"/>
  </r>
  <r>
    <n v="10833"/>
    <x v="2"/>
    <n v="265.67999956011772"/>
    <n v="9"/>
    <d v="1998-01-15T00:00:00"/>
  </r>
  <r>
    <n v="10833"/>
    <x v="3"/>
    <n v="265.67999956011772"/>
    <n v="9"/>
    <d v="1998-01-15T00:00:00"/>
  </r>
  <r>
    <n v="10833"/>
    <x v="4"/>
    <n v="265.67999956011772"/>
    <n v="9"/>
    <d v="1998-01-15T00:00:00"/>
  </r>
  <r>
    <n v="10833"/>
    <x v="5"/>
    <n v="265.67999956011772"/>
    <n v="9"/>
    <d v="1998-01-15T00:00:00"/>
  </r>
  <r>
    <n v="10833"/>
    <x v="6"/>
    <n v="265.67999956011772"/>
    <n v="9"/>
    <d v="1998-01-15T00:00:00"/>
  </r>
  <r>
    <n v="10833"/>
    <x v="7"/>
    <n v="265.67999956011772"/>
    <n v="9"/>
    <d v="1998-01-15T00:00:00"/>
  </r>
  <r>
    <n v="10834"/>
    <x v="0"/>
    <n v="940.80399926215409"/>
    <n v="8"/>
    <d v="1998-01-15T00:00:00"/>
  </r>
  <r>
    <n v="10834"/>
    <x v="1"/>
    <n v="940.80399926215409"/>
    <n v="8"/>
    <d v="1998-01-15T00:00:00"/>
  </r>
  <r>
    <n v="10834"/>
    <x v="2"/>
    <n v="940.80399926215409"/>
    <n v="8"/>
    <d v="1998-01-15T00:00:00"/>
  </r>
  <r>
    <n v="10834"/>
    <x v="3"/>
    <n v="940.80399926215409"/>
    <n v="8"/>
    <d v="1998-01-15T00:00:00"/>
  </r>
  <r>
    <n v="10834"/>
    <x v="4"/>
    <n v="940.80399926215409"/>
    <n v="8"/>
    <d v="1998-01-15T00:00:00"/>
  </r>
  <r>
    <n v="10834"/>
    <x v="5"/>
    <n v="940.80399926215409"/>
    <n v="8"/>
    <d v="1998-01-15T00:00:00"/>
  </r>
  <r>
    <n v="10834"/>
    <x v="6"/>
    <n v="940.80399926215409"/>
    <n v="8"/>
    <d v="1998-01-15T00:00:00"/>
  </r>
  <r>
    <n v="10834"/>
    <x v="7"/>
    <n v="940.80399926215409"/>
    <n v="8"/>
    <d v="1998-01-15T00:00:00"/>
  </r>
  <r>
    <n v="10834"/>
    <x v="0"/>
    <n v="491.90999961420891"/>
    <n v="20"/>
    <d v="1998-01-15T00:00:00"/>
  </r>
  <r>
    <n v="10834"/>
    <x v="1"/>
    <n v="491.90999961420891"/>
    <n v="20"/>
    <d v="1998-01-15T00:00:00"/>
  </r>
  <r>
    <n v="10834"/>
    <x v="2"/>
    <n v="491.90999961420891"/>
    <n v="20"/>
    <d v="1998-01-15T00:00:00"/>
  </r>
  <r>
    <n v="10834"/>
    <x v="3"/>
    <n v="491.90999961420891"/>
    <n v="20"/>
    <d v="1998-01-15T00:00:00"/>
  </r>
  <r>
    <n v="10834"/>
    <x v="4"/>
    <n v="491.90999961420891"/>
    <n v="20"/>
    <d v="1998-01-15T00:00:00"/>
  </r>
  <r>
    <n v="10834"/>
    <x v="5"/>
    <n v="491.90999961420891"/>
    <n v="20"/>
    <d v="1998-01-15T00:00:00"/>
  </r>
  <r>
    <n v="10834"/>
    <x v="6"/>
    <n v="491.90999961420891"/>
    <n v="20"/>
    <d v="1998-01-15T00:00:00"/>
  </r>
  <r>
    <n v="10834"/>
    <x v="7"/>
    <n v="491.90999961420891"/>
    <n v="20"/>
    <d v="1998-01-15T00:00:00"/>
  </r>
  <r>
    <n v="10835"/>
    <x v="0"/>
    <n v="825"/>
    <n v="15"/>
    <d v="1998-01-15T00:00:00"/>
  </r>
  <r>
    <n v="10835"/>
    <x v="1"/>
    <n v="825"/>
    <n v="15"/>
    <d v="1998-01-15T00:00:00"/>
  </r>
  <r>
    <n v="10835"/>
    <x v="2"/>
    <n v="825"/>
    <n v="15"/>
    <d v="1998-01-15T00:00:00"/>
  </r>
  <r>
    <n v="10835"/>
    <x v="3"/>
    <n v="825"/>
    <n v="15"/>
    <d v="1998-01-15T00:00:00"/>
  </r>
  <r>
    <n v="10835"/>
    <x v="4"/>
    <n v="825"/>
    <n v="15"/>
    <d v="1998-01-15T00:00:00"/>
  </r>
  <r>
    <n v="10835"/>
    <x v="5"/>
    <n v="825"/>
    <n v="15"/>
    <d v="1998-01-15T00:00:00"/>
  </r>
  <r>
    <n v="10835"/>
    <x v="6"/>
    <n v="825"/>
    <n v="15"/>
    <d v="1998-01-15T00:00:00"/>
  </r>
  <r>
    <n v="10835"/>
    <x v="7"/>
    <n v="825"/>
    <n v="15"/>
    <d v="1998-01-15T00:00:00"/>
  </r>
  <r>
    <n v="10835"/>
    <x v="0"/>
    <n v="23.999999910593033"/>
    <n v="2"/>
    <d v="1998-01-15T00:00:00"/>
  </r>
  <r>
    <n v="10835"/>
    <x v="1"/>
    <n v="23.999999910593033"/>
    <n v="2"/>
    <d v="1998-01-15T00:00:00"/>
  </r>
  <r>
    <n v="10835"/>
    <x v="2"/>
    <n v="23.999999910593033"/>
    <n v="2"/>
    <d v="1998-01-15T00:00:00"/>
  </r>
  <r>
    <n v="10835"/>
    <x v="3"/>
    <n v="23.999999910593033"/>
    <n v="2"/>
    <d v="1998-01-15T00:00:00"/>
  </r>
  <r>
    <n v="10835"/>
    <x v="4"/>
    <n v="23.999999910593033"/>
    <n v="2"/>
    <d v="1998-01-15T00:00:00"/>
  </r>
  <r>
    <n v="10835"/>
    <x v="5"/>
    <n v="23.999999910593033"/>
    <n v="2"/>
    <d v="1998-01-15T00:00:00"/>
  </r>
  <r>
    <n v="10835"/>
    <x v="6"/>
    <n v="23.999999910593033"/>
    <n v="2"/>
    <d v="1998-01-15T00:00:00"/>
  </r>
  <r>
    <n v="10835"/>
    <x v="7"/>
    <n v="23.999999910593033"/>
    <n v="2"/>
    <d v="1998-01-15T00:00:00"/>
  </r>
  <r>
    <n v="10836"/>
    <x v="0"/>
    <n v="1092"/>
    <n v="52"/>
    <d v="1998-01-16T00:00:00"/>
  </r>
  <r>
    <n v="10836"/>
    <x v="1"/>
    <n v="1092"/>
    <n v="52"/>
    <d v="1998-01-16T00:00:00"/>
  </r>
  <r>
    <n v="10836"/>
    <x v="2"/>
    <n v="1092"/>
    <n v="52"/>
    <d v="1998-01-16T00:00:00"/>
  </r>
  <r>
    <n v="10836"/>
    <x v="3"/>
    <n v="1092"/>
    <n v="52"/>
    <d v="1998-01-16T00:00:00"/>
  </r>
  <r>
    <n v="10836"/>
    <x v="4"/>
    <n v="1092"/>
    <n v="52"/>
    <d v="1998-01-16T00:00:00"/>
  </r>
  <r>
    <n v="10836"/>
    <x v="5"/>
    <n v="1092"/>
    <n v="52"/>
    <d v="1998-01-16T00:00:00"/>
  </r>
  <r>
    <n v="10836"/>
    <x v="6"/>
    <n v="1092"/>
    <n v="52"/>
    <d v="1998-01-16T00:00:00"/>
  </r>
  <r>
    <n v="10836"/>
    <x v="7"/>
    <n v="1092"/>
    <n v="52"/>
    <d v="1998-01-16T00:00:00"/>
  </r>
  <r>
    <n v="10836"/>
    <x v="0"/>
    <n v="108"/>
    <n v="6"/>
    <d v="1998-01-16T00:00:00"/>
  </r>
  <r>
    <n v="10836"/>
    <x v="1"/>
    <n v="108"/>
    <n v="6"/>
    <d v="1998-01-16T00:00:00"/>
  </r>
  <r>
    <n v="10836"/>
    <x v="2"/>
    <n v="108"/>
    <n v="6"/>
    <d v="1998-01-16T00:00:00"/>
  </r>
  <r>
    <n v="10836"/>
    <x v="3"/>
    <n v="108"/>
    <n v="6"/>
    <d v="1998-01-16T00:00:00"/>
  </r>
  <r>
    <n v="10836"/>
    <x v="4"/>
    <n v="108"/>
    <n v="6"/>
    <d v="1998-01-16T00:00:00"/>
  </r>
  <r>
    <n v="10836"/>
    <x v="5"/>
    <n v="108"/>
    <n v="6"/>
    <d v="1998-01-16T00:00:00"/>
  </r>
  <r>
    <n v="10836"/>
    <x v="6"/>
    <n v="108"/>
    <n v="6"/>
    <d v="1998-01-16T00:00:00"/>
  </r>
  <r>
    <n v="10836"/>
    <x v="7"/>
    <n v="108"/>
    <n v="6"/>
    <d v="1998-01-16T00:00:00"/>
  </r>
  <r>
    <n v="10836"/>
    <x v="0"/>
    <n v="468"/>
    <n v="24"/>
    <d v="1998-01-16T00:00:00"/>
  </r>
  <r>
    <n v="10836"/>
    <x v="1"/>
    <n v="468"/>
    <n v="24"/>
    <d v="1998-01-16T00:00:00"/>
  </r>
  <r>
    <n v="10836"/>
    <x v="2"/>
    <n v="468"/>
    <n v="24"/>
    <d v="1998-01-16T00:00:00"/>
  </r>
  <r>
    <n v="10836"/>
    <x v="3"/>
    <n v="468"/>
    <n v="24"/>
    <d v="1998-01-16T00:00:00"/>
  </r>
  <r>
    <n v="10836"/>
    <x v="4"/>
    <n v="468"/>
    <n v="24"/>
    <d v="1998-01-16T00:00:00"/>
  </r>
  <r>
    <n v="10836"/>
    <x v="5"/>
    <n v="468"/>
    <n v="24"/>
    <d v="1998-01-16T00:00:00"/>
  </r>
  <r>
    <n v="10836"/>
    <x v="6"/>
    <n v="468"/>
    <n v="24"/>
    <d v="1998-01-16T00:00:00"/>
  </r>
  <r>
    <n v="10836"/>
    <x v="7"/>
    <n v="468"/>
    <n v="24"/>
    <d v="1998-01-16T00:00:00"/>
  </r>
  <r>
    <n v="10836"/>
    <x v="0"/>
    <n v="2040"/>
    <n v="60"/>
    <d v="1998-01-16T00:00:00"/>
  </r>
  <r>
    <n v="10836"/>
    <x v="1"/>
    <n v="2040"/>
    <n v="60"/>
    <d v="1998-01-16T00:00:00"/>
  </r>
  <r>
    <n v="10836"/>
    <x v="2"/>
    <n v="2040"/>
    <n v="60"/>
    <d v="1998-01-16T00:00:00"/>
  </r>
  <r>
    <n v="10836"/>
    <x v="3"/>
    <n v="2040"/>
    <n v="60"/>
    <d v="1998-01-16T00:00:00"/>
  </r>
  <r>
    <n v="10836"/>
    <x v="4"/>
    <n v="2040"/>
    <n v="60"/>
    <d v="1998-01-16T00:00:00"/>
  </r>
  <r>
    <n v="10836"/>
    <x v="5"/>
    <n v="2040"/>
    <n v="60"/>
    <d v="1998-01-16T00:00:00"/>
  </r>
  <r>
    <n v="10836"/>
    <x v="6"/>
    <n v="2040"/>
    <n v="60"/>
    <d v="1998-01-16T00:00:00"/>
  </r>
  <r>
    <n v="10836"/>
    <x v="7"/>
    <n v="2040"/>
    <n v="60"/>
    <d v="1998-01-16T00:00:00"/>
  </r>
  <r>
    <n v="10836"/>
    <x v="0"/>
    <n v="997.5"/>
    <n v="30"/>
    <d v="1998-01-16T00:00:00"/>
  </r>
  <r>
    <n v="10836"/>
    <x v="1"/>
    <n v="997.5"/>
    <n v="30"/>
    <d v="1998-01-16T00:00:00"/>
  </r>
  <r>
    <n v="10836"/>
    <x v="2"/>
    <n v="997.5"/>
    <n v="30"/>
    <d v="1998-01-16T00:00:00"/>
  </r>
  <r>
    <n v="10836"/>
    <x v="3"/>
    <n v="997.5"/>
    <n v="30"/>
    <d v="1998-01-16T00:00:00"/>
  </r>
  <r>
    <n v="10836"/>
    <x v="4"/>
    <n v="997.5"/>
    <n v="30"/>
    <d v="1998-01-16T00:00:00"/>
  </r>
  <r>
    <n v="10836"/>
    <x v="5"/>
    <n v="997.5"/>
    <n v="30"/>
    <d v="1998-01-16T00:00:00"/>
  </r>
  <r>
    <n v="10836"/>
    <x v="6"/>
    <n v="997.5"/>
    <n v="30"/>
    <d v="1998-01-16T00:00:00"/>
  </r>
  <r>
    <n v="10836"/>
    <x v="7"/>
    <n v="997.5"/>
    <n v="30"/>
    <d v="1998-01-16T00:00:00"/>
  </r>
  <r>
    <n v="10837"/>
    <x v="0"/>
    <n v="36"/>
    <n v="6"/>
    <d v="1998-01-16T00:00:00"/>
  </r>
  <r>
    <n v="10837"/>
    <x v="1"/>
    <n v="36"/>
    <n v="6"/>
    <d v="1998-01-16T00:00:00"/>
  </r>
  <r>
    <n v="10837"/>
    <x v="2"/>
    <n v="36"/>
    <n v="6"/>
    <d v="1998-01-16T00:00:00"/>
  </r>
  <r>
    <n v="10837"/>
    <x v="3"/>
    <n v="36"/>
    <n v="6"/>
    <d v="1998-01-16T00:00:00"/>
  </r>
  <r>
    <n v="10837"/>
    <x v="4"/>
    <n v="36"/>
    <n v="6"/>
    <d v="1998-01-16T00:00:00"/>
  </r>
  <r>
    <n v="10837"/>
    <x v="5"/>
    <n v="36"/>
    <n v="6"/>
    <d v="1998-01-16T00:00:00"/>
  </r>
  <r>
    <n v="10837"/>
    <x v="6"/>
    <n v="36"/>
    <n v="6"/>
    <d v="1998-01-16T00:00:00"/>
  </r>
  <r>
    <n v="10837"/>
    <x v="7"/>
    <n v="36"/>
    <n v="6"/>
    <d v="1998-01-16T00:00:00"/>
  </r>
  <r>
    <n v="10837"/>
    <x v="0"/>
    <n v="460"/>
    <n v="25"/>
    <d v="1998-01-16T00:00:00"/>
  </r>
  <r>
    <n v="10837"/>
    <x v="1"/>
    <n v="460"/>
    <n v="25"/>
    <d v="1998-01-16T00:00:00"/>
  </r>
  <r>
    <n v="10837"/>
    <x v="2"/>
    <n v="460"/>
    <n v="25"/>
    <d v="1998-01-16T00:00:00"/>
  </r>
  <r>
    <n v="10837"/>
    <x v="3"/>
    <n v="460"/>
    <n v="25"/>
    <d v="1998-01-16T00:00:00"/>
  </r>
  <r>
    <n v="10837"/>
    <x v="4"/>
    <n v="460"/>
    <n v="25"/>
    <d v="1998-01-16T00:00:00"/>
  </r>
  <r>
    <n v="10837"/>
    <x v="5"/>
    <n v="460"/>
    <n v="25"/>
    <d v="1998-01-16T00:00:00"/>
  </r>
  <r>
    <n v="10837"/>
    <x v="6"/>
    <n v="460"/>
    <n v="25"/>
    <d v="1998-01-16T00:00:00"/>
  </r>
  <r>
    <n v="10837"/>
    <x v="7"/>
    <n v="460"/>
    <n v="25"/>
    <d v="1998-01-16T00:00:00"/>
  </r>
  <r>
    <n v="10837"/>
    <x v="0"/>
    <n v="285"/>
    <n v="40"/>
    <d v="1998-01-16T00:00:00"/>
  </r>
  <r>
    <n v="10837"/>
    <x v="1"/>
    <n v="285"/>
    <n v="40"/>
    <d v="1998-01-16T00:00:00"/>
  </r>
  <r>
    <n v="10837"/>
    <x v="2"/>
    <n v="285"/>
    <n v="40"/>
    <d v="1998-01-16T00:00:00"/>
  </r>
  <r>
    <n v="10837"/>
    <x v="3"/>
    <n v="285"/>
    <n v="40"/>
    <d v="1998-01-16T00:00:00"/>
  </r>
  <r>
    <n v="10837"/>
    <x v="4"/>
    <n v="285"/>
    <n v="40"/>
    <d v="1998-01-16T00:00:00"/>
  </r>
  <r>
    <n v="10837"/>
    <x v="5"/>
    <n v="285"/>
    <n v="40"/>
    <d v="1998-01-16T00:00:00"/>
  </r>
  <r>
    <n v="10837"/>
    <x v="6"/>
    <n v="285"/>
    <n v="40"/>
    <d v="1998-01-16T00:00:00"/>
  </r>
  <r>
    <n v="10837"/>
    <x v="7"/>
    <n v="285"/>
    <n v="40"/>
    <d v="1998-01-16T00:00:00"/>
  </r>
  <r>
    <n v="10837"/>
    <x v="0"/>
    <n v="283.5"/>
    <n v="21"/>
    <d v="1998-01-16T00:00:00"/>
  </r>
  <r>
    <n v="10837"/>
    <x v="1"/>
    <n v="283.5"/>
    <n v="21"/>
    <d v="1998-01-16T00:00:00"/>
  </r>
  <r>
    <n v="10837"/>
    <x v="2"/>
    <n v="283.5"/>
    <n v="21"/>
    <d v="1998-01-16T00:00:00"/>
  </r>
  <r>
    <n v="10837"/>
    <x v="3"/>
    <n v="283.5"/>
    <n v="21"/>
    <d v="1998-01-16T00:00:00"/>
  </r>
  <r>
    <n v="10837"/>
    <x v="4"/>
    <n v="283.5"/>
    <n v="21"/>
    <d v="1998-01-16T00:00:00"/>
  </r>
  <r>
    <n v="10837"/>
    <x v="5"/>
    <n v="283.5"/>
    <n v="21"/>
    <d v="1998-01-16T00:00:00"/>
  </r>
  <r>
    <n v="10837"/>
    <x v="6"/>
    <n v="283.5"/>
    <n v="21"/>
    <d v="1998-01-16T00:00:00"/>
  </r>
  <r>
    <n v="10837"/>
    <x v="7"/>
    <n v="283.5"/>
    <n v="21"/>
    <d v="1998-01-16T00:00:00"/>
  </r>
  <r>
    <n v="10838"/>
    <x v="0"/>
    <n v="54"/>
    <n v="4"/>
    <d v="1998-01-19T00:00:00"/>
  </r>
  <r>
    <n v="10838"/>
    <x v="1"/>
    <n v="54"/>
    <n v="4"/>
    <d v="1998-01-19T00:00:00"/>
  </r>
  <r>
    <n v="10838"/>
    <x v="2"/>
    <n v="54"/>
    <n v="4"/>
    <d v="1998-01-19T00:00:00"/>
  </r>
  <r>
    <n v="10838"/>
    <x v="3"/>
    <n v="54"/>
    <n v="4"/>
    <d v="1998-01-19T00:00:00"/>
  </r>
  <r>
    <n v="10838"/>
    <x v="4"/>
    <n v="54"/>
    <n v="4"/>
    <d v="1998-01-19T00:00:00"/>
  </r>
  <r>
    <n v="10838"/>
    <x v="5"/>
    <n v="54"/>
    <n v="4"/>
    <d v="1998-01-19T00:00:00"/>
  </r>
  <r>
    <n v="10838"/>
    <x v="6"/>
    <n v="54"/>
    <n v="4"/>
    <d v="1998-01-19T00:00:00"/>
  </r>
  <r>
    <n v="10838"/>
    <x v="7"/>
    <n v="54"/>
    <n v="4"/>
    <d v="1998-01-19T00:00:00"/>
  </r>
  <r>
    <n v="10838"/>
    <x v="0"/>
    <n v="1171.875"/>
    <n v="25"/>
    <d v="1998-01-19T00:00:00"/>
  </r>
  <r>
    <n v="10838"/>
    <x v="1"/>
    <n v="1171.875"/>
    <n v="25"/>
    <d v="1998-01-19T00:00:00"/>
  </r>
  <r>
    <n v="10838"/>
    <x v="2"/>
    <n v="1171.875"/>
    <n v="25"/>
    <d v="1998-01-19T00:00:00"/>
  </r>
  <r>
    <n v="10838"/>
    <x v="3"/>
    <n v="1171.875"/>
    <n v="25"/>
    <d v="1998-01-19T00:00:00"/>
  </r>
  <r>
    <n v="10838"/>
    <x v="4"/>
    <n v="1171.875"/>
    <n v="25"/>
    <d v="1998-01-19T00:00:00"/>
  </r>
  <r>
    <n v="10838"/>
    <x v="5"/>
    <n v="1171.875"/>
    <n v="25"/>
    <d v="1998-01-19T00:00:00"/>
  </r>
  <r>
    <n v="10838"/>
    <x v="6"/>
    <n v="1171.875"/>
    <n v="25"/>
    <d v="1998-01-19T00:00:00"/>
  </r>
  <r>
    <n v="10838"/>
    <x v="7"/>
    <n v="1171.875"/>
    <n v="25"/>
    <d v="1998-01-19T00:00:00"/>
  </r>
  <r>
    <n v="10838"/>
    <x v="0"/>
    <n v="712.5"/>
    <n v="50"/>
    <d v="1998-01-19T00:00:00"/>
  </r>
  <r>
    <n v="10838"/>
    <x v="1"/>
    <n v="712.5"/>
    <n v="50"/>
    <d v="1998-01-19T00:00:00"/>
  </r>
  <r>
    <n v="10838"/>
    <x v="2"/>
    <n v="712.5"/>
    <n v="50"/>
    <d v="1998-01-19T00:00:00"/>
  </r>
  <r>
    <n v="10838"/>
    <x v="3"/>
    <n v="712.5"/>
    <n v="50"/>
    <d v="1998-01-19T00:00:00"/>
  </r>
  <r>
    <n v="10838"/>
    <x v="4"/>
    <n v="712.5"/>
    <n v="50"/>
    <d v="1998-01-19T00:00:00"/>
  </r>
  <r>
    <n v="10838"/>
    <x v="5"/>
    <n v="712.5"/>
    <n v="50"/>
    <d v="1998-01-19T00:00:00"/>
  </r>
  <r>
    <n v="10838"/>
    <x v="6"/>
    <n v="712.5"/>
    <n v="50"/>
    <d v="1998-01-19T00:00:00"/>
  </r>
  <r>
    <n v="10838"/>
    <x v="7"/>
    <n v="712.5"/>
    <n v="50"/>
    <d v="1998-01-19T00:00:00"/>
  </r>
  <r>
    <n v="10839"/>
    <x v="0"/>
    <n v="357.74999940767884"/>
    <n v="30"/>
    <d v="1998-01-19T00:00:00"/>
  </r>
  <r>
    <n v="10839"/>
    <x v="1"/>
    <n v="357.74999940767884"/>
    <n v="30"/>
    <d v="1998-01-19T00:00:00"/>
  </r>
  <r>
    <n v="10839"/>
    <x v="2"/>
    <n v="357.74999940767884"/>
    <n v="30"/>
    <d v="1998-01-19T00:00:00"/>
  </r>
  <r>
    <n v="10839"/>
    <x v="3"/>
    <n v="357.74999940767884"/>
    <n v="30"/>
    <d v="1998-01-19T00:00:00"/>
  </r>
  <r>
    <n v="10839"/>
    <x v="4"/>
    <n v="357.74999940767884"/>
    <n v="30"/>
    <d v="1998-01-19T00:00:00"/>
  </r>
  <r>
    <n v="10839"/>
    <x v="5"/>
    <n v="357.74999940767884"/>
    <n v="30"/>
    <d v="1998-01-19T00:00:00"/>
  </r>
  <r>
    <n v="10839"/>
    <x v="6"/>
    <n v="357.74999940767884"/>
    <n v="30"/>
    <d v="1998-01-19T00:00:00"/>
  </r>
  <r>
    <n v="10839"/>
    <x v="7"/>
    <n v="357.74999940767884"/>
    <n v="30"/>
    <d v="1998-01-19T00:00:00"/>
  </r>
  <r>
    <n v="10839"/>
    <x v="0"/>
    <n v="469.79999922215939"/>
    <n v="15"/>
    <d v="1998-01-19T00:00:00"/>
  </r>
  <r>
    <n v="10839"/>
    <x v="1"/>
    <n v="469.79999922215939"/>
    <n v="15"/>
    <d v="1998-01-19T00:00:00"/>
  </r>
  <r>
    <n v="10839"/>
    <x v="2"/>
    <n v="469.79999922215939"/>
    <n v="15"/>
    <d v="1998-01-19T00:00:00"/>
  </r>
  <r>
    <n v="10839"/>
    <x v="3"/>
    <n v="469.79999922215939"/>
    <n v="15"/>
    <d v="1998-01-19T00:00:00"/>
  </r>
  <r>
    <n v="10839"/>
    <x v="4"/>
    <n v="469.79999922215939"/>
    <n v="15"/>
    <d v="1998-01-19T00:00:00"/>
  </r>
  <r>
    <n v="10839"/>
    <x v="5"/>
    <n v="469.79999922215939"/>
    <n v="15"/>
    <d v="1998-01-19T00:00:00"/>
  </r>
  <r>
    <n v="10839"/>
    <x v="6"/>
    <n v="469.79999922215939"/>
    <n v="15"/>
    <d v="1998-01-19T00:00:00"/>
  </r>
  <r>
    <n v="10839"/>
    <x v="7"/>
    <n v="469.79999922215939"/>
    <n v="15"/>
    <d v="1998-01-19T00:00:00"/>
  </r>
  <r>
    <n v="10840"/>
    <x v="0"/>
    <n v="67.199999749660492"/>
    <n v="6"/>
    <d v="1998-01-19T00:00:00"/>
  </r>
  <r>
    <n v="10840"/>
    <x v="1"/>
    <n v="67.199999749660492"/>
    <n v="6"/>
    <d v="1998-01-19T00:00:00"/>
  </r>
  <r>
    <n v="10840"/>
    <x v="2"/>
    <n v="67.199999749660492"/>
    <n v="6"/>
    <d v="1998-01-19T00:00:00"/>
  </r>
  <r>
    <n v="10840"/>
    <x v="3"/>
    <n v="67.199999749660492"/>
    <n v="6"/>
    <d v="1998-01-19T00:00:00"/>
  </r>
  <r>
    <n v="10840"/>
    <x v="4"/>
    <n v="67.199999749660492"/>
    <n v="6"/>
    <d v="1998-01-19T00:00:00"/>
  </r>
  <r>
    <n v="10840"/>
    <x v="5"/>
    <n v="67.199999749660492"/>
    <n v="6"/>
    <d v="1998-01-19T00:00:00"/>
  </r>
  <r>
    <n v="10840"/>
    <x v="6"/>
    <n v="67.199999749660492"/>
    <n v="6"/>
    <d v="1998-01-19T00:00:00"/>
  </r>
  <r>
    <n v="10840"/>
    <x v="7"/>
    <n v="67.199999749660492"/>
    <n v="6"/>
    <d v="1998-01-19T00:00:00"/>
  </r>
  <r>
    <n v="10840"/>
    <x v="0"/>
    <n v="143.9999994635582"/>
    <n v="10"/>
    <d v="1998-01-19T00:00:00"/>
  </r>
  <r>
    <n v="10840"/>
    <x v="1"/>
    <n v="143.9999994635582"/>
    <n v="10"/>
    <d v="1998-01-19T00:00:00"/>
  </r>
  <r>
    <n v="10840"/>
    <x v="2"/>
    <n v="143.9999994635582"/>
    <n v="10"/>
    <d v="1998-01-19T00:00:00"/>
  </r>
  <r>
    <n v="10840"/>
    <x v="3"/>
    <n v="143.9999994635582"/>
    <n v="10"/>
    <d v="1998-01-19T00:00:00"/>
  </r>
  <r>
    <n v="10840"/>
    <x v="4"/>
    <n v="143.9999994635582"/>
    <n v="10"/>
    <d v="1998-01-19T00:00:00"/>
  </r>
  <r>
    <n v="10840"/>
    <x v="5"/>
    <n v="143.9999994635582"/>
    <n v="10"/>
    <d v="1998-01-19T00:00:00"/>
  </r>
  <r>
    <n v="10840"/>
    <x v="6"/>
    <n v="143.9999994635582"/>
    <n v="10"/>
    <d v="1998-01-19T00:00:00"/>
  </r>
  <r>
    <n v="10840"/>
    <x v="7"/>
    <n v="143.9999994635582"/>
    <n v="10"/>
    <d v="1998-01-19T00:00:00"/>
  </r>
  <r>
    <n v="10841"/>
    <x v="0"/>
    <n v="496"/>
    <n v="16"/>
    <d v="1998-01-20T00:00:00"/>
  </r>
  <r>
    <n v="10841"/>
    <x v="1"/>
    <n v="496"/>
    <n v="16"/>
    <d v="1998-01-20T00:00:00"/>
  </r>
  <r>
    <n v="10841"/>
    <x v="2"/>
    <n v="496"/>
    <n v="16"/>
    <d v="1998-01-20T00:00:00"/>
  </r>
  <r>
    <n v="10841"/>
    <x v="3"/>
    <n v="496"/>
    <n v="16"/>
    <d v="1998-01-20T00:00:00"/>
  </r>
  <r>
    <n v="10841"/>
    <x v="4"/>
    <n v="496"/>
    <n v="16"/>
    <d v="1998-01-20T00:00:00"/>
  </r>
  <r>
    <n v="10841"/>
    <x v="5"/>
    <n v="496"/>
    <n v="16"/>
    <d v="1998-01-20T00:00:00"/>
  </r>
  <r>
    <n v="10841"/>
    <x v="6"/>
    <n v="496"/>
    <n v="16"/>
    <d v="1998-01-20T00:00:00"/>
  </r>
  <r>
    <n v="10841"/>
    <x v="7"/>
    <n v="496"/>
    <n v="16"/>
    <d v="1998-01-20T00:00:00"/>
  </r>
  <r>
    <n v="10841"/>
    <x v="0"/>
    <n v="1140"/>
    <n v="30"/>
    <d v="1998-01-20T00:00:00"/>
  </r>
  <r>
    <n v="10841"/>
    <x v="1"/>
    <n v="1140"/>
    <n v="30"/>
    <d v="1998-01-20T00:00:00"/>
  </r>
  <r>
    <n v="10841"/>
    <x v="2"/>
    <n v="1140"/>
    <n v="30"/>
    <d v="1998-01-20T00:00:00"/>
  </r>
  <r>
    <n v="10841"/>
    <x v="3"/>
    <n v="1140"/>
    <n v="30"/>
    <d v="1998-01-20T00:00:00"/>
  </r>
  <r>
    <n v="10841"/>
    <x v="4"/>
    <n v="1140"/>
    <n v="30"/>
    <d v="1998-01-20T00:00:00"/>
  </r>
  <r>
    <n v="10841"/>
    <x v="5"/>
    <n v="1140"/>
    <n v="30"/>
    <d v="1998-01-20T00:00:00"/>
  </r>
  <r>
    <n v="10841"/>
    <x v="6"/>
    <n v="1140"/>
    <n v="30"/>
    <d v="1998-01-20T00:00:00"/>
  </r>
  <r>
    <n v="10841"/>
    <x v="7"/>
    <n v="1140"/>
    <n v="30"/>
    <d v="1998-01-20T00:00:00"/>
  </r>
  <r>
    <n v="10841"/>
    <x v="0"/>
    <n v="2750"/>
    <n v="50"/>
    <d v="1998-01-20T00:00:00"/>
  </r>
  <r>
    <n v="10841"/>
    <x v="1"/>
    <n v="2750"/>
    <n v="50"/>
    <d v="1998-01-20T00:00:00"/>
  </r>
  <r>
    <n v="10841"/>
    <x v="2"/>
    <n v="2750"/>
    <n v="50"/>
    <d v="1998-01-20T00:00:00"/>
  </r>
  <r>
    <n v="10841"/>
    <x v="3"/>
    <n v="2750"/>
    <n v="50"/>
    <d v="1998-01-20T00:00:00"/>
  </r>
  <r>
    <n v="10841"/>
    <x v="4"/>
    <n v="2750"/>
    <n v="50"/>
    <d v="1998-01-20T00:00:00"/>
  </r>
  <r>
    <n v="10841"/>
    <x v="5"/>
    <n v="2750"/>
    <n v="50"/>
    <d v="1998-01-20T00:00:00"/>
  </r>
  <r>
    <n v="10841"/>
    <x v="6"/>
    <n v="2750"/>
    <n v="50"/>
    <d v="1998-01-20T00:00:00"/>
  </r>
  <r>
    <n v="10841"/>
    <x v="7"/>
    <n v="2750"/>
    <n v="50"/>
    <d v="1998-01-20T00:00:00"/>
  </r>
  <r>
    <n v="10841"/>
    <x v="0"/>
    <n v="195"/>
    <n v="15"/>
    <d v="1998-01-20T00:00:00"/>
  </r>
  <r>
    <n v="10841"/>
    <x v="1"/>
    <n v="195"/>
    <n v="15"/>
    <d v="1998-01-20T00:00:00"/>
  </r>
  <r>
    <n v="10841"/>
    <x v="2"/>
    <n v="195"/>
    <n v="15"/>
    <d v="1998-01-20T00:00:00"/>
  </r>
  <r>
    <n v="10841"/>
    <x v="3"/>
    <n v="195"/>
    <n v="15"/>
    <d v="1998-01-20T00:00:00"/>
  </r>
  <r>
    <n v="10841"/>
    <x v="4"/>
    <n v="195"/>
    <n v="15"/>
    <d v="1998-01-20T00:00:00"/>
  </r>
  <r>
    <n v="10841"/>
    <x v="5"/>
    <n v="195"/>
    <n v="15"/>
    <d v="1998-01-20T00:00:00"/>
  </r>
  <r>
    <n v="10841"/>
    <x v="6"/>
    <n v="195"/>
    <n v="15"/>
    <d v="1998-01-20T00:00:00"/>
  </r>
  <r>
    <n v="10841"/>
    <x v="7"/>
    <n v="195"/>
    <n v="15"/>
    <d v="1998-01-20T00:00:00"/>
  </r>
  <r>
    <n v="10842"/>
    <x v="0"/>
    <n v="315"/>
    <n v="15"/>
    <d v="1998-01-20T00:00:00"/>
  </r>
  <r>
    <n v="10842"/>
    <x v="1"/>
    <n v="315"/>
    <n v="15"/>
    <d v="1998-01-20T00:00:00"/>
  </r>
  <r>
    <n v="10842"/>
    <x v="2"/>
    <n v="315"/>
    <n v="15"/>
    <d v="1998-01-20T00:00:00"/>
  </r>
  <r>
    <n v="10842"/>
    <x v="3"/>
    <n v="315"/>
    <n v="15"/>
    <d v="1998-01-20T00:00:00"/>
  </r>
  <r>
    <n v="10842"/>
    <x v="4"/>
    <n v="315"/>
    <n v="15"/>
    <d v="1998-01-20T00:00:00"/>
  </r>
  <r>
    <n v="10842"/>
    <x v="5"/>
    <n v="315"/>
    <n v="15"/>
    <d v="1998-01-20T00:00:00"/>
  </r>
  <r>
    <n v="10842"/>
    <x v="6"/>
    <n v="315"/>
    <n v="15"/>
    <d v="1998-01-20T00:00:00"/>
  </r>
  <r>
    <n v="10842"/>
    <x v="7"/>
    <n v="315"/>
    <n v="15"/>
    <d v="1998-01-20T00:00:00"/>
  </r>
  <r>
    <n v="10842"/>
    <x v="0"/>
    <n v="230"/>
    <n v="5"/>
    <d v="1998-01-20T00:00:00"/>
  </r>
  <r>
    <n v="10842"/>
    <x v="1"/>
    <n v="230"/>
    <n v="5"/>
    <d v="1998-01-20T00:00:00"/>
  </r>
  <r>
    <n v="10842"/>
    <x v="2"/>
    <n v="230"/>
    <n v="5"/>
    <d v="1998-01-20T00:00:00"/>
  </r>
  <r>
    <n v="10842"/>
    <x v="3"/>
    <n v="230"/>
    <n v="5"/>
    <d v="1998-01-20T00:00:00"/>
  </r>
  <r>
    <n v="10842"/>
    <x v="4"/>
    <n v="230"/>
    <n v="5"/>
    <d v="1998-01-20T00:00:00"/>
  </r>
  <r>
    <n v="10842"/>
    <x v="5"/>
    <n v="230"/>
    <n v="5"/>
    <d v="1998-01-20T00:00:00"/>
  </r>
  <r>
    <n v="10842"/>
    <x v="6"/>
    <n v="230"/>
    <n v="5"/>
    <d v="1998-01-20T00:00:00"/>
  </r>
  <r>
    <n v="10842"/>
    <x v="7"/>
    <n v="230"/>
    <n v="5"/>
    <d v="1998-01-20T00:00:00"/>
  </r>
  <r>
    <n v="10842"/>
    <x v="0"/>
    <n v="250"/>
    <n v="20"/>
    <d v="1998-01-20T00:00:00"/>
  </r>
  <r>
    <n v="10842"/>
    <x v="1"/>
    <n v="250"/>
    <n v="20"/>
    <d v="1998-01-20T00:00:00"/>
  </r>
  <r>
    <n v="10842"/>
    <x v="2"/>
    <n v="250"/>
    <n v="20"/>
    <d v="1998-01-20T00:00:00"/>
  </r>
  <r>
    <n v="10842"/>
    <x v="3"/>
    <n v="250"/>
    <n v="20"/>
    <d v="1998-01-20T00:00:00"/>
  </r>
  <r>
    <n v="10842"/>
    <x v="4"/>
    <n v="250"/>
    <n v="20"/>
    <d v="1998-01-20T00:00:00"/>
  </r>
  <r>
    <n v="10842"/>
    <x v="5"/>
    <n v="250"/>
    <n v="20"/>
    <d v="1998-01-20T00:00:00"/>
  </r>
  <r>
    <n v="10842"/>
    <x v="6"/>
    <n v="250"/>
    <n v="20"/>
    <d v="1998-01-20T00:00:00"/>
  </r>
  <r>
    <n v="10842"/>
    <x v="7"/>
    <n v="250"/>
    <n v="20"/>
    <d v="1998-01-20T00:00:00"/>
  </r>
  <r>
    <n v="10842"/>
    <x v="0"/>
    <n v="180"/>
    <n v="12"/>
    <d v="1998-01-20T00:00:00"/>
  </r>
  <r>
    <n v="10842"/>
    <x v="1"/>
    <n v="180"/>
    <n v="12"/>
    <d v="1998-01-20T00:00:00"/>
  </r>
  <r>
    <n v="10842"/>
    <x v="2"/>
    <n v="180"/>
    <n v="12"/>
    <d v="1998-01-20T00:00:00"/>
  </r>
  <r>
    <n v="10842"/>
    <x v="3"/>
    <n v="180"/>
    <n v="12"/>
    <d v="1998-01-20T00:00:00"/>
  </r>
  <r>
    <n v="10842"/>
    <x v="4"/>
    <n v="180"/>
    <n v="12"/>
    <d v="1998-01-20T00:00:00"/>
  </r>
  <r>
    <n v="10842"/>
    <x v="5"/>
    <n v="180"/>
    <n v="12"/>
    <d v="1998-01-20T00:00:00"/>
  </r>
  <r>
    <n v="10842"/>
    <x v="6"/>
    <n v="180"/>
    <n v="12"/>
    <d v="1998-01-20T00:00:00"/>
  </r>
  <r>
    <n v="10842"/>
    <x v="7"/>
    <n v="180"/>
    <n v="12"/>
    <d v="1998-01-20T00:00:00"/>
  </r>
  <r>
    <n v="10843"/>
    <x v="0"/>
    <n v="159"/>
    <n v="4"/>
    <d v="1998-01-21T00:00:00"/>
  </r>
  <r>
    <n v="10843"/>
    <x v="1"/>
    <n v="159"/>
    <n v="4"/>
    <d v="1998-01-21T00:00:00"/>
  </r>
  <r>
    <n v="10843"/>
    <x v="2"/>
    <n v="159"/>
    <n v="4"/>
    <d v="1998-01-21T00:00:00"/>
  </r>
  <r>
    <n v="10843"/>
    <x v="3"/>
    <n v="159"/>
    <n v="4"/>
    <d v="1998-01-21T00:00:00"/>
  </r>
  <r>
    <n v="10843"/>
    <x v="4"/>
    <n v="159"/>
    <n v="4"/>
    <d v="1998-01-21T00:00:00"/>
  </r>
  <r>
    <n v="10843"/>
    <x v="5"/>
    <n v="159"/>
    <n v="4"/>
    <d v="1998-01-21T00:00:00"/>
  </r>
  <r>
    <n v="10843"/>
    <x v="6"/>
    <n v="159"/>
    <n v="4"/>
    <d v="1998-01-21T00:00:00"/>
  </r>
  <r>
    <n v="10843"/>
    <x v="7"/>
    <n v="159"/>
    <n v="4"/>
    <d v="1998-01-21T00:00:00"/>
  </r>
  <r>
    <n v="10844"/>
    <x v="0"/>
    <n v="735"/>
    <n v="35"/>
    <d v="1998-01-21T00:00:00"/>
  </r>
  <r>
    <n v="10844"/>
    <x v="1"/>
    <n v="735"/>
    <n v="35"/>
    <d v="1998-01-21T00:00:00"/>
  </r>
  <r>
    <n v="10844"/>
    <x v="2"/>
    <n v="735"/>
    <n v="35"/>
    <d v="1998-01-21T00:00:00"/>
  </r>
  <r>
    <n v="10844"/>
    <x v="3"/>
    <n v="735"/>
    <n v="35"/>
    <d v="1998-01-21T00:00:00"/>
  </r>
  <r>
    <n v="10844"/>
    <x v="4"/>
    <n v="735"/>
    <n v="35"/>
    <d v="1998-01-21T00:00:00"/>
  </r>
  <r>
    <n v="10844"/>
    <x v="5"/>
    <n v="735"/>
    <n v="35"/>
    <d v="1998-01-21T00:00:00"/>
  </r>
  <r>
    <n v="10844"/>
    <x v="6"/>
    <n v="735"/>
    <n v="35"/>
    <d v="1998-01-21T00:00:00"/>
  </r>
  <r>
    <n v="10844"/>
    <x v="7"/>
    <n v="735"/>
    <n v="35"/>
    <d v="1998-01-21T00:00:00"/>
  </r>
  <r>
    <n v="10845"/>
    <x v="0"/>
    <n v="566.99999906122684"/>
    <n v="70"/>
    <d v="1998-01-21T00:00:00"/>
  </r>
  <r>
    <n v="10845"/>
    <x v="1"/>
    <n v="566.99999906122684"/>
    <n v="70"/>
    <d v="1998-01-21T00:00:00"/>
  </r>
  <r>
    <n v="10845"/>
    <x v="2"/>
    <n v="566.99999906122684"/>
    <n v="70"/>
    <d v="1998-01-21T00:00:00"/>
  </r>
  <r>
    <n v="10845"/>
    <x v="3"/>
    <n v="566.99999906122684"/>
    <n v="70"/>
    <d v="1998-01-21T00:00:00"/>
  </r>
  <r>
    <n v="10845"/>
    <x v="4"/>
    <n v="566.99999906122684"/>
    <n v="70"/>
    <d v="1998-01-21T00:00:00"/>
  </r>
  <r>
    <n v="10845"/>
    <x v="5"/>
    <n v="566.99999906122684"/>
    <n v="70"/>
    <d v="1998-01-21T00:00:00"/>
  </r>
  <r>
    <n v="10845"/>
    <x v="6"/>
    <n v="566.99999906122684"/>
    <n v="70"/>
    <d v="1998-01-21T00:00:00"/>
  </r>
  <r>
    <n v="10845"/>
    <x v="7"/>
    <n v="566.99999906122684"/>
    <n v="70"/>
    <d v="1998-01-21T00:00:00"/>
  </r>
  <r>
    <n v="10845"/>
    <x v="0"/>
    <n v="404.99999932944775"/>
    <n v="25"/>
    <d v="1998-01-21T00:00:00"/>
  </r>
  <r>
    <n v="10845"/>
    <x v="1"/>
    <n v="404.99999932944775"/>
    <n v="25"/>
    <d v="1998-01-21T00:00:00"/>
  </r>
  <r>
    <n v="10845"/>
    <x v="2"/>
    <n v="404.99999932944775"/>
    <n v="25"/>
    <d v="1998-01-21T00:00:00"/>
  </r>
  <r>
    <n v="10845"/>
    <x v="3"/>
    <n v="404.99999932944775"/>
    <n v="25"/>
    <d v="1998-01-21T00:00:00"/>
  </r>
  <r>
    <n v="10845"/>
    <x v="4"/>
    <n v="404.99999932944775"/>
    <n v="25"/>
    <d v="1998-01-21T00:00:00"/>
  </r>
  <r>
    <n v="10845"/>
    <x v="5"/>
    <n v="404.99999932944775"/>
    <n v="25"/>
    <d v="1998-01-21T00:00:00"/>
  </r>
  <r>
    <n v="10845"/>
    <x v="6"/>
    <n v="404.99999932944775"/>
    <n v="25"/>
    <d v="1998-01-21T00:00:00"/>
  </r>
  <r>
    <n v="10845"/>
    <x v="7"/>
    <n v="404.99999932944775"/>
    <n v="25"/>
    <d v="1998-01-21T00:00:00"/>
  </r>
  <r>
    <n v="10845"/>
    <x v="0"/>
    <n v="529.19999912381172"/>
    <n v="42"/>
    <d v="1998-01-21T00:00:00"/>
  </r>
  <r>
    <n v="10845"/>
    <x v="1"/>
    <n v="529.19999912381172"/>
    <n v="42"/>
    <d v="1998-01-21T00:00:00"/>
  </r>
  <r>
    <n v="10845"/>
    <x v="2"/>
    <n v="529.19999912381172"/>
    <n v="42"/>
    <d v="1998-01-21T00:00:00"/>
  </r>
  <r>
    <n v="10845"/>
    <x v="3"/>
    <n v="529.19999912381172"/>
    <n v="42"/>
    <d v="1998-01-21T00:00:00"/>
  </r>
  <r>
    <n v="10845"/>
    <x v="4"/>
    <n v="529.19999912381172"/>
    <n v="42"/>
    <d v="1998-01-21T00:00:00"/>
  </r>
  <r>
    <n v="10845"/>
    <x v="5"/>
    <n v="529.19999912381172"/>
    <n v="42"/>
    <d v="1998-01-21T00:00:00"/>
  </r>
  <r>
    <n v="10845"/>
    <x v="6"/>
    <n v="529.19999912381172"/>
    <n v="42"/>
    <d v="1998-01-21T00:00:00"/>
  </r>
  <r>
    <n v="10845"/>
    <x v="7"/>
    <n v="529.19999912381172"/>
    <n v="42"/>
    <d v="1998-01-21T00:00:00"/>
  </r>
  <r>
    <n v="10845"/>
    <x v="0"/>
    <n v="715.49999881535769"/>
    <n v="60"/>
    <d v="1998-01-21T00:00:00"/>
  </r>
  <r>
    <n v="10845"/>
    <x v="1"/>
    <n v="715.49999881535769"/>
    <n v="60"/>
    <d v="1998-01-21T00:00:00"/>
  </r>
  <r>
    <n v="10845"/>
    <x v="2"/>
    <n v="715.49999881535769"/>
    <n v="60"/>
    <d v="1998-01-21T00:00:00"/>
  </r>
  <r>
    <n v="10845"/>
    <x v="3"/>
    <n v="715.49999881535769"/>
    <n v="60"/>
    <d v="1998-01-21T00:00:00"/>
  </r>
  <r>
    <n v="10845"/>
    <x v="4"/>
    <n v="715.49999881535769"/>
    <n v="60"/>
    <d v="1998-01-21T00:00:00"/>
  </r>
  <r>
    <n v="10845"/>
    <x v="5"/>
    <n v="715.49999881535769"/>
    <n v="60"/>
    <d v="1998-01-21T00:00:00"/>
  </r>
  <r>
    <n v="10845"/>
    <x v="6"/>
    <n v="715.49999881535769"/>
    <n v="60"/>
    <d v="1998-01-21T00:00:00"/>
  </r>
  <r>
    <n v="10845"/>
    <x v="7"/>
    <n v="715.49999881535769"/>
    <n v="60"/>
    <d v="1998-01-21T00:00:00"/>
  </r>
  <r>
    <n v="10845"/>
    <x v="0"/>
    <n v="1596"/>
    <n v="48"/>
    <d v="1998-01-21T00:00:00"/>
  </r>
  <r>
    <n v="10845"/>
    <x v="1"/>
    <n v="1596"/>
    <n v="48"/>
    <d v="1998-01-21T00:00:00"/>
  </r>
  <r>
    <n v="10845"/>
    <x v="2"/>
    <n v="1596"/>
    <n v="48"/>
    <d v="1998-01-21T00:00:00"/>
  </r>
  <r>
    <n v="10845"/>
    <x v="3"/>
    <n v="1596"/>
    <n v="48"/>
    <d v="1998-01-21T00:00:00"/>
  </r>
  <r>
    <n v="10845"/>
    <x v="4"/>
    <n v="1596"/>
    <n v="48"/>
    <d v="1998-01-21T00:00:00"/>
  </r>
  <r>
    <n v="10845"/>
    <x v="5"/>
    <n v="1596"/>
    <n v="48"/>
    <d v="1998-01-21T00:00:00"/>
  </r>
  <r>
    <n v="10845"/>
    <x v="6"/>
    <n v="1596"/>
    <n v="48"/>
    <d v="1998-01-21T00:00:00"/>
  </r>
  <r>
    <n v="10845"/>
    <x v="7"/>
    <n v="1596"/>
    <n v="48"/>
    <d v="1998-01-21T00:00:00"/>
  </r>
  <r>
    <n v="10846"/>
    <x v="0"/>
    <n v="462"/>
    <n v="21"/>
    <d v="1998-01-22T00:00:00"/>
  </r>
  <r>
    <n v="10846"/>
    <x v="1"/>
    <n v="462"/>
    <n v="21"/>
    <d v="1998-01-22T00:00:00"/>
  </r>
  <r>
    <n v="10846"/>
    <x v="2"/>
    <n v="462"/>
    <n v="21"/>
    <d v="1998-01-22T00:00:00"/>
  </r>
  <r>
    <n v="10846"/>
    <x v="3"/>
    <n v="462"/>
    <n v="21"/>
    <d v="1998-01-22T00:00:00"/>
  </r>
  <r>
    <n v="10846"/>
    <x v="4"/>
    <n v="462"/>
    <n v="21"/>
    <d v="1998-01-22T00:00:00"/>
  </r>
  <r>
    <n v="10846"/>
    <x v="5"/>
    <n v="462"/>
    <n v="21"/>
    <d v="1998-01-22T00:00:00"/>
  </r>
  <r>
    <n v="10846"/>
    <x v="6"/>
    <n v="462"/>
    <n v="21"/>
    <d v="1998-01-22T00:00:00"/>
  </r>
  <r>
    <n v="10846"/>
    <x v="7"/>
    <n v="462"/>
    <n v="21"/>
    <d v="1998-01-22T00:00:00"/>
  </r>
  <r>
    <n v="10846"/>
    <x v="0"/>
    <n v="450"/>
    <n v="30"/>
    <d v="1998-01-22T00:00:00"/>
  </r>
  <r>
    <n v="10846"/>
    <x v="1"/>
    <n v="450"/>
    <n v="30"/>
    <d v="1998-01-22T00:00:00"/>
  </r>
  <r>
    <n v="10846"/>
    <x v="2"/>
    <n v="450"/>
    <n v="30"/>
    <d v="1998-01-22T00:00:00"/>
  </r>
  <r>
    <n v="10846"/>
    <x v="3"/>
    <n v="450"/>
    <n v="30"/>
    <d v="1998-01-22T00:00:00"/>
  </r>
  <r>
    <n v="10846"/>
    <x v="4"/>
    <n v="450"/>
    <n v="30"/>
    <d v="1998-01-22T00:00:00"/>
  </r>
  <r>
    <n v="10846"/>
    <x v="5"/>
    <n v="450"/>
    <n v="30"/>
    <d v="1998-01-22T00:00:00"/>
  </r>
  <r>
    <n v="10846"/>
    <x v="6"/>
    <n v="450"/>
    <n v="30"/>
    <d v="1998-01-22T00:00:00"/>
  </r>
  <r>
    <n v="10846"/>
    <x v="7"/>
    <n v="450"/>
    <n v="30"/>
    <d v="1998-01-22T00:00:00"/>
  </r>
  <r>
    <n v="10846"/>
    <x v="0"/>
    <n v="200"/>
    <n v="20"/>
    <d v="1998-01-22T00:00:00"/>
  </r>
  <r>
    <n v="10846"/>
    <x v="1"/>
    <n v="200"/>
    <n v="20"/>
    <d v="1998-01-22T00:00:00"/>
  </r>
  <r>
    <n v="10846"/>
    <x v="2"/>
    <n v="200"/>
    <n v="20"/>
    <d v="1998-01-22T00:00:00"/>
  </r>
  <r>
    <n v="10846"/>
    <x v="3"/>
    <n v="200"/>
    <n v="20"/>
    <d v="1998-01-22T00:00:00"/>
  </r>
  <r>
    <n v="10846"/>
    <x v="4"/>
    <n v="200"/>
    <n v="20"/>
    <d v="1998-01-22T00:00:00"/>
  </r>
  <r>
    <n v="10846"/>
    <x v="5"/>
    <n v="200"/>
    <n v="20"/>
    <d v="1998-01-22T00:00:00"/>
  </r>
  <r>
    <n v="10846"/>
    <x v="6"/>
    <n v="200"/>
    <n v="20"/>
    <d v="1998-01-22T00:00:00"/>
  </r>
  <r>
    <n v="10846"/>
    <x v="7"/>
    <n v="200"/>
    <n v="20"/>
    <d v="1998-01-22T00:00:00"/>
  </r>
  <r>
    <n v="10847"/>
    <x v="0"/>
    <n v="1151.9999957084656"/>
    <n v="80"/>
    <d v="1998-01-22T00:00:00"/>
  </r>
  <r>
    <n v="10847"/>
    <x v="1"/>
    <n v="1151.9999957084656"/>
    <n v="80"/>
    <d v="1998-01-22T00:00:00"/>
  </r>
  <r>
    <n v="10847"/>
    <x v="2"/>
    <n v="1151.9999957084656"/>
    <n v="80"/>
    <d v="1998-01-22T00:00:00"/>
  </r>
  <r>
    <n v="10847"/>
    <x v="3"/>
    <n v="1151.9999957084656"/>
    <n v="80"/>
    <d v="1998-01-22T00:00:00"/>
  </r>
  <r>
    <n v="10847"/>
    <x v="4"/>
    <n v="1151.9999957084656"/>
    <n v="80"/>
    <d v="1998-01-22T00:00:00"/>
  </r>
  <r>
    <n v="10847"/>
    <x v="5"/>
    <n v="1151.9999957084656"/>
    <n v="80"/>
    <d v="1998-01-22T00:00:00"/>
  </r>
  <r>
    <n v="10847"/>
    <x v="6"/>
    <n v="1151.9999957084656"/>
    <n v="80"/>
    <d v="1998-01-22T00:00:00"/>
  </r>
  <r>
    <n v="10847"/>
    <x v="7"/>
    <n v="1151.9999957084656"/>
    <n v="80"/>
    <d v="1998-01-22T00:00:00"/>
  </r>
  <r>
    <n v="10847"/>
    <x v="0"/>
    <n v="88.319999670982369"/>
    <n v="12"/>
    <d v="1998-01-22T00:00:00"/>
  </r>
  <r>
    <n v="10847"/>
    <x v="1"/>
    <n v="88.319999670982369"/>
    <n v="12"/>
    <d v="1998-01-22T00:00:00"/>
  </r>
  <r>
    <n v="10847"/>
    <x v="2"/>
    <n v="88.319999670982369"/>
    <n v="12"/>
    <d v="1998-01-22T00:00:00"/>
  </r>
  <r>
    <n v="10847"/>
    <x v="3"/>
    <n v="88.319999670982369"/>
    <n v="12"/>
    <d v="1998-01-22T00:00:00"/>
  </r>
  <r>
    <n v="10847"/>
    <x v="4"/>
    <n v="88.319999670982369"/>
    <n v="12"/>
    <d v="1998-01-22T00:00:00"/>
  </r>
  <r>
    <n v="10847"/>
    <x v="5"/>
    <n v="88.319999670982369"/>
    <n v="12"/>
    <d v="1998-01-22T00:00:00"/>
  </r>
  <r>
    <n v="10847"/>
    <x v="6"/>
    <n v="88.319999670982369"/>
    <n v="12"/>
    <d v="1998-01-22T00:00:00"/>
  </r>
  <r>
    <n v="10847"/>
    <x v="7"/>
    <n v="88.319999670982369"/>
    <n v="12"/>
    <d v="1998-01-22T00:00:00"/>
  </r>
  <r>
    <n v="10847"/>
    <x v="0"/>
    <n v="1247.9999953508377"/>
    <n v="60"/>
    <d v="1998-01-22T00:00:00"/>
  </r>
  <r>
    <n v="10847"/>
    <x v="1"/>
    <n v="1247.9999953508377"/>
    <n v="60"/>
    <d v="1998-01-22T00:00:00"/>
  </r>
  <r>
    <n v="10847"/>
    <x v="2"/>
    <n v="1247.9999953508377"/>
    <n v="60"/>
    <d v="1998-01-22T00:00:00"/>
  </r>
  <r>
    <n v="10847"/>
    <x v="3"/>
    <n v="1247.9999953508377"/>
    <n v="60"/>
    <d v="1998-01-22T00:00:00"/>
  </r>
  <r>
    <n v="10847"/>
    <x v="4"/>
    <n v="1247.9999953508377"/>
    <n v="60"/>
    <d v="1998-01-22T00:00:00"/>
  </r>
  <r>
    <n v="10847"/>
    <x v="5"/>
    <n v="1247.9999953508377"/>
    <n v="60"/>
    <d v="1998-01-22T00:00:00"/>
  </r>
  <r>
    <n v="10847"/>
    <x v="6"/>
    <n v="1247.9999953508377"/>
    <n v="60"/>
    <d v="1998-01-22T00:00:00"/>
  </r>
  <r>
    <n v="10847"/>
    <x v="7"/>
    <n v="1247.9999953508377"/>
    <n v="60"/>
    <d v="1998-01-22T00:00:00"/>
  </r>
  <r>
    <n v="10847"/>
    <x v="0"/>
    <n v="273.59999898076057"/>
    <n v="36"/>
    <d v="1998-01-22T00:00:00"/>
  </r>
  <r>
    <n v="10847"/>
    <x v="1"/>
    <n v="273.59999898076057"/>
    <n v="36"/>
    <d v="1998-01-22T00:00:00"/>
  </r>
  <r>
    <n v="10847"/>
    <x v="2"/>
    <n v="273.59999898076057"/>
    <n v="36"/>
    <d v="1998-01-22T00:00:00"/>
  </r>
  <r>
    <n v="10847"/>
    <x v="3"/>
    <n v="273.59999898076057"/>
    <n v="36"/>
    <d v="1998-01-22T00:00:00"/>
  </r>
  <r>
    <n v="10847"/>
    <x v="4"/>
    <n v="273.59999898076057"/>
    <n v="36"/>
    <d v="1998-01-22T00:00:00"/>
  </r>
  <r>
    <n v="10847"/>
    <x v="5"/>
    <n v="273.59999898076057"/>
    <n v="36"/>
    <d v="1998-01-22T00:00:00"/>
  </r>
  <r>
    <n v="10847"/>
    <x v="6"/>
    <n v="273.59999898076057"/>
    <n v="36"/>
    <d v="1998-01-22T00:00:00"/>
  </r>
  <r>
    <n v="10847"/>
    <x v="7"/>
    <n v="273.59999898076057"/>
    <n v="36"/>
    <d v="1998-01-22T00:00:00"/>
  </r>
  <r>
    <n v="10847"/>
    <x v="0"/>
    <n v="1223.9999954402447"/>
    <n v="45"/>
    <d v="1998-01-22T00:00:00"/>
  </r>
  <r>
    <n v="10847"/>
    <x v="1"/>
    <n v="1223.9999954402447"/>
    <n v="45"/>
    <d v="1998-01-22T00:00:00"/>
  </r>
  <r>
    <n v="10847"/>
    <x v="2"/>
    <n v="1223.9999954402447"/>
    <n v="45"/>
    <d v="1998-01-22T00:00:00"/>
  </r>
  <r>
    <n v="10847"/>
    <x v="3"/>
    <n v="1223.9999954402447"/>
    <n v="45"/>
    <d v="1998-01-22T00:00:00"/>
  </r>
  <r>
    <n v="10847"/>
    <x v="4"/>
    <n v="1223.9999954402447"/>
    <n v="45"/>
    <d v="1998-01-22T00:00:00"/>
  </r>
  <r>
    <n v="10847"/>
    <x v="5"/>
    <n v="1223.9999954402447"/>
    <n v="45"/>
    <d v="1998-01-22T00:00:00"/>
  </r>
  <r>
    <n v="10847"/>
    <x v="6"/>
    <n v="1223.9999954402447"/>
    <n v="45"/>
    <d v="1998-01-22T00:00:00"/>
  </r>
  <r>
    <n v="10847"/>
    <x v="7"/>
    <n v="1223.9999954402447"/>
    <n v="45"/>
    <d v="1998-01-22T00:00:00"/>
  </r>
  <r>
    <n v="10847"/>
    <x v="0"/>
    <n v="945.99999647587538"/>
    <n v="55"/>
    <d v="1998-01-22T00:00:00"/>
  </r>
  <r>
    <n v="10847"/>
    <x v="1"/>
    <n v="945.99999647587538"/>
    <n v="55"/>
    <d v="1998-01-22T00:00:00"/>
  </r>
  <r>
    <n v="10847"/>
    <x v="2"/>
    <n v="945.99999647587538"/>
    <n v="55"/>
    <d v="1998-01-22T00:00:00"/>
  </r>
  <r>
    <n v="10847"/>
    <x v="3"/>
    <n v="945.99999647587538"/>
    <n v="55"/>
    <d v="1998-01-22T00:00:00"/>
  </r>
  <r>
    <n v="10847"/>
    <x v="4"/>
    <n v="945.99999647587538"/>
    <n v="55"/>
    <d v="1998-01-22T00:00:00"/>
  </r>
  <r>
    <n v="10847"/>
    <x v="5"/>
    <n v="945.99999647587538"/>
    <n v="55"/>
    <d v="1998-01-22T00:00:00"/>
  </r>
  <r>
    <n v="10847"/>
    <x v="6"/>
    <n v="945.99999647587538"/>
    <n v="55"/>
    <d v="1998-01-22T00:00:00"/>
  </r>
  <r>
    <n v="10847"/>
    <x v="7"/>
    <n v="945.99999647587538"/>
    <n v="55"/>
    <d v="1998-01-22T00:00:00"/>
  </r>
  <r>
    <n v="10848"/>
    <x v="0"/>
    <n v="640.5"/>
    <n v="30"/>
    <d v="1998-01-23T00:00:00"/>
  </r>
  <r>
    <n v="10848"/>
    <x v="1"/>
    <n v="640.5"/>
    <n v="30"/>
    <d v="1998-01-23T00:00:00"/>
  </r>
  <r>
    <n v="10848"/>
    <x v="2"/>
    <n v="640.5"/>
    <n v="30"/>
    <d v="1998-01-23T00:00:00"/>
  </r>
  <r>
    <n v="10848"/>
    <x v="3"/>
    <n v="640.5"/>
    <n v="30"/>
    <d v="1998-01-23T00:00:00"/>
  </r>
  <r>
    <n v="10848"/>
    <x v="4"/>
    <n v="640.5"/>
    <n v="30"/>
    <d v="1998-01-23T00:00:00"/>
  </r>
  <r>
    <n v="10848"/>
    <x v="5"/>
    <n v="640.5"/>
    <n v="30"/>
    <d v="1998-01-23T00:00:00"/>
  </r>
  <r>
    <n v="10848"/>
    <x v="6"/>
    <n v="640.5"/>
    <n v="30"/>
    <d v="1998-01-23T00:00:00"/>
  </r>
  <r>
    <n v="10848"/>
    <x v="7"/>
    <n v="640.5"/>
    <n v="30"/>
    <d v="1998-01-23T00:00:00"/>
  </r>
  <r>
    <n v="10848"/>
    <x v="0"/>
    <n v="291"/>
    <n v="3"/>
    <d v="1998-01-23T00:00:00"/>
  </r>
  <r>
    <n v="10848"/>
    <x v="1"/>
    <n v="291"/>
    <n v="3"/>
    <d v="1998-01-23T00:00:00"/>
  </r>
  <r>
    <n v="10848"/>
    <x v="2"/>
    <n v="291"/>
    <n v="3"/>
    <d v="1998-01-23T00:00:00"/>
  </r>
  <r>
    <n v="10848"/>
    <x v="3"/>
    <n v="291"/>
    <n v="3"/>
    <d v="1998-01-23T00:00:00"/>
  </r>
  <r>
    <n v="10848"/>
    <x v="4"/>
    <n v="291"/>
    <n v="3"/>
    <d v="1998-01-23T00:00:00"/>
  </r>
  <r>
    <n v="10848"/>
    <x v="5"/>
    <n v="291"/>
    <n v="3"/>
    <d v="1998-01-23T00:00:00"/>
  </r>
  <r>
    <n v="10848"/>
    <x v="6"/>
    <n v="291"/>
    <n v="3"/>
    <d v="1998-01-23T00:00:00"/>
  </r>
  <r>
    <n v="10848"/>
    <x v="7"/>
    <n v="291"/>
    <n v="3"/>
    <d v="1998-01-23T00:00:00"/>
  </r>
  <r>
    <n v="10849"/>
    <x v="0"/>
    <n v="490"/>
    <n v="49"/>
    <d v="1998-01-23T00:00:00"/>
  </r>
  <r>
    <n v="10849"/>
    <x v="1"/>
    <n v="490"/>
    <n v="49"/>
    <d v="1998-01-23T00:00:00"/>
  </r>
  <r>
    <n v="10849"/>
    <x v="2"/>
    <n v="490"/>
    <n v="49"/>
    <d v="1998-01-23T00:00:00"/>
  </r>
  <r>
    <n v="10849"/>
    <x v="3"/>
    <n v="490"/>
    <n v="49"/>
    <d v="1998-01-23T00:00:00"/>
  </r>
  <r>
    <n v="10849"/>
    <x v="4"/>
    <n v="490"/>
    <n v="49"/>
    <d v="1998-01-23T00:00:00"/>
  </r>
  <r>
    <n v="10849"/>
    <x v="5"/>
    <n v="490"/>
    <n v="49"/>
    <d v="1998-01-23T00:00:00"/>
  </r>
  <r>
    <n v="10849"/>
    <x v="6"/>
    <n v="490"/>
    <n v="49"/>
    <d v="1998-01-23T00:00:00"/>
  </r>
  <r>
    <n v="10849"/>
    <x v="7"/>
    <n v="490"/>
    <n v="49"/>
    <d v="1998-01-23T00:00:00"/>
  </r>
  <r>
    <n v="10849"/>
    <x v="0"/>
    <n v="477.81899664938447"/>
    <n v="18"/>
    <d v="1998-01-23T00:00:00"/>
  </r>
  <r>
    <n v="10849"/>
    <x v="1"/>
    <n v="477.81899664938447"/>
    <n v="18"/>
    <d v="1998-01-23T00:00:00"/>
  </r>
  <r>
    <n v="10849"/>
    <x v="2"/>
    <n v="477.81899664938447"/>
    <n v="18"/>
    <d v="1998-01-23T00:00:00"/>
  </r>
  <r>
    <n v="10849"/>
    <x v="3"/>
    <n v="477.81899664938447"/>
    <n v="18"/>
    <d v="1998-01-23T00:00:00"/>
  </r>
  <r>
    <n v="10849"/>
    <x v="4"/>
    <n v="477.81899664938447"/>
    <n v="18"/>
    <d v="1998-01-23T00:00:00"/>
  </r>
  <r>
    <n v="10849"/>
    <x v="5"/>
    <n v="477.81899664938447"/>
    <n v="18"/>
    <d v="1998-01-23T00:00:00"/>
  </r>
  <r>
    <n v="10849"/>
    <x v="6"/>
    <n v="477.81899664938447"/>
    <n v="18"/>
    <d v="1998-01-23T00:00:00"/>
  </r>
  <r>
    <n v="10849"/>
    <x v="7"/>
    <n v="477.81899664938447"/>
    <n v="18"/>
    <d v="1998-01-23T00:00:00"/>
  </r>
  <r>
    <n v="10850"/>
    <x v="0"/>
    <n v="237.99999833106995"/>
    <n v="20"/>
    <d v="1998-01-23T00:00:00"/>
  </r>
  <r>
    <n v="10850"/>
    <x v="1"/>
    <n v="237.99999833106995"/>
    <n v="20"/>
    <d v="1998-01-23T00:00:00"/>
  </r>
  <r>
    <n v="10850"/>
    <x v="2"/>
    <n v="237.99999833106995"/>
    <n v="20"/>
    <d v="1998-01-23T00:00:00"/>
  </r>
  <r>
    <n v="10850"/>
    <x v="3"/>
    <n v="237.99999833106995"/>
    <n v="20"/>
    <d v="1998-01-23T00:00:00"/>
  </r>
  <r>
    <n v="10850"/>
    <x v="4"/>
    <n v="237.99999833106995"/>
    <n v="20"/>
    <d v="1998-01-23T00:00:00"/>
  </r>
  <r>
    <n v="10850"/>
    <x v="5"/>
    <n v="237.99999833106995"/>
    <n v="20"/>
    <d v="1998-01-23T00:00:00"/>
  </r>
  <r>
    <n v="10850"/>
    <x v="6"/>
    <n v="237.99999833106995"/>
    <n v="20"/>
    <d v="1998-01-23T00:00:00"/>
  </r>
  <r>
    <n v="10850"/>
    <x v="7"/>
    <n v="237.99999833106995"/>
    <n v="20"/>
    <d v="1998-01-23T00:00:00"/>
  </r>
  <r>
    <n v="10850"/>
    <x v="0"/>
    <n v="8.4999999403953552"/>
    <n v="4"/>
    <d v="1998-01-23T00:00:00"/>
  </r>
  <r>
    <n v="10850"/>
    <x v="1"/>
    <n v="8.4999999403953552"/>
    <n v="4"/>
    <d v="1998-01-23T00:00:00"/>
  </r>
  <r>
    <n v="10850"/>
    <x v="2"/>
    <n v="8.4999999403953552"/>
    <n v="4"/>
    <d v="1998-01-23T00:00:00"/>
  </r>
  <r>
    <n v="10850"/>
    <x v="3"/>
    <n v="8.4999999403953552"/>
    <n v="4"/>
    <d v="1998-01-23T00:00:00"/>
  </r>
  <r>
    <n v="10850"/>
    <x v="4"/>
    <n v="8.4999999403953552"/>
    <n v="4"/>
    <d v="1998-01-23T00:00:00"/>
  </r>
  <r>
    <n v="10850"/>
    <x v="5"/>
    <n v="8.4999999403953552"/>
    <n v="4"/>
    <d v="1998-01-23T00:00:00"/>
  </r>
  <r>
    <n v="10850"/>
    <x v="6"/>
    <n v="8.4999999403953552"/>
    <n v="4"/>
    <d v="1998-01-23T00:00:00"/>
  </r>
  <r>
    <n v="10850"/>
    <x v="7"/>
    <n v="8.4999999403953552"/>
    <n v="4"/>
    <d v="1998-01-23T00:00:00"/>
  </r>
  <r>
    <n v="10850"/>
    <x v="0"/>
    <n v="382.49999731779099"/>
    <n v="30"/>
    <d v="1998-01-23T00:00:00"/>
  </r>
  <r>
    <n v="10850"/>
    <x v="1"/>
    <n v="382.49999731779099"/>
    <n v="30"/>
    <d v="1998-01-23T00:00:00"/>
  </r>
  <r>
    <n v="10850"/>
    <x v="2"/>
    <n v="382.49999731779099"/>
    <n v="30"/>
    <d v="1998-01-23T00:00:00"/>
  </r>
  <r>
    <n v="10850"/>
    <x v="3"/>
    <n v="382.49999731779099"/>
    <n v="30"/>
    <d v="1998-01-23T00:00:00"/>
  </r>
  <r>
    <n v="10850"/>
    <x v="4"/>
    <n v="382.49999731779099"/>
    <n v="30"/>
    <d v="1998-01-23T00:00:00"/>
  </r>
  <r>
    <n v="10850"/>
    <x v="5"/>
    <n v="382.49999731779099"/>
    <n v="30"/>
    <d v="1998-01-23T00:00:00"/>
  </r>
  <r>
    <n v="10850"/>
    <x v="6"/>
    <n v="382.49999731779099"/>
    <n v="30"/>
    <d v="1998-01-23T00:00:00"/>
  </r>
  <r>
    <n v="10850"/>
    <x v="7"/>
    <n v="382.49999731779099"/>
    <n v="30"/>
    <d v="1998-01-23T00:00:00"/>
  </r>
  <r>
    <n v="10851"/>
    <x v="0"/>
    <n v="90.249999929219484"/>
    <n v="5"/>
    <d v="1998-01-26T00:00:00"/>
  </r>
  <r>
    <n v="10851"/>
    <x v="1"/>
    <n v="90.249999929219484"/>
    <n v="5"/>
    <d v="1998-01-26T00:00:00"/>
  </r>
  <r>
    <n v="10851"/>
    <x v="2"/>
    <n v="90.249999929219484"/>
    <n v="5"/>
    <d v="1998-01-26T00:00:00"/>
  </r>
  <r>
    <n v="10851"/>
    <x v="3"/>
    <n v="90.249999929219484"/>
    <n v="5"/>
    <d v="1998-01-26T00:00:00"/>
  </r>
  <r>
    <n v="10851"/>
    <x v="4"/>
    <n v="90.249999929219484"/>
    <n v="5"/>
    <d v="1998-01-26T00:00:00"/>
  </r>
  <r>
    <n v="10851"/>
    <x v="5"/>
    <n v="90.249999929219484"/>
    <n v="5"/>
    <d v="1998-01-26T00:00:00"/>
  </r>
  <r>
    <n v="10851"/>
    <x v="6"/>
    <n v="90.249999929219484"/>
    <n v="5"/>
    <d v="1998-01-26T00:00:00"/>
  </r>
  <r>
    <n v="10851"/>
    <x v="7"/>
    <n v="90.249999929219484"/>
    <n v="5"/>
    <d v="1998-01-26T00:00:00"/>
  </r>
  <r>
    <n v="10851"/>
    <x v="0"/>
    <n v="132.99999989569187"/>
    <n v="10"/>
    <d v="1998-01-26T00:00:00"/>
  </r>
  <r>
    <n v="10851"/>
    <x v="1"/>
    <n v="132.99999989569187"/>
    <n v="10"/>
    <d v="1998-01-26T00:00:00"/>
  </r>
  <r>
    <n v="10851"/>
    <x v="2"/>
    <n v="132.99999989569187"/>
    <n v="10"/>
    <d v="1998-01-26T00:00:00"/>
  </r>
  <r>
    <n v="10851"/>
    <x v="3"/>
    <n v="132.99999989569187"/>
    <n v="10"/>
    <d v="1998-01-26T00:00:00"/>
  </r>
  <r>
    <n v="10851"/>
    <x v="4"/>
    <n v="132.99999989569187"/>
    <n v="10"/>
    <d v="1998-01-26T00:00:00"/>
  </r>
  <r>
    <n v="10851"/>
    <x v="5"/>
    <n v="132.99999989569187"/>
    <n v="10"/>
    <d v="1998-01-26T00:00:00"/>
  </r>
  <r>
    <n v="10851"/>
    <x v="6"/>
    <n v="132.99999989569187"/>
    <n v="10"/>
    <d v="1998-01-26T00:00:00"/>
  </r>
  <r>
    <n v="10851"/>
    <x v="7"/>
    <n v="132.99999989569187"/>
    <n v="10"/>
    <d v="1998-01-26T00:00:00"/>
  </r>
  <r>
    <n v="10851"/>
    <x v="0"/>
    <n v="185.24999985471368"/>
    <n v="10"/>
    <d v="1998-01-26T00:00:00"/>
  </r>
  <r>
    <n v="10851"/>
    <x v="1"/>
    <n v="185.24999985471368"/>
    <n v="10"/>
    <d v="1998-01-26T00:00:00"/>
  </r>
  <r>
    <n v="10851"/>
    <x v="2"/>
    <n v="185.24999985471368"/>
    <n v="10"/>
    <d v="1998-01-26T00:00:00"/>
  </r>
  <r>
    <n v="10851"/>
    <x v="3"/>
    <n v="185.24999985471368"/>
    <n v="10"/>
    <d v="1998-01-26T00:00:00"/>
  </r>
  <r>
    <n v="10851"/>
    <x v="4"/>
    <n v="185.24999985471368"/>
    <n v="10"/>
    <d v="1998-01-26T00:00:00"/>
  </r>
  <r>
    <n v="10851"/>
    <x v="5"/>
    <n v="185.24999985471368"/>
    <n v="10"/>
    <d v="1998-01-26T00:00:00"/>
  </r>
  <r>
    <n v="10851"/>
    <x v="6"/>
    <n v="185.24999985471368"/>
    <n v="10"/>
    <d v="1998-01-26T00:00:00"/>
  </r>
  <r>
    <n v="10851"/>
    <x v="7"/>
    <n v="185.24999985471368"/>
    <n v="10"/>
    <d v="1998-01-26T00:00:00"/>
  </r>
  <r>
    <n v="10851"/>
    <x v="0"/>
    <n v="2194.4999982789159"/>
    <n v="42"/>
    <d v="1998-01-26T00:00:00"/>
  </r>
  <r>
    <n v="10851"/>
    <x v="1"/>
    <n v="2194.4999982789159"/>
    <n v="42"/>
    <d v="1998-01-26T00:00:00"/>
  </r>
  <r>
    <n v="10851"/>
    <x v="2"/>
    <n v="2194.4999982789159"/>
    <n v="42"/>
    <d v="1998-01-26T00:00:00"/>
  </r>
  <r>
    <n v="10851"/>
    <x v="3"/>
    <n v="2194.4999982789159"/>
    <n v="42"/>
    <d v="1998-01-26T00:00:00"/>
  </r>
  <r>
    <n v="10851"/>
    <x v="4"/>
    <n v="2194.4999982789159"/>
    <n v="42"/>
    <d v="1998-01-26T00:00:00"/>
  </r>
  <r>
    <n v="10851"/>
    <x v="5"/>
    <n v="2194.4999982789159"/>
    <n v="42"/>
    <d v="1998-01-26T00:00:00"/>
  </r>
  <r>
    <n v="10851"/>
    <x v="6"/>
    <n v="2194.4999982789159"/>
    <n v="42"/>
    <d v="1998-01-26T00:00:00"/>
  </r>
  <r>
    <n v="10851"/>
    <x v="7"/>
    <n v="2194.4999982789159"/>
    <n v="42"/>
    <d v="1998-01-26T00:00:00"/>
  </r>
  <r>
    <n v="10852"/>
    <x v="0"/>
    <n v="285"/>
    <n v="15"/>
    <d v="1998-01-26T00:00:00"/>
  </r>
  <r>
    <n v="10852"/>
    <x v="1"/>
    <n v="285"/>
    <n v="15"/>
    <d v="1998-01-26T00:00:00"/>
  </r>
  <r>
    <n v="10852"/>
    <x v="2"/>
    <n v="285"/>
    <n v="15"/>
    <d v="1998-01-26T00:00:00"/>
  </r>
  <r>
    <n v="10852"/>
    <x v="3"/>
    <n v="285"/>
    <n v="15"/>
    <d v="1998-01-26T00:00:00"/>
  </r>
  <r>
    <n v="10852"/>
    <x v="4"/>
    <n v="285"/>
    <n v="15"/>
    <d v="1998-01-26T00:00:00"/>
  </r>
  <r>
    <n v="10852"/>
    <x v="5"/>
    <n v="285"/>
    <n v="15"/>
    <d v="1998-01-26T00:00:00"/>
  </r>
  <r>
    <n v="10852"/>
    <x v="6"/>
    <n v="285"/>
    <n v="15"/>
    <d v="1998-01-26T00:00:00"/>
  </r>
  <r>
    <n v="10852"/>
    <x v="7"/>
    <n v="285"/>
    <n v="15"/>
    <d v="1998-01-26T00:00:00"/>
  </r>
  <r>
    <n v="10852"/>
    <x v="0"/>
    <n v="234"/>
    <n v="6"/>
    <d v="1998-01-26T00:00:00"/>
  </r>
  <r>
    <n v="10852"/>
    <x v="1"/>
    <n v="234"/>
    <n v="6"/>
    <d v="1998-01-26T00:00:00"/>
  </r>
  <r>
    <n v="10852"/>
    <x v="2"/>
    <n v="234"/>
    <n v="6"/>
    <d v="1998-01-26T00:00:00"/>
  </r>
  <r>
    <n v="10852"/>
    <x v="3"/>
    <n v="234"/>
    <n v="6"/>
    <d v="1998-01-26T00:00:00"/>
  </r>
  <r>
    <n v="10852"/>
    <x v="4"/>
    <n v="234"/>
    <n v="6"/>
    <d v="1998-01-26T00:00:00"/>
  </r>
  <r>
    <n v="10852"/>
    <x v="5"/>
    <n v="234"/>
    <n v="6"/>
    <d v="1998-01-26T00:00:00"/>
  </r>
  <r>
    <n v="10852"/>
    <x v="6"/>
    <n v="234"/>
    <n v="6"/>
    <d v="1998-01-26T00:00:00"/>
  </r>
  <r>
    <n v="10852"/>
    <x v="7"/>
    <n v="234"/>
    <n v="6"/>
    <d v="1998-01-26T00:00:00"/>
  </r>
  <r>
    <n v="10852"/>
    <x v="0"/>
    <n v="2465"/>
    <n v="50"/>
    <d v="1998-01-26T00:00:00"/>
  </r>
  <r>
    <n v="10852"/>
    <x v="1"/>
    <n v="2465"/>
    <n v="50"/>
    <d v="1998-01-26T00:00:00"/>
  </r>
  <r>
    <n v="10852"/>
    <x v="2"/>
    <n v="2465"/>
    <n v="50"/>
    <d v="1998-01-26T00:00:00"/>
  </r>
  <r>
    <n v="10852"/>
    <x v="3"/>
    <n v="2465"/>
    <n v="50"/>
    <d v="1998-01-26T00:00:00"/>
  </r>
  <r>
    <n v="10852"/>
    <x v="4"/>
    <n v="2465"/>
    <n v="50"/>
    <d v="1998-01-26T00:00:00"/>
  </r>
  <r>
    <n v="10852"/>
    <x v="5"/>
    <n v="2465"/>
    <n v="50"/>
    <d v="1998-01-26T00:00:00"/>
  </r>
  <r>
    <n v="10852"/>
    <x v="6"/>
    <n v="2465"/>
    <n v="50"/>
    <d v="1998-01-26T00:00:00"/>
  </r>
  <r>
    <n v="10852"/>
    <x v="7"/>
    <n v="2465"/>
    <n v="50"/>
    <d v="1998-01-26T00:00:00"/>
  </r>
  <r>
    <n v="10853"/>
    <x v="0"/>
    <n v="625"/>
    <n v="10"/>
    <d v="1998-01-27T00:00:00"/>
  </r>
  <r>
    <n v="10853"/>
    <x v="1"/>
    <n v="625"/>
    <n v="10"/>
    <d v="1998-01-27T00:00:00"/>
  </r>
  <r>
    <n v="10853"/>
    <x v="2"/>
    <n v="625"/>
    <n v="10"/>
    <d v="1998-01-27T00:00:00"/>
  </r>
  <r>
    <n v="10853"/>
    <x v="3"/>
    <n v="625"/>
    <n v="10"/>
    <d v="1998-01-27T00:00:00"/>
  </r>
  <r>
    <n v="10853"/>
    <x v="4"/>
    <n v="625"/>
    <n v="10"/>
    <d v="1998-01-27T00:00:00"/>
  </r>
  <r>
    <n v="10853"/>
    <x v="5"/>
    <n v="625"/>
    <n v="10"/>
    <d v="1998-01-27T00:00:00"/>
  </r>
  <r>
    <n v="10853"/>
    <x v="6"/>
    <n v="625"/>
    <n v="10"/>
    <d v="1998-01-27T00:00:00"/>
  </r>
  <r>
    <n v="10853"/>
    <x v="7"/>
    <n v="625"/>
    <n v="10"/>
    <d v="1998-01-27T00:00:00"/>
  </r>
  <r>
    <n v="10854"/>
    <x v="0"/>
    <n v="2634.9999815225601"/>
    <n v="100"/>
    <d v="1998-01-27T00:00:00"/>
  </r>
  <r>
    <n v="10854"/>
    <x v="1"/>
    <n v="2634.9999815225601"/>
    <n v="100"/>
    <d v="1998-01-27T00:00:00"/>
  </r>
  <r>
    <n v="10854"/>
    <x v="2"/>
    <n v="2634.9999815225601"/>
    <n v="100"/>
    <d v="1998-01-27T00:00:00"/>
  </r>
  <r>
    <n v="10854"/>
    <x v="3"/>
    <n v="2634.9999815225601"/>
    <n v="100"/>
    <d v="1998-01-27T00:00:00"/>
  </r>
  <r>
    <n v="10854"/>
    <x v="4"/>
    <n v="2634.9999815225601"/>
    <n v="100"/>
    <d v="1998-01-27T00:00:00"/>
  </r>
  <r>
    <n v="10854"/>
    <x v="5"/>
    <n v="2634.9999815225601"/>
    <n v="100"/>
    <d v="1998-01-27T00:00:00"/>
  </r>
  <r>
    <n v="10854"/>
    <x v="6"/>
    <n v="2634.9999815225601"/>
    <n v="100"/>
    <d v="1998-01-27T00:00:00"/>
  </r>
  <r>
    <n v="10854"/>
    <x v="7"/>
    <n v="2634.9999815225601"/>
    <n v="100"/>
    <d v="1998-01-27T00:00:00"/>
  </r>
  <r>
    <n v="10854"/>
    <x v="0"/>
    <n v="331.49999767541885"/>
    <n v="65"/>
    <d v="1998-01-27T00:00:00"/>
  </r>
  <r>
    <n v="10854"/>
    <x v="1"/>
    <n v="331.49999767541885"/>
    <n v="65"/>
    <d v="1998-01-27T00:00:00"/>
  </r>
  <r>
    <n v="10854"/>
    <x v="2"/>
    <n v="331.49999767541885"/>
    <n v="65"/>
    <d v="1998-01-27T00:00:00"/>
  </r>
  <r>
    <n v="10854"/>
    <x v="3"/>
    <n v="331.49999767541885"/>
    <n v="65"/>
    <d v="1998-01-27T00:00:00"/>
  </r>
  <r>
    <n v="10854"/>
    <x v="4"/>
    <n v="331.49999767541885"/>
    <n v="65"/>
    <d v="1998-01-27T00:00:00"/>
  </r>
  <r>
    <n v="10854"/>
    <x v="5"/>
    <n v="331.49999767541885"/>
    <n v="65"/>
    <d v="1998-01-27T00:00:00"/>
  </r>
  <r>
    <n v="10854"/>
    <x v="6"/>
    <n v="331.49999767541885"/>
    <n v="65"/>
    <d v="1998-01-27T00:00:00"/>
  </r>
  <r>
    <n v="10854"/>
    <x v="7"/>
    <n v="331.49999767541885"/>
    <n v="65"/>
    <d v="1998-01-27T00:00:00"/>
  </r>
  <r>
    <n v="10855"/>
    <x v="0"/>
    <n v="872.5"/>
    <n v="50"/>
    <d v="1998-01-27T00:00:00"/>
  </r>
  <r>
    <n v="10855"/>
    <x v="1"/>
    <n v="872.5"/>
    <n v="50"/>
    <d v="1998-01-27T00:00:00"/>
  </r>
  <r>
    <n v="10855"/>
    <x v="2"/>
    <n v="872.5"/>
    <n v="50"/>
    <d v="1998-01-27T00:00:00"/>
  </r>
  <r>
    <n v="10855"/>
    <x v="3"/>
    <n v="872.5"/>
    <n v="50"/>
    <d v="1998-01-27T00:00:00"/>
  </r>
  <r>
    <n v="10855"/>
    <x v="4"/>
    <n v="872.5"/>
    <n v="50"/>
    <d v="1998-01-27T00:00:00"/>
  </r>
  <r>
    <n v="10855"/>
    <x v="5"/>
    <n v="872.5"/>
    <n v="50"/>
    <d v="1998-01-27T00:00:00"/>
  </r>
  <r>
    <n v="10855"/>
    <x v="6"/>
    <n v="872.5"/>
    <n v="50"/>
    <d v="1998-01-27T00:00:00"/>
  </r>
  <r>
    <n v="10855"/>
    <x v="7"/>
    <n v="872.5"/>
    <n v="50"/>
    <d v="1998-01-27T00:00:00"/>
  </r>
  <r>
    <n v="10855"/>
    <x v="0"/>
    <n v="175"/>
    <n v="14"/>
    <d v="1998-01-27T00:00:00"/>
  </r>
  <r>
    <n v="10855"/>
    <x v="1"/>
    <n v="175"/>
    <n v="14"/>
    <d v="1998-01-27T00:00:00"/>
  </r>
  <r>
    <n v="10855"/>
    <x v="2"/>
    <n v="175"/>
    <n v="14"/>
    <d v="1998-01-27T00:00:00"/>
  </r>
  <r>
    <n v="10855"/>
    <x v="3"/>
    <n v="175"/>
    <n v="14"/>
    <d v="1998-01-27T00:00:00"/>
  </r>
  <r>
    <n v="10855"/>
    <x v="4"/>
    <n v="175"/>
    <n v="14"/>
    <d v="1998-01-27T00:00:00"/>
  </r>
  <r>
    <n v="10855"/>
    <x v="5"/>
    <n v="175"/>
    <n v="14"/>
    <d v="1998-01-27T00:00:00"/>
  </r>
  <r>
    <n v="10855"/>
    <x v="6"/>
    <n v="175"/>
    <n v="14"/>
    <d v="1998-01-27T00:00:00"/>
  </r>
  <r>
    <n v="10855"/>
    <x v="7"/>
    <n v="175"/>
    <n v="14"/>
    <d v="1998-01-27T00:00:00"/>
  </r>
  <r>
    <n v="10855"/>
    <x v="0"/>
    <n v="912"/>
    <n v="24"/>
    <d v="1998-01-27T00:00:00"/>
  </r>
  <r>
    <n v="10855"/>
    <x v="1"/>
    <n v="912"/>
    <n v="24"/>
    <d v="1998-01-27T00:00:00"/>
  </r>
  <r>
    <n v="10855"/>
    <x v="2"/>
    <n v="912"/>
    <n v="24"/>
    <d v="1998-01-27T00:00:00"/>
  </r>
  <r>
    <n v="10855"/>
    <x v="3"/>
    <n v="912"/>
    <n v="24"/>
    <d v="1998-01-27T00:00:00"/>
  </r>
  <r>
    <n v="10855"/>
    <x v="4"/>
    <n v="912"/>
    <n v="24"/>
    <d v="1998-01-27T00:00:00"/>
  </r>
  <r>
    <n v="10855"/>
    <x v="5"/>
    <n v="912"/>
    <n v="24"/>
    <d v="1998-01-27T00:00:00"/>
  </r>
  <r>
    <n v="10855"/>
    <x v="6"/>
    <n v="912"/>
    <n v="24"/>
    <d v="1998-01-27T00:00:00"/>
  </r>
  <r>
    <n v="10855"/>
    <x v="7"/>
    <n v="912"/>
    <n v="24"/>
    <d v="1998-01-27T00:00:00"/>
  </r>
  <r>
    <n v="10855"/>
    <x v="0"/>
    <n v="268.38749811798334"/>
    <n v="15"/>
    <d v="1998-01-27T00:00:00"/>
  </r>
  <r>
    <n v="10855"/>
    <x v="1"/>
    <n v="268.38749811798334"/>
    <n v="15"/>
    <d v="1998-01-27T00:00:00"/>
  </r>
  <r>
    <n v="10855"/>
    <x v="2"/>
    <n v="268.38749811798334"/>
    <n v="15"/>
    <d v="1998-01-27T00:00:00"/>
  </r>
  <r>
    <n v="10855"/>
    <x v="3"/>
    <n v="268.38749811798334"/>
    <n v="15"/>
    <d v="1998-01-27T00:00:00"/>
  </r>
  <r>
    <n v="10855"/>
    <x v="4"/>
    <n v="268.38749811798334"/>
    <n v="15"/>
    <d v="1998-01-27T00:00:00"/>
  </r>
  <r>
    <n v="10855"/>
    <x v="5"/>
    <n v="268.38749811798334"/>
    <n v="15"/>
    <d v="1998-01-27T00:00:00"/>
  </r>
  <r>
    <n v="10855"/>
    <x v="6"/>
    <n v="268.38749811798334"/>
    <n v="15"/>
    <d v="1998-01-27T00:00:00"/>
  </r>
  <r>
    <n v="10855"/>
    <x v="7"/>
    <n v="268.38749811798334"/>
    <n v="15"/>
    <d v="1998-01-27T00:00:00"/>
  </r>
  <r>
    <n v="10856"/>
    <x v="0"/>
    <n v="380"/>
    <n v="20"/>
    <d v="1998-01-28T00:00:00"/>
  </r>
  <r>
    <n v="10856"/>
    <x v="1"/>
    <n v="380"/>
    <n v="20"/>
    <d v="1998-01-28T00:00:00"/>
  </r>
  <r>
    <n v="10856"/>
    <x v="2"/>
    <n v="380"/>
    <n v="20"/>
    <d v="1998-01-28T00:00:00"/>
  </r>
  <r>
    <n v="10856"/>
    <x v="3"/>
    <n v="380"/>
    <n v="20"/>
    <d v="1998-01-28T00:00:00"/>
  </r>
  <r>
    <n v="10856"/>
    <x v="4"/>
    <n v="380"/>
    <n v="20"/>
    <d v="1998-01-28T00:00:00"/>
  </r>
  <r>
    <n v="10856"/>
    <x v="5"/>
    <n v="380"/>
    <n v="20"/>
    <d v="1998-01-28T00:00:00"/>
  </r>
  <r>
    <n v="10856"/>
    <x v="6"/>
    <n v="380"/>
    <n v="20"/>
    <d v="1998-01-28T00:00:00"/>
  </r>
  <r>
    <n v="10856"/>
    <x v="7"/>
    <n v="380"/>
    <n v="20"/>
    <d v="1998-01-28T00:00:00"/>
  </r>
  <r>
    <n v="10856"/>
    <x v="0"/>
    <n v="280"/>
    <n v="20"/>
    <d v="1998-01-28T00:00:00"/>
  </r>
  <r>
    <n v="10856"/>
    <x v="1"/>
    <n v="280"/>
    <n v="20"/>
    <d v="1998-01-28T00:00:00"/>
  </r>
  <r>
    <n v="10856"/>
    <x v="2"/>
    <n v="280"/>
    <n v="20"/>
    <d v="1998-01-28T00:00:00"/>
  </r>
  <r>
    <n v="10856"/>
    <x v="3"/>
    <n v="280"/>
    <n v="20"/>
    <d v="1998-01-28T00:00:00"/>
  </r>
  <r>
    <n v="10856"/>
    <x v="4"/>
    <n v="280"/>
    <n v="20"/>
    <d v="1998-01-28T00:00:00"/>
  </r>
  <r>
    <n v="10856"/>
    <x v="5"/>
    <n v="280"/>
    <n v="20"/>
    <d v="1998-01-28T00:00:00"/>
  </r>
  <r>
    <n v="10856"/>
    <x v="6"/>
    <n v="280"/>
    <n v="20"/>
    <d v="1998-01-28T00:00:00"/>
  </r>
  <r>
    <n v="10856"/>
    <x v="7"/>
    <n v="280"/>
    <n v="20"/>
    <d v="1998-01-28T00:00:00"/>
  </r>
  <r>
    <n v="10857"/>
    <x v="0"/>
    <n v="300"/>
    <n v="30"/>
    <d v="1998-01-28T00:00:00"/>
  </r>
  <r>
    <n v="10857"/>
    <x v="1"/>
    <n v="300"/>
    <n v="30"/>
    <d v="1998-01-28T00:00:00"/>
  </r>
  <r>
    <n v="10857"/>
    <x v="2"/>
    <n v="300"/>
    <n v="30"/>
    <d v="1998-01-28T00:00:00"/>
  </r>
  <r>
    <n v="10857"/>
    <x v="3"/>
    <n v="300"/>
    <n v="30"/>
    <d v="1998-01-28T00:00:00"/>
  </r>
  <r>
    <n v="10857"/>
    <x v="4"/>
    <n v="300"/>
    <n v="30"/>
    <d v="1998-01-28T00:00:00"/>
  </r>
  <r>
    <n v="10857"/>
    <x v="5"/>
    <n v="300"/>
    <n v="30"/>
    <d v="1998-01-28T00:00:00"/>
  </r>
  <r>
    <n v="10857"/>
    <x v="6"/>
    <n v="300"/>
    <n v="30"/>
    <d v="1998-01-28T00:00:00"/>
  </r>
  <r>
    <n v="10857"/>
    <x v="7"/>
    <n v="300"/>
    <n v="30"/>
    <d v="1998-01-28T00:00:00"/>
  </r>
  <r>
    <n v="10857"/>
    <x v="0"/>
    <n v="819.78749999999991"/>
    <n v="35"/>
    <d v="1998-01-28T00:00:00"/>
  </r>
  <r>
    <n v="10857"/>
    <x v="1"/>
    <n v="819.78749999999991"/>
    <n v="35"/>
    <d v="1998-01-28T00:00:00"/>
  </r>
  <r>
    <n v="10857"/>
    <x v="2"/>
    <n v="819.78749999999991"/>
    <n v="35"/>
    <d v="1998-01-28T00:00:00"/>
  </r>
  <r>
    <n v="10857"/>
    <x v="3"/>
    <n v="819.78749999999991"/>
    <n v="35"/>
    <d v="1998-01-28T00:00:00"/>
  </r>
  <r>
    <n v="10857"/>
    <x v="4"/>
    <n v="819.78749999999991"/>
    <n v="35"/>
    <d v="1998-01-28T00:00:00"/>
  </r>
  <r>
    <n v="10857"/>
    <x v="5"/>
    <n v="819.78749999999991"/>
    <n v="35"/>
    <d v="1998-01-28T00:00:00"/>
  </r>
  <r>
    <n v="10857"/>
    <x v="6"/>
    <n v="819.78749999999991"/>
    <n v="35"/>
    <d v="1998-01-28T00:00:00"/>
  </r>
  <r>
    <n v="10857"/>
    <x v="7"/>
    <n v="819.78749999999991"/>
    <n v="35"/>
    <d v="1998-01-28T00:00:00"/>
  </r>
  <r>
    <n v="10857"/>
    <x v="0"/>
    <n v="928.42500000000007"/>
    <n v="10"/>
    <d v="1998-01-28T00:00:00"/>
  </r>
  <r>
    <n v="10857"/>
    <x v="1"/>
    <n v="928.42500000000007"/>
    <n v="10"/>
    <d v="1998-01-28T00:00:00"/>
  </r>
  <r>
    <n v="10857"/>
    <x v="2"/>
    <n v="928.42500000000007"/>
    <n v="10"/>
    <d v="1998-01-28T00:00:00"/>
  </r>
  <r>
    <n v="10857"/>
    <x v="3"/>
    <n v="928.42500000000007"/>
    <n v="10"/>
    <d v="1998-01-28T00:00:00"/>
  </r>
  <r>
    <n v="10857"/>
    <x v="4"/>
    <n v="928.42500000000007"/>
    <n v="10"/>
    <d v="1998-01-28T00:00:00"/>
  </r>
  <r>
    <n v="10857"/>
    <x v="5"/>
    <n v="928.42500000000007"/>
    <n v="10"/>
    <d v="1998-01-28T00:00:00"/>
  </r>
  <r>
    <n v="10857"/>
    <x v="6"/>
    <n v="928.42500000000007"/>
    <n v="10"/>
    <d v="1998-01-28T00:00:00"/>
  </r>
  <r>
    <n v="10857"/>
    <x v="7"/>
    <n v="928.42500000000007"/>
    <n v="10"/>
    <d v="1998-01-28T00:00:00"/>
  </r>
  <r>
    <n v="10858"/>
    <x v="0"/>
    <n v="150"/>
    <n v="5"/>
    <d v="1998-01-29T00:00:00"/>
  </r>
  <r>
    <n v="10858"/>
    <x v="1"/>
    <n v="150"/>
    <n v="5"/>
    <d v="1998-01-29T00:00:00"/>
  </r>
  <r>
    <n v="10858"/>
    <x v="2"/>
    <n v="150"/>
    <n v="5"/>
    <d v="1998-01-29T00:00:00"/>
  </r>
  <r>
    <n v="10858"/>
    <x v="3"/>
    <n v="150"/>
    <n v="5"/>
    <d v="1998-01-29T00:00:00"/>
  </r>
  <r>
    <n v="10858"/>
    <x v="4"/>
    <n v="150"/>
    <n v="5"/>
    <d v="1998-01-29T00:00:00"/>
  </r>
  <r>
    <n v="10858"/>
    <x v="5"/>
    <n v="150"/>
    <n v="5"/>
    <d v="1998-01-29T00:00:00"/>
  </r>
  <r>
    <n v="10858"/>
    <x v="6"/>
    <n v="150"/>
    <n v="5"/>
    <d v="1998-01-29T00:00:00"/>
  </r>
  <r>
    <n v="10858"/>
    <x v="7"/>
    <n v="150"/>
    <n v="5"/>
    <d v="1998-01-29T00:00:00"/>
  </r>
  <r>
    <n v="10858"/>
    <x v="0"/>
    <n v="439"/>
    <n v="10"/>
    <d v="1998-01-29T00:00:00"/>
  </r>
  <r>
    <n v="10858"/>
    <x v="1"/>
    <n v="439"/>
    <n v="10"/>
    <d v="1998-01-29T00:00:00"/>
  </r>
  <r>
    <n v="10858"/>
    <x v="2"/>
    <n v="439"/>
    <n v="10"/>
    <d v="1998-01-29T00:00:00"/>
  </r>
  <r>
    <n v="10858"/>
    <x v="3"/>
    <n v="439"/>
    <n v="10"/>
    <d v="1998-01-29T00:00:00"/>
  </r>
  <r>
    <n v="10858"/>
    <x v="4"/>
    <n v="439"/>
    <n v="10"/>
    <d v="1998-01-29T00:00:00"/>
  </r>
  <r>
    <n v="10858"/>
    <x v="5"/>
    <n v="439"/>
    <n v="10"/>
    <d v="1998-01-29T00:00:00"/>
  </r>
  <r>
    <n v="10858"/>
    <x v="6"/>
    <n v="439"/>
    <n v="10"/>
    <d v="1998-01-29T00:00:00"/>
  </r>
  <r>
    <n v="10858"/>
    <x v="7"/>
    <n v="439"/>
    <n v="10"/>
    <d v="1998-01-29T00:00:00"/>
  </r>
  <r>
    <n v="10858"/>
    <x v="0"/>
    <n v="60"/>
    <n v="4"/>
    <d v="1998-01-29T00:00:00"/>
  </r>
  <r>
    <n v="10858"/>
    <x v="1"/>
    <n v="60"/>
    <n v="4"/>
    <d v="1998-01-29T00:00:00"/>
  </r>
  <r>
    <n v="10858"/>
    <x v="2"/>
    <n v="60"/>
    <n v="4"/>
    <d v="1998-01-29T00:00:00"/>
  </r>
  <r>
    <n v="10858"/>
    <x v="3"/>
    <n v="60"/>
    <n v="4"/>
    <d v="1998-01-29T00:00:00"/>
  </r>
  <r>
    <n v="10858"/>
    <x v="4"/>
    <n v="60"/>
    <n v="4"/>
    <d v="1998-01-29T00:00:00"/>
  </r>
  <r>
    <n v="10858"/>
    <x v="5"/>
    <n v="60"/>
    <n v="4"/>
    <d v="1998-01-29T00:00:00"/>
  </r>
  <r>
    <n v="10858"/>
    <x v="6"/>
    <n v="60"/>
    <n v="4"/>
    <d v="1998-01-29T00:00:00"/>
  </r>
  <r>
    <n v="10858"/>
    <x v="7"/>
    <n v="60"/>
    <n v="4"/>
    <d v="1998-01-29T00:00:00"/>
  </r>
  <r>
    <n v="10859"/>
    <x v="0"/>
    <n v="135"/>
    <n v="40"/>
    <d v="1998-01-29T00:00:00"/>
  </r>
  <r>
    <n v="10859"/>
    <x v="1"/>
    <n v="135"/>
    <n v="40"/>
    <d v="1998-01-29T00:00:00"/>
  </r>
  <r>
    <n v="10859"/>
    <x v="2"/>
    <n v="135"/>
    <n v="40"/>
    <d v="1998-01-29T00:00:00"/>
  </r>
  <r>
    <n v="10859"/>
    <x v="3"/>
    <n v="135"/>
    <n v="40"/>
    <d v="1998-01-29T00:00:00"/>
  </r>
  <r>
    <n v="10859"/>
    <x v="4"/>
    <n v="135"/>
    <n v="40"/>
    <d v="1998-01-29T00:00:00"/>
  </r>
  <r>
    <n v="10859"/>
    <x v="5"/>
    <n v="135"/>
    <n v="40"/>
    <d v="1998-01-29T00:00:00"/>
  </r>
  <r>
    <n v="10859"/>
    <x v="6"/>
    <n v="135"/>
    <n v="40"/>
    <d v="1998-01-29T00:00:00"/>
  </r>
  <r>
    <n v="10859"/>
    <x v="7"/>
    <n v="135"/>
    <n v="40"/>
    <d v="1998-01-29T00:00:00"/>
  </r>
  <r>
    <n v="10859"/>
    <x v="0"/>
    <n v="195.5625"/>
    <n v="35"/>
    <d v="1998-01-29T00:00:00"/>
  </r>
  <r>
    <n v="10859"/>
    <x v="1"/>
    <n v="195.5625"/>
    <n v="35"/>
    <d v="1998-01-29T00:00:00"/>
  </r>
  <r>
    <n v="10859"/>
    <x v="2"/>
    <n v="195.5625"/>
    <n v="35"/>
    <d v="1998-01-29T00:00:00"/>
  </r>
  <r>
    <n v="10859"/>
    <x v="3"/>
    <n v="195.5625"/>
    <n v="35"/>
    <d v="1998-01-29T00:00:00"/>
  </r>
  <r>
    <n v="10859"/>
    <x v="4"/>
    <n v="195.5625"/>
    <n v="35"/>
    <d v="1998-01-29T00:00:00"/>
  </r>
  <r>
    <n v="10859"/>
    <x v="5"/>
    <n v="195.5625"/>
    <n v="35"/>
    <d v="1998-01-29T00:00:00"/>
  </r>
  <r>
    <n v="10859"/>
    <x v="6"/>
    <n v="195.5625"/>
    <n v="35"/>
    <d v="1998-01-29T00:00:00"/>
  </r>
  <r>
    <n v="10859"/>
    <x v="7"/>
    <n v="195.5625"/>
    <n v="35"/>
    <d v="1998-01-29T00:00:00"/>
  </r>
  <r>
    <n v="10859"/>
    <x v="0"/>
    <n v="748.125"/>
    <n v="30"/>
    <d v="1998-01-29T00:00:00"/>
  </r>
  <r>
    <n v="10859"/>
    <x v="1"/>
    <n v="748.125"/>
    <n v="30"/>
    <d v="1998-01-29T00:00:00"/>
  </r>
  <r>
    <n v="10859"/>
    <x v="2"/>
    <n v="748.125"/>
    <n v="30"/>
    <d v="1998-01-29T00:00:00"/>
  </r>
  <r>
    <n v="10859"/>
    <x v="3"/>
    <n v="748.125"/>
    <n v="30"/>
    <d v="1998-01-29T00:00:00"/>
  </r>
  <r>
    <n v="10859"/>
    <x v="4"/>
    <n v="748.125"/>
    <n v="30"/>
    <d v="1998-01-29T00:00:00"/>
  </r>
  <r>
    <n v="10859"/>
    <x v="5"/>
    <n v="748.125"/>
    <n v="30"/>
    <d v="1998-01-29T00:00:00"/>
  </r>
  <r>
    <n v="10859"/>
    <x v="6"/>
    <n v="748.125"/>
    <n v="30"/>
    <d v="1998-01-29T00:00:00"/>
  </r>
  <r>
    <n v="10859"/>
    <x v="7"/>
    <n v="748.125"/>
    <n v="30"/>
    <d v="1998-01-29T00:00:00"/>
  </r>
  <r>
    <n v="10860"/>
    <x v="0"/>
    <n v="159"/>
    <n v="3"/>
    <d v="1998-01-29T00:00:00"/>
  </r>
  <r>
    <n v="10860"/>
    <x v="1"/>
    <n v="159"/>
    <n v="3"/>
    <d v="1998-01-29T00:00:00"/>
  </r>
  <r>
    <n v="10860"/>
    <x v="2"/>
    <n v="159"/>
    <n v="3"/>
    <d v="1998-01-29T00:00:00"/>
  </r>
  <r>
    <n v="10860"/>
    <x v="3"/>
    <n v="159"/>
    <n v="3"/>
    <d v="1998-01-29T00:00:00"/>
  </r>
  <r>
    <n v="10860"/>
    <x v="4"/>
    <n v="159"/>
    <n v="3"/>
    <d v="1998-01-29T00:00:00"/>
  </r>
  <r>
    <n v="10860"/>
    <x v="5"/>
    <n v="159"/>
    <n v="3"/>
    <d v="1998-01-29T00:00:00"/>
  </r>
  <r>
    <n v="10860"/>
    <x v="6"/>
    <n v="159"/>
    <n v="3"/>
    <d v="1998-01-29T00:00:00"/>
  </r>
  <r>
    <n v="10860"/>
    <x v="7"/>
    <n v="159"/>
    <n v="3"/>
    <d v="1998-01-29T00:00:00"/>
  </r>
  <r>
    <n v="10860"/>
    <x v="0"/>
    <n v="360"/>
    <n v="20"/>
    <d v="1998-01-29T00:00:00"/>
  </r>
  <r>
    <n v="10860"/>
    <x v="1"/>
    <n v="360"/>
    <n v="20"/>
    <d v="1998-01-29T00:00:00"/>
  </r>
  <r>
    <n v="10860"/>
    <x v="2"/>
    <n v="360"/>
    <n v="20"/>
    <d v="1998-01-29T00:00:00"/>
  </r>
  <r>
    <n v="10860"/>
    <x v="3"/>
    <n v="360"/>
    <n v="20"/>
    <d v="1998-01-29T00:00:00"/>
  </r>
  <r>
    <n v="10860"/>
    <x v="4"/>
    <n v="360"/>
    <n v="20"/>
    <d v="1998-01-29T00:00:00"/>
  </r>
  <r>
    <n v="10860"/>
    <x v="5"/>
    <n v="360"/>
    <n v="20"/>
    <d v="1998-01-29T00:00:00"/>
  </r>
  <r>
    <n v="10860"/>
    <x v="6"/>
    <n v="360"/>
    <n v="20"/>
    <d v="1998-01-29T00:00:00"/>
  </r>
  <r>
    <n v="10860"/>
    <x v="7"/>
    <n v="360"/>
    <n v="20"/>
    <d v="1998-01-29T00:00:00"/>
  </r>
  <r>
    <n v="10861"/>
    <x v="0"/>
    <n v="1638"/>
    <n v="42"/>
    <d v="1998-01-30T00:00:00"/>
  </r>
  <r>
    <n v="10861"/>
    <x v="1"/>
    <n v="1638"/>
    <n v="42"/>
    <d v="1998-01-30T00:00:00"/>
  </r>
  <r>
    <n v="10861"/>
    <x v="2"/>
    <n v="1638"/>
    <n v="42"/>
    <d v="1998-01-30T00:00:00"/>
  </r>
  <r>
    <n v="10861"/>
    <x v="3"/>
    <n v="1638"/>
    <n v="42"/>
    <d v="1998-01-30T00:00:00"/>
  </r>
  <r>
    <n v="10861"/>
    <x v="4"/>
    <n v="1638"/>
    <n v="42"/>
    <d v="1998-01-30T00:00:00"/>
  </r>
  <r>
    <n v="10861"/>
    <x v="5"/>
    <n v="1638"/>
    <n v="42"/>
    <d v="1998-01-30T00:00:00"/>
  </r>
  <r>
    <n v="10861"/>
    <x v="6"/>
    <n v="1638"/>
    <n v="42"/>
    <d v="1998-01-30T00:00:00"/>
  </r>
  <r>
    <n v="10861"/>
    <x v="7"/>
    <n v="1638"/>
    <n v="42"/>
    <d v="1998-01-30T00:00:00"/>
  </r>
  <r>
    <n v="10861"/>
    <x v="0"/>
    <n v="1250"/>
    <n v="20"/>
    <d v="1998-01-30T00:00:00"/>
  </r>
  <r>
    <n v="10861"/>
    <x v="1"/>
    <n v="1250"/>
    <n v="20"/>
    <d v="1998-01-30T00:00:00"/>
  </r>
  <r>
    <n v="10861"/>
    <x v="2"/>
    <n v="1250"/>
    <n v="20"/>
    <d v="1998-01-30T00:00:00"/>
  </r>
  <r>
    <n v="10861"/>
    <x v="3"/>
    <n v="1250"/>
    <n v="20"/>
    <d v="1998-01-30T00:00:00"/>
  </r>
  <r>
    <n v="10861"/>
    <x v="4"/>
    <n v="1250"/>
    <n v="20"/>
    <d v="1998-01-30T00:00:00"/>
  </r>
  <r>
    <n v="10861"/>
    <x v="5"/>
    <n v="1250"/>
    <n v="20"/>
    <d v="1998-01-30T00:00:00"/>
  </r>
  <r>
    <n v="10861"/>
    <x v="6"/>
    <n v="1250"/>
    <n v="20"/>
    <d v="1998-01-30T00:00:00"/>
  </r>
  <r>
    <n v="10861"/>
    <x v="7"/>
    <n v="1250"/>
    <n v="20"/>
    <d v="1998-01-30T00:00:00"/>
  </r>
  <r>
    <n v="10861"/>
    <x v="0"/>
    <n v="400"/>
    <n v="40"/>
    <d v="1998-01-30T00:00:00"/>
  </r>
  <r>
    <n v="10861"/>
    <x v="1"/>
    <n v="400"/>
    <n v="40"/>
    <d v="1998-01-30T00:00:00"/>
  </r>
  <r>
    <n v="10861"/>
    <x v="2"/>
    <n v="400"/>
    <n v="40"/>
    <d v="1998-01-30T00:00:00"/>
  </r>
  <r>
    <n v="10861"/>
    <x v="3"/>
    <n v="400"/>
    <n v="40"/>
    <d v="1998-01-30T00:00:00"/>
  </r>
  <r>
    <n v="10861"/>
    <x v="4"/>
    <n v="400"/>
    <n v="40"/>
    <d v="1998-01-30T00:00:00"/>
  </r>
  <r>
    <n v="10861"/>
    <x v="5"/>
    <n v="400"/>
    <n v="40"/>
    <d v="1998-01-30T00:00:00"/>
  </r>
  <r>
    <n v="10861"/>
    <x v="6"/>
    <n v="400"/>
    <n v="40"/>
    <d v="1998-01-30T00:00:00"/>
  </r>
  <r>
    <n v="10861"/>
    <x v="7"/>
    <n v="400"/>
    <n v="40"/>
    <d v="1998-01-30T00:00:00"/>
  </r>
  <r>
    <n v="10861"/>
    <x v="0"/>
    <n v="87.5"/>
    <n v="35"/>
    <d v="1998-01-30T00:00:00"/>
  </r>
  <r>
    <n v="10861"/>
    <x v="1"/>
    <n v="87.5"/>
    <n v="35"/>
    <d v="1998-01-30T00:00:00"/>
  </r>
  <r>
    <n v="10861"/>
    <x v="2"/>
    <n v="87.5"/>
    <n v="35"/>
    <d v="1998-01-30T00:00:00"/>
  </r>
  <r>
    <n v="10861"/>
    <x v="3"/>
    <n v="87.5"/>
    <n v="35"/>
    <d v="1998-01-30T00:00:00"/>
  </r>
  <r>
    <n v="10861"/>
    <x v="4"/>
    <n v="87.5"/>
    <n v="35"/>
    <d v="1998-01-30T00:00:00"/>
  </r>
  <r>
    <n v="10861"/>
    <x v="5"/>
    <n v="87.5"/>
    <n v="35"/>
    <d v="1998-01-30T00:00:00"/>
  </r>
  <r>
    <n v="10861"/>
    <x v="6"/>
    <n v="87.5"/>
    <n v="35"/>
    <d v="1998-01-30T00:00:00"/>
  </r>
  <r>
    <n v="10861"/>
    <x v="7"/>
    <n v="87.5"/>
    <n v="35"/>
    <d v="1998-01-30T00:00:00"/>
  </r>
  <r>
    <n v="10861"/>
    <x v="0"/>
    <n v="147.9"/>
    <n v="3"/>
    <d v="1998-01-30T00:00:00"/>
  </r>
  <r>
    <n v="10861"/>
    <x v="1"/>
    <n v="147.9"/>
    <n v="3"/>
    <d v="1998-01-30T00:00:00"/>
  </r>
  <r>
    <n v="10861"/>
    <x v="2"/>
    <n v="147.9"/>
    <n v="3"/>
    <d v="1998-01-30T00:00:00"/>
  </r>
  <r>
    <n v="10861"/>
    <x v="3"/>
    <n v="147.9"/>
    <n v="3"/>
    <d v="1998-01-30T00:00:00"/>
  </r>
  <r>
    <n v="10861"/>
    <x v="4"/>
    <n v="147.9"/>
    <n v="3"/>
    <d v="1998-01-30T00:00:00"/>
  </r>
  <r>
    <n v="10861"/>
    <x v="5"/>
    <n v="147.9"/>
    <n v="3"/>
    <d v="1998-01-30T00:00:00"/>
  </r>
  <r>
    <n v="10861"/>
    <x v="6"/>
    <n v="147.9"/>
    <n v="3"/>
    <d v="1998-01-30T00:00:00"/>
  </r>
  <r>
    <n v="10861"/>
    <x v="7"/>
    <n v="147.9"/>
    <n v="3"/>
    <d v="1998-01-30T00:00:00"/>
  </r>
  <r>
    <n v="10862"/>
    <x v="0"/>
    <n v="525"/>
    <n v="25"/>
    <d v="1998-01-30T00:00:00"/>
  </r>
  <r>
    <n v="10862"/>
    <x v="1"/>
    <n v="525"/>
    <n v="25"/>
    <d v="1998-01-30T00:00:00"/>
  </r>
  <r>
    <n v="10862"/>
    <x v="2"/>
    <n v="525"/>
    <n v="25"/>
    <d v="1998-01-30T00:00:00"/>
  </r>
  <r>
    <n v="10862"/>
    <x v="3"/>
    <n v="525"/>
    <n v="25"/>
    <d v="1998-01-30T00:00:00"/>
  </r>
  <r>
    <n v="10862"/>
    <x v="4"/>
    <n v="525"/>
    <n v="25"/>
    <d v="1998-01-30T00:00:00"/>
  </r>
  <r>
    <n v="10862"/>
    <x v="5"/>
    <n v="525"/>
    <n v="25"/>
    <d v="1998-01-30T00:00:00"/>
  </r>
  <r>
    <n v="10862"/>
    <x v="6"/>
    <n v="525"/>
    <n v="25"/>
    <d v="1998-01-30T00:00:00"/>
  </r>
  <r>
    <n v="10862"/>
    <x v="7"/>
    <n v="525"/>
    <n v="25"/>
    <d v="1998-01-30T00:00:00"/>
  </r>
  <r>
    <n v="10862"/>
    <x v="0"/>
    <n v="56"/>
    <n v="8"/>
    <d v="1998-01-30T00:00:00"/>
  </r>
  <r>
    <n v="10862"/>
    <x v="1"/>
    <n v="56"/>
    <n v="8"/>
    <d v="1998-01-30T00:00:00"/>
  </r>
  <r>
    <n v="10862"/>
    <x v="2"/>
    <n v="56"/>
    <n v="8"/>
    <d v="1998-01-30T00:00:00"/>
  </r>
  <r>
    <n v="10862"/>
    <x v="3"/>
    <n v="56"/>
    <n v="8"/>
    <d v="1998-01-30T00:00:00"/>
  </r>
  <r>
    <n v="10862"/>
    <x v="4"/>
    <n v="56"/>
    <n v="8"/>
    <d v="1998-01-30T00:00:00"/>
  </r>
  <r>
    <n v="10862"/>
    <x v="5"/>
    <n v="56"/>
    <n v="8"/>
    <d v="1998-01-30T00:00:00"/>
  </r>
  <r>
    <n v="10862"/>
    <x v="6"/>
    <n v="56"/>
    <n v="8"/>
    <d v="1998-01-30T00:00:00"/>
  </r>
  <r>
    <n v="10862"/>
    <x v="7"/>
    <n v="56"/>
    <n v="8"/>
    <d v="1998-01-30T00:00:00"/>
  </r>
  <r>
    <n v="10863"/>
    <x v="0"/>
    <n v="305.99999785423279"/>
    <n v="20"/>
    <d v="1998-02-02T00:00:00"/>
  </r>
  <r>
    <n v="10863"/>
    <x v="1"/>
    <n v="305.99999785423279"/>
    <n v="20"/>
    <d v="1998-02-02T00:00:00"/>
  </r>
  <r>
    <n v="10863"/>
    <x v="2"/>
    <n v="305.99999785423279"/>
    <n v="20"/>
    <d v="1998-02-02T00:00:00"/>
  </r>
  <r>
    <n v="10863"/>
    <x v="3"/>
    <n v="305.99999785423279"/>
    <n v="20"/>
    <d v="1998-02-02T00:00:00"/>
  </r>
  <r>
    <n v="10863"/>
    <x v="4"/>
    <n v="305.99999785423279"/>
    <n v="20"/>
    <d v="1998-02-02T00:00:00"/>
  </r>
  <r>
    <n v="10863"/>
    <x v="5"/>
    <n v="305.99999785423279"/>
    <n v="20"/>
    <d v="1998-02-02T00:00:00"/>
  </r>
  <r>
    <n v="10863"/>
    <x v="6"/>
    <n v="305.99999785423279"/>
    <n v="20"/>
    <d v="1998-02-02T00:00:00"/>
  </r>
  <r>
    <n v="10863"/>
    <x v="7"/>
    <n v="305.99999785423279"/>
    <n v="20"/>
    <d v="1998-02-02T00:00:00"/>
  </r>
  <r>
    <n v="10863"/>
    <x v="0"/>
    <n v="135.14999905228615"/>
    <n v="12"/>
    <d v="1998-02-02T00:00:00"/>
  </r>
  <r>
    <n v="10863"/>
    <x v="1"/>
    <n v="135.14999905228615"/>
    <n v="12"/>
    <d v="1998-02-02T00:00:00"/>
  </r>
  <r>
    <n v="10863"/>
    <x v="2"/>
    <n v="135.14999905228615"/>
    <n v="12"/>
    <d v="1998-02-02T00:00:00"/>
  </r>
  <r>
    <n v="10863"/>
    <x v="3"/>
    <n v="135.14999905228615"/>
    <n v="12"/>
    <d v="1998-02-02T00:00:00"/>
  </r>
  <r>
    <n v="10863"/>
    <x v="4"/>
    <n v="135.14999905228615"/>
    <n v="12"/>
    <d v="1998-02-02T00:00:00"/>
  </r>
  <r>
    <n v="10863"/>
    <x v="5"/>
    <n v="135.14999905228615"/>
    <n v="12"/>
    <d v="1998-02-02T00:00:00"/>
  </r>
  <r>
    <n v="10863"/>
    <x v="6"/>
    <n v="135.14999905228615"/>
    <n v="12"/>
    <d v="1998-02-02T00:00:00"/>
  </r>
  <r>
    <n v="10863"/>
    <x v="7"/>
    <n v="135.14999905228615"/>
    <n v="12"/>
    <d v="1998-02-02T00:00:00"/>
  </r>
  <r>
    <n v="10864"/>
    <x v="0"/>
    <n v="72"/>
    <n v="4"/>
    <d v="1998-02-02T00:00:00"/>
  </r>
  <r>
    <n v="10864"/>
    <x v="1"/>
    <n v="72"/>
    <n v="4"/>
    <d v="1998-02-02T00:00:00"/>
  </r>
  <r>
    <n v="10864"/>
    <x v="2"/>
    <n v="72"/>
    <n v="4"/>
    <d v="1998-02-02T00:00:00"/>
  </r>
  <r>
    <n v="10864"/>
    <x v="3"/>
    <n v="72"/>
    <n v="4"/>
    <d v="1998-02-02T00:00:00"/>
  </r>
  <r>
    <n v="10864"/>
    <x v="4"/>
    <n v="72"/>
    <n v="4"/>
    <d v="1998-02-02T00:00:00"/>
  </r>
  <r>
    <n v="10864"/>
    <x v="5"/>
    <n v="72"/>
    <n v="4"/>
    <d v="1998-02-02T00:00:00"/>
  </r>
  <r>
    <n v="10864"/>
    <x v="6"/>
    <n v="72"/>
    <n v="4"/>
    <d v="1998-02-02T00:00:00"/>
  </r>
  <r>
    <n v="10864"/>
    <x v="7"/>
    <n v="72"/>
    <n v="4"/>
    <d v="1998-02-02T00:00:00"/>
  </r>
  <r>
    <n v="10864"/>
    <x v="0"/>
    <n v="210"/>
    <n v="15"/>
    <d v="1998-02-02T00:00:00"/>
  </r>
  <r>
    <n v="10864"/>
    <x v="1"/>
    <n v="210"/>
    <n v="15"/>
    <d v="1998-02-02T00:00:00"/>
  </r>
  <r>
    <n v="10864"/>
    <x v="2"/>
    <n v="210"/>
    <n v="15"/>
    <d v="1998-02-02T00:00:00"/>
  </r>
  <r>
    <n v="10864"/>
    <x v="3"/>
    <n v="210"/>
    <n v="15"/>
    <d v="1998-02-02T00:00:00"/>
  </r>
  <r>
    <n v="10864"/>
    <x v="4"/>
    <n v="210"/>
    <n v="15"/>
    <d v="1998-02-02T00:00:00"/>
  </r>
  <r>
    <n v="10864"/>
    <x v="5"/>
    <n v="210"/>
    <n v="15"/>
    <d v="1998-02-02T00:00:00"/>
  </r>
  <r>
    <n v="10864"/>
    <x v="6"/>
    <n v="210"/>
    <n v="15"/>
    <d v="1998-02-02T00:00:00"/>
  </r>
  <r>
    <n v="10864"/>
    <x v="7"/>
    <n v="210"/>
    <n v="15"/>
    <d v="1998-02-02T00:00:00"/>
  </r>
  <r>
    <n v="10865"/>
    <x v="0"/>
    <n v="15019.499988220632"/>
    <n v="60"/>
    <d v="1998-02-02T00:00:00"/>
  </r>
  <r>
    <n v="10865"/>
    <x v="1"/>
    <n v="15019.499988220632"/>
    <n v="60"/>
    <d v="1998-02-02T00:00:00"/>
  </r>
  <r>
    <n v="10865"/>
    <x v="2"/>
    <n v="15019.499988220632"/>
    <n v="60"/>
    <d v="1998-02-02T00:00:00"/>
  </r>
  <r>
    <n v="10865"/>
    <x v="3"/>
    <n v="15019.499988220632"/>
    <n v="60"/>
    <d v="1998-02-02T00:00:00"/>
  </r>
  <r>
    <n v="10865"/>
    <x v="4"/>
    <n v="15019.499988220632"/>
    <n v="60"/>
    <d v="1998-02-02T00:00:00"/>
  </r>
  <r>
    <n v="10865"/>
    <x v="5"/>
    <n v="15019.499988220632"/>
    <n v="60"/>
    <d v="1998-02-02T00:00:00"/>
  </r>
  <r>
    <n v="10865"/>
    <x v="6"/>
    <n v="15019.499988220632"/>
    <n v="60"/>
    <d v="1998-02-02T00:00:00"/>
  </r>
  <r>
    <n v="10865"/>
    <x v="7"/>
    <n v="15019.499988220632"/>
    <n v="60"/>
    <d v="1998-02-02T00:00:00"/>
  </r>
  <r>
    <n v="10865"/>
    <x v="0"/>
    <n v="1367.9999989271164"/>
    <n v="80"/>
    <d v="1998-02-02T00:00:00"/>
  </r>
  <r>
    <n v="10865"/>
    <x v="1"/>
    <n v="1367.9999989271164"/>
    <n v="80"/>
    <d v="1998-02-02T00:00:00"/>
  </r>
  <r>
    <n v="10865"/>
    <x v="2"/>
    <n v="1367.9999989271164"/>
    <n v="80"/>
    <d v="1998-02-02T00:00:00"/>
  </r>
  <r>
    <n v="10865"/>
    <x v="3"/>
    <n v="1367.9999989271164"/>
    <n v="80"/>
    <d v="1998-02-02T00:00:00"/>
  </r>
  <r>
    <n v="10865"/>
    <x v="4"/>
    <n v="1367.9999989271164"/>
    <n v="80"/>
    <d v="1998-02-02T00:00:00"/>
  </r>
  <r>
    <n v="10865"/>
    <x v="5"/>
    <n v="1367.9999989271164"/>
    <n v="80"/>
    <d v="1998-02-02T00:00:00"/>
  </r>
  <r>
    <n v="10865"/>
    <x v="6"/>
    <n v="1367.9999989271164"/>
    <n v="80"/>
    <d v="1998-02-02T00:00:00"/>
  </r>
  <r>
    <n v="10865"/>
    <x v="7"/>
    <n v="1367.9999989271164"/>
    <n v="80"/>
    <d v="1998-02-02T00:00:00"/>
  </r>
  <r>
    <n v="10866"/>
    <x v="0"/>
    <n v="299.25"/>
    <n v="21"/>
    <d v="1998-02-03T00:00:00"/>
  </r>
  <r>
    <n v="10866"/>
    <x v="1"/>
    <n v="299.25"/>
    <n v="21"/>
    <d v="1998-02-03T00:00:00"/>
  </r>
  <r>
    <n v="10866"/>
    <x v="2"/>
    <n v="299.25"/>
    <n v="21"/>
    <d v="1998-02-03T00:00:00"/>
  </r>
  <r>
    <n v="10866"/>
    <x v="3"/>
    <n v="299.25"/>
    <n v="21"/>
    <d v="1998-02-03T00:00:00"/>
  </r>
  <r>
    <n v="10866"/>
    <x v="4"/>
    <n v="299.25"/>
    <n v="21"/>
    <d v="1998-02-03T00:00:00"/>
  </r>
  <r>
    <n v="10866"/>
    <x v="5"/>
    <n v="299.25"/>
    <n v="21"/>
    <d v="1998-02-03T00:00:00"/>
  </r>
  <r>
    <n v="10866"/>
    <x v="6"/>
    <n v="299.25"/>
    <n v="21"/>
    <d v="1998-02-03T00:00:00"/>
  </r>
  <r>
    <n v="10866"/>
    <x v="7"/>
    <n v="299.25"/>
    <n v="21"/>
    <d v="1998-02-03T00:00:00"/>
  </r>
  <r>
    <n v="10866"/>
    <x v="0"/>
    <n v="20.25"/>
    <n v="6"/>
    <d v="1998-02-03T00:00:00"/>
  </r>
  <r>
    <n v="10866"/>
    <x v="1"/>
    <n v="20.25"/>
    <n v="6"/>
    <d v="1998-02-03T00:00:00"/>
  </r>
  <r>
    <n v="10866"/>
    <x v="2"/>
    <n v="20.25"/>
    <n v="6"/>
    <d v="1998-02-03T00:00:00"/>
  </r>
  <r>
    <n v="10866"/>
    <x v="3"/>
    <n v="20.25"/>
    <n v="6"/>
    <d v="1998-02-03T00:00:00"/>
  </r>
  <r>
    <n v="10866"/>
    <x v="4"/>
    <n v="20.25"/>
    <n v="6"/>
    <d v="1998-02-03T00:00:00"/>
  </r>
  <r>
    <n v="10866"/>
    <x v="5"/>
    <n v="20.25"/>
    <n v="6"/>
    <d v="1998-02-03T00:00:00"/>
  </r>
  <r>
    <n v="10866"/>
    <x v="6"/>
    <n v="20.25"/>
    <n v="6"/>
    <d v="1998-02-03T00:00:00"/>
  </r>
  <r>
    <n v="10866"/>
    <x v="7"/>
    <n v="20.25"/>
    <n v="6"/>
    <d v="1998-02-03T00:00:00"/>
  </r>
  <r>
    <n v="10866"/>
    <x v="0"/>
    <n v="776.69999999999993"/>
    <n v="40"/>
    <d v="1998-02-03T00:00:00"/>
  </r>
  <r>
    <n v="10866"/>
    <x v="1"/>
    <n v="776.69999999999993"/>
    <n v="40"/>
    <d v="1998-02-03T00:00:00"/>
  </r>
  <r>
    <n v="10866"/>
    <x v="2"/>
    <n v="776.69999999999993"/>
    <n v="40"/>
    <d v="1998-02-03T00:00:00"/>
  </r>
  <r>
    <n v="10866"/>
    <x v="3"/>
    <n v="776.69999999999993"/>
    <n v="40"/>
    <d v="1998-02-03T00:00:00"/>
  </r>
  <r>
    <n v="10866"/>
    <x v="4"/>
    <n v="776.69999999999993"/>
    <n v="40"/>
    <d v="1998-02-03T00:00:00"/>
  </r>
  <r>
    <n v="10866"/>
    <x v="5"/>
    <n v="776.69999999999993"/>
    <n v="40"/>
    <d v="1998-02-03T00:00:00"/>
  </r>
  <r>
    <n v="10866"/>
    <x v="6"/>
    <n v="776.69999999999993"/>
    <n v="40"/>
    <d v="1998-02-03T00:00:00"/>
  </r>
  <r>
    <n v="10866"/>
    <x v="7"/>
    <n v="776.69999999999993"/>
    <n v="40"/>
    <d v="1998-02-03T00:00:00"/>
  </r>
  <r>
    <n v="10867"/>
    <x v="0"/>
    <n v="98.4"/>
    <n v="3"/>
    <d v="1998-02-03T00:00:00"/>
  </r>
  <r>
    <n v="10867"/>
    <x v="1"/>
    <n v="98.4"/>
    <n v="3"/>
    <d v="1998-02-03T00:00:00"/>
  </r>
  <r>
    <n v="10867"/>
    <x v="2"/>
    <n v="98.4"/>
    <n v="3"/>
    <d v="1998-02-03T00:00:00"/>
  </r>
  <r>
    <n v="10867"/>
    <x v="3"/>
    <n v="98.4"/>
    <n v="3"/>
    <d v="1998-02-03T00:00:00"/>
  </r>
  <r>
    <n v="10867"/>
    <x v="4"/>
    <n v="98.4"/>
    <n v="3"/>
    <d v="1998-02-03T00:00:00"/>
  </r>
  <r>
    <n v="10867"/>
    <x v="5"/>
    <n v="98.4"/>
    <n v="3"/>
    <d v="1998-02-03T00:00:00"/>
  </r>
  <r>
    <n v="10867"/>
    <x v="6"/>
    <n v="98.4"/>
    <n v="3"/>
    <d v="1998-02-03T00:00:00"/>
  </r>
  <r>
    <n v="10867"/>
    <x v="7"/>
    <n v="98.4"/>
    <n v="3"/>
    <d v="1998-02-03T00:00:00"/>
  </r>
  <r>
    <n v="10868"/>
    <x v="0"/>
    <n v="624.6"/>
    <n v="20"/>
    <d v="1998-02-04T00:00:00"/>
  </r>
  <r>
    <n v="10868"/>
    <x v="1"/>
    <n v="624.6"/>
    <n v="20"/>
    <d v="1998-02-04T00:00:00"/>
  </r>
  <r>
    <n v="10868"/>
    <x v="2"/>
    <n v="624.6"/>
    <n v="20"/>
    <d v="1998-02-04T00:00:00"/>
  </r>
  <r>
    <n v="10868"/>
    <x v="3"/>
    <n v="624.6"/>
    <n v="20"/>
    <d v="1998-02-04T00:00:00"/>
  </r>
  <r>
    <n v="10868"/>
    <x v="4"/>
    <n v="624.6"/>
    <n v="20"/>
    <d v="1998-02-04T00:00:00"/>
  </r>
  <r>
    <n v="10868"/>
    <x v="5"/>
    <n v="624.6"/>
    <n v="20"/>
    <d v="1998-02-04T00:00:00"/>
  </r>
  <r>
    <n v="10868"/>
    <x v="6"/>
    <n v="624.6"/>
    <n v="20"/>
    <d v="1998-02-04T00:00:00"/>
  </r>
  <r>
    <n v="10868"/>
    <x v="7"/>
    <n v="624.6"/>
    <n v="20"/>
    <d v="1998-02-04T00:00:00"/>
  </r>
  <r>
    <n v="10868"/>
    <x v="0"/>
    <n v="540"/>
    <n v="30"/>
    <d v="1998-02-04T00:00:00"/>
  </r>
  <r>
    <n v="10868"/>
    <x v="1"/>
    <n v="540"/>
    <n v="30"/>
    <d v="1998-02-04T00:00:00"/>
  </r>
  <r>
    <n v="10868"/>
    <x v="2"/>
    <n v="540"/>
    <n v="30"/>
    <d v="1998-02-04T00:00:00"/>
  </r>
  <r>
    <n v="10868"/>
    <x v="3"/>
    <n v="540"/>
    <n v="30"/>
    <d v="1998-02-04T00:00:00"/>
  </r>
  <r>
    <n v="10868"/>
    <x v="4"/>
    <n v="540"/>
    <n v="30"/>
    <d v="1998-02-04T00:00:00"/>
  </r>
  <r>
    <n v="10868"/>
    <x v="5"/>
    <n v="540"/>
    <n v="30"/>
    <d v="1998-02-04T00:00:00"/>
  </r>
  <r>
    <n v="10868"/>
    <x v="6"/>
    <n v="540"/>
    <n v="30"/>
    <d v="1998-02-04T00:00:00"/>
  </r>
  <r>
    <n v="10868"/>
    <x v="7"/>
    <n v="540"/>
    <n v="30"/>
    <d v="1998-02-04T00:00:00"/>
  </r>
  <r>
    <n v="10868"/>
    <x v="0"/>
    <n v="755.99999874830246"/>
    <n v="42"/>
    <d v="1998-02-04T00:00:00"/>
  </r>
  <r>
    <n v="10868"/>
    <x v="1"/>
    <n v="755.99999874830246"/>
    <n v="42"/>
    <d v="1998-02-04T00:00:00"/>
  </r>
  <r>
    <n v="10868"/>
    <x v="2"/>
    <n v="755.99999874830246"/>
    <n v="42"/>
    <d v="1998-02-04T00:00:00"/>
  </r>
  <r>
    <n v="10868"/>
    <x v="3"/>
    <n v="755.99999874830246"/>
    <n v="42"/>
    <d v="1998-02-04T00:00:00"/>
  </r>
  <r>
    <n v="10868"/>
    <x v="4"/>
    <n v="755.99999874830246"/>
    <n v="42"/>
    <d v="1998-02-04T00:00:00"/>
  </r>
  <r>
    <n v="10868"/>
    <x v="5"/>
    <n v="755.99999874830246"/>
    <n v="42"/>
    <d v="1998-02-04T00:00:00"/>
  </r>
  <r>
    <n v="10868"/>
    <x v="6"/>
    <n v="755.99999874830246"/>
    <n v="42"/>
    <d v="1998-02-04T00:00:00"/>
  </r>
  <r>
    <n v="10868"/>
    <x v="7"/>
    <n v="755.99999874830246"/>
    <n v="42"/>
    <d v="1998-02-04T00:00:00"/>
  </r>
  <r>
    <n v="10869"/>
    <x v="0"/>
    <n v="720"/>
    <n v="40"/>
    <d v="1998-02-04T00:00:00"/>
  </r>
  <r>
    <n v="10869"/>
    <x v="1"/>
    <n v="720"/>
    <n v="40"/>
    <d v="1998-02-04T00:00:00"/>
  </r>
  <r>
    <n v="10869"/>
    <x v="2"/>
    <n v="720"/>
    <n v="40"/>
    <d v="1998-02-04T00:00:00"/>
  </r>
  <r>
    <n v="10869"/>
    <x v="3"/>
    <n v="720"/>
    <n v="40"/>
    <d v="1998-02-04T00:00:00"/>
  </r>
  <r>
    <n v="10869"/>
    <x v="4"/>
    <n v="720"/>
    <n v="40"/>
    <d v="1998-02-04T00:00:00"/>
  </r>
  <r>
    <n v="10869"/>
    <x v="5"/>
    <n v="720"/>
    <n v="40"/>
    <d v="1998-02-04T00:00:00"/>
  </r>
  <r>
    <n v="10869"/>
    <x v="6"/>
    <n v="720"/>
    <n v="40"/>
    <d v="1998-02-04T00:00:00"/>
  </r>
  <r>
    <n v="10869"/>
    <x v="7"/>
    <n v="720"/>
    <n v="40"/>
    <d v="1998-02-04T00:00:00"/>
  </r>
  <r>
    <n v="10869"/>
    <x v="0"/>
    <n v="210"/>
    <n v="10"/>
    <d v="1998-02-04T00:00:00"/>
  </r>
  <r>
    <n v="10869"/>
    <x v="1"/>
    <n v="210"/>
    <n v="10"/>
    <d v="1998-02-04T00:00:00"/>
  </r>
  <r>
    <n v="10869"/>
    <x v="2"/>
    <n v="210"/>
    <n v="10"/>
    <d v="1998-02-04T00:00:00"/>
  </r>
  <r>
    <n v="10869"/>
    <x v="3"/>
    <n v="210"/>
    <n v="10"/>
    <d v="1998-02-04T00:00:00"/>
  </r>
  <r>
    <n v="10869"/>
    <x v="4"/>
    <n v="210"/>
    <n v="10"/>
    <d v="1998-02-04T00:00:00"/>
  </r>
  <r>
    <n v="10869"/>
    <x v="5"/>
    <n v="210"/>
    <n v="10"/>
    <d v="1998-02-04T00:00:00"/>
  </r>
  <r>
    <n v="10869"/>
    <x v="6"/>
    <n v="210"/>
    <n v="10"/>
    <d v="1998-02-04T00:00:00"/>
  </r>
  <r>
    <n v="10869"/>
    <x v="7"/>
    <n v="210"/>
    <n v="10"/>
    <d v="1998-02-04T00:00:00"/>
  </r>
  <r>
    <n v="10869"/>
    <x v="0"/>
    <n v="450"/>
    <n v="50"/>
    <d v="1998-02-04T00:00:00"/>
  </r>
  <r>
    <n v="10869"/>
    <x v="1"/>
    <n v="450"/>
    <n v="50"/>
    <d v="1998-02-04T00:00:00"/>
  </r>
  <r>
    <n v="10869"/>
    <x v="2"/>
    <n v="450"/>
    <n v="50"/>
    <d v="1998-02-04T00:00:00"/>
  </r>
  <r>
    <n v="10869"/>
    <x v="3"/>
    <n v="450"/>
    <n v="50"/>
    <d v="1998-02-04T00:00:00"/>
  </r>
  <r>
    <n v="10869"/>
    <x v="4"/>
    <n v="450"/>
    <n v="50"/>
    <d v="1998-02-04T00:00:00"/>
  </r>
  <r>
    <n v="10869"/>
    <x v="5"/>
    <n v="450"/>
    <n v="50"/>
    <d v="1998-02-04T00:00:00"/>
  </r>
  <r>
    <n v="10869"/>
    <x v="6"/>
    <n v="450"/>
    <n v="50"/>
    <d v="1998-02-04T00:00:00"/>
  </r>
  <r>
    <n v="10869"/>
    <x v="7"/>
    <n v="450"/>
    <n v="50"/>
    <d v="1998-02-04T00:00:00"/>
  </r>
  <r>
    <n v="10869"/>
    <x v="0"/>
    <n v="250"/>
    <n v="20"/>
    <d v="1998-02-04T00:00:00"/>
  </r>
  <r>
    <n v="10869"/>
    <x v="1"/>
    <n v="250"/>
    <n v="20"/>
    <d v="1998-02-04T00:00:00"/>
  </r>
  <r>
    <n v="10869"/>
    <x v="2"/>
    <n v="250"/>
    <n v="20"/>
    <d v="1998-02-04T00:00:00"/>
  </r>
  <r>
    <n v="10869"/>
    <x v="3"/>
    <n v="250"/>
    <n v="20"/>
    <d v="1998-02-04T00:00:00"/>
  </r>
  <r>
    <n v="10869"/>
    <x v="4"/>
    <n v="250"/>
    <n v="20"/>
    <d v="1998-02-04T00:00:00"/>
  </r>
  <r>
    <n v="10869"/>
    <x v="5"/>
    <n v="250"/>
    <n v="20"/>
    <d v="1998-02-04T00:00:00"/>
  </r>
  <r>
    <n v="10869"/>
    <x v="6"/>
    <n v="250"/>
    <n v="20"/>
    <d v="1998-02-04T00:00:00"/>
  </r>
  <r>
    <n v="10869"/>
    <x v="7"/>
    <n v="250"/>
    <n v="20"/>
    <d v="1998-02-04T00:00:00"/>
  </r>
  <r>
    <n v="10870"/>
    <x v="0"/>
    <n v="54"/>
    <n v="3"/>
    <d v="1998-02-04T00:00:00"/>
  </r>
  <r>
    <n v="10870"/>
    <x v="1"/>
    <n v="54"/>
    <n v="3"/>
    <d v="1998-02-04T00:00:00"/>
  </r>
  <r>
    <n v="10870"/>
    <x v="2"/>
    <n v="54"/>
    <n v="3"/>
    <d v="1998-02-04T00:00:00"/>
  </r>
  <r>
    <n v="10870"/>
    <x v="3"/>
    <n v="54"/>
    <n v="3"/>
    <d v="1998-02-04T00:00:00"/>
  </r>
  <r>
    <n v="10870"/>
    <x v="4"/>
    <n v="54"/>
    <n v="3"/>
    <d v="1998-02-04T00:00:00"/>
  </r>
  <r>
    <n v="10870"/>
    <x v="5"/>
    <n v="54"/>
    <n v="3"/>
    <d v="1998-02-04T00:00:00"/>
  </r>
  <r>
    <n v="10870"/>
    <x v="6"/>
    <n v="54"/>
    <n v="3"/>
    <d v="1998-02-04T00:00:00"/>
  </r>
  <r>
    <n v="10870"/>
    <x v="7"/>
    <n v="54"/>
    <n v="3"/>
    <d v="1998-02-04T00:00:00"/>
  </r>
  <r>
    <n v="10870"/>
    <x v="0"/>
    <n v="106"/>
    <n v="2"/>
    <d v="1998-02-04T00:00:00"/>
  </r>
  <r>
    <n v="10870"/>
    <x v="1"/>
    <n v="106"/>
    <n v="2"/>
    <d v="1998-02-04T00:00:00"/>
  </r>
  <r>
    <n v="10870"/>
    <x v="2"/>
    <n v="106"/>
    <n v="2"/>
    <d v="1998-02-04T00:00:00"/>
  </r>
  <r>
    <n v="10870"/>
    <x v="3"/>
    <n v="106"/>
    <n v="2"/>
    <d v="1998-02-04T00:00:00"/>
  </r>
  <r>
    <n v="10870"/>
    <x v="4"/>
    <n v="106"/>
    <n v="2"/>
    <d v="1998-02-04T00:00:00"/>
  </r>
  <r>
    <n v="10870"/>
    <x v="5"/>
    <n v="106"/>
    <n v="2"/>
    <d v="1998-02-04T00:00:00"/>
  </r>
  <r>
    <n v="10870"/>
    <x v="6"/>
    <n v="106"/>
    <n v="2"/>
    <d v="1998-02-04T00:00:00"/>
  </r>
  <r>
    <n v="10870"/>
    <x v="7"/>
    <n v="106"/>
    <n v="2"/>
    <d v="1998-02-04T00:00:00"/>
  </r>
  <r>
    <n v="10871"/>
    <x v="0"/>
    <n v="1187.4999990686774"/>
    <n v="50"/>
    <d v="1998-02-05T00:00:00"/>
  </r>
  <r>
    <n v="10871"/>
    <x v="1"/>
    <n v="1187.4999990686774"/>
    <n v="50"/>
    <d v="1998-02-05T00:00:00"/>
  </r>
  <r>
    <n v="10871"/>
    <x v="2"/>
    <n v="1187.4999990686774"/>
    <n v="50"/>
    <d v="1998-02-05T00:00:00"/>
  </r>
  <r>
    <n v="10871"/>
    <x v="3"/>
    <n v="1187.4999990686774"/>
    <n v="50"/>
    <d v="1998-02-05T00:00:00"/>
  </r>
  <r>
    <n v="10871"/>
    <x v="4"/>
    <n v="1187.4999990686774"/>
    <n v="50"/>
    <d v="1998-02-05T00:00:00"/>
  </r>
  <r>
    <n v="10871"/>
    <x v="5"/>
    <n v="1187.4999990686774"/>
    <n v="50"/>
    <d v="1998-02-05T00:00:00"/>
  </r>
  <r>
    <n v="10871"/>
    <x v="6"/>
    <n v="1187.4999990686774"/>
    <n v="50"/>
    <d v="1998-02-05T00:00:00"/>
  </r>
  <r>
    <n v="10871"/>
    <x v="7"/>
    <n v="1187.4999990686774"/>
    <n v="50"/>
    <d v="1998-02-05T00:00:00"/>
  </r>
  <r>
    <n v="10871"/>
    <x v="0"/>
    <n v="198.92999984398486"/>
    <n v="12"/>
    <d v="1998-02-05T00:00:00"/>
  </r>
  <r>
    <n v="10871"/>
    <x v="1"/>
    <n v="198.92999984398486"/>
    <n v="12"/>
    <d v="1998-02-05T00:00:00"/>
  </r>
  <r>
    <n v="10871"/>
    <x v="2"/>
    <n v="198.92999984398486"/>
    <n v="12"/>
    <d v="1998-02-05T00:00:00"/>
  </r>
  <r>
    <n v="10871"/>
    <x v="3"/>
    <n v="198.92999984398486"/>
    <n v="12"/>
    <d v="1998-02-05T00:00:00"/>
  </r>
  <r>
    <n v="10871"/>
    <x v="4"/>
    <n v="198.92999984398486"/>
    <n v="12"/>
    <d v="1998-02-05T00:00:00"/>
  </r>
  <r>
    <n v="10871"/>
    <x v="5"/>
    <n v="198.92999984398486"/>
    <n v="12"/>
    <d v="1998-02-05T00:00:00"/>
  </r>
  <r>
    <n v="10871"/>
    <x v="6"/>
    <n v="198.92999984398486"/>
    <n v="12"/>
    <d v="1998-02-05T00:00:00"/>
  </r>
  <r>
    <n v="10871"/>
    <x v="7"/>
    <n v="198.92999984398486"/>
    <n v="12"/>
    <d v="1998-02-05T00:00:00"/>
  </r>
  <r>
    <n v="10871"/>
    <x v="0"/>
    <n v="592.79999953508377"/>
    <n v="16"/>
    <d v="1998-02-05T00:00:00"/>
  </r>
  <r>
    <n v="10871"/>
    <x v="1"/>
    <n v="592.79999953508377"/>
    <n v="16"/>
    <d v="1998-02-05T00:00:00"/>
  </r>
  <r>
    <n v="10871"/>
    <x v="2"/>
    <n v="592.79999953508377"/>
    <n v="16"/>
    <d v="1998-02-05T00:00:00"/>
  </r>
  <r>
    <n v="10871"/>
    <x v="3"/>
    <n v="592.79999953508377"/>
    <n v="16"/>
    <d v="1998-02-05T00:00:00"/>
  </r>
  <r>
    <n v="10871"/>
    <x v="4"/>
    <n v="592.79999953508377"/>
    <n v="16"/>
    <d v="1998-02-05T00:00:00"/>
  </r>
  <r>
    <n v="10871"/>
    <x v="5"/>
    <n v="592.79999953508377"/>
    <n v="16"/>
    <d v="1998-02-05T00:00:00"/>
  </r>
  <r>
    <n v="10871"/>
    <x v="6"/>
    <n v="592.79999953508377"/>
    <n v="16"/>
    <d v="1998-02-05T00:00:00"/>
  </r>
  <r>
    <n v="10871"/>
    <x v="7"/>
    <n v="592.79999953508377"/>
    <n v="16"/>
    <d v="1998-02-05T00:00:00"/>
  </r>
  <r>
    <n v="10872"/>
    <x v="0"/>
    <n v="227.99999982118607"/>
    <n v="10"/>
    <d v="1998-02-05T00:00:00"/>
  </r>
  <r>
    <n v="10872"/>
    <x v="1"/>
    <n v="227.99999982118607"/>
    <n v="10"/>
    <d v="1998-02-05T00:00:00"/>
  </r>
  <r>
    <n v="10872"/>
    <x v="2"/>
    <n v="227.99999982118607"/>
    <n v="10"/>
    <d v="1998-02-05T00:00:00"/>
  </r>
  <r>
    <n v="10872"/>
    <x v="3"/>
    <n v="227.99999982118607"/>
    <n v="10"/>
    <d v="1998-02-05T00:00:00"/>
  </r>
  <r>
    <n v="10872"/>
    <x v="4"/>
    <n v="227.99999982118607"/>
    <n v="10"/>
    <d v="1998-02-05T00:00:00"/>
  </r>
  <r>
    <n v="10872"/>
    <x v="5"/>
    <n v="227.99999982118607"/>
    <n v="10"/>
    <d v="1998-02-05T00:00:00"/>
  </r>
  <r>
    <n v="10872"/>
    <x v="6"/>
    <n v="227.99999982118607"/>
    <n v="10"/>
    <d v="1998-02-05T00:00:00"/>
  </r>
  <r>
    <n v="10872"/>
    <x v="7"/>
    <n v="227.99999982118607"/>
    <n v="10"/>
    <d v="1998-02-05T00:00:00"/>
  </r>
  <r>
    <n v="10872"/>
    <x v="0"/>
    <n v="936.69999926537275"/>
    <n v="20"/>
    <d v="1998-02-05T00:00:00"/>
  </r>
  <r>
    <n v="10872"/>
    <x v="1"/>
    <n v="936.69999926537275"/>
    <n v="20"/>
    <d v="1998-02-05T00:00:00"/>
  </r>
  <r>
    <n v="10872"/>
    <x v="2"/>
    <n v="936.69999926537275"/>
    <n v="20"/>
    <d v="1998-02-05T00:00:00"/>
  </r>
  <r>
    <n v="10872"/>
    <x v="3"/>
    <n v="936.69999926537275"/>
    <n v="20"/>
    <d v="1998-02-05T00:00:00"/>
  </r>
  <r>
    <n v="10872"/>
    <x v="4"/>
    <n v="936.69999926537275"/>
    <n v="20"/>
    <d v="1998-02-05T00:00:00"/>
  </r>
  <r>
    <n v="10872"/>
    <x v="5"/>
    <n v="936.69999926537275"/>
    <n v="20"/>
    <d v="1998-02-05T00:00:00"/>
  </r>
  <r>
    <n v="10872"/>
    <x v="6"/>
    <n v="936.69999926537275"/>
    <n v="20"/>
    <d v="1998-02-05T00:00:00"/>
  </r>
  <r>
    <n v="10872"/>
    <x v="7"/>
    <n v="936.69999926537275"/>
    <n v="20"/>
    <d v="1998-02-05T00:00:00"/>
  </r>
  <r>
    <n v="10872"/>
    <x v="0"/>
    <n v="473.81249962840229"/>
    <n v="15"/>
    <d v="1998-02-05T00:00:00"/>
  </r>
  <r>
    <n v="10872"/>
    <x v="1"/>
    <n v="473.81249962840229"/>
    <n v="15"/>
    <d v="1998-02-05T00:00:00"/>
  </r>
  <r>
    <n v="10872"/>
    <x v="2"/>
    <n v="473.81249962840229"/>
    <n v="15"/>
    <d v="1998-02-05T00:00:00"/>
  </r>
  <r>
    <n v="10872"/>
    <x v="3"/>
    <n v="473.81249962840229"/>
    <n v="15"/>
    <d v="1998-02-05T00:00:00"/>
  </r>
  <r>
    <n v="10872"/>
    <x v="4"/>
    <n v="473.81249962840229"/>
    <n v="15"/>
    <d v="1998-02-05T00:00:00"/>
  </r>
  <r>
    <n v="10872"/>
    <x v="5"/>
    <n v="473.81249962840229"/>
    <n v="15"/>
    <d v="1998-02-05T00:00:00"/>
  </r>
  <r>
    <n v="10872"/>
    <x v="6"/>
    <n v="473.81249962840229"/>
    <n v="15"/>
    <d v="1998-02-05T00:00:00"/>
  </r>
  <r>
    <n v="10872"/>
    <x v="7"/>
    <n v="473.81249962840229"/>
    <n v="15"/>
    <d v="1998-02-05T00:00:00"/>
  </r>
  <r>
    <n v="10872"/>
    <x v="0"/>
    <n v="419.94749967064712"/>
    <n v="21"/>
    <d v="1998-02-05T00:00:00"/>
  </r>
  <r>
    <n v="10872"/>
    <x v="1"/>
    <n v="419.94749967064712"/>
    <n v="21"/>
    <d v="1998-02-05T00:00:00"/>
  </r>
  <r>
    <n v="10872"/>
    <x v="2"/>
    <n v="419.94749967064712"/>
    <n v="21"/>
    <d v="1998-02-05T00:00:00"/>
  </r>
  <r>
    <n v="10872"/>
    <x v="3"/>
    <n v="419.94749967064712"/>
    <n v="21"/>
    <d v="1998-02-05T00:00:00"/>
  </r>
  <r>
    <n v="10872"/>
    <x v="4"/>
    <n v="419.94749967064712"/>
    <n v="21"/>
    <d v="1998-02-05T00:00:00"/>
  </r>
  <r>
    <n v="10872"/>
    <x v="5"/>
    <n v="419.94749967064712"/>
    <n v="21"/>
    <d v="1998-02-05T00:00:00"/>
  </r>
  <r>
    <n v="10872"/>
    <x v="6"/>
    <n v="419.94749967064712"/>
    <n v="21"/>
    <d v="1998-02-05T00:00:00"/>
  </r>
  <r>
    <n v="10872"/>
    <x v="7"/>
    <n v="419.94749967064712"/>
    <n v="21"/>
    <d v="1998-02-05T00:00:00"/>
  </r>
  <r>
    <n v="10873"/>
    <x v="0"/>
    <n v="200"/>
    <n v="20"/>
    <d v="1998-02-06T00:00:00"/>
  </r>
  <r>
    <n v="10873"/>
    <x v="1"/>
    <n v="200"/>
    <n v="20"/>
    <d v="1998-02-06T00:00:00"/>
  </r>
  <r>
    <n v="10873"/>
    <x v="2"/>
    <n v="200"/>
    <n v="20"/>
    <d v="1998-02-06T00:00:00"/>
  </r>
  <r>
    <n v="10873"/>
    <x v="3"/>
    <n v="200"/>
    <n v="20"/>
    <d v="1998-02-06T00:00:00"/>
  </r>
  <r>
    <n v="10873"/>
    <x v="4"/>
    <n v="200"/>
    <n v="20"/>
    <d v="1998-02-06T00:00:00"/>
  </r>
  <r>
    <n v="10873"/>
    <x v="5"/>
    <n v="200"/>
    <n v="20"/>
    <d v="1998-02-06T00:00:00"/>
  </r>
  <r>
    <n v="10873"/>
    <x v="6"/>
    <n v="200"/>
    <n v="20"/>
    <d v="1998-02-06T00:00:00"/>
  </r>
  <r>
    <n v="10873"/>
    <x v="7"/>
    <n v="200"/>
    <n v="20"/>
    <d v="1998-02-06T00:00:00"/>
  </r>
  <r>
    <n v="10873"/>
    <x v="0"/>
    <n v="136.80000000000001"/>
    <n v="3"/>
    <d v="1998-02-06T00:00:00"/>
  </r>
  <r>
    <n v="10873"/>
    <x v="1"/>
    <n v="136.80000000000001"/>
    <n v="3"/>
    <d v="1998-02-06T00:00:00"/>
  </r>
  <r>
    <n v="10873"/>
    <x v="2"/>
    <n v="136.80000000000001"/>
    <n v="3"/>
    <d v="1998-02-06T00:00:00"/>
  </r>
  <r>
    <n v="10873"/>
    <x v="3"/>
    <n v="136.80000000000001"/>
    <n v="3"/>
    <d v="1998-02-06T00:00:00"/>
  </r>
  <r>
    <n v="10873"/>
    <x v="4"/>
    <n v="136.80000000000001"/>
    <n v="3"/>
    <d v="1998-02-06T00:00:00"/>
  </r>
  <r>
    <n v="10873"/>
    <x v="5"/>
    <n v="136.80000000000001"/>
    <n v="3"/>
    <d v="1998-02-06T00:00:00"/>
  </r>
  <r>
    <n v="10873"/>
    <x v="6"/>
    <n v="136.80000000000001"/>
    <n v="3"/>
    <d v="1998-02-06T00:00:00"/>
  </r>
  <r>
    <n v="10873"/>
    <x v="7"/>
    <n v="136.80000000000001"/>
    <n v="3"/>
    <d v="1998-02-06T00:00:00"/>
  </r>
  <r>
    <n v="10874"/>
    <x v="0"/>
    <n v="310"/>
    <n v="10"/>
    <d v="1998-02-06T00:00:00"/>
  </r>
  <r>
    <n v="10874"/>
    <x v="1"/>
    <n v="310"/>
    <n v="10"/>
    <d v="1998-02-06T00:00:00"/>
  </r>
  <r>
    <n v="10874"/>
    <x v="2"/>
    <n v="310"/>
    <n v="10"/>
    <d v="1998-02-06T00:00:00"/>
  </r>
  <r>
    <n v="10874"/>
    <x v="3"/>
    <n v="310"/>
    <n v="10"/>
    <d v="1998-02-06T00:00:00"/>
  </r>
  <r>
    <n v="10874"/>
    <x v="4"/>
    <n v="310"/>
    <n v="10"/>
    <d v="1998-02-06T00:00:00"/>
  </r>
  <r>
    <n v="10874"/>
    <x v="5"/>
    <n v="310"/>
    <n v="10"/>
    <d v="1998-02-06T00:00:00"/>
  </r>
  <r>
    <n v="10874"/>
    <x v="6"/>
    <n v="310"/>
    <n v="10"/>
    <d v="1998-02-06T00:00:00"/>
  </r>
  <r>
    <n v="10874"/>
    <x v="7"/>
    <n v="310"/>
    <n v="10"/>
    <d v="1998-02-06T00:00:00"/>
  </r>
  <r>
    <n v="10875"/>
    <x v="0"/>
    <n v="230"/>
    <n v="25"/>
    <d v="1998-02-06T00:00:00"/>
  </r>
  <r>
    <n v="10875"/>
    <x v="1"/>
    <n v="230"/>
    <n v="25"/>
    <d v="1998-02-06T00:00:00"/>
  </r>
  <r>
    <n v="10875"/>
    <x v="2"/>
    <n v="230"/>
    <n v="25"/>
    <d v="1998-02-06T00:00:00"/>
  </r>
  <r>
    <n v="10875"/>
    <x v="3"/>
    <n v="230"/>
    <n v="25"/>
    <d v="1998-02-06T00:00:00"/>
  </r>
  <r>
    <n v="10875"/>
    <x v="4"/>
    <n v="230"/>
    <n v="25"/>
    <d v="1998-02-06T00:00:00"/>
  </r>
  <r>
    <n v="10875"/>
    <x v="5"/>
    <n v="230"/>
    <n v="25"/>
    <d v="1998-02-06T00:00:00"/>
  </r>
  <r>
    <n v="10875"/>
    <x v="6"/>
    <n v="230"/>
    <n v="25"/>
    <d v="1998-02-06T00:00:00"/>
  </r>
  <r>
    <n v="10875"/>
    <x v="7"/>
    <n v="230"/>
    <n v="25"/>
    <d v="1998-02-06T00:00:00"/>
  </r>
  <r>
    <n v="10875"/>
    <x v="0"/>
    <n v="179.54999970272183"/>
    <n v="21"/>
    <d v="1998-02-06T00:00:00"/>
  </r>
  <r>
    <n v="10875"/>
    <x v="1"/>
    <n v="179.54999970272183"/>
    <n v="21"/>
    <d v="1998-02-06T00:00:00"/>
  </r>
  <r>
    <n v="10875"/>
    <x v="2"/>
    <n v="179.54999970272183"/>
    <n v="21"/>
    <d v="1998-02-06T00:00:00"/>
  </r>
  <r>
    <n v="10875"/>
    <x v="3"/>
    <n v="179.54999970272183"/>
    <n v="21"/>
    <d v="1998-02-06T00:00:00"/>
  </r>
  <r>
    <n v="10875"/>
    <x v="4"/>
    <n v="179.54999970272183"/>
    <n v="21"/>
    <d v="1998-02-06T00:00:00"/>
  </r>
  <r>
    <n v="10875"/>
    <x v="5"/>
    <n v="179.54999970272183"/>
    <n v="21"/>
    <d v="1998-02-06T00:00:00"/>
  </r>
  <r>
    <n v="10875"/>
    <x v="6"/>
    <n v="179.54999970272183"/>
    <n v="21"/>
    <d v="1998-02-06T00:00:00"/>
  </r>
  <r>
    <n v="10875"/>
    <x v="7"/>
    <n v="179.54999970272183"/>
    <n v="21"/>
    <d v="1998-02-06T00:00:00"/>
  </r>
  <r>
    <n v="10875"/>
    <x v="0"/>
    <n v="300"/>
    <n v="15"/>
    <d v="1998-02-06T00:00:00"/>
  </r>
  <r>
    <n v="10875"/>
    <x v="1"/>
    <n v="300"/>
    <n v="15"/>
    <d v="1998-02-06T00:00:00"/>
  </r>
  <r>
    <n v="10875"/>
    <x v="2"/>
    <n v="300"/>
    <n v="15"/>
    <d v="1998-02-06T00:00:00"/>
  </r>
  <r>
    <n v="10875"/>
    <x v="3"/>
    <n v="300"/>
    <n v="15"/>
    <d v="1998-02-06T00:00:00"/>
  </r>
  <r>
    <n v="10875"/>
    <x v="4"/>
    <n v="300"/>
    <n v="15"/>
    <d v="1998-02-06T00:00:00"/>
  </r>
  <r>
    <n v="10875"/>
    <x v="5"/>
    <n v="300"/>
    <n v="15"/>
    <d v="1998-02-06T00:00:00"/>
  </r>
  <r>
    <n v="10875"/>
    <x v="6"/>
    <n v="300"/>
    <n v="15"/>
    <d v="1998-02-06T00:00:00"/>
  </r>
  <r>
    <n v="10875"/>
    <x v="7"/>
    <n v="300"/>
    <n v="15"/>
    <d v="1998-02-06T00:00:00"/>
  </r>
  <r>
    <n v="10876"/>
    <x v="0"/>
    <n v="252"/>
    <n v="21"/>
    <d v="1998-02-09T00:00:00"/>
  </r>
  <r>
    <n v="10876"/>
    <x v="1"/>
    <n v="252"/>
    <n v="21"/>
    <d v="1998-02-09T00:00:00"/>
  </r>
  <r>
    <n v="10876"/>
    <x v="2"/>
    <n v="252"/>
    <n v="21"/>
    <d v="1998-02-09T00:00:00"/>
  </r>
  <r>
    <n v="10876"/>
    <x v="3"/>
    <n v="252"/>
    <n v="21"/>
    <d v="1998-02-09T00:00:00"/>
  </r>
  <r>
    <n v="10876"/>
    <x v="4"/>
    <n v="252"/>
    <n v="21"/>
    <d v="1998-02-09T00:00:00"/>
  </r>
  <r>
    <n v="10876"/>
    <x v="5"/>
    <n v="252"/>
    <n v="21"/>
    <d v="1998-02-09T00:00:00"/>
  </r>
  <r>
    <n v="10876"/>
    <x v="6"/>
    <n v="252"/>
    <n v="21"/>
    <d v="1998-02-09T00:00:00"/>
  </r>
  <r>
    <n v="10876"/>
    <x v="7"/>
    <n v="252"/>
    <n v="21"/>
    <d v="1998-02-09T00:00:00"/>
  </r>
  <r>
    <n v="10876"/>
    <x v="0"/>
    <n v="665"/>
    <n v="20"/>
    <d v="1998-02-09T00:00:00"/>
  </r>
  <r>
    <n v="10876"/>
    <x v="1"/>
    <n v="665"/>
    <n v="20"/>
    <d v="1998-02-09T00:00:00"/>
  </r>
  <r>
    <n v="10876"/>
    <x v="2"/>
    <n v="665"/>
    <n v="20"/>
    <d v="1998-02-09T00:00:00"/>
  </r>
  <r>
    <n v="10876"/>
    <x v="3"/>
    <n v="665"/>
    <n v="20"/>
    <d v="1998-02-09T00:00:00"/>
  </r>
  <r>
    <n v="10876"/>
    <x v="4"/>
    <n v="665"/>
    <n v="20"/>
    <d v="1998-02-09T00:00:00"/>
  </r>
  <r>
    <n v="10876"/>
    <x v="5"/>
    <n v="665"/>
    <n v="20"/>
    <d v="1998-02-09T00:00:00"/>
  </r>
  <r>
    <n v="10876"/>
    <x v="6"/>
    <n v="665"/>
    <n v="20"/>
    <d v="1998-02-09T00:00:00"/>
  </r>
  <r>
    <n v="10876"/>
    <x v="7"/>
    <n v="665"/>
    <n v="20"/>
    <d v="1998-02-09T00:00:00"/>
  </r>
  <r>
    <n v="10877"/>
    <x v="0"/>
    <n v="392.625"/>
    <n v="30"/>
    <d v="1998-02-09T00:00:00"/>
  </r>
  <r>
    <n v="10877"/>
    <x v="1"/>
    <n v="392.625"/>
    <n v="30"/>
    <d v="1998-02-09T00:00:00"/>
  </r>
  <r>
    <n v="10877"/>
    <x v="2"/>
    <n v="392.625"/>
    <n v="30"/>
    <d v="1998-02-09T00:00:00"/>
  </r>
  <r>
    <n v="10877"/>
    <x v="3"/>
    <n v="392.625"/>
    <n v="30"/>
    <d v="1998-02-09T00:00:00"/>
  </r>
  <r>
    <n v="10877"/>
    <x v="4"/>
    <n v="392.625"/>
    <n v="30"/>
    <d v="1998-02-09T00:00:00"/>
  </r>
  <r>
    <n v="10877"/>
    <x v="5"/>
    <n v="392.625"/>
    <n v="30"/>
    <d v="1998-02-09T00:00:00"/>
  </r>
  <r>
    <n v="10877"/>
    <x v="6"/>
    <n v="392.625"/>
    <n v="30"/>
    <d v="1998-02-09T00:00:00"/>
  </r>
  <r>
    <n v="10877"/>
    <x v="7"/>
    <n v="392.625"/>
    <n v="30"/>
    <d v="1998-02-09T00:00:00"/>
  </r>
  <r>
    <n v="10877"/>
    <x v="0"/>
    <n v="1562.5"/>
    <n v="25"/>
    <d v="1998-02-09T00:00:00"/>
  </r>
  <r>
    <n v="10877"/>
    <x v="1"/>
    <n v="1562.5"/>
    <n v="25"/>
    <d v="1998-02-09T00:00:00"/>
  </r>
  <r>
    <n v="10877"/>
    <x v="2"/>
    <n v="1562.5"/>
    <n v="25"/>
    <d v="1998-02-09T00:00:00"/>
  </r>
  <r>
    <n v="10877"/>
    <x v="3"/>
    <n v="1562.5"/>
    <n v="25"/>
    <d v="1998-02-09T00:00:00"/>
  </r>
  <r>
    <n v="10877"/>
    <x v="4"/>
    <n v="1562.5"/>
    <n v="25"/>
    <d v="1998-02-09T00:00:00"/>
  </r>
  <r>
    <n v="10877"/>
    <x v="5"/>
    <n v="1562.5"/>
    <n v="25"/>
    <d v="1998-02-09T00:00:00"/>
  </r>
  <r>
    <n v="10877"/>
    <x v="6"/>
    <n v="1562.5"/>
    <n v="25"/>
    <d v="1998-02-09T00:00:00"/>
  </r>
  <r>
    <n v="10877"/>
    <x v="7"/>
    <n v="1562.5"/>
    <n v="25"/>
    <d v="1998-02-09T00:00:00"/>
  </r>
  <r>
    <n v="10878"/>
    <x v="0"/>
    <n v="1538.9999987930059"/>
    <n v="20"/>
    <d v="1998-02-10T00:00:00"/>
  </r>
  <r>
    <n v="10878"/>
    <x v="1"/>
    <n v="1538.9999987930059"/>
    <n v="20"/>
    <d v="1998-02-10T00:00:00"/>
  </r>
  <r>
    <n v="10878"/>
    <x v="2"/>
    <n v="1538.9999987930059"/>
    <n v="20"/>
    <d v="1998-02-10T00:00:00"/>
  </r>
  <r>
    <n v="10878"/>
    <x v="3"/>
    <n v="1538.9999987930059"/>
    <n v="20"/>
    <d v="1998-02-10T00:00:00"/>
  </r>
  <r>
    <n v="10878"/>
    <x v="4"/>
    <n v="1538.9999987930059"/>
    <n v="20"/>
    <d v="1998-02-10T00:00:00"/>
  </r>
  <r>
    <n v="10878"/>
    <x v="5"/>
    <n v="1538.9999987930059"/>
    <n v="20"/>
    <d v="1998-02-10T00:00:00"/>
  </r>
  <r>
    <n v="10878"/>
    <x v="6"/>
    <n v="1538.9999987930059"/>
    <n v="20"/>
    <d v="1998-02-10T00:00:00"/>
  </r>
  <r>
    <n v="10878"/>
    <x v="7"/>
    <n v="1538.9999987930059"/>
    <n v="20"/>
    <d v="1998-02-10T00:00:00"/>
  </r>
  <r>
    <n v="10879"/>
    <x v="0"/>
    <n v="220.8"/>
    <n v="12"/>
    <d v="1998-02-10T00:00:00"/>
  </r>
  <r>
    <n v="10879"/>
    <x v="1"/>
    <n v="220.8"/>
    <n v="12"/>
    <d v="1998-02-10T00:00:00"/>
  </r>
  <r>
    <n v="10879"/>
    <x v="2"/>
    <n v="220.8"/>
    <n v="12"/>
    <d v="1998-02-10T00:00:00"/>
  </r>
  <r>
    <n v="10879"/>
    <x v="3"/>
    <n v="220.8"/>
    <n v="12"/>
    <d v="1998-02-10T00:00:00"/>
  </r>
  <r>
    <n v="10879"/>
    <x v="4"/>
    <n v="220.8"/>
    <n v="12"/>
    <d v="1998-02-10T00:00:00"/>
  </r>
  <r>
    <n v="10879"/>
    <x v="5"/>
    <n v="220.8"/>
    <n v="12"/>
    <d v="1998-02-10T00:00:00"/>
  </r>
  <r>
    <n v="10879"/>
    <x v="6"/>
    <n v="220.8"/>
    <n v="12"/>
    <d v="1998-02-10T00:00:00"/>
  </r>
  <r>
    <n v="10879"/>
    <x v="7"/>
    <n v="220.8"/>
    <n v="12"/>
    <d v="1998-02-10T00:00:00"/>
  </r>
  <r>
    <n v="10879"/>
    <x v="0"/>
    <n v="210.5"/>
    <n v="10"/>
    <d v="1998-02-10T00:00:00"/>
  </r>
  <r>
    <n v="10879"/>
    <x v="1"/>
    <n v="210.5"/>
    <n v="10"/>
    <d v="1998-02-10T00:00:00"/>
  </r>
  <r>
    <n v="10879"/>
    <x v="2"/>
    <n v="210.5"/>
    <n v="10"/>
    <d v="1998-02-10T00:00:00"/>
  </r>
  <r>
    <n v="10879"/>
    <x v="3"/>
    <n v="210.5"/>
    <n v="10"/>
    <d v="1998-02-10T00:00:00"/>
  </r>
  <r>
    <n v="10879"/>
    <x v="4"/>
    <n v="210.5"/>
    <n v="10"/>
    <d v="1998-02-10T00:00:00"/>
  </r>
  <r>
    <n v="10879"/>
    <x v="5"/>
    <n v="210.5"/>
    <n v="10"/>
    <d v="1998-02-10T00:00:00"/>
  </r>
  <r>
    <n v="10879"/>
    <x v="6"/>
    <n v="210.5"/>
    <n v="10"/>
    <d v="1998-02-10T00:00:00"/>
  </r>
  <r>
    <n v="10879"/>
    <x v="7"/>
    <n v="210.5"/>
    <n v="10"/>
    <d v="1998-02-10T00:00:00"/>
  </r>
  <r>
    <n v="10879"/>
    <x v="0"/>
    <n v="180"/>
    <n v="10"/>
    <d v="1998-02-10T00:00:00"/>
  </r>
  <r>
    <n v="10879"/>
    <x v="1"/>
    <n v="180"/>
    <n v="10"/>
    <d v="1998-02-10T00:00:00"/>
  </r>
  <r>
    <n v="10879"/>
    <x v="2"/>
    <n v="180"/>
    <n v="10"/>
    <d v="1998-02-10T00:00:00"/>
  </r>
  <r>
    <n v="10879"/>
    <x v="3"/>
    <n v="180"/>
    <n v="10"/>
    <d v="1998-02-10T00:00:00"/>
  </r>
  <r>
    <n v="10879"/>
    <x v="4"/>
    <n v="180"/>
    <n v="10"/>
    <d v="1998-02-10T00:00:00"/>
  </r>
  <r>
    <n v="10879"/>
    <x v="5"/>
    <n v="180"/>
    <n v="10"/>
    <d v="1998-02-10T00:00:00"/>
  </r>
  <r>
    <n v="10879"/>
    <x v="6"/>
    <n v="180"/>
    <n v="10"/>
    <d v="1998-02-10T00:00:00"/>
  </r>
  <r>
    <n v="10879"/>
    <x v="7"/>
    <n v="180"/>
    <n v="10"/>
    <d v="1998-02-10T00:00:00"/>
  </r>
  <r>
    <n v="10880"/>
    <x v="0"/>
    <n v="215.9999991953373"/>
    <n v="30"/>
    <d v="1998-02-10T00:00:00"/>
  </r>
  <r>
    <n v="10880"/>
    <x v="1"/>
    <n v="215.9999991953373"/>
    <n v="30"/>
    <d v="1998-02-10T00:00:00"/>
  </r>
  <r>
    <n v="10880"/>
    <x v="2"/>
    <n v="215.9999991953373"/>
    <n v="30"/>
    <d v="1998-02-10T00:00:00"/>
  </r>
  <r>
    <n v="10880"/>
    <x v="3"/>
    <n v="215.9999991953373"/>
    <n v="30"/>
    <d v="1998-02-10T00:00:00"/>
  </r>
  <r>
    <n v="10880"/>
    <x v="4"/>
    <n v="215.9999991953373"/>
    <n v="30"/>
    <d v="1998-02-10T00:00:00"/>
  </r>
  <r>
    <n v="10880"/>
    <x v="5"/>
    <n v="215.9999991953373"/>
    <n v="30"/>
    <d v="1998-02-10T00:00:00"/>
  </r>
  <r>
    <n v="10880"/>
    <x v="6"/>
    <n v="215.9999991953373"/>
    <n v="30"/>
    <d v="1998-02-10T00:00:00"/>
  </r>
  <r>
    <n v="10880"/>
    <x v="7"/>
    <n v="215.9999991953373"/>
    <n v="30"/>
    <d v="1998-02-10T00:00:00"/>
  </r>
  <r>
    <n v="10880"/>
    <x v="0"/>
    <n v="683.99999745190144"/>
    <n v="30"/>
    <d v="1998-02-10T00:00:00"/>
  </r>
  <r>
    <n v="10880"/>
    <x v="1"/>
    <n v="683.99999745190144"/>
    <n v="30"/>
    <d v="1998-02-10T00:00:00"/>
  </r>
  <r>
    <n v="10880"/>
    <x v="2"/>
    <n v="683.99999745190144"/>
    <n v="30"/>
    <d v="1998-02-10T00:00:00"/>
  </r>
  <r>
    <n v="10880"/>
    <x v="3"/>
    <n v="683.99999745190144"/>
    <n v="30"/>
    <d v="1998-02-10T00:00:00"/>
  </r>
  <r>
    <n v="10880"/>
    <x v="4"/>
    <n v="683.99999745190144"/>
    <n v="30"/>
    <d v="1998-02-10T00:00:00"/>
  </r>
  <r>
    <n v="10880"/>
    <x v="5"/>
    <n v="683.99999745190144"/>
    <n v="30"/>
    <d v="1998-02-10T00:00:00"/>
  </r>
  <r>
    <n v="10880"/>
    <x v="6"/>
    <n v="683.99999745190144"/>
    <n v="30"/>
    <d v="1998-02-10T00:00:00"/>
  </r>
  <r>
    <n v="10880"/>
    <x v="7"/>
    <n v="683.99999745190144"/>
    <n v="30"/>
    <d v="1998-02-10T00:00:00"/>
  </r>
  <r>
    <n v="10880"/>
    <x v="0"/>
    <n v="599.99999776482582"/>
    <n v="50"/>
    <d v="1998-02-10T00:00:00"/>
  </r>
  <r>
    <n v="10880"/>
    <x v="1"/>
    <n v="599.99999776482582"/>
    <n v="50"/>
    <d v="1998-02-10T00:00:00"/>
  </r>
  <r>
    <n v="10880"/>
    <x v="2"/>
    <n v="599.99999776482582"/>
    <n v="50"/>
    <d v="1998-02-10T00:00:00"/>
  </r>
  <r>
    <n v="10880"/>
    <x v="3"/>
    <n v="599.99999776482582"/>
    <n v="50"/>
    <d v="1998-02-10T00:00:00"/>
  </r>
  <r>
    <n v="10880"/>
    <x v="4"/>
    <n v="599.99999776482582"/>
    <n v="50"/>
    <d v="1998-02-10T00:00:00"/>
  </r>
  <r>
    <n v="10880"/>
    <x v="5"/>
    <n v="599.99999776482582"/>
    <n v="50"/>
    <d v="1998-02-10T00:00:00"/>
  </r>
  <r>
    <n v="10880"/>
    <x v="6"/>
    <n v="599.99999776482582"/>
    <n v="50"/>
    <d v="1998-02-10T00:00:00"/>
  </r>
  <r>
    <n v="10880"/>
    <x v="7"/>
    <n v="599.99999776482582"/>
    <n v="50"/>
    <d v="1998-02-10T00:00:00"/>
  </r>
  <r>
    <n v="10881"/>
    <x v="0"/>
    <n v="150"/>
    <n v="10"/>
    <d v="1998-02-11T00:00:00"/>
  </r>
  <r>
    <n v="10881"/>
    <x v="1"/>
    <n v="150"/>
    <n v="10"/>
    <d v="1998-02-11T00:00:00"/>
  </r>
  <r>
    <n v="10881"/>
    <x v="2"/>
    <n v="150"/>
    <n v="10"/>
    <d v="1998-02-11T00:00:00"/>
  </r>
  <r>
    <n v="10881"/>
    <x v="3"/>
    <n v="150"/>
    <n v="10"/>
    <d v="1998-02-11T00:00:00"/>
  </r>
  <r>
    <n v="10881"/>
    <x v="4"/>
    <n v="150"/>
    <n v="10"/>
    <d v="1998-02-11T00:00:00"/>
  </r>
  <r>
    <n v="10881"/>
    <x v="5"/>
    <n v="150"/>
    <n v="10"/>
    <d v="1998-02-11T00:00:00"/>
  </r>
  <r>
    <n v="10881"/>
    <x v="6"/>
    <n v="150"/>
    <n v="10"/>
    <d v="1998-02-11T00:00:00"/>
  </r>
  <r>
    <n v="10881"/>
    <x v="7"/>
    <n v="150"/>
    <n v="10"/>
    <d v="1998-02-11T00:00:00"/>
  </r>
  <r>
    <n v="10882"/>
    <x v="0"/>
    <n v="350"/>
    <n v="25"/>
    <d v="1998-02-11T00:00:00"/>
  </r>
  <r>
    <n v="10882"/>
    <x v="1"/>
    <n v="350"/>
    <n v="25"/>
    <d v="1998-02-11T00:00:00"/>
  </r>
  <r>
    <n v="10882"/>
    <x v="2"/>
    <n v="350"/>
    <n v="25"/>
    <d v="1998-02-11T00:00:00"/>
  </r>
  <r>
    <n v="10882"/>
    <x v="3"/>
    <n v="350"/>
    <n v="25"/>
    <d v="1998-02-11T00:00:00"/>
  </r>
  <r>
    <n v="10882"/>
    <x v="4"/>
    <n v="350"/>
    <n v="25"/>
    <d v="1998-02-11T00:00:00"/>
  </r>
  <r>
    <n v="10882"/>
    <x v="5"/>
    <n v="350"/>
    <n v="25"/>
    <d v="1998-02-11T00:00:00"/>
  </r>
  <r>
    <n v="10882"/>
    <x v="6"/>
    <n v="350"/>
    <n v="25"/>
    <d v="1998-02-11T00:00:00"/>
  </r>
  <r>
    <n v="10882"/>
    <x v="7"/>
    <n v="350"/>
    <n v="25"/>
    <d v="1998-02-11T00:00:00"/>
  </r>
  <r>
    <n v="10882"/>
    <x v="0"/>
    <n v="339.99999761581421"/>
    <n v="20"/>
    <d v="1998-02-11T00:00:00"/>
  </r>
  <r>
    <n v="10882"/>
    <x v="1"/>
    <n v="339.99999761581421"/>
    <n v="20"/>
    <d v="1998-02-11T00:00:00"/>
  </r>
  <r>
    <n v="10882"/>
    <x v="2"/>
    <n v="339.99999761581421"/>
    <n v="20"/>
    <d v="1998-02-11T00:00:00"/>
  </r>
  <r>
    <n v="10882"/>
    <x v="3"/>
    <n v="339.99999761581421"/>
    <n v="20"/>
    <d v="1998-02-11T00:00:00"/>
  </r>
  <r>
    <n v="10882"/>
    <x v="4"/>
    <n v="339.99999761581421"/>
    <n v="20"/>
    <d v="1998-02-11T00:00:00"/>
  </r>
  <r>
    <n v="10882"/>
    <x v="5"/>
    <n v="339.99999761581421"/>
    <n v="20"/>
    <d v="1998-02-11T00:00:00"/>
  </r>
  <r>
    <n v="10882"/>
    <x v="6"/>
    <n v="339.99999761581421"/>
    <n v="20"/>
    <d v="1998-02-11T00:00:00"/>
  </r>
  <r>
    <n v="10882"/>
    <x v="7"/>
    <n v="339.99999761581421"/>
    <n v="20"/>
    <d v="1998-02-11T00:00:00"/>
  </r>
  <r>
    <n v="10882"/>
    <x v="0"/>
    <n v="202.63999857902527"/>
    <n v="32"/>
    <d v="1998-02-11T00:00:00"/>
  </r>
  <r>
    <n v="10882"/>
    <x v="1"/>
    <n v="202.63999857902527"/>
    <n v="32"/>
    <d v="1998-02-11T00:00:00"/>
  </r>
  <r>
    <n v="10882"/>
    <x v="2"/>
    <n v="202.63999857902527"/>
    <n v="32"/>
    <d v="1998-02-11T00:00:00"/>
  </r>
  <r>
    <n v="10882"/>
    <x v="3"/>
    <n v="202.63999857902527"/>
    <n v="32"/>
    <d v="1998-02-11T00:00:00"/>
  </r>
  <r>
    <n v="10882"/>
    <x v="4"/>
    <n v="202.63999857902527"/>
    <n v="32"/>
    <d v="1998-02-11T00:00:00"/>
  </r>
  <r>
    <n v="10882"/>
    <x v="5"/>
    <n v="202.63999857902527"/>
    <n v="32"/>
    <d v="1998-02-11T00:00:00"/>
  </r>
  <r>
    <n v="10882"/>
    <x v="6"/>
    <n v="202.63999857902527"/>
    <n v="32"/>
    <d v="1998-02-11T00:00:00"/>
  </r>
  <r>
    <n v="10882"/>
    <x v="7"/>
    <n v="202.63999857902527"/>
    <n v="32"/>
    <d v="1998-02-11T00:00:00"/>
  </r>
  <r>
    <n v="10883"/>
    <x v="0"/>
    <n v="36"/>
    <n v="8"/>
    <d v="1998-02-12T00:00:00"/>
  </r>
  <r>
    <n v="10883"/>
    <x v="1"/>
    <n v="36"/>
    <n v="8"/>
    <d v="1998-02-12T00:00:00"/>
  </r>
  <r>
    <n v="10883"/>
    <x v="2"/>
    <n v="36"/>
    <n v="8"/>
    <d v="1998-02-12T00:00:00"/>
  </r>
  <r>
    <n v="10883"/>
    <x v="3"/>
    <n v="36"/>
    <n v="8"/>
    <d v="1998-02-12T00:00:00"/>
  </r>
  <r>
    <n v="10883"/>
    <x v="4"/>
    <n v="36"/>
    <n v="8"/>
    <d v="1998-02-12T00:00:00"/>
  </r>
  <r>
    <n v="10883"/>
    <x v="5"/>
    <n v="36"/>
    <n v="8"/>
    <d v="1998-02-12T00:00:00"/>
  </r>
  <r>
    <n v="10883"/>
    <x v="6"/>
    <n v="36"/>
    <n v="8"/>
    <d v="1998-02-12T00:00:00"/>
  </r>
  <r>
    <n v="10883"/>
    <x v="7"/>
    <n v="36"/>
    <n v="8"/>
    <d v="1998-02-12T00:00:00"/>
  </r>
  <r>
    <n v="10884"/>
    <x v="0"/>
    <n v="379.99999970197678"/>
    <n v="40"/>
    <d v="1998-02-12T00:00:00"/>
  </r>
  <r>
    <n v="10884"/>
    <x v="1"/>
    <n v="379.99999970197678"/>
    <n v="40"/>
    <d v="1998-02-12T00:00:00"/>
  </r>
  <r>
    <n v="10884"/>
    <x v="2"/>
    <n v="379.99999970197678"/>
    <n v="40"/>
    <d v="1998-02-12T00:00:00"/>
  </r>
  <r>
    <n v="10884"/>
    <x v="3"/>
    <n v="379.99999970197678"/>
    <n v="40"/>
    <d v="1998-02-12T00:00:00"/>
  </r>
  <r>
    <n v="10884"/>
    <x v="4"/>
    <n v="379.99999970197678"/>
    <n v="40"/>
    <d v="1998-02-12T00:00:00"/>
  </r>
  <r>
    <n v="10884"/>
    <x v="5"/>
    <n v="379.99999970197678"/>
    <n v="40"/>
    <d v="1998-02-12T00:00:00"/>
  </r>
  <r>
    <n v="10884"/>
    <x v="6"/>
    <n v="379.99999970197678"/>
    <n v="40"/>
    <d v="1998-02-12T00:00:00"/>
  </r>
  <r>
    <n v="10884"/>
    <x v="7"/>
    <n v="379.99999970197678"/>
    <n v="40"/>
    <d v="1998-02-12T00:00:00"/>
  </r>
  <r>
    <n v="10884"/>
    <x v="0"/>
    <n v="758.09999940544367"/>
    <n v="21"/>
    <d v="1998-02-12T00:00:00"/>
  </r>
  <r>
    <n v="10884"/>
    <x v="1"/>
    <n v="758.09999940544367"/>
    <n v="21"/>
    <d v="1998-02-12T00:00:00"/>
  </r>
  <r>
    <n v="10884"/>
    <x v="2"/>
    <n v="758.09999940544367"/>
    <n v="21"/>
    <d v="1998-02-12T00:00:00"/>
  </r>
  <r>
    <n v="10884"/>
    <x v="3"/>
    <n v="758.09999940544367"/>
    <n v="21"/>
    <d v="1998-02-12T00:00:00"/>
  </r>
  <r>
    <n v="10884"/>
    <x v="4"/>
    <n v="758.09999940544367"/>
    <n v="21"/>
    <d v="1998-02-12T00:00:00"/>
  </r>
  <r>
    <n v="10884"/>
    <x v="5"/>
    <n v="758.09999940544367"/>
    <n v="21"/>
    <d v="1998-02-12T00:00:00"/>
  </r>
  <r>
    <n v="10884"/>
    <x v="6"/>
    <n v="758.09999940544367"/>
    <n v="21"/>
    <d v="1998-02-12T00:00:00"/>
  </r>
  <r>
    <n v="10884"/>
    <x v="7"/>
    <n v="758.09999940544367"/>
    <n v="21"/>
    <d v="1998-02-12T00:00:00"/>
  </r>
  <r>
    <n v="10884"/>
    <x v="0"/>
    <n v="239.96999981179832"/>
    <n v="12"/>
    <d v="1998-02-12T00:00:00"/>
  </r>
  <r>
    <n v="10884"/>
    <x v="1"/>
    <n v="239.96999981179832"/>
    <n v="12"/>
    <d v="1998-02-12T00:00:00"/>
  </r>
  <r>
    <n v="10884"/>
    <x v="2"/>
    <n v="239.96999981179832"/>
    <n v="12"/>
    <d v="1998-02-12T00:00:00"/>
  </r>
  <r>
    <n v="10884"/>
    <x v="3"/>
    <n v="239.96999981179832"/>
    <n v="12"/>
    <d v="1998-02-12T00:00:00"/>
  </r>
  <r>
    <n v="10884"/>
    <x v="4"/>
    <n v="239.96999981179832"/>
    <n v="12"/>
    <d v="1998-02-12T00:00:00"/>
  </r>
  <r>
    <n v="10884"/>
    <x v="5"/>
    <n v="239.96999981179832"/>
    <n v="12"/>
    <d v="1998-02-12T00:00:00"/>
  </r>
  <r>
    <n v="10884"/>
    <x v="6"/>
    <n v="239.96999981179832"/>
    <n v="12"/>
    <d v="1998-02-12T00:00:00"/>
  </r>
  <r>
    <n v="10884"/>
    <x v="7"/>
    <n v="239.96999981179832"/>
    <n v="12"/>
    <d v="1998-02-12T00:00:00"/>
  </r>
  <r>
    <n v="10885"/>
    <x v="0"/>
    <n v="380"/>
    <n v="20"/>
    <d v="1998-02-12T00:00:00"/>
  </r>
  <r>
    <n v="10885"/>
    <x v="1"/>
    <n v="380"/>
    <n v="20"/>
    <d v="1998-02-12T00:00:00"/>
  </r>
  <r>
    <n v="10885"/>
    <x v="2"/>
    <n v="380"/>
    <n v="20"/>
    <d v="1998-02-12T00:00:00"/>
  </r>
  <r>
    <n v="10885"/>
    <x v="3"/>
    <n v="380"/>
    <n v="20"/>
    <d v="1998-02-12T00:00:00"/>
  </r>
  <r>
    <n v="10885"/>
    <x v="4"/>
    <n v="380"/>
    <n v="20"/>
    <d v="1998-02-12T00:00:00"/>
  </r>
  <r>
    <n v="10885"/>
    <x v="5"/>
    <n v="380"/>
    <n v="20"/>
    <d v="1998-02-12T00:00:00"/>
  </r>
  <r>
    <n v="10885"/>
    <x v="6"/>
    <n v="380"/>
    <n v="20"/>
    <d v="1998-02-12T00:00:00"/>
  </r>
  <r>
    <n v="10885"/>
    <x v="7"/>
    <n v="380"/>
    <n v="20"/>
    <d v="1998-02-12T00:00:00"/>
  </r>
  <r>
    <n v="10885"/>
    <x v="0"/>
    <n v="54"/>
    <n v="12"/>
    <d v="1998-02-12T00:00:00"/>
  </r>
  <r>
    <n v="10885"/>
    <x v="1"/>
    <n v="54"/>
    <n v="12"/>
    <d v="1998-02-12T00:00:00"/>
  </r>
  <r>
    <n v="10885"/>
    <x v="2"/>
    <n v="54"/>
    <n v="12"/>
    <d v="1998-02-12T00:00:00"/>
  </r>
  <r>
    <n v="10885"/>
    <x v="3"/>
    <n v="54"/>
    <n v="12"/>
    <d v="1998-02-12T00:00:00"/>
  </r>
  <r>
    <n v="10885"/>
    <x v="4"/>
    <n v="54"/>
    <n v="12"/>
    <d v="1998-02-12T00:00:00"/>
  </r>
  <r>
    <n v="10885"/>
    <x v="5"/>
    <n v="54"/>
    <n v="12"/>
    <d v="1998-02-12T00:00:00"/>
  </r>
  <r>
    <n v="10885"/>
    <x v="6"/>
    <n v="54"/>
    <n v="12"/>
    <d v="1998-02-12T00:00:00"/>
  </r>
  <r>
    <n v="10885"/>
    <x v="7"/>
    <n v="54"/>
    <n v="12"/>
    <d v="1998-02-12T00:00:00"/>
  </r>
  <r>
    <n v="10885"/>
    <x v="0"/>
    <n v="450"/>
    <n v="30"/>
    <d v="1998-02-12T00:00:00"/>
  </r>
  <r>
    <n v="10885"/>
    <x v="1"/>
    <n v="450"/>
    <n v="30"/>
    <d v="1998-02-12T00:00:00"/>
  </r>
  <r>
    <n v="10885"/>
    <x v="2"/>
    <n v="450"/>
    <n v="30"/>
    <d v="1998-02-12T00:00:00"/>
  </r>
  <r>
    <n v="10885"/>
    <x v="3"/>
    <n v="450"/>
    <n v="30"/>
    <d v="1998-02-12T00:00:00"/>
  </r>
  <r>
    <n v="10885"/>
    <x v="4"/>
    <n v="450"/>
    <n v="30"/>
    <d v="1998-02-12T00:00:00"/>
  </r>
  <r>
    <n v="10885"/>
    <x v="5"/>
    <n v="450"/>
    <n v="30"/>
    <d v="1998-02-12T00:00:00"/>
  </r>
  <r>
    <n v="10885"/>
    <x v="6"/>
    <n v="450"/>
    <n v="30"/>
    <d v="1998-02-12T00:00:00"/>
  </r>
  <r>
    <n v="10885"/>
    <x v="7"/>
    <n v="450"/>
    <n v="30"/>
    <d v="1998-02-12T00:00:00"/>
  </r>
  <r>
    <n v="10885"/>
    <x v="0"/>
    <n v="325"/>
    <n v="25"/>
    <d v="1998-02-12T00:00:00"/>
  </r>
  <r>
    <n v="10885"/>
    <x v="1"/>
    <n v="325"/>
    <n v="25"/>
    <d v="1998-02-12T00:00:00"/>
  </r>
  <r>
    <n v="10885"/>
    <x v="2"/>
    <n v="325"/>
    <n v="25"/>
    <d v="1998-02-12T00:00:00"/>
  </r>
  <r>
    <n v="10885"/>
    <x v="3"/>
    <n v="325"/>
    <n v="25"/>
    <d v="1998-02-12T00:00:00"/>
  </r>
  <r>
    <n v="10885"/>
    <x v="4"/>
    <n v="325"/>
    <n v="25"/>
    <d v="1998-02-12T00:00:00"/>
  </r>
  <r>
    <n v="10885"/>
    <x v="5"/>
    <n v="325"/>
    <n v="25"/>
    <d v="1998-02-12T00:00:00"/>
  </r>
  <r>
    <n v="10885"/>
    <x v="6"/>
    <n v="325"/>
    <n v="25"/>
    <d v="1998-02-12T00:00:00"/>
  </r>
  <r>
    <n v="10885"/>
    <x v="7"/>
    <n v="325"/>
    <n v="25"/>
    <d v="1998-02-12T00:00:00"/>
  </r>
  <r>
    <n v="10886"/>
    <x v="0"/>
    <n v="2170"/>
    <n v="70"/>
    <d v="1998-02-13T00:00:00"/>
  </r>
  <r>
    <n v="10886"/>
    <x v="1"/>
    <n v="2170"/>
    <n v="70"/>
    <d v="1998-02-13T00:00:00"/>
  </r>
  <r>
    <n v="10886"/>
    <x v="2"/>
    <n v="2170"/>
    <n v="70"/>
    <d v="1998-02-13T00:00:00"/>
  </r>
  <r>
    <n v="10886"/>
    <x v="3"/>
    <n v="2170"/>
    <n v="70"/>
    <d v="1998-02-13T00:00:00"/>
  </r>
  <r>
    <n v="10886"/>
    <x v="4"/>
    <n v="2170"/>
    <n v="70"/>
    <d v="1998-02-13T00:00:00"/>
  </r>
  <r>
    <n v="10886"/>
    <x v="5"/>
    <n v="2170"/>
    <n v="70"/>
    <d v="1998-02-13T00:00:00"/>
  </r>
  <r>
    <n v="10886"/>
    <x v="6"/>
    <n v="2170"/>
    <n v="70"/>
    <d v="1998-02-13T00:00:00"/>
  </r>
  <r>
    <n v="10886"/>
    <x v="7"/>
    <n v="2170"/>
    <n v="70"/>
    <d v="1998-02-13T00:00:00"/>
  </r>
  <r>
    <n v="10886"/>
    <x v="0"/>
    <n v="437.5"/>
    <n v="35"/>
    <d v="1998-02-13T00:00:00"/>
  </r>
  <r>
    <n v="10886"/>
    <x v="1"/>
    <n v="437.5"/>
    <n v="35"/>
    <d v="1998-02-13T00:00:00"/>
  </r>
  <r>
    <n v="10886"/>
    <x v="2"/>
    <n v="437.5"/>
    <n v="35"/>
    <d v="1998-02-13T00:00:00"/>
  </r>
  <r>
    <n v="10886"/>
    <x v="3"/>
    <n v="437.5"/>
    <n v="35"/>
    <d v="1998-02-13T00:00:00"/>
  </r>
  <r>
    <n v="10886"/>
    <x v="4"/>
    <n v="437.5"/>
    <n v="35"/>
    <d v="1998-02-13T00:00:00"/>
  </r>
  <r>
    <n v="10886"/>
    <x v="5"/>
    <n v="437.5"/>
    <n v="35"/>
    <d v="1998-02-13T00:00:00"/>
  </r>
  <r>
    <n v="10886"/>
    <x v="6"/>
    <n v="437.5"/>
    <n v="35"/>
    <d v="1998-02-13T00:00:00"/>
  </r>
  <r>
    <n v="10886"/>
    <x v="7"/>
    <n v="437.5"/>
    <n v="35"/>
    <d v="1998-02-13T00:00:00"/>
  </r>
  <r>
    <n v="10886"/>
    <x v="0"/>
    <n v="520"/>
    <n v="40"/>
    <d v="1998-02-13T00:00:00"/>
  </r>
  <r>
    <n v="10886"/>
    <x v="1"/>
    <n v="520"/>
    <n v="40"/>
    <d v="1998-02-13T00:00:00"/>
  </r>
  <r>
    <n v="10886"/>
    <x v="2"/>
    <n v="520"/>
    <n v="40"/>
    <d v="1998-02-13T00:00:00"/>
  </r>
  <r>
    <n v="10886"/>
    <x v="3"/>
    <n v="520"/>
    <n v="40"/>
    <d v="1998-02-13T00:00:00"/>
  </r>
  <r>
    <n v="10886"/>
    <x v="4"/>
    <n v="520"/>
    <n v="40"/>
    <d v="1998-02-13T00:00:00"/>
  </r>
  <r>
    <n v="10886"/>
    <x v="5"/>
    <n v="520"/>
    <n v="40"/>
    <d v="1998-02-13T00:00:00"/>
  </r>
  <r>
    <n v="10886"/>
    <x v="6"/>
    <n v="520"/>
    <n v="40"/>
    <d v="1998-02-13T00:00:00"/>
  </r>
  <r>
    <n v="10886"/>
    <x v="7"/>
    <n v="520"/>
    <n v="40"/>
    <d v="1998-02-13T00:00:00"/>
  </r>
  <r>
    <n v="10887"/>
    <x v="0"/>
    <n v="70"/>
    <n v="5"/>
    <d v="1998-02-13T00:00:00"/>
  </r>
  <r>
    <n v="10887"/>
    <x v="1"/>
    <n v="70"/>
    <n v="5"/>
    <d v="1998-02-13T00:00:00"/>
  </r>
  <r>
    <n v="10887"/>
    <x v="2"/>
    <n v="70"/>
    <n v="5"/>
    <d v="1998-02-13T00:00:00"/>
  </r>
  <r>
    <n v="10887"/>
    <x v="3"/>
    <n v="70"/>
    <n v="5"/>
    <d v="1998-02-13T00:00:00"/>
  </r>
  <r>
    <n v="10887"/>
    <x v="4"/>
    <n v="70"/>
    <n v="5"/>
    <d v="1998-02-13T00:00:00"/>
  </r>
  <r>
    <n v="10887"/>
    <x v="5"/>
    <n v="70"/>
    <n v="5"/>
    <d v="1998-02-13T00:00:00"/>
  </r>
  <r>
    <n v="10887"/>
    <x v="6"/>
    <n v="70"/>
    <n v="5"/>
    <d v="1998-02-13T00:00:00"/>
  </r>
  <r>
    <n v="10887"/>
    <x v="7"/>
    <n v="70"/>
    <n v="5"/>
    <d v="1998-02-13T00:00:00"/>
  </r>
  <r>
    <n v="10888"/>
    <x v="0"/>
    <n v="380"/>
    <n v="20"/>
    <d v="1998-02-16T00:00:00"/>
  </r>
  <r>
    <n v="10888"/>
    <x v="1"/>
    <n v="380"/>
    <n v="20"/>
    <d v="1998-02-16T00:00:00"/>
  </r>
  <r>
    <n v="10888"/>
    <x v="2"/>
    <n v="380"/>
    <n v="20"/>
    <d v="1998-02-16T00:00:00"/>
  </r>
  <r>
    <n v="10888"/>
    <x v="3"/>
    <n v="380"/>
    <n v="20"/>
    <d v="1998-02-16T00:00:00"/>
  </r>
  <r>
    <n v="10888"/>
    <x v="4"/>
    <n v="380"/>
    <n v="20"/>
    <d v="1998-02-16T00:00:00"/>
  </r>
  <r>
    <n v="10888"/>
    <x v="5"/>
    <n v="380"/>
    <n v="20"/>
    <d v="1998-02-16T00:00:00"/>
  </r>
  <r>
    <n v="10888"/>
    <x v="6"/>
    <n v="380"/>
    <n v="20"/>
    <d v="1998-02-16T00:00:00"/>
  </r>
  <r>
    <n v="10888"/>
    <x v="7"/>
    <n v="380"/>
    <n v="20"/>
    <d v="1998-02-16T00:00:00"/>
  </r>
  <r>
    <n v="10888"/>
    <x v="0"/>
    <n v="225"/>
    <n v="18"/>
    <d v="1998-02-16T00:00:00"/>
  </r>
  <r>
    <n v="10888"/>
    <x v="1"/>
    <n v="225"/>
    <n v="18"/>
    <d v="1998-02-16T00:00:00"/>
  </r>
  <r>
    <n v="10888"/>
    <x v="2"/>
    <n v="225"/>
    <n v="18"/>
    <d v="1998-02-16T00:00:00"/>
  </r>
  <r>
    <n v="10888"/>
    <x v="3"/>
    <n v="225"/>
    <n v="18"/>
    <d v="1998-02-16T00:00:00"/>
  </r>
  <r>
    <n v="10888"/>
    <x v="4"/>
    <n v="225"/>
    <n v="18"/>
    <d v="1998-02-16T00:00:00"/>
  </r>
  <r>
    <n v="10888"/>
    <x v="5"/>
    <n v="225"/>
    <n v="18"/>
    <d v="1998-02-16T00:00:00"/>
  </r>
  <r>
    <n v="10888"/>
    <x v="6"/>
    <n v="225"/>
    <n v="18"/>
    <d v="1998-02-16T00:00:00"/>
  </r>
  <r>
    <n v="10888"/>
    <x v="7"/>
    <n v="225"/>
    <n v="18"/>
    <d v="1998-02-16T00:00:00"/>
  </r>
  <r>
    <n v="10889"/>
    <x v="0"/>
    <n v="840"/>
    <n v="40"/>
    <d v="1998-02-16T00:00:00"/>
  </r>
  <r>
    <n v="10889"/>
    <x v="1"/>
    <n v="840"/>
    <n v="40"/>
    <d v="1998-02-16T00:00:00"/>
  </r>
  <r>
    <n v="10889"/>
    <x v="2"/>
    <n v="840"/>
    <n v="40"/>
    <d v="1998-02-16T00:00:00"/>
  </r>
  <r>
    <n v="10889"/>
    <x v="3"/>
    <n v="840"/>
    <n v="40"/>
    <d v="1998-02-16T00:00:00"/>
  </r>
  <r>
    <n v="10889"/>
    <x v="4"/>
    <n v="840"/>
    <n v="40"/>
    <d v="1998-02-16T00:00:00"/>
  </r>
  <r>
    <n v="10889"/>
    <x v="5"/>
    <n v="840"/>
    <n v="40"/>
    <d v="1998-02-16T00:00:00"/>
  </r>
  <r>
    <n v="10889"/>
    <x v="6"/>
    <n v="840"/>
    <n v="40"/>
    <d v="1998-02-16T00:00:00"/>
  </r>
  <r>
    <n v="10889"/>
    <x v="7"/>
    <n v="840"/>
    <n v="40"/>
    <d v="1998-02-16T00:00:00"/>
  </r>
  <r>
    <n v="10889"/>
    <x v="0"/>
    <n v="10540"/>
    <n v="40"/>
    <d v="1998-02-16T00:00:00"/>
  </r>
  <r>
    <n v="10889"/>
    <x v="1"/>
    <n v="10540"/>
    <n v="40"/>
    <d v="1998-02-16T00:00:00"/>
  </r>
  <r>
    <n v="10889"/>
    <x v="2"/>
    <n v="10540"/>
    <n v="40"/>
    <d v="1998-02-16T00:00:00"/>
  </r>
  <r>
    <n v="10889"/>
    <x v="3"/>
    <n v="10540"/>
    <n v="40"/>
    <d v="1998-02-16T00:00:00"/>
  </r>
  <r>
    <n v="10889"/>
    <x v="4"/>
    <n v="10540"/>
    <n v="40"/>
    <d v="1998-02-16T00:00:00"/>
  </r>
  <r>
    <n v="10889"/>
    <x v="5"/>
    <n v="10540"/>
    <n v="40"/>
    <d v="1998-02-16T00:00:00"/>
  </r>
  <r>
    <n v="10889"/>
    <x v="6"/>
    <n v="10540"/>
    <n v="40"/>
    <d v="1998-02-16T00:00:00"/>
  </r>
  <r>
    <n v="10889"/>
    <x v="7"/>
    <n v="10540"/>
    <n v="40"/>
    <d v="1998-02-16T00:00:00"/>
  </r>
  <r>
    <n v="10890"/>
    <x v="0"/>
    <n v="585"/>
    <n v="15"/>
    <d v="1998-02-16T00:00:00"/>
  </r>
  <r>
    <n v="10890"/>
    <x v="1"/>
    <n v="585"/>
    <n v="15"/>
    <d v="1998-02-16T00:00:00"/>
  </r>
  <r>
    <n v="10890"/>
    <x v="2"/>
    <n v="585"/>
    <n v="15"/>
    <d v="1998-02-16T00:00:00"/>
  </r>
  <r>
    <n v="10890"/>
    <x v="3"/>
    <n v="585"/>
    <n v="15"/>
    <d v="1998-02-16T00:00:00"/>
  </r>
  <r>
    <n v="10890"/>
    <x v="4"/>
    <n v="585"/>
    <n v="15"/>
    <d v="1998-02-16T00:00:00"/>
  </r>
  <r>
    <n v="10890"/>
    <x v="5"/>
    <n v="585"/>
    <n v="15"/>
    <d v="1998-02-16T00:00:00"/>
  </r>
  <r>
    <n v="10890"/>
    <x v="6"/>
    <n v="585"/>
    <n v="15"/>
    <d v="1998-02-16T00:00:00"/>
  </r>
  <r>
    <n v="10890"/>
    <x v="7"/>
    <n v="585"/>
    <n v="15"/>
    <d v="1998-02-16T00:00:00"/>
  </r>
  <r>
    <n v="10890"/>
    <x v="0"/>
    <n v="140"/>
    <n v="10"/>
    <d v="1998-02-16T00:00:00"/>
  </r>
  <r>
    <n v="10890"/>
    <x v="1"/>
    <n v="140"/>
    <n v="10"/>
    <d v="1998-02-16T00:00:00"/>
  </r>
  <r>
    <n v="10890"/>
    <x v="2"/>
    <n v="140"/>
    <n v="10"/>
    <d v="1998-02-16T00:00:00"/>
  </r>
  <r>
    <n v="10890"/>
    <x v="3"/>
    <n v="140"/>
    <n v="10"/>
    <d v="1998-02-16T00:00:00"/>
  </r>
  <r>
    <n v="10890"/>
    <x v="4"/>
    <n v="140"/>
    <n v="10"/>
    <d v="1998-02-16T00:00:00"/>
  </r>
  <r>
    <n v="10890"/>
    <x v="5"/>
    <n v="140"/>
    <n v="10"/>
    <d v="1998-02-16T00:00:00"/>
  </r>
  <r>
    <n v="10890"/>
    <x v="6"/>
    <n v="140"/>
    <n v="10"/>
    <d v="1998-02-16T00:00:00"/>
  </r>
  <r>
    <n v="10890"/>
    <x v="7"/>
    <n v="140"/>
    <n v="10"/>
    <d v="1998-02-16T00:00:00"/>
  </r>
  <r>
    <n v="10890"/>
    <x v="0"/>
    <n v="135.1"/>
    <n v="14"/>
    <d v="1998-02-16T00:00:00"/>
  </r>
  <r>
    <n v="10890"/>
    <x v="1"/>
    <n v="135.1"/>
    <n v="14"/>
    <d v="1998-02-16T00:00:00"/>
  </r>
  <r>
    <n v="10890"/>
    <x v="2"/>
    <n v="135.1"/>
    <n v="14"/>
    <d v="1998-02-16T00:00:00"/>
  </r>
  <r>
    <n v="10890"/>
    <x v="3"/>
    <n v="135.1"/>
    <n v="14"/>
    <d v="1998-02-16T00:00:00"/>
  </r>
  <r>
    <n v="10890"/>
    <x v="4"/>
    <n v="135.1"/>
    <n v="14"/>
    <d v="1998-02-16T00:00:00"/>
  </r>
  <r>
    <n v="10890"/>
    <x v="5"/>
    <n v="135.1"/>
    <n v="14"/>
    <d v="1998-02-16T00:00:00"/>
  </r>
  <r>
    <n v="10890"/>
    <x v="6"/>
    <n v="135.1"/>
    <n v="14"/>
    <d v="1998-02-16T00:00:00"/>
  </r>
  <r>
    <n v="10890"/>
    <x v="7"/>
    <n v="135.1"/>
    <n v="14"/>
    <d v="1998-02-16T00:00:00"/>
  </r>
  <r>
    <n v="10891"/>
    <x v="0"/>
    <n v="368.93249971065671"/>
    <n v="15"/>
    <d v="1998-02-17T00:00:00"/>
  </r>
  <r>
    <n v="10891"/>
    <x v="1"/>
    <n v="368.93249971065671"/>
    <n v="15"/>
    <d v="1998-02-17T00:00:00"/>
  </r>
  <r>
    <n v="10891"/>
    <x v="2"/>
    <n v="368.93249971065671"/>
    <n v="15"/>
    <d v="1998-02-17T00:00:00"/>
  </r>
  <r>
    <n v="10891"/>
    <x v="3"/>
    <n v="368.93249971065671"/>
    <n v="15"/>
    <d v="1998-02-17T00:00:00"/>
  </r>
  <r>
    <n v="10891"/>
    <x v="4"/>
    <n v="368.93249971065671"/>
    <n v="15"/>
    <d v="1998-02-17T00:00:00"/>
  </r>
  <r>
    <n v="10891"/>
    <x v="5"/>
    <n v="368.93249971065671"/>
    <n v="15"/>
    <d v="1998-02-17T00:00:00"/>
  </r>
  <r>
    <n v="10891"/>
    <x v="6"/>
    <n v="368.93249971065671"/>
    <n v="15"/>
    <d v="1998-02-17T00:00:00"/>
  </r>
  <r>
    <n v="10891"/>
    <x v="7"/>
    <n v="368.93249971065671"/>
    <n v="15"/>
    <d v="1998-02-17T00:00:00"/>
  </r>
  <r>
    <n v="10892"/>
    <x v="0"/>
    <n v="2089.9999983608723"/>
    <n v="40"/>
    <d v="1998-02-17T00:00:00"/>
  </r>
  <r>
    <n v="10892"/>
    <x v="1"/>
    <n v="2089.9999983608723"/>
    <n v="40"/>
    <d v="1998-02-17T00:00:00"/>
  </r>
  <r>
    <n v="10892"/>
    <x v="2"/>
    <n v="2089.9999983608723"/>
    <n v="40"/>
    <d v="1998-02-17T00:00:00"/>
  </r>
  <r>
    <n v="10892"/>
    <x v="3"/>
    <n v="2089.9999983608723"/>
    <n v="40"/>
    <d v="1998-02-17T00:00:00"/>
  </r>
  <r>
    <n v="10892"/>
    <x v="4"/>
    <n v="2089.9999983608723"/>
    <n v="40"/>
    <d v="1998-02-17T00:00:00"/>
  </r>
  <r>
    <n v="10892"/>
    <x v="5"/>
    <n v="2089.9999983608723"/>
    <n v="40"/>
    <d v="1998-02-17T00:00:00"/>
  </r>
  <r>
    <n v="10892"/>
    <x v="6"/>
    <n v="2089.9999983608723"/>
    <n v="40"/>
    <d v="1998-02-17T00:00:00"/>
  </r>
  <r>
    <n v="10892"/>
    <x v="7"/>
    <n v="2089.9999983608723"/>
    <n v="40"/>
    <d v="1998-02-17T00:00:00"/>
  </r>
  <r>
    <n v="10893"/>
    <x v="0"/>
    <n v="1200"/>
    <n v="30"/>
    <d v="1998-02-18T00:00:00"/>
  </r>
  <r>
    <n v="10893"/>
    <x v="1"/>
    <n v="1200"/>
    <n v="30"/>
    <d v="1998-02-18T00:00:00"/>
  </r>
  <r>
    <n v="10893"/>
    <x v="2"/>
    <n v="1200"/>
    <n v="30"/>
    <d v="1998-02-18T00:00:00"/>
  </r>
  <r>
    <n v="10893"/>
    <x v="3"/>
    <n v="1200"/>
    <n v="30"/>
    <d v="1998-02-18T00:00:00"/>
  </r>
  <r>
    <n v="10893"/>
    <x v="4"/>
    <n v="1200"/>
    <n v="30"/>
    <d v="1998-02-18T00:00:00"/>
  </r>
  <r>
    <n v="10893"/>
    <x v="5"/>
    <n v="1200"/>
    <n v="30"/>
    <d v="1998-02-18T00:00:00"/>
  </r>
  <r>
    <n v="10893"/>
    <x v="6"/>
    <n v="1200"/>
    <n v="30"/>
    <d v="1998-02-18T00:00:00"/>
  </r>
  <r>
    <n v="10893"/>
    <x v="7"/>
    <n v="1200"/>
    <n v="30"/>
    <d v="1998-02-18T00:00:00"/>
  </r>
  <r>
    <n v="10893"/>
    <x v="0"/>
    <n v="45"/>
    <n v="10"/>
    <d v="1998-02-18T00:00:00"/>
  </r>
  <r>
    <n v="10893"/>
    <x v="1"/>
    <n v="45"/>
    <n v="10"/>
    <d v="1998-02-18T00:00:00"/>
  </r>
  <r>
    <n v="10893"/>
    <x v="2"/>
    <n v="45"/>
    <n v="10"/>
    <d v="1998-02-18T00:00:00"/>
  </r>
  <r>
    <n v="10893"/>
    <x v="3"/>
    <n v="45"/>
    <n v="10"/>
    <d v="1998-02-18T00:00:00"/>
  </r>
  <r>
    <n v="10893"/>
    <x v="4"/>
    <n v="45"/>
    <n v="10"/>
    <d v="1998-02-18T00:00:00"/>
  </r>
  <r>
    <n v="10893"/>
    <x v="5"/>
    <n v="45"/>
    <n v="10"/>
    <d v="1998-02-18T00:00:00"/>
  </r>
  <r>
    <n v="10893"/>
    <x v="6"/>
    <n v="45"/>
    <n v="10"/>
    <d v="1998-02-18T00:00:00"/>
  </r>
  <r>
    <n v="10893"/>
    <x v="7"/>
    <n v="45"/>
    <n v="10"/>
    <d v="1998-02-18T00:00:00"/>
  </r>
  <r>
    <n v="10893"/>
    <x v="0"/>
    <n v="2970.96"/>
    <n v="24"/>
    <d v="1998-02-18T00:00:00"/>
  </r>
  <r>
    <n v="10893"/>
    <x v="1"/>
    <n v="2970.96"/>
    <n v="24"/>
    <d v="1998-02-18T00:00:00"/>
  </r>
  <r>
    <n v="10893"/>
    <x v="2"/>
    <n v="2970.96"/>
    <n v="24"/>
    <d v="1998-02-18T00:00:00"/>
  </r>
  <r>
    <n v="10893"/>
    <x v="3"/>
    <n v="2970.96"/>
    <n v="24"/>
    <d v="1998-02-18T00:00:00"/>
  </r>
  <r>
    <n v="10893"/>
    <x v="4"/>
    <n v="2970.96"/>
    <n v="24"/>
    <d v="1998-02-18T00:00:00"/>
  </r>
  <r>
    <n v="10893"/>
    <x v="5"/>
    <n v="2970.96"/>
    <n v="24"/>
    <d v="1998-02-18T00:00:00"/>
  </r>
  <r>
    <n v="10893"/>
    <x v="6"/>
    <n v="2970.96"/>
    <n v="24"/>
    <d v="1998-02-18T00:00:00"/>
  </r>
  <r>
    <n v="10893"/>
    <x v="7"/>
    <n v="2970.96"/>
    <n v="24"/>
    <d v="1998-02-18T00:00:00"/>
  </r>
  <r>
    <n v="10893"/>
    <x v="0"/>
    <n v="906.15"/>
    <n v="35"/>
    <d v="1998-02-18T00:00:00"/>
  </r>
  <r>
    <n v="10893"/>
    <x v="1"/>
    <n v="906.15"/>
    <n v="35"/>
    <d v="1998-02-18T00:00:00"/>
  </r>
  <r>
    <n v="10893"/>
    <x v="2"/>
    <n v="906.15"/>
    <n v="35"/>
    <d v="1998-02-18T00:00:00"/>
  </r>
  <r>
    <n v="10893"/>
    <x v="3"/>
    <n v="906.15"/>
    <n v="35"/>
    <d v="1998-02-18T00:00:00"/>
  </r>
  <r>
    <n v="10893"/>
    <x v="4"/>
    <n v="906.15"/>
    <n v="35"/>
    <d v="1998-02-18T00:00:00"/>
  </r>
  <r>
    <n v="10893"/>
    <x v="5"/>
    <n v="906.15"/>
    <n v="35"/>
    <d v="1998-02-18T00:00:00"/>
  </r>
  <r>
    <n v="10893"/>
    <x v="6"/>
    <n v="906.15"/>
    <n v="35"/>
    <d v="1998-02-18T00:00:00"/>
  </r>
  <r>
    <n v="10893"/>
    <x v="7"/>
    <n v="906.15"/>
    <n v="35"/>
    <d v="1998-02-18T00:00:00"/>
  </r>
  <r>
    <n v="10893"/>
    <x v="0"/>
    <n v="380"/>
    <n v="20"/>
    <d v="1998-02-18T00:00:00"/>
  </r>
  <r>
    <n v="10893"/>
    <x v="1"/>
    <n v="380"/>
    <n v="20"/>
    <d v="1998-02-18T00:00:00"/>
  </r>
  <r>
    <n v="10893"/>
    <x v="2"/>
    <n v="380"/>
    <n v="20"/>
    <d v="1998-02-18T00:00:00"/>
  </r>
  <r>
    <n v="10893"/>
    <x v="3"/>
    <n v="380"/>
    <n v="20"/>
    <d v="1998-02-18T00:00:00"/>
  </r>
  <r>
    <n v="10893"/>
    <x v="4"/>
    <n v="380"/>
    <n v="20"/>
    <d v="1998-02-18T00:00:00"/>
  </r>
  <r>
    <n v="10893"/>
    <x v="5"/>
    <n v="380"/>
    <n v="20"/>
    <d v="1998-02-18T00:00:00"/>
  </r>
  <r>
    <n v="10893"/>
    <x v="6"/>
    <n v="380"/>
    <n v="20"/>
    <d v="1998-02-18T00:00:00"/>
  </r>
  <r>
    <n v="10893"/>
    <x v="7"/>
    <n v="380"/>
    <n v="20"/>
    <d v="1998-02-18T00:00:00"/>
  </r>
  <r>
    <n v="10894"/>
    <x v="0"/>
    <n v="159.59999987483025"/>
    <n v="28"/>
    <d v="1998-02-18T00:00:00"/>
  </r>
  <r>
    <n v="10894"/>
    <x v="1"/>
    <n v="159.59999987483025"/>
    <n v="28"/>
    <d v="1998-02-18T00:00:00"/>
  </r>
  <r>
    <n v="10894"/>
    <x v="2"/>
    <n v="159.59999987483025"/>
    <n v="28"/>
    <d v="1998-02-18T00:00:00"/>
  </r>
  <r>
    <n v="10894"/>
    <x v="3"/>
    <n v="159.59999987483025"/>
    <n v="28"/>
    <d v="1998-02-18T00:00:00"/>
  </r>
  <r>
    <n v="10894"/>
    <x v="4"/>
    <n v="159.59999987483025"/>
    <n v="28"/>
    <d v="1998-02-18T00:00:00"/>
  </r>
  <r>
    <n v="10894"/>
    <x v="5"/>
    <n v="159.59999987483025"/>
    <n v="28"/>
    <d v="1998-02-18T00:00:00"/>
  </r>
  <r>
    <n v="10894"/>
    <x v="6"/>
    <n v="159.59999987483025"/>
    <n v="28"/>
    <d v="1998-02-18T00:00:00"/>
  </r>
  <r>
    <n v="10894"/>
    <x v="7"/>
    <n v="159.59999987483025"/>
    <n v="28"/>
    <d v="1998-02-18T00:00:00"/>
  </r>
  <r>
    <n v="10894"/>
    <x v="0"/>
    <n v="1709.9999986588955"/>
    <n v="50"/>
    <d v="1998-02-18T00:00:00"/>
  </r>
  <r>
    <n v="10894"/>
    <x v="1"/>
    <n v="1709.9999986588955"/>
    <n v="50"/>
    <d v="1998-02-18T00:00:00"/>
  </r>
  <r>
    <n v="10894"/>
    <x v="2"/>
    <n v="1709.9999986588955"/>
    <n v="50"/>
    <d v="1998-02-18T00:00:00"/>
  </r>
  <r>
    <n v="10894"/>
    <x v="3"/>
    <n v="1709.9999986588955"/>
    <n v="50"/>
    <d v="1998-02-18T00:00:00"/>
  </r>
  <r>
    <n v="10894"/>
    <x v="4"/>
    <n v="1709.9999986588955"/>
    <n v="50"/>
    <d v="1998-02-18T00:00:00"/>
  </r>
  <r>
    <n v="10894"/>
    <x v="5"/>
    <n v="1709.9999986588955"/>
    <n v="50"/>
    <d v="1998-02-18T00:00:00"/>
  </r>
  <r>
    <n v="10894"/>
    <x v="6"/>
    <n v="1709.9999986588955"/>
    <n v="50"/>
    <d v="1998-02-18T00:00:00"/>
  </r>
  <r>
    <n v="10894"/>
    <x v="7"/>
    <n v="1709.9999986588955"/>
    <n v="50"/>
    <d v="1998-02-18T00:00:00"/>
  </r>
  <r>
    <n v="10894"/>
    <x v="0"/>
    <n v="883.499999307096"/>
    <n v="120"/>
    <d v="1998-02-18T00:00:00"/>
  </r>
  <r>
    <n v="10894"/>
    <x v="1"/>
    <n v="883.499999307096"/>
    <n v="120"/>
    <d v="1998-02-18T00:00:00"/>
  </r>
  <r>
    <n v="10894"/>
    <x v="2"/>
    <n v="883.499999307096"/>
    <n v="120"/>
    <d v="1998-02-18T00:00:00"/>
  </r>
  <r>
    <n v="10894"/>
    <x v="3"/>
    <n v="883.499999307096"/>
    <n v="120"/>
    <d v="1998-02-18T00:00:00"/>
  </r>
  <r>
    <n v="10894"/>
    <x v="4"/>
    <n v="883.499999307096"/>
    <n v="120"/>
    <d v="1998-02-18T00:00:00"/>
  </r>
  <r>
    <n v="10894"/>
    <x v="5"/>
    <n v="883.499999307096"/>
    <n v="120"/>
    <d v="1998-02-18T00:00:00"/>
  </r>
  <r>
    <n v="10894"/>
    <x v="6"/>
    <n v="883.499999307096"/>
    <n v="120"/>
    <d v="1998-02-18T00:00:00"/>
  </r>
  <r>
    <n v="10894"/>
    <x v="7"/>
    <n v="883.499999307096"/>
    <n v="120"/>
    <d v="1998-02-18T00:00:00"/>
  </r>
  <r>
    <n v="10895"/>
    <x v="0"/>
    <n v="495"/>
    <n v="110"/>
    <d v="1998-02-18T00:00:00"/>
  </r>
  <r>
    <n v="10895"/>
    <x v="1"/>
    <n v="495"/>
    <n v="110"/>
    <d v="1998-02-18T00:00:00"/>
  </r>
  <r>
    <n v="10895"/>
    <x v="2"/>
    <n v="495"/>
    <n v="110"/>
    <d v="1998-02-18T00:00:00"/>
  </r>
  <r>
    <n v="10895"/>
    <x v="3"/>
    <n v="495"/>
    <n v="110"/>
    <d v="1998-02-18T00:00:00"/>
  </r>
  <r>
    <n v="10895"/>
    <x v="4"/>
    <n v="495"/>
    <n v="110"/>
    <d v="1998-02-18T00:00:00"/>
  </r>
  <r>
    <n v="10895"/>
    <x v="5"/>
    <n v="495"/>
    <n v="110"/>
    <d v="1998-02-18T00:00:00"/>
  </r>
  <r>
    <n v="10895"/>
    <x v="6"/>
    <n v="495"/>
    <n v="110"/>
    <d v="1998-02-18T00:00:00"/>
  </r>
  <r>
    <n v="10895"/>
    <x v="7"/>
    <n v="495"/>
    <n v="110"/>
    <d v="1998-02-18T00:00:00"/>
  </r>
  <r>
    <n v="10895"/>
    <x v="0"/>
    <n v="810"/>
    <n v="45"/>
    <d v="1998-02-18T00:00:00"/>
  </r>
  <r>
    <n v="10895"/>
    <x v="1"/>
    <n v="810"/>
    <n v="45"/>
    <d v="1998-02-18T00:00:00"/>
  </r>
  <r>
    <n v="10895"/>
    <x v="2"/>
    <n v="810"/>
    <n v="45"/>
    <d v="1998-02-18T00:00:00"/>
  </r>
  <r>
    <n v="10895"/>
    <x v="3"/>
    <n v="810"/>
    <n v="45"/>
    <d v="1998-02-18T00:00:00"/>
  </r>
  <r>
    <n v="10895"/>
    <x v="4"/>
    <n v="810"/>
    <n v="45"/>
    <d v="1998-02-18T00:00:00"/>
  </r>
  <r>
    <n v="10895"/>
    <x v="5"/>
    <n v="810"/>
    <n v="45"/>
    <d v="1998-02-18T00:00:00"/>
  </r>
  <r>
    <n v="10895"/>
    <x v="6"/>
    <n v="810"/>
    <n v="45"/>
    <d v="1998-02-18T00:00:00"/>
  </r>
  <r>
    <n v="10895"/>
    <x v="7"/>
    <n v="810"/>
    <n v="45"/>
    <d v="1998-02-18T00:00:00"/>
  </r>
  <r>
    <n v="10895"/>
    <x v="0"/>
    <n v="1674.4"/>
    <n v="91"/>
    <d v="1998-02-18T00:00:00"/>
  </r>
  <r>
    <n v="10895"/>
    <x v="1"/>
    <n v="1674.4"/>
    <n v="91"/>
    <d v="1998-02-18T00:00:00"/>
  </r>
  <r>
    <n v="10895"/>
    <x v="2"/>
    <n v="1674.4"/>
    <n v="91"/>
    <d v="1998-02-18T00:00:00"/>
  </r>
  <r>
    <n v="10895"/>
    <x v="3"/>
    <n v="1674.4"/>
    <n v="91"/>
    <d v="1998-02-18T00:00:00"/>
  </r>
  <r>
    <n v="10895"/>
    <x v="4"/>
    <n v="1674.4"/>
    <n v="91"/>
    <d v="1998-02-18T00:00:00"/>
  </r>
  <r>
    <n v="10895"/>
    <x v="5"/>
    <n v="1674.4"/>
    <n v="91"/>
    <d v="1998-02-18T00:00:00"/>
  </r>
  <r>
    <n v="10895"/>
    <x v="6"/>
    <n v="1674.4"/>
    <n v="91"/>
    <d v="1998-02-18T00:00:00"/>
  </r>
  <r>
    <n v="10895"/>
    <x v="7"/>
    <n v="1674.4"/>
    <n v="91"/>
    <d v="1998-02-18T00:00:00"/>
  </r>
  <r>
    <n v="10895"/>
    <x v="0"/>
    <n v="3400"/>
    <n v="100"/>
    <d v="1998-02-18T00:00:00"/>
  </r>
  <r>
    <n v="10895"/>
    <x v="1"/>
    <n v="3400"/>
    <n v="100"/>
    <d v="1998-02-18T00:00:00"/>
  </r>
  <r>
    <n v="10895"/>
    <x v="2"/>
    <n v="3400"/>
    <n v="100"/>
    <d v="1998-02-18T00:00:00"/>
  </r>
  <r>
    <n v="10895"/>
    <x v="3"/>
    <n v="3400"/>
    <n v="100"/>
    <d v="1998-02-18T00:00:00"/>
  </r>
  <r>
    <n v="10895"/>
    <x v="4"/>
    <n v="3400"/>
    <n v="100"/>
    <d v="1998-02-18T00:00:00"/>
  </r>
  <r>
    <n v="10895"/>
    <x v="5"/>
    <n v="3400"/>
    <n v="100"/>
    <d v="1998-02-18T00:00:00"/>
  </r>
  <r>
    <n v="10895"/>
    <x v="6"/>
    <n v="3400"/>
    <n v="100"/>
    <d v="1998-02-18T00:00:00"/>
  </r>
  <r>
    <n v="10895"/>
    <x v="7"/>
    <n v="3400"/>
    <n v="100"/>
    <d v="1998-02-18T00:00:00"/>
  </r>
  <r>
    <n v="10896"/>
    <x v="0"/>
    <n v="142.5"/>
    <n v="15"/>
    <d v="1998-02-19T00:00:00"/>
  </r>
  <r>
    <n v="10896"/>
    <x v="1"/>
    <n v="142.5"/>
    <n v="15"/>
    <d v="1998-02-19T00:00:00"/>
  </r>
  <r>
    <n v="10896"/>
    <x v="2"/>
    <n v="142.5"/>
    <n v="15"/>
    <d v="1998-02-19T00:00:00"/>
  </r>
  <r>
    <n v="10896"/>
    <x v="3"/>
    <n v="142.5"/>
    <n v="15"/>
    <d v="1998-02-19T00:00:00"/>
  </r>
  <r>
    <n v="10896"/>
    <x v="4"/>
    <n v="142.5"/>
    <n v="15"/>
    <d v="1998-02-19T00:00:00"/>
  </r>
  <r>
    <n v="10896"/>
    <x v="5"/>
    <n v="142.5"/>
    <n v="15"/>
    <d v="1998-02-19T00:00:00"/>
  </r>
  <r>
    <n v="10896"/>
    <x v="6"/>
    <n v="142.5"/>
    <n v="15"/>
    <d v="1998-02-19T00:00:00"/>
  </r>
  <r>
    <n v="10896"/>
    <x v="7"/>
    <n v="142.5"/>
    <n v="15"/>
    <d v="1998-02-19T00:00:00"/>
  </r>
  <r>
    <n v="10896"/>
    <x v="0"/>
    <n v="608"/>
    <n v="16"/>
    <d v="1998-02-19T00:00:00"/>
  </r>
  <r>
    <n v="10896"/>
    <x v="1"/>
    <n v="608"/>
    <n v="16"/>
    <d v="1998-02-19T00:00:00"/>
  </r>
  <r>
    <n v="10896"/>
    <x v="2"/>
    <n v="608"/>
    <n v="16"/>
    <d v="1998-02-19T00:00:00"/>
  </r>
  <r>
    <n v="10896"/>
    <x v="3"/>
    <n v="608"/>
    <n v="16"/>
    <d v="1998-02-19T00:00:00"/>
  </r>
  <r>
    <n v="10896"/>
    <x v="4"/>
    <n v="608"/>
    <n v="16"/>
    <d v="1998-02-19T00:00:00"/>
  </r>
  <r>
    <n v="10896"/>
    <x v="5"/>
    <n v="608"/>
    <n v="16"/>
    <d v="1998-02-19T00:00:00"/>
  </r>
  <r>
    <n v="10896"/>
    <x v="6"/>
    <n v="608"/>
    <n v="16"/>
    <d v="1998-02-19T00:00:00"/>
  </r>
  <r>
    <n v="10896"/>
    <x v="7"/>
    <n v="608"/>
    <n v="16"/>
    <d v="1998-02-19T00:00:00"/>
  </r>
  <r>
    <n v="10897"/>
    <x v="0"/>
    <n v="9903.2000000000007"/>
    <n v="80"/>
    <d v="1998-02-19T00:00:00"/>
  </r>
  <r>
    <n v="10897"/>
    <x v="1"/>
    <n v="9903.2000000000007"/>
    <n v="80"/>
    <d v="1998-02-19T00:00:00"/>
  </r>
  <r>
    <n v="10897"/>
    <x v="2"/>
    <n v="9903.2000000000007"/>
    <n v="80"/>
    <d v="1998-02-19T00:00:00"/>
  </r>
  <r>
    <n v="10897"/>
    <x v="3"/>
    <n v="9903.2000000000007"/>
    <n v="80"/>
    <d v="1998-02-19T00:00:00"/>
  </r>
  <r>
    <n v="10897"/>
    <x v="4"/>
    <n v="9903.2000000000007"/>
    <n v="80"/>
    <d v="1998-02-19T00:00:00"/>
  </r>
  <r>
    <n v="10897"/>
    <x v="5"/>
    <n v="9903.2000000000007"/>
    <n v="80"/>
    <d v="1998-02-19T00:00:00"/>
  </r>
  <r>
    <n v="10897"/>
    <x v="6"/>
    <n v="9903.2000000000007"/>
    <n v="80"/>
    <d v="1998-02-19T00:00:00"/>
  </r>
  <r>
    <n v="10897"/>
    <x v="7"/>
    <n v="9903.2000000000007"/>
    <n v="80"/>
    <d v="1998-02-19T00:00:00"/>
  </r>
  <r>
    <n v="10897"/>
    <x v="0"/>
    <n v="932.04"/>
    <n v="36"/>
    <d v="1998-02-19T00:00:00"/>
  </r>
  <r>
    <n v="10897"/>
    <x v="1"/>
    <n v="932.04"/>
    <n v="36"/>
    <d v="1998-02-19T00:00:00"/>
  </r>
  <r>
    <n v="10897"/>
    <x v="2"/>
    <n v="932.04"/>
    <n v="36"/>
    <d v="1998-02-19T00:00:00"/>
  </r>
  <r>
    <n v="10897"/>
    <x v="3"/>
    <n v="932.04"/>
    <n v="36"/>
    <d v="1998-02-19T00:00:00"/>
  </r>
  <r>
    <n v="10897"/>
    <x v="4"/>
    <n v="932.04"/>
    <n v="36"/>
    <d v="1998-02-19T00:00:00"/>
  </r>
  <r>
    <n v="10897"/>
    <x v="5"/>
    <n v="932.04"/>
    <n v="36"/>
    <d v="1998-02-19T00:00:00"/>
  </r>
  <r>
    <n v="10897"/>
    <x v="6"/>
    <n v="932.04"/>
    <n v="36"/>
    <d v="1998-02-19T00:00:00"/>
  </r>
  <r>
    <n v="10897"/>
    <x v="7"/>
    <n v="932.04"/>
    <n v="36"/>
    <d v="1998-02-19T00:00:00"/>
  </r>
  <r>
    <n v="10898"/>
    <x v="0"/>
    <n v="30"/>
    <n v="5"/>
    <d v="1998-02-20T00:00:00"/>
  </r>
  <r>
    <n v="10898"/>
    <x v="1"/>
    <n v="30"/>
    <n v="5"/>
    <d v="1998-02-20T00:00:00"/>
  </r>
  <r>
    <n v="10898"/>
    <x v="2"/>
    <n v="30"/>
    <n v="5"/>
    <d v="1998-02-20T00:00:00"/>
  </r>
  <r>
    <n v="10898"/>
    <x v="3"/>
    <n v="30"/>
    <n v="5"/>
    <d v="1998-02-20T00:00:00"/>
  </r>
  <r>
    <n v="10898"/>
    <x v="4"/>
    <n v="30"/>
    <n v="5"/>
    <d v="1998-02-20T00:00:00"/>
  </r>
  <r>
    <n v="10898"/>
    <x v="5"/>
    <n v="30"/>
    <n v="5"/>
    <d v="1998-02-20T00:00:00"/>
  </r>
  <r>
    <n v="10898"/>
    <x v="6"/>
    <n v="30"/>
    <n v="5"/>
    <d v="1998-02-20T00:00:00"/>
  </r>
  <r>
    <n v="10898"/>
    <x v="7"/>
    <n v="30"/>
    <n v="5"/>
    <d v="1998-02-20T00:00:00"/>
  </r>
  <r>
    <n v="10899"/>
    <x v="0"/>
    <n v="122.39999914169312"/>
    <n v="8"/>
    <d v="1998-02-20T00:00:00"/>
  </r>
  <r>
    <n v="10899"/>
    <x v="1"/>
    <n v="122.39999914169312"/>
    <n v="8"/>
    <d v="1998-02-20T00:00:00"/>
  </r>
  <r>
    <n v="10899"/>
    <x v="2"/>
    <n v="122.39999914169312"/>
    <n v="8"/>
    <d v="1998-02-20T00:00:00"/>
  </r>
  <r>
    <n v="10899"/>
    <x v="3"/>
    <n v="122.39999914169312"/>
    <n v="8"/>
    <d v="1998-02-20T00:00:00"/>
  </r>
  <r>
    <n v="10899"/>
    <x v="4"/>
    <n v="122.39999914169312"/>
    <n v="8"/>
    <d v="1998-02-20T00:00:00"/>
  </r>
  <r>
    <n v="10899"/>
    <x v="5"/>
    <n v="122.39999914169312"/>
    <n v="8"/>
    <d v="1998-02-20T00:00:00"/>
  </r>
  <r>
    <n v="10899"/>
    <x v="6"/>
    <n v="122.39999914169312"/>
    <n v="8"/>
    <d v="1998-02-20T00:00:00"/>
  </r>
  <r>
    <n v="10899"/>
    <x v="7"/>
    <n v="122.39999914169312"/>
    <n v="8"/>
    <d v="1998-02-20T00:00:00"/>
  </r>
  <r>
    <n v="10900"/>
    <x v="0"/>
    <n v="33.75"/>
    <n v="3"/>
    <d v="1998-02-20T00:00:00"/>
  </r>
  <r>
    <n v="10900"/>
    <x v="1"/>
    <n v="33.75"/>
    <n v="3"/>
    <d v="1998-02-20T00:00:00"/>
  </r>
  <r>
    <n v="10900"/>
    <x v="2"/>
    <n v="33.75"/>
    <n v="3"/>
    <d v="1998-02-20T00:00:00"/>
  </r>
  <r>
    <n v="10900"/>
    <x v="3"/>
    <n v="33.75"/>
    <n v="3"/>
    <d v="1998-02-20T00:00:00"/>
  </r>
  <r>
    <n v="10900"/>
    <x v="4"/>
    <n v="33.75"/>
    <n v="3"/>
    <d v="1998-02-20T00:00:00"/>
  </r>
  <r>
    <n v="10900"/>
    <x v="5"/>
    <n v="33.75"/>
    <n v="3"/>
    <d v="1998-02-20T00:00:00"/>
  </r>
  <r>
    <n v="10900"/>
    <x v="6"/>
    <n v="33.75"/>
    <n v="3"/>
    <d v="1998-02-20T00:00:00"/>
  </r>
  <r>
    <n v="10900"/>
    <x v="7"/>
    <n v="33.75"/>
    <n v="3"/>
    <d v="1998-02-20T00:00:00"/>
  </r>
  <r>
    <n v="10901"/>
    <x v="0"/>
    <n v="289.5"/>
    <n v="30"/>
    <d v="1998-02-23T00:00:00"/>
  </r>
  <r>
    <n v="10901"/>
    <x v="1"/>
    <n v="289.5"/>
    <n v="30"/>
    <d v="1998-02-23T00:00:00"/>
  </r>
  <r>
    <n v="10901"/>
    <x v="2"/>
    <n v="289.5"/>
    <n v="30"/>
    <d v="1998-02-23T00:00:00"/>
  </r>
  <r>
    <n v="10901"/>
    <x v="3"/>
    <n v="289.5"/>
    <n v="30"/>
    <d v="1998-02-23T00:00:00"/>
  </r>
  <r>
    <n v="10901"/>
    <x v="4"/>
    <n v="289.5"/>
    <n v="30"/>
    <d v="1998-02-23T00:00:00"/>
  </r>
  <r>
    <n v="10901"/>
    <x v="5"/>
    <n v="289.5"/>
    <n v="30"/>
    <d v="1998-02-23T00:00:00"/>
  </r>
  <r>
    <n v="10901"/>
    <x v="6"/>
    <n v="289.5"/>
    <n v="30"/>
    <d v="1998-02-23T00:00:00"/>
  </r>
  <r>
    <n v="10901"/>
    <x v="7"/>
    <n v="289.5"/>
    <n v="30"/>
    <d v="1998-02-23T00:00:00"/>
  </r>
  <r>
    <n v="10901"/>
    <x v="0"/>
    <n v="645"/>
    <n v="30"/>
    <d v="1998-02-23T00:00:00"/>
  </r>
  <r>
    <n v="10901"/>
    <x v="1"/>
    <n v="645"/>
    <n v="30"/>
    <d v="1998-02-23T00:00:00"/>
  </r>
  <r>
    <n v="10901"/>
    <x v="2"/>
    <n v="645"/>
    <n v="30"/>
    <d v="1998-02-23T00:00:00"/>
  </r>
  <r>
    <n v="10901"/>
    <x v="3"/>
    <n v="645"/>
    <n v="30"/>
    <d v="1998-02-23T00:00:00"/>
  </r>
  <r>
    <n v="10901"/>
    <x v="4"/>
    <n v="645"/>
    <n v="30"/>
    <d v="1998-02-23T00:00:00"/>
  </r>
  <r>
    <n v="10901"/>
    <x v="5"/>
    <n v="645"/>
    <n v="30"/>
    <d v="1998-02-23T00:00:00"/>
  </r>
  <r>
    <n v="10901"/>
    <x v="6"/>
    <n v="645"/>
    <n v="30"/>
    <d v="1998-02-23T00:00:00"/>
  </r>
  <r>
    <n v="10901"/>
    <x v="7"/>
    <n v="645"/>
    <n v="30"/>
    <d v="1998-02-23T00:00:00"/>
  </r>
  <r>
    <n v="10902"/>
    <x v="0"/>
    <n v="611.99999570846558"/>
    <n v="30"/>
    <d v="1998-02-23T00:00:00"/>
  </r>
  <r>
    <n v="10902"/>
    <x v="1"/>
    <n v="611.99999570846558"/>
    <n v="30"/>
    <d v="1998-02-23T00:00:00"/>
  </r>
  <r>
    <n v="10902"/>
    <x v="2"/>
    <n v="611.99999570846558"/>
    <n v="30"/>
    <d v="1998-02-23T00:00:00"/>
  </r>
  <r>
    <n v="10902"/>
    <x v="3"/>
    <n v="611.99999570846558"/>
    <n v="30"/>
    <d v="1998-02-23T00:00:00"/>
  </r>
  <r>
    <n v="10902"/>
    <x v="4"/>
    <n v="611.99999570846558"/>
    <n v="30"/>
    <d v="1998-02-23T00:00:00"/>
  </r>
  <r>
    <n v="10902"/>
    <x v="5"/>
    <n v="611.99999570846558"/>
    <n v="30"/>
    <d v="1998-02-23T00:00:00"/>
  </r>
  <r>
    <n v="10902"/>
    <x v="6"/>
    <n v="611.99999570846558"/>
    <n v="30"/>
    <d v="1998-02-23T00:00:00"/>
  </r>
  <r>
    <n v="10902"/>
    <x v="7"/>
    <n v="611.99999570846558"/>
    <n v="30"/>
    <d v="1998-02-23T00:00:00"/>
  </r>
  <r>
    <n v="10902"/>
    <x v="0"/>
    <n v="251.42999823689462"/>
    <n v="6"/>
    <d v="1998-02-23T00:00:00"/>
  </r>
  <r>
    <n v="10902"/>
    <x v="1"/>
    <n v="251.42999823689462"/>
    <n v="6"/>
    <d v="1998-02-23T00:00:00"/>
  </r>
  <r>
    <n v="10902"/>
    <x v="2"/>
    <n v="251.42999823689462"/>
    <n v="6"/>
    <d v="1998-02-23T00:00:00"/>
  </r>
  <r>
    <n v="10902"/>
    <x v="3"/>
    <n v="251.42999823689462"/>
    <n v="6"/>
    <d v="1998-02-23T00:00:00"/>
  </r>
  <r>
    <n v="10902"/>
    <x v="4"/>
    <n v="251.42999823689462"/>
    <n v="6"/>
    <d v="1998-02-23T00:00:00"/>
  </r>
  <r>
    <n v="10902"/>
    <x v="5"/>
    <n v="251.42999823689462"/>
    <n v="6"/>
    <d v="1998-02-23T00:00:00"/>
  </r>
  <r>
    <n v="10902"/>
    <x v="6"/>
    <n v="251.42999823689462"/>
    <n v="6"/>
    <d v="1998-02-23T00:00:00"/>
  </r>
  <r>
    <n v="10902"/>
    <x v="7"/>
    <n v="251.42999823689462"/>
    <n v="6"/>
    <d v="1998-02-23T00:00:00"/>
  </r>
  <r>
    <n v="10903"/>
    <x v="0"/>
    <n v="240"/>
    <n v="40"/>
    <d v="1998-02-24T00:00:00"/>
  </r>
  <r>
    <n v="10903"/>
    <x v="1"/>
    <n v="240"/>
    <n v="40"/>
    <d v="1998-02-24T00:00:00"/>
  </r>
  <r>
    <n v="10903"/>
    <x v="2"/>
    <n v="240"/>
    <n v="40"/>
    <d v="1998-02-24T00:00:00"/>
  </r>
  <r>
    <n v="10903"/>
    <x v="3"/>
    <n v="240"/>
    <n v="40"/>
    <d v="1998-02-24T00:00:00"/>
  </r>
  <r>
    <n v="10903"/>
    <x v="4"/>
    <n v="240"/>
    <n v="40"/>
    <d v="1998-02-24T00:00:00"/>
  </r>
  <r>
    <n v="10903"/>
    <x v="5"/>
    <n v="240"/>
    <n v="40"/>
    <d v="1998-02-24T00:00:00"/>
  </r>
  <r>
    <n v="10903"/>
    <x v="6"/>
    <n v="240"/>
    <n v="40"/>
    <d v="1998-02-24T00:00:00"/>
  </r>
  <r>
    <n v="10903"/>
    <x v="7"/>
    <n v="240"/>
    <n v="40"/>
    <d v="1998-02-24T00:00:00"/>
  </r>
  <r>
    <n v="10903"/>
    <x v="0"/>
    <n v="442.05"/>
    <n v="21"/>
    <d v="1998-02-24T00:00:00"/>
  </r>
  <r>
    <n v="10903"/>
    <x v="1"/>
    <n v="442.05"/>
    <n v="21"/>
    <d v="1998-02-24T00:00:00"/>
  </r>
  <r>
    <n v="10903"/>
    <x v="2"/>
    <n v="442.05"/>
    <n v="21"/>
    <d v="1998-02-24T00:00:00"/>
  </r>
  <r>
    <n v="10903"/>
    <x v="3"/>
    <n v="442.05"/>
    <n v="21"/>
    <d v="1998-02-24T00:00:00"/>
  </r>
  <r>
    <n v="10903"/>
    <x v="4"/>
    <n v="442.05"/>
    <n v="21"/>
    <d v="1998-02-24T00:00:00"/>
  </r>
  <r>
    <n v="10903"/>
    <x v="5"/>
    <n v="442.05"/>
    <n v="21"/>
    <d v="1998-02-24T00:00:00"/>
  </r>
  <r>
    <n v="10903"/>
    <x v="6"/>
    <n v="442.05"/>
    <n v="21"/>
    <d v="1998-02-24T00:00:00"/>
  </r>
  <r>
    <n v="10903"/>
    <x v="7"/>
    <n v="442.05"/>
    <n v="21"/>
    <d v="1998-02-24T00:00:00"/>
  </r>
  <r>
    <n v="10903"/>
    <x v="0"/>
    <n v="250"/>
    <n v="20"/>
    <d v="1998-02-24T00:00:00"/>
  </r>
  <r>
    <n v="10903"/>
    <x v="1"/>
    <n v="250"/>
    <n v="20"/>
    <d v="1998-02-24T00:00:00"/>
  </r>
  <r>
    <n v="10903"/>
    <x v="2"/>
    <n v="250"/>
    <n v="20"/>
    <d v="1998-02-24T00:00:00"/>
  </r>
  <r>
    <n v="10903"/>
    <x v="3"/>
    <n v="250"/>
    <n v="20"/>
    <d v="1998-02-24T00:00:00"/>
  </r>
  <r>
    <n v="10903"/>
    <x v="4"/>
    <n v="250"/>
    <n v="20"/>
    <d v="1998-02-24T00:00:00"/>
  </r>
  <r>
    <n v="10903"/>
    <x v="5"/>
    <n v="250"/>
    <n v="20"/>
    <d v="1998-02-24T00:00:00"/>
  </r>
  <r>
    <n v="10903"/>
    <x v="6"/>
    <n v="250"/>
    <n v="20"/>
    <d v="1998-02-24T00:00:00"/>
  </r>
  <r>
    <n v="10903"/>
    <x v="7"/>
    <n v="250"/>
    <n v="20"/>
    <d v="1998-02-24T00:00:00"/>
  </r>
  <r>
    <n v="10904"/>
    <x v="0"/>
    <n v="198.75"/>
    <n v="15"/>
    <d v="1998-02-24T00:00:00"/>
  </r>
  <r>
    <n v="10904"/>
    <x v="1"/>
    <n v="198.75"/>
    <n v="15"/>
    <d v="1998-02-24T00:00:00"/>
  </r>
  <r>
    <n v="10904"/>
    <x v="2"/>
    <n v="198.75"/>
    <n v="15"/>
    <d v="1998-02-24T00:00:00"/>
  </r>
  <r>
    <n v="10904"/>
    <x v="3"/>
    <n v="198.75"/>
    <n v="15"/>
    <d v="1998-02-24T00:00:00"/>
  </r>
  <r>
    <n v="10904"/>
    <x v="4"/>
    <n v="198.75"/>
    <n v="15"/>
    <d v="1998-02-24T00:00:00"/>
  </r>
  <r>
    <n v="10904"/>
    <x v="5"/>
    <n v="198.75"/>
    <n v="15"/>
    <d v="1998-02-24T00:00:00"/>
  </r>
  <r>
    <n v="10904"/>
    <x v="6"/>
    <n v="198.75"/>
    <n v="15"/>
    <d v="1998-02-24T00:00:00"/>
  </r>
  <r>
    <n v="10904"/>
    <x v="7"/>
    <n v="198.75"/>
    <n v="15"/>
    <d v="1998-02-24T00:00:00"/>
  </r>
  <r>
    <n v="10904"/>
    <x v="0"/>
    <n v="1725.5"/>
    <n v="35"/>
    <d v="1998-02-24T00:00:00"/>
  </r>
  <r>
    <n v="10904"/>
    <x v="1"/>
    <n v="1725.5"/>
    <n v="35"/>
    <d v="1998-02-24T00:00:00"/>
  </r>
  <r>
    <n v="10904"/>
    <x v="2"/>
    <n v="1725.5"/>
    <n v="35"/>
    <d v="1998-02-24T00:00:00"/>
  </r>
  <r>
    <n v="10904"/>
    <x v="3"/>
    <n v="1725.5"/>
    <n v="35"/>
    <d v="1998-02-24T00:00:00"/>
  </r>
  <r>
    <n v="10904"/>
    <x v="4"/>
    <n v="1725.5"/>
    <n v="35"/>
    <d v="1998-02-24T00:00:00"/>
  </r>
  <r>
    <n v="10904"/>
    <x v="5"/>
    <n v="1725.5"/>
    <n v="35"/>
    <d v="1998-02-24T00:00:00"/>
  </r>
  <r>
    <n v="10904"/>
    <x v="6"/>
    <n v="1725.5"/>
    <n v="35"/>
    <d v="1998-02-24T00:00:00"/>
  </r>
  <r>
    <n v="10904"/>
    <x v="7"/>
    <n v="1725.5"/>
    <n v="35"/>
    <d v="1998-02-24T00:00:00"/>
  </r>
  <r>
    <n v="10905"/>
    <x v="0"/>
    <n v="341.9999997317791"/>
    <n v="20"/>
    <d v="1998-02-24T00:00:00"/>
  </r>
  <r>
    <n v="10905"/>
    <x v="1"/>
    <n v="341.9999997317791"/>
    <n v="20"/>
    <d v="1998-02-24T00:00:00"/>
  </r>
  <r>
    <n v="10905"/>
    <x v="2"/>
    <n v="341.9999997317791"/>
    <n v="20"/>
    <d v="1998-02-24T00:00:00"/>
  </r>
  <r>
    <n v="10905"/>
    <x v="3"/>
    <n v="341.9999997317791"/>
    <n v="20"/>
    <d v="1998-02-24T00:00:00"/>
  </r>
  <r>
    <n v="10905"/>
    <x v="4"/>
    <n v="341.9999997317791"/>
    <n v="20"/>
    <d v="1998-02-24T00:00:00"/>
  </r>
  <r>
    <n v="10905"/>
    <x v="5"/>
    <n v="341.9999997317791"/>
    <n v="20"/>
    <d v="1998-02-24T00:00:00"/>
  </r>
  <r>
    <n v="10905"/>
    <x v="6"/>
    <n v="341.9999997317791"/>
    <n v="20"/>
    <d v="1998-02-24T00:00:00"/>
  </r>
  <r>
    <n v="10905"/>
    <x v="7"/>
    <n v="341.9999997317791"/>
    <n v="20"/>
    <d v="1998-02-24T00:00:00"/>
  </r>
  <r>
    <n v="10906"/>
    <x v="0"/>
    <n v="427.5"/>
    <n v="15"/>
    <d v="1998-02-25T00:00:00"/>
  </r>
  <r>
    <n v="10906"/>
    <x v="1"/>
    <n v="427.5"/>
    <n v="15"/>
    <d v="1998-02-25T00:00:00"/>
  </r>
  <r>
    <n v="10906"/>
    <x v="2"/>
    <n v="427.5"/>
    <n v="15"/>
    <d v="1998-02-25T00:00:00"/>
  </r>
  <r>
    <n v="10906"/>
    <x v="3"/>
    <n v="427.5"/>
    <n v="15"/>
    <d v="1998-02-25T00:00:00"/>
  </r>
  <r>
    <n v="10906"/>
    <x v="4"/>
    <n v="427.5"/>
    <n v="15"/>
    <d v="1998-02-25T00:00:00"/>
  </r>
  <r>
    <n v="10906"/>
    <x v="5"/>
    <n v="427.5"/>
    <n v="15"/>
    <d v="1998-02-25T00:00:00"/>
  </r>
  <r>
    <n v="10906"/>
    <x v="6"/>
    <n v="427.5"/>
    <n v="15"/>
    <d v="1998-02-25T00:00:00"/>
  </r>
  <r>
    <n v="10906"/>
    <x v="7"/>
    <n v="427.5"/>
    <n v="15"/>
    <d v="1998-02-25T00:00:00"/>
  </r>
  <r>
    <n v="10907"/>
    <x v="0"/>
    <n v="108.5"/>
    <n v="14"/>
    <d v="1998-02-25T00:00:00"/>
  </r>
  <r>
    <n v="10907"/>
    <x v="1"/>
    <n v="108.5"/>
    <n v="14"/>
    <d v="1998-02-25T00:00:00"/>
  </r>
  <r>
    <n v="10907"/>
    <x v="2"/>
    <n v="108.5"/>
    <n v="14"/>
    <d v="1998-02-25T00:00:00"/>
  </r>
  <r>
    <n v="10907"/>
    <x v="3"/>
    <n v="108.5"/>
    <n v="14"/>
    <d v="1998-02-25T00:00:00"/>
  </r>
  <r>
    <n v="10907"/>
    <x v="4"/>
    <n v="108.5"/>
    <n v="14"/>
    <d v="1998-02-25T00:00:00"/>
  </r>
  <r>
    <n v="10907"/>
    <x v="5"/>
    <n v="108.5"/>
    <n v="14"/>
    <d v="1998-02-25T00:00:00"/>
  </r>
  <r>
    <n v="10907"/>
    <x v="6"/>
    <n v="108.5"/>
    <n v="14"/>
    <d v="1998-02-25T00:00:00"/>
  </r>
  <r>
    <n v="10907"/>
    <x v="7"/>
    <n v="108.5"/>
    <n v="14"/>
    <d v="1998-02-25T00:00:00"/>
  </r>
  <r>
    <n v="10908"/>
    <x v="0"/>
    <n v="569.99999955296516"/>
    <n v="20"/>
    <d v="1998-02-26T00:00:00"/>
  </r>
  <r>
    <n v="10908"/>
    <x v="1"/>
    <n v="569.99999955296516"/>
    <n v="20"/>
    <d v="1998-02-26T00:00:00"/>
  </r>
  <r>
    <n v="10908"/>
    <x v="2"/>
    <n v="569.99999955296516"/>
    <n v="20"/>
    <d v="1998-02-26T00:00:00"/>
  </r>
  <r>
    <n v="10908"/>
    <x v="3"/>
    <n v="569.99999955296516"/>
    <n v="20"/>
    <d v="1998-02-26T00:00:00"/>
  </r>
  <r>
    <n v="10908"/>
    <x v="4"/>
    <n v="569.99999955296516"/>
    <n v="20"/>
    <d v="1998-02-26T00:00:00"/>
  </r>
  <r>
    <n v="10908"/>
    <x v="5"/>
    <n v="569.99999955296516"/>
    <n v="20"/>
    <d v="1998-02-26T00:00:00"/>
  </r>
  <r>
    <n v="10908"/>
    <x v="6"/>
    <n v="569.99999955296516"/>
    <n v="20"/>
    <d v="1998-02-26T00:00:00"/>
  </r>
  <r>
    <n v="10908"/>
    <x v="7"/>
    <n v="569.99999955296516"/>
    <n v="20"/>
    <d v="1998-02-26T00:00:00"/>
  </r>
  <r>
    <n v="10908"/>
    <x v="0"/>
    <n v="93.09999992698431"/>
    <n v="14"/>
    <d v="1998-02-26T00:00:00"/>
  </r>
  <r>
    <n v="10908"/>
    <x v="1"/>
    <n v="93.09999992698431"/>
    <n v="14"/>
    <d v="1998-02-26T00:00:00"/>
  </r>
  <r>
    <n v="10908"/>
    <x v="2"/>
    <n v="93.09999992698431"/>
    <n v="14"/>
    <d v="1998-02-26T00:00:00"/>
  </r>
  <r>
    <n v="10908"/>
    <x v="3"/>
    <n v="93.09999992698431"/>
    <n v="14"/>
    <d v="1998-02-26T00:00:00"/>
  </r>
  <r>
    <n v="10908"/>
    <x v="4"/>
    <n v="93.09999992698431"/>
    <n v="14"/>
    <d v="1998-02-26T00:00:00"/>
  </r>
  <r>
    <n v="10908"/>
    <x v="5"/>
    <n v="93.09999992698431"/>
    <n v="14"/>
    <d v="1998-02-26T00:00:00"/>
  </r>
  <r>
    <n v="10908"/>
    <x v="6"/>
    <n v="93.09999992698431"/>
    <n v="14"/>
    <d v="1998-02-26T00:00:00"/>
  </r>
  <r>
    <n v="10908"/>
    <x v="7"/>
    <n v="93.09999992698431"/>
    <n v="14"/>
    <d v="1998-02-26T00:00:00"/>
  </r>
  <r>
    <n v="10909"/>
    <x v="0"/>
    <n v="360"/>
    <n v="12"/>
    <d v="1998-02-26T00:00:00"/>
  </r>
  <r>
    <n v="10909"/>
    <x v="1"/>
    <n v="360"/>
    <n v="12"/>
    <d v="1998-02-26T00:00:00"/>
  </r>
  <r>
    <n v="10909"/>
    <x v="2"/>
    <n v="360"/>
    <n v="12"/>
    <d v="1998-02-26T00:00:00"/>
  </r>
  <r>
    <n v="10909"/>
    <x v="3"/>
    <n v="360"/>
    <n v="12"/>
    <d v="1998-02-26T00:00:00"/>
  </r>
  <r>
    <n v="10909"/>
    <x v="4"/>
    <n v="360"/>
    <n v="12"/>
    <d v="1998-02-26T00:00:00"/>
  </r>
  <r>
    <n v="10909"/>
    <x v="5"/>
    <n v="360"/>
    <n v="12"/>
    <d v="1998-02-26T00:00:00"/>
  </r>
  <r>
    <n v="10909"/>
    <x v="6"/>
    <n v="360"/>
    <n v="12"/>
    <d v="1998-02-26T00:00:00"/>
  </r>
  <r>
    <n v="10909"/>
    <x v="7"/>
    <n v="360"/>
    <n v="12"/>
    <d v="1998-02-26T00:00:00"/>
  </r>
  <r>
    <n v="10909"/>
    <x v="0"/>
    <n v="261.75"/>
    <n v="15"/>
    <d v="1998-02-26T00:00:00"/>
  </r>
  <r>
    <n v="10909"/>
    <x v="1"/>
    <n v="261.75"/>
    <n v="15"/>
    <d v="1998-02-26T00:00:00"/>
  </r>
  <r>
    <n v="10909"/>
    <x v="2"/>
    <n v="261.75"/>
    <n v="15"/>
    <d v="1998-02-26T00:00:00"/>
  </r>
  <r>
    <n v="10909"/>
    <x v="3"/>
    <n v="261.75"/>
    <n v="15"/>
    <d v="1998-02-26T00:00:00"/>
  </r>
  <r>
    <n v="10909"/>
    <x v="4"/>
    <n v="261.75"/>
    <n v="15"/>
    <d v="1998-02-26T00:00:00"/>
  </r>
  <r>
    <n v="10909"/>
    <x v="5"/>
    <n v="261.75"/>
    <n v="15"/>
    <d v="1998-02-26T00:00:00"/>
  </r>
  <r>
    <n v="10909"/>
    <x v="6"/>
    <n v="261.75"/>
    <n v="15"/>
    <d v="1998-02-26T00:00:00"/>
  </r>
  <r>
    <n v="10909"/>
    <x v="7"/>
    <n v="261.75"/>
    <n v="15"/>
    <d v="1998-02-26T00:00:00"/>
  </r>
  <r>
    <n v="10909"/>
    <x v="0"/>
    <n v="48.25"/>
    <n v="5"/>
    <d v="1998-02-26T00:00:00"/>
  </r>
  <r>
    <n v="10909"/>
    <x v="1"/>
    <n v="48.25"/>
    <n v="5"/>
    <d v="1998-02-26T00:00:00"/>
  </r>
  <r>
    <n v="10909"/>
    <x v="2"/>
    <n v="48.25"/>
    <n v="5"/>
    <d v="1998-02-26T00:00:00"/>
  </r>
  <r>
    <n v="10909"/>
    <x v="3"/>
    <n v="48.25"/>
    <n v="5"/>
    <d v="1998-02-26T00:00:00"/>
  </r>
  <r>
    <n v="10909"/>
    <x v="4"/>
    <n v="48.25"/>
    <n v="5"/>
    <d v="1998-02-26T00:00:00"/>
  </r>
  <r>
    <n v="10909"/>
    <x v="5"/>
    <n v="48.25"/>
    <n v="5"/>
    <d v="1998-02-26T00:00:00"/>
  </r>
  <r>
    <n v="10909"/>
    <x v="6"/>
    <n v="48.25"/>
    <n v="5"/>
    <d v="1998-02-26T00:00:00"/>
  </r>
  <r>
    <n v="10909"/>
    <x v="7"/>
    <n v="48.25"/>
    <n v="5"/>
    <d v="1998-02-26T00:00:00"/>
  </r>
  <r>
    <n v="10910"/>
    <x v="0"/>
    <n v="110.4"/>
    <n v="12"/>
    <d v="1998-02-26T00:00:00"/>
  </r>
  <r>
    <n v="10910"/>
    <x v="1"/>
    <n v="110.4"/>
    <n v="12"/>
    <d v="1998-02-26T00:00:00"/>
  </r>
  <r>
    <n v="10910"/>
    <x v="2"/>
    <n v="110.4"/>
    <n v="12"/>
    <d v="1998-02-26T00:00:00"/>
  </r>
  <r>
    <n v="10910"/>
    <x v="3"/>
    <n v="110.4"/>
    <n v="12"/>
    <d v="1998-02-26T00:00:00"/>
  </r>
  <r>
    <n v="10910"/>
    <x v="4"/>
    <n v="110.4"/>
    <n v="12"/>
    <d v="1998-02-26T00:00:00"/>
  </r>
  <r>
    <n v="10910"/>
    <x v="5"/>
    <n v="110.4"/>
    <n v="12"/>
    <d v="1998-02-26T00:00:00"/>
  </r>
  <r>
    <n v="10910"/>
    <x v="6"/>
    <n v="110.4"/>
    <n v="12"/>
    <d v="1998-02-26T00:00:00"/>
  </r>
  <r>
    <n v="10910"/>
    <x v="7"/>
    <n v="110.4"/>
    <n v="12"/>
    <d v="1998-02-26T00:00:00"/>
  </r>
  <r>
    <n v="10910"/>
    <x v="0"/>
    <n v="200"/>
    <n v="10"/>
    <d v="1998-02-26T00:00:00"/>
  </r>
  <r>
    <n v="10910"/>
    <x v="1"/>
    <n v="200"/>
    <n v="10"/>
    <d v="1998-02-26T00:00:00"/>
  </r>
  <r>
    <n v="10910"/>
    <x v="2"/>
    <n v="200"/>
    <n v="10"/>
    <d v="1998-02-26T00:00:00"/>
  </r>
  <r>
    <n v="10910"/>
    <x v="3"/>
    <n v="200"/>
    <n v="10"/>
    <d v="1998-02-26T00:00:00"/>
  </r>
  <r>
    <n v="10910"/>
    <x v="4"/>
    <n v="200"/>
    <n v="10"/>
    <d v="1998-02-26T00:00:00"/>
  </r>
  <r>
    <n v="10910"/>
    <x v="5"/>
    <n v="200"/>
    <n v="10"/>
    <d v="1998-02-26T00:00:00"/>
  </r>
  <r>
    <n v="10910"/>
    <x v="6"/>
    <n v="200"/>
    <n v="10"/>
    <d v="1998-02-26T00:00:00"/>
  </r>
  <r>
    <n v="10910"/>
    <x v="7"/>
    <n v="200"/>
    <n v="10"/>
    <d v="1998-02-26T00:00:00"/>
  </r>
  <r>
    <n v="10910"/>
    <x v="0"/>
    <n v="142.5"/>
    <n v="5"/>
    <d v="1998-02-26T00:00:00"/>
  </r>
  <r>
    <n v="10910"/>
    <x v="1"/>
    <n v="142.5"/>
    <n v="5"/>
    <d v="1998-02-26T00:00:00"/>
  </r>
  <r>
    <n v="10910"/>
    <x v="2"/>
    <n v="142.5"/>
    <n v="5"/>
    <d v="1998-02-26T00:00:00"/>
  </r>
  <r>
    <n v="10910"/>
    <x v="3"/>
    <n v="142.5"/>
    <n v="5"/>
    <d v="1998-02-26T00:00:00"/>
  </r>
  <r>
    <n v="10910"/>
    <x v="4"/>
    <n v="142.5"/>
    <n v="5"/>
    <d v="1998-02-26T00:00:00"/>
  </r>
  <r>
    <n v="10910"/>
    <x v="5"/>
    <n v="142.5"/>
    <n v="5"/>
    <d v="1998-02-26T00:00:00"/>
  </r>
  <r>
    <n v="10910"/>
    <x v="6"/>
    <n v="142.5"/>
    <n v="5"/>
    <d v="1998-02-26T00:00:00"/>
  </r>
  <r>
    <n v="10910"/>
    <x v="7"/>
    <n v="142.5"/>
    <n v="5"/>
    <d v="1998-02-26T00:00:00"/>
  </r>
  <r>
    <n v="10911"/>
    <x v="0"/>
    <n v="180"/>
    <n v="10"/>
    <d v="1998-02-26T00:00:00"/>
  </r>
  <r>
    <n v="10911"/>
    <x v="1"/>
    <n v="180"/>
    <n v="10"/>
    <d v="1998-02-26T00:00:00"/>
  </r>
  <r>
    <n v="10911"/>
    <x v="2"/>
    <n v="180"/>
    <n v="10"/>
    <d v="1998-02-26T00:00:00"/>
  </r>
  <r>
    <n v="10911"/>
    <x v="3"/>
    <n v="180"/>
    <n v="10"/>
    <d v="1998-02-26T00:00:00"/>
  </r>
  <r>
    <n v="10911"/>
    <x v="4"/>
    <n v="180"/>
    <n v="10"/>
    <d v="1998-02-26T00:00:00"/>
  </r>
  <r>
    <n v="10911"/>
    <x v="5"/>
    <n v="180"/>
    <n v="10"/>
    <d v="1998-02-26T00:00:00"/>
  </r>
  <r>
    <n v="10911"/>
    <x v="6"/>
    <n v="180"/>
    <n v="10"/>
    <d v="1998-02-26T00:00:00"/>
  </r>
  <r>
    <n v="10911"/>
    <x v="7"/>
    <n v="180"/>
    <n v="10"/>
    <d v="1998-02-26T00:00:00"/>
  </r>
  <r>
    <n v="10911"/>
    <x v="0"/>
    <n v="468"/>
    <n v="12"/>
    <d v="1998-02-26T00:00:00"/>
  </r>
  <r>
    <n v="10911"/>
    <x v="1"/>
    <n v="468"/>
    <n v="12"/>
    <d v="1998-02-26T00:00:00"/>
  </r>
  <r>
    <n v="10911"/>
    <x v="2"/>
    <n v="468"/>
    <n v="12"/>
    <d v="1998-02-26T00:00:00"/>
  </r>
  <r>
    <n v="10911"/>
    <x v="3"/>
    <n v="468"/>
    <n v="12"/>
    <d v="1998-02-26T00:00:00"/>
  </r>
  <r>
    <n v="10911"/>
    <x v="4"/>
    <n v="468"/>
    <n v="12"/>
    <d v="1998-02-26T00:00:00"/>
  </r>
  <r>
    <n v="10911"/>
    <x v="5"/>
    <n v="468"/>
    <n v="12"/>
    <d v="1998-02-26T00:00:00"/>
  </r>
  <r>
    <n v="10911"/>
    <x v="6"/>
    <n v="468"/>
    <n v="12"/>
    <d v="1998-02-26T00:00:00"/>
  </r>
  <r>
    <n v="10911"/>
    <x v="7"/>
    <n v="468"/>
    <n v="12"/>
    <d v="1998-02-26T00:00:00"/>
  </r>
  <r>
    <n v="10911"/>
    <x v="0"/>
    <n v="210"/>
    <n v="15"/>
    <d v="1998-02-26T00:00:00"/>
  </r>
  <r>
    <n v="10911"/>
    <x v="1"/>
    <n v="210"/>
    <n v="15"/>
    <d v="1998-02-26T00:00:00"/>
  </r>
  <r>
    <n v="10911"/>
    <x v="2"/>
    <n v="210"/>
    <n v="15"/>
    <d v="1998-02-26T00:00:00"/>
  </r>
  <r>
    <n v="10911"/>
    <x v="3"/>
    <n v="210"/>
    <n v="15"/>
    <d v="1998-02-26T00:00:00"/>
  </r>
  <r>
    <n v="10911"/>
    <x v="4"/>
    <n v="210"/>
    <n v="15"/>
    <d v="1998-02-26T00:00:00"/>
  </r>
  <r>
    <n v="10911"/>
    <x v="5"/>
    <n v="210"/>
    <n v="15"/>
    <d v="1998-02-26T00:00:00"/>
  </r>
  <r>
    <n v="10911"/>
    <x v="6"/>
    <n v="210"/>
    <n v="15"/>
    <d v="1998-02-26T00:00:00"/>
  </r>
  <r>
    <n v="10911"/>
    <x v="7"/>
    <n v="210"/>
    <n v="15"/>
    <d v="1998-02-26T00:00:00"/>
  </r>
  <r>
    <n v="10912"/>
    <x v="0"/>
    <n v="630"/>
    <n v="40"/>
    <d v="1998-02-26T00:00:00"/>
  </r>
  <r>
    <n v="10912"/>
    <x v="1"/>
    <n v="630"/>
    <n v="40"/>
    <d v="1998-02-26T00:00:00"/>
  </r>
  <r>
    <n v="10912"/>
    <x v="2"/>
    <n v="630"/>
    <n v="40"/>
    <d v="1998-02-26T00:00:00"/>
  </r>
  <r>
    <n v="10912"/>
    <x v="3"/>
    <n v="630"/>
    <n v="40"/>
    <d v="1998-02-26T00:00:00"/>
  </r>
  <r>
    <n v="10912"/>
    <x v="4"/>
    <n v="630"/>
    <n v="40"/>
    <d v="1998-02-26T00:00:00"/>
  </r>
  <r>
    <n v="10912"/>
    <x v="5"/>
    <n v="630"/>
    <n v="40"/>
    <d v="1998-02-26T00:00:00"/>
  </r>
  <r>
    <n v="10912"/>
    <x v="6"/>
    <n v="630"/>
    <n v="40"/>
    <d v="1998-02-26T00:00:00"/>
  </r>
  <r>
    <n v="10912"/>
    <x v="7"/>
    <n v="630"/>
    <n v="40"/>
    <d v="1998-02-26T00:00:00"/>
  </r>
  <r>
    <n v="10912"/>
    <x v="0"/>
    <n v="5570.5499999999993"/>
    <n v="60"/>
    <d v="1998-02-26T00:00:00"/>
  </r>
  <r>
    <n v="10912"/>
    <x v="1"/>
    <n v="5570.5499999999993"/>
    <n v="60"/>
    <d v="1998-02-26T00:00:00"/>
  </r>
  <r>
    <n v="10912"/>
    <x v="2"/>
    <n v="5570.5499999999993"/>
    <n v="60"/>
    <d v="1998-02-26T00:00:00"/>
  </r>
  <r>
    <n v="10912"/>
    <x v="3"/>
    <n v="5570.5499999999993"/>
    <n v="60"/>
    <d v="1998-02-26T00:00:00"/>
  </r>
  <r>
    <n v="10912"/>
    <x v="4"/>
    <n v="5570.5499999999993"/>
    <n v="60"/>
    <d v="1998-02-26T00:00:00"/>
  </r>
  <r>
    <n v="10912"/>
    <x v="5"/>
    <n v="5570.5499999999993"/>
    <n v="60"/>
    <d v="1998-02-26T00:00:00"/>
  </r>
  <r>
    <n v="10912"/>
    <x v="6"/>
    <n v="5570.5499999999993"/>
    <n v="60"/>
    <d v="1998-02-26T00:00:00"/>
  </r>
  <r>
    <n v="10912"/>
    <x v="7"/>
    <n v="5570.5499999999993"/>
    <n v="60"/>
    <d v="1998-02-26T00:00:00"/>
  </r>
  <r>
    <n v="10913"/>
    <x v="0"/>
    <n v="495"/>
    <n v="30"/>
    <d v="1998-02-26T00:00:00"/>
  </r>
  <r>
    <n v="10913"/>
    <x v="1"/>
    <n v="495"/>
    <n v="30"/>
    <d v="1998-02-26T00:00:00"/>
  </r>
  <r>
    <n v="10913"/>
    <x v="2"/>
    <n v="495"/>
    <n v="30"/>
    <d v="1998-02-26T00:00:00"/>
  </r>
  <r>
    <n v="10913"/>
    <x v="3"/>
    <n v="495"/>
    <n v="30"/>
    <d v="1998-02-26T00:00:00"/>
  </r>
  <r>
    <n v="10913"/>
    <x v="4"/>
    <n v="495"/>
    <n v="30"/>
    <d v="1998-02-26T00:00:00"/>
  </r>
  <r>
    <n v="10913"/>
    <x v="5"/>
    <n v="495"/>
    <n v="30"/>
    <d v="1998-02-26T00:00:00"/>
  </r>
  <r>
    <n v="10913"/>
    <x v="6"/>
    <n v="495"/>
    <n v="30"/>
    <d v="1998-02-26T00:00:00"/>
  </r>
  <r>
    <n v="10913"/>
    <x v="7"/>
    <n v="495"/>
    <n v="30"/>
    <d v="1998-02-26T00:00:00"/>
  </r>
  <r>
    <n v="10913"/>
    <x v="0"/>
    <n v="75"/>
    <n v="40"/>
    <d v="1998-02-26T00:00:00"/>
  </r>
  <r>
    <n v="10913"/>
    <x v="1"/>
    <n v="75"/>
    <n v="40"/>
    <d v="1998-02-26T00:00:00"/>
  </r>
  <r>
    <n v="10913"/>
    <x v="2"/>
    <n v="75"/>
    <n v="40"/>
    <d v="1998-02-26T00:00:00"/>
  </r>
  <r>
    <n v="10913"/>
    <x v="3"/>
    <n v="75"/>
    <n v="40"/>
    <d v="1998-02-26T00:00:00"/>
  </r>
  <r>
    <n v="10913"/>
    <x v="4"/>
    <n v="75"/>
    <n v="40"/>
    <d v="1998-02-26T00:00:00"/>
  </r>
  <r>
    <n v="10913"/>
    <x v="5"/>
    <n v="75"/>
    <n v="40"/>
    <d v="1998-02-26T00:00:00"/>
  </r>
  <r>
    <n v="10913"/>
    <x v="6"/>
    <n v="75"/>
    <n v="40"/>
    <d v="1998-02-26T00:00:00"/>
  </r>
  <r>
    <n v="10913"/>
    <x v="7"/>
    <n v="75"/>
    <n v="40"/>
    <d v="1998-02-26T00:00:00"/>
  </r>
  <r>
    <n v="10913"/>
    <x v="0"/>
    <n v="198.75"/>
    <n v="15"/>
    <d v="1998-02-26T00:00:00"/>
  </r>
  <r>
    <n v="10913"/>
    <x v="1"/>
    <n v="198.75"/>
    <n v="15"/>
    <d v="1998-02-26T00:00:00"/>
  </r>
  <r>
    <n v="10913"/>
    <x v="2"/>
    <n v="198.75"/>
    <n v="15"/>
    <d v="1998-02-26T00:00:00"/>
  </r>
  <r>
    <n v="10913"/>
    <x v="3"/>
    <n v="198.75"/>
    <n v="15"/>
    <d v="1998-02-26T00:00:00"/>
  </r>
  <r>
    <n v="10913"/>
    <x v="4"/>
    <n v="198.75"/>
    <n v="15"/>
    <d v="1998-02-26T00:00:00"/>
  </r>
  <r>
    <n v="10913"/>
    <x v="5"/>
    <n v="198.75"/>
    <n v="15"/>
    <d v="1998-02-26T00:00:00"/>
  </r>
  <r>
    <n v="10913"/>
    <x v="6"/>
    <n v="198.75"/>
    <n v="15"/>
    <d v="1998-02-26T00:00:00"/>
  </r>
  <r>
    <n v="10913"/>
    <x v="7"/>
    <n v="198.75"/>
    <n v="15"/>
    <d v="1998-02-26T00:00:00"/>
  </r>
  <r>
    <n v="10914"/>
    <x v="0"/>
    <n v="537.5"/>
    <n v="25"/>
    <d v="1998-02-27T00:00:00"/>
  </r>
  <r>
    <n v="10914"/>
    <x v="1"/>
    <n v="537.5"/>
    <n v="25"/>
    <d v="1998-02-27T00:00:00"/>
  </r>
  <r>
    <n v="10914"/>
    <x v="2"/>
    <n v="537.5"/>
    <n v="25"/>
    <d v="1998-02-27T00:00:00"/>
  </r>
  <r>
    <n v="10914"/>
    <x v="3"/>
    <n v="537.5"/>
    <n v="25"/>
    <d v="1998-02-27T00:00:00"/>
  </r>
  <r>
    <n v="10914"/>
    <x v="4"/>
    <n v="537.5"/>
    <n v="25"/>
    <d v="1998-02-27T00:00:00"/>
  </r>
  <r>
    <n v="10914"/>
    <x v="5"/>
    <n v="537.5"/>
    <n v="25"/>
    <d v="1998-02-27T00:00:00"/>
  </r>
  <r>
    <n v="10914"/>
    <x v="6"/>
    <n v="537.5"/>
    <n v="25"/>
    <d v="1998-02-27T00:00:00"/>
  </r>
  <r>
    <n v="10914"/>
    <x v="7"/>
    <n v="537.5"/>
    <n v="25"/>
    <d v="1998-02-27T00:00:00"/>
  </r>
  <r>
    <n v="10915"/>
    <x v="0"/>
    <n v="390"/>
    <n v="10"/>
    <d v="1998-02-27T00:00:00"/>
  </r>
  <r>
    <n v="10915"/>
    <x v="1"/>
    <n v="390"/>
    <n v="10"/>
    <d v="1998-02-27T00:00:00"/>
  </r>
  <r>
    <n v="10915"/>
    <x v="2"/>
    <n v="390"/>
    <n v="10"/>
    <d v="1998-02-27T00:00:00"/>
  </r>
  <r>
    <n v="10915"/>
    <x v="3"/>
    <n v="390"/>
    <n v="10"/>
    <d v="1998-02-27T00:00:00"/>
  </r>
  <r>
    <n v="10915"/>
    <x v="4"/>
    <n v="390"/>
    <n v="10"/>
    <d v="1998-02-27T00:00:00"/>
  </r>
  <r>
    <n v="10915"/>
    <x v="5"/>
    <n v="390"/>
    <n v="10"/>
    <d v="1998-02-27T00:00:00"/>
  </r>
  <r>
    <n v="10915"/>
    <x v="6"/>
    <n v="390"/>
    <n v="10"/>
    <d v="1998-02-27T00:00:00"/>
  </r>
  <r>
    <n v="10915"/>
    <x v="7"/>
    <n v="390"/>
    <n v="10"/>
    <d v="1998-02-27T00:00:00"/>
  </r>
  <r>
    <n v="10915"/>
    <x v="0"/>
    <n v="75"/>
    <n v="30"/>
    <d v="1998-02-27T00:00:00"/>
  </r>
  <r>
    <n v="10915"/>
    <x v="1"/>
    <n v="75"/>
    <n v="30"/>
    <d v="1998-02-27T00:00:00"/>
  </r>
  <r>
    <n v="10915"/>
    <x v="2"/>
    <n v="75"/>
    <n v="30"/>
    <d v="1998-02-27T00:00:00"/>
  </r>
  <r>
    <n v="10915"/>
    <x v="3"/>
    <n v="75"/>
    <n v="30"/>
    <d v="1998-02-27T00:00:00"/>
  </r>
  <r>
    <n v="10915"/>
    <x v="4"/>
    <n v="75"/>
    <n v="30"/>
    <d v="1998-02-27T00:00:00"/>
  </r>
  <r>
    <n v="10915"/>
    <x v="5"/>
    <n v="75"/>
    <n v="30"/>
    <d v="1998-02-27T00:00:00"/>
  </r>
  <r>
    <n v="10915"/>
    <x v="6"/>
    <n v="75"/>
    <n v="30"/>
    <d v="1998-02-27T00:00:00"/>
  </r>
  <r>
    <n v="10915"/>
    <x v="7"/>
    <n v="75"/>
    <n v="30"/>
    <d v="1998-02-27T00:00:00"/>
  </r>
  <r>
    <n v="10915"/>
    <x v="0"/>
    <n v="74.5"/>
    <n v="10"/>
    <d v="1998-02-27T00:00:00"/>
  </r>
  <r>
    <n v="10915"/>
    <x v="1"/>
    <n v="74.5"/>
    <n v="10"/>
    <d v="1998-02-27T00:00:00"/>
  </r>
  <r>
    <n v="10915"/>
    <x v="2"/>
    <n v="74.5"/>
    <n v="10"/>
    <d v="1998-02-27T00:00:00"/>
  </r>
  <r>
    <n v="10915"/>
    <x v="3"/>
    <n v="74.5"/>
    <n v="10"/>
    <d v="1998-02-27T00:00:00"/>
  </r>
  <r>
    <n v="10915"/>
    <x v="4"/>
    <n v="74.5"/>
    <n v="10"/>
    <d v="1998-02-27T00:00:00"/>
  </r>
  <r>
    <n v="10915"/>
    <x v="5"/>
    <n v="74.5"/>
    <n v="10"/>
    <d v="1998-02-27T00:00:00"/>
  </r>
  <r>
    <n v="10915"/>
    <x v="6"/>
    <n v="74.5"/>
    <n v="10"/>
    <d v="1998-02-27T00:00:00"/>
  </r>
  <r>
    <n v="10915"/>
    <x v="7"/>
    <n v="74.5"/>
    <n v="10"/>
    <d v="1998-02-27T00:00:00"/>
  </r>
  <r>
    <n v="10916"/>
    <x v="0"/>
    <n v="104.7"/>
    <n v="6"/>
    <d v="1998-02-27T00:00:00"/>
  </r>
  <r>
    <n v="10916"/>
    <x v="1"/>
    <n v="104.7"/>
    <n v="6"/>
    <d v="1998-02-27T00:00:00"/>
  </r>
  <r>
    <n v="10916"/>
    <x v="2"/>
    <n v="104.7"/>
    <n v="6"/>
    <d v="1998-02-27T00:00:00"/>
  </r>
  <r>
    <n v="10916"/>
    <x v="3"/>
    <n v="104.7"/>
    <n v="6"/>
    <d v="1998-02-27T00:00:00"/>
  </r>
  <r>
    <n v="10916"/>
    <x v="4"/>
    <n v="104.7"/>
    <n v="6"/>
    <d v="1998-02-27T00:00:00"/>
  </r>
  <r>
    <n v="10916"/>
    <x v="5"/>
    <n v="104.7"/>
    <n v="6"/>
    <d v="1998-02-27T00:00:00"/>
  </r>
  <r>
    <n v="10916"/>
    <x v="6"/>
    <n v="104.7"/>
    <n v="6"/>
    <d v="1998-02-27T00:00:00"/>
  </r>
  <r>
    <n v="10916"/>
    <x v="7"/>
    <n v="104.7"/>
    <n v="6"/>
    <d v="1998-02-27T00:00:00"/>
  </r>
  <r>
    <n v="10916"/>
    <x v="0"/>
    <n v="192"/>
    <n v="6"/>
    <d v="1998-02-27T00:00:00"/>
  </r>
  <r>
    <n v="10916"/>
    <x v="1"/>
    <n v="192"/>
    <n v="6"/>
    <d v="1998-02-27T00:00:00"/>
  </r>
  <r>
    <n v="10916"/>
    <x v="2"/>
    <n v="192"/>
    <n v="6"/>
    <d v="1998-02-27T00:00:00"/>
  </r>
  <r>
    <n v="10916"/>
    <x v="3"/>
    <n v="192"/>
    <n v="6"/>
    <d v="1998-02-27T00:00:00"/>
  </r>
  <r>
    <n v="10916"/>
    <x v="4"/>
    <n v="192"/>
    <n v="6"/>
    <d v="1998-02-27T00:00:00"/>
  </r>
  <r>
    <n v="10916"/>
    <x v="5"/>
    <n v="192"/>
    <n v="6"/>
    <d v="1998-02-27T00:00:00"/>
  </r>
  <r>
    <n v="10916"/>
    <x v="6"/>
    <n v="192"/>
    <n v="6"/>
    <d v="1998-02-27T00:00:00"/>
  </r>
  <r>
    <n v="10916"/>
    <x v="7"/>
    <n v="192"/>
    <n v="6"/>
    <d v="1998-02-27T00:00:00"/>
  </r>
  <r>
    <n v="10916"/>
    <x v="0"/>
    <n v="390"/>
    <n v="20"/>
    <d v="1998-02-27T00:00:00"/>
  </r>
  <r>
    <n v="10916"/>
    <x v="1"/>
    <n v="390"/>
    <n v="20"/>
    <d v="1998-02-27T00:00:00"/>
  </r>
  <r>
    <n v="10916"/>
    <x v="2"/>
    <n v="390"/>
    <n v="20"/>
    <d v="1998-02-27T00:00:00"/>
  </r>
  <r>
    <n v="10916"/>
    <x v="3"/>
    <n v="390"/>
    <n v="20"/>
    <d v="1998-02-27T00:00:00"/>
  </r>
  <r>
    <n v="10916"/>
    <x v="4"/>
    <n v="390"/>
    <n v="20"/>
    <d v="1998-02-27T00:00:00"/>
  </r>
  <r>
    <n v="10916"/>
    <x v="5"/>
    <n v="390"/>
    <n v="20"/>
    <d v="1998-02-27T00:00:00"/>
  </r>
  <r>
    <n v="10916"/>
    <x v="6"/>
    <n v="390"/>
    <n v="20"/>
    <d v="1998-02-27T00:00:00"/>
  </r>
  <r>
    <n v="10916"/>
    <x v="7"/>
    <n v="390"/>
    <n v="20"/>
    <d v="1998-02-27T00:00:00"/>
  </r>
  <r>
    <n v="10917"/>
    <x v="0"/>
    <n v="25.89"/>
    <n v="1"/>
    <d v="1998-03-02T00:00:00"/>
  </r>
  <r>
    <n v="10917"/>
    <x v="1"/>
    <n v="25.89"/>
    <n v="1"/>
    <d v="1998-03-02T00:00:00"/>
  </r>
  <r>
    <n v="10917"/>
    <x v="2"/>
    <n v="25.89"/>
    <n v="1"/>
    <d v="1998-03-02T00:00:00"/>
  </r>
  <r>
    <n v="10917"/>
    <x v="3"/>
    <n v="25.89"/>
    <n v="1"/>
    <d v="1998-03-02T00:00:00"/>
  </r>
  <r>
    <n v="10917"/>
    <x v="4"/>
    <n v="25.89"/>
    <n v="1"/>
    <d v="1998-03-02T00:00:00"/>
  </r>
  <r>
    <n v="10917"/>
    <x v="5"/>
    <n v="25.89"/>
    <n v="1"/>
    <d v="1998-03-02T00:00:00"/>
  </r>
  <r>
    <n v="10917"/>
    <x v="6"/>
    <n v="25.89"/>
    <n v="1"/>
    <d v="1998-03-02T00:00:00"/>
  </r>
  <r>
    <n v="10917"/>
    <x v="7"/>
    <n v="25.89"/>
    <n v="1"/>
    <d v="1998-03-02T00:00:00"/>
  </r>
  <r>
    <n v="10917"/>
    <x v="0"/>
    <n v="340"/>
    <n v="10"/>
    <d v="1998-03-02T00:00:00"/>
  </r>
  <r>
    <n v="10917"/>
    <x v="1"/>
    <n v="340"/>
    <n v="10"/>
    <d v="1998-03-02T00:00:00"/>
  </r>
  <r>
    <n v="10917"/>
    <x v="2"/>
    <n v="340"/>
    <n v="10"/>
    <d v="1998-03-02T00:00:00"/>
  </r>
  <r>
    <n v="10917"/>
    <x v="3"/>
    <n v="340"/>
    <n v="10"/>
    <d v="1998-03-02T00:00:00"/>
  </r>
  <r>
    <n v="10917"/>
    <x v="4"/>
    <n v="340"/>
    <n v="10"/>
    <d v="1998-03-02T00:00:00"/>
  </r>
  <r>
    <n v="10917"/>
    <x v="5"/>
    <n v="340"/>
    <n v="10"/>
    <d v="1998-03-02T00:00:00"/>
  </r>
  <r>
    <n v="10917"/>
    <x v="6"/>
    <n v="340"/>
    <n v="10"/>
    <d v="1998-03-02T00:00:00"/>
  </r>
  <r>
    <n v="10917"/>
    <x v="7"/>
    <n v="340"/>
    <n v="10"/>
    <d v="1998-03-02T00:00:00"/>
  </r>
  <r>
    <n v="10918"/>
    <x v="0"/>
    <n v="810"/>
    <n v="60"/>
    <d v="1998-03-02T00:00:00"/>
  </r>
  <r>
    <n v="10918"/>
    <x v="1"/>
    <n v="810"/>
    <n v="60"/>
    <d v="1998-03-02T00:00:00"/>
  </r>
  <r>
    <n v="10918"/>
    <x v="2"/>
    <n v="810"/>
    <n v="60"/>
    <d v="1998-03-02T00:00:00"/>
  </r>
  <r>
    <n v="10918"/>
    <x v="3"/>
    <n v="810"/>
    <n v="60"/>
    <d v="1998-03-02T00:00:00"/>
  </r>
  <r>
    <n v="10918"/>
    <x v="4"/>
    <n v="810"/>
    <n v="60"/>
    <d v="1998-03-02T00:00:00"/>
  </r>
  <r>
    <n v="10918"/>
    <x v="5"/>
    <n v="810"/>
    <n v="60"/>
    <d v="1998-03-02T00:00:00"/>
  </r>
  <r>
    <n v="10918"/>
    <x v="6"/>
    <n v="810"/>
    <n v="60"/>
    <d v="1998-03-02T00:00:00"/>
  </r>
  <r>
    <n v="10918"/>
    <x v="7"/>
    <n v="810"/>
    <n v="60"/>
    <d v="1998-03-02T00:00:00"/>
  </r>
  <r>
    <n v="10918"/>
    <x v="0"/>
    <n v="637.5"/>
    <n v="25"/>
    <d v="1998-03-02T00:00:00"/>
  </r>
  <r>
    <n v="10918"/>
    <x v="1"/>
    <n v="637.5"/>
    <n v="25"/>
    <d v="1998-03-02T00:00:00"/>
  </r>
  <r>
    <n v="10918"/>
    <x v="2"/>
    <n v="637.5"/>
    <n v="25"/>
    <d v="1998-03-02T00:00:00"/>
  </r>
  <r>
    <n v="10918"/>
    <x v="3"/>
    <n v="637.5"/>
    <n v="25"/>
    <d v="1998-03-02T00:00:00"/>
  </r>
  <r>
    <n v="10918"/>
    <x v="4"/>
    <n v="637.5"/>
    <n v="25"/>
    <d v="1998-03-02T00:00:00"/>
  </r>
  <r>
    <n v="10918"/>
    <x v="5"/>
    <n v="637.5"/>
    <n v="25"/>
    <d v="1998-03-02T00:00:00"/>
  </r>
  <r>
    <n v="10918"/>
    <x v="6"/>
    <n v="637.5"/>
    <n v="25"/>
    <d v="1998-03-02T00:00:00"/>
  </r>
  <r>
    <n v="10918"/>
    <x v="7"/>
    <n v="637.5"/>
    <n v="25"/>
    <d v="1998-03-02T00:00:00"/>
  </r>
  <r>
    <n v="10919"/>
    <x v="0"/>
    <n v="418.8"/>
    <n v="24"/>
    <d v="1998-03-02T00:00:00"/>
  </r>
  <r>
    <n v="10919"/>
    <x v="1"/>
    <n v="418.8"/>
    <n v="24"/>
    <d v="1998-03-02T00:00:00"/>
  </r>
  <r>
    <n v="10919"/>
    <x v="2"/>
    <n v="418.8"/>
    <n v="24"/>
    <d v="1998-03-02T00:00:00"/>
  </r>
  <r>
    <n v="10919"/>
    <x v="3"/>
    <n v="418.8"/>
    <n v="24"/>
    <d v="1998-03-02T00:00:00"/>
  </r>
  <r>
    <n v="10919"/>
    <x v="4"/>
    <n v="418.8"/>
    <n v="24"/>
    <d v="1998-03-02T00:00:00"/>
  </r>
  <r>
    <n v="10919"/>
    <x v="5"/>
    <n v="418.8"/>
    <n v="24"/>
    <d v="1998-03-02T00:00:00"/>
  </r>
  <r>
    <n v="10919"/>
    <x v="6"/>
    <n v="418.8"/>
    <n v="24"/>
    <d v="1998-03-02T00:00:00"/>
  </r>
  <r>
    <n v="10919"/>
    <x v="7"/>
    <n v="418.8"/>
    <n v="24"/>
    <d v="1998-03-02T00:00:00"/>
  </r>
  <r>
    <n v="10919"/>
    <x v="0"/>
    <n v="336"/>
    <n v="24"/>
    <d v="1998-03-02T00:00:00"/>
  </r>
  <r>
    <n v="10919"/>
    <x v="1"/>
    <n v="336"/>
    <n v="24"/>
    <d v="1998-03-02T00:00:00"/>
  </r>
  <r>
    <n v="10919"/>
    <x v="2"/>
    <n v="336"/>
    <n v="24"/>
    <d v="1998-03-02T00:00:00"/>
  </r>
  <r>
    <n v="10919"/>
    <x v="3"/>
    <n v="336"/>
    <n v="24"/>
    <d v="1998-03-02T00:00:00"/>
  </r>
  <r>
    <n v="10919"/>
    <x v="4"/>
    <n v="336"/>
    <n v="24"/>
    <d v="1998-03-02T00:00:00"/>
  </r>
  <r>
    <n v="10919"/>
    <x v="5"/>
    <n v="336"/>
    <n v="24"/>
    <d v="1998-03-02T00:00:00"/>
  </r>
  <r>
    <n v="10919"/>
    <x v="6"/>
    <n v="336"/>
    <n v="24"/>
    <d v="1998-03-02T00:00:00"/>
  </r>
  <r>
    <n v="10919"/>
    <x v="7"/>
    <n v="336"/>
    <n v="24"/>
    <d v="1998-03-02T00:00:00"/>
  </r>
  <r>
    <n v="10919"/>
    <x v="0"/>
    <n v="368"/>
    <n v="20"/>
    <d v="1998-03-02T00:00:00"/>
  </r>
  <r>
    <n v="10919"/>
    <x v="1"/>
    <n v="368"/>
    <n v="20"/>
    <d v="1998-03-02T00:00:00"/>
  </r>
  <r>
    <n v="10919"/>
    <x v="2"/>
    <n v="368"/>
    <n v="20"/>
    <d v="1998-03-02T00:00:00"/>
  </r>
  <r>
    <n v="10919"/>
    <x v="3"/>
    <n v="368"/>
    <n v="20"/>
    <d v="1998-03-02T00:00:00"/>
  </r>
  <r>
    <n v="10919"/>
    <x v="4"/>
    <n v="368"/>
    <n v="20"/>
    <d v="1998-03-02T00:00:00"/>
  </r>
  <r>
    <n v="10919"/>
    <x v="5"/>
    <n v="368"/>
    <n v="20"/>
    <d v="1998-03-02T00:00:00"/>
  </r>
  <r>
    <n v="10919"/>
    <x v="6"/>
    <n v="368"/>
    <n v="20"/>
    <d v="1998-03-02T00:00:00"/>
  </r>
  <r>
    <n v="10919"/>
    <x v="7"/>
    <n v="368"/>
    <n v="20"/>
    <d v="1998-03-02T00:00:00"/>
  </r>
  <r>
    <n v="10920"/>
    <x v="0"/>
    <n v="390"/>
    <n v="24"/>
    <d v="1998-03-03T00:00:00"/>
  </r>
  <r>
    <n v="10920"/>
    <x v="1"/>
    <n v="390"/>
    <n v="24"/>
    <d v="1998-03-03T00:00:00"/>
  </r>
  <r>
    <n v="10920"/>
    <x v="2"/>
    <n v="390"/>
    <n v="24"/>
    <d v="1998-03-03T00:00:00"/>
  </r>
  <r>
    <n v="10920"/>
    <x v="3"/>
    <n v="390"/>
    <n v="24"/>
    <d v="1998-03-03T00:00:00"/>
  </r>
  <r>
    <n v="10920"/>
    <x v="4"/>
    <n v="390"/>
    <n v="24"/>
    <d v="1998-03-03T00:00:00"/>
  </r>
  <r>
    <n v="10920"/>
    <x v="5"/>
    <n v="390"/>
    <n v="24"/>
    <d v="1998-03-03T00:00:00"/>
  </r>
  <r>
    <n v="10920"/>
    <x v="6"/>
    <n v="390"/>
    <n v="24"/>
    <d v="1998-03-03T00:00:00"/>
  </r>
  <r>
    <n v="10920"/>
    <x v="7"/>
    <n v="390"/>
    <n v="24"/>
    <d v="1998-03-03T00:00:00"/>
  </r>
  <r>
    <n v="10921"/>
    <x v="0"/>
    <n v="180"/>
    <n v="10"/>
    <d v="1998-03-03T00:00:00"/>
  </r>
  <r>
    <n v="10921"/>
    <x v="1"/>
    <n v="180"/>
    <n v="10"/>
    <d v="1998-03-03T00:00:00"/>
  </r>
  <r>
    <n v="10921"/>
    <x v="2"/>
    <n v="180"/>
    <n v="10"/>
    <d v="1998-03-03T00:00:00"/>
  </r>
  <r>
    <n v="10921"/>
    <x v="3"/>
    <n v="180"/>
    <n v="10"/>
    <d v="1998-03-03T00:00:00"/>
  </r>
  <r>
    <n v="10921"/>
    <x v="4"/>
    <n v="180"/>
    <n v="10"/>
    <d v="1998-03-03T00:00:00"/>
  </r>
  <r>
    <n v="10921"/>
    <x v="5"/>
    <n v="180"/>
    <n v="10"/>
    <d v="1998-03-03T00:00:00"/>
  </r>
  <r>
    <n v="10921"/>
    <x v="6"/>
    <n v="180"/>
    <n v="10"/>
    <d v="1998-03-03T00:00:00"/>
  </r>
  <r>
    <n v="10921"/>
    <x v="7"/>
    <n v="180"/>
    <n v="10"/>
    <d v="1998-03-03T00:00:00"/>
  </r>
  <r>
    <n v="10921"/>
    <x v="0"/>
    <n v="1756"/>
    <n v="40"/>
    <d v="1998-03-03T00:00:00"/>
  </r>
  <r>
    <n v="10921"/>
    <x v="1"/>
    <n v="1756"/>
    <n v="40"/>
    <d v="1998-03-03T00:00:00"/>
  </r>
  <r>
    <n v="10921"/>
    <x v="2"/>
    <n v="1756"/>
    <n v="40"/>
    <d v="1998-03-03T00:00:00"/>
  </r>
  <r>
    <n v="10921"/>
    <x v="3"/>
    <n v="1756"/>
    <n v="40"/>
    <d v="1998-03-03T00:00:00"/>
  </r>
  <r>
    <n v="10921"/>
    <x v="4"/>
    <n v="1756"/>
    <n v="40"/>
    <d v="1998-03-03T00:00:00"/>
  </r>
  <r>
    <n v="10921"/>
    <x v="5"/>
    <n v="1756"/>
    <n v="40"/>
    <d v="1998-03-03T00:00:00"/>
  </r>
  <r>
    <n v="10921"/>
    <x v="6"/>
    <n v="1756"/>
    <n v="40"/>
    <d v="1998-03-03T00:00:00"/>
  </r>
  <r>
    <n v="10921"/>
    <x v="7"/>
    <n v="1756"/>
    <n v="40"/>
    <d v="1998-03-03T00:00:00"/>
  </r>
  <r>
    <n v="10922"/>
    <x v="0"/>
    <n v="585"/>
    <n v="15"/>
    <d v="1998-03-03T00:00:00"/>
  </r>
  <r>
    <n v="10922"/>
    <x v="1"/>
    <n v="585"/>
    <n v="15"/>
    <d v="1998-03-03T00:00:00"/>
  </r>
  <r>
    <n v="10922"/>
    <x v="2"/>
    <n v="585"/>
    <n v="15"/>
    <d v="1998-03-03T00:00:00"/>
  </r>
  <r>
    <n v="10922"/>
    <x v="3"/>
    <n v="585"/>
    <n v="15"/>
    <d v="1998-03-03T00:00:00"/>
  </r>
  <r>
    <n v="10922"/>
    <x v="4"/>
    <n v="585"/>
    <n v="15"/>
    <d v="1998-03-03T00:00:00"/>
  </r>
  <r>
    <n v="10922"/>
    <x v="5"/>
    <n v="585"/>
    <n v="15"/>
    <d v="1998-03-03T00:00:00"/>
  </r>
  <r>
    <n v="10922"/>
    <x v="6"/>
    <n v="585"/>
    <n v="15"/>
    <d v="1998-03-03T00:00:00"/>
  </r>
  <r>
    <n v="10922"/>
    <x v="7"/>
    <n v="585"/>
    <n v="15"/>
    <d v="1998-03-03T00:00:00"/>
  </r>
  <r>
    <n v="10922"/>
    <x v="0"/>
    <n v="157.5"/>
    <n v="35"/>
    <d v="1998-03-03T00:00:00"/>
  </r>
  <r>
    <n v="10922"/>
    <x v="1"/>
    <n v="157.5"/>
    <n v="35"/>
    <d v="1998-03-03T00:00:00"/>
  </r>
  <r>
    <n v="10922"/>
    <x v="2"/>
    <n v="157.5"/>
    <n v="35"/>
    <d v="1998-03-03T00:00:00"/>
  </r>
  <r>
    <n v="10922"/>
    <x v="3"/>
    <n v="157.5"/>
    <n v="35"/>
    <d v="1998-03-03T00:00:00"/>
  </r>
  <r>
    <n v="10922"/>
    <x v="4"/>
    <n v="157.5"/>
    <n v="35"/>
    <d v="1998-03-03T00:00:00"/>
  </r>
  <r>
    <n v="10922"/>
    <x v="5"/>
    <n v="157.5"/>
    <n v="35"/>
    <d v="1998-03-03T00:00:00"/>
  </r>
  <r>
    <n v="10922"/>
    <x v="6"/>
    <n v="157.5"/>
    <n v="35"/>
    <d v="1998-03-03T00:00:00"/>
  </r>
  <r>
    <n v="10922"/>
    <x v="7"/>
    <n v="157.5"/>
    <n v="35"/>
    <d v="1998-03-03T00:00:00"/>
  </r>
  <r>
    <n v="10923"/>
    <x v="0"/>
    <n v="111.99999958276749"/>
    <n v="10"/>
    <d v="1998-03-03T00:00:00"/>
  </r>
  <r>
    <n v="10923"/>
    <x v="1"/>
    <n v="111.99999958276749"/>
    <n v="10"/>
    <d v="1998-03-03T00:00:00"/>
  </r>
  <r>
    <n v="10923"/>
    <x v="2"/>
    <n v="111.99999958276749"/>
    <n v="10"/>
    <d v="1998-03-03T00:00:00"/>
  </r>
  <r>
    <n v="10923"/>
    <x v="3"/>
    <n v="111.99999958276749"/>
    <n v="10"/>
    <d v="1998-03-03T00:00:00"/>
  </r>
  <r>
    <n v="10923"/>
    <x v="4"/>
    <n v="111.99999958276749"/>
    <n v="10"/>
    <d v="1998-03-03T00:00:00"/>
  </r>
  <r>
    <n v="10923"/>
    <x v="5"/>
    <n v="111.99999958276749"/>
    <n v="10"/>
    <d v="1998-03-03T00:00:00"/>
  </r>
  <r>
    <n v="10923"/>
    <x v="6"/>
    <n v="111.99999958276749"/>
    <n v="10"/>
    <d v="1998-03-03T00:00:00"/>
  </r>
  <r>
    <n v="10923"/>
    <x v="7"/>
    <n v="111.99999958276749"/>
    <n v="10"/>
    <d v="1998-03-03T00:00:00"/>
  </r>
  <r>
    <n v="10923"/>
    <x v="0"/>
    <n v="367.99999862909317"/>
    <n v="10"/>
    <d v="1998-03-03T00:00:00"/>
  </r>
  <r>
    <n v="10923"/>
    <x v="1"/>
    <n v="367.99999862909317"/>
    <n v="10"/>
    <d v="1998-03-03T00:00:00"/>
  </r>
  <r>
    <n v="10923"/>
    <x v="2"/>
    <n v="367.99999862909317"/>
    <n v="10"/>
    <d v="1998-03-03T00:00:00"/>
  </r>
  <r>
    <n v="10923"/>
    <x v="3"/>
    <n v="367.99999862909317"/>
    <n v="10"/>
    <d v="1998-03-03T00:00:00"/>
  </r>
  <r>
    <n v="10923"/>
    <x v="4"/>
    <n v="367.99999862909317"/>
    <n v="10"/>
    <d v="1998-03-03T00:00:00"/>
  </r>
  <r>
    <n v="10923"/>
    <x v="5"/>
    <n v="367.99999862909317"/>
    <n v="10"/>
    <d v="1998-03-03T00:00:00"/>
  </r>
  <r>
    <n v="10923"/>
    <x v="6"/>
    <n v="367.99999862909317"/>
    <n v="10"/>
    <d v="1998-03-03T00:00:00"/>
  </r>
  <r>
    <n v="10923"/>
    <x v="7"/>
    <n v="367.99999862909317"/>
    <n v="10"/>
    <d v="1998-03-03T00:00:00"/>
  </r>
  <r>
    <n v="10923"/>
    <x v="0"/>
    <n v="268.79999899864197"/>
    <n v="24"/>
    <d v="1998-03-03T00:00:00"/>
  </r>
  <r>
    <n v="10923"/>
    <x v="1"/>
    <n v="268.79999899864197"/>
    <n v="24"/>
    <d v="1998-03-03T00:00:00"/>
  </r>
  <r>
    <n v="10923"/>
    <x v="2"/>
    <n v="268.79999899864197"/>
    <n v="24"/>
    <d v="1998-03-03T00:00:00"/>
  </r>
  <r>
    <n v="10923"/>
    <x v="3"/>
    <n v="268.79999899864197"/>
    <n v="24"/>
    <d v="1998-03-03T00:00:00"/>
  </r>
  <r>
    <n v="10923"/>
    <x v="4"/>
    <n v="268.79999899864197"/>
    <n v="24"/>
    <d v="1998-03-03T00:00:00"/>
  </r>
  <r>
    <n v="10923"/>
    <x v="5"/>
    <n v="268.79999899864197"/>
    <n v="24"/>
    <d v="1998-03-03T00:00:00"/>
  </r>
  <r>
    <n v="10923"/>
    <x v="6"/>
    <n v="268.79999899864197"/>
    <n v="24"/>
    <d v="1998-03-03T00:00:00"/>
  </r>
  <r>
    <n v="10923"/>
    <x v="7"/>
    <n v="268.79999899864197"/>
    <n v="24"/>
    <d v="1998-03-03T00:00:00"/>
  </r>
  <r>
    <n v="10924"/>
    <x v="0"/>
    <n v="557.99999907612801"/>
    <n v="20"/>
    <d v="1998-03-04T00:00:00"/>
  </r>
  <r>
    <n v="10924"/>
    <x v="1"/>
    <n v="557.99999907612801"/>
    <n v="20"/>
    <d v="1998-03-04T00:00:00"/>
  </r>
  <r>
    <n v="10924"/>
    <x v="2"/>
    <n v="557.99999907612801"/>
    <n v="20"/>
    <d v="1998-03-04T00:00:00"/>
  </r>
  <r>
    <n v="10924"/>
    <x v="3"/>
    <n v="557.99999907612801"/>
    <n v="20"/>
    <d v="1998-03-04T00:00:00"/>
  </r>
  <r>
    <n v="10924"/>
    <x v="4"/>
    <n v="557.99999907612801"/>
    <n v="20"/>
    <d v="1998-03-04T00:00:00"/>
  </r>
  <r>
    <n v="10924"/>
    <x v="5"/>
    <n v="557.99999907612801"/>
    <n v="20"/>
    <d v="1998-03-04T00:00:00"/>
  </r>
  <r>
    <n v="10924"/>
    <x v="6"/>
    <n v="557.99999907612801"/>
    <n v="20"/>
    <d v="1998-03-04T00:00:00"/>
  </r>
  <r>
    <n v="10924"/>
    <x v="7"/>
    <n v="557.99999907612801"/>
    <n v="20"/>
    <d v="1998-03-04T00:00:00"/>
  </r>
  <r>
    <n v="10924"/>
    <x v="0"/>
    <n v="1231.1999979615211"/>
    <n v="30"/>
    <d v="1998-03-04T00:00:00"/>
  </r>
  <r>
    <n v="10924"/>
    <x v="1"/>
    <n v="1231.1999979615211"/>
    <n v="30"/>
    <d v="1998-03-04T00:00:00"/>
  </r>
  <r>
    <n v="10924"/>
    <x v="2"/>
    <n v="1231.1999979615211"/>
    <n v="30"/>
    <d v="1998-03-04T00:00:00"/>
  </r>
  <r>
    <n v="10924"/>
    <x v="3"/>
    <n v="1231.1999979615211"/>
    <n v="30"/>
    <d v="1998-03-04T00:00:00"/>
  </r>
  <r>
    <n v="10924"/>
    <x v="4"/>
    <n v="1231.1999979615211"/>
    <n v="30"/>
    <d v="1998-03-04T00:00:00"/>
  </r>
  <r>
    <n v="10924"/>
    <x v="5"/>
    <n v="1231.1999979615211"/>
    <n v="30"/>
    <d v="1998-03-04T00:00:00"/>
  </r>
  <r>
    <n v="10924"/>
    <x v="6"/>
    <n v="1231.1999979615211"/>
    <n v="30"/>
    <d v="1998-03-04T00:00:00"/>
  </r>
  <r>
    <n v="10924"/>
    <x v="7"/>
    <n v="1231.1999979615211"/>
    <n v="30"/>
    <d v="1998-03-04T00:00:00"/>
  </r>
  <r>
    <n v="10924"/>
    <x v="0"/>
    <n v="46.5"/>
    <n v="6"/>
    <d v="1998-03-04T00:00:00"/>
  </r>
  <r>
    <n v="10924"/>
    <x v="1"/>
    <n v="46.5"/>
    <n v="6"/>
    <d v="1998-03-04T00:00:00"/>
  </r>
  <r>
    <n v="10924"/>
    <x v="2"/>
    <n v="46.5"/>
    <n v="6"/>
    <d v="1998-03-04T00:00:00"/>
  </r>
  <r>
    <n v="10924"/>
    <x v="3"/>
    <n v="46.5"/>
    <n v="6"/>
    <d v="1998-03-04T00:00:00"/>
  </r>
  <r>
    <n v="10924"/>
    <x v="4"/>
    <n v="46.5"/>
    <n v="6"/>
    <d v="1998-03-04T00:00:00"/>
  </r>
  <r>
    <n v="10924"/>
    <x v="5"/>
    <n v="46.5"/>
    <n v="6"/>
    <d v="1998-03-04T00:00:00"/>
  </r>
  <r>
    <n v="10924"/>
    <x v="6"/>
    <n v="46.5"/>
    <n v="6"/>
    <d v="1998-03-04T00:00:00"/>
  </r>
  <r>
    <n v="10924"/>
    <x v="7"/>
    <n v="46.5"/>
    <n v="6"/>
    <d v="1998-03-04T00:00:00"/>
  </r>
  <r>
    <n v="10925"/>
    <x v="0"/>
    <n v="403.74999716877937"/>
    <n v="25"/>
    <d v="1998-03-04T00:00:00"/>
  </r>
  <r>
    <n v="10925"/>
    <x v="1"/>
    <n v="403.74999716877937"/>
    <n v="25"/>
    <d v="1998-03-04T00:00:00"/>
  </r>
  <r>
    <n v="10925"/>
    <x v="2"/>
    <n v="403.74999716877937"/>
    <n v="25"/>
    <d v="1998-03-04T00:00:00"/>
  </r>
  <r>
    <n v="10925"/>
    <x v="3"/>
    <n v="403.74999716877937"/>
    <n v="25"/>
    <d v="1998-03-04T00:00:00"/>
  </r>
  <r>
    <n v="10925"/>
    <x v="4"/>
    <n v="403.74999716877937"/>
    <n v="25"/>
    <d v="1998-03-04T00:00:00"/>
  </r>
  <r>
    <n v="10925"/>
    <x v="5"/>
    <n v="403.74999716877937"/>
    <n v="25"/>
    <d v="1998-03-04T00:00:00"/>
  </r>
  <r>
    <n v="10925"/>
    <x v="6"/>
    <n v="403.74999716877937"/>
    <n v="25"/>
    <d v="1998-03-04T00:00:00"/>
  </r>
  <r>
    <n v="10925"/>
    <x v="7"/>
    <n v="403.74999716877937"/>
    <n v="25"/>
    <d v="1998-03-04T00:00:00"/>
  </r>
  <r>
    <n v="10925"/>
    <x v="0"/>
    <n v="71.399999499320984"/>
    <n v="12"/>
    <d v="1998-03-04T00:00:00"/>
  </r>
  <r>
    <n v="10925"/>
    <x v="1"/>
    <n v="71.399999499320984"/>
    <n v="12"/>
    <d v="1998-03-04T00:00:00"/>
  </r>
  <r>
    <n v="10925"/>
    <x v="2"/>
    <n v="71.399999499320984"/>
    <n v="12"/>
    <d v="1998-03-04T00:00:00"/>
  </r>
  <r>
    <n v="10925"/>
    <x v="3"/>
    <n v="71.399999499320984"/>
    <n v="12"/>
    <d v="1998-03-04T00:00:00"/>
  </r>
  <r>
    <n v="10925"/>
    <x v="4"/>
    <n v="71.399999499320984"/>
    <n v="12"/>
    <d v="1998-03-04T00:00:00"/>
  </r>
  <r>
    <n v="10925"/>
    <x v="5"/>
    <n v="71.399999499320984"/>
    <n v="12"/>
    <d v="1998-03-04T00:00:00"/>
  </r>
  <r>
    <n v="10925"/>
    <x v="6"/>
    <n v="71.399999499320984"/>
    <n v="12"/>
    <d v="1998-03-04T00:00:00"/>
  </r>
  <r>
    <n v="10925"/>
    <x v="7"/>
    <n v="71.399999499320984"/>
    <n v="12"/>
    <d v="1998-03-04T00:00:00"/>
  </r>
  <r>
    <n v="10926"/>
    <x v="0"/>
    <n v="42"/>
    <n v="2"/>
    <d v="1998-03-04T00:00:00"/>
  </r>
  <r>
    <n v="10926"/>
    <x v="1"/>
    <n v="42"/>
    <n v="2"/>
    <d v="1998-03-04T00:00:00"/>
  </r>
  <r>
    <n v="10926"/>
    <x v="2"/>
    <n v="42"/>
    <n v="2"/>
    <d v="1998-03-04T00:00:00"/>
  </r>
  <r>
    <n v="10926"/>
    <x v="3"/>
    <n v="42"/>
    <n v="2"/>
    <d v="1998-03-04T00:00:00"/>
  </r>
  <r>
    <n v="10926"/>
    <x v="4"/>
    <n v="42"/>
    <n v="2"/>
    <d v="1998-03-04T00:00:00"/>
  </r>
  <r>
    <n v="10926"/>
    <x v="5"/>
    <n v="42"/>
    <n v="2"/>
    <d v="1998-03-04T00:00:00"/>
  </r>
  <r>
    <n v="10926"/>
    <x v="6"/>
    <n v="42"/>
    <n v="2"/>
    <d v="1998-03-04T00:00:00"/>
  </r>
  <r>
    <n v="10926"/>
    <x v="7"/>
    <n v="42"/>
    <n v="2"/>
    <d v="1998-03-04T00:00:00"/>
  </r>
  <r>
    <n v="10926"/>
    <x v="0"/>
    <n v="60"/>
    <n v="10"/>
    <d v="1998-03-04T00:00:00"/>
  </r>
  <r>
    <n v="10926"/>
    <x v="1"/>
    <n v="60"/>
    <n v="10"/>
    <d v="1998-03-04T00:00:00"/>
  </r>
  <r>
    <n v="10926"/>
    <x v="2"/>
    <n v="60"/>
    <n v="10"/>
    <d v="1998-03-04T00:00:00"/>
  </r>
  <r>
    <n v="10926"/>
    <x v="3"/>
    <n v="60"/>
    <n v="10"/>
    <d v="1998-03-04T00:00:00"/>
  </r>
  <r>
    <n v="10926"/>
    <x v="4"/>
    <n v="60"/>
    <n v="10"/>
    <d v="1998-03-04T00:00:00"/>
  </r>
  <r>
    <n v="10926"/>
    <x v="5"/>
    <n v="60"/>
    <n v="10"/>
    <d v="1998-03-04T00:00:00"/>
  </r>
  <r>
    <n v="10926"/>
    <x v="6"/>
    <n v="60"/>
    <n v="10"/>
    <d v="1998-03-04T00:00:00"/>
  </r>
  <r>
    <n v="10926"/>
    <x v="7"/>
    <n v="60"/>
    <n v="10"/>
    <d v="1998-03-04T00:00:00"/>
  </r>
  <r>
    <n v="10926"/>
    <x v="0"/>
    <n v="64.400000000000006"/>
    <n v="7"/>
    <d v="1998-03-04T00:00:00"/>
  </r>
  <r>
    <n v="10926"/>
    <x v="1"/>
    <n v="64.400000000000006"/>
    <n v="7"/>
    <d v="1998-03-04T00:00:00"/>
  </r>
  <r>
    <n v="10926"/>
    <x v="2"/>
    <n v="64.400000000000006"/>
    <n v="7"/>
    <d v="1998-03-04T00:00:00"/>
  </r>
  <r>
    <n v="10926"/>
    <x v="3"/>
    <n v="64.400000000000006"/>
    <n v="7"/>
    <d v="1998-03-04T00:00:00"/>
  </r>
  <r>
    <n v="10926"/>
    <x v="4"/>
    <n v="64.400000000000006"/>
    <n v="7"/>
    <d v="1998-03-04T00:00:00"/>
  </r>
  <r>
    <n v="10926"/>
    <x v="5"/>
    <n v="64.400000000000006"/>
    <n v="7"/>
    <d v="1998-03-04T00:00:00"/>
  </r>
  <r>
    <n v="10926"/>
    <x v="6"/>
    <n v="64.400000000000006"/>
    <n v="7"/>
    <d v="1998-03-04T00:00:00"/>
  </r>
  <r>
    <n v="10926"/>
    <x v="7"/>
    <n v="64.400000000000006"/>
    <n v="7"/>
    <d v="1998-03-04T00:00:00"/>
  </r>
  <r>
    <n v="10926"/>
    <x v="0"/>
    <n v="348"/>
    <n v="10"/>
    <d v="1998-03-04T00:00:00"/>
  </r>
  <r>
    <n v="10926"/>
    <x v="1"/>
    <n v="348"/>
    <n v="10"/>
    <d v="1998-03-04T00:00:00"/>
  </r>
  <r>
    <n v="10926"/>
    <x v="2"/>
    <n v="348"/>
    <n v="10"/>
    <d v="1998-03-04T00:00:00"/>
  </r>
  <r>
    <n v="10926"/>
    <x v="3"/>
    <n v="348"/>
    <n v="10"/>
    <d v="1998-03-04T00:00:00"/>
  </r>
  <r>
    <n v="10926"/>
    <x v="4"/>
    <n v="348"/>
    <n v="10"/>
    <d v="1998-03-04T00:00:00"/>
  </r>
  <r>
    <n v="10926"/>
    <x v="5"/>
    <n v="348"/>
    <n v="10"/>
    <d v="1998-03-04T00:00:00"/>
  </r>
  <r>
    <n v="10926"/>
    <x v="6"/>
    <n v="348"/>
    <n v="10"/>
    <d v="1998-03-04T00:00:00"/>
  </r>
  <r>
    <n v="10926"/>
    <x v="7"/>
    <n v="348"/>
    <n v="10"/>
    <d v="1998-03-04T00:00:00"/>
  </r>
  <r>
    <n v="10927"/>
    <x v="0"/>
    <n v="405"/>
    <n v="5"/>
    <d v="1998-03-05T00:00:00"/>
  </r>
  <r>
    <n v="10927"/>
    <x v="1"/>
    <n v="405"/>
    <n v="5"/>
    <d v="1998-03-05T00:00:00"/>
  </r>
  <r>
    <n v="10927"/>
    <x v="2"/>
    <n v="405"/>
    <n v="5"/>
    <d v="1998-03-05T00:00:00"/>
  </r>
  <r>
    <n v="10927"/>
    <x v="3"/>
    <n v="405"/>
    <n v="5"/>
    <d v="1998-03-05T00:00:00"/>
  </r>
  <r>
    <n v="10927"/>
    <x v="4"/>
    <n v="405"/>
    <n v="5"/>
    <d v="1998-03-05T00:00:00"/>
  </r>
  <r>
    <n v="10927"/>
    <x v="5"/>
    <n v="405"/>
    <n v="5"/>
    <d v="1998-03-05T00:00:00"/>
  </r>
  <r>
    <n v="10927"/>
    <x v="6"/>
    <n v="405"/>
    <n v="5"/>
    <d v="1998-03-05T00:00:00"/>
  </r>
  <r>
    <n v="10927"/>
    <x v="7"/>
    <n v="405"/>
    <n v="5"/>
    <d v="1998-03-05T00:00:00"/>
  </r>
  <r>
    <n v="10927"/>
    <x v="0"/>
    <n v="35"/>
    <n v="5"/>
    <d v="1998-03-05T00:00:00"/>
  </r>
  <r>
    <n v="10927"/>
    <x v="1"/>
    <n v="35"/>
    <n v="5"/>
    <d v="1998-03-05T00:00:00"/>
  </r>
  <r>
    <n v="10927"/>
    <x v="2"/>
    <n v="35"/>
    <n v="5"/>
    <d v="1998-03-05T00:00:00"/>
  </r>
  <r>
    <n v="10927"/>
    <x v="3"/>
    <n v="35"/>
    <n v="5"/>
    <d v="1998-03-05T00:00:00"/>
  </r>
  <r>
    <n v="10927"/>
    <x v="4"/>
    <n v="35"/>
    <n v="5"/>
    <d v="1998-03-05T00:00:00"/>
  </r>
  <r>
    <n v="10927"/>
    <x v="5"/>
    <n v="35"/>
    <n v="5"/>
    <d v="1998-03-05T00:00:00"/>
  </r>
  <r>
    <n v="10927"/>
    <x v="6"/>
    <n v="35"/>
    <n v="5"/>
    <d v="1998-03-05T00:00:00"/>
  </r>
  <r>
    <n v="10927"/>
    <x v="7"/>
    <n v="35"/>
    <n v="5"/>
    <d v="1998-03-05T00:00:00"/>
  </r>
  <r>
    <n v="10927"/>
    <x v="0"/>
    <n v="360"/>
    <n v="20"/>
    <d v="1998-03-05T00:00:00"/>
  </r>
  <r>
    <n v="10927"/>
    <x v="1"/>
    <n v="360"/>
    <n v="20"/>
    <d v="1998-03-05T00:00:00"/>
  </r>
  <r>
    <n v="10927"/>
    <x v="2"/>
    <n v="360"/>
    <n v="20"/>
    <d v="1998-03-05T00:00:00"/>
  </r>
  <r>
    <n v="10927"/>
    <x v="3"/>
    <n v="360"/>
    <n v="20"/>
    <d v="1998-03-05T00:00:00"/>
  </r>
  <r>
    <n v="10927"/>
    <x v="4"/>
    <n v="360"/>
    <n v="20"/>
    <d v="1998-03-05T00:00:00"/>
  </r>
  <r>
    <n v="10927"/>
    <x v="5"/>
    <n v="360"/>
    <n v="20"/>
    <d v="1998-03-05T00:00:00"/>
  </r>
  <r>
    <n v="10927"/>
    <x v="6"/>
    <n v="360"/>
    <n v="20"/>
    <d v="1998-03-05T00:00:00"/>
  </r>
  <r>
    <n v="10927"/>
    <x v="7"/>
    <n v="360"/>
    <n v="20"/>
    <d v="1998-03-05T00:00:00"/>
  </r>
  <r>
    <n v="10928"/>
    <x v="0"/>
    <n v="47.5"/>
    <n v="5"/>
    <d v="1998-03-05T00:00:00"/>
  </r>
  <r>
    <n v="10928"/>
    <x v="1"/>
    <n v="47.5"/>
    <n v="5"/>
    <d v="1998-03-05T00:00:00"/>
  </r>
  <r>
    <n v="10928"/>
    <x v="2"/>
    <n v="47.5"/>
    <n v="5"/>
    <d v="1998-03-05T00:00:00"/>
  </r>
  <r>
    <n v="10928"/>
    <x v="3"/>
    <n v="47.5"/>
    <n v="5"/>
    <d v="1998-03-05T00:00:00"/>
  </r>
  <r>
    <n v="10928"/>
    <x v="4"/>
    <n v="47.5"/>
    <n v="5"/>
    <d v="1998-03-05T00:00:00"/>
  </r>
  <r>
    <n v="10928"/>
    <x v="5"/>
    <n v="47.5"/>
    <n v="5"/>
    <d v="1998-03-05T00:00:00"/>
  </r>
  <r>
    <n v="10928"/>
    <x v="6"/>
    <n v="47.5"/>
    <n v="5"/>
    <d v="1998-03-05T00:00:00"/>
  </r>
  <r>
    <n v="10928"/>
    <x v="7"/>
    <n v="47.5"/>
    <n v="5"/>
    <d v="1998-03-05T00:00:00"/>
  </r>
  <r>
    <n v="10928"/>
    <x v="0"/>
    <n v="90"/>
    <n v="5"/>
    <d v="1998-03-05T00:00:00"/>
  </r>
  <r>
    <n v="10928"/>
    <x v="1"/>
    <n v="90"/>
    <n v="5"/>
    <d v="1998-03-05T00:00:00"/>
  </r>
  <r>
    <n v="10928"/>
    <x v="2"/>
    <n v="90"/>
    <n v="5"/>
    <d v="1998-03-05T00:00:00"/>
  </r>
  <r>
    <n v="10928"/>
    <x v="3"/>
    <n v="90"/>
    <n v="5"/>
    <d v="1998-03-05T00:00:00"/>
  </r>
  <r>
    <n v="10928"/>
    <x v="4"/>
    <n v="90"/>
    <n v="5"/>
    <d v="1998-03-05T00:00:00"/>
  </r>
  <r>
    <n v="10928"/>
    <x v="5"/>
    <n v="90"/>
    <n v="5"/>
    <d v="1998-03-05T00:00:00"/>
  </r>
  <r>
    <n v="10928"/>
    <x v="6"/>
    <n v="90"/>
    <n v="5"/>
    <d v="1998-03-05T00:00:00"/>
  </r>
  <r>
    <n v="10928"/>
    <x v="7"/>
    <n v="90"/>
    <n v="5"/>
    <d v="1998-03-05T00:00:00"/>
  </r>
  <r>
    <n v="10929"/>
    <x v="0"/>
    <n v="600"/>
    <n v="60"/>
    <d v="1998-03-05T00:00:00"/>
  </r>
  <r>
    <n v="10929"/>
    <x v="1"/>
    <n v="600"/>
    <n v="60"/>
    <d v="1998-03-05T00:00:00"/>
  </r>
  <r>
    <n v="10929"/>
    <x v="2"/>
    <n v="600"/>
    <n v="60"/>
    <d v="1998-03-05T00:00:00"/>
  </r>
  <r>
    <n v="10929"/>
    <x v="3"/>
    <n v="600"/>
    <n v="60"/>
    <d v="1998-03-05T00:00:00"/>
  </r>
  <r>
    <n v="10929"/>
    <x v="4"/>
    <n v="600"/>
    <n v="60"/>
    <d v="1998-03-05T00:00:00"/>
  </r>
  <r>
    <n v="10929"/>
    <x v="5"/>
    <n v="600"/>
    <n v="60"/>
    <d v="1998-03-05T00:00:00"/>
  </r>
  <r>
    <n v="10929"/>
    <x v="6"/>
    <n v="600"/>
    <n v="60"/>
    <d v="1998-03-05T00:00:00"/>
  </r>
  <r>
    <n v="10929"/>
    <x v="7"/>
    <n v="600"/>
    <n v="60"/>
    <d v="1998-03-05T00:00:00"/>
  </r>
  <r>
    <n v="10929"/>
    <x v="0"/>
    <n v="379.75"/>
    <n v="49"/>
    <d v="1998-03-05T00:00:00"/>
  </r>
  <r>
    <n v="10929"/>
    <x v="1"/>
    <n v="379.75"/>
    <n v="49"/>
    <d v="1998-03-05T00:00:00"/>
  </r>
  <r>
    <n v="10929"/>
    <x v="2"/>
    <n v="379.75"/>
    <n v="49"/>
    <d v="1998-03-05T00:00:00"/>
  </r>
  <r>
    <n v="10929"/>
    <x v="3"/>
    <n v="379.75"/>
    <n v="49"/>
    <d v="1998-03-05T00:00:00"/>
  </r>
  <r>
    <n v="10929"/>
    <x v="4"/>
    <n v="379.75"/>
    <n v="49"/>
    <d v="1998-03-05T00:00:00"/>
  </r>
  <r>
    <n v="10929"/>
    <x v="5"/>
    <n v="379.75"/>
    <n v="49"/>
    <d v="1998-03-05T00:00:00"/>
  </r>
  <r>
    <n v="10929"/>
    <x v="6"/>
    <n v="379.75"/>
    <n v="49"/>
    <d v="1998-03-05T00:00:00"/>
  </r>
  <r>
    <n v="10929"/>
    <x v="7"/>
    <n v="379.75"/>
    <n v="49"/>
    <d v="1998-03-05T00:00:00"/>
  </r>
  <r>
    <n v="10929"/>
    <x v="0"/>
    <n v="195"/>
    <n v="15"/>
    <d v="1998-03-05T00:00:00"/>
  </r>
  <r>
    <n v="10929"/>
    <x v="1"/>
    <n v="195"/>
    <n v="15"/>
    <d v="1998-03-05T00:00:00"/>
  </r>
  <r>
    <n v="10929"/>
    <x v="2"/>
    <n v="195"/>
    <n v="15"/>
    <d v="1998-03-05T00:00:00"/>
  </r>
  <r>
    <n v="10929"/>
    <x v="3"/>
    <n v="195"/>
    <n v="15"/>
    <d v="1998-03-05T00:00:00"/>
  </r>
  <r>
    <n v="10929"/>
    <x v="4"/>
    <n v="195"/>
    <n v="15"/>
    <d v="1998-03-05T00:00:00"/>
  </r>
  <r>
    <n v="10929"/>
    <x v="5"/>
    <n v="195"/>
    <n v="15"/>
    <d v="1998-03-05T00:00:00"/>
  </r>
  <r>
    <n v="10929"/>
    <x v="6"/>
    <n v="195"/>
    <n v="15"/>
    <d v="1998-03-05T00:00:00"/>
  </r>
  <r>
    <n v="10929"/>
    <x v="7"/>
    <n v="195"/>
    <n v="15"/>
    <d v="1998-03-05T00:00:00"/>
  </r>
  <r>
    <n v="10930"/>
    <x v="0"/>
    <n v="360"/>
    <n v="36"/>
    <d v="1998-03-06T00:00:00"/>
  </r>
  <r>
    <n v="10930"/>
    <x v="1"/>
    <n v="360"/>
    <n v="36"/>
    <d v="1998-03-06T00:00:00"/>
  </r>
  <r>
    <n v="10930"/>
    <x v="2"/>
    <n v="360"/>
    <n v="36"/>
    <d v="1998-03-06T00:00:00"/>
  </r>
  <r>
    <n v="10930"/>
    <x v="3"/>
    <n v="360"/>
    <n v="36"/>
    <d v="1998-03-06T00:00:00"/>
  </r>
  <r>
    <n v="10930"/>
    <x v="4"/>
    <n v="360"/>
    <n v="36"/>
    <d v="1998-03-06T00:00:00"/>
  </r>
  <r>
    <n v="10930"/>
    <x v="5"/>
    <n v="360"/>
    <n v="36"/>
    <d v="1998-03-06T00:00:00"/>
  </r>
  <r>
    <n v="10930"/>
    <x v="6"/>
    <n v="360"/>
    <n v="36"/>
    <d v="1998-03-06T00:00:00"/>
  </r>
  <r>
    <n v="10930"/>
    <x v="7"/>
    <n v="360"/>
    <n v="36"/>
    <d v="1998-03-06T00:00:00"/>
  </r>
  <r>
    <n v="10930"/>
    <x v="0"/>
    <n v="1097.5"/>
    <n v="25"/>
    <d v="1998-03-06T00:00:00"/>
  </r>
  <r>
    <n v="10930"/>
    <x v="1"/>
    <n v="1097.5"/>
    <n v="25"/>
    <d v="1998-03-06T00:00:00"/>
  </r>
  <r>
    <n v="10930"/>
    <x v="2"/>
    <n v="1097.5"/>
    <n v="25"/>
    <d v="1998-03-06T00:00:00"/>
  </r>
  <r>
    <n v="10930"/>
    <x v="3"/>
    <n v="1097.5"/>
    <n v="25"/>
    <d v="1998-03-06T00:00:00"/>
  </r>
  <r>
    <n v="10930"/>
    <x v="4"/>
    <n v="1097.5"/>
    <n v="25"/>
    <d v="1998-03-06T00:00:00"/>
  </r>
  <r>
    <n v="10930"/>
    <x v="5"/>
    <n v="1097.5"/>
    <n v="25"/>
    <d v="1998-03-06T00:00:00"/>
  </r>
  <r>
    <n v="10930"/>
    <x v="6"/>
    <n v="1097.5"/>
    <n v="25"/>
    <d v="1998-03-06T00:00:00"/>
  </r>
  <r>
    <n v="10930"/>
    <x v="7"/>
    <n v="1097.5"/>
    <n v="25"/>
    <d v="1998-03-06T00:00:00"/>
  </r>
  <r>
    <n v="10930"/>
    <x v="0"/>
    <n v="479.99999821186066"/>
    <n v="25"/>
    <d v="1998-03-06T00:00:00"/>
  </r>
  <r>
    <n v="10930"/>
    <x v="1"/>
    <n v="479.99999821186066"/>
    <n v="25"/>
    <d v="1998-03-06T00:00:00"/>
  </r>
  <r>
    <n v="10930"/>
    <x v="2"/>
    <n v="479.99999821186066"/>
    <n v="25"/>
    <d v="1998-03-06T00:00:00"/>
  </r>
  <r>
    <n v="10930"/>
    <x v="3"/>
    <n v="479.99999821186066"/>
    <n v="25"/>
    <d v="1998-03-06T00:00:00"/>
  </r>
  <r>
    <n v="10930"/>
    <x v="4"/>
    <n v="479.99999821186066"/>
    <n v="25"/>
    <d v="1998-03-06T00:00:00"/>
  </r>
  <r>
    <n v="10930"/>
    <x v="5"/>
    <n v="479.99999821186066"/>
    <n v="25"/>
    <d v="1998-03-06T00:00:00"/>
  </r>
  <r>
    <n v="10930"/>
    <x v="6"/>
    <n v="479.99999821186066"/>
    <n v="25"/>
    <d v="1998-03-06T00:00:00"/>
  </r>
  <r>
    <n v="10930"/>
    <x v="7"/>
    <n v="479.99999821186066"/>
    <n v="25"/>
    <d v="1998-03-06T00:00:00"/>
  </r>
  <r>
    <n v="10930"/>
    <x v="0"/>
    <n v="317.99999881535769"/>
    <n v="30"/>
    <d v="1998-03-06T00:00:00"/>
  </r>
  <r>
    <n v="10930"/>
    <x v="1"/>
    <n v="317.99999881535769"/>
    <n v="30"/>
    <d v="1998-03-06T00:00:00"/>
  </r>
  <r>
    <n v="10930"/>
    <x v="2"/>
    <n v="317.99999881535769"/>
    <n v="30"/>
    <d v="1998-03-06T00:00:00"/>
  </r>
  <r>
    <n v="10930"/>
    <x v="3"/>
    <n v="317.99999881535769"/>
    <n v="30"/>
    <d v="1998-03-06T00:00:00"/>
  </r>
  <r>
    <n v="10930"/>
    <x v="4"/>
    <n v="317.99999881535769"/>
    <n v="30"/>
    <d v="1998-03-06T00:00:00"/>
  </r>
  <r>
    <n v="10930"/>
    <x v="5"/>
    <n v="317.99999881535769"/>
    <n v="30"/>
    <d v="1998-03-06T00:00:00"/>
  </r>
  <r>
    <n v="10930"/>
    <x v="6"/>
    <n v="317.99999881535769"/>
    <n v="30"/>
    <d v="1998-03-06T00:00:00"/>
  </r>
  <r>
    <n v="10930"/>
    <x v="7"/>
    <n v="317.99999881535769"/>
    <n v="30"/>
    <d v="1998-03-06T00:00:00"/>
  </r>
  <r>
    <n v="10931"/>
    <x v="0"/>
    <n v="214.19999849796295"/>
    <n v="42"/>
    <d v="1998-03-06T00:00:00"/>
  </r>
  <r>
    <n v="10931"/>
    <x v="1"/>
    <n v="214.19999849796295"/>
    <n v="42"/>
    <d v="1998-03-06T00:00:00"/>
  </r>
  <r>
    <n v="10931"/>
    <x v="2"/>
    <n v="214.19999849796295"/>
    <n v="42"/>
    <d v="1998-03-06T00:00:00"/>
  </r>
  <r>
    <n v="10931"/>
    <x v="3"/>
    <n v="214.19999849796295"/>
    <n v="42"/>
    <d v="1998-03-06T00:00:00"/>
  </r>
  <r>
    <n v="10931"/>
    <x v="4"/>
    <n v="214.19999849796295"/>
    <n v="42"/>
    <d v="1998-03-06T00:00:00"/>
  </r>
  <r>
    <n v="10931"/>
    <x v="5"/>
    <n v="214.19999849796295"/>
    <n v="42"/>
    <d v="1998-03-06T00:00:00"/>
  </r>
  <r>
    <n v="10931"/>
    <x v="6"/>
    <n v="214.19999849796295"/>
    <n v="42"/>
    <d v="1998-03-06T00:00:00"/>
  </r>
  <r>
    <n v="10931"/>
    <x v="7"/>
    <n v="214.19999849796295"/>
    <n v="42"/>
    <d v="1998-03-06T00:00:00"/>
  </r>
  <r>
    <n v="10931"/>
    <x v="0"/>
    <n v="585"/>
    <n v="30"/>
    <d v="1998-03-06T00:00:00"/>
  </r>
  <r>
    <n v="10931"/>
    <x v="1"/>
    <n v="585"/>
    <n v="30"/>
    <d v="1998-03-06T00:00:00"/>
  </r>
  <r>
    <n v="10931"/>
    <x v="2"/>
    <n v="585"/>
    <n v="30"/>
    <d v="1998-03-06T00:00:00"/>
  </r>
  <r>
    <n v="10931"/>
    <x v="3"/>
    <n v="585"/>
    <n v="30"/>
    <d v="1998-03-06T00:00:00"/>
  </r>
  <r>
    <n v="10931"/>
    <x v="4"/>
    <n v="585"/>
    <n v="30"/>
    <d v="1998-03-06T00:00:00"/>
  </r>
  <r>
    <n v="10931"/>
    <x v="5"/>
    <n v="585"/>
    <n v="30"/>
    <d v="1998-03-06T00:00:00"/>
  </r>
  <r>
    <n v="10931"/>
    <x v="6"/>
    <n v="585"/>
    <n v="30"/>
    <d v="1998-03-06T00:00:00"/>
  </r>
  <r>
    <n v="10931"/>
    <x v="7"/>
    <n v="585"/>
    <n v="30"/>
    <d v="1998-03-06T00:00:00"/>
  </r>
  <r>
    <n v="10932"/>
    <x v="0"/>
    <n v="471.14999921992421"/>
    <n v="30"/>
    <d v="1998-03-06T00:00:00"/>
  </r>
  <r>
    <n v="10932"/>
    <x v="1"/>
    <n v="471.14999921992421"/>
    <n v="30"/>
    <d v="1998-03-06T00:00:00"/>
  </r>
  <r>
    <n v="10932"/>
    <x v="2"/>
    <n v="471.14999921992421"/>
    <n v="30"/>
    <d v="1998-03-06T00:00:00"/>
  </r>
  <r>
    <n v="10932"/>
    <x v="3"/>
    <n v="471.14999921992421"/>
    <n v="30"/>
    <d v="1998-03-06T00:00:00"/>
  </r>
  <r>
    <n v="10932"/>
    <x v="4"/>
    <n v="471.14999921992421"/>
    <n v="30"/>
    <d v="1998-03-06T00:00:00"/>
  </r>
  <r>
    <n v="10932"/>
    <x v="5"/>
    <n v="471.14999921992421"/>
    <n v="30"/>
    <d v="1998-03-06T00:00:00"/>
  </r>
  <r>
    <n v="10932"/>
    <x v="6"/>
    <n v="471.14999921992421"/>
    <n v="30"/>
    <d v="1998-03-06T00:00:00"/>
  </r>
  <r>
    <n v="10932"/>
    <x v="7"/>
    <n v="471.14999921992421"/>
    <n v="30"/>
    <d v="1998-03-06T00:00:00"/>
  </r>
  <r>
    <n v="10932"/>
    <x v="0"/>
    <n v="621.17999897152185"/>
    <n v="14"/>
    <d v="1998-03-06T00:00:00"/>
  </r>
  <r>
    <n v="10932"/>
    <x v="1"/>
    <n v="621.17999897152185"/>
    <n v="14"/>
    <d v="1998-03-06T00:00:00"/>
  </r>
  <r>
    <n v="10932"/>
    <x v="2"/>
    <n v="621.17999897152185"/>
    <n v="14"/>
    <d v="1998-03-06T00:00:00"/>
  </r>
  <r>
    <n v="10932"/>
    <x v="3"/>
    <n v="621.17999897152185"/>
    <n v="14"/>
    <d v="1998-03-06T00:00:00"/>
  </r>
  <r>
    <n v="10932"/>
    <x v="4"/>
    <n v="621.17999897152185"/>
    <n v="14"/>
    <d v="1998-03-06T00:00:00"/>
  </r>
  <r>
    <n v="10932"/>
    <x v="5"/>
    <n v="621.17999897152185"/>
    <n v="14"/>
    <d v="1998-03-06T00:00:00"/>
  </r>
  <r>
    <n v="10932"/>
    <x v="6"/>
    <n v="621.17999897152185"/>
    <n v="14"/>
    <d v="1998-03-06T00:00:00"/>
  </r>
  <r>
    <n v="10932"/>
    <x v="7"/>
    <n v="621.17999897152185"/>
    <n v="14"/>
    <d v="1998-03-06T00:00:00"/>
  </r>
  <r>
    <n v="10932"/>
    <x v="0"/>
    <n v="556.79999999999995"/>
    <n v="16"/>
    <d v="1998-03-06T00:00:00"/>
  </r>
  <r>
    <n v="10932"/>
    <x v="1"/>
    <n v="556.79999999999995"/>
    <n v="16"/>
    <d v="1998-03-06T00:00:00"/>
  </r>
  <r>
    <n v="10932"/>
    <x v="2"/>
    <n v="556.79999999999995"/>
    <n v="16"/>
    <d v="1998-03-06T00:00:00"/>
  </r>
  <r>
    <n v="10932"/>
    <x v="3"/>
    <n v="556.79999999999995"/>
    <n v="16"/>
    <d v="1998-03-06T00:00:00"/>
  </r>
  <r>
    <n v="10932"/>
    <x v="4"/>
    <n v="556.79999999999995"/>
    <n v="16"/>
    <d v="1998-03-06T00:00:00"/>
  </r>
  <r>
    <n v="10932"/>
    <x v="5"/>
    <n v="556.79999999999995"/>
    <n v="16"/>
    <d v="1998-03-06T00:00:00"/>
  </r>
  <r>
    <n v="10932"/>
    <x v="6"/>
    <n v="556.79999999999995"/>
    <n v="16"/>
    <d v="1998-03-06T00:00:00"/>
  </r>
  <r>
    <n v="10932"/>
    <x v="7"/>
    <n v="556.79999999999995"/>
    <n v="16"/>
    <d v="1998-03-06T00:00:00"/>
  </r>
  <r>
    <n v="10932"/>
    <x v="0"/>
    <n v="139.499999769032"/>
    <n v="20"/>
    <d v="1998-03-06T00:00:00"/>
  </r>
  <r>
    <n v="10932"/>
    <x v="1"/>
    <n v="139.499999769032"/>
    <n v="20"/>
    <d v="1998-03-06T00:00:00"/>
  </r>
  <r>
    <n v="10932"/>
    <x v="2"/>
    <n v="139.499999769032"/>
    <n v="20"/>
    <d v="1998-03-06T00:00:00"/>
  </r>
  <r>
    <n v="10932"/>
    <x v="3"/>
    <n v="139.499999769032"/>
    <n v="20"/>
    <d v="1998-03-06T00:00:00"/>
  </r>
  <r>
    <n v="10932"/>
    <x v="4"/>
    <n v="139.499999769032"/>
    <n v="20"/>
    <d v="1998-03-06T00:00:00"/>
  </r>
  <r>
    <n v="10932"/>
    <x v="5"/>
    <n v="139.499999769032"/>
    <n v="20"/>
    <d v="1998-03-06T00:00:00"/>
  </r>
  <r>
    <n v="10932"/>
    <x v="6"/>
    <n v="139.499999769032"/>
    <n v="20"/>
    <d v="1998-03-06T00:00:00"/>
  </r>
  <r>
    <n v="10932"/>
    <x v="7"/>
    <n v="139.499999769032"/>
    <n v="20"/>
    <d v="1998-03-06T00:00:00"/>
  </r>
  <r>
    <n v="10933"/>
    <x v="0"/>
    <n v="65.599999999999994"/>
    <n v="2"/>
    <d v="1998-03-06T00:00:00"/>
  </r>
  <r>
    <n v="10933"/>
    <x v="1"/>
    <n v="65.599999999999994"/>
    <n v="2"/>
    <d v="1998-03-06T00:00:00"/>
  </r>
  <r>
    <n v="10933"/>
    <x v="2"/>
    <n v="65.599999999999994"/>
    <n v="2"/>
    <d v="1998-03-06T00:00:00"/>
  </r>
  <r>
    <n v="10933"/>
    <x v="3"/>
    <n v="65.599999999999994"/>
    <n v="2"/>
    <d v="1998-03-06T00:00:00"/>
  </r>
  <r>
    <n v="10933"/>
    <x v="4"/>
    <n v="65.599999999999994"/>
    <n v="2"/>
    <d v="1998-03-06T00:00:00"/>
  </r>
  <r>
    <n v="10933"/>
    <x v="5"/>
    <n v="65.599999999999994"/>
    <n v="2"/>
    <d v="1998-03-06T00:00:00"/>
  </r>
  <r>
    <n v="10933"/>
    <x v="6"/>
    <n v="65.599999999999994"/>
    <n v="2"/>
    <d v="1998-03-06T00:00:00"/>
  </r>
  <r>
    <n v="10933"/>
    <x v="7"/>
    <n v="65.599999999999994"/>
    <n v="2"/>
    <d v="1998-03-06T00:00:00"/>
  </r>
  <r>
    <n v="10933"/>
    <x v="0"/>
    <n v="855"/>
    <n v="30"/>
    <d v="1998-03-06T00:00:00"/>
  </r>
  <r>
    <n v="10933"/>
    <x v="1"/>
    <n v="855"/>
    <n v="30"/>
    <d v="1998-03-06T00:00:00"/>
  </r>
  <r>
    <n v="10933"/>
    <x v="2"/>
    <n v="855"/>
    <n v="30"/>
    <d v="1998-03-06T00:00:00"/>
  </r>
  <r>
    <n v="10933"/>
    <x v="3"/>
    <n v="855"/>
    <n v="30"/>
    <d v="1998-03-06T00:00:00"/>
  </r>
  <r>
    <n v="10933"/>
    <x v="4"/>
    <n v="855"/>
    <n v="30"/>
    <d v="1998-03-06T00:00:00"/>
  </r>
  <r>
    <n v="10933"/>
    <x v="5"/>
    <n v="855"/>
    <n v="30"/>
    <d v="1998-03-06T00:00:00"/>
  </r>
  <r>
    <n v="10933"/>
    <x v="6"/>
    <n v="855"/>
    <n v="30"/>
    <d v="1998-03-06T00:00:00"/>
  </r>
  <r>
    <n v="10933"/>
    <x v="7"/>
    <n v="855"/>
    <n v="30"/>
    <d v="1998-03-06T00:00:00"/>
  </r>
  <r>
    <n v="10934"/>
    <x v="0"/>
    <n v="500"/>
    <n v="20"/>
    <d v="1998-03-09T00:00:00"/>
  </r>
  <r>
    <n v="10934"/>
    <x v="1"/>
    <n v="500"/>
    <n v="20"/>
    <d v="1998-03-09T00:00:00"/>
  </r>
  <r>
    <n v="10934"/>
    <x v="2"/>
    <n v="500"/>
    <n v="20"/>
    <d v="1998-03-09T00:00:00"/>
  </r>
  <r>
    <n v="10934"/>
    <x v="3"/>
    <n v="500"/>
    <n v="20"/>
    <d v="1998-03-09T00:00:00"/>
  </r>
  <r>
    <n v="10934"/>
    <x v="4"/>
    <n v="500"/>
    <n v="20"/>
    <d v="1998-03-09T00:00:00"/>
  </r>
  <r>
    <n v="10934"/>
    <x v="5"/>
    <n v="500"/>
    <n v="20"/>
    <d v="1998-03-09T00:00:00"/>
  </r>
  <r>
    <n v="10934"/>
    <x v="6"/>
    <n v="500"/>
    <n v="20"/>
    <d v="1998-03-09T00:00:00"/>
  </r>
  <r>
    <n v="10934"/>
    <x v="7"/>
    <n v="500"/>
    <n v="20"/>
    <d v="1998-03-09T00:00:00"/>
  </r>
  <r>
    <n v="10935"/>
    <x v="0"/>
    <n v="378"/>
    <n v="21"/>
    <d v="1998-03-09T00:00:00"/>
  </r>
  <r>
    <n v="10935"/>
    <x v="1"/>
    <n v="378"/>
    <n v="21"/>
    <d v="1998-03-09T00:00:00"/>
  </r>
  <r>
    <n v="10935"/>
    <x v="2"/>
    <n v="378"/>
    <n v="21"/>
    <d v="1998-03-09T00:00:00"/>
  </r>
  <r>
    <n v="10935"/>
    <x v="3"/>
    <n v="378"/>
    <n v="21"/>
    <d v="1998-03-09T00:00:00"/>
  </r>
  <r>
    <n v="10935"/>
    <x v="4"/>
    <n v="378"/>
    <n v="21"/>
    <d v="1998-03-09T00:00:00"/>
  </r>
  <r>
    <n v="10935"/>
    <x v="5"/>
    <n v="378"/>
    <n v="21"/>
    <d v="1998-03-09T00:00:00"/>
  </r>
  <r>
    <n v="10935"/>
    <x v="6"/>
    <n v="378"/>
    <n v="21"/>
    <d v="1998-03-09T00:00:00"/>
  </r>
  <r>
    <n v="10935"/>
    <x v="7"/>
    <n v="378"/>
    <n v="21"/>
    <d v="1998-03-09T00:00:00"/>
  </r>
  <r>
    <n v="10935"/>
    <x v="0"/>
    <n v="187.5"/>
    <n v="4"/>
    <d v="1998-03-09T00:00:00"/>
  </r>
  <r>
    <n v="10935"/>
    <x v="1"/>
    <n v="187.5"/>
    <n v="4"/>
    <d v="1998-03-09T00:00:00"/>
  </r>
  <r>
    <n v="10935"/>
    <x v="2"/>
    <n v="187.5"/>
    <n v="4"/>
    <d v="1998-03-09T00:00:00"/>
  </r>
  <r>
    <n v="10935"/>
    <x v="3"/>
    <n v="187.5"/>
    <n v="4"/>
    <d v="1998-03-09T00:00:00"/>
  </r>
  <r>
    <n v="10935"/>
    <x v="4"/>
    <n v="187.5"/>
    <n v="4"/>
    <d v="1998-03-09T00:00:00"/>
  </r>
  <r>
    <n v="10935"/>
    <x v="5"/>
    <n v="187.5"/>
    <n v="4"/>
    <d v="1998-03-09T00:00:00"/>
  </r>
  <r>
    <n v="10935"/>
    <x v="6"/>
    <n v="187.5"/>
    <n v="4"/>
    <d v="1998-03-09T00:00:00"/>
  </r>
  <r>
    <n v="10935"/>
    <x v="7"/>
    <n v="187.5"/>
    <n v="4"/>
    <d v="1998-03-09T00:00:00"/>
  </r>
  <r>
    <n v="10935"/>
    <x v="0"/>
    <n v="54"/>
    <n v="8"/>
    <d v="1998-03-09T00:00:00"/>
  </r>
  <r>
    <n v="10935"/>
    <x v="1"/>
    <n v="54"/>
    <n v="8"/>
    <d v="1998-03-09T00:00:00"/>
  </r>
  <r>
    <n v="10935"/>
    <x v="2"/>
    <n v="54"/>
    <n v="8"/>
    <d v="1998-03-09T00:00:00"/>
  </r>
  <r>
    <n v="10935"/>
    <x v="3"/>
    <n v="54"/>
    <n v="8"/>
    <d v="1998-03-09T00:00:00"/>
  </r>
  <r>
    <n v="10935"/>
    <x v="4"/>
    <n v="54"/>
    <n v="8"/>
    <d v="1998-03-09T00:00:00"/>
  </r>
  <r>
    <n v="10935"/>
    <x v="5"/>
    <n v="54"/>
    <n v="8"/>
    <d v="1998-03-09T00:00:00"/>
  </r>
  <r>
    <n v="10935"/>
    <x v="6"/>
    <n v="54"/>
    <n v="8"/>
    <d v="1998-03-09T00:00:00"/>
  </r>
  <r>
    <n v="10935"/>
    <x v="7"/>
    <n v="54"/>
    <n v="8"/>
    <d v="1998-03-09T00:00:00"/>
  </r>
  <r>
    <n v="10936"/>
    <x v="0"/>
    <n v="455.99999830126762"/>
    <n v="30"/>
    <d v="1998-03-09T00:00:00"/>
  </r>
  <r>
    <n v="10936"/>
    <x v="1"/>
    <n v="455.99999830126762"/>
    <n v="30"/>
    <d v="1998-03-09T00:00:00"/>
  </r>
  <r>
    <n v="10936"/>
    <x v="2"/>
    <n v="455.99999830126762"/>
    <n v="30"/>
    <d v="1998-03-09T00:00:00"/>
  </r>
  <r>
    <n v="10936"/>
    <x v="3"/>
    <n v="455.99999830126762"/>
    <n v="30"/>
    <d v="1998-03-09T00:00:00"/>
  </r>
  <r>
    <n v="10936"/>
    <x v="4"/>
    <n v="455.99999830126762"/>
    <n v="30"/>
    <d v="1998-03-09T00:00:00"/>
  </r>
  <r>
    <n v="10936"/>
    <x v="5"/>
    <n v="455.99999830126762"/>
    <n v="30"/>
    <d v="1998-03-09T00:00:00"/>
  </r>
  <r>
    <n v="10936"/>
    <x v="6"/>
    <n v="455.99999830126762"/>
    <n v="30"/>
    <d v="1998-03-09T00:00:00"/>
  </r>
  <r>
    <n v="10936"/>
    <x v="7"/>
    <n v="455.99999830126762"/>
    <n v="30"/>
    <d v="1998-03-09T00:00:00"/>
  </r>
  <r>
    <n v="10937"/>
    <x v="0"/>
    <n v="364.8"/>
    <n v="8"/>
    <d v="1998-03-10T00:00:00"/>
  </r>
  <r>
    <n v="10937"/>
    <x v="1"/>
    <n v="364.8"/>
    <n v="8"/>
    <d v="1998-03-10T00:00:00"/>
  </r>
  <r>
    <n v="10937"/>
    <x v="2"/>
    <n v="364.8"/>
    <n v="8"/>
    <d v="1998-03-10T00:00:00"/>
  </r>
  <r>
    <n v="10937"/>
    <x v="3"/>
    <n v="364.8"/>
    <n v="8"/>
    <d v="1998-03-10T00:00:00"/>
  </r>
  <r>
    <n v="10937"/>
    <x v="4"/>
    <n v="364.8"/>
    <n v="8"/>
    <d v="1998-03-10T00:00:00"/>
  </r>
  <r>
    <n v="10937"/>
    <x v="5"/>
    <n v="364.8"/>
    <n v="8"/>
    <d v="1998-03-10T00:00:00"/>
  </r>
  <r>
    <n v="10937"/>
    <x v="6"/>
    <n v="364.8"/>
    <n v="8"/>
    <d v="1998-03-10T00:00:00"/>
  </r>
  <r>
    <n v="10937"/>
    <x v="7"/>
    <n v="364.8"/>
    <n v="8"/>
    <d v="1998-03-10T00:00:00"/>
  </r>
  <r>
    <n v="10937"/>
    <x v="0"/>
    <n v="280"/>
    <n v="20"/>
    <d v="1998-03-10T00:00:00"/>
  </r>
  <r>
    <n v="10937"/>
    <x v="1"/>
    <n v="280"/>
    <n v="20"/>
    <d v="1998-03-10T00:00:00"/>
  </r>
  <r>
    <n v="10937"/>
    <x v="2"/>
    <n v="280"/>
    <n v="20"/>
    <d v="1998-03-10T00:00:00"/>
  </r>
  <r>
    <n v="10937"/>
    <x v="3"/>
    <n v="280"/>
    <n v="20"/>
    <d v="1998-03-10T00:00:00"/>
  </r>
  <r>
    <n v="10937"/>
    <x v="4"/>
    <n v="280"/>
    <n v="20"/>
    <d v="1998-03-10T00:00:00"/>
  </r>
  <r>
    <n v="10937"/>
    <x v="5"/>
    <n v="280"/>
    <n v="20"/>
    <d v="1998-03-10T00:00:00"/>
  </r>
  <r>
    <n v="10937"/>
    <x v="6"/>
    <n v="280"/>
    <n v="20"/>
    <d v="1998-03-10T00:00:00"/>
  </r>
  <r>
    <n v="10937"/>
    <x v="7"/>
    <n v="280"/>
    <n v="20"/>
    <d v="1998-03-10T00:00:00"/>
  </r>
  <r>
    <n v="10938"/>
    <x v="0"/>
    <n v="90"/>
    <n v="20"/>
    <d v="1998-03-10T00:00:00"/>
  </r>
  <r>
    <n v="10938"/>
    <x v="1"/>
    <n v="90"/>
    <n v="20"/>
    <d v="1998-03-10T00:00:00"/>
  </r>
  <r>
    <n v="10938"/>
    <x v="2"/>
    <n v="90"/>
    <n v="20"/>
    <d v="1998-03-10T00:00:00"/>
  </r>
  <r>
    <n v="10938"/>
    <x v="3"/>
    <n v="90"/>
    <n v="20"/>
    <d v="1998-03-10T00:00:00"/>
  </r>
  <r>
    <n v="10938"/>
    <x v="4"/>
    <n v="90"/>
    <n v="20"/>
    <d v="1998-03-10T00:00:00"/>
  </r>
  <r>
    <n v="10938"/>
    <x v="5"/>
    <n v="90"/>
    <n v="20"/>
    <d v="1998-03-10T00:00:00"/>
  </r>
  <r>
    <n v="10938"/>
    <x v="6"/>
    <n v="90"/>
    <n v="20"/>
    <d v="1998-03-10T00:00:00"/>
  </r>
  <r>
    <n v="10938"/>
    <x v="7"/>
    <n v="90"/>
    <n v="20"/>
    <d v="1998-03-10T00:00:00"/>
  </r>
  <r>
    <n v="10938"/>
    <x v="0"/>
    <n v="828"/>
    <n v="24"/>
    <d v="1998-03-10T00:00:00"/>
  </r>
  <r>
    <n v="10938"/>
    <x v="1"/>
    <n v="828"/>
    <n v="24"/>
    <d v="1998-03-10T00:00:00"/>
  </r>
  <r>
    <n v="10938"/>
    <x v="2"/>
    <n v="828"/>
    <n v="24"/>
    <d v="1998-03-10T00:00:00"/>
  </r>
  <r>
    <n v="10938"/>
    <x v="3"/>
    <n v="828"/>
    <n v="24"/>
    <d v="1998-03-10T00:00:00"/>
  </r>
  <r>
    <n v="10938"/>
    <x v="4"/>
    <n v="828"/>
    <n v="24"/>
    <d v="1998-03-10T00:00:00"/>
  </r>
  <r>
    <n v="10938"/>
    <x v="5"/>
    <n v="828"/>
    <n v="24"/>
    <d v="1998-03-10T00:00:00"/>
  </r>
  <r>
    <n v="10938"/>
    <x v="6"/>
    <n v="828"/>
    <n v="24"/>
    <d v="1998-03-10T00:00:00"/>
  </r>
  <r>
    <n v="10938"/>
    <x v="7"/>
    <n v="828"/>
    <n v="24"/>
    <d v="1998-03-10T00:00:00"/>
  </r>
  <r>
    <n v="10938"/>
    <x v="0"/>
    <n v="1249.5"/>
    <n v="49"/>
    <d v="1998-03-10T00:00:00"/>
  </r>
  <r>
    <n v="10938"/>
    <x v="1"/>
    <n v="1249.5"/>
    <n v="49"/>
    <d v="1998-03-10T00:00:00"/>
  </r>
  <r>
    <n v="10938"/>
    <x v="2"/>
    <n v="1249.5"/>
    <n v="49"/>
    <d v="1998-03-10T00:00:00"/>
  </r>
  <r>
    <n v="10938"/>
    <x v="3"/>
    <n v="1249.5"/>
    <n v="49"/>
    <d v="1998-03-10T00:00:00"/>
  </r>
  <r>
    <n v="10938"/>
    <x v="4"/>
    <n v="1249.5"/>
    <n v="49"/>
    <d v="1998-03-10T00:00:00"/>
  </r>
  <r>
    <n v="10938"/>
    <x v="5"/>
    <n v="1249.5"/>
    <n v="49"/>
    <d v="1998-03-10T00:00:00"/>
  </r>
  <r>
    <n v="10938"/>
    <x v="6"/>
    <n v="1249.5"/>
    <n v="49"/>
    <d v="1998-03-10T00:00:00"/>
  </r>
  <r>
    <n v="10938"/>
    <x v="7"/>
    <n v="1249.5"/>
    <n v="49"/>
    <d v="1998-03-10T00:00:00"/>
  </r>
  <r>
    <n v="10938"/>
    <x v="0"/>
    <n v="564.375"/>
    <n v="35"/>
    <d v="1998-03-10T00:00:00"/>
  </r>
  <r>
    <n v="10938"/>
    <x v="1"/>
    <n v="564.375"/>
    <n v="35"/>
    <d v="1998-03-10T00:00:00"/>
  </r>
  <r>
    <n v="10938"/>
    <x v="2"/>
    <n v="564.375"/>
    <n v="35"/>
    <d v="1998-03-10T00:00:00"/>
  </r>
  <r>
    <n v="10938"/>
    <x v="3"/>
    <n v="564.375"/>
    <n v="35"/>
    <d v="1998-03-10T00:00:00"/>
  </r>
  <r>
    <n v="10938"/>
    <x v="4"/>
    <n v="564.375"/>
    <n v="35"/>
    <d v="1998-03-10T00:00:00"/>
  </r>
  <r>
    <n v="10938"/>
    <x v="5"/>
    <n v="564.375"/>
    <n v="35"/>
    <d v="1998-03-10T00:00:00"/>
  </r>
  <r>
    <n v="10938"/>
    <x v="6"/>
    <n v="564.375"/>
    <n v="35"/>
    <d v="1998-03-10T00:00:00"/>
  </r>
  <r>
    <n v="10938"/>
    <x v="7"/>
    <n v="564.375"/>
    <n v="35"/>
    <d v="1998-03-10T00:00:00"/>
  </r>
  <r>
    <n v="10939"/>
    <x v="0"/>
    <n v="161.49999886751175"/>
    <n v="10"/>
    <d v="1998-03-10T00:00:00"/>
  </r>
  <r>
    <n v="10939"/>
    <x v="1"/>
    <n v="161.49999886751175"/>
    <n v="10"/>
    <d v="1998-03-10T00:00:00"/>
  </r>
  <r>
    <n v="10939"/>
    <x v="2"/>
    <n v="161.49999886751175"/>
    <n v="10"/>
    <d v="1998-03-10T00:00:00"/>
  </r>
  <r>
    <n v="10939"/>
    <x v="3"/>
    <n v="161.49999886751175"/>
    <n v="10"/>
    <d v="1998-03-10T00:00:00"/>
  </r>
  <r>
    <n v="10939"/>
    <x v="4"/>
    <n v="161.49999886751175"/>
    <n v="10"/>
    <d v="1998-03-10T00:00:00"/>
  </r>
  <r>
    <n v="10939"/>
    <x v="5"/>
    <n v="161.49999886751175"/>
    <n v="10"/>
    <d v="1998-03-10T00:00:00"/>
  </r>
  <r>
    <n v="10939"/>
    <x v="6"/>
    <n v="161.49999886751175"/>
    <n v="10"/>
    <d v="1998-03-10T00:00:00"/>
  </r>
  <r>
    <n v="10939"/>
    <x v="7"/>
    <n v="161.49999886751175"/>
    <n v="10"/>
    <d v="1998-03-10T00:00:00"/>
  </r>
  <r>
    <n v="10939"/>
    <x v="0"/>
    <n v="475.99999666213989"/>
    <n v="40"/>
    <d v="1998-03-10T00:00:00"/>
  </r>
  <r>
    <n v="10939"/>
    <x v="1"/>
    <n v="475.99999666213989"/>
    <n v="40"/>
    <d v="1998-03-10T00:00:00"/>
  </r>
  <r>
    <n v="10939"/>
    <x v="2"/>
    <n v="475.99999666213989"/>
    <n v="40"/>
    <d v="1998-03-10T00:00:00"/>
  </r>
  <r>
    <n v="10939"/>
    <x v="3"/>
    <n v="475.99999666213989"/>
    <n v="40"/>
    <d v="1998-03-10T00:00:00"/>
  </r>
  <r>
    <n v="10939"/>
    <x v="4"/>
    <n v="475.99999666213989"/>
    <n v="40"/>
    <d v="1998-03-10T00:00:00"/>
  </r>
  <r>
    <n v="10939"/>
    <x v="5"/>
    <n v="475.99999666213989"/>
    <n v="40"/>
    <d v="1998-03-10T00:00:00"/>
  </r>
  <r>
    <n v="10939"/>
    <x v="6"/>
    <n v="475.99999666213989"/>
    <n v="40"/>
    <d v="1998-03-10T00:00:00"/>
  </r>
  <r>
    <n v="10939"/>
    <x v="7"/>
    <n v="475.99999666213989"/>
    <n v="40"/>
    <d v="1998-03-10T00:00:00"/>
  </r>
  <r>
    <n v="10940"/>
    <x v="0"/>
    <n v="240"/>
    <n v="8"/>
    <d v="1998-03-11T00:00:00"/>
  </r>
  <r>
    <n v="10940"/>
    <x v="1"/>
    <n v="240"/>
    <n v="8"/>
    <d v="1998-03-11T00:00:00"/>
  </r>
  <r>
    <n v="10940"/>
    <x v="2"/>
    <n v="240"/>
    <n v="8"/>
    <d v="1998-03-11T00:00:00"/>
  </r>
  <r>
    <n v="10940"/>
    <x v="3"/>
    <n v="240"/>
    <n v="8"/>
    <d v="1998-03-11T00:00:00"/>
  </r>
  <r>
    <n v="10940"/>
    <x v="4"/>
    <n v="240"/>
    <n v="8"/>
    <d v="1998-03-11T00:00:00"/>
  </r>
  <r>
    <n v="10940"/>
    <x v="5"/>
    <n v="240"/>
    <n v="8"/>
    <d v="1998-03-11T00:00:00"/>
  </r>
  <r>
    <n v="10940"/>
    <x v="6"/>
    <n v="240"/>
    <n v="8"/>
    <d v="1998-03-11T00:00:00"/>
  </r>
  <r>
    <n v="10940"/>
    <x v="7"/>
    <n v="240"/>
    <n v="8"/>
    <d v="1998-03-11T00:00:00"/>
  </r>
  <r>
    <n v="10940"/>
    <x v="0"/>
    <n v="120"/>
    <n v="20"/>
    <d v="1998-03-11T00:00:00"/>
  </r>
  <r>
    <n v="10940"/>
    <x v="1"/>
    <n v="120"/>
    <n v="20"/>
    <d v="1998-03-11T00:00:00"/>
  </r>
  <r>
    <n v="10940"/>
    <x v="2"/>
    <n v="120"/>
    <n v="20"/>
    <d v="1998-03-11T00:00:00"/>
  </r>
  <r>
    <n v="10940"/>
    <x v="3"/>
    <n v="120"/>
    <n v="20"/>
    <d v="1998-03-11T00:00:00"/>
  </r>
  <r>
    <n v="10940"/>
    <x v="4"/>
    <n v="120"/>
    <n v="20"/>
    <d v="1998-03-11T00:00:00"/>
  </r>
  <r>
    <n v="10940"/>
    <x v="5"/>
    <n v="120"/>
    <n v="20"/>
    <d v="1998-03-11T00:00:00"/>
  </r>
  <r>
    <n v="10940"/>
    <x v="6"/>
    <n v="120"/>
    <n v="20"/>
    <d v="1998-03-11T00:00:00"/>
  </r>
  <r>
    <n v="10940"/>
    <x v="7"/>
    <n v="120"/>
    <n v="20"/>
    <d v="1998-03-11T00:00:00"/>
  </r>
  <r>
    <n v="10941"/>
    <x v="0"/>
    <n v="412.5"/>
    <n v="44"/>
    <d v="1998-03-11T00:00:00"/>
  </r>
  <r>
    <n v="10941"/>
    <x v="1"/>
    <n v="412.5"/>
    <n v="44"/>
    <d v="1998-03-11T00:00:00"/>
  </r>
  <r>
    <n v="10941"/>
    <x v="2"/>
    <n v="412.5"/>
    <n v="44"/>
    <d v="1998-03-11T00:00:00"/>
  </r>
  <r>
    <n v="10941"/>
    <x v="3"/>
    <n v="412.5"/>
    <n v="44"/>
    <d v="1998-03-11T00:00:00"/>
  </r>
  <r>
    <n v="10941"/>
    <x v="4"/>
    <n v="412.5"/>
    <n v="44"/>
    <d v="1998-03-11T00:00:00"/>
  </r>
  <r>
    <n v="10941"/>
    <x v="5"/>
    <n v="412.5"/>
    <n v="44"/>
    <d v="1998-03-11T00:00:00"/>
  </r>
  <r>
    <n v="10941"/>
    <x v="6"/>
    <n v="412.5"/>
    <n v="44"/>
    <d v="1998-03-11T00:00:00"/>
  </r>
  <r>
    <n v="10941"/>
    <x v="7"/>
    <n v="412.5"/>
    <n v="44"/>
    <d v="1998-03-11T00:00:00"/>
  </r>
  <r>
    <n v="10941"/>
    <x v="0"/>
    <n v="1109.25"/>
    <n v="30"/>
    <d v="1998-03-11T00:00:00"/>
  </r>
  <r>
    <n v="10941"/>
    <x v="1"/>
    <n v="1109.25"/>
    <n v="30"/>
    <d v="1998-03-11T00:00:00"/>
  </r>
  <r>
    <n v="10941"/>
    <x v="2"/>
    <n v="1109.25"/>
    <n v="30"/>
    <d v="1998-03-11T00:00:00"/>
  </r>
  <r>
    <n v="10941"/>
    <x v="3"/>
    <n v="1109.25"/>
    <n v="30"/>
    <d v="1998-03-11T00:00:00"/>
  </r>
  <r>
    <n v="10941"/>
    <x v="4"/>
    <n v="1109.25"/>
    <n v="30"/>
    <d v="1998-03-11T00:00:00"/>
  </r>
  <r>
    <n v="10941"/>
    <x v="5"/>
    <n v="1109.25"/>
    <n v="30"/>
    <d v="1998-03-11T00:00:00"/>
  </r>
  <r>
    <n v="10941"/>
    <x v="6"/>
    <n v="1109.25"/>
    <n v="30"/>
    <d v="1998-03-11T00:00:00"/>
  </r>
  <r>
    <n v="10941"/>
    <x v="7"/>
    <n v="1109.25"/>
    <n v="30"/>
    <d v="1998-03-11T00:00:00"/>
  </r>
  <r>
    <n v="10941"/>
    <x v="0"/>
    <n v="750"/>
    <n v="80"/>
    <d v="1998-03-11T00:00:00"/>
  </r>
  <r>
    <n v="10941"/>
    <x v="1"/>
    <n v="750"/>
    <n v="80"/>
    <d v="1998-03-11T00:00:00"/>
  </r>
  <r>
    <n v="10941"/>
    <x v="2"/>
    <n v="750"/>
    <n v="80"/>
    <d v="1998-03-11T00:00:00"/>
  </r>
  <r>
    <n v="10941"/>
    <x v="3"/>
    <n v="750"/>
    <n v="80"/>
    <d v="1998-03-11T00:00:00"/>
  </r>
  <r>
    <n v="10941"/>
    <x v="4"/>
    <n v="750"/>
    <n v="80"/>
    <d v="1998-03-11T00:00:00"/>
  </r>
  <r>
    <n v="10941"/>
    <x v="5"/>
    <n v="750"/>
    <n v="80"/>
    <d v="1998-03-11T00:00:00"/>
  </r>
  <r>
    <n v="10941"/>
    <x v="6"/>
    <n v="750"/>
    <n v="80"/>
    <d v="1998-03-11T00:00:00"/>
  </r>
  <r>
    <n v="10941"/>
    <x v="7"/>
    <n v="750"/>
    <n v="80"/>
    <d v="1998-03-11T00:00:00"/>
  </r>
  <r>
    <n v="10941"/>
    <x v="0"/>
    <n v="1740"/>
    <n v="50"/>
    <d v="1998-03-11T00:00:00"/>
  </r>
  <r>
    <n v="10941"/>
    <x v="1"/>
    <n v="1740"/>
    <n v="50"/>
    <d v="1998-03-11T00:00:00"/>
  </r>
  <r>
    <n v="10941"/>
    <x v="2"/>
    <n v="1740"/>
    <n v="50"/>
    <d v="1998-03-11T00:00:00"/>
  </r>
  <r>
    <n v="10941"/>
    <x v="3"/>
    <n v="1740"/>
    <n v="50"/>
    <d v="1998-03-11T00:00:00"/>
  </r>
  <r>
    <n v="10941"/>
    <x v="4"/>
    <n v="1740"/>
    <n v="50"/>
    <d v="1998-03-11T00:00:00"/>
  </r>
  <r>
    <n v="10941"/>
    <x v="5"/>
    <n v="1740"/>
    <n v="50"/>
    <d v="1998-03-11T00:00:00"/>
  </r>
  <r>
    <n v="10941"/>
    <x v="6"/>
    <n v="1740"/>
    <n v="50"/>
    <d v="1998-03-11T00:00:00"/>
  </r>
  <r>
    <n v="10941"/>
    <x v="7"/>
    <n v="1740"/>
    <n v="50"/>
    <d v="1998-03-11T00:00:00"/>
  </r>
  <r>
    <n v="10942"/>
    <x v="0"/>
    <n v="560"/>
    <n v="28"/>
    <d v="1998-03-11T00:00:00"/>
  </r>
  <r>
    <n v="10942"/>
    <x v="1"/>
    <n v="560"/>
    <n v="28"/>
    <d v="1998-03-11T00:00:00"/>
  </r>
  <r>
    <n v="10942"/>
    <x v="2"/>
    <n v="560"/>
    <n v="28"/>
    <d v="1998-03-11T00:00:00"/>
  </r>
  <r>
    <n v="10942"/>
    <x v="3"/>
    <n v="560"/>
    <n v="28"/>
    <d v="1998-03-11T00:00:00"/>
  </r>
  <r>
    <n v="10942"/>
    <x v="4"/>
    <n v="560"/>
    <n v="28"/>
    <d v="1998-03-11T00:00:00"/>
  </r>
  <r>
    <n v="10942"/>
    <x v="5"/>
    <n v="560"/>
    <n v="28"/>
    <d v="1998-03-11T00:00:00"/>
  </r>
  <r>
    <n v="10942"/>
    <x v="6"/>
    <n v="560"/>
    <n v="28"/>
    <d v="1998-03-11T00:00:00"/>
  </r>
  <r>
    <n v="10942"/>
    <x v="7"/>
    <n v="560"/>
    <n v="28"/>
    <d v="1998-03-11T00:00:00"/>
  </r>
  <r>
    <n v="10943"/>
    <x v="0"/>
    <n v="90"/>
    <n v="15"/>
    <d v="1998-03-11T00:00:00"/>
  </r>
  <r>
    <n v="10943"/>
    <x v="1"/>
    <n v="90"/>
    <n v="15"/>
    <d v="1998-03-11T00:00:00"/>
  </r>
  <r>
    <n v="10943"/>
    <x v="2"/>
    <n v="90"/>
    <n v="15"/>
    <d v="1998-03-11T00:00:00"/>
  </r>
  <r>
    <n v="10943"/>
    <x v="3"/>
    <n v="90"/>
    <n v="15"/>
    <d v="1998-03-11T00:00:00"/>
  </r>
  <r>
    <n v="10943"/>
    <x v="4"/>
    <n v="90"/>
    <n v="15"/>
    <d v="1998-03-11T00:00:00"/>
  </r>
  <r>
    <n v="10943"/>
    <x v="5"/>
    <n v="90"/>
    <n v="15"/>
    <d v="1998-03-11T00:00:00"/>
  </r>
  <r>
    <n v="10943"/>
    <x v="6"/>
    <n v="90"/>
    <n v="15"/>
    <d v="1998-03-11T00:00:00"/>
  </r>
  <r>
    <n v="10943"/>
    <x v="7"/>
    <n v="90"/>
    <n v="15"/>
    <d v="1998-03-11T00:00:00"/>
  </r>
  <r>
    <n v="10943"/>
    <x v="0"/>
    <n v="441"/>
    <n v="21"/>
    <d v="1998-03-11T00:00:00"/>
  </r>
  <r>
    <n v="10943"/>
    <x v="1"/>
    <n v="441"/>
    <n v="21"/>
    <d v="1998-03-11T00:00:00"/>
  </r>
  <r>
    <n v="10943"/>
    <x v="2"/>
    <n v="441"/>
    <n v="21"/>
    <d v="1998-03-11T00:00:00"/>
  </r>
  <r>
    <n v="10943"/>
    <x v="3"/>
    <n v="441"/>
    <n v="21"/>
    <d v="1998-03-11T00:00:00"/>
  </r>
  <r>
    <n v="10943"/>
    <x v="4"/>
    <n v="441"/>
    <n v="21"/>
    <d v="1998-03-11T00:00:00"/>
  </r>
  <r>
    <n v="10943"/>
    <x v="5"/>
    <n v="441"/>
    <n v="21"/>
    <d v="1998-03-11T00:00:00"/>
  </r>
  <r>
    <n v="10943"/>
    <x v="6"/>
    <n v="441"/>
    <n v="21"/>
    <d v="1998-03-11T00:00:00"/>
  </r>
  <r>
    <n v="10943"/>
    <x v="7"/>
    <n v="441"/>
    <n v="21"/>
    <d v="1998-03-11T00:00:00"/>
  </r>
  <r>
    <n v="10943"/>
    <x v="0"/>
    <n v="180"/>
    <n v="15"/>
    <d v="1998-03-11T00:00:00"/>
  </r>
  <r>
    <n v="10943"/>
    <x v="1"/>
    <n v="180"/>
    <n v="15"/>
    <d v="1998-03-11T00:00:00"/>
  </r>
  <r>
    <n v="10943"/>
    <x v="2"/>
    <n v="180"/>
    <n v="15"/>
    <d v="1998-03-11T00:00:00"/>
  </r>
  <r>
    <n v="10943"/>
    <x v="3"/>
    <n v="180"/>
    <n v="15"/>
    <d v="1998-03-11T00:00:00"/>
  </r>
  <r>
    <n v="10943"/>
    <x v="4"/>
    <n v="180"/>
    <n v="15"/>
    <d v="1998-03-11T00:00:00"/>
  </r>
  <r>
    <n v="10943"/>
    <x v="5"/>
    <n v="180"/>
    <n v="15"/>
    <d v="1998-03-11T00:00:00"/>
  </r>
  <r>
    <n v="10943"/>
    <x v="6"/>
    <n v="180"/>
    <n v="15"/>
    <d v="1998-03-11T00:00:00"/>
  </r>
  <r>
    <n v="10943"/>
    <x v="7"/>
    <n v="180"/>
    <n v="15"/>
    <d v="1998-03-11T00:00:00"/>
  </r>
  <r>
    <n v="10944"/>
    <x v="0"/>
    <n v="78.75"/>
    <n v="5"/>
    <d v="1998-03-12T00:00:00"/>
  </r>
  <r>
    <n v="10944"/>
    <x v="1"/>
    <n v="78.75"/>
    <n v="5"/>
    <d v="1998-03-12T00:00:00"/>
  </r>
  <r>
    <n v="10944"/>
    <x v="2"/>
    <n v="78.75"/>
    <n v="5"/>
    <d v="1998-03-12T00:00:00"/>
  </r>
  <r>
    <n v="10944"/>
    <x v="3"/>
    <n v="78.75"/>
    <n v="5"/>
    <d v="1998-03-12T00:00:00"/>
  </r>
  <r>
    <n v="10944"/>
    <x v="4"/>
    <n v="78.75"/>
    <n v="5"/>
    <d v="1998-03-12T00:00:00"/>
  </r>
  <r>
    <n v="10944"/>
    <x v="5"/>
    <n v="78.75"/>
    <n v="5"/>
    <d v="1998-03-12T00:00:00"/>
  </r>
  <r>
    <n v="10944"/>
    <x v="6"/>
    <n v="78.75"/>
    <n v="5"/>
    <d v="1998-03-12T00:00:00"/>
  </r>
  <r>
    <n v="10944"/>
    <x v="7"/>
    <n v="78.75"/>
    <n v="5"/>
    <d v="1998-03-12T00:00:00"/>
  </r>
  <r>
    <n v="10944"/>
    <x v="0"/>
    <n v="262.57500000000005"/>
    <n v="18"/>
    <d v="1998-03-12T00:00:00"/>
  </r>
  <r>
    <n v="10944"/>
    <x v="1"/>
    <n v="262.57500000000005"/>
    <n v="18"/>
    <d v="1998-03-12T00:00:00"/>
  </r>
  <r>
    <n v="10944"/>
    <x v="2"/>
    <n v="262.57500000000005"/>
    <n v="18"/>
    <d v="1998-03-12T00:00:00"/>
  </r>
  <r>
    <n v="10944"/>
    <x v="3"/>
    <n v="262.57500000000005"/>
    <n v="18"/>
    <d v="1998-03-12T00:00:00"/>
  </r>
  <r>
    <n v="10944"/>
    <x v="4"/>
    <n v="262.57500000000005"/>
    <n v="18"/>
    <d v="1998-03-12T00:00:00"/>
  </r>
  <r>
    <n v="10944"/>
    <x v="5"/>
    <n v="262.57500000000005"/>
    <n v="18"/>
    <d v="1998-03-12T00:00:00"/>
  </r>
  <r>
    <n v="10944"/>
    <x v="6"/>
    <n v="262.57500000000005"/>
    <n v="18"/>
    <d v="1998-03-12T00:00:00"/>
  </r>
  <r>
    <n v="10944"/>
    <x v="7"/>
    <n v="262.57500000000005"/>
    <n v="18"/>
    <d v="1998-03-12T00:00:00"/>
  </r>
  <r>
    <n v="10944"/>
    <x v="0"/>
    <n v="684"/>
    <n v="18"/>
    <d v="1998-03-12T00:00:00"/>
  </r>
  <r>
    <n v="10944"/>
    <x v="1"/>
    <n v="684"/>
    <n v="18"/>
    <d v="1998-03-12T00:00:00"/>
  </r>
  <r>
    <n v="10944"/>
    <x v="2"/>
    <n v="684"/>
    <n v="18"/>
    <d v="1998-03-12T00:00:00"/>
  </r>
  <r>
    <n v="10944"/>
    <x v="3"/>
    <n v="684"/>
    <n v="18"/>
    <d v="1998-03-12T00:00:00"/>
  </r>
  <r>
    <n v="10944"/>
    <x v="4"/>
    <n v="684"/>
    <n v="18"/>
    <d v="1998-03-12T00:00:00"/>
  </r>
  <r>
    <n v="10944"/>
    <x v="5"/>
    <n v="684"/>
    <n v="18"/>
    <d v="1998-03-12T00:00:00"/>
  </r>
  <r>
    <n v="10944"/>
    <x v="6"/>
    <n v="684"/>
    <n v="18"/>
    <d v="1998-03-12T00:00:00"/>
  </r>
  <r>
    <n v="10944"/>
    <x v="7"/>
    <n v="684"/>
    <n v="18"/>
    <d v="1998-03-12T00:00:00"/>
  </r>
  <r>
    <n v="10945"/>
    <x v="0"/>
    <n v="120"/>
    <n v="20"/>
    <d v="1998-03-12T00:00:00"/>
  </r>
  <r>
    <n v="10945"/>
    <x v="1"/>
    <n v="120"/>
    <n v="20"/>
    <d v="1998-03-12T00:00:00"/>
  </r>
  <r>
    <n v="10945"/>
    <x v="2"/>
    <n v="120"/>
    <n v="20"/>
    <d v="1998-03-12T00:00:00"/>
  </r>
  <r>
    <n v="10945"/>
    <x v="3"/>
    <n v="120"/>
    <n v="20"/>
    <d v="1998-03-12T00:00:00"/>
  </r>
  <r>
    <n v="10945"/>
    <x v="4"/>
    <n v="120"/>
    <n v="20"/>
    <d v="1998-03-12T00:00:00"/>
  </r>
  <r>
    <n v="10945"/>
    <x v="5"/>
    <n v="120"/>
    <n v="20"/>
    <d v="1998-03-12T00:00:00"/>
  </r>
  <r>
    <n v="10945"/>
    <x v="6"/>
    <n v="120"/>
    <n v="20"/>
    <d v="1998-03-12T00:00:00"/>
  </r>
  <r>
    <n v="10945"/>
    <x v="7"/>
    <n v="120"/>
    <n v="20"/>
    <d v="1998-03-12T00:00:00"/>
  </r>
  <r>
    <n v="10945"/>
    <x v="0"/>
    <n v="125"/>
    <n v="10"/>
    <d v="1998-03-12T00:00:00"/>
  </r>
  <r>
    <n v="10945"/>
    <x v="1"/>
    <n v="125"/>
    <n v="10"/>
    <d v="1998-03-12T00:00:00"/>
  </r>
  <r>
    <n v="10945"/>
    <x v="2"/>
    <n v="125"/>
    <n v="10"/>
    <d v="1998-03-12T00:00:00"/>
  </r>
  <r>
    <n v="10945"/>
    <x v="3"/>
    <n v="125"/>
    <n v="10"/>
    <d v="1998-03-12T00:00:00"/>
  </r>
  <r>
    <n v="10945"/>
    <x v="4"/>
    <n v="125"/>
    <n v="10"/>
    <d v="1998-03-12T00:00:00"/>
  </r>
  <r>
    <n v="10945"/>
    <x v="5"/>
    <n v="125"/>
    <n v="10"/>
    <d v="1998-03-12T00:00:00"/>
  </r>
  <r>
    <n v="10945"/>
    <x v="6"/>
    <n v="125"/>
    <n v="10"/>
    <d v="1998-03-12T00:00:00"/>
  </r>
  <r>
    <n v="10945"/>
    <x v="7"/>
    <n v="125"/>
    <n v="10"/>
    <d v="1998-03-12T00:00:00"/>
  </r>
  <r>
    <n v="10946"/>
    <x v="0"/>
    <n v="775"/>
    <n v="25"/>
    <d v="1998-03-12T00:00:00"/>
  </r>
  <r>
    <n v="10946"/>
    <x v="1"/>
    <n v="775"/>
    <n v="25"/>
    <d v="1998-03-12T00:00:00"/>
  </r>
  <r>
    <n v="10946"/>
    <x v="2"/>
    <n v="775"/>
    <n v="25"/>
    <d v="1998-03-12T00:00:00"/>
  </r>
  <r>
    <n v="10946"/>
    <x v="3"/>
    <n v="775"/>
    <n v="25"/>
    <d v="1998-03-12T00:00:00"/>
  </r>
  <r>
    <n v="10946"/>
    <x v="4"/>
    <n v="775"/>
    <n v="25"/>
    <d v="1998-03-12T00:00:00"/>
  </r>
  <r>
    <n v="10946"/>
    <x v="5"/>
    <n v="775"/>
    <n v="25"/>
    <d v="1998-03-12T00:00:00"/>
  </r>
  <r>
    <n v="10946"/>
    <x v="6"/>
    <n v="775"/>
    <n v="25"/>
    <d v="1998-03-12T00:00:00"/>
  </r>
  <r>
    <n v="10946"/>
    <x v="7"/>
    <n v="775"/>
    <n v="25"/>
    <d v="1998-03-12T00:00:00"/>
  </r>
  <r>
    <n v="10946"/>
    <x v="0"/>
    <n v="112.5"/>
    <n v="25"/>
    <d v="1998-03-12T00:00:00"/>
  </r>
  <r>
    <n v="10946"/>
    <x v="1"/>
    <n v="112.5"/>
    <n v="25"/>
    <d v="1998-03-12T00:00:00"/>
  </r>
  <r>
    <n v="10946"/>
    <x v="2"/>
    <n v="112.5"/>
    <n v="25"/>
    <d v="1998-03-12T00:00:00"/>
  </r>
  <r>
    <n v="10946"/>
    <x v="3"/>
    <n v="112.5"/>
    <n v="25"/>
    <d v="1998-03-12T00:00:00"/>
  </r>
  <r>
    <n v="10946"/>
    <x v="4"/>
    <n v="112.5"/>
    <n v="25"/>
    <d v="1998-03-12T00:00:00"/>
  </r>
  <r>
    <n v="10946"/>
    <x v="5"/>
    <n v="112.5"/>
    <n v="25"/>
    <d v="1998-03-12T00:00:00"/>
  </r>
  <r>
    <n v="10946"/>
    <x v="6"/>
    <n v="112.5"/>
    <n v="25"/>
    <d v="1998-03-12T00:00:00"/>
  </r>
  <r>
    <n v="10946"/>
    <x v="7"/>
    <n v="112.5"/>
    <n v="25"/>
    <d v="1998-03-12T00:00:00"/>
  </r>
  <r>
    <n v="10946"/>
    <x v="0"/>
    <n v="520"/>
    <n v="40"/>
    <d v="1998-03-12T00:00:00"/>
  </r>
  <r>
    <n v="10946"/>
    <x v="1"/>
    <n v="520"/>
    <n v="40"/>
    <d v="1998-03-12T00:00:00"/>
  </r>
  <r>
    <n v="10946"/>
    <x v="2"/>
    <n v="520"/>
    <n v="40"/>
    <d v="1998-03-12T00:00:00"/>
  </r>
  <r>
    <n v="10946"/>
    <x v="3"/>
    <n v="520"/>
    <n v="40"/>
    <d v="1998-03-12T00:00:00"/>
  </r>
  <r>
    <n v="10946"/>
    <x v="4"/>
    <n v="520"/>
    <n v="40"/>
    <d v="1998-03-12T00:00:00"/>
  </r>
  <r>
    <n v="10946"/>
    <x v="5"/>
    <n v="520"/>
    <n v="40"/>
    <d v="1998-03-12T00:00:00"/>
  </r>
  <r>
    <n v="10946"/>
    <x v="6"/>
    <n v="520"/>
    <n v="40"/>
    <d v="1998-03-12T00:00:00"/>
  </r>
  <r>
    <n v="10946"/>
    <x v="7"/>
    <n v="520"/>
    <n v="40"/>
    <d v="1998-03-12T00:00:00"/>
  </r>
  <r>
    <n v="10947"/>
    <x v="0"/>
    <n v="220"/>
    <n v="4"/>
    <d v="1998-03-13T00:00:00"/>
  </r>
  <r>
    <n v="10947"/>
    <x v="1"/>
    <n v="220"/>
    <n v="4"/>
    <d v="1998-03-13T00:00:00"/>
  </r>
  <r>
    <n v="10947"/>
    <x v="2"/>
    <n v="220"/>
    <n v="4"/>
    <d v="1998-03-13T00:00:00"/>
  </r>
  <r>
    <n v="10947"/>
    <x v="3"/>
    <n v="220"/>
    <n v="4"/>
    <d v="1998-03-13T00:00:00"/>
  </r>
  <r>
    <n v="10947"/>
    <x v="4"/>
    <n v="220"/>
    <n v="4"/>
    <d v="1998-03-13T00:00:00"/>
  </r>
  <r>
    <n v="10947"/>
    <x v="5"/>
    <n v="220"/>
    <n v="4"/>
    <d v="1998-03-13T00:00:00"/>
  </r>
  <r>
    <n v="10947"/>
    <x v="6"/>
    <n v="220"/>
    <n v="4"/>
    <d v="1998-03-13T00:00:00"/>
  </r>
  <r>
    <n v="10947"/>
    <x v="7"/>
    <n v="220"/>
    <n v="4"/>
    <d v="1998-03-13T00:00:00"/>
  </r>
  <r>
    <n v="10948"/>
    <x v="0"/>
    <n v="146.25"/>
    <n v="9"/>
    <d v="1998-03-13T00:00:00"/>
  </r>
  <r>
    <n v="10948"/>
    <x v="1"/>
    <n v="146.25"/>
    <n v="9"/>
    <d v="1998-03-13T00:00:00"/>
  </r>
  <r>
    <n v="10948"/>
    <x v="2"/>
    <n v="146.25"/>
    <n v="9"/>
    <d v="1998-03-13T00:00:00"/>
  </r>
  <r>
    <n v="10948"/>
    <x v="3"/>
    <n v="146.25"/>
    <n v="9"/>
    <d v="1998-03-13T00:00:00"/>
  </r>
  <r>
    <n v="10948"/>
    <x v="4"/>
    <n v="146.25"/>
    <n v="9"/>
    <d v="1998-03-13T00:00:00"/>
  </r>
  <r>
    <n v="10948"/>
    <x v="5"/>
    <n v="146.25"/>
    <n v="9"/>
    <d v="1998-03-13T00:00:00"/>
  </r>
  <r>
    <n v="10948"/>
    <x v="6"/>
    <n v="146.25"/>
    <n v="9"/>
    <d v="1998-03-13T00:00:00"/>
  </r>
  <r>
    <n v="10948"/>
    <x v="7"/>
    <n v="146.25"/>
    <n v="9"/>
    <d v="1998-03-13T00:00:00"/>
  </r>
  <r>
    <n v="10948"/>
    <x v="0"/>
    <n v="2120"/>
    <n v="40"/>
    <d v="1998-03-13T00:00:00"/>
  </r>
  <r>
    <n v="10948"/>
    <x v="1"/>
    <n v="2120"/>
    <n v="40"/>
    <d v="1998-03-13T00:00:00"/>
  </r>
  <r>
    <n v="10948"/>
    <x v="2"/>
    <n v="2120"/>
    <n v="40"/>
    <d v="1998-03-13T00:00:00"/>
  </r>
  <r>
    <n v="10948"/>
    <x v="3"/>
    <n v="2120"/>
    <n v="40"/>
    <d v="1998-03-13T00:00:00"/>
  </r>
  <r>
    <n v="10948"/>
    <x v="4"/>
    <n v="2120"/>
    <n v="40"/>
    <d v="1998-03-13T00:00:00"/>
  </r>
  <r>
    <n v="10948"/>
    <x v="5"/>
    <n v="2120"/>
    <n v="40"/>
    <d v="1998-03-13T00:00:00"/>
  </r>
  <r>
    <n v="10948"/>
    <x v="6"/>
    <n v="2120"/>
    <n v="40"/>
    <d v="1998-03-13T00:00:00"/>
  </r>
  <r>
    <n v="10948"/>
    <x v="7"/>
    <n v="2120"/>
    <n v="40"/>
    <d v="1998-03-13T00:00:00"/>
  </r>
  <r>
    <n v="10948"/>
    <x v="0"/>
    <n v="96"/>
    <n v="4"/>
    <d v="1998-03-13T00:00:00"/>
  </r>
  <r>
    <n v="10948"/>
    <x v="1"/>
    <n v="96"/>
    <n v="4"/>
    <d v="1998-03-13T00:00:00"/>
  </r>
  <r>
    <n v="10948"/>
    <x v="2"/>
    <n v="96"/>
    <n v="4"/>
    <d v="1998-03-13T00:00:00"/>
  </r>
  <r>
    <n v="10948"/>
    <x v="3"/>
    <n v="96"/>
    <n v="4"/>
    <d v="1998-03-13T00:00:00"/>
  </r>
  <r>
    <n v="10948"/>
    <x v="4"/>
    <n v="96"/>
    <n v="4"/>
    <d v="1998-03-13T00:00:00"/>
  </r>
  <r>
    <n v="10948"/>
    <x v="5"/>
    <n v="96"/>
    <n v="4"/>
    <d v="1998-03-13T00:00:00"/>
  </r>
  <r>
    <n v="10948"/>
    <x v="6"/>
    <n v="96"/>
    <n v="4"/>
    <d v="1998-03-13T00:00:00"/>
  </r>
  <r>
    <n v="10948"/>
    <x v="7"/>
    <n v="96"/>
    <n v="4"/>
    <d v="1998-03-13T00:00:00"/>
  </r>
  <r>
    <n v="10949"/>
    <x v="0"/>
    <n v="300"/>
    <n v="12"/>
    <d v="1998-03-13T00:00:00"/>
  </r>
  <r>
    <n v="10949"/>
    <x v="1"/>
    <n v="300"/>
    <n v="12"/>
    <d v="1998-03-13T00:00:00"/>
  </r>
  <r>
    <n v="10949"/>
    <x v="2"/>
    <n v="300"/>
    <n v="12"/>
    <d v="1998-03-13T00:00:00"/>
  </r>
  <r>
    <n v="10949"/>
    <x v="3"/>
    <n v="300"/>
    <n v="12"/>
    <d v="1998-03-13T00:00:00"/>
  </r>
  <r>
    <n v="10949"/>
    <x v="4"/>
    <n v="300"/>
    <n v="12"/>
    <d v="1998-03-13T00:00:00"/>
  </r>
  <r>
    <n v="10949"/>
    <x v="5"/>
    <n v="300"/>
    <n v="12"/>
    <d v="1998-03-13T00:00:00"/>
  </r>
  <r>
    <n v="10949"/>
    <x v="6"/>
    <n v="300"/>
    <n v="12"/>
    <d v="1998-03-13T00:00:00"/>
  </r>
  <r>
    <n v="10949"/>
    <x v="7"/>
    <n v="300"/>
    <n v="12"/>
    <d v="1998-03-13T00:00:00"/>
  </r>
  <r>
    <n v="10949"/>
    <x v="0"/>
    <n v="930"/>
    <n v="30"/>
    <d v="1998-03-13T00:00:00"/>
  </r>
  <r>
    <n v="10949"/>
    <x v="1"/>
    <n v="930"/>
    <n v="30"/>
    <d v="1998-03-13T00:00:00"/>
  </r>
  <r>
    <n v="10949"/>
    <x v="2"/>
    <n v="930"/>
    <n v="30"/>
    <d v="1998-03-13T00:00:00"/>
  </r>
  <r>
    <n v="10949"/>
    <x v="3"/>
    <n v="930"/>
    <n v="30"/>
    <d v="1998-03-13T00:00:00"/>
  </r>
  <r>
    <n v="10949"/>
    <x v="4"/>
    <n v="930"/>
    <n v="30"/>
    <d v="1998-03-13T00:00:00"/>
  </r>
  <r>
    <n v="10949"/>
    <x v="5"/>
    <n v="930"/>
    <n v="30"/>
    <d v="1998-03-13T00:00:00"/>
  </r>
  <r>
    <n v="10949"/>
    <x v="6"/>
    <n v="930"/>
    <n v="30"/>
    <d v="1998-03-13T00:00:00"/>
  </r>
  <r>
    <n v="10949"/>
    <x v="7"/>
    <n v="930"/>
    <n v="30"/>
    <d v="1998-03-13T00:00:00"/>
  </r>
  <r>
    <n v="10949"/>
    <x v="0"/>
    <n v="234"/>
    <n v="6"/>
    <d v="1998-03-13T00:00:00"/>
  </r>
  <r>
    <n v="10949"/>
    <x v="1"/>
    <n v="234"/>
    <n v="6"/>
    <d v="1998-03-13T00:00:00"/>
  </r>
  <r>
    <n v="10949"/>
    <x v="2"/>
    <n v="234"/>
    <n v="6"/>
    <d v="1998-03-13T00:00:00"/>
  </r>
  <r>
    <n v="10949"/>
    <x v="3"/>
    <n v="234"/>
    <n v="6"/>
    <d v="1998-03-13T00:00:00"/>
  </r>
  <r>
    <n v="10949"/>
    <x v="4"/>
    <n v="234"/>
    <n v="6"/>
    <d v="1998-03-13T00:00:00"/>
  </r>
  <r>
    <n v="10949"/>
    <x v="5"/>
    <n v="234"/>
    <n v="6"/>
    <d v="1998-03-13T00:00:00"/>
  </r>
  <r>
    <n v="10949"/>
    <x v="6"/>
    <n v="234"/>
    <n v="6"/>
    <d v="1998-03-13T00:00:00"/>
  </r>
  <r>
    <n v="10949"/>
    <x v="7"/>
    <n v="234"/>
    <n v="6"/>
    <d v="1998-03-13T00:00:00"/>
  </r>
  <r>
    <n v="10949"/>
    <x v="0"/>
    <n v="2958"/>
    <n v="60"/>
    <d v="1998-03-13T00:00:00"/>
  </r>
  <r>
    <n v="10949"/>
    <x v="1"/>
    <n v="2958"/>
    <n v="60"/>
    <d v="1998-03-13T00:00:00"/>
  </r>
  <r>
    <n v="10949"/>
    <x v="2"/>
    <n v="2958"/>
    <n v="60"/>
    <d v="1998-03-13T00:00:00"/>
  </r>
  <r>
    <n v="10949"/>
    <x v="3"/>
    <n v="2958"/>
    <n v="60"/>
    <d v="1998-03-13T00:00:00"/>
  </r>
  <r>
    <n v="10949"/>
    <x v="4"/>
    <n v="2958"/>
    <n v="60"/>
    <d v="1998-03-13T00:00:00"/>
  </r>
  <r>
    <n v="10949"/>
    <x v="5"/>
    <n v="2958"/>
    <n v="60"/>
    <d v="1998-03-13T00:00:00"/>
  </r>
  <r>
    <n v="10949"/>
    <x v="6"/>
    <n v="2958"/>
    <n v="60"/>
    <d v="1998-03-13T00:00:00"/>
  </r>
  <r>
    <n v="10949"/>
    <x v="7"/>
    <n v="2958"/>
    <n v="60"/>
    <d v="1998-03-13T00:00:00"/>
  </r>
  <r>
    <n v="10950"/>
    <x v="0"/>
    <n v="110"/>
    <n v="5"/>
    <d v="1998-03-16T00:00:00"/>
  </r>
  <r>
    <n v="10950"/>
    <x v="1"/>
    <n v="110"/>
    <n v="5"/>
    <d v="1998-03-16T00:00:00"/>
  </r>
  <r>
    <n v="10950"/>
    <x v="2"/>
    <n v="110"/>
    <n v="5"/>
    <d v="1998-03-16T00:00:00"/>
  </r>
  <r>
    <n v="10950"/>
    <x v="3"/>
    <n v="110"/>
    <n v="5"/>
    <d v="1998-03-16T00:00:00"/>
  </r>
  <r>
    <n v="10950"/>
    <x v="4"/>
    <n v="110"/>
    <n v="5"/>
    <d v="1998-03-16T00:00:00"/>
  </r>
  <r>
    <n v="10950"/>
    <x v="5"/>
    <n v="110"/>
    <n v="5"/>
    <d v="1998-03-16T00:00:00"/>
  </r>
  <r>
    <n v="10950"/>
    <x v="6"/>
    <n v="110"/>
    <n v="5"/>
    <d v="1998-03-16T00:00:00"/>
  </r>
  <r>
    <n v="10950"/>
    <x v="7"/>
    <n v="110"/>
    <n v="5"/>
    <d v="1998-03-16T00:00:00"/>
  </r>
  <r>
    <n v="10951"/>
    <x v="0"/>
    <n v="35.624999972060323"/>
    <n v="15"/>
    <d v="1998-03-16T00:00:00"/>
  </r>
  <r>
    <n v="10951"/>
    <x v="1"/>
    <n v="35.624999972060323"/>
    <n v="15"/>
    <d v="1998-03-16T00:00:00"/>
  </r>
  <r>
    <n v="10951"/>
    <x v="2"/>
    <n v="35.624999972060323"/>
    <n v="15"/>
    <d v="1998-03-16T00:00:00"/>
  </r>
  <r>
    <n v="10951"/>
    <x v="3"/>
    <n v="35.624999972060323"/>
    <n v="15"/>
    <d v="1998-03-16T00:00:00"/>
  </r>
  <r>
    <n v="10951"/>
    <x v="4"/>
    <n v="35.624999972060323"/>
    <n v="15"/>
    <d v="1998-03-16T00:00:00"/>
  </r>
  <r>
    <n v="10951"/>
    <x v="5"/>
    <n v="35.624999972060323"/>
    <n v="15"/>
    <d v="1998-03-16T00:00:00"/>
  </r>
  <r>
    <n v="10951"/>
    <x v="6"/>
    <n v="35.624999972060323"/>
    <n v="15"/>
    <d v="1998-03-16T00:00:00"/>
  </r>
  <r>
    <n v="10951"/>
    <x v="7"/>
    <n v="35.624999972060323"/>
    <n v="15"/>
    <d v="1998-03-16T00:00:00"/>
  </r>
  <r>
    <n v="10951"/>
    <x v="0"/>
    <n v="55.004999956861134"/>
    <n v="6"/>
    <d v="1998-03-16T00:00:00"/>
  </r>
  <r>
    <n v="10951"/>
    <x v="1"/>
    <n v="55.004999956861134"/>
    <n v="6"/>
    <d v="1998-03-16T00:00:00"/>
  </r>
  <r>
    <n v="10951"/>
    <x v="2"/>
    <n v="55.004999956861134"/>
    <n v="6"/>
    <d v="1998-03-16T00:00:00"/>
  </r>
  <r>
    <n v="10951"/>
    <x v="3"/>
    <n v="55.004999956861134"/>
    <n v="6"/>
    <d v="1998-03-16T00:00:00"/>
  </r>
  <r>
    <n v="10951"/>
    <x v="4"/>
    <n v="55.004999956861134"/>
    <n v="6"/>
    <d v="1998-03-16T00:00:00"/>
  </r>
  <r>
    <n v="10951"/>
    <x v="5"/>
    <n v="55.004999956861134"/>
    <n v="6"/>
    <d v="1998-03-16T00:00:00"/>
  </r>
  <r>
    <n v="10951"/>
    <x v="6"/>
    <n v="55.004999956861134"/>
    <n v="6"/>
    <d v="1998-03-16T00:00:00"/>
  </r>
  <r>
    <n v="10951"/>
    <x v="7"/>
    <n v="55.004999956861134"/>
    <n v="6"/>
    <d v="1998-03-16T00:00:00"/>
  </r>
  <r>
    <n v="10951"/>
    <x v="0"/>
    <n v="368.12499971129"/>
    <n v="50"/>
    <d v="1998-03-16T00:00:00"/>
  </r>
  <r>
    <n v="10951"/>
    <x v="1"/>
    <n v="368.12499971129"/>
    <n v="50"/>
    <d v="1998-03-16T00:00:00"/>
  </r>
  <r>
    <n v="10951"/>
    <x v="2"/>
    <n v="368.12499971129"/>
    <n v="50"/>
    <d v="1998-03-16T00:00:00"/>
  </r>
  <r>
    <n v="10951"/>
    <x v="3"/>
    <n v="368.12499971129"/>
    <n v="50"/>
    <d v="1998-03-16T00:00:00"/>
  </r>
  <r>
    <n v="10951"/>
    <x v="4"/>
    <n v="368.12499971129"/>
    <n v="50"/>
    <d v="1998-03-16T00:00:00"/>
  </r>
  <r>
    <n v="10951"/>
    <x v="5"/>
    <n v="368.12499971129"/>
    <n v="50"/>
    <d v="1998-03-16T00:00:00"/>
  </r>
  <r>
    <n v="10951"/>
    <x v="6"/>
    <n v="368.12499971129"/>
    <n v="50"/>
    <d v="1998-03-16T00:00:00"/>
  </r>
  <r>
    <n v="10951"/>
    <x v="7"/>
    <n v="368.12499971129"/>
    <n v="50"/>
    <d v="1998-03-16T00:00:00"/>
  </r>
  <r>
    <n v="10952"/>
    <x v="0"/>
    <n v="379.99999970197678"/>
    <n v="16"/>
    <d v="1998-03-16T00:00:00"/>
  </r>
  <r>
    <n v="10952"/>
    <x v="1"/>
    <n v="379.99999970197678"/>
    <n v="16"/>
    <d v="1998-03-16T00:00:00"/>
  </r>
  <r>
    <n v="10952"/>
    <x v="2"/>
    <n v="379.99999970197678"/>
    <n v="16"/>
    <d v="1998-03-16T00:00:00"/>
  </r>
  <r>
    <n v="10952"/>
    <x v="3"/>
    <n v="379.99999970197678"/>
    <n v="16"/>
    <d v="1998-03-16T00:00:00"/>
  </r>
  <r>
    <n v="10952"/>
    <x v="4"/>
    <n v="379.99999970197678"/>
    <n v="16"/>
    <d v="1998-03-16T00:00:00"/>
  </r>
  <r>
    <n v="10952"/>
    <x v="5"/>
    <n v="379.99999970197678"/>
    <n v="16"/>
    <d v="1998-03-16T00:00:00"/>
  </r>
  <r>
    <n v="10952"/>
    <x v="6"/>
    <n v="379.99999970197678"/>
    <n v="16"/>
    <d v="1998-03-16T00:00:00"/>
  </r>
  <r>
    <n v="10952"/>
    <x v="7"/>
    <n v="379.99999970197678"/>
    <n v="16"/>
    <d v="1998-03-16T00:00:00"/>
  </r>
  <r>
    <n v="10952"/>
    <x v="0"/>
    <n v="91.2"/>
    <n v="2"/>
    <d v="1998-03-16T00:00:00"/>
  </r>
  <r>
    <n v="10952"/>
    <x v="1"/>
    <n v="91.2"/>
    <n v="2"/>
    <d v="1998-03-16T00:00:00"/>
  </r>
  <r>
    <n v="10952"/>
    <x v="2"/>
    <n v="91.2"/>
    <n v="2"/>
    <d v="1998-03-16T00:00:00"/>
  </r>
  <r>
    <n v="10952"/>
    <x v="3"/>
    <n v="91.2"/>
    <n v="2"/>
    <d v="1998-03-16T00:00:00"/>
  </r>
  <r>
    <n v="10952"/>
    <x v="4"/>
    <n v="91.2"/>
    <n v="2"/>
    <d v="1998-03-16T00:00:00"/>
  </r>
  <r>
    <n v="10952"/>
    <x v="5"/>
    <n v="91.2"/>
    <n v="2"/>
    <d v="1998-03-16T00:00:00"/>
  </r>
  <r>
    <n v="10952"/>
    <x v="6"/>
    <n v="91.2"/>
    <n v="2"/>
    <d v="1998-03-16T00:00:00"/>
  </r>
  <r>
    <n v="10952"/>
    <x v="7"/>
    <n v="91.2"/>
    <n v="2"/>
    <d v="1998-03-16T00:00:00"/>
  </r>
  <r>
    <n v="10952"/>
    <x v="0"/>
    <n v="9.5"/>
    <n v="1"/>
    <d v="1998-03-16T00:00:00"/>
  </r>
  <r>
    <n v="10952"/>
    <x v="1"/>
    <n v="9.5"/>
    <n v="1"/>
    <d v="1998-03-16T00:00:00"/>
  </r>
  <r>
    <n v="10952"/>
    <x v="2"/>
    <n v="9.5"/>
    <n v="1"/>
    <d v="1998-03-16T00:00:00"/>
  </r>
  <r>
    <n v="10952"/>
    <x v="3"/>
    <n v="9.5"/>
    <n v="1"/>
    <d v="1998-03-16T00:00:00"/>
  </r>
  <r>
    <n v="10952"/>
    <x v="4"/>
    <n v="9.5"/>
    <n v="1"/>
    <d v="1998-03-16T00:00:00"/>
  </r>
  <r>
    <n v="10952"/>
    <x v="5"/>
    <n v="9.5"/>
    <n v="1"/>
    <d v="1998-03-16T00:00:00"/>
  </r>
  <r>
    <n v="10952"/>
    <x v="6"/>
    <n v="9.5"/>
    <n v="1"/>
    <d v="1998-03-16T00:00:00"/>
  </r>
  <r>
    <n v="10952"/>
    <x v="7"/>
    <n v="9.5"/>
    <n v="1"/>
    <d v="1998-03-16T00:00:00"/>
  </r>
  <r>
    <n v="10952"/>
    <x v="0"/>
    <n v="38"/>
    <n v="1"/>
    <d v="1998-03-16T00:00:00"/>
  </r>
  <r>
    <n v="10952"/>
    <x v="1"/>
    <n v="38"/>
    <n v="1"/>
    <d v="1998-03-16T00:00:00"/>
  </r>
  <r>
    <n v="10952"/>
    <x v="2"/>
    <n v="38"/>
    <n v="1"/>
    <d v="1998-03-16T00:00:00"/>
  </r>
  <r>
    <n v="10952"/>
    <x v="3"/>
    <n v="38"/>
    <n v="1"/>
    <d v="1998-03-16T00:00:00"/>
  </r>
  <r>
    <n v="10952"/>
    <x v="4"/>
    <n v="38"/>
    <n v="1"/>
    <d v="1998-03-16T00:00:00"/>
  </r>
  <r>
    <n v="10952"/>
    <x v="5"/>
    <n v="38"/>
    <n v="1"/>
    <d v="1998-03-16T00:00:00"/>
  </r>
  <r>
    <n v="10952"/>
    <x v="6"/>
    <n v="38"/>
    <n v="1"/>
    <d v="1998-03-16T00:00:00"/>
  </r>
  <r>
    <n v="10952"/>
    <x v="7"/>
    <n v="38"/>
    <n v="1"/>
    <d v="1998-03-16T00:00:00"/>
  </r>
  <r>
    <n v="10953"/>
    <x v="0"/>
    <n v="3847.4999969825149"/>
    <n v="50"/>
    <d v="1998-03-16T00:00:00"/>
  </r>
  <r>
    <n v="10953"/>
    <x v="1"/>
    <n v="3847.4999969825149"/>
    <n v="50"/>
    <d v="1998-03-16T00:00:00"/>
  </r>
  <r>
    <n v="10953"/>
    <x v="2"/>
    <n v="3847.4999969825149"/>
    <n v="50"/>
    <d v="1998-03-16T00:00:00"/>
  </r>
  <r>
    <n v="10953"/>
    <x v="3"/>
    <n v="3847.4999969825149"/>
    <n v="50"/>
    <d v="1998-03-16T00:00:00"/>
  </r>
  <r>
    <n v="10953"/>
    <x v="4"/>
    <n v="3847.4999969825149"/>
    <n v="50"/>
    <d v="1998-03-16T00:00:00"/>
  </r>
  <r>
    <n v="10953"/>
    <x v="5"/>
    <n v="3847.4999969825149"/>
    <n v="50"/>
    <d v="1998-03-16T00:00:00"/>
  </r>
  <r>
    <n v="10953"/>
    <x v="6"/>
    <n v="3847.4999969825149"/>
    <n v="50"/>
    <d v="1998-03-16T00:00:00"/>
  </r>
  <r>
    <n v="10953"/>
    <x v="7"/>
    <n v="3847.4999969825149"/>
    <n v="50"/>
    <d v="1998-03-16T00:00:00"/>
  </r>
  <r>
    <n v="10953"/>
    <x v="0"/>
    <n v="593.74999953433871"/>
    <n v="50"/>
    <d v="1998-03-16T00:00:00"/>
  </r>
  <r>
    <n v="10953"/>
    <x v="1"/>
    <n v="593.74999953433871"/>
    <n v="50"/>
    <d v="1998-03-16T00:00:00"/>
  </r>
  <r>
    <n v="10953"/>
    <x v="2"/>
    <n v="593.74999953433871"/>
    <n v="50"/>
    <d v="1998-03-16T00:00:00"/>
  </r>
  <r>
    <n v="10953"/>
    <x v="3"/>
    <n v="593.74999953433871"/>
    <n v="50"/>
    <d v="1998-03-16T00:00:00"/>
  </r>
  <r>
    <n v="10953"/>
    <x v="4"/>
    <n v="593.74999953433871"/>
    <n v="50"/>
    <d v="1998-03-16T00:00:00"/>
  </r>
  <r>
    <n v="10953"/>
    <x v="5"/>
    <n v="593.74999953433871"/>
    <n v="50"/>
    <d v="1998-03-16T00:00:00"/>
  </r>
  <r>
    <n v="10953"/>
    <x v="6"/>
    <n v="593.74999953433871"/>
    <n v="50"/>
    <d v="1998-03-16T00:00:00"/>
  </r>
  <r>
    <n v="10953"/>
    <x v="7"/>
    <n v="593.74999953433871"/>
    <n v="50"/>
    <d v="1998-03-16T00:00:00"/>
  </r>
  <r>
    <n v="10954"/>
    <x v="0"/>
    <n v="415.30999708771708"/>
    <n v="28"/>
    <d v="1998-03-17T00:00:00"/>
  </r>
  <r>
    <n v="10954"/>
    <x v="1"/>
    <n v="415.30999708771708"/>
    <n v="28"/>
    <d v="1998-03-17T00:00:00"/>
  </r>
  <r>
    <n v="10954"/>
    <x v="2"/>
    <n v="415.30999708771708"/>
    <n v="28"/>
    <d v="1998-03-17T00:00:00"/>
  </r>
  <r>
    <n v="10954"/>
    <x v="3"/>
    <n v="415.30999708771708"/>
    <n v="28"/>
    <d v="1998-03-17T00:00:00"/>
  </r>
  <r>
    <n v="10954"/>
    <x v="4"/>
    <n v="415.30999708771708"/>
    <n v="28"/>
    <d v="1998-03-17T00:00:00"/>
  </r>
  <r>
    <n v="10954"/>
    <x v="5"/>
    <n v="415.30999708771708"/>
    <n v="28"/>
    <d v="1998-03-17T00:00:00"/>
  </r>
  <r>
    <n v="10954"/>
    <x v="6"/>
    <n v="415.30999708771708"/>
    <n v="28"/>
    <d v="1998-03-17T00:00:00"/>
  </r>
  <r>
    <n v="10954"/>
    <x v="7"/>
    <n v="415.30999708771708"/>
    <n v="28"/>
    <d v="1998-03-17T00:00:00"/>
  </r>
  <r>
    <n v="10954"/>
    <x v="0"/>
    <n v="265.62499813735485"/>
    <n v="25"/>
    <d v="1998-03-17T00:00:00"/>
  </r>
  <r>
    <n v="10954"/>
    <x v="1"/>
    <n v="265.62499813735485"/>
    <n v="25"/>
    <d v="1998-03-17T00:00:00"/>
  </r>
  <r>
    <n v="10954"/>
    <x v="2"/>
    <n v="265.62499813735485"/>
    <n v="25"/>
    <d v="1998-03-17T00:00:00"/>
  </r>
  <r>
    <n v="10954"/>
    <x v="3"/>
    <n v="265.62499813735485"/>
    <n v="25"/>
    <d v="1998-03-17T00:00:00"/>
  </r>
  <r>
    <n v="10954"/>
    <x v="4"/>
    <n v="265.62499813735485"/>
    <n v="25"/>
    <d v="1998-03-17T00:00:00"/>
  </r>
  <r>
    <n v="10954"/>
    <x v="5"/>
    <n v="265.62499813735485"/>
    <n v="25"/>
    <d v="1998-03-17T00:00:00"/>
  </r>
  <r>
    <n v="10954"/>
    <x v="6"/>
    <n v="265.62499813735485"/>
    <n v="25"/>
    <d v="1998-03-17T00:00:00"/>
  </r>
  <r>
    <n v="10954"/>
    <x v="7"/>
    <n v="265.62499813735485"/>
    <n v="25"/>
    <d v="1998-03-17T00:00:00"/>
  </r>
  <r>
    <n v="10954"/>
    <x v="0"/>
    <n v="285"/>
    <n v="30"/>
    <d v="1998-03-17T00:00:00"/>
  </r>
  <r>
    <n v="10954"/>
    <x v="1"/>
    <n v="285"/>
    <n v="30"/>
    <d v="1998-03-17T00:00:00"/>
  </r>
  <r>
    <n v="10954"/>
    <x v="2"/>
    <n v="285"/>
    <n v="30"/>
    <d v="1998-03-17T00:00:00"/>
  </r>
  <r>
    <n v="10954"/>
    <x v="3"/>
    <n v="285"/>
    <n v="30"/>
    <d v="1998-03-17T00:00:00"/>
  </r>
  <r>
    <n v="10954"/>
    <x v="4"/>
    <n v="285"/>
    <n v="30"/>
    <d v="1998-03-17T00:00:00"/>
  </r>
  <r>
    <n v="10954"/>
    <x v="5"/>
    <n v="285"/>
    <n v="30"/>
    <d v="1998-03-17T00:00:00"/>
  </r>
  <r>
    <n v="10954"/>
    <x v="6"/>
    <n v="285"/>
    <n v="30"/>
    <d v="1998-03-17T00:00:00"/>
  </r>
  <r>
    <n v="10954"/>
    <x v="7"/>
    <n v="285"/>
    <n v="30"/>
    <d v="1998-03-17T00:00:00"/>
  </r>
  <r>
    <n v="10954"/>
    <x v="0"/>
    <n v="693.59999513626099"/>
    <n v="24"/>
    <d v="1998-03-17T00:00:00"/>
  </r>
  <r>
    <n v="10954"/>
    <x v="1"/>
    <n v="693.59999513626099"/>
    <n v="24"/>
    <d v="1998-03-17T00:00:00"/>
  </r>
  <r>
    <n v="10954"/>
    <x v="2"/>
    <n v="693.59999513626099"/>
    <n v="24"/>
    <d v="1998-03-17T00:00:00"/>
  </r>
  <r>
    <n v="10954"/>
    <x v="3"/>
    <n v="693.59999513626099"/>
    <n v="24"/>
    <d v="1998-03-17T00:00:00"/>
  </r>
  <r>
    <n v="10954"/>
    <x v="4"/>
    <n v="693.59999513626099"/>
    <n v="24"/>
    <d v="1998-03-17T00:00:00"/>
  </r>
  <r>
    <n v="10954"/>
    <x v="5"/>
    <n v="693.59999513626099"/>
    <n v="24"/>
    <d v="1998-03-17T00:00:00"/>
  </r>
  <r>
    <n v="10954"/>
    <x v="6"/>
    <n v="693.59999513626099"/>
    <n v="24"/>
    <d v="1998-03-17T00:00:00"/>
  </r>
  <r>
    <n v="10954"/>
    <x v="7"/>
    <n v="693.59999513626099"/>
    <n v="24"/>
    <d v="1998-03-17T00:00:00"/>
  </r>
  <r>
    <n v="10955"/>
    <x v="0"/>
    <n v="74.399999722838402"/>
    <n v="12"/>
    <d v="1998-03-17T00:00:00"/>
  </r>
  <r>
    <n v="10955"/>
    <x v="1"/>
    <n v="74.399999722838402"/>
    <n v="12"/>
    <d v="1998-03-17T00:00:00"/>
  </r>
  <r>
    <n v="10955"/>
    <x v="2"/>
    <n v="74.399999722838402"/>
    <n v="12"/>
    <d v="1998-03-17T00:00:00"/>
  </r>
  <r>
    <n v="10955"/>
    <x v="3"/>
    <n v="74.399999722838402"/>
    <n v="12"/>
    <d v="1998-03-17T00:00:00"/>
  </r>
  <r>
    <n v="10955"/>
    <x v="4"/>
    <n v="74.399999722838402"/>
    <n v="12"/>
    <d v="1998-03-17T00:00:00"/>
  </r>
  <r>
    <n v="10955"/>
    <x v="5"/>
    <n v="74.399999722838402"/>
    <n v="12"/>
    <d v="1998-03-17T00:00:00"/>
  </r>
  <r>
    <n v="10955"/>
    <x v="6"/>
    <n v="74.399999722838402"/>
    <n v="12"/>
    <d v="1998-03-17T00:00:00"/>
  </r>
  <r>
    <n v="10955"/>
    <x v="7"/>
    <n v="74.399999722838402"/>
    <n v="12"/>
    <d v="1998-03-17T00:00:00"/>
  </r>
  <r>
    <n v="10956"/>
    <x v="0"/>
    <n v="120"/>
    <n v="12"/>
    <d v="1998-03-17T00:00:00"/>
  </r>
  <r>
    <n v="10956"/>
    <x v="1"/>
    <n v="120"/>
    <n v="12"/>
    <d v="1998-03-17T00:00:00"/>
  </r>
  <r>
    <n v="10956"/>
    <x v="2"/>
    <n v="120"/>
    <n v="12"/>
    <d v="1998-03-17T00:00:00"/>
  </r>
  <r>
    <n v="10956"/>
    <x v="3"/>
    <n v="120"/>
    <n v="12"/>
    <d v="1998-03-17T00:00:00"/>
  </r>
  <r>
    <n v="10956"/>
    <x v="4"/>
    <n v="120"/>
    <n v="12"/>
    <d v="1998-03-17T00:00:00"/>
  </r>
  <r>
    <n v="10956"/>
    <x v="5"/>
    <n v="120"/>
    <n v="12"/>
    <d v="1998-03-17T00:00:00"/>
  </r>
  <r>
    <n v="10956"/>
    <x v="6"/>
    <n v="120"/>
    <n v="12"/>
    <d v="1998-03-17T00:00:00"/>
  </r>
  <r>
    <n v="10956"/>
    <x v="7"/>
    <n v="120"/>
    <n v="12"/>
    <d v="1998-03-17T00:00:00"/>
  </r>
  <r>
    <n v="10956"/>
    <x v="0"/>
    <n v="133"/>
    <n v="14"/>
    <d v="1998-03-17T00:00:00"/>
  </r>
  <r>
    <n v="10956"/>
    <x v="1"/>
    <n v="133"/>
    <n v="14"/>
    <d v="1998-03-17T00:00:00"/>
  </r>
  <r>
    <n v="10956"/>
    <x v="2"/>
    <n v="133"/>
    <n v="14"/>
    <d v="1998-03-17T00:00:00"/>
  </r>
  <r>
    <n v="10956"/>
    <x v="3"/>
    <n v="133"/>
    <n v="14"/>
    <d v="1998-03-17T00:00:00"/>
  </r>
  <r>
    <n v="10956"/>
    <x v="4"/>
    <n v="133"/>
    <n v="14"/>
    <d v="1998-03-17T00:00:00"/>
  </r>
  <r>
    <n v="10956"/>
    <x v="5"/>
    <n v="133"/>
    <n v="14"/>
    <d v="1998-03-17T00:00:00"/>
  </r>
  <r>
    <n v="10956"/>
    <x v="6"/>
    <n v="133"/>
    <n v="14"/>
    <d v="1998-03-17T00:00:00"/>
  </r>
  <r>
    <n v="10956"/>
    <x v="7"/>
    <n v="133"/>
    <n v="14"/>
    <d v="1998-03-17T00:00:00"/>
  </r>
  <r>
    <n v="10956"/>
    <x v="0"/>
    <n v="424"/>
    <n v="8"/>
    <d v="1998-03-17T00:00:00"/>
  </r>
  <r>
    <n v="10956"/>
    <x v="1"/>
    <n v="424"/>
    <n v="8"/>
    <d v="1998-03-17T00:00:00"/>
  </r>
  <r>
    <n v="10956"/>
    <x v="2"/>
    <n v="424"/>
    <n v="8"/>
    <d v="1998-03-17T00:00:00"/>
  </r>
  <r>
    <n v="10956"/>
    <x v="3"/>
    <n v="424"/>
    <n v="8"/>
    <d v="1998-03-17T00:00:00"/>
  </r>
  <r>
    <n v="10956"/>
    <x v="4"/>
    <n v="424"/>
    <n v="8"/>
    <d v="1998-03-17T00:00:00"/>
  </r>
  <r>
    <n v="10956"/>
    <x v="5"/>
    <n v="424"/>
    <n v="8"/>
    <d v="1998-03-17T00:00:00"/>
  </r>
  <r>
    <n v="10956"/>
    <x v="6"/>
    <n v="424"/>
    <n v="8"/>
    <d v="1998-03-17T00:00:00"/>
  </r>
  <r>
    <n v="10956"/>
    <x v="7"/>
    <n v="424"/>
    <n v="8"/>
    <d v="1998-03-17T00:00:00"/>
  </r>
  <r>
    <n v="10957"/>
    <x v="0"/>
    <n v="776.7"/>
    <n v="30"/>
    <d v="1998-03-18T00:00:00"/>
  </r>
  <r>
    <n v="10957"/>
    <x v="1"/>
    <n v="776.7"/>
    <n v="30"/>
    <d v="1998-03-18T00:00:00"/>
  </r>
  <r>
    <n v="10957"/>
    <x v="2"/>
    <n v="776.7"/>
    <n v="30"/>
    <d v="1998-03-18T00:00:00"/>
  </r>
  <r>
    <n v="10957"/>
    <x v="3"/>
    <n v="776.7"/>
    <n v="30"/>
    <d v="1998-03-18T00:00:00"/>
  </r>
  <r>
    <n v="10957"/>
    <x v="4"/>
    <n v="776.7"/>
    <n v="30"/>
    <d v="1998-03-18T00:00:00"/>
  </r>
  <r>
    <n v="10957"/>
    <x v="5"/>
    <n v="776.7"/>
    <n v="30"/>
    <d v="1998-03-18T00:00:00"/>
  </r>
  <r>
    <n v="10957"/>
    <x v="6"/>
    <n v="776.7"/>
    <n v="30"/>
    <d v="1998-03-18T00:00:00"/>
  </r>
  <r>
    <n v="10957"/>
    <x v="7"/>
    <n v="776.7"/>
    <n v="30"/>
    <d v="1998-03-18T00:00:00"/>
  </r>
  <r>
    <n v="10957"/>
    <x v="0"/>
    <n v="720"/>
    <n v="40"/>
    <d v="1998-03-18T00:00:00"/>
  </r>
  <r>
    <n v="10957"/>
    <x v="1"/>
    <n v="720"/>
    <n v="40"/>
    <d v="1998-03-18T00:00:00"/>
  </r>
  <r>
    <n v="10957"/>
    <x v="2"/>
    <n v="720"/>
    <n v="40"/>
    <d v="1998-03-18T00:00:00"/>
  </r>
  <r>
    <n v="10957"/>
    <x v="3"/>
    <n v="720"/>
    <n v="40"/>
    <d v="1998-03-18T00:00:00"/>
  </r>
  <r>
    <n v="10957"/>
    <x v="4"/>
    <n v="720"/>
    <n v="40"/>
    <d v="1998-03-18T00:00:00"/>
  </r>
  <r>
    <n v="10957"/>
    <x v="5"/>
    <n v="720"/>
    <n v="40"/>
    <d v="1998-03-18T00:00:00"/>
  </r>
  <r>
    <n v="10957"/>
    <x v="6"/>
    <n v="720"/>
    <n v="40"/>
    <d v="1998-03-18T00:00:00"/>
  </r>
  <r>
    <n v="10957"/>
    <x v="7"/>
    <n v="720"/>
    <n v="40"/>
    <d v="1998-03-18T00:00:00"/>
  </r>
  <r>
    <n v="10957"/>
    <x v="0"/>
    <n v="266"/>
    <n v="8"/>
    <d v="1998-03-18T00:00:00"/>
  </r>
  <r>
    <n v="10957"/>
    <x v="1"/>
    <n v="266"/>
    <n v="8"/>
    <d v="1998-03-18T00:00:00"/>
  </r>
  <r>
    <n v="10957"/>
    <x v="2"/>
    <n v="266"/>
    <n v="8"/>
    <d v="1998-03-18T00:00:00"/>
  </r>
  <r>
    <n v="10957"/>
    <x v="3"/>
    <n v="266"/>
    <n v="8"/>
    <d v="1998-03-18T00:00:00"/>
  </r>
  <r>
    <n v="10957"/>
    <x v="4"/>
    <n v="266"/>
    <n v="8"/>
    <d v="1998-03-18T00:00:00"/>
  </r>
  <r>
    <n v="10957"/>
    <x v="5"/>
    <n v="266"/>
    <n v="8"/>
    <d v="1998-03-18T00:00:00"/>
  </r>
  <r>
    <n v="10957"/>
    <x v="6"/>
    <n v="266"/>
    <n v="8"/>
    <d v="1998-03-18T00:00:00"/>
  </r>
  <r>
    <n v="10957"/>
    <x v="7"/>
    <n v="266"/>
    <n v="8"/>
    <d v="1998-03-18T00:00:00"/>
  </r>
  <r>
    <n v="10958"/>
    <x v="0"/>
    <n v="427"/>
    <n v="20"/>
    <d v="1998-03-18T00:00:00"/>
  </r>
  <r>
    <n v="10958"/>
    <x v="1"/>
    <n v="427"/>
    <n v="20"/>
    <d v="1998-03-18T00:00:00"/>
  </r>
  <r>
    <n v="10958"/>
    <x v="2"/>
    <n v="427"/>
    <n v="20"/>
    <d v="1998-03-18T00:00:00"/>
  </r>
  <r>
    <n v="10958"/>
    <x v="3"/>
    <n v="427"/>
    <n v="20"/>
    <d v="1998-03-18T00:00:00"/>
  </r>
  <r>
    <n v="10958"/>
    <x v="4"/>
    <n v="427"/>
    <n v="20"/>
    <d v="1998-03-18T00:00:00"/>
  </r>
  <r>
    <n v="10958"/>
    <x v="5"/>
    <n v="427"/>
    <n v="20"/>
    <d v="1998-03-18T00:00:00"/>
  </r>
  <r>
    <n v="10958"/>
    <x v="6"/>
    <n v="427"/>
    <n v="20"/>
    <d v="1998-03-18T00:00:00"/>
  </r>
  <r>
    <n v="10958"/>
    <x v="7"/>
    <n v="427"/>
    <n v="20"/>
    <d v="1998-03-18T00:00:00"/>
  </r>
  <r>
    <n v="10958"/>
    <x v="0"/>
    <n v="180"/>
    <n v="6"/>
    <d v="1998-03-18T00:00:00"/>
  </r>
  <r>
    <n v="10958"/>
    <x v="1"/>
    <n v="180"/>
    <n v="6"/>
    <d v="1998-03-18T00:00:00"/>
  </r>
  <r>
    <n v="10958"/>
    <x v="2"/>
    <n v="180"/>
    <n v="6"/>
    <d v="1998-03-18T00:00:00"/>
  </r>
  <r>
    <n v="10958"/>
    <x v="3"/>
    <n v="180"/>
    <n v="6"/>
    <d v="1998-03-18T00:00:00"/>
  </r>
  <r>
    <n v="10958"/>
    <x v="4"/>
    <n v="180"/>
    <n v="6"/>
    <d v="1998-03-18T00:00:00"/>
  </r>
  <r>
    <n v="10958"/>
    <x v="5"/>
    <n v="180"/>
    <n v="6"/>
    <d v="1998-03-18T00:00:00"/>
  </r>
  <r>
    <n v="10958"/>
    <x v="6"/>
    <n v="180"/>
    <n v="6"/>
    <d v="1998-03-18T00:00:00"/>
  </r>
  <r>
    <n v="10958"/>
    <x v="7"/>
    <n v="180"/>
    <n v="6"/>
    <d v="1998-03-18T00:00:00"/>
  </r>
  <r>
    <n v="10958"/>
    <x v="0"/>
    <n v="174"/>
    <n v="5"/>
    <d v="1998-03-18T00:00:00"/>
  </r>
  <r>
    <n v="10958"/>
    <x v="1"/>
    <n v="174"/>
    <n v="5"/>
    <d v="1998-03-18T00:00:00"/>
  </r>
  <r>
    <n v="10958"/>
    <x v="2"/>
    <n v="174"/>
    <n v="5"/>
    <d v="1998-03-18T00:00:00"/>
  </r>
  <r>
    <n v="10958"/>
    <x v="3"/>
    <n v="174"/>
    <n v="5"/>
    <d v="1998-03-18T00:00:00"/>
  </r>
  <r>
    <n v="10958"/>
    <x v="4"/>
    <n v="174"/>
    <n v="5"/>
    <d v="1998-03-18T00:00:00"/>
  </r>
  <r>
    <n v="10958"/>
    <x v="5"/>
    <n v="174"/>
    <n v="5"/>
    <d v="1998-03-18T00:00:00"/>
  </r>
  <r>
    <n v="10958"/>
    <x v="6"/>
    <n v="174"/>
    <n v="5"/>
    <d v="1998-03-18T00:00:00"/>
  </r>
  <r>
    <n v="10958"/>
    <x v="7"/>
    <n v="174"/>
    <n v="5"/>
    <d v="1998-03-18T00:00:00"/>
  </r>
  <r>
    <n v="10959"/>
    <x v="0"/>
    <n v="131.74999907612801"/>
    <n v="20"/>
    <d v="1998-03-18T00:00:00"/>
  </r>
  <r>
    <n v="10959"/>
    <x v="1"/>
    <n v="131.74999907612801"/>
    <n v="20"/>
    <d v="1998-03-18T00:00:00"/>
  </r>
  <r>
    <n v="10959"/>
    <x v="2"/>
    <n v="131.74999907612801"/>
    <n v="20"/>
    <d v="1998-03-18T00:00:00"/>
  </r>
  <r>
    <n v="10959"/>
    <x v="3"/>
    <n v="131.74999907612801"/>
    <n v="20"/>
    <d v="1998-03-18T00:00:00"/>
  </r>
  <r>
    <n v="10959"/>
    <x v="4"/>
    <n v="131.74999907612801"/>
    <n v="20"/>
    <d v="1998-03-18T00:00:00"/>
  </r>
  <r>
    <n v="10959"/>
    <x v="5"/>
    <n v="131.74999907612801"/>
    <n v="20"/>
    <d v="1998-03-18T00:00:00"/>
  </r>
  <r>
    <n v="10959"/>
    <x v="6"/>
    <n v="131.74999907612801"/>
    <n v="20"/>
    <d v="1998-03-18T00:00:00"/>
  </r>
  <r>
    <n v="10959"/>
    <x v="7"/>
    <n v="131.74999907612801"/>
    <n v="20"/>
    <d v="1998-03-18T00:00:00"/>
  </r>
  <r>
    <n v="10960"/>
    <x v="0"/>
    <n v="33.75"/>
    <n v="10"/>
    <d v="1998-03-19T00:00:00"/>
  </r>
  <r>
    <n v="10960"/>
    <x v="1"/>
    <n v="33.75"/>
    <n v="10"/>
    <d v="1998-03-19T00:00:00"/>
  </r>
  <r>
    <n v="10960"/>
    <x v="2"/>
    <n v="33.75"/>
    <n v="10"/>
    <d v="1998-03-19T00:00:00"/>
  </r>
  <r>
    <n v="10960"/>
    <x v="3"/>
    <n v="33.75"/>
    <n v="10"/>
    <d v="1998-03-19T00:00:00"/>
  </r>
  <r>
    <n v="10960"/>
    <x v="4"/>
    <n v="33.75"/>
    <n v="10"/>
    <d v="1998-03-19T00:00:00"/>
  </r>
  <r>
    <n v="10960"/>
    <x v="5"/>
    <n v="33.75"/>
    <n v="10"/>
    <d v="1998-03-19T00:00:00"/>
  </r>
  <r>
    <n v="10960"/>
    <x v="6"/>
    <n v="33.75"/>
    <n v="10"/>
    <d v="1998-03-19T00:00:00"/>
  </r>
  <r>
    <n v="10960"/>
    <x v="7"/>
    <n v="33.75"/>
    <n v="10"/>
    <d v="1998-03-19T00:00:00"/>
  </r>
  <r>
    <n v="10960"/>
    <x v="0"/>
    <n v="231.6"/>
    <n v="24"/>
    <d v="1998-03-19T00:00:00"/>
  </r>
  <r>
    <n v="10960"/>
    <x v="1"/>
    <n v="231.6"/>
    <n v="24"/>
    <d v="1998-03-19T00:00:00"/>
  </r>
  <r>
    <n v="10960"/>
    <x v="2"/>
    <n v="231.6"/>
    <n v="24"/>
    <d v="1998-03-19T00:00:00"/>
  </r>
  <r>
    <n v="10960"/>
    <x v="3"/>
    <n v="231.6"/>
    <n v="24"/>
    <d v="1998-03-19T00:00:00"/>
  </r>
  <r>
    <n v="10960"/>
    <x v="4"/>
    <n v="231.6"/>
    <n v="24"/>
    <d v="1998-03-19T00:00:00"/>
  </r>
  <r>
    <n v="10960"/>
    <x v="5"/>
    <n v="231.6"/>
    <n v="24"/>
    <d v="1998-03-19T00:00:00"/>
  </r>
  <r>
    <n v="10960"/>
    <x v="6"/>
    <n v="231.6"/>
    <n v="24"/>
    <d v="1998-03-19T00:00:00"/>
  </r>
  <r>
    <n v="10960"/>
    <x v="7"/>
    <n v="231.6"/>
    <n v="24"/>
    <d v="1998-03-19T00:00:00"/>
  </r>
  <r>
    <n v="10961"/>
    <x v="0"/>
    <n v="39.899999968707561"/>
    <n v="6"/>
    <d v="1998-03-19T00:00:00"/>
  </r>
  <r>
    <n v="10961"/>
    <x v="1"/>
    <n v="39.899999968707561"/>
    <n v="6"/>
    <d v="1998-03-19T00:00:00"/>
  </r>
  <r>
    <n v="10961"/>
    <x v="2"/>
    <n v="39.899999968707561"/>
    <n v="6"/>
    <d v="1998-03-19T00:00:00"/>
  </r>
  <r>
    <n v="10961"/>
    <x v="3"/>
    <n v="39.899999968707561"/>
    <n v="6"/>
    <d v="1998-03-19T00:00:00"/>
  </r>
  <r>
    <n v="10961"/>
    <x v="4"/>
    <n v="39.899999968707561"/>
    <n v="6"/>
    <d v="1998-03-19T00:00:00"/>
  </r>
  <r>
    <n v="10961"/>
    <x v="5"/>
    <n v="39.899999968707561"/>
    <n v="6"/>
    <d v="1998-03-19T00:00:00"/>
  </r>
  <r>
    <n v="10961"/>
    <x v="6"/>
    <n v="39.899999968707561"/>
    <n v="6"/>
    <d v="1998-03-19T00:00:00"/>
  </r>
  <r>
    <n v="10961"/>
    <x v="7"/>
    <n v="39.899999968707561"/>
    <n v="6"/>
    <d v="1998-03-19T00:00:00"/>
  </r>
  <r>
    <n v="10961"/>
    <x v="0"/>
    <n v="1080"/>
    <n v="60"/>
    <d v="1998-03-19T00:00:00"/>
  </r>
  <r>
    <n v="10961"/>
    <x v="1"/>
    <n v="1080"/>
    <n v="60"/>
    <d v="1998-03-19T00:00:00"/>
  </r>
  <r>
    <n v="10961"/>
    <x v="2"/>
    <n v="1080"/>
    <n v="60"/>
    <d v="1998-03-19T00:00:00"/>
  </r>
  <r>
    <n v="10961"/>
    <x v="3"/>
    <n v="1080"/>
    <n v="60"/>
    <d v="1998-03-19T00:00:00"/>
  </r>
  <r>
    <n v="10961"/>
    <x v="4"/>
    <n v="1080"/>
    <n v="60"/>
    <d v="1998-03-19T00:00:00"/>
  </r>
  <r>
    <n v="10961"/>
    <x v="5"/>
    <n v="1080"/>
    <n v="60"/>
    <d v="1998-03-19T00:00:00"/>
  </r>
  <r>
    <n v="10961"/>
    <x v="6"/>
    <n v="1080"/>
    <n v="60"/>
    <d v="1998-03-19T00:00:00"/>
  </r>
  <r>
    <n v="10961"/>
    <x v="7"/>
    <n v="1080"/>
    <n v="60"/>
    <d v="1998-03-19T00:00:00"/>
  </r>
  <r>
    <n v="10962"/>
    <x v="0"/>
    <n v="1350"/>
    <n v="45"/>
    <d v="1998-03-19T00:00:00"/>
  </r>
  <r>
    <n v="10962"/>
    <x v="1"/>
    <n v="1350"/>
    <n v="45"/>
    <d v="1998-03-19T00:00:00"/>
  </r>
  <r>
    <n v="10962"/>
    <x v="2"/>
    <n v="1350"/>
    <n v="45"/>
    <d v="1998-03-19T00:00:00"/>
  </r>
  <r>
    <n v="10962"/>
    <x v="3"/>
    <n v="1350"/>
    <n v="45"/>
    <d v="1998-03-19T00:00:00"/>
  </r>
  <r>
    <n v="10962"/>
    <x v="4"/>
    <n v="1350"/>
    <n v="45"/>
    <d v="1998-03-19T00:00:00"/>
  </r>
  <r>
    <n v="10962"/>
    <x v="5"/>
    <n v="1350"/>
    <n v="45"/>
    <d v="1998-03-19T00:00:00"/>
  </r>
  <r>
    <n v="10962"/>
    <x v="6"/>
    <n v="1350"/>
    <n v="45"/>
    <d v="1998-03-19T00:00:00"/>
  </r>
  <r>
    <n v="10962"/>
    <x v="7"/>
    <n v="1350"/>
    <n v="45"/>
    <d v="1998-03-19T00:00:00"/>
  </r>
  <r>
    <n v="10962"/>
    <x v="0"/>
    <n v="462"/>
    <n v="77"/>
    <d v="1998-03-19T00:00:00"/>
  </r>
  <r>
    <n v="10962"/>
    <x v="1"/>
    <n v="462"/>
    <n v="77"/>
    <d v="1998-03-19T00:00:00"/>
  </r>
  <r>
    <n v="10962"/>
    <x v="2"/>
    <n v="462"/>
    <n v="77"/>
    <d v="1998-03-19T00:00:00"/>
  </r>
  <r>
    <n v="10962"/>
    <x v="3"/>
    <n v="462"/>
    <n v="77"/>
    <d v="1998-03-19T00:00:00"/>
  </r>
  <r>
    <n v="10962"/>
    <x v="4"/>
    <n v="462"/>
    <n v="77"/>
    <d v="1998-03-19T00:00:00"/>
  </r>
  <r>
    <n v="10962"/>
    <x v="5"/>
    <n v="462"/>
    <n v="77"/>
    <d v="1998-03-19T00:00:00"/>
  </r>
  <r>
    <n v="10962"/>
    <x v="6"/>
    <n v="462"/>
    <n v="77"/>
    <d v="1998-03-19T00:00:00"/>
  </r>
  <r>
    <n v="10962"/>
    <x v="7"/>
    <n v="462"/>
    <n v="77"/>
    <d v="1998-03-19T00:00:00"/>
  </r>
  <r>
    <n v="10962"/>
    <x v="0"/>
    <n v="656"/>
    <n v="20"/>
    <d v="1998-03-19T00:00:00"/>
  </r>
  <r>
    <n v="10962"/>
    <x v="1"/>
    <n v="656"/>
    <n v="20"/>
    <d v="1998-03-19T00:00:00"/>
  </r>
  <r>
    <n v="10962"/>
    <x v="2"/>
    <n v="656"/>
    <n v="20"/>
    <d v="1998-03-19T00:00:00"/>
  </r>
  <r>
    <n v="10962"/>
    <x v="3"/>
    <n v="656"/>
    <n v="20"/>
    <d v="1998-03-19T00:00:00"/>
  </r>
  <r>
    <n v="10962"/>
    <x v="4"/>
    <n v="656"/>
    <n v="20"/>
    <d v="1998-03-19T00:00:00"/>
  </r>
  <r>
    <n v="10962"/>
    <x v="5"/>
    <n v="656"/>
    <n v="20"/>
    <d v="1998-03-19T00:00:00"/>
  </r>
  <r>
    <n v="10962"/>
    <x v="6"/>
    <n v="656"/>
    <n v="20"/>
    <d v="1998-03-19T00:00:00"/>
  </r>
  <r>
    <n v="10962"/>
    <x v="7"/>
    <n v="656"/>
    <n v="20"/>
    <d v="1998-03-19T00:00:00"/>
  </r>
  <r>
    <n v="10962"/>
    <x v="0"/>
    <n v="324"/>
    <n v="9"/>
    <d v="1998-03-19T00:00:00"/>
  </r>
  <r>
    <n v="10962"/>
    <x v="1"/>
    <n v="324"/>
    <n v="9"/>
    <d v="1998-03-19T00:00:00"/>
  </r>
  <r>
    <n v="10962"/>
    <x v="2"/>
    <n v="324"/>
    <n v="9"/>
    <d v="1998-03-19T00:00:00"/>
  </r>
  <r>
    <n v="10962"/>
    <x v="3"/>
    <n v="324"/>
    <n v="9"/>
    <d v="1998-03-19T00:00:00"/>
  </r>
  <r>
    <n v="10962"/>
    <x v="4"/>
    <n v="324"/>
    <n v="9"/>
    <d v="1998-03-19T00:00:00"/>
  </r>
  <r>
    <n v="10962"/>
    <x v="5"/>
    <n v="324"/>
    <n v="9"/>
    <d v="1998-03-19T00:00:00"/>
  </r>
  <r>
    <n v="10962"/>
    <x v="6"/>
    <n v="324"/>
    <n v="9"/>
    <d v="1998-03-19T00:00:00"/>
  </r>
  <r>
    <n v="10962"/>
    <x v="7"/>
    <n v="324"/>
    <n v="9"/>
    <d v="1998-03-19T00:00:00"/>
  </r>
  <r>
    <n v="10962"/>
    <x v="0"/>
    <n v="792"/>
    <n v="44"/>
    <d v="1998-03-19T00:00:00"/>
  </r>
  <r>
    <n v="10962"/>
    <x v="1"/>
    <n v="792"/>
    <n v="44"/>
    <d v="1998-03-19T00:00:00"/>
  </r>
  <r>
    <n v="10962"/>
    <x v="2"/>
    <n v="792"/>
    <n v="44"/>
    <d v="1998-03-19T00:00:00"/>
  </r>
  <r>
    <n v="10962"/>
    <x v="3"/>
    <n v="792"/>
    <n v="44"/>
    <d v="1998-03-19T00:00:00"/>
  </r>
  <r>
    <n v="10962"/>
    <x v="4"/>
    <n v="792"/>
    <n v="44"/>
    <d v="1998-03-19T00:00:00"/>
  </r>
  <r>
    <n v="10962"/>
    <x v="5"/>
    <n v="792"/>
    <n v="44"/>
    <d v="1998-03-19T00:00:00"/>
  </r>
  <r>
    <n v="10962"/>
    <x v="6"/>
    <n v="792"/>
    <n v="44"/>
    <d v="1998-03-19T00:00:00"/>
  </r>
  <r>
    <n v="10962"/>
    <x v="7"/>
    <n v="792"/>
    <n v="44"/>
    <d v="1998-03-19T00:00:00"/>
  </r>
  <r>
    <n v="10963"/>
    <x v="0"/>
    <n v="57.799999594688416"/>
    <n v="2"/>
    <d v="1998-03-19T00:00:00"/>
  </r>
  <r>
    <n v="10963"/>
    <x v="1"/>
    <n v="57.799999594688416"/>
    <n v="2"/>
    <d v="1998-03-19T00:00:00"/>
  </r>
  <r>
    <n v="10963"/>
    <x v="2"/>
    <n v="57.799999594688416"/>
    <n v="2"/>
    <d v="1998-03-19T00:00:00"/>
  </r>
  <r>
    <n v="10963"/>
    <x v="3"/>
    <n v="57.799999594688416"/>
    <n v="2"/>
    <d v="1998-03-19T00:00:00"/>
  </r>
  <r>
    <n v="10963"/>
    <x v="4"/>
    <n v="57.799999594688416"/>
    <n v="2"/>
    <d v="1998-03-19T00:00:00"/>
  </r>
  <r>
    <n v="10963"/>
    <x v="5"/>
    <n v="57.799999594688416"/>
    <n v="2"/>
    <d v="1998-03-19T00:00:00"/>
  </r>
  <r>
    <n v="10963"/>
    <x v="6"/>
    <n v="57.799999594688416"/>
    <n v="2"/>
    <d v="1998-03-19T00:00:00"/>
  </r>
  <r>
    <n v="10963"/>
    <x v="7"/>
    <n v="57.799999594688416"/>
    <n v="2"/>
    <d v="1998-03-19T00:00:00"/>
  </r>
  <r>
    <n v="10964"/>
    <x v="0"/>
    <n v="375"/>
    <n v="6"/>
    <d v="1998-03-20T00:00:00"/>
  </r>
  <r>
    <n v="10964"/>
    <x v="1"/>
    <n v="375"/>
    <n v="6"/>
    <d v="1998-03-20T00:00:00"/>
  </r>
  <r>
    <n v="10964"/>
    <x v="2"/>
    <n v="375"/>
    <n v="6"/>
    <d v="1998-03-20T00:00:00"/>
  </r>
  <r>
    <n v="10964"/>
    <x v="3"/>
    <n v="375"/>
    <n v="6"/>
    <d v="1998-03-20T00:00:00"/>
  </r>
  <r>
    <n v="10964"/>
    <x v="4"/>
    <n v="375"/>
    <n v="6"/>
    <d v="1998-03-20T00:00:00"/>
  </r>
  <r>
    <n v="10964"/>
    <x v="5"/>
    <n v="375"/>
    <n v="6"/>
    <d v="1998-03-20T00:00:00"/>
  </r>
  <r>
    <n v="10964"/>
    <x v="6"/>
    <n v="375"/>
    <n v="6"/>
    <d v="1998-03-20T00:00:00"/>
  </r>
  <r>
    <n v="10964"/>
    <x v="7"/>
    <n v="375"/>
    <n v="6"/>
    <d v="1998-03-20T00:00:00"/>
  </r>
  <r>
    <n v="10964"/>
    <x v="0"/>
    <n v="1317.5"/>
    <n v="5"/>
    <d v="1998-03-20T00:00:00"/>
  </r>
  <r>
    <n v="10964"/>
    <x v="1"/>
    <n v="1317.5"/>
    <n v="5"/>
    <d v="1998-03-20T00:00:00"/>
  </r>
  <r>
    <n v="10964"/>
    <x v="2"/>
    <n v="1317.5"/>
    <n v="5"/>
    <d v="1998-03-20T00:00:00"/>
  </r>
  <r>
    <n v="10964"/>
    <x v="3"/>
    <n v="1317.5"/>
    <n v="5"/>
    <d v="1998-03-20T00:00:00"/>
  </r>
  <r>
    <n v="10964"/>
    <x v="4"/>
    <n v="1317.5"/>
    <n v="5"/>
    <d v="1998-03-20T00:00:00"/>
  </r>
  <r>
    <n v="10964"/>
    <x v="5"/>
    <n v="1317.5"/>
    <n v="5"/>
    <d v="1998-03-20T00:00:00"/>
  </r>
  <r>
    <n v="10964"/>
    <x v="6"/>
    <n v="1317.5"/>
    <n v="5"/>
    <d v="1998-03-20T00:00:00"/>
  </r>
  <r>
    <n v="10964"/>
    <x v="7"/>
    <n v="1317.5"/>
    <n v="5"/>
    <d v="1998-03-20T00:00:00"/>
  </r>
  <r>
    <n v="10964"/>
    <x v="0"/>
    <n v="360"/>
    <n v="10"/>
    <d v="1998-03-20T00:00:00"/>
  </r>
  <r>
    <n v="10964"/>
    <x v="1"/>
    <n v="360"/>
    <n v="10"/>
    <d v="1998-03-20T00:00:00"/>
  </r>
  <r>
    <n v="10964"/>
    <x v="2"/>
    <n v="360"/>
    <n v="10"/>
    <d v="1998-03-20T00:00:00"/>
  </r>
  <r>
    <n v="10964"/>
    <x v="3"/>
    <n v="360"/>
    <n v="10"/>
    <d v="1998-03-20T00:00:00"/>
  </r>
  <r>
    <n v="10964"/>
    <x v="4"/>
    <n v="360"/>
    <n v="10"/>
    <d v="1998-03-20T00:00:00"/>
  </r>
  <r>
    <n v="10964"/>
    <x v="5"/>
    <n v="360"/>
    <n v="10"/>
    <d v="1998-03-20T00:00:00"/>
  </r>
  <r>
    <n v="10964"/>
    <x v="6"/>
    <n v="360"/>
    <n v="10"/>
    <d v="1998-03-20T00:00:00"/>
  </r>
  <r>
    <n v="10964"/>
    <x v="7"/>
    <n v="360"/>
    <n v="10"/>
    <d v="1998-03-20T00:00:00"/>
  </r>
  <r>
    <n v="10965"/>
    <x v="0"/>
    <n v="848"/>
    <n v="16"/>
    <d v="1998-03-20T00:00:00"/>
  </r>
  <r>
    <n v="10965"/>
    <x v="1"/>
    <n v="848"/>
    <n v="16"/>
    <d v="1998-03-20T00:00:00"/>
  </r>
  <r>
    <n v="10965"/>
    <x v="2"/>
    <n v="848"/>
    <n v="16"/>
    <d v="1998-03-20T00:00:00"/>
  </r>
  <r>
    <n v="10965"/>
    <x v="3"/>
    <n v="848"/>
    <n v="16"/>
    <d v="1998-03-20T00:00:00"/>
  </r>
  <r>
    <n v="10965"/>
    <x v="4"/>
    <n v="848"/>
    <n v="16"/>
    <d v="1998-03-20T00:00:00"/>
  </r>
  <r>
    <n v="10965"/>
    <x v="5"/>
    <n v="848"/>
    <n v="16"/>
    <d v="1998-03-20T00:00:00"/>
  </r>
  <r>
    <n v="10965"/>
    <x v="6"/>
    <n v="848"/>
    <n v="16"/>
    <d v="1998-03-20T00:00:00"/>
  </r>
  <r>
    <n v="10965"/>
    <x v="7"/>
    <n v="848"/>
    <n v="16"/>
    <d v="1998-03-20T00:00:00"/>
  </r>
  <r>
    <n v="10966"/>
    <x v="0"/>
    <n v="208"/>
    <n v="8"/>
    <d v="1998-03-20T00:00:00"/>
  </r>
  <r>
    <n v="10966"/>
    <x v="1"/>
    <n v="208"/>
    <n v="8"/>
    <d v="1998-03-20T00:00:00"/>
  </r>
  <r>
    <n v="10966"/>
    <x v="2"/>
    <n v="208"/>
    <n v="8"/>
    <d v="1998-03-20T00:00:00"/>
  </r>
  <r>
    <n v="10966"/>
    <x v="3"/>
    <n v="208"/>
    <n v="8"/>
    <d v="1998-03-20T00:00:00"/>
  </r>
  <r>
    <n v="10966"/>
    <x v="4"/>
    <n v="208"/>
    <n v="8"/>
    <d v="1998-03-20T00:00:00"/>
  </r>
  <r>
    <n v="10966"/>
    <x v="5"/>
    <n v="208"/>
    <n v="8"/>
    <d v="1998-03-20T00:00:00"/>
  </r>
  <r>
    <n v="10966"/>
    <x v="6"/>
    <n v="208"/>
    <n v="8"/>
    <d v="1998-03-20T00:00:00"/>
  </r>
  <r>
    <n v="10966"/>
    <x v="7"/>
    <n v="208"/>
    <n v="8"/>
    <d v="1998-03-20T00:00:00"/>
  </r>
  <r>
    <n v="10966"/>
    <x v="0"/>
    <n v="387.5999972820282"/>
    <n v="12"/>
    <d v="1998-03-20T00:00:00"/>
  </r>
  <r>
    <n v="10966"/>
    <x v="1"/>
    <n v="387.5999972820282"/>
    <n v="12"/>
    <d v="1998-03-20T00:00:00"/>
  </r>
  <r>
    <n v="10966"/>
    <x v="2"/>
    <n v="387.5999972820282"/>
    <n v="12"/>
    <d v="1998-03-20T00:00:00"/>
  </r>
  <r>
    <n v="10966"/>
    <x v="3"/>
    <n v="387.5999972820282"/>
    <n v="12"/>
    <d v="1998-03-20T00:00:00"/>
  </r>
  <r>
    <n v="10966"/>
    <x v="4"/>
    <n v="387.5999972820282"/>
    <n v="12"/>
    <d v="1998-03-20T00:00:00"/>
  </r>
  <r>
    <n v="10966"/>
    <x v="5"/>
    <n v="387.5999972820282"/>
    <n v="12"/>
    <d v="1998-03-20T00:00:00"/>
  </r>
  <r>
    <n v="10966"/>
    <x v="6"/>
    <n v="387.5999972820282"/>
    <n v="12"/>
    <d v="1998-03-20T00:00:00"/>
  </r>
  <r>
    <n v="10966"/>
    <x v="7"/>
    <n v="387.5999972820282"/>
    <n v="12"/>
    <d v="1998-03-20T00:00:00"/>
  </r>
  <r>
    <n v="10966"/>
    <x v="0"/>
    <n v="502.85999647378924"/>
    <n v="12"/>
    <d v="1998-03-20T00:00:00"/>
  </r>
  <r>
    <n v="10966"/>
    <x v="1"/>
    <n v="502.85999647378924"/>
    <n v="12"/>
    <d v="1998-03-20T00:00:00"/>
  </r>
  <r>
    <n v="10966"/>
    <x v="2"/>
    <n v="502.85999647378924"/>
    <n v="12"/>
    <d v="1998-03-20T00:00:00"/>
  </r>
  <r>
    <n v="10966"/>
    <x v="3"/>
    <n v="502.85999647378924"/>
    <n v="12"/>
    <d v="1998-03-20T00:00:00"/>
  </r>
  <r>
    <n v="10966"/>
    <x v="4"/>
    <n v="502.85999647378924"/>
    <n v="12"/>
    <d v="1998-03-20T00:00:00"/>
  </r>
  <r>
    <n v="10966"/>
    <x v="5"/>
    <n v="502.85999647378924"/>
    <n v="12"/>
    <d v="1998-03-20T00:00:00"/>
  </r>
  <r>
    <n v="10966"/>
    <x v="6"/>
    <n v="502.85999647378924"/>
    <n v="12"/>
    <d v="1998-03-20T00:00:00"/>
  </r>
  <r>
    <n v="10966"/>
    <x v="7"/>
    <n v="502.85999647378924"/>
    <n v="12"/>
    <d v="1998-03-20T00:00:00"/>
  </r>
  <r>
    <n v="10967"/>
    <x v="0"/>
    <n v="110.4"/>
    <n v="12"/>
    <d v="1998-03-23T00:00:00"/>
  </r>
  <r>
    <n v="10967"/>
    <x v="1"/>
    <n v="110.4"/>
    <n v="12"/>
    <d v="1998-03-23T00:00:00"/>
  </r>
  <r>
    <n v="10967"/>
    <x v="2"/>
    <n v="110.4"/>
    <n v="12"/>
    <d v="1998-03-23T00:00:00"/>
  </r>
  <r>
    <n v="10967"/>
    <x v="3"/>
    <n v="110.4"/>
    <n v="12"/>
    <d v="1998-03-23T00:00:00"/>
  </r>
  <r>
    <n v="10967"/>
    <x v="4"/>
    <n v="110.4"/>
    <n v="12"/>
    <d v="1998-03-23T00:00:00"/>
  </r>
  <r>
    <n v="10967"/>
    <x v="5"/>
    <n v="110.4"/>
    <n v="12"/>
    <d v="1998-03-23T00:00:00"/>
  </r>
  <r>
    <n v="10967"/>
    <x v="6"/>
    <n v="110.4"/>
    <n v="12"/>
    <d v="1998-03-23T00:00:00"/>
  </r>
  <r>
    <n v="10967"/>
    <x v="7"/>
    <n v="110.4"/>
    <n v="12"/>
    <d v="1998-03-23T00:00:00"/>
  </r>
  <r>
    <n v="10967"/>
    <x v="0"/>
    <n v="800"/>
    <n v="40"/>
    <d v="1998-03-23T00:00:00"/>
  </r>
  <r>
    <n v="10967"/>
    <x v="1"/>
    <n v="800"/>
    <n v="40"/>
    <d v="1998-03-23T00:00:00"/>
  </r>
  <r>
    <n v="10967"/>
    <x v="2"/>
    <n v="800"/>
    <n v="40"/>
    <d v="1998-03-23T00:00:00"/>
  </r>
  <r>
    <n v="10967"/>
    <x v="3"/>
    <n v="800"/>
    <n v="40"/>
    <d v="1998-03-23T00:00:00"/>
  </r>
  <r>
    <n v="10967"/>
    <x v="4"/>
    <n v="800"/>
    <n v="40"/>
    <d v="1998-03-23T00:00:00"/>
  </r>
  <r>
    <n v="10967"/>
    <x v="5"/>
    <n v="800"/>
    <n v="40"/>
    <d v="1998-03-23T00:00:00"/>
  </r>
  <r>
    <n v="10967"/>
    <x v="6"/>
    <n v="800"/>
    <n v="40"/>
    <d v="1998-03-23T00:00:00"/>
  </r>
  <r>
    <n v="10967"/>
    <x v="7"/>
    <n v="800"/>
    <n v="40"/>
    <d v="1998-03-23T00:00:00"/>
  </r>
  <r>
    <n v="10968"/>
    <x v="0"/>
    <n v="1140"/>
    <n v="30"/>
    <d v="1998-03-23T00:00:00"/>
  </r>
  <r>
    <n v="10968"/>
    <x v="1"/>
    <n v="1140"/>
    <n v="30"/>
    <d v="1998-03-23T00:00:00"/>
  </r>
  <r>
    <n v="10968"/>
    <x v="2"/>
    <n v="1140"/>
    <n v="30"/>
    <d v="1998-03-23T00:00:00"/>
  </r>
  <r>
    <n v="10968"/>
    <x v="3"/>
    <n v="1140"/>
    <n v="30"/>
    <d v="1998-03-23T00:00:00"/>
  </r>
  <r>
    <n v="10968"/>
    <x v="4"/>
    <n v="1140"/>
    <n v="30"/>
    <d v="1998-03-23T00:00:00"/>
  </r>
  <r>
    <n v="10968"/>
    <x v="5"/>
    <n v="1140"/>
    <n v="30"/>
    <d v="1998-03-23T00:00:00"/>
  </r>
  <r>
    <n v="10968"/>
    <x v="6"/>
    <n v="1140"/>
    <n v="30"/>
    <d v="1998-03-23T00:00:00"/>
  </r>
  <r>
    <n v="10968"/>
    <x v="7"/>
    <n v="1140"/>
    <n v="30"/>
    <d v="1998-03-23T00:00:00"/>
  </r>
  <r>
    <n v="10968"/>
    <x v="0"/>
    <n v="135"/>
    <n v="30"/>
    <d v="1998-03-23T00:00:00"/>
  </r>
  <r>
    <n v="10968"/>
    <x v="1"/>
    <n v="135"/>
    <n v="30"/>
    <d v="1998-03-23T00:00:00"/>
  </r>
  <r>
    <n v="10968"/>
    <x v="2"/>
    <n v="135"/>
    <n v="30"/>
    <d v="1998-03-23T00:00:00"/>
  </r>
  <r>
    <n v="10968"/>
    <x v="3"/>
    <n v="135"/>
    <n v="30"/>
    <d v="1998-03-23T00:00:00"/>
  </r>
  <r>
    <n v="10968"/>
    <x v="4"/>
    <n v="135"/>
    <n v="30"/>
    <d v="1998-03-23T00:00:00"/>
  </r>
  <r>
    <n v="10968"/>
    <x v="5"/>
    <n v="135"/>
    <n v="30"/>
    <d v="1998-03-23T00:00:00"/>
  </r>
  <r>
    <n v="10968"/>
    <x v="6"/>
    <n v="135"/>
    <n v="30"/>
    <d v="1998-03-23T00:00:00"/>
  </r>
  <r>
    <n v="10968"/>
    <x v="7"/>
    <n v="135"/>
    <n v="30"/>
    <d v="1998-03-23T00:00:00"/>
  </r>
  <r>
    <n v="10968"/>
    <x v="0"/>
    <n v="133"/>
    <n v="4"/>
    <d v="1998-03-23T00:00:00"/>
  </r>
  <r>
    <n v="10968"/>
    <x v="1"/>
    <n v="133"/>
    <n v="4"/>
    <d v="1998-03-23T00:00:00"/>
  </r>
  <r>
    <n v="10968"/>
    <x v="2"/>
    <n v="133"/>
    <n v="4"/>
    <d v="1998-03-23T00:00:00"/>
  </r>
  <r>
    <n v="10968"/>
    <x v="3"/>
    <n v="133"/>
    <n v="4"/>
    <d v="1998-03-23T00:00:00"/>
  </r>
  <r>
    <n v="10968"/>
    <x v="4"/>
    <n v="133"/>
    <n v="4"/>
    <d v="1998-03-23T00:00:00"/>
  </r>
  <r>
    <n v="10968"/>
    <x v="5"/>
    <n v="133"/>
    <n v="4"/>
    <d v="1998-03-23T00:00:00"/>
  </r>
  <r>
    <n v="10968"/>
    <x v="6"/>
    <n v="133"/>
    <n v="4"/>
    <d v="1998-03-23T00:00:00"/>
  </r>
  <r>
    <n v="10968"/>
    <x v="7"/>
    <n v="133"/>
    <n v="4"/>
    <d v="1998-03-23T00:00:00"/>
  </r>
  <r>
    <n v="10969"/>
    <x v="0"/>
    <n v="108"/>
    <n v="9"/>
    <d v="1998-03-23T00:00:00"/>
  </r>
  <r>
    <n v="10969"/>
    <x v="1"/>
    <n v="108"/>
    <n v="9"/>
    <d v="1998-03-23T00:00:00"/>
  </r>
  <r>
    <n v="10969"/>
    <x v="2"/>
    <n v="108"/>
    <n v="9"/>
    <d v="1998-03-23T00:00:00"/>
  </r>
  <r>
    <n v="10969"/>
    <x v="3"/>
    <n v="108"/>
    <n v="9"/>
    <d v="1998-03-23T00:00:00"/>
  </r>
  <r>
    <n v="10969"/>
    <x v="4"/>
    <n v="108"/>
    <n v="9"/>
    <d v="1998-03-23T00:00:00"/>
  </r>
  <r>
    <n v="10969"/>
    <x v="5"/>
    <n v="108"/>
    <n v="9"/>
    <d v="1998-03-23T00:00:00"/>
  </r>
  <r>
    <n v="10969"/>
    <x v="6"/>
    <n v="108"/>
    <n v="9"/>
    <d v="1998-03-23T00:00:00"/>
  </r>
  <r>
    <n v="10969"/>
    <x v="7"/>
    <n v="108"/>
    <n v="9"/>
    <d v="1998-03-23T00:00:00"/>
  </r>
  <r>
    <n v="10970"/>
    <x v="0"/>
    <n v="223.99999916553497"/>
    <n v="40"/>
    <d v="1998-03-24T00:00:00"/>
  </r>
  <r>
    <n v="10970"/>
    <x v="1"/>
    <n v="223.99999916553497"/>
    <n v="40"/>
    <d v="1998-03-24T00:00:00"/>
  </r>
  <r>
    <n v="10970"/>
    <x v="2"/>
    <n v="223.99999916553497"/>
    <n v="40"/>
    <d v="1998-03-24T00:00:00"/>
  </r>
  <r>
    <n v="10970"/>
    <x v="3"/>
    <n v="223.99999916553497"/>
    <n v="40"/>
    <d v="1998-03-24T00:00:00"/>
  </r>
  <r>
    <n v="10970"/>
    <x v="4"/>
    <n v="223.99999916553497"/>
    <n v="40"/>
    <d v="1998-03-24T00:00:00"/>
  </r>
  <r>
    <n v="10970"/>
    <x v="5"/>
    <n v="223.99999916553497"/>
    <n v="40"/>
    <d v="1998-03-24T00:00:00"/>
  </r>
  <r>
    <n v="10970"/>
    <x v="6"/>
    <n v="223.99999916553497"/>
    <n v="40"/>
    <d v="1998-03-24T00:00:00"/>
  </r>
  <r>
    <n v="10970"/>
    <x v="7"/>
    <n v="223.99999916553497"/>
    <n v="40"/>
    <d v="1998-03-24T00:00:00"/>
  </r>
  <r>
    <n v="10971"/>
    <x v="0"/>
    <n v="1733.06"/>
    <n v="14"/>
    <d v="1998-03-24T00:00:00"/>
  </r>
  <r>
    <n v="10971"/>
    <x v="1"/>
    <n v="1733.06"/>
    <n v="14"/>
    <d v="1998-03-24T00:00:00"/>
  </r>
  <r>
    <n v="10971"/>
    <x v="2"/>
    <n v="1733.06"/>
    <n v="14"/>
    <d v="1998-03-24T00:00:00"/>
  </r>
  <r>
    <n v="10971"/>
    <x v="3"/>
    <n v="1733.06"/>
    <n v="14"/>
    <d v="1998-03-24T00:00:00"/>
  </r>
  <r>
    <n v="10971"/>
    <x v="4"/>
    <n v="1733.06"/>
    <n v="14"/>
    <d v="1998-03-24T00:00:00"/>
  </r>
  <r>
    <n v="10971"/>
    <x v="5"/>
    <n v="1733.06"/>
    <n v="14"/>
    <d v="1998-03-24T00:00:00"/>
  </r>
  <r>
    <n v="10971"/>
    <x v="6"/>
    <n v="1733.06"/>
    <n v="14"/>
    <d v="1998-03-24T00:00:00"/>
  </r>
  <r>
    <n v="10971"/>
    <x v="7"/>
    <n v="1733.06"/>
    <n v="14"/>
    <d v="1998-03-24T00:00:00"/>
  </r>
  <r>
    <n v="10972"/>
    <x v="0"/>
    <n v="234"/>
    <n v="6"/>
    <d v="1998-03-24T00:00:00"/>
  </r>
  <r>
    <n v="10972"/>
    <x v="1"/>
    <n v="234"/>
    <n v="6"/>
    <d v="1998-03-24T00:00:00"/>
  </r>
  <r>
    <n v="10972"/>
    <x v="2"/>
    <n v="234"/>
    <n v="6"/>
    <d v="1998-03-24T00:00:00"/>
  </r>
  <r>
    <n v="10972"/>
    <x v="3"/>
    <n v="234"/>
    <n v="6"/>
    <d v="1998-03-24T00:00:00"/>
  </r>
  <r>
    <n v="10972"/>
    <x v="4"/>
    <n v="234"/>
    <n v="6"/>
    <d v="1998-03-24T00:00:00"/>
  </r>
  <r>
    <n v="10972"/>
    <x v="5"/>
    <n v="234"/>
    <n v="6"/>
    <d v="1998-03-24T00:00:00"/>
  </r>
  <r>
    <n v="10972"/>
    <x v="6"/>
    <n v="234"/>
    <n v="6"/>
    <d v="1998-03-24T00:00:00"/>
  </r>
  <r>
    <n v="10972"/>
    <x v="7"/>
    <n v="234"/>
    <n v="6"/>
    <d v="1998-03-24T00:00:00"/>
  </r>
  <r>
    <n v="10972"/>
    <x v="0"/>
    <n v="17.5"/>
    <n v="7"/>
    <d v="1998-03-24T00:00:00"/>
  </r>
  <r>
    <n v="10972"/>
    <x v="1"/>
    <n v="17.5"/>
    <n v="7"/>
    <d v="1998-03-24T00:00:00"/>
  </r>
  <r>
    <n v="10972"/>
    <x v="2"/>
    <n v="17.5"/>
    <n v="7"/>
    <d v="1998-03-24T00:00:00"/>
  </r>
  <r>
    <n v="10972"/>
    <x v="3"/>
    <n v="17.5"/>
    <n v="7"/>
    <d v="1998-03-24T00:00:00"/>
  </r>
  <r>
    <n v="10972"/>
    <x v="4"/>
    <n v="17.5"/>
    <n v="7"/>
    <d v="1998-03-24T00:00:00"/>
  </r>
  <r>
    <n v="10972"/>
    <x v="5"/>
    <n v="17.5"/>
    <n v="7"/>
    <d v="1998-03-24T00:00:00"/>
  </r>
  <r>
    <n v="10972"/>
    <x v="6"/>
    <n v="17.5"/>
    <n v="7"/>
    <d v="1998-03-24T00:00:00"/>
  </r>
  <r>
    <n v="10972"/>
    <x v="7"/>
    <n v="17.5"/>
    <n v="7"/>
    <d v="1998-03-24T00:00:00"/>
  </r>
  <r>
    <n v="10973"/>
    <x v="0"/>
    <n v="156.15"/>
    <n v="5"/>
    <d v="1998-03-24T00:00:00"/>
  </r>
  <r>
    <n v="10973"/>
    <x v="1"/>
    <n v="156.15"/>
    <n v="5"/>
    <d v="1998-03-24T00:00:00"/>
  </r>
  <r>
    <n v="10973"/>
    <x v="2"/>
    <n v="156.15"/>
    <n v="5"/>
    <d v="1998-03-24T00:00:00"/>
  </r>
  <r>
    <n v="10973"/>
    <x v="3"/>
    <n v="156.15"/>
    <n v="5"/>
    <d v="1998-03-24T00:00:00"/>
  </r>
  <r>
    <n v="10973"/>
    <x v="4"/>
    <n v="156.15"/>
    <n v="5"/>
    <d v="1998-03-24T00:00:00"/>
  </r>
  <r>
    <n v="10973"/>
    <x v="5"/>
    <n v="156.15"/>
    <n v="5"/>
    <d v="1998-03-24T00:00:00"/>
  </r>
  <r>
    <n v="10973"/>
    <x v="6"/>
    <n v="156.15"/>
    <n v="5"/>
    <d v="1998-03-24T00:00:00"/>
  </r>
  <r>
    <n v="10973"/>
    <x v="7"/>
    <n v="156.15"/>
    <n v="5"/>
    <d v="1998-03-24T00:00:00"/>
  </r>
  <r>
    <n v="10973"/>
    <x v="0"/>
    <n v="57.9"/>
    <n v="6"/>
    <d v="1998-03-24T00:00:00"/>
  </r>
  <r>
    <n v="10973"/>
    <x v="1"/>
    <n v="57.9"/>
    <n v="6"/>
    <d v="1998-03-24T00:00:00"/>
  </r>
  <r>
    <n v="10973"/>
    <x v="2"/>
    <n v="57.9"/>
    <n v="6"/>
    <d v="1998-03-24T00:00:00"/>
  </r>
  <r>
    <n v="10973"/>
    <x v="3"/>
    <n v="57.9"/>
    <n v="6"/>
    <d v="1998-03-24T00:00:00"/>
  </r>
  <r>
    <n v="10973"/>
    <x v="4"/>
    <n v="57.9"/>
    <n v="6"/>
    <d v="1998-03-24T00:00:00"/>
  </r>
  <r>
    <n v="10973"/>
    <x v="5"/>
    <n v="57.9"/>
    <n v="6"/>
    <d v="1998-03-24T00:00:00"/>
  </r>
  <r>
    <n v="10973"/>
    <x v="6"/>
    <n v="57.9"/>
    <n v="6"/>
    <d v="1998-03-24T00:00:00"/>
  </r>
  <r>
    <n v="10973"/>
    <x v="7"/>
    <n v="57.9"/>
    <n v="6"/>
    <d v="1998-03-24T00:00:00"/>
  </r>
  <r>
    <n v="10973"/>
    <x v="0"/>
    <n v="77.5"/>
    <n v="10"/>
    <d v="1998-03-24T00:00:00"/>
  </r>
  <r>
    <n v="10973"/>
    <x v="1"/>
    <n v="77.5"/>
    <n v="10"/>
    <d v="1998-03-24T00:00:00"/>
  </r>
  <r>
    <n v="10973"/>
    <x v="2"/>
    <n v="77.5"/>
    <n v="10"/>
    <d v="1998-03-24T00:00:00"/>
  </r>
  <r>
    <n v="10973"/>
    <x v="3"/>
    <n v="77.5"/>
    <n v="10"/>
    <d v="1998-03-24T00:00:00"/>
  </r>
  <r>
    <n v="10973"/>
    <x v="4"/>
    <n v="77.5"/>
    <n v="10"/>
    <d v="1998-03-24T00:00:00"/>
  </r>
  <r>
    <n v="10973"/>
    <x v="5"/>
    <n v="77.5"/>
    <n v="10"/>
    <d v="1998-03-24T00:00:00"/>
  </r>
  <r>
    <n v="10973"/>
    <x v="6"/>
    <n v="77.5"/>
    <n v="10"/>
    <d v="1998-03-24T00:00:00"/>
  </r>
  <r>
    <n v="10973"/>
    <x v="7"/>
    <n v="77.5"/>
    <n v="10"/>
    <d v="1998-03-24T00:00:00"/>
  </r>
  <r>
    <n v="10974"/>
    <x v="0"/>
    <n v="439"/>
    <n v="10"/>
    <d v="1998-03-25T00:00:00"/>
  </r>
  <r>
    <n v="10974"/>
    <x v="1"/>
    <n v="439"/>
    <n v="10"/>
    <d v="1998-03-25T00:00:00"/>
  </r>
  <r>
    <n v="10974"/>
    <x v="2"/>
    <n v="439"/>
    <n v="10"/>
    <d v="1998-03-25T00:00:00"/>
  </r>
  <r>
    <n v="10974"/>
    <x v="3"/>
    <n v="439"/>
    <n v="10"/>
    <d v="1998-03-25T00:00:00"/>
  </r>
  <r>
    <n v="10974"/>
    <x v="4"/>
    <n v="439"/>
    <n v="10"/>
    <d v="1998-03-25T00:00:00"/>
  </r>
  <r>
    <n v="10974"/>
    <x v="5"/>
    <n v="439"/>
    <n v="10"/>
    <d v="1998-03-25T00:00:00"/>
  </r>
  <r>
    <n v="10974"/>
    <x v="6"/>
    <n v="439"/>
    <n v="10"/>
    <d v="1998-03-25T00:00:00"/>
  </r>
  <r>
    <n v="10974"/>
    <x v="7"/>
    <n v="439"/>
    <n v="10"/>
    <d v="1998-03-25T00:00:00"/>
  </r>
  <r>
    <n v="10975"/>
    <x v="0"/>
    <n v="640"/>
    <n v="16"/>
    <d v="1998-03-25T00:00:00"/>
  </r>
  <r>
    <n v="10975"/>
    <x v="1"/>
    <n v="640"/>
    <n v="16"/>
    <d v="1998-03-25T00:00:00"/>
  </r>
  <r>
    <n v="10975"/>
    <x v="2"/>
    <n v="640"/>
    <n v="16"/>
    <d v="1998-03-25T00:00:00"/>
  </r>
  <r>
    <n v="10975"/>
    <x v="3"/>
    <n v="640"/>
    <n v="16"/>
    <d v="1998-03-25T00:00:00"/>
  </r>
  <r>
    <n v="10975"/>
    <x v="4"/>
    <n v="640"/>
    <n v="16"/>
    <d v="1998-03-25T00:00:00"/>
  </r>
  <r>
    <n v="10975"/>
    <x v="5"/>
    <n v="640"/>
    <n v="16"/>
    <d v="1998-03-25T00:00:00"/>
  </r>
  <r>
    <n v="10975"/>
    <x v="6"/>
    <n v="640"/>
    <n v="16"/>
    <d v="1998-03-25T00:00:00"/>
  </r>
  <r>
    <n v="10975"/>
    <x v="7"/>
    <n v="640"/>
    <n v="16"/>
    <d v="1998-03-25T00:00:00"/>
  </r>
  <r>
    <n v="10975"/>
    <x v="0"/>
    <n v="77.5"/>
    <n v="10"/>
    <d v="1998-03-25T00:00:00"/>
  </r>
  <r>
    <n v="10975"/>
    <x v="1"/>
    <n v="77.5"/>
    <n v="10"/>
    <d v="1998-03-25T00:00:00"/>
  </r>
  <r>
    <n v="10975"/>
    <x v="2"/>
    <n v="77.5"/>
    <n v="10"/>
    <d v="1998-03-25T00:00:00"/>
  </r>
  <r>
    <n v="10975"/>
    <x v="3"/>
    <n v="77.5"/>
    <n v="10"/>
    <d v="1998-03-25T00:00:00"/>
  </r>
  <r>
    <n v="10975"/>
    <x v="4"/>
    <n v="77.5"/>
    <n v="10"/>
    <d v="1998-03-25T00:00:00"/>
  </r>
  <r>
    <n v="10975"/>
    <x v="5"/>
    <n v="77.5"/>
    <n v="10"/>
    <d v="1998-03-25T00:00:00"/>
  </r>
  <r>
    <n v="10975"/>
    <x v="6"/>
    <n v="77.5"/>
    <n v="10"/>
    <d v="1998-03-25T00:00:00"/>
  </r>
  <r>
    <n v="10975"/>
    <x v="7"/>
    <n v="77.5"/>
    <n v="10"/>
    <d v="1998-03-25T00:00:00"/>
  </r>
  <r>
    <n v="10976"/>
    <x v="0"/>
    <n v="912"/>
    <n v="20"/>
    <d v="1998-03-25T00:00:00"/>
  </r>
  <r>
    <n v="10976"/>
    <x v="1"/>
    <n v="912"/>
    <n v="20"/>
    <d v="1998-03-25T00:00:00"/>
  </r>
  <r>
    <n v="10976"/>
    <x v="2"/>
    <n v="912"/>
    <n v="20"/>
    <d v="1998-03-25T00:00:00"/>
  </r>
  <r>
    <n v="10976"/>
    <x v="3"/>
    <n v="912"/>
    <n v="20"/>
    <d v="1998-03-25T00:00:00"/>
  </r>
  <r>
    <n v="10976"/>
    <x v="4"/>
    <n v="912"/>
    <n v="20"/>
    <d v="1998-03-25T00:00:00"/>
  </r>
  <r>
    <n v="10976"/>
    <x v="5"/>
    <n v="912"/>
    <n v="20"/>
    <d v="1998-03-25T00:00:00"/>
  </r>
  <r>
    <n v="10976"/>
    <x v="6"/>
    <n v="912"/>
    <n v="20"/>
    <d v="1998-03-25T00:00:00"/>
  </r>
  <r>
    <n v="10976"/>
    <x v="7"/>
    <n v="912"/>
    <n v="20"/>
    <d v="1998-03-25T00:00:00"/>
  </r>
  <r>
    <n v="10977"/>
    <x v="0"/>
    <n v="540"/>
    <n v="30"/>
    <d v="1998-03-26T00:00:00"/>
  </r>
  <r>
    <n v="10977"/>
    <x v="1"/>
    <n v="540"/>
    <n v="30"/>
    <d v="1998-03-26T00:00:00"/>
  </r>
  <r>
    <n v="10977"/>
    <x v="2"/>
    <n v="540"/>
    <n v="30"/>
    <d v="1998-03-26T00:00:00"/>
  </r>
  <r>
    <n v="10977"/>
    <x v="3"/>
    <n v="540"/>
    <n v="30"/>
    <d v="1998-03-26T00:00:00"/>
  </r>
  <r>
    <n v="10977"/>
    <x v="4"/>
    <n v="540"/>
    <n v="30"/>
    <d v="1998-03-26T00:00:00"/>
  </r>
  <r>
    <n v="10977"/>
    <x v="5"/>
    <n v="540"/>
    <n v="30"/>
    <d v="1998-03-26T00:00:00"/>
  </r>
  <r>
    <n v="10977"/>
    <x v="6"/>
    <n v="540"/>
    <n v="30"/>
    <d v="1998-03-26T00:00:00"/>
  </r>
  <r>
    <n v="10977"/>
    <x v="7"/>
    <n v="540"/>
    <n v="30"/>
    <d v="1998-03-26T00:00:00"/>
  </r>
  <r>
    <n v="10977"/>
    <x v="0"/>
    <n v="285"/>
    <n v="30"/>
    <d v="1998-03-26T00:00:00"/>
  </r>
  <r>
    <n v="10977"/>
    <x v="1"/>
    <n v="285"/>
    <n v="30"/>
    <d v="1998-03-26T00:00:00"/>
  </r>
  <r>
    <n v="10977"/>
    <x v="2"/>
    <n v="285"/>
    <n v="30"/>
    <d v="1998-03-26T00:00:00"/>
  </r>
  <r>
    <n v="10977"/>
    <x v="3"/>
    <n v="285"/>
    <n v="30"/>
    <d v="1998-03-26T00:00:00"/>
  </r>
  <r>
    <n v="10977"/>
    <x v="4"/>
    <n v="285"/>
    <n v="30"/>
    <d v="1998-03-26T00:00:00"/>
  </r>
  <r>
    <n v="10977"/>
    <x v="5"/>
    <n v="285"/>
    <n v="30"/>
    <d v="1998-03-26T00:00:00"/>
  </r>
  <r>
    <n v="10977"/>
    <x v="6"/>
    <n v="285"/>
    <n v="30"/>
    <d v="1998-03-26T00:00:00"/>
  </r>
  <r>
    <n v="10977"/>
    <x v="7"/>
    <n v="285"/>
    <n v="30"/>
    <d v="1998-03-26T00:00:00"/>
  </r>
  <r>
    <n v="10977"/>
    <x v="0"/>
    <n v="530"/>
    <n v="10"/>
    <d v="1998-03-26T00:00:00"/>
  </r>
  <r>
    <n v="10977"/>
    <x v="1"/>
    <n v="530"/>
    <n v="10"/>
    <d v="1998-03-26T00:00:00"/>
  </r>
  <r>
    <n v="10977"/>
    <x v="2"/>
    <n v="530"/>
    <n v="10"/>
    <d v="1998-03-26T00:00:00"/>
  </r>
  <r>
    <n v="10977"/>
    <x v="3"/>
    <n v="530"/>
    <n v="10"/>
    <d v="1998-03-26T00:00:00"/>
  </r>
  <r>
    <n v="10977"/>
    <x v="4"/>
    <n v="530"/>
    <n v="10"/>
    <d v="1998-03-26T00:00:00"/>
  </r>
  <r>
    <n v="10977"/>
    <x v="5"/>
    <n v="530"/>
    <n v="10"/>
    <d v="1998-03-26T00:00:00"/>
  </r>
  <r>
    <n v="10977"/>
    <x v="6"/>
    <n v="530"/>
    <n v="10"/>
    <d v="1998-03-26T00:00:00"/>
  </r>
  <r>
    <n v="10977"/>
    <x v="7"/>
    <n v="530"/>
    <n v="10"/>
    <d v="1998-03-26T00:00:00"/>
  </r>
  <r>
    <n v="10977"/>
    <x v="0"/>
    <n v="878"/>
    <n v="20"/>
    <d v="1998-03-26T00:00:00"/>
  </r>
  <r>
    <n v="10977"/>
    <x v="1"/>
    <n v="878"/>
    <n v="20"/>
    <d v="1998-03-26T00:00:00"/>
  </r>
  <r>
    <n v="10977"/>
    <x v="2"/>
    <n v="878"/>
    <n v="20"/>
    <d v="1998-03-26T00:00:00"/>
  </r>
  <r>
    <n v="10977"/>
    <x v="3"/>
    <n v="878"/>
    <n v="20"/>
    <d v="1998-03-26T00:00:00"/>
  </r>
  <r>
    <n v="10977"/>
    <x v="4"/>
    <n v="878"/>
    <n v="20"/>
    <d v="1998-03-26T00:00:00"/>
  </r>
  <r>
    <n v="10977"/>
    <x v="5"/>
    <n v="878"/>
    <n v="20"/>
    <d v="1998-03-26T00:00:00"/>
  </r>
  <r>
    <n v="10977"/>
    <x v="6"/>
    <n v="878"/>
    <n v="20"/>
    <d v="1998-03-26T00:00:00"/>
  </r>
  <r>
    <n v="10977"/>
    <x v="7"/>
    <n v="878"/>
    <n v="20"/>
    <d v="1998-03-26T00:00:00"/>
  </r>
  <r>
    <n v="10978"/>
    <x v="0"/>
    <n v="679.99999523162842"/>
    <n v="20"/>
    <d v="1998-03-26T00:00:00"/>
  </r>
  <r>
    <n v="10978"/>
    <x v="1"/>
    <n v="679.99999523162842"/>
    <n v="20"/>
    <d v="1998-03-26T00:00:00"/>
  </r>
  <r>
    <n v="10978"/>
    <x v="2"/>
    <n v="679.99999523162842"/>
    <n v="20"/>
    <d v="1998-03-26T00:00:00"/>
  </r>
  <r>
    <n v="10978"/>
    <x v="3"/>
    <n v="679.99999523162842"/>
    <n v="20"/>
    <d v="1998-03-26T00:00:00"/>
  </r>
  <r>
    <n v="10978"/>
    <x v="4"/>
    <n v="679.99999523162842"/>
    <n v="20"/>
    <d v="1998-03-26T00:00:00"/>
  </r>
  <r>
    <n v="10978"/>
    <x v="5"/>
    <n v="679.99999523162842"/>
    <n v="20"/>
    <d v="1998-03-26T00:00:00"/>
  </r>
  <r>
    <n v="10978"/>
    <x v="6"/>
    <n v="679.99999523162842"/>
    <n v="20"/>
    <d v="1998-03-26T00:00:00"/>
  </r>
  <r>
    <n v="10978"/>
    <x v="7"/>
    <n v="679.99999523162842"/>
    <n v="20"/>
    <d v="1998-03-26T00:00:00"/>
  </r>
  <r>
    <n v="10978"/>
    <x v="0"/>
    <n v="339.99999761581421"/>
    <n v="40"/>
    <d v="1998-03-26T00:00:00"/>
  </r>
  <r>
    <n v="10978"/>
    <x v="1"/>
    <n v="339.99999761581421"/>
    <n v="40"/>
    <d v="1998-03-26T00:00:00"/>
  </r>
  <r>
    <n v="10978"/>
    <x v="2"/>
    <n v="339.99999761581421"/>
    <n v="40"/>
    <d v="1998-03-26T00:00:00"/>
  </r>
  <r>
    <n v="10978"/>
    <x v="3"/>
    <n v="339.99999761581421"/>
    <n v="40"/>
    <d v="1998-03-26T00:00:00"/>
  </r>
  <r>
    <n v="10978"/>
    <x v="4"/>
    <n v="339.99999761581421"/>
    <n v="40"/>
    <d v="1998-03-26T00:00:00"/>
  </r>
  <r>
    <n v="10978"/>
    <x v="5"/>
    <n v="339.99999761581421"/>
    <n v="40"/>
    <d v="1998-03-26T00:00:00"/>
  </r>
  <r>
    <n v="10978"/>
    <x v="6"/>
    <n v="339.99999761581421"/>
    <n v="40"/>
    <d v="1998-03-26T00:00:00"/>
  </r>
  <r>
    <n v="10978"/>
    <x v="7"/>
    <n v="339.99999761581421"/>
    <n v="40"/>
    <d v="1998-03-26T00:00:00"/>
  </r>
  <r>
    <n v="10978"/>
    <x v="0"/>
    <n v="184"/>
    <n v="10"/>
    <d v="1998-03-26T00:00:00"/>
  </r>
  <r>
    <n v="10978"/>
    <x v="1"/>
    <n v="184"/>
    <n v="10"/>
    <d v="1998-03-26T00:00:00"/>
  </r>
  <r>
    <n v="10978"/>
    <x v="2"/>
    <n v="184"/>
    <n v="10"/>
    <d v="1998-03-26T00:00:00"/>
  </r>
  <r>
    <n v="10978"/>
    <x v="3"/>
    <n v="184"/>
    <n v="10"/>
    <d v="1998-03-26T00:00:00"/>
  </r>
  <r>
    <n v="10978"/>
    <x v="4"/>
    <n v="184"/>
    <n v="10"/>
    <d v="1998-03-26T00:00:00"/>
  </r>
  <r>
    <n v="10978"/>
    <x v="5"/>
    <n v="184"/>
    <n v="10"/>
    <d v="1998-03-26T00:00:00"/>
  </r>
  <r>
    <n v="10978"/>
    <x v="6"/>
    <n v="184"/>
    <n v="10"/>
    <d v="1998-03-26T00:00:00"/>
  </r>
  <r>
    <n v="10978"/>
    <x v="7"/>
    <n v="184"/>
    <n v="10"/>
    <d v="1998-03-26T00:00:00"/>
  </r>
  <r>
    <n v="10978"/>
    <x v="0"/>
    <n v="99.194999304413798"/>
    <n v="6"/>
    <d v="1998-03-26T00:00:00"/>
  </r>
  <r>
    <n v="10978"/>
    <x v="1"/>
    <n v="99.194999304413798"/>
    <n v="6"/>
    <d v="1998-03-26T00:00:00"/>
  </r>
  <r>
    <n v="10978"/>
    <x v="2"/>
    <n v="99.194999304413798"/>
    <n v="6"/>
    <d v="1998-03-26T00:00:00"/>
  </r>
  <r>
    <n v="10978"/>
    <x v="3"/>
    <n v="99.194999304413798"/>
    <n v="6"/>
    <d v="1998-03-26T00:00:00"/>
  </r>
  <r>
    <n v="10978"/>
    <x v="4"/>
    <n v="99.194999304413798"/>
    <n v="6"/>
    <d v="1998-03-26T00:00:00"/>
  </r>
  <r>
    <n v="10978"/>
    <x v="5"/>
    <n v="99.194999304413798"/>
    <n v="6"/>
    <d v="1998-03-26T00:00:00"/>
  </r>
  <r>
    <n v="10978"/>
    <x v="6"/>
    <n v="99.194999304413798"/>
    <n v="6"/>
    <d v="1998-03-26T00:00:00"/>
  </r>
  <r>
    <n v="10978"/>
    <x v="7"/>
    <n v="99.194999304413798"/>
    <n v="6"/>
    <d v="1998-03-26T00:00:00"/>
  </r>
  <r>
    <n v="10979"/>
    <x v="0"/>
    <n v="540"/>
    <n v="18"/>
    <d v="1998-03-26T00:00:00"/>
  </r>
  <r>
    <n v="10979"/>
    <x v="1"/>
    <n v="540"/>
    <n v="18"/>
    <d v="1998-03-26T00:00:00"/>
  </r>
  <r>
    <n v="10979"/>
    <x v="2"/>
    <n v="540"/>
    <n v="18"/>
    <d v="1998-03-26T00:00:00"/>
  </r>
  <r>
    <n v="10979"/>
    <x v="3"/>
    <n v="540"/>
    <n v="18"/>
    <d v="1998-03-26T00:00:00"/>
  </r>
  <r>
    <n v="10979"/>
    <x v="4"/>
    <n v="540"/>
    <n v="18"/>
    <d v="1998-03-26T00:00:00"/>
  </r>
  <r>
    <n v="10979"/>
    <x v="5"/>
    <n v="540"/>
    <n v="18"/>
    <d v="1998-03-26T00:00:00"/>
  </r>
  <r>
    <n v="10979"/>
    <x v="6"/>
    <n v="540"/>
    <n v="18"/>
    <d v="1998-03-26T00:00:00"/>
  </r>
  <r>
    <n v="10979"/>
    <x v="7"/>
    <n v="540"/>
    <n v="18"/>
    <d v="1998-03-26T00:00:00"/>
  </r>
  <r>
    <n v="10979"/>
    <x v="0"/>
    <n v="760"/>
    <n v="20"/>
    <d v="1998-03-26T00:00:00"/>
  </r>
  <r>
    <n v="10979"/>
    <x v="1"/>
    <n v="760"/>
    <n v="20"/>
    <d v="1998-03-26T00:00:00"/>
  </r>
  <r>
    <n v="10979"/>
    <x v="2"/>
    <n v="760"/>
    <n v="20"/>
    <d v="1998-03-26T00:00:00"/>
  </r>
  <r>
    <n v="10979"/>
    <x v="3"/>
    <n v="760"/>
    <n v="20"/>
    <d v="1998-03-26T00:00:00"/>
  </r>
  <r>
    <n v="10979"/>
    <x v="4"/>
    <n v="760"/>
    <n v="20"/>
    <d v="1998-03-26T00:00:00"/>
  </r>
  <r>
    <n v="10979"/>
    <x v="5"/>
    <n v="760"/>
    <n v="20"/>
    <d v="1998-03-26T00:00:00"/>
  </r>
  <r>
    <n v="10979"/>
    <x v="6"/>
    <n v="760"/>
    <n v="20"/>
    <d v="1998-03-26T00:00:00"/>
  </r>
  <r>
    <n v="10979"/>
    <x v="7"/>
    <n v="760"/>
    <n v="20"/>
    <d v="1998-03-26T00:00:00"/>
  </r>
  <r>
    <n v="10979"/>
    <x v="0"/>
    <n v="360"/>
    <n v="80"/>
    <d v="1998-03-26T00:00:00"/>
  </r>
  <r>
    <n v="10979"/>
    <x v="1"/>
    <n v="360"/>
    <n v="80"/>
    <d v="1998-03-26T00:00:00"/>
  </r>
  <r>
    <n v="10979"/>
    <x v="2"/>
    <n v="360"/>
    <n v="80"/>
    <d v="1998-03-26T00:00:00"/>
  </r>
  <r>
    <n v="10979"/>
    <x v="3"/>
    <n v="360"/>
    <n v="80"/>
    <d v="1998-03-26T00:00:00"/>
  </r>
  <r>
    <n v="10979"/>
    <x v="4"/>
    <n v="360"/>
    <n v="80"/>
    <d v="1998-03-26T00:00:00"/>
  </r>
  <r>
    <n v="10979"/>
    <x v="5"/>
    <n v="360"/>
    <n v="80"/>
    <d v="1998-03-26T00:00:00"/>
  </r>
  <r>
    <n v="10979"/>
    <x v="6"/>
    <n v="360"/>
    <n v="80"/>
    <d v="1998-03-26T00:00:00"/>
  </r>
  <r>
    <n v="10979"/>
    <x v="7"/>
    <n v="360"/>
    <n v="80"/>
    <d v="1998-03-26T00:00:00"/>
  </r>
  <r>
    <n v="10979"/>
    <x v="0"/>
    <n v="1317"/>
    <n v="30"/>
    <d v="1998-03-26T00:00:00"/>
  </r>
  <r>
    <n v="10979"/>
    <x v="1"/>
    <n v="1317"/>
    <n v="30"/>
    <d v="1998-03-26T00:00:00"/>
  </r>
  <r>
    <n v="10979"/>
    <x v="2"/>
    <n v="1317"/>
    <n v="30"/>
    <d v="1998-03-26T00:00:00"/>
  </r>
  <r>
    <n v="10979"/>
    <x v="3"/>
    <n v="1317"/>
    <n v="30"/>
    <d v="1998-03-26T00:00:00"/>
  </r>
  <r>
    <n v="10979"/>
    <x v="4"/>
    <n v="1317"/>
    <n v="30"/>
    <d v="1998-03-26T00:00:00"/>
  </r>
  <r>
    <n v="10979"/>
    <x v="5"/>
    <n v="1317"/>
    <n v="30"/>
    <d v="1998-03-26T00:00:00"/>
  </r>
  <r>
    <n v="10979"/>
    <x v="6"/>
    <n v="1317"/>
    <n v="30"/>
    <d v="1998-03-26T00:00:00"/>
  </r>
  <r>
    <n v="10979"/>
    <x v="7"/>
    <n v="1317"/>
    <n v="30"/>
    <d v="1998-03-26T00:00:00"/>
  </r>
  <r>
    <n v="10979"/>
    <x v="0"/>
    <n v="300"/>
    <n v="24"/>
    <d v="1998-03-26T00:00:00"/>
  </r>
  <r>
    <n v="10979"/>
    <x v="1"/>
    <n v="300"/>
    <n v="24"/>
    <d v="1998-03-26T00:00:00"/>
  </r>
  <r>
    <n v="10979"/>
    <x v="2"/>
    <n v="300"/>
    <n v="24"/>
    <d v="1998-03-26T00:00:00"/>
  </r>
  <r>
    <n v="10979"/>
    <x v="3"/>
    <n v="300"/>
    <n v="24"/>
    <d v="1998-03-26T00:00:00"/>
  </r>
  <r>
    <n v="10979"/>
    <x v="4"/>
    <n v="300"/>
    <n v="24"/>
    <d v="1998-03-26T00:00:00"/>
  </r>
  <r>
    <n v="10979"/>
    <x v="5"/>
    <n v="300"/>
    <n v="24"/>
    <d v="1998-03-26T00:00:00"/>
  </r>
  <r>
    <n v="10979"/>
    <x v="6"/>
    <n v="300"/>
    <n v="24"/>
    <d v="1998-03-26T00:00:00"/>
  </r>
  <r>
    <n v="10979"/>
    <x v="7"/>
    <n v="300"/>
    <n v="24"/>
    <d v="1998-03-26T00:00:00"/>
  </r>
  <r>
    <n v="10979"/>
    <x v="0"/>
    <n v="1536.5"/>
    <n v="35"/>
    <d v="1998-03-26T00:00:00"/>
  </r>
  <r>
    <n v="10979"/>
    <x v="1"/>
    <n v="1536.5"/>
    <n v="35"/>
    <d v="1998-03-26T00:00:00"/>
  </r>
  <r>
    <n v="10979"/>
    <x v="2"/>
    <n v="1536.5"/>
    <n v="35"/>
    <d v="1998-03-26T00:00:00"/>
  </r>
  <r>
    <n v="10979"/>
    <x v="3"/>
    <n v="1536.5"/>
    <n v="35"/>
    <d v="1998-03-26T00:00:00"/>
  </r>
  <r>
    <n v="10979"/>
    <x v="4"/>
    <n v="1536.5"/>
    <n v="35"/>
    <d v="1998-03-26T00:00:00"/>
  </r>
  <r>
    <n v="10979"/>
    <x v="5"/>
    <n v="1536.5"/>
    <n v="35"/>
    <d v="1998-03-26T00:00:00"/>
  </r>
  <r>
    <n v="10979"/>
    <x v="6"/>
    <n v="1536.5"/>
    <n v="35"/>
    <d v="1998-03-26T00:00:00"/>
  </r>
  <r>
    <n v="10979"/>
    <x v="7"/>
    <n v="1536.5"/>
    <n v="35"/>
    <d v="1998-03-26T00:00:00"/>
  </r>
  <r>
    <n v="10980"/>
    <x v="0"/>
    <n v="247.99999907612801"/>
    <n v="40"/>
    <d v="1998-03-27T00:00:00"/>
  </r>
  <r>
    <n v="10980"/>
    <x v="1"/>
    <n v="247.99999907612801"/>
    <n v="40"/>
    <d v="1998-03-27T00:00:00"/>
  </r>
  <r>
    <n v="10980"/>
    <x v="2"/>
    <n v="247.99999907612801"/>
    <n v="40"/>
    <d v="1998-03-27T00:00:00"/>
  </r>
  <r>
    <n v="10980"/>
    <x v="3"/>
    <n v="247.99999907612801"/>
    <n v="40"/>
    <d v="1998-03-27T00:00:00"/>
  </r>
  <r>
    <n v="10980"/>
    <x v="4"/>
    <n v="247.99999907612801"/>
    <n v="40"/>
    <d v="1998-03-27T00:00:00"/>
  </r>
  <r>
    <n v="10980"/>
    <x v="5"/>
    <n v="247.99999907612801"/>
    <n v="40"/>
    <d v="1998-03-27T00:00:00"/>
  </r>
  <r>
    <n v="10980"/>
    <x v="6"/>
    <n v="247.99999907612801"/>
    <n v="40"/>
    <d v="1998-03-27T00:00:00"/>
  </r>
  <r>
    <n v="10980"/>
    <x v="7"/>
    <n v="247.99999907612801"/>
    <n v="40"/>
    <d v="1998-03-27T00:00:00"/>
  </r>
  <r>
    <n v="10981"/>
    <x v="0"/>
    <n v="15810"/>
    <n v="60"/>
    <d v="1998-03-27T00:00:00"/>
  </r>
  <r>
    <n v="10981"/>
    <x v="1"/>
    <n v="15810"/>
    <n v="60"/>
    <d v="1998-03-27T00:00:00"/>
  </r>
  <r>
    <n v="10981"/>
    <x v="2"/>
    <n v="15810"/>
    <n v="60"/>
    <d v="1998-03-27T00:00:00"/>
  </r>
  <r>
    <n v="10981"/>
    <x v="3"/>
    <n v="15810"/>
    <n v="60"/>
    <d v="1998-03-27T00:00:00"/>
  </r>
  <r>
    <n v="10981"/>
    <x v="4"/>
    <n v="15810"/>
    <n v="60"/>
    <d v="1998-03-27T00:00:00"/>
  </r>
  <r>
    <n v="10981"/>
    <x v="5"/>
    <n v="15810"/>
    <n v="60"/>
    <d v="1998-03-27T00:00:00"/>
  </r>
  <r>
    <n v="10981"/>
    <x v="6"/>
    <n v="15810"/>
    <n v="60"/>
    <d v="1998-03-27T00:00:00"/>
  </r>
  <r>
    <n v="10981"/>
    <x v="7"/>
    <n v="15810"/>
    <n v="60"/>
    <d v="1998-03-27T00:00:00"/>
  </r>
  <r>
    <n v="10982"/>
    <x v="0"/>
    <n v="600"/>
    <n v="20"/>
    <d v="1998-03-27T00:00:00"/>
  </r>
  <r>
    <n v="10982"/>
    <x v="1"/>
    <n v="600"/>
    <n v="20"/>
    <d v="1998-03-27T00:00:00"/>
  </r>
  <r>
    <n v="10982"/>
    <x v="2"/>
    <n v="600"/>
    <n v="20"/>
    <d v="1998-03-27T00:00:00"/>
  </r>
  <r>
    <n v="10982"/>
    <x v="3"/>
    <n v="600"/>
    <n v="20"/>
    <d v="1998-03-27T00:00:00"/>
  </r>
  <r>
    <n v="10982"/>
    <x v="4"/>
    <n v="600"/>
    <n v="20"/>
    <d v="1998-03-27T00:00:00"/>
  </r>
  <r>
    <n v="10982"/>
    <x v="5"/>
    <n v="600"/>
    <n v="20"/>
    <d v="1998-03-27T00:00:00"/>
  </r>
  <r>
    <n v="10982"/>
    <x v="6"/>
    <n v="600"/>
    <n v="20"/>
    <d v="1998-03-27T00:00:00"/>
  </r>
  <r>
    <n v="10982"/>
    <x v="7"/>
    <n v="600"/>
    <n v="20"/>
    <d v="1998-03-27T00:00:00"/>
  </r>
  <r>
    <n v="10982"/>
    <x v="0"/>
    <n v="414"/>
    <n v="9"/>
    <d v="1998-03-27T00:00:00"/>
  </r>
  <r>
    <n v="10982"/>
    <x v="1"/>
    <n v="414"/>
    <n v="9"/>
    <d v="1998-03-27T00:00:00"/>
  </r>
  <r>
    <n v="10982"/>
    <x v="2"/>
    <n v="414"/>
    <n v="9"/>
    <d v="1998-03-27T00:00:00"/>
  </r>
  <r>
    <n v="10982"/>
    <x v="3"/>
    <n v="414"/>
    <n v="9"/>
    <d v="1998-03-27T00:00:00"/>
  </r>
  <r>
    <n v="10982"/>
    <x v="4"/>
    <n v="414"/>
    <n v="9"/>
    <d v="1998-03-27T00:00:00"/>
  </r>
  <r>
    <n v="10982"/>
    <x v="5"/>
    <n v="414"/>
    <n v="9"/>
    <d v="1998-03-27T00:00:00"/>
  </r>
  <r>
    <n v="10982"/>
    <x v="6"/>
    <n v="414"/>
    <n v="9"/>
    <d v="1998-03-27T00:00:00"/>
  </r>
  <r>
    <n v="10982"/>
    <x v="7"/>
    <n v="414"/>
    <n v="9"/>
    <d v="1998-03-27T00:00:00"/>
  </r>
  <r>
    <n v="10983"/>
    <x v="0"/>
    <n v="428.3999969959259"/>
    <n v="84"/>
    <d v="1998-03-27T00:00:00"/>
  </r>
  <r>
    <n v="10983"/>
    <x v="1"/>
    <n v="428.3999969959259"/>
    <n v="84"/>
    <d v="1998-03-27T00:00:00"/>
  </r>
  <r>
    <n v="10983"/>
    <x v="2"/>
    <n v="428.3999969959259"/>
    <n v="84"/>
    <d v="1998-03-27T00:00:00"/>
  </r>
  <r>
    <n v="10983"/>
    <x v="3"/>
    <n v="428.3999969959259"/>
    <n v="84"/>
    <d v="1998-03-27T00:00:00"/>
  </r>
  <r>
    <n v="10983"/>
    <x v="4"/>
    <n v="428.3999969959259"/>
    <n v="84"/>
    <d v="1998-03-27T00:00:00"/>
  </r>
  <r>
    <n v="10983"/>
    <x v="5"/>
    <n v="428.3999969959259"/>
    <n v="84"/>
    <d v="1998-03-27T00:00:00"/>
  </r>
  <r>
    <n v="10983"/>
    <x v="6"/>
    <n v="428.3999969959259"/>
    <n v="84"/>
    <d v="1998-03-27T00:00:00"/>
  </r>
  <r>
    <n v="10983"/>
    <x v="7"/>
    <n v="428.3999969959259"/>
    <n v="84"/>
    <d v="1998-03-27T00:00:00"/>
  </r>
  <r>
    <n v="10983"/>
    <x v="0"/>
    <n v="292.5"/>
    <n v="15"/>
    <d v="1998-03-27T00:00:00"/>
  </r>
  <r>
    <n v="10983"/>
    <x v="1"/>
    <n v="292.5"/>
    <n v="15"/>
    <d v="1998-03-27T00:00:00"/>
  </r>
  <r>
    <n v="10983"/>
    <x v="2"/>
    <n v="292.5"/>
    <n v="15"/>
    <d v="1998-03-27T00:00:00"/>
  </r>
  <r>
    <n v="10983"/>
    <x v="3"/>
    <n v="292.5"/>
    <n v="15"/>
    <d v="1998-03-27T00:00:00"/>
  </r>
  <r>
    <n v="10983"/>
    <x v="4"/>
    <n v="292.5"/>
    <n v="15"/>
    <d v="1998-03-27T00:00:00"/>
  </r>
  <r>
    <n v="10983"/>
    <x v="5"/>
    <n v="292.5"/>
    <n v="15"/>
    <d v="1998-03-27T00:00:00"/>
  </r>
  <r>
    <n v="10983"/>
    <x v="6"/>
    <n v="292.5"/>
    <n v="15"/>
    <d v="1998-03-27T00:00:00"/>
  </r>
  <r>
    <n v="10983"/>
    <x v="7"/>
    <n v="292.5"/>
    <n v="15"/>
    <d v="1998-03-27T00:00:00"/>
  </r>
  <r>
    <n v="10984"/>
    <x v="0"/>
    <n v="959.75"/>
    <n v="55"/>
    <d v="1998-03-30T00:00:00"/>
  </r>
  <r>
    <n v="10984"/>
    <x v="1"/>
    <n v="959.75"/>
    <n v="55"/>
    <d v="1998-03-30T00:00:00"/>
  </r>
  <r>
    <n v="10984"/>
    <x v="2"/>
    <n v="959.75"/>
    <n v="55"/>
    <d v="1998-03-30T00:00:00"/>
  </r>
  <r>
    <n v="10984"/>
    <x v="3"/>
    <n v="959.75"/>
    <n v="55"/>
    <d v="1998-03-30T00:00:00"/>
  </r>
  <r>
    <n v="10984"/>
    <x v="4"/>
    <n v="959.75"/>
    <n v="55"/>
    <d v="1998-03-30T00:00:00"/>
  </r>
  <r>
    <n v="10984"/>
    <x v="5"/>
    <n v="959.75"/>
    <n v="55"/>
    <d v="1998-03-30T00:00:00"/>
  </r>
  <r>
    <n v="10984"/>
    <x v="6"/>
    <n v="959.75"/>
    <n v="55"/>
    <d v="1998-03-30T00:00:00"/>
  </r>
  <r>
    <n v="10984"/>
    <x v="7"/>
    <n v="959.75"/>
    <n v="55"/>
    <d v="1998-03-30T00:00:00"/>
  </r>
  <r>
    <n v="10984"/>
    <x v="0"/>
    <n v="90"/>
    <n v="20"/>
    <d v="1998-03-30T00:00:00"/>
  </r>
  <r>
    <n v="10984"/>
    <x v="1"/>
    <n v="90"/>
    <n v="20"/>
    <d v="1998-03-30T00:00:00"/>
  </r>
  <r>
    <n v="10984"/>
    <x v="2"/>
    <n v="90"/>
    <n v="20"/>
    <d v="1998-03-30T00:00:00"/>
  </r>
  <r>
    <n v="10984"/>
    <x v="3"/>
    <n v="90"/>
    <n v="20"/>
    <d v="1998-03-30T00:00:00"/>
  </r>
  <r>
    <n v="10984"/>
    <x v="4"/>
    <n v="90"/>
    <n v="20"/>
    <d v="1998-03-30T00:00:00"/>
  </r>
  <r>
    <n v="10984"/>
    <x v="5"/>
    <n v="90"/>
    <n v="20"/>
    <d v="1998-03-30T00:00:00"/>
  </r>
  <r>
    <n v="10984"/>
    <x v="6"/>
    <n v="90"/>
    <n v="20"/>
    <d v="1998-03-30T00:00:00"/>
  </r>
  <r>
    <n v="10984"/>
    <x v="7"/>
    <n v="90"/>
    <n v="20"/>
    <d v="1998-03-30T00:00:00"/>
  </r>
  <r>
    <n v="10984"/>
    <x v="0"/>
    <n v="760"/>
    <n v="40"/>
    <d v="1998-03-30T00:00:00"/>
  </r>
  <r>
    <n v="10984"/>
    <x v="1"/>
    <n v="760"/>
    <n v="40"/>
    <d v="1998-03-30T00:00:00"/>
  </r>
  <r>
    <n v="10984"/>
    <x v="2"/>
    <n v="760"/>
    <n v="40"/>
    <d v="1998-03-30T00:00:00"/>
  </r>
  <r>
    <n v="10984"/>
    <x v="3"/>
    <n v="760"/>
    <n v="40"/>
    <d v="1998-03-30T00:00:00"/>
  </r>
  <r>
    <n v="10984"/>
    <x v="4"/>
    <n v="760"/>
    <n v="40"/>
    <d v="1998-03-30T00:00:00"/>
  </r>
  <r>
    <n v="10984"/>
    <x v="5"/>
    <n v="760"/>
    <n v="40"/>
    <d v="1998-03-30T00:00:00"/>
  </r>
  <r>
    <n v="10984"/>
    <x v="6"/>
    <n v="760"/>
    <n v="40"/>
    <d v="1998-03-30T00:00:00"/>
  </r>
  <r>
    <n v="10984"/>
    <x v="7"/>
    <n v="760"/>
    <n v="40"/>
    <d v="1998-03-30T00:00:00"/>
  </r>
  <r>
    <n v="10985"/>
    <x v="0"/>
    <n v="565.37999906390905"/>
    <n v="36"/>
    <d v="1998-03-30T00:00:00"/>
  </r>
  <r>
    <n v="10985"/>
    <x v="1"/>
    <n v="565.37999906390905"/>
    <n v="36"/>
    <d v="1998-03-30T00:00:00"/>
  </r>
  <r>
    <n v="10985"/>
    <x v="2"/>
    <n v="565.37999906390905"/>
    <n v="36"/>
    <d v="1998-03-30T00:00:00"/>
  </r>
  <r>
    <n v="10985"/>
    <x v="3"/>
    <n v="565.37999906390905"/>
    <n v="36"/>
    <d v="1998-03-30T00:00:00"/>
  </r>
  <r>
    <n v="10985"/>
    <x v="4"/>
    <n v="565.37999906390905"/>
    <n v="36"/>
    <d v="1998-03-30T00:00:00"/>
  </r>
  <r>
    <n v="10985"/>
    <x v="5"/>
    <n v="565.37999906390905"/>
    <n v="36"/>
    <d v="1998-03-30T00:00:00"/>
  </r>
  <r>
    <n v="10985"/>
    <x v="6"/>
    <n v="565.37999906390905"/>
    <n v="36"/>
    <d v="1998-03-30T00:00:00"/>
  </r>
  <r>
    <n v="10985"/>
    <x v="7"/>
    <n v="565.37999906390905"/>
    <n v="36"/>
    <d v="1998-03-30T00:00:00"/>
  </r>
  <r>
    <n v="10985"/>
    <x v="0"/>
    <n v="449.99999925494194"/>
    <n v="8"/>
    <d v="1998-03-30T00:00:00"/>
  </r>
  <r>
    <n v="10985"/>
    <x v="1"/>
    <n v="449.99999925494194"/>
    <n v="8"/>
    <d v="1998-03-30T00:00:00"/>
  </r>
  <r>
    <n v="10985"/>
    <x v="2"/>
    <n v="449.99999925494194"/>
    <n v="8"/>
    <d v="1998-03-30T00:00:00"/>
  </r>
  <r>
    <n v="10985"/>
    <x v="3"/>
    <n v="449.99999925494194"/>
    <n v="8"/>
    <d v="1998-03-30T00:00:00"/>
  </r>
  <r>
    <n v="10985"/>
    <x v="4"/>
    <n v="449.99999925494194"/>
    <n v="8"/>
    <d v="1998-03-30T00:00:00"/>
  </r>
  <r>
    <n v="10985"/>
    <x v="5"/>
    <n v="449.99999925494194"/>
    <n v="8"/>
    <d v="1998-03-30T00:00:00"/>
  </r>
  <r>
    <n v="10985"/>
    <x v="6"/>
    <n v="449.99999925494194"/>
    <n v="8"/>
    <d v="1998-03-30T00:00:00"/>
  </r>
  <r>
    <n v="10985"/>
    <x v="7"/>
    <n v="449.99999925494194"/>
    <n v="8"/>
    <d v="1998-03-30T00:00:00"/>
  </r>
  <r>
    <n v="10985"/>
    <x v="0"/>
    <n v="1007.9999983310699"/>
    <n v="35"/>
    <d v="1998-03-30T00:00:00"/>
  </r>
  <r>
    <n v="10985"/>
    <x v="1"/>
    <n v="1007.9999983310699"/>
    <n v="35"/>
    <d v="1998-03-30T00:00:00"/>
  </r>
  <r>
    <n v="10985"/>
    <x v="2"/>
    <n v="1007.9999983310699"/>
    <n v="35"/>
    <d v="1998-03-30T00:00:00"/>
  </r>
  <r>
    <n v="10985"/>
    <x v="3"/>
    <n v="1007.9999983310699"/>
    <n v="35"/>
    <d v="1998-03-30T00:00:00"/>
  </r>
  <r>
    <n v="10985"/>
    <x v="4"/>
    <n v="1007.9999983310699"/>
    <n v="35"/>
    <d v="1998-03-30T00:00:00"/>
  </r>
  <r>
    <n v="10985"/>
    <x v="5"/>
    <n v="1007.9999983310699"/>
    <n v="35"/>
    <d v="1998-03-30T00:00:00"/>
  </r>
  <r>
    <n v="10985"/>
    <x v="6"/>
    <n v="1007.9999983310699"/>
    <n v="35"/>
    <d v="1998-03-30T00:00:00"/>
  </r>
  <r>
    <n v="10985"/>
    <x v="7"/>
    <n v="1007.9999983310699"/>
    <n v="35"/>
    <d v="1998-03-30T00:00:00"/>
  </r>
  <r>
    <n v="10986"/>
    <x v="0"/>
    <n v="630"/>
    <n v="30"/>
    <d v="1998-03-30T00:00:00"/>
  </r>
  <r>
    <n v="10986"/>
    <x v="1"/>
    <n v="630"/>
    <n v="30"/>
    <d v="1998-03-30T00:00:00"/>
  </r>
  <r>
    <n v="10986"/>
    <x v="2"/>
    <n v="630"/>
    <n v="30"/>
    <d v="1998-03-30T00:00:00"/>
  </r>
  <r>
    <n v="10986"/>
    <x v="3"/>
    <n v="630"/>
    <n v="30"/>
    <d v="1998-03-30T00:00:00"/>
  </r>
  <r>
    <n v="10986"/>
    <x v="4"/>
    <n v="630"/>
    <n v="30"/>
    <d v="1998-03-30T00:00:00"/>
  </r>
  <r>
    <n v="10986"/>
    <x v="5"/>
    <n v="630"/>
    <n v="30"/>
    <d v="1998-03-30T00:00:00"/>
  </r>
  <r>
    <n v="10986"/>
    <x v="6"/>
    <n v="630"/>
    <n v="30"/>
    <d v="1998-03-30T00:00:00"/>
  </r>
  <r>
    <n v="10986"/>
    <x v="7"/>
    <n v="630"/>
    <n v="30"/>
    <d v="1998-03-30T00:00:00"/>
  </r>
  <r>
    <n v="10986"/>
    <x v="0"/>
    <n v="1215"/>
    <n v="15"/>
    <d v="1998-03-30T00:00:00"/>
  </r>
  <r>
    <n v="10986"/>
    <x v="1"/>
    <n v="1215"/>
    <n v="15"/>
    <d v="1998-03-30T00:00:00"/>
  </r>
  <r>
    <n v="10986"/>
    <x v="2"/>
    <n v="1215"/>
    <n v="15"/>
    <d v="1998-03-30T00:00:00"/>
  </r>
  <r>
    <n v="10986"/>
    <x v="3"/>
    <n v="1215"/>
    <n v="15"/>
    <d v="1998-03-30T00:00:00"/>
  </r>
  <r>
    <n v="10986"/>
    <x v="4"/>
    <n v="1215"/>
    <n v="15"/>
    <d v="1998-03-30T00:00:00"/>
  </r>
  <r>
    <n v="10986"/>
    <x v="5"/>
    <n v="1215"/>
    <n v="15"/>
    <d v="1998-03-30T00:00:00"/>
  </r>
  <r>
    <n v="10986"/>
    <x v="6"/>
    <n v="1215"/>
    <n v="15"/>
    <d v="1998-03-30T00:00:00"/>
  </r>
  <r>
    <n v="10986"/>
    <x v="7"/>
    <n v="1215"/>
    <n v="15"/>
    <d v="1998-03-30T00:00:00"/>
  </r>
  <r>
    <n v="10986"/>
    <x v="0"/>
    <n v="180"/>
    <n v="10"/>
    <d v="1998-03-30T00:00:00"/>
  </r>
  <r>
    <n v="10986"/>
    <x v="1"/>
    <n v="180"/>
    <n v="10"/>
    <d v="1998-03-30T00:00:00"/>
  </r>
  <r>
    <n v="10986"/>
    <x v="2"/>
    <n v="180"/>
    <n v="10"/>
    <d v="1998-03-30T00:00:00"/>
  </r>
  <r>
    <n v="10986"/>
    <x v="3"/>
    <n v="180"/>
    <n v="10"/>
    <d v="1998-03-30T00:00:00"/>
  </r>
  <r>
    <n v="10986"/>
    <x v="4"/>
    <n v="180"/>
    <n v="10"/>
    <d v="1998-03-30T00:00:00"/>
  </r>
  <r>
    <n v="10986"/>
    <x v="5"/>
    <n v="180"/>
    <n v="10"/>
    <d v="1998-03-30T00:00:00"/>
  </r>
  <r>
    <n v="10986"/>
    <x v="6"/>
    <n v="180"/>
    <n v="10"/>
    <d v="1998-03-30T00:00:00"/>
  </r>
  <r>
    <n v="10986"/>
    <x v="7"/>
    <n v="180"/>
    <n v="10"/>
    <d v="1998-03-30T00:00:00"/>
  </r>
  <r>
    <n v="10986"/>
    <x v="0"/>
    <n v="195"/>
    <n v="15"/>
    <d v="1998-03-30T00:00:00"/>
  </r>
  <r>
    <n v="10986"/>
    <x v="1"/>
    <n v="195"/>
    <n v="15"/>
    <d v="1998-03-30T00:00:00"/>
  </r>
  <r>
    <n v="10986"/>
    <x v="2"/>
    <n v="195"/>
    <n v="15"/>
    <d v="1998-03-30T00:00:00"/>
  </r>
  <r>
    <n v="10986"/>
    <x v="3"/>
    <n v="195"/>
    <n v="15"/>
    <d v="1998-03-30T00:00:00"/>
  </r>
  <r>
    <n v="10986"/>
    <x v="4"/>
    <n v="195"/>
    <n v="15"/>
    <d v="1998-03-30T00:00:00"/>
  </r>
  <r>
    <n v="10986"/>
    <x v="5"/>
    <n v="195"/>
    <n v="15"/>
    <d v="1998-03-30T00:00:00"/>
  </r>
  <r>
    <n v="10986"/>
    <x v="6"/>
    <n v="195"/>
    <n v="15"/>
    <d v="1998-03-30T00:00:00"/>
  </r>
  <r>
    <n v="10986"/>
    <x v="7"/>
    <n v="195"/>
    <n v="15"/>
    <d v="1998-03-30T00:00:00"/>
  </r>
  <r>
    <n v="10987"/>
    <x v="0"/>
    <n v="1800"/>
    <n v="60"/>
    <d v="1998-03-31T00:00:00"/>
  </r>
  <r>
    <n v="10987"/>
    <x v="1"/>
    <n v="1800"/>
    <n v="60"/>
    <d v="1998-03-31T00:00:00"/>
  </r>
  <r>
    <n v="10987"/>
    <x v="2"/>
    <n v="1800"/>
    <n v="60"/>
    <d v="1998-03-31T00:00:00"/>
  </r>
  <r>
    <n v="10987"/>
    <x v="3"/>
    <n v="1800"/>
    <n v="60"/>
    <d v="1998-03-31T00:00:00"/>
  </r>
  <r>
    <n v="10987"/>
    <x v="4"/>
    <n v="1800"/>
    <n v="60"/>
    <d v="1998-03-31T00:00:00"/>
  </r>
  <r>
    <n v="10987"/>
    <x v="5"/>
    <n v="1800"/>
    <n v="60"/>
    <d v="1998-03-31T00:00:00"/>
  </r>
  <r>
    <n v="10987"/>
    <x v="6"/>
    <n v="1800"/>
    <n v="60"/>
    <d v="1998-03-31T00:00:00"/>
  </r>
  <r>
    <n v="10987"/>
    <x v="7"/>
    <n v="1800"/>
    <n v="60"/>
    <d v="1998-03-31T00:00:00"/>
  </r>
  <r>
    <n v="10987"/>
    <x v="0"/>
    <n v="276"/>
    <n v="6"/>
    <d v="1998-03-31T00:00:00"/>
  </r>
  <r>
    <n v="10987"/>
    <x v="1"/>
    <n v="276"/>
    <n v="6"/>
    <d v="1998-03-31T00:00:00"/>
  </r>
  <r>
    <n v="10987"/>
    <x v="2"/>
    <n v="276"/>
    <n v="6"/>
    <d v="1998-03-31T00:00:00"/>
  </r>
  <r>
    <n v="10987"/>
    <x v="3"/>
    <n v="276"/>
    <n v="6"/>
    <d v="1998-03-31T00:00:00"/>
  </r>
  <r>
    <n v="10987"/>
    <x v="4"/>
    <n v="276"/>
    <n v="6"/>
    <d v="1998-03-31T00:00:00"/>
  </r>
  <r>
    <n v="10987"/>
    <x v="5"/>
    <n v="276"/>
    <n v="6"/>
    <d v="1998-03-31T00:00:00"/>
  </r>
  <r>
    <n v="10987"/>
    <x v="6"/>
    <n v="276"/>
    <n v="6"/>
    <d v="1998-03-31T00:00:00"/>
  </r>
  <r>
    <n v="10987"/>
    <x v="7"/>
    <n v="276"/>
    <n v="6"/>
    <d v="1998-03-31T00:00:00"/>
  </r>
  <r>
    <n v="10987"/>
    <x v="0"/>
    <n v="696"/>
    <n v="20"/>
    <d v="1998-03-31T00:00:00"/>
  </r>
  <r>
    <n v="10987"/>
    <x v="1"/>
    <n v="696"/>
    <n v="20"/>
    <d v="1998-03-31T00:00:00"/>
  </r>
  <r>
    <n v="10987"/>
    <x v="2"/>
    <n v="696"/>
    <n v="20"/>
    <d v="1998-03-31T00:00:00"/>
  </r>
  <r>
    <n v="10987"/>
    <x v="3"/>
    <n v="696"/>
    <n v="20"/>
    <d v="1998-03-31T00:00:00"/>
  </r>
  <r>
    <n v="10987"/>
    <x v="4"/>
    <n v="696"/>
    <n v="20"/>
    <d v="1998-03-31T00:00:00"/>
  </r>
  <r>
    <n v="10987"/>
    <x v="5"/>
    <n v="696"/>
    <n v="20"/>
    <d v="1998-03-31T00:00:00"/>
  </r>
  <r>
    <n v="10987"/>
    <x v="6"/>
    <n v="696"/>
    <n v="20"/>
    <d v="1998-03-31T00:00:00"/>
  </r>
  <r>
    <n v="10987"/>
    <x v="7"/>
    <n v="696"/>
    <n v="20"/>
    <d v="1998-03-31T00:00:00"/>
  </r>
  <r>
    <n v="10988"/>
    <x v="0"/>
    <n v="1800"/>
    <n v="60"/>
    <d v="1998-03-31T00:00:00"/>
  </r>
  <r>
    <n v="10988"/>
    <x v="1"/>
    <n v="1800"/>
    <n v="60"/>
    <d v="1998-03-31T00:00:00"/>
  </r>
  <r>
    <n v="10988"/>
    <x v="2"/>
    <n v="1800"/>
    <n v="60"/>
    <d v="1998-03-31T00:00:00"/>
  </r>
  <r>
    <n v="10988"/>
    <x v="3"/>
    <n v="1800"/>
    <n v="60"/>
    <d v="1998-03-31T00:00:00"/>
  </r>
  <r>
    <n v="10988"/>
    <x v="4"/>
    <n v="1800"/>
    <n v="60"/>
    <d v="1998-03-31T00:00:00"/>
  </r>
  <r>
    <n v="10988"/>
    <x v="5"/>
    <n v="1800"/>
    <n v="60"/>
    <d v="1998-03-31T00:00:00"/>
  </r>
  <r>
    <n v="10988"/>
    <x v="6"/>
    <n v="1800"/>
    <n v="60"/>
    <d v="1998-03-31T00:00:00"/>
  </r>
  <r>
    <n v="10988"/>
    <x v="7"/>
    <n v="1800"/>
    <n v="60"/>
    <d v="1998-03-31T00:00:00"/>
  </r>
  <r>
    <n v="10988"/>
    <x v="0"/>
    <n v="1774.799997061491"/>
    <n v="40"/>
    <d v="1998-03-31T00:00:00"/>
  </r>
  <r>
    <n v="10988"/>
    <x v="1"/>
    <n v="1774.799997061491"/>
    <n v="40"/>
    <d v="1998-03-31T00:00:00"/>
  </r>
  <r>
    <n v="10988"/>
    <x v="2"/>
    <n v="1774.799997061491"/>
    <n v="40"/>
    <d v="1998-03-31T00:00:00"/>
  </r>
  <r>
    <n v="10988"/>
    <x v="3"/>
    <n v="1774.799997061491"/>
    <n v="40"/>
    <d v="1998-03-31T00:00:00"/>
  </r>
  <r>
    <n v="10988"/>
    <x v="4"/>
    <n v="1774.799997061491"/>
    <n v="40"/>
    <d v="1998-03-31T00:00:00"/>
  </r>
  <r>
    <n v="10988"/>
    <x v="5"/>
    <n v="1774.799997061491"/>
    <n v="40"/>
    <d v="1998-03-31T00:00:00"/>
  </r>
  <r>
    <n v="10988"/>
    <x v="6"/>
    <n v="1774.799997061491"/>
    <n v="40"/>
    <d v="1998-03-31T00:00:00"/>
  </r>
  <r>
    <n v="10988"/>
    <x v="7"/>
    <n v="1774.799997061491"/>
    <n v="40"/>
    <d v="1998-03-31T00:00:00"/>
  </r>
  <r>
    <n v="10989"/>
    <x v="0"/>
    <n v="1000"/>
    <n v="40"/>
    <d v="1998-03-31T00:00:00"/>
  </r>
  <r>
    <n v="10989"/>
    <x v="1"/>
    <n v="1000"/>
    <n v="40"/>
    <d v="1998-03-31T00:00:00"/>
  </r>
  <r>
    <n v="10989"/>
    <x v="2"/>
    <n v="1000"/>
    <n v="40"/>
    <d v="1998-03-31T00:00:00"/>
  </r>
  <r>
    <n v="10989"/>
    <x v="3"/>
    <n v="1000"/>
    <n v="40"/>
    <d v="1998-03-31T00:00:00"/>
  </r>
  <r>
    <n v="10989"/>
    <x v="4"/>
    <n v="1000"/>
    <n v="40"/>
    <d v="1998-03-31T00:00:00"/>
  </r>
  <r>
    <n v="10989"/>
    <x v="5"/>
    <n v="1000"/>
    <n v="40"/>
    <d v="1998-03-31T00:00:00"/>
  </r>
  <r>
    <n v="10989"/>
    <x v="6"/>
    <n v="1000"/>
    <n v="40"/>
    <d v="1998-03-31T00:00:00"/>
  </r>
  <r>
    <n v="10989"/>
    <x v="7"/>
    <n v="1000"/>
    <n v="40"/>
    <d v="1998-03-31T00:00:00"/>
  </r>
  <r>
    <n v="10989"/>
    <x v="0"/>
    <n v="315"/>
    <n v="15"/>
    <d v="1998-03-31T00:00:00"/>
  </r>
  <r>
    <n v="10989"/>
    <x v="1"/>
    <n v="315"/>
    <n v="15"/>
    <d v="1998-03-31T00:00:00"/>
  </r>
  <r>
    <n v="10989"/>
    <x v="2"/>
    <n v="315"/>
    <n v="15"/>
    <d v="1998-03-31T00:00:00"/>
  </r>
  <r>
    <n v="10989"/>
    <x v="3"/>
    <n v="315"/>
    <n v="15"/>
    <d v="1998-03-31T00:00:00"/>
  </r>
  <r>
    <n v="10989"/>
    <x v="4"/>
    <n v="315"/>
    <n v="15"/>
    <d v="1998-03-31T00:00:00"/>
  </r>
  <r>
    <n v="10989"/>
    <x v="5"/>
    <n v="315"/>
    <n v="15"/>
    <d v="1998-03-31T00:00:00"/>
  </r>
  <r>
    <n v="10989"/>
    <x v="6"/>
    <n v="315"/>
    <n v="15"/>
    <d v="1998-03-31T00:00:00"/>
  </r>
  <r>
    <n v="10989"/>
    <x v="7"/>
    <n v="315"/>
    <n v="15"/>
    <d v="1998-03-31T00:00:00"/>
  </r>
  <r>
    <n v="10989"/>
    <x v="0"/>
    <n v="38.6"/>
    <n v="4"/>
    <d v="1998-03-31T00:00:00"/>
  </r>
  <r>
    <n v="10989"/>
    <x v="1"/>
    <n v="38.6"/>
    <n v="4"/>
    <d v="1998-03-31T00:00:00"/>
  </r>
  <r>
    <n v="10989"/>
    <x v="2"/>
    <n v="38.6"/>
    <n v="4"/>
    <d v="1998-03-31T00:00:00"/>
  </r>
  <r>
    <n v="10989"/>
    <x v="3"/>
    <n v="38.6"/>
    <n v="4"/>
    <d v="1998-03-31T00:00:00"/>
  </r>
  <r>
    <n v="10989"/>
    <x v="4"/>
    <n v="38.6"/>
    <n v="4"/>
    <d v="1998-03-31T00:00:00"/>
  </r>
  <r>
    <n v="10989"/>
    <x v="5"/>
    <n v="38.6"/>
    <n v="4"/>
    <d v="1998-03-31T00:00:00"/>
  </r>
  <r>
    <n v="10989"/>
    <x v="6"/>
    <n v="38.6"/>
    <n v="4"/>
    <d v="1998-03-31T00:00:00"/>
  </r>
  <r>
    <n v="10989"/>
    <x v="7"/>
    <n v="38.6"/>
    <n v="4"/>
    <d v="1998-03-31T00:00:00"/>
  </r>
  <r>
    <n v="10990"/>
    <x v="0"/>
    <n v="650"/>
    <n v="65"/>
    <d v="1998-04-01T00:00:00"/>
  </r>
  <r>
    <n v="10990"/>
    <x v="1"/>
    <n v="650"/>
    <n v="65"/>
    <d v="1998-04-01T00:00:00"/>
  </r>
  <r>
    <n v="10990"/>
    <x v="2"/>
    <n v="650"/>
    <n v="65"/>
    <d v="1998-04-01T00:00:00"/>
  </r>
  <r>
    <n v="10990"/>
    <x v="3"/>
    <n v="650"/>
    <n v="65"/>
    <d v="1998-04-01T00:00:00"/>
  </r>
  <r>
    <n v="10990"/>
    <x v="4"/>
    <n v="650"/>
    <n v="65"/>
    <d v="1998-04-01T00:00:00"/>
  </r>
  <r>
    <n v="10990"/>
    <x v="5"/>
    <n v="650"/>
    <n v="65"/>
    <d v="1998-04-01T00:00:00"/>
  </r>
  <r>
    <n v="10990"/>
    <x v="6"/>
    <n v="650"/>
    <n v="65"/>
    <d v="1998-04-01T00:00:00"/>
  </r>
  <r>
    <n v="10990"/>
    <x v="7"/>
    <n v="650"/>
    <n v="65"/>
    <d v="1998-04-01T00:00:00"/>
  </r>
  <r>
    <n v="10990"/>
    <x v="0"/>
    <n v="713.99999499320984"/>
    <n v="60"/>
    <d v="1998-04-01T00:00:00"/>
  </r>
  <r>
    <n v="10990"/>
    <x v="1"/>
    <n v="713.99999499320984"/>
    <n v="60"/>
    <d v="1998-04-01T00:00:00"/>
  </r>
  <r>
    <n v="10990"/>
    <x v="2"/>
    <n v="713.99999499320984"/>
    <n v="60"/>
    <d v="1998-04-01T00:00:00"/>
  </r>
  <r>
    <n v="10990"/>
    <x v="3"/>
    <n v="713.99999499320984"/>
    <n v="60"/>
    <d v="1998-04-01T00:00:00"/>
  </r>
  <r>
    <n v="10990"/>
    <x v="4"/>
    <n v="713.99999499320984"/>
    <n v="60"/>
    <d v="1998-04-01T00:00:00"/>
  </r>
  <r>
    <n v="10990"/>
    <x v="5"/>
    <n v="713.99999499320984"/>
    <n v="60"/>
    <d v="1998-04-01T00:00:00"/>
  </r>
  <r>
    <n v="10990"/>
    <x v="6"/>
    <n v="713.99999499320984"/>
    <n v="60"/>
    <d v="1998-04-01T00:00:00"/>
  </r>
  <r>
    <n v="10990"/>
    <x v="7"/>
    <n v="713.99999499320984"/>
    <n v="60"/>
    <d v="1998-04-01T00:00:00"/>
  </r>
  <r>
    <n v="10990"/>
    <x v="0"/>
    <n v="1325.9999907016754"/>
    <n v="65"/>
    <d v="1998-04-01T00:00:00"/>
  </r>
  <r>
    <n v="10990"/>
    <x v="1"/>
    <n v="1325.9999907016754"/>
    <n v="65"/>
    <d v="1998-04-01T00:00:00"/>
  </r>
  <r>
    <n v="10990"/>
    <x v="2"/>
    <n v="1325.9999907016754"/>
    <n v="65"/>
    <d v="1998-04-01T00:00:00"/>
  </r>
  <r>
    <n v="10990"/>
    <x v="3"/>
    <n v="1325.9999907016754"/>
    <n v="65"/>
    <d v="1998-04-01T00:00:00"/>
  </r>
  <r>
    <n v="10990"/>
    <x v="4"/>
    <n v="1325.9999907016754"/>
    <n v="65"/>
    <d v="1998-04-01T00:00:00"/>
  </r>
  <r>
    <n v="10990"/>
    <x v="5"/>
    <n v="1325.9999907016754"/>
    <n v="65"/>
    <d v="1998-04-01T00:00:00"/>
  </r>
  <r>
    <n v="10990"/>
    <x v="6"/>
    <n v="1325.9999907016754"/>
    <n v="65"/>
    <d v="1998-04-01T00:00:00"/>
  </r>
  <r>
    <n v="10990"/>
    <x v="7"/>
    <n v="1325.9999907016754"/>
    <n v="65"/>
    <d v="1998-04-01T00:00:00"/>
  </r>
  <r>
    <n v="10990"/>
    <x v="0"/>
    <n v="1598.8499887883663"/>
    <n v="66"/>
    <d v="1998-04-01T00:00:00"/>
  </r>
  <r>
    <n v="10990"/>
    <x v="1"/>
    <n v="1598.8499887883663"/>
    <n v="66"/>
    <d v="1998-04-01T00:00:00"/>
  </r>
  <r>
    <n v="10990"/>
    <x v="2"/>
    <n v="1598.8499887883663"/>
    <n v="66"/>
    <d v="1998-04-01T00:00:00"/>
  </r>
  <r>
    <n v="10990"/>
    <x v="3"/>
    <n v="1598.8499887883663"/>
    <n v="66"/>
    <d v="1998-04-01T00:00:00"/>
  </r>
  <r>
    <n v="10990"/>
    <x v="4"/>
    <n v="1598.8499887883663"/>
    <n v="66"/>
    <d v="1998-04-01T00:00:00"/>
  </r>
  <r>
    <n v="10990"/>
    <x v="5"/>
    <n v="1598.8499887883663"/>
    <n v="66"/>
    <d v="1998-04-01T00:00:00"/>
  </r>
  <r>
    <n v="10990"/>
    <x v="6"/>
    <n v="1598.8499887883663"/>
    <n v="66"/>
    <d v="1998-04-01T00:00:00"/>
  </r>
  <r>
    <n v="10990"/>
    <x v="7"/>
    <n v="1598.8499887883663"/>
    <n v="66"/>
    <d v="1998-04-01T00:00:00"/>
  </r>
  <r>
    <n v="10991"/>
    <x v="0"/>
    <n v="759.99999716877937"/>
    <n v="50"/>
    <d v="1998-04-01T00:00:00"/>
  </r>
  <r>
    <n v="10991"/>
    <x v="1"/>
    <n v="759.99999716877937"/>
    <n v="50"/>
    <d v="1998-04-01T00:00:00"/>
  </r>
  <r>
    <n v="10991"/>
    <x v="2"/>
    <n v="759.99999716877937"/>
    <n v="50"/>
    <d v="1998-04-01T00:00:00"/>
  </r>
  <r>
    <n v="10991"/>
    <x v="3"/>
    <n v="759.99999716877937"/>
    <n v="50"/>
    <d v="1998-04-01T00:00:00"/>
  </r>
  <r>
    <n v="10991"/>
    <x v="4"/>
    <n v="759.99999716877937"/>
    <n v="50"/>
    <d v="1998-04-01T00:00:00"/>
  </r>
  <r>
    <n v="10991"/>
    <x v="5"/>
    <n v="759.99999716877937"/>
    <n v="50"/>
    <d v="1998-04-01T00:00:00"/>
  </r>
  <r>
    <n v="10991"/>
    <x v="6"/>
    <n v="759.99999716877937"/>
    <n v="50"/>
    <d v="1998-04-01T00:00:00"/>
  </r>
  <r>
    <n v="10991"/>
    <x v="7"/>
    <n v="759.99999716877937"/>
    <n v="50"/>
    <d v="1998-04-01T00:00:00"/>
  </r>
  <r>
    <n v="10991"/>
    <x v="0"/>
    <n v="239.99999910593033"/>
    <n v="20"/>
    <d v="1998-04-01T00:00:00"/>
  </r>
  <r>
    <n v="10991"/>
    <x v="1"/>
    <n v="239.99999910593033"/>
    <n v="20"/>
    <d v="1998-04-01T00:00:00"/>
  </r>
  <r>
    <n v="10991"/>
    <x v="2"/>
    <n v="239.99999910593033"/>
    <n v="20"/>
    <d v="1998-04-01T00:00:00"/>
  </r>
  <r>
    <n v="10991"/>
    <x v="3"/>
    <n v="239.99999910593033"/>
    <n v="20"/>
    <d v="1998-04-01T00:00:00"/>
  </r>
  <r>
    <n v="10991"/>
    <x v="4"/>
    <n v="239.99999910593033"/>
    <n v="20"/>
    <d v="1998-04-01T00:00:00"/>
  </r>
  <r>
    <n v="10991"/>
    <x v="5"/>
    <n v="239.99999910593033"/>
    <n v="20"/>
    <d v="1998-04-01T00:00:00"/>
  </r>
  <r>
    <n v="10991"/>
    <x v="6"/>
    <n v="239.99999910593033"/>
    <n v="20"/>
    <d v="1998-04-01T00:00:00"/>
  </r>
  <r>
    <n v="10991"/>
    <x v="7"/>
    <n v="239.99999910593033"/>
    <n v="20"/>
    <d v="1998-04-01T00:00:00"/>
  </r>
  <r>
    <n v="10991"/>
    <x v="0"/>
    <n v="1295.9999951720238"/>
    <n v="90"/>
    <d v="1998-04-01T00:00:00"/>
  </r>
  <r>
    <n v="10991"/>
    <x v="1"/>
    <n v="1295.9999951720238"/>
    <n v="90"/>
    <d v="1998-04-01T00:00:00"/>
  </r>
  <r>
    <n v="10991"/>
    <x v="2"/>
    <n v="1295.9999951720238"/>
    <n v="90"/>
    <d v="1998-04-01T00:00:00"/>
  </r>
  <r>
    <n v="10991"/>
    <x v="3"/>
    <n v="1295.9999951720238"/>
    <n v="90"/>
    <d v="1998-04-01T00:00:00"/>
  </r>
  <r>
    <n v="10991"/>
    <x v="4"/>
    <n v="1295.9999951720238"/>
    <n v="90"/>
    <d v="1998-04-01T00:00:00"/>
  </r>
  <r>
    <n v="10991"/>
    <x v="5"/>
    <n v="1295.9999951720238"/>
    <n v="90"/>
    <d v="1998-04-01T00:00:00"/>
  </r>
  <r>
    <n v="10991"/>
    <x v="6"/>
    <n v="1295.9999951720238"/>
    <n v="90"/>
    <d v="1998-04-01T00:00:00"/>
  </r>
  <r>
    <n v="10991"/>
    <x v="7"/>
    <n v="1295.9999951720238"/>
    <n v="90"/>
    <d v="1998-04-01T00:00:00"/>
  </r>
  <r>
    <n v="10992"/>
    <x v="0"/>
    <n v="69.599999999999994"/>
    <n v="2"/>
    <d v="1998-04-01T00:00:00"/>
  </r>
  <r>
    <n v="10992"/>
    <x v="1"/>
    <n v="69.599999999999994"/>
    <n v="2"/>
    <d v="1998-04-01T00:00:00"/>
  </r>
  <r>
    <n v="10992"/>
    <x v="2"/>
    <n v="69.599999999999994"/>
    <n v="2"/>
    <d v="1998-04-01T00:00:00"/>
  </r>
  <r>
    <n v="10992"/>
    <x v="3"/>
    <n v="69.599999999999994"/>
    <n v="2"/>
    <d v="1998-04-01T00:00:00"/>
  </r>
  <r>
    <n v="10992"/>
    <x v="4"/>
    <n v="69.599999999999994"/>
    <n v="2"/>
    <d v="1998-04-01T00:00:00"/>
  </r>
  <r>
    <n v="10992"/>
    <x v="5"/>
    <n v="69.599999999999994"/>
    <n v="2"/>
    <d v="1998-04-01T00:00:00"/>
  </r>
  <r>
    <n v="10992"/>
    <x v="6"/>
    <n v="69.599999999999994"/>
    <n v="2"/>
    <d v="1998-04-01T00:00:00"/>
  </r>
  <r>
    <n v="10992"/>
    <x v="7"/>
    <n v="69.599999999999994"/>
    <n v="2"/>
    <d v="1998-04-01T00:00:00"/>
  </r>
  <r>
    <n v="10993"/>
    <x v="0"/>
    <n v="4642.125"/>
    <n v="50"/>
    <d v="1998-04-01T00:00:00"/>
  </r>
  <r>
    <n v="10993"/>
    <x v="1"/>
    <n v="4642.125"/>
    <n v="50"/>
    <d v="1998-04-01T00:00:00"/>
  </r>
  <r>
    <n v="10993"/>
    <x v="2"/>
    <n v="4642.125"/>
    <n v="50"/>
    <d v="1998-04-01T00:00:00"/>
  </r>
  <r>
    <n v="10993"/>
    <x v="3"/>
    <n v="4642.125"/>
    <n v="50"/>
    <d v="1998-04-01T00:00:00"/>
  </r>
  <r>
    <n v="10993"/>
    <x v="4"/>
    <n v="4642.125"/>
    <n v="50"/>
    <d v="1998-04-01T00:00:00"/>
  </r>
  <r>
    <n v="10993"/>
    <x v="5"/>
    <n v="4642.125"/>
    <n v="50"/>
    <d v="1998-04-01T00:00:00"/>
  </r>
  <r>
    <n v="10993"/>
    <x v="6"/>
    <n v="4642.125"/>
    <n v="50"/>
    <d v="1998-04-01T00:00:00"/>
  </r>
  <r>
    <n v="10993"/>
    <x v="7"/>
    <n v="4642.125"/>
    <n v="50"/>
    <d v="1998-04-01T00:00:00"/>
  </r>
  <r>
    <n v="10993"/>
    <x v="0"/>
    <n v="253.3125"/>
    <n v="35"/>
    <d v="1998-04-01T00:00:00"/>
  </r>
  <r>
    <n v="10993"/>
    <x v="1"/>
    <n v="253.3125"/>
    <n v="35"/>
    <d v="1998-04-01T00:00:00"/>
  </r>
  <r>
    <n v="10993"/>
    <x v="2"/>
    <n v="253.3125"/>
    <n v="35"/>
    <d v="1998-04-01T00:00:00"/>
  </r>
  <r>
    <n v="10993"/>
    <x v="3"/>
    <n v="253.3125"/>
    <n v="35"/>
    <d v="1998-04-01T00:00:00"/>
  </r>
  <r>
    <n v="10993"/>
    <x v="4"/>
    <n v="253.3125"/>
    <n v="35"/>
    <d v="1998-04-01T00:00:00"/>
  </r>
  <r>
    <n v="10993"/>
    <x v="5"/>
    <n v="253.3125"/>
    <n v="35"/>
    <d v="1998-04-01T00:00:00"/>
  </r>
  <r>
    <n v="10993"/>
    <x v="6"/>
    <n v="253.3125"/>
    <n v="35"/>
    <d v="1998-04-01T00:00:00"/>
  </r>
  <r>
    <n v="10993"/>
    <x v="7"/>
    <n v="253.3125"/>
    <n v="35"/>
    <d v="1998-04-01T00:00:00"/>
  </r>
  <r>
    <n v="10994"/>
    <x v="0"/>
    <n v="940.49999926239252"/>
    <n v="18"/>
    <d v="1998-04-02T00:00:00"/>
  </r>
  <r>
    <n v="10994"/>
    <x v="1"/>
    <n v="940.49999926239252"/>
    <n v="18"/>
    <d v="1998-04-02T00:00:00"/>
  </r>
  <r>
    <n v="10994"/>
    <x v="2"/>
    <n v="940.49999926239252"/>
    <n v="18"/>
    <d v="1998-04-02T00:00:00"/>
  </r>
  <r>
    <n v="10994"/>
    <x v="3"/>
    <n v="940.49999926239252"/>
    <n v="18"/>
    <d v="1998-04-02T00:00:00"/>
  </r>
  <r>
    <n v="10994"/>
    <x v="4"/>
    <n v="940.49999926239252"/>
    <n v="18"/>
    <d v="1998-04-02T00:00:00"/>
  </r>
  <r>
    <n v="10994"/>
    <x v="5"/>
    <n v="940.49999926239252"/>
    <n v="18"/>
    <d v="1998-04-02T00:00:00"/>
  </r>
  <r>
    <n v="10994"/>
    <x v="6"/>
    <n v="940.49999926239252"/>
    <n v="18"/>
    <d v="1998-04-02T00:00:00"/>
  </r>
  <r>
    <n v="10994"/>
    <x v="7"/>
    <n v="940.49999926239252"/>
    <n v="18"/>
    <d v="1998-04-02T00:00:00"/>
  </r>
  <r>
    <n v="10995"/>
    <x v="0"/>
    <n v="1060"/>
    <n v="20"/>
    <d v="1998-04-02T00:00:00"/>
  </r>
  <r>
    <n v="10995"/>
    <x v="1"/>
    <n v="1060"/>
    <n v="20"/>
    <d v="1998-04-02T00:00:00"/>
  </r>
  <r>
    <n v="10995"/>
    <x v="2"/>
    <n v="1060"/>
    <n v="20"/>
    <d v="1998-04-02T00:00:00"/>
  </r>
  <r>
    <n v="10995"/>
    <x v="3"/>
    <n v="1060"/>
    <n v="20"/>
    <d v="1998-04-02T00:00:00"/>
  </r>
  <r>
    <n v="10995"/>
    <x v="4"/>
    <n v="1060"/>
    <n v="20"/>
    <d v="1998-04-02T00:00:00"/>
  </r>
  <r>
    <n v="10995"/>
    <x v="5"/>
    <n v="1060"/>
    <n v="20"/>
    <d v="1998-04-02T00:00:00"/>
  </r>
  <r>
    <n v="10995"/>
    <x v="6"/>
    <n v="1060"/>
    <n v="20"/>
    <d v="1998-04-02T00:00:00"/>
  </r>
  <r>
    <n v="10995"/>
    <x v="7"/>
    <n v="1060"/>
    <n v="20"/>
    <d v="1998-04-02T00:00:00"/>
  </r>
  <r>
    <n v="10995"/>
    <x v="0"/>
    <n v="136"/>
    <n v="4"/>
    <d v="1998-04-02T00:00:00"/>
  </r>
  <r>
    <n v="10995"/>
    <x v="1"/>
    <n v="136"/>
    <n v="4"/>
    <d v="1998-04-02T00:00:00"/>
  </r>
  <r>
    <n v="10995"/>
    <x v="2"/>
    <n v="136"/>
    <n v="4"/>
    <d v="1998-04-02T00:00:00"/>
  </r>
  <r>
    <n v="10995"/>
    <x v="3"/>
    <n v="136"/>
    <n v="4"/>
    <d v="1998-04-02T00:00:00"/>
  </r>
  <r>
    <n v="10995"/>
    <x v="4"/>
    <n v="136"/>
    <n v="4"/>
    <d v="1998-04-02T00:00:00"/>
  </r>
  <r>
    <n v="10995"/>
    <x v="5"/>
    <n v="136"/>
    <n v="4"/>
    <d v="1998-04-02T00:00:00"/>
  </r>
  <r>
    <n v="10995"/>
    <x v="6"/>
    <n v="136"/>
    <n v="4"/>
    <d v="1998-04-02T00:00:00"/>
  </r>
  <r>
    <n v="10995"/>
    <x v="7"/>
    <n v="136"/>
    <n v="4"/>
    <d v="1998-04-02T00:00:00"/>
  </r>
  <r>
    <n v="10996"/>
    <x v="0"/>
    <n v="560"/>
    <n v="40"/>
    <d v="1998-04-02T00:00:00"/>
  </r>
  <r>
    <n v="10996"/>
    <x v="1"/>
    <n v="560"/>
    <n v="40"/>
    <d v="1998-04-02T00:00:00"/>
  </r>
  <r>
    <n v="10996"/>
    <x v="2"/>
    <n v="560"/>
    <n v="40"/>
    <d v="1998-04-02T00:00:00"/>
  </r>
  <r>
    <n v="10996"/>
    <x v="3"/>
    <n v="560"/>
    <n v="40"/>
    <d v="1998-04-02T00:00:00"/>
  </r>
  <r>
    <n v="10996"/>
    <x v="4"/>
    <n v="560"/>
    <n v="40"/>
    <d v="1998-04-02T00:00:00"/>
  </r>
  <r>
    <n v="10996"/>
    <x v="5"/>
    <n v="560"/>
    <n v="40"/>
    <d v="1998-04-02T00:00:00"/>
  </r>
  <r>
    <n v="10996"/>
    <x v="6"/>
    <n v="560"/>
    <n v="40"/>
    <d v="1998-04-02T00:00:00"/>
  </r>
  <r>
    <n v="10996"/>
    <x v="7"/>
    <n v="560"/>
    <n v="40"/>
    <d v="1998-04-02T00:00:00"/>
  </r>
  <r>
    <n v="10997"/>
    <x v="0"/>
    <n v="1600"/>
    <n v="50"/>
    <d v="1998-04-03T00:00:00"/>
  </r>
  <r>
    <n v="10997"/>
    <x v="1"/>
    <n v="1600"/>
    <n v="50"/>
    <d v="1998-04-03T00:00:00"/>
  </r>
  <r>
    <n v="10997"/>
    <x v="2"/>
    <n v="1600"/>
    <n v="50"/>
    <d v="1998-04-03T00:00:00"/>
  </r>
  <r>
    <n v="10997"/>
    <x v="3"/>
    <n v="1600"/>
    <n v="50"/>
    <d v="1998-04-03T00:00:00"/>
  </r>
  <r>
    <n v="10997"/>
    <x v="4"/>
    <n v="1600"/>
    <n v="50"/>
    <d v="1998-04-03T00:00:00"/>
  </r>
  <r>
    <n v="10997"/>
    <x v="5"/>
    <n v="1600"/>
    <n v="50"/>
    <d v="1998-04-03T00:00:00"/>
  </r>
  <r>
    <n v="10997"/>
    <x v="6"/>
    <n v="1600"/>
    <n v="50"/>
    <d v="1998-04-03T00:00:00"/>
  </r>
  <r>
    <n v="10997"/>
    <x v="7"/>
    <n v="1600"/>
    <n v="50"/>
    <d v="1998-04-03T00:00:00"/>
  </r>
  <r>
    <n v="10997"/>
    <x v="0"/>
    <n v="180"/>
    <n v="20"/>
    <d v="1998-04-03T00:00:00"/>
  </r>
  <r>
    <n v="10997"/>
    <x v="1"/>
    <n v="180"/>
    <n v="20"/>
    <d v="1998-04-03T00:00:00"/>
  </r>
  <r>
    <n v="10997"/>
    <x v="2"/>
    <n v="180"/>
    <n v="20"/>
    <d v="1998-04-03T00:00:00"/>
  </r>
  <r>
    <n v="10997"/>
    <x v="3"/>
    <n v="180"/>
    <n v="20"/>
    <d v="1998-04-03T00:00:00"/>
  </r>
  <r>
    <n v="10997"/>
    <x v="4"/>
    <n v="180"/>
    <n v="20"/>
    <d v="1998-04-03T00:00:00"/>
  </r>
  <r>
    <n v="10997"/>
    <x v="5"/>
    <n v="180"/>
    <n v="20"/>
    <d v="1998-04-03T00:00:00"/>
  </r>
  <r>
    <n v="10997"/>
    <x v="6"/>
    <n v="180"/>
    <n v="20"/>
    <d v="1998-04-03T00:00:00"/>
  </r>
  <r>
    <n v="10997"/>
    <x v="7"/>
    <n v="180"/>
    <n v="20"/>
    <d v="1998-04-03T00:00:00"/>
  </r>
  <r>
    <n v="10997"/>
    <x v="0"/>
    <n v="105"/>
    <n v="20"/>
    <d v="1998-04-03T00:00:00"/>
  </r>
  <r>
    <n v="10997"/>
    <x v="1"/>
    <n v="105"/>
    <n v="20"/>
    <d v="1998-04-03T00:00:00"/>
  </r>
  <r>
    <n v="10997"/>
    <x v="2"/>
    <n v="105"/>
    <n v="20"/>
    <d v="1998-04-03T00:00:00"/>
  </r>
  <r>
    <n v="10997"/>
    <x v="3"/>
    <n v="105"/>
    <n v="20"/>
    <d v="1998-04-03T00:00:00"/>
  </r>
  <r>
    <n v="10997"/>
    <x v="4"/>
    <n v="105"/>
    <n v="20"/>
    <d v="1998-04-03T00:00:00"/>
  </r>
  <r>
    <n v="10997"/>
    <x v="5"/>
    <n v="105"/>
    <n v="20"/>
    <d v="1998-04-03T00:00:00"/>
  </r>
  <r>
    <n v="10997"/>
    <x v="6"/>
    <n v="105"/>
    <n v="20"/>
    <d v="1998-04-03T00:00:00"/>
  </r>
  <r>
    <n v="10997"/>
    <x v="7"/>
    <n v="105"/>
    <n v="20"/>
    <d v="1998-04-03T00:00:00"/>
  </r>
  <r>
    <n v="10998"/>
    <x v="0"/>
    <n v="54"/>
    <n v="12"/>
    <d v="1998-04-03T00:00:00"/>
  </r>
  <r>
    <n v="10998"/>
    <x v="1"/>
    <n v="54"/>
    <n v="12"/>
    <d v="1998-04-03T00:00:00"/>
  </r>
  <r>
    <n v="10998"/>
    <x v="2"/>
    <n v="54"/>
    <n v="12"/>
    <d v="1998-04-03T00:00:00"/>
  </r>
  <r>
    <n v="10998"/>
    <x v="3"/>
    <n v="54"/>
    <n v="12"/>
    <d v="1998-04-03T00:00:00"/>
  </r>
  <r>
    <n v="10998"/>
    <x v="4"/>
    <n v="54"/>
    <n v="12"/>
    <d v="1998-04-03T00:00:00"/>
  </r>
  <r>
    <n v="10998"/>
    <x v="5"/>
    <n v="54"/>
    <n v="12"/>
    <d v="1998-04-03T00:00:00"/>
  </r>
  <r>
    <n v="10998"/>
    <x v="6"/>
    <n v="54"/>
    <n v="12"/>
    <d v="1998-04-03T00:00:00"/>
  </r>
  <r>
    <n v="10998"/>
    <x v="7"/>
    <n v="54"/>
    <n v="12"/>
    <d v="1998-04-03T00:00:00"/>
  </r>
  <r>
    <n v="10998"/>
    <x v="0"/>
    <n v="199.5"/>
    <n v="7"/>
    <d v="1998-04-03T00:00:00"/>
  </r>
  <r>
    <n v="10998"/>
    <x v="1"/>
    <n v="199.5"/>
    <n v="7"/>
    <d v="1998-04-03T00:00:00"/>
  </r>
  <r>
    <n v="10998"/>
    <x v="2"/>
    <n v="199.5"/>
    <n v="7"/>
    <d v="1998-04-03T00:00:00"/>
  </r>
  <r>
    <n v="10998"/>
    <x v="3"/>
    <n v="199.5"/>
    <n v="7"/>
    <d v="1998-04-03T00:00:00"/>
  </r>
  <r>
    <n v="10998"/>
    <x v="4"/>
    <n v="199.5"/>
    <n v="7"/>
    <d v="1998-04-03T00:00:00"/>
  </r>
  <r>
    <n v="10998"/>
    <x v="5"/>
    <n v="199.5"/>
    <n v="7"/>
    <d v="1998-04-03T00:00:00"/>
  </r>
  <r>
    <n v="10998"/>
    <x v="6"/>
    <n v="199.5"/>
    <n v="7"/>
    <d v="1998-04-03T00:00:00"/>
  </r>
  <r>
    <n v="10998"/>
    <x v="7"/>
    <n v="199.5"/>
    <n v="7"/>
    <d v="1998-04-03T00:00:00"/>
  </r>
  <r>
    <n v="10998"/>
    <x v="0"/>
    <n v="200"/>
    <n v="20"/>
    <d v="1998-04-03T00:00:00"/>
  </r>
  <r>
    <n v="10998"/>
    <x v="1"/>
    <n v="200"/>
    <n v="20"/>
    <d v="1998-04-03T00:00:00"/>
  </r>
  <r>
    <n v="10998"/>
    <x v="2"/>
    <n v="200"/>
    <n v="20"/>
    <d v="1998-04-03T00:00:00"/>
  </r>
  <r>
    <n v="10998"/>
    <x v="3"/>
    <n v="200"/>
    <n v="20"/>
    <d v="1998-04-03T00:00:00"/>
  </r>
  <r>
    <n v="10998"/>
    <x v="4"/>
    <n v="200"/>
    <n v="20"/>
    <d v="1998-04-03T00:00:00"/>
  </r>
  <r>
    <n v="10998"/>
    <x v="5"/>
    <n v="200"/>
    <n v="20"/>
    <d v="1998-04-03T00:00:00"/>
  </r>
  <r>
    <n v="10998"/>
    <x v="6"/>
    <n v="200"/>
    <n v="20"/>
    <d v="1998-04-03T00:00:00"/>
  </r>
  <r>
    <n v="10998"/>
    <x v="7"/>
    <n v="200"/>
    <n v="20"/>
    <d v="1998-04-03T00:00:00"/>
  </r>
  <r>
    <n v="10998"/>
    <x v="0"/>
    <n v="232.5"/>
    <n v="30"/>
    <d v="1998-04-03T00:00:00"/>
  </r>
  <r>
    <n v="10998"/>
    <x v="1"/>
    <n v="232.5"/>
    <n v="30"/>
    <d v="1998-04-03T00:00:00"/>
  </r>
  <r>
    <n v="10998"/>
    <x v="2"/>
    <n v="232.5"/>
    <n v="30"/>
    <d v="1998-04-03T00:00:00"/>
  </r>
  <r>
    <n v="10998"/>
    <x v="3"/>
    <n v="232.5"/>
    <n v="30"/>
    <d v="1998-04-03T00:00:00"/>
  </r>
  <r>
    <n v="10998"/>
    <x v="4"/>
    <n v="232.5"/>
    <n v="30"/>
    <d v="1998-04-03T00:00:00"/>
  </r>
  <r>
    <n v="10998"/>
    <x v="5"/>
    <n v="232.5"/>
    <n v="30"/>
    <d v="1998-04-03T00:00:00"/>
  </r>
  <r>
    <n v="10998"/>
    <x v="6"/>
    <n v="232.5"/>
    <n v="30"/>
    <d v="1998-04-03T00:00:00"/>
  </r>
  <r>
    <n v="10998"/>
    <x v="7"/>
    <n v="232.5"/>
    <n v="30"/>
    <d v="1998-04-03T00:00:00"/>
  </r>
  <r>
    <n v="10999"/>
    <x v="0"/>
    <n v="183.34999985620379"/>
    <n v="20"/>
    <d v="1998-04-03T00:00:00"/>
  </r>
  <r>
    <n v="10999"/>
    <x v="1"/>
    <n v="183.34999985620379"/>
    <n v="20"/>
    <d v="1998-04-03T00:00:00"/>
  </r>
  <r>
    <n v="10999"/>
    <x v="2"/>
    <n v="183.34999985620379"/>
    <n v="20"/>
    <d v="1998-04-03T00:00:00"/>
  </r>
  <r>
    <n v="10999"/>
    <x v="3"/>
    <n v="183.34999985620379"/>
    <n v="20"/>
    <d v="1998-04-03T00:00:00"/>
  </r>
  <r>
    <n v="10999"/>
    <x v="4"/>
    <n v="183.34999985620379"/>
    <n v="20"/>
    <d v="1998-04-03T00:00:00"/>
  </r>
  <r>
    <n v="10999"/>
    <x v="5"/>
    <n v="183.34999985620379"/>
    <n v="20"/>
    <d v="1998-04-03T00:00:00"/>
  </r>
  <r>
    <n v="10999"/>
    <x v="6"/>
    <n v="183.34999985620379"/>
    <n v="20"/>
    <d v="1998-04-03T00:00:00"/>
  </r>
  <r>
    <n v="10999"/>
    <x v="7"/>
    <n v="183.34999985620379"/>
    <n v="20"/>
    <d v="1998-04-03T00:00:00"/>
  </r>
  <r>
    <n v="10999"/>
    <x v="0"/>
    <n v="755.24999940767884"/>
    <n v="15"/>
    <d v="1998-04-03T00:00:00"/>
  </r>
  <r>
    <n v="10999"/>
    <x v="1"/>
    <n v="755.24999940767884"/>
    <n v="15"/>
    <d v="1998-04-03T00:00:00"/>
  </r>
  <r>
    <n v="10999"/>
    <x v="2"/>
    <n v="755.24999940767884"/>
    <n v="15"/>
    <d v="1998-04-03T00:00:00"/>
  </r>
  <r>
    <n v="10999"/>
    <x v="3"/>
    <n v="755.24999940767884"/>
    <n v="15"/>
    <d v="1998-04-03T00:00:00"/>
  </r>
  <r>
    <n v="10999"/>
    <x v="4"/>
    <n v="755.24999940767884"/>
    <n v="15"/>
    <d v="1998-04-03T00:00:00"/>
  </r>
  <r>
    <n v="10999"/>
    <x v="5"/>
    <n v="755.24999940767884"/>
    <n v="15"/>
    <d v="1998-04-03T00:00:00"/>
  </r>
  <r>
    <n v="10999"/>
    <x v="6"/>
    <n v="755.24999940767884"/>
    <n v="15"/>
    <d v="1998-04-03T00:00:00"/>
  </r>
  <r>
    <n v="10999"/>
    <x v="7"/>
    <n v="755.24999940767884"/>
    <n v="15"/>
    <d v="1998-04-03T00:00:00"/>
  </r>
  <r>
    <n v="10999"/>
    <x v="0"/>
    <n v="259.34999979659915"/>
    <n v="21"/>
    <d v="1998-04-03T00:00:00"/>
  </r>
  <r>
    <n v="10999"/>
    <x v="1"/>
    <n v="259.34999979659915"/>
    <n v="21"/>
    <d v="1998-04-03T00:00:00"/>
  </r>
  <r>
    <n v="10999"/>
    <x v="2"/>
    <n v="259.34999979659915"/>
    <n v="21"/>
    <d v="1998-04-03T00:00:00"/>
  </r>
  <r>
    <n v="10999"/>
    <x v="3"/>
    <n v="259.34999979659915"/>
    <n v="21"/>
    <d v="1998-04-03T00:00:00"/>
  </r>
  <r>
    <n v="10999"/>
    <x v="4"/>
    <n v="259.34999979659915"/>
    <n v="21"/>
    <d v="1998-04-03T00:00:00"/>
  </r>
  <r>
    <n v="10999"/>
    <x v="5"/>
    <n v="259.34999979659915"/>
    <n v="21"/>
    <d v="1998-04-03T00:00:00"/>
  </r>
  <r>
    <n v="10999"/>
    <x v="6"/>
    <n v="259.34999979659915"/>
    <n v="21"/>
    <d v="1998-04-03T00:00:00"/>
  </r>
  <r>
    <n v="10999"/>
    <x v="7"/>
    <n v="259.34999979659915"/>
    <n v="21"/>
    <d v="1998-04-03T00:00:00"/>
  </r>
  <r>
    <n v="11000"/>
    <x v="0"/>
    <n v="412.5"/>
    <n v="25"/>
    <d v="1998-04-06T00:00:00"/>
  </r>
  <r>
    <n v="11000"/>
    <x v="1"/>
    <n v="412.5"/>
    <n v="25"/>
    <d v="1998-04-06T00:00:00"/>
  </r>
  <r>
    <n v="11000"/>
    <x v="2"/>
    <n v="412.5"/>
    <n v="25"/>
    <d v="1998-04-06T00:00:00"/>
  </r>
  <r>
    <n v="11000"/>
    <x v="3"/>
    <n v="412.5"/>
    <n v="25"/>
    <d v="1998-04-06T00:00:00"/>
  </r>
  <r>
    <n v="11000"/>
    <x v="4"/>
    <n v="412.5"/>
    <n v="25"/>
    <d v="1998-04-06T00:00:00"/>
  </r>
  <r>
    <n v="11000"/>
    <x v="5"/>
    <n v="412.5"/>
    <n v="25"/>
    <d v="1998-04-06T00:00:00"/>
  </r>
  <r>
    <n v="11000"/>
    <x v="6"/>
    <n v="412.5"/>
    <n v="25"/>
    <d v="1998-04-06T00:00:00"/>
  </r>
  <r>
    <n v="11000"/>
    <x v="7"/>
    <n v="412.5"/>
    <n v="25"/>
    <d v="1998-04-06T00:00:00"/>
  </r>
  <r>
    <n v="11000"/>
    <x v="0"/>
    <n v="101.25"/>
    <n v="30"/>
    <d v="1998-04-06T00:00:00"/>
  </r>
  <r>
    <n v="11000"/>
    <x v="1"/>
    <n v="101.25"/>
    <n v="30"/>
    <d v="1998-04-06T00:00:00"/>
  </r>
  <r>
    <n v="11000"/>
    <x v="2"/>
    <n v="101.25"/>
    <n v="30"/>
    <d v="1998-04-06T00:00:00"/>
  </r>
  <r>
    <n v="11000"/>
    <x v="3"/>
    <n v="101.25"/>
    <n v="30"/>
    <d v="1998-04-06T00:00:00"/>
  </r>
  <r>
    <n v="11000"/>
    <x v="4"/>
    <n v="101.25"/>
    <n v="30"/>
    <d v="1998-04-06T00:00:00"/>
  </r>
  <r>
    <n v="11000"/>
    <x v="5"/>
    <n v="101.25"/>
    <n v="30"/>
    <d v="1998-04-06T00:00:00"/>
  </r>
  <r>
    <n v="11000"/>
    <x v="6"/>
    <n v="101.25"/>
    <n v="30"/>
    <d v="1998-04-06T00:00:00"/>
  </r>
  <r>
    <n v="11000"/>
    <x v="7"/>
    <n v="101.25"/>
    <n v="30"/>
    <d v="1998-04-06T00:00:00"/>
  </r>
  <r>
    <n v="11000"/>
    <x v="0"/>
    <n v="390"/>
    <n v="30"/>
    <d v="1998-04-06T00:00:00"/>
  </r>
  <r>
    <n v="11000"/>
    <x v="1"/>
    <n v="390"/>
    <n v="30"/>
    <d v="1998-04-06T00:00:00"/>
  </r>
  <r>
    <n v="11000"/>
    <x v="2"/>
    <n v="390"/>
    <n v="30"/>
    <d v="1998-04-06T00:00:00"/>
  </r>
  <r>
    <n v="11000"/>
    <x v="3"/>
    <n v="390"/>
    <n v="30"/>
    <d v="1998-04-06T00:00:00"/>
  </r>
  <r>
    <n v="11000"/>
    <x v="4"/>
    <n v="390"/>
    <n v="30"/>
    <d v="1998-04-06T00:00:00"/>
  </r>
  <r>
    <n v="11000"/>
    <x v="5"/>
    <n v="390"/>
    <n v="30"/>
    <d v="1998-04-06T00:00:00"/>
  </r>
  <r>
    <n v="11000"/>
    <x v="6"/>
    <n v="390"/>
    <n v="30"/>
    <d v="1998-04-06T00:00:00"/>
  </r>
  <r>
    <n v="11000"/>
    <x v="7"/>
    <n v="390"/>
    <n v="30"/>
    <d v="1998-04-06T00:00:00"/>
  </r>
  <r>
    <n v="11001"/>
    <x v="0"/>
    <n v="1800"/>
    <n v="60"/>
    <d v="1998-04-06T00:00:00"/>
  </r>
  <r>
    <n v="11001"/>
    <x v="1"/>
    <n v="1800"/>
    <n v="60"/>
    <d v="1998-04-06T00:00:00"/>
  </r>
  <r>
    <n v="11001"/>
    <x v="2"/>
    <n v="1800"/>
    <n v="60"/>
    <d v="1998-04-06T00:00:00"/>
  </r>
  <r>
    <n v="11001"/>
    <x v="3"/>
    <n v="1800"/>
    <n v="60"/>
    <d v="1998-04-06T00:00:00"/>
  </r>
  <r>
    <n v="11001"/>
    <x v="4"/>
    <n v="1800"/>
    <n v="60"/>
    <d v="1998-04-06T00:00:00"/>
  </r>
  <r>
    <n v="11001"/>
    <x v="5"/>
    <n v="1800"/>
    <n v="60"/>
    <d v="1998-04-06T00:00:00"/>
  </r>
  <r>
    <n v="11001"/>
    <x v="6"/>
    <n v="1800"/>
    <n v="60"/>
    <d v="1998-04-06T00:00:00"/>
  </r>
  <r>
    <n v="11001"/>
    <x v="7"/>
    <n v="1800"/>
    <n v="60"/>
    <d v="1998-04-06T00:00:00"/>
  </r>
  <r>
    <n v="11001"/>
    <x v="0"/>
    <n v="525"/>
    <n v="25"/>
    <d v="1998-04-06T00:00:00"/>
  </r>
  <r>
    <n v="11001"/>
    <x v="1"/>
    <n v="525"/>
    <n v="25"/>
    <d v="1998-04-06T00:00:00"/>
  </r>
  <r>
    <n v="11001"/>
    <x v="2"/>
    <n v="525"/>
    <n v="25"/>
    <d v="1998-04-06T00:00:00"/>
  </r>
  <r>
    <n v="11001"/>
    <x v="3"/>
    <n v="525"/>
    <n v="25"/>
    <d v="1998-04-06T00:00:00"/>
  </r>
  <r>
    <n v="11001"/>
    <x v="4"/>
    <n v="525"/>
    <n v="25"/>
    <d v="1998-04-06T00:00:00"/>
  </r>
  <r>
    <n v="11001"/>
    <x v="5"/>
    <n v="525"/>
    <n v="25"/>
    <d v="1998-04-06T00:00:00"/>
  </r>
  <r>
    <n v="11001"/>
    <x v="6"/>
    <n v="525"/>
    <n v="25"/>
    <d v="1998-04-06T00:00:00"/>
  </r>
  <r>
    <n v="11001"/>
    <x v="7"/>
    <n v="525"/>
    <n v="25"/>
    <d v="1998-04-06T00:00:00"/>
  </r>
  <r>
    <n v="11001"/>
    <x v="0"/>
    <n v="300"/>
    <n v="25"/>
    <d v="1998-04-06T00:00:00"/>
  </r>
  <r>
    <n v="11001"/>
    <x v="1"/>
    <n v="300"/>
    <n v="25"/>
    <d v="1998-04-06T00:00:00"/>
  </r>
  <r>
    <n v="11001"/>
    <x v="2"/>
    <n v="300"/>
    <n v="25"/>
    <d v="1998-04-06T00:00:00"/>
  </r>
  <r>
    <n v="11001"/>
    <x v="3"/>
    <n v="300"/>
    <n v="25"/>
    <d v="1998-04-06T00:00:00"/>
  </r>
  <r>
    <n v="11001"/>
    <x v="4"/>
    <n v="300"/>
    <n v="25"/>
    <d v="1998-04-06T00:00:00"/>
  </r>
  <r>
    <n v="11001"/>
    <x v="5"/>
    <n v="300"/>
    <n v="25"/>
    <d v="1998-04-06T00:00:00"/>
  </r>
  <r>
    <n v="11001"/>
    <x v="6"/>
    <n v="300"/>
    <n v="25"/>
    <d v="1998-04-06T00:00:00"/>
  </r>
  <r>
    <n v="11001"/>
    <x v="7"/>
    <n v="300"/>
    <n v="25"/>
    <d v="1998-04-06T00:00:00"/>
  </r>
  <r>
    <n v="11001"/>
    <x v="0"/>
    <n v="144"/>
    <n v="6"/>
    <d v="1998-04-06T00:00:00"/>
  </r>
  <r>
    <n v="11001"/>
    <x v="1"/>
    <n v="144"/>
    <n v="6"/>
    <d v="1998-04-06T00:00:00"/>
  </r>
  <r>
    <n v="11001"/>
    <x v="2"/>
    <n v="144"/>
    <n v="6"/>
    <d v="1998-04-06T00:00:00"/>
  </r>
  <r>
    <n v="11001"/>
    <x v="3"/>
    <n v="144"/>
    <n v="6"/>
    <d v="1998-04-06T00:00:00"/>
  </r>
  <r>
    <n v="11001"/>
    <x v="4"/>
    <n v="144"/>
    <n v="6"/>
    <d v="1998-04-06T00:00:00"/>
  </r>
  <r>
    <n v="11001"/>
    <x v="5"/>
    <n v="144"/>
    <n v="6"/>
    <d v="1998-04-06T00:00:00"/>
  </r>
  <r>
    <n v="11001"/>
    <x v="6"/>
    <n v="144"/>
    <n v="6"/>
    <d v="1998-04-06T00:00:00"/>
  </r>
  <r>
    <n v="11001"/>
    <x v="7"/>
    <n v="144"/>
    <n v="6"/>
    <d v="1998-04-06T00:00:00"/>
  </r>
  <r>
    <n v="11002"/>
    <x v="0"/>
    <n v="336"/>
    <n v="56"/>
    <d v="1998-04-06T00:00:00"/>
  </r>
  <r>
    <n v="11002"/>
    <x v="1"/>
    <n v="336"/>
    <n v="56"/>
    <d v="1998-04-06T00:00:00"/>
  </r>
  <r>
    <n v="11002"/>
    <x v="2"/>
    <n v="336"/>
    <n v="56"/>
    <d v="1998-04-06T00:00:00"/>
  </r>
  <r>
    <n v="11002"/>
    <x v="3"/>
    <n v="336"/>
    <n v="56"/>
    <d v="1998-04-06T00:00:00"/>
  </r>
  <r>
    <n v="11002"/>
    <x v="4"/>
    <n v="336"/>
    <n v="56"/>
    <d v="1998-04-06T00:00:00"/>
  </r>
  <r>
    <n v="11002"/>
    <x v="5"/>
    <n v="336"/>
    <n v="56"/>
    <d v="1998-04-06T00:00:00"/>
  </r>
  <r>
    <n v="11002"/>
    <x v="6"/>
    <n v="336"/>
    <n v="56"/>
    <d v="1998-04-06T00:00:00"/>
  </r>
  <r>
    <n v="11002"/>
    <x v="7"/>
    <n v="336"/>
    <n v="56"/>
    <d v="1998-04-06T00:00:00"/>
  </r>
  <r>
    <n v="11002"/>
    <x v="0"/>
    <n v="229.49999839067459"/>
    <n v="15"/>
    <d v="1998-04-06T00:00:00"/>
  </r>
  <r>
    <n v="11002"/>
    <x v="1"/>
    <n v="229.49999839067459"/>
    <n v="15"/>
    <d v="1998-04-06T00:00:00"/>
  </r>
  <r>
    <n v="11002"/>
    <x v="2"/>
    <n v="229.49999839067459"/>
    <n v="15"/>
    <d v="1998-04-06T00:00:00"/>
  </r>
  <r>
    <n v="11002"/>
    <x v="3"/>
    <n v="229.49999839067459"/>
    <n v="15"/>
    <d v="1998-04-06T00:00:00"/>
  </r>
  <r>
    <n v="11002"/>
    <x v="4"/>
    <n v="229.49999839067459"/>
    <n v="15"/>
    <d v="1998-04-06T00:00:00"/>
  </r>
  <r>
    <n v="11002"/>
    <x v="5"/>
    <n v="229.49999839067459"/>
    <n v="15"/>
    <d v="1998-04-06T00:00:00"/>
  </r>
  <r>
    <n v="11002"/>
    <x v="6"/>
    <n v="229.49999839067459"/>
    <n v="15"/>
    <d v="1998-04-06T00:00:00"/>
  </r>
  <r>
    <n v="11002"/>
    <x v="7"/>
    <n v="229.49999839067459"/>
    <n v="15"/>
    <d v="1998-04-06T00:00:00"/>
  </r>
  <r>
    <n v="11002"/>
    <x v="0"/>
    <n v="285.59999799728394"/>
    <n v="24"/>
    <d v="1998-04-06T00:00:00"/>
  </r>
  <r>
    <n v="11002"/>
    <x v="1"/>
    <n v="285.59999799728394"/>
    <n v="24"/>
    <d v="1998-04-06T00:00:00"/>
  </r>
  <r>
    <n v="11002"/>
    <x v="2"/>
    <n v="285.59999799728394"/>
    <n v="24"/>
    <d v="1998-04-06T00:00:00"/>
  </r>
  <r>
    <n v="11002"/>
    <x v="3"/>
    <n v="285.59999799728394"/>
    <n v="24"/>
    <d v="1998-04-06T00:00:00"/>
  </r>
  <r>
    <n v="11002"/>
    <x v="4"/>
    <n v="285.59999799728394"/>
    <n v="24"/>
    <d v="1998-04-06T00:00:00"/>
  </r>
  <r>
    <n v="11002"/>
    <x v="5"/>
    <n v="285.59999799728394"/>
    <n v="24"/>
    <d v="1998-04-06T00:00:00"/>
  </r>
  <r>
    <n v="11002"/>
    <x v="6"/>
    <n v="285.59999799728394"/>
    <n v="24"/>
    <d v="1998-04-06T00:00:00"/>
  </r>
  <r>
    <n v="11002"/>
    <x v="7"/>
    <n v="285.59999799728394"/>
    <n v="24"/>
    <d v="1998-04-06T00:00:00"/>
  </r>
  <r>
    <n v="11002"/>
    <x v="0"/>
    <n v="960"/>
    <n v="40"/>
    <d v="1998-04-06T00:00:00"/>
  </r>
  <r>
    <n v="11002"/>
    <x v="1"/>
    <n v="960"/>
    <n v="40"/>
    <d v="1998-04-06T00:00:00"/>
  </r>
  <r>
    <n v="11002"/>
    <x v="2"/>
    <n v="960"/>
    <n v="40"/>
    <d v="1998-04-06T00:00:00"/>
  </r>
  <r>
    <n v="11002"/>
    <x v="3"/>
    <n v="960"/>
    <n v="40"/>
    <d v="1998-04-06T00:00:00"/>
  </r>
  <r>
    <n v="11002"/>
    <x v="4"/>
    <n v="960"/>
    <n v="40"/>
    <d v="1998-04-06T00:00:00"/>
  </r>
  <r>
    <n v="11002"/>
    <x v="5"/>
    <n v="960"/>
    <n v="40"/>
    <d v="1998-04-06T00:00:00"/>
  </r>
  <r>
    <n v="11002"/>
    <x v="6"/>
    <n v="960"/>
    <n v="40"/>
    <d v="1998-04-06T00:00:00"/>
  </r>
  <r>
    <n v="11002"/>
    <x v="7"/>
    <n v="960"/>
    <n v="40"/>
    <d v="1998-04-06T00:00:00"/>
  </r>
  <r>
    <n v="11003"/>
    <x v="0"/>
    <n v="72"/>
    <n v="4"/>
    <d v="1998-04-06T00:00:00"/>
  </r>
  <r>
    <n v="11003"/>
    <x v="1"/>
    <n v="72"/>
    <n v="4"/>
    <d v="1998-04-06T00:00:00"/>
  </r>
  <r>
    <n v="11003"/>
    <x v="2"/>
    <n v="72"/>
    <n v="4"/>
    <d v="1998-04-06T00:00:00"/>
  </r>
  <r>
    <n v="11003"/>
    <x v="3"/>
    <n v="72"/>
    <n v="4"/>
    <d v="1998-04-06T00:00:00"/>
  </r>
  <r>
    <n v="11003"/>
    <x v="4"/>
    <n v="72"/>
    <n v="4"/>
    <d v="1998-04-06T00:00:00"/>
  </r>
  <r>
    <n v="11003"/>
    <x v="5"/>
    <n v="72"/>
    <n v="4"/>
    <d v="1998-04-06T00:00:00"/>
  </r>
  <r>
    <n v="11003"/>
    <x v="6"/>
    <n v="72"/>
    <n v="4"/>
    <d v="1998-04-06T00:00:00"/>
  </r>
  <r>
    <n v="11003"/>
    <x v="7"/>
    <n v="72"/>
    <n v="4"/>
    <d v="1998-04-06T00:00:00"/>
  </r>
  <r>
    <n v="11003"/>
    <x v="0"/>
    <n v="184"/>
    <n v="10"/>
    <d v="1998-04-06T00:00:00"/>
  </r>
  <r>
    <n v="11003"/>
    <x v="1"/>
    <n v="184"/>
    <n v="10"/>
    <d v="1998-04-06T00:00:00"/>
  </r>
  <r>
    <n v="11003"/>
    <x v="2"/>
    <n v="184"/>
    <n v="10"/>
    <d v="1998-04-06T00:00:00"/>
  </r>
  <r>
    <n v="11003"/>
    <x v="3"/>
    <n v="184"/>
    <n v="10"/>
    <d v="1998-04-06T00:00:00"/>
  </r>
  <r>
    <n v="11003"/>
    <x v="4"/>
    <n v="184"/>
    <n v="10"/>
    <d v="1998-04-06T00:00:00"/>
  </r>
  <r>
    <n v="11003"/>
    <x v="5"/>
    <n v="184"/>
    <n v="10"/>
    <d v="1998-04-06T00:00:00"/>
  </r>
  <r>
    <n v="11003"/>
    <x v="6"/>
    <n v="184"/>
    <n v="10"/>
    <d v="1998-04-06T00:00:00"/>
  </r>
  <r>
    <n v="11003"/>
    <x v="7"/>
    <n v="184"/>
    <n v="10"/>
    <d v="1998-04-06T00:00:00"/>
  </r>
  <r>
    <n v="11003"/>
    <x v="0"/>
    <n v="70"/>
    <n v="10"/>
    <d v="1998-04-06T00:00:00"/>
  </r>
  <r>
    <n v="11003"/>
    <x v="1"/>
    <n v="70"/>
    <n v="10"/>
    <d v="1998-04-06T00:00:00"/>
  </r>
  <r>
    <n v="11003"/>
    <x v="2"/>
    <n v="70"/>
    <n v="10"/>
    <d v="1998-04-06T00:00:00"/>
  </r>
  <r>
    <n v="11003"/>
    <x v="3"/>
    <n v="70"/>
    <n v="10"/>
    <d v="1998-04-06T00:00:00"/>
  </r>
  <r>
    <n v="11003"/>
    <x v="4"/>
    <n v="70"/>
    <n v="10"/>
    <d v="1998-04-06T00:00:00"/>
  </r>
  <r>
    <n v="11003"/>
    <x v="5"/>
    <n v="70"/>
    <n v="10"/>
    <d v="1998-04-06T00:00:00"/>
  </r>
  <r>
    <n v="11003"/>
    <x v="6"/>
    <n v="70"/>
    <n v="10"/>
    <d v="1998-04-06T00:00:00"/>
  </r>
  <r>
    <n v="11003"/>
    <x v="7"/>
    <n v="70"/>
    <n v="10"/>
    <d v="1998-04-06T00:00:00"/>
  </r>
  <r>
    <n v="11004"/>
    <x v="0"/>
    <n v="187.38"/>
    <n v="6"/>
    <d v="1998-04-07T00:00:00"/>
  </r>
  <r>
    <n v="11004"/>
    <x v="1"/>
    <n v="187.38"/>
    <n v="6"/>
    <d v="1998-04-07T00:00:00"/>
  </r>
  <r>
    <n v="11004"/>
    <x v="2"/>
    <n v="187.38"/>
    <n v="6"/>
    <d v="1998-04-07T00:00:00"/>
  </r>
  <r>
    <n v="11004"/>
    <x v="3"/>
    <n v="187.38"/>
    <n v="6"/>
    <d v="1998-04-07T00:00:00"/>
  </r>
  <r>
    <n v="11004"/>
    <x v="4"/>
    <n v="187.38"/>
    <n v="6"/>
    <d v="1998-04-07T00:00:00"/>
  </r>
  <r>
    <n v="11004"/>
    <x v="5"/>
    <n v="187.38"/>
    <n v="6"/>
    <d v="1998-04-07T00:00:00"/>
  </r>
  <r>
    <n v="11004"/>
    <x v="6"/>
    <n v="187.38"/>
    <n v="6"/>
    <d v="1998-04-07T00:00:00"/>
  </r>
  <r>
    <n v="11004"/>
    <x v="7"/>
    <n v="187.38"/>
    <n v="6"/>
    <d v="1998-04-07T00:00:00"/>
  </r>
  <r>
    <n v="11004"/>
    <x v="0"/>
    <n v="108"/>
    <n v="6"/>
    <d v="1998-04-07T00:00:00"/>
  </r>
  <r>
    <n v="11004"/>
    <x v="1"/>
    <n v="108"/>
    <n v="6"/>
    <d v="1998-04-07T00:00:00"/>
  </r>
  <r>
    <n v="11004"/>
    <x v="2"/>
    <n v="108"/>
    <n v="6"/>
    <d v="1998-04-07T00:00:00"/>
  </r>
  <r>
    <n v="11004"/>
    <x v="3"/>
    <n v="108"/>
    <n v="6"/>
    <d v="1998-04-07T00:00:00"/>
  </r>
  <r>
    <n v="11004"/>
    <x v="4"/>
    <n v="108"/>
    <n v="6"/>
    <d v="1998-04-07T00:00:00"/>
  </r>
  <r>
    <n v="11004"/>
    <x v="5"/>
    <n v="108"/>
    <n v="6"/>
    <d v="1998-04-07T00:00:00"/>
  </r>
  <r>
    <n v="11004"/>
    <x v="6"/>
    <n v="108"/>
    <n v="6"/>
    <d v="1998-04-07T00:00:00"/>
  </r>
  <r>
    <n v="11004"/>
    <x v="7"/>
    <n v="108"/>
    <n v="6"/>
    <d v="1998-04-07T00:00:00"/>
  </r>
  <r>
    <n v="11005"/>
    <x v="0"/>
    <n v="36"/>
    <n v="2"/>
    <d v="1998-04-07T00:00:00"/>
  </r>
  <r>
    <n v="11005"/>
    <x v="1"/>
    <n v="36"/>
    <n v="2"/>
    <d v="1998-04-07T00:00:00"/>
  </r>
  <r>
    <n v="11005"/>
    <x v="2"/>
    <n v="36"/>
    <n v="2"/>
    <d v="1998-04-07T00:00:00"/>
  </r>
  <r>
    <n v="11005"/>
    <x v="3"/>
    <n v="36"/>
    <n v="2"/>
    <d v="1998-04-07T00:00:00"/>
  </r>
  <r>
    <n v="11005"/>
    <x v="4"/>
    <n v="36"/>
    <n v="2"/>
    <d v="1998-04-07T00:00:00"/>
  </r>
  <r>
    <n v="11005"/>
    <x v="5"/>
    <n v="36"/>
    <n v="2"/>
    <d v="1998-04-07T00:00:00"/>
  </r>
  <r>
    <n v="11005"/>
    <x v="6"/>
    <n v="36"/>
    <n v="2"/>
    <d v="1998-04-07T00:00:00"/>
  </r>
  <r>
    <n v="11005"/>
    <x v="7"/>
    <n v="36"/>
    <n v="2"/>
    <d v="1998-04-07T00:00:00"/>
  </r>
  <r>
    <n v="11005"/>
    <x v="0"/>
    <n v="550"/>
    <n v="10"/>
    <d v="1998-04-07T00:00:00"/>
  </r>
  <r>
    <n v="11005"/>
    <x v="1"/>
    <n v="550"/>
    <n v="10"/>
    <d v="1998-04-07T00:00:00"/>
  </r>
  <r>
    <n v="11005"/>
    <x v="2"/>
    <n v="550"/>
    <n v="10"/>
    <d v="1998-04-07T00:00:00"/>
  </r>
  <r>
    <n v="11005"/>
    <x v="3"/>
    <n v="550"/>
    <n v="10"/>
    <d v="1998-04-07T00:00:00"/>
  </r>
  <r>
    <n v="11005"/>
    <x v="4"/>
    <n v="550"/>
    <n v="10"/>
    <d v="1998-04-07T00:00:00"/>
  </r>
  <r>
    <n v="11005"/>
    <x v="5"/>
    <n v="550"/>
    <n v="10"/>
    <d v="1998-04-07T00:00:00"/>
  </r>
  <r>
    <n v="11005"/>
    <x v="6"/>
    <n v="550"/>
    <n v="10"/>
    <d v="1998-04-07T00:00:00"/>
  </r>
  <r>
    <n v="11005"/>
    <x v="7"/>
    <n v="550"/>
    <n v="10"/>
    <d v="1998-04-07T00:00:00"/>
  </r>
  <r>
    <n v="11006"/>
    <x v="0"/>
    <n v="144"/>
    <n v="8"/>
    <d v="1998-04-07T00:00:00"/>
  </r>
  <r>
    <n v="11006"/>
    <x v="1"/>
    <n v="144"/>
    <n v="8"/>
    <d v="1998-04-07T00:00:00"/>
  </r>
  <r>
    <n v="11006"/>
    <x v="2"/>
    <n v="144"/>
    <n v="8"/>
    <d v="1998-04-07T00:00:00"/>
  </r>
  <r>
    <n v="11006"/>
    <x v="3"/>
    <n v="144"/>
    <n v="8"/>
    <d v="1998-04-07T00:00:00"/>
  </r>
  <r>
    <n v="11006"/>
    <x v="4"/>
    <n v="144"/>
    <n v="8"/>
    <d v="1998-04-07T00:00:00"/>
  </r>
  <r>
    <n v="11006"/>
    <x v="5"/>
    <n v="144"/>
    <n v="8"/>
    <d v="1998-04-07T00:00:00"/>
  </r>
  <r>
    <n v="11006"/>
    <x v="6"/>
    <n v="144"/>
    <n v="8"/>
    <d v="1998-04-07T00:00:00"/>
  </r>
  <r>
    <n v="11006"/>
    <x v="7"/>
    <n v="144"/>
    <n v="8"/>
    <d v="1998-04-07T00:00:00"/>
  </r>
  <r>
    <n v="11006"/>
    <x v="0"/>
    <n v="185.685"/>
    <n v="2"/>
    <d v="1998-04-07T00:00:00"/>
  </r>
  <r>
    <n v="11006"/>
    <x v="1"/>
    <n v="185.685"/>
    <n v="2"/>
    <d v="1998-04-07T00:00:00"/>
  </r>
  <r>
    <n v="11006"/>
    <x v="2"/>
    <n v="185.685"/>
    <n v="2"/>
    <d v="1998-04-07T00:00:00"/>
  </r>
  <r>
    <n v="11006"/>
    <x v="3"/>
    <n v="185.685"/>
    <n v="2"/>
    <d v="1998-04-07T00:00:00"/>
  </r>
  <r>
    <n v="11006"/>
    <x v="4"/>
    <n v="185.685"/>
    <n v="2"/>
    <d v="1998-04-07T00:00:00"/>
  </r>
  <r>
    <n v="11006"/>
    <x v="5"/>
    <n v="185.685"/>
    <n v="2"/>
    <d v="1998-04-07T00:00:00"/>
  </r>
  <r>
    <n v="11006"/>
    <x v="6"/>
    <n v="185.685"/>
    <n v="2"/>
    <d v="1998-04-07T00:00:00"/>
  </r>
  <r>
    <n v="11006"/>
    <x v="7"/>
    <n v="185.685"/>
    <n v="2"/>
    <d v="1998-04-07T00:00:00"/>
  </r>
  <r>
    <n v="11007"/>
    <x v="0"/>
    <n v="1200"/>
    <n v="30"/>
    <d v="1998-04-08T00:00:00"/>
  </r>
  <r>
    <n v="11007"/>
    <x v="1"/>
    <n v="1200"/>
    <n v="30"/>
    <d v="1998-04-08T00:00:00"/>
  </r>
  <r>
    <n v="11007"/>
    <x v="2"/>
    <n v="1200"/>
    <n v="30"/>
    <d v="1998-04-08T00:00:00"/>
  </r>
  <r>
    <n v="11007"/>
    <x v="3"/>
    <n v="1200"/>
    <n v="30"/>
    <d v="1998-04-08T00:00:00"/>
  </r>
  <r>
    <n v="11007"/>
    <x v="4"/>
    <n v="1200"/>
    <n v="30"/>
    <d v="1998-04-08T00:00:00"/>
  </r>
  <r>
    <n v="11007"/>
    <x v="5"/>
    <n v="1200"/>
    <n v="30"/>
    <d v="1998-04-08T00:00:00"/>
  </r>
  <r>
    <n v="11007"/>
    <x v="6"/>
    <n v="1200"/>
    <n v="30"/>
    <d v="1998-04-08T00:00:00"/>
  </r>
  <r>
    <n v="11007"/>
    <x v="7"/>
    <n v="1200"/>
    <n v="30"/>
    <d v="1998-04-08T00:00:00"/>
  </r>
  <r>
    <n v="11007"/>
    <x v="0"/>
    <n v="1237.9000000000001"/>
    <n v="10"/>
    <d v="1998-04-08T00:00:00"/>
  </r>
  <r>
    <n v="11007"/>
    <x v="1"/>
    <n v="1237.9000000000001"/>
    <n v="10"/>
    <d v="1998-04-08T00:00:00"/>
  </r>
  <r>
    <n v="11007"/>
    <x v="2"/>
    <n v="1237.9000000000001"/>
    <n v="10"/>
    <d v="1998-04-08T00:00:00"/>
  </r>
  <r>
    <n v="11007"/>
    <x v="3"/>
    <n v="1237.9000000000001"/>
    <n v="10"/>
    <d v="1998-04-08T00:00:00"/>
  </r>
  <r>
    <n v="11007"/>
    <x v="4"/>
    <n v="1237.9000000000001"/>
    <n v="10"/>
    <d v="1998-04-08T00:00:00"/>
  </r>
  <r>
    <n v="11007"/>
    <x v="5"/>
    <n v="1237.9000000000001"/>
    <n v="10"/>
    <d v="1998-04-08T00:00:00"/>
  </r>
  <r>
    <n v="11007"/>
    <x v="6"/>
    <n v="1237.9000000000001"/>
    <n v="10"/>
    <d v="1998-04-08T00:00:00"/>
  </r>
  <r>
    <n v="11007"/>
    <x v="7"/>
    <n v="1237.9000000000001"/>
    <n v="10"/>
    <d v="1998-04-08T00:00:00"/>
  </r>
  <r>
    <n v="11007"/>
    <x v="0"/>
    <n v="196"/>
    <n v="14"/>
    <d v="1998-04-08T00:00:00"/>
  </r>
  <r>
    <n v="11007"/>
    <x v="1"/>
    <n v="196"/>
    <n v="14"/>
    <d v="1998-04-08T00:00:00"/>
  </r>
  <r>
    <n v="11007"/>
    <x v="2"/>
    <n v="196"/>
    <n v="14"/>
    <d v="1998-04-08T00:00:00"/>
  </r>
  <r>
    <n v="11007"/>
    <x v="3"/>
    <n v="196"/>
    <n v="14"/>
    <d v="1998-04-08T00:00:00"/>
  </r>
  <r>
    <n v="11007"/>
    <x v="4"/>
    <n v="196"/>
    <n v="14"/>
    <d v="1998-04-08T00:00:00"/>
  </r>
  <r>
    <n v="11007"/>
    <x v="5"/>
    <n v="196"/>
    <n v="14"/>
    <d v="1998-04-08T00:00:00"/>
  </r>
  <r>
    <n v="11007"/>
    <x v="6"/>
    <n v="196"/>
    <n v="14"/>
    <d v="1998-04-08T00:00:00"/>
  </r>
  <r>
    <n v="11007"/>
    <x v="7"/>
    <n v="196"/>
    <n v="14"/>
    <d v="1998-04-08T00:00:00"/>
  </r>
  <r>
    <n v="11008"/>
    <x v="0"/>
    <n v="3032.3999976217747"/>
    <n v="70"/>
    <d v="1998-04-08T00:00:00"/>
  </r>
  <r>
    <n v="11008"/>
    <x v="1"/>
    <n v="3032.3999976217747"/>
    <n v="70"/>
    <d v="1998-04-08T00:00:00"/>
  </r>
  <r>
    <n v="11008"/>
    <x v="2"/>
    <n v="3032.3999976217747"/>
    <n v="70"/>
    <d v="1998-04-08T00:00:00"/>
  </r>
  <r>
    <n v="11008"/>
    <x v="3"/>
    <n v="3032.3999976217747"/>
    <n v="70"/>
    <d v="1998-04-08T00:00:00"/>
  </r>
  <r>
    <n v="11008"/>
    <x v="4"/>
    <n v="3032.3999976217747"/>
    <n v="70"/>
    <d v="1998-04-08T00:00:00"/>
  </r>
  <r>
    <n v="11008"/>
    <x v="5"/>
    <n v="3032.3999976217747"/>
    <n v="70"/>
    <d v="1998-04-08T00:00:00"/>
  </r>
  <r>
    <n v="11008"/>
    <x v="6"/>
    <n v="3032.3999976217747"/>
    <n v="70"/>
    <d v="1998-04-08T00:00:00"/>
  </r>
  <r>
    <n v="11008"/>
    <x v="7"/>
    <n v="3032.3999976217747"/>
    <n v="70"/>
    <d v="1998-04-08T00:00:00"/>
  </r>
  <r>
    <n v="11008"/>
    <x v="0"/>
    <n v="1196.9999990612268"/>
    <n v="90"/>
    <d v="1998-04-08T00:00:00"/>
  </r>
  <r>
    <n v="11008"/>
    <x v="1"/>
    <n v="1196.9999990612268"/>
    <n v="90"/>
    <d v="1998-04-08T00:00:00"/>
  </r>
  <r>
    <n v="11008"/>
    <x v="2"/>
    <n v="1196.9999990612268"/>
    <n v="90"/>
    <d v="1998-04-08T00:00:00"/>
  </r>
  <r>
    <n v="11008"/>
    <x v="3"/>
    <n v="1196.9999990612268"/>
    <n v="90"/>
    <d v="1998-04-08T00:00:00"/>
  </r>
  <r>
    <n v="11008"/>
    <x v="4"/>
    <n v="1196.9999990612268"/>
    <n v="90"/>
    <d v="1998-04-08T00:00:00"/>
  </r>
  <r>
    <n v="11008"/>
    <x v="5"/>
    <n v="1196.9999990612268"/>
    <n v="90"/>
    <d v="1998-04-08T00:00:00"/>
  </r>
  <r>
    <n v="11008"/>
    <x v="6"/>
    <n v="1196.9999990612268"/>
    <n v="90"/>
    <d v="1998-04-08T00:00:00"/>
  </r>
  <r>
    <n v="11008"/>
    <x v="7"/>
    <n v="1196.9999990612268"/>
    <n v="90"/>
    <d v="1998-04-08T00:00:00"/>
  </r>
  <r>
    <n v="11008"/>
    <x v="0"/>
    <n v="451.5"/>
    <n v="21"/>
    <d v="1998-04-08T00:00:00"/>
  </r>
  <r>
    <n v="11008"/>
    <x v="1"/>
    <n v="451.5"/>
    <n v="21"/>
    <d v="1998-04-08T00:00:00"/>
  </r>
  <r>
    <n v="11008"/>
    <x v="2"/>
    <n v="451.5"/>
    <n v="21"/>
    <d v="1998-04-08T00:00:00"/>
  </r>
  <r>
    <n v="11008"/>
    <x v="3"/>
    <n v="451.5"/>
    <n v="21"/>
    <d v="1998-04-08T00:00:00"/>
  </r>
  <r>
    <n v="11008"/>
    <x v="4"/>
    <n v="451.5"/>
    <n v="21"/>
    <d v="1998-04-08T00:00:00"/>
  </r>
  <r>
    <n v="11008"/>
    <x v="5"/>
    <n v="451.5"/>
    <n v="21"/>
    <d v="1998-04-08T00:00:00"/>
  </r>
  <r>
    <n v="11008"/>
    <x v="6"/>
    <n v="451.5"/>
    <n v="21"/>
    <d v="1998-04-08T00:00:00"/>
  </r>
  <r>
    <n v="11008"/>
    <x v="7"/>
    <n v="451.5"/>
    <n v="21"/>
    <d v="1998-04-08T00:00:00"/>
  </r>
  <r>
    <n v="11009"/>
    <x v="0"/>
    <n v="54"/>
    <n v="12"/>
    <d v="1998-04-08T00:00:00"/>
  </r>
  <r>
    <n v="11009"/>
    <x v="1"/>
    <n v="54"/>
    <n v="12"/>
    <d v="1998-04-08T00:00:00"/>
  </r>
  <r>
    <n v="11009"/>
    <x v="2"/>
    <n v="54"/>
    <n v="12"/>
    <d v="1998-04-08T00:00:00"/>
  </r>
  <r>
    <n v="11009"/>
    <x v="3"/>
    <n v="54"/>
    <n v="12"/>
    <d v="1998-04-08T00:00:00"/>
  </r>
  <r>
    <n v="11009"/>
    <x v="4"/>
    <n v="54"/>
    <n v="12"/>
    <d v="1998-04-08T00:00:00"/>
  </r>
  <r>
    <n v="11009"/>
    <x v="5"/>
    <n v="54"/>
    <n v="12"/>
    <d v="1998-04-08T00:00:00"/>
  </r>
  <r>
    <n v="11009"/>
    <x v="6"/>
    <n v="54"/>
    <n v="12"/>
    <d v="1998-04-08T00:00:00"/>
  </r>
  <r>
    <n v="11009"/>
    <x v="7"/>
    <n v="54"/>
    <n v="12"/>
    <d v="1998-04-08T00:00:00"/>
  </r>
  <r>
    <n v="11009"/>
    <x v="0"/>
    <n v="256.5"/>
    <n v="18"/>
    <d v="1998-04-08T00:00:00"/>
  </r>
  <r>
    <n v="11009"/>
    <x v="1"/>
    <n v="256.5"/>
    <n v="18"/>
    <d v="1998-04-08T00:00:00"/>
  </r>
  <r>
    <n v="11009"/>
    <x v="2"/>
    <n v="256.5"/>
    <n v="18"/>
    <d v="1998-04-08T00:00:00"/>
  </r>
  <r>
    <n v="11009"/>
    <x v="3"/>
    <n v="256.5"/>
    <n v="18"/>
    <d v="1998-04-08T00:00:00"/>
  </r>
  <r>
    <n v="11009"/>
    <x v="4"/>
    <n v="256.5"/>
    <n v="18"/>
    <d v="1998-04-08T00:00:00"/>
  </r>
  <r>
    <n v="11009"/>
    <x v="5"/>
    <n v="256.5"/>
    <n v="18"/>
    <d v="1998-04-08T00:00:00"/>
  </r>
  <r>
    <n v="11009"/>
    <x v="6"/>
    <n v="256.5"/>
    <n v="18"/>
    <d v="1998-04-08T00:00:00"/>
  </r>
  <r>
    <n v="11009"/>
    <x v="7"/>
    <n v="256.5"/>
    <n v="18"/>
    <d v="1998-04-08T00:00:00"/>
  </r>
  <r>
    <n v="11009"/>
    <x v="0"/>
    <n v="306"/>
    <n v="9"/>
    <d v="1998-04-08T00:00:00"/>
  </r>
  <r>
    <n v="11009"/>
    <x v="1"/>
    <n v="306"/>
    <n v="9"/>
    <d v="1998-04-08T00:00:00"/>
  </r>
  <r>
    <n v="11009"/>
    <x v="2"/>
    <n v="306"/>
    <n v="9"/>
    <d v="1998-04-08T00:00:00"/>
  </r>
  <r>
    <n v="11009"/>
    <x v="3"/>
    <n v="306"/>
    <n v="9"/>
    <d v="1998-04-08T00:00:00"/>
  </r>
  <r>
    <n v="11009"/>
    <x v="4"/>
    <n v="306"/>
    <n v="9"/>
    <d v="1998-04-08T00:00:00"/>
  </r>
  <r>
    <n v="11009"/>
    <x v="5"/>
    <n v="306"/>
    <n v="9"/>
    <d v="1998-04-08T00:00:00"/>
  </r>
  <r>
    <n v="11009"/>
    <x v="6"/>
    <n v="306"/>
    <n v="9"/>
    <d v="1998-04-08T00:00:00"/>
  </r>
  <r>
    <n v="11009"/>
    <x v="7"/>
    <n v="306"/>
    <n v="9"/>
    <d v="1998-04-08T00:00:00"/>
  </r>
  <r>
    <n v="11010"/>
    <x v="0"/>
    <n v="600"/>
    <n v="20"/>
    <d v="1998-04-09T00:00:00"/>
  </r>
  <r>
    <n v="11010"/>
    <x v="1"/>
    <n v="600"/>
    <n v="20"/>
    <d v="1998-04-09T00:00:00"/>
  </r>
  <r>
    <n v="11010"/>
    <x v="2"/>
    <n v="600"/>
    <n v="20"/>
    <d v="1998-04-09T00:00:00"/>
  </r>
  <r>
    <n v="11010"/>
    <x v="3"/>
    <n v="600"/>
    <n v="20"/>
    <d v="1998-04-09T00:00:00"/>
  </r>
  <r>
    <n v="11010"/>
    <x v="4"/>
    <n v="600"/>
    <n v="20"/>
    <d v="1998-04-09T00:00:00"/>
  </r>
  <r>
    <n v="11010"/>
    <x v="5"/>
    <n v="600"/>
    <n v="20"/>
    <d v="1998-04-09T00:00:00"/>
  </r>
  <r>
    <n v="11010"/>
    <x v="6"/>
    <n v="600"/>
    <n v="20"/>
    <d v="1998-04-09T00:00:00"/>
  </r>
  <r>
    <n v="11010"/>
    <x v="7"/>
    <n v="600"/>
    <n v="20"/>
    <d v="1998-04-09T00:00:00"/>
  </r>
  <r>
    <n v="11010"/>
    <x v="0"/>
    <n v="45"/>
    <n v="10"/>
    <d v="1998-04-09T00:00:00"/>
  </r>
  <r>
    <n v="11010"/>
    <x v="1"/>
    <n v="45"/>
    <n v="10"/>
    <d v="1998-04-09T00:00:00"/>
  </r>
  <r>
    <n v="11010"/>
    <x v="2"/>
    <n v="45"/>
    <n v="10"/>
    <d v="1998-04-09T00:00:00"/>
  </r>
  <r>
    <n v="11010"/>
    <x v="3"/>
    <n v="45"/>
    <n v="10"/>
    <d v="1998-04-09T00:00:00"/>
  </r>
  <r>
    <n v="11010"/>
    <x v="4"/>
    <n v="45"/>
    <n v="10"/>
    <d v="1998-04-09T00:00:00"/>
  </r>
  <r>
    <n v="11010"/>
    <x v="5"/>
    <n v="45"/>
    <n v="10"/>
    <d v="1998-04-09T00:00:00"/>
  </r>
  <r>
    <n v="11010"/>
    <x v="6"/>
    <n v="45"/>
    <n v="10"/>
    <d v="1998-04-09T00:00:00"/>
  </r>
  <r>
    <n v="11010"/>
    <x v="7"/>
    <n v="45"/>
    <n v="10"/>
    <d v="1998-04-09T00:00:00"/>
  </r>
  <r>
    <n v="11011"/>
    <x v="0"/>
    <n v="503.49999960511923"/>
    <n v="40"/>
    <d v="1998-04-09T00:00:00"/>
  </r>
  <r>
    <n v="11011"/>
    <x v="1"/>
    <n v="503.49999960511923"/>
    <n v="40"/>
    <d v="1998-04-09T00:00:00"/>
  </r>
  <r>
    <n v="11011"/>
    <x v="2"/>
    <n v="503.49999960511923"/>
    <n v="40"/>
    <d v="1998-04-09T00:00:00"/>
  </r>
  <r>
    <n v="11011"/>
    <x v="3"/>
    <n v="503.49999960511923"/>
    <n v="40"/>
    <d v="1998-04-09T00:00:00"/>
  </r>
  <r>
    <n v="11011"/>
    <x v="4"/>
    <n v="503.49999960511923"/>
    <n v="40"/>
    <d v="1998-04-09T00:00:00"/>
  </r>
  <r>
    <n v="11011"/>
    <x v="5"/>
    <n v="503.49999960511923"/>
    <n v="40"/>
    <d v="1998-04-09T00:00:00"/>
  </r>
  <r>
    <n v="11011"/>
    <x v="6"/>
    <n v="503.49999960511923"/>
    <n v="40"/>
    <d v="1998-04-09T00:00:00"/>
  </r>
  <r>
    <n v="11011"/>
    <x v="7"/>
    <n v="503.49999960511923"/>
    <n v="40"/>
    <d v="1998-04-09T00:00:00"/>
  </r>
  <r>
    <n v="11011"/>
    <x v="0"/>
    <n v="430"/>
    <n v="20"/>
    <d v="1998-04-09T00:00:00"/>
  </r>
  <r>
    <n v="11011"/>
    <x v="1"/>
    <n v="430"/>
    <n v="20"/>
    <d v="1998-04-09T00:00:00"/>
  </r>
  <r>
    <n v="11011"/>
    <x v="2"/>
    <n v="430"/>
    <n v="20"/>
    <d v="1998-04-09T00:00:00"/>
  </r>
  <r>
    <n v="11011"/>
    <x v="3"/>
    <n v="430"/>
    <n v="20"/>
    <d v="1998-04-09T00:00:00"/>
  </r>
  <r>
    <n v="11011"/>
    <x v="4"/>
    <n v="430"/>
    <n v="20"/>
    <d v="1998-04-09T00:00:00"/>
  </r>
  <r>
    <n v="11011"/>
    <x v="5"/>
    <n v="430"/>
    <n v="20"/>
    <d v="1998-04-09T00:00:00"/>
  </r>
  <r>
    <n v="11011"/>
    <x v="6"/>
    <n v="430"/>
    <n v="20"/>
    <d v="1998-04-09T00:00:00"/>
  </r>
  <r>
    <n v="11011"/>
    <x v="7"/>
    <n v="430"/>
    <n v="20"/>
    <d v="1998-04-09T00:00:00"/>
  </r>
  <r>
    <n v="11012"/>
    <x v="0"/>
    <n v="436.99999965727329"/>
    <n v="50"/>
    <d v="1998-04-09T00:00:00"/>
  </r>
  <r>
    <n v="11012"/>
    <x v="1"/>
    <n v="436.99999965727329"/>
    <n v="50"/>
    <d v="1998-04-09T00:00:00"/>
  </r>
  <r>
    <n v="11012"/>
    <x v="2"/>
    <n v="436.99999965727329"/>
    <n v="50"/>
    <d v="1998-04-09T00:00:00"/>
  </r>
  <r>
    <n v="11012"/>
    <x v="3"/>
    <n v="436.99999965727329"/>
    <n v="50"/>
    <d v="1998-04-09T00:00:00"/>
  </r>
  <r>
    <n v="11012"/>
    <x v="4"/>
    <n v="436.99999965727329"/>
    <n v="50"/>
    <d v="1998-04-09T00:00:00"/>
  </r>
  <r>
    <n v="11012"/>
    <x v="5"/>
    <n v="436.99999965727329"/>
    <n v="50"/>
    <d v="1998-04-09T00:00:00"/>
  </r>
  <r>
    <n v="11012"/>
    <x v="6"/>
    <n v="436.99999965727329"/>
    <n v="50"/>
    <d v="1998-04-09T00:00:00"/>
  </r>
  <r>
    <n v="11012"/>
    <x v="7"/>
    <n v="436.99999965727329"/>
    <n v="50"/>
    <d v="1998-04-09T00:00:00"/>
  </r>
  <r>
    <n v="11012"/>
    <x v="0"/>
    <n v="1162.7999990880489"/>
    <n v="36"/>
    <d v="1998-04-09T00:00:00"/>
  </r>
  <r>
    <n v="11012"/>
    <x v="1"/>
    <n v="1162.7999990880489"/>
    <n v="36"/>
    <d v="1998-04-09T00:00:00"/>
  </r>
  <r>
    <n v="11012"/>
    <x v="2"/>
    <n v="1162.7999990880489"/>
    <n v="36"/>
    <d v="1998-04-09T00:00:00"/>
  </r>
  <r>
    <n v="11012"/>
    <x v="3"/>
    <n v="1162.7999990880489"/>
    <n v="36"/>
    <d v="1998-04-09T00:00:00"/>
  </r>
  <r>
    <n v="11012"/>
    <x v="4"/>
    <n v="1162.7999990880489"/>
    <n v="36"/>
    <d v="1998-04-09T00:00:00"/>
  </r>
  <r>
    <n v="11012"/>
    <x v="5"/>
    <n v="1162.7999990880489"/>
    <n v="36"/>
    <d v="1998-04-09T00:00:00"/>
  </r>
  <r>
    <n v="11012"/>
    <x v="6"/>
    <n v="1162.7999990880489"/>
    <n v="36"/>
    <d v="1998-04-09T00:00:00"/>
  </r>
  <r>
    <n v="11012"/>
    <x v="7"/>
    <n v="1162.7999990880489"/>
    <n v="36"/>
    <d v="1998-04-09T00:00:00"/>
  </r>
  <r>
    <n v="11012"/>
    <x v="0"/>
    <n v="1225.4999990388751"/>
    <n v="60"/>
    <d v="1998-04-09T00:00:00"/>
  </r>
  <r>
    <n v="11012"/>
    <x v="1"/>
    <n v="1225.4999990388751"/>
    <n v="60"/>
    <d v="1998-04-09T00:00:00"/>
  </r>
  <r>
    <n v="11012"/>
    <x v="2"/>
    <n v="1225.4999990388751"/>
    <n v="60"/>
    <d v="1998-04-09T00:00:00"/>
  </r>
  <r>
    <n v="11012"/>
    <x v="3"/>
    <n v="1225.4999990388751"/>
    <n v="60"/>
    <d v="1998-04-09T00:00:00"/>
  </r>
  <r>
    <n v="11012"/>
    <x v="4"/>
    <n v="1225.4999990388751"/>
    <n v="60"/>
    <d v="1998-04-09T00:00:00"/>
  </r>
  <r>
    <n v="11012"/>
    <x v="5"/>
    <n v="1225.4999990388751"/>
    <n v="60"/>
    <d v="1998-04-09T00:00:00"/>
  </r>
  <r>
    <n v="11012"/>
    <x v="6"/>
    <n v="1225.4999990388751"/>
    <n v="60"/>
    <d v="1998-04-09T00:00:00"/>
  </r>
  <r>
    <n v="11012"/>
    <x v="7"/>
    <n v="1225.4999990388751"/>
    <n v="60"/>
    <d v="1998-04-09T00:00:00"/>
  </r>
  <r>
    <n v="11013"/>
    <x v="0"/>
    <n v="90"/>
    <n v="10"/>
    <d v="1998-04-09T00:00:00"/>
  </r>
  <r>
    <n v="11013"/>
    <x v="1"/>
    <n v="90"/>
    <n v="10"/>
    <d v="1998-04-09T00:00:00"/>
  </r>
  <r>
    <n v="11013"/>
    <x v="2"/>
    <n v="90"/>
    <n v="10"/>
    <d v="1998-04-09T00:00:00"/>
  </r>
  <r>
    <n v="11013"/>
    <x v="3"/>
    <n v="90"/>
    <n v="10"/>
    <d v="1998-04-09T00:00:00"/>
  </r>
  <r>
    <n v="11013"/>
    <x v="4"/>
    <n v="90"/>
    <n v="10"/>
    <d v="1998-04-09T00:00:00"/>
  </r>
  <r>
    <n v="11013"/>
    <x v="5"/>
    <n v="90"/>
    <n v="10"/>
    <d v="1998-04-09T00:00:00"/>
  </r>
  <r>
    <n v="11013"/>
    <x v="6"/>
    <n v="90"/>
    <n v="10"/>
    <d v="1998-04-09T00:00:00"/>
  </r>
  <r>
    <n v="11013"/>
    <x v="7"/>
    <n v="90"/>
    <n v="10"/>
    <d v="1998-04-09T00:00:00"/>
  </r>
  <r>
    <n v="11013"/>
    <x v="0"/>
    <n v="56"/>
    <n v="4"/>
    <d v="1998-04-09T00:00:00"/>
  </r>
  <r>
    <n v="11013"/>
    <x v="1"/>
    <n v="56"/>
    <n v="4"/>
    <d v="1998-04-09T00:00:00"/>
  </r>
  <r>
    <n v="11013"/>
    <x v="2"/>
    <n v="56"/>
    <n v="4"/>
    <d v="1998-04-09T00:00:00"/>
  </r>
  <r>
    <n v="11013"/>
    <x v="3"/>
    <n v="56"/>
    <n v="4"/>
    <d v="1998-04-09T00:00:00"/>
  </r>
  <r>
    <n v="11013"/>
    <x v="4"/>
    <n v="56"/>
    <n v="4"/>
    <d v="1998-04-09T00:00:00"/>
  </r>
  <r>
    <n v="11013"/>
    <x v="5"/>
    <n v="56"/>
    <n v="4"/>
    <d v="1998-04-09T00:00:00"/>
  </r>
  <r>
    <n v="11013"/>
    <x v="6"/>
    <n v="56"/>
    <n v="4"/>
    <d v="1998-04-09T00:00:00"/>
  </r>
  <r>
    <n v="11013"/>
    <x v="7"/>
    <n v="56"/>
    <n v="4"/>
    <d v="1998-04-09T00:00:00"/>
  </r>
  <r>
    <n v="11013"/>
    <x v="0"/>
    <n v="190"/>
    <n v="20"/>
    <d v="1998-04-09T00:00:00"/>
  </r>
  <r>
    <n v="11013"/>
    <x v="1"/>
    <n v="190"/>
    <n v="20"/>
    <d v="1998-04-09T00:00:00"/>
  </r>
  <r>
    <n v="11013"/>
    <x v="2"/>
    <n v="190"/>
    <n v="20"/>
    <d v="1998-04-09T00:00:00"/>
  </r>
  <r>
    <n v="11013"/>
    <x v="3"/>
    <n v="190"/>
    <n v="20"/>
    <d v="1998-04-09T00:00:00"/>
  </r>
  <r>
    <n v="11013"/>
    <x v="4"/>
    <n v="190"/>
    <n v="20"/>
    <d v="1998-04-09T00:00:00"/>
  </r>
  <r>
    <n v="11013"/>
    <x v="5"/>
    <n v="190"/>
    <n v="20"/>
    <d v="1998-04-09T00:00:00"/>
  </r>
  <r>
    <n v="11013"/>
    <x v="6"/>
    <n v="190"/>
    <n v="20"/>
    <d v="1998-04-09T00:00:00"/>
  </r>
  <r>
    <n v="11013"/>
    <x v="7"/>
    <n v="190"/>
    <n v="20"/>
    <d v="1998-04-09T00:00:00"/>
  </r>
  <r>
    <n v="11013"/>
    <x v="0"/>
    <n v="25"/>
    <n v="2"/>
    <d v="1998-04-09T00:00:00"/>
  </r>
  <r>
    <n v="11013"/>
    <x v="1"/>
    <n v="25"/>
    <n v="2"/>
    <d v="1998-04-09T00:00:00"/>
  </r>
  <r>
    <n v="11013"/>
    <x v="2"/>
    <n v="25"/>
    <n v="2"/>
    <d v="1998-04-09T00:00:00"/>
  </r>
  <r>
    <n v="11013"/>
    <x v="3"/>
    <n v="25"/>
    <n v="2"/>
    <d v="1998-04-09T00:00:00"/>
  </r>
  <r>
    <n v="11013"/>
    <x v="4"/>
    <n v="25"/>
    <n v="2"/>
    <d v="1998-04-09T00:00:00"/>
  </r>
  <r>
    <n v="11013"/>
    <x v="5"/>
    <n v="25"/>
    <n v="2"/>
    <d v="1998-04-09T00:00:00"/>
  </r>
  <r>
    <n v="11013"/>
    <x v="6"/>
    <n v="25"/>
    <n v="2"/>
    <d v="1998-04-09T00:00:00"/>
  </r>
  <r>
    <n v="11013"/>
    <x v="7"/>
    <n v="25"/>
    <n v="2"/>
    <d v="1998-04-09T00:00:00"/>
  </r>
  <r>
    <n v="11014"/>
    <x v="0"/>
    <n v="243.17999959737062"/>
    <n v="28"/>
    <d v="1998-04-10T00:00:00"/>
  </r>
  <r>
    <n v="11014"/>
    <x v="1"/>
    <n v="243.17999959737062"/>
    <n v="28"/>
    <d v="1998-04-10T00:00:00"/>
  </r>
  <r>
    <n v="11014"/>
    <x v="2"/>
    <n v="243.17999959737062"/>
    <n v="28"/>
    <d v="1998-04-10T00:00:00"/>
  </r>
  <r>
    <n v="11014"/>
    <x v="3"/>
    <n v="243.17999959737062"/>
    <n v="28"/>
    <d v="1998-04-10T00:00:00"/>
  </r>
  <r>
    <n v="11014"/>
    <x v="4"/>
    <n v="243.17999959737062"/>
    <n v="28"/>
    <d v="1998-04-10T00:00:00"/>
  </r>
  <r>
    <n v="11014"/>
    <x v="5"/>
    <n v="243.17999959737062"/>
    <n v="28"/>
    <d v="1998-04-10T00:00:00"/>
  </r>
  <r>
    <n v="11014"/>
    <x v="6"/>
    <n v="243.17999959737062"/>
    <n v="28"/>
    <d v="1998-04-10T00:00:00"/>
  </r>
  <r>
    <n v="11014"/>
    <x v="7"/>
    <n v="243.17999959737062"/>
    <n v="28"/>
    <d v="1998-04-10T00:00:00"/>
  </r>
  <r>
    <n v="11015"/>
    <x v="0"/>
    <n v="388.35"/>
    <n v="15"/>
    <d v="1998-04-10T00:00:00"/>
  </r>
  <r>
    <n v="11015"/>
    <x v="1"/>
    <n v="388.35"/>
    <n v="15"/>
    <d v="1998-04-10T00:00:00"/>
  </r>
  <r>
    <n v="11015"/>
    <x v="2"/>
    <n v="388.35"/>
    <n v="15"/>
    <d v="1998-04-10T00:00:00"/>
  </r>
  <r>
    <n v="11015"/>
    <x v="3"/>
    <n v="388.35"/>
    <n v="15"/>
    <d v="1998-04-10T00:00:00"/>
  </r>
  <r>
    <n v="11015"/>
    <x v="4"/>
    <n v="388.35"/>
    <n v="15"/>
    <d v="1998-04-10T00:00:00"/>
  </r>
  <r>
    <n v="11015"/>
    <x v="5"/>
    <n v="388.35"/>
    <n v="15"/>
    <d v="1998-04-10T00:00:00"/>
  </r>
  <r>
    <n v="11015"/>
    <x v="6"/>
    <n v="388.35"/>
    <n v="15"/>
    <d v="1998-04-10T00:00:00"/>
  </r>
  <r>
    <n v="11015"/>
    <x v="7"/>
    <n v="388.35"/>
    <n v="15"/>
    <d v="1998-04-10T00:00:00"/>
  </r>
  <r>
    <n v="11015"/>
    <x v="0"/>
    <n v="234"/>
    <n v="18"/>
    <d v="1998-04-10T00:00:00"/>
  </r>
  <r>
    <n v="11015"/>
    <x v="1"/>
    <n v="234"/>
    <n v="18"/>
    <d v="1998-04-10T00:00:00"/>
  </r>
  <r>
    <n v="11015"/>
    <x v="2"/>
    <n v="234"/>
    <n v="18"/>
    <d v="1998-04-10T00:00:00"/>
  </r>
  <r>
    <n v="11015"/>
    <x v="3"/>
    <n v="234"/>
    <n v="18"/>
    <d v="1998-04-10T00:00:00"/>
  </r>
  <r>
    <n v="11015"/>
    <x v="4"/>
    <n v="234"/>
    <n v="18"/>
    <d v="1998-04-10T00:00:00"/>
  </r>
  <r>
    <n v="11015"/>
    <x v="5"/>
    <n v="234"/>
    <n v="18"/>
    <d v="1998-04-10T00:00:00"/>
  </r>
  <r>
    <n v="11015"/>
    <x v="6"/>
    <n v="234"/>
    <n v="18"/>
    <d v="1998-04-10T00:00:00"/>
  </r>
  <r>
    <n v="11015"/>
    <x v="7"/>
    <n v="234"/>
    <n v="18"/>
    <d v="1998-04-10T00:00:00"/>
  </r>
  <r>
    <n v="11016"/>
    <x v="0"/>
    <n v="187.5"/>
    <n v="15"/>
    <d v="1998-04-10T00:00:00"/>
  </r>
  <r>
    <n v="11016"/>
    <x v="1"/>
    <n v="187.5"/>
    <n v="15"/>
    <d v="1998-04-10T00:00:00"/>
  </r>
  <r>
    <n v="11016"/>
    <x v="2"/>
    <n v="187.5"/>
    <n v="15"/>
    <d v="1998-04-10T00:00:00"/>
  </r>
  <r>
    <n v="11016"/>
    <x v="3"/>
    <n v="187.5"/>
    <n v="15"/>
    <d v="1998-04-10T00:00:00"/>
  </r>
  <r>
    <n v="11016"/>
    <x v="4"/>
    <n v="187.5"/>
    <n v="15"/>
    <d v="1998-04-10T00:00:00"/>
  </r>
  <r>
    <n v="11016"/>
    <x v="5"/>
    <n v="187.5"/>
    <n v="15"/>
    <d v="1998-04-10T00:00:00"/>
  </r>
  <r>
    <n v="11016"/>
    <x v="6"/>
    <n v="187.5"/>
    <n v="15"/>
    <d v="1998-04-10T00:00:00"/>
  </r>
  <r>
    <n v="11016"/>
    <x v="7"/>
    <n v="187.5"/>
    <n v="15"/>
    <d v="1998-04-10T00:00:00"/>
  </r>
  <r>
    <n v="11016"/>
    <x v="0"/>
    <n v="304"/>
    <n v="16"/>
    <d v="1998-04-10T00:00:00"/>
  </r>
  <r>
    <n v="11016"/>
    <x v="1"/>
    <n v="304"/>
    <n v="16"/>
    <d v="1998-04-10T00:00:00"/>
  </r>
  <r>
    <n v="11016"/>
    <x v="2"/>
    <n v="304"/>
    <n v="16"/>
    <d v="1998-04-10T00:00:00"/>
  </r>
  <r>
    <n v="11016"/>
    <x v="3"/>
    <n v="304"/>
    <n v="16"/>
    <d v="1998-04-10T00:00:00"/>
  </r>
  <r>
    <n v="11016"/>
    <x v="4"/>
    <n v="304"/>
    <n v="16"/>
    <d v="1998-04-10T00:00:00"/>
  </r>
  <r>
    <n v="11016"/>
    <x v="5"/>
    <n v="304"/>
    <n v="16"/>
    <d v="1998-04-10T00:00:00"/>
  </r>
  <r>
    <n v="11016"/>
    <x v="6"/>
    <n v="304"/>
    <n v="16"/>
    <d v="1998-04-10T00:00:00"/>
  </r>
  <r>
    <n v="11016"/>
    <x v="7"/>
    <n v="304"/>
    <n v="16"/>
    <d v="1998-04-10T00:00:00"/>
  </r>
  <r>
    <n v="11017"/>
    <x v="0"/>
    <n v="250"/>
    <n v="25"/>
    <d v="1998-04-13T00:00:00"/>
  </r>
  <r>
    <n v="11017"/>
    <x v="1"/>
    <n v="250"/>
    <n v="25"/>
    <d v="1998-04-13T00:00:00"/>
  </r>
  <r>
    <n v="11017"/>
    <x v="2"/>
    <n v="250"/>
    <n v="25"/>
    <d v="1998-04-13T00:00:00"/>
  </r>
  <r>
    <n v="11017"/>
    <x v="3"/>
    <n v="250"/>
    <n v="25"/>
    <d v="1998-04-13T00:00:00"/>
  </r>
  <r>
    <n v="11017"/>
    <x v="4"/>
    <n v="250"/>
    <n v="25"/>
    <d v="1998-04-13T00:00:00"/>
  </r>
  <r>
    <n v="11017"/>
    <x v="5"/>
    <n v="250"/>
    <n v="25"/>
    <d v="1998-04-13T00:00:00"/>
  </r>
  <r>
    <n v="11017"/>
    <x v="6"/>
    <n v="250"/>
    <n v="25"/>
    <d v="1998-04-13T00:00:00"/>
  </r>
  <r>
    <n v="11017"/>
    <x v="7"/>
    <n v="250"/>
    <n v="25"/>
    <d v="1998-04-13T00:00:00"/>
  </r>
  <r>
    <n v="11017"/>
    <x v="0"/>
    <n v="6050"/>
    <n v="110"/>
    <d v="1998-04-13T00:00:00"/>
  </r>
  <r>
    <n v="11017"/>
    <x v="1"/>
    <n v="6050"/>
    <n v="110"/>
    <d v="1998-04-13T00:00:00"/>
  </r>
  <r>
    <n v="11017"/>
    <x v="2"/>
    <n v="6050"/>
    <n v="110"/>
    <d v="1998-04-13T00:00:00"/>
  </r>
  <r>
    <n v="11017"/>
    <x v="3"/>
    <n v="6050"/>
    <n v="110"/>
    <d v="1998-04-13T00:00:00"/>
  </r>
  <r>
    <n v="11017"/>
    <x v="4"/>
    <n v="6050"/>
    <n v="110"/>
    <d v="1998-04-13T00:00:00"/>
  </r>
  <r>
    <n v="11017"/>
    <x v="5"/>
    <n v="6050"/>
    <n v="110"/>
    <d v="1998-04-13T00:00:00"/>
  </r>
  <r>
    <n v="11017"/>
    <x v="6"/>
    <n v="6050"/>
    <n v="110"/>
    <d v="1998-04-13T00:00:00"/>
  </r>
  <r>
    <n v="11017"/>
    <x v="7"/>
    <n v="6050"/>
    <n v="110"/>
    <d v="1998-04-13T00:00:00"/>
  </r>
  <r>
    <n v="11017"/>
    <x v="0"/>
    <n v="450"/>
    <n v="30"/>
    <d v="1998-04-13T00:00:00"/>
  </r>
  <r>
    <n v="11017"/>
    <x v="1"/>
    <n v="450"/>
    <n v="30"/>
    <d v="1998-04-13T00:00:00"/>
  </r>
  <r>
    <n v="11017"/>
    <x v="2"/>
    <n v="450"/>
    <n v="30"/>
    <d v="1998-04-13T00:00:00"/>
  </r>
  <r>
    <n v="11017"/>
    <x v="3"/>
    <n v="450"/>
    <n v="30"/>
    <d v="1998-04-13T00:00:00"/>
  </r>
  <r>
    <n v="11017"/>
    <x v="4"/>
    <n v="450"/>
    <n v="30"/>
    <d v="1998-04-13T00:00:00"/>
  </r>
  <r>
    <n v="11017"/>
    <x v="5"/>
    <n v="450"/>
    <n v="30"/>
    <d v="1998-04-13T00:00:00"/>
  </r>
  <r>
    <n v="11017"/>
    <x v="6"/>
    <n v="450"/>
    <n v="30"/>
    <d v="1998-04-13T00:00:00"/>
  </r>
  <r>
    <n v="11017"/>
    <x v="7"/>
    <n v="450"/>
    <n v="30"/>
    <d v="1998-04-13T00:00:00"/>
  </r>
  <r>
    <n v="11018"/>
    <x v="0"/>
    <n v="760"/>
    <n v="20"/>
    <d v="1998-04-13T00:00:00"/>
  </r>
  <r>
    <n v="11018"/>
    <x v="1"/>
    <n v="760"/>
    <n v="20"/>
    <d v="1998-04-13T00:00:00"/>
  </r>
  <r>
    <n v="11018"/>
    <x v="2"/>
    <n v="760"/>
    <n v="20"/>
    <d v="1998-04-13T00:00:00"/>
  </r>
  <r>
    <n v="11018"/>
    <x v="3"/>
    <n v="760"/>
    <n v="20"/>
    <d v="1998-04-13T00:00:00"/>
  </r>
  <r>
    <n v="11018"/>
    <x v="4"/>
    <n v="760"/>
    <n v="20"/>
    <d v="1998-04-13T00:00:00"/>
  </r>
  <r>
    <n v="11018"/>
    <x v="5"/>
    <n v="760"/>
    <n v="20"/>
    <d v="1998-04-13T00:00:00"/>
  </r>
  <r>
    <n v="11018"/>
    <x v="6"/>
    <n v="760"/>
    <n v="20"/>
    <d v="1998-04-13T00:00:00"/>
  </r>
  <r>
    <n v="11018"/>
    <x v="7"/>
    <n v="760"/>
    <n v="20"/>
    <d v="1998-04-13T00:00:00"/>
  </r>
  <r>
    <n v="11018"/>
    <x v="0"/>
    <n v="625"/>
    <n v="10"/>
    <d v="1998-04-13T00:00:00"/>
  </r>
  <r>
    <n v="11018"/>
    <x v="1"/>
    <n v="625"/>
    <n v="10"/>
    <d v="1998-04-13T00:00:00"/>
  </r>
  <r>
    <n v="11018"/>
    <x v="2"/>
    <n v="625"/>
    <n v="10"/>
    <d v="1998-04-13T00:00:00"/>
  </r>
  <r>
    <n v="11018"/>
    <x v="3"/>
    <n v="625"/>
    <n v="10"/>
    <d v="1998-04-13T00:00:00"/>
  </r>
  <r>
    <n v="11018"/>
    <x v="4"/>
    <n v="625"/>
    <n v="10"/>
    <d v="1998-04-13T00:00:00"/>
  </r>
  <r>
    <n v="11018"/>
    <x v="5"/>
    <n v="625"/>
    <n v="10"/>
    <d v="1998-04-13T00:00:00"/>
  </r>
  <r>
    <n v="11018"/>
    <x v="6"/>
    <n v="625"/>
    <n v="10"/>
    <d v="1998-04-13T00:00:00"/>
  </r>
  <r>
    <n v="11018"/>
    <x v="7"/>
    <n v="625"/>
    <n v="10"/>
    <d v="1998-04-13T00:00:00"/>
  </r>
  <r>
    <n v="11018"/>
    <x v="0"/>
    <n v="190"/>
    <n v="5"/>
    <d v="1998-04-13T00:00:00"/>
  </r>
  <r>
    <n v="11018"/>
    <x v="1"/>
    <n v="190"/>
    <n v="5"/>
    <d v="1998-04-13T00:00:00"/>
  </r>
  <r>
    <n v="11018"/>
    <x v="2"/>
    <n v="190"/>
    <n v="5"/>
    <d v="1998-04-13T00:00:00"/>
  </r>
  <r>
    <n v="11018"/>
    <x v="3"/>
    <n v="190"/>
    <n v="5"/>
    <d v="1998-04-13T00:00:00"/>
  </r>
  <r>
    <n v="11018"/>
    <x v="4"/>
    <n v="190"/>
    <n v="5"/>
    <d v="1998-04-13T00:00:00"/>
  </r>
  <r>
    <n v="11018"/>
    <x v="5"/>
    <n v="190"/>
    <n v="5"/>
    <d v="1998-04-13T00:00:00"/>
  </r>
  <r>
    <n v="11018"/>
    <x v="6"/>
    <n v="190"/>
    <n v="5"/>
    <d v="1998-04-13T00:00:00"/>
  </r>
  <r>
    <n v="11018"/>
    <x v="7"/>
    <n v="190"/>
    <n v="5"/>
    <d v="1998-04-13T00:00:00"/>
  </r>
  <r>
    <n v="11019"/>
    <x v="0"/>
    <n v="36"/>
    <n v="3"/>
    <d v="1998-04-13T00:00:00"/>
  </r>
  <r>
    <n v="11019"/>
    <x v="1"/>
    <n v="36"/>
    <n v="3"/>
    <d v="1998-04-13T00:00:00"/>
  </r>
  <r>
    <n v="11019"/>
    <x v="2"/>
    <n v="36"/>
    <n v="3"/>
    <d v="1998-04-13T00:00:00"/>
  </r>
  <r>
    <n v="11019"/>
    <x v="3"/>
    <n v="36"/>
    <n v="3"/>
    <d v="1998-04-13T00:00:00"/>
  </r>
  <r>
    <n v="11019"/>
    <x v="4"/>
    <n v="36"/>
    <n v="3"/>
    <d v="1998-04-13T00:00:00"/>
  </r>
  <r>
    <n v="11019"/>
    <x v="5"/>
    <n v="36"/>
    <n v="3"/>
    <d v="1998-04-13T00:00:00"/>
  </r>
  <r>
    <n v="11019"/>
    <x v="6"/>
    <n v="36"/>
    <n v="3"/>
    <d v="1998-04-13T00:00:00"/>
  </r>
  <r>
    <n v="11019"/>
    <x v="7"/>
    <n v="36"/>
    <n v="3"/>
    <d v="1998-04-13T00:00:00"/>
  </r>
  <r>
    <n v="11019"/>
    <x v="0"/>
    <n v="40"/>
    <n v="2"/>
    <d v="1998-04-13T00:00:00"/>
  </r>
  <r>
    <n v="11019"/>
    <x v="1"/>
    <n v="40"/>
    <n v="2"/>
    <d v="1998-04-13T00:00:00"/>
  </r>
  <r>
    <n v="11019"/>
    <x v="2"/>
    <n v="40"/>
    <n v="2"/>
    <d v="1998-04-13T00:00:00"/>
  </r>
  <r>
    <n v="11019"/>
    <x v="3"/>
    <n v="40"/>
    <n v="2"/>
    <d v="1998-04-13T00:00:00"/>
  </r>
  <r>
    <n v="11019"/>
    <x v="4"/>
    <n v="40"/>
    <n v="2"/>
    <d v="1998-04-13T00:00:00"/>
  </r>
  <r>
    <n v="11019"/>
    <x v="5"/>
    <n v="40"/>
    <n v="2"/>
    <d v="1998-04-13T00:00:00"/>
  </r>
  <r>
    <n v="11019"/>
    <x v="6"/>
    <n v="40"/>
    <n v="2"/>
    <d v="1998-04-13T00:00:00"/>
  </r>
  <r>
    <n v="11019"/>
    <x v="7"/>
    <n v="40"/>
    <n v="2"/>
    <d v="1998-04-13T00:00:00"/>
  </r>
  <r>
    <n v="11020"/>
    <x v="0"/>
    <n v="632.39999556541443"/>
    <n v="24"/>
    <d v="1998-04-14T00:00:00"/>
  </r>
  <r>
    <n v="11020"/>
    <x v="1"/>
    <n v="632.39999556541443"/>
    <n v="24"/>
    <d v="1998-04-14T00:00:00"/>
  </r>
  <r>
    <n v="11020"/>
    <x v="2"/>
    <n v="632.39999556541443"/>
    <n v="24"/>
    <d v="1998-04-14T00:00:00"/>
  </r>
  <r>
    <n v="11020"/>
    <x v="3"/>
    <n v="632.39999556541443"/>
    <n v="24"/>
    <d v="1998-04-14T00:00:00"/>
  </r>
  <r>
    <n v="11020"/>
    <x v="4"/>
    <n v="632.39999556541443"/>
    <n v="24"/>
    <d v="1998-04-14T00:00:00"/>
  </r>
  <r>
    <n v="11020"/>
    <x v="5"/>
    <n v="632.39999556541443"/>
    <n v="24"/>
    <d v="1998-04-14T00:00:00"/>
  </r>
  <r>
    <n v="11020"/>
    <x v="6"/>
    <n v="632.39999556541443"/>
    <n v="24"/>
    <d v="1998-04-14T00:00:00"/>
  </r>
  <r>
    <n v="11020"/>
    <x v="7"/>
    <n v="632.39999556541443"/>
    <n v="24"/>
    <d v="1998-04-14T00:00:00"/>
  </r>
  <r>
    <n v="11021"/>
    <x v="0"/>
    <n v="156.75"/>
    <n v="11"/>
    <d v="1998-04-14T00:00:00"/>
  </r>
  <r>
    <n v="11021"/>
    <x v="1"/>
    <n v="156.75"/>
    <n v="11"/>
    <d v="1998-04-14T00:00:00"/>
  </r>
  <r>
    <n v="11021"/>
    <x v="2"/>
    <n v="156.75"/>
    <n v="11"/>
    <d v="1998-04-14T00:00:00"/>
  </r>
  <r>
    <n v="11021"/>
    <x v="3"/>
    <n v="156.75"/>
    <n v="11"/>
    <d v="1998-04-14T00:00:00"/>
  </r>
  <r>
    <n v="11021"/>
    <x v="4"/>
    <n v="156.75"/>
    <n v="11"/>
    <d v="1998-04-14T00:00:00"/>
  </r>
  <r>
    <n v="11021"/>
    <x v="5"/>
    <n v="156.75"/>
    <n v="11"/>
    <d v="1998-04-14T00:00:00"/>
  </r>
  <r>
    <n v="11021"/>
    <x v="6"/>
    <n v="156.75"/>
    <n v="11"/>
    <d v="1998-04-14T00:00:00"/>
  </r>
  <r>
    <n v="11021"/>
    <x v="7"/>
    <n v="156.75"/>
    <n v="11"/>
    <d v="1998-04-14T00:00:00"/>
  </r>
  <r>
    <n v="11021"/>
    <x v="0"/>
    <n v="1215"/>
    <n v="15"/>
    <d v="1998-04-14T00:00:00"/>
  </r>
  <r>
    <n v="11021"/>
    <x v="1"/>
    <n v="1215"/>
    <n v="15"/>
    <d v="1998-04-14T00:00:00"/>
  </r>
  <r>
    <n v="11021"/>
    <x v="2"/>
    <n v="1215"/>
    <n v="15"/>
    <d v="1998-04-14T00:00:00"/>
  </r>
  <r>
    <n v="11021"/>
    <x v="3"/>
    <n v="1215"/>
    <n v="15"/>
    <d v="1998-04-14T00:00:00"/>
  </r>
  <r>
    <n v="11021"/>
    <x v="4"/>
    <n v="1215"/>
    <n v="15"/>
    <d v="1998-04-14T00:00:00"/>
  </r>
  <r>
    <n v="11021"/>
    <x v="5"/>
    <n v="1215"/>
    <n v="15"/>
    <d v="1998-04-14T00:00:00"/>
  </r>
  <r>
    <n v="11021"/>
    <x v="6"/>
    <n v="1215"/>
    <n v="15"/>
    <d v="1998-04-14T00:00:00"/>
  </r>
  <r>
    <n v="11021"/>
    <x v="7"/>
    <n v="1215"/>
    <n v="15"/>
    <d v="1998-04-14T00:00:00"/>
  </r>
  <r>
    <n v="11021"/>
    <x v="0"/>
    <n v="1967.49"/>
    <n v="63"/>
    <d v="1998-04-14T00:00:00"/>
  </r>
  <r>
    <n v="11021"/>
    <x v="1"/>
    <n v="1967.49"/>
    <n v="63"/>
    <d v="1998-04-14T00:00:00"/>
  </r>
  <r>
    <n v="11021"/>
    <x v="2"/>
    <n v="1967.49"/>
    <n v="63"/>
    <d v="1998-04-14T00:00:00"/>
  </r>
  <r>
    <n v="11021"/>
    <x v="3"/>
    <n v="1967.49"/>
    <n v="63"/>
    <d v="1998-04-14T00:00:00"/>
  </r>
  <r>
    <n v="11021"/>
    <x v="4"/>
    <n v="1967.49"/>
    <n v="63"/>
    <d v="1998-04-14T00:00:00"/>
  </r>
  <r>
    <n v="11021"/>
    <x v="5"/>
    <n v="1967.49"/>
    <n v="63"/>
    <d v="1998-04-14T00:00:00"/>
  </r>
  <r>
    <n v="11021"/>
    <x v="6"/>
    <n v="1967.49"/>
    <n v="63"/>
    <d v="1998-04-14T00:00:00"/>
  </r>
  <r>
    <n v="11021"/>
    <x v="7"/>
    <n v="1967.49"/>
    <n v="63"/>
    <d v="1998-04-14T00:00:00"/>
  </r>
  <r>
    <n v="11021"/>
    <x v="0"/>
    <n v="1749"/>
    <n v="44"/>
    <d v="1998-04-14T00:00:00"/>
  </r>
  <r>
    <n v="11021"/>
    <x v="1"/>
    <n v="1749"/>
    <n v="44"/>
    <d v="1998-04-14T00:00:00"/>
  </r>
  <r>
    <n v="11021"/>
    <x v="2"/>
    <n v="1749"/>
    <n v="44"/>
    <d v="1998-04-14T00:00:00"/>
  </r>
  <r>
    <n v="11021"/>
    <x v="3"/>
    <n v="1749"/>
    <n v="44"/>
    <d v="1998-04-14T00:00:00"/>
  </r>
  <r>
    <n v="11021"/>
    <x v="4"/>
    <n v="1749"/>
    <n v="44"/>
    <d v="1998-04-14T00:00:00"/>
  </r>
  <r>
    <n v="11021"/>
    <x v="5"/>
    <n v="1749"/>
    <n v="44"/>
    <d v="1998-04-14T00:00:00"/>
  </r>
  <r>
    <n v="11021"/>
    <x v="6"/>
    <n v="1749"/>
    <n v="44"/>
    <d v="1998-04-14T00:00:00"/>
  </r>
  <r>
    <n v="11021"/>
    <x v="7"/>
    <n v="1749"/>
    <n v="44"/>
    <d v="1998-04-14T00:00:00"/>
  </r>
  <r>
    <n v="11021"/>
    <x v="0"/>
    <n v="1218"/>
    <n v="35"/>
    <d v="1998-04-14T00:00:00"/>
  </r>
  <r>
    <n v="11021"/>
    <x v="1"/>
    <n v="1218"/>
    <n v="35"/>
    <d v="1998-04-14T00:00:00"/>
  </r>
  <r>
    <n v="11021"/>
    <x v="2"/>
    <n v="1218"/>
    <n v="35"/>
    <d v="1998-04-14T00:00:00"/>
  </r>
  <r>
    <n v="11021"/>
    <x v="3"/>
    <n v="1218"/>
    <n v="35"/>
    <d v="1998-04-14T00:00:00"/>
  </r>
  <r>
    <n v="11021"/>
    <x v="4"/>
    <n v="1218"/>
    <n v="35"/>
    <d v="1998-04-14T00:00:00"/>
  </r>
  <r>
    <n v="11021"/>
    <x v="5"/>
    <n v="1218"/>
    <n v="35"/>
    <d v="1998-04-14T00:00:00"/>
  </r>
  <r>
    <n v="11021"/>
    <x v="6"/>
    <n v="1218"/>
    <n v="35"/>
    <d v="1998-04-14T00:00:00"/>
  </r>
  <r>
    <n v="11021"/>
    <x v="7"/>
    <n v="1218"/>
    <n v="35"/>
    <d v="1998-04-14T00:00:00"/>
  </r>
  <r>
    <n v="11022"/>
    <x v="0"/>
    <n v="322"/>
    <n v="35"/>
    <d v="1998-04-14T00:00:00"/>
  </r>
  <r>
    <n v="11022"/>
    <x v="1"/>
    <n v="322"/>
    <n v="35"/>
    <d v="1998-04-14T00:00:00"/>
  </r>
  <r>
    <n v="11022"/>
    <x v="2"/>
    <n v="322"/>
    <n v="35"/>
    <d v="1998-04-14T00:00:00"/>
  </r>
  <r>
    <n v="11022"/>
    <x v="3"/>
    <n v="322"/>
    <n v="35"/>
    <d v="1998-04-14T00:00:00"/>
  </r>
  <r>
    <n v="11022"/>
    <x v="4"/>
    <n v="322"/>
    <n v="35"/>
    <d v="1998-04-14T00:00:00"/>
  </r>
  <r>
    <n v="11022"/>
    <x v="5"/>
    <n v="322"/>
    <n v="35"/>
    <d v="1998-04-14T00:00:00"/>
  </r>
  <r>
    <n v="11022"/>
    <x v="6"/>
    <n v="322"/>
    <n v="35"/>
    <d v="1998-04-14T00:00:00"/>
  </r>
  <r>
    <n v="11022"/>
    <x v="7"/>
    <n v="322"/>
    <n v="35"/>
    <d v="1998-04-14T00:00:00"/>
  </r>
  <r>
    <n v="11022"/>
    <x v="0"/>
    <n v="1080"/>
    <n v="30"/>
    <d v="1998-04-14T00:00:00"/>
  </r>
  <r>
    <n v="11022"/>
    <x v="1"/>
    <n v="1080"/>
    <n v="30"/>
    <d v="1998-04-14T00:00:00"/>
  </r>
  <r>
    <n v="11022"/>
    <x v="2"/>
    <n v="1080"/>
    <n v="30"/>
    <d v="1998-04-14T00:00:00"/>
  </r>
  <r>
    <n v="11022"/>
    <x v="3"/>
    <n v="1080"/>
    <n v="30"/>
    <d v="1998-04-14T00:00:00"/>
  </r>
  <r>
    <n v="11022"/>
    <x v="4"/>
    <n v="1080"/>
    <n v="30"/>
    <d v="1998-04-14T00:00:00"/>
  </r>
  <r>
    <n v="11022"/>
    <x v="5"/>
    <n v="1080"/>
    <n v="30"/>
    <d v="1998-04-14T00:00:00"/>
  </r>
  <r>
    <n v="11022"/>
    <x v="6"/>
    <n v="1080"/>
    <n v="30"/>
    <d v="1998-04-14T00:00:00"/>
  </r>
  <r>
    <n v="11022"/>
    <x v="7"/>
    <n v="1080"/>
    <n v="30"/>
    <d v="1998-04-14T00:00:00"/>
  </r>
  <r>
    <n v="11023"/>
    <x v="0"/>
    <n v="120"/>
    <n v="4"/>
    <d v="1998-04-14T00:00:00"/>
  </r>
  <r>
    <n v="11023"/>
    <x v="1"/>
    <n v="120"/>
    <n v="4"/>
    <d v="1998-04-14T00:00:00"/>
  </r>
  <r>
    <n v="11023"/>
    <x v="2"/>
    <n v="120"/>
    <n v="4"/>
    <d v="1998-04-14T00:00:00"/>
  </r>
  <r>
    <n v="11023"/>
    <x v="3"/>
    <n v="120"/>
    <n v="4"/>
    <d v="1998-04-14T00:00:00"/>
  </r>
  <r>
    <n v="11023"/>
    <x v="4"/>
    <n v="120"/>
    <n v="4"/>
    <d v="1998-04-14T00:00:00"/>
  </r>
  <r>
    <n v="11023"/>
    <x v="5"/>
    <n v="120"/>
    <n v="4"/>
    <d v="1998-04-14T00:00:00"/>
  </r>
  <r>
    <n v="11023"/>
    <x v="6"/>
    <n v="120"/>
    <n v="4"/>
    <d v="1998-04-14T00:00:00"/>
  </r>
  <r>
    <n v="11023"/>
    <x v="7"/>
    <n v="120"/>
    <n v="4"/>
    <d v="1998-04-14T00:00:00"/>
  </r>
  <r>
    <n v="11023"/>
    <x v="0"/>
    <n v="1380"/>
    <n v="30"/>
    <d v="1998-04-14T00:00:00"/>
  </r>
  <r>
    <n v="11023"/>
    <x v="1"/>
    <n v="1380"/>
    <n v="30"/>
    <d v="1998-04-14T00:00:00"/>
  </r>
  <r>
    <n v="11023"/>
    <x v="2"/>
    <n v="1380"/>
    <n v="30"/>
    <d v="1998-04-14T00:00:00"/>
  </r>
  <r>
    <n v="11023"/>
    <x v="3"/>
    <n v="1380"/>
    <n v="30"/>
    <d v="1998-04-14T00:00:00"/>
  </r>
  <r>
    <n v="11023"/>
    <x v="4"/>
    <n v="1380"/>
    <n v="30"/>
    <d v="1998-04-14T00:00:00"/>
  </r>
  <r>
    <n v="11023"/>
    <x v="5"/>
    <n v="1380"/>
    <n v="30"/>
    <d v="1998-04-14T00:00:00"/>
  </r>
  <r>
    <n v="11023"/>
    <x v="6"/>
    <n v="1380"/>
    <n v="30"/>
    <d v="1998-04-14T00:00:00"/>
  </r>
  <r>
    <n v="11023"/>
    <x v="7"/>
    <n v="1380"/>
    <n v="30"/>
    <d v="1998-04-14T00:00:00"/>
  </r>
  <r>
    <n v="11024"/>
    <x v="0"/>
    <n v="374.76"/>
    <n v="12"/>
    <d v="1998-04-15T00:00:00"/>
  </r>
  <r>
    <n v="11024"/>
    <x v="1"/>
    <n v="374.76"/>
    <n v="12"/>
    <d v="1998-04-15T00:00:00"/>
  </r>
  <r>
    <n v="11024"/>
    <x v="2"/>
    <n v="374.76"/>
    <n v="12"/>
    <d v="1998-04-15T00:00:00"/>
  </r>
  <r>
    <n v="11024"/>
    <x v="3"/>
    <n v="374.76"/>
    <n v="12"/>
    <d v="1998-04-15T00:00:00"/>
  </r>
  <r>
    <n v="11024"/>
    <x v="4"/>
    <n v="374.76"/>
    <n v="12"/>
    <d v="1998-04-15T00:00:00"/>
  </r>
  <r>
    <n v="11024"/>
    <x v="5"/>
    <n v="374.76"/>
    <n v="12"/>
    <d v="1998-04-15T00:00:00"/>
  </r>
  <r>
    <n v="11024"/>
    <x v="6"/>
    <n v="374.76"/>
    <n v="12"/>
    <d v="1998-04-15T00:00:00"/>
  </r>
  <r>
    <n v="11024"/>
    <x v="7"/>
    <n v="374.76"/>
    <n v="12"/>
    <d v="1998-04-15T00:00:00"/>
  </r>
  <r>
    <n v="11024"/>
    <x v="0"/>
    <n v="75"/>
    <n v="30"/>
    <d v="1998-04-15T00:00:00"/>
  </r>
  <r>
    <n v="11024"/>
    <x v="1"/>
    <n v="75"/>
    <n v="30"/>
    <d v="1998-04-15T00:00:00"/>
  </r>
  <r>
    <n v="11024"/>
    <x v="2"/>
    <n v="75"/>
    <n v="30"/>
    <d v="1998-04-15T00:00:00"/>
  </r>
  <r>
    <n v="11024"/>
    <x v="3"/>
    <n v="75"/>
    <n v="30"/>
    <d v="1998-04-15T00:00:00"/>
  </r>
  <r>
    <n v="11024"/>
    <x v="4"/>
    <n v="75"/>
    <n v="30"/>
    <d v="1998-04-15T00:00:00"/>
  </r>
  <r>
    <n v="11024"/>
    <x v="5"/>
    <n v="75"/>
    <n v="30"/>
    <d v="1998-04-15T00:00:00"/>
  </r>
  <r>
    <n v="11024"/>
    <x v="6"/>
    <n v="75"/>
    <n v="30"/>
    <d v="1998-04-15T00:00:00"/>
  </r>
  <r>
    <n v="11024"/>
    <x v="7"/>
    <n v="75"/>
    <n v="30"/>
    <d v="1998-04-15T00:00:00"/>
  </r>
  <r>
    <n v="11024"/>
    <x v="0"/>
    <n v="442.05"/>
    <n v="21"/>
    <d v="1998-04-15T00:00:00"/>
  </r>
  <r>
    <n v="11024"/>
    <x v="1"/>
    <n v="442.05"/>
    <n v="21"/>
    <d v="1998-04-15T00:00:00"/>
  </r>
  <r>
    <n v="11024"/>
    <x v="2"/>
    <n v="442.05"/>
    <n v="21"/>
    <d v="1998-04-15T00:00:00"/>
  </r>
  <r>
    <n v="11024"/>
    <x v="3"/>
    <n v="442.05"/>
    <n v="21"/>
    <d v="1998-04-15T00:00:00"/>
  </r>
  <r>
    <n v="11024"/>
    <x v="4"/>
    <n v="442.05"/>
    <n v="21"/>
    <d v="1998-04-15T00:00:00"/>
  </r>
  <r>
    <n v="11024"/>
    <x v="5"/>
    <n v="442.05"/>
    <n v="21"/>
    <d v="1998-04-15T00:00:00"/>
  </r>
  <r>
    <n v="11024"/>
    <x v="6"/>
    <n v="442.05"/>
    <n v="21"/>
    <d v="1998-04-15T00:00:00"/>
  </r>
  <r>
    <n v="11024"/>
    <x v="7"/>
    <n v="442.05"/>
    <n v="21"/>
    <d v="1998-04-15T00:00:00"/>
  </r>
  <r>
    <n v="11024"/>
    <x v="0"/>
    <n v="1075"/>
    <n v="50"/>
    <d v="1998-04-15T00:00:00"/>
  </r>
  <r>
    <n v="11024"/>
    <x v="1"/>
    <n v="1075"/>
    <n v="50"/>
    <d v="1998-04-15T00:00:00"/>
  </r>
  <r>
    <n v="11024"/>
    <x v="2"/>
    <n v="1075"/>
    <n v="50"/>
    <d v="1998-04-15T00:00:00"/>
  </r>
  <r>
    <n v="11024"/>
    <x v="3"/>
    <n v="1075"/>
    <n v="50"/>
    <d v="1998-04-15T00:00:00"/>
  </r>
  <r>
    <n v="11024"/>
    <x v="4"/>
    <n v="1075"/>
    <n v="50"/>
    <d v="1998-04-15T00:00:00"/>
  </r>
  <r>
    <n v="11024"/>
    <x v="5"/>
    <n v="1075"/>
    <n v="50"/>
    <d v="1998-04-15T00:00:00"/>
  </r>
  <r>
    <n v="11024"/>
    <x v="6"/>
    <n v="1075"/>
    <n v="50"/>
    <d v="1998-04-15T00:00:00"/>
  </r>
  <r>
    <n v="11024"/>
    <x v="7"/>
    <n v="1075"/>
    <n v="50"/>
    <d v="1998-04-15T00:00:00"/>
  </r>
  <r>
    <n v="11025"/>
    <x v="0"/>
    <n v="161.9999997317791"/>
    <n v="10"/>
    <d v="1998-04-15T00:00:00"/>
  </r>
  <r>
    <n v="11025"/>
    <x v="1"/>
    <n v="161.9999997317791"/>
    <n v="10"/>
    <d v="1998-04-15T00:00:00"/>
  </r>
  <r>
    <n v="11025"/>
    <x v="2"/>
    <n v="161.9999997317791"/>
    <n v="10"/>
    <d v="1998-04-15T00:00:00"/>
  </r>
  <r>
    <n v="11025"/>
    <x v="3"/>
    <n v="161.9999997317791"/>
    <n v="10"/>
    <d v="1998-04-15T00:00:00"/>
  </r>
  <r>
    <n v="11025"/>
    <x v="4"/>
    <n v="161.9999997317791"/>
    <n v="10"/>
    <d v="1998-04-15T00:00:00"/>
  </r>
  <r>
    <n v="11025"/>
    <x v="5"/>
    <n v="161.9999997317791"/>
    <n v="10"/>
    <d v="1998-04-15T00:00:00"/>
  </r>
  <r>
    <n v="11025"/>
    <x v="6"/>
    <n v="161.9999997317791"/>
    <n v="10"/>
    <d v="1998-04-15T00:00:00"/>
  </r>
  <r>
    <n v="11025"/>
    <x v="7"/>
    <n v="161.9999997317791"/>
    <n v="10"/>
    <d v="1998-04-15T00:00:00"/>
  </r>
  <r>
    <n v="11025"/>
    <x v="0"/>
    <n v="107.99999982118607"/>
    <n v="20"/>
    <d v="1998-04-15T00:00:00"/>
  </r>
  <r>
    <n v="11025"/>
    <x v="1"/>
    <n v="107.99999982118607"/>
    <n v="20"/>
    <d v="1998-04-15T00:00:00"/>
  </r>
  <r>
    <n v="11025"/>
    <x v="2"/>
    <n v="107.99999982118607"/>
    <n v="20"/>
    <d v="1998-04-15T00:00:00"/>
  </r>
  <r>
    <n v="11025"/>
    <x v="3"/>
    <n v="107.99999982118607"/>
    <n v="20"/>
    <d v="1998-04-15T00:00:00"/>
  </r>
  <r>
    <n v="11025"/>
    <x v="4"/>
    <n v="107.99999982118607"/>
    <n v="20"/>
    <d v="1998-04-15T00:00:00"/>
  </r>
  <r>
    <n v="11025"/>
    <x v="5"/>
    <n v="107.99999982118607"/>
    <n v="20"/>
    <d v="1998-04-15T00:00:00"/>
  </r>
  <r>
    <n v="11025"/>
    <x v="6"/>
    <n v="107.99999982118607"/>
    <n v="20"/>
    <d v="1998-04-15T00:00:00"/>
  </r>
  <r>
    <n v="11025"/>
    <x v="7"/>
    <n v="107.99999982118607"/>
    <n v="20"/>
    <d v="1998-04-15T00:00:00"/>
  </r>
  <r>
    <n v="11026"/>
    <x v="0"/>
    <n v="500"/>
    <n v="8"/>
    <d v="1998-04-15T00:00:00"/>
  </r>
  <r>
    <n v="11026"/>
    <x v="1"/>
    <n v="500"/>
    <n v="8"/>
    <d v="1998-04-15T00:00:00"/>
  </r>
  <r>
    <n v="11026"/>
    <x v="2"/>
    <n v="500"/>
    <n v="8"/>
    <d v="1998-04-15T00:00:00"/>
  </r>
  <r>
    <n v="11026"/>
    <x v="3"/>
    <n v="500"/>
    <n v="8"/>
    <d v="1998-04-15T00:00:00"/>
  </r>
  <r>
    <n v="11026"/>
    <x v="4"/>
    <n v="500"/>
    <n v="8"/>
    <d v="1998-04-15T00:00:00"/>
  </r>
  <r>
    <n v="11026"/>
    <x v="5"/>
    <n v="500"/>
    <n v="8"/>
    <d v="1998-04-15T00:00:00"/>
  </r>
  <r>
    <n v="11026"/>
    <x v="6"/>
    <n v="500"/>
    <n v="8"/>
    <d v="1998-04-15T00:00:00"/>
  </r>
  <r>
    <n v="11026"/>
    <x v="7"/>
    <n v="500"/>
    <n v="8"/>
    <d v="1998-04-15T00:00:00"/>
  </r>
  <r>
    <n v="11026"/>
    <x v="0"/>
    <n v="530"/>
    <n v="10"/>
    <d v="1998-04-15T00:00:00"/>
  </r>
  <r>
    <n v="11026"/>
    <x v="1"/>
    <n v="530"/>
    <n v="10"/>
    <d v="1998-04-15T00:00:00"/>
  </r>
  <r>
    <n v="11026"/>
    <x v="2"/>
    <n v="530"/>
    <n v="10"/>
    <d v="1998-04-15T00:00:00"/>
  </r>
  <r>
    <n v="11026"/>
    <x v="3"/>
    <n v="530"/>
    <n v="10"/>
    <d v="1998-04-15T00:00:00"/>
  </r>
  <r>
    <n v="11026"/>
    <x v="4"/>
    <n v="530"/>
    <n v="10"/>
    <d v="1998-04-15T00:00:00"/>
  </r>
  <r>
    <n v="11026"/>
    <x v="5"/>
    <n v="530"/>
    <n v="10"/>
    <d v="1998-04-15T00:00:00"/>
  </r>
  <r>
    <n v="11026"/>
    <x v="6"/>
    <n v="530"/>
    <n v="10"/>
    <d v="1998-04-15T00:00:00"/>
  </r>
  <r>
    <n v="11026"/>
    <x v="7"/>
    <n v="530"/>
    <n v="10"/>
    <d v="1998-04-15T00:00:00"/>
  </r>
  <r>
    <n v="11027"/>
    <x v="0"/>
    <n v="101.25"/>
    <n v="30"/>
    <d v="1998-04-16T00:00:00"/>
  </r>
  <r>
    <n v="11027"/>
    <x v="1"/>
    <n v="101.25"/>
    <n v="30"/>
    <d v="1998-04-16T00:00:00"/>
  </r>
  <r>
    <n v="11027"/>
    <x v="2"/>
    <n v="101.25"/>
    <n v="30"/>
    <d v="1998-04-16T00:00:00"/>
  </r>
  <r>
    <n v="11027"/>
    <x v="3"/>
    <n v="101.25"/>
    <n v="30"/>
    <d v="1998-04-16T00:00:00"/>
  </r>
  <r>
    <n v="11027"/>
    <x v="4"/>
    <n v="101.25"/>
    <n v="30"/>
    <d v="1998-04-16T00:00:00"/>
  </r>
  <r>
    <n v="11027"/>
    <x v="5"/>
    <n v="101.25"/>
    <n v="30"/>
    <d v="1998-04-16T00:00:00"/>
  </r>
  <r>
    <n v="11027"/>
    <x v="6"/>
    <n v="101.25"/>
    <n v="30"/>
    <d v="1998-04-16T00:00:00"/>
  </r>
  <r>
    <n v="11027"/>
    <x v="7"/>
    <n v="101.25"/>
    <n v="30"/>
    <d v="1998-04-16T00:00:00"/>
  </r>
  <r>
    <n v="11027"/>
    <x v="0"/>
    <n v="776.47499999999991"/>
    <n v="21"/>
    <d v="1998-04-16T00:00:00"/>
  </r>
  <r>
    <n v="11027"/>
    <x v="1"/>
    <n v="776.47499999999991"/>
    <n v="21"/>
    <d v="1998-04-16T00:00:00"/>
  </r>
  <r>
    <n v="11027"/>
    <x v="2"/>
    <n v="776.47499999999991"/>
    <n v="21"/>
    <d v="1998-04-16T00:00:00"/>
  </r>
  <r>
    <n v="11027"/>
    <x v="3"/>
    <n v="776.47499999999991"/>
    <n v="21"/>
    <d v="1998-04-16T00:00:00"/>
  </r>
  <r>
    <n v="11027"/>
    <x v="4"/>
    <n v="776.47499999999991"/>
    <n v="21"/>
    <d v="1998-04-16T00:00:00"/>
  </r>
  <r>
    <n v="11027"/>
    <x v="5"/>
    <n v="776.47499999999991"/>
    <n v="21"/>
    <d v="1998-04-16T00:00:00"/>
  </r>
  <r>
    <n v="11027"/>
    <x v="6"/>
    <n v="776.47499999999991"/>
    <n v="21"/>
    <d v="1998-04-16T00:00:00"/>
  </r>
  <r>
    <n v="11027"/>
    <x v="7"/>
    <n v="776.47499999999991"/>
    <n v="21"/>
    <d v="1998-04-16T00:00:00"/>
  </r>
  <r>
    <n v="11028"/>
    <x v="0"/>
    <n v="840"/>
    <n v="35"/>
    <d v="1998-04-16T00:00:00"/>
  </r>
  <r>
    <n v="11028"/>
    <x v="1"/>
    <n v="840"/>
    <n v="35"/>
    <d v="1998-04-16T00:00:00"/>
  </r>
  <r>
    <n v="11028"/>
    <x v="2"/>
    <n v="840"/>
    <n v="35"/>
    <d v="1998-04-16T00:00:00"/>
  </r>
  <r>
    <n v="11028"/>
    <x v="3"/>
    <n v="840"/>
    <n v="35"/>
    <d v="1998-04-16T00:00:00"/>
  </r>
  <r>
    <n v="11028"/>
    <x v="4"/>
    <n v="840"/>
    <n v="35"/>
    <d v="1998-04-16T00:00:00"/>
  </r>
  <r>
    <n v="11028"/>
    <x v="5"/>
    <n v="840"/>
    <n v="35"/>
    <d v="1998-04-16T00:00:00"/>
  </r>
  <r>
    <n v="11028"/>
    <x v="6"/>
    <n v="840"/>
    <n v="35"/>
    <d v="1998-04-16T00:00:00"/>
  </r>
  <r>
    <n v="11028"/>
    <x v="7"/>
    <n v="840"/>
    <n v="35"/>
    <d v="1998-04-16T00:00:00"/>
  </r>
  <r>
    <n v="11028"/>
    <x v="0"/>
    <n v="1320"/>
    <n v="24"/>
    <d v="1998-04-16T00:00:00"/>
  </r>
  <r>
    <n v="11028"/>
    <x v="1"/>
    <n v="1320"/>
    <n v="24"/>
    <d v="1998-04-16T00:00:00"/>
  </r>
  <r>
    <n v="11028"/>
    <x v="2"/>
    <n v="1320"/>
    <n v="24"/>
    <d v="1998-04-16T00:00:00"/>
  </r>
  <r>
    <n v="11028"/>
    <x v="3"/>
    <n v="1320"/>
    <n v="24"/>
    <d v="1998-04-16T00:00:00"/>
  </r>
  <r>
    <n v="11028"/>
    <x v="4"/>
    <n v="1320"/>
    <n v="24"/>
    <d v="1998-04-16T00:00:00"/>
  </r>
  <r>
    <n v="11028"/>
    <x v="5"/>
    <n v="1320"/>
    <n v="24"/>
    <d v="1998-04-16T00:00:00"/>
  </r>
  <r>
    <n v="11028"/>
    <x v="6"/>
    <n v="1320"/>
    <n v="24"/>
    <d v="1998-04-16T00:00:00"/>
  </r>
  <r>
    <n v="11028"/>
    <x v="7"/>
    <n v="1320"/>
    <n v="24"/>
    <d v="1998-04-16T00:00:00"/>
  </r>
  <r>
    <n v="11029"/>
    <x v="0"/>
    <n v="760"/>
    <n v="20"/>
    <d v="1998-04-16T00:00:00"/>
  </r>
  <r>
    <n v="11029"/>
    <x v="1"/>
    <n v="760"/>
    <n v="20"/>
    <d v="1998-04-16T00:00:00"/>
  </r>
  <r>
    <n v="11029"/>
    <x v="2"/>
    <n v="760"/>
    <n v="20"/>
    <d v="1998-04-16T00:00:00"/>
  </r>
  <r>
    <n v="11029"/>
    <x v="3"/>
    <n v="760"/>
    <n v="20"/>
    <d v="1998-04-16T00:00:00"/>
  </r>
  <r>
    <n v="11029"/>
    <x v="4"/>
    <n v="760"/>
    <n v="20"/>
    <d v="1998-04-16T00:00:00"/>
  </r>
  <r>
    <n v="11029"/>
    <x v="5"/>
    <n v="760"/>
    <n v="20"/>
    <d v="1998-04-16T00:00:00"/>
  </r>
  <r>
    <n v="11029"/>
    <x v="6"/>
    <n v="760"/>
    <n v="20"/>
    <d v="1998-04-16T00:00:00"/>
  </r>
  <r>
    <n v="11029"/>
    <x v="7"/>
    <n v="760"/>
    <n v="20"/>
    <d v="1998-04-16T00:00:00"/>
  </r>
  <r>
    <n v="11029"/>
    <x v="0"/>
    <n v="526.79999999999995"/>
    <n v="12"/>
    <d v="1998-04-16T00:00:00"/>
  </r>
  <r>
    <n v="11029"/>
    <x v="1"/>
    <n v="526.79999999999995"/>
    <n v="12"/>
    <d v="1998-04-16T00:00:00"/>
  </r>
  <r>
    <n v="11029"/>
    <x v="2"/>
    <n v="526.79999999999995"/>
    <n v="12"/>
    <d v="1998-04-16T00:00:00"/>
  </r>
  <r>
    <n v="11029"/>
    <x v="3"/>
    <n v="526.79999999999995"/>
    <n v="12"/>
    <d v="1998-04-16T00:00:00"/>
  </r>
  <r>
    <n v="11029"/>
    <x v="4"/>
    <n v="526.79999999999995"/>
    <n v="12"/>
    <d v="1998-04-16T00:00:00"/>
  </r>
  <r>
    <n v="11029"/>
    <x v="5"/>
    <n v="526.79999999999995"/>
    <n v="12"/>
    <d v="1998-04-16T00:00:00"/>
  </r>
  <r>
    <n v="11029"/>
    <x v="6"/>
    <n v="526.79999999999995"/>
    <n v="12"/>
    <d v="1998-04-16T00:00:00"/>
  </r>
  <r>
    <n v="11029"/>
    <x v="7"/>
    <n v="526.79999999999995"/>
    <n v="12"/>
    <d v="1998-04-16T00:00:00"/>
  </r>
  <r>
    <n v="11030"/>
    <x v="0"/>
    <n v="1425"/>
    <n v="100"/>
    <d v="1998-04-17T00:00:00"/>
  </r>
  <r>
    <n v="11030"/>
    <x v="1"/>
    <n v="1425"/>
    <n v="100"/>
    <d v="1998-04-17T00:00:00"/>
  </r>
  <r>
    <n v="11030"/>
    <x v="2"/>
    <n v="1425"/>
    <n v="100"/>
    <d v="1998-04-17T00:00:00"/>
  </r>
  <r>
    <n v="11030"/>
    <x v="3"/>
    <n v="1425"/>
    <n v="100"/>
    <d v="1998-04-17T00:00:00"/>
  </r>
  <r>
    <n v="11030"/>
    <x v="4"/>
    <n v="1425"/>
    <n v="100"/>
    <d v="1998-04-17T00:00:00"/>
  </r>
  <r>
    <n v="11030"/>
    <x v="5"/>
    <n v="1425"/>
    <n v="100"/>
    <d v="1998-04-17T00:00:00"/>
  </r>
  <r>
    <n v="11030"/>
    <x v="6"/>
    <n v="1425"/>
    <n v="100"/>
    <d v="1998-04-17T00:00:00"/>
  </r>
  <r>
    <n v="11030"/>
    <x v="7"/>
    <n v="1425"/>
    <n v="100"/>
    <d v="1998-04-17T00:00:00"/>
  </r>
  <r>
    <n v="11030"/>
    <x v="0"/>
    <n v="1494.5"/>
    <n v="70"/>
    <d v="1998-04-17T00:00:00"/>
  </r>
  <r>
    <n v="11030"/>
    <x v="1"/>
    <n v="1494.5"/>
    <n v="70"/>
    <d v="1998-04-17T00:00:00"/>
  </r>
  <r>
    <n v="11030"/>
    <x v="2"/>
    <n v="1494.5"/>
    <n v="70"/>
    <d v="1998-04-17T00:00:00"/>
  </r>
  <r>
    <n v="11030"/>
    <x v="3"/>
    <n v="1494.5"/>
    <n v="70"/>
    <d v="1998-04-17T00:00:00"/>
  </r>
  <r>
    <n v="11030"/>
    <x v="4"/>
    <n v="1494.5"/>
    <n v="70"/>
    <d v="1998-04-17T00:00:00"/>
  </r>
  <r>
    <n v="11030"/>
    <x v="5"/>
    <n v="1494.5"/>
    <n v="70"/>
    <d v="1998-04-17T00:00:00"/>
  </r>
  <r>
    <n v="11030"/>
    <x v="6"/>
    <n v="1494.5"/>
    <n v="70"/>
    <d v="1998-04-17T00:00:00"/>
  </r>
  <r>
    <n v="11030"/>
    <x v="7"/>
    <n v="1494.5"/>
    <n v="70"/>
    <d v="1998-04-17T00:00:00"/>
  </r>
  <r>
    <n v="11030"/>
    <x v="0"/>
    <n v="5570.5499999999993"/>
    <n v="60"/>
    <d v="1998-04-17T00:00:00"/>
  </r>
  <r>
    <n v="11030"/>
    <x v="1"/>
    <n v="5570.5499999999993"/>
    <n v="60"/>
    <d v="1998-04-17T00:00:00"/>
  </r>
  <r>
    <n v="11030"/>
    <x v="2"/>
    <n v="5570.5499999999993"/>
    <n v="60"/>
    <d v="1998-04-17T00:00:00"/>
  </r>
  <r>
    <n v="11030"/>
    <x v="3"/>
    <n v="5570.5499999999993"/>
    <n v="60"/>
    <d v="1998-04-17T00:00:00"/>
  </r>
  <r>
    <n v="11030"/>
    <x v="4"/>
    <n v="5570.5499999999993"/>
    <n v="60"/>
    <d v="1998-04-17T00:00:00"/>
  </r>
  <r>
    <n v="11030"/>
    <x v="5"/>
    <n v="5570.5499999999993"/>
    <n v="60"/>
    <d v="1998-04-17T00:00:00"/>
  </r>
  <r>
    <n v="11030"/>
    <x v="6"/>
    <n v="5570.5499999999993"/>
    <n v="60"/>
    <d v="1998-04-17T00:00:00"/>
  </r>
  <r>
    <n v="11030"/>
    <x v="7"/>
    <n v="5570.5499999999993"/>
    <n v="60"/>
    <d v="1998-04-17T00:00:00"/>
  </r>
  <r>
    <n v="11030"/>
    <x v="0"/>
    <n v="4125"/>
    <n v="100"/>
    <d v="1998-04-17T00:00:00"/>
  </r>
  <r>
    <n v="11030"/>
    <x v="1"/>
    <n v="4125"/>
    <n v="100"/>
    <d v="1998-04-17T00:00:00"/>
  </r>
  <r>
    <n v="11030"/>
    <x v="2"/>
    <n v="4125"/>
    <n v="100"/>
    <d v="1998-04-17T00:00:00"/>
  </r>
  <r>
    <n v="11030"/>
    <x v="3"/>
    <n v="4125"/>
    <n v="100"/>
    <d v="1998-04-17T00:00:00"/>
  </r>
  <r>
    <n v="11030"/>
    <x v="4"/>
    <n v="4125"/>
    <n v="100"/>
    <d v="1998-04-17T00:00:00"/>
  </r>
  <r>
    <n v="11030"/>
    <x v="5"/>
    <n v="4125"/>
    <n v="100"/>
    <d v="1998-04-17T00:00:00"/>
  </r>
  <r>
    <n v="11030"/>
    <x v="6"/>
    <n v="4125"/>
    <n v="100"/>
    <d v="1998-04-17T00:00:00"/>
  </r>
  <r>
    <n v="11030"/>
    <x v="7"/>
    <n v="4125"/>
    <n v="100"/>
    <d v="1998-04-17T00:00:00"/>
  </r>
  <r>
    <n v="11031"/>
    <x v="0"/>
    <n v="810"/>
    <n v="45"/>
    <d v="1998-04-17T00:00:00"/>
  </r>
  <r>
    <n v="11031"/>
    <x v="1"/>
    <n v="810"/>
    <n v="45"/>
    <d v="1998-04-17T00:00:00"/>
  </r>
  <r>
    <n v="11031"/>
    <x v="2"/>
    <n v="810"/>
    <n v="45"/>
    <d v="1998-04-17T00:00:00"/>
  </r>
  <r>
    <n v="11031"/>
    <x v="3"/>
    <n v="810"/>
    <n v="45"/>
    <d v="1998-04-17T00:00:00"/>
  </r>
  <r>
    <n v="11031"/>
    <x v="4"/>
    <n v="810"/>
    <n v="45"/>
    <d v="1998-04-17T00:00:00"/>
  </r>
  <r>
    <n v="11031"/>
    <x v="5"/>
    <n v="810"/>
    <n v="45"/>
    <d v="1998-04-17T00:00:00"/>
  </r>
  <r>
    <n v="11031"/>
    <x v="6"/>
    <n v="810"/>
    <n v="45"/>
    <d v="1998-04-17T00:00:00"/>
  </r>
  <r>
    <n v="11031"/>
    <x v="7"/>
    <n v="810"/>
    <n v="45"/>
    <d v="1998-04-17T00:00:00"/>
  </r>
  <r>
    <n v="11031"/>
    <x v="0"/>
    <n v="480"/>
    <n v="80"/>
    <d v="1998-04-17T00:00:00"/>
  </r>
  <r>
    <n v="11031"/>
    <x v="1"/>
    <n v="480"/>
    <n v="80"/>
    <d v="1998-04-17T00:00:00"/>
  </r>
  <r>
    <n v="11031"/>
    <x v="2"/>
    <n v="480"/>
    <n v="80"/>
    <d v="1998-04-17T00:00:00"/>
  </r>
  <r>
    <n v="11031"/>
    <x v="3"/>
    <n v="480"/>
    <n v="80"/>
    <d v="1998-04-17T00:00:00"/>
  </r>
  <r>
    <n v="11031"/>
    <x v="4"/>
    <n v="480"/>
    <n v="80"/>
    <d v="1998-04-17T00:00:00"/>
  </r>
  <r>
    <n v="11031"/>
    <x v="5"/>
    <n v="480"/>
    <n v="80"/>
    <d v="1998-04-17T00:00:00"/>
  </r>
  <r>
    <n v="11031"/>
    <x v="6"/>
    <n v="480"/>
    <n v="80"/>
    <d v="1998-04-17T00:00:00"/>
  </r>
  <r>
    <n v="11031"/>
    <x v="7"/>
    <n v="480"/>
    <n v="80"/>
    <d v="1998-04-17T00:00:00"/>
  </r>
  <r>
    <n v="11031"/>
    <x v="0"/>
    <n v="94.5"/>
    <n v="21"/>
    <d v="1998-04-17T00:00:00"/>
  </r>
  <r>
    <n v="11031"/>
    <x v="1"/>
    <n v="94.5"/>
    <n v="21"/>
    <d v="1998-04-17T00:00:00"/>
  </r>
  <r>
    <n v="11031"/>
    <x v="2"/>
    <n v="94.5"/>
    <n v="21"/>
    <d v="1998-04-17T00:00:00"/>
  </r>
  <r>
    <n v="11031"/>
    <x v="3"/>
    <n v="94.5"/>
    <n v="21"/>
    <d v="1998-04-17T00:00:00"/>
  </r>
  <r>
    <n v="11031"/>
    <x v="4"/>
    <n v="94.5"/>
    <n v="21"/>
    <d v="1998-04-17T00:00:00"/>
  </r>
  <r>
    <n v="11031"/>
    <x v="5"/>
    <n v="94.5"/>
    <n v="21"/>
    <d v="1998-04-17T00:00:00"/>
  </r>
  <r>
    <n v="11031"/>
    <x v="6"/>
    <n v="94.5"/>
    <n v="21"/>
    <d v="1998-04-17T00:00:00"/>
  </r>
  <r>
    <n v="11031"/>
    <x v="7"/>
    <n v="94.5"/>
    <n v="21"/>
    <d v="1998-04-17T00:00:00"/>
  </r>
  <r>
    <n v="11031"/>
    <x v="0"/>
    <n v="665"/>
    <n v="20"/>
    <d v="1998-04-17T00:00:00"/>
  </r>
  <r>
    <n v="11031"/>
    <x v="1"/>
    <n v="665"/>
    <n v="20"/>
    <d v="1998-04-17T00:00:00"/>
  </r>
  <r>
    <n v="11031"/>
    <x v="2"/>
    <n v="665"/>
    <n v="20"/>
    <d v="1998-04-17T00:00:00"/>
  </r>
  <r>
    <n v="11031"/>
    <x v="3"/>
    <n v="665"/>
    <n v="20"/>
    <d v="1998-04-17T00:00:00"/>
  </r>
  <r>
    <n v="11031"/>
    <x v="4"/>
    <n v="665"/>
    <n v="20"/>
    <d v="1998-04-17T00:00:00"/>
  </r>
  <r>
    <n v="11031"/>
    <x v="5"/>
    <n v="665"/>
    <n v="20"/>
    <d v="1998-04-17T00:00:00"/>
  </r>
  <r>
    <n v="11031"/>
    <x v="6"/>
    <n v="665"/>
    <n v="20"/>
    <d v="1998-04-17T00:00:00"/>
  </r>
  <r>
    <n v="11031"/>
    <x v="7"/>
    <n v="665"/>
    <n v="20"/>
    <d v="1998-04-17T00:00:00"/>
  </r>
  <r>
    <n v="11031"/>
    <x v="0"/>
    <n v="344"/>
    <n v="16"/>
    <d v="1998-04-17T00:00:00"/>
  </r>
  <r>
    <n v="11031"/>
    <x v="1"/>
    <n v="344"/>
    <n v="16"/>
    <d v="1998-04-17T00:00:00"/>
  </r>
  <r>
    <n v="11031"/>
    <x v="2"/>
    <n v="344"/>
    <n v="16"/>
    <d v="1998-04-17T00:00:00"/>
  </r>
  <r>
    <n v="11031"/>
    <x v="3"/>
    <n v="344"/>
    <n v="16"/>
    <d v="1998-04-17T00:00:00"/>
  </r>
  <r>
    <n v="11031"/>
    <x v="4"/>
    <n v="344"/>
    <n v="16"/>
    <d v="1998-04-17T00:00:00"/>
  </r>
  <r>
    <n v="11031"/>
    <x v="5"/>
    <n v="344"/>
    <n v="16"/>
    <d v="1998-04-17T00:00:00"/>
  </r>
  <r>
    <n v="11031"/>
    <x v="6"/>
    <n v="344"/>
    <n v="16"/>
    <d v="1998-04-17T00:00:00"/>
  </r>
  <r>
    <n v="11031"/>
    <x v="7"/>
    <n v="344"/>
    <n v="16"/>
    <d v="1998-04-17T00:00:00"/>
  </r>
  <r>
    <n v="11032"/>
    <x v="0"/>
    <n v="665"/>
    <n v="35"/>
    <d v="1998-04-17T00:00:00"/>
  </r>
  <r>
    <n v="11032"/>
    <x v="1"/>
    <n v="665"/>
    <n v="35"/>
    <d v="1998-04-17T00:00:00"/>
  </r>
  <r>
    <n v="11032"/>
    <x v="2"/>
    <n v="665"/>
    <n v="35"/>
    <d v="1998-04-17T00:00:00"/>
  </r>
  <r>
    <n v="11032"/>
    <x v="3"/>
    <n v="665"/>
    <n v="35"/>
    <d v="1998-04-17T00:00:00"/>
  </r>
  <r>
    <n v="11032"/>
    <x v="4"/>
    <n v="665"/>
    <n v="35"/>
    <d v="1998-04-17T00:00:00"/>
  </r>
  <r>
    <n v="11032"/>
    <x v="5"/>
    <n v="665"/>
    <n v="35"/>
    <d v="1998-04-17T00:00:00"/>
  </r>
  <r>
    <n v="11032"/>
    <x v="6"/>
    <n v="665"/>
    <n v="35"/>
    <d v="1998-04-17T00:00:00"/>
  </r>
  <r>
    <n v="11032"/>
    <x v="7"/>
    <n v="665"/>
    <n v="35"/>
    <d v="1998-04-17T00:00:00"/>
  </r>
  <r>
    <n v="11032"/>
    <x v="0"/>
    <n v="6587.5"/>
    <n v="25"/>
    <d v="1998-04-17T00:00:00"/>
  </r>
  <r>
    <n v="11032"/>
    <x v="1"/>
    <n v="6587.5"/>
    <n v="25"/>
    <d v="1998-04-17T00:00:00"/>
  </r>
  <r>
    <n v="11032"/>
    <x v="2"/>
    <n v="6587.5"/>
    <n v="25"/>
    <d v="1998-04-17T00:00:00"/>
  </r>
  <r>
    <n v="11032"/>
    <x v="3"/>
    <n v="6587.5"/>
    <n v="25"/>
    <d v="1998-04-17T00:00:00"/>
  </r>
  <r>
    <n v="11032"/>
    <x v="4"/>
    <n v="6587.5"/>
    <n v="25"/>
    <d v="1998-04-17T00:00:00"/>
  </r>
  <r>
    <n v="11032"/>
    <x v="5"/>
    <n v="6587.5"/>
    <n v="25"/>
    <d v="1998-04-17T00:00:00"/>
  </r>
  <r>
    <n v="11032"/>
    <x v="6"/>
    <n v="6587.5"/>
    <n v="25"/>
    <d v="1998-04-17T00:00:00"/>
  </r>
  <r>
    <n v="11032"/>
    <x v="7"/>
    <n v="6587.5"/>
    <n v="25"/>
    <d v="1998-04-17T00:00:00"/>
  </r>
  <r>
    <n v="11032"/>
    <x v="0"/>
    <n v="1650"/>
    <n v="30"/>
    <d v="1998-04-17T00:00:00"/>
  </r>
  <r>
    <n v="11032"/>
    <x v="1"/>
    <n v="1650"/>
    <n v="30"/>
    <d v="1998-04-17T00:00:00"/>
  </r>
  <r>
    <n v="11032"/>
    <x v="2"/>
    <n v="1650"/>
    <n v="30"/>
    <d v="1998-04-17T00:00:00"/>
  </r>
  <r>
    <n v="11032"/>
    <x v="3"/>
    <n v="1650"/>
    <n v="30"/>
    <d v="1998-04-17T00:00:00"/>
  </r>
  <r>
    <n v="11032"/>
    <x v="4"/>
    <n v="1650"/>
    <n v="30"/>
    <d v="1998-04-17T00:00:00"/>
  </r>
  <r>
    <n v="11032"/>
    <x v="5"/>
    <n v="1650"/>
    <n v="30"/>
    <d v="1998-04-17T00:00:00"/>
  </r>
  <r>
    <n v="11032"/>
    <x v="6"/>
    <n v="1650"/>
    <n v="30"/>
    <d v="1998-04-17T00:00:00"/>
  </r>
  <r>
    <n v="11032"/>
    <x v="7"/>
    <n v="1650"/>
    <n v="30"/>
    <d v="1998-04-17T00:00:00"/>
  </r>
  <r>
    <n v="11033"/>
    <x v="0"/>
    <n v="2066.3999965786934"/>
    <n v="70"/>
    <d v="1998-04-17T00:00:00"/>
  </r>
  <r>
    <n v="11033"/>
    <x v="1"/>
    <n v="2066.3999965786934"/>
    <n v="70"/>
    <d v="1998-04-17T00:00:00"/>
  </r>
  <r>
    <n v="11033"/>
    <x v="2"/>
    <n v="2066.3999965786934"/>
    <n v="70"/>
    <d v="1998-04-17T00:00:00"/>
  </r>
  <r>
    <n v="11033"/>
    <x v="3"/>
    <n v="2066.3999965786934"/>
    <n v="70"/>
    <d v="1998-04-17T00:00:00"/>
  </r>
  <r>
    <n v="11033"/>
    <x v="4"/>
    <n v="2066.3999965786934"/>
    <n v="70"/>
    <d v="1998-04-17T00:00:00"/>
  </r>
  <r>
    <n v="11033"/>
    <x v="5"/>
    <n v="2066.3999965786934"/>
    <n v="70"/>
    <d v="1998-04-17T00:00:00"/>
  </r>
  <r>
    <n v="11033"/>
    <x v="6"/>
    <n v="2066.3999965786934"/>
    <n v="70"/>
    <d v="1998-04-17T00:00:00"/>
  </r>
  <r>
    <n v="11033"/>
    <x v="7"/>
    <n v="2066.3999965786934"/>
    <n v="70"/>
    <d v="1998-04-17T00:00:00"/>
  </r>
  <r>
    <n v="11033"/>
    <x v="0"/>
    <n v="1166.3999980688095"/>
    <n v="36"/>
    <d v="1998-04-17T00:00:00"/>
  </r>
  <r>
    <n v="11033"/>
    <x v="1"/>
    <n v="1166.3999980688095"/>
    <n v="36"/>
    <d v="1998-04-17T00:00:00"/>
  </r>
  <r>
    <n v="11033"/>
    <x v="2"/>
    <n v="1166.3999980688095"/>
    <n v="36"/>
    <d v="1998-04-17T00:00:00"/>
  </r>
  <r>
    <n v="11033"/>
    <x v="3"/>
    <n v="1166.3999980688095"/>
    <n v="36"/>
    <d v="1998-04-17T00:00:00"/>
  </r>
  <r>
    <n v="11033"/>
    <x v="4"/>
    <n v="1166.3999980688095"/>
    <n v="36"/>
    <d v="1998-04-17T00:00:00"/>
  </r>
  <r>
    <n v="11033"/>
    <x v="5"/>
    <n v="1166.3999980688095"/>
    <n v="36"/>
    <d v="1998-04-17T00:00:00"/>
  </r>
  <r>
    <n v="11033"/>
    <x v="6"/>
    <n v="1166.3999980688095"/>
    <n v="36"/>
    <d v="1998-04-17T00:00:00"/>
  </r>
  <r>
    <n v="11033"/>
    <x v="7"/>
    <n v="1166.3999980688095"/>
    <n v="36"/>
    <d v="1998-04-17T00:00:00"/>
  </r>
  <r>
    <n v="11034"/>
    <x v="0"/>
    <n v="134.99999977648258"/>
    <n v="15"/>
    <d v="1998-04-20T00:00:00"/>
  </r>
  <r>
    <n v="11034"/>
    <x v="1"/>
    <n v="134.99999977648258"/>
    <n v="15"/>
    <d v="1998-04-20T00:00:00"/>
  </r>
  <r>
    <n v="11034"/>
    <x v="2"/>
    <n v="134.99999977648258"/>
    <n v="15"/>
    <d v="1998-04-20T00:00:00"/>
  </r>
  <r>
    <n v="11034"/>
    <x v="3"/>
    <n v="134.99999977648258"/>
    <n v="15"/>
    <d v="1998-04-20T00:00:00"/>
  </r>
  <r>
    <n v="11034"/>
    <x v="4"/>
    <n v="134.99999977648258"/>
    <n v="15"/>
    <d v="1998-04-20T00:00:00"/>
  </r>
  <r>
    <n v="11034"/>
    <x v="5"/>
    <n v="134.99999977648258"/>
    <n v="15"/>
    <d v="1998-04-20T00:00:00"/>
  </r>
  <r>
    <n v="11034"/>
    <x v="6"/>
    <n v="134.99999977648258"/>
    <n v="15"/>
    <d v="1998-04-20T00:00:00"/>
  </r>
  <r>
    <n v="11034"/>
    <x v="7"/>
    <n v="134.99999977648258"/>
    <n v="15"/>
    <d v="1998-04-20T00:00:00"/>
  </r>
  <r>
    <n v="11034"/>
    <x v="0"/>
    <n v="233.4"/>
    <n v="12"/>
    <d v="1998-04-20T00:00:00"/>
  </r>
  <r>
    <n v="11034"/>
    <x v="1"/>
    <n v="233.4"/>
    <n v="12"/>
    <d v="1998-04-20T00:00:00"/>
  </r>
  <r>
    <n v="11034"/>
    <x v="2"/>
    <n v="233.4"/>
    <n v="12"/>
    <d v="1998-04-20T00:00:00"/>
  </r>
  <r>
    <n v="11034"/>
    <x v="3"/>
    <n v="233.4"/>
    <n v="12"/>
    <d v="1998-04-20T00:00:00"/>
  </r>
  <r>
    <n v="11034"/>
    <x v="4"/>
    <n v="233.4"/>
    <n v="12"/>
    <d v="1998-04-20T00:00:00"/>
  </r>
  <r>
    <n v="11034"/>
    <x v="5"/>
    <n v="233.4"/>
    <n v="12"/>
    <d v="1998-04-20T00:00:00"/>
  </r>
  <r>
    <n v="11034"/>
    <x v="6"/>
    <n v="233.4"/>
    <n v="12"/>
    <d v="1998-04-20T00:00:00"/>
  </r>
  <r>
    <n v="11034"/>
    <x v="7"/>
    <n v="233.4"/>
    <n v="12"/>
    <d v="1998-04-20T00:00:00"/>
  </r>
  <r>
    <n v="11034"/>
    <x v="0"/>
    <n v="171"/>
    <n v="6"/>
    <d v="1998-04-20T00:00:00"/>
  </r>
  <r>
    <n v="11034"/>
    <x v="1"/>
    <n v="171"/>
    <n v="6"/>
    <d v="1998-04-20T00:00:00"/>
  </r>
  <r>
    <n v="11034"/>
    <x v="2"/>
    <n v="171"/>
    <n v="6"/>
    <d v="1998-04-20T00:00:00"/>
  </r>
  <r>
    <n v="11034"/>
    <x v="3"/>
    <n v="171"/>
    <n v="6"/>
    <d v="1998-04-20T00:00:00"/>
  </r>
  <r>
    <n v="11034"/>
    <x v="4"/>
    <n v="171"/>
    <n v="6"/>
    <d v="1998-04-20T00:00:00"/>
  </r>
  <r>
    <n v="11034"/>
    <x v="5"/>
    <n v="171"/>
    <n v="6"/>
    <d v="1998-04-20T00:00:00"/>
  </r>
  <r>
    <n v="11034"/>
    <x v="6"/>
    <n v="171"/>
    <n v="6"/>
    <d v="1998-04-20T00:00:00"/>
  </r>
  <r>
    <n v="11034"/>
    <x v="7"/>
    <n v="171"/>
    <n v="6"/>
    <d v="1998-04-20T00:00:00"/>
  </r>
  <r>
    <n v="11035"/>
    <x v="0"/>
    <n v="180"/>
    <n v="10"/>
    <d v="1998-04-20T00:00:00"/>
  </r>
  <r>
    <n v="11035"/>
    <x v="1"/>
    <n v="180"/>
    <n v="10"/>
    <d v="1998-04-20T00:00:00"/>
  </r>
  <r>
    <n v="11035"/>
    <x v="2"/>
    <n v="180"/>
    <n v="10"/>
    <d v="1998-04-20T00:00:00"/>
  </r>
  <r>
    <n v="11035"/>
    <x v="3"/>
    <n v="180"/>
    <n v="10"/>
    <d v="1998-04-20T00:00:00"/>
  </r>
  <r>
    <n v="11035"/>
    <x v="4"/>
    <n v="180"/>
    <n v="10"/>
    <d v="1998-04-20T00:00:00"/>
  </r>
  <r>
    <n v="11035"/>
    <x v="5"/>
    <n v="180"/>
    <n v="10"/>
    <d v="1998-04-20T00:00:00"/>
  </r>
  <r>
    <n v="11035"/>
    <x v="6"/>
    <n v="180"/>
    <n v="10"/>
    <d v="1998-04-20T00:00:00"/>
  </r>
  <r>
    <n v="11035"/>
    <x v="7"/>
    <n v="180"/>
    <n v="10"/>
    <d v="1998-04-20T00:00:00"/>
  </r>
  <r>
    <n v="11035"/>
    <x v="0"/>
    <n v="1080"/>
    <n v="60"/>
    <d v="1998-04-20T00:00:00"/>
  </r>
  <r>
    <n v="11035"/>
    <x v="1"/>
    <n v="1080"/>
    <n v="60"/>
    <d v="1998-04-20T00:00:00"/>
  </r>
  <r>
    <n v="11035"/>
    <x v="2"/>
    <n v="1080"/>
    <n v="60"/>
    <d v="1998-04-20T00:00:00"/>
  </r>
  <r>
    <n v="11035"/>
    <x v="3"/>
    <n v="1080"/>
    <n v="60"/>
    <d v="1998-04-20T00:00:00"/>
  </r>
  <r>
    <n v="11035"/>
    <x v="4"/>
    <n v="1080"/>
    <n v="60"/>
    <d v="1998-04-20T00:00:00"/>
  </r>
  <r>
    <n v="11035"/>
    <x v="5"/>
    <n v="1080"/>
    <n v="60"/>
    <d v="1998-04-20T00:00:00"/>
  </r>
  <r>
    <n v="11035"/>
    <x v="6"/>
    <n v="1080"/>
    <n v="60"/>
    <d v="1998-04-20T00:00:00"/>
  </r>
  <r>
    <n v="11035"/>
    <x v="7"/>
    <n v="1080"/>
    <n v="60"/>
    <d v="1998-04-20T00:00:00"/>
  </r>
  <r>
    <n v="11035"/>
    <x v="0"/>
    <n v="420"/>
    <n v="30"/>
    <d v="1998-04-20T00:00:00"/>
  </r>
  <r>
    <n v="11035"/>
    <x v="1"/>
    <n v="420"/>
    <n v="30"/>
    <d v="1998-04-20T00:00:00"/>
  </r>
  <r>
    <n v="11035"/>
    <x v="2"/>
    <n v="420"/>
    <n v="30"/>
    <d v="1998-04-20T00:00:00"/>
  </r>
  <r>
    <n v="11035"/>
    <x v="3"/>
    <n v="420"/>
    <n v="30"/>
    <d v="1998-04-20T00:00:00"/>
  </r>
  <r>
    <n v="11035"/>
    <x v="4"/>
    <n v="420"/>
    <n v="30"/>
    <d v="1998-04-20T00:00:00"/>
  </r>
  <r>
    <n v="11035"/>
    <x v="5"/>
    <n v="420"/>
    <n v="30"/>
    <d v="1998-04-20T00:00:00"/>
  </r>
  <r>
    <n v="11035"/>
    <x v="6"/>
    <n v="420"/>
    <n v="30"/>
    <d v="1998-04-20T00:00:00"/>
  </r>
  <r>
    <n v="11035"/>
    <x v="7"/>
    <n v="420"/>
    <n v="30"/>
    <d v="1998-04-20T00:00:00"/>
  </r>
  <r>
    <n v="11035"/>
    <x v="0"/>
    <n v="74.5"/>
    <n v="10"/>
    <d v="1998-04-20T00:00:00"/>
  </r>
  <r>
    <n v="11035"/>
    <x v="1"/>
    <n v="74.5"/>
    <n v="10"/>
    <d v="1998-04-20T00:00:00"/>
  </r>
  <r>
    <n v="11035"/>
    <x v="2"/>
    <n v="74.5"/>
    <n v="10"/>
    <d v="1998-04-20T00:00:00"/>
  </r>
  <r>
    <n v="11035"/>
    <x v="3"/>
    <n v="74.5"/>
    <n v="10"/>
    <d v="1998-04-20T00:00:00"/>
  </r>
  <r>
    <n v="11035"/>
    <x v="4"/>
    <n v="74.5"/>
    <n v="10"/>
    <d v="1998-04-20T00:00:00"/>
  </r>
  <r>
    <n v="11035"/>
    <x v="5"/>
    <n v="74.5"/>
    <n v="10"/>
    <d v="1998-04-20T00:00:00"/>
  </r>
  <r>
    <n v="11035"/>
    <x v="6"/>
    <n v="74.5"/>
    <n v="10"/>
    <d v="1998-04-20T00:00:00"/>
  </r>
  <r>
    <n v="11035"/>
    <x v="7"/>
    <n v="74.5"/>
    <n v="10"/>
    <d v="1998-04-20T00:00:00"/>
  </r>
  <r>
    <n v="11036"/>
    <x v="0"/>
    <n v="42"/>
    <n v="7"/>
    <d v="1998-04-20T00:00:00"/>
  </r>
  <r>
    <n v="11036"/>
    <x v="1"/>
    <n v="42"/>
    <n v="7"/>
    <d v="1998-04-20T00:00:00"/>
  </r>
  <r>
    <n v="11036"/>
    <x v="2"/>
    <n v="42"/>
    <n v="7"/>
    <d v="1998-04-20T00:00:00"/>
  </r>
  <r>
    <n v="11036"/>
    <x v="3"/>
    <n v="42"/>
    <n v="7"/>
    <d v="1998-04-20T00:00:00"/>
  </r>
  <r>
    <n v="11036"/>
    <x v="4"/>
    <n v="42"/>
    <n v="7"/>
    <d v="1998-04-20T00:00:00"/>
  </r>
  <r>
    <n v="11036"/>
    <x v="5"/>
    <n v="42"/>
    <n v="7"/>
    <d v="1998-04-20T00:00:00"/>
  </r>
  <r>
    <n v="11036"/>
    <x v="6"/>
    <n v="42"/>
    <n v="7"/>
    <d v="1998-04-20T00:00:00"/>
  </r>
  <r>
    <n v="11036"/>
    <x v="7"/>
    <n v="42"/>
    <n v="7"/>
    <d v="1998-04-20T00:00:00"/>
  </r>
  <r>
    <n v="11036"/>
    <x v="0"/>
    <n v="1650"/>
    <n v="30"/>
    <d v="1998-04-20T00:00:00"/>
  </r>
  <r>
    <n v="11036"/>
    <x v="1"/>
    <n v="1650"/>
    <n v="30"/>
    <d v="1998-04-20T00:00:00"/>
  </r>
  <r>
    <n v="11036"/>
    <x v="2"/>
    <n v="1650"/>
    <n v="30"/>
    <d v="1998-04-20T00:00:00"/>
  </r>
  <r>
    <n v="11036"/>
    <x v="3"/>
    <n v="1650"/>
    <n v="30"/>
    <d v="1998-04-20T00:00:00"/>
  </r>
  <r>
    <n v="11036"/>
    <x v="4"/>
    <n v="1650"/>
    <n v="30"/>
    <d v="1998-04-20T00:00:00"/>
  </r>
  <r>
    <n v="11036"/>
    <x v="5"/>
    <n v="1650"/>
    <n v="30"/>
    <d v="1998-04-20T00:00:00"/>
  </r>
  <r>
    <n v="11036"/>
    <x v="6"/>
    <n v="1650"/>
    <n v="30"/>
    <d v="1998-04-20T00:00:00"/>
  </r>
  <r>
    <n v="11036"/>
    <x v="7"/>
    <n v="1650"/>
    <n v="30"/>
    <d v="1998-04-20T00:00:00"/>
  </r>
  <r>
    <n v="11037"/>
    <x v="0"/>
    <n v="60"/>
    <n v="4"/>
    <d v="1998-04-21T00:00:00"/>
  </r>
  <r>
    <n v="11037"/>
    <x v="1"/>
    <n v="60"/>
    <n v="4"/>
    <d v="1998-04-21T00:00:00"/>
  </r>
  <r>
    <n v="11037"/>
    <x v="2"/>
    <n v="60"/>
    <n v="4"/>
    <d v="1998-04-21T00:00:00"/>
  </r>
  <r>
    <n v="11037"/>
    <x v="3"/>
    <n v="60"/>
    <n v="4"/>
    <d v="1998-04-21T00:00:00"/>
  </r>
  <r>
    <n v="11037"/>
    <x v="4"/>
    <n v="60"/>
    <n v="4"/>
    <d v="1998-04-21T00:00:00"/>
  </r>
  <r>
    <n v="11037"/>
    <x v="5"/>
    <n v="60"/>
    <n v="4"/>
    <d v="1998-04-21T00:00:00"/>
  </r>
  <r>
    <n v="11037"/>
    <x v="6"/>
    <n v="60"/>
    <n v="4"/>
    <d v="1998-04-21T00:00:00"/>
  </r>
  <r>
    <n v="11037"/>
    <x v="7"/>
    <n v="60"/>
    <n v="4"/>
    <d v="1998-04-21T00:00:00"/>
  </r>
  <r>
    <n v="11038"/>
    <x v="0"/>
    <n v="73.599999725818634"/>
    <n v="5"/>
    <d v="1998-04-21T00:00:00"/>
  </r>
  <r>
    <n v="11038"/>
    <x v="1"/>
    <n v="73.599999725818634"/>
    <n v="5"/>
    <d v="1998-04-21T00:00:00"/>
  </r>
  <r>
    <n v="11038"/>
    <x v="2"/>
    <n v="73.599999725818634"/>
    <n v="5"/>
    <d v="1998-04-21T00:00:00"/>
  </r>
  <r>
    <n v="11038"/>
    <x v="3"/>
    <n v="73.599999725818634"/>
    <n v="5"/>
    <d v="1998-04-21T00:00:00"/>
  </r>
  <r>
    <n v="11038"/>
    <x v="4"/>
    <n v="73.599999725818634"/>
    <n v="5"/>
    <d v="1998-04-21T00:00:00"/>
  </r>
  <r>
    <n v="11038"/>
    <x v="5"/>
    <n v="73.599999725818634"/>
    <n v="5"/>
    <d v="1998-04-21T00:00:00"/>
  </r>
  <r>
    <n v="11038"/>
    <x v="6"/>
    <n v="73.599999725818634"/>
    <n v="5"/>
    <d v="1998-04-21T00:00:00"/>
  </r>
  <r>
    <n v="11038"/>
    <x v="7"/>
    <n v="73.599999725818634"/>
    <n v="5"/>
    <d v="1998-04-21T00:00:00"/>
  </r>
  <r>
    <n v="11038"/>
    <x v="0"/>
    <n v="14"/>
    <n v="2"/>
    <d v="1998-04-21T00:00:00"/>
  </r>
  <r>
    <n v="11038"/>
    <x v="1"/>
    <n v="14"/>
    <n v="2"/>
    <d v="1998-04-21T00:00:00"/>
  </r>
  <r>
    <n v="11038"/>
    <x v="2"/>
    <n v="14"/>
    <n v="2"/>
    <d v="1998-04-21T00:00:00"/>
  </r>
  <r>
    <n v="11038"/>
    <x v="3"/>
    <n v="14"/>
    <n v="2"/>
    <d v="1998-04-21T00:00:00"/>
  </r>
  <r>
    <n v="11038"/>
    <x v="4"/>
    <n v="14"/>
    <n v="2"/>
    <d v="1998-04-21T00:00:00"/>
  </r>
  <r>
    <n v="11038"/>
    <x v="5"/>
    <n v="14"/>
    <n v="2"/>
    <d v="1998-04-21T00:00:00"/>
  </r>
  <r>
    <n v="11038"/>
    <x v="6"/>
    <n v="14"/>
    <n v="2"/>
    <d v="1998-04-21T00:00:00"/>
  </r>
  <r>
    <n v="11038"/>
    <x v="7"/>
    <n v="14"/>
    <n v="2"/>
    <d v="1998-04-21T00:00:00"/>
  </r>
  <r>
    <n v="11038"/>
    <x v="0"/>
    <n v="645"/>
    <n v="30"/>
    <d v="1998-04-21T00:00:00"/>
  </r>
  <r>
    <n v="11038"/>
    <x v="1"/>
    <n v="645"/>
    <n v="30"/>
    <d v="1998-04-21T00:00:00"/>
  </r>
  <r>
    <n v="11038"/>
    <x v="2"/>
    <n v="645"/>
    <n v="30"/>
    <d v="1998-04-21T00:00:00"/>
  </r>
  <r>
    <n v="11038"/>
    <x v="3"/>
    <n v="645"/>
    <n v="30"/>
    <d v="1998-04-21T00:00:00"/>
  </r>
  <r>
    <n v="11038"/>
    <x v="4"/>
    <n v="645"/>
    <n v="30"/>
    <d v="1998-04-21T00:00:00"/>
  </r>
  <r>
    <n v="11038"/>
    <x v="5"/>
    <n v="645"/>
    <n v="30"/>
    <d v="1998-04-21T00:00:00"/>
  </r>
  <r>
    <n v="11038"/>
    <x v="6"/>
    <n v="645"/>
    <n v="30"/>
    <d v="1998-04-21T00:00:00"/>
  </r>
  <r>
    <n v="11038"/>
    <x v="7"/>
    <n v="645"/>
    <n v="30"/>
    <d v="1998-04-21T00:00:00"/>
  </r>
  <r>
    <n v="11039"/>
    <x v="0"/>
    <n v="912"/>
    <n v="20"/>
    <d v="1998-04-21T00:00:00"/>
  </r>
  <r>
    <n v="11039"/>
    <x v="1"/>
    <n v="912"/>
    <n v="20"/>
    <d v="1998-04-21T00:00:00"/>
  </r>
  <r>
    <n v="11039"/>
    <x v="2"/>
    <n v="912"/>
    <n v="20"/>
    <d v="1998-04-21T00:00:00"/>
  </r>
  <r>
    <n v="11039"/>
    <x v="3"/>
    <n v="912"/>
    <n v="20"/>
    <d v="1998-04-21T00:00:00"/>
  </r>
  <r>
    <n v="11039"/>
    <x v="4"/>
    <n v="912"/>
    <n v="20"/>
    <d v="1998-04-21T00:00:00"/>
  </r>
  <r>
    <n v="11039"/>
    <x v="5"/>
    <n v="912"/>
    <n v="20"/>
    <d v="1998-04-21T00:00:00"/>
  </r>
  <r>
    <n v="11039"/>
    <x v="6"/>
    <n v="912"/>
    <n v="20"/>
    <d v="1998-04-21T00:00:00"/>
  </r>
  <r>
    <n v="11039"/>
    <x v="7"/>
    <n v="912"/>
    <n v="20"/>
    <d v="1998-04-21T00:00:00"/>
  </r>
  <r>
    <n v="11039"/>
    <x v="0"/>
    <n v="432"/>
    <n v="24"/>
    <d v="1998-04-21T00:00:00"/>
  </r>
  <r>
    <n v="11039"/>
    <x v="1"/>
    <n v="432"/>
    <n v="24"/>
    <d v="1998-04-21T00:00:00"/>
  </r>
  <r>
    <n v="11039"/>
    <x v="2"/>
    <n v="432"/>
    <n v="24"/>
    <d v="1998-04-21T00:00:00"/>
  </r>
  <r>
    <n v="11039"/>
    <x v="3"/>
    <n v="432"/>
    <n v="24"/>
    <d v="1998-04-21T00:00:00"/>
  </r>
  <r>
    <n v="11039"/>
    <x v="4"/>
    <n v="432"/>
    <n v="24"/>
    <d v="1998-04-21T00:00:00"/>
  </r>
  <r>
    <n v="11039"/>
    <x v="5"/>
    <n v="432"/>
    <n v="24"/>
    <d v="1998-04-21T00:00:00"/>
  </r>
  <r>
    <n v="11039"/>
    <x v="6"/>
    <n v="432"/>
    <n v="24"/>
    <d v="1998-04-21T00:00:00"/>
  </r>
  <r>
    <n v="11039"/>
    <x v="7"/>
    <n v="432"/>
    <n v="24"/>
    <d v="1998-04-21T00:00:00"/>
  </r>
  <r>
    <n v="11039"/>
    <x v="0"/>
    <n v="1200"/>
    <n v="60"/>
    <d v="1998-04-21T00:00:00"/>
  </r>
  <r>
    <n v="11039"/>
    <x v="1"/>
    <n v="1200"/>
    <n v="60"/>
    <d v="1998-04-21T00:00:00"/>
  </r>
  <r>
    <n v="11039"/>
    <x v="2"/>
    <n v="1200"/>
    <n v="60"/>
    <d v="1998-04-21T00:00:00"/>
  </r>
  <r>
    <n v="11039"/>
    <x v="3"/>
    <n v="1200"/>
    <n v="60"/>
    <d v="1998-04-21T00:00:00"/>
  </r>
  <r>
    <n v="11039"/>
    <x v="4"/>
    <n v="1200"/>
    <n v="60"/>
    <d v="1998-04-21T00:00:00"/>
  </r>
  <r>
    <n v="11039"/>
    <x v="5"/>
    <n v="1200"/>
    <n v="60"/>
    <d v="1998-04-21T00:00:00"/>
  </r>
  <r>
    <n v="11039"/>
    <x v="6"/>
    <n v="1200"/>
    <n v="60"/>
    <d v="1998-04-21T00:00:00"/>
  </r>
  <r>
    <n v="11039"/>
    <x v="7"/>
    <n v="1200"/>
    <n v="60"/>
    <d v="1998-04-21T00:00:00"/>
  </r>
  <r>
    <n v="11039"/>
    <x v="0"/>
    <n v="546"/>
    <n v="28"/>
    <d v="1998-04-21T00:00:00"/>
  </r>
  <r>
    <n v="11039"/>
    <x v="1"/>
    <n v="546"/>
    <n v="28"/>
    <d v="1998-04-21T00:00:00"/>
  </r>
  <r>
    <n v="11039"/>
    <x v="2"/>
    <n v="546"/>
    <n v="28"/>
    <d v="1998-04-21T00:00:00"/>
  </r>
  <r>
    <n v="11039"/>
    <x v="3"/>
    <n v="546"/>
    <n v="28"/>
    <d v="1998-04-21T00:00:00"/>
  </r>
  <r>
    <n v="11039"/>
    <x v="4"/>
    <n v="546"/>
    <n v="28"/>
    <d v="1998-04-21T00:00:00"/>
  </r>
  <r>
    <n v="11039"/>
    <x v="5"/>
    <n v="546"/>
    <n v="28"/>
    <d v="1998-04-21T00:00:00"/>
  </r>
  <r>
    <n v="11039"/>
    <x v="6"/>
    <n v="546"/>
    <n v="28"/>
    <d v="1998-04-21T00:00:00"/>
  </r>
  <r>
    <n v="11039"/>
    <x v="7"/>
    <n v="546"/>
    <n v="28"/>
    <d v="1998-04-21T00:00:00"/>
  </r>
  <r>
    <n v="11040"/>
    <x v="0"/>
    <n v="200"/>
    <n v="20"/>
    <d v="1998-04-22T00:00:00"/>
  </r>
  <r>
    <n v="11040"/>
    <x v="1"/>
    <n v="200"/>
    <n v="20"/>
    <d v="1998-04-22T00:00:00"/>
  </r>
  <r>
    <n v="11040"/>
    <x v="2"/>
    <n v="200"/>
    <n v="20"/>
    <d v="1998-04-22T00:00:00"/>
  </r>
  <r>
    <n v="11040"/>
    <x v="3"/>
    <n v="200"/>
    <n v="20"/>
    <d v="1998-04-22T00:00:00"/>
  </r>
  <r>
    <n v="11040"/>
    <x v="4"/>
    <n v="200"/>
    <n v="20"/>
    <d v="1998-04-22T00:00:00"/>
  </r>
  <r>
    <n v="11040"/>
    <x v="5"/>
    <n v="200"/>
    <n v="20"/>
    <d v="1998-04-22T00:00:00"/>
  </r>
  <r>
    <n v="11040"/>
    <x v="6"/>
    <n v="200"/>
    <n v="20"/>
    <d v="1998-04-22T00:00:00"/>
  </r>
  <r>
    <n v="11040"/>
    <x v="7"/>
    <n v="200"/>
    <n v="20"/>
    <d v="1998-04-22T00:00:00"/>
  </r>
  <r>
    <n v="11041"/>
    <x v="0"/>
    <n v="455.99999830126762"/>
    <n v="30"/>
    <d v="1998-04-22T00:00:00"/>
  </r>
  <r>
    <n v="11041"/>
    <x v="1"/>
    <n v="455.99999830126762"/>
    <n v="30"/>
    <d v="1998-04-22T00:00:00"/>
  </r>
  <r>
    <n v="11041"/>
    <x v="2"/>
    <n v="455.99999830126762"/>
    <n v="30"/>
    <d v="1998-04-22T00:00:00"/>
  </r>
  <r>
    <n v="11041"/>
    <x v="3"/>
    <n v="455.99999830126762"/>
    <n v="30"/>
    <d v="1998-04-22T00:00:00"/>
  </r>
  <r>
    <n v="11041"/>
    <x v="4"/>
    <n v="455.99999830126762"/>
    <n v="30"/>
    <d v="1998-04-22T00:00:00"/>
  </r>
  <r>
    <n v="11041"/>
    <x v="5"/>
    <n v="455.99999830126762"/>
    <n v="30"/>
    <d v="1998-04-22T00:00:00"/>
  </r>
  <r>
    <n v="11041"/>
    <x v="6"/>
    <n v="455.99999830126762"/>
    <n v="30"/>
    <d v="1998-04-22T00:00:00"/>
  </r>
  <r>
    <n v="11041"/>
    <x v="7"/>
    <n v="455.99999830126762"/>
    <n v="30"/>
    <d v="1998-04-22T00:00:00"/>
  </r>
  <r>
    <n v="11041"/>
    <x v="0"/>
    <n v="1317"/>
    <n v="30"/>
    <d v="1998-04-22T00:00:00"/>
  </r>
  <r>
    <n v="11041"/>
    <x v="1"/>
    <n v="1317"/>
    <n v="30"/>
    <d v="1998-04-22T00:00:00"/>
  </r>
  <r>
    <n v="11041"/>
    <x v="2"/>
    <n v="1317"/>
    <n v="30"/>
    <d v="1998-04-22T00:00:00"/>
  </r>
  <r>
    <n v="11041"/>
    <x v="3"/>
    <n v="1317"/>
    <n v="30"/>
    <d v="1998-04-22T00:00:00"/>
  </r>
  <r>
    <n v="11041"/>
    <x v="4"/>
    <n v="1317"/>
    <n v="30"/>
    <d v="1998-04-22T00:00:00"/>
  </r>
  <r>
    <n v="11041"/>
    <x v="5"/>
    <n v="1317"/>
    <n v="30"/>
    <d v="1998-04-22T00:00:00"/>
  </r>
  <r>
    <n v="11041"/>
    <x v="6"/>
    <n v="1317"/>
    <n v="30"/>
    <d v="1998-04-22T00:00:00"/>
  </r>
  <r>
    <n v="11041"/>
    <x v="7"/>
    <n v="1317"/>
    <n v="30"/>
    <d v="1998-04-22T00:00:00"/>
  </r>
  <r>
    <n v="11042"/>
    <x v="0"/>
    <n v="291.75"/>
    <n v="15"/>
    <d v="1998-04-22T00:00:00"/>
  </r>
  <r>
    <n v="11042"/>
    <x v="1"/>
    <n v="291.75"/>
    <n v="15"/>
    <d v="1998-04-22T00:00:00"/>
  </r>
  <r>
    <n v="11042"/>
    <x v="2"/>
    <n v="291.75"/>
    <n v="15"/>
    <d v="1998-04-22T00:00:00"/>
  </r>
  <r>
    <n v="11042"/>
    <x v="3"/>
    <n v="291.75"/>
    <n v="15"/>
    <d v="1998-04-22T00:00:00"/>
  </r>
  <r>
    <n v="11042"/>
    <x v="4"/>
    <n v="291.75"/>
    <n v="15"/>
    <d v="1998-04-22T00:00:00"/>
  </r>
  <r>
    <n v="11042"/>
    <x v="5"/>
    <n v="291.75"/>
    <n v="15"/>
    <d v="1998-04-22T00:00:00"/>
  </r>
  <r>
    <n v="11042"/>
    <x v="6"/>
    <n v="291.75"/>
    <n v="15"/>
    <d v="1998-04-22T00:00:00"/>
  </r>
  <r>
    <n v="11042"/>
    <x v="7"/>
    <n v="291.75"/>
    <n v="15"/>
    <d v="1998-04-22T00:00:00"/>
  </r>
  <r>
    <n v="11042"/>
    <x v="0"/>
    <n v="114"/>
    <n v="4"/>
    <d v="1998-04-22T00:00:00"/>
  </r>
  <r>
    <n v="11042"/>
    <x v="1"/>
    <n v="114"/>
    <n v="4"/>
    <d v="1998-04-22T00:00:00"/>
  </r>
  <r>
    <n v="11042"/>
    <x v="2"/>
    <n v="114"/>
    <n v="4"/>
    <d v="1998-04-22T00:00:00"/>
  </r>
  <r>
    <n v="11042"/>
    <x v="3"/>
    <n v="114"/>
    <n v="4"/>
    <d v="1998-04-22T00:00:00"/>
  </r>
  <r>
    <n v="11042"/>
    <x v="4"/>
    <n v="114"/>
    <n v="4"/>
    <d v="1998-04-22T00:00:00"/>
  </r>
  <r>
    <n v="11042"/>
    <x v="5"/>
    <n v="114"/>
    <n v="4"/>
    <d v="1998-04-22T00:00:00"/>
  </r>
  <r>
    <n v="11042"/>
    <x v="6"/>
    <n v="114"/>
    <n v="4"/>
    <d v="1998-04-22T00:00:00"/>
  </r>
  <r>
    <n v="11042"/>
    <x v="7"/>
    <n v="114"/>
    <n v="4"/>
    <d v="1998-04-22T00:00:00"/>
  </r>
  <r>
    <n v="11043"/>
    <x v="0"/>
    <n v="210"/>
    <n v="10"/>
    <d v="1998-04-22T00:00:00"/>
  </r>
  <r>
    <n v="11043"/>
    <x v="1"/>
    <n v="210"/>
    <n v="10"/>
    <d v="1998-04-22T00:00:00"/>
  </r>
  <r>
    <n v="11043"/>
    <x v="2"/>
    <n v="210"/>
    <n v="10"/>
    <d v="1998-04-22T00:00:00"/>
  </r>
  <r>
    <n v="11043"/>
    <x v="3"/>
    <n v="210"/>
    <n v="10"/>
    <d v="1998-04-22T00:00:00"/>
  </r>
  <r>
    <n v="11043"/>
    <x v="4"/>
    <n v="210"/>
    <n v="10"/>
    <d v="1998-04-22T00:00:00"/>
  </r>
  <r>
    <n v="11043"/>
    <x v="5"/>
    <n v="210"/>
    <n v="10"/>
    <d v="1998-04-22T00:00:00"/>
  </r>
  <r>
    <n v="11043"/>
    <x v="6"/>
    <n v="210"/>
    <n v="10"/>
    <d v="1998-04-22T00:00:00"/>
  </r>
  <r>
    <n v="11043"/>
    <x v="7"/>
    <n v="210"/>
    <n v="10"/>
    <d v="1998-04-22T00:00:00"/>
  </r>
  <r>
    <n v="11044"/>
    <x v="0"/>
    <n v="591.6"/>
    <n v="12"/>
    <d v="1998-04-23T00:00:00"/>
  </r>
  <r>
    <n v="11044"/>
    <x v="1"/>
    <n v="591.6"/>
    <n v="12"/>
    <d v="1998-04-23T00:00:00"/>
  </r>
  <r>
    <n v="11044"/>
    <x v="2"/>
    <n v="591.6"/>
    <n v="12"/>
    <d v="1998-04-23T00:00:00"/>
  </r>
  <r>
    <n v="11044"/>
    <x v="3"/>
    <n v="591.6"/>
    <n v="12"/>
    <d v="1998-04-23T00:00:00"/>
  </r>
  <r>
    <n v="11044"/>
    <x v="4"/>
    <n v="591.6"/>
    <n v="12"/>
    <d v="1998-04-23T00:00:00"/>
  </r>
  <r>
    <n v="11044"/>
    <x v="5"/>
    <n v="591.6"/>
    <n v="12"/>
    <d v="1998-04-23T00:00:00"/>
  </r>
  <r>
    <n v="11044"/>
    <x v="6"/>
    <n v="591.6"/>
    <n v="12"/>
    <d v="1998-04-23T00:00:00"/>
  </r>
  <r>
    <n v="11044"/>
    <x v="7"/>
    <n v="591.6"/>
    <n v="12"/>
    <d v="1998-04-23T00:00:00"/>
  </r>
  <r>
    <n v="11045"/>
    <x v="0"/>
    <n v="37.5"/>
    <n v="15"/>
    <d v="1998-04-23T00:00:00"/>
  </r>
  <r>
    <n v="11045"/>
    <x v="1"/>
    <n v="37.5"/>
    <n v="15"/>
    <d v="1998-04-23T00:00:00"/>
  </r>
  <r>
    <n v="11045"/>
    <x v="2"/>
    <n v="37.5"/>
    <n v="15"/>
    <d v="1998-04-23T00:00:00"/>
  </r>
  <r>
    <n v="11045"/>
    <x v="3"/>
    <n v="37.5"/>
    <n v="15"/>
    <d v="1998-04-23T00:00:00"/>
  </r>
  <r>
    <n v="11045"/>
    <x v="4"/>
    <n v="37.5"/>
    <n v="15"/>
    <d v="1998-04-23T00:00:00"/>
  </r>
  <r>
    <n v="11045"/>
    <x v="5"/>
    <n v="37.5"/>
    <n v="15"/>
    <d v="1998-04-23T00:00:00"/>
  </r>
  <r>
    <n v="11045"/>
    <x v="6"/>
    <n v="37.5"/>
    <n v="15"/>
    <d v="1998-04-23T00:00:00"/>
  </r>
  <r>
    <n v="11045"/>
    <x v="7"/>
    <n v="37.5"/>
    <n v="15"/>
    <d v="1998-04-23T00:00:00"/>
  </r>
  <r>
    <n v="11045"/>
    <x v="0"/>
    <n v="1272"/>
    <n v="24"/>
    <d v="1998-04-23T00:00:00"/>
  </r>
  <r>
    <n v="11045"/>
    <x v="1"/>
    <n v="1272"/>
    <n v="24"/>
    <d v="1998-04-23T00:00:00"/>
  </r>
  <r>
    <n v="11045"/>
    <x v="2"/>
    <n v="1272"/>
    <n v="24"/>
    <d v="1998-04-23T00:00:00"/>
  </r>
  <r>
    <n v="11045"/>
    <x v="3"/>
    <n v="1272"/>
    <n v="24"/>
    <d v="1998-04-23T00:00:00"/>
  </r>
  <r>
    <n v="11045"/>
    <x v="4"/>
    <n v="1272"/>
    <n v="24"/>
    <d v="1998-04-23T00:00:00"/>
  </r>
  <r>
    <n v="11045"/>
    <x v="5"/>
    <n v="1272"/>
    <n v="24"/>
    <d v="1998-04-23T00:00:00"/>
  </r>
  <r>
    <n v="11045"/>
    <x v="6"/>
    <n v="1272"/>
    <n v="24"/>
    <d v="1998-04-23T00:00:00"/>
  </r>
  <r>
    <n v="11045"/>
    <x v="7"/>
    <n v="1272"/>
    <n v="24"/>
    <d v="1998-04-23T00:00:00"/>
  </r>
  <r>
    <n v="11046"/>
    <x v="0"/>
    <n v="721.99999943375587"/>
    <n v="20"/>
    <d v="1998-04-23T00:00:00"/>
  </r>
  <r>
    <n v="11046"/>
    <x v="1"/>
    <n v="721.99999943375587"/>
    <n v="20"/>
    <d v="1998-04-23T00:00:00"/>
  </r>
  <r>
    <n v="11046"/>
    <x v="2"/>
    <n v="721.99999943375587"/>
    <n v="20"/>
    <d v="1998-04-23T00:00:00"/>
  </r>
  <r>
    <n v="11046"/>
    <x v="3"/>
    <n v="721.99999943375587"/>
    <n v="20"/>
    <d v="1998-04-23T00:00:00"/>
  </r>
  <r>
    <n v="11046"/>
    <x v="4"/>
    <n v="721.99999943375587"/>
    <n v="20"/>
    <d v="1998-04-23T00:00:00"/>
  </r>
  <r>
    <n v="11046"/>
    <x v="5"/>
    <n v="721.99999943375587"/>
    <n v="20"/>
    <d v="1998-04-23T00:00:00"/>
  </r>
  <r>
    <n v="11046"/>
    <x v="6"/>
    <n v="721.99999943375587"/>
    <n v="20"/>
    <d v="1998-04-23T00:00:00"/>
  </r>
  <r>
    <n v="11046"/>
    <x v="7"/>
    <n v="721.99999943375587"/>
    <n v="20"/>
    <d v="1998-04-23T00:00:00"/>
  </r>
  <r>
    <n v="11046"/>
    <x v="0"/>
    <n v="455.99999964237213"/>
    <n v="15"/>
    <d v="1998-04-23T00:00:00"/>
  </r>
  <r>
    <n v="11046"/>
    <x v="1"/>
    <n v="455.99999964237213"/>
    <n v="15"/>
    <d v="1998-04-23T00:00:00"/>
  </r>
  <r>
    <n v="11046"/>
    <x v="2"/>
    <n v="455.99999964237213"/>
    <n v="15"/>
    <d v="1998-04-23T00:00:00"/>
  </r>
  <r>
    <n v="11046"/>
    <x v="3"/>
    <n v="455.99999964237213"/>
    <n v="15"/>
    <d v="1998-04-23T00:00:00"/>
  </r>
  <r>
    <n v="11046"/>
    <x v="4"/>
    <n v="455.99999964237213"/>
    <n v="15"/>
    <d v="1998-04-23T00:00:00"/>
  </r>
  <r>
    <n v="11046"/>
    <x v="5"/>
    <n v="455.99999964237213"/>
    <n v="15"/>
    <d v="1998-04-23T00:00:00"/>
  </r>
  <r>
    <n v="11046"/>
    <x v="6"/>
    <n v="455.99999964237213"/>
    <n v="15"/>
    <d v="1998-04-23T00:00:00"/>
  </r>
  <r>
    <n v="11046"/>
    <x v="7"/>
    <n v="455.99999964237213"/>
    <n v="15"/>
    <d v="1998-04-23T00:00:00"/>
  </r>
  <r>
    <n v="11046"/>
    <x v="0"/>
    <n v="307.79999975860119"/>
    <n v="18"/>
    <d v="1998-04-23T00:00:00"/>
  </r>
  <r>
    <n v="11046"/>
    <x v="1"/>
    <n v="307.79999975860119"/>
    <n v="18"/>
    <d v="1998-04-23T00:00:00"/>
  </r>
  <r>
    <n v="11046"/>
    <x v="2"/>
    <n v="307.79999975860119"/>
    <n v="18"/>
    <d v="1998-04-23T00:00:00"/>
  </r>
  <r>
    <n v="11046"/>
    <x v="3"/>
    <n v="307.79999975860119"/>
    <n v="18"/>
    <d v="1998-04-23T00:00:00"/>
  </r>
  <r>
    <n v="11046"/>
    <x v="4"/>
    <n v="307.79999975860119"/>
    <n v="18"/>
    <d v="1998-04-23T00:00:00"/>
  </r>
  <r>
    <n v="11046"/>
    <x v="5"/>
    <n v="307.79999975860119"/>
    <n v="18"/>
    <d v="1998-04-23T00:00:00"/>
  </r>
  <r>
    <n v="11046"/>
    <x v="6"/>
    <n v="307.79999975860119"/>
    <n v="18"/>
    <d v="1998-04-23T00:00:00"/>
  </r>
  <r>
    <n v="11046"/>
    <x v="7"/>
    <n v="307.79999975860119"/>
    <n v="18"/>
    <d v="1998-04-23T00:00:00"/>
  </r>
  <r>
    <n v="11047"/>
    <x v="0"/>
    <n v="337.5"/>
    <n v="25"/>
    <d v="1998-04-24T00:00:00"/>
  </r>
  <r>
    <n v="11047"/>
    <x v="1"/>
    <n v="337.5"/>
    <n v="25"/>
    <d v="1998-04-24T00:00:00"/>
  </r>
  <r>
    <n v="11047"/>
    <x v="2"/>
    <n v="337.5"/>
    <n v="25"/>
    <d v="1998-04-24T00:00:00"/>
  </r>
  <r>
    <n v="11047"/>
    <x v="3"/>
    <n v="337.5"/>
    <n v="25"/>
    <d v="1998-04-24T00:00:00"/>
  </r>
  <r>
    <n v="11047"/>
    <x v="4"/>
    <n v="337.5"/>
    <n v="25"/>
    <d v="1998-04-24T00:00:00"/>
  </r>
  <r>
    <n v="11047"/>
    <x v="5"/>
    <n v="337.5"/>
    <n v="25"/>
    <d v="1998-04-24T00:00:00"/>
  </r>
  <r>
    <n v="11047"/>
    <x v="6"/>
    <n v="337.5"/>
    <n v="25"/>
    <d v="1998-04-24T00:00:00"/>
  </r>
  <r>
    <n v="11047"/>
    <x v="7"/>
    <n v="337.5"/>
    <n v="25"/>
    <d v="1998-04-24T00:00:00"/>
  </r>
  <r>
    <n v="11047"/>
    <x v="0"/>
    <n v="480.375"/>
    <n v="30"/>
    <d v="1998-04-24T00:00:00"/>
  </r>
  <r>
    <n v="11047"/>
    <x v="1"/>
    <n v="480.375"/>
    <n v="30"/>
    <d v="1998-04-24T00:00:00"/>
  </r>
  <r>
    <n v="11047"/>
    <x v="2"/>
    <n v="480.375"/>
    <n v="30"/>
    <d v="1998-04-24T00:00:00"/>
  </r>
  <r>
    <n v="11047"/>
    <x v="3"/>
    <n v="480.375"/>
    <n v="30"/>
    <d v="1998-04-24T00:00:00"/>
  </r>
  <r>
    <n v="11047"/>
    <x v="4"/>
    <n v="480.375"/>
    <n v="30"/>
    <d v="1998-04-24T00:00:00"/>
  </r>
  <r>
    <n v="11047"/>
    <x v="5"/>
    <n v="480.375"/>
    <n v="30"/>
    <d v="1998-04-24T00:00:00"/>
  </r>
  <r>
    <n v="11047"/>
    <x v="6"/>
    <n v="480.375"/>
    <n v="30"/>
    <d v="1998-04-24T00:00:00"/>
  </r>
  <r>
    <n v="11047"/>
    <x v="7"/>
    <n v="480.375"/>
    <n v="30"/>
    <d v="1998-04-24T00:00:00"/>
  </r>
  <r>
    <n v="11048"/>
    <x v="0"/>
    <n v="525"/>
    <n v="42"/>
    <d v="1998-04-24T00:00:00"/>
  </r>
  <r>
    <n v="11048"/>
    <x v="1"/>
    <n v="525"/>
    <n v="42"/>
    <d v="1998-04-24T00:00:00"/>
  </r>
  <r>
    <n v="11048"/>
    <x v="2"/>
    <n v="525"/>
    <n v="42"/>
    <d v="1998-04-24T00:00:00"/>
  </r>
  <r>
    <n v="11048"/>
    <x v="3"/>
    <n v="525"/>
    <n v="42"/>
    <d v="1998-04-24T00:00:00"/>
  </r>
  <r>
    <n v="11048"/>
    <x v="4"/>
    <n v="525"/>
    <n v="42"/>
    <d v="1998-04-24T00:00:00"/>
  </r>
  <r>
    <n v="11048"/>
    <x v="5"/>
    <n v="525"/>
    <n v="42"/>
    <d v="1998-04-24T00:00:00"/>
  </r>
  <r>
    <n v="11048"/>
    <x v="6"/>
    <n v="525"/>
    <n v="42"/>
    <d v="1998-04-24T00:00:00"/>
  </r>
  <r>
    <n v="11048"/>
    <x v="7"/>
    <n v="525"/>
    <n v="42"/>
    <d v="1998-04-24T00:00:00"/>
  </r>
  <r>
    <n v="11049"/>
    <x v="0"/>
    <n v="151.99999943375587"/>
    <n v="10"/>
    <d v="1998-04-24T00:00:00"/>
  </r>
  <r>
    <n v="11049"/>
    <x v="1"/>
    <n v="151.99999943375587"/>
    <n v="10"/>
    <d v="1998-04-24T00:00:00"/>
  </r>
  <r>
    <n v="11049"/>
    <x v="2"/>
    <n v="151.99999943375587"/>
    <n v="10"/>
    <d v="1998-04-24T00:00:00"/>
  </r>
  <r>
    <n v="11049"/>
    <x v="3"/>
    <n v="151.99999943375587"/>
    <n v="10"/>
    <d v="1998-04-24T00:00:00"/>
  </r>
  <r>
    <n v="11049"/>
    <x v="4"/>
    <n v="151.99999943375587"/>
    <n v="10"/>
    <d v="1998-04-24T00:00:00"/>
  </r>
  <r>
    <n v="11049"/>
    <x v="5"/>
    <n v="151.99999943375587"/>
    <n v="10"/>
    <d v="1998-04-24T00:00:00"/>
  </r>
  <r>
    <n v="11049"/>
    <x v="6"/>
    <n v="151.99999943375587"/>
    <n v="10"/>
    <d v="1998-04-24T00:00:00"/>
  </r>
  <r>
    <n v="11049"/>
    <x v="7"/>
    <n v="151.99999943375587"/>
    <n v="10"/>
    <d v="1998-04-24T00:00:00"/>
  </r>
  <r>
    <n v="11049"/>
    <x v="0"/>
    <n v="121.5999995470047"/>
    <n v="4"/>
    <d v="1998-04-24T00:00:00"/>
  </r>
  <r>
    <n v="11049"/>
    <x v="1"/>
    <n v="121.5999995470047"/>
    <n v="4"/>
    <d v="1998-04-24T00:00:00"/>
  </r>
  <r>
    <n v="11049"/>
    <x v="2"/>
    <n v="121.5999995470047"/>
    <n v="4"/>
    <d v="1998-04-24T00:00:00"/>
  </r>
  <r>
    <n v="11049"/>
    <x v="3"/>
    <n v="121.5999995470047"/>
    <n v="4"/>
    <d v="1998-04-24T00:00:00"/>
  </r>
  <r>
    <n v="11049"/>
    <x v="4"/>
    <n v="121.5999995470047"/>
    <n v="4"/>
    <d v="1998-04-24T00:00:00"/>
  </r>
  <r>
    <n v="11049"/>
    <x v="5"/>
    <n v="121.5999995470047"/>
    <n v="4"/>
    <d v="1998-04-24T00:00:00"/>
  </r>
  <r>
    <n v="11049"/>
    <x v="6"/>
    <n v="121.5999995470047"/>
    <n v="4"/>
    <d v="1998-04-24T00:00:00"/>
  </r>
  <r>
    <n v="11049"/>
    <x v="7"/>
    <n v="121.5999995470047"/>
    <n v="4"/>
    <d v="1998-04-24T00:00:00"/>
  </r>
  <r>
    <n v="11050"/>
    <x v="0"/>
    <n v="809.99999865889549"/>
    <n v="50"/>
    <d v="1998-04-27T00:00:00"/>
  </r>
  <r>
    <n v="11050"/>
    <x v="1"/>
    <n v="809.99999865889549"/>
    <n v="50"/>
    <d v="1998-04-27T00:00:00"/>
  </r>
  <r>
    <n v="11050"/>
    <x v="2"/>
    <n v="809.99999865889549"/>
    <n v="50"/>
    <d v="1998-04-27T00:00:00"/>
  </r>
  <r>
    <n v="11050"/>
    <x v="3"/>
    <n v="809.99999865889549"/>
    <n v="50"/>
    <d v="1998-04-27T00:00:00"/>
  </r>
  <r>
    <n v="11050"/>
    <x v="4"/>
    <n v="809.99999865889549"/>
    <n v="50"/>
    <d v="1998-04-27T00:00:00"/>
  </r>
  <r>
    <n v="11050"/>
    <x v="5"/>
    <n v="809.99999865889549"/>
    <n v="50"/>
    <d v="1998-04-27T00:00:00"/>
  </r>
  <r>
    <n v="11050"/>
    <x v="6"/>
    <n v="809.99999865889549"/>
    <n v="50"/>
    <d v="1998-04-27T00:00:00"/>
  </r>
  <r>
    <n v="11050"/>
    <x v="7"/>
    <n v="809.99999865889549"/>
    <n v="50"/>
    <d v="1998-04-27T00:00:00"/>
  </r>
  <r>
    <n v="11051"/>
    <x v="0"/>
    <n v="35.999999865889549"/>
    <n v="10"/>
    <d v="1998-04-27T00:00:00"/>
  </r>
  <r>
    <n v="11051"/>
    <x v="1"/>
    <n v="35.999999865889549"/>
    <n v="10"/>
    <d v="1998-04-27T00:00:00"/>
  </r>
  <r>
    <n v="11051"/>
    <x v="2"/>
    <n v="35.999999865889549"/>
    <n v="10"/>
    <d v="1998-04-27T00:00:00"/>
  </r>
  <r>
    <n v="11051"/>
    <x v="3"/>
    <n v="35.999999865889549"/>
    <n v="10"/>
    <d v="1998-04-27T00:00:00"/>
  </r>
  <r>
    <n v="11051"/>
    <x v="4"/>
    <n v="35.999999865889549"/>
    <n v="10"/>
    <d v="1998-04-27T00:00:00"/>
  </r>
  <r>
    <n v="11051"/>
    <x v="5"/>
    <n v="35.999999865889549"/>
    <n v="10"/>
    <d v="1998-04-27T00:00:00"/>
  </r>
  <r>
    <n v="11051"/>
    <x v="6"/>
    <n v="35.999999865889549"/>
    <n v="10"/>
    <d v="1998-04-27T00:00:00"/>
  </r>
  <r>
    <n v="11051"/>
    <x v="7"/>
    <n v="35.999999865889549"/>
    <n v="10"/>
    <d v="1998-04-27T00:00:00"/>
  </r>
  <r>
    <n v="11052"/>
    <x v="0"/>
    <n v="1103.9999958872795"/>
    <n v="30"/>
    <d v="1998-04-27T00:00:00"/>
  </r>
  <r>
    <n v="11052"/>
    <x v="1"/>
    <n v="1103.9999958872795"/>
    <n v="30"/>
    <d v="1998-04-27T00:00:00"/>
  </r>
  <r>
    <n v="11052"/>
    <x v="2"/>
    <n v="1103.9999958872795"/>
    <n v="30"/>
    <d v="1998-04-27T00:00:00"/>
  </r>
  <r>
    <n v="11052"/>
    <x v="3"/>
    <n v="1103.9999958872795"/>
    <n v="30"/>
    <d v="1998-04-27T00:00:00"/>
  </r>
  <r>
    <n v="11052"/>
    <x v="4"/>
    <n v="1103.9999958872795"/>
    <n v="30"/>
    <d v="1998-04-27T00:00:00"/>
  </r>
  <r>
    <n v="11052"/>
    <x v="5"/>
    <n v="1103.9999958872795"/>
    <n v="30"/>
    <d v="1998-04-27T00:00:00"/>
  </r>
  <r>
    <n v="11052"/>
    <x v="6"/>
    <n v="1103.9999958872795"/>
    <n v="30"/>
    <d v="1998-04-27T00:00:00"/>
  </r>
  <r>
    <n v="11052"/>
    <x v="7"/>
    <n v="1103.9999958872795"/>
    <n v="30"/>
    <d v="1998-04-27T00:00:00"/>
  </r>
  <r>
    <n v="11052"/>
    <x v="0"/>
    <n v="227.99999915063381"/>
    <n v="10"/>
    <d v="1998-04-27T00:00:00"/>
  </r>
  <r>
    <n v="11052"/>
    <x v="1"/>
    <n v="227.99999915063381"/>
    <n v="10"/>
    <d v="1998-04-27T00:00:00"/>
  </r>
  <r>
    <n v="11052"/>
    <x v="2"/>
    <n v="227.99999915063381"/>
    <n v="10"/>
    <d v="1998-04-27T00:00:00"/>
  </r>
  <r>
    <n v="11052"/>
    <x v="3"/>
    <n v="227.99999915063381"/>
    <n v="10"/>
    <d v="1998-04-27T00:00:00"/>
  </r>
  <r>
    <n v="11052"/>
    <x v="4"/>
    <n v="227.99999915063381"/>
    <n v="10"/>
    <d v="1998-04-27T00:00:00"/>
  </r>
  <r>
    <n v="11052"/>
    <x v="5"/>
    <n v="227.99999915063381"/>
    <n v="10"/>
    <d v="1998-04-27T00:00:00"/>
  </r>
  <r>
    <n v="11052"/>
    <x v="6"/>
    <n v="227.99999915063381"/>
    <n v="10"/>
    <d v="1998-04-27T00:00:00"/>
  </r>
  <r>
    <n v="11052"/>
    <x v="7"/>
    <n v="227.99999915063381"/>
    <n v="10"/>
    <d v="1998-04-27T00:00:00"/>
  </r>
  <r>
    <n v="11053"/>
    <x v="0"/>
    <n v="1749.999993480742"/>
    <n v="35"/>
    <d v="1998-04-27T00:00:00"/>
  </r>
  <r>
    <n v="11053"/>
    <x v="1"/>
    <n v="1749.999993480742"/>
    <n v="35"/>
    <d v="1998-04-27T00:00:00"/>
  </r>
  <r>
    <n v="11053"/>
    <x v="2"/>
    <n v="1749.999993480742"/>
    <n v="35"/>
    <d v="1998-04-27T00:00:00"/>
  </r>
  <r>
    <n v="11053"/>
    <x v="3"/>
    <n v="1749.999993480742"/>
    <n v="35"/>
    <d v="1998-04-27T00:00:00"/>
  </r>
  <r>
    <n v="11053"/>
    <x v="4"/>
    <n v="1749.999993480742"/>
    <n v="35"/>
    <d v="1998-04-27T00:00:00"/>
  </r>
  <r>
    <n v="11053"/>
    <x v="5"/>
    <n v="1749.999993480742"/>
    <n v="35"/>
    <d v="1998-04-27T00:00:00"/>
  </r>
  <r>
    <n v="11053"/>
    <x v="6"/>
    <n v="1749.999993480742"/>
    <n v="35"/>
    <d v="1998-04-27T00:00:00"/>
  </r>
  <r>
    <n v="11053"/>
    <x v="7"/>
    <n v="1749.999993480742"/>
    <n v="35"/>
    <d v="1998-04-27T00:00:00"/>
  </r>
  <r>
    <n v="11053"/>
    <x v="0"/>
    <n v="640"/>
    <n v="20"/>
    <d v="1998-04-27T00:00:00"/>
  </r>
  <r>
    <n v="11053"/>
    <x v="1"/>
    <n v="640"/>
    <n v="20"/>
    <d v="1998-04-27T00:00:00"/>
  </r>
  <r>
    <n v="11053"/>
    <x v="2"/>
    <n v="640"/>
    <n v="20"/>
    <d v="1998-04-27T00:00:00"/>
  </r>
  <r>
    <n v="11053"/>
    <x v="3"/>
    <n v="640"/>
    <n v="20"/>
    <d v="1998-04-27T00:00:00"/>
  </r>
  <r>
    <n v="11053"/>
    <x v="4"/>
    <n v="640"/>
    <n v="20"/>
    <d v="1998-04-27T00:00:00"/>
  </r>
  <r>
    <n v="11053"/>
    <x v="5"/>
    <n v="640"/>
    <n v="20"/>
    <d v="1998-04-27T00:00:00"/>
  </r>
  <r>
    <n v="11053"/>
    <x v="6"/>
    <n v="640"/>
    <n v="20"/>
    <d v="1998-04-27T00:00:00"/>
  </r>
  <r>
    <n v="11053"/>
    <x v="7"/>
    <n v="640"/>
    <n v="20"/>
    <d v="1998-04-27T00:00:00"/>
  </r>
  <r>
    <n v="11053"/>
    <x v="0"/>
    <n v="664.99999752268195"/>
    <n v="25"/>
    <d v="1998-04-27T00:00:00"/>
  </r>
  <r>
    <n v="11053"/>
    <x v="1"/>
    <n v="664.99999752268195"/>
    <n v="25"/>
    <d v="1998-04-27T00:00:00"/>
  </r>
  <r>
    <n v="11053"/>
    <x v="2"/>
    <n v="664.99999752268195"/>
    <n v="25"/>
    <d v="1998-04-27T00:00:00"/>
  </r>
  <r>
    <n v="11053"/>
    <x v="3"/>
    <n v="664.99999752268195"/>
    <n v="25"/>
    <d v="1998-04-27T00:00:00"/>
  </r>
  <r>
    <n v="11053"/>
    <x v="4"/>
    <n v="664.99999752268195"/>
    <n v="25"/>
    <d v="1998-04-27T00:00:00"/>
  </r>
  <r>
    <n v="11053"/>
    <x v="5"/>
    <n v="664.99999752268195"/>
    <n v="25"/>
    <d v="1998-04-27T00:00:00"/>
  </r>
  <r>
    <n v="11053"/>
    <x v="6"/>
    <n v="664.99999752268195"/>
    <n v="25"/>
    <d v="1998-04-27T00:00:00"/>
  </r>
  <r>
    <n v="11053"/>
    <x v="7"/>
    <n v="664.99999752268195"/>
    <n v="25"/>
    <d v="1998-04-27T00:00:00"/>
  </r>
  <r>
    <n v="11054"/>
    <x v="0"/>
    <n v="25"/>
    <n v="10"/>
    <d v="1998-04-28T00:00:00"/>
  </r>
  <r>
    <n v="11054"/>
    <x v="1"/>
    <n v="25"/>
    <n v="10"/>
    <d v="1998-04-28T00:00:00"/>
  </r>
  <r>
    <n v="11054"/>
    <x v="2"/>
    <n v="25"/>
    <n v="10"/>
    <d v="1998-04-28T00:00:00"/>
  </r>
  <r>
    <n v="11054"/>
    <x v="3"/>
    <n v="25"/>
    <n v="10"/>
    <d v="1998-04-28T00:00:00"/>
  </r>
  <r>
    <n v="11054"/>
    <x v="4"/>
    <n v="25"/>
    <n v="10"/>
    <d v="1998-04-28T00:00:00"/>
  </r>
  <r>
    <n v="11054"/>
    <x v="5"/>
    <n v="25"/>
    <n v="10"/>
    <d v="1998-04-28T00:00:00"/>
  </r>
  <r>
    <n v="11054"/>
    <x v="6"/>
    <n v="25"/>
    <n v="10"/>
    <d v="1998-04-28T00:00:00"/>
  </r>
  <r>
    <n v="11054"/>
    <x v="7"/>
    <n v="25"/>
    <n v="10"/>
    <d v="1998-04-28T00:00:00"/>
  </r>
  <r>
    <n v="11054"/>
    <x v="0"/>
    <n v="280"/>
    <n v="20"/>
    <d v="1998-04-28T00:00:00"/>
  </r>
  <r>
    <n v="11054"/>
    <x v="1"/>
    <n v="280"/>
    <n v="20"/>
    <d v="1998-04-28T00:00:00"/>
  </r>
  <r>
    <n v="11054"/>
    <x v="2"/>
    <n v="280"/>
    <n v="20"/>
    <d v="1998-04-28T00:00:00"/>
  </r>
  <r>
    <n v="11054"/>
    <x v="3"/>
    <n v="280"/>
    <n v="20"/>
    <d v="1998-04-28T00:00:00"/>
  </r>
  <r>
    <n v="11054"/>
    <x v="4"/>
    <n v="280"/>
    <n v="20"/>
    <d v="1998-04-28T00:00:00"/>
  </r>
  <r>
    <n v="11054"/>
    <x v="5"/>
    <n v="280"/>
    <n v="20"/>
    <d v="1998-04-28T00:00:00"/>
  </r>
  <r>
    <n v="11054"/>
    <x v="6"/>
    <n v="280"/>
    <n v="20"/>
    <d v="1998-04-28T00:00:00"/>
  </r>
  <r>
    <n v="11054"/>
    <x v="7"/>
    <n v="280"/>
    <n v="20"/>
    <d v="1998-04-28T00:00:00"/>
  </r>
  <r>
    <n v="11055"/>
    <x v="0"/>
    <n v="67.5"/>
    <n v="15"/>
    <d v="1998-04-28T00:00:00"/>
  </r>
  <r>
    <n v="11055"/>
    <x v="1"/>
    <n v="67.5"/>
    <n v="15"/>
    <d v="1998-04-28T00:00:00"/>
  </r>
  <r>
    <n v="11055"/>
    <x v="2"/>
    <n v="67.5"/>
    <n v="15"/>
    <d v="1998-04-28T00:00:00"/>
  </r>
  <r>
    <n v="11055"/>
    <x v="3"/>
    <n v="67.5"/>
    <n v="15"/>
    <d v="1998-04-28T00:00:00"/>
  </r>
  <r>
    <n v="11055"/>
    <x v="4"/>
    <n v="67.5"/>
    <n v="15"/>
    <d v="1998-04-28T00:00:00"/>
  </r>
  <r>
    <n v="11055"/>
    <x v="5"/>
    <n v="67.5"/>
    <n v="15"/>
    <d v="1998-04-28T00:00:00"/>
  </r>
  <r>
    <n v="11055"/>
    <x v="6"/>
    <n v="67.5"/>
    <n v="15"/>
    <d v="1998-04-28T00:00:00"/>
  </r>
  <r>
    <n v="11055"/>
    <x v="7"/>
    <n v="67.5"/>
    <n v="15"/>
    <d v="1998-04-28T00:00:00"/>
  </r>
  <r>
    <n v="11055"/>
    <x v="0"/>
    <n v="210"/>
    <n v="15"/>
    <d v="1998-04-28T00:00:00"/>
  </r>
  <r>
    <n v="11055"/>
    <x v="1"/>
    <n v="210"/>
    <n v="15"/>
    <d v="1998-04-28T00:00:00"/>
  </r>
  <r>
    <n v="11055"/>
    <x v="2"/>
    <n v="210"/>
    <n v="15"/>
    <d v="1998-04-28T00:00:00"/>
  </r>
  <r>
    <n v="11055"/>
    <x v="3"/>
    <n v="210"/>
    <n v="15"/>
    <d v="1998-04-28T00:00:00"/>
  </r>
  <r>
    <n v="11055"/>
    <x v="4"/>
    <n v="210"/>
    <n v="15"/>
    <d v="1998-04-28T00:00:00"/>
  </r>
  <r>
    <n v="11055"/>
    <x v="5"/>
    <n v="210"/>
    <n v="15"/>
    <d v="1998-04-28T00:00:00"/>
  </r>
  <r>
    <n v="11055"/>
    <x v="6"/>
    <n v="210"/>
    <n v="15"/>
    <d v="1998-04-28T00:00:00"/>
  </r>
  <r>
    <n v="11055"/>
    <x v="7"/>
    <n v="210"/>
    <n v="15"/>
    <d v="1998-04-28T00:00:00"/>
  </r>
  <r>
    <n v="11055"/>
    <x v="0"/>
    <n v="1060"/>
    <n v="20"/>
    <d v="1998-04-28T00:00:00"/>
  </r>
  <r>
    <n v="11055"/>
    <x v="1"/>
    <n v="1060"/>
    <n v="20"/>
    <d v="1998-04-28T00:00:00"/>
  </r>
  <r>
    <n v="11055"/>
    <x v="2"/>
    <n v="1060"/>
    <n v="20"/>
    <d v="1998-04-28T00:00:00"/>
  </r>
  <r>
    <n v="11055"/>
    <x v="3"/>
    <n v="1060"/>
    <n v="20"/>
    <d v="1998-04-28T00:00:00"/>
  </r>
  <r>
    <n v="11055"/>
    <x v="4"/>
    <n v="1060"/>
    <n v="20"/>
    <d v="1998-04-28T00:00:00"/>
  </r>
  <r>
    <n v="11055"/>
    <x v="5"/>
    <n v="1060"/>
    <n v="20"/>
    <d v="1998-04-28T00:00:00"/>
  </r>
  <r>
    <n v="11055"/>
    <x v="6"/>
    <n v="1060"/>
    <n v="20"/>
    <d v="1998-04-28T00:00:00"/>
  </r>
  <r>
    <n v="11055"/>
    <x v="7"/>
    <n v="1060"/>
    <n v="20"/>
    <d v="1998-04-28T00:00:00"/>
  </r>
  <r>
    <n v="11055"/>
    <x v="0"/>
    <n v="390"/>
    <n v="20"/>
    <d v="1998-04-28T00:00:00"/>
  </r>
  <r>
    <n v="11055"/>
    <x v="1"/>
    <n v="390"/>
    <n v="20"/>
    <d v="1998-04-28T00:00:00"/>
  </r>
  <r>
    <n v="11055"/>
    <x v="2"/>
    <n v="390"/>
    <n v="20"/>
    <d v="1998-04-28T00:00:00"/>
  </r>
  <r>
    <n v="11055"/>
    <x v="3"/>
    <n v="390"/>
    <n v="20"/>
    <d v="1998-04-28T00:00:00"/>
  </r>
  <r>
    <n v="11055"/>
    <x v="4"/>
    <n v="390"/>
    <n v="20"/>
    <d v="1998-04-28T00:00:00"/>
  </r>
  <r>
    <n v="11055"/>
    <x v="5"/>
    <n v="390"/>
    <n v="20"/>
    <d v="1998-04-28T00:00:00"/>
  </r>
  <r>
    <n v="11055"/>
    <x v="6"/>
    <n v="390"/>
    <n v="20"/>
    <d v="1998-04-28T00:00:00"/>
  </r>
  <r>
    <n v="11055"/>
    <x v="7"/>
    <n v="390"/>
    <n v="20"/>
    <d v="1998-04-28T00:00:00"/>
  </r>
  <r>
    <n v="11056"/>
    <x v="0"/>
    <n v="1200"/>
    <n v="40"/>
    <d v="1998-04-28T00:00:00"/>
  </r>
  <r>
    <n v="11056"/>
    <x v="1"/>
    <n v="1200"/>
    <n v="40"/>
    <d v="1998-04-28T00:00:00"/>
  </r>
  <r>
    <n v="11056"/>
    <x v="2"/>
    <n v="1200"/>
    <n v="40"/>
    <d v="1998-04-28T00:00:00"/>
  </r>
  <r>
    <n v="11056"/>
    <x v="3"/>
    <n v="1200"/>
    <n v="40"/>
    <d v="1998-04-28T00:00:00"/>
  </r>
  <r>
    <n v="11056"/>
    <x v="4"/>
    <n v="1200"/>
    <n v="40"/>
    <d v="1998-04-28T00:00:00"/>
  </r>
  <r>
    <n v="11056"/>
    <x v="5"/>
    <n v="1200"/>
    <n v="40"/>
    <d v="1998-04-28T00:00:00"/>
  </r>
  <r>
    <n v="11056"/>
    <x v="6"/>
    <n v="1200"/>
    <n v="40"/>
    <d v="1998-04-28T00:00:00"/>
  </r>
  <r>
    <n v="11056"/>
    <x v="7"/>
    <n v="1200"/>
    <n v="40"/>
    <d v="1998-04-28T00:00:00"/>
  </r>
  <r>
    <n v="11056"/>
    <x v="0"/>
    <n v="840"/>
    <n v="35"/>
    <d v="1998-04-28T00:00:00"/>
  </r>
  <r>
    <n v="11056"/>
    <x v="1"/>
    <n v="840"/>
    <n v="35"/>
    <d v="1998-04-28T00:00:00"/>
  </r>
  <r>
    <n v="11056"/>
    <x v="2"/>
    <n v="840"/>
    <n v="35"/>
    <d v="1998-04-28T00:00:00"/>
  </r>
  <r>
    <n v="11056"/>
    <x v="3"/>
    <n v="840"/>
    <n v="35"/>
    <d v="1998-04-28T00:00:00"/>
  </r>
  <r>
    <n v="11056"/>
    <x v="4"/>
    <n v="840"/>
    <n v="35"/>
    <d v="1998-04-28T00:00:00"/>
  </r>
  <r>
    <n v="11056"/>
    <x v="5"/>
    <n v="840"/>
    <n v="35"/>
    <d v="1998-04-28T00:00:00"/>
  </r>
  <r>
    <n v="11056"/>
    <x v="6"/>
    <n v="840"/>
    <n v="35"/>
    <d v="1998-04-28T00:00:00"/>
  </r>
  <r>
    <n v="11056"/>
    <x v="7"/>
    <n v="840"/>
    <n v="35"/>
    <d v="1998-04-28T00:00:00"/>
  </r>
  <r>
    <n v="11056"/>
    <x v="0"/>
    <n v="1700"/>
    <n v="50"/>
    <d v="1998-04-28T00:00:00"/>
  </r>
  <r>
    <n v="11056"/>
    <x v="1"/>
    <n v="1700"/>
    <n v="50"/>
    <d v="1998-04-28T00:00:00"/>
  </r>
  <r>
    <n v="11056"/>
    <x v="2"/>
    <n v="1700"/>
    <n v="50"/>
    <d v="1998-04-28T00:00:00"/>
  </r>
  <r>
    <n v="11056"/>
    <x v="3"/>
    <n v="1700"/>
    <n v="50"/>
    <d v="1998-04-28T00:00:00"/>
  </r>
  <r>
    <n v="11056"/>
    <x v="4"/>
    <n v="1700"/>
    <n v="50"/>
    <d v="1998-04-28T00:00:00"/>
  </r>
  <r>
    <n v="11056"/>
    <x v="5"/>
    <n v="1700"/>
    <n v="50"/>
    <d v="1998-04-28T00:00:00"/>
  </r>
  <r>
    <n v="11056"/>
    <x v="6"/>
    <n v="1700"/>
    <n v="50"/>
    <d v="1998-04-28T00:00:00"/>
  </r>
  <r>
    <n v="11056"/>
    <x v="7"/>
    <n v="1700"/>
    <n v="50"/>
    <d v="1998-04-28T00:00:00"/>
  </r>
  <r>
    <n v="11057"/>
    <x v="0"/>
    <n v="45"/>
    <n v="3"/>
    <d v="1998-04-29T00:00:00"/>
  </r>
  <r>
    <n v="11057"/>
    <x v="1"/>
    <n v="45"/>
    <n v="3"/>
    <d v="1998-04-29T00:00:00"/>
  </r>
  <r>
    <n v="11057"/>
    <x v="2"/>
    <n v="45"/>
    <n v="3"/>
    <d v="1998-04-29T00:00:00"/>
  </r>
  <r>
    <n v="11057"/>
    <x v="3"/>
    <n v="45"/>
    <n v="3"/>
    <d v="1998-04-29T00:00:00"/>
  </r>
  <r>
    <n v="11057"/>
    <x v="4"/>
    <n v="45"/>
    <n v="3"/>
    <d v="1998-04-29T00:00:00"/>
  </r>
  <r>
    <n v="11057"/>
    <x v="5"/>
    <n v="45"/>
    <n v="3"/>
    <d v="1998-04-29T00:00:00"/>
  </r>
  <r>
    <n v="11057"/>
    <x v="6"/>
    <n v="45"/>
    <n v="3"/>
    <d v="1998-04-29T00:00:00"/>
  </r>
  <r>
    <n v="11057"/>
    <x v="7"/>
    <n v="45"/>
    <n v="3"/>
    <d v="1998-04-29T00:00:00"/>
  </r>
  <r>
    <n v="11058"/>
    <x v="0"/>
    <n v="30"/>
    <n v="3"/>
    <d v="1998-04-29T00:00:00"/>
  </r>
  <r>
    <n v="11058"/>
    <x v="1"/>
    <n v="30"/>
    <n v="3"/>
    <d v="1998-04-29T00:00:00"/>
  </r>
  <r>
    <n v="11058"/>
    <x v="2"/>
    <n v="30"/>
    <n v="3"/>
    <d v="1998-04-29T00:00:00"/>
  </r>
  <r>
    <n v="11058"/>
    <x v="3"/>
    <n v="30"/>
    <n v="3"/>
    <d v="1998-04-29T00:00:00"/>
  </r>
  <r>
    <n v="11058"/>
    <x v="4"/>
    <n v="30"/>
    <n v="3"/>
    <d v="1998-04-29T00:00:00"/>
  </r>
  <r>
    <n v="11058"/>
    <x v="5"/>
    <n v="30"/>
    <n v="3"/>
    <d v="1998-04-29T00:00:00"/>
  </r>
  <r>
    <n v="11058"/>
    <x v="6"/>
    <n v="30"/>
    <n v="3"/>
    <d v="1998-04-29T00:00:00"/>
  </r>
  <r>
    <n v="11058"/>
    <x v="7"/>
    <n v="30"/>
    <n v="3"/>
    <d v="1998-04-29T00:00:00"/>
  </r>
  <r>
    <n v="11058"/>
    <x v="0"/>
    <n v="714"/>
    <n v="21"/>
    <d v="1998-04-29T00:00:00"/>
  </r>
  <r>
    <n v="11058"/>
    <x v="1"/>
    <n v="714"/>
    <n v="21"/>
    <d v="1998-04-29T00:00:00"/>
  </r>
  <r>
    <n v="11058"/>
    <x v="2"/>
    <n v="714"/>
    <n v="21"/>
    <d v="1998-04-29T00:00:00"/>
  </r>
  <r>
    <n v="11058"/>
    <x v="3"/>
    <n v="714"/>
    <n v="21"/>
    <d v="1998-04-29T00:00:00"/>
  </r>
  <r>
    <n v="11058"/>
    <x v="4"/>
    <n v="714"/>
    <n v="21"/>
    <d v="1998-04-29T00:00:00"/>
  </r>
  <r>
    <n v="11058"/>
    <x v="5"/>
    <n v="714"/>
    <n v="21"/>
    <d v="1998-04-29T00:00:00"/>
  </r>
  <r>
    <n v="11058"/>
    <x v="6"/>
    <n v="714"/>
    <n v="21"/>
    <d v="1998-04-29T00:00:00"/>
  </r>
  <r>
    <n v="11058"/>
    <x v="7"/>
    <n v="714"/>
    <n v="21"/>
    <d v="1998-04-29T00:00:00"/>
  </r>
  <r>
    <n v="11058"/>
    <x v="0"/>
    <n v="114"/>
    <n v="4"/>
    <d v="1998-04-29T00:00:00"/>
  </r>
  <r>
    <n v="11058"/>
    <x v="1"/>
    <n v="114"/>
    <n v="4"/>
    <d v="1998-04-29T00:00:00"/>
  </r>
  <r>
    <n v="11058"/>
    <x v="2"/>
    <n v="114"/>
    <n v="4"/>
    <d v="1998-04-29T00:00:00"/>
  </r>
  <r>
    <n v="11058"/>
    <x v="3"/>
    <n v="114"/>
    <n v="4"/>
    <d v="1998-04-29T00:00:00"/>
  </r>
  <r>
    <n v="11058"/>
    <x v="4"/>
    <n v="114"/>
    <n v="4"/>
    <d v="1998-04-29T00:00:00"/>
  </r>
  <r>
    <n v="11058"/>
    <x v="5"/>
    <n v="114"/>
    <n v="4"/>
    <d v="1998-04-29T00:00:00"/>
  </r>
  <r>
    <n v="11058"/>
    <x v="6"/>
    <n v="114"/>
    <n v="4"/>
    <d v="1998-04-29T00:00:00"/>
  </r>
  <r>
    <n v="11058"/>
    <x v="7"/>
    <n v="114"/>
    <n v="4"/>
    <d v="1998-04-29T00:00:00"/>
  </r>
  <r>
    <n v="11059"/>
    <x v="0"/>
    <n v="180"/>
    <n v="30"/>
    <d v="1998-04-29T00:00:00"/>
  </r>
  <r>
    <n v="11059"/>
    <x v="1"/>
    <n v="180"/>
    <n v="30"/>
    <d v="1998-04-29T00:00:00"/>
  </r>
  <r>
    <n v="11059"/>
    <x v="2"/>
    <n v="180"/>
    <n v="30"/>
    <d v="1998-04-29T00:00:00"/>
  </r>
  <r>
    <n v="11059"/>
    <x v="3"/>
    <n v="180"/>
    <n v="30"/>
    <d v="1998-04-29T00:00:00"/>
  </r>
  <r>
    <n v="11059"/>
    <x v="4"/>
    <n v="180"/>
    <n v="30"/>
    <d v="1998-04-29T00:00:00"/>
  </r>
  <r>
    <n v="11059"/>
    <x v="5"/>
    <n v="180"/>
    <n v="30"/>
    <d v="1998-04-29T00:00:00"/>
  </r>
  <r>
    <n v="11059"/>
    <x v="6"/>
    <n v="180"/>
    <n v="30"/>
    <d v="1998-04-29T00:00:00"/>
  </r>
  <r>
    <n v="11059"/>
    <x v="7"/>
    <n v="180"/>
    <n v="30"/>
    <d v="1998-04-29T00:00:00"/>
  </r>
  <r>
    <n v="11059"/>
    <x v="0"/>
    <n v="468"/>
    <n v="12"/>
    <d v="1998-04-29T00:00:00"/>
  </r>
  <r>
    <n v="11059"/>
    <x v="1"/>
    <n v="468"/>
    <n v="12"/>
    <d v="1998-04-29T00:00:00"/>
  </r>
  <r>
    <n v="11059"/>
    <x v="2"/>
    <n v="468"/>
    <n v="12"/>
    <d v="1998-04-29T00:00:00"/>
  </r>
  <r>
    <n v="11059"/>
    <x v="3"/>
    <n v="468"/>
    <n v="12"/>
    <d v="1998-04-29T00:00:00"/>
  </r>
  <r>
    <n v="11059"/>
    <x v="4"/>
    <n v="468"/>
    <n v="12"/>
    <d v="1998-04-29T00:00:00"/>
  </r>
  <r>
    <n v="11059"/>
    <x v="5"/>
    <n v="468"/>
    <n v="12"/>
    <d v="1998-04-29T00:00:00"/>
  </r>
  <r>
    <n v="11059"/>
    <x v="6"/>
    <n v="468"/>
    <n v="12"/>
    <d v="1998-04-29T00:00:00"/>
  </r>
  <r>
    <n v="11059"/>
    <x v="7"/>
    <n v="468"/>
    <n v="12"/>
    <d v="1998-04-29T00:00:00"/>
  </r>
  <r>
    <n v="11059"/>
    <x v="0"/>
    <n v="1190"/>
    <n v="35"/>
    <d v="1998-04-29T00:00:00"/>
  </r>
  <r>
    <n v="11059"/>
    <x v="1"/>
    <n v="1190"/>
    <n v="35"/>
    <d v="1998-04-29T00:00:00"/>
  </r>
  <r>
    <n v="11059"/>
    <x v="2"/>
    <n v="1190"/>
    <n v="35"/>
    <d v="1998-04-29T00:00:00"/>
  </r>
  <r>
    <n v="11059"/>
    <x v="3"/>
    <n v="1190"/>
    <n v="35"/>
    <d v="1998-04-29T00:00:00"/>
  </r>
  <r>
    <n v="11059"/>
    <x v="4"/>
    <n v="1190"/>
    <n v="35"/>
    <d v="1998-04-29T00:00:00"/>
  </r>
  <r>
    <n v="11059"/>
    <x v="5"/>
    <n v="1190"/>
    <n v="35"/>
    <d v="1998-04-29T00:00:00"/>
  </r>
  <r>
    <n v="11059"/>
    <x v="6"/>
    <n v="1190"/>
    <n v="35"/>
    <d v="1998-04-29T00:00:00"/>
  </r>
  <r>
    <n v="11059"/>
    <x v="7"/>
    <n v="1190"/>
    <n v="35"/>
    <d v="1998-04-29T00:00:00"/>
  </r>
  <r>
    <n v="11060"/>
    <x v="0"/>
    <n v="136"/>
    <n v="4"/>
    <d v="1998-04-30T00:00:00"/>
  </r>
  <r>
    <n v="11060"/>
    <x v="1"/>
    <n v="136"/>
    <n v="4"/>
    <d v="1998-04-30T00:00:00"/>
  </r>
  <r>
    <n v="11060"/>
    <x v="2"/>
    <n v="136"/>
    <n v="4"/>
    <d v="1998-04-30T00:00:00"/>
  </r>
  <r>
    <n v="11060"/>
    <x v="3"/>
    <n v="136"/>
    <n v="4"/>
    <d v="1998-04-30T00:00:00"/>
  </r>
  <r>
    <n v="11060"/>
    <x v="4"/>
    <n v="136"/>
    <n v="4"/>
    <d v="1998-04-30T00:00:00"/>
  </r>
  <r>
    <n v="11060"/>
    <x v="5"/>
    <n v="136"/>
    <n v="4"/>
    <d v="1998-04-30T00:00:00"/>
  </r>
  <r>
    <n v="11060"/>
    <x v="6"/>
    <n v="136"/>
    <n v="4"/>
    <d v="1998-04-30T00:00:00"/>
  </r>
  <r>
    <n v="11060"/>
    <x v="7"/>
    <n v="136"/>
    <n v="4"/>
    <d v="1998-04-30T00:00:00"/>
  </r>
  <r>
    <n v="11060"/>
    <x v="0"/>
    <n v="130"/>
    <n v="10"/>
    <d v="1998-04-30T00:00:00"/>
  </r>
  <r>
    <n v="11060"/>
    <x v="1"/>
    <n v="130"/>
    <n v="10"/>
    <d v="1998-04-30T00:00:00"/>
  </r>
  <r>
    <n v="11060"/>
    <x v="2"/>
    <n v="130"/>
    <n v="10"/>
    <d v="1998-04-30T00:00:00"/>
  </r>
  <r>
    <n v="11060"/>
    <x v="3"/>
    <n v="130"/>
    <n v="10"/>
    <d v="1998-04-30T00:00:00"/>
  </r>
  <r>
    <n v="11060"/>
    <x v="4"/>
    <n v="130"/>
    <n v="10"/>
    <d v="1998-04-30T00:00:00"/>
  </r>
  <r>
    <n v="11060"/>
    <x v="5"/>
    <n v="130"/>
    <n v="10"/>
    <d v="1998-04-30T00:00:00"/>
  </r>
  <r>
    <n v="11060"/>
    <x v="6"/>
    <n v="130"/>
    <n v="10"/>
    <d v="1998-04-30T00:00:00"/>
  </r>
  <r>
    <n v="11060"/>
    <x v="7"/>
    <n v="130"/>
    <n v="10"/>
    <d v="1998-04-30T00:00:00"/>
  </r>
  <r>
    <n v="11061"/>
    <x v="0"/>
    <n v="510"/>
    <n v="15"/>
    <d v="1998-04-30T00:00:00"/>
  </r>
  <r>
    <n v="11061"/>
    <x v="1"/>
    <n v="510"/>
    <n v="15"/>
    <d v="1998-04-30T00:00:00"/>
  </r>
  <r>
    <n v="11061"/>
    <x v="2"/>
    <n v="510"/>
    <n v="15"/>
    <d v="1998-04-30T00:00:00"/>
  </r>
  <r>
    <n v="11061"/>
    <x v="3"/>
    <n v="510"/>
    <n v="15"/>
    <d v="1998-04-30T00:00:00"/>
  </r>
  <r>
    <n v="11061"/>
    <x v="4"/>
    <n v="510"/>
    <n v="15"/>
    <d v="1998-04-30T00:00:00"/>
  </r>
  <r>
    <n v="11061"/>
    <x v="5"/>
    <n v="510"/>
    <n v="15"/>
    <d v="1998-04-30T00:00:00"/>
  </r>
  <r>
    <n v="11061"/>
    <x v="6"/>
    <n v="510"/>
    <n v="15"/>
    <d v="1998-04-30T00:00:00"/>
  </r>
  <r>
    <n v="11061"/>
    <x v="7"/>
    <n v="510"/>
    <n v="15"/>
    <d v="1998-04-30T00:00:00"/>
  </r>
  <r>
    <n v="11062"/>
    <x v="0"/>
    <n v="262.39999902248383"/>
    <n v="10"/>
    <d v="1998-04-30T00:00:00"/>
  </r>
  <r>
    <n v="11062"/>
    <x v="1"/>
    <n v="262.39999902248383"/>
    <n v="10"/>
    <d v="1998-04-30T00:00:00"/>
  </r>
  <r>
    <n v="11062"/>
    <x v="2"/>
    <n v="262.39999902248383"/>
    <n v="10"/>
    <d v="1998-04-30T00:00:00"/>
  </r>
  <r>
    <n v="11062"/>
    <x v="3"/>
    <n v="262.39999902248383"/>
    <n v="10"/>
    <d v="1998-04-30T00:00:00"/>
  </r>
  <r>
    <n v="11062"/>
    <x v="4"/>
    <n v="262.39999902248383"/>
    <n v="10"/>
    <d v="1998-04-30T00:00:00"/>
  </r>
  <r>
    <n v="11062"/>
    <x v="5"/>
    <n v="262.39999902248383"/>
    <n v="10"/>
    <d v="1998-04-30T00:00:00"/>
  </r>
  <r>
    <n v="11062"/>
    <x v="6"/>
    <n v="262.39999902248383"/>
    <n v="10"/>
    <d v="1998-04-30T00:00:00"/>
  </r>
  <r>
    <n v="11062"/>
    <x v="7"/>
    <n v="262.39999902248383"/>
    <n v="10"/>
    <d v="1998-04-30T00:00:00"/>
  </r>
  <r>
    <n v="11062"/>
    <x v="0"/>
    <n v="143.9999994635582"/>
    <n v="12"/>
    <d v="1998-04-30T00:00:00"/>
  </r>
  <r>
    <n v="11062"/>
    <x v="1"/>
    <n v="143.9999994635582"/>
    <n v="12"/>
    <d v="1998-04-30T00:00:00"/>
  </r>
  <r>
    <n v="11062"/>
    <x v="2"/>
    <n v="143.9999994635582"/>
    <n v="12"/>
    <d v="1998-04-30T00:00:00"/>
  </r>
  <r>
    <n v="11062"/>
    <x v="3"/>
    <n v="143.9999994635582"/>
    <n v="12"/>
    <d v="1998-04-30T00:00:00"/>
  </r>
  <r>
    <n v="11062"/>
    <x v="4"/>
    <n v="143.9999994635582"/>
    <n v="12"/>
    <d v="1998-04-30T00:00:00"/>
  </r>
  <r>
    <n v="11062"/>
    <x v="5"/>
    <n v="143.9999994635582"/>
    <n v="12"/>
    <d v="1998-04-30T00:00:00"/>
  </r>
  <r>
    <n v="11062"/>
    <x v="6"/>
    <n v="143.9999994635582"/>
    <n v="12"/>
    <d v="1998-04-30T00:00:00"/>
  </r>
  <r>
    <n v="11062"/>
    <x v="7"/>
    <n v="143.9999994635582"/>
    <n v="12"/>
    <d v="1998-04-30T00:00:00"/>
  </r>
  <r>
    <n v="11063"/>
    <x v="0"/>
    <n v="420"/>
    <n v="30"/>
    <d v="1998-04-30T00:00:00"/>
  </r>
  <r>
    <n v="11063"/>
    <x v="1"/>
    <n v="420"/>
    <n v="30"/>
    <d v="1998-04-30T00:00:00"/>
  </r>
  <r>
    <n v="11063"/>
    <x v="2"/>
    <n v="420"/>
    <n v="30"/>
    <d v="1998-04-30T00:00:00"/>
  </r>
  <r>
    <n v="11063"/>
    <x v="3"/>
    <n v="420"/>
    <n v="30"/>
    <d v="1998-04-30T00:00:00"/>
  </r>
  <r>
    <n v="11063"/>
    <x v="4"/>
    <n v="420"/>
    <n v="30"/>
    <d v="1998-04-30T00:00:00"/>
  </r>
  <r>
    <n v="11063"/>
    <x v="5"/>
    <n v="420"/>
    <n v="30"/>
    <d v="1998-04-30T00:00:00"/>
  </r>
  <r>
    <n v="11063"/>
    <x v="6"/>
    <n v="420"/>
    <n v="30"/>
    <d v="1998-04-30T00:00:00"/>
  </r>
  <r>
    <n v="11063"/>
    <x v="7"/>
    <n v="420"/>
    <n v="30"/>
    <d v="1998-04-30T00:00:00"/>
  </r>
  <r>
    <n v="11063"/>
    <x v="0"/>
    <n v="662.39999890327454"/>
    <n v="40"/>
    <d v="1998-04-30T00:00:00"/>
  </r>
  <r>
    <n v="11063"/>
    <x v="1"/>
    <n v="662.39999890327454"/>
    <n v="40"/>
    <d v="1998-04-30T00:00:00"/>
  </r>
  <r>
    <n v="11063"/>
    <x v="2"/>
    <n v="662.39999890327454"/>
    <n v="40"/>
    <d v="1998-04-30T00:00:00"/>
  </r>
  <r>
    <n v="11063"/>
    <x v="3"/>
    <n v="662.39999890327454"/>
    <n v="40"/>
    <d v="1998-04-30T00:00:00"/>
  </r>
  <r>
    <n v="11063"/>
    <x v="4"/>
    <n v="662.39999890327454"/>
    <n v="40"/>
    <d v="1998-04-30T00:00:00"/>
  </r>
  <r>
    <n v="11063"/>
    <x v="5"/>
    <n v="662.39999890327454"/>
    <n v="40"/>
    <d v="1998-04-30T00:00:00"/>
  </r>
  <r>
    <n v="11063"/>
    <x v="6"/>
    <n v="662.39999890327454"/>
    <n v="40"/>
    <d v="1998-04-30T00:00:00"/>
  </r>
  <r>
    <n v="11063"/>
    <x v="7"/>
    <n v="662.39999890327454"/>
    <n v="40"/>
    <d v="1998-04-30T00:00:00"/>
  </r>
  <r>
    <n v="11063"/>
    <x v="0"/>
    <n v="260.54999956861138"/>
    <n v="30"/>
    <d v="1998-04-30T00:00:00"/>
  </r>
  <r>
    <n v="11063"/>
    <x v="1"/>
    <n v="260.54999956861138"/>
    <n v="30"/>
    <d v="1998-04-30T00:00:00"/>
  </r>
  <r>
    <n v="11063"/>
    <x v="2"/>
    <n v="260.54999956861138"/>
    <n v="30"/>
    <d v="1998-04-30T00:00:00"/>
  </r>
  <r>
    <n v="11063"/>
    <x v="3"/>
    <n v="260.54999956861138"/>
    <n v="30"/>
    <d v="1998-04-30T00:00:00"/>
  </r>
  <r>
    <n v="11063"/>
    <x v="4"/>
    <n v="260.54999956861138"/>
    <n v="30"/>
    <d v="1998-04-30T00:00:00"/>
  </r>
  <r>
    <n v="11063"/>
    <x v="5"/>
    <n v="260.54999956861138"/>
    <n v="30"/>
    <d v="1998-04-30T00:00:00"/>
  </r>
  <r>
    <n v="11063"/>
    <x v="6"/>
    <n v="260.54999956861138"/>
    <n v="30"/>
    <d v="1998-04-30T00:00:00"/>
  </r>
  <r>
    <n v="11063"/>
    <x v="7"/>
    <n v="260.54999956861138"/>
    <n v="30"/>
    <d v="1998-04-30T00:00:00"/>
  </r>
  <r>
    <n v="11064"/>
    <x v="0"/>
    <n v="2702.6999955251813"/>
    <n v="77"/>
    <d v="1998-05-01T00:00:00"/>
  </r>
  <r>
    <n v="11064"/>
    <x v="1"/>
    <n v="2702.6999955251813"/>
    <n v="77"/>
    <d v="1998-05-01T00:00:00"/>
  </r>
  <r>
    <n v="11064"/>
    <x v="2"/>
    <n v="2702.6999955251813"/>
    <n v="77"/>
    <d v="1998-05-01T00:00:00"/>
  </r>
  <r>
    <n v="11064"/>
    <x v="3"/>
    <n v="2702.6999955251813"/>
    <n v="77"/>
    <d v="1998-05-01T00:00:00"/>
  </r>
  <r>
    <n v="11064"/>
    <x v="4"/>
    <n v="2702.6999955251813"/>
    <n v="77"/>
    <d v="1998-05-01T00:00:00"/>
  </r>
  <r>
    <n v="11064"/>
    <x v="5"/>
    <n v="2702.6999955251813"/>
    <n v="77"/>
    <d v="1998-05-01T00:00:00"/>
  </r>
  <r>
    <n v="11064"/>
    <x v="6"/>
    <n v="2702.6999955251813"/>
    <n v="77"/>
    <d v="1998-05-01T00:00:00"/>
  </r>
  <r>
    <n v="11064"/>
    <x v="7"/>
    <n v="2702.6999955251813"/>
    <n v="77"/>
    <d v="1998-05-01T00:00:00"/>
  </r>
  <r>
    <n v="11064"/>
    <x v="0"/>
    <n v="115.8"/>
    <n v="12"/>
    <d v="1998-05-01T00:00:00"/>
  </r>
  <r>
    <n v="11064"/>
    <x v="1"/>
    <n v="115.8"/>
    <n v="12"/>
    <d v="1998-05-01T00:00:00"/>
  </r>
  <r>
    <n v="11064"/>
    <x v="2"/>
    <n v="115.8"/>
    <n v="12"/>
    <d v="1998-05-01T00:00:00"/>
  </r>
  <r>
    <n v="11064"/>
    <x v="3"/>
    <n v="115.8"/>
    <n v="12"/>
    <d v="1998-05-01T00:00:00"/>
  </r>
  <r>
    <n v="11064"/>
    <x v="4"/>
    <n v="115.8"/>
    <n v="12"/>
    <d v="1998-05-01T00:00:00"/>
  </r>
  <r>
    <n v="11064"/>
    <x v="5"/>
    <n v="115.8"/>
    <n v="12"/>
    <d v="1998-05-01T00:00:00"/>
  </r>
  <r>
    <n v="11064"/>
    <x v="6"/>
    <n v="115.8"/>
    <n v="12"/>
    <d v="1998-05-01T00:00:00"/>
  </r>
  <r>
    <n v="11064"/>
    <x v="7"/>
    <n v="115.8"/>
    <n v="12"/>
    <d v="1998-05-01T00:00:00"/>
  </r>
  <r>
    <n v="11064"/>
    <x v="0"/>
    <n v="737.99999877810478"/>
    <n v="25"/>
    <d v="1998-05-01T00:00:00"/>
  </r>
  <r>
    <n v="11064"/>
    <x v="1"/>
    <n v="737.99999877810478"/>
    <n v="25"/>
    <d v="1998-05-01T00:00:00"/>
  </r>
  <r>
    <n v="11064"/>
    <x v="2"/>
    <n v="737.99999877810478"/>
    <n v="25"/>
    <d v="1998-05-01T00:00:00"/>
  </r>
  <r>
    <n v="11064"/>
    <x v="3"/>
    <n v="737.99999877810478"/>
    <n v="25"/>
    <d v="1998-05-01T00:00:00"/>
  </r>
  <r>
    <n v="11064"/>
    <x v="4"/>
    <n v="737.99999877810478"/>
    <n v="25"/>
    <d v="1998-05-01T00:00:00"/>
  </r>
  <r>
    <n v="11064"/>
    <x v="5"/>
    <n v="737.99999877810478"/>
    <n v="25"/>
    <d v="1998-05-01T00:00:00"/>
  </r>
  <r>
    <n v="11064"/>
    <x v="6"/>
    <n v="737.99999877810478"/>
    <n v="25"/>
    <d v="1998-05-01T00:00:00"/>
  </r>
  <r>
    <n v="11064"/>
    <x v="7"/>
    <n v="737.99999877810478"/>
    <n v="25"/>
    <d v="1998-05-01T00:00:00"/>
  </r>
  <r>
    <n v="11064"/>
    <x v="0"/>
    <n v="86.399999856948853"/>
    <n v="4"/>
    <d v="1998-05-01T00:00:00"/>
  </r>
  <r>
    <n v="11064"/>
    <x v="1"/>
    <n v="86.399999856948853"/>
    <n v="4"/>
    <d v="1998-05-01T00:00:00"/>
  </r>
  <r>
    <n v="11064"/>
    <x v="2"/>
    <n v="86.399999856948853"/>
    <n v="4"/>
    <d v="1998-05-01T00:00:00"/>
  </r>
  <r>
    <n v="11064"/>
    <x v="3"/>
    <n v="86.399999856948853"/>
    <n v="4"/>
    <d v="1998-05-01T00:00:00"/>
  </r>
  <r>
    <n v="11064"/>
    <x v="4"/>
    <n v="86.399999856948853"/>
    <n v="4"/>
    <d v="1998-05-01T00:00:00"/>
  </r>
  <r>
    <n v="11064"/>
    <x v="5"/>
    <n v="86.399999856948853"/>
    <n v="4"/>
    <d v="1998-05-01T00:00:00"/>
  </r>
  <r>
    <n v="11064"/>
    <x v="6"/>
    <n v="86.399999856948853"/>
    <n v="4"/>
    <d v="1998-05-01T00:00:00"/>
  </r>
  <r>
    <n v="11064"/>
    <x v="7"/>
    <n v="86.399999856948853"/>
    <n v="4"/>
    <d v="1998-05-01T00:00:00"/>
  </r>
  <r>
    <n v="11064"/>
    <x v="0"/>
    <n v="687.5"/>
    <n v="55"/>
    <d v="1998-05-01T00:00:00"/>
  </r>
  <r>
    <n v="11064"/>
    <x v="1"/>
    <n v="687.5"/>
    <n v="55"/>
    <d v="1998-05-01T00:00:00"/>
  </r>
  <r>
    <n v="11064"/>
    <x v="2"/>
    <n v="687.5"/>
    <n v="55"/>
    <d v="1998-05-01T00:00:00"/>
  </r>
  <r>
    <n v="11064"/>
    <x v="3"/>
    <n v="687.5"/>
    <n v="55"/>
    <d v="1998-05-01T00:00:00"/>
  </r>
  <r>
    <n v="11064"/>
    <x v="4"/>
    <n v="687.5"/>
    <n v="55"/>
    <d v="1998-05-01T00:00:00"/>
  </r>
  <r>
    <n v="11064"/>
    <x v="5"/>
    <n v="687.5"/>
    <n v="55"/>
    <d v="1998-05-01T00:00:00"/>
  </r>
  <r>
    <n v="11064"/>
    <x v="6"/>
    <n v="687.5"/>
    <n v="55"/>
    <d v="1998-05-01T00:00:00"/>
  </r>
  <r>
    <n v="11064"/>
    <x v="7"/>
    <n v="687.5"/>
    <n v="55"/>
    <d v="1998-05-01T00:00:00"/>
  </r>
  <r>
    <n v="11065"/>
    <x v="0"/>
    <n v="77.67"/>
    <n v="4"/>
    <d v="1998-05-01T00:00:00"/>
  </r>
  <r>
    <n v="11065"/>
    <x v="1"/>
    <n v="77.67"/>
    <n v="4"/>
    <d v="1998-05-01T00:00:00"/>
  </r>
  <r>
    <n v="11065"/>
    <x v="2"/>
    <n v="77.67"/>
    <n v="4"/>
    <d v="1998-05-01T00:00:00"/>
  </r>
  <r>
    <n v="11065"/>
    <x v="3"/>
    <n v="77.67"/>
    <n v="4"/>
    <d v="1998-05-01T00:00:00"/>
  </r>
  <r>
    <n v="11065"/>
    <x v="4"/>
    <n v="77.67"/>
    <n v="4"/>
    <d v="1998-05-01T00:00:00"/>
  </r>
  <r>
    <n v="11065"/>
    <x v="5"/>
    <n v="77.67"/>
    <n v="4"/>
    <d v="1998-05-01T00:00:00"/>
  </r>
  <r>
    <n v="11065"/>
    <x v="6"/>
    <n v="77.67"/>
    <n v="4"/>
    <d v="1998-05-01T00:00:00"/>
  </r>
  <r>
    <n v="11065"/>
    <x v="7"/>
    <n v="77.67"/>
    <n v="4"/>
    <d v="1998-05-01T00:00:00"/>
  </r>
  <r>
    <n v="11065"/>
    <x v="0"/>
    <n v="111.75"/>
    <n v="20"/>
    <d v="1998-05-01T00:00:00"/>
  </r>
  <r>
    <n v="11065"/>
    <x v="1"/>
    <n v="111.75"/>
    <n v="20"/>
    <d v="1998-05-01T00:00:00"/>
  </r>
  <r>
    <n v="11065"/>
    <x v="2"/>
    <n v="111.75"/>
    <n v="20"/>
    <d v="1998-05-01T00:00:00"/>
  </r>
  <r>
    <n v="11065"/>
    <x v="3"/>
    <n v="111.75"/>
    <n v="20"/>
    <d v="1998-05-01T00:00:00"/>
  </r>
  <r>
    <n v="11065"/>
    <x v="4"/>
    <n v="111.75"/>
    <n v="20"/>
    <d v="1998-05-01T00:00:00"/>
  </r>
  <r>
    <n v="11065"/>
    <x v="5"/>
    <n v="111.75"/>
    <n v="20"/>
    <d v="1998-05-01T00:00:00"/>
  </r>
  <r>
    <n v="11065"/>
    <x v="6"/>
    <n v="111.75"/>
    <n v="20"/>
    <d v="1998-05-01T00:00:00"/>
  </r>
  <r>
    <n v="11065"/>
    <x v="7"/>
    <n v="111.75"/>
    <n v="20"/>
    <d v="1998-05-01T00:00:00"/>
  </r>
  <r>
    <n v="11066"/>
    <x v="0"/>
    <n v="52.35"/>
    <n v="3"/>
    <d v="1998-05-01T00:00:00"/>
  </r>
  <r>
    <n v="11066"/>
    <x v="1"/>
    <n v="52.35"/>
    <n v="3"/>
    <d v="1998-05-01T00:00:00"/>
  </r>
  <r>
    <n v="11066"/>
    <x v="2"/>
    <n v="52.35"/>
    <n v="3"/>
    <d v="1998-05-01T00:00:00"/>
  </r>
  <r>
    <n v="11066"/>
    <x v="3"/>
    <n v="52.35"/>
    <n v="3"/>
    <d v="1998-05-01T00:00:00"/>
  </r>
  <r>
    <n v="11066"/>
    <x v="4"/>
    <n v="52.35"/>
    <n v="3"/>
    <d v="1998-05-01T00:00:00"/>
  </r>
  <r>
    <n v="11066"/>
    <x v="5"/>
    <n v="52.35"/>
    <n v="3"/>
    <d v="1998-05-01T00:00:00"/>
  </r>
  <r>
    <n v="11066"/>
    <x v="6"/>
    <n v="52.35"/>
    <n v="3"/>
    <d v="1998-05-01T00:00:00"/>
  </r>
  <r>
    <n v="11066"/>
    <x v="7"/>
    <n v="52.35"/>
    <n v="3"/>
    <d v="1998-05-01T00:00:00"/>
  </r>
  <r>
    <n v="11066"/>
    <x v="0"/>
    <n v="386.4"/>
    <n v="42"/>
    <d v="1998-05-01T00:00:00"/>
  </r>
  <r>
    <n v="11066"/>
    <x v="1"/>
    <n v="386.4"/>
    <n v="42"/>
    <d v="1998-05-01T00:00:00"/>
  </r>
  <r>
    <n v="11066"/>
    <x v="2"/>
    <n v="386.4"/>
    <n v="42"/>
    <d v="1998-05-01T00:00:00"/>
  </r>
  <r>
    <n v="11066"/>
    <x v="3"/>
    <n v="386.4"/>
    <n v="42"/>
    <d v="1998-05-01T00:00:00"/>
  </r>
  <r>
    <n v="11066"/>
    <x v="4"/>
    <n v="386.4"/>
    <n v="42"/>
    <d v="1998-05-01T00:00:00"/>
  </r>
  <r>
    <n v="11066"/>
    <x v="5"/>
    <n v="386.4"/>
    <n v="42"/>
    <d v="1998-05-01T00:00:00"/>
  </r>
  <r>
    <n v="11066"/>
    <x v="6"/>
    <n v="386.4"/>
    <n v="42"/>
    <d v="1998-05-01T00:00:00"/>
  </r>
  <r>
    <n v="11066"/>
    <x v="7"/>
    <n v="386.4"/>
    <n v="42"/>
    <d v="1998-05-01T00:00:00"/>
  </r>
  <r>
    <n v="11066"/>
    <x v="0"/>
    <n v="490"/>
    <n v="35"/>
    <d v="1998-05-01T00:00:00"/>
  </r>
  <r>
    <n v="11066"/>
    <x v="1"/>
    <n v="490"/>
    <n v="35"/>
    <d v="1998-05-01T00:00:00"/>
  </r>
  <r>
    <n v="11066"/>
    <x v="2"/>
    <n v="490"/>
    <n v="35"/>
    <d v="1998-05-01T00:00:00"/>
  </r>
  <r>
    <n v="11066"/>
    <x v="3"/>
    <n v="490"/>
    <n v="35"/>
    <d v="1998-05-01T00:00:00"/>
  </r>
  <r>
    <n v="11066"/>
    <x v="4"/>
    <n v="490"/>
    <n v="35"/>
    <d v="1998-05-01T00:00:00"/>
  </r>
  <r>
    <n v="11066"/>
    <x v="5"/>
    <n v="490"/>
    <n v="35"/>
    <d v="1998-05-01T00:00:00"/>
  </r>
  <r>
    <n v="11066"/>
    <x v="6"/>
    <n v="490"/>
    <n v="35"/>
    <d v="1998-05-01T00:00:00"/>
  </r>
  <r>
    <n v="11066"/>
    <x v="7"/>
    <n v="490"/>
    <n v="35"/>
    <d v="1998-05-01T00:00:00"/>
  </r>
  <r>
    <n v="11067"/>
    <x v="0"/>
    <n v="86.85"/>
    <n v="9"/>
    <d v="1998-05-04T00:00:00"/>
  </r>
  <r>
    <n v="11067"/>
    <x v="1"/>
    <n v="86.85"/>
    <n v="9"/>
    <d v="1998-05-04T00:00:00"/>
  </r>
  <r>
    <n v="11067"/>
    <x v="2"/>
    <n v="86.85"/>
    <n v="9"/>
    <d v="1998-05-04T00:00:00"/>
  </r>
  <r>
    <n v="11067"/>
    <x v="3"/>
    <n v="86.85"/>
    <n v="9"/>
    <d v="1998-05-04T00:00:00"/>
  </r>
  <r>
    <n v="11067"/>
    <x v="4"/>
    <n v="86.85"/>
    <n v="9"/>
    <d v="1998-05-04T00:00:00"/>
  </r>
  <r>
    <n v="11067"/>
    <x v="5"/>
    <n v="86.85"/>
    <n v="9"/>
    <d v="1998-05-04T00:00:00"/>
  </r>
  <r>
    <n v="11067"/>
    <x v="6"/>
    <n v="86.85"/>
    <n v="9"/>
    <d v="1998-05-04T00:00:00"/>
  </r>
  <r>
    <n v="11067"/>
    <x v="7"/>
    <n v="86.85"/>
    <n v="9"/>
    <d v="1998-05-04T00:00:00"/>
  </r>
  <r>
    <n v="11068"/>
    <x v="0"/>
    <n v="310.07999782562257"/>
    <n v="8"/>
    <d v="1998-05-04T00:00:00"/>
  </r>
  <r>
    <n v="11068"/>
    <x v="1"/>
    <n v="310.07999782562257"/>
    <n v="8"/>
    <d v="1998-05-04T00:00:00"/>
  </r>
  <r>
    <n v="11068"/>
    <x v="2"/>
    <n v="310.07999782562257"/>
    <n v="8"/>
    <d v="1998-05-04T00:00:00"/>
  </r>
  <r>
    <n v="11068"/>
    <x v="3"/>
    <n v="310.07999782562257"/>
    <n v="8"/>
    <d v="1998-05-04T00:00:00"/>
  </r>
  <r>
    <n v="11068"/>
    <x v="4"/>
    <n v="310.07999782562257"/>
    <n v="8"/>
    <d v="1998-05-04T00:00:00"/>
  </r>
  <r>
    <n v="11068"/>
    <x v="5"/>
    <n v="310.07999782562257"/>
    <n v="8"/>
    <d v="1998-05-04T00:00:00"/>
  </r>
  <r>
    <n v="11068"/>
    <x v="6"/>
    <n v="310.07999782562257"/>
    <n v="8"/>
    <d v="1998-05-04T00:00:00"/>
  </r>
  <r>
    <n v="11068"/>
    <x v="7"/>
    <n v="310.07999782562257"/>
    <n v="8"/>
    <d v="1998-05-04T00:00:00"/>
  </r>
  <r>
    <n v="11068"/>
    <x v="0"/>
    <n v="1407.5999901294708"/>
    <n v="36"/>
    <d v="1998-05-04T00:00:00"/>
  </r>
  <r>
    <n v="11068"/>
    <x v="1"/>
    <n v="1407.5999901294708"/>
    <n v="36"/>
    <d v="1998-05-04T00:00:00"/>
  </r>
  <r>
    <n v="11068"/>
    <x v="2"/>
    <n v="1407.5999901294708"/>
    <n v="36"/>
    <d v="1998-05-04T00:00:00"/>
  </r>
  <r>
    <n v="11068"/>
    <x v="3"/>
    <n v="1407.5999901294708"/>
    <n v="36"/>
    <d v="1998-05-04T00:00:00"/>
  </r>
  <r>
    <n v="11068"/>
    <x v="4"/>
    <n v="1407.5999901294708"/>
    <n v="36"/>
    <d v="1998-05-04T00:00:00"/>
  </r>
  <r>
    <n v="11068"/>
    <x v="5"/>
    <n v="1407.5999901294708"/>
    <n v="36"/>
    <d v="1998-05-04T00:00:00"/>
  </r>
  <r>
    <n v="11068"/>
    <x v="6"/>
    <n v="1407.5999901294708"/>
    <n v="36"/>
    <d v="1998-05-04T00:00:00"/>
  </r>
  <r>
    <n v="11068"/>
    <x v="7"/>
    <n v="1407.5999901294708"/>
    <n v="36"/>
    <d v="1998-05-04T00:00:00"/>
  </r>
  <r>
    <n v="11068"/>
    <x v="0"/>
    <n v="309.39999783039093"/>
    <n v="28"/>
    <d v="1998-05-04T00:00:00"/>
  </r>
  <r>
    <n v="11068"/>
    <x v="1"/>
    <n v="309.39999783039093"/>
    <n v="28"/>
    <d v="1998-05-04T00:00:00"/>
  </r>
  <r>
    <n v="11068"/>
    <x v="2"/>
    <n v="309.39999783039093"/>
    <n v="28"/>
    <d v="1998-05-04T00:00:00"/>
  </r>
  <r>
    <n v="11068"/>
    <x v="3"/>
    <n v="309.39999783039093"/>
    <n v="28"/>
    <d v="1998-05-04T00:00:00"/>
  </r>
  <r>
    <n v="11068"/>
    <x v="4"/>
    <n v="309.39999783039093"/>
    <n v="28"/>
    <d v="1998-05-04T00:00:00"/>
  </r>
  <r>
    <n v="11068"/>
    <x v="5"/>
    <n v="309.39999783039093"/>
    <n v="28"/>
    <d v="1998-05-04T00:00:00"/>
  </r>
  <r>
    <n v="11068"/>
    <x v="6"/>
    <n v="309.39999783039093"/>
    <n v="28"/>
    <d v="1998-05-04T00:00:00"/>
  </r>
  <r>
    <n v="11068"/>
    <x v="7"/>
    <n v="309.39999783039093"/>
    <n v="28"/>
    <d v="1998-05-04T00:00:00"/>
  </r>
  <r>
    <n v="11069"/>
    <x v="0"/>
    <n v="360"/>
    <n v="20"/>
    <d v="1998-05-04T00:00:00"/>
  </r>
  <r>
    <n v="11069"/>
    <x v="1"/>
    <n v="360"/>
    <n v="20"/>
    <d v="1998-05-04T00:00:00"/>
  </r>
  <r>
    <n v="11069"/>
    <x v="2"/>
    <n v="360"/>
    <n v="20"/>
    <d v="1998-05-04T00:00:00"/>
  </r>
  <r>
    <n v="11069"/>
    <x v="3"/>
    <n v="360"/>
    <n v="20"/>
    <d v="1998-05-04T00:00:00"/>
  </r>
  <r>
    <n v="11069"/>
    <x v="4"/>
    <n v="360"/>
    <n v="20"/>
    <d v="1998-05-04T00:00:00"/>
  </r>
  <r>
    <n v="11069"/>
    <x v="5"/>
    <n v="360"/>
    <n v="20"/>
    <d v="1998-05-04T00:00:00"/>
  </r>
  <r>
    <n v="11069"/>
    <x v="6"/>
    <n v="360"/>
    <n v="20"/>
    <d v="1998-05-04T00:00:00"/>
  </r>
  <r>
    <n v="11069"/>
    <x v="7"/>
    <n v="360"/>
    <n v="20"/>
    <d v="1998-05-04T00:00:00"/>
  </r>
  <r>
    <n v="11070"/>
    <x v="0"/>
    <n v="611.99999570846558"/>
    <n v="40"/>
    <d v="1998-05-05T00:00:00"/>
  </r>
  <r>
    <n v="11070"/>
    <x v="1"/>
    <n v="611.99999570846558"/>
    <n v="40"/>
    <d v="1998-05-05T00:00:00"/>
  </r>
  <r>
    <n v="11070"/>
    <x v="2"/>
    <n v="611.99999570846558"/>
    <n v="40"/>
    <d v="1998-05-05T00:00:00"/>
  </r>
  <r>
    <n v="11070"/>
    <x v="3"/>
    <n v="611.99999570846558"/>
    <n v="40"/>
    <d v="1998-05-05T00:00:00"/>
  </r>
  <r>
    <n v="11070"/>
    <x v="4"/>
    <n v="611.99999570846558"/>
    <n v="40"/>
    <d v="1998-05-05T00:00:00"/>
  </r>
  <r>
    <n v="11070"/>
    <x v="5"/>
    <n v="611.99999570846558"/>
    <n v="40"/>
    <d v="1998-05-05T00:00:00"/>
  </r>
  <r>
    <n v="11070"/>
    <x v="6"/>
    <n v="611.99999570846558"/>
    <n v="40"/>
    <d v="1998-05-05T00:00:00"/>
  </r>
  <r>
    <n v="11070"/>
    <x v="7"/>
    <n v="611.99999570846558"/>
    <n v="40"/>
    <d v="1998-05-05T00:00:00"/>
  </r>
  <r>
    <n v="11070"/>
    <x v="0"/>
    <n v="322.9999977350235"/>
    <n v="20"/>
    <d v="1998-05-05T00:00:00"/>
  </r>
  <r>
    <n v="11070"/>
    <x v="1"/>
    <n v="322.9999977350235"/>
    <n v="20"/>
    <d v="1998-05-05T00:00:00"/>
  </r>
  <r>
    <n v="11070"/>
    <x v="2"/>
    <n v="322.9999977350235"/>
    <n v="20"/>
    <d v="1998-05-05T00:00:00"/>
  </r>
  <r>
    <n v="11070"/>
    <x v="3"/>
    <n v="322.9999977350235"/>
    <n v="20"/>
    <d v="1998-05-05T00:00:00"/>
  </r>
  <r>
    <n v="11070"/>
    <x v="4"/>
    <n v="322.9999977350235"/>
    <n v="20"/>
    <d v="1998-05-05T00:00:00"/>
  </r>
  <r>
    <n v="11070"/>
    <x v="5"/>
    <n v="322.9999977350235"/>
    <n v="20"/>
    <d v="1998-05-05T00:00:00"/>
  </r>
  <r>
    <n v="11070"/>
    <x v="6"/>
    <n v="322.9999977350235"/>
    <n v="20"/>
    <d v="1998-05-05T00:00:00"/>
  </r>
  <r>
    <n v="11070"/>
    <x v="7"/>
    <n v="322.9999977350235"/>
    <n v="20"/>
    <d v="1998-05-05T00:00:00"/>
  </r>
  <r>
    <n v="11070"/>
    <x v="0"/>
    <n v="444.97499687969685"/>
    <n v="30"/>
    <d v="1998-05-05T00:00:00"/>
  </r>
  <r>
    <n v="11070"/>
    <x v="1"/>
    <n v="444.97499687969685"/>
    <n v="30"/>
    <d v="1998-05-05T00:00:00"/>
  </r>
  <r>
    <n v="11070"/>
    <x v="2"/>
    <n v="444.97499687969685"/>
    <n v="30"/>
    <d v="1998-05-05T00:00:00"/>
  </r>
  <r>
    <n v="11070"/>
    <x v="3"/>
    <n v="444.97499687969685"/>
    <n v="30"/>
    <d v="1998-05-05T00:00:00"/>
  </r>
  <r>
    <n v="11070"/>
    <x v="4"/>
    <n v="444.97499687969685"/>
    <n v="30"/>
    <d v="1998-05-05T00:00:00"/>
  </r>
  <r>
    <n v="11070"/>
    <x v="5"/>
    <n v="444.97499687969685"/>
    <n v="30"/>
    <d v="1998-05-05T00:00:00"/>
  </r>
  <r>
    <n v="11070"/>
    <x v="6"/>
    <n v="444.97499687969685"/>
    <n v="30"/>
    <d v="1998-05-05T00:00:00"/>
  </r>
  <r>
    <n v="11070"/>
    <x v="7"/>
    <n v="444.97499687969685"/>
    <n v="30"/>
    <d v="1998-05-05T00:00:00"/>
  </r>
  <r>
    <n v="11070"/>
    <x v="0"/>
    <n v="250"/>
    <n v="20"/>
    <d v="1998-05-05T00:00:00"/>
  </r>
  <r>
    <n v="11070"/>
    <x v="1"/>
    <n v="250"/>
    <n v="20"/>
    <d v="1998-05-05T00:00:00"/>
  </r>
  <r>
    <n v="11070"/>
    <x v="2"/>
    <n v="250"/>
    <n v="20"/>
    <d v="1998-05-05T00:00:00"/>
  </r>
  <r>
    <n v="11070"/>
    <x v="3"/>
    <n v="250"/>
    <n v="20"/>
    <d v="1998-05-05T00:00:00"/>
  </r>
  <r>
    <n v="11070"/>
    <x v="4"/>
    <n v="250"/>
    <n v="20"/>
    <d v="1998-05-05T00:00:00"/>
  </r>
  <r>
    <n v="11070"/>
    <x v="5"/>
    <n v="250"/>
    <n v="20"/>
    <d v="1998-05-05T00:00:00"/>
  </r>
  <r>
    <n v="11070"/>
    <x v="6"/>
    <n v="250"/>
    <n v="20"/>
    <d v="1998-05-05T00:00:00"/>
  </r>
  <r>
    <n v="11070"/>
    <x v="7"/>
    <n v="250"/>
    <n v="20"/>
    <d v="1998-05-05T00:00:00"/>
  </r>
  <r>
    <n v="11071"/>
    <x v="0"/>
    <n v="427.49999966472387"/>
    <n v="15"/>
    <d v="1998-05-05T00:00:00"/>
  </r>
  <r>
    <n v="11071"/>
    <x v="1"/>
    <n v="427.49999966472387"/>
    <n v="15"/>
    <d v="1998-05-05T00:00:00"/>
  </r>
  <r>
    <n v="11071"/>
    <x v="2"/>
    <n v="427.49999966472387"/>
    <n v="15"/>
    <d v="1998-05-05T00:00:00"/>
  </r>
  <r>
    <n v="11071"/>
    <x v="3"/>
    <n v="427.49999966472387"/>
    <n v="15"/>
    <d v="1998-05-05T00:00:00"/>
  </r>
  <r>
    <n v="11071"/>
    <x v="4"/>
    <n v="427.49999966472387"/>
    <n v="15"/>
    <d v="1998-05-05T00:00:00"/>
  </r>
  <r>
    <n v="11071"/>
    <x v="5"/>
    <n v="427.49999966472387"/>
    <n v="15"/>
    <d v="1998-05-05T00:00:00"/>
  </r>
  <r>
    <n v="11071"/>
    <x v="6"/>
    <n v="427.49999966472387"/>
    <n v="15"/>
    <d v="1998-05-05T00:00:00"/>
  </r>
  <r>
    <n v="11071"/>
    <x v="7"/>
    <n v="427.49999966472387"/>
    <n v="15"/>
    <d v="1998-05-05T00:00:00"/>
  </r>
  <r>
    <n v="11071"/>
    <x v="0"/>
    <n v="56.999999955296516"/>
    <n v="10"/>
    <d v="1998-05-05T00:00:00"/>
  </r>
  <r>
    <n v="11071"/>
    <x v="1"/>
    <n v="56.999999955296516"/>
    <n v="10"/>
    <d v="1998-05-05T00:00:00"/>
  </r>
  <r>
    <n v="11071"/>
    <x v="2"/>
    <n v="56.999999955296516"/>
    <n v="10"/>
    <d v="1998-05-05T00:00:00"/>
  </r>
  <r>
    <n v="11071"/>
    <x v="3"/>
    <n v="56.999999955296516"/>
    <n v="10"/>
    <d v="1998-05-05T00:00:00"/>
  </r>
  <r>
    <n v="11071"/>
    <x v="4"/>
    <n v="56.999999955296516"/>
    <n v="10"/>
    <d v="1998-05-05T00:00:00"/>
  </r>
  <r>
    <n v="11071"/>
    <x v="5"/>
    <n v="56.999999955296516"/>
    <n v="10"/>
    <d v="1998-05-05T00:00:00"/>
  </r>
  <r>
    <n v="11071"/>
    <x v="6"/>
    <n v="56.999999955296516"/>
    <n v="10"/>
    <d v="1998-05-05T00:00:00"/>
  </r>
  <r>
    <n v="11071"/>
    <x v="7"/>
    <n v="56.999999955296516"/>
    <n v="10"/>
    <d v="1998-05-05T00:00:00"/>
  </r>
  <r>
    <n v="11072"/>
    <x v="0"/>
    <n v="152"/>
    <n v="8"/>
    <d v="1998-05-05T00:00:00"/>
  </r>
  <r>
    <n v="11072"/>
    <x v="1"/>
    <n v="152"/>
    <n v="8"/>
    <d v="1998-05-05T00:00:00"/>
  </r>
  <r>
    <n v="11072"/>
    <x v="2"/>
    <n v="152"/>
    <n v="8"/>
    <d v="1998-05-05T00:00:00"/>
  </r>
  <r>
    <n v="11072"/>
    <x v="3"/>
    <n v="152"/>
    <n v="8"/>
    <d v="1998-05-05T00:00:00"/>
  </r>
  <r>
    <n v="11072"/>
    <x v="4"/>
    <n v="152"/>
    <n v="8"/>
    <d v="1998-05-05T00:00:00"/>
  </r>
  <r>
    <n v="11072"/>
    <x v="5"/>
    <n v="152"/>
    <n v="8"/>
    <d v="1998-05-05T00:00:00"/>
  </r>
  <r>
    <n v="11072"/>
    <x v="6"/>
    <n v="152"/>
    <n v="8"/>
    <d v="1998-05-05T00:00:00"/>
  </r>
  <r>
    <n v="11072"/>
    <x v="7"/>
    <n v="152"/>
    <n v="8"/>
    <d v="1998-05-05T00:00:00"/>
  </r>
  <r>
    <n v="11072"/>
    <x v="0"/>
    <n v="386"/>
    <n v="40"/>
    <d v="1998-05-05T00:00:00"/>
  </r>
  <r>
    <n v="11072"/>
    <x v="1"/>
    <n v="386"/>
    <n v="40"/>
    <d v="1998-05-05T00:00:00"/>
  </r>
  <r>
    <n v="11072"/>
    <x v="2"/>
    <n v="386"/>
    <n v="40"/>
    <d v="1998-05-05T00:00:00"/>
  </r>
  <r>
    <n v="11072"/>
    <x v="3"/>
    <n v="386"/>
    <n v="40"/>
    <d v="1998-05-05T00:00:00"/>
  </r>
  <r>
    <n v="11072"/>
    <x v="4"/>
    <n v="386"/>
    <n v="40"/>
    <d v="1998-05-05T00:00:00"/>
  </r>
  <r>
    <n v="11072"/>
    <x v="5"/>
    <n v="386"/>
    <n v="40"/>
    <d v="1998-05-05T00:00:00"/>
  </r>
  <r>
    <n v="11072"/>
    <x v="6"/>
    <n v="386"/>
    <n v="40"/>
    <d v="1998-05-05T00:00:00"/>
  </r>
  <r>
    <n v="11072"/>
    <x v="7"/>
    <n v="386"/>
    <n v="40"/>
    <d v="1998-05-05T00:00:00"/>
  </r>
  <r>
    <n v="11072"/>
    <x v="0"/>
    <n v="357.5"/>
    <n v="22"/>
    <d v="1998-05-05T00:00:00"/>
  </r>
  <r>
    <n v="11072"/>
    <x v="1"/>
    <n v="357.5"/>
    <n v="22"/>
    <d v="1998-05-05T00:00:00"/>
  </r>
  <r>
    <n v="11072"/>
    <x v="2"/>
    <n v="357.5"/>
    <n v="22"/>
    <d v="1998-05-05T00:00:00"/>
  </r>
  <r>
    <n v="11072"/>
    <x v="3"/>
    <n v="357.5"/>
    <n v="22"/>
    <d v="1998-05-05T00:00:00"/>
  </r>
  <r>
    <n v="11072"/>
    <x v="4"/>
    <n v="357.5"/>
    <n v="22"/>
    <d v="1998-05-05T00:00:00"/>
  </r>
  <r>
    <n v="11072"/>
    <x v="5"/>
    <n v="357.5"/>
    <n v="22"/>
    <d v="1998-05-05T00:00:00"/>
  </r>
  <r>
    <n v="11072"/>
    <x v="6"/>
    <n v="357.5"/>
    <n v="22"/>
    <d v="1998-05-05T00:00:00"/>
  </r>
  <r>
    <n v="11072"/>
    <x v="7"/>
    <n v="357.5"/>
    <n v="22"/>
    <d v="1998-05-05T00:00:00"/>
  </r>
  <r>
    <n v="11072"/>
    <x v="0"/>
    <n v="4322.5"/>
    <n v="130"/>
    <d v="1998-05-05T00:00:00"/>
  </r>
  <r>
    <n v="11072"/>
    <x v="1"/>
    <n v="4322.5"/>
    <n v="130"/>
    <d v="1998-05-05T00:00:00"/>
  </r>
  <r>
    <n v="11072"/>
    <x v="2"/>
    <n v="4322.5"/>
    <n v="130"/>
    <d v="1998-05-05T00:00:00"/>
  </r>
  <r>
    <n v="11072"/>
    <x v="3"/>
    <n v="4322.5"/>
    <n v="130"/>
    <d v="1998-05-05T00:00:00"/>
  </r>
  <r>
    <n v="11072"/>
    <x v="4"/>
    <n v="4322.5"/>
    <n v="130"/>
    <d v="1998-05-05T00:00:00"/>
  </r>
  <r>
    <n v="11072"/>
    <x v="5"/>
    <n v="4322.5"/>
    <n v="130"/>
    <d v="1998-05-05T00:00:00"/>
  </r>
  <r>
    <n v="11072"/>
    <x v="6"/>
    <n v="4322.5"/>
    <n v="130"/>
    <d v="1998-05-05T00:00:00"/>
  </r>
  <r>
    <n v="11072"/>
    <x v="7"/>
    <n v="4322.5"/>
    <n v="130"/>
    <d v="1998-05-05T00:00:00"/>
  </r>
  <r>
    <n v="11073"/>
    <x v="0"/>
    <n v="210"/>
    <n v="10"/>
    <d v="1998-05-05T00:00:00"/>
  </r>
  <r>
    <n v="11073"/>
    <x v="1"/>
    <n v="210"/>
    <n v="10"/>
    <d v="1998-05-05T00:00:00"/>
  </r>
  <r>
    <n v="11073"/>
    <x v="2"/>
    <n v="210"/>
    <n v="10"/>
    <d v="1998-05-05T00:00:00"/>
  </r>
  <r>
    <n v="11073"/>
    <x v="3"/>
    <n v="210"/>
    <n v="10"/>
    <d v="1998-05-05T00:00:00"/>
  </r>
  <r>
    <n v="11073"/>
    <x v="4"/>
    <n v="210"/>
    <n v="10"/>
    <d v="1998-05-05T00:00:00"/>
  </r>
  <r>
    <n v="11073"/>
    <x v="5"/>
    <n v="210"/>
    <n v="10"/>
    <d v="1998-05-05T00:00:00"/>
  </r>
  <r>
    <n v="11073"/>
    <x v="6"/>
    <n v="210"/>
    <n v="10"/>
    <d v="1998-05-05T00:00:00"/>
  </r>
  <r>
    <n v="11073"/>
    <x v="7"/>
    <n v="210"/>
    <n v="10"/>
    <d v="1998-05-05T00:00:00"/>
  </r>
  <r>
    <n v="11073"/>
    <x v="0"/>
    <n v="90"/>
    <n v="20"/>
    <d v="1998-05-05T00:00:00"/>
  </r>
  <r>
    <n v="11073"/>
    <x v="1"/>
    <n v="90"/>
    <n v="20"/>
    <d v="1998-05-05T00:00:00"/>
  </r>
  <r>
    <n v="11073"/>
    <x v="2"/>
    <n v="90"/>
    <n v="20"/>
    <d v="1998-05-05T00:00:00"/>
  </r>
  <r>
    <n v="11073"/>
    <x v="3"/>
    <n v="90"/>
    <n v="20"/>
    <d v="1998-05-05T00:00:00"/>
  </r>
  <r>
    <n v="11073"/>
    <x v="4"/>
    <n v="90"/>
    <n v="20"/>
    <d v="1998-05-05T00:00:00"/>
  </r>
  <r>
    <n v="11073"/>
    <x v="5"/>
    <n v="90"/>
    <n v="20"/>
    <d v="1998-05-05T00:00:00"/>
  </r>
  <r>
    <n v="11073"/>
    <x v="6"/>
    <n v="90"/>
    <n v="20"/>
    <d v="1998-05-05T00:00:00"/>
  </r>
  <r>
    <n v="11073"/>
    <x v="7"/>
    <n v="90"/>
    <n v="20"/>
    <d v="1998-05-05T00:00:00"/>
  </r>
  <r>
    <n v="11074"/>
    <x v="0"/>
    <n v="232.08499981798232"/>
    <n v="14"/>
    <d v="1998-05-06T00:00:00"/>
  </r>
  <r>
    <n v="11074"/>
    <x v="1"/>
    <n v="232.08499981798232"/>
    <n v="14"/>
    <d v="1998-05-06T00:00:00"/>
  </r>
  <r>
    <n v="11074"/>
    <x v="2"/>
    <n v="232.08499981798232"/>
    <n v="14"/>
    <d v="1998-05-06T00:00:00"/>
  </r>
  <r>
    <n v="11074"/>
    <x v="3"/>
    <n v="232.08499981798232"/>
    <n v="14"/>
    <d v="1998-05-06T00:00:00"/>
  </r>
  <r>
    <n v="11074"/>
    <x v="4"/>
    <n v="232.08499981798232"/>
    <n v="14"/>
    <d v="1998-05-06T00:00:00"/>
  </r>
  <r>
    <n v="11074"/>
    <x v="5"/>
    <n v="232.08499981798232"/>
    <n v="14"/>
    <d v="1998-05-06T00:00:00"/>
  </r>
  <r>
    <n v="11074"/>
    <x v="6"/>
    <n v="232.08499981798232"/>
    <n v="14"/>
    <d v="1998-05-06T00:00:00"/>
  </r>
  <r>
    <n v="11074"/>
    <x v="7"/>
    <n v="232.08499981798232"/>
    <n v="14"/>
    <d v="1998-05-06T00:00:00"/>
  </r>
  <r>
    <n v="11075"/>
    <x v="0"/>
    <n v="161.49999886751175"/>
    <n v="10"/>
    <d v="1998-05-06T00:00:00"/>
  </r>
  <r>
    <n v="11075"/>
    <x v="1"/>
    <n v="161.49999886751175"/>
    <n v="10"/>
    <d v="1998-05-06T00:00:00"/>
  </r>
  <r>
    <n v="11075"/>
    <x v="2"/>
    <n v="161.49999886751175"/>
    <n v="10"/>
    <d v="1998-05-06T00:00:00"/>
  </r>
  <r>
    <n v="11075"/>
    <x v="3"/>
    <n v="161.49999886751175"/>
    <n v="10"/>
    <d v="1998-05-06T00:00:00"/>
  </r>
  <r>
    <n v="11075"/>
    <x v="4"/>
    <n v="161.49999886751175"/>
    <n v="10"/>
    <d v="1998-05-06T00:00:00"/>
  </r>
  <r>
    <n v="11075"/>
    <x v="5"/>
    <n v="161.49999886751175"/>
    <n v="10"/>
    <d v="1998-05-06T00:00:00"/>
  </r>
  <r>
    <n v="11075"/>
    <x v="6"/>
    <n v="161.49999886751175"/>
    <n v="10"/>
    <d v="1998-05-06T00:00:00"/>
  </r>
  <r>
    <n v="11075"/>
    <x v="7"/>
    <n v="161.49999886751175"/>
    <n v="10"/>
    <d v="1998-05-06T00:00:00"/>
  </r>
  <r>
    <n v="11075"/>
    <x v="0"/>
    <n v="305.99999785423279"/>
    <n v="30"/>
    <d v="1998-05-06T00:00:00"/>
  </r>
  <r>
    <n v="11075"/>
    <x v="1"/>
    <n v="305.99999785423279"/>
    <n v="30"/>
    <d v="1998-05-06T00:00:00"/>
  </r>
  <r>
    <n v="11075"/>
    <x v="2"/>
    <n v="305.99999785423279"/>
    <n v="30"/>
    <d v="1998-05-06T00:00:00"/>
  </r>
  <r>
    <n v="11075"/>
    <x v="3"/>
    <n v="305.99999785423279"/>
    <n v="30"/>
    <d v="1998-05-06T00:00:00"/>
  </r>
  <r>
    <n v="11075"/>
    <x v="4"/>
    <n v="305.99999785423279"/>
    <n v="30"/>
    <d v="1998-05-06T00:00:00"/>
  </r>
  <r>
    <n v="11075"/>
    <x v="5"/>
    <n v="305.99999785423279"/>
    <n v="30"/>
    <d v="1998-05-06T00:00:00"/>
  </r>
  <r>
    <n v="11075"/>
    <x v="6"/>
    <n v="305.99999785423279"/>
    <n v="30"/>
    <d v="1998-05-06T00:00:00"/>
  </r>
  <r>
    <n v="11075"/>
    <x v="7"/>
    <n v="305.99999785423279"/>
    <n v="30"/>
    <d v="1998-05-06T00:00:00"/>
  </r>
  <r>
    <n v="11075"/>
    <x v="0"/>
    <n v="30.599999785423279"/>
    <n v="2"/>
    <d v="1998-05-06T00:00:00"/>
  </r>
  <r>
    <n v="11075"/>
    <x v="1"/>
    <n v="30.599999785423279"/>
    <n v="2"/>
    <d v="1998-05-06T00:00:00"/>
  </r>
  <r>
    <n v="11075"/>
    <x v="2"/>
    <n v="30.599999785423279"/>
    <n v="2"/>
    <d v="1998-05-06T00:00:00"/>
  </r>
  <r>
    <n v="11075"/>
    <x v="3"/>
    <n v="30.599999785423279"/>
    <n v="2"/>
    <d v="1998-05-06T00:00:00"/>
  </r>
  <r>
    <n v="11075"/>
    <x v="4"/>
    <n v="30.599999785423279"/>
    <n v="2"/>
    <d v="1998-05-06T00:00:00"/>
  </r>
  <r>
    <n v="11075"/>
    <x v="5"/>
    <n v="30.599999785423279"/>
    <n v="2"/>
    <d v="1998-05-06T00:00:00"/>
  </r>
  <r>
    <n v="11075"/>
    <x v="6"/>
    <n v="30.599999785423279"/>
    <n v="2"/>
    <d v="1998-05-06T00:00:00"/>
  </r>
  <r>
    <n v="11075"/>
    <x v="7"/>
    <n v="30.599999785423279"/>
    <n v="2"/>
    <d v="1998-05-06T00:00:00"/>
  </r>
  <r>
    <n v="11076"/>
    <x v="0"/>
    <n v="375"/>
    <n v="20"/>
    <d v="1998-05-06T00:00:00"/>
  </r>
  <r>
    <n v="11076"/>
    <x v="1"/>
    <n v="375"/>
    <n v="20"/>
    <d v="1998-05-06T00:00:00"/>
  </r>
  <r>
    <n v="11076"/>
    <x v="2"/>
    <n v="375"/>
    <n v="20"/>
    <d v="1998-05-06T00:00:00"/>
  </r>
  <r>
    <n v="11076"/>
    <x v="3"/>
    <n v="375"/>
    <n v="20"/>
    <d v="1998-05-06T00:00:00"/>
  </r>
  <r>
    <n v="11076"/>
    <x v="4"/>
    <n v="375"/>
    <n v="20"/>
    <d v="1998-05-06T00:00:00"/>
  </r>
  <r>
    <n v="11076"/>
    <x v="5"/>
    <n v="375"/>
    <n v="20"/>
    <d v="1998-05-06T00:00:00"/>
  </r>
  <r>
    <n v="11076"/>
    <x v="6"/>
    <n v="375"/>
    <n v="20"/>
    <d v="1998-05-06T00:00:00"/>
  </r>
  <r>
    <n v="11076"/>
    <x v="7"/>
    <n v="375"/>
    <n v="20"/>
    <d v="1998-05-06T00:00:00"/>
  </r>
  <r>
    <n v="11076"/>
    <x v="0"/>
    <n v="348.75"/>
    <n v="20"/>
    <d v="1998-05-06T00:00:00"/>
  </r>
  <r>
    <n v="11076"/>
    <x v="1"/>
    <n v="348.75"/>
    <n v="20"/>
    <d v="1998-05-06T00:00:00"/>
  </r>
  <r>
    <n v="11076"/>
    <x v="2"/>
    <n v="348.75"/>
    <n v="20"/>
    <d v="1998-05-06T00:00:00"/>
  </r>
  <r>
    <n v="11076"/>
    <x v="3"/>
    <n v="348.75"/>
    <n v="20"/>
    <d v="1998-05-06T00:00:00"/>
  </r>
  <r>
    <n v="11076"/>
    <x v="4"/>
    <n v="348.75"/>
    <n v="20"/>
    <d v="1998-05-06T00:00:00"/>
  </r>
  <r>
    <n v="11076"/>
    <x v="5"/>
    <n v="348.75"/>
    <n v="20"/>
    <d v="1998-05-06T00:00:00"/>
  </r>
  <r>
    <n v="11076"/>
    <x v="6"/>
    <n v="348.75"/>
    <n v="20"/>
    <d v="1998-05-06T00:00:00"/>
  </r>
  <r>
    <n v="11076"/>
    <x v="7"/>
    <n v="348.75"/>
    <n v="20"/>
    <d v="1998-05-06T00:00:00"/>
  </r>
  <r>
    <n v="11076"/>
    <x v="0"/>
    <n v="69"/>
    <n v="10"/>
    <d v="1998-05-06T00:00:00"/>
  </r>
  <r>
    <n v="11076"/>
    <x v="1"/>
    <n v="69"/>
    <n v="10"/>
    <d v="1998-05-06T00:00:00"/>
  </r>
  <r>
    <n v="11076"/>
    <x v="2"/>
    <n v="69"/>
    <n v="10"/>
    <d v="1998-05-06T00:00:00"/>
  </r>
  <r>
    <n v="11076"/>
    <x v="3"/>
    <n v="69"/>
    <n v="10"/>
    <d v="1998-05-06T00:00:00"/>
  </r>
  <r>
    <n v="11076"/>
    <x v="4"/>
    <n v="69"/>
    <n v="10"/>
    <d v="1998-05-06T00:00:00"/>
  </r>
  <r>
    <n v="11076"/>
    <x v="5"/>
    <n v="69"/>
    <n v="10"/>
    <d v="1998-05-06T00:00:00"/>
  </r>
  <r>
    <n v="11076"/>
    <x v="6"/>
    <n v="69"/>
    <n v="10"/>
    <d v="1998-05-06T00:00:00"/>
  </r>
  <r>
    <n v="11076"/>
    <x v="7"/>
    <n v="69"/>
    <n v="10"/>
    <d v="1998-05-06T00:00:00"/>
  </r>
  <r>
    <n v="11077"/>
    <x v="0"/>
    <n v="364.7999986410141"/>
    <n v="24"/>
    <d v="1998-05-06T00:00:00"/>
  </r>
  <r>
    <n v="11077"/>
    <x v="1"/>
    <n v="364.7999986410141"/>
    <n v="24"/>
    <d v="1998-05-06T00:00:00"/>
  </r>
  <r>
    <n v="11077"/>
    <x v="2"/>
    <n v="364.7999986410141"/>
    <n v="24"/>
    <d v="1998-05-06T00:00:00"/>
  </r>
  <r>
    <n v="11077"/>
    <x v="3"/>
    <n v="364.7999986410141"/>
    <n v="24"/>
    <d v="1998-05-06T00:00:00"/>
  </r>
  <r>
    <n v="11077"/>
    <x v="4"/>
    <n v="364.7999986410141"/>
    <n v="24"/>
    <d v="1998-05-06T00:00:00"/>
  </r>
  <r>
    <n v="11077"/>
    <x v="5"/>
    <n v="364.7999986410141"/>
    <n v="24"/>
    <d v="1998-05-06T00:00:00"/>
  </r>
  <r>
    <n v="11077"/>
    <x v="6"/>
    <n v="364.7999986410141"/>
    <n v="24"/>
    <d v="1998-05-06T00:00:00"/>
  </r>
  <r>
    <n v="11077"/>
    <x v="7"/>
    <n v="364.7999986410141"/>
    <n v="24"/>
    <d v="1998-05-06T00:00:00"/>
  </r>
  <r>
    <n v="11077"/>
    <x v="0"/>
    <n v="40"/>
    <n v="4"/>
    <d v="1998-05-06T00:00:00"/>
  </r>
  <r>
    <n v="11077"/>
    <x v="1"/>
    <n v="40"/>
    <n v="4"/>
    <d v="1998-05-06T00:00:00"/>
  </r>
  <r>
    <n v="11077"/>
    <x v="2"/>
    <n v="40"/>
    <n v="4"/>
    <d v="1998-05-06T00:00:00"/>
  </r>
  <r>
    <n v="11077"/>
    <x v="3"/>
    <n v="40"/>
    <n v="4"/>
    <d v="1998-05-06T00:00:00"/>
  </r>
  <r>
    <n v="11077"/>
    <x v="4"/>
    <n v="40"/>
    <n v="4"/>
    <d v="1998-05-06T00:00:00"/>
  </r>
  <r>
    <n v="11077"/>
    <x v="5"/>
    <n v="40"/>
    <n v="4"/>
    <d v="1998-05-06T00:00:00"/>
  </r>
  <r>
    <n v="11077"/>
    <x v="6"/>
    <n v="40"/>
    <n v="4"/>
    <d v="1998-05-06T00:00:00"/>
  </r>
  <r>
    <n v="11077"/>
    <x v="7"/>
    <n v="40"/>
    <n v="4"/>
    <d v="1998-05-06T00:00:00"/>
  </r>
  <r>
    <n v="11077"/>
    <x v="0"/>
    <n v="22"/>
    <n v="1"/>
    <d v="1998-05-06T00:00:00"/>
  </r>
  <r>
    <n v="11077"/>
    <x v="1"/>
    <n v="22"/>
    <n v="1"/>
    <d v="1998-05-06T00:00:00"/>
  </r>
  <r>
    <n v="11077"/>
    <x v="2"/>
    <n v="22"/>
    <n v="1"/>
    <d v="1998-05-06T00:00:00"/>
  </r>
  <r>
    <n v="11077"/>
    <x v="3"/>
    <n v="22"/>
    <n v="1"/>
    <d v="1998-05-06T00:00:00"/>
  </r>
  <r>
    <n v="11077"/>
    <x v="4"/>
    <n v="22"/>
    <n v="1"/>
    <d v="1998-05-06T00:00:00"/>
  </r>
  <r>
    <n v="11077"/>
    <x v="5"/>
    <n v="22"/>
    <n v="1"/>
    <d v="1998-05-06T00:00:00"/>
  </r>
  <r>
    <n v="11077"/>
    <x v="6"/>
    <n v="22"/>
    <n v="1"/>
    <d v="1998-05-06T00:00:00"/>
  </r>
  <r>
    <n v="11077"/>
    <x v="7"/>
    <n v="22"/>
    <n v="1"/>
    <d v="1998-05-06T00:00:00"/>
  </r>
  <r>
    <n v="11077"/>
    <x v="0"/>
    <n v="24.500000011175871"/>
    <n v="1"/>
    <d v="1998-05-06T00:00:00"/>
  </r>
  <r>
    <n v="11077"/>
    <x v="1"/>
    <n v="24.500000011175871"/>
    <n v="1"/>
    <d v="1998-05-06T00:00:00"/>
  </r>
  <r>
    <n v="11077"/>
    <x v="2"/>
    <n v="24.500000011175871"/>
    <n v="1"/>
    <d v="1998-05-06T00:00:00"/>
  </r>
  <r>
    <n v="11077"/>
    <x v="3"/>
    <n v="24.500000011175871"/>
    <n v="1"/>
    <d v="1998-05-06T00:00:00"/>
  </r>
  <r>
    <n v="11077"/>
    <x v="4"/>
    <n v="24.500000011175871"/>
    <n v="1"/>
    <d v="1998-05-06T00:00:00"/>
  </r>
  <r>
    <n v="11077"/>
    <x v="5"/>
    <n v="24.500000011175871"/>
    <n v="1"/>
    <d v="1998-05-06T00:00:00"/>
  </r>
  <r>
    <n v="11077"/>
    <x v="6"/>
    <n v="24.500000011175871"/>
    <n v="1"/>
    <d v="1998-05-06T00:00:00"/>
  </r>
  <r>
    <n v="11077"/>
    <x v="7"/>
    <n v="24.500000011175871"/>
    <n v="1"/>
    <d v="1998-05-06T00:00:00"/>
  </r>
  <r>
    <n v="11077"/>
    <x v="0"/>
    <n v="28.499999977648258"/>
    <n v="1"/>
    <d v="1998-05-06T00:00:00"/>
  </r>
  <r>
    <n v="11077"/>
    <x v="1"/>
    <n v="28.499999977648258"/>
    <n v="1"/>
    <d v="1998-05-06T00:00:00"/>
  </r>
  <r>
    <n v="11077"/>
    <x v="2"/>
    <n v="28.499999977648258"/>
    <n v="1"/>
    <d v="1998-05-06T00:00:00"/>
  </r>
  <r>
    <n v="11077"/>
    <x v="3"/>
    <n v="28.499999977648258"/>
    <n v="1"/>
    <d v="1998-05-06T00:00:00"/>
  </r>
  <r>
    <n v="11077"/>
    <x v="4"/>
    <n v="28.499999977648258"/>
    <n v="1"/>
    <d v="1998-05-06T00:00:00"/>
  </r>
  <r>
    <n v="11077"/>
    <x v="5"/>
    <n v="28.499999977648258"/>
    <n v="1"/>
    <d v="1998-05-06T00:00:00"/>
  </r>
  <r>
    <n v="11077"/>
    <x v="6"/>
    <n v="28.499999977648258"/>
    <n v="1"/>
    <d v="1998-05-06T00:00:00"/>
  </r>
  <r>
    <n v="11077"/>
    <x v="7"/>
    <n v="28.499999977648258"/>
    <n v="1"/>
    <d v="1998-05-06T00:00:00"/>
  </r>
  <r>
    <n v="11077"/>
    <x v="0"/>
    <n v="71.99999988079071"/>
    <n v="2"/>
    <d v="1998-05-06T00:00:00"/>
  </r>
  <r>
    <n v="11077"/>
    <x v="1"/>
    <n v="71.99999988079071"/>
    <n v="2"/>
    <d v="1998-05-06T00:00:00"/>
  </r>
  <r>
    <n v="11077"/>
    <x v="2"/>
    <n v="71.99999988079071"/>
    <n v="2"/>
    <d v="1998-05-06T00:00:00"/>
  </r>
  <r>
    <n v="11077"/>
    <x v="3"/>
    <n v="71.99999988079071"/>
    <n v="2"/>
    <d v="1998-05-06T00:00:00"/>
  </r>
  <r>
    <n v="11077"/>
    <x v="4"/>
    <n v="71.99999988079071"/>
    <n v="2"/>
    <d v="1998-05-06T00:00:00"/>
  </r>
  <r>
    <n v="11077"/>
    <x v="5"/>
    <n v="71.99999988079071"/>
    <n v="2"/>
    <d v="1998-05-06T00:00:00"/>
  </r>
  <r>
    <n v="11077"/>
    <x v="6"/>
    <n v="71.99999988079071"/>
    <n v="2"/>
    <d v="1998-05-06T00:00:00"/>
  </r>
  <r>
    <n v="11077"/>
    <x v="7"/>
    <n v="71.99999988079071"/>
    <n v="2"/>
    <d v="1998-05-06T00:00:00"/>
  </r>
  <r>
    <n v="11077"/>
    <x v="0"/>
    <n v="31"/>
    <n v="1"/>
    <d v="1998-05-06T00:00:00"/>
  </r>
  <r>
    <n v="11077"/>
    <x v="1"/>
    <n v="31"/>
    <n v="1"/>
    <d v="1998-05-06T00:00:00"/>
  </r>
  <r>
    <n v="11077"/>
    <x v="2"/>
    <n v="31"/>
    <n v="1"/>
    <d v="1998-05-06T00:00:00"/>
  </r>
  <r>
    <n v="11077"/>
    <x v="3"/>
    <n v="31"/>
    <n v="1"/>
    <d v="1998-05-06T00:00:00"/>
  </r>
  <r>
    <n v="11077"/>
    <x v="4"/>
    <n v="31"/>
    <n v="1"/>
    <d v="1998-05-06T00:00:00"/>
  </r>
  <r>
    <n v="11077"/>
    <x v="5"/>
    <n v="31"/>
    <n v="1"/>
    <d v="1998-05-06T00:00:00"/>
  </r>
  <r>
    <n v="11077"/>
    <x v="6"/>
    <n v="31"/>
    <n v="1"/>
    <d v="1998-05-06T00:00:00"/>
  </r>
  <r>
    <n v="11077"/>
    <x v="7"/>
    <n v="31"/>
    <n v="1"/>
    <d v="1998-05-06T00:00:00"/>
  </r>
  <r>
    <n v="11077"/>
    <x v="0"/>
    <n v="72.199999943375587"/>
    <n v="2"/>
    <d v="1998-05-06T00:00:00"/>
  </r>
  <r>
    <n v="11077"/>
    <x v="1"/>
    <n v="72.199999943375587"/>
    <n v="2"/>
    <d v="1998-05-06T00:00:00"/>
  </r>
  <r>
    <n v="11077"/>
    <x v="2"/>
    <n v="72.199999943375587"/>
    <n v="2"/>
    <d v="1998-05-06T00:00:00"/>
  </r>
  <r>
    <n v="11077"/>
    <x v="3"/>
    <n v="72.199999943375587"/>
    <n v="2"/>
    <d v="1998-05-06T00:00:00"/>
  </r>
  <r>
    <n v="11077"/>
    <x v="4"/>
    <n v="72.199999943375587"/>
    <n v="2"/>
    <d v="1998-05-06T00:00:00"/>
  </r>
  <r>
    <n v="11077"/>
    <x v="5"/>
    <n v="72.199999943375587"/>
    <n v="2"/>
    <d v="1998-05-06T00:00:00"/>
  </r>
  <r>
    <n v="11077"/>
    <x v="6"/>
    <n v="72.199999943375587"/>
    <n v="2"/>
    <d v="1998-05-06T00:00:00"/>
  </r>
  <r>
    <n v="11077"/>
    <x v="7"/>
    <n v="72.199999943375587"/>
    <n v="2"/>
    <d v="1998-05-06T00:00:00"/>
  </r>
  <r>
    <n v="11077"/>
    <x v="0"/>
    <n v="24"/>
    <n v="4"/>
    <d v="1998-05-06T00:00:00"/>
  </r>
  <r>
    <n v="11077"/>
    <x v="1"/>
    <n v="24"/>
    <n v="4"/>
    <d v="1998-05-06T00:00:00"/>
  </r>
  <r>
    <n v="11077"/>
    <x v="2"/>
    <n v="24"/>
    <n v="4"/>
    <d v="1998-05-06T00:00:00"/>
  </r>
  <r>
    <n v="11077"/>
    <x v="3"/>
    <n v="24"/>
    <n v="4"/>
    <d v="1998-05-06T00:00:00"/>
  </r>
  <r>
    <n v="11077"/>
    <x v="4"/>
    <n v="24"/>
    <n v="4"/>
    <d v="1998-05-06T00:00:00"/>
  </r>
  <r>
    <n v="11077"/>
    <x v="5"/>
    <n v="24"/>
    <n v="4"/>
    <d v="1998-05-06T00:00:00"/>
  </r>
  <r>
    <n v="11077"/>
    <x v="6"/>
    <n v="24"/>
    <n v="4"/>
    <d v="1998-05-06T00:00:00"/>
  </r>
  <r>
    <n v="11077"/>
    <x v="7"/>
    <n v="24"/>
    <n v="4"/>
    <d v="1998-05-06T00:00:00"/>
  </r>
  <r>
    <n v="11077"/>
    <x v="0"/>
    <n v="22.55250001559034"/>
    <n v="1"/>
    <d v="1998-05-06T00:00:00"/>
  </r>
  <r>
    <n v="11077"/>
    <x v="1"/>
    <n v="22.55250001559034"/>
    <n v="1"/>
    <d v="1998-05-06T00:00:00"/>
  </r>
  <r>
    <n v="11077"/>
    <x v="2"/>
    <n v="22.55250001559034"/>
    <n v="1"/>
    <d v="1998-05-06T00:00:00"/>
  </r>
  <r>
    <n v="11077"/>
    <x v="3"/>
    <n v="22.55250001559034"/>
    <n v="1"/>
    <d v="1998-05-06T00:00:00"/>
  </r>
  <r>
    <n v="11077"/>
    <x v="4"/>
    <n v="22.55250001559034"/>
    <n v="1"/>
    <d v="1998-05-06T00:00:00"/>
  </r>
  <r>
    <n v="11077"/>
    <x v="5"/>
    <n v="22.55250001559034"/>
    <n v="1"/>
    <d v="1998-05-06T00:00:00"/>
  </r>
  <r>
    <n v="11077"/>
    <x v="6"/>
    <n v="22.55250001559034"/>
    <n v="1"/>
    <d v="1998-05-06T00:00:00"/>
  </r>
  <r>
    <n v="11077"/>
    <x v="7"/>
    <n v="22.55250001559034"/>
    <n v="1"/>
    <d v="1998-05-06T00:00:00"/>
  </r>
  <r>
    <n v="11077"/>
    <x v="0"/>
    <n v="33.853000023402274"/>
    <n v="2"/>
    <d v="1998-05-06T00:00:00"/>
  </r>
  <r>
    <n v="11077"/>
    <x v="1"/>
    <n v="33.853000023402274"/>
    <n v="2"/>
    <d v="1998-05-06T00:00:00"/>
  </r>
  <r>
    <n v="11077"/>
    <x v="2"/>
    <n v="33.853000023402274"/>
    <n v="2"/>
    <d v="1998-05-06T00:00:00"/>
  </r>
  <r>
    <n v="11077"/>
    <x v="3"/>
    <n v="33.853000023402274"/>
    <n v="2"/>
    <d v="1998-05-06T00:00:00"/>
  </r>
  <r>
    <n v="11077"/>
    <x v="4"/>
    <n v="33.853000023402274"/>
    <n v="2"/>
    <d v="1998-05-06T00:00:00"/>
  </r>
  <r>
    <n v="11077"/>
    <x v="5"/>
    <n v="33.853000023402274"/>
    <n v="2"/>
    <d v="1998-05-06T00:00:00"/>
  </r>
  <r>
    <n v="11077"/>
    <x v="6"/>
    <n v="33.853000023402274"/>
    <n v="2"/>
    <d v="1998-05-06T00:00:00"/>
  </r>
  <r>
    <n v="11077"/>
    <x v="7"/>
    <n v="33.853000023402274"/>
    <n v="2"/>
    <d v="1998-05-06T00:00:00"/>
  </r>
  <r>
    <n v="11077"/>
    <x v="0"/>
    <n v="77.760000072419643"/>
    <n v="1"/>
    <d v="1998-05-06T00:00:00"/>
  </r>
  <r>
    <n v="11077"/>
    <x v="1"/>
    <n v="77.760000072419643"/>
    <n v="1"/>
    <d v="1998-05-06T00:00:00"/>
  </r>
  <r>
    <n v="11077"/>
    <x v="2"/>
    <n v="77.760000072419643"/>
    <n v="1"/>
    <d v="1998-05-06T00:00:00"/>
  </r>
  <r>
    <n v="11077"/>
    <x v="3"/>
    <n v="77.760000072419643"/>
    <n v="1"/>
    <d v="1998-05-06T00:00:00"/>
  </r>
  <r>
    <n v="11077"/>
    <x v="4"/>
    <n v="77.760000072419643"/>
    <n v="1"/>
    <d v="1998-05-06T00:00:00"/>
  </r>
  <r>
    <n v="11077"/>
    <x v="5"/>
    <n v="77.760000072419643"/>
    <n v="1"/>
    <d v="1998-05-06T00:00:00"/>
  </r>
  <r>
    <n v="11077"/>
    <x v="6"/>
    <n v="77.760000072419643"/>
    <n v="1"/>
    <d v="1998-05-06T00:00:00"/>
  </r>
  <r>
    <n v="11077"/>
    <x v="7"/>
    <n v="77.760000072419643"/>
    <n v="1"/>
    <d v="1998-05-06T00:00:00"/>
  </r>
  <r>
    <n v="11077"/>
    <x v="0"/>
    <n v="18"/>
    <n v="2"/>
    <d v="1998-05-06T00:00:00"/>
  </r>
  <r>
    <n v="11077"/>
    <x v="1"/>
    <n v="18"/>
    <n v="2"/>
    <d v="1998-05-06T00:00:00"/>
  </r>
  <r>
    <n v="11077"/>
    <x v="2"/>
    <n v="18"/>
    <n v="2"/>
    <d v="1998-05-06T00:00:00"/>
  </r>
  <r>
    <n v="11077"/>
    <x v="3"/>
    <n v="18"/>
    <n v="2"/>
    <d v="1998-05-06T00:00:00"/>
  </r>
  <r>
    <n v="11077"/>
    <x v="4"/>
    <n v="18"/>
    <n v="2"/>
    <d v="1998-05-06T00:00:00"/>
  </r>
  <r>
    <n v="11077"/>
    <x v="5"/>
    <n v="18"/>
    <n v="2"/>
    <d v="1998-05-06T00:00:00"/>
  </r>
  <r>
    <n v="11077"/>
    <x v="6"/>
    <n v="18"/>
    <n v="2"/>
    <d v="1998-05-06T00:00:00"/>
  </r>
  <r>
    <n v="11077"/>
    <x v="7"/>
    <n v="18"/>
    <n v="2"/>
    <d v="1998-05-06T00:00:00"/>
  </r>
  <r>
    <n v="11077"/>
    <x v="0"/>
    <n v="32"/>
    <n v="1"/>
    <d v="1998-05-06T00:00:00"/>
  </r>
  <r>
    <n v="11077"/>
    <x v="1"/>
    <n v="32"/>
    <n v="1"/>
    <d v="1998-05-06T00:00:00"/>
  </r>
  <r>
    <n v="11077"/>
    <x v="2"/>
    <n v="32"/>
    <n v="1"/>
    <d v="1998-05-06T00:00:00"/>
  </r>
  <r>
    <n v="11077"/>
    <x v="3"/>
    <n v="32"/>
    <n v="1"/>
    <d v="1998-05-06T00:00:00"/>
  </r>
  <r>
    <n v="11077"/>
    <x v="4"/>
    <n v="32"/>
    <n v="1"/>
    <d v="1998-05-06T00:00:00"/>
  </r>
  <r>
    <n v="11077"/>
    <x v="5"/>
    <n v="32"/>
    <n v="1"/>
    <d v="1998-05-06T00:00:00"/>
  </r>
  <r>
    <n v="11077"/>
    <x v="6"/>
    <n v="32"/>
    <n v="1"/>
    <d v="1998-05-06T00:00:00"/>
  </r>
  <r>
    <n v="11077"/>
    <x v="7"/>
    <n v="32"/>
    <n v="1"/>
    <d v="1998-05-06T00:00:00"/>
  </r>
  <r>
    <n v="11077"/>
    <x v="0"/>
    <n v="34.19999997317791"/>
    <n v="2"/>
    <d v="1998-05-06T00:00:00"/>
  </r>
  <r>
    <n v="11077"/>
    <x v="1"/>
    <n v="34.19999997317791"/>
    <n v="2"/>
    <d v="1998-05-06T00:00:00"/>
  </r>
  <r>
    <n v="11077"/>
    <x v="2"/>
    <n v="34.19999997317791"/>
    <n v="2"/>
    <d v="1998-05-06T00:00:00"/>
  </r>
  <r>
    <n v="11077"/>
    <x v="3"/>
    <n v="34.19999997317791"/>
    <n v="2"/>
    <d v="1998-05-06T00:00:00"/>
  </r>
  <r>
    <n v="11077"/>
    <x v="4"/>
    <n v="34.19999997317791"/>
    <n v="2"/>
    <d v="1998-05-06T00:00:00"/>
  </r>
  <r>
    <n v="11077"/>
    <x v="5"/>
    <n v="34.19999997317791"/>
    <n v="2"/>
    <d v="1998-05-06T00:00:00"/>
  </r>
  <r>
    <n v="11077"/>
    <x v="6"/>
    <n v="34.19999997317791"/>
    <n v="2"/>
    <d v="1998-05-06T00:00:00"/>
  </r>
  <r>
    <n v="11077"/>
    <x v="7"/>
    <n v="34.19999997317791"/>
    <n v="2"/>
    <d v="1998-05-06T00:00:00"/>
  </r>
  <r>
    <n v="11077"/>
    <x v="0"/>
    <n v="28.95"/>
    <n v="3"/>
    <d v="1998-05-06T00:00:00"/>
  </r>
  <r>
    <n v="11077"/>
    <x v="1"/>
    <n v="28.95"/>
    <n v="3"/>
    <d v="1998-05-06T00:00:00"/>
  </r>
  <r>
    <n v="11077"/>
    <x v="2"/>
    <n v="28.95"/>
    <n v="3"/>
    <d v="1998-05-06T00:00:00"/>
  </r>
  <r>
    <n v="11077"/>
    <x v="3"/>
    <n v="28.95"/>
    <n v="3"/>
    <d v="1998-05-06T00:00:00"/>
  </r>
  <r>
    <n v="11077"/>
    <x v="4"/>
    <n v="28.95"/>
    <n v="3"/>
    <d v="1998-05-06T00:00:00"/>
  </r>
  <r>
    <n v="11077"/>
    <x v="5"/>
    <n v="28.95"/>
    <n v="3"/>
    <d v="1998-05-06T00:00:00"/>
  </r>
  <r>
    <n v="11077"/>
    <x v="6"/>
    <n v="28.95"/>
    <n v="3"/>
    <d v="1998-05-06T00:00:00"/>
  </r>
  <r>
    <n v="11077"/>
    <x v="7"/>
    <n v="28.95"/>
    <n v="3"/>
    <d v="1998-05-06T00:00:00"/>
  </r>
  <r>
    <n v="11077"/>
    <x v="0"/>
    <n v="35.280000016093254"/>
    <n v="3"/>
    <d v="1998-05-06T00:00:00"/>
  </r>
  <r>
    <n v="11077"/>
    <x v="1"/>
    <n v="35.280000016093254"/>
    <n v="3"/>
    <d v="1998-05-06T00:00:00"/>
  </r>
  <r>
    <n v="11077"/>
    <x v="2"/>
    <n v="35.280000016093254"/>
    <n v="3"/>
    <d v="1998-05-06T00:00:00"/>
  </r>
  <r>
    <n v="11077"/>
    <x v="3"/>
    <n v="35.280000016093254"/>
    <n v="3"/>
    <d v="1998-05-06T00:00:00"/>
  </r>
  <r>
    <n v="11077"/>
    <x v="4"/>
    <n v="35.280000016093254"/>
    <n v="3"/>
    <d v="1998-05-06T00:00:00"/>
  </r>
  <r>
    <n v="11077"/>
    <x v="5"/>
    <n v="35.280000016093254"/>
    <n v="3"/>
    <d v="1998-05-06T00:00:00"/>
  </r>
  <r>
    <n v="11077"/>
    <x v="6"/>
    <n v="35.280000016093254"/>
    <n v="3"/>
    <d v="1998-05-06T00:00:00"/>
  </r>
  <r>
    <n v="11077"/>
    <x v="7"/>
    <n v="35.280000016093254"/>
    <n v="3"/>
    <d v="1998-05-06T00:00:00"/>
  </r>
  <r>
    <n v="11077"/>
    <x v="0"/>
    <n v="14"/>
    <n v="2"/>
    <d v="1998-05-06T00:00:00"/>
  </r>
  <r>
    <n v="11077"/>
    <x v="1"/>
    <n v="14"/>
    <n v="2"/>
    <d v="1998-05-06T00:00:00"/>
  </r>
  <r>
    <n v="11077"/>
    <x v="2"/>
    <n v="14"/>
    <n v="2"/>
    <d v="1998-05-06T00:00:00"/>
  </r>
  <r>
    <n v="11077"/>
    <x v="3"/>
    <n v="14"/>
    <n v="2"/>
    <d v="1998-05-06T00:00:00"/>
  </r>
  <r>
    <n v="11077"/>
    <x v="4"/>
    <n v="14"/>
    <n v="2"/>
    <d v="1998-05-06T00:00:00"/>
  </r>
  <r>
    <n v="11077"/>
    <x v="5"/>
    <n v="14"/>
    <n v="2"/>
    <d v="1998-05-06T00:00:00"/>
  </r>
  <r>
    <n v="11077"/>
    <x v="6"/>
    <n v="14"/>
    <n v="2"/>
    <d v="1998-05-06T00:00:00"/>
  </r>
  <r>
    <n v="11077"/>
    <x v="7"/>
    <n v="14"/>
    <n v="2"/>
    <d v="1998-05-06T00:00:00"/>
  </r>
  <r>
    <n v="11077"/>
    <x v="0"/>
    <n v="48"/>
    <n v="2"/>
    <d v="1998-05-06T00:00:00"/>
  </r>
  <r>
    <n v="11077"/>
    <x v="1"/>
    <n v="48"/>
    <n v="2"/>
    <d v="1998-05-06T00:00:00"/>
  </r>
  <r>
    <n v="11077"/>
    <x v="2"/>
    <n v="48"/>
    <n v="2"/>
    <d v="1998-05-06T00:00:00"/>
  </r>
  <r>
    <n v="11077"/>
    <x v="3"/>
    <n v="48"/>
    <n v="2"/>
    <d v="1998-05-06T00:00:00"/>
  </r>
  <r>
    <n v="11077"/>
    <x v="4"/>
    <n v="48"/>
    <n v="2"/>
    <d v="1998-05-06T00:00:00"/>
  </r>
  <r>
    <n v="11077"/>
    <x v="5"/>
    <n v="48"/>
    <n v="2"/>
    <d v="1998-05-06T00:00:00"/>
  </r>
  <r>
    <n v="11077"/>
    <x v="6"/>
    <n v="48"/>
    <n v="2"/>
    <d v="1998-05-06T00:00:00"/>
  </r>
  <r>
    <n v="11077"/>
    <x v="7"/>
    <n v="48"/>
    <n v="2"/>
    <d v="1998-05-06T00:00:00"/>
  </r>
  <r>
    <n v="11077"/>
    <x v="0"/>
    <n v="63.920000091195107"/>
    <n v="2"/>
    <d v="1998-05-06T00:00:00"/>
  </r>
  <r>
    <n v="11077"/>
    <x v="1"/>
    <n v="63.920000091195107"/>
    <n v="2"/>
    <d v="1998-05-06T00:00:00"/>
  </r>
  <r>
    <n v="11077"/>
    <x v="2"/>
    <n v="63.920000091195107"/>
    <n v="2"/>
    <d v="1998-05-06T00:00:00"/>
  </r>
  <r>
    <n v="11077"/>
    <x v="3"/>
    <n v="63.920000091195107"/>
    <n v="2"/>
    <d v="1998-05-06T00:00:00"/>
  </r>
  <r>
    <n v="11077"/>
    <x v="4"/>
    <n v="63.920000091195107"/>
    <n v="2"/>
    <d v="1998-05-06T00:00:00"/>
  </r>
  <r>
    <n v="11077"/>
    <x v="5"/>
    <n v="63.920000091195107"/>
    <n v="2"/>
    <d v="1998-05-06T00:00:00"/>
  </r>
  <r>
    <n v="11077"/>
    <x v="6"/>
    <n v="63.920000091195107"/>
    <n v="2"/>
    <d v="1998-05-06T00:00:00"/>
  </r>
  <r>
    <n v="11077"/>
    <x v="7"/>
    <n v="63.920000091195107"/>
    <n v="2"/>
    <d v="1998-05-06T00:00:00"/>
  </r>
  <r>
    <n v="11077"/>
    <x v="0"/>
    <n v="64.505000044591725"/>
    <n v="2"/>
    <d v="1998-05-06T00:00:00"/>
  </r>
  <r>
    <n v="11077"/>
    <x v="1"/>
    <n v="64.505000044591725"/>
    <n v="2"/>
    <d v="1998-05-06T00:00:00"/>
  </r>
  <r>
    <n v="11077"/>
    <x v="2"/>
    <n v="64.505000044591725"/>
    <n v="2"/>
    <d v="1998-05-06T00:00:00"/>
  </r>
  <r>
    <n v="11077"/>
    <x v="3"/>
    <n v="64.505000044591725"/>
    <n v="2"/>
    <d v="1998-05-06T00:00:00"/>
  </r>
  <r>
    <n v="11077"/>
    <x v="4"/>
    <n v="64.505000044591725"/>
    <n v="2"/>
    <d v="1998-05-06T00:00:00"/>
  </r>
  <r>
    <n v="11077"/>
    <x v="5"/>
    <n v="64.505000044591725"/>
    <n v="2"/>
    <d v="1998-05-06T00:00:00"/>
  </r>
  <r>
    <n v="11077"/>
    <x v="6"/>
    <n v="64.505000044591725"/>
    <n v="2"/>
    <d v="1998-05-06T00:00:00"/>
  </r>
  <r>
    <n v="11077"/>
    <x v="7"/>
    <n v="64.505000044591725"/>
    <n v="2"/>
    <d v="1998-05-06T00:00:00"/>
  </r>
  <r>
    <n v="11077"/>
    <x v="0"/>
    <n v="17"/>
    <n v="1"/>
    <d v="1998-05-06T00:00:00"/>
  </r>
  <r>
    <n v="11077"/>
    <x v="1"/>
    <n v="17"/>
    <n v="1"/>
    <d v="1998-05-06T00:00:00"/>
  </r>
  <r>
    <n v="11077"/>
    <x v="2"/>
    <n v="17"/>
    <n v="1"/>
    <d v="1998-05-06T00:00:00"/>
  </r>
  <r>
    <n v="11077"/>
    <x v="3"/>
    <n v="17"/>
    <n v="1"/>
    <d v="1998-05-06T00:00:00"/>
  </r>
  <r>
    <n v="11077"/>
    <x v="4"/>
    <n v="17"/>
    <n v="1"/>
    <d v="1998-05-06T00:00:00"/>
  </r>
  <r>
    <n v="11077"/>
    <x v="5"/>
    <n v="17"/>
    <n v="1"/>
    <d v="1998-05-06T00:00:00"/>
  </r>
  <r>
    <n v="11077"/>
    <x v="6"/>
    <n v="17"/>
    <n v="1"/>
    <d v="1998-05-06T00:00:00"/>
  </r>
  <r>
    <n v="11077"/>
    <x v="7"/>
    <n v="17"/>
    <n v="1"/>
    <d v="1998-05-06T00:00:00"/>
  </r>
  <r>
    <n v="11077"/>
    <x v="0"/>
    <n v="29.700000006705523"/>
    <n v="2"/>
    <d v="1998-05-06T00:00:00"/>
  </r>
  <r>
    <n v="11077"/>
    <x v="1"/>
    <n v="29.700000006705523"/>
    <n v="2"/>
    <d v="1998-05-06T00:00:00"/>
  </r>
  <r>
    <n v="11077"/>
    <x v="2"/>
    <n v="29.700000006705523"/>
    <n v="2"/>
    <d v="1998-05-06T00:00:00"/>
  </r>
  <r>
    <n v="11077"/>
    <x v="3"/>
    <n v="29.700000006705523"/>
    <n v="2"/>
    <d v="1998-05-06T00:00:00"/>
  </r>
  <r>
    <n v="11077"/>
    <x v="4"/>
    <n v="29.700000006705523"/>
    <n v="2"/>
    <d v="1998-05-06T00:00:00"/>
  </r>
  <r>
    <n v="11077"/>
    <x v="5"/>
    <n v="29.700000006705523"/>
    <n v="2"/>
    <d v="1998-05-06T00:00:00"/>
  </r>
  <r>
    <n v="11077"/>
    <x v="6"/>
    <n v="29.700000006705523"/>
    <n v="2"/>
    <d v="1998-05-06T00:00:00"/>
  </r>
  <r>
    <n v="11077"/>
    <x v="7"/>
    <n v="29.700000006705523"/>
    <n v="2"/>
    <d v="1998-05-06T00:00:00"/>
  </r>
  <r>
    <n v="11077"/>
    <x v="0"/>
    <n v="31"/>
    <n v="4"/>
    <d v="1998-05-06T00:00:00"/>
  </r>
  <r>
    <n v="11077"/>
    <x v="1"/>
    <n v="31"/>
    <n v="4"/>
    <d v="1998-05-06T00:00:00"/>
  </r>
  <r>
    <n v="11077"/>
    <x v="2"/>
    <n v="31"/>
    <n v="4"/>
    <d v="1998-05-06T00:00:00"/>
  </r>
  <r>
    <n v="11077"/>
    <x v="3"/>
    <n v="31"/>
    <n v="4"/>
    <d v="1998-05-06T00:00:00"/>
  </r>
  <r>
    <n v="11077"/>
    <x v="4"/>
    <n v="31"/>
    <n v="4"/>
    <d v="1998-05-06T00:00:00"/>
  </r>
  <r>
    <n v="11077"/>
    <x v="5"/>
    <n v="31"/>
    <n v="4"/>
    <d v="1998-05-06T00:00:00"/>
  </r>
  <r>
    <n v="11077"/>
    <x v="6"/>
    <n v="31"/>
    <n v="4"/>
    <d v="1998-05-06T00:00:00"/>
  </r>
  <r>
    <n v="11077"/>
    <x v="7"/>
    <n v="31"/>
    <n v="4"/>
    <d v="1998-05-06T00:00:00"/>
  </r>
  <r>
    <n v="11077"/>
    <x v="0"/>
    <n v="26"/>
    <n v="2"/>
    <d v="1998-05-06T00:00:00"/>
  </r>
  <r>
    <n v="11077"/>
    <x v="1"/>
    <n v="26"/>
    <n v="2"/>
    <d v="1998-05-06T00:00:00"/>
  </r>
  <r>
    <n v="11077"/>
    <x v="2"/>
    <n v="26"/>
    <n v="2"/>
    <d v="1998-05-06T00:00:00"/>
  </r>
  <r>
    <n v="11077"/>
    <x v="3"/>
    <n v="26"/>
    <n v="2"/>
    <d v="1998-05-06T00:00:00"/>
  </r>
  <r>
    <n v="11077"/>
    <x v="4"/>
    <n v="26"/>
    <n v="2"/>
    <d v="1998-05-06T00:00:00"/>
  </r>
  <r>
    <n v="11077"/>
    <x v="5"/>
    <n v="26"/>
    <n v="2"/>
    <d v="1998-05-06T00:00:00"/>
  </r>
  <r>
    <n v="11077"/>
    <x v="6"/>
    <n v="26"/>
    <n v="2"/>
    <d v="1998-05-06T00:00:00"/>
  </r>
  <r>
    <n v="11077"/>
    <x v="7"/>
    <n v="26"/>
    <n v="2"/>
    <d v="1998-05-06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0">
  <r>
    <n v="10248"/>
    <x v="0"/>
    <n v="174"/>
    <n v="5"/>
    <x v="0"/>
  </r>
  <r>
    <n v="10248"/>
    <x v="0"/>
    <n v="168"/>
    <n v="12"/>
    <x v="1"/>
  </r>
  <r>
    <n v="10248"/>
    <x v="0"/>
    <n v="174"/>
    <n v="5"/>
    <x v="2"/>
  </r>
  <r>
    <n v="10248"/>
    <x v="0"/>
    <n v="168"/>
    <n v="12"/>
    <x v="3"/>
  </r>
  <r>
    <n v="10248"/>
    <x v="0"/>
    <n v="98"/>
    <n v="10"/>
    <x v="3"/>
  </r>
  <r>
    <n v="10248"/>
    <x v="0"/>
    <n v="174"/>
    <n v="5"/>
    <x v="3"/>
  </r>
  <r>
    <n v="10248"/>
    <x v="0"/>
    <n v="174"/>
    <n v="5"/>
    <x v="4"/>
  </r>
  <r>
    <n v="10248"/>
    <x v="0"/>
    <n v="98"/>
    <n v="10"/>
    <x v="4"/>
  </r>
  <r>
    <n v="10248"/>
    <x v="0"/>
    <n v="168"/>
    <n v="12"/>
    <x v="4"/>
  </r>
  <r>
    <n v="10248"/>
    <x v="0"/>
    <n v="174"/>
    <n v="5"/>
    <x v="5"/>
  </r>
  <r>
    <n v="10248"/>
    <x v="0"/>
    <n v="98"/>
    <n v="10"/>
    <x v="2"/>
  </r>
  <r>
    <n v="10248"/>
    <x v="0"/>
    <n v="168"/>
    <n v="12"/>
    <x v="2"/>
  </r>
  <r>
    <n v="10248"/>
    <x v="0"/>
    <n v="98"/>
    <n v="10"/>
    <x v="0"/>
  </r>
  <r>
    <n v="10248"/>
    <x v="0"/>
    <n v="168"/>
    <n v="12"/>
    <x v="0"/>
  </r>
  <r>
    <n v="10248"/>
    <x v="0"/>
    <n v="174"/>
    <n v="5"/>
    <x v="6"/>
  </r>
  <r>
    <n v="10248"/>
    <x v="0"/>
    <n v="98"/>
    <n v="10"/>
    <x v="5"/>
  </r>
  <r>
    <n v="10248"/>
    <x v="0"/>
    <n v="98"/>
    <n v="10"/>
    <x v="7"/>
  </r>
  <r>
    <n v="10248"/>
    <x v="0"/>
    <n v="98"/>
    <n v="10"/>
    <x v="1"/>
  </r>
  <r>
    <n v="10248"/>
    <x v="0"/>
    <n v="174"/>
    <n v="5"/>
    <x v="7"/>
  </r>
  <r>
    <n v="10248"/>
    <x v="0"/>
    <n v="174"/>
    <n v="5"/>
    <x v="1"/>
  </r>
  <r>
    <n v="10248"/>
    <x v="0"/>
    <n v="168"/>
    <n v="12"/>
    <x v="6"/>
  </r>
  <r>
    <n v="10248"/>
    <x v="0"/>
    <n v="168"/>
    <n v="12"/>
    <x v="5"/>
  </r>
  <r>
    <n v="10248"/>
    <x v="0"/>
    <n v="168"/>
    <n v="12"/>
    <x v="7"/>
  </r>
  <r>
    <n v="10248"/>
    <x v="0"/>
    <n v="98"/>
    <n v="10"/>
    <x v="6"/>
  </r>
  <r>
    <n v="10249"/>
    <x v="1"/>
    <n v="1696"/>
    <n v="40"/>
    <x v="0"/>
  </r>
  <r>
    <n v="10249"/>
    <x v="1"/>
    <n v="167.4"/>
    <n v="9"/>
    <x v="3"/>
  </r>
  <r>
    <n v="10249"/>
    <x v="1"/>
    <n v="1696"/>
    <n v="40"/>
    <x v="3"/>
  </r>
  <r>
    <n v="10249"/>
    <x v="1"/>
    <n v="1696"/>
    <n v="40"/>
    <x v="7"/>
  </r>
  <r>
    <n v="10249"/>
    <x v="1"/>
    <n v="167.4"/>
    <n v="9"/>
    <x v="5"/>
  </r>
  <r>
    <n v="10249"/>
    <x v="1"/>
    <n v="1696"/>
    <n v="40"/>
    <x v="1"/>
  </r>
  <r>
    <n v="10249"/>
    <x v="1"/>
    <n v="167.4"/>
    <n v="9"/>
    <x v="1"/>
  </r>
  <r>
    <n v="10249"/>
    <x v="1"/>
    <n v="167.4"/>
    <n v="9"/>
    <x v="2"/>
  </r>
  <r>
    <n v="10249"/>
    <x v="1"/>
    <n v="1696"/>
    <n v="40"/>
    <x v="2"/>
  </r>
  <r>
    <n v="10249"/>
    <x v="1"/>
    <n v="1696"/>
    <n v="40"/>
    <x v="5"/>
  </r>
  <r>
    <n v="10249"/>
    <x v="1"/>
    <n v="1696"/>
    <n v="40"/>
    <x v="6"/>
  </r>
  <r>
    <n v="10249"/>
    <x v="1"/>
    <n v="167.4"/>
    <n v="9"/>
    <x v="7"/>
  </r>
  <r>
    <n v="10249"/>
    <x v="1"/>
    <n v="167.4"/>
    <n v="9"/>
    <x v="6"/>
  </r>
  <r>
    <n v="10249"/>
    <x v="1"/>
    <n v="167.4"/>
    <n v="9"/>
    <x v="4"/>
  </r>
  <r>
    <n v="10249"/>
    <x v="1"/>
    <n v="1696"/>
    <n v="40"/>
    <x v="4"/>
  </r>
  <r>
    <n v="10249"/>
    <x v="1"/>
    <n v="167.4"/>
    <n v="9"/>
    <x v="0"/>
  </r>
  <r>
    <n v="10250"/>
    <x v="2"/>
    <n v="77"/>
    <n v="10"/>
    <x v="2"/>
  </r>
  <r>
    <n v="10250"/>
    <x v="2"/>
    <n v="214.19999849796295"/>
    <n v="15"/>
    <x v="7"/>
  </r>
  <r>
    <n v="10250"/>
    <x v="2"/>
    <n v="214.19999849796295"/>
    <n v="15"/>
    <x v="6"/>
  </r>
  <r>
    <n v="10250"/>
    <x v="2"/>
    <n v="1261.3999911546707"/>
    <n v="35"/>
    <x v="6"/>
  </r>
  <r>
    <n v="10250"/>
    <x v="2"/>
    <n v="77"/>
    <n v="10"/>
    <x v="7"/>
  </r>
  <r>
    <n v="10250"/>
    <x v="2"/>
    <n v="77"/>
    <n v="10"/>
    <x v="1"/>
  </r>
  <r>
    <n v="10250"/>
    <x v="2"/>
    <n v="1261.3999911546707"/>
    <n v="35"/>
    <x v="1"/>
  </r>
  <r>
    <n v="10250"/>
    <x v="2"/>
    <n v="214.19999849796295"/>
    <n v="15"/>
    <x v="1"/>
  </r>
  <r>
    <n v="10250"/>
    <x v="2"/>
    <n v="77"/>
    <n v="10"/>
    <x v="0"/>
  </r>
  <r>
    <n v="10250"/>
    <x v="2"/>
    <n v="1261.3999911546707"/>
    <n v="35"/>
    <x v="0"/>
  </r>
  <r>
    <n v="10250"/>
    <x v="2"/>
    <n v="214.19999849796295"/>
    <n v="15"/>
    <x v="0"/>
  </r>
  <r>
    <n v="10250"/>
    <x v="2"/>
    <n v="77"/>
    <n v="10"/>
    <x v="6"/>
  </r>
  <r>
    <n v="10250"/>
    <x v="2"/>
    <n v="77"/>
    <n v="10"/>
    <x v="3"/>
  </r>
  <r>
    <n v="10250"/>
    <x v="2"/>
    <n v="1261.3999911546707"/>
    <n v="35"/>
    <x v="2"/>
  </r>
  <r>
    <n v="10250"/>
    <x v="2"/>
    <n v="214.19999849796295"/>
    <n v="15"/>
    <x v="2"/>
  </r>
  <r>
    <n v="10250"/>
    <x v="2"/>
    <n v="77"/>
    <n v="10"/>
    <x v="5"/>
  </r>
  <r>
    <n v="10250"/>
    <x v="2"/>
    <n v="1261.3999911546707"/>
    <n v="35"/>
    <x v="5"/>
  </r>
  <r>
    <n v="10250"/>
    <x v="2"/>
    <n v="214.19999849796295"/>
    <n v="15"/>
    <x v="5"/>
  </r>
  <r>
    <n v="10250"/>
    <x v="2"/>
    <n v="214.19999849796295"/>
    <n v="15"/>
    <x v="4"/>
  </r>
  <r>
    <n v="10250"/>
    <x v="2"/>
    <n v="1261.3999911546707"/>
    <n v="35"/>
    <x v="7"/>
  </r>
  <r>
    <n v="10250"/>
    <x v="2"/>
    <n v="77"/>
    <n v="10"/>
    <x v="4"/>
  </r>
  <r>
    <n v="10250"/>
    <x v="2"/>
    <n v="1261.3999911546707"/>
    <n v="35"/>
    <x v="3"/>
  </r>
  <r>
    <n v="10250"/>
    <x v="2"/>
    <n v="214.19999849796295"/>
    <n v="15"/>
    <x v="3"/>
  </r>
  <r>
    <n v="10250"/>
    <x v="2"/>
    <n v="1261.3999911546707"/>
    <n v="35"/>
    <x v="4"/>
  </r>
  <r>
    <n v="10251"/>
    <x v="2"/>
    <n v="95.759999924898139"/>
    <n v="6"/>
    <x v="3"/>
  </r>
  <r>
    <n v="10251"/>
    <x v="2"/>
    <n v="95.759999924898139"/>
    <n v="6"/>
    <x v="5"/>
  </r>
  <r>
    <n v="10251"/>
    <x v="2"/>
    <n v="222.29999982565641"/>
    <n v="15"/>
    <x v="7"/>
  </r>
  <r>
    <n v="10251"/>
    <x v="2"/>
    <n v="95.759999924898139"/>
    <n v="6"/>
    <x v="7"/>
  </r>
  <r>
    <n v="10251"/>
    <x v="2"/>
    <n v="222.29999982565641"/>
    <n v="15"/>
    <x v="5"/>
  </r>
  <r>
    <n v="10251"/>
    <x v="2"/>
    <n v="336"/>
    <n v="20"/>
    <x v="5"/>
  </r>
  <r>
    <n v="10251"/>
    <x v="2"/>
    <n v="336"/>
    <n v="20"/>
    <x v="4"/>
  </r>
  <r>
    <n v="10251"/>
    <x v="2"/>
    <n v="95.759999924898139"/>
    <n v="6"/>
    <x v="6"/>
  </r>
  <r>
    <n v="10251"/>
    <x v="2"/>
    <n v="222.29999982565641"/>
    <n v="15"/>
    <x v="6"/>
  </r>
  <r>
    <n v="10251"/>
    <x v="2"/>
    <n v="336"/>
    <n v="20"/>
    <x v="6"/>
  </r>
  <r>
    <n v="10251"/>
    <x v="2"/>
    <n v="336"/>
    <n v="20"/>
    <x v="2"/>
  </r>
  <r>
    <n v="10251"/>
    <x v="2"/>
    <n v="222.29999982565641"/>
    <n v="15"/>
    <x v="2"/>
  </r>
  <r>
    <n v="10251"/>
    <x v="2"/>
    <n v="95.759999924898139"/>
    <n v="6"/>
    <x v="2"/>
  </r>
  <r>
    <n v="10251"/>
    <x v="2"/>
    <n v="336"/>
    <n v="20"/>
    <x v="3"/>
  </r>
  <r>
    <n v="10251"/>
    <x v="2"/>
    <n v="222.29999982565641"/>
    <n v="15"/>
    <x v="4"/>
  </r>
  <r>
    <n v="10251"/>
    <x v="2"/>
    <n v="95.759999924898139"/>
    <n v="6"/>
    <x v="0"/>
  </r>
  <r>
    <n v="10251"/>
    <x v="2"/>
    <n v="336"/>
    <n v="20"/>
    <x v="1"/>
  </r>
  <r>
    <n v="10251"/>
    <x v="2"/>
    <n v="222.29999982565641"/>
    <n v="15"/>
    <x v="3"/>
  </r>
  <r>
    <n v="10251"/>
    <x v="2"/>
    <n v="336"/>
    <n v="20"/>
    <x v="7"/>
  </r>
  <r>
    <n v="10251"/>
    <x v="2"/>
    <n v="95.759999924898139"/>
    <n v="6"/>
    <x v="1"/>
  </r>
  <r>
    <n v="10251"/>
    <x v="2"/>
    <n v="222.29999982565641"/>
    <n v="15"/>
    <x v="1"/>
  </r>
  <r>
    <n v="10251"/>
    <x v="2"/>
    <n v="336"/>
    <n v="20"/>
    <x v="0"/>
  </r>
  <r>
    <n v="10251"/>
    <x v="2"/>
    <n v="222.29999982565641"/>
    <n v="15"/>
    <x v="0"/>
  </r>
  <r>
    <n v="10251"/>
    <x v="2"/>
    <n v="95.759999924898139"/>
    <n v="6"/>
    <x v="4"/>
  </r>
  <r>
    <n v="10252"/>
    <x v="3"/>
    <n v="1088"/>
    <n v="40"/>
    <x v="0"/>
  </r>
  <r>
    <n v="10252"/>
    <x v="3"/>
    <n v="47.499999962747097"/>
    <n v="25"/>
    <x v="0"/>
  </r>
  <r>
    <n v="10252"/>
    <x v="3"/>
    <n v="2462.3999980688095"/>
    <n v="40"/>
    <x v="2"/>
  </r>
  <r>
    <n v="10252"/>
    <x v="3"/>
    <n v="47.499999962747097"/>
    <n v="25"/>
    <x v="2"/>
  </r>
  <r>
    <n v="10252"/>
    <x v="3"/>
    <n v="1088"/>
    <n v="40"/>
    <x v="2"/>
  </r>
  <r>
    <n v="10252"/>
    <x v="3"/>
    <n v="2462.3999980688095"/>
    <n v="40"/>
    <x v="0"/>
  </r>
  <r>
    <n v="10252"/>
    <x v="3"/>
    <n v="1088"/>
    <n v="40"/>
    <x v="1"/>
  </r>
  <r>
    <n v="10252"/>
    <x v="3"/>
    <n v="47.499999962747097"/>
    <n v="25"/>
    <x v="3"/>
  </r>
  <r>
    <n v="10252"/>
    <x v="3"/>
    <n v="1088"/>
    <n v="40"/>
    <x v="3"/>
  </r>
  <r>
    <n v="10252"/>
    <x v="3"/>
    <n v="47.499999962747097"/>
    <n v="25"/>
    <x v="1"/>
  </r>
  <r>
    <n v="10252"/>
    <x v="3"/>
    <n v="2462.3999980688095"/>
    <n v="40"/>
    <x v="7"/>
  </r>
  <r>
    <n v="10252"/>
    <x v="3"/>
    <n v="1088"/>
    <n v="40"/>
    <x v="4"/>
  </r>
  <r>
    <n v="10252"/>
    <x v="3"/>
    <n v="47.499999962747097"/>
    <n v="25"/>
    <x v="4"/>
  </r>
  <r>
    <n v="10252"/>
    <x v="3"/>
    <n v="2462.3999980688095"/>
    <n v="40"/>
    <x v="4"/>
  </r>
  <r>
    <n v="10252"/>
    <x v="3"/>
    <n v="2462.3999980688095"/>
    <n v="40"/>
    <x v="3"/>
  </r>
  <r>
    <n v="10252"/>
    <x v="3"/>
    <n v="2462.3999980688095"/>
    <n v="40"/>
    <x v="1"/>
  </r>
  <r>
    <n v="10252"/>
    <x v="3"/>
    <n v="2462.3999980688095"/>
    <n v="40"/>
    <x v="5"/>
  </r>
  <r>
    <n v="10252"/>
    <x v="3"/>
    <n v="2462.3999980688095"/>
    <n v="40"/>
    <x v="6"/>
  </r>
  <r>
    <n v="10252"/>
    <x v="3"/>
    <n v="47.499999962747097"/>
    <n v="25"/>
    <x v="5"/>
  </r>
  <r>
    <n v="10252"/>
    <x v="3"/>
    <n v="1088"/>
    <n v="40"/>
    <x v="6"/>
  </r>
  <r>
    <n v="10252"/>
    <x v="3"/>
    <n v="47.499999962747097"/>
    <n v="25"/>
    <x v="7"/>
  </r>
  <r>
    <n v="10252"/>
    <x v="3"/>
    <n v="1088"/>
    <n v="40"/>
    <x v="7"/>
  </r>
  <r>
    <n v="10252"/>
    <x v="3"/>
    <n v="47.499999962747097"/>
    <n v="25"/>
    <x v="6"/>
  </r>
  <r>
    <n v="10252"/>
    <x v="3"/>
    <n v="1088"/>
    <n v="40"/>
    <x v="5"/>
  </r>
  <r>
    <n v="10253"/>
    <x v="4"/>
    <n v="640"/>
    <n v="40"/>
    <x v="6"/>
  </r>
  <r>
    <n v="10253"/>
    <x v="4"/>
    <n v="640"/>
    <n v="40"/>
    <x v="0"/>
  </r>
  <r>
    <n v="10253"/>
    <x v="4"/>
    <n v="604.79999999999995"/>
    <n v="42"/>
    <x v="6"/>
  </r>
  <r>
    <n v="10253"/>
    <x v="4"/>
    <n v="200"/>
    <n v="20"/>
    <x v="4"/>
  </r>
  <r>
    <n v="10253"/>
    <x v="4"/>
    <n v="200"/>
    <n v="20"/>
    <x v="6"/>
  </r>
  <r>
    <n v="10253"/>
    <x v="4"/>
    <n v="604.79999999999995"/>
    <n v="42"/>
    <x v="4"/>
  </r>
  <r>
    <n v="10253"/>
    <x v="4"/>
    <n v="200"/>
    <n v="20"/>
    <x v="2"/>
  </r>
  <r>
    <n v="10253"/>
    <x v="4"/>
    <n v="604.79999999999995"/>
    <n v="42"/>
    <x v="2"/>
  </r>
  <r>
    <n v="10253"/>
    <x v="4"/>
    <n v="640"/>
    <n v="40"/>
    <x v="4"/>
  </r>
  <r>
    <n v="10253"/>
    <x v="4"/>
    <n v="200"/>
    <n v="20"/>
    <x v="3"/>
  </r>
  <r>
    <n v="10253"/>
    <x v="4"/>
    <n v="640"/>
    <n v="40"/>
    <x v="3"/>
  </r>
  <r>
    <n v="10253"/>
    <x v="4"/>
    <n v="604.79999999999995"/>
    <n v="42"/>
    <x v="0"/>
  </r>
  <r>
    <n v="10253"/>
    <x v="4"/>
    <n v="200"/>
    <n v="20"/>
    <x v="0"/>
  </r>
  <r>
    <n v="10253"/>
    <x v="4"/>
    <n v="640"/>
    <n v="40"/>
    <x v="7"/>
  </r>
  <r>
    <n v="10253"/>
    <x v="4"/>
    <n v="640"/>
    <n v="40"/>
    <x v="1"/>
  </r>
  <r>
    <n v="10253"/>
    <x v="4"/>
    <n v="640"/>
    <n v="40"/>
    <x v="2"/>
  </r>
  <r>
    <n v="10253"/>
    <x v="4"/>
    <n v="604.79999999999995"/>
    <n v="42"/>
    <x v="1"/>
  </r>
  <r>
    <n v="10253"/>
    <x v="4"/>
    <n v="604.79999999999995"/>
    <n v="42"/>
    <x v="7"/>
  </r>
  <r>
    <n v="10253"/>
    <x v="4"/>
    <n v="200"/>
    <n v="20"/>
    <x v="7"/>
  </r>
  <r>
    <n v="10253"/>
    <x v="4"/>
    <n v="200"/>
    <n v="20"/>
    <x v="5"/>
  </r>
  <r>
    <n v="10253"/>
    <x v="4"/>
    <n v="604.79999999999995"/>
    <n v="42"/>
    <x v="5"/>
  </r>
  <r>
    <n v="10253"/>
    <x v="4"/>
    <n v="640"/>
    <n v="40"/>
    <x v="5"/>
  </r>
  <r>
    <n v="10253"/>
    <x v="4"/>
    <n v="604.79999999999995"/>
    <n v="42"/>
    <x v="3"/>
  </r>
  <r>
    <n v="10253"/>
    <x v="4"/>
    <n v="200"/>
    <n v="20"/>
    <x v="1"/>
  </r>
  <r>
    <n v="10254"/>
    <x v="5"/>
    <n v="342.71999759674071"/>
    <n v="21"/>
    <x v="7"/>
  </r>
  <r>
    <n v="10254"/>
    <x v="5"/>
    <n v="342.71999759674071"/>
    <n v="21"/>
    <x v="5"/>
  </r>
  <r>
    <n v="10254"/>
    <x v="5"/>
    <n v="45.899999678134918"/>
    <n v="15"/>
    <x v="5"/>
  </r>
  <r>
    <n v="10254"/>
    <x v="5"/>
    <n v="342.71999759674071"/>
    <n v="21"/>
    <x v="2"/>
  </r>
  <r>
    <n v="10254"/>
    <x v="5"/>
    <n v="45.899999678134918"/>
    <n v="15"/>
    <x v="4"/>
  </r>
  <r>
    <n v="10254"/>
    <x v="5"/>
    <n v="342.71999759674071"/>
    <n v="21"/>
    <x v="4"/>
  </r>
  <r>
    <n v="10254"/>
    <x v="5"/>
    <n v="168"/>
    <n v="21"/>
    <x v="4"/>
  </r>
  <r>
    <n v="10254"/>
    <x v="5"/>
    <n v="168"/>
    <n v="21"/>
    <x v="1"/>
  </r>
  <r>
    <n v="10254"/>
    <x v="5"/>
    <n v="342.71999759674071"/>
    <n v="21"/>
    <x v="1"/>
  </r>
  <r>
    <n v="10254"/>
    <x v="5"/>
    <n v="168"/>
    <n v="21"/>
    <x v="5"/>
  </r>
  <r>
    <n v="10254"/>
    <x v="5"/>
    <n v="45.899999678134918"/>
    <n v="15"/>
    <x v="7"/>
  </r>
  <r>
    <n v="10254"/>
    <x v="5"/>
    <n v="168"/>
    <n v="21"/>
    <x v="2"/>
  </r>
  <r>
    <n v="10254"/>
    <x v="5"/>
    <n v="168"/>
    <n v="21"/>
    <x v="7"/>
  </r>
  <r>
    <n v="10254"/>
    <x v="5"/>
    <n v="45.899999678134918"/>
    <n v="15"/>
    <x v="0"/>
  </r>
  <r>
    <n v="10254"/>
    <x v="5"/>
    <n v="342.71999759674071"/>
    <n v="21"/>
    <x v="0"/>
  </r>
  <r>
    <n v="10254"/>
    <x v="5"/>
    <n v="168"/>
    <n v="21"/>
    <x v="0"/>
  </r>
  <r>
    <n v="10254"/>
    <x v="5"/>
    <n v="45.899999678134918"/>
    <n v="15"/>
    <x v="3"/>
  </r>
  <r>
    <n v="10254"/>
    <x v="5"/>
    <n v="342.71999759674071"/>
    <n v="21"/>
    <x v="3"/>
  </r>
  <r>
    <n v="10254"/>
    <x v="5"/>
    <n v="168"/>
    <n v="21"/>
    <x v="3"/>
  </r>
  <r>
    <n v="10254"/>
    <x v="5"/>
    <n v="45.899999678134918"/>
    <n v="15"/>
    <x v="1"/>
  </r>
  <r>
    <n v="10254"/>
    <x v="5"/>
    <n v="168"/>
    <n v="21"/>
    <x v="6"/>
  </r>
  <r>
    <n v="10254"/>
    <x v="5"/>
    <n v="342.71999759674071"/>
    <n v="21"/>
    <x v="6"/>
  </r>
  <r>
    <n v="10254"/>
    <x v="5"/>
    <n v="45.899999678134918"/>
    <n v="15"/>
    <x v="6"/>
  </r>
  <r>
    <n v="10254"/>
    <x v="5"/>
    <n v="45.899999678134918"/>
    <n v="15"/>
    <x v="2"/>
  </r>
  <r>
    <n v="10255"/>
    <x v="6"/>
    <n v="486.5"/>
    <n v="35"/>
    <x v="2"/>
  </r>
  <r>
    <n v="10255"/>
    <x v="6"/>
    <n v="304"/>
    <n v="20"/>
    <x v="1"/>
  </r>
  <r>
    <n v="10255"/>
    <x v="6"/>
    <n v="486.5"/>
    <n v="35"/>
    <x v="1"/>
  </r>
  <r>
    <n v="10255"/>
    <x v="6"/>
    <n v="380"/>
    <n v="25"/>
    <x v="4"/>
  </r>
  <r>
    <n v="10255"/>
    <x v="6"/>
    <n v="1320"/>
    <n v="30"/>
    <x v="6"/>
  </r>
  <r>
    <n v="10255"/>
    <x v="6"/>
    <n v="304"/>
    <n v="20"/>
    <x v="2"/>
  </r>
  <r>
    <n v="10255"/>
    <x v="6"/>
    <n v="304"/>
    <n v="20"/>
    <x v="6"/>
  </r>
  <r>
    <n v="10255"/>
    <x v="6"/>
    <n v="380"/>
    <n v="25"/>
    <x v="2"/>
  </r>
  <r>
    <n v="10255"/>
    <x v="6"/>
    <n v="1320"/>
    <n v="30"/>
    <x v="2"/>
  </r>
  <r>
    <n v="10255"/>
    <x v="6"/>
    <n v="380"/>
    <n v="25"/>
    <x v="1"/>
  </r>
  <r>
    <n v="10255"/>
    <x v="6"/>
    <n v="1320"/>
    <n v="30"/>
    <x v="1"/>
  </r>
  <r>
    <n v="10255"/>
    <x v="6"/>
    <n v="304"/>
    <n v="20"/>
    <x v="5"/>
  </r>
  <r>
    <n v="10255"/>
    <x v="6"/>
    <n v="486.5"/>
    <n v="35"/>
    <x v="5"/>
  </r>
  <r>
    <n v="10255"/>
    <x v="6"/>
    <n v="380"/>
    <n v="25"/>
    <x v="5"/>
  </r>
  <r>
    <n v="10255"/>
    <x v="6"/>
    <n v="304"/>
    <n v="20"/>
    <x v="4"/>
  </r>
  <r>
    <n v="10255"/>
    <x v="6"/>
    <n v="1320"/>
    <n v="30"/>
    <x v="7"/>
  </r>
  <r>
    <n v="10255"/>
    <x v="6"/>
    <n v="1320"/>
    <n v="30"/>
    <x v="3"/>
  </r>
  <r>
    <n v="10255"/>
    <x v="6"/>
    <n v="380"/>
    <n v="25"/>
    <x v="3"/>
  </r>
  <r>
    <n v="10255"/>
    <x v="6"/>
    <n v="486.5"/>
    <n v="35"/>
    <x v="3"/>
  </r>
  <r>
    <n v="10255"/>
    <x v="6"/>
    <n v="304"/>
    <n v="20"/>
    <x v="3"/>
  </r>
  <r>
    <n v="10255"/>
    <x v="6"/>
    <n v="304"/>
    <n v="20"/>
    <x v="7"/>
  </r>
  <r>
    <n v="10255"/>
    <x v="6"/>
    <n v="380"/>
    <n v="25"/>
    <x v="6"/>
  </r>
  <r>
    <n v="10255"/>
    <x v="6"/>
    <n v="380"/>
    <n v="25"/>
    <x v="7"/>
  </r>
  <r>
    <n v="10255"/>
    <x v="6"/>
    <n v="1320"/>
    <n v="30"/>
    <x v="5"/>
  </r>
  <r>
    <n v="10255"/>
    <x v="6"/>
    <n v="1320"/>
    <n v="30"/>
    <x v="0"/>
  </r>
  <r>
    <n v="10255"/>
    <x v="6"/>
    <n v="380"/>
    <n v="25"/>
    <x v="0"/>
  </r>
  <r>
    <n v="10255"/>
    <x v="6"/>
    <n v="486.5"/>
    <n v="35"/>
    <x v="0"/>
  </r>
  <r>
    <n v="10255"/>
    <x v="6"/>
    <n v="304"/>
    <n v="20"/>
    <x v="0"/>
  </r>
  <r>
    <n v="10255"/>
    <x v="6"/>
    <n v="486.5"/>
    <n v="35"/>
    <x v="4"/>
  </r>
  <r>
    <n v="10255"/>
    <x v="6"/>
    <n v="486.5"/>
    <n v="35"/>
    <x v="6"/>
  </r>
  <r>
    <n v="10255"/>
    <x v="6"/>
    <n v="486.5"/>
    <n v="35"/>
    <x v="7"/>
  </r>
  <r>
    <n v="10255"/>
    <x v="6"/>
    <n v="1320"/>
    <n v="30"/>
    <x v="4"/>
  </r>
  <r>
    <n v="10256"/>
    <x v="7"/>
    <n v="393"/>
    <n v="15"/>
    <x v="4"/>
  </r>
  <r>
    <n v="10256"/>
    <x v="7"/>
    <n v="124.8"/>
    <n v="12"/>
    <x v="0"/>
  </r>
  <r>
    <n v="10256"/>
    <x v="7"/>
    <n v="393"/>
    <n v="15"/>
    <x v="0"/>
  </r>
  <r>
    <n v="10256"/>
    <x v="7"/>
    <n v="393"/>
    <n v="15"/>
    <x v="6"/>
  </r>
  <r>
    <n v="10256"/>
    <x v="7"/>
    <n v="124.8"/>
    <n v="12"/>
    <x v="6"/>
  </r>
  <r>
    <n v="10256"/>
    <x v="7"/>
    <n v="124.8"/>
    <n v="12"/>
    <x v="5"/>
  </r>
  <r>
    <n v="10256"/>
    <x v="7"/>
    <n v="393"/>
    <n v="15"/>
    <x v="5"/>
  </r>
  <r>
    <n v="10256"/>
    <x v="7"/>
    <n v="124.8"/>
    <n v="12"/>
    <x v="4"/>
  </r>
  <r>
    <n v="10256"/>
    <x v="7"/>
    <n v="393"/>
    <n v="15"/>
    <x v="3"/>
  </r>
  <r>
    <n v="10256"/>
    <x v="7"/>
    <n v="124.8"/>
    <n v="12"/>
    <x v="3"/>
  </r>
  <r>
    <n v="10256"/>
    <x v="7"/>
    <n v="393"/>
    <n v="15"/>
    <x v="7"/>
  </r>
  <r>
    <n v="10256"/>
    <x v="7"/>
    <n v="393"/>
    <n v="15"/>
    <x v="2"/>
  </r>
  <r>
    <n v="10256"/>
    <x v="7"/>
    <n v="124.8"/>
    <n v="12"/>
    <x v="2"/>
  </r>
  <r>
    <n v="10256"/>
    <x v="7"/>
    <n v="124.8"/>
    <n v="12"/>
    <x v="1"/>
  </r>
  <r>
    <n v="10256"/>
    <x v="7"/>
    <n v="393"/>
    <n v="15"/>
    <x v="1"/>
  </r>
  <r>
    <n v="10256"/>
    <x v="7"/>
    <n v="124.8"/>
    <n v="12"/>
    <x v="7"/>
  </r>
  <r>
    <n v="10257"/>
    <x v="8"/>
    <n v="156"/>
    <n v="15"/>
    <x v="7"/>
  </r>
  <r>
    <n v="10257"/>
    <x v="8"/>
    <n v="877.5"/>
    <n v="25"/>
    <x v="0"/>
  </r>
  <r>
    <n v="10257"/>
    <x v="8"/>
    <n v="156"/>
    <n v="15"/>
    <x v="1"/>
  </r>
  <r>
    <n v="10257"/>
    <x v="8"/>
    <n v="86.4"/>
    <n v="6"/>
    <x v="1"/>
  </r>
  <r>
    <n v="10257"/>
    <x v="8"/>
    <n v="877.5"/>
    <n v="25"/>
    <x v="1"/>
  </r>
  <r>
    <n v="10257"/>
    <x v="8"/>
    <n v="877.5"/>
    <n v="25"/>
    <x v="6"/>
  </r>
  <r>
    <n v="10257"/>
    <x v="8"/>
    <n v="86.4"/>
    <n v="6"/>
    <x v="5"/>
  </r>
  <r>
    <n v="10257"/>
    <x v="8"/>
    <n v="877.5"/>
    <n v="25"/>
    <x v="5"/>
  </r>
  <r>
    <n v="10257"/>
    <x v="8"/>
    <n v="156"/>
    <n v="15"/>
    <x v="2"/>
  </r>
  <r>
    <n v="10257"/>
    <x v="8"/>
    <n v="86.4"/>
    <n v="6"/>
    <x v="6"/>
  </r>
  <r>
    <n v="10257"/>
    <x v="8"/>
    <n v="86.4"/>
    <n v="6"/>
    <x v="7"/>
  </r>
  <r>
    <n v="10257"/>
    <x v="8"/>
    <n v="156"/>
    <n v="15"/>
    <x v="4"/>
  </r>
  <r>
    <n v="10257"/>
    <x v="8"/>
    <n v="86.4"/>
    <n v="6"/>
    <x v="4"/>
  </r>
  <r>
    <n v="10257"/>
    <x v="8"/>
    <n v="877.5"/>
    <n v="25"/>
    <x v="4"/>
  </r>
  <r>
    <n v="10257"/>
    <x v="8"/>
    <n v="86.4"/>
    <n v="6"/>
    <x v="0"/>
  </r>
  <r>
    <n v="10257"/>
    <x v="8"/>
    <n v="877.5"/>
    <n v="25"/>
    <x v="2"/>
  </r>
  <r>
    <n v="10257"/>
    <x v="8"/>
    <n v="156"/>
    <n v="15"/>
    <x v="5"/>
  </r>
  <r>
    <n v="10257"/>
    <x v="8"/>
    <n v="156"/>
    <n v="15"/>
    <x v="6"/>
  </r>
  <r>
    <n v="10257"/>
    <x v="8"/>
    <n v="877.5"/>
    <n v="25"/>
    <x v="7"/>
  </r>
  <r>
    <n v="10257"/>
    <x v="8"/>
    <n v="86.4"/>
    <n v="6"/>
    <x v="2"/>
  </r>
  <r>
    <n v="10257"/>
    <x v="8"/>
    <n v="156"/>
    <n v="15"/>
    <x v="3"/>
  </r>
  <r>
    <n v="10257"/>
    <x v="8"/>
    <n v="156"/>
    <n v="15"/>
    <x v="0"/>
  </r>
  <r>
    <n v="10257"/>
    <x v="8"/>
    <n v="877.5"/>
    <n v="25"/>
    <x v="3"/>
  </r>
  <r>
    <n v="10257"/>
    <x v="8"/>
    <n v="86.4"/>
    <n v="6"/>
    <x v="3"/>
  </r>
  <r>
    <n v="10258"/>
    <x v="9"/>
    <n v="883.99999670684338"/>
    <n v="65"/>
    <x v="5"/>
  </r>
  <r>
    <n v="10258"/>
    <x v="9"/>
    <n v="122.87999954223632"/>
    <n v="6"/>
    <x v="6"/>
  </r>
  <r>
    <n v="10258"/>
    <x v="9"/>
    <n v="122.87999954223632"/>
    <n v="6"/>
    <x v="7"/>
  </r>
  <r>
    <n v="10258"/>
    <x v="9"/>
    <n v="122.87999954223632"/>
    <n v="6"/>
    <x v="4"/>
  </r>
  <r>
    <n v="10258"/>
    <x v="9"/>
    <n v="122.87999954223632"/>
    <n v="6"/>
    <x v="1"/>
  </r>
  <r>
    <n v="10258"/>
    <x v="9"/>
    <n v="607.9999977350235"/>
    <n v="50"/>
    <x v="4"/>
  </r>
  <r>
    <n v="10258"/>
    <x v="9"/>
    <n v="607.9999977350235"/>
    <n v="50"/>
    <x v="5"/>
  </r>
  <r>
    <n v="10258"/>
    <x v="9"/>
    <n v="607.9999977350235"/>
    <n v="50"/>
    <x v="7"/>
  </r>
  <r>
    <n v="10258"/>
    <x v="9"/>
    <n v="607.9999977350235"/>
    <n v="50"/>
    <x v="3"/>
  </r>
  <r>
    <n v="10258"/>
    <x v="9"/>
    <n v="607.9999977350235"/>
    <n v="50"/>
    <x v="6"/>
  </r>
  <r>
    <n v="10258"/>
    <x v="9"/>
    <n v="122.87999954223632"/>
    <n v="6"/>
    <x v="2"/>
  </r>
  <r>
    <n v="10258"/>
    <x v="9"/>
    <n v="607.9999977350235"/>
    <n v="50"/>
    <x v="1"/>
  </r>
  <r>
    <n v="10258"/>
    <x v="9"/>
    <n v="883.99999670684338"/>
    <n v="65"/>
    <x v="4"/>
  </r>
  <r>
    <n v="10258"/>
    <x v="9"/>
    <n v="883.99999670684338"/>
    <n v="65"/>
    <x v="6"/>
  </r>
  <r>
    <n v="10258"/>
    <x v="9"/>
    <n v="883.99999670684338"/>
    <n v="65"/>
    <x v="3"/>
  </r>
  <r>
    <n v="10258"/>
    <x v="9"/>
    <n v="122.87999954223632"/>
    <n v="6"/>
    <x v="3"/>
  </r>
  <r>
    <n v="10258"/>
    <x v="9"/>
    <n v="607.9999977350235"/>
    <n v="50"/>
    <x v="2"/>
  </r>
  <r>
    <n v="10258"/>
    <x v="9"/>
    <n v="883.99999670684338"/>
    <n v="65"/>
    <x v="2"/>
  </r>
  <r>
    <n v="10258"/>
    <x v="9"/>
    <n v="883.99999670684338"/>
    <n v="65"/>
    <x v="1"/>
  </r>
  <r>
    <n v="10258"/>
    <x v="9"/>
    <n v="122.87999954223632"/>
    <n v="6"/>
    <x v="5"/>
  </r>
  <r>
    <n v="10258"/>
    <x v="9"/>
    <n v="607.9999977350235"/>
    <n v="50"/>
    <x v="0"/>
  </r>
  <r>
    <n v="10258"/>
    <x v="9"/>
    <n v="883.99999670684338"/>
    <n v="65"/>
    <x v="0"/>
  </r>
  <r>
    <n v="10258"/>
    <x v="9"/>
    <n v="122.87999954223632"/>
    <n v="6"/>
    <x v="0"/>
  </r>
  <r>
    <n v="10258"/>
    <x v="9"/>
    <n v="883.99999670684338"/>
    <n v="65"/>
    <x v="7"/>
  </r>
  <r>
    <n v="10259"/>
    <x v="10"/>
    <n v="20.8"/>
    <n v="1"/>
    <x v="5"/>
  </r>
  <r>
    <n v="10259"/>
    <x v="10"/>
    <n v="80"/>
    <n v="10"/>
    <x v="3"/>
  </r>
  <r>
    <n v="10259"/>
    <x v="10"/>
    <n v="20.8"/>
    <n v="1"/>
    <x v="3"/>
  </r>
  <r>
    <n v="10259"/>
    <x v="10"/>
    <n v="80"/>
    <n v="10"/>
    <x v="0"/>
  </r>
  <r>
    <n v="10259"/>
    <x v="10"/>
    <n v="80"/>
    <n v="10"/>
    <x v="7"/>
  </r>
  <r>
    <n v="10259"/>
    <x v="10"/>
    <n v="80"/>
    <n v="10"/>
    <x v="2"/>
  </r>
  <r>
    <n v="10259"/>
    <x v="10"/>
    <n v="20.8"/>
    <n v="1"/>
    <x v="2"/>
  </r>
  <r>
    <n v="10259"/>
    <x v="10"/>
    <n v="20.8"/>
    <n v="1"/>
    <x v="4"/>
  </r>
  <r>
    <n v="10259"/>
    <x v="10"/>
    <n v="20.8"/>
    <n v="1"/>
    <x v="0"/>
  </r>
  <r>
    <n v="10259"/>
    <x v="10"/>
    <n v="20.8"/>
    <n v="1"/>
    <x v="7"/>
  </r>
  <r>
    <n v="10259"/>
    <x v="10"/>
    <n v="80"/>
    <n v="10"/>
    <x v="6"/>
  </r>
  <r>
    <n v="10259"/>
    <x v="10"/>
    <n v="20.8"/>
    <n v="1"/>
    <x v="6"/>
  </r>
  <r>
    <n v="10259"/>
    <x v="10"/>
    <n v="80"/>
    <n v="10"/>
    <x v="5"/>
  </r>
  <r>
    <n v="10259"/>
    <x v="10"/>
    <n v="20.8"/>
    <n v="1"/>
    <x v="1"/>
  </r>
  <r>
    <n v="10259"/>
    <x v="10"/>
    <n v="80"/>
    <n v="10"/>
    <x v="4"/>
  </r>
  <r>
    <n v="10259"/>
    <x v="10"/>
    <n v="80"/>
    <n v="10"/>
    <x v="1"/>
  </r>
  <r>
    <n v="10260"/>
    <x v="11"/>
    <n v="780"/>
    <n v="50"/>
    <x v="1"/>
  </r>
  <r>
    <n v="10260"/>
    <x v="11"/>
    <n v="189"/>
    <n v="21"/>
    <x v="4"/>
  </r>
  <r>
    <n v="10260"/>
    <x v="11"/>
    <n v="443.25"/>
    <n v="15"/>
    <x v="1"/>
  </r>
  <r>
    <n v="10260"/>
    <x v="11"/>
    <n v="189"/>
    <n v="21"/>
    <x v="1"/>
  </r>
  <r>
    <n v="10260"/>
    <x v="11"/>
    <n v="92.4"/>
    <n v="16"/>
    <x v="3"/>
  </r>
  <r>
    <n v="10260"/>
    <x v="11"/>
    <n v="92.4"/>
    <n v="16"/>
    <x v="2"/>
  </r>
  <r>
    <n v="10260"/>
    <x v="11"/>
    <n v="780"/>
    <n v="50"/>
    <x v="2"/>
  </r>
  <r>
    <n v="10260"/>
    <x v="11"/>
    <n v="443.25"/>
    <n v="15"/>
    <x v="2"/>
  </r>
  <r>
    <n v="10260"/>
    <x v="11"/>
    <n v="189"/>
    <n v="21"/>
    <x v="2"/>
  </r>
  <r>
    <n v="10260"/>
    <x v="11"/>
    <n v="780"/>
    <n v="50"/>
    <x v="3"/>
  </r>
  <r>
    <n v="10260"/>
    <x v="11"/>
    <n v="443.25"/>
    <n v="15"/>
    <x v="3"/>
  </r>
  <r>
    <n v="10260"/>
    <x v="11"/>
    <n v="189"/>
    <n v="21"/>
    <x v="3"/>
  </r>
  <r>
    <n v="10260"/>
    <x v="11"/>
    <n v="189"/>
    <n v="21"/>
    <x v="0"/>
  </r>
  <r>
    <n v="10260"/>
    <x v="11"/>
    <n v="780"/>
    <n v="50"/>
    <x v="7"/>
  </r>
  <r>
    <n v="10260"/>
    <x v="11"/>
    <n v="92.4"/>
    <n v="16"/>
    <x v="4"/>
  </r>
  <r>
    <n v="10260"/>
    <x v="11"/>
    <n v="92.4"/>
    <n v="16"/>
    <x v="5"/>
  </r>
  <r>
    <n v="10260"/>
    <x v="11"/>
    <n v="443.25"/>
    <n v="15"/>
    <x v="4"/>
  </r>
  <r>
    <n v="10260"/>
    <x v="11"/>
    <n v="780"/>
    <n v="50"/>
    <x v="4"/>
  </r>
  <r>
    <n v="10260"/>
    <x v="11"/>
    <n v="443.25"/>
    <n v="15"/>
    <x v="5"/>
  </r>
  <r>
    <n v="10260"/>
    <x v="11"/>
    <n v="92.4"/>
    <n v="16"/>
    <x v="7"/>
  </r>
  <r>
    <n v="10260"/>
    <x v="11"/>
    <n v="443.25"/>
    <n v="15"/>
    <x v="7"/>
  </r>
  <r>
    <n v="10260"/>
    <x v="11"/>
    <n v="780"/>
    <n v="50"/>
    <x v="5"/>
  </r>
  <r>
    <n v="10260"/>
    <x v="11"/>
    <n v="189"/>
    <n v="21"/>
    <x v="6"/>
  </r>
  <r>
    <n v="10260"/>
    <x v="11"/>
    <n v="443.25"/>
    <n v="15"/>
    <x v="6"/>
  </r>
  <r>
    <n v="10260"/>
    <x v="11"/>
    <n v="92.4"/>
    <n v="16"/>
    <x v="6"/>
  </r>
  <r>
    <n v="10260"/>
    <x v="11"/>
    <n v="92.4"/>
    <n v="16"/>
    <x v="1"/>
  </r>
  <r>
    <n v="10260"/>
    <x v="11"/>
    <n v="780"/>
    <n v="50"/>
    <x v="6"/>
  </r>
  <r>
    <n v="10260"/>
    <x v="11"/>
    <n v="443.25"/>
    <n v="15"/>
    <x v="0"/>
  </r>
  <r>
    <n v="10260"/>
    <x v="11"/>
    <n v="780"/>
    <n v="50"/>
    <x v="0"/>
  </r>
  <r>
    <n v="10260"/>
    <x v="11"/>
    <n v="189"/>
    <n v="21"/>
    <x v="7"/>
  </r>
  <r>
    <n v="10260"/>
    <x v="11"/>
    <n v="92.4"/>
    <n v="16"/>
    <x v="0"/>
  </r>
  <r>
    <n v="10260"/>
    <x v="11"/>
    <n v="189"/>
    <n v="21"/>
    <x v="5"/>
  </r>
  <r>
    <n v="10261"/>
    <x v="11"/>
    <n v="160"/>
    <n v="20"/>
    <x v="0"/>
  </r>
  <r>
    <n v="10261"/>
    <x v="11"/>
    <n v="288"/>
    <n v="20"/>
    <x v="0"/>
  </r>
  <r>
    <n v="10261"/>
    <x v="11"/>
    <n v="288"/>
    <n v="20"/>
    <x v="3"/>
  </r>
  <r>
    <n v="10261"/>
    <x v="11"/>
    <n v="160"/>
    <n v="20"/>
    <x v="3"/>
  </r>
  <r>
    <n v="10261"/>
    <x v="11"/>
    <n v="288"/>
    <n v="20"/>
    <x v="6"/>
  </r>
  <r>
    <n v="10261"/>
    <x v="11"/>
    <n v="160"/>
    <n v="20"/>
    <x v="2"/>
  </r>
  <r>
    <n v="10261"/>
    <x v="11"/>
    <n v="160"/>
    <n v="20"/>
    <x v="6"/>
  </r>
  <r>
    <n v="10261"/>
    <x v="11"/>
    <n v="288"/>
    <n v="20"/>
    <x v="4"/>
  </r>
  <r>
    <n v="10261"/>
    <x v="11"/>
    <n v="160"/>
    <n v="20"/>
    <x v="7"/>
  </r>
  <r>
    <n v="10261"/>
    <x v="11"/>
    <n v="160"/>
    <n v="20"/>
    <x v="4"/>
  </r>
  <r>
    <n v="10261"/>
    <x v="11"/>
    <n v="288"/>
    <n v="20"/>
    <x v="2"/>
  </r>
  <r>
    <n v="10261"/>
    <x v="11"/>
    <n v="288"/>
    <n v="20"/>
    <x v="1"/>
  </r>
  <r>
    <n v="10261"/>
    <x v="11"/>
    <n v="288"/>
    <n v="20"/>
    <x v="5"/>
  </r>
  <r>
    <n v="10261"/>
    <x v="11"/>
    <n v="160"/>
    <n v="20"/>
    <x v="5"/>
  </r>
  <r>
    <n v="10261"/>
    <x v="11"/>
    <n v="288"/>
    <n v="20"/>
    <x v="7"/>
  </r>
  <r>
    <n v="10261"/>
    <x v="11"/>
    <n v="160"/>
    <n v="20"/>
    <x v="1"/>
  </r>
  <r>
    <n v="10262"/>
    <x v="12"/>
    <n v="163.19999939203262"/>
    <n v="12"/>
    <x v="4"/>
  </r>
  <r>
    <n v="10262"/>
    <x v="12"/>
    <n v="163.19999939203262"/>
    <n v="12"/>
    <x v="6"/>
  </r>
  <r>
    <n v="10262"/>
    <x v="12"/>
    <n v="360"/>
    <n v="15"/>
    <x v="6"/>
  </r>
  <r>
    <n v="10262"/>
    <x v="12"/>
    <n v="60.8"/>
    <n v="2"/>
    <x v="6"/>
  </r>
  <r>
    <n v="10262"/>
    <x v="12"/>
    <n v="60.8"/>
    <n v="2"/>
    <x v="2"/>
  </r>
  <r>
    <n v="10262"/>
    <x v="12"/>
    <n v="360"/>
    <n v="15"/>
    <x v="2"/>
  </r>
  <r>
    <n v="10262"/>
    <x v="12"/>
    <n v="163.19999939203262"/>
    <n v="12"/>
    <x v="2"/>
  </r>
  <r>
    <n v="10262"/>
    <x v="12"/>
    <n v="360"/>
    <n v="15"/>
    <x v="0"/>
  </r>
  <r>
    <n v="10262"/>
    <x v="12"/>
    <n v="163.19999939203262"/>
    <n v="12"/>
    <x v="3"/>
  </r>
  <r>
    <n v="10262"/>
    <x v="12"/>
    <n v="360"/>
    <n v="15"/>
    <x v="4"/>
  </r>
  <r>
    <n v="10262"/>
    <x v="12"/>
    <n v="60.8"/>
    <n v="2"/>
    <x v="0"/>
  </r>
  <r>
    <n v="10262"/>
    <x v="12"/>
    <n v="60.8"/>
    <n v="2"/>
    <x v="5"/>
  </r>
  <r>
    <n v="10262"/>
    <x v="12"/>
    <n v="163.19999939203262"/>
    <n v="12"/>
    <x v="5"/>
  </r>
  <r>
    <n v="10262"/>
    <x v="12"/>
    <n v="163.19999939203262"/>
    <n v="12"/>
    <x v="7"/>
  </r>
  <r>
    <n v="10262"/>
    <x v="12"/>
    <n v="360"/>
    <n v="15"/>
    <x v="7"/>
  </r>
  <r>
    <n v="10262"/>
    <x v="12"/>
    <n v="60.8"/>
    <n v="2"/>
    <x v="7"/>
  </r>
  <r>
    <n v="10262"/>
    <x v="12"/>
    <n v="360"/>
    <n v="15"/>
    <x v="5"/>
  </r>
  <r>
    <n v="10262"/>
    <x v="12"/>
    <n v="60.8"/>
    <n v="2"/>
    <x v="4"/>
  </r>
  <r>
    <n v="10262"/>
    <x v="12"/>
    <n v="360"/>
    <n v="15"/>
    <x v="1"/>
  </r>
  <r>
    <n v="10262"/>
    <x v="12"/>
    <n v="60.8"/>
    <n v="2"/>
    <x v="3"/>
  </r>
  <r>
    <n v="10262"/>
    <x v="12"/>
    <n v="360"/>
    <n v="15"/>
    <x v="3"/>
  </r>
  <r>
    <n v="10262"/>
    <x v="12"/>
    <n v="163.19999939203262"/>
    <n v="12"/>
    <x v="1"/>
  </r>
  <r>
    <n v="10262"/>
    <x v="12"/>
    <n v="163.19999939203262"/>
    <n v="12"/>
    <x v="0"/>
  </r>
  <r>
    <n v="10262"/>
    <x v="12"/>
    <n v="60.8"/>
    <n v="2"/>
    <x v="1"/>
  </r>
  <r>
    <n v="10263"/>
    <x v="13"/>
    <n v="625.5"/>
    <n v="60"/>
    <x v="5"/>
  </r>
  <r>
    <n v="10263"/>
    <x v="13"/>
    <n v="100.8"/>
    <n v="28"/>
    <x v="5"/>
  </r>
  <r>
    <n v="10263"/>
    <x v="13"/>
    <n v="931.5"/>
    <n v="60"/>
    <x v="5"/>
  </r>
  <r>
    <n v="10263"/>
    <x v="13"/>
    <n v="216"/>
    <n v="36"/>
    <x v="5"/>
  </r>
  <r>
    <n v="10263"/>
    <x v="13"/>
    <n v="100.8"/>
    <n v="28"/>
    <x v="0"/>
  </r>
  <r>
    <n v="10263"/>
    <x v="13"/>
    <n v="625.5"/>
    <n v="60"/>
    <x v="0"/>
  </r>
  <r>
    <n v="10263"/>
    <x v="13"/>
    <n v="625.5"/>
    <n v="60"/>
    <x v="2"/>
  </r>
  <r>
    <n v="10263"/>
    <x v="13"/>
    <n v="100.8"/>
    <n v="28"/>
    <x v="4"/>
  </r>
  <r>
    <n v="10263"/>
    <x v="13"/>
    <n v="100.8"/>
    <n v="28"/>
    <x v="2"/>
  </r>
  <r>
    <n v="10263"/>
    <x v="13"/>
    <n v="931.5"/>
    <n v="60"/>
    <x v="4"/>
  </r>
  <r>
    <n v="10263"/>
    <x v="13"/>
    <n v="216"/>
    <n v="36"/>
    <x v="4"/>
  </r>
  <r>
    <n v="10263"/>
    <x v="13"/>
    <n v="625.5"/>
    <n v="60"/>
    <x v="6"/>
  </r>
  <r>
    <n v="10263"/>
    <x v="13"/>
    <n v="100.8"/>
    <n v="28"/>
    <x v="6"/>
  </r>
  <r>
    <n v="10263"/>
    <x v="13"/>
    <n v="931.5"/>
    <n v="60"/>
    <x v="6"/>
  </r>
  <r>
    <n v="10263"/>
    <x v="13"/>
    <n v="216"/>
    <n v="36"/>
    <x v="6"/>
  </r>
  <r>
    <n v="10263"/>
    <x v="13"/>
    <n v="625.5"/>
    <n v="60"/>
    <x v="4"/>
  </r>
  <r>
    <n v="10263"/>
    <x v="13"/>
    <n v="625.5"/>
    <n v="60"/>
    <x v="7"/>
  </r>
  <r>
    <n v="10263"/>
    <x v="13"/>
    <n v="625.5"/>
    <n v="60"/>
    <x v="3"/>
  </r>
  <r>
    <n v="10263"/>
    <x v="13"/>
    <n v="100.8"/>
    <n v="28"/>
    <x v="3"/>
  </r>
  <r>
    <n v="10263"/>
    <x v="13"/>
    <n v="931.5"/>
    <n v="60"/>
    <x v="3"/>
  </r>
  <r>
    <n v="10263"/>
    <x v="13"/>
    <n v="216"/>
    <n v="36"/>
    <x v="7"/>
  </r>
  <r>
    <n v="10263"/>
    <x v="13"/>
    <n v="216"/>
    <n v="36"/>
    <x v="3"/>
  </r>
  <r>
    <n v="10263"/>
    <x v="13"/>
    <n v="100.8"/>
    <n v="28"/>
    <x v="7"/>
  </r>
  <r>
    <n v="10263"/>
    <x v="13"/>
    <n v="216"/>
    <n v="36"/>
    <x v="0"/>
  </r>
  <r>
    <n v="10263"/>
    <x v="13"/>
    <n v="931.5"/>
    <n v="60"/>
    <x v="0"/>
  </r>
  <r>
    <n v="10263"/>
    <x v="13"/>
    <n v="625.5"/>
    <n v="60"/>
    <x v="1"/>
  </r>
  <r>
    <n v="10263"/>
    <x v="13"/>
    <n v="100.8"/>
    <n v="28"/>
    <x v="1"/>
  </r>
  <r>
    <n v="10263"/>
    <x v="13"/>
    <n v="931.5"/>
    <n v="60"/>
    <x v="1"/>
  </r>
  <r>
    <n v="10263"/>
    <x v="13"/>
    <n v="216"/>
    <n v="36"/>
    <x v="1"/>
  </r>
  <r>
    <n v="10263"/>
    <x v="13"/>
    <n v="216"/>
    <n v="36"/>
    <x v="2"/>
  </r>
  <r>
    <n v="10263"/>
    <x v="13"/>
    <n v="931.5"/>
    <n v="60"/>
    <x v="2"/>
  </r>
  <r>
    <n v="10263"/>
    <x v="13"/>
    <n v="931.5"/>
    <n v="60"/>
    <x v="7"/>
  </r>
  <r>
    <n v="10264"/>
    <x v="14"/>
    <n v="532"/>
    <n v="35"/>
    <x v="5"/>
  </r>
  <r>
    <n v="10264"/>
    <x v="14"/>
    <n v="532"/>
    <n v="35"/>
    <x v="6"/>
  </r>
  <r>
    <n v="10264"/>
    <x v="14"/>
    <n v="532"/>
    <n v="35"/>
    <x v="4"/>
  </r>
  <r>
    <n v="10264"/>
    <x v="14"/>
    <n v="163.62499885261059"/>
    <n v="25"/>
    <x v="4"/>
  </r>
  <r>
    <n v="10264"/>
    <x v="14"/>
    <n v="163.62499885261059"/>
    <n v="25"/>
    <x v="5"/>
  </r>
  <r>
    <n v="10264"/>
    <x v="14"/>
    <n v="532"/>
    <n v="35"/>
    <x v="7"/>
  </r>
  <r>
    <n v="10264"/>
    <x v="14"/>
    <n v="163.62499885261059"/>
    <n v="25"/>
    <x v="7"/>
  </r>
  <r>
    <n v="10264"/>
    <x v="14"/>
    <n v="532"/>
    <n v="35"/>
    <x v="1"/>
  </r>
  <r>
    <n v="10264"/>
    <x v="14"/>
    <n v="532"/>
    <n v="35"/>
    <x v="0"/>
  </r>
  <r>
    <n v="10264"/>
    <x v="14"/>
    <n v="163.62499885261059"/>
    <n v="25"/>
    <x v="3"/>
  </r>
  <r>
    <n v="10264"/>
    <x v="14"/>
    <n v="163.62499885261059"/>
    <n v="25"/>
    <x v="6"/>
  </r>
  <r>
    <n v="10264"/>
    <x v="14"/>
    <n v="532"/>
    <n v="35"/>
    <x v="3"/>
  </r>
  <r>
    <n v="10264"/>
    <x v="14"/>
    <n v="532"/>
    <n v="35"/>
    <x v="2"/>
  </r>
  <r>
    <n v="10264"/>
    <x v="14"/>
    <n v="163.62499885261059"/>
    <n v="25"/>
    <x v="2"/>
  </r>
  <r>
    <n v="10264"/>
    <x v="14"/>
    <n v="163.62499885261059"/>
    <n v="25"/>
    <x v="0"/>
  </r>
  <r>
    <n v="10264"/>
    <x v="14"/>
    <n v="163.62499885261059"/>
    <n v="25"/>
    <x v="1"/>
  </r>
  <r>
    <n v="10265"/>
    <x v="15"/>
    <n v="936"/>
    <n v="30"/>
    <x v="1"/>
  </r>
  <r>
    <n v="10265"/>
    <x v="15"/>
    <n v="936"/>
    <n v="30"/>
    <x v="6"/>
  </r>
  <r>
    <n v="10265"/>
    <x v="15"/>
    <n v="936"/>
    <n v="30"/>
    <x v="3"/>
  </r>
  <r>
    <n v="10265"/>
    <x v="15"/>
    <n v="936"/>
    <n v="30"/>
    <x v="2"/>
  </r>
  <r>
    <n v="10265"/>
    <x v="15"/>
    <n v="240"/>
    <n v="20"/>
    <x v="2"/>
  </r>
  <r>
    <n v="10265"/>
    <x v="15"/>
    <n v="240"/>
    <n v="20"/>
    <x v="4"/>
  </r>
  <r>
    <n v="10265"/>
    <x v="15"/>
    <n v="240"/>
    <n v="20"/>
    <x v="1"/>
  </r>
  <r>
    <n v="10265"/>
    <x v="15"/>
    <n v="936"/>
    <n v="30"/>
    <x v="0"/>
  </r>
  <r>
    <n v="10265"/>
    <x v="15"/>
    <n v="240"/>
    <n v="20"/>
    <x v="0"/>
  </r>
  <r>
    <n v="10265"/>
    <x v="15"/>
    <n v="240"/>
    <n v="20"/>
    <x v="3"/>
  </r>
  <r>
    <n v="10265"/>
    <x v="15"/>
    <n v="936"/>
    <n v="30"/>
    <x v="5"/>
  </r>
  <r>
    <n v="10265"/>
    <x v="15"/>
    <n v="936"/>
    <n v="30"/>
    <x v="7"/>
  </r>
  <r>
    <n v="10265"/>
    <x v="15"/>
    <n v="240"/>
    <n v="20"/>
    <x v="7"/>
  </r>
  <r>
    <n v="10265"/>
    <x v="15"/>
    <n v="240"/>
    <n v="20"/>
    <x v="6"/>
  </r>
  <r>
    <n v="10265"/>
    <x v="15"/>
    <n v="240"/>
    <n v="20"/>
    <x v="5"/>
  </r>
  <r>
    <n v="10265"/>
    <x v="15"/>
    <n v="936"/>
    <n v="30"/>
    <x v="4"/>
  </r>
  <r>
    <n v="10266"/>
    <x v="16"/>
    <n v="346.55999972820285"/>
    <n v="12"/>
    <x v="2"/>
  </r>
  <r>
    <n v="10266"/>
    <x v="16"/>
    <n v="346.55999972820285"/>
    <n v="12"/>
    <x v="0"/>
  </r>
  <r>
    <n v="10266"/>
    <x v="16"/>
    <n v="346.55999972820285"/>
    <n v="12"/>
    <x v="7"/>
  </r>
  <r>
    <n v="10266"/>
    <x v="16"/>
    <n v="346.55999972820285"/>
    <n v="12"/>
    <x v="4"/>
  </r>
  <r>
    <n v="10266"/>
    <x v="16"/>
    <n v="346.55999972820285"/>
    <n v="12"/>
    <x v="6"/>
  </r>
  <r>
    <n v="10266"/>
    <x v="16"/>
    <n v="346.55999972820285"/>
    <n v="12"/>
    <x v="5"/>
  </r>
  <r>
    <n v="10266"/>
    <x v="16"/>
    <n v="346.55999972820285"/>
    <n v="12"/>
    <x v="3"/>
  </r>
  <r>
    <n v="10266"/>
    <x v="16"/>
    <n v="346.55999972820285"/>
    <n v="12"/>
    <x v="1"/>
  </r>
  <r>
    <n v="10267"/>
    <x v="17"/>
    <n v="183.59999871253967"/>
    <n v="15"/>
    <x v="5"/>
  </r>
  <r>
    <n v="10267"/>
    <x v="17"/>
    <n v="2617.9999816417694"/>
    <n v="70"/>
    <x v="5"/>
  </r>
  <r>
    <n v="10267"/>
    <x v="17"/>
    <n v="735"/>
    <n v="50"/>
    <x v="5"/>
  </r>
  <r>
    <n v="10267"/>
    <x v="17"/>
    <n v="183.59999871253967"/>
    <n v="15"/>
    <x v="6"/>
  </r>
  <r>
    <n v="10267"/>
    <x v="17"/>
    <n v="735"/>
    <n v="50"/>
    <x v="4"/>
  </r>
  <r>
    <n v="10267"/>
    <x v="17"/>
    <n v="183.59999871253967"/>
    <n v="15"/>
    <x v="3"/>
  </r>
  <r>
    <n v="10267"/>
    <x v="17"/>
    <n v="735"/>
    <n v="50"/>
    <x v="3"/>
  </r>
  <r>
    <n v="10267"/>
    <x v="17"/>
    <n v="735"/>
    <n v="50"/>
    <x v="0"/>
  </r>
  <r>
    <n v="10267"/>
    <x v="17"/>
    <n v="2617.9999816417694"/>
    <n v="70"/>
    <x v="0"/>
  </r>
  <r>
    <n v="10267"/>
    <x v="17"/>
    <n v="2617.9999816417694"/>
    <n v="70"/>
    <x v="6"/>
  </r>
  <r>
    <n v="10267"/>
    <x v="17"/>
    <n v="735"/>
    <n v="50"/>
    <x v="6"/>
  </r>
  <r>
    <n v="10267"/>
    <x v="17"/>
    <n v="2617.9999816417694"/>
    <n v="70"/>
    <x v="3"/>
  </r>
  <r>
    <n v="10267"/>
    <x v="17"/>
    <n v="183.59999871253967"/>
    <n v="15"/>
    <x v="0"/>
  </r>
  <r>
    <n v="10267"/>
    <x v="17"/>
    <n v="2617.9999816417694"/>
    <n v="70"/>
    <x v="4"/>
  </r>
  <r>
    <n v="10267"/>
    <x v="17"/>
    <n v="183.59999871253967"/>
    <n v="15"/>
    <x v="1"/>
  </r>
  <r>
    <n v="10267"/>
    <x v="17"/>
    <n v="183.59999871253967"/>
    <n v="15"/>
    <x v="2"/>
  </r>
  <r>
    <n v="10267"/>
    <x v="17"/>
    <n v="2617.9999816417694"/>
    <n v="70"/>
    <x v="2"/>
  </r>
  <r>
    <n v="10267"/>
    <x v="17"/>
    <n v="735"/>
    <n v="50"/>
    <x v="2"/>
  </r>
  <r>
    <n v="10267"/>
    <x v="17"/>
    <n v="183.59999871253967"/>
    <n v="15"/>
    <x v="4"/>
  </r>
  <r>
    <n v="10267"/>
    <x v="17"/>
    <n v="2617.9999816417694"/>
    <n v="70"/>
    <x v="1"/>
  </r>
  <r>
    <n v="10267"/>
    <x v="17"/>
    <n v="183.59999871253967"/>
    <n v="15"/>
    <x v="7"/>
  </r>
  <r>
    <n v="10267"/>
    <x v="17"/>
    <n v="735"/>
    <n v="50"/>
    <x v="7"/>
  </r>
  <r>
    <n v="10267"/>
    <x v="17"/>
    <n v="2617.9999816417694"/>
    <n v="70"/>
    <x v="7"/>
  </r>
  <r>
    <n v="10267"/>
    <x v="17"/>
    <n v="735"/>
    <n v="50"/>
    <x v="1"/>
  </r>
  <r>
    <n v="10268"/>
    <x v="18"/>
    <n v="990"/>
    <n v="10"/>
    <x v="7"/>
  </r>
  <r>
    <n v="10268"/>
    <x v="18"/>
    <n v="111.2"/>
    <n v="4"/>
    <x v="3"/>
  </r>
  <r>
    <n v="10268"/>
    <x v="18"/>
    <n v="990"/>
    <n v="10"/>
    <x v="3"/>
  </r>
  <r>
    <n v="10268"/>
    <x v="18"/>
    <n v="111.2"/>
    <n v="4"/>
    <x v="0"/>
  </r>
  <r>
    <n v="10268"/>
    <x v="18"/>
    <n v="990"/>
    <n v="10"/>
    <x v="0"/>
  </r>
  <r>
    <n v="10268"/>
    <x v="18"/>
    <n v="990"/>
    <n v="10"/>
    <x v="2"/>
  </r>
  <r>
    <n v="10268"/>
    <x v="18"/>
    <n v="111.2"/>
    <n v="4"/>
    <x v="7"/>
  </r>
  <r>
    <n v="10268"/>
    <x v="18"/>
    <n v="990"/>
    <n v="10"/>
    <x v="1"/>
  </r>
  <r>
    <n v="10268"/>
    <x v="18"/>
    <n v="111.2"/>
    <n v="4"/>
    <x v="1"/>
  </r>
  <r>
    <n v="10268"/>
    <x v="18"/>
    <n v="111.2"/>
    <n v="4"/>
    <x v="5"/>
  </r>
  <r>
    <n v="10268"/>
    <x v="18"/>
    <n v="990"/>
    <n v="10"/>
    <x v="5"/>
  </r>
  <r>
    <n v="10268"/>
    <x v="18"/>
    <n v="111.2"/>
    <n v="4"/>
    <x v="4"/>
  </r>
  <r>
    <n v="10268"/>
    <x v="18"/>
    <n v="990"/>
    <n v="10"/>
    <x v="4"/>
  </r>
  <r>
    <n v="10268"/>
    <x v="18"/>
    <n v="111.2"/>
    <n v="4"/>
    <x v="6"/>
  </r>
  <r>
    <n v="10268"/>
    <x v="18"/>
    <n v="111.2"/>
    <n v="4"/>
    <x v="2"/>
  </r>
  <r>
    <n v="10268"/>
    <x v="18"/>
    <n v="990"/>
    <n v="10"/>
    <x v="6"/>
  </r>
  <r>
    <n v="10269"/>
    <x v="19"/>
    <n v="113.99999991059303"/>
    <n v="60"/>
    <x v="5"/>
  </r>
  <r>
    <n v="10269"/>
    <x v="19"/>
    <n v="528.19999958574772"/>
    <n v="20"/>
    <x v="4"/>
  </r>
  <r>
    <n v="10269"/>
    <x v="19"/>
    <n v="528.19999958574772"/>
    <n v="20"/>
    <x v="6"/>
  </r>
  <r>
    <n v="10269"/>
    <x v="19"/>
    <n v="113.99999991059303"/>
    <n v="60"/>
    <x v="6"/>
  </r>
  <r>
    <n v="10269"/>
    <x v="19"/>
    <n v="528.19999958574772"/>
    <n v="20"/>
    <x v="7"/>
  </r>
  <r>
    <n v="10269"/>
    <x v="19"/>
    <n v="113.99999991059303"/>
    <n v="60"/>
    <x v="3"/>
  </r>
  <r>
    <n v="10269"/>
    <x v="19"/>
    <n v="113.99999991059303"/>
    <n v="60"/>
    <x v="4"/>
  </r>
  <r>
    <n v="10269"/>
    <x v="19"/>
    <n v="528.19999958574772"/>
    <n v="20"/>
    <x v="3"/>
  </r>
  <r>
    <n v="10269"/>
    <x v="19"/>
    <n v="528.19999958574772"/>
    <n v="20"/>
    <x v="0"/>
  </r>
  <r>
    <n v="10269"/>
    <x v="19"/>
    <n v="113.99999991059303"/>
    <n v="60"/>
    <x v="0"/>
  </r>
  <r>
    <n v="10269"/>
    <x v="19"/>
    <n v="528.19999958574772"/>
    <n v="20"/>
    <x v="1"/>
  </r>
  <r>
    <n v="10269"/>
    <x v="19"/>
    <n v="113.99999991059303"/>
    <n v="60"/>
    <x v="1"/>
  </r>
  <r>
    <n v="10269"/>
    <x v="19"/>
    <n v="113.99999991059303"/>
    <n v="60"/>
    <x v="7"/>
  </r>
  <r>
    <n v="10269"/>
    <x v="19"/>
    <n v="113.99999991059303"/>
    <n v="60"/>
    <x v="2"/>
  </r>
  <r>
    <n v="10269"/>
    <x v="19"/>
    <n v="528.19999958574772"/>
    <n v="20"/>
    <x v="5"/>
  </r>
  <r>
    <n v="10269"/>
    <x v="19"/>
    <n v="528.19999958574772"/>
    <n v="20"/>
    <x v="2"/>
  </r>
  <r>
    <n v="10270"/>
    <x v="20"/>
    <n v="456"/>
    <n v="30"/>
    <x v="4"/>
  </r>
  <r>
    <n v="10270"/>
    <x v="20"/>
    <n v="920"/>
    <n v="25"/>
    <x v="4"/>
  </r>
  <r>
    <n v="10270"/>
    <x v="20"/>
    <n v="456"/>
    <n v="30"/>
    <x v="0"/>
  </r>
  <r>
    <n v="10270"/>
    <x v="20"/>
    <n v="920"/>
    <n v="25"/>
    <x v="6"/>
  </r>
  <r>
    <n v="10270"/>
    <x v="20"/>
    <n v="920"/>
    <n v="25"/>
    <x v="5"/>
  </r>
  <r>
    <n v="10270"/>
    <x v="20"/>
    <n v="456"/>
    <n v="30"/>
    <x v="6"/>
  </r>
  <r>
    <n v="10270"/>
    <x v="20"/>
    <n v="920"/>
    <n v="25"/>
    <x v="0"/>
  </r>
  <r>
    <n v="10270"/>
    <x v="20"/>
    <n v="456"/>
    <n v="30"/>
    <x v="5"/>
  </r>
  <r>
    <n v="10270"/>
    <x v="20"/>
    <n v="920"/>
    <n v="25"/>
    <x v="3"/>
  </r>
  <r>
    <n v="10270"/>
    <x v="20"/>
    <n v="920"/>
    <n v="25"/>
    <x v="7"/>
  </r>
  <r>
    <n v="10270"/>
    <x v="20"/>
    <n v="456"/>
    <n v="30"/>
    <x v="7"/>
  </r>
  <r>
    <n v="10270"/>
    <x v="20"/>
    <n v="456"/>
    <n v="30"/>
    <x v="2"/>
  </r>
  <r>
    <n v="10270"/>
    <x v="20"/>
    <n v="920"/>
    <n v="25"/>
    <x v="2"/>
  </r>
  <r>
    <n v="10270"/>
    <x v="20"/>
    <n v="456"/>
    <n v="30"/>
    <x v="1"/>
  </r>
  <r>
    <n v="10270"/>
    <x v="20"/>
    <n v="920"/>
    <n v="25"/>
    <x v="1"/>
  </r>
  <r>
    <n v="10270"/>
    <x v="20"/>
    <n v="456"/>
    <n v="30"/>
    <x v="3"/>
  </r>
  <r>
    <n v="10271"/>
    <x v="20"/>
    <n v="48"/>
    <n v="24"/>
    <x v="7"/>
  </r>
  <r>
    <n v="10271"/>
    <x v="20"/>
    <n v="48"/>
    <n v="24"/>
    <x v="2"/>
  </r>
  <r>
    <n v="10271"/>
    <x v="20"/>
    <n v="48"/>
    <n v="24"/>
    <x v="0"/>
  </r>
  <r>
    <n v="10271"/>
    <x v="20"/>
    <n v="48"/>
    <n v="24"/>
    <x v="3"/>
  </r>
  <r>
    <n v="10271"/>
    <x v="20"/>
    <n v="48"/>
    <n v="24"/>
    <x v="5"/>
  </r>
  <r>
    <n v="10271"/>
    <x v="20"/>
    <n v="48"/>
    <n v="24"/>
    <x v="1"/>
  </r>
  <r>
    <n v="10271"/>
    <x v="20"/>
    <n v="48"/>
    <n v="24"/>
    <x v="6"/>
  </r>
  <r>
    <n v="10271"/>
    <x v="20"/>
    <n v="48"/>
    <n v="24"/>
    <x v="4"/>
  </r>
  <r>
    <n v="10272"/>
    <x v="21"/>
    <n v="400"/>
    <n v="40"/>
    <x v="1"/>
  </r>
  <r>
    <n v="10272"/>
    <x v="21"/>
    <n v="400"/>
    <n v="40"/>
    <x v="0"/>
  </r>
  <r>
    <n v="10272"/>
    <x v="21"/>
    <n v="388.8"/>
    <n v="6"/>
    <x v="0"/>
  </r>
  <r>
    <n v="10272"/>
    <x v="21"/>
    <n v="388.8"/>
    <n v="6"/>
    <x v="6"/>
  </r>
  <r>
    <n v="10272"/>
    <x v="21"/>
    <n v="388.8"/>
    <n v="6"/>
    <x v="1"/>
  </r>
  <r>
    <n v="10272"/>
    <x v="21"/>
    <n v="667.2"/>
    <n v="24"/>
    <x v="1"/>
  </r>
  <r>
    <n v="10272"/>
    <x v="21"/>
    <n v="388.8"/>
    <n v="6"/>
    <x v="4"/>
  </r>
  <r>
    <n v="10272"/>
    <x v="21"/>
    <n v="388.8"/>
    <n v="6"/>
    <x v="7"/>
  </r>
  <r>
    <n v="10272"/>
    <x v="21"/>
    <n v="400"/>
    <n v="40"/>
    <x v="7"/>
  </r>
  <r>
    <n v="10272"/>
    <x v="21"/>
    <n v="667.2"/>
    <n v="24"/>
    <x v="3"/>
  </r>
  <r>
    <n v="10272"/>
    <x v="21"/>
    <n v="400"/>
    <n v="40"/>
    <x v="3"/>
  </r>
  <r>
    <n v="10272"/>
    <x v="21"/>
    <n v="388.8"/>
    <n v="6"/>
    <x v="3"/>
  </r>
  <r>
    <n v="10272"/>
    <x v="21"/>
    <n v="667.2"/>
    <n v="24"/>
    <x v="7"/>
  </r>
  <r>
    <n v="10272"/>
    <x v="21"/>
    <n v="667.2"/>
    <n v="24"/>
    <x v="6"/>
  </r>
  <r>
    <n v="10272"/>
    <x v="21"/>
    <n v="667.2"/>
    <n v="24"/>
    <x v="5"/>
  </r>
  <r>
    <n v="10272"/>
    <x v="21"/>
    <n v="400"/>
    <n v="40"/>
    <x v="6"/>
  </r>
  <r>
    <n v="10272"/>
    <x v="21"/>
    <n v="667.2"/>
    <n v="24"/>
    <x v="0"/>
  </r>
  <r>
    <n v="10272"/>
    <x v="21"/>
    <n v="400"/>
    <n v="40"/>
    <x v="4"/>
  </r>
  <r>
    <n v="10272"/>
    <x v="21"/>
    <n v="667.2"/>
    <n v="24"/>
    <x v="4"/>
  </r>
  <r>
    <n v="10272"/>
    <x v="21"/>
    <n v="400"/>
    <n v="40"/>
    <x v="5"/>
  </r>
  <r>
    <n v="10272"/>
    <x v="21"/>
    <n v="388.8"/>
    <n v="6"/>
    <x v="5"/>
  </r>
  <r>
    <n v="10272"/>
    <x v="21"/>
    <n v="667.2"/>
    <n v="24"/>
    <x v="2"/>
  </r>
  <r>
    <n v="10272"/>
    <x v="21"/>
    <n v="400"/>
    <n v="40"/>
    <x v="2"/>
  </r>
  <r>
    <n v="10272"/>
    <x v="21"/>
    <n v="388.8"/>
    <n v="6"/>
    <x v="2"/>
  </r>
  <r>
    <n v="10273"/>
    <x v="22"/>
    <n v="451.43999964594838"/>
    <n v="33"/>
    <x v="0"/>
  </r>
  <r>
    <n v="10273"/>
    <x v="22"/>
    <n v="40"/>
    <n v="20"/>
    <x v="7"/>
  </r>
  <r>
    <n v="10273"/>
    <x v="22"/>
    <n v="142.49999988824129"/>
    <n v="15"/>
    <x v="2"/>
  </r>
  <r>
    <n v="10273"/>
    <x v="22"/>
    <n v="451.43999964594838"/>
    <n v="33"/>
    <x v="3"/>
  </r>
  <r>
    <n v="10273"/>
    <x v="22"/>
    <n v="837.89999934285879"/>
    <n v="60"/>
    <x v="3"/>
  </r>
  <r>
    <n v="10273"/>
    <x v="22"/>
    <n v="40"/>
    <n v="20"/>
    <x v="3"/>
  </r>
  <r>
    <n v="10273"/>
    <x v="22"/>
    <n v="142.49999988824129"/>
    <n v="15"/>
    <x v="3"/>
  </r>
  <r>
    <n v="10273"/>
    <x v="22"/>
    <n v="565.43999955654147"/>
    <n v="24"/>
    <x v="3"/>
  </r>
  <r>
    <n v="10273"/>
    <x v="22"/>
    <n v="565.43999955654147"/>
    <n v="24"/>
    <x v="7"/>
  </r>
  <r>
    <n v="10273"/>
    <x v="22"/>
    <n v="451.43999964594838"/>
    <n v="33"/>
    <x v="2"/>
  </r>
  <r>
    <n v="10273"/>
    <x v="22"/>
    <n v="40"/>
    <n v="20"/>
    <x v="0"/>
  </r>
  <r>
    <n v="10273"/>
    <x v="22"/>
    <n v="40"/>
    <n v="20"/>
    <x v="2"/>
  </r>
  <r>
    <n v="10273"/>
    <x v="22"/>
    <n v="565.43999955654147"/>
    <n v="24"/>
    <x v="0"/>
  </r>
  <r>
    <n v="10273"/>
    <x v="22"/>
    <n v="565.43999955654147"/>
    <n v="24"/>
    <x v="2"/>
  </r>
  <r>
    <n v="10273"/>
    <x v="22"/>
    <n v="451.43999964594838"/>
    <n v="33"/>
    <x v="5"/>
  </r>
  <r>
    <n v="10273"/>
    <x v="22"/>
    <n v="837.89999934285879"/>
    <n v="60"/>
    <x v="5"/>
  </r>
  <r>
    <n v="10273"/>
    <x v="22"/>
    <n v="40"/>
    <n v="20"/>
    <x v="5"/>
  </r>
  <r>
    <n v="10273"/>
    <x v="22"/>
    <n v="142.49999988824129"/>
    <n v="15"/>
    <x v="5"/>
  </r>
  <r>
    <n v="10273"/>
    <x v="22"/>
    <n v="837.89999934285879"/>
    <n v="60"/>
    <x v="0"/>
  </r>
  <r>
    <n v="10273"/>
    <x v="22"/>
    <n v="142.49999988824129"/>
    <n v="15"/>
    <x v="0"/>
  </r>
  <r>
    <n v="10273"/>
    <x v="22"/>
    <n v="837.89999934285879"/>
    <n v="60"/>
    <x v="2"/>
  </r>
  <r>
    <n v="10273"/>
    <x v="22"/>
    <n v="40"/>
    <n v="20"/>
    <x v="1"/>
  </r>
  <r>
    <n v="10273"/>
    <x v="22"/>
    <n v="837.89999934285879"/>
    <n v="60"/>
    <x v="4"/>
  </r>
  <r>
    <n v="10273"/>
    <x v="22"/>
    <n v="40"/>
    <n v="20"/>
    <x v="4"/>
  </r>
  <r>
    <n v="10273"/>
    <x v="22"/>
    <n v="837.89999934285879"/>
    <n v="60"/>
    <x v="7"/>
  </r>
  <r>
    <n v="10273"/>
    <x v="22"/>
    <n v="142.49999988824129"/>
    <n v="15"/>
    <x v="4"/>
  </r>
  <r>
    <n v="10273"/>
    <x v="22"/>
    <n v="565.43999955654147"/>
    <n v="24"/>
    <x v="6"/>
  </r>
  <r>
    <n v="10273"/>
    <x v="22"/>
    <n v="142.49999988824129"/>
    <n v="15"/>
    <x v="6"/>
  </r>
  <r>
    <n v="10273"/>
    <x v="22"/>
    <n v="40"/>
    <n v="20"/>
    <x v="6"/>
  </r>
  <r>
    <n v="10273"/>
    <x v="22"/>
    <n v="451.43999964594838"/>
    <n v="33"/>
    <x v="4"/>
  </r>
  <r>
    <n v="10273"/>
    <x v="22"/>
    <n v="837.89999934285879"/>
    <n v="60"/>
    <x v="1"/>
  </r>
  <r>
    <n v="10273"/>
    <x v="22"/>
    <n v="142.49999988824129"/>
    <n v="15"/>
    <x v="1"/>
  </r>
  <r>
    <n v="10273"/>
    <x v="22"/>
    <n v="565.43999955654147"/>
    <n v="24"/>
    <x v="1"/>
  </r>
  <r>
    <n v="10273"/>
    <x v="22"/>
    <n v="451.43999964594838"/>
    <n v="33"/>
    <x v="6"/>
  </r>
  <r>
    <n v="10273"/>
    <x v="22"/>
    <n v="451.43999964594838"/>
    <n v="33"/>
    <x v="1"/>
  </r>
  <r>
    <n v="10273"/>
    <x v="22"/>
    <n v="565.43999955654147"/>
    <n v="24"/>
    <x v="5"/>
  </r>
  <r>
    <n v="10273"/>
    <x v="22"/>
    <n v="565.43999955654147"/>
    <n v="24"/>
    <x v="4"/>
  </r>
  <r>
    <n v="10273"/>
    <x v="22"/>
    <n v="142.49999988824129"/>
    <n v="15"/>
    <x v="7"/>
  </r>
  <r>
    <n v="10273"/>
    <x v="22"/>
    <n v="451.43999964594838"/>
    <n v="33"/>
    <x v="7"/>
  </r>
  <r>
    <n v="10273"/>
    <x v="22"/>
    <n v="837.89999934285879"/>
    <n v="60"/>
    <x v="6"/>
  </r>
  <r>
    <n v="10274"/>
    <x v="23"/>
    <n v="194.6"/>
    <n v="7"/>
    <x v="0"/>
  </r>
  <r>
    <n v="10274"/>
    <x v="23"/>
    <n v="344"/>
    <n v="20"/>
    <x v="2"/>
  </r>
  <r>
    <n v="10274"/>
    <x v="23"/>
    <n v="344"/>
    <n v="20"/>
    <x v="1"/>
  </r>
  <r>
    <n v="10274"/>
    <x v="23"/>
    <n v="194.6"/>
    <n v="7"/>
    <x v="2"/>
  </r>
  <r>
    <n v="10274"/>
    <x v="23"/>
    <n v="194.6"/>
    <n v="7"/>
    <x v="5"/>
  </r>
  <r>
    <n v="10274"/>
    <x v="23"/>
    <n v="344"/>
    <n v="20"/>
    <x v="5"/>
  </r>
  <r>
    <n v="10274"/>
    <x v="23"/>
    <n v="344"/>
    <n v="20"/>
    <x v="6"/>
  </r>
  <r>
    <n v="10274"/>
    <x v="23"/>
    <n v="344"/>
    <n v="20"/>
    <x v="3"/>
  </r>
  <r>
    <n v="10274"/>
    <x v="23"/>
    <n v="344"/>
    <n v="20"/>
    <x v="7"/>
  </r>
  <r>
    <n v="10274"/>
    <x v="23"/>
    <n v="194.6"/>
    <n v="7"/>
    <x v="7"/>
  </r>
  <r>
    <n v="10274"/>
    <x v="23"/>
    <n v="194.6"/>
    <n v="7"/>
    <x v="3"/>
  </r>
  <r>
    <n v="10274"/>
    <x v="23"/>
    <n v="344"/>
    <n v="20"/>
    <x v="4"/>
  </r>
  <r>
    <n v="10274"/>
    <x v="23"/>
    <n v="344"/>
    <n v="20"/>
    <x v="0"/>
  </r>
  <r>
    <n v="10274"/>
    <x v="23"/>
    <n v="194.6"/>
    <n v="7"/>
    <x v="6"/>
  </r>
  <r>
    <n v="10274"/>
    <x v="23"/>
    <n v="194.6"/>
    <n v="7"/>
    <x v="1"/>
  </r>
  <r>
    <n v="10274"/>
    <x v="23"/>
    <n v="194.6"/>
    <n v="7"/>
    <x v="4"/>
  </r>
  <r>
    <n v="10275"/>
    <x v="24"/>
    <n v="250.79999980330467"/>
    <n v="6"/>
    <x v="2"/>
  </r>
  <r>
    <n v="10275"/>
    <x v="24"/>
    <n v="41.039999967813493"/>
    <n v="12"/>
    <x v="1"/>
  </r>
  <r>
    <n v="10275"/>
    <x v="24"/>
    <n v="41.039999967813493"/>
    <n v="12"/>
    <x v="3"/>
  </r>
  <r>
    <n v="10275"/>
    <x v="24"/>
    <n v="250.79999980330467"/>
    <n v="6"/>
    <x v="3"/>
  </r>
  <r>
    <n v="10275"/>
    <x v="24"/>
    <n v="41.039999967813493"/>
    <n v="12"/>
    <x v="2"/>
  </r>
  <r>
    <n v="10275"/>
    <x v="24"/>
    <n v="250.79999980330467"/>
    <n v="6"/>
    <x v="6"/>
  </r>
  <r>
    <n v="10275"/>
    <x v="24"/>
    <n v="250.79999980330467"/>
    <n v="6"/>
    <x v="1"/>
  </r>
  <r>
    <n v="10275"/>
    <x v="24"/>
    <n v="41.039999967813493"/>
    <n v="12"/>
    <x v="6"/>
  </r>
  <r>
    <n v="10275"/>
    <x v="24"/>
    <n v="41.039999967813493"/>
    <n v="12"/>
    <x v="4"/>
  </r>
  <r>
    <n v="10275"/>
    <x v="24"/>
    <n v="41.039999967813493"/>
    <n v="12"/>
    <x v="5"/>
  </r>
  <r>
    <n v="10275"/>
    <x v="24"/>
    <n v="250.79999980330467"/>
    <n v="6"/>
    <x v="5"/>
  </r>
  <r>
    <n v="10275"/>
    <x v="24"/>
    <n v="41.039999967813493"/>
    <n v="12"/>
    <x v="7"/>
  </r>
  <r>
    <n v="10275"/>
    <x v="24"/>
    <n v="250.79999980330467"/>
    <n v="6"/>
    <x v="7"/>
  </r>
  <r>
    <n v="10275"/>
    <x v="24"/>
    <n v="250.79999980330467"/>
    <n v="6"/>
    <x v="0"/>
  </r>
  <r>
    <n v="10275"/>
    <x v="24"/>
    <n v="41.039999967813493"/>
    <n v="12"/>
    <x v="0"/>
  </r>
  <r>
    <n v="10275"/>
    <x v="24"/>
    <n v="250.79999980330467"/>
    <n v="6"/>
    <x v="4"/>
  </r>
  <r>
    <n v="10276"/>
    <x v="25"/>
    <n v="48"/>
    <n v="10"/>
    <x v="2"/>
  </r>
  <r>
    <n v="10276"/>
    <x v="25"/>
    <n v="372"/>
    <n v="15"/>
    <x v="4"/>
  </r>
  <r>
    <n v="10276"/>
    <x v="25"/>
    <n v="372"/>
    <n v="15"/>
    <x v="1"/>
  </r>
  <r>
    <n v="10276"/>
    <x v="25"/>
    <n v="48"/>
    <n v="10"/>
    <x v="4"/>
  </r>
  <r>
    <n v="10276"/>
    <x v="25"/>
    <n v="372"/>
    <n v="15"/>
    <x v="7"/>
  </r>
  <r>
    <n v="10276"/>
    <x v="25"/>
    <n v="372"/>
    <n v="15"/>
    <x v="3"/>
  </r>
  <r>
    <n v="10276"/>
    <x v="25"/>
    <n v="48"/>
    <n v="10"/>
    <x v="3"/>
  </r>
  <r>
    <n v="10276"/>
    <x v="25"/>
    <n v="48"/>
    <n v="10"/>
    <x v="0"/>
  </r>
  <r>
    <n v="10276"/>
    <x v="25"/>
    <n v="48"/>
    <n v="10"/>
    <x v="1"/>
  </r>
  <r>
    <n v="10276"/>
    <x v="25"/>
    <n v="48"/>
    <n v="10"/>
    <x v="7"/>
  </r>
  <r>
    <n v="10276"/>
    <x v="25"/>
    <n v="372"/>
    <n v="15"/>
    <x v="0"/>
  </r>
  <r>
    <n v="10276"/>
    <x v="25"/>
    <n v="372"/>
    <n v="15"/>
    <x v="5"/>
  </r>
  <r>
    <n v="10276"/>
    <x v="25"/>
    <n v="372"/>
    <n v="15"/>
    <x v="6"/>
  </r>
  <r>
    <n v="10276"/>
    <x v="25"/>
    <n v="48"/>
    <n v="10"/>
    <x v="5"/>
  </r>
  <r>
    <n v="10276"/>
    <x v="25"/>
    <n v="48"/>
    <n v="10"/>
    <x v="6"/>
  </r>
  <r>
    <n v="10276"/>
    <x v="25"/>
    <n v="372"/>
    <n v="15"/>
    <x v="2"/>
  </r>
  <r>
    <n v="10277"/>
    <x v="26"/>
    <n v="472.8"/>
    <n v="12"/>
    <x v="4"/>
  </r>
  <r>
    <n v="10277"/>
    <x v="26"/>
    <n v="728"/>
    <n v="20"/>
    <x v="1"/>
  </r>
  <r>
    <n v="10277"/>
    <x v="26"/>
    <n v="728"/>
    <n v="20"/>
    <x v="6"/>
  </r>
  <r>
    <n v="10277"/>
    <x v="26"/>
    <n v="472.8"/>
    <n v="12"/>
    <x v="3"/>
  </r>
  <r>
    <n v="10277"/>
    <x v="26"/>
    <n v="728"/>
    <n v="20"/>
    <x v="4"/>
  </r>
  <r>
    <n v="10277"/>
    <x v="26"/>
    <n v="472.8"/>
    <n v="12"/>
    <x v="6"/>
  </r>
  <r>
    <n v="10277"/>
    <x v="26"/>
    <n v="728"/>
    <n v="20"/>
    <x v="0"/>
  </r>
  <r>
    <n v="10277"/>
    <x v="26"/>
    <n v="472.8"/>
    <n v="12"/>
    <x v="0"/>
  </r>
  <r>
    <n v="10277"/>
    <x v="26"/>
    <n v="728"/>
    <n v="20"/>
    <x v="3"/>
  </r>
  <r>
    <n v="10277"/>
    <x v="26"/>
    <n v="472.8"/>
    <n v="12"/>
    <x v="1"/>
  </r>
  <r>
    <n v="10277"/>
    <x v="26"/>
    <n v="728"/>
    <n v="20"/>
    <x v="2"/>
  </r>
  <r>
    <n v="10277"/>
    <x v="26"/>
    <n v="472.8"/>
    <n v="12"/>
    <x v="2"/>
  </r>
  <r>
    <n v="10277"/>
    <x v="26"/>
    <n v="472.8"/>
    <n v="12"/>
    <x v="7"/>
  </r>
  <r>
    <n v="10277"/>
    <x v="26"/>
    <n v="728"/>
    <n v="20"/>
    <x v="7"/>
  </r>
  <r>
    <n v="10277"/>
    <x v="26"/>
    <n v="728"/>
    <n v="20"/>
    <x v="5"/>
  </r>
  <r>
    <n v="10277"/>
    <x v="26"/>
    <n v="472.8"/>
    <n v="12"/>
    <x v="5"/>
  </r>
  <r>
    <n v="10278"/>
    <x v="27"/>
    <n v="280.8"/>
    <n v="8"/>
    <x v="5"/>
  </r>
  <r>
    <n v="10278"/>
    <x v="27"/>
    <n v="248"/>
    <n v="16"/>
    <x v="1"/>
  </r>
  <r>
    <n v="10278"/>
    <x v="27"/>
    <n v="660"/>
    <n v="15"/>
    <x v="5"/>
  </r>
  <r>
    <n v="10278"/>
    <x v="27"/>
    <n v="660"/>
    <n v="15"/>
    <x v="3"/>
  </r>
  <r>
    <n v="10278"/>
    <x v="27"/>
    <n v="248"/>
    <n v="16"/>
    <x v="5"/>
  </r>
  <r>
    <n v="10278"/>
    <x v="27"/>
    <n v="300"/>
    <n v="25"/>
    <x v="0"/>
  </r>
  <r>
    <n v="10278"/>
    <x v="27"/>
    <n v="660"/>
    <n v="15"/>
    <x v="1"/>
  </r>
  <r>
    <n v="10278"/>
    <x v="27"/>
    <n v="280.8"/>
    <n v="8"/>
    <x v="1"/>
  </r>
  <r>
    <n v="10278"/>
    <x v="27"/>
    <n v="300"/>
    <n v="25"/>
    <x v="1"/>
  </r>
  <r>
    <n v="10278"/>
    <x v="27"/>
    <n v="248"/>
    <n v="16"/>
    <x v="0"/>
  </r>
  <r>
    <n v="10278"/>
    <x v="27"/>
    <n v="660"/>
    <n v="15"/>
    <x v="0"/>
  </r>
  <r>
    <n v="10278"/>
    <x v="27"/>
    <n v="280.8"/>
    <n v="8"/>
    <x v="0"/>
  </r>
  <r>
    <n v="10278"/>
    <x v="27"/>
    <n v="300"/>
    <n v="25"/>
    <x v="5"/>
  </r>
  <r>
    <n v="10278"/>
    <x v="27"/>
    <n v="248"/>
    <n v="16"/>
    <x v="2"/>
  </r>
  <r>
    <n v="10278"/>
    <x v="27"/>
    <n v="280.8"/>
    <n v="8"/>
    <x v="3"/>
  </r>
  <r>
    <n v="10278"/>
    <x v="27"/>
    <n v="248"/>
    <n v="16"/>
    <x v="3"/>
  </r>
  <r>
    <n v="10278"/>
    <x v="27"/>
    <n v="300"/>
    <n v="25"/>
    <x v="4"/>
  </r>
  <r>
    <n v="10278"/>
    <x v="27"/>
    <n v="280.8"/>
    <n v="8"/>
    <x v="4"/>
  </r>
  <r>
    <n v="10278"/>
    <x v="27"/>
    <n v="660"/>
    <n v="15"/>
    <x v="4"/>
  </r>
  <r>
    <n v="10278"/>
    <x v="27"/>
    <n v="248"/>
    <n v="16"/>
    <x v="4"/>
  </r>
  <r>
    <n v="10278"/>
    <x v="27"/>
    <n v="300"/>
    <n v="25"/>
    <x v="7"/>
  </r>
  <r>
    <n v="10278"/>
    <x v="27"/>
    <n v="280.8"/>
    <n v="8"/>
    <x v="7"/>
  </r>
  <r>
    <n v="10278"/>
    <x v="27"/>
    <n v="248"/>
    <n v="16"/>
    <x v="7"/>
  </r>
  <r>
    <n v="10278"/>
    <x v="27"/>
    <n v="660"/>
    <n v="15"/>
    <x v="2"/>
  </r>
  <r>
    <n v="10278"/>
    <x v="27"/>
    <n v="280.8"/>
    <n v="8"/>
    <x v="2"/>
  </r>
  <r>
    <n v="10278"/>
    <x v="27"/>
    <n v="300"/>
    <n v="25"/>
    <x v="2"/>
  </r>
  <r>
    <n v="10278"/>
    <x v="27"/>
    <n v="300"/>
    <n v="25"/>
    <x v="3"/>
  </r>
  <r>
    <n v="10278"/>
    <x v="27"/>
    <n v="248"/>
    <n v="16"/>
    <x v="6"/>
  </r>
  <r>
    <n v="10278"/>
    <x v="27"/>
    <n v="660"/>
    <n v="15"/>
    <x v="7"/>
  </r>
  <r>
    <n v="10278"/>
    <x v="27"/>
    <n v="660"/>
    <n v="15"/>
    <x v="6"/>
  </r>
  <r>
    <n v="10278"/>
    <x v="27"/>
    <n v="280.8"/>
    <n v="8"/>
    <x v="6"/>
  </r>
  <r>
    <n v="10278"/>
    <x v="27"/>
    <n v="300"/>
    <n v="25"/>
    <x v="6"/>
  </r>
  <r>
    <n v="10279"/>
    <x v="28"/>
    <n v="351"/>
    <n v="15"/>
    <x v="0"/>
  </r>
  <r>
    <n v="10279"/>
    <x v="28"/>
    <n v="351"/>
    <n v="15"/>
    <x v="3"/>
  </r>
  <r>
    <n v="10279"/>
    <x v="28"/>
    <n v="351"/>
    <n v="15"/>
    <x v="7"/>
  </r>
  <r>
    <n v="10279"/>
    <x v="28"/>
    <n v="351"/>
    <n v="15"/>
    <x v="5"/>
  </r>
  <r>
    <n v="10279"/>
    <x v="28"/>
    <n v="351"/>
    <n v="15"/>
    <x v="6"/>
  </r>
  <r>
    <n v="10279"/>
    <x v="28"/>
    <n v="351"/>
    <n v="15"/>
    <x v="1"/>
  </r>
  <r>
    <n v="10279"/>
    <x v="28"/>
    <n v="351"/>
    <n v="15"/>
    <x v="2"/>
  </r>
  <r>
    <n v="10279"/>
    <x v="28"/>
    <n v="351"/>
    <n v="15"/>
    <x v="4"/>
  </r>
  <r>
    <n v="10280"/>
    <x v="29"/>
    <n v="384"/>
    <n v="20"/>
    <x v="7"/>
  </r>
  <r>
    <n v="10280"/>
    <x v="29"/>
    <n v="384"/>
    <n v="20"/>
    <x v="0"/>
  </r>
  <r>
    <n v="10280"/>
    <x v="29"/>
    <n v="43.2"/>
    <n v="12"/>
    <x v="0"/>
  </r>
  <r>
    <n v="10280"/>
    <x v="29"/>
    <n v="384"/>
    <n v="20"/>
    <x v="3"/>
  </r>
  <r>
    <n v="10280"/>
    <x v="29"/>
    <n v="43.2"/>
    <n v="12"/>
    <x v="3"/>
  </r>
  <r>
    <n v="10280"/>
    <x v="29"/>
    <n v="384"/>
    <n v="20"/>
    <x v="1"/>
  </r>
  <r>
    <n v="10280"/>
    <x v="29"/>
    <n v="186"/>
    <n v="30"/>
    <x v="5"/>
  </r>
  <r>
    <n v="10280"/>
    <x v="29"/>
    <n v="384"/>
    <n v="20"/>
    <x v="5"/>
  </r>
  <r>
    <n v="10280"/>
    <x v="29"/>
    <n v="43.2"/>
    <n v="12"/>
    <x v="5"/>
  </r>
  <r>
    <n v="10280"/>
    <x v="29"/>
    <n v="186"/>
    <n v="30"/>
    <x v="4"/>
  </r>
  <r>
    <n v="10280"/>
    <x v="29"/>
    <n v="384"/>
    <n v="20"/>
    <x v="4"/>
  </r>
  <r>
    <n v="10280"/>
    <x v="29"/>
    <n v="43.2"/>
    <n v="12"/>
    <x v="7"/>
  </r>
  <r>
    <n v="10280"/>
    <x v="29"/>
    <n v="384"/>
    <n v="20"/>
    <x v="2"/>
  </r>
  <r>
    <n v="10280"/>
    <x v="29"/>
    <n v="186"/>
    <n v="30"/>
    <x v="7"/>
  </r>
  <r>
    <n v="10280"/>
    <x v="29"/>
    <n v="43.2"/>
    <n v="12"/>
    <x v="4"/>
  </r>
  <r>
    <n v="10280"/>
    <x v="29"/>
    <n v="186"/>
    <n v="30"/>
    <x v="3"/>
  </r>
  <r>
    <n v="10280"/>
    <x v="29"/>
    <n v="43.2"/>
    <n v="12"/>
    <x v="2"/>
  </r>
  <r>
    <n v="10280"/>
    <x v="29"/>
    <n v="43.2"/>
    <n v="12"/>
    <x v="1"/>
  </r>
  <r>
    <n v="10280"/>
    <x v="29"/>
    <n v="186"/>
    <n v="30"/>
    <x v="1"/>
  </r>
  <r>
    <n v="10280"/>
    <x v="29"/>
    <n v="186"/>
    <n v="30"/>
    <x v="6"/>
  </r>
  <r>
    <n v="10280"/>
    <x v="29"/>
    <n v="384"/>
    <n v="20"/>
    <x v="6"/>
  </r>
  <r>
    <n v="10280"/>
    <x v="29"/>
    <n v="186"/>
    <n v="30"/>
    <x v="0"/>
  </r>
  <r>
    <n v="10280"/>
    <x v="29"/>
    <n v="43.2"/>
    <n v="12"/>
    <x v="6"/>
  </r>
  <r>
    <n v="10280"/>
    <x v="29"/>
    <n v="186"/>
    <n v="30"/>
    <x v="2"/>
  </r>
  <r>
    <n v="10281"/>
    <x v="29"/>
    <n v="7.3"/>
    <n v="1"/>
    <x v="1"/>
  </r>
  <r>
    <n v="10281"/>
    <x v="29"/>
    <n v="21.6"/>
    <n v="6"/>
    <x v="0"/>
  </r>
  <r>
    <n v="10281"/>
    <x v="29"/>
    <n v="7.3"/>
    <n v="1"/>
    <x v="0"/>
  </r>
  <r>
    <n v="10281"/>
    <x v="29"/>
    <n v="57.6"/>
    <n v="4"/>
    <x v="2"/>
  </r>
  <r>
    <n v="10281"/>
    <x v="29"/>
    <n v="21.6"/>
    <n v="6"/>
    <x v="2"/>
  </r>
  <r>
    <n v="10281"/>
    <x v="29"/>
    <n v="7.3"/>
    <n v="1"/>
    <x v="2"/>
  </r>
  <r>
    <n v="10281"/>
    <x v="29"/>
    <n v="7.3"/>
    <n v="1"/>
    <x v="3"/>
  </r>
  <r>
    <n v="10281"/>
    <x v="29"/>
    <n v="21.6"/>
    <n v="6"/>
    <x v="3"/>
  </r>
  <r>
    <n v="10281"/>
    <x v="29"/>
    <n v="57.6"/>
    <n v="4"/>
    <x v="3"/>
  </r>
  <r>
    <n v="10281"/>
    <x v="29"/>
    <n v="57.6"/>
    <n v="4"/>
    <x v="0"/>
  </r>
  <r>
    <n v="10281"/>
    <x v="29"/>
    <n v="57.6"/>
    <n v="4"/>
    <x v="6"/>
  </r>
  <r>
    <n v="10281"/>
    <x v="29"/>
    <n v="21.6"/>
    <n v="6"/>
    <x v="6"/>
  </r>
  <r>
    <n v="10281"/>
    <x v="29"/>
    <n v="21.6"/>
    <n v="6"/>
    <x v="1"/>
  </r>
  <r>
    <n v="10281"/>
    <x v="29"/>
    <n v="57.6"/>
    <n v="4"/>
    <x v="1"/>
  </r>
  <r>
    <n v="10281"/>
    <x v="29"/>
    <n v="57.6"/>
    <n v="4"/>
    <x v="4"/>
  </r>
  <r>
    <n v="10281"/>
    <x v="29"/>
    <n v="21.6"/>
    <n v="6"/>
    <x v="4"/>
  </r>
  <r>
    <n v="10281"/>
    <x v="29"/>
    <n v="7.3"/>
    <n v="1"/>
    <x v="4"/>
  </r>
  <r>
    <n v="10281"/>
    <x v="29"/>
    <n v="7.3"/>
    <n v="1"/>
    <x v="7"/>
  </r>
  <r>
    <n v="10281"/>
    <x v="29"/>
    <n v="21.6"/>
    <n v="6"/>
    <x v="7"/>
  </r>
  <r>
    <n v="10281"/>
    <x v="29"/>
    <n v="57.6"/>
    <n v="4"/>
    <x v="7"/>
  </r>
  <r>
    <n v="10281"/>
    <x v="29"/>
    <n v="7.3"/>
    <n v="1"/>
    <x v="6"/>
  </r>
  <r>
    <n v="10281"/>
    <x v="29"/>
    <n v="7.3"/>
    <n v="1"/>
    <x v="5"/>
  </r>
  <r>
    <n v="10281"/>
    <x v="29"/>
    <n v="21.6"/>
    <n v="6"/>
    <x v="5"/>
  </r>
  <r>
    <n v="10281"/>
    <x v="29"/>
    <n v="57.6"/>
    <n v="4"/>
    <x v="5"/>
  </r>
  <r>
    <n v="10282"/>
    <x v="30"/>
    <n v="31.2"/>
    <n v="2"/>
    <x v="0"/>
  </r>
  <r>
    <n v="10282"/>
    <x v="30"/>
    <n v="31.2"/>
    <n v="2"/>
    <x v="2"/>
  </r>
  <r>
    <n v="10282"/>
    <x v="30"/>
    <n v="124.2"/>
    <n v="6"/>
    <x v="2"/>
  </r>
  <r>
    <n v="10282"/>
    <x v="30"/>
    <n v="124.2"/>
    <n v="6"/>
    <x v="4"/>
  </r>
  <r>
    <n v="10282"/>
    <x v="30"/>
    <n v="124.2"/>
    <n v="6"/>
    <x v="5"/>
  </r>
  <r>
    <n v="10282"/>
    <x v="30"/>
    <n v="124.2"/>
    <n v="6"/>
    <x v="6"/>
  </r>
  <r>
    <n v="10282"/>
    <x v="30"/>
    <n v="31.2"/>
    <n v="2"/>
    <x v="4"/>
  </r>
  <r>
    <n v="10282"/>
    <x v="30"/>
    <n v="124.2"/>
    <n v="6"/>
    <x v="0"/>
  </r>
  <r>
    <n v="10282"/>
    <x v="30"/>
    <n v="31.2"/>
    <n v="2"/>
    <x v="6"/>
  </r>
  <r>
    <n v="10282"/>
    <x v="30"/>
    <n v="124.2"/>
    <n v="6"/>
    <x v="3"/>
  </r>
  <r>
    <n v="10282"/>
    <x v="30"/>
    <n v="31.2"/>
    <n v="2"/>
    <x v="1"/>
  </r>
  <r>
    <n v="10282"/>
    <x v="30"/>
    <n v="31.2"/>
    <n v="2"/>
    <x v="5"/>
  </r>
  <r>
    <n v="10282"/>
    <x v="30"/>
    <n v="124.2"/>
    <n v="6"/>
    <x v="1"/>
  </r>
  <r>
    <n v="10282"/>
    <x v="30"/>
    <n v="124.2"/>
    <n v="6"/>
    <x v="7"/>
  </r>
  <r>
    <n v="10282"/>
    <x v="30"/>
    <n v="31.2"/>
    <n v="2"/>
    <x v="7"/>
  </r>
  <r>
    <n v="10282"/>
    <x v="30"/>
    <n v="31.2"/>
    <n v="2"/>
    <x v="3"/>
  </r>
  <r>
    <n v="10283"/>
    <x v="31"/>
    <n v="248"/>
    <n v="20"/>
    <x v="3"/>
  </r>
  <r>
    <n v="10283"/>
    <x v="31"/>
    <n v="131.4"/>
    <n v="18"/>
    <x v="3"/>
  </r>
  <r>
    <n v="10283"/>
    <x v="31"/>
    <n v="952"/>
    <n v="35"/>
    <x v="3"/>
  </r>
  <r>
    <n v="10283"/>
    <x v="31"/>
    <n v="83.4"/>
    <n v="3"/>
    <x v="3"/>
  </r>
  <r>
    <n v="10283"/>
    <x v="31"/>
    <n v="248"/>
    <n v="20"/>
    <x v="4"/>
  </r>
  <r>
    <n v="10283"/>
    <x v="31"/>
    <n v="131.4"/>
    <n v="18"/>
    <x v="4"/>
  </r>
  <r>
    <n v="10283"/>
    <x v="31"/>
    <n v="952"/>
    <n v="35"/>
    <x v="4"/>
  </r>
  <r>
    <n v="10283"/>
    <x v="31"/>
    <n v="83.4"/>
    <n v="3"/>
    <x v="4"/>
  </r>
  <r>
    <n v="10283"/>
    <x v="31"/>
    <n v="248"/>
    <n v="20"/>
    <x v="6"/>
  </r>
  <r>
    <n v="10283"/>
    <x v="31"/>
    <n v="131.4"/>
    <n v="18"/>
    <x v="6"/>
  </r>
  <r>
    <n v="10283"/>
    <x v="31"/>
    <n v="952"/>
    <n v="35"/>
    <x v="6"/>
  </r>
  <r>
    <n v="10283"/>
    <x v="31"/>
    <n v="83.4"/>
    <n v="3"/>
    <x v="6"/>
  </r>
  <r>
    <n v="10283"/>
    <x v="31"/>
    <n v="248"/>
    <n v="20"/>
    <x v="1"/>
  </r>
  <r>
    <n v="10283"/>
    <x v="31"/>
    <n v="83.4"/>
    <n v="3"/>
    <x v="5"/>
  </r>
  <r>
    <n v="10283"/>
    <x v="31"/>
    <n v="952"/>
    <n v="35"/>
    <x v="5"/>
  </r>
  <r>
    <n v="10283"/>
    <x v="31"/>
    <n v="131.4"/>
    <n v="18"/>
    <x v="5"/>
  </r>
  <r>
    <n v="10283"/>
    <x v="31"/>
    <n v="248"/>
    <n v="20"/>
    <x v="7"/>
  </r>
  <r>
    <n v="10283"/>
    <x v="31"/>
    <n v="131.4"/>
    <n v="18"/>
    <x v="2"/>
  </r>
  <r>
    <n v="10283"/>
    <x v="31"/>
    <n v="83.4"/>
    <n v="3"/>
    <x v="7"/>
  </r>
  <r>
    <n v="10283"/>
    <x v="31"/>
    <n v="952"/>
    <n v="35"/>
    <x v="7"/>
  </r>
  <r>
    <n v="10283"/>
    <x v="31"/>
    <n v="248"/>
    <n v="20"/>
    <x v="5"/>
  </r>
  <r>
    <n v="10283"/>
    <x v="31"/>
    <n v="131.4"/>
    <n v="18"/>
    <x v="7"/>
  </r>
  <r>
    <n v="10283"/>
    <x v="31"/>
    <n v="248"/>
    <n v="20"/>
    <x v="0"/>
  </r>
  <r>
    <n v="10283"/>
    <x v="31"/>
    <n v="952"/>
    <n v="35"/>
    <x v="2"/>
  </r>
  <r>
    <n v="10283"/>
    <x v="31"/>
    <n v="248"/>
    <n v="20"/>
    <x v="2"/>
  </r>
  <r>
    <n v="10283"/>
    <x v="31"/>
    <n v="131.4"/>
    <n v="18"/>
    <x v="0"/>
  </r>
  <r>
    <n v="10283"/>
    <x v="31"/>
    <n v="952"/>
    <n v="35"/>
    <x v="0"/>
  </r>
  <r>
    <n v="10283"/>
    <x v="31"/>
    <n v="83.4"/>
    <n v="3"/>
    <x v="1"/>
  </r>
  <r>
    <n v="10283"/>
    <x v="31"/>
    <n v="952"/>
    <n v="35"/>
    <x v="1"/>
  </r>
  <r>
    <n v="10283"/>
    <x v="31"/>
    <n v="83.4"/>
    <n v="3"/>
    <x v="0"/>
  </r>
  <r>
    <n v="10283"/>
    <x v="31"/>
    <n v="131.4"/>
    <n v="18"/>
    <x v="1"/>
  </r>
  <r>
    <n v="10283"/>
    <x v="31"/>
    <n v="83.4"/>
    <n v="3"/>
    <x v="2"/>
  </r>
  <r>
    <n v="10284"/>
    <x v="32"/>
    <n v="42"/>
    <n v="5"/>
    <x v="7"/>
  </r>
  <r>
    <n v="10284"/>
    <x v="32"/>
    <n v="325.5"/>
    <n v="21"/>
    <x v="4"/>
  </r>
  <r>
    <n v="10284"/>
    <x v="32"/>
    <n v="42"/>
    <n v="5"/>
    <x v="4"/>
  </r>
  <r>
    <n v="10284"/>
    <x v="32"/>
    <n v="408"/>
    <n v="20"/>
    <x v="4"/>
  </r>
  <r>
    <n v="10284"/>
    <x v="32"/>
    <n v="394.875"/>
    <n v="15"/>
    <x v="4"/>
  </r>
  <r>
    <n v="10284"/>
    <x v="32"/>
    <n v="394.875"/>
    <n v="15"/>
    <x v="7"/>
  </r>
  <r>
    <n v="10284"/>
    <x v="32"/>
    <n v="42"/>
    <n v="5"/>
    <x v="6"/>
  </r>
  <r>
    <n v="10284"/>
    <x v="32"/>
    <n v="408"/>
    <n v="20"/>
    <x v="7"/>
  </r>
  <r>
    <n v="10284"/>
    <x v="32"/>
    <n v="42"/>
    <n v="5"/>
    <x v="1"/>
  </r>
  <r>
    <n v="10284"/>
    <x v="32"/>
    <n v="408"/>
    <n v="20"/>
    <x v="1"/>
  </r>
  <r>
    <n v="10284"/>
    <x v="32"/>
    <n v="325.5"/>
    <n v="21"/>
    <x v="1"/>
  </r>
  <r>
    <n v="10284"/>
    <x v="32"/>
    <n v="394.875"/>
    <n v="15"/>
    <x v="1"/>
  </r>
  <r>
    <n v="10284"/>
    <x v="32"/>
    <n v="408"/>
    <n v="20"/>
    <x v="6"/>
  </r>
  <r>
    <n v="10284"/>
    <x v="32"/>
    <n v="325.5"/>
    <n v="21"/>
    <x v="7"/>
  </r>
  <r>
    <n v="10284"/>
    <x v="32"/>
    <n v="394.875"/>
    <n v="15"/>
    <x v="3"/>
  </r>
  <r>
    <n v="10284"/>
    <x v="32"/>
    <n v="408"/>
    <n v="20"/>
    <x v="3"/>
  </r>
  <r>
    <n v="10284"/>
    <x v="32"/>
    <n v="42"/>
    <n v="5"/>
    <x v="2"/>
  </r>
  <r>
    <n v="10284"/>
    <x v="32"/>
    <n v="42"/>
    <n v="5"/>
    <x v="5"/>
  </r>
  <r>
    <n v="10284"/>
    <x v="32"/>
    <n v="408"/>
    <n v="20"/>
    <x v="5"/>
  </r>
  <r>
    <n v="10284"/>
    <x v="32"/>
    <n v="325.5"/>
    <n v="21"/>
    <x v="5"/>
  </r>
  <r>
    <n v="10284"/>
    <x v="32"/>
    <n v="394.875"/>
    <n v="15"/>
    <x v="2"/>
  </r>
  <r>
    <n v="10284"/>
    <x v="32"/>
    <n v="408"/>
    <n v="20"/>
    <x v="2"/>
  </r>
  <r>
    <n v="10284"/>
    <x v="32"/>
    <n v="325.5"/>
    <n v="21"/>
    <x v="3"/>
  </r>
  <r>
    <n v="10284"/>
    <x v="32"/>
    <n v="408"/>
    <n v="20"/>
    <x v="0"/>
  </r>
  <r>
    <n v="10284"/>
    <x v="32"/>
    <n v="394.875"/>
    <n v="15"/>
    <x v="5"/>
  </r>
  <r>
    <n v="10284"/>
    <x v="32"/>
    <n v="394.875"/>
    <n v="15"/>
    <x v="6"/>
  </r>
  <r>
    <n v="10284"/>
    <x v="32"/>
    <n v="325.5"/>
    <n v="21"/>
    <x v="6"/>
  </r>
  <r>
    <n v="10284"/>
    <x v="32"/>
    <n v="325.5"/>
    <n v="21"/>
    <x v="0"/>
  </r>
  <r>
    <n v="10284"/>
    <x v="32"/>
    <n v="42"/>
    <n v="5"/>
    <x v="3"/>
  </r>
  <r>
    <n v="10284"/>
    <x v="32"/>
    <n v="394.875"/>
    <n v="15"/>
    <x v="0"/>
  </r>
  <r>
    <n v="10284"/>
    <x v="32"/>
    <n v="42"/>
    <n v="5"/>
    <x v="0"/>
  </r>
  <r>
    <n v="10284"/>
    <x v="32"/>
    <n v="325.5"/>
    <n v="21"/>
    <x v="2"/>
  </r>
  <r>
    <n v="10285"/>
    <x v="33"/>
    <n v="470.39999824762344"/>
    <n v="40"/>
    <x v="1"/>
  </r>
  <r>
    <n v="10285"/>
    <x v="33"/>
    <n v="518.39999806880951"/>
    <n v="45"/>
    <x v="0"/>
  </r>
  <r>
    <n v="10285"/>
    <x v="33"/>
    <n v="754.55999718904502"/>
    <n v="36"/>
    <x v="1"/>
  </r>
  <r>
    <n v="10285"/>
    <x v="33"/>
    <n v="754.55999718904502"/>
    <n v="36"/>
    <x v="7"/>
  </r>
  <r>
    <n v="10285"/>
    <x v="33"/>
    <n v="470.39999824762344"/>
    <n v="40"/>
    <x v="7"/>
  </r>
  <r>
    <n v="10285"/>
    <x v="33"/>
    <n v="518.39999806880951"/>
    <n v="45"/>
    <x v="5"/>
  </r>
  <r>
    <n v="10285"/>
    <x v="33"/>
    <n v="518.39999806880951"/>
    <n v="45"/>
    <x v="1"/>
  </r>
  <r>
    <n v="10285"/>
    <x v="33"/>
    <n v="754.55999718904502"/>
    <n v="36"/>
    <x v="0"/>
  </r>
  <r>
    <n v="10285"/>
    <x v="33"/>
    <n v="518.39999806880951"/>
    <n v="45"/>
    <x v="7"/>
  </r>
  <r>
    <n v="10285"/>
    <x v="33"/>
    <n v="518.39999806880951"/>
    <n v="45"/>
    <x v="6"/>
  </r>
  <r>
    <n v="10285"/>
    <x v="33"/>
    <n v="754.55999718904502"/>
    <n v="36"/>
    <x v="4"/>
  </r>
  <r>
    <n v="10285"/>
    <x v="33"/>
    <n v="470.39999824762344"/>
    <n v="40"/>
    <x v="4"/>
  </r>
  <r>
    <n v="10285"/>
    <x v="33"/>
    <n v="518.39999806880951"/>
    <n v="45"/>
    <x v="4"/>
  </r>
  <r>
    <n v="10285"/>
    <x v="33"/>
    <n v="470.39999824762344"/>
    <n v="40"/>
    <x v="0"/>
  </r>
  <r>
    <n v="10285"/>
    <x v="33"/>
    <n v="754.55999718904502"/>
    <n v="36"/>
    <x v="6"/>
  </r>
  <r>
    <n v="10285"/>
    <x v="33"/>
    <n v="754.55999718904502"/>
    <n v="36"/>
    <x v="2"/>
  </r>
  <r>
    <n v="10285"/>
    <x v="33"/>
    <n v="470.39999824762344"/>
    <n v="40"/>
    <x v="2"/>
  </r>
  <r>
    <n v="10285"/>
    <x v="33"/>
    <n v="470.39999824762344"/>
    <n v="40"/>
    <x v="5"/>
  </r>
  <r>
    <n v="10285"/>
    <x v="33"/>
    <n v="518.39999806880951"/>
    <n v="45"/>
    <x v="2"/>
  </r>
  <r>
    <n v="10285"/>
    <x v="33"/>
    <n v="518.39999806880951"/>
    <n v="45"/>
    <x v="3"/>
  </r>
  <r>
    <n v="10285"/>
    <x v="33"/>
    <n v="470.39999824762344"/>
    <n v="40"/>
    <x v="6"/>
  </r>
  <r>
    <n v="10285"/>
    <x v="33"/>
    <n v="754.55999718904502"/>
    <n v="36"/>
    <x v="3"/>
  </r>
  <r>
    <n v="10285"/>
    <x v="33"/>
    <n v="754.55999718904502"/>
    <n v="36"/>
    <x v="5"/>
  </r>
  <r>
    <n v="10285"/>
    <x v="33"/>
    <n v="470.39999824762344"/>
    <n v="40"/>
    <x v="3"/>
  </r>
  <r>
    <n v="10286"/>
    <x v="34"/>
    <n v="1576"/>
    <n v="40"/>
    <x v="3"/>
  </r>
  <r>
    <n v="10286"/>
    <x v="34"/>
    <n v="1440"/>
    <n v="100"/>
    <x v="3"/>
  </r>
  <r>
    <n v="10286"/>
    <x v="34"/>
    <n v="1440"/>
    <n v="100"/>
    <x v="7"/>
  </r>
  <r>
    <n v="10286"/>
    <x v="34"/>
    <n v="1440"/>
    <n v="100"/>
    <x v="2"/>
  </r>
  <r>
    <n v="10286"/>
    <x v="34"/>
    <n v="1576"/>
    <n v="40"/>
    <x v="2"/>
  </r>
  <r>
    <n v="10286"/>
    <x v="34"/>
    <n v="1576"/>
    <n v="40"/>
    <x v="7"/>
  </r>
  <r>
    <n v="10286"/>
    <x v="34"/>
    <n v="1576"/>
    <n v="40"/>
    <x v="1"/>
  </r>
  <r>
    <n v="10286"/>
    <x v="34"/>
    <n v="1440"/>
    <n v="100"/>
    <x v="1"/>
  </r>
  <r>
    <n v="10286"/>
    <x v="34"/>
    <n v="1576"/>
    <n v="40"/>
    <x v="0"/>
  </r>
  <r>
    <n v="10286"/>
    <x v="34"/>
    <n v="1576"/>
    <n v="40"/>
    <x v="5"/>
  </r>
  <r>
    <n v="10286"/>
    <x v="34"/>
    <n v="1440"/>
    <n v="100"/>
    <x v="5"/>
  </r>
  <r>
    <n v="10286"/>
    <x v="34"/>
    <n v="1440"/>
    <n v="100"/>
    <x v="0"/>
  </r>
  <r>
    <n v="10286"/>
    <x v="34"/>
    <n v="1440"/>
    <n v="100"/>
    <x v="6"/>
  </r>
  <r>
    <n v="10286"/>
    <x v="34"/>
    <n v="1440"/>
    <n v="100"/>
    <x v="4"/>
  </r>
  <r>
    <n v="10286"/>
    <x v="34"/>
    <n v="1576"/>
    <n v="40"/>
    <x v="4"/>
  </r>
  <r>
    <n v="10286"/>
    <x v="34"/>
    <n v="1576"/>
    <n v="40"/>
    <x v="6"/>
  </r>
  <r>
    <n v="10287"/>
    <x v="35"/>
    <n v="224"/>
    <n v="20"/>
    <x v="1"/>
  </r>
  <r>
    <n v="10287"/>
    <x v="35"/>
    <n v="122.39999914169312"/>
    <n v="15"/>
    <x v="4"/>
  </r>
  <r>
    <n v="10287"/>
    <x v="35"/>
    <n v="224"/>
    <n v="20"/>
    <x v="4"/>
  </r>
  <r>
    <n v="10287"/>
    <x v="35"/>
    <n v="122.39999914169312"/>
    <n v="15"/>
    <x v="6"/>
  </r>
  <r>
    <n v="10287"/>
    <x v="35"/>
    <n v="122.39999914169312"/>
    <n v="15"/>
    <x v="5"/>
  </r>
  <r>
    <n v="10287"/>
    <x v="35"/>
    <n v="472.59999668598175"/>
    <n v="40"/>
    <x v="3"/>
  </r>
  <r>
    <n v="10287"/>
    <x v="35"/>
    <n v="224"/>
    <n v="20"/>
    <x v="3"/>
  </r>
  <r>
    <n v="10287"/>
    <x v="35"/>
    <n v="472.59999668598175"/>
    <n v="40"/>
    <x v="2"/>
  </r>
  <r>
    <n v="10287"/>
    <x v="35"/>
    <n v="472.59999668598175"/>
    <n v="40"/>
    <x v="6"/>
  </r>
  <r>
    <n v="10287"/>
    <x v="35"/>
    <n v="122.39999914169312"/>
    <n v="15"/>
    <x v="3"/>
  </r>
  <r>
    <n v="10287"/>
    <x v="35"/>
    <n v="122.39999914169312"/>
    <n v="15"/>
    <x v="2"/>
  </r>
  <r>
    <n v="10287"/>
    <x v="35"/>
    <n v="224"/>
    <n v="20"/>
    <x v="6"/>
  </r>
  <r>
    <n v="10287"/>
    <x v="35"/>
    <n v="224"/>
    <n v="20"/>
    <x v="2"/>
  </r>
  <r>
    <n v="10287"/>
    <x v="35"/>
    <n v="472.59999668598175"/>
    <n v="40"/>
    <x v="4"/>
  </r>
  <r>
    <n v="10287"/>
    <x v="35"/>
    <n v="122.39999914169312"/>
    <n v="15"/>
    <x v="7"/>
  </r>
  <r>
    <n v="10287"/>
    <x v="35"/>
    <n v="472.59999668598175"/>
    <n v="40"/>
    <x v="5"/>
  </r>
  <r>
    <n v="10287"/>
    <x v="35"/>
    <n v="122.39999914169312"/>
    <n v="15"/>
    <x v="1"/>
  </r>
  <r>
    <n v="10287"/>
    <x v="35"/>
    <n v="472.59999668598175"/>
    <n v="40"/>
    <x v="1"/>
  </r>
  <r>
    <n v="10287"/>
    <x v="35"/>
    <n v="224"/>
    <n v="20"/>
    <x v="5"/>
  </r>
  <r>
    <n v="10287"/>
    <x v="35"/>
    <n v="224"/>
    <n v="20"/>
    <x v="0"/>
  </r>
  <r>
    <n v="10287"/>
    <x v="35"/>
    <n v="122.39999914169312"/>
    <n v="15"/>
    <x v="0"/>
  </r>
  <r>
    <n v="10287"/>
    <x v="35"/>
    <n v="472.59999668598175"/>
    <n v="40"/>
    <x v="0"/>
  </r>
  <r>
    <n v="10287"/>
    <x v="35"/>
    <n v="472.59999668598175"/>
    <n v="40"/>
    <x v="7"/>
  </r>
  <r>
    <n v="10287"/>
    <x v="35"/>
    <n v="224"/>
    <n v="20"/>
    <x v="7"/>
  </r>
  <r>
    <n v="10288"/>
    <x v="36"/>
    <n v="26.999999955296516"/>
    <n v="3"/>
    <x v="0"/>
  </r>
  <r>
    <n v="10288"/>
    <x v="36"/>
    <n v="26.999999955296516"/>
    <n v="3"/>
    <x v="5"/>
  </r>
  <r>
    <n v="10288"/>
    <x v="36"/>
    <n v="53.099999912083149"/>
    <n v="10"/>
    <x v="3"/>
  </r>
  <r>
    <n v="10288"/>
    <x v="36"/>
    <n v="26.999999955296516"/>
    <n v="3"/>
    <x v="2"/>
  </r>
  <r>
    <n v="10288"/>
    <x v="36"/>
    <n v="53.099999912083149"/>
    <n v="10"/>
    <x v="2"/>
  </r>
  <r>
    <n v="10288"/>
    <x v="36"/>
    <n v="53.099999912083149"/>
    <n v="10"/>
    <x v="1"/>
  </r>
  <r>
    <n v="10288"/>
    <x v="36"/>
    <n v="26.999999955296516"/>
    <n v="3"/>
    <x v="1"/>
  </r>
  <r>
    <n v="10288"/>
    <x v="36"/>
    <n v="53.099999912083149"/>
    <n v="10"/>
    <x v="6"/>
  </r>
  <r>
    <n v="10288"/>
    <x v="36"/>
    <n v="53.099999912083149"/>
    <n v="10"/>
    <x v="4"/>
  </r>
  <r>
    <n v="10288"/>
    <x v="36"/>
    <n v="53.099999912083149"/>
    <n v="10"/>
    <x v="5"/>
  </r>
  <r>
    <n v="10288"/>
    <x v="36"/>
    <n v="53.099999912083149"/>
    <n v="10"/>
    <x v="7"/>
  </r>
  <r>
    <n v="10288"/>
    <x v="36"/>
    <n v="26.999999955296516"/>
    <n v="3"/>
    <x v="7"/>
  </r>
  <r>
    <n v="10288"/>
    <x v="36"/>
    <n v="26.999999955296516"/>
    <n v="3"/>
    <x v="3"/>
  </r>
  <r>
    <n v="10288"/>
    <x v="36"/>
    <n v="26.999999955296516"/>
    <n v="3"/>
    <x v="4"/>
  </r>
  <r>
    <n v="10288"/>
    <x v="36"/>
    <n v="26.999999955296516"/>
    <n v="3"/>
    <x v="6"/>
  </r>
  <r>
    <n v="10288"/>
    <x v="36"/>
    <n v="53.099999912083149"/>
    <n v="10"/>
    <x v="0"/>
  </r>
  <r>
    <n v="10289"/>
    <x v="37"/>
    <n v="240"/>
    <n v="30"/>
    <x v="5"/>
  </r>
  <r>
    <n v="10289"/>
    <x v="37"/>
    <n v="239.4"/>
    <n v="9"/>
    <x v="5"/>
  </r>
  <r>
    <n v="10289"/>
    <x v="37"/>
    <n v="240"/>
    <n v="30"/>
    <x v="0"/>
  </r>
  <r>
    <n v="10289"/>
    <x v="37"/>
    <n v="239.4"/>
    <n v="9"/>
    <x v="0"/>
  </r>
  <r>
    <n v="10289"/>
    <x v="37"/>
    <n v="240"/>
    <n v="30"/>
    <x v="6"/>
  </r>
  <r>
    <n v="10289"/>
    <x v="37"/>
    <n v="240"/>
    <n v="30"/>
    <x v="1"/>
  </r>
  <r>
    <n v="10289"/>
    <x v="37"/>
    <n v="239.4"/>
    <n v="9"/>
    <x v="1"/>
  </r>
  <r>
    <n v="10289"/>
    <x v="37"/>
    <n v="240"/>
    <n v="30"/>
    <x v="7"/>
  </r>
  <r>
    <n v="10289"/>
    <x v="37"/>
    <n v="239.4"/>
    <n v="9"/>
    <x v="7"/>
  </r>
  <r>
    <n v="10289"/>
    <x v="37"/>
    <n v="239.4"/>
    <n v="9"/>
    <x v="4"/>
  </r>
  <r>
    <n v="10289"/>
    <x v="37"/>
    <n v="239.4"/>
    <n v="9"/>
    <x v="6"/>
  </r>
  <r>
    <n v="10289"/>
    <x v="37"/>
    <n v="240"/>
    <n v="30"/>
    <x v="3"/>
  </r>
  <r>
    <n v="10289"/>
    <x v="37"/>
    <n v="239.4"/>
    <n v="9"/>
    <x v="2"/>
  </r>
  <r>
    <n v="10289"/>
    <x v="37"/>
    <n v="240"/>
    <n v="30"/>
    <x v="4"/>
  </r>
  <r>
    <n v="10289"/>
    <x v="37"/>
    <n v="239.4"/>
    <n v="9"/>
    <x v="3"/>
  </r>
  <r>
    <n v="10289"/>
    <x v="37"/>
    <n v="240"/>
    <n v="30"/>
    <x v="2"/>
  </r>
  <r>
    <n v="10290"/>
    <x v="38"/>
    <n v="340"/>
    <n v="20"/>
    <x v="2"/>
  </r>
  <r>
    <n v="10290"/>
    <x v="38"/>
    <n v="340"/>
    <n v="20"/>
    <x v="1"/>
  </r>
  <r>
    <n v="10290"/>
    <x v="38"/>
    <n v="1485"/>
    <n v="15"/>
    <x v="1"/>
  </r>
  <r>
    <n v="10290"/>
    <x v="38"/>
    <n v="240"/>
    <n v="15"/>
    <x v="1"/>
  </r>
  <r>
    <n v="10290"/>
    <x v="38"/>
    <n v="104"/>
    <n v="10"/>
    <x v="1"/>
  </r>
  <r>
    <n v="10290"/>
    <x v="38"/>
    <n v="340"/>
    <n v="20"/>
    <x v="6"/>
  </r>
  <r>
    <n v="10290"/>
    <x v="38"/>
    <n v="240"/>
    <n v="15"/>
    <x v="6"/>
  </r>
  <r>
    <n v="10290"/>
    <x v="38"/>
    <n v="104"/>
    <n v="10"/>
    <x v="5"/>
  </r>
  <r>
    <n v="10290"/>
    <x v="38"/>
    <n v="240"/>
    <n v="15"/>
    <x v="5"/>
  </r>
  <r>
    <n v="10290"/>
    <x v="38"/>
    <n v="1485"/>
    <n v="15"/>
    <x v="6"/>
  </r>
  <r>
    <n v="10290"/>
    <x v="38"/>
    <n v="240"/>
    <n v="15"/>
    <x v="2"/>
  </r>
  <r>
    <n v="10290"/>
    <x v="38"/>
    <n v="1485"/>
    <n v="15"/>
    <x v="5"/>
  </r>
  <r>
    <n v="10290"/>
    <x v="38"/>
    <n v="340"/>
    <n v="20"/>
    <x v="5"/>
  </r>
  <r>
    <n v="10290"/>
    <x v="38"/>
    <n v="104"/>
    <n v="10"/>
    <x v="2"/>
  </r>
  <r>
    <n v="10290"/>
    <x v="38"/>
    <n v="104"/>
    <n v="10"/>
    <x v="6"/>
  </r>
  <r>
    <n v="10290"/>
    <x v="38"/>
    <n v="240"/>
    <n v="15"/>
    <x v="0"/>
  </r>
  <r>
    <n v="10290"/>
    <x v="38"/>
    <n v="340"/>
    <n v="20"/>
    <x v="7"/>
  </r>
  <r>
    <n v="10290"/>
    <x v="38"/>
    <n v="1485"/>
    <n v="15"/>
    <x v="7"/>
  </r>
  <r>
    <n v="10290"/>
    <x v="38"/>
    <n v="240"/>
    <n v="15"/>
    <x v="7"/>
  </r>
  <r>
    <n v="10290"/>
    <x v="38"/>
    <n v="104"/>
    <n v="10"/>
    <x v="7"/>
  </r>
  <r>
    <n v="10290"/>
    <x v="38"/>
    <n v="1485"/>
    <n v="15"/>
    <x v="4"/>
  </r>
  <r>
    <n v="10290"/>
    <x v="38"/>
    <n v="240"/>
    <n v="15"/>
    <x v="4"/>
  </r>
  <r>
    <n v="10290"/>
    <x v="38"/>
    <n v="104"/>
    <n v="10"/>
    <x v="4"/>
  </r>
  <r>
    <n v="10290"/>
    <x v="38"/>
    <n v="1485"/>
    <n v="15"/>
    <x v="0"/>
  </r>
  <r>
    <n v="10290"/>
    <x v="38"/>
    <n v="340"/>
    <n v="20"/>
    <x v="4"/>
  </r>
  <r>
    <n v="10290"/>
    <x v="38"/>
    <n v="104"/>
    <n v="10"/>
    <x v="0"/>
  </r>
  <r>
    <n v="10290"/>
    <x v="38"/>
    <n v="340"/>
    <n v="20"/>
    <x v="3"/>
  </r>
  <r>
    <n v="10290"/>
    <x v="38"/>
    <n v="340"/>
    <n v="20"/>
    <x v="0"/>
  </r>
  <r>
    <n v="10290"/>
    <x v="38"/>
    <n v="104"/>
    <n v="10"/>
    <x v="3"/>
  </r>
  <r>
    <n v="10290"/>
    <x v="38"/>
    <n v="240"/>
    <n v="15"/>
    <x v="3"/>
  </r>
  <r>
    <n v="10290"/>
    <x v="38"/>
    <n v="1485"/>
    <n v="15"/>
    <x v="3"/>
  </r>
  <r>
    <n v="10290"/>
    <x v="38"/>
    <n v="1485"/>
    <n v="15"/>
    <x v="2"/>
  </r>
  <r>
    <n v="10291"/>
    <x v="38"/>
    <n v="86.399999856948853"/>
    <n v="20"/>
    <x v="2"/>
  </r>
  <r>
    <n v="10291"/>
    <x v="38"/>
    <n v="86.399999856948853"/>
    <n v="20"/>
    <x v="1"/>
  </r>
  <r>
    <n v="10291"/>
    <x v="38"/>
    <n v="76.319999873638153"/>
    <n v="2"/>
    <x v="3"/>
  </r>
  <r>
    <n v="10291"/>
    <x v="38"/>
    <n v="334.7999994456768"/>
    <n v="24"/>
    <x v="3"/>
  </r>
  <r>
    <n v="10291"/>
    <x v="38"/>
    <n v="76.319999873638153"/>
    <n v="2"/>
    <x v="2"/>
  </r>
  <r>
    <n v="10291"/>
    <x v="38"/>
    <n v="86.399999856948853"/>
    <n v="20"/>
    <x v="0"/>
  </r>
  <r>
    <n v="10291"/>
    <x v="38"/>
    <n v="334.7999994456768"/>
    <n v="24"/>
    <x v="5"/>
  </r>
  <r>
    <n v="10291"/>
    <x v="38"/>
    <n v="76.319999873638153"/>
    <n v="2"/>
    <x v="7"/>
  </r>
  <r>
    <n v="10291"/>
    <x v="38"/>
    <n v="334.7999994456768"/>
    <n v="24"/>
    <x v="7"/>
  </r>
  <r>
    <n v="10291"/>
    <x v="38"/>
    <n v="86.399999856948853"/>
    <n v="20"/>
    <x v="7"/>
  </r>
  <r>
    <n v="10291"/>
    <x v="38"/>
    <n v="86.399999856948853"/>
    <n v="20"/>
    <x v="3"/>
  </r>
  <r>
    <n v="10291"/>
    <x v="38"/>
    <n v="76.319999873638153"/>
    <n v="2"/>
    <x v="5"/>
  </r>
  <r>
    <n v="10291"/>
    <x v="38"/>
    <n v="86.399999856948853"/>
    <n v="20"/>
    <x v="6"/>
  </r>
  <r>
    <n v="10291"/>
    <x v="38"/>
    <n v="334.7999994456768"/>
    <n v="24"/>
    <x v="2"/>
  </r>
  <r>
    <n v="10291"/>
    <x v="38"/>
    <n v="86.399999856948853"/>
    <n v="20"/>
    <x v="5"/>
  </r>
  <r>
    <n v="10291"/>
    <x v="38"/>
    <n v="76.319999873638153"/>
    <n v="2"/>
    <x v="6"/>
  </r>
  <r>
    <n v="10291"/>
    <x v="38"/>
    <n v="334.7999994456768"/>
    <n v="24"/>
    <x v="6"/>
  </r>
  <r>
    <n v="10291"/>
    <x v="38"/>
    <n v="334.7999994456768"/>
    <n v="24"/>
    <x v="0"/>
  </r>
  <r>
    <n v="10291"/>
    <x v="38"/>
    <n v="334.7999994456768"/>
    <n v="24"/>
    <x v="1"/>
  </r>
  <r>
    <n v="10291"/>
    <x v="38"/>
    <n v="76.319999873638153"/>
    <n v="2"/>
    <x v="1"/>
  </r>
  <r>
    <n v="10291"/>
    <x v="38"/>
    <n v="76.319999873638153"/>
    <n v="2"/>
    <x v="4"/>
  </r>
  <r>
    <n v="10291"/>
    <x v="38"/>
    <n v="76.319999873638153"/>
    <n v="2"/>
    <x v="0"/>
  </r>
  <r>
    <n v="10291"/>
    <x v="38"/>
    <n v="334.7999994456768"/>
    <n v="24"/>
    <x v="4"/>
  </r>
  <r>
    <n v="10291"/>
    <x v="38"/>
    <n v="86.399999856948853"/>
    <n v="20"/>
    <x v="4"/>
  </r>
  <r>
    <n v="10292"/>
    <x v="39"/>
    <n v="1296"/>
    <n v="20"/>
    <x v="2"/>
  </r>
  <r>
    <n v="10292"/>
    <x v="39"/>
    <n v="1296"/>
    <n v="20"/>
    <x v="1"/>
  </r>
  <r>
    <n v="10292"/>
    <x v="39"/>
    <n v="1296"/>
    <n v="20"/>
    <x v="0"/>
  </r>
  <r>
    <n v="10292"/>
    <x v="39"/>
    <n v="1296"/>
    <n v="20"/>
    <x v="4"/>
  </r>
  <r>
    <n v="10292"/>
    <x v="39"/>
    <n v="1296"/>
    <n v="20"/>
    <x v="3"/>
  </r>
  <r>
    <n v="10292"/>
    <x v="39"/>
    <n v="1296"/>
    <n v="20"/>
    <x v="5"/>
  </r>
  <r>
    <n v="10292"/>
    <x v="39"/>
    <n v="1296"/>
    <n v="20"/>
    <x v="7"/>
  </r>
  <r>
    <n v="10292"/>
    <x v="39"/>
    <n v="1296"/>
    <n v="20"/>
    <x v="6"/>
  </r>
  <r>
    <n v="10293"/>
    <x v="40"/>
    <n v="37.200000000000003"/>
    <n v="6"/>
    <x v="1"/>
  </r>
  <r>
    <n v="10293"/>
    <x v="40"/>
    <n v="600"/>
    <n v="12"/>
    <x v="3"/>
  </r>
  <r>
    <n v="10293"/>
    <x v="40"/>
    <n v="175.5"/>
    <n v="5"/>
    <x v="1"/>
  </r>
  <r>
    <n v="10293"/>
    <x v="40"/>
    <n v="600"/>
    <n v="12"/>
    <x v="1"/>
  </r>
  <r>
    <n v="10293"/>
    <x v="40"/>
    <n v="36"/>
    <n v="10"/>
    <x v="1"/>
  </r>
  <r>
    <n v="10293"/>
    <x v="40"/>
    <n v="37.200000000000003"/>
    <n v="6"/>
    <x v="6"/>
  </r>
  <r>
    <n v="10293"/>
    <x v="40"/>
    <n v="36"/>
    <n v="10"/>
    <x v="3"/>
  </r>
  <r>
    <n v="10293"/>
    <x v="40"/>
    <n v="600"/>
    <n v="12"/>
    <x v="4"/>
  </r>
  <r>
    <n v="10293"/>
    <x v="40"/>
    <n v="175.5"/>
    <n v="5"/>
    <x v="3"/>
  </r>
  <r>
    <n v="10293"/>
    <x v="40"/>
    <n v="37.200000000000003"/>
    <n v="6"/>
    <x v="3"/>
  </r>
  <r>
    <n v="10293"/>
    <x v="40"/>
    <n v="36"/>
    <n v="10"/>
    <x v="5"/>
  </r>
  <r>
    <n v="10293"/>
    <x v="40"/>
    <n v="175.5"/>
    <n v="5"/>
    <x v="5"/>
  </r>
  <r>
    <n v="10293"/>
    <x v="40"/>
    <n v="175.5"/>
    <n v="5"/>
    <x v="6"/>
  </r>
  <r>
    <n v="10293"/>
    <x v="40"/>
    <n v="37.200000000000003"/>
    <n v="6"/>
    <x v="5"/>
  </r>
  <r>
    <n v="10293"/>
    <x v="40"/>
    <n v="37.200000000000003"/>
    <n v="6"/>
    <x v="4"/>
  </r>
  <r>
    <n v="10293"/>
    <x v="40"/>
    <n v="600"/>
    <n v="12"/>
    <x v="6"/>
  </r>
  <r>
    <n v="10293"/>
    <x v="40"/>
    <n v="36"/>
    <n v="10"/>
    <x v="6"/>
  </r>
  <r>
    <n v="10293"/>
    <x v="40"/>
    <n v="600"/>
    <n v="12"/>
    <x v="5"/>
  </r>
  <r>
    <n v="10293"/>
    <x v="40"/>
    <n v="175.5"/>
    <n v="5"/>
    <x v="7"/>
  </r>
  <r>
    <n v="10293"/>
    <x v="40"/>
    <n v="175.5"/>
    <n v="5"/>
    <x v="4"/>
  </r>
  <r>
    <n v="10293"/>
    <x v="40"/>
    <n v="37.200000000000003"/>
    <n v="6"/>
    <x v="2"/>
  </r>
  <r>
    <n v="10293"/>
    <x v="40"/>
    <n v="37.200000000000003"/>
    <n v="6"/>
    <x v="0"/>
  </r>
  <r>
    <n v="10293"/>
    <x v="40"/>
    <n v="175.5"/>
    <n v="5"/>
    <x v="2"/>
  </r>
  <r>
    <n v="10293"/>
    <x v="40"/>
    <n v="36"/>
    <n v="10"/>
    <x v="2"/>
  </r>
  <r>
    <n v="10293"/>
    <x v="40"/>
    <n v="37.200000000000003"/>
    <n v="6"/>
    <x v="7"/>
  </r>
  <r>
    <n v="10293"/>
    <x v="40"/>
    <n v="36"/>
    <n v="10"/>
    <x v="7"/>
  </r>
  <r>
    <n v="10293"/>
    <x v="40"/>
    <n v="600"/>
    <n v="12"/>
    <x v="7"/>
  </r>
  <r>
    <n v="10293"/>
    <x v="40"/>
    <n v="600"/>
    <n v="12"/>
    <x v="2"/>
  </r>
  <r>
    <n v="10293"/>
    <x v="40"/>
    <n v="600"/>
    <n v="12"/>
    <x v="0"/>
  </r>
  <r>
    <n v="10293"/>
    <x v="40"/>
    <n v="36"/>
    <n v="10"/>
    <x v="0"/>
  </r>
  <r>
    <n v="10293"/>
    <x v="40"/>
    <n v="175.5"/>
    <n v="5"/>
    <x v="0"/>
  </r>
  <r>
    <n v="10293"/>
    <x v="40"/>
    <n v="36"/>
    <n v="10"/>
    <x v="4"/>
  </r>
  <r>
    <n v="10294"/>
    <x v="41"/>
    <n v="259.2"/>
    <n v="18"/>
    <x v="6"/>
  </r>
  <r>
    <n v="10294"/>
    <x v="41"/>
    <n v="37.200000000000003"/>
    <n v="6"/>
    <x v="3"/>
  </r>
  <r>
    <n v="10294"/>
    <x v="41"/>
    <n v="571.20000000000005"/>
    <n v="21"/>
    <x v="2"/>
  </r>
  <r>
    <n v="10294"/>
    <x v="41"/>
    <n v="571.20000000000005"/>
    <n v="21"/>
    <x v="6"/>
  </r>
  <r>
    <n v="10294"/>
    <x v="41"/>
    <n v="552"/>
    <n v="15"/>
    <x v="2"/>
  </r>
  <r>
    <n v="10294"/>
    <x v="41"/>
    <n v="468"/>
    <n v="15"/>
    <x v="2"/>
  </r>
  <r>
    <n v="10294"/>
    <x v="41"/>
    <n v="259.2"/>
    <n v="18"/>
    <x v="2"/>
  </r>
  <r>
    <n v="10294"/>
    <x v="41"/>
    <n v="552"/>
    <n v="15"/>
    <x v="4"/>
  </r>
  <r>
    <n v="10294"/>
    <x v="41"/>
    <n v="468"/>
    <n v="15"/>
    <x v="6"/>
  </r>
  <r>
    <n v="10294"/>
    <x v="41"/>
    <n v="259.2"/>
    <n v="18"/>
    <x v="4"/>
  </r>
  <r>
    <n v="10294"/>
    <x v="41"/>
    <n v="37.200000000000003"/>
    <n v="6"/>
    <x v="4"/>
  </r>
  <r>
    <n v="10294"/>
    <x v="41"/>
    <n v="571.20000000000005"/>
    <n v="21"/>
    <x v="4"/>
  </r>
  <r>
    <n v="10294"/>
    <x v="41"/>
    <n v="571.20000000000005"/>
    <n v="21"/>
    <x v="3"/>
  </r>
  <r>
    <n v="10294"/>
    <x v="41"/>
    <n v="571.20000000000005"/>
    <n v="21"/>
    <x v="5"/>
  </r>
  <r>
    <n v="10294"/>
    <x v="41"/>
    <n v="468"/>
    <n v="15"/>
    <x v="4"/>
  </r>
  <r>
    <n v="10294"/>
    <x v="41"/>
    <n v="37.200000000000003"/>
    <n v="6"/>
    <x v="6"/>
  </r>
  <r>
    <n v="10294"/>
    <x v="41"/>
    <n v="552"/>
    <n v="15"/>
    <x v="7"/>
  </r>
  <r>
    <n v="10294"/>
    <x v="41"/>
    <n v="552"/>
    <n v="15"/>
    <x v="6"/>
  </r>
  <r>
    <n v="10294"/>
    <x v="41"/>
    <n v="37.200000000000003"/>
    <n v="6"/>
    <x v="1"/>
  </r>
  <r>
    <n v="10294"/>
    <x v="41"/>
    <n v="571.20000000000005"/>
    <n v="21"/>
    <x v="0"/>
  </r>
  <r>
    <n v="10294"/>
    <x v="41"/>
    <n v="552"/>
    <n v="15"/>
    <x v="0"/>
  </r>
  <r>
    <n v="10294"/>
    <x v="41"/>
    <n v="468"/>
    <n v="15"/>
    <x v="0"/>
  </r>
  <r>
    <n v="10294"/>
    <x v="41"/>
    <n v="259.2"/>
    <n v="18"/>
    <x v="1"/>
  </r>
  <r>
    <n v="10294"/>
    <x v="41"/>
    <n v="468"/>
    <n v="15"/>
    <x v="1"/>
  </r>
  <r>
    <n v="10294"/>
    <x v="41"/>
    <n v="552"/>
    <n v="15"/>
    <x v="1"/>
  </r>
  <r>
    <n v="10294"/>
    <x v="41"/>
    <n v="571.20000000000005"/>
    <n v="21"/>
    <x v="1"/>
  </r>
  <r>
    <n v="10294"/>
    <x v="41"/>
    <n v="259.2"/>
    <n v="18"/>
    <x v="0"/>
  </r>
  <r>
    <n v="10294"/>
    <x v="41"/>
    <n v="259.2"/>
    <n v="18"/>
    <x v="3"/>
  </r>
  <r>
    <n v="10294"/>
    <x v="41"/>
    <n v="468"/>
    <n v="15"/>
    <x v="7"/>
  </r>
  <r>
    <n v="10294"/>
    <x v="41"/>
    <n v="552"/>
    <n v="15"/>
    <x v="3"/>
  </r>
  <r>
    <n v="10294"/>
    <x v="41"/>
    <n v="571.20000000000005"/>
    <n v="21"/>
    <x v="7"/>
  </r>
  <r>
    <n v="10294"/>
    <x v="41"/>
    <n v="37.200000000000003"/>
    <n v="6"/>
    <x v="7"/>
  </r>
  <r>
    <n v="10294"/>
    <x v="41"/>
    <n v="37.200000000000003"/>
    <n v="6"/>
    <x v="2"/>
  </r>
  <r>
    <n v="10294"/>
    <x v="41"/>
    <n v="259.2"/>
    <n v="18"/>
    <x v="5"/>
  </r>
  <r>
    <n v="10294"/>
    <x v="41"/>
    <n v="468"/>
    <n v="15"/>
    <x v="5"/>
  </r>
  <r>
    <n v="10294"/>
    <x v="41"/>
    <n v="552"/>
    <n v="15"/>
    <x v="5"/>
  </r>
  <r>
    <n v="10294"/>
    <x v="41"/>
    <n v="37.200000000000003"/>
    <n v="6"/>
    <x v="5"/>
  </r>
  <r>
    <n v="10294"/>
    <x v="41"/>
    <n v="37.200000000000003"/>
    <n v="6"/>
    <x v="0"/>
  </r>
  <r>
    <n v="10294"/>
    <x v="41"/>
    <n v="468"/>
    <n v="15"/>
    <x v="3"/>
  </r>
  <r>
    <n v="10294"/>
    <x v="41"/>
    <n v="259.2"/>
    <n v="18"/>
    <x v="7"/>
  </r>
  <r>
    <n v="10295"/>
    <x v="42"/>
    <n v="121.6"/>
    <n v="4"/>
    <x v="3"/>
  </r>
  <r>
    <n v="10295"/>
    <x v="42"/>
    <n v="121.6"/>
    <n v="4"/>
    <x v="7"/>
  </r>
  <r>
    <n v="10295"/>
    <x v="42"/>
    <n v="121.6"/>
    <n v="4"/>
    <x v="1"/>
  </r>
  <r>
    <n v="10295"/>
    <x v="42"/>
    <n v="121.6"/>
    <n v="4"/>
    <x v="6"/>
  </r>
  <r>
    <n v="10295"/>
    <x v="42"/>
    <n v="121.6"/>
    <n v="4"/>
    <x v="0"/>
  </r>
  <r>
    <n v="10295"/>
    <x v="42"/>
    <n v="121.6"/>
    <n v="4"/>
    <x v="5"/>
  </r>
  <r>
    <n v="10295"/>
    <x v="42"/>
    <n v="121.6"/>
    <n v="4"/>
    <x v="4"/>
  </r>
  <r>
    <n v="10295"/>
    <x v="42"/>
    <n v="121.6"/>
    <n v="4"/>
    <x v="2"/>
  </r>
  <r>
    <n v="10296"/>
    <x v="43"/>
    <n v="432"/>
    <n v="15"/>
    <x v="2"/>
  </r>
  <r>
    <n v="10296"/>
    <x v="43"/>
    <n v="417"/>
    <n v="30"/>
    <x v="7"/>
  </r>
  <r>
    <n v="10296"/>
    <x v="43"/>
    <n v="201.6"/>
    <n v="12"/>
    <x v="7"/>
  </r>
  <r>
    <n v="10296"/>
    <x v="43"/>
    <n v="417"/>
    <n v="30"/>
    <x v="2"/>
  </r>
  <r>
    <n v="10296"/>
    <x v="43"/>
    <n v="201.6"/>
    <n v="12"/>
    <x v="2"/>
  </r>
  <r>
    <n v="10296"/>
    <x v="43"/>
    <n v="417"/>
    <n v="30"/>
    <x v="0"/>
  </r>
  <r>
    <n v="10296"/>
    <x v="43"/>
    <n v="432"/>
    <n v="15"/>
    <x v="0"/>
  </r>
  <r>
    <n v="10296"/>
    <x v="43"/>
    <n v="417"/>
    <n v="30"/>
    <x v="1"/>
  </r>
  <r>
    <n v="10296"/>
    <x v="43"/>
    <n v="432"/>
    <n v="15"/>
    <x v="1"/>
  </r>
  <r>
    <n v="10296"/>
    <x v="43"/>
    <n v="201.6"/>
    <n v="12"/>
    <x v="1"/>
  </r>
  <r>
    <n v="10296"/>
    <x v="43"/>
    <n v="201.6"/>
    <n v="12"/>
    <x v="0"/>
  </r>
  <r>
    <n v="10296"/>
    <x v="43"/>
    <n v="432"/>
    <n v="15"/>
    <x v="7"/>
  </r>
  <r>
    <n v="10296"/>
    <x v="43"/>
    <n v="432"/>
    <n v="15"/>
    <x v="5"/>
  </r>
  <r>
    <n v="10296"/>
    <x v="43"/>
    <n v="201.6"/>
    <n v="12"/>
    <x v="6"/>
  </r>
  <r>
    <n v="10296"/>
    <x v="43"/>
    <n v="417"/>
    <n v="30"/>
    <x v="6"/>
  </r>
  <r>
    <n v="10296"/>
    <x v="43"/>
    <n v="201.6"/>
    <n v="12"/>
    <x v="3"/>
  </r>
  <r>
    <n v="10296"/>
    <x v="43"/>
    <n v="432"/>
    <n v="15"/>
    <x v="6"/>
  </r>
  <r>
    <n v="10296"/>
    <x v="43"/>
    <n v="417"/>
    <n v="30"/>
    <x v="3"/>
  </r>
  <r>
    <n v="10296"/>
    <x v="43"/>
    <n v="432"/>
    <n v="15"/>
    <x v="3"/>
  </r>
  <r>
    <n v="10296"/>
    <x v="43"/>
    <n v="417"/>
    <n v="30"/>
    <x v="5"/>
  </r>
  <r>
    <n v="10296"/>
    <x v="43"/>
    <n v="201.6"/>
    <n v="12"/>
    <x v="4"/>
  </r>
  <r>
    <n v="10296"/>
    <x v="43"/>
    <n v="201.6"/>
    <n v="12"/>
    <x v="5"/>
  </r>
  <r>
    <n v="10296"/>
    <x v="43"/>
    <n v="432"/>
    <n v="15"/>
    <x v="4"/>
  </r>
  <r>
    <n v="10296"/>
    <x v="43"/>
    <n v="417"/>
    <n v="30"/>
    <x v="4"/>
  </r>
  <r>
    <n v="10297"/>
    <x v="44"/>
    <n v="556"/>
    <n v="20"/>
    <x v="4"/>
  </r>
  <r>
    <n v="10297"/>
    <x v="44"/>
    <n v="556"/>
    <n v="20"/>
    <x v="6"/>
  </r>
  <r>
    <n v="10297"/>
    <x v="44"/>
    <n v="556"/>
    <n v="20"/>
    <x v="5"/>
  </r>
  <r>
    <n v="10297"/>
    <x v="44"/>
    <n v="864"/>
    <n v="60"/>
    <x v="5"/>
  </r>
  <r>
    <n v="10297"/>
    <x v="44"/>
    <n v="864"/>
    <n v="60"/>
    <x v="4"/>
  </r>
  <r>
    <n v="10297"/>
    <x v="44"/>
    <n v="556"/>
    <n v="20"/>
    <x v="1"/>
  </r>
  <r>
    <n v="10297"/>
    <x v="44"/>
    <n v="556"/>
    <n v="20"/>
    <x v="7"/>
  </r>
  <r>
    <n v="10297"/>
    <x v="44"/>
    <n v="864"/>
    <n v="60"/>
    <x v="7"/>
  </r>
  <r>
    <n v="10297"/>
    <x v="44"/>
    <n v="556"/>
    <n v="20"/>
    <x v="3"/>
  </r>
  <r>
    <n v="10297"/>
    <x v="44"/>
    <n v="864"/>
    <n v="60"/>
    <x v="1"/>
  </r>
  <r>
    <n v="10297"/>
    <x v="44"/>
    <n v="864"/>
    <n v="60"/>
    <x v="0"/>
  </r>
  <r>
    <n v="10297"/>
    <x v="44"/>
    <n v="556"/>
    <n v="20"/>
    <x v="2"/>
  </r>
  <r>
    <n v="10297"/>
    <x v="44"/>
    <n v="864"/>
    <n v="60"/>
    <x v="2"/>
  </r>
  <r>
    <n v="10297"/>
    <x v="44"/>
    <n v="864"/>
    <n v="60"/>
    <x v="6"/>
  </r>
  <r>
    <n v="10297"/>
    <x v="44"/>
    <n v="864"/>
    <n v="60"/>
    <x v="3"/>
  </r>
  <r>
    <n v="10297"/>
    <x v="44"/>
    <n v="556"/>
    <n v="20"/>
    <x v="0"/>
  </r>
  <r>
    <n v="10298"/>
    <x v="45"/>
    <n v="456"/>
    <n v="40"/>
    <x v="1"/>
  </r>
  <r>
    <n v="10298"/>
    <x v="45"/>
    <n v="456"/>
    <n v="40"/>
    <x v="0"/>
  </r>
  <r>
    <n v="10298"/>
    <x v="45"/>
    <n v="608"/>
    <n v="40"/>
    <x v="3"/>
  </r>
  <r>
    <n v="10298"/>
    <x v="45"/>
    <n v="608"/>
    <n v="40"/>
    <x v="4"/>
  </r>
  <r>
    <n v="10298"/>
    <x v="45"/>
    <n v="456"/>
    <n v="40"/>
    <x v="4"/>
  </r>
  <r>
    <n v="10298"/>
    <x v="45"/>
    <n v="990"/>
    <n v="30"/>
    <x v="4"/>
  </r>
  <r>
    <n v="10298"/>
    <x v="45"/>
    <n v="591"/>
    <n v="15"/>
    <x v="4"/>
  </r>
  <r>
    <n v="10298"/>
    <x v="45"/>
    <n v="608"/>
    <n v="40"/>
    <x v="6"/>
  </r>
  <r>
    <n v="10298"/>
    <x v="45"/>
    <n v="456"/>
    <n v="40"/>
    <x v="3"/>
  </r>
  <r>
    <n v="10298"/>
    <x v="45"/>
    <n v="990"/>
    <n v="30"/>
    <x v="3"/>
  </r>
  <r>
    <n v="10298"/>
    <x v="45"/>
    <n v="591"/>
    <n v="15"/>
    <x v="1"/>
  </r>
  <r>
    <n v="10298"/>
    <x v="45"/>
    <n v="608"/>
    <n v="40"/>
    <x v="0"/>
  </r>
  <r>
    <n v="10298"/>
    <x v="45"/>
    <n v="990"/>
    <n v="30"/>
    <x v="1"/>
  </r>
  <r>
    <n v="10298"/>
    <x v="45"/>
    <n v="990"/>
    <n v="30"/>
    <x v="0"/>
  </r>
  <r>
    <n v="10298"/>
    <x v="45"/>
    <n v="591"/>
    <n v="15"/>
    <x v="0"/>
  </r>
  <r>
    <n v="10298"/>
    <x v="45"/>
    <n v="591"/>
    <n v="15"/>
    <x v="2"/>
  </r>
  <r>
    <n v="10298"/>
    <x v="45"/>
    <n v="990"/>
    <n v="30"/>
    <x v="2"/>
  </r>
  <r>
    <n v="10298"/>
    <x v="45"/>
    <n v="456"/>
    <n v="40"/>
    <x v="2"/>
  </r>
  <r>
    <n v="10298"/>
    <x v="45"/>
    <n v="608"/>
    <n v="40"/>
    <x v="2"/>
  </r>
  <r>
    <n v="10298"/>
    <x v="45"/>
    <n v="591"/>
    <n v="15"/>
    <x v="3"/>
  </r>
  <r>
    <n v="10298"/>
    <x v="45"/>
    <n v="456"/>
    <n v="40"/>
    <x v="5"/>
  </r>
  <r>
    <n v="10298"/>
    <x v="45"/>
    <n v="456"/>
    <n v="40"/>
    <x v="6"/>
  </r>
  <r>
    <n v="10298"/>
    <x v="45"/>
    <n v="990"/>
    <n v="30"/>
    <x v="6"/>
  </r>
  <r>
    <n v="10298"/>
    <x v="45"/>
    <n v="591"/>
    <n v="15"/>
    <x v="6"/>
  </r>
  <r>
    <n v="10298"/>
    <x v="45"/>
    <n v="608"/>
    <n v="40"/>
    <x v="1"/>
  </r>
  <r>
    <n v="10298"/>
    <x v="45"/>
    <n v="990"/>
    <n v="30"/>
    <x v="5"/>
  </r>
  <r>
    <n v="10298"/>
    <x v="45"/>
    <n v="608"/>
    <n v="40"/>
    <x v="5"/>
  </r>
  <r>
    <n v="10298"/>
    <x v="45"/>
    <n v="608"/>
    <n v="40"/>
    <x v="7"/>
  </r>
  <r>
    <n v="10298"/>
    <x v="45"/>
    <n v="456"/>
    <n v="40"/>
    <x v="7"/>
  </r>
  <r>
    <n v="10298"/>
    <x v="45"/>
    <n v="591"/>
    <n v="15"/>
    <x v="7"/>
  </r>
  <r>
    <n v="10298"/>
    <x v="45"/>
    <n v="591"/>
    <n v="15"/>
    <x v="5"/>
  </r>
  <r>
    <n v="10298"/>
    <x v="45"/>
    <n v="990"/>
    <n v="30"/>
    <x v="7"/>
  </r>
  <r>
    <n v="10299"/>
    <x v="46"/>
    <n v="109.5"/>
    <n v="15"/>
    <x v="5"/>
  </r>
  <r>
    <n v="10299"/>
    <x v="46"/>
    <n v="240"/>
    <n v="20"/>
    <x v="0"/>
  </r>
  <r>
    <n v="10299"/>
    <x v="46"/>
    <n v="109.5"/>
    <n v="15"/>
    <x v="0"/>
  </r>
  <r>
    <n v="10299"/>
    <x v="46"/>
    <n v="240"/>
    <n v="20"/>
    <x v="1"/>
  </r>
  <r>
    <n v="10299"/>
    <x v="46"/>
    <n v="109.5"/>
    <n v="15"/>
    <x v="2"/>
  </r>
  <r>
    <n v="10299"/>
    <x v="46"/>
    <n v="109.5"/>
    <n v="15"/>
    <x v="6"/>
  </r>
  <r>
    <n v="10299"/>
    <x v="46"/>
    <n v="240"/>
    <n v="20"/>
    <x v="6"/>
  </r>
  <r>
    <n v="10299"/>
    <x v="46"/>
    <n v="240"/>
    <n v="20"/>
    <x v="3"/>
  </r>
  <r>
    <n v="10299"/>
    <x v="46"/>
    <n v="240"/>
    <n v="20"/>
    <x v="5"/>
  </r>
  <r>
    <n v="10299"/>
    <x v="46"/>
    <n v="240"/>
    <n v="20"/>
    <x v="7"/>
  </r>
  <r>
    <n v="10299"/>
    <x v="46"/>
    <n v="109.5"/>
    <n v="15"/>
    <x v="7"/>
  </r>
  <r>
    <n v="10299"/>
    <x v="46"/>
    <n v="109.5"/>
    <n v="15"/>
    <x v="4"/>
  </r>
  <r>
    <n v="10299"/>
    <x v="46"/>
    <n v="109.5"/>
    <n v="15"/>
    <x v="1"/>
  </r>
  <r>
    <n v="10299"/>
    <x v="46"/>
    <n v="240"/>
    <n v="20"/>
    <x v="4"/>
  </r>
  <r>
    <n v="10299"/>
    <x v="46"/>
    <n v="109.5"/>
    <n v="15"/>
    <x v="3"/>
  </r>
  <r>
    <n v="10299"/>
    <x v="46"/>
    <n v="240"/>
    <n v="20"/>
    <x v="2"/>
  </r>
  <r>
    <n v="10300"/>
    <x v="47"/>
    <n v="408"/>
    <n v="30"/>
    <x v="4"/>
  </r>
  <r>
    <n v="10300"/>
    <x v="47"/>
    <n v="408"/>
    <n v="30"/>
    <x v="1"/>
  </r>
  <r>
    <n v="10300"/>
    <x v="47"/>
    <n v="200"/>
    <n v="20"/>
    <x v="4"/>
  </r>
  <r>
    <n v="10300"/>
    <x v="47"/>
    <n v="200"/>
    <n v="20"/>
    <x v="3"/>
  </r>
  <r>
    <n v="10300"/>
    <x v="47"/>
    <n v="408"/>
    <n v="30"/>
    <x v="3"/>
  </r>
  <r>
    <n v="10300"/>
    <x v="47"/>
    <n v="200"/>
    <n v="20"/>
    <x v="1"/>
  </r>
  <r>
    <n v="10300"/>
    <x v="47"/>
    <n v="200"/>
    <n v="20"/>
    <x v="6"/>
  </r>
  <r>
    <n v="10300"/>
    <x v="47"/>
    <n v="408"/>
    <n v="30"/>
    <x v="7"/>
  </r>
  <r>
    <n v="10300"/>
    <x v="47"/>
    <n v="200"/>
    <n v="20"/>
    <x v="7"/>
  </r>
  <r>
    <n v="10300"/>
    <x v="47"/>
    <n v="408"/>
    <n v="30"/>
    <x v="6"/>
  </r>
  <r>
    <n v="10300"/>
    <x v="47"/>
    <n v="200"/>
    <n v="20"/>
    <x v="5"/>
  </r>
  <r>
    <n v="10300"/>
    <x v="47"/>
    <n v="408"/>
    <n v="30"/>
    <x v="5"/>
  </r>
  <r>
    <n v="10300"/>
    <x v="47"/>
    <n v="408"/>
    <n v="30"/>
    <x v="2"/>
  </r>
  <r>
    <n v="10300"/>
    <x v="47"/>
    <n v="200"/>
    <n v="20"/>
    <x v="0"/>
  </r>
  <r>
    <n v="10300"/>
    <x v="47"/>
    <n v="408"/>
    <n v="30"/>
    <x v="0"/>
  </r>
  <r>
    <n v="10300"/>
    <x v="47"/>
    <n v="200"/>
    <n v="20"/>
    <x v="2"/>
  </r>
  <r>
    <n v="10301"/>
    <x v="47"/>
    <n v="147"/>
    <n v="10"/>
    <x v="3"/>
  </r>
  <r>
    <n v="10301"/>
    <x v="47"/>
    <n v="608"/>
    <n v="20"/>
    <x v="1"/>
  </r>
  <r>
    <n v="10301"/>
    <x v="47"/>
    <n v="147"/>
    <n v="10"/>
    <x v="4"/>
  </r>
  <r>
    <n v="10301"/>
    <x v="47"/>
    <n v="147"/>
    <n v="10"/>
    <x v="6"/>
  </r>
  <r>
    <n v="10301"/>
    <x v="47"/>
    <n v="608"/>
    <n v="20"/>
    <x v="3"/>
  </r>
  <r>
    <n v="10301"/>
    <x v="47"/>
    <n v="147"/>
    <n v="10"/>
    <x v="1"/>
  </r>
  <r>
    <n v="10301"/>
    <x v="47"/>
    <n v="147"/>
    <n v="10"/>
    <x v="0"/>
  </r>
  <r>
    <n v="10301"/>
    <x v="47"/>
    <n v="608"/>
    <n v="20"/>
    <x v="2"/>
  </r>
  <r>
    <n v="10301"/>
    <x v="47"/>
    <n v="608"/>
    <n v="20"/>
    <x v="0"/>
  </r>
  <r>
    <n v="10301"/>
    <x v="47"/>
    <n v="608"/>
    <n v="20"/>
    <x v="4"/>
  </r>
  <r>
    <n v="10301"/>
    <x v="47"/>
    <n v="608"/>
    <n v="20"/>
    <x v="7"/>
  </r>
  <r>
    <n v="10301"/>
    <x v="47"/>
    <n v="147"/>
    <n v="10"/>
    <x v="5"/>
  </r>
  <r>
    <n v="10301"/>
    <x v="47"/>
    <n v="608"/>
    <n v="20"/>
    <x v="5"/>
  </r>
  <r>
    <n v="10301"/>
    <x v="47"/>
    <n v="147"/>
    <n v="10"/>
    <x v="7"/>
  </r>
  <r>
    <n v="10301"/>
    <x v="47"/>
    <n v="608"/>
    <n v="20"/>
    <x v="6"/>
  </r>
  <r>
    <n v="10301"/>
    <x v="47"/>
    <n v="147"/>
    <n v="10"/>
    <x v="2"/>
  </r>
  <r>
    <n v="10302"/>
    <x v="48"/>
    <n v="1248"/>
    <n v="40"/>
    <x v="7"/>
  </r>
  <r>
    <n v="10302"/>
    <x v="48"/>
    <n v="441.6"/>
    <n v="12"/>
    <x v="4"/>
  </r>
  <r>
    <n v="10302"/>
    <x v="48"/>
    <n v="1248"/>
    <n v="40"/>
    <x v="3"/>
  </r>
  <r>
    <n v="10302"/>
    <x v="48"/>
    <n v="441.6"/>
    <n v="12"/>
    <x v="7"/>
  </r>
  <r>
    <n v="10302"/>
    <x v="48"/>
    <n v="441.6"/>
    <n v="12"/>
    <x v="1"/>
  </r>
  <r>
    <n v="10302"/>
    <x v="48"/>
    <n v="1019.2"/>
    <n v="28"/>
    <x v="1"/>
  </r>
  <r>
    <n v="10302"/>
    <x v="48"/>
    <n v="1019.2"/>
    <n v="28"/>
    <x v="3"/>
  </r>
  <r>
    <n v="10302"/>
    <x v="48"/>
    <n v="1019.2"/>
    <n v="28"/>
    <x v="7"/>
  </r>
  <r>
    <n v="10302"/>
    <x v="48"/>
    <n v="1248"/>
    <n v="40"/>
    <x v="0"/>
  </r>
  <r>
    <n v="10302"/>
    <x v="48"/>
    <n v="441.6"/>
    <n v="12"/>
    <x v="3"/>
  </r>
  <r>
    <n v="10302"/>
    <x v="48"/>
    <n v="441.6"/>
    <n v="12"/>
    <x v="6"/>
  </r>
  <r>
    <n v="10302"/>
    <x v="48"/>
    <n v="1248"/>
    <n v="40"/>
    <x v="5"/>
  </r>
  <r>
    <n v="10302"/>
    <x v="48"/>
    <n v="1019.2"/>
    <n v="28"/>
    <x v="5"/>
  </r>
  <r>
    <n v="10302"/>
    <x v="48"/>
    <n v="441.6"/>
    <n v="12"/>
    <x v="5"/>
  </r>
  <r>
    <n v="10302"/>
    <x v="48"/>
    <n v="441.6"/>
    <n v="12"/>
    <x v="2"/>
  </r>
  <r>
    <n v="10302"/>
    <x v="48"/>
    <n v="1019.2"/>
    <n v="28"/>
    <x v="2"/>
  </r>
  <r>
    <n v="10302"/>
    <x v="48"/>
    <n v="1248"/>
    <n v="40"/>
    <x v="2"/>
  </r>
  <r>
    <n v="10302"/>
    <x v="48"/>
    <n v="1019.2"/>
    <n v="28"/>
    <x v="6"/>
  </r>
  <r>
    <n v="10302"/>
    <x v="48"/>
    <n v="1019.2"/>
    <n v="28"/>
    <x v="0"/>
  </r>
  <r>
    <n v="10302"/>
    <x v="48"/>
    <n v="1248"/>
    <n v="40"/>
    <x v="4"/>
  </r>
  <r>
    <n v="10302"/>
    <x v="48"/>
    <n v="1019.2"/>
    <n v="28"/>
    <x v="4"/>
  </r>
  <r>
    <n v="10302"/>
    <x v="48"/>
    <n v="1248"/>
    <n v="40"/>
    <x v="1"/>
  </r>
  <r>
    <n v="10302"/>
    <x v="48"/>
    <n v="441.6"/>
    <n v="12"/>
    <x v="0"/>
  </r>
  <r>
    <n v="10302"/>
    <x v="48"/>
    <n v="1248"/>
    <n v="40"/>
    <x v="6"/>
  </r>
  <r>
    <n v="10303"/>
    <x v="49"/>
    <n v="134.99999977648258"/>
    <n v="15"/>
    <x v="0"/>
  </r>
  <r>
    <n v="10303"/>
    <x v="49"/>
    <n v="134.99999977648258"/>
    <n v="15"/>
    <x v="7"/>
  </r>
  <r>
    <n v="10303"/>
    <x v="49"/>
    <n v="453.59999924898148"/>
    <n v="30"/>
    <x v="3"/>
  </r>
  <r>
    <n v="10303"/>
    <x v="49"/>
    <n v="453.59999924898148"/>
    <n v="30"/>
    <x v="2"/>
  </r>
  <r>
    <n v="10303"/>
    <x v="49"/>
    <n v="453.59999924898148"/>
    <n v="30"/>
    <x v="0"/>
  </r>
  <r>
    <n v="10303"/>
    <x v="49"/>
    <n v="529.19999912381172"/>
    <n v="40"/>
    <x v="3"/>
  </r>
  <r>
    <n v="10303"/>
    <x v="49"/>
    <n v="529.19999912381172"/>
    <n v="40"/>
    <x v="0"/>
  </r>
  <r>
    <n v="10303"/>
    <x v="49"/>
    <n v="134.99999977648258"/>
    <n v="15"/>
    <x v="6"/>
  </r>
  <r>
    <n v="10303"/>
    <x v="49"/>
    <n v="529.19999912381172"/>
    <n v="40"/>
    <x v="5"/>
  </r>
  <r>
    <n v="10303"/>
    <x v="49"/>
    <n v="453.59999924898148"/>
    <n v="30"/>
    <x v="5"/>
  </r>
  <r>
    <n v="10303"/>
    <x v="49"/>
    <n v="134.99999977648258"/>
    <n v="15"/>
    <x v="5"/>
  </r>
  <r>
    <n v="10303"/>
    <x v="49"/>
    <n v="134.99999977648258"/>
    <n v="15"/>
    <x v="1"/>
  </r>
  <r>
    <n v="10303"/>
    <x v="49"/>
    <n v="529.19999912381172"/>
    <n v="40"/>
    <x v="6"/>
  </r>
  <r>
    <n v="10303"/>
    <x v="49"/>
    <n v="529.19999912381172"/>
    <n v="40"/>
    <x v="4"/>
  </r>
  <r>
    <n v="10303"/>
    <x v="49"/>
    <n v="453.59999924898148"/>
    <n v="30"/>
    <x v="4"/>
  </r>
  <r>
    <n v="10303"/>
    <x v="49"/>
    <n v="134.99999977648258"/>
    <n v="15"/>
    <x v="4"/>
  </r>
  <r>
    <n v="10303"/>
    <x v="49"/>
    <n v="529.19999912381172"/>
    <n v="40"/>
    <x v="7"/>
  </r>
  <r>
    <n v="10303"/>
    <x v="49"/>
    <n v="453.59999924898148"/>
    <n v="30"/>
    <x v="6"/>
  </r>
  <r>
    <n v="10303"/>
    <x v="49"/>
    <n v="134.99999977648258"/>
    <n v="15"/>
    <x v="3"/>
  </r>
  <r>
    <n v="10303"/>
    <x v="49"/>
    <n v="453.59999924898148"/>
    <n v="30"/>
    <x v="7"/>
  </r>
  <r>
    <n v="10303"/>
    <x v="49"/>
    <n v="529.19999912381172"/>
    <n v="40"/>
    <x v="2"/>
  </r>
  <r>
    <n v="10303"/>
    <x v="49"/>
    <n v="134.99999977648258"/>
    <n v="15"/>
    <x v="2"/>
  </r>
  <r>
    <n v="10303"/>
    <x v="49"/>
    <n v="453.59999924898148"/>
    <n v="30"/>
    <x v="1"/>
  </r>
  <r>
    <n v="10303"/>
    <x v="49"/>
    <n v="529.19999912381172"/>
    <n v="40"/>
    <x v="1"/>
  </r>
  <r>
    <n v="10304"/>
    <x v="50"/>
    <n v="440"/>
    <n v="10"/>
    <x v="6"/>
  </r>
  <r>
    <n v="10304"/>
    <x v="50"/>
    <n v="34.4"/>
    <n v="2"/>
    <x v="6"/>
  </r>
  <r>
    <n v="10304"/>
    <x v="50"/>
    <n v="34.4"/>
    <n v="2"/>
    <x v="7"/>
  </r>
  <r>
    <n v="10304"/>
    <x v="50"/>
    <n v="440"/>
    <n v="10"/>
    <x v="7"/>
  </r>
  <r>
    <n v="10304"/>
    <x v="50"/>
    <n v="480"/>
    <n v="30"/>
    <x v="7"/>
  </r>
  <r>
    <n v="10304"/>
    <x v="50"/>
    <n v="480"/>
    <n v="30"/>
    <x v="0"/>
  </r>
  <r>
    <n v="10304"/>
    <x v="50"/>
    <n v="480"/>
    <n v="30"/>
    <x v="1"/>
  </r>
  <r>
    <n v="10304"/>
    <x v="50"/>
    <n v="440"/>
    <n v="10"/>
    <x v="1"/>
  </r>
  <r>
    <n v="10304"/>
    <x v="50"/>
    <n v="34.4"/>
    <n v="2"/>
    <x v="1"/>
  </r>
  <r>
    <n v="10304"/>
    <x v="50"/>
    <n v="480"/>
    <n v="30"/>
    <x v="6"/>
  </r>
  <r>
    <n v="10304"/>
    <x v="50"/>
    <n v="440"/>
    <n v="10"/>
    <x v="4"/>
  </r>
  <r>
    <n v="10304"/>
    <x v="50"/>
    <n v="440"/>
    <n v="10"/>
    <x v="2"/>
  </r>
  <r>
    <n v="10304"/>
    <x v="50"/>
    <n v="480"/>
    <n v="30"/>
    <x v="2"/>
  </r>
  <r>
    <n v="10304"/>
    <x v="50"/>
    <n v="34.4"/>
    <n v="2"/>
    <x v="0"/>
  </r>
  <r>
    <n v="10304"/>
    <x v="50"/>
    <n v="34.4"/>
    <n v="2"/>
    <x v="3"/>
  </r>
  <r>
    <n v="10304"/>
    <x v="50"/>
    <n v="440"/>
    <n v="10"/>
    <x v="3"/>
  </r>
  <r>
    <n v="10304"/>
    <x v="50"/>
    <n v="480"/>
    <n v="30"/>
    <x v="3"/>
  </r>
  <r>
    <n v="10304"/>
    <x v="50"/>
    <n v="34.4"/>
    <n v="2"/>
    <x v="2"/>
  </r>
  <r>
    <n v="10304"/>
    <x v="50"/>
    <n v="440"/>
    <n v="10"/>
    <x v="0"/>
  </r>
  <r>
    <n v="10304"/>
    <x v="50"/>
    <n v="480"/>
    <n v="30"/>
    <x v="4"/>
  </r>
  <r>
    <n v="10304"/>
    <x v="50"/>
    <n v="480"/>
    <n v="30"/>
    <x v="5"/>
  </r>
  <r>
    <n v="10304"/>
    <x v="50"/>
    <n v="440"/>
    <n v="10"/>
    <x v="5"/>
  </r>
  <r>
    <n v="10304"/>
    <x v="50"/>
    <n v="34.4"/>
    <n v="2"/>
    <x v="5"/>
  </r>
  <r>
    <n v="10304"/>
    <x v="50"/>
    <n v="34.4"/>
    <n v="2"/>
    <x v="4"/>
  </r>
  <r>
    <n v="10305"/>
    <x v="51"/>
    <n v="388.79999935626984"/>
    <n v="30"/>
    <x v="1"/>
  </r>
  <r>
    <n v="10305"/>
    <x v="51"/>
    <n v="2227.4999963119626"/>
    <n v="25"/>
    <x v="7"/>
  </r>
  <r>
    <n v="10305"/>
    <x v="51"/>
    <n v="388.79999935626984"/>
    <n v="30"/>
    <x v="7"/>
  </r>
  <r>
    <n v="10305"/>
    <x v="51"/>
    <n v="388.79999935626984"/>
    <n v="30"/>
    <x v="4"/>
  </r>
  <r>
    <n v="10305"/>
    <x v="51"/>
    <n v="1124.9999981373549"/>
    <n v="25"/>
    <x v="4"/>
  </r>
  <r>
    <n v="10305"/>
    <x v="51"/>
    <n v="388.79999935626984"/>
    <n v="30"/>
    <x v="2"/>
  </r>
  <r>
    <n v="10305"/>
    <x v="51"/>
    <n v="2227.4999963119626"/>
    <n v="25"/>
    <x v="1"/>
  </r>
  <r>
    <n v="10305"/>
    <x v="51"/>
    <n v="1124.9999981373549"/>
    <n v="25"/>
    <x v="1"/>
  </r>
  <r>
    <n v="10305"/>
    <x v="51"/>
    <n v="1124.9999981373549"/>
    <n v="25"/>
    <x v="5"/>
  </r>
  <r>
    <n v="10305"/>
    <x v="51"/>
    <n v="2227.4999963119626"/>
    <n v="25"/>
    <x v="5"/>
  </r>
  <r>
    <n v="10305"/>
    <x v="51"/>
    <n v="1124.9999981373549"/>
    <n v="25"/>
    <x v="7"/>
  </r>
  <r>
    <n v="10305"/>
    <x v="51"/>
    <n v="388.79999935626984"/>
    <n v="30"/>
    <x v="5"/>
  </r>
  <r>
    <n v="10305"/>
    <x v="51"/>
    <n v="2227.4999963119626"/>
    <n v="25"/>
    <x v="2"/>
  </r>
  <r>
    <n v="10305"/>
    <x v="51"/>
    <n v="2227.4999963119626"/>
    <n v="25"/>
    <x v="4"/>
  </r>
  <r>
    <n v="10305"/>
    <x v="51"/>
    <n v="1124.9999981373549"/>
    <n v="25"/>
    <x v="6"/>
  </r>
  <r>
    <n v="10305"/>
    <x v="51"/>
    <n v="388.79999935626984"/>
    <n v="30"/>
    <x v="0"/>
  </r>
  <r>
    <n v="10305"/>
    <x v="51"/>
    <n v="388.79999935626984"/>
    <n v="30"/>
    <x v="6"/>
  </r>
  <r>
    <n v="10305"/>
    <x v="51"/>
    <n v="2227.4999963119626"/>
    <n v="25"/>
    <x v="6"/>
  </r>
  <r>
    <n v="10305"/>
    <x v="51"/>
    <n v="1124.9999981373549"/>
    <n v="25"/>
    <x v="2"/>
  </r>
  <r>
    <n v="10305"/>
    <x v="51"/>
    <n v="2227.4999963119626"/>
    <n v="25"/>
    <x v="0"/>
  </r>
  <r>
    <n v="10305"/>
    <x v="51"/>
    <n v="1124.9999981373549"/>
    <n v="25"/>
    <x v="0"/>
  </r>
  <r>
    <n v="10305"/>
    <x v="51"/>
    <n v="1124.9999981373549"/>
    <n v="25"/>
    <x v="3"/>
  </r>
  <r>
    <n v="10305"/>
    <x v="51"/>
    <n v="2227.4999963119626"/>
    <n v="25"/>
    <x v="3"/>
  </r>
  <r>
    <n v="10305"/>
    <x v="51"/>
    <n v="388.79999935626984"/>
    <n v="30"/>
    <x v="3"/>
  </r>
  <r>
    <n v="10306"/>
    <x v="52"/>
    <n v="207"/>
    <n v="10"/>
    <x v="2"/>
  </r>
  <r>
    <n v="10306"/>
    <x v="52"/>
    <n v="262"/>
    <n v="10"/>
    <x v="0"/>
  </r>
  <r>
    <n v="10306"/>
    <x v="52"/>
    <n v="29.5"/>
    <n v="5"/>
    <x v="2"/>
  </r>
  <r>
    <n v="10306"/>
    <x v="52"/>
    <n v="262"/>
    <n v="10"/>
    <x v="2"/>
  </r>
  <r>
    <n v="10306"/>
    <x v="52"/>
    <n v="29.5"/>
    <n v="5"/>
    <x v="1"/>
  </r>
  <r>
    <n v="10306"/>
    <x v="52"/>
    <n v="262"/>
    <n v="10"/>
    <x v="1"/>
  </r>
  <r>
    <n v="10306"/>
    <x v="52"/>
    <n v="207"/>
    <n v="10"/>
    <x v="1"/>
  </r>
  <r>
    <n v="10306"/>
    <x v="52"/>
    <n v="207"/>
    <n v="10"/>
    <x v="0"/>
  </r>
  <r>
    <n v="10306"/>
    <x v="52"/>
    <n v="29.5"/>
    <n v="5"/>
    <x v="4"/>
  </r>
  <r>
    <n v="10306"/>
    <x v="52"/>
    <n v="29.5"/>
    <n v="5"/>
    <x v="6"/>
  </r>
  <r>
    <n v="10306"/>
    <x v="52"/>
    <n v="29.5"/>
    <n v="5"/>
    <x v="5"/>
  </r>
  <r>
    <n v="10306"/>
    <x v="52"/>
    <n v="207"/>
    <n v="10"/>
    <x v="6"/>
  </r>
  <r>
    <n v="10306"/>
    <x v="52"/>
    <n v="207"/>
    <n v="10"/>
    <x v="4"/>
  </r>
  <r>
    <n v="10306"/>
    <x v="52"/>
    <n v="207"/>
    <n v="10"/>
    <x v="5"/>
  </r>
  <r>
    <n v="10306"/>
    <x v="52"/>
    <n v="262"/>
    <n v="10"/>
    <x v="5"/>
  </r>
  <r>
    <n v="10306"/>
    <x v="52"/>
    <n v="262"/>
    <n v="10"/>
    <x v="4"/>
  </r>
  <r>
    <n v="10306"/>
    <x v="52"/>
    <n v="29.5"/>
    <n v="5"/>
    <x v="3"/>
  </r>
  <r>
    <n v="10306"/>
    <x v="52"/>
    <n v="262"/>
    <n v="10"/>
    <x v="3"/>
  </r>
  <r>
    <n v="10306"/>
    <x v="52"/>
    <n v="207"/>
    <n v="10"/>
    <x v="3"/>
  </r>
  <r>
    <n v="10306"/>
    <x v="52"/>
    <n v="207"/>
    <n v="10"/>
    <x v="7"/>
  </r>
  <r>
    <n v="10306"/>
    <x v="52"/>
    <n v="29.5"/>
    <n v="5"/>
    <x v="0"/>
  </r>
  <r>
    <n v="10306"/>
    <x v="52"/>
    <n v="262"/>
    <n v="10"/>
    <x v="7"/>
  </r>
  <r>
    <n v="10306"/>
    <x v="52"/>
    <n v="29.5"/>
    <n v="5"/>
    <x v="7"/>
  </r>
  <r>
    <n v="10306"/>
    <x v="52"/>
    <n v="262"/>
    <n v="10"/>
    <x v="6"/>
  </r>
  <r>
    <n v="10307"/>
    <x v="53"/>
    <n v="30"/>
    <n v="3"/>
    <x v="0"/>
  </r>
  <r>
    <n v="10307"/>
    <x v="53"/>
    <n v="394"/>
    <n v="10"/>
    <x v="5"/>
  </r>
  <r>
    <n v="10307"/>
    <x v="53"/>
    <n v="30"/>
    <n v="3"/>
    <x v="5"/>
  </r>
  <r>
    <n v="10307"/>
    <x v="53"/>
    <n v="394"/>
    <n v="10"/>
    <x v="4"/>
  </r>
  <r>
    <n v="10307"/>
    <x v="53"/>
    <n v="30"/>
    <n v="3"/>
    <x v="4"/>
  </r>
  <r>
    <n v="10307"/>
    <x v="53"/>
    <n v="394"/>
    <n v="10"/>
    <x v="2"/>
  </r>
  <r>
    <n v="10307"/>
    <x v="53"/>
    <n v="30"/>
    <n v="3"/>
    <x v="7"/>
  </r>
  <r>
    <n v="10307"/>
    <x v="53"/>
    <n v="394"/>
    <n v="10"/>
    <x v="3"/>
  </r>
  <r>
    <n v="10307"/>
    <x v="53"/>
    <n v="30"/>
    <n v="3"/>
    <x v="1"/>
  </r>
  <r>
    <n v="10307"/>
    <x v="53"/>
    <n v="394"/>
    <n v="10"/>
    <x v="0"/>
  </r>
  <r>
    <n v="10307"/>
    <x v="53"/>
    <n v="30"/>
    <n v="3"/>
    <x v="2"/>
  </r>
  <r>
    <n v="10307"/>
    <x v="53"/>
    <n v="30"/>
    <n v="3"/>
    <x v="6"/>
  </r>
  <r>
    <n v="10307"/>
    <x v="53"/>
    <n v="394"/>
    <n v="10"/>
    <x v="6"/>
  </r>
  <r>
    <n v="10307"/>
    <x v="53"/>
    <n v="394"/>
    <n v="10"/>
    <x v="7"/>
  </r>
  <r>
    <n v="10307"/>
    <x v="53"/>
    <n v="394"/>
    <n v="10"/>
    <x v="1"/>
  </r>
  <r>
    <n v="10307"/>
    <x v="53"/>
    <n v="30"/>
    <n v="3"/>
    <x v="3"/>
  </r>
  <r>
    <n v="10308"/>
    <x v="54"/>
    <n v="28.8"/>
    <n v="1"/>
    <x v="6"/>
  </r>
  <r>
    <n v="10308"/>
    <x v="54"/>
    <n v="60"/>
    <n v="5"/>
    <x v="4"/>
  </r>
  <r>
    <n v="10308"/>
    <x v="54"/>
    <n v="28.8"/>
    <n v="1"/>
    <x v="4"/>
  </r>
  <r>
    <n v="10308"/>
    <x v="54"/>
    <n v="60"/>
    <n v="5"/>
    <x v="6"/>
  </r>
  <r>
    <n v="10308"/>
    <x v="54"/>
    <n v="28.8"/>
    <n v="1"/>
    <x v="0"/>
  </r>
  <r>
    <n v="10308"/>
    <x v="54"/>
    <n v="28.8"/>
    <n v="1"/>
    <x v="2"/>
  </r>
  <r>
    <n v="10308"/>
    <x v="54"/>
    <n v="60"/>
    <n v="5"/>
    <x v="7"/>
  </r>
  <r>
    <n v="10308"/>
    <x v="54"/>
    <n v="28.8"/>
    <n v="1"/>
    <x v="7"/>
  </r>
  <r>
    <n v="10308"/>
    <x v="54"/>
    <n v="60"/>
    <n v="5"/>
    <x v="1"/>
  </r>
  <r>
    <n v="10308"/>
    <x v="54"/>
    <n v="60"/>
    <n v="5"/>
    <x v="0"/>
  </r>
  <r>
    <n v="10308"/>
    <x v="54"/>
    <n v="28.8"/>
    <n v="1"/>
    <x v="3"/>
  </r>
  <r>
    <n v="10308"/>
    <x v="54"/>
    <n v="60"/>
    <n v="5"/>
    <x v="3"/>
  </r>
  <r>
    <n v="10308"/>
    <x v="54"/>
    <n v="60"/>
    <n v="5"/>
    <x v="2"/>
  </r>
  <r>
    <n v="10308"/>
    <x v="54"/>
    <n v="28.8"/>
    <n v="1"/>
    <x v="5"/>
  </r>
  <r>
    <n v="10308"/>
    <x v="54"/>
    <n v="60"/>
    <n v="5"/>
    <x v="5"/>
  </r>
  <r>
    <n v="10308"/>
    <x v="54"/>
    <n v="28.8"/>
    <n v="1"/>
    <x v="1"/>
  </r>
  <r>
    <n v="10309"/>
    <x v="55"/>
    <n v="600"/>
    <n v="30"/>
    <x v="4"/>
  </r>
  <r>
    <n v="10309"/>
    <x v="55"/>
    <n v="600"/>
    <n v="30"/>
    <x v="0"/>
  </r>
  <r>
    <n v="10309"/>
    <x v="55"/>
    <n v="352"/>
    <n v="20"/>
    <x v="0"/>
  </r>
  <r>
    <n v="10309"/>
    <x v="55"/>
    <n v="352"/>
    <n v="20"/>
    <x v="6"/>
  </r>
  <r>
    <n v="10309"/>
    <x v="55"/>
    <n v="22.4"/>
    <n v="2"/>
    <x v="6"/>
  </r>
  <r>
    <n v="10309"/>
    <x v="55"/>
    <n v="736"/>
    <n v="20"/>
    <x v="6"/>
  </r>
  <r>
    <n v="10309"/>
    <x v="55"/>
    <n v="51.6"/>
    <n v="3"/>
    <x v="6"/>
  </r>
  <r>
    <n v="10309"/>
    <x v="55"/>
    <n v="51.6"/>
    <n v="3"/>
    <x v="4"/>
  </r>
  <r>
    <n v="10309"/>
    <x v="55"/>
    <n v="22.4"/>
    <n v="2"/>
    <x v="4"/>
  </r>
  <r>
    <n v="10309"/>
    <x v="55"/>
    <n v="51.6"/>
    <n v="3"/>
    <x v="5"/>
  </r>
  <r>
    <n v="10309"/>
    <x v="55"/>
    <n v="352"/>
    <n v="20"/>
    <x v="4"/>
  </r>
  <r>
    <n v="10309"/>
    <x v="55"/>
    <n v="22.4"/>
    <n v="2"/>
    <x v="0"/>
  </r>
  <r>
    <n v="10309"/>
    <x v="55"/>
    <n v="352"/>
    <n v="20"/>
    <x v="5"/>
  </r>
  <r>
    <n v="10309"/>
    <x v="55"/>
    <n v="600"/>
    <n v="30"/>
    <x v="5"/>
  </r>
  <r>
    <n v="10309"/>
    <x v="55"/>
    <n v="22.4"/>
    <n v="2"/>
    <x v="5"/>
  </r>
  <r>
    <n v="10309"/>
    <x v="55"/>
    <n v="736"/>
    <n v="20"/>
    <x v="5"/>
  </r>
  <r>
    <n v="10309"/>
    <x v="55"/>
    <n v="352"/>
    <n v="20"/>
    <x v="3"/>
  </r>
  <r>
    <n v="10309"/>
    <x v="55"/>
    <n v="600"/>
    <n v="30"/>
    <x v="3"/>
  </r>
  <r>
    <n v="10309"/>
    <x v="55"/>
    <n v="22.4"/>
    <n v="2"/>
    <x v="3"/>
  </r>
  <r>
    <n v="10309"/>
    <x v="55"/>
    <n v="736"/>
    <n v="20"/>
    <x v="3"/>
  </r>
  <r>
    <n v="10309"/>
    <x v="55"/>
    <n v="51.6"/>
    <n v="3"/>
    <x v="3"/>
  </r>
  <r>
    <n v="10309"/>
    <x v="55"/>
    <n v="736"/>
    <n v="20"/>
    <x v="4"/>
  </r>
  <r>
    <n v="10309"/>
    <x v="55"/>
    <n v="352"/>
    <n v="20"/>
    <x v="1"/>
  </r>
  <r>
    <n v="10309"/>
    <x v="55"/>
    <n v="352"/>
    <n v="20"/>
    <x v="2"/>
  </r>
  <r>
    <n v="10309"/>
    <x v="55"/>
    <n v="600"/>
    <n v="30"/>
    <x v="2"/>
  </r>
  <r>
    <n v="10309"/>
    <x v="55"/>
    <n v="22.4"/>
    <n v="2"/>
    <x v="2"/>
  </r>
  <r>
    <n v="10309"/>
    <x v="55"/>
    <n v="736"/>
    <n v="20"/>
    <x v="2"/>
  </r>
  <r>
    <n v="10309"/>
    <x v="55"/>
    <n v="51.6"/>
    <n v="3"/>
    <x v="2"/>
  </r>
  <r>
    <n v="10309"/>
    <x v="55"/>
    <n v="51.6"/>
    <n v="3"/>
    <x v="1"/>
  </r>
  <r>
    <n v="10309"/>
    <x v="55"/>
    <n v="736"/>
    <n v="20"/>
    <x v="1"/>
  </r>
  <r>
    <n v="10309"/>
    <x v="55"/>
    <n v="600"/>
    <n v="30"/>
    <x v="6"/>
  </r>
  <r>
    <n v="10309"/>
    <x v="55"/>
    <n v="600"/>
    <n v="30"/>
    <x v="1"/>
  </r>
  <r>
    <n v="10309"/>
    <x v="55"/>
    <n v="736"/>
    <n v="20"/>
    <x v="0"/>
  </r>
  <r>
    <n v="10309"/>
    <x v="55"/>
    <n v="51.6"/>
    <n v="3"/>
    <x v="7"/>
  </r>
  <r>
    <n v="10309"/>
    <x v="55"/>
    <n v="736"/>
    <n v="20"/>
    <x v="7"/>
  </r>
  <r>
    <n v="10309"/>
    <x v="55"/>
    <n v="22.4"/>
    <n v="2"/>
    <x v="7"/>
  </r>
  <r>
    <n v="10309"/>
    <x v="55"/>
    <n v="51.6"/>
    <n v="3"/>
    <x v="0"/>
  </r>
  <r>
    <n v="10309"/>
    <x v="55"/>
    <n v="600"/>
    <n v="30"/>
    <x v="7"/>
  </r>
  <r>
    <n v="10309"/>
    <x v="55"/>
    <n v="352"/>
    <n v="20"/>
    <x v="7"/>
  </r>
  <r>
    <n v="10309"/>
    <x v="55"/>
    <n v="22.4"/>
    <n v="2"/>
    <x v="1"/>
  </r>
  <r>
    <n v="10310"/>
    <x v="56"/>
    <n v="139"/>
    <n v="10"/>
    <x v="3"/>
  </r>
  <r>
    <n v="10310"/>
    <x v="56"/>
    <n v="139"/>
    <n v="10"/>
    <x v="0"/>
  </r>
  <r>
    <n v="10310"/>
    <x v="56"/>
    <n v="197"/>
    <n v="5"/>
    <x v="0"/>
  </r>
  <r>
    <n v="10310"/>
    <x v="56"/>
    <n v="139"/>
    <n v="10"/>
    <x v="2"/>
  </r>
  <r>
    <n v="10310"/>
    <x v="56"/>
    <n v="197"/>
    <n v="5"/>
    <x v="2"/>
  </r>
  <r>
    <n v="10310"/>
    <x v="56"/>
    <n v="139"/>
    <n v="10"/>
    <x v="5"/>
  </r>
  <r>
    <n v="10310"/>
    <x v="56"/>
    <n v="197"/>
    <n v="5"/>
    <x v="5"/>
  </r>
  <r>
    <n v="10310"/>
    <x v="56"/>
    <n v="197"/>
    <n v="5"/>
    <x v="3"/>
  </r>
  <r>
    <n v="10310"/>
    <x v="56"/>
    <n v="139"/>
    <n v="10"/>
    <x v="4"/>
  </r>
  <r>
    <n v="10310"/>
    <x v="56"/>
    <n v="197"/>
    <n v="5"/>
    <x v="1"/>
  </r>
  <r>
    <n v="10310"/>
    <x v="56"/>
    <n v="139"/>
    <n v="10"/>
    <x v="1"/>
  </r>
  <r>
    <n v="10310"/>
    <x v="56"/>
    <n v="139"/>
    <n v="10"/>
    <x v="6"/>
  </r>
  <r>
    <n v="10310"/>
    <x v="56"/>
    <n v="197"/>
    <n v="5"/>
    <x v="6"/>
  </r>
  <r>
    <n v="10310"/>
    <x v="56"/>
    <n v="197"/>
    <n v="5"/>
    <x v="7"/>
  </r>
  <r>
    <n v="10310"/>
    <x v="56"/>
    <n v="139"/>
    <n v="10"/>
    <x v="7"/>
  </r>
  <r>
    <n v="10310"/>
    <x v="56"/>
    <n v="197"/>
    <n v="5"/>
    <x v="4"/>
  </r>
  <r>
    <n v="10311"/>
    <x v="56"/>
    <n v="67.2"/>
    <n v="6"/>
    <x v="4"/>
  </r>
  <r>
    <n v="10311"/>
    <x v="56"/>
    <n v="67.2"/>
    <n v="6"/>
    <x v="3"/>
  </r>
  <r>
    <n v="10311"/>
    <x v="56"/>
    <n v="201.6"/>
    <n v="7"/>
    <x v="3"/>
  </r>
  <r>
    <n v="10311"/>
    <x v="56"/>
    <n v="201.6"/>
    <n v="7"/>
    <x v="0"/>
  </r>
  <r>
    <n v="10311"/>
    <x v="56"/>
    <n v="67.2"/>
    <n v="6"/>
    <x v="0"/>
  </r>
  <r>
    <n v="10311"/>
    <x v="56"/>
    <n v="201.6"/>
    <n v="7"/>
    <x v="1"/>
  </r>
  <r>
    <n v="10311"/>
    <x v="56"/>
    <n v="201.6"/>
    <n v="7"/>
    <x v="4"/>
  </r>
  <r>
    <n v="10311"/>
    <x v="56"/>
    <n v="67.2"/>
    <n v="6"/>
    <x v="1"/>
  </r>
  <r>
    <n v="10311"/>
    <x v="56"/>
    <n v="67.2"/>
    <n v="6"/>
    <x v="7"/>
  </r>
  <r>
    <n v="10311"/>
    <x v="56"/>
    <n v="201.6"/>
    <n v="7"/>
    <x v="7"/>
  </r>
  <r>
    <n v="10311"/>
    <x v="56"/>
    <n v="67.2"/>
    <n v="6"/>
    <x v="6"/>
  </r>
  <r>
    <n v="10311"/>
    <x v="56"/>
    <n v="67.2"/>
    <n v="6"/>
    <x v="2"/>
  </r>
  <r>
    <n v="10311"/>
    <x v="56"/>
    <n v="201.6"/>
    <n v="7"/>
    <x v="2"/>
  </r>
  <r>
    <n v="10311"/>
    <x v="56"/>
    <n v="201.6"/>
    <n v="7"/>
    <x v="5"/>
  </r>
  <r>
    <n v="10311"/>
    <x v="56"/>
    <n v="67.2"/>
    <n v="6"/>
    <x v="5"/>
  </r>
  <r>
    <n v="10311"/>
    <x v="56"/>
    <n v="201.6"/>
    <n v="7"/>
    <x v="6"/>
  </r>
  <r>
    <n v="10312"/>
    <x v="57"/>
    <n v="62"/>
    <n v="10"/>
    <x v="6"/>
  </r>
  <r>
    <n v="10312"/>
    <x v="57"/>
    <n v="883.2"/>
    <n v="24"/>
    <x v="7"/>
  </r>
  <r>
    <n v="10312"/>
    <x v="57"/>
    <n v="145.6"/>
    <n v="4"/>
    <x v="7"/>
  </r>
  <r>
    <n v="10312"/>
    <x v="57"/>
    <n v="524"/>
    <n v="20"/>
    <x v="7"/>
  </r>
  <r>
    <n v="10312"/>
    <x v="57"/>
    <n v="883.2"/>
    <n v="24"/>
    <x v="6"/>
  </r>
  <r>
    <n v="10312"/>
    <x v="57"/>
    <n v="883.2"/>
    <n v="24"/>
    <x v="0"/>
  </r>
  <r>
    <n v="10312"/>
    <x v="57"/>
    <n v="145.6"/>
    <n v="4"/>
    <x v="4"/>
  </r>
  <r>
    <n v="10312"/>
    <x v="57"/>
    <n v="883.2"/>
    <n v="24"/>
    <x v="1"/>
  </r>
  <r>
    <n v="10312"/>
    <x v="57"/>
    <n v="883.2"/>
    <n v="24"/>
    <x v="4"/>
  </r>
  <r>
    <n v="10312"/>
    <x v="57"/>
    <n v="145.6"/>
    <n v="4"/>
    <x v="0"/>
  </r>
  <r>
    <n v="10312"/>
    <x v="57"/>
    <n v="524"/>
    <n v="20"/>
    <x v="6"/>
  </r>
  <r>
    <n v="10312"/>
    <x v="57"/>
    <n v="524"/>
    <n v="20"/>
    <x v="0"/>
  </r>
  <r>
    <n v="10312"/>
    <x v="57"/>
    <n v="62"/>
    <n v="10"/>
    <x v="0"/>
  </r>
  <r>
    <n v="10312"/>
    <x v="57"/>
    <n v="62"/>
    <n v="10"/>
    <x v="2"/>
  </r>
  <r>
    <n v="10312"/>
    <x v="57"/>
    <n v="524"/>
    <n v="20"/>
    <x v="2"/>
  </r>
  <r>
    <n v="10312"/>
    <x v="57"/>
    <n v="883.2"/>
    <n v="24"/>
    <x v="2"/>
  </r>
  <r>
    <n v="10312"/>
    <x v="57"/>
    <n v="145.6"/>
    <n v="4"/>
    <x v="2"/>
  </r>
  <r>
    <n v="10312"/>
    <x v="57"/>
    <n v="145.6"/>
    <n v="4"/>
    <x v="1"/>
  </r>
  <r>
    <n v="10312"/>
    <x v="57"/>
    <n v="62"/>
    <n v="10"/>
    <x v="1"/>
  </r>
  <r>
    <n v="10312"/>
    <x v="57"/>
    <n v="524"/>
    <n v="20"/>
    <x v="1"/>
  </r>
  <r>
    <n v="10312"/>
    <x v="57"/>
    <n v="62"/>
    <n v="10"/>
    <x v="7"/>
  </r>
  <r>
    <n v="10312"/>
    <x v="57"/>
    <n v="145.6"/>
    <n v="4"/>
    <x v="6"/>
  </r>
  <r>
    <n v="10312"/>
    <x v="57"/>
    <n v="62"/>
    <n v="10"/>
    <x v="3"/>
  </r>
  <r>
    <n v="10312"/>
    <x v="57"/>
    <n v="524"/>
    <n v="20"/>
    <x v="4"/>
  </r>
  <r>
    <n v="10312"/>
    <x v="57"/>
    <n v="145.6"/>
    <n v="4"/>
    <x v="3"/>
  </r>
  <r>
    <n v="10312"/>
    <x v="57"/>
    <n v="883.2"/>
    <n v="24"/>
    <x v="3"/>
  </r>
  <r>
    <n v="10312"/>
    <x v="57"/>
    <n v="883.2"/>
    <n v="24"/>
    <x v="5"/>
  </r>
  <r>
    <n v="10312"/>
    <x v="57"/>
    <n v="524"/>
    <n v="20"/>
    <x v="3"/>
  </r>
  <r>
    <n v="10312"/>
    <x v="57"/>
    <n v="145.6"/>
    <n v="4"/>
    <x v="5"/>
  </r>
  <r>
    <n v="10312"/>
    <x v="57"/>
    <n v="62"/>
    <n v="10"/>
    <x v="5"/>
  </r>
  <r>
    <n v="10312"/>
    <x v="57"/>
    <n v="524"/>
    <n v="20"/>
    <x v="5"/>
  </r>
  <r>
    <n v="10312"/>
    <x v="57"/>
    <n v="62"/>
    <n v="10"/>
    <x v="4"/>
  </r>
  <r>
    <n v="10313"/>
    <x v="58"/>
    <n v="182.4"/>
    <n v="12"/>
    <x v="6"/>
  </r>
  <r>
    <n v="10313"/>
    <x v="58"/>
    <n v="182.4"/>
    <n v="12"/>
    <x v="1"/>
  </r>
  <r>
    <n v="10313"/>
    <x v="58"/>
    <n v="182.4"/>
    <n v="12"/>
    <x v="0"/>
  </r>
  <r>
    <n v="10313"/>
    <x v="58"/>
    <n v="182.4"/>
    <n v="12"/>
    <x v="2"/>
  </r>
  <r>
    <n v="10313"/>
    <x v="58"/>
    <n v="182.4"/>
    <n v="12"/>
    <x v="4"/>
  </r>
  <r>
    <n v="10313"/>
    <x v="58"/>
    <n v="182.4"/>
    <n v="12"/>
    <x v="7"/>
  </r>
  <r>
    <n v="10313"/>
    <x v="58"/>
    <n v="182.4"/>
    <n v="12"/>
    <x v="3"/>
  </r>
  <r>
    <n v="10313"/>
    <x v="58"/>
    <n v="182.4"/>
    <n v="12"/>
    <x v="5"/>
  </r>
  <r>
    <n v="10314"/>
    <x v="59"/>
    <n v="921.59999847412109"/>
    <n v="40"/>
    <x v="2"/>
  </r>
  <r>
    <n v="10314"/>
    <x v="59"/>
    <n v="286.19999952614307"/>
    <n v="30"/>
    <x v="2"/>
  </r>
  <r>
    <n v="10314"/>
    <x v="59"/>
    <n v="286.19999952614307"/>
    <n v="30"/>
    <x v="3"/>
  </r>
  <r>
    <n v="10314"/>
    <x v="59"/>
    <n v="886.49999853223562"/>
    <n v="25"/>
    <x v="3"/>
  </r>
  <r>
    <n v="10314"/>
    <x v="59"/>
    <n v="886.49999853223562"/>
    <n v="25"/>
    <x v="5"/>
  </r>
  <r>
    <n v="10314"/>
    <x v="59"/>
    <n v="886.49999853223562"/>
    <n v="25"/>
    <x v="2"/>
  </r>
  <r>
    <n v="10314"/>
    <x v="59"/>
    <n v="921.59999847412109"/>
    <n v="40"/>
    <x v="5"/>
  </r>
  <r>
    <n v="10314"/>
    <x v="59"/>
    <n v="886.49999853223562"/>
    <n v="25"/>
    <x v="1"/>
  </r>
  <r>
    <n v="10314"/>
    <x v="59"/>
    <n v="286.19999952614307"/>
    <n v="30"/>
    <x v="1"/>
  </r>
  <r>
    <n v="10314"/>
    <x v="59"/>
    <n v="921.59999847412109"/>
    <n v="40"/>
    <x v="1"/>
  </r>
  <r>
    <n v="10314"/>
    <x v="59"/>
    <n v="286.19999952614307"/>
    <n v="30"/>
    <x v="5"/>
  </r>
  <r>
    <n v="10314"/>
    <x v="59"/>
    <n v="921.59999847412109"/>
    <n v="40"/>
    <x v="7"/>
  </r>
  <r>
    <n v="10314"/>
    <x v="59"/>
    <n v="921.59999847412109"/>
    <n v="40"/>
    <x v="4"/>
  </r>
  <r>
    <n v="10314"/>
    <x v="59"/>
    <n v="886.49999853223562"/>
    <n v="25"/>
    <x v="0"/>
  </r>
  <r>
    <n v="10314"/>
    <x v="59"/>
    <n v="286.19999952614307"/>
    <n v="30"/>
    <x v="0"/>
  </r>
  <r>
    <n v="10314"/>
    <x v="59"/>
    <n v="921.59999847412109"/>
    <n v="40"/>
    <x v="3"/>
  </r>
  <r>
    <n v="10314"/>
    <x v="59"/>
    <n v="886.49999853223562"/>
    <n v="25"/>
    <x v="7"/>
  </r>
  <r>
    <n v="10314"/>
    <x v="59"/>
    <n v="286.19999952614307"/>
    <n v="30"/>
    <x v="7"/>
  </r>
  <r>
    <n v="10314"/>
    <x v="59"/>
    <n v="886.49999853223562"/>
    <n v="25"/>
    <x v="6"/>
  </r>
  <r>
    <n v="10314"/>
    <x v="59"/>
    <n v="286.19999952614307"/>
    <n v="30"/>
    <x v="6"/>
  </r>
  <r>
    <n v="10314"/>
    <x v="59"/>
    <n v="921.59999847412109"/>
    <n v="40"/>
    <x v="6"/>
  </r>
  <r>
    <n v="10314"/>
    <x v="59"/>
    <n v="286.19999952614307"/>
    <n v="30"/>
    <x v="4"/>
  </r>
  <r>
    <n v="10314"/>
    <x v="59"/>
    <n v="921.59999847412109"/>
    <n v="40"/>
    <x v="0"/>
  </r>
  <r>
    <n v="10314"/>
    <x v="59"/>
    <n v="886.49999853223562"/>
    <n v="25"/>
    <x v="4"/>
  </r>
  <r>
    <n v="10315"/>
    <x v="60"/>
    <n v="360"/>
    <n v="30"/>
    <x v="1"/>
  </r>
  <r>
    <n v="10315"/>
    <x v="60"/>
    <n v="360"/>
    <n v="30"/>
    <x v="4"/>
  </r>
  <r>
    <n v="10315"/>
    <x v="60"/>
    <n v="156.80000000000001"/>
    <n v="14"/>
    <x v="2"/>
  </r>
  <r>
    <n v="10315"/>
    <x v="60"/>
    <n v="360"/>
    <n v="30"/>
    <x v="3"/>
  </r>
  <r>
    <n v="10315"/>
    <x v="60"/>
    <n v="156.80000000000001"/>
    <n v="14"/>
    <x v="3"/>
  </r>
  <r>
    <n v="10315"/>
    <x v="60"/>
    <n v="360"/>
    <n v="30"/>
    <x v="2"/>
  </r>
  <r>
    <n v="10315"/>
    <x v="60"/>
    <n v="156.80000000000001"/>
    <n v="14"/>
    <x v="4"/>
  </r>
  <r>
    <n v="10315"/>
    <x v="60"/>
    <n v="156.80000000000001"/>
    <n v="14"/>
    <x v="7"/>
  </r>
  <r>
    <n v="10315"/>
    <x v="60"/>
    <n v="360"/>
    <n v="30"/>
    <x v="6"/>
  </r>
  <r>
    <n v="10315"/>
    <x v="60"/>
    <n v="156.80000000000001"/>
    <n v="14"/>
    <x v="0"/>
  </r>
  <r>
    <n v="10315"/>
    <x v="60"/>
    <n v="360"/>
    <n v="30"/>
    <x v="0"/>
  </r>
  <r>
    <n v="10315"/>
    <x v="60"/>
    <n v="156.80000000000001"/>
    <n v="14"/>
    <x v="6"/>
  </r>
  <r>
    <n v="10315"/>
    <x v="60"/>
    <n v="360"/>
    <n v="30"/>
    <x v="7"/>
  </r>
  <r>
    <n v="10315"/>
    <x v="60"/>
    <n v="360"/>
    <n v="30"/>
    <x v="5"/>
  </r>
  <r>
    <n v="10315"/>
    <x v="60"/>
    <n v="156.80000000000001"/>
    <n v="14"/>
    <x v="5"/>
  </r>
  <r>
    <n v="10315"/>
    <x v="60"/>
    <n v="156.80000000000001"/>
    <n v="14"/>
    <x v="1"/>
  </r>
  <r>
    <n v="10316"/>
    <x v="61"/>
    <n v="77"/>
    <n v="10"/>
    <x v="5"/>
  </r>
  <r>
    <n v="10316"/>
    <x v="61"/>
    <n v="2758"/>
    <n v="70"/>
    <x v="5"/>
  </r>
  <r>
    <n v="10316"/>
    <x v="61"/>
    <n v="2758"/>
    <n v="70"/>
    <x v="4"/>
  </r>
  <r>
    <n v="10316"/>
    <x v="61"/>
    <n v="77"/>
    <n v="10"/>
    <x v="6"/>
  </r>
  <r>
    <n v="10316"/>
    <x v="61"/>
    <n v="77"/>
    <n v="10"/>
    <x v="3"/>
  </r>
  <r>
    <n v="10316"/>
    <x v="61"/>
    <n v="2758"/>
    <n v="70"/>
    <x v="3"/>
  </r>
  <r>
    <n v="10316"/>
    <x v="61"/>
    <n v="77"/>
    <n v="10"/>
    <x v="7"/>
  </r>
  <r>
    <n v="10316"/>
    <x v="61"/>
    <n v="77"/>
    <n v="10"/>
    <x v="1"/>
  </r>
  <r>
    <n v="10316"/>
    <x v="61"/>
    <n v="2758"/>
    <n v="70"/>
    <x v="6"/>
  </r>
  <r>
    <n v="10316"/>
    <x v="61"/>
    <n v="2758"/>
    <n v="70"/>
    <x v="2"/>
  </r>
  <r>
    <n v="10316"/>
    <x v="61"/>
    <n v="77"/>
    <n v="10"/>
    <x v="2"/>
  </r>
  <r>
    <n v="10316"/>
    <x v="61"/>
    <n v="77"/>
    <n v="10"/>
    <x v="4"/>
  </r>
  <r>
    <n v="10316"/>
    <x v="61"/>
    <n v="2758"/>
    <n v="70"/>
    <x v="1"/>
  </r>
  <r>
    <n v="10316"/>
    <x v="61"/>
    <n v="2758"/>
    <n v="70"/>
    <x v="7"/>
  </r>
  <r>
    <n v="10316"/>
    <x v="61"/>
    <n v="2758"/>
    <n v="70"/>
    <x v="0"/>
  </r>
  <r>
    <n v="10316"/>
    <x v="61"/>
    <n v="77"/>
    <n v="10"/>
    <x v="0"/>
  </r>
  <r>
    <n v="10317"/>
    <x v="62"/>
    <n v="288"/>
    <n v="20"/>
    <x v="0"/>
  </r>
  <r>
    <n v="10317"/>
    <x v="62"/>
    <n v="288"/>
    <n v="20"/>
    <x v="1"/>
  </r>
  <r>
    <n v="10317"/>
    <x v="62"/>
    <n v="288"/>
    <n v="20"/>
    <x v="5"/>
  </r>
  <r>
    <n v="10317"/>
    <x v="62"/>
    <n v="288"/>
    <n v="20"/>
    <x v="4"/>
  </r>
  <r>
    <n v="10317"/>
    <x v="62"/>
    <n v="288"/>
    <n v="20"/>
    <x v="6"/>
  </r>
  <r>
    <n v="10317"/>
    <x v="62"/>
    <n v="288"/>
    <n v="20"/>
    <x v="7"/>
  </r>
  <r>
    <n v="10317"/>
    <x v="62"/>
    <n v="288"/>
    <n v="20"/>
    <x v="2"/>
  </r>
  <r>
    <n v="10317"/>
    <x v="62"/>
    <n v="288"/>
    <n v="20"/>
    <x v="3"/>
  </r>
  <r>
    <n v="10318"/>
    <x v="63"/>
    <n v="154"/>
    <n v="20"/>
    <x v="3"/>
  </r>
  <r>
    <n v="10318"/>
    <x v="63"/>
    <n v="154"/>
    <n v="20"/>
    <x v="5"/>
  </r>
  <r>
    <n v="10318"/>
    <x v="63"/>
    <n v="86.4"/>
    <n v="6"/>
    <x v="7"/>
  </r>
  <r>
    <n v="10318"/>
    <x v="63"/>
    <n v="154"/>
    <n v="20"/>
    <x v="0"/>
  </r>
  <r>
    <n v="10318"/>
    <x v="63"/>
    <n v="86.4"/>
    <n v="6"/>
    <x v="0"/>
  </r>
  <r>
    <n v="10318"/>
    <x v="63"/>
    <n v="86.4"/>
    <n v="6"/>
    <x v="1"/>
  </r>
  <r>
    <n v="10318"/>
    <x v="63"/>
    <n v="154"/>
    <n v="20"/>
    <x v="4"/>
  </r>
  <r>
    <n v="10318"/>
    <x v="63"/>
    <n v="154"/>
    <n v="20"/>
    <x v="7"/>
  </r>
  <r>
    <n v="10318"/>
    <x v="63"/>
    <n v="86.4"/>
    <n v="6"/>
    <x v="5"/>
  </r>
  <r>
    <n v="10318"/>
    <x v="63"/>
    <n v="86.4"/>
    <n v="6"/>
    <x v="4"/>
  </r>
  <r>
    <n v="10318"/>
    <x v="63"/>
    <n v="154"/>
    <n v="20"/>
    <x v="2"/>
  </r>
  <r>
    <n v="10318"/>
    <x v="63"/>
    <n v="86.4"/>
    <n v="6"/>
    <x v="2"/>
  </r>
  <r>
    <n v="10318"/>
    <x v="63"/>
    <n v="86.4"/>
    <n v="6"/>
    <x v="3"/>
  </r>
  <r>
    <n v="10318"/>
    <x v="63"/>
    <n v="86.4"/>
    <n v="6"/>
    <x v="6"/>
  </r>
  <r>
    <n v="10318"/>
    <x v="63"/>
    <n v="154"/>
    <n v="20"/>
    <x v="6"/>
  </r>
  <r>
    <n v="10318"/>
    <x v="63"/>
    <n v="154"/>
    <n v="20"/>
    <x v="1"/>
  </r>
  <r>
    <n v="10319"/>
    <x v="64"/>
    <n v="249.6"/>
    <n v="8"/>
    <x v="4"/>
  </r>
  <r>
    <n v="10319"/>
    <x v="64"/>
    <n v="509.6"/>
    <n v="14"/>
    <x v="2"/>
  </r>
  <r>
    <n v="10319"/>
    <x v="64"/>
    <n v="432"/>
    <n v="30"/>
    <x v="2"/>
  </r>
  <r>
    <n v="10319"/>
    <x v="64"/>
    <n v="249.6"/>
    <n v="8"/>
    <x v="5"/>
  </r>
  <r>
    <n v="10319"/>
    <x v="64"/>
    <n v="509.6"/>
    <n v="14"/>
    <x v="0"/>
  </r>
  <r>
    <n v="10319"/>
    <x v="64"/>
    <n v="509.6"/>
    <n v="14"/>
    <x v="7"/>
  </r>
  <r>
    <n v="10319"/>
    <x v="64"/>
    <n v="249.6"/>
    <n v="8"/>
    <x v="0"/>
  </r>
  <r>
    <n v="10319"/>
    <x v="64"/>
    <n v="249.6"/>
    <n v="8"/>
    <x v="7"/>
  </r>
  <r>
    <n v="10319"/>
    <x v="64"/>
    <n v="509.6"/>
    <n v="14"/>
    <x v="5"/>
  </r>
  <r>
    <n v="10319"/>
    <x v="64"/>
    <n v="432"/>
    <n v="30"/>
    <x v="5"/>
  </r>
  <r>
    <n v="10319"/>
    <x v="64"/>
    <n v="432"/>
    <n v="30"/>
    <x v="7"/>
  </r>
  <r>
    <n v="10319"/>
    <x v="64"/>
    <n v="432"/>
    <n v="30"/>
    <x v="0"/>
  </r>
  <r>
    <n v="10319"/>
    <x v="64"/>
    <n v="249.6"/>
    <n v="8"/>
    <x v="2"/>
  </r>
  <r>
    <n v="10319"/>
    <x v="64"/>
    <n v="509.6"/>
    <n v="14"/>
    <x v="6"/>
  </r>
  <r>
    <n v="10319"/>
    <x v="64"/>
    <n v="249.6"/>
    <n v="8"/>
    <x v="6"/>
  </r>
  <r>
    <n v="10319"/>
    <x v="64"/>
    <n v="249.6"/>
    <n v="8"/>
    <x v="3"/>
  </r>
  <r>
    <n v="10319"/>
    <x v="64"/>
    <n v="509.6"/>
    <n v="14"/>
    <x v="3"/>
  </r>
  <r>
    <n v="10319"/>
    <x v="64"/>
    <n v="432"/>
    <n v="30"/>
    <x v="6"/>
  </r>
  <r>
    <n v="10319"/>
    <x v="64"/>
    <n v="509.6"/>
    <n v="14"/>
    <x v="4"/>
  </r>
  <r>
    <n v="10319"/>
    <x v="64"/>
    <n v="432"/>
    <n v="30"/>
    <x v="3"/>
  </r>
  <r>
    <n v="10319"/>
    <x v="64"/>
    <n v="249.6"/>
    <n v="8"/>
    <x v="1"/>
  </r>
  <r>
    <n v="10319"/>
    <x v="64"/>
    <n v="509.6"/>
    <n v="14"/>
    <x v="1"/>
  </r>
  <r>
    <n v="10319"/>
    <x v="64"/>
    <n v="432"/>
    <n v="30"/>
    <x v="1"/>
  </r>
  <r>
    <n v="10319"/>
    <x v="64"/>
    <n v="432"/>
    <n v="30"/>
    <x v="4"/>
  </r>
  <r>
    <n v="10320"/>
    <x v="65"/>
    <n v="516"/>
    <n v="30"/>
    <x v="7"/>
  </r>
  <r>
    <n v="10320"/>
    <x v="65"/>
    <n v="516"/>
    <n v="30"/>
    <x v="1"/>
  </r>
  <r>
    <n v="10320"/>
    <x v="65"/>
    <n v="516"/>
    <n v="30"/>
    <x v="3"/>
  </r>
  <r>
    <n v="10320"/>
    <x v="65"/>
    <n v="516"/>
    <n v="30"/>
    <x v="2"/>
  </r>
  <r>
    <n v="10320"/>
    <x v="65"/>
    <n v="516"/>
    <n v="30"/>
    <x v="0"/>
  </r>
  <r>
    <n v="10320"/>
    <x v="65"/>
    <n v="516"/>
    <n v="30"/>
    <x v="4"/>
  </r>
  <r>
    <n v="10320"/>
    <x v="65"/>
    <n v="516"/>
    <n v="30"/>
    <x v="5"/>
  </r>
  <r>
    <n v="10320"/>
    <x v="65"/>
    <n v="516"/>
    <n v="30"/>
    <x v="6"/>
  </r>
  <r>
    <n v="10321"/>
    <x v="65"/>
    <n v="144"/>
    <n v="10"/>
    <x v="0"/>
  </r>
  <r>
    <n v="10321"/>
    <x v="65"/>
    <n v="144"/>
    <n v="10"/>
    <x v="6"/>
  </r>
  <r>
    <n v="10321"/>
    <x v="65"/>
    <n v="144"/>
    <n v="10"/>
    <x v="2"/>
  </r>
  <r>
    <n v="10321"/>
    <x v="65"/>
    <n v="144"/>
    <n v="10"/>
    <x v="1"/>
  </r>
  <r>
    <n v="10321"/>
    <x v="65"/>
    <n v="144"/>
    <n v="10"/>
    <x v="5"/>
  </r>
  <r>
    <n v="10321"/>
    <x v="65"/>
    <n v="144"/>
    <n v="10"/>
    <x v="4"/>
  </r>
  <r>
    <n v="10321"/>
    <x v="65"/>
    <n v="144"/>
    <n v="10"/>
    <x v="3"/>
  </r>
  <r>
    <n v="10321"/>
    <x v="65"/>
    <n v="144"/>
    <n v="10"/>
    <x v="7"/>
  </r>
  <r>
    <n v="10322"/>
    <x v="66"/>
    <n v="112"/>
    <n v="20"/>
    <x v="1"/>
  </r>
  <r>
    <n v="10322"/>
    <x v="66"/>
    <n v="112"/>
    <n v="20"/>
    <x v="5"/>
  </r>
  <r>
    <n v="10322"/>
    <x v="66"/>
    <n v="112"/>
    <n v="20"/>
    <x v="4"/>
  </r>
  <r>
    <n v="10322"/>
    <x v="66"/>
    <n v="112"/>
    <n v="20"/>
    <x v="6"/>
  </r>
  <r>
    <n v="10322"/>
    <x v="66"/>
    <n v="112"/>
    <n v="20"/>
    <x v="3"/>
  </r>
  <r>
    <n v="10322"/>
    <x v="66"/>
    <n v="112"/>
    <n v="20"/>
    <x v="2"/>
  </r>
  <r>
    <n v="10322"/>
    <x v="66"/>
    <n v="112"/>
    <n v="20"/>
    <x v="0"/>
  </r>
  <r>
    <n v="10322"/>
    <x v="66"/>
    <n v="112"/>
    <n v="20"/>
    <x v="7"/>
  </r>
  <r>
    <n v="10323"/>
    <x v="67"/>
    <n v="57.6"/>
    <n v="4"/>
    <x v="5"/>
  </r>
  <r>
    <n v="10323"/>
    <x v="67"/>
    <n v="44.8"/>
    <n v="4"/>
    <x v="5"/>
  </r>
  <r>
    <n v="10323"/>
    <x v="67"/>
    <n v="62"/>
    <n v="5"/>
    <x v="5"/>
  </r>
  <r>
    <n v="10323"/>
    <x v="67"/>
    <n v="57.6"/>
    <n v="4"/>
    <x v="2"/>
  </r>
  <r>
    <n v="10323"/>
    <x v="67"/>
    <n v="44.8"/>
    <n v="4"/>
    <x v="6"/>
  </r>
  <r>
    <n v="10323"/>
    <x v="67"/>
    <n v="57.6"/>
    <n v="4"/>
    <x v="6"/>
  </r>
  <r>
    <n v="10323"/>
    <x v="67"/>
    <n v="62"/>
    <n v="5"/>
    <x v="3"/>
  </r>
  <r>
    <n v="10323"/>
    <x v="67"/>
    <n v="62"/>
    <n v="5"/>
    <x v="2"/>
  </r>
  <r>
    <n v="10323"/>
    <x v="67"/>
    <n v="62"/>
    <n v="5"/>
    <x v="7"/>
  </r>
  <r>
    <n v="10323"/>
    <x v="67"/>
    <n v="44.8"/>
    <n v="4"/>
    <x v="3"/>
  </r>
  <r>
    <n v="10323"/>
    <x v="67"/>
    <n v="57.6"/>
    <n v="4"/>
    <x v="3"/>
  </r>
  <r>
    <n v="10323"/>
    <x v="67"/>
    <n v="62"/>
    <n v="5"/>
    <x v="6"/>
  </r>
  <r>
    <n v="10323"/>
    <x v="67"/>
    <n v="62"/>
    <n v="5"/>
    <x v="0"/>
  </r>
  <r>
    <n v="10323"/>
    <x v="67"/>
    <n v="62"/>
    <n v="5"/>
    <x v="4"/>
  </r>
  <r>
    <n v="10323"/>
    <x v="67"/>
    <n v="44.8"/>
    <n v="4"/>
    <x v="4"/>
  </r>
  <r>
    <n v="10323"/>
    <x v="67"/>
    <n v="57.6"/>
    <n v="4"/>
    <x v="7"/>
  </r>
  <r>
    <n v="10323"/>
    <x v="67"/>
    <n v="44.8"/>
    <n v="4"/>
    <x v="7"/>
  </r>
  <r>
    <n v="10323"/>
    <x v="67"/>
    <n v="57.6"/>
    <n v="4"/>
    <x v="4"/>
  </r>
  <r>
    <n v="10323"/>
    <x v="67"/>
    <n v="44.8"/>
    <n v="4"/>
    <x v="2"/>
  </r>
  <r>
    <n v="10323"/>
    <x v="67"/>
    <n v="44.8"/>
    <n v="4"/>
    <x v="0"/>
  </r>
  <r>
    <n v="10323"/>
    <x v="67"/>
    <n v="57.6"/>
    <n v="4"/>
    <x v="1"/>
  </r>
  <r>
    <n v="10323"/>
    <x v="67"/>
    <n v="44.8"/>
    <n v="4"/>
    <x v="1"/>
  </r>
  <r>
    <n v="10323"/>
    <x v="67"/>
    <n v="62"/>
    <n v="5"/>
    <x v="1"/>
  </r>
  <r>
    <n v="10323"/>
    <x v="67"/>
    <n v="57.6"/>
    <n v="4"/>
    <x v="0"/>
  </r>
  <r>
    <n v="10324"/>
    <x v="68"/>
    <n v="2386.7999832630157"/>
    <n v="80"/>
    <x v="5"/>
  </r>
  <r>
    <n v="10324"/>
    <x v="68"/>
    <n v="1495.9999895095825"/>
    <n v="40"/>
    <x v="5"/>
  </r>
  <r>
    <n v="10324"/>
    <x v="68"/>
    <n v="288"/>
    <n v="30"/>
    <x v="5"/>
  </r>
  <r>
    <n v="10324"/>
    <x v="68"/>
    <n v="856.79999399185181"/>
    <n v="70"/>
    <x v="5"/>
  </r>
  <r>
    <n v="10324"/>
    <x v="68"/>
    <n v="248.1149982601404"/>
    <n v="21"/>
    <x v="5"/>
  </r>
  <r>
    <n v="10324"/>
    <x v="68"/>
    <n v="2386.7999832630157"/>
    <n v="80"/>
    <x v="3"/>
  </r>
  <r>
    <n v="10324"/>
    <x v="68"/>
    <n v="1495.9999895095825"/>
    <n v="40"/>
    <x v="3"/>
  </r>
  <r>
    <n v="10324"/>
    <x v="68"/>
    <n v="288"/>
    <n v="30"/>
    <x v="3"/>
  </r>
  <r>
    <n v="10324"/>
    <x v="68"/>
    <n v="856.79999399185181"/>
    <n v="70"/>
    <x v="3"/>
  </r>
  <r>
    <n v="10324"/>
    <x v="68"/>
    <n v="856.79999399185181"/>
    <n v="70"/>
    <x v="4"/>
  </r>
  <r>
    <n v="10324"/>
    <x v="68"/>
    <n v="288"/>
    <n v="30"/>
    <x v="4"/>
  </r>
  <r>
    <n v="10324"/>
    <x v="68"/>
    <n v="248.1149982601404"/>
    <n v="21"/>
    <x v="3"/>
  </r>
  <r>
    <n v="10324"/>
    <x v="68"/>
    <n v="1495.9999895095825"/>
    <n v="40"/>
    <x v="7"/>
  </r>
  <r>
    <n v="10324"/>
    <x v="68"/>
    <n v="248.1149982601404"/>
    <n v="21"/>
    <x v="6"/>
  </r>
  <r>
    <n v="10324"/>
    <x v="68"/>
    <n v="856.79999399185181"/>
    <n v="70"/>
    <x v="6"/>
  </r>
  <r>
    <n v="10324"/>
    <x v="68"/>
    <n v="288"/>
    <n v="30"/>
    <x v="6"/>
  </r>
  <r>
    <n v="10324"/>
    <x v="68"/>
    <n v="1495.9999895095825"/>
    <n v="40"/>
    <x v="6"/>
  </r>
  <r>
    <n v="10324"/>
    <x v="68"/>
    <n v="2386.7999832630157"/>
    <n v="80"/>
    <x v="6"/>
  </r>
  <r>
    <n v="10324"/>
    <x v="68"/>
    <n v="1495.9999895095825"/>
    <n v="40"/>
    <x v="4"/>
  </r>
  <r>
    <n v="10324"/>
    <x v="68"/>
    <n v="248.1149982601404"/>
    <n v="21"/>
    <x v="4"/>
  </r>
  <r>
    <n v="10324"/>
    <x v="68"/>
    <n v="856.79999399185181"/>
    <n v="70"/>
    <x v="0"/>
  </r>
  <r>
    <n v="10324"/>
    <x v="68"/>
    <n v="2386.7999832630157"/>
    <n v="80"/>
    <x v="1"/>
  </r>
  <r>
    <n v="10324"/>
    <x v="68"/>
    <n v="288"/>
    <n v="30"/>
    <x v="1"/>
  </r>
  <r>
    <n v="10324"/>
    <x v="68"/>
    <n v="856.79999399185181"/>
    <n v="70"/>
    <x v="1"/>
  </r>
  <r>
    <n v="10324"/>
    <x v="68"/>
    <n v="248.1149982601404"/>
    <n v="21"/>
    <x v="1"/>
  </r>
  <r>
    <n v="10324"/>
    <x v="68"/>
    <n v="2386.7999832630157"/>
    <n v="80"/>
    <x v="4"/>
  </r>
  <r>
    <n v="10324"/>
    <x v="68"/>
    <n v="2386.7999832630157"/>
    <n v="80"/>
    <x v="0"/>
  </r>
  <r>
    <n v="10324"/>
    <x v="68"/>
    <n v="248.1149982601404"/>
    <n v="21"/>
    <x v="2"/>
  </r>
  <r>
    <n v="10324"/>
    <x v="68"/>
    <n v="856.79999399185181"/>
    <n v="70"/>
    <x v="2"/>
  </r>
  <r>
    <n v="10324"/>
    <x v="68"/>
    <n v="288"/>
    <n v="30"/>
    <x v="2"/>
  </r>
  <r>
    <n v="10324"/>
    <x v="68"/>
    <n v="1495.9999895095825"/>
    <n v="40"/>
    <x v="2"/>
  </r>
  <r>
    <n v="10324"/>
    <x v="68"/>
    <n v="248.1149982601404"/>
    <n v="21"/>
    <x v="0"/>
  </r>
  <r>
    <n v="10324"/>
    <x v="68"/>
    <n v="288"/>
    <n v="30"/>
    <x v="0"/>
  </r>
  <r>
    <n v="10324"/>
    <x v="68"/>
    <n v="1495.9999895095825"/>
    <n v="40"/>
    <x v="0"/>
  </r>
  <r>
    <n v="10324"/>
    <x v="68"/>
    <n v="248.1149982601404"/>
    <n v="21"/>
    <x v="7"/>
  </r>
  <r>
    <n v="10324"/>
    <x v="68"/>
    <n v="856.79999399185181"/>
    <n v="70"/>
    <x v="7"/>
  </r>
  <r>
    <n v="10324"/>
    <x v="68"/>
    <n v="288"/>
    <n v="30"/>
    <x v="7"/>
  </r>
  <r>
    <n v="10324"/>
    <x v="68"/>
    <n v="2386.7999832630157"/>
    <n v="80"/>
    <x v="7"/>
  </r>
  <r>
    <n v="10324"/>
    <x v="68"/>
    <n v="1495.9999895095825"/>
    <n v="40"/>
    <x v="1"/>
  </r>
  <r>
    <n v="10324"/>
    <x v="68"/>
    <n v="2386.7999832630157"/>
    <n v="80"/>
    <x v="2"/>
  </r>
  <r>
    <n v="10325"/>
    <x v="69"/>
    <n v="40"/>
    <n v="4"/>
    <x v="3"/>
  </r>
  <r>
    <n v="10325"/>
    <x v="69"/>
    <n v="1112"/>
    <n v="40"/>
    <x v="3"/>
  </r>
  <r>
    <n v="10325"/>
    <x v="69"/>
    <n v="57.6"/>
    <n v="12"/>
    <x v="7"/>
  </r>
  <r>
    <n v="10325"/>
    <x v="69"/>
    <n v="57.6"/>
    <n v="12"/>
    <x v="3"/>
  </r>
  <r>
    <n v="10325"/>
    <x v="69"/>
    <n v="167.4"/>
    <n v="9"/>
    <x v="3"/>
  </r>
  <r>
    <n v="10325"/>
    <x v="69"/>
    <n v="120"/>
    <n v="6"/>
    <x v="3"/>
  </r>
  <r>
    <n v="10325"/>
    <x v="69"/>
    <n v="1112"/>
    <n v="40"/>
    <x v="7"/>
  </r>
  <r>
    <n v="10325"/>
    <x v="69"/>
    <n v="167.4"/>
    <n v="9"/>
    <x v="7"/>
  </r>
  <r>
    <n v="10325"/>
    <x v="69"/>
    <n v="120"/>
    <n v="6"/>
    <x v="7"/>
  </r>
  <r>
    <n v="10325"/>
    <x v="69"/>
    <n v="40"/>
    <n v="4"/>
    <x v="7"/>
  </r>
  <r>
    <n v="10325"/>
    <x v="69"/>
    <n v="57.6"/>
    <n v="12"/>
    <x v="4"/>
  </r>
  <r>
    <n v="10325"/>
    <x v="69"/>
    <n v="57.6"/>
    <n v="12"/>
    <x v="1"/>
  </r>
  <r>
    <n v="10325"/>
    <x v="69"/>
    <n v="120"/>
    <n v="6"/>
    <x v="0"/>
  </r>
  <r>
    <n v="10325"/>
    <x v="69"/>
    <n v="57.6"/>
    <n v="12"/>
    <x v="0"/>
  </r>
  <r>
    <n v="10325"/>
    <x v="69"/>
    <n v="120"/>
    <n v="6"/>
    <x v="6"/>
  </r>
  <r>
    <n v="10325"/>
    <x v="69"/>
    <n v="167.4"/>
    <n v="9"/>
    <x v="0"/>
  </r>
  <r>
    <n v="10325"/>
    <x v="69"/>
    <n v="40"/>
    <n v="4"/>
    <x v="0"/>
  </r>
  <r>
    <n v="10325"/>
    <x v="69"/>
    <n v="57.6"/>
    <n v="12"/>
    <x v="6"/>
  </r>
  <r>
    <n v="10325"/>
    <x v="69"/>
    <n v="120"/>
    <n v="6"/>
    <x v="4"/>
  </r>
  <r>
    <n v="10325"/>
    <x v="69"/>
    <n v="120"/>
    <n v="6"/>
    <x v="2"/>
  </r>
  <r>
    <n v="10325"/>
    <x v="69"/>
    <n v="167.4"/>
    <n v="9"/>
    <x v="4"/>
  </r>
  <r>
    <n v="10325"/>
    <x v="69"/>
    <n v="40"/>
    <n v="4"/>
    <x v="4"/>
  </r>
  <r>
    <n v="10325"/>
    <x v="69"/>
    <n v="1112"/>
    <n v="40"/>
    <x v="4"/>
  </r>
  <r>
    <n v="10325"/>
    <x v="69"/>
    <n v="167.4"/>
    <n v="9"/>
    <x v="6"/>
  </r>
  <r>
    <n v="10325"/>
    <x v="69"/>
    <n v="120"/>
    <n v="6"/>
    <x v="5"/>
  </r>
  <r>
    <n v="10325"/>
    <x v="69"/>
    <n v="40"/>
    <n v="4"/>
    <x v="6"/>
  </r>
  <r>
    <n v="10325"/>
    <x v="69"/>
    <n v="1112"/>
    <n v="40"/>
    <x v="0"/>
  </r>
  <r>
    <n v="10325"/>
    <x v="69"/>
    <n v="1112"/>
    <n v="40"/>
    <x v="6"/>
  </r>
  <r>
    <n v="10325"/>
    <x v="69"/>
    <n v="167.4"/>
    <n v="9"/>
    <x v="2"/>
  </r>
  <r>
    <n v="10325"/>
    <x v="69"/>
    <n v="40"/>
    <n v="4"/>
    <x v="2"/>
  </r>
  <r>
    <n v="10325"/>
    <x v="69"/>
    <n v="1112"/>
    <n v="40"/>
    <x v="2"/>
  </r>
  <r>
    <n v="10325"/>
    <x v="69"/>
    <n v="167.4"/>
    <n v="9"/>
    <x v="1"/>
  </r>
  <r>
    <n v="10325"/>
    <x v="69"/>
    <n v="40"/>
    <n v="4"/>
    <x v="1"/>
  </r>
  <r>
    <n v="10325"/>
    <x v="69"/>
    <n v="1112"/>
    <n v="40"/>
    <x v="1"/>
  </r>
  <r>
    <n v="10325"/>
    <x v="69"/>
    <n v="57.6"/>
    <n v="12"/>
    <x v="5"/>
  </r>
  <r>
    <n v="10325"/>
    <x v="69"/>
    <n v="167.4"/>
    <n v="9"/>
    <x v="5"/>
  </r>
  <r>
    <n v="10325"/>
    <x v="69"/>
    <n v="57.6"/>
    <n v="12"/>
    <x v="2"/>
  </r>
  <r>
    <n v="10325"/>
    <x v="69"/>
    <n v="120"/>
    <n v="6"/>
    <x v="1"/>
  </r>
  <r>
    <n v="10325"/>
    <x v="69"/>
    <n v="1112"/>
    <n v="40"/>
    <x v="5"/>
  </r>
  <r>
    <n v="10325"/>
    <x v="69"/>
    <n v="40"/>
    <n v="4"/>
    <x v="5"/>
  </r>
  <r>
    <n v="10326"/>
    <x v="70"/>
    <n v="310"/>
    <n v="50"/>
    <x v="4"/>
  </r>
  <r>
    <n v="10326"/>
    <x v="70"/>
    <n v="249.6"/>
    <n v="16"/>
    <x v="4"/>
  </r>
  <r>
    <n v="10326"/>
    <x v="70"/>
    <n v="422.4"/>
    <n v="24"/>
    <x v="4"/>
  </r>
  <r>
    <n v="10326"/>
    <x v="70"/>
    <n v="249.6"/>
    <n v="16"/>
    <x v="6"/>
  </r>
  <r>
    <n v="10326"/>
    <x v="70"/>
    <n v="310"/>
    <n v="50"/>
    <x v="0"/>
  </r>
  <r>
    <n v="10326"/>
    <x v="70"/>
    <n v="249.6"/>
    <n v="16"/>
    <x v="1"/>
  </r>
  <r>
    <n v="10326"/>
    <x v="70"/>
    <n v="422.4"/>
    <n v="24"/>
    <x v="1"/>
  </r>
  <r>
    <n v="10326"/>
    <x v="70"/>
    <n v="422.4"/>
    <n v="24"/>
    <x v="6"/>
  </r>
  <r>
    <n v="10326"/>
    <x v="70"/>
    <n v="310"/>
    <n v="50"/>
    <x v="5"/>
  </r>
  <r>
    <n v="10326"/>
    <x v="70"/>
    <n v="422.4"/>
    <n v="24"/>
    <x v="5"/>
  </r>
  <r>
    <n v="10326"/>
    <x v="70"/>
    <n v="249.6"/>
    <n v="16"/>
    <x v="5"/>
  </r>
  <r>
    <n v="10326"/>
    <x v="70"/>
    <n v="310"/>
    <n v="50"/>
    <x v="3"/>
  </r>
  <r>
    <n v="10326"/>
    <x v="70"/>
    <n v="310"/>
    <n v="50"/>
    <x v="2"/>
  </r>
  <r>
    <n v="10326"/>
    <x v="70"/>
    <n v="422.4"/>
    <n v="24"/>
    <x v="3"/>
  </r>
  <r>
    <n v="10326"/>
    <x v="70"/>
    <n v="422.4"/>
    <n v="24"/>
    <x v="2"/>
  </r>
  <r>
    <n v="10326"/>
    <x v="70"/>
    <n v="310"/>
    <n v="50"/>
    <x v="7"/>
  </r>
  <r>
    <n v="10326"/>
    <x v="70"/>
    <n v="310"/>
    <n v="50"/>
    <x v="1"/>
  </r>
  <r>
    <n v="10326"/>
    <x v="70"/>
    <n v="422.4"/>
    <n v="24"/>
    <x v="0"/>
  </r>
  <r>
    <n v="10326"/>
    <x v="70"/>
    <n v="249.6"/>
    <n v="16"/>
    <x v="0"/>
  </r>
  <r>
    <n v="10326"/>
    <x v="70"/>
    <n v="249.6"/>
    <n v="16"/>
    <x v="3"/>
  </r>
  <r>
    <n v="10326"/>
    <x v="70"/>
    <n v="310"/>
    <n v="50"/>
    <x v="6"/>
  </r>
  <r>
    <n v="10326"/>
    <x v="70"/>
    <n v="422.4"/>
    <n v="24"/>
    <x v="7"/>
  </r>
  <r>
    <n v="10326"/>
    <x v="70"/>
    <n v="249.6"/>
    <n v="16"/>
    <x v="7"/>
  </r>
  <r>
    <n v="10326"/>
    <x v="70"/>
    <n v="249.6"/>
    <n v="16"/>
    <x v="2"/>
  </r>
  <r>
    <n v="10327"/>
    <x v="71"/>
    <n v="579.59999784082174"/>
    <n v="35"/>
    <x v="4"/>
  </r>
  <r>
    <n v="10327"/>
    <x v="71"/>
    <n v="303.99999886751175"/>
    <n v="25"/>
    <x v="3"/>
  </r>
  <r>
    <n v="10327"/>
    <x v="71"/>
    <n v="671.99999749660492"/>
    <n v="50"/>
    <x v="3"/>
  </r>
  <r>
    <n v="10327"/>
    <x v="71"/>
    <n v="579.59999784082174"/>
    <n v="35"/>
    <x v="3"/>
  </r>
  <r>
    <n v="10327"/>
    <x v="71"/>
    <n v="303.99999886751175"/>
    <n v="25"/>
    <x v="6"/>
  </r>
  <r>
    <n v="10327"/>
    <x v="71"/>
    <n v="671.99999749660492"/>
    <n v="50"/>
    <x v="6"/>
  </r>
  <r>
    <n v="10327"/>
    <x v="71"/>
    <n v="579.59999784082174"/>
    <n v="35"/>
    <x v="6"/>
  </r>
  <r>
    <n v="10327"/>
    <x v="71"/>
    <n v="254.39999905228615"/>
    <n v="30"/>
    <x v="6"/>
  </r>
  <r>
    <n v="10327"/>
    <x v="71"/>
    <n v="254.39999905228615"/>
    <n v="30"/>
    <x v="3"/>
  </r>
  <r>
    <n v="10327"/>
    <x v="71"/>
    <n v="671.99999749660492"/>
    <n v="50"/>
    <x v="4"/>
  </r>
  <r>
    <n v="10327"/>
    <x v="71"/>
    <n v="254.39999905228615"/>
    <n v="30"/>
    <x v="4"/>
  </r>
  <r>
    <n v="10327"/>
    <x v="71"/>
    <n v="254.39999905228615"/>
    <n v="30"/>
    <x v="0"/>
  </r>
  <r>
    <n v="10327"/>
    <x v="71"/>
    <n v="579.59999784082174"/>
    <n v="35"/>
    <x v="0"/>
  </r>
  <r>
    <n v="10327"/>
    <x v="71"/>
    <n v="303.99999886751175"/>
    <n v="25"/>
    <x v="0"/>
  </r>
  <r>
    <n v="10327"/>
    <x v="71"/>
    <n v="303.99999886751175"/>
    <n v="25"/>
    <x v="2"/>
  </r>
  <r>
    <n v="10327"/>
    <x v="71"/>
    <n v="671.99999749660492"/>
    <n v="50"/>
    <x v="2"/>
  </r>
  <r>
    <n v="10327"/>
    <x v="71"/>
    <n v="579.59999784082174"/>
    <n v="35"/>
    <x v="2"/>
  </r>
  <r>
    <n v="10327"/>
    <x v="71"/>
    <n v="254.39999905228615"/>
    <n v="30"/>
    <x v="2"/>
  </r>
  <r>
    <n v="10327"/>
    <x v="71"/>
    <n v="303.99999886751175"/>
    <n v="25"/>
    <x v="4"/>
  </r>
  <r>
    <n v="10327"/>
    <x v="71"/>
    <n v="303.99999886751175"/>
    <n v="25"/>
    <x v="1"/>
  </r>
  <r>
    <n v="10327"/>
    <x v="71"/>
    <n v="254.39999905228615"/>
    <n v="30"/>
    <x v="7"/>
  </r>
  <r>
    <n v="10327"/>
    <x v="71"/>
    <n v="579.59999784082174"/>
    <n v="35"/>
    <x v="7"/>
  </r>
  <r>
    <n v="10327"/>
    <x v="71"/>
    <n v="671.99999749660492"/>
    <n v="50"/>
    <x v="7"/>
  </r>
  <r>
    <n v="10327"/>
    <x v="71"/>
    <n v="303.99999886751175"/>
    <n v="25"/>
    <x v="7"/>
  </r>
  <r>
    <n v="10327"/>
    <x v="71"/>
    <n v="671.99999749660492"/>
    <n v="50"/>
    <x v="0"/>
  </r>
  <r>
    <n v="10327"/>
    <x v="71"/>
    <n v="671.99999749660492"/>
    <n v="50"/>
    <x v="1"/>
  </r>
  <r>
    <n v="10327"/>
    <x v="71"/>
    <n v="579.59999784082174"/>
    <n v="35"/>
    <x v="1"/>
  </r>
  <r>
    <n v="10327"/>
    <x v="71"/>
    <n v="254.39999905228615"/>
    <n v="30"/>
    <x v="1"/>
  </r>
  <r>
    <n v="10327"/>
    <x v="71"/>
    <n v="254.39999905228615"/>
    <n v="30"/>
    <x v="5"/>
  </r>
  <r>
    <n v="10327"/>
    <x v="71"/>
    <n v="579.59999784082174"/>
    <n v="35"/>
    <x v="5"/>
  </r>
  <r>
    <n v="10327"/>
    <x v="71"/>
    <n v="303.99999886751175"/>
    <n v="25"/>
    <x v="5"/>
  </r>
  <r>
    <n v="10327"/>
    <x v="71"/>
    <n v="671.99999749660492"/>
    <n v="50"/>
    <x v="5"/>
  </r>
  <r>
    <n v="10328"/>
    <x v="72"/>
    <n v="396"/>
    <n v="9"/>
    <x v="0"/>
  </r>
  <r>
    <n v="10328"/>
    <x v="72"/>
    <n v="672"/>
    <n v="40"/>
    <x v="7"/>
  </r>
  <r>
    <n v="10328"/>
    <x v="72"/>
    <n v="396"/>
    <n v="9"/>
    <x v="7"/>
  </r>
  <r>
    <n v="10328"/>
    <x v="72"/>
    <n v="100"/>
    <n v="10"/>
    <x v="1"/>
  </r>
  <r>
    <n v="10328"/>
    <x v="72"/>
    <n v="672"/>
    <n v="40"/>
    <x v="1"/>
  </r>
  <r>
    <n v="10328"/>
    <x v="72"/>
    <n v="396"/>
    <n v="9"/>
    <x v="1"/>
  </r>
  <r>
    <n v="10328"/>
    <x v="72"/>
    <n v="100"/>
    <n v="10"/>
    <x v="4"/>
  </r>
  <r>
    <n v="10328"/>
    <x v="72"/>
    <n v="100"/>
    <n v="10"/>
    <x v="2"/>
  </r>
  <r>
    <n v="10328"/>
    <x v="72"/>
    <n v="100"/>
    <n v="10"/>
    <x v="7"/>
  </r>
  <r>
    <n v="10328"/>
    <x v="72"/>
    <n v="672"/>
    <n v="40"/>
    <x v="0"/>
  </r>
  <r>
    <n v="10328"/>
    <x v="72"/>
    <n v="100"/>
    <n v="10"/>
    <x v="0"/>
  </r>
  <r>
    <n v="10328"/>
    <x v="72"/>
    <n v="396"/>
    <n v="9"/>
    <x v="4"/>
  </r>
  <r>
    <n v="10328"/>
    <x v="72"/>
    <n v="672"/>
    <n v="40"/>
    <x v="4"/>
  </r>
  <r>
    <n v="10328"/>
    <x v="72"/>
    <n v="672"/>
    <n v="40"/>
    <x v="2"/>
  </r>
  <r>
    <n v="10328"/>
    <x v="72"/>
    <n v="396"/>
    <n v="9"/>
    <x v="6"/>
  </r>
  <r>
    <n v="10328"/>
    <x v="72"/>
    <n v="396"/>
    <n v="9"/>
    <x v="3"/>
  </r>
  <r>
    <n v="10328"/>
    <x v="72"/>
    <n v="672"/>
    <n v="40"/>
    <x v="3"/>
  </r>
  <r>
    <n v="10328"/>
    <x v="72"/>
    <n v="396"/>
    <n v="9"/>
    <x v="2"/>
  </r>
  <r>
    <n v="10328"/>
    <x v="72"/>
    <n v="100"/>
    <n v="10"/>
    <x v="3"/>
  </r>
  <r>
    <n v="10328"/>
    <x v="72"/>
    <n v="396"/>
    <n v="9"/>
    <x v="5"/>
  </r>
  <r>
    <n v="10328"/>
    <x v="72"/>
    <n v="672"/>
    <n v="40"/>
    <x v="5"/>
  </r>
  <r>
    <n v="10328"/>
    <x v="72"/>
    <n v="100"/>
    <n v="10"/>
    <x v="6"/>
  </r>
  <r>
    <n v="10328"/>
    <x v="72"/>
    <n v="672"/>
    <n v="40"/>
    <x v="6"/>
  </r>
  <r>
    <n v="10328"/>
    <x v="72"/>
    <n v="100"/>
    <n v="10"/>
    <x v="5"/>
  </r>
  <r>
    <n v="10329"/>
    <x v="73"/>
    <n v="4005.1999968588352"/>
    <n v="20"/>
    <x v="0"/>
  </r>
  <r>
    <n v="10329"/>
    <x v="73"/>
    <n v="157.31999987661837"/>
    <n v="8"/>
    <x v="0"/>
  </r>
  <r>
    <n v="10329"/>
    <x v="73"/>
    <n v="69.349999945610762"/>
    <n v="10"/>
    <x v="0"/>
  </r>
  <r>
    <n v="10329"/>
    <x v="73"/>
    <n v="346.55999972820285"/>
    <n v="12"/>
    <x v="3"/>
  </r>
  <r>
    <n v="10329"/>
    <x v="73"/>
    <n v="4005.1999968588352"/>
    <n v="20"/>
    <x v="3"/>
  </r>
  <r>
    <n v="10329"/>
    <x v="73"/>
    <n v="69.349999945610762"/>
    <n v="10"/>
    <x v="7"/>
  </r>
  <r>
    <n v="10329"/>
    <x v="73"/>
    <n v="157.31999987661837"/>
    <n v="8"/>
    <x v="3"/>
  </r>
  <r>
    <n v="10329"/>
    <x v="73"/>
    <n v="346.55999972820285"/>
    <n v="12"/>
    <x v="7"/>
  </r>
  <r>
    <n v="10329"/>
    <x v="73"/>
    <n v="69.349999945610762"/>
    <n v="10"/>
    <x v="3"/>
  </r>
  <r>
    <n v="10329"/>
    <x v="73"/>
    <n v="346.55999972820285"/>
    <n v="12"/>
    <x v="2"/>
  </r>
  <r>
    <n v="10329"/>
    <x v="73"/>
    <n v="346.55999972820285"/>
    <n v="12"/>
    <x v="0"/>
  </r>
  <r>
    <n v="10329"/>
    <x v="73"/>
    <n v="157.31999987661837"/>
    <n v="8"/>
    <x v="7"/>
  </r>
  <r>
    <n v="10329"/>
    <x v="73"/>
    <n v="4005.1999968588352"/>
    <n v="20"/>
    <x v="7"/>
  </r>
  <r>
    <n v="10329"/>
    <x v="73"/>
    <n v="4005.1999968588352"/>
    <n v="20"/>
    <x v="2"/>
  </r>
  <r>
    <n v="10329"/>
    <x v="73"/>
    <n v="157.31999987661837"/>
    <n v="8"/>
    <x v="1"/>
  </r>
  <r>
    <n v="10329"/>
    <x v="73"/>
    <n v="69.349999945610762"/>
    <n v="10"/>
    <x v="5"/>
  </r>
  <r>
    <n v="10329"/>
    <x v="73"/>
    <n v="157.31999987661837"/>
    <n v="8"/>
    <x v="5"/>
  </r>
  <r>
    <n v="10329"/>
    <x v="73"/>
    <n v="4005.1999968588352"/>
    <n v="20"/>
    <x v="5"/>
  </r>
  <r>
    <n v="10329"/>
    <x v="73"/>
    <n v="69.349999945610762"/>
    <n v="10"/>
    <x v="6"/>
  </r>
  <r>
    <n v="10329"/>
    <x v="73"/>
    <n v="157.31999987661837"/>
    <n v="8"/>
    <x v="6"/>
  </r>
  <r>
    <n v="10329"/>
    <x v="73"/>
    <n v="4005.1999968588352"/>
    <n v="20"/>
    <x v="6"/>
  </r>
  <r>
    <n v="10329"/>
    <x v="73"/>
    <n v="346.55999972820285"/>
    <n v="12"/>
    <x v="6"/>
  </r>
  <r>
    <n v="10329"/>
    <x v="73"/>
    <n v="157.31999987661837"/>
    <n v="8"/>
    <x v="4"/>
  </r>
  <r>
    <n v="10329"/>
    <x v="73"/>
    <n v="4005.1999968588352"/>
    <n v="20"/>
    <x v="1"/>
  </r>
  <r>
    <n v="10329"/>
    <x v="73"/>
    <n v="346.55999972820285"/>
    <n v="12"/>
    <x v="4"/>
  </r>
  <r>
    <n v="10329"/>
    <x v="73"/>
    <n v="69.349999945610762"/>
    <n v="10"/>
    <x v="1"/>
  </r>
  <r>
    <n v="10329"/>
    <x v="73"/>
    <n v="346.55999972820285"/>
    <n v="12"/>
    <x v="5"/>
  </r>
  <r>
    <n v="10329"/>
    <x v="73"/>
    <n v="157.31999987661837"/>
    <n v="8"/>
    <x v="2"/>
  </r>
  <r>
    <n v="10329"/>
    <x v="73"/>
    <n v="4005.1999968588352"/>
    <n v="20"/>
    <x v="4"/>
  </r>
  <r>
    <n v="10329"/>
    <x v="73"/>
    <n v="69.349999945610762"/>
    <n v="10"/>
    <x v="2"/>
  </r>
  <r>
    <n v="10329"/>
    <x v="73"/>
    <n v="69.349999945610762"/>
    <n v="10"/>
    <x v="4"/>
  </r>
  <r>
    <n v="10329"/>
    <x v="73"/>
    <n v="346.55999972820285"/>
    <n v="12"/>
    <x v="1"/>
  </r>
  <r>
    <n v="10330"/>
    <x v="74"/>
    <n v="1058.2499925792217"/>
    <n v="50"/>
    <x v="6"/>
  </r>
  <r>
    <n v="10330"/>
    <x v="74"/>
    <n v="1058.2499925792217"/>
    <n v="50"/>
    <x v="3"/>
  </r>
  <r>
    <n v="10330"/>
    <x v="74"/>
    <n v="1058.2499925792217"/>
    <n v="50"/>
    <x v="4"/>
  </r>
  <r>
    <n v="10330"/>
    <x v="74"/>
    <n v="590.74999585747719"/>
    <n v="25"/>
    <x v="4"/>
  </r>
  <r>
    <n v="10330"/>
    <x v="74"/>
    <n v="590.74999585747719"/>
    <n v="25"/>
    <x v="0"/>
  </r>
  <r>
    <n v="10330"/>
    <x v="74"/>
    <n v="1058.2499925792217"/>
    <n v="50"/>
    <x v="0"/>
  </r>
  <r>
    <n v="10330"/>
    <x v="74"/>
    <n v="1058.2499925792217"/>
    <n v="50"/>
    <x v="5"/>
  </r>
  <r>
    <n v="10330"/>
    <x v="74"/>
    <n v="1058.2499925792217"/>
    <n v="50"/>
    <x v="7"/>
  </r>
  <r>
    <n v="10330"/>
    <x v="74"/>
    <n v="590.74999585747719"/>
    <n v="25"/>
    <x v="6"/>
  </r>
  <r>
    <n v="10330"/>
    <x v="74"/>
    <n v="590.74999585747719"/>
    <n v="25"/>
    <x v="1"/>
  </r>
  <r>
    <n v="10330"/>
    <x v="74"/>
    <n v="1058.2499925792217"/>
    <n v="50"/>
    <x v="1"/>
  </r>
  <r>
    <n v="10330"/>
    <x v="74"/>
    <n v="590.74999585747719"/>
    <n v="25"/>
    <x v="5"/>
  </r>
  <r>
    <n v="10330"/>
    <x v="74"/>
    <n v="590.74999585747719"/>
    <n v="25"/>
    <x v="3"/>
  </r>
  <r>
    <n v="10330"/>
    <x v="74"/>
    <n v="590.74999585747719"/>
    <n v="25"/>
    <x v="2"/>
  </r>
  <r>
    <n v="10330"/>
    <x v="74"/>
    <n v="1058.2499925792217"/>
    <n v="50"/>
    <x v="2"/>
  </r>
  <r>
    <n v="10330"/>
    <x v="74"/>
    <n v="590.74999585747719"/>
    <n v="25"/>
    <x v="7"/>
  </r>
  <r>
    <n v="10331"/>
    <x v="74"/>
    <n v="88.5"/>
    <n v="15"/>
    <x v="6"/>
  </r>
  <r>
    <n v="10331"/>
    <x v="74"/>
    <n v="88.5"/>
    <n v="15"/>
    <x v="3"/>
  </r>
  <r>
    <n v="10331"/>
    <x v="74"/>
    <n v="88.5"/>
    <n v="15"/>
    <x v="0"/>
  </r>
  <r>
    <n v="10331"/>
    <x v="74"/>
    <n v="88.5"/>
    <n v="15"/>
    <x v="4"/>
  </r>
  <r>
    <n v="10331"/>
    <x v="74"/>
    <n v="88.5"/>
    <n v="15"/>
    <x v="7"/>
  </r>
  <r>
    <n v="10331"/>
    <x v="74"/>
    <n v="88.5"/>
    <n v="15"/>
    <x v="1"/>
  </r>
  <r>
    <n v="10331"/>
    <x v="74"/>
    <n v="88.5"/>
    <n v="15"/>
    <x v="2"/>
  </r>
  <r>
    <n v="10331"/>
    <x v="74"/>
    <n v="88.5"/>
    <n v="15"/>
    <x v="5"/>
  </r>
  <r>
    <n v="10332"/>
    <x v="75"/>
    <n v="89.599999666213989"/>
    <n v="10"/>
    <x v="7"/>
  </r>
  <r>
    <n v="10332"/>
    <x v="75"/>
    <n v="89.599999666213989"/>
    <n v="10"/>
    <x v="5"/>
  </r>
  <r>
    <n v="10332"/>
    <x v="75"/>
    <n v="97.279999637603751"/>
    <n v="16"/>
    <x v="2"/>
  </r>
  <r>
    <n v="10332"/>
    <x v="75"/>
    <n v="97.279999637603751"/>
    <n v="16"/>
    <x v="4"/>
  </r>
  <r>
    <n v="10332"/>
    <x v="75"/>
    <n v="89.599999666213989"/>
    <n v="10"/>
    <x v="4"/>
  </r>
  <r>
    <n v="10332"/>
    <x v="75"/>
    <n v="1599.9999940395355"/>
    <n v="40"/>
    <x v="4"/>
  </r>
  <r>
    <n v="10332"/>
    <x v="75"/>
    <n v="89.599999666213989"/>
    <n v="10"/>
    <x v="1"/>
  </r>
  <r>
    <n v="10332"/>
    <x v="75"/>
    <n v="97.279999637603751"/>
    <n v="16"/>
    <x v="7"/>
  </r>
  <r>
    <n v="10332"/>
    <x v="75"/>
    <n v="97.279999637603751"/>
    <n v="16"/>
    <x v="1"/>
  </r>
  <r>
    <n v="10332"/>
    <x v="75"/>
    <n v="1599.9999940395355"/>
    <n v="40"/>
    <x v="2"/>
  </r>
  <r>
    <n v="10332"/>
    <x v="75"/>
    <n v="97.279999637603751"/>
    <n v="16"/>
    <x v="5"/>
  </r>
  <r>
    <n v="10332"/>
    <x v="75"/>
    <n v="1599.9999940395355"/>
    <n v="40"/>
    <x v="5"/>
  </r>
  <r>
    <n v="10332"/>
    <x v="75"/>
    <n v="1599.9999940395355"/>
    <n v="40"/>
    <x v="6"/>
  </r>
  <r>
    <n v="10332"/>
    <x v="75"/>
    <n v="89.599999666213989"/>
    <n v="10"/>
    <x v="6"/>
  </r>
  <r>
    <n v="10332"/>
    <x v="75"/>
    <n v="97.279999637603751"/>
    <n v="16"/>
    <x v="6"/>
  </r>
  <r>
    <n v="10332"/>
    <x v="75"/>
    <n v="1599.9999940395355"/>
    <n v="40"/>
    <x v="1"/>
  </r>
  <r>
    <n v="10332"/>
    <x v="75"/>
    <n v="97.279999637603751"/>
    <n v="16"/>
    <x v="0"/>
  </r>
  <r>
    <n v="10332"/>
    <x v="75"/>
    <n v="89.599999666213989"/>
    <n v="10"/>
    <x v="0"/>
  </r>
  <r>
    <n v="10332"/>
    <x v="75"/>
    <n v="1599.9999940395355"/>
    <n v="40"/>
    <x v="0"/>
  </r>
  <r>
    <n v="10332"/>
    <x v="75"/>
    <n v="89.599999666213989"/>
    <n v="10"/>
    <x v="2"/>
  </r>
  <r>
    <n v="10332"/>
    <x v="75"/>
    <n v="97.279999637603751"/>
    <n v="16"/>
    <x v="3"/>
  </r>
  <r>
    <n v="10332"/>
    <x v="75"/>
    <n v="1599.9999940395355"/>
    <n v="40"/>
    <x v="7"/>
  </r>
  <r>
    <n v="10332"/>
    <x v="75"/>
    <n v="1599.9999940395355"/>
    <n v="40"/>
    <x v="3"/>
  </r>
  <r>
    <n v="10332"/>
    <x v="75"/>
    <n v="89.599999666213989"/>
    <n v="10"/>
    <x v="3"/>
  </r>
  <r>
    <n v="10333"/>
    <x v="76"/>
    <n v="71.99999988079071"/>
    <n v="10"/>
    <x v="3"/>
  </r>
  <r>
    <n v="10333"/>
    <x v="76"/>
    <n v="186"/>
    <n v="10"/>
    <x v="4"/>
  </r>
  <r>
    <n v="10333"/>
    <x v="76"/>
    <n v="71.99999988079071"/>
    <n v="10"/>
    <x v="4"/>
  </r>
  <r>
    <n v="10333"/>
    <x v="76"/>
    <n v="619.19999897480011"/>
    <n v="40"/>
    <x v="4"/>
  </r>
  <r>
    <n v="10333"/>
    <x v="76"/>
    <n v="186"/>
    <n v="10"/>
    <x v="1"/>
  </r>
  <r>
    <n v="10333"/>
    <x v="76"/>
    <n v="619.19999897480011"/>
    <n v="40"/>
    <x v="3"/>
  </r>
  <r>
    <n v="10333"/>
    <x v="76"/>
    <n v="619.19999897480011"/>
    <n v="40"/>
    <x v="6"/>
  </r>
  <r>
    <n v="10333"/>
    <x v="76"/>
    <n v="186"/>
    <n v="10"/>
    <x v="5"/>
  </r>
  <r>
    <n v="10333"/>
    <x v="76"/>
    <n v="71.99999988079071"/>
    <n v="10"/>
    <x v="2"/>
  </r>
  <r>
    <n v="10333"/>
    <x v="76"/>
    <n v="186"/>
    <n v="10"/>
    <x v="7"/>
  </r>
  <r>
    <n v="10333"/>
    <x v="76"/>
    <n v="186"/>
    <n v="10"/>
    <x v="2"/>
  </r>
  <r>
    <n v="10333"/>
    <x v="76"/>
    <n v="71.99999988079071"/>
    <n v="10"/>
    <x v="6"/>
  </r>
  <r>
    <n v="10333"/>
    <x v="76"/>
    <n v="186"/>
    <n v="10"/>
    <x v="6"/>
  </r>
  <r>
    <n v="10333"/>
    <x v="76"/>
    <n v="619.19999897480011"/>
    <n v="40"/>
    <x v="0"/>
  </r>
  <r>
    <n v="10333"/>
    <x v="76"/>
    <n v="71.99999988079071"/>
    <n v="10"/>
    <x v="1"/>
  </r>
  <r>
    <n v="10333"/>
    <x v="76"/>
    <n v="619.19999897480011"/>
    <n v="40"/>
    <x v="2"/>
  </r>
  <r>
    <n v="10333"/>
    <x v="76"/>
    <n v="71.99999988079071"/>
    <n v="10"/>
    <x v="7"/>
  </r>
  <r>
    <n v="10333"/>
    <x v="76"/>
    <n v="619.19999897480011"/>
    <n v="40"/>
    <x v="7"/>
  </r>
  <r>
    <n v="10333"/>
    <x v="76"/>
    <n v="71.99999988079071"/>
    <n v="10"/>
    <x v="5"/>
  </r>
  <r>
    <n v="10333"/>
    <x v="76"/>
    <n v="619.19999897480011"/>
    <n v="40"/>
    <x v="1"/>
  </r>
  <r>
    <n v="10333"/>
    <x v="76"/>
    <n v="186"/>
    <n v="10"/>
    <x v="3"/>
  </r>
  <r>
    <n v="10333"/>
    <x v="76"/>
    <n v="186"/>
    <n v="10"/>
    <x v="0"/>
  </r>
  <r>
    <n v="10333"/>
    <x v="76"/>
    <n v="71.99999988079071"/>
    <n v="10"/>
    <x v="0"/>
  </r>
  <r>
    <n v="10333"/>
    <x v="76"/>
    <n v="619.19999897480011"/>
    <n v="40"/>
    <x v="5"/>
  </r>
  <r>
    <n v="10334"/>
    <x v="77"/>
    <n v="44.8"/>
    <n v="8"/>
    <x v="1"/>
  </r>
  <r>
    <n v="10334"/>
    <x v="77"/>
    <n v="100"/>
    <n v="10"/>
    <x v="2"/>
  </r>
  <r>
    <n v="10334"/>
    <x v="77"/>
    <n v="100"/>
    <n v="10"/>
    <x v="1"/>
  </r>
  <r>
    <n v="10334"/>
    <x v="77"/>
    <n v="100"/>
    <n v="10"/>
    <x v="5"/>
  </r>
  <r>
    <n v="10334"/>
    <x v="77"/>
    <n v="100"/>
    <n v="10"/>
    <x v="4"/>
  </r>
  <r>
    <n v="10334"/>
    <x v="77"/>
    <n v="44.8"/>
    <n v="8"/>
    <x v="0"/>
  </r>
  <r>
    <n v="10334"/>
    <x v="77"/>
    <n v="100"/>
    <n v="10"/>
    <x v="0"/>
  </r>
  <r>
    <n v="10334"/>
    <x v="77"/>
    <n v="44.8"/>
    <n v="8"/>
    <x v="5"/>
  </r>
  <r>
    <n v="10334"/>
    <x v="77"/>
    <n v="100"/>
    <n v="10"/>
    <x v="6"/>
  </r>
  <r>
    <n v="10334"/>
    <x v="77"/>
    <n v="44.8"/>
    <n v="8"/>
    <x v="7"/>
  </r>
  <r>
    <n v="10334"/>
    <x v="77"/>
    <n v="100"/>
    <n v="10"/>
    <x v="7"/>
  </r>
  <r>
    <n v="10334"/>
    <x v="77"/>
    <n v="100"/>
    <n v="10"/>
    <x v="3"/>
  </r>
  <r>
    <n v="10334"/>
    <x v="77"/>
    <n v="44.8"/>
    <n v="8"/>
    <x v="3"/>
  </r>
  <r>
    <n v="10334"/>
    <x v="77"/>
    <n v="44.8"/>
    <n v="8"/>
    <x v="6"/>
  </r>
  <r>
    <n v="10334"/>
    <x v="77"/>
    <n v="44.8"/>
    <n v="8"/>
    <x v="2"/>
  </r>
  <r>
    <n v="10334"/>
    <x v="77"/>
    <n v="44.8"/>
    <n v="8"/>
    <x v="4"/>
  </r>
  <r>
    <n v="10335"/>
    <x v="78"/>
    <n v="1628.1599939346313"/>
    <n v="48"/>
    <x v="1"/>
  </r>
  <r>
    <n v="10335"/>
    <x v="78"/>
    <n v="85.119999682903298"/>
    <n v="7"/>
    <x v="0"/>
  </r>
  <r>
    <n v="10335"/>
    <x v="78"/>
    <n v="122.87999954223632"/>
    <n v="6"/>
    <x v="4"/>
  </r>
  <r>
    <n v="10335"/>
    <x v="78"/>
    <n v="1628.1599939346313"/>
    <n v="48"/>
    <x v="4"/>
  </r>
  <r>
    <n v="10335"/>
    <x v="78"/>
    <n v="1628.1599939346313"/>
    <n v="48"/>
    <x v="6"/>
  </r>
  <r>
    <n v="10335"/>
    <x v="78"/>
    <n v="85.119999682903298"/>
    <n v="7"/>
    <x v="1"/>
  </r>
  <r>
    <n v="10335"/>
    <x v="78"/>
    <n v="122.87999954223632"/>
    <n v="6"/>
    <x v="1"/>
  </r>
  <r>
    <n v="10335"/>
    <x v="78"/>
    <n v="199.99999925494194"/>
    <n v="25"/>
    <x v="0"/>
  </r>
  <r>
    <n v="10335"/>
    <x v="78"/>
    <n v="199.99999925494194"/>
    <n v="25"/>
    <x v="6"/>
  </r>
  <r>
    <n v="10335"/>
    <x v="78"/>
    <n v="122.87999954223632"/>
    <n v="6"/>
    <x v="6"/>
  </r>
  <r>
    <n v="10335"/>
    <x v="78"/>
    <n v="85.119999682903298"/>
    <n v="7"/>
    <x v="6"/>
  </r>
  <r>
    <n v="10335"/>
    <x v="78"/>
    <n v="199.99999925494194"/>
    <n v="25"/>
    <x v="1"/>
  </r>
  <r>
    <n v="10335"/>
    <x v="78"/>
    <n v="122.87999954223632"/>
    <n v="6"/>
    <x v="2"/>
  </r>
  <r>
    <n v="10335"/>
    <x v="78"/>
    <n v="199.99999925494194"/>
    <n v="25"/>
    <x v="5"/>
  </r>
  <r>
    <n v="10335"/>
    <x v="78"/>
    <n v="85.119999682903298"/>
    <n v="7"/>
    <x v="5"/>
  </r>
  <r>
    <n v="10335"/>
    <x v="78"/>
    <n v="1628.1599939346313"/>
    <n v="48"/>
    <x v="5"/>
  </r>
  <r>
    <n v="10335"/>
    <x v="78"/>
    <n v="1628.1599939346313"/>
    <n v="48"/>
    <x v="7"/>
  </r>
  <r>
    <n v="10335"/>
    <x v="78"/>
    <n v="122.87999954223632"/>
    <n v="6"/>
    <x v="7"/>
  </r>
  <r>
    <n v="10335"/>
    <x v="78"/>
    <n v="199.99999925494194"/>
    <n v="25"/>
    <x v="7"/>
  </r>
  <r>
    <n v="10335"/>
    <x v="78"/>
    <n v="85.119999682903298"/>
    <n v="7"/>
    <x v="7"/>
  </r>
  <r>
    <n v="10335"/>
    <x v="78"/>
    <n v="1628.1599939346313"/>
    <n v="48"/>
    <x v="2"/>
  </r>
  <r>
    <n v="10335"/>
    <x v="78"/>
    <n v="122.87999954223632"/>
    <n v="6"/>
    <x v="0"/>
  </r>
  <r>
    <n v="10335"/>
    <x v="78"/>
    <n v="199.99999925494194"/>
    <n v="25"/>
    <x v="2"/>
  </r>
  <r>
    <n v="10335"/>
    <x v="78"/>
    <n v="85.119999682903298"/>
    <n v="7"/>
    <x v="2"/>
  </r>
  <r>
    <n v="10335"/>
    <x v="78"/>
    <n v="199.99999925494194"/>
    <n v="25"/>
    <x v="3"/>
  </r>
  <r>
    <n v="10335"/>
    <x v="78"/>
    <n v="85.119999682903298"/>
    <n v="7"/>
    <x v="4"/>
  </r>
  <r>
    <n v="10335"/>
    <x v="78"/>
    <n v="122.87999954223632"/>
    <n v="6"/>
    <x v="5"/>
  </r>
  <r>
    <n v="10335"/>
    <x v="78"/>
    <n v="199.99999925494194"/>
    <n v="25"/>
    <x v="4"/>
  </r>
  <r>
    <n v="10335"/>
    <x v="78"/>
    <n v="1628.1599939346313"/>
    <n v="48"/>
    <x v="3"/>
  </r>
  <r>
    <n v="10335"/>
    <x v="78"/>
    <n v="85.119999682903298"/>
    <n v="7"/>
    <x v="3"/>
  </r>
  <r>
    <n v="10335"/>
    <x v="78"/>
    <n v="1628.1599939346313"/>
    <n v="48"/>
    <x v="0"/>
  </r>
  <r>
    <n v="10335"/>
    <x v="78"/>
    <n v="122.87999954223632"/>
    <n v="6"/>
    <x v="3"/>
  </r>
  <r>
    <n v="10336"/>
    <x v="79"/>
    <n v="285.11999952793121"/>
    <n v="18"/>
    <x v="0"/>
  </r>
  <r>
    <n v="10336"/>
    <x v="79"/>
    <n v="285.11999952793121"/>
    <n v="18"/>
    <x v="7"/>
  </r>
  <r>
    <n v="10336"/>
    <x v="79"/>
    <n v="285.11999952793121"/>
    <n v="18"/>
    <x v="6"/>
  </r>
  <r>
    <n v="10336"/>
    <x v="79"/>
    <n v="285.11999952793121"/>
    <n v="18"/>
    <x v="2"/>
  </r>
  <r>
    <n v="10336"/>
    <x v="79"/>
    <n v="285.11999952793121"/>
    <n v="18"/>
    <x v="3"/>
  </r>
  <r>
    <n v="10336"/>
    <x v="79"/>
    <n v="285.11999952793121"/>
    <n v="18"/>
    <x v="1"/>
  </r>
  <r>
    <n v="10336"/>
    <x v="79"/>
    <n v="285.11999952793121"/>
    <n v="18"/>
    <x v="5"/>
  </r>
  <r>
    <n v="10336"/>
    <x v="79"/>
    <n v="285.11999952793121"/>
    <n v="18"/>
    <x v="4"/>
  </r>
  <r>
    <n v="10337"/>
    <x v="80"/>
    <n v="288"/>
    <n v="40"/>
    <x v="4"/>
  </r>
  <r>
    <n v="10337"/>
    <x v="80"/>
    <n v="582.4"/>
    <n v="28"/>
    <x v="1"/>
  </r>
  <r>
    <n v="10337"/>
    <x v="80"/>
    <n v="597.6"/>
    <n v="24"/>
    <x v="1"/>
  </r>
  <r>
    <n v="10337"/>
    <x v="80"/>
    <n v="288"/>
    <n v="40"/>
    <x v="1"/>
  </r>
  <r>
    <n v="10337"/>
    <x v="80"/>
    <n v="582.4"/>
    <n v="28"/>
    <x v="4"/>
  </r>
  <r>
    <n v="10337"/>
    <x v="80"/>
    <n v="597.6"/>
    <n v="24"/>
    <x v="4"/>
  </r>
  <r>
    <n v="10337"/>
    <x v="80"/>
    <n v="304"/>
    <n v="20"/>
    <x v="4"/>
  </r>
  <r>
    <n v="10337"/>
    <x v="80"/>
    <n v="582.4"/>
    <n v="28"/>
    <x v="3"/>
  </r>
  <r>
    <n v="10337"/>
    <x v="80"/>
    <n v="582.4"/>
    <n v="28"/>
    <x v="0"/>
  </r>
  <r>
    <n v="10337"/>
    <x v="80"/>
    <n v="304"/>
    <n v="20"/>
    <x v="7"/>
  </r>
  <r>
    <n v="10337"/>
    <x v="80"/>
    <n v="582.4"/>
    <n v="28"/>
    <x v="7"/>
  </r>
  <r>
    <n v="10337"/>
    <x v="80"/>
    <n v="695"/>
    <n v="25"/>
    <x v="7"/>
  </r>
  <r>
    <n v="10337"/>
    <x v="80"/>
    <n v="288"/>
    <n v="40"/>
    <x v="3"/>
  </r>
  <r>
    <n v="10337"/>
    <x v="80"/>
    <n v="288"/>
    <n v="40"/>
    <x v="7"/>
  </r>
  <r>
    <n v="10337"/>
    <x v="80"/>
    <n v="304"/>
    <n v="20"/>
    <x v="3"/>
  </r>
  <r>
    <n v="10337"/>
    <x v="80"/>
    <n v="695"/>
    <n v="25"/>
    <x v="2"/>
  </r>
  <r>
    <n v="10337"/>
    <x v="80"/>
    <n v="695"/>
    <n v="25"/>
    <x v="3"/>
  </r>
  <r>
    <n v="10337"/>
    <x v="80"/>
    <n v="288"/>
    <n v="40"/>
    <x v="5"/>
  </r>
  <r>
    <n v="10337"/>
    <x v="80"/>
    <n v="597.6"/>
    <n v="24"/>
    <x v="5"/>
  </r>
  <r>
    <n v="10337"/>
    <x v="80"/>
    <n v="304"/>
    <n v="20"/>
    <x v="5"/>
  </r>
  <r>
    <n v="10337"/>
    <x v="80"/>
    <n v="582.4"/>
    <n v="28"/>
    <x v="5"/>
  </r>
  <r>
    <n v="10337"/>
    <x v="80"/>
    <n v="695"/>
    <n v="25"/>
    <x v="5"/>
  </r>
  <r>
    <n v="10337"/>
    <x v="80"/>
    <n v="597.6"/>
    <n v="24"/>
    <x v="3"/>
  </r>
  <r>
    <n v="10337"/>
    <x v="80"/>
    <n v="288"/>
    <n v="40"/>
    <x v="0"/>
  </r>
  <r>
    <n v="10337"/>
    <x v="80"/>
    <n v="695"/>
    <n v="25"/>
    <x v="6"/>
  </r>
  <r>
    <n v="10337"/>
    <x v="80"/>
    <n v="582.4"/>
    <n v="28"/>
    <x v="6"/>
  </r>
  <r>
    <n v="10337"/>
    <x v="80"/>
    <n v="304"/>
    <n v="20"/>
    <x v="6"/>
  </r>
  <r>
    <n v="10337"/>
    <x v="80"/>
    <n v="597.6"/>
    <n v="24"/>
    <x v="6"/>
  </r>
  <r>
    <n v="10337"/>
    <x v="80"/>
    <n v="288"/>
    <n v="40"/>
    <x v="6"/>
  </r>
  <r>
    <n v="10337"/>
    <x v="80"/>
    <n v="597.6"/>
    <n v="24"/>
    <x v="7"/>
  </r>
  <r>
    <n v="10337"/>
    <x v="80"/>
    <n v="304"/>
    <n v="20"/>
    <x v="1"/>
  </r>
  <r>
    <n v="10337"/>
    <x v="80"/>
    <n v="695"/>
    <n v="25"/>
    <x v="4"/>
  </r>
  <r>
    <n v="10337"/>
    <x v="80"/>
    <n v="597.6"/>
    <n v="24"/>
    <x v="0"/>
  </r>
  <r>
    <n v="10337"/>
    <x v="80"/>
    <n v="304"/>
    <n v="20"/>
    <x v="0"/>
  </r>
  <r>
    <n v="10337"/>
    <x v="80"/>
    <n v="695"/>
    <n v="25"/>
    <x v="0"/>
  </r>
  <r>
    <n v="10337"/>
    <x v="80"/>
    <n v="288"/>
    <n v="40"/>
    <x v="2"/>
  </r>
  <r>
    <n v="10337"/>
    <x v="80"/>
    <n v="597.6"/>
    <n v="24"/>
    <x v="2"/>
  </r>
  <r>
    <n v="10337"/>
    <x v="80"/>
    <n v="304"/>
    <n v="20"/>
    <x v="2"/>
  </r>
  <r>
    <n v="10337"/>
    <x v="80"/>
    <n v="582.4"/>
    <n v="28"/>
    <x v="2"/>
  </r>
  <r>
    <n v="10337"/>
    <x v="80"/>
    <n v="695"/>
    <n v="25"/>
    <x v="1"/>
  </r>
  <r>
    <n v="10338"/>
    <x v="81"/>
    <n v="624"/>
    <n v="20"/>
    <x v="5"/>
  </r>
  <r>
    <n v="10338"/>
    <x v="81"/>
    <n v="624"/>
    <n v="20"/>
    <x v="0"/>
  </r>
  <r>
    <n v="10338"/>
    <x v="81"/>
    <n v="310.5"/>
    <n v="15"/>
    <x v="3"/>
  </r>
  <r>
    <n v="10338"/>
    <x v="81"/>
    <n v="624"/>
    <n v="20"/>
    <x v="3"/>
  </r>
  <r>
    <n v="10338"/>
    <x v="81"/>
    <n v="310.5"/>
    <n v="15"/>
    <x v="7"/>
  </r>
  <r>
    <n v="10338"/>
    <x v="81"/>
    <n v="624"/>
    <n v="20"/>
    <x v="1"/>
  </r>
  <r>
    <n v="10338"/>
    <x v="81"/>
    <n v="310.5"/>
    <n v="15"/>
    <x v="0"/>
  </r>
  <r>
    <n v="10338"/>
    <x v="81"/>
    <n v="624"/>
    <n v="20"/>
    <x v="7"/>
  </r>
  <r>
    <n v="10338"/>
    <x v="81"/>
    <n v="310.5"/>
    <n v="15"/>
    <x v="2"/>
  </r>
  <r>
    <n v="10338"/>
    <x v="81"/>
    <n v="624"/>
    <n v="20"/>
    <x v="2"/>
  </r>
  <r>
    <n v="10338"/>
    <x v="81"/>
    <n v="310.5"/>
    <n v="15"/>
    <x v="6"/>
  </r>
  <r>
    <n v="10338"/>
    <x v="81"/>
    <n v="624"/>
    <n v="20"/>
    <x v="4"/>
  </r>
  <r>
    <n v="10338"/>
    <x v="81"/>
    <n v="310.5"/>
    <n v="15"/>
    <x v="1"/>
  </r>
  <r>
    <n v="10338"/>
    <x v="81"/>
    <n v="310.5"/>
    <n v="15"/>
    <x v="5"/>
  </r>
  <r>
    <n v="10338"/>
    <x v="81"/>
    <n v="624"/>
    <n v="20"/>
    <x v="6"/>
  </r>
  <r>
    <n v="10338"/>
    <x v="81"/>
    <n v="310.5"/>
    <n v="15"/>
    <x v="4"/>
  </r>
  <r>
    <n v="10339"/>
    <x v="82"/>
    <n v="1103.2"/>
    <n v="28"/>
    <x v="4"/>
  </r>
  <r>
    <n v="10339"/>
    <x v="82"/>
    <n v="2074.7999983727932"/>
    <n v="70"/>
    <x v="4"/>
  </r>
  <r>
    <n v="10339"/>
    <x v="82"/>
    <n v="176"/>
    <n v="10"/>
    <x v="4"/>
  </r>
  <r>
    <n v="10339"/>
    <x v="82"/>
    <n v="1103.2"/>
    <n v="28"/>
    <x v="7"/>
  </r>
  <r>
    <n v="10339"/>
    <x v="82"/>
    <n v="2074.7999983727932"/>
    <n v="70"/>
    <x v="7"/>
  </r>
  <r>
    <n v="10339"/>
    <x v="82"/>
    <n v="2074.7999983727932"/>
    <n v="70"/>
    <x v="5"/>
  </r>
  <r>
    <n v="10339"/>
    <x v="82"/>
    <n v="176"/>
    <n v="10"/>
    <x v="0"/>
  </r>
  <r>
    <n v="10339"/>
    <x v="82"/>
    <n v="176"/>
    <n v="10"/>
    <x v="7"/>
  </r>
  <r>
    <n v="10339"/>
    <x v="82"/>
    <n v="2074.7999983727932"/>
    <n v="70"/>
    <x v="0"/>
  </r>
  <r>
    <n v="10339"/>
    <x v="82"/>
    <n v="176"/>
    <n v="10"/>
    <x v="5"/>
  </r>
  <r>
    <n v="10339"/>
    <x v="82"/>
    <n v="1103.2"/>
    <n v="28"/>
    <x v="5"/>
  </r>
  <r>
    <n v="10339"/>
    <x v="82"/>
    <n v="1103.2"/>
    <n v="28"/>
    <x v="2"/>
  </r>
  <r>
    <n v="10339"/>
    <x v="82"/>
    <n v="176"/>
    <n v="10"/>
    <x v="3"/>
  </r>
  <r>
    <n v="10339"/>
    <x v="82"/>
    <n v="2074.7999983727932"/>
    <n v="70"/>
    <x v="3"/>
  </r>
  <r>
    <n v="10339"/>
    <x v="82"/>
    <n v="1103.2"/>
    <n v="28"/>
    <x v="1"/>
  </r>
  <r>
    <n v="10339"/>
    <x v="82"/>
    <n v="2074.7999983727932"/>
    <n v="70"/>
    <x v="2"/>
  </r>
  <r>
    <n v="10339"/>
    <x v="82"/>
    <n v="1103.2"/>
    <n v="28"/>
    <x v="3"/>
  </r>
  <r>
    <n v="10339"/>
    <x v="82"/>
    <n v="1103.2"/>
    <n v="28"/>
    <x v="0"/>
  </r>
  <r>
    <n v="10339"/>
    <x v="82"/>
    <n v="2074.7999983727932"/>
    <n v="70"/>
    <x v="1"/>
  </r>
  <r>
    <n v="10339"/>
    <x v="82"/>
    <n v="2074.7999983727932"/>
    <n v="70"/>
    <x v="6"/>
  </r>
  <r>
    <n v="10339"/>
    <x v="82"/>
    <n v="176"/>
    <n v="10"/>
    <x v="6"/>
  </r>
  <r>
    <n v="10339"/>
    <x v="82"/>
    <n v="176"/>
    <n v="10"/>
    <x v="1"/>
  </r>
  <r>
    <n v="10339"/>
    <x v="82"/>
    <n v="1103.2"/>
    <n v="28"/>
    <x v="6"/>
  </r>
  <r>
    <n v="10339"/>
    <x v="82"/>
    <n v="176"/>
    <n v="10"/>
    <x v="2"/>
  </r>
  <r>
    <n v="10340"/>
    <x v="83"/>
    <n v="87.779999931156638"/>
    <n v="12"/>
    <x v="1"/>
  </r>
  <r>
    <n v="10340"/>
    <x v="83"/>
    <n v="1398.3999989032745"/>
    <n v="40"/>
    <x v="3"/>
  </r>
  <r>
    <n v="10340"/>
    <x v="83"/>
    <n v="949.99999925494194"/>
    <n v="20"/>
    <x v="7"/>
  </r>
  <r>
    <n v="10340"/>
    <x v="83"/>
    <n v="1398.3999989032745"/>
    <n v="40"/>
    <x v="7"/>
  </r>
  <r>
    <n v="10340"/>
    <x v="83"/>
    <n v="1398.3999989032745"/>
    <n v="40"/>
    <x v="1"/>
  </r>
  <r>
    <n v="10340"/>
    <x v="83"/>
    <n v="949.99999925494194"/>
    <n v="20"/>
    <x v="1"/>
  </r>
  <r>
    <n v="10340"/>
    <x v="83"/>
    <n v="87.779999931156638"/>
    <n v="12"/>
    <x v="6"/>
  </r>
  <r>
    <n v="10340"/>
    <x v="83"/>
    <n v="949.99999925494194"/>
    <n v="20"/>
    <x v="6"/>
  </r>
  <r>
    <n v="10340"/>
    <x v="83"/>
    <n v="87.779999931156638"/>
    <n v="12"/>
    <x v="7"/>
  </r>
  <r>
    <n v="10340"/>
    <x v="83"/>
    <n v="87.779999931156638"/>
    <n v="12"/>
    <x v="0"/>
  </r>
  <r>
    <n v="10340"/>
    <x v="83"/>
    <n v="949.99999925494194"/>
    <n v="20"/>
    <x v="5"/>
  </r>
  <r>
    <n v="10340"/>
    <x v="83"/>
    <n v="87.779999931156638"/>
    <n v="12"/>
    <x v="5"/>
  </r>
  <r>
    <n v="10340"/>
    <x v="83"/>
    <n v="1398.3999989032745"/>
    <n v="40"/>
    <x v="5"/>
  </r>
  <r>
    <n v="10340"/>
    <x v="83"/>
    <n v="1398.3999989032745"/>
    <n v="40"/>
    <x v="2"/>
  </r>
  <r>
    <n v="10340"/>
    <x v="83"/>
    <n v="87.779999931156638"/>
    <n v="12"/>
    <x v="2"/>
  </r>
  <r>
    <n v="10340"/>
    <x v="83"/>
    <n v="949.99999925494194"/>
    <n v="20"/>
    <x v="2"/>
  </r>
  <r>
    <n v="10340"/>
    <x v="83"/>
    <n v="949.99999925494194"/>
    <n v="20"/>
    <x v="3"/>
  </r>
  <r>
    <n v="10340"/>
    <x v="83"/>
    <n v="87.779999931156638"/>
    <n v="12"/>
    <x v="4"/>
  </r>
  <r>
    <n v="10340"/>
    <x v="83"/>
    <n v="87.779999931156638"/>
    <n v="12"/>
    <x v="3"/>
  </r>
  <r>
    <n v="10340"/>
    <x v="83"/>
    <n v="1398.3999989032745"/>
    <n v="40"/>
    <x v="0"/>
  </r>
  <r>
    <n v="10340"/>
    <x v="83"/>
    <n v="949.99999925494194"/>
    <n v="20"/>
    <x v="0"/>
  </r>
  <r>
    <n v="10340"/>
    <x v="83"/>
    <n v="949.99999925494194"/>
    <n v="20"/>
    <x v="4"/>
  </r>
  <r>
    <n v="10340"/>
    <x v="83"/>
    <n v="1398.3999989032745"/>
    <n v="40"/>
    <x v="6"/>
  </r>
  <r>
    <n v="10340"/>
    <x v="83"/>
    <n v="1398.3999989032745"/>
    <n v="40"/>
    <x v="4"/>
  </r>
  <r>
    <n v="10341"/>
    <x v="83"/>
    <n v="16"/>
    <n v="8"/>
    <x v="1"/>
  </r>
  <r>
    <n v="10341"/>
    <x v="83"/>
    <n v="336.59999763965607"/>
    <n v="9"/>
    <x v="1"/>
  </r>
  <r>
    <n v="10341"/>
    <x v="83"/>
    <n v="336.59999763965607"/>
    <n v="9"/>
    <x v="3"/>
  </r>
  <r>
    <n v="10341"/>
    <x v="83"/>
    <n v="16"/>
    <n v="8"/>
    <x v="2"/>
  </r>
  <r>
    <n v="10341"/>
    <x v="83"/>
    <n v="16"/>
    <n v="8"/>
    <x v="3"/>
  </r>
  <r>
    <n v="10341"/>
    <x v="83"/>
    <n v="336.59999763965607"/>
    <n v="9"/>
    <x v="2"/>
  </r>
  <r>
    <n v="10341"/>
    <x v="83"/>
    <n v="16"/>
    <n v="8"/>
    <x v="0"/>
  </r>
  <r>
    <n v="10341"/>
    <x v="83"/>
    <n v="16"/>
    <n v="8"/>
    <x v="5"/>
  </r>
  <r>
    <n v="10341"/>
    <x v="83"/>
    <n v="336.59999763965607"/>
    <n v="9"/>
    <x v="5"/>
  </r>
  <r>
    <n v="10341"/>
    <x v="83"/>
    <n v="336.59999763965607"/>
    <n v="9"/>
    <x v="4"/>
  </r>
  <r>
    <n v="10341"/>
    <x v="83"/>
    <n v="16"/>
    <n v="8"/>
    <x v="6"/>
  </r>
  <r>
    <n v="10341"/>
    <x v="83"/>
    <n v="16"/>
    <n v="8"/>
    <x v="4"/>
  </r>
  <r>
    <n v="10341"/>
    <x v="83"/>
    <n v="336.59999763965607"/>
    <n v="9"/>
    <x v="0"/>
  </r>
  <r>
    <n v="10341"/>
    <x v="83"/>
    <n v="336.59999763965607"/>
    <n v="9"/>
    <x v="6"/>
  </r>
  <r>
    <n v="10341"/>
    <x v="83"/>
    <n v="336.59999763965607"/>
    <n v="9"/>
    <x v="7"/>
  </r>
  <r>
    <n v="10341"/>
    <x v="83"/>
    <n v="16"/>
    <n v="8"/>
    <x v="7"/>
  </r>
  <r>
    <n v="10342"/>
    <x v="84"/>
    <n v="291.83999891281127"/>
    <n v="24"/>
    <x v="4"/>
  </r>
  <r>
    <n v="10342"/>
    <x v="84"/>
    <n v="486.3999981880188"/>
    <n v="40"/>
    <x v="3"/>
  </r>
  <r>
    <n v="10342"/>
    <x v="84"/>
    <n v="447.99999833106995"/>
    <n v="56"/>
    <x v="3"/>
  </r>
  <r>
    <n v="10342"/>
    <x v="84"/>
    <n v="614.39999771118164"/>
    <n v="40"/>
    <x v="4"/>
  </r>
  <r>
    <n v="10342"/>
    <x v="84"/>
    <n v="486.3999981880188"/>
    <n v="40"/>
    <x v="1"/>
  </r>
  <r>
    <n v="10342"/>
    <x v="84"/>
    <n v="291.83999891281127"/>
    <n v="24"/>
    <x v="3"/>
  </r>
  <r>
    <n v="10342"/>
    <x v="84"/>
    <n v="447.99999833106995"/>
    <n v="56"/>
    <x v="4"/>
  </r>
  <r>
    <n v="10342"/>
    <x v="84"/>
    <n v="486.3999981880188"/>
    <n v="40"/>
    <x v="7"/>
  </r>
  <r>
    <n v="10342"/>
    <x v="84"/>
    <n v="291.83999891281127"/>
    <n v="24"/>
    <x v="7"/>
  </r>
  <r>
    <n v="10342"/>
    <x v="84"/>
    <n v="614.39999771118164"/>
    <n v="40"/>
    <x v="3"/>
  </r>
  <r>
    <n v="10342"/>
    <x v="84"/>
    <n v="447.99999833106995"/>
    <n v="56"/>
    <x v="7"/>
  </r>
  <r>
    <n v="10342"/>
    <x v="84"/>
    <n v="614.39999771118164"/>
    <n v="40"/>
    <x v="7"/>
  </r>
  <r>
    <n v="10342"/>
    <x v="84"/>
    <n v="486.3999981880188"/>
    <n v="40"/>
    <x v="4"/>
  </r>
  <r>
    <n v="10342"/>
    <x v="84"/>
    <n v="447.99999833106995"/>
    <n v="56"/>
    <x v="1"/>
  </r>
  <r>
    <n v="10342"/>
    <x v="84"/>
    <n v="447.99999833106995"/>
    <n v="56"/>
    <x v="0"/>
  </r>
  <r>
    <n v="10342"/>
    <x v="84"/>
    <n v="486.3999981880188"/>
    <n v="40"/>
    <x v="0"/>
  </r>
  <r>
    <n v="10342"/>
    <x v="84"/>
    <n v="614.39999771118164"/>
    <n v="40"/>
    <x v="0"/>
  </r>
  <r>
    <n v="10342"/>
    <x v="84"/>
    <n v="614.39999771118164"/>
    <n v="40"/>
    <x v="5"/>
  </r>
  <r>
    <n v="10342"/>
    <x v="84"/>
    <n v="614.39999771118164"/>
    <n v="40"/>
    <x v="2"/>
  </r>
  <r>
    <n v="10342"/>
    <x v="84"/>
    <n v="614.39999771118164"/>
    <n v="40"/>
    <x v="6"/>
  </r>
  <r>
    <n v="10342"/>
    <x v="84"/>
    <n v="486.3999981880188"/>
    <n v="40"/>
    <x v="6"/>
  </r>
  <r>
    <n v="10342"/>
    <x v="84"/>
    <n v="447.99999833106995"/>
    <n v="56"/>
    <x v="6"/>
  </r>
  <r>
    <n v="10342"/>
    <x v="84"/>
    <n v="291.83999891281127"/>
    <n v="24"/>
    <x v="0"/>
  </r>
  <r>
    <n v="10342"/>
    <x v="84"/>
    <n v="291.83999891281127"/>
    <n v="24"/>
    <x v="1"/>
  </r>
  <r>
    <n v="10342"/>
    <x v="84"/>
    <n v="486.3999981880188"/>
    <n v="40"/>
    <x v="5"/>
  </r>
  <r>
    <n v="10342"/>
    <x v="84"/>
    <n v="614.39999771118164"/>
    <n v="40"/>
    <x v="1"/>
  </r>
  <r>
    <n v="10342"/>
    <x v="84"/>
    <n v="447.99999833106995"/>
    <n v="56"/>
    <x v="5"/>
  </r>
  <r>
    <n v="10342"/>
    <x v="84"/>
    <n v="291.83999891281127"/>
    <n v="24"/>
    <x v="5"/>
  </r>
  <r>
    <n v="10342"/>
    <x v="84"/>
    <n v="291.83999891281127"/>
    <n v="24"/>
    <x v="2"/>
  </r>
  <r>
    <n v="10342"/>
    <x v="84"/>
    <n v="447.99999833106995"/>
    <n v="56"/>
    <x v="2"/>
  </r>
  <r>
    <n v="10342"/>
    <x v="84"/>
    <n v="486.3999981880188"/>
    <n v="40"/>
    <x v="2"/>
  </r>
  <r>
    <n v="10342"/>
    <x v="84"/>
    <n v="291.83999891281127"/>
    <n v="24"/>
    <x v="6"/>
  </r>
  <r>
    <n v="10343"/>
    <x v="85"/>
    <n v="1330"/>
    <n v="50"/>
    <x v="6"/>
  </r>
  <r>
    <n v="10343"/>
    <x v="85"/>
    <n v="1330"/>
    <n v="50"/>
    <x v="5"/>
  </r>
  <r>
    <n v="10343"/>
    <x v="85"/>
    <n v="37.999999970197678"/>
    <n v="4"/>
    <x v="5"/>
  </r>
  <r>
    <n v="10343"/>
    <x v="85"/>
    <n v="1330"/>
    <n v="50"/>
    <x v="0"/>
  </r>
  <r>
    <n v="10343"/>
    <x v="85"/>
    <n v="1330"/>
    <n v="50"/>
    <x v="4"/>
  </r>
  <r>
    <n v="10343"/>
    <x v="85"/>
    <n v="37.999999970197678"/>
    <n v="4"/>
    <x v="4"/>
  </r>
  <r>
    <n v="10343"/>
    <x v="85"/>
    <n v="216"/>
    <n v="15"/>
    <x v="5"/>
  </r>
  <r>
    <n v="10343"/>
    <x v="85"/>
    <n v="37.999999970197678"/>
    <n v="4"/>
    <x v="0"/>
  </r>
  <r>
    <n v="10343"/>
    <x v="85"/>
    <n v="1330"/>
    <n v="50"/>
    <x v="1"/>
  </r>
  <r>
    <n v="10343"/>
    <x v="85"/>
    <n v="37.999999970197678"/>
    <n v="4"/>
    <x v="6"/>
  </r>
  <r>
    <n v="10343"/>
    <x v="85"/>
    <n v="216"/>
    <n v="15"/>
    <x v="4"/>
  </r>
  <r>
    <n v="10343"/>
    <x v="85"/>
    <n v="37.999999970197678"/>
    <n v="4"/>
    <x v="1"/>
  </r>
  <r>
    <n v="10343"/>
    <x v="85"/>
    <n v="216"/>
    <n v="15"/>
    <x v="1"/>
  </r>
  <r>
    <n v="10343"/>
    <x v="85"/>
    <n v="216"/>
    <n v="15"/>
    <x v="2"/>
  </r>
  <r>
    <n v="10343"/>
    <x v="85"/>
    <n v="37.999999970197678"/>
    <n v="4"/>
    <x v="2"/>
  </r>
  <r>
    <n v="10343"/>
    <x v="85"/>
    <n v="1330"/>
    <n v="50"/>
    <x v="2"/>
  </r>
  <r>
    <n v="10343"/>
    <x v="85"/>
    <n v="216"/>
    <n v="15"/>
    <x v="6"/>
  </r>
  <r>
    <n v="10343"/>
    <x v="85"/>
    <n v="1330"/>
    <n v="50"/>
    <x v="7"/>
  </r>
  <r>
    <n v="10343"/>
    <x v="85"/>
    <n v="216"/>
    <n v="15"/>
    <x v="3"/>
  </r>
  <r>
    <n v="10343"/>
    <x v="85"/>
    <n v="37.999999970197678"/>
    <n v="4"/>
    <x v="3"/>
  </r>
  <r>
    <n v="10343"/>
    <x v="85"/>
    <n v="1330"/>
    <n v="50"/>
    <x v="3"/>
  </r>
  <r>
    <n v="10343"/>
    <x v="85"/>
    <n v="216"/>
    <n v="15"/>
    <x v="0"/>
  </r>
  <r>
    <n v="10343"/>
    <x v="85"/>
    <n v="216"/>
    <n v="15"/>
    <x v="7"/>
  </r>
  <r>
    <n v="10343"/>
    <x v="85"/>
    <n v="37.999999970197678"/>
    <n v="4"/>
    <x v="7"/>
  </r>
  <r>
    <n v="10344"/>
    <x v="86"/>
    <n v="1680"/>
    <n v="70"/>
    <x v="6"/>
  </r>
  <r>
    <n v="10344"/>
    <x v="86"/>
    <n v="616"/>
    <n v="35"/>
    <x v="6"/>
  </r>
  <r>
    <n v="10344"/>
    <x v="86"/>
    <n v="616"/>
    <n v="35"/>
    <x v="0"/>
  </r>
  <r>
    <n v="10344"/>
    <x v="86"/>
    <n v="1680"/>
    <n v="70"/>
    <x v="4"/>
  </r>
  <r>
    <n v="10344"/>
    <x v="86"/>
    <n v="1680"/>
    <n v="70"/>
    <x v="2"/>
  </r>
  <r>
    <n v="10344"/>
    <x v="86"/>
    <n v="616"/>
    <n v="35"/>
    <x v="4"/>
  </r>
  <r>
    <n v="10344"/>
    <x v="86"/>
    <n v="616"/>
    <n v="35"/>
    <x v="2"/>
  </r>
  <r>
    <n v="10344"/>
    <x v="86"/>
    <n v="616"/>
    <n v="35"/>
    <x v="3"/>
  </r>
  <r>
    <n v="10344"/>
    <x v="86"/>
    <n v="1680"/>
    <n v="70"/>
    <x v="3"/>
  </r>
  <r>
    <n v="10344"/>
    <x v="86"/>
    <n v="1680"/>
    <n v="70"/>
    <x v="0"/>
  </r>
  <r>
    <n v="10344"/>
    <x v="86"/>
    <n v="616"/>
    <n v="35"/>
    <x v="7"/>
  </r>
  <r>
    <n v="10344"/>
    <x v="86"/>
    <n v="616"/>
    <n v="35"/>
    <x v="5"/>
  </r>
  <r>
    <n v="10344"/>
    <x v="86"/>
    <n v="1680"/>
    <n v="70"/>
    <x v="1"/>
  </r>
  <r>
    <n v="10344"/>
    <x v="86"/>
    <n v="616"/>
    <n v="35"/>
    <x v="1"/>
  </r>
  <r>
    <n v="10344"/>
    <x v="86"/>
    <n v="1680"/>
    <n v="70"/>
    <x v="7"/>
  </r>
  <r>
    <n v="10344"/>
    <x v="86"/>
    <n v="1680"/>
    <n v="70"/>
    <x v="5"/>
  </r>
  <r>
    <n v="10345"/>
    <x v="87"/>
    <n v="100.8"/>
    <n v="9"/>
    <x v="6"/>
  </r>
  <r>
    <n v="10345"/>
    <x v="87"/>
    <n v="100.8"/>
    <n v="9"/>
    <x v="3"/>
  </r>
  <r>
    <n v="10345"/>
    <x v="87"/>
    <n v="100.8"/>
    <n v="9"/>
    <x v="5"/>
  </r>
  <r>
    <n v="10345"/>
    <x v="87"/>
    <n v="584"/>
    <n v="80"/>
    <x v="5"/>
  </r>
  <r>
    <n v="10345"/>
    <x v="87"/>
    <n v="2240"/>
    <n v="70"/>
    <x v="5"/>
  </r>
  <r>
    <n v="10345"/>
    <x v="87"/>
    <n v="584"/>
    <n v="80"/>
    <x v="6"/>
  </r>
  <r>
    <n v="10345"/>
    <x v="87"/>
    <n v="100.8"/>
    <n v="9"/>
    <x v="7"/>
  </r>
  <r>
    <n v="10345"/>
    <x v="87"/>
    <n v="2240"/>
    <n v="70"/>
    <x v="6"/>
  </r>
  <r>
    <n v="10345"/>
    <x v="87"/>
    <n v="584"/>
    <n v="80"/>
    <x v="7"/>
  </r>
  <r>
    <n v="10345"/>
    <x v="87"/>
    <n v="2240"/>
    <n v="70"/>
    <x v="7"/>
  </r>
  <r>
    <n v="10345"/>
    <x v="87"/>
    <n v="100.8"/>
    <n v="9"/>
    <x v="4"/>
  </r>
  <r>
    <n v="10345"/>
    <x v="87"/>
    <n v="584"/>
    <n v="80"/>
    <x v="4"/>
  </r>
  <r>
    <n v="10345"/>
    <x v="87"/>
    <n v="2240"/>
    <n v="70"/>
    <x v="4"/>
  </r>
  <r>
    <n v="10345"/>
    <x v="87"/>
    <n v="584"/>
    <n v="80"/>
    <x v="3"/>
  </r>
  <r>
    <n v="10345"/>
    <x v="87"/>
    <n v="100.8"/>
    <n v="9"/>
    <x v="0"/>
  </r>
  <r>
    <n v="10345"/>
    <x v="87"/>
    <n v="584"/>
    <n v="80"/>
    <x v="0"/>
  </r>
  <r>
    <n v="10345"/>
    <x v="87"/>
    <n v="100.8"/>
    <n v="9"/>
    <x v="1"/>
  </r>
  <r>
    <n v="10345"/>
    <x v="87"/>
    <n v="2240"/>
    <n v="70"/>
    <x v="0"/>
  </r>
  <r>
    <n v="10345"/>
    <x v="87"/>
    <n v="2240"/>
    <n v="70"/>
    <x v="2"/>
  </r>
  <r>
    <n v="10345"/>
    <x v="87"/>
    <n v="584"/>
    <n v="80"/>
    <x v="2"/>
  </r>
  <r>
    <n v="10345"/>
    <x v="87"/>
    <n v="2240"/>
    <n v="70"/>
    <x v="3"/>
  </r>
  <r>
    <n v="10345"/>
    <x v="87"/>
    <n v="100.8"/>
    <n v="9"/>
    <x v="2"/>
  </r>
  <r>
    <n v="10345"/>
    <x v="87"/>
    <n v="584"/>
    <n v="80"/>
    <x v="1"/>
  </r>
  <r>
    <n v="10345"/>
    <x v="87"/>
    <n v="2240"/>
    <n v="70"/>
    <x v="1"/>
  </r>
  <r>
    <n v="10346"/>
    <x v="88"/>
    <n v="608"/>
    <n v="20"/>
    <x v="5"/>
  </r>
  <r>
    <n v="10346"/>
    <x v="88"/>
    <n v="608"/>
    <n v="20"/>
    <x v="4"/>
  </r>
  <r>
    <n v="10346"/>
    <x v="88"/>
    <n v="1010.8799983263016"/>
    <n v="36"/>
    <x v="1"/>
  </r>
  <r>
    <n v="10346"/>
    <x v="88"/>
    <n v="608"/>
    <n v="20"/>
    <x v="7"/>
  </r>
  <r>
    <n v="10346"/>
    <x v="88"/>
    <n v="1010.8799983263016"/>
    <n v="36"/>
    <x v="7"/>
  </r>
  <r>
    <n v="10346"/>
    <x v="88"/>
    <n v="1010.8799983263016"/>
    <n v="36"/>
    <x v="4"/>
  </r>
  <r>
    <n v="10346"/>
    <x v="88"/>
    <n v="1010.8799983263016"/>
    <n v="36"/>
    <x v="5"/>
  </r>
  <r>
    <n v="10346"/>
    <x v="88"/>
    <n v="608"/>
    <n v="20"/>
    <x v="2"/>
  </r>
  <r>
    <n v="10346"/>
    <x v="88"/>
    <n v="1010.8799983263016"/>
    <n v="36"/>
    <x v="2"/>
  </r>
  <r>
    <n v="10346"/>
    <x v="88"/>
    <n v="608"/>
    <n v="20"/>
    <x v="1"/>
  </r>
  <r>
    <n v="10346"/>
    <x v="88"/>
    <n v="1010.8799983263016"/>
    <n v="36"/>
    <x v="6"/>
  </r>
  <r>
    <n v="10346"/>
    <x v="88"/>
    <n v="608"/>
    <n v="20"/>
    <x v="6"/>
  </r>
  <r>
    <n v="10346"/>
    <x v="88"/>
    <n v="1010.8799983263016"/>
    <n v="36"/>
    <x v="0"/>
  </r>
  <r>
    <n v="10346"/>
    <x v="88"/>
    <n v="608"/>
    <n v="20"/>
    <x v="3"/>
  </r>
  <r>
    <n v="10346"/>
    <x v="88"/>
    <n v="1010.8799983263016"/>
    <n v="36"/>
    <x v="3"/>
  </r>
  <r>
    <n v="10346"/>
    <x v="88"/>
    <n v="608"/>
    <n v="20"/>
    <x v="0"/>
  </r>
  <r>
    <n v="10347"/>
    <x v="89"/>
    <n v="611.99999570846558"/>
    <n v="50"/>
    <x v="7"/>
  </r>
  <r>
    <n v="10347"/>
    <x v="89"/>
    <n v="31.619999778270724"/>
    <n v="6"/>
    <x v="4"/>
  </r>
  <r>
    <n v="10347"/>
    <x v="89"/>
    <n v="611.99999570846558"/>
    <n v="50"/>
    <x v="4"/>
  </r>
  <r>
    <n v="10347"/>
    <x v="89"/>
    <n v="112"/>
    <n v="10"/>
    <x v="2"/>
  </r>
  <r>
    <n v="10347"/>
    <x v="89"/>
    <n v="112"/>
    <n v="10"/>
    <x v="5"/>
  </r>
  <r>
    <n v="10347"/>
    <x v="89"/>
    <n v="31.619999778270724"/>
    <n v="6"/>
    <x v="6"/>
  </r>
  <r>
    <n v="10347"/>
    <x v="89"/>
    <n v="58.8"/>
    <n v="4"/>
    <x v="6"/>
  </r>
  <r>
    <n v="10347"/>
    <x v="89"/>
    <n v="611.99999570846558"/>
    <n v="50"/>
    <x v="6"/>
  </r>
  <r>
    <n v="10347"/>
    <x v="89"/>
    <n v="112"/>
    <n v="10"/>
    <x v="6"/>
  </r>
  <r>
    <n v="10347"/>
    <x v="89"/>
    <n v="31.619999778270724"/>
    <n v="6"/>
    <x v="5"/>
  </r>
  <r>
    <n v="10347"/>
    <x v="89"/>
    <n v="31.619999778270724"/>
    <n v="6"/>
    <x v="7"/>
  </r>
  <r>
    <n v="10347"/>
    <x v="89"/>
    <n v="611.99999570846558"/>
    <n v="50"/>
    <x v="5"/>
  </r>
  <r>
    <n v="10347"/>
    <x v="89"/>
    <n v="611.99999570846558"/>
    <n v="50"/>
    <x v="2"/>
  </r>
  <r>
    <n v="10347"/>
    <x v="89"/>
    <n v="112"/>
    <n v="10"/>
    <x v="7"/>
  </r>
  <r>
    <n v="10347"/>
    <x v="89"/>
    <n v="58.8"/>
    <n v="4"/>
    <x v="4"/>
  </r>
  <r>
    <n v="10347"/>
    <x v="89"/>
    <n v="58.8"/>
    <n v="4"/>
    <x v="7"/>
  </r>
  <r>
    <n v="10347"/>
    <x v="89"/>
    <n v="112"/>
    <n v="10"/>
    <x v="0"/>
  </r>
  <r>
    <n v="10347"/>
    <x v="89"/>
    <n v="31.619999778270724"/>
    <n v="6"/>
    <x v="2"/>
  </r>
  <r>
    <n v="10347"/>
    <x v="89"/>
    <n v="58.8"/>
    <n v="4"/>
    <x v="2"/>
  </r>
  <r>
    <n v="10347"/>
    <x v="89"/>
    <n v="58.8"/>
    <n v="4"/>
    <x v="5"/>
  </r>
  <r>
    <n v="10347"/>
    <x v="89"/>
    <n v="611.99999570846558"/>
    <n v="50"/>
    <x v="0"/>
  </r>
  <r>
    <n v="10347"/>
    <x v="89"/>
    <n v="112"/>
    <n v="10"/>
    <x v="3"/>
  </r>
  <r>
    <n v="10347"/>
    <x v="89"/>
    <n v="611.99999570846558"/>
    <n v="50"/>
    <x v="3"/>
  </r>
  <r>
    <n v="10347"/>
    <x v="89"/>
    <n v="58.8"/>
    <n v="4"/>
    <x v="3"/>
  </r>
  <r>
    <n v="10347"/>
    <x v="89"/>
    <n v="31.619999778270724"/>
    <n v="6"/>
    <x v="3"/>
  </r>
  <r>
    <n v="10347"/>
    <x v="89"/>
    <n v="112"/>
    <n v="10"/>
    <x v="4"/>
  </r>
  <r>
    <n v="10347"/>
    <x v="89"/>
    <n v="112"/>
    <n v="10"/>
    <x v="1"/>
  </r>
  <r>
    <n v="10347"/>
    <x v="89"/>
    <n v="611.99999570846558"/>
    <n v="50"/>
    <x v="1"/>
  </r>
  <r>
    <n v="10347"/>
    <x v="89"/>
    <n v="58.8"/>
    <n v="4"/>
    <x v="1"/>
  </r>
  <r>
    <n v="10347"/>
    <x v="89"/>
    <n v="31.619999778270724"/>
    <n v="6"/>
    <x v="1"/>
  </r>
  <r>
    <n v="10347"/>
    <x v="89"/>
    <n v="58.8"/>
    <n v="4"/>
    <x v="0"/>
  </r>
  <r>
    <n v="10347"/>
    <x v="89"/>
    <n v="31.619999778270724"/>
    <n v="6"/>
    <x v="0"/>
  </r>
  <r>
    <n v="10348"/>
    <x v="90"/>
    <n v="180"/>
    <n v="25"/>
    <x v="4"/>
  </r>
  <r>
    <n v="10348"/>
    <x v="90"/>
    <n v="183.59999871253967"/>
    <n v="15"/>
    <x v="7"/>
  </r>
  <r>
    <n v="10348"/>
    <x v="90"/>
    <n v="180"/>
    <n v="25"/>
    <x v="2"/>
  </r>
  <r>
    <n v="10348"/>
    <x v="90"/>
    <n v="183.59999871253967"/>
    <n v="15"/>
    <x v="2"/>
  </r>
  <r>
    <n v="10348"/>
    <x v="90"/>
    <n v="183.59999871253967"/>
    <n v="15"/>
    <x v="5"/>
  </r>
  <r>
    <n v="10348"/>
    <x v="90"/>
    <n v="180"/>
    <n v="25"/>
    <x v="5"/>
  </r>
  <r>
    <n v="10348"/>
    <x v="90"/>
    <n v="183.59999871253967"/>
    <n v="15"/>
    <x v="3"/>
  </r>
  <r>
    <n v="10348"/>
    <x v="90"/>
    <n v="183.59999871253967"/>
    <n v="15"/>
    <x v="4"/>
  </r>
  <r>
    <n v="10348"/>
    <x v="90"/>
    <n v="180"/>
    <n v="25"/>
    <x v="7"/>
  </r>
  <r>
    <n v="10348"/>
    <x v="90"/>
    <n v="180"/>
    <n v="25"/>
    <x v="1"/>
  </r>
  <r>
    <n v="10348"/>
    <x v="90"/>
    <n v="183.59999871253967"/>
    <n v="15"/>
    <x v="6"/>
  </r>
  <r>
    <n v="10348"/>
    <x v="90"/>
    <n v="183.59999871253967"/>
    <n v="15"/>
    <x v="0"/>
  </r>
  <r>
    <n v="10348"/>
    <x v="90"/>
    <n v="180"/>
    <n v="25"/>
    <x v="6"/>
  </r>
  <r>
    <n v="10348"/>
    <x v="90"/>
    <n v="183.59999871253967"/>
    <n v="15"/>
    <x v="1"/>
  </r>
  <r>
    <n v="10348"/>
    <x v="90"/>
    <n v="180"/>
    <n v="25"/>
    <x v="3"/>
  </r>
  <r>
    <n v="10348"/>
    <x v="90"/>
    <n v="180"/>
    <n v="25"/>
    <x v="0"/>
  </r>
  <r>
    <n v="10349"/>
    <x v="91"/>
    <n v="141.6"/>
    <n v="24"/>
    <x v="3"/>
  </r>
  <r>
    <n v="10349"/>
    <x v="91"/>
    <n v="141.6"/>
    <n v="24"/>
    <x v="1"/>
  </r>
  <r>
    <n v="10349"/>
    <x v="91"/>
    <n v="141.6"/>
    <n v="24"/>
    <x v="2"/>
  </r>
  <r>
    <n v="10349"/>
    <x v="91"/>
    <n v="141.6"/>
    <n v="24"/>
    <x v="0"/>
  </r>
  <r>
    <n v="10349"/>
    <x v="91"/>
    <n v="141.6"/>
    <n v="24"/>
    <x v="7"/>
  </r>
  <r>
    <n v="10349"/>
    <x v="91"/>
    <n v="141.6"/>
    <n v="24"/>
    <x v="5"/>
  </r>
  <r>
    <n v="10349"/>
    <x v="91"/>
    <n v="141.6"/>
    <n v="24"/>
    <x v="6"/>
  </r>
  <r>
    <n v="10349"/>
    <x v="91"/>
    <n v="141.6"/>
    <n v="24"/>
    <x v="4"/>
  </r>
  <r>
    <n v="10350"/>
    <x v="92"/>
    <n v="175.49999970942736"/>
    <n v="15"/>
    <x v="4"/>
  </r>
  <r>
    <n v="10350"/>
    <x v="92"/>
    <n v="175.49999970942736"/>
    <n v="15"/>
    <x v="0"/>
  </r>
  <r>
    <n v="10350"/>
    <x v="92"/>
    <n v="466.5599992275238"/>
    <n v="18"/>
    <x v="0"/>
  </r>
  <r>
    <n v="10350"/>
    <x v="92"/>
    <n v="466.5599992275238"/>
    <n v="18"/>
    <x v="7"/>
  </r>
  <r>
    <n v="10350"/>
    <x v="92"/>
    <n v="175.49999970942736"/>
    <n v="15"/>
    <x v="2"/>
  </r>
  <r>
    <n v="10350"/>
    <x v="92"/>
    <n v="466.5599992275238"/>
    <n v="18"/>
    <x v="3"/>
  </r>
  <r>
    <n v="10350"/>
    <x v="92"/>
    <n v="175.49999970942736"/>
    <n v="15"/>
    <x v="3"/>
  </r>
  <r>
    <n v="10350"/>
    <x v="92"/>
    <n v="175.49999970942736"/>
    <n v="15"/>
    <x v="6"/>
  </r>
  <r>
    <n v="10350"/>
    <x v="92"/>
    <n v="466.5599992275238"/>
    <n v="18"/>
    <x v="2"/>
  </r>
  <r>
    <n v="10350"/>
    <x v="92"/>
    <n v="175.49999970942736"/>
    <n v="15"/>
    <x v="7"/>
  </r>
  <r>
    <n v="10350"/>
    <x v="92"/>
    <n v="175.49999970942736"/>
    <n v="15"/>
    <x v="1"/>
  </r>
  <r>
    <n v="10350"/>
    <x v="92"/>
    <n v="466.5599992275238"/>
    <n v="18"/>
    <x v="1"/>
  </r>
  <r>
    <n v="10350"/>
    <x v="92"/>
    <n v="466.5599992275238"/>
    <n v="18"/>
    <x v="5"/>
  </r>
  <r>
    <n v="10350"/>
    <x v="92"/>
    <n v="175.49999970942736"/>
    <n v="15"/>
    <x v="5"/>
  </r>
  <r>
    <n v="10350"/>
    <x v="92"/>
    <n v="466.5599992275238"/>
    <n v="18"/>
    <x v="6"/>
  </r>
  <r>
    <n v="10350"/>
    <x v="92"/>
    <n v="466.5599992275238"/>
    <n v="18"/>
    <x v="4"/>
  </r>
  <r>
    <n v="10351"/>
    <x v="92"/>
    <n v="4005.1999968588352"/>
    <n v="20"/>
    <x v="7"/>
  </r>
  <r>
    <n v="10351"/>
    <x v="92"/>
    <n v="159.59999987483025"/>
    <n v="10"/>
    <x v="5"/>
  </r>
  <r>
    <n v="10351"/>
    <x v="92"/>
    <n v="1133.8249991107732"/>
    <n v="77"/>
    <x v="5"/>
  </r>
  <r>
    <n v="10351"/>
    <x v="92"/>
    <n v="4005.1999968588352"/>
    <n v="20"/>
    <x v="5"/>
  </r>
  <r>
    <n v="10351"/>
    <x v="92"/>
    <n v="100.1"/>
    <n v="13"/>
    <x v="7"/>
  </r>
  <r>
    <n v="10351"/>
    <x v="92"/>
    <n v="1133.8249991107732"/>
    <n v="77"/>
    <x v="2"/>
  </r>
  <r>
    <n v="10351"/>
    <x v="92"/>
    <n v="100.1"/>
    <n v="13"/>
    <x v="5"/>
  </r>
  <r>
    <n v="10351"/>
    <x v="92"/>
    <n v="4005.1999968588352"/>
    <n v="20"/>
    <x v="1"/>
  </r>
  <r>
    <n v="10351"/>
    <x v="92"/>
    <n v="4005.1999968588352"/>
    <n v="20"/>
    <x v="4"/>
  </r>
  <r>
    <n v="10351"/>
    <x v="92"/>
    <n v="4005.1999968588352"/>
    <n v="20"/>
    <x v="0"/>
  </r>
  <r>
    <n v="10351"/>
    <x v="92"/>
    <n v="100.1"/>
    <n v="13"/>
    <x v="0"/>
  </r>
  <r>
    <n v="10351"/>
    <x v="92"/>
    <n v="1133.8249991107732"/>
    <n v="77"/>
    <x v="0"/>
  </r>
  <r>
    <n v="10351"/>
    <x v="92"/>
    <n v="159.59999987483025"/>
    <n v="10"/>
    <x v="0"/>
  </r>
  <r>
    <n v="10351"/>
    <x v="92"/>
    <n v="1133.8249991107732"/>
    <n v="77"/>
    <x v="4"/>
  </r>
  <r>
    <n v="10351"/>
    <x v="92"/>
    <n v="159.59999987483025"/>
    <n v="10"/>
    <x v="4"/>
  </r>
  <r>
    <n v="10351"/>
    <x v="92"/>
    <n v="159.59999987483025"/>
    <n v="10"/>
    <x v="6"/>
  </r>
  <r>
    <n v="10351"/>
    <x v="92"/>
    <n v="4005.1999968588352"/>
    <n v="20"/>
    <x v="6"/>
  </r>
  <r>
    <n v="10351"/>
    <x v="92"/>
    <n v="1133.8249991107732"/>
    <n v="77"/>
    <x v="7"/>
  </r>
  <r>
    <n v="10351"/>
    <x v="92"/>
    <n v="100.1"/>
    <n v="13"/>
    <x v="4"/>
  </r>
  <r>
    <n v="10351"/>
    <x v="92"/>
    <n v="100.1"/>
    <n v="13"/>
    <x v="1"/>
  </r>
  <r>
    <n v="10351"/>
    <x v="92"/>
    <n v="159.59999987483025"/>
    <n v="10"/>
    <x v="1"/>
  </r>
  <r>
    <n v="10351"/>
    <x v="92"/>
    <n v="4005.1999968588352"/>
    <n v="20"/>
    <x v="2"/>
  </r>
  <r>
    <n v="10351"/>
    <x v="92"/>
    <n v="100.1"/>
    <n v="13"/>
    <x v="2"/>
  </r>
  <r>
    <n v="10351"/>
    <x v="92"/>
    <n v="159.59999987483025"/>
    <n v="10"/>
    <x v="2"/>
  </r>
  <r>
    <n v="10351"/>
    <x v="92"/>
    <n v="1133.8249991107732"/>
    <n v="77"/>
    <x v="6"/>
  </r>
  <r>
    <n v="10351"/>
    <x v="92"/>
    <n v="100.1"/>
    <n v="13"/>
    <x v="6"/>
  </r>
  <r>
    <n v="10351"/>
    <x v="92"/>
    <n v="159.59999987483025"/>
    <n v="10"/>
    <x v="7"/>
  </r>
  <r>
    <n v="10351"/>
    <x v="92"/>
    <n v="159.59999987483025"/>
    <n v="10"/>
    <x v="3"/>
  </r>
  <r>
    <n v="10351"/>
    <x v="92"/>
    <n v="1133.8249991107732"/>
    <n v="77"/>
    <x v="3"/>
  </r>
  <r>
    <n v="10351"/>
    <x v="92"/>
    <n v="100.1"/>
    <n v="13"/>
    <x v="3"/>
  </r>
  <r>
    <n v="10351"/>
    <x v="92"/>
    <n v="4005.1999968588352"/>
    <n v="20"/>
    <x v="3"/>
  </r>
  <r>
    <n v="10351"/>
    <x v="92"/>
    <n v="1133.8249991107732"/>
    <n v="77"/>
    <x v="1"/>
  </r>
  <r>
    <n v="10352"/>
    <x v="93"/>
    <n v="36"/>
    <n v="10"/>
    <x v="5"/>
  </r>
  <r>
    <n v="10352"/>
    <x v="93"/>
    <n v="36"/>
    <n v="10"/>
    <x v="0"/>
  </r>
  <r>
    <n v="10352"/>
    <x v="93"/>
    <n v="100.29999929666519"/>
    <n v="20"/>
    <x v="0"/>
  </r>
  <r>
    <n v="10352"/>
    <x v="93"/>
    <n v="36"/>
    <n v="10"/>
    <x v="2"/>
  </r>
  <r>
    <n v="10352"/>
    <x v="93"/>
    <n v="36"/>
    <n v="10"/>
    <x v="1"/>
  </r>
  <r>
    <n v="10352"/>
    <x v="93"/>
    <n v="100.29999929666519"/>
    <n v="20"/>
    <x v="2"/>
  </r>
  <r>
    <n v="10352"/>
    <x v="93"/>
    <n v="100.29999929666519"/>
    <n v="20"/>
    <x v="1"/>
  </r>
  <r>
    <n v="10352"/>
    <x v="93"/>
    <n v="36"/>
    <n v="10"/>
    <x v="4"/>
  </r>
  <r>
    <n v="10352"/>
    <x v="93"/>
    <n v="36"/>
    <n v="10"/>
    <x v="3"/>
  </r>
  <r>
    <n v="10352"/>
    <x v="93"/>
    <n v="100.29999929666519"/>
    <n v="20"/>
    <x v="7"/>
  </r>
  <r>
    <n v="10352"/>
    <x v="93"/>
    <n v="36"/>
    <n v="10"/>
    <x v="7"/>
  </r>
  <r>
    <n v="10352"/>
    <x v="93"/>
    <n v="100.29999929666519"/>
    <n v="20"/>
    <x v="3"/>
  </r>
  <r>
    <n v="10352"/>
    <x v="93"/>
    <n v="36"/>
    <n v="10"/>
    <x v="6"/>
  </r>
  <r>
    <n v="10352"/>
    <x v="93"/>
    <n v="100.29999929666519"/>
    <n v="20"/>
    <x v="6"/>
  </r>
  <r>
    <n v="10352"/>
    <x v="93"/>
    <n v="100.29999929666519"/>
    <n v="20"/>
    <x v="5"/>
  </r>
  <r>
    <n v="10352"/>
    <x v="93"/>
    <n v="100.29999929666519"/>
    <n v="20"/>
    <x v="4"/>
  </r>
  <r>
    <n v="10353"/>
    <x v="94"/>
    <n v="8431.9999685883522"/>
    <n v="50"/>
    <x v="4"/>
  </r>
  <r>
    <n v="10353"/>
    <x v="94"/>
    <n v="8431.9999685883522"/>
    <n v="50"/>
    <x v="3"/>
  </r>
  <r>
    <n v="10353"/>
    <x v="94"/>
    <n v="161.27999939918519"/>
    <n v="12"/>
    <x v="3"/>
  </r>
  <r>
    <n v="10353"/>
    <x v="94"/>
    <n v="161.27999939918519"/>
    <n v="12"/>
    <x v="5"/>
  </r>
  <r>
    <n v="10353"/>
    <x v="94"/>
    <n v="161.27999939918519"/>
    <n v="12"/>
    <x v="6"/>
  </r>
  <r>
    <n v="10353"/>
    <x v="94"/>
    <n v="8431.9999685883522"/>
    <n v="50"/>
    <x v="6"/>
  </r>
  <r>
    <n v="10353"/>
    <x v="94"/>
    <n v="161.27999939918519"/>
    <n v="12"/>
    <x v="2"/>
  </r>
  <r>
    <n v="10353"/>
    <x v="94"/>
    <n v="8431.9999685883522"/>
    <n v="50"/>
    <x v="7"/>
  </r>
  <r>
    <n v="10353"/>
    <x v="94"/>
    <n v="161.27999939918519"/>
    <n v="12"/>
    <x v="1"/>
  </r>
  <r>
    <n v="10353"/>
    <x v="94"/>
    <n v="8431.9999685883522"/>
    <n v="50"/>
    <x v="5"/>
  </r>
  <r>
    <n v="10353"/>
    <x v="94"/>
    <n v="161.27999939918519"/>
    <n v="12"/>
    <x v="7"/>
  </r>
  <r>
    <n v="10353"/>
    <x v="94"/>
    <n v="8431.9999685883522"/>
    <n v="50"/>
    <x v="2"/>
  </r>
  <r>
    <n v="10353"/>
    <x v="94"/>
    <n v="161.27999939918519"/>
    <n v="12"/>
    <x v="4"/>
  </r>
  <r>
    <n v="10353"/>
    <x v="94"/>
    <n v="8431.9999685883522"/>
    <n v="50"/>
    <x v="0"/>
  </r>
  <r>
    <n v="10353"/>
    <x v="94"/>
    <n v="161.27999939918519"/>
    <n v="12"/>
    <x v="0"/>
  </r>
  <r>
    <n v="10353"/>
    <x v="94"/>
    <n v="8431.9999685883522"/>
    <n v="50"/>
    <x v="1"/>
  </r>
  <r>
    <n v="10354"/>
    <x v="95"/>
    <n v="172.8"/>
    <n v="12"/>
    <x v="2"/>
  </r>
  <r>
    <n v="10354"/>
    <x v="95"/>
    <n v="396"/>
    <n v="4"/>
    <x v="4"/>
  </r>
  <r>
    <n v="10354"/>
    <x v="95"/>
    <n v="172.8"/>
    <n v="12"/>
    <x v="3"/>
  </r>
  <r>
    <n v="10354"/>
    <x v="95"/>
    <n v="396"/>
    <n v="4"/>
    <x v="3"/>
  </r>
  <r>
    <n v="10354"/>
    <x v="95"/>
    <n v="396"/>
    <n v="4"/>
    <x v="7"/>
  </r>
  <r>
    <n v="10354"/>
    <x v="95"/>
    <n v="396"/>
    <n v="4"/>
    <x v="2"/>
  </r>
  <r>
    <n v="10354"/>
    <x v="95"/>
    <n v="172.8"/>
    <n v="12"/>
    <x v="6"/>
  </r>
  <r>
    <n v="10354"/>
    <x v="95"/>
    <n v="396"/>
    <n v="4"/>
    <x v="5"/>
  </r>
  <r>
    <n v="10354"/>
    <x v="95"/>
    <n v="396"/>
    <n v="4"/>
    <x v="0"/>
  </r>
  <r>
    <n v="10354"/>
    <x v="95"/>
    <n v="396"/>
    <n v="4"/>
    <x v="6"/>
  </r>
  <r>
    <n v="10354"/>
    <x v="95"/>
    <n v="172.8"/>
    <n v="12"/>
    <x v="5"/>
  </r>
  <r>
    <n v="10354"/>
    <x v="95"/>
    <n v="396"/>
    <n v="4"/>
    <x v="1"/>
  </r>
  <r>
    <n v="10354"/>
    <x v="95"/>
    <n v="172.8"/>
    <n v="12"/>
    <x v="4"/>
  </r>
  <r>
    <n v="10354"/>
    <x v="95"/>
    <n v="172.8"/>
    <n v="12"/>
    <x v="7"/>
  </r>
  <r>
    <n v="10354"/>
    <x v="95"/>
    <n v="172.8"/>
    <n v="12"/>
    <x v="1"/>
  </r>
  <r>
    <n v="10354"/>
    <x v="95"/>
    <n v="172.8"/>
    <n v="12"/>
    <x v="0"/>
  </r>
  <r>
    <n v="10355"/>
    <x v="96"/>
    <n v="390"/>
    <n v="25"/>
    <x v="4"/>
  </r>
  <r>
    <n v="10355"/>
    <x v="96"/>
    <n v="90"/>
    <n v="25"/>
    <x v="7"/>
  </r>
  <r>
    <n v="10355"/>
    <x v="96"/>
    <n v="90"/>
    <n v="25"/>
    <x v="4"/>
  </r>
  <r>
    <n v="10355"/>
    <x v="96"/>
    <n v="90"/>
    <n v="25"/>
    <x v="1"/>
  </r>
  <r>
    <n v="10355"/>
    <x v="96"/>
    <n v="90"/>
    <n v="25"/>
    <x v="0"/>
  </r>
  <r>
    <n v="10355"/>
    <x v="96"/>
    <n v="390"/>
    <n v="25"/>
    <x v="0"/>
  </r>
  <r>
    <n v="10355"/>
    <x v="96"/>
    <n v="390"/>
    <n v="25"/>
    <x v="7"/>
  </r>
  <r>
    <n v="10355"/>
    <x v="96"/>
    <n v="90"/>
    <n v="25"/>
    <x v="6"/>
  </r>
  <r>
    <n v="10355"/>
    <x v="96"/>
    <n v="390"/>
    <n v="25"/>
    <x v="6"/>
  </r>
  <r>
    <n v="10355"/>
    <x v="96"/>
    <n v="390"/>
    <n v="25"/>
    <x v="1"/>
  </r>
  <r>
    <n v="10355"/>
    <x v="96"/>
    <n v="90"/>
    <n v="25"/>
    <x v="5"/>
  </r>
  <r>
    <n v="10355"/>
    <x v="96"/>
    <n v="390"/>
    <n v="25"/>
    <x v="3"/>
  </r>
  <r>
    <n v="10355"/>
    <x v="96"/>
    <n v="390"/>
    <n v="25"/>
    <x v="5"/>
  </r>
  <r>
    <n v="10355"/>
    <x v="96"/>
    <n v="90"/>
    <n v="25"/>
    <x v="3"/>
  </r>
  <r>
    <n v="10355"/>
    <x v="96"/>
    <n v="90"/>
    <n v="25"/>
    <x v="2"/>
  </r>
  <r>
    <n v="10355"/>
    <x v="96"/>
    <n v="390"/>
    <n v="25"/>
    <x v="2"/>
  </r>
  <r>
    <n v="10356"/>
    <x v="97"/>
    <n v="230.4"/>
    <n v="12"/>
    <x v="7"/>
  </r>
  <r>
    <n v="10356"/>
    <x v="97"/>
    <n v="230.4"/>
    <n v="12"/>
    <x v="5"/>
  </r>
  <r>
    <n v="10356"/>
    <x v="97"/>
    <n v="300"/>
    <n v="30"/>
    <x v="6"/>
  </r>
  <r>
    <n v="10356"/>
    <x v="97"/>
    <n v="300"/>
    <n v="30"/>
    <x v="5"/>
  </r>
  <r>
    <n v="10356"/>
    <x v="97"/>
    <n v="576"/>
    <n v="20"/>
    <x v="7"/>
  </r>
  <r>
    <n v="10356"/>
    <x v="97"/>
    <n v="576"/>
    <n v="20"/>
    <x v="4"/>
  </r>
  <r>
    <n v="10356"/>
    <x v="97"/>
    <n v="230.4"/>
    <n v="12"/>
    <x v="4"/>
  </r>
  <r>
    <n v="10356"/>
    <x v="97"/>
    <n v="300"/>
    <n v="30"/>
    <x v="4"/>
  </r>
  <r>
    <n v="10356"/>
    <x v="97"/>
    <n v="300"/>
    <n v="30"/>
    <x v="3"/>
  </r>
  <r>
    <n v="10356"/>
    <x v="97"/>
    <n v="230.4"/>
    <n v="12"/>
    <x v="3"/>
  </r>
  <r>
    <n v="10356"/>
    <x v="97"/>
    <n v="230.4"/>
    <n v="12"/>
    <x v="6"/>
  </r>
  <r>
    <n v="10356"/>
    <x v="97"/>
    <n v="300"/>
    <n v="30"/>
    <x v="7"/>
  </r>
  <r>
    <n v="10356"/>
    <x v="97"/>
    <n v="576"/>
    <n v="20"/>
    <x v="5"/>
  </r>
  <r>
    <n v="10356"/>
    <x v="97"/>
    <n v="576"/>
    <n v="20"/>
    <x v="6"/>
  </r>
  <r>
    <n v="10356"/>
    <x v="97"/>
    <n v="300"/>
    <n v="30"/>
    <x v="1"/>
  </r>
  <r>
    <n v="10356"/>
    <x v="97"/>
    <n v="230.4"/>
    <n v="12"/>
    <x v="1"/>
  </r>
  <r>
    <n v="10356"/>
    <x v="97"/>
    <n v="576"/>
    <n v="20"/>
    <x v="1"/>
  </r>
  <r>
    <n v="10356"/>
    <x v="97"/>
    <n v="300"/>
    <n v="30"/>
    <x v="0"/>
  </r>
  <r>
    <n v="10356"/>
    <x v="97"/>
    <n v="230.4"/>
    <n v="12"/>
    <x v="0"/>
  </r>
  <r>
    <n v="10356"/>
    <x v="97"/>
    <n v="576"/>
    <n v="20"/>
    <x v="0"/>
  </r>
  <r>
    <n v="10356"/>
    <x v="97"/>
    <n v="576"/>
    <n v="20"/>
    <x v="3"/>
  </r>
  <r>
    <n v="10356"/>
    <x v="97"/>
    <n v="300"/>
    <n v="30"/>
    <x v="2"/>
  </r>
  <r>
    <n v="10356"/>
    <x v="97"/>
    <n v="230.4"/>
    <n v="12"/>
    <x v="2"/>
  </r>
  <r>
    <n v="10356"/>
    <x v="97"/>
    <n v="576"/>
    <n v="20"/>
    <x v="2"/>
  </r>
  <r>
    <n v="10357"/>
    <x v="98"/>
    <n v="595.19999778270721"/>
    <n v="30"/>
    <x v="7"/>
  </r>
  <r>
    <n v="10357"/>
    <x v="98"/>
    <n v="174.07999935150147"/>
    <n v="8"/>
    <x v="2"/>
  </r>
  <r>
    <n v="10357"/>
    <x v="98"/>
    <n v="174.07999935150147"/>
    <n v="8"/>
    <x v="5"/>
  </r>
  <r>
    <n v="10357"/>
    <x v="98"/>
    <n v="398.4"/>
    <n v="16"/>
    <x v="7"/>
  </r>
  <r>
    <n v="10357"/>
    <x v="98"/>
    <n v="595.19999778270721"/>
    <n v="30"/>
    <x v="5"/>
  </r>
  <r>
    <n v="10357"/>
    <x v="98"/>
    <n v="595.19999778270721"/>
    <n v="30"/>
    <x v="0"/>
  </r>
  <r>
    <n v="10357"/>
    <x v="98"/>
    <n v="398.4"/>
    <n v="16"/>
    <x v="0"/>
  </r>
  <r>
    <n v="10357"/>
    <x v="98"/>
    <n v="174.07999935150147"/>
    <n v="8"/>
    <x v="0"/>
  </r>
  <r>
    <n v="10357"/>
    <x v="98"/>
    <n v="398.4"/>
    <n v="16"/>
    <x v="5"/>
  </r>
  <r>
    <n v="10357"/>
    <x v="98"/>
    <n v="595.19999778270721"/>
    <n v="30"/>
    <x v="2"/>
  </r>
  <r>
    <n v="10357"/>
    <x v="98"/>
    <n v="398.4"/>
    <n v="16"/>
    <x v="2"/>
  </r>
  <r>
    <n v="10357"/>
    <x v="98"/>
    <n v="174.07999935150147"/>
    <n v="8"/>
    <x v="7"/>
  </r>
  <r>
    <n v="10357"/>
    <x v="98"/>
    <n v="595.19999778270721"/>
    <n v="30"/>
    <x v="4"/>
  </r>
  <r>
    <n v="10357"/>
    <x v="98"/>
    <n v="174.07999935150147"/>
    <n v="8"/>
    <x v="4"/>
  </r>
  <r>
    <n v="10357"/>
    <x v="98"/>
    <n v="595.19999778270721"/>
    <n v="30"/>
    <x v="3"/>
  </r>
  <r>
    <n v="10357"/>
    <x v="98"/>
    <n v="398.4"/>
    <n v="16"/>
    <x v="3"/>
  </r>
  <r>
    <n v="10357"/>
    <x v="98"/>
    <n v="174.07999935150147"/>
    <n v="8"/>
    <x v="3"/>
  </r>
  <r>
    <n v="10357"/>
    <x v="98"/>
    <n v="595.19999778270721"/>
    <n v="30"/>
    <x v="1"/>
  </r>
  <r>
    <n v="10357"/>
    <x v="98"/>
    <n v="398.4"/>
    <n v="16"/>
    <x v="1"/>
  </r>
  <r>
    <n v="10357"/>
    <x v="98"/>
    <n v="174.07999935150147"/>
    <n v="8"/>
    <x v="1"/>
  </r>
  <r>
    <n v="10357"/>
    <x v="98"/>
    <n v="595.19999778270721"/>
    <n v="30"/>
    <x v="6"/>
  </r>
  <r>
    <n v="10357"/>
    <x v="98"/>
    <n v="398.4"/>
    <n v="16"/>
    <x v="6"/>
  </r>
  <r>
    <n v="10357"/>
    <x v="98"/>
    <n v="174.07999935150147"/>
    <n v="8"/>
    <x v="6"/>
  </r>
  <r>
    <n v="10357"/>
    <x v="98"/>
    <n v="398.4"/>
    <n v="16"/>
    <x v="4"/>
  </r>
  <r>
    <n v="10358"/>
    <x v="99"/>
    <n v="288.79999977350235"/>
    <n v="20"/>
    <x v="6"/>
  </r>
  <r>
    <n v="10358"/>
    <x v="99"/>
    <n v="288.79999977350235"/>
    <n v="20"/>
    <x v="7"/>
  </r>
  <r>
    <n v="10358"/>
    <x v="99"/>
    <n v="106.3999999165535"/>
    <n v="10"/>
    <x v="7"/>
  </r>
  <r>
    <n v="10358"/>
    <x v="99"/>
    <n v="34.19999997317791"/>
    <n v="10"/>
    <x v="7"/>
  </r>
  <r>
    <n v="10358"/>
    <x v="99"/>
    <n v="106.3999999165535"/>
    <n v="10"/>
    <x v="6"/>
  </r>
  <r>
    <n v="10358"/>
    <x v="99"/>
    <n v="288.79999977350235"/>
    <n v="20"/>
    <x v="4"/>
  </r>
  <r>
    <n v="10358"/>
    <x v="99"/>
    <n v="288.79999977350235"/>
    <n v="20"/>
    <x v="1"/>
  </r>
  <r>
    <n v="10358"/>
    <x v="99"/>
    <n v="106.3999999165535"/>
    <n v="10"/>
    <x v="1"/>
  </r>
  <r>
    <n v="10358"/>
    <x v="99"/>
    <n v="34.19999997317791"/>
    <n v="10"/>
    <x v="1"/>
  </r>
  <r>
    <n v="10358"/>
    <x v="99"/>
    <n v="288.79999977350235"/>
    <n v="20"/>
    <x v="3"/>
  </r>
  <r>
    <n v="10358"/>
    <x v="99"/>
    <n v="106.3999999165535"/>
    <n v="10"/>
    <x v="3"/>
  </r>
  <r>
    <n v="10358"/>
    <x v="99"/>
    <n v="34.19999997317791"/>
    <n v="10"/>
    <x v="6"/>
  </r>
  <r>
    <n v="10358"/>
    <x v="99"/>
    <n v="34.19999997317791"/>
    <n v="10"/>
    <x v="2"/>
  </r>
  <r>
    <n v="10358"/>
    <x v="99"/>
    <n v="34.19999997317791"/>
    <n v="10"/>
    <x v="3"/>
  </r>
  <r>
    <n v="10358"/>
    <x v="99"/>
    <n v="106.3999999165535"/>
    <n v="10"/>
    <x v="5"/>
  </r>
  <r>
    <n v="10358"/>
    <x v="99"/>
    <n v="106.3999999165535"/>
    <n v="10"/>
    <x v="4"/>
  </r>
  <r>
    <n v="10358"/>
    <x v="99"/>
    <n v="106.3999999165535"/>
    <n v="10"/>
    <x v="2"/>
  </r>
  <r>
    <n v="10358"/>
    <x v="99"/>
    <n v="288.79999977350235"/>
    <n v="20"/>
    <x v="2"/>
  </r>
  <r>
    <n v="10358"/>
    <x v="99"/>
    <n v="288.79999977350235"/>
    <n v="20"/>
    <x v="5"/>
  </r>
  <r>
    <n v="10358"/>
    <x v="99"/>
    <n v="34.19999997317791"/>
    <n v="10"/>
    <x v="5"/>
  </r>
  <r>
    <n v="10358"/>
    <x v="99"/>
    <n v="34.19999997317791"/>
    <n v="10"/>
    <x v="0"/>
  </r>
  <r>
    <n v="10358"/>
    <x v="99"/>
    <n v="106.3999999165535"/>
    <n v="10"/>
    <x v="0"/>
  </r>
  <r>
    <n v="10358"/>
    <x v="99"/>
    <n v="288.79999977350235"/>
    <n v="20"/>
    <x v="0"/>
  </r>
  <r>
    <n v="10358"/>
    <x v="99"/>
    <n v="34.19999997317791"/>
    <n v="10"/>
    <x v="4"/>
  </r>
  <r>
    <n v="10359"/>
    <x v="100"/>
    <n v="739.47999942004674"/>
    <n v="56"/>
    <x v="6"/>
  </r>
  <r>
    <n v="10359"/>
    <x v="100"/>
    <n v="664.99999947845936"/>
    <n v="70"/>
    <x v="6"/>
  </r>
  <r>
    <n v="10359"/>
    <x v="100"/>
    <n v="2067.1999983787537"/>
    <n v="80"/>
    <x v="6"/>
  </r>
  <r>
    <n v="10359"/>
    <x v="100"/>
    <n v="739.47999942004674"/>
    <n v="56"/>
    <x v="4"/>
  </r>
  <r>
    <n v="10359"/>
    <x v="100"/>
    <n v="664.99999947845936"/>
    <n v="70"/>
    <x v="4"/>
  </r>
  <r>
    <n v="10359"/>
    <x v="100"/>
    <n v="739.47999942004674"/>
    <n v="56"/>
    <x v="5"/>
  </r>
  <r>
    <n v="10359"/>
    <x v="100"/>
    <n v="664.99999947845936"/>
    <n v="70"/>
    <x v="5"/>
  </r>
  <r>
    <n v="10359"/>
    <x v="100"/>
    <n v="2067.1999983787537"/>
    <n v="80"/>
    <x v="5"/>
  </r>
  <r>
    <n v="10359"/>
    <x v="100"/>
    <n v="2067.1999983787537"/>
    <n v="80"/>
    <x v="1"/>
  </r>
  <r>
    <n v="10359"/>
    <x v="100"/>
    <n v="739.47999942004674"/>
    <n v="56"/>
    <x v="3"/>
  </r>
  <r>
    <n v="10359"/>
    <x v="100"/>
    <n v="664.99999947845936"/>
    <n v="70"/>
    <x v="3"/>
  </r>
  <r>
    <n v="10359"/>
    <x v="100"/>
    <n v="2067.1999983787537"/>
    <n v="80"/>
    <x v="3"/>
  </r>
  <r>
    <n v="10359"/>
    <x v="100"/>
    <n v="739.47999942004674"/>
    <n v="56"/>
    <x v="2"/>
  </r>
  <r>
    <n v="10359"/>
    <x v="100"/>
    <n v="664.99999947845936"/>
    <n v="70"/>
    <x v="2"/>
  </r>
  <r>
    <n v="10359"/>
    <x v="100"/>
    <n v="2067.1999983787537"/>
    <n v="80"/>
    <x v="2"/>
  </r>
  <r>
    <n v="10359"/>
    <x v="100"/>
    <n v="2067.1999983787537"/>
    <n v="80"/>
    <x v="4"/>
  </r>
  <r>
    <n v="10359"/>
    <x v="100"/>
    <n v="739.47999942004674"/>
    <n v="56"/>
    <x v="1"/>
  </r>
  <r>
    <n v="10359"/>
    <x v="100"/>
    <n v="739.47999942004674"/>
    <n v="56"/>
    <x v="7"/>
  </r>
  <r>
    <n v="10359"/>
    <x v="100"/>
    <n v="739.47999942004674"/>
    <n v="56"/>
    <x v="0"/>
  </r>
  <r>
    <n v="10359"/>
    <x v="100"/>
    <n v="2067.1999983787537"/>
    <n v="80"/>
    <x v="0"/>
  </r>
  <r>
    <n v="10359"/>
    <x v="100"/>
    <n v="664.99999947845936"/>
    <n v="70"/>
    <x v="7"/>
  </r>
  <r>
    <n v="10359"/>
    <x v="100"/>
    <n v="2067.1999983787537"/>
    <n v="80"/>
    <x v="7"/>
  </r>
  <r>
    <n v="10359"/>
    <x v="100"/>
    <n v="664.99999947845936"/>
    <n v="70"/>
    <x v="0"/>
  </r>
  <r>
    <n v="10359"/>
    <x v="100"/>
    <n v="664.99999947845936"/>
    <n v="70"/>
    <x v="1"/>
  </r>
  <r>
    <n v="10360"/>
    <x v="101"/>
    <n v="2108"/>
    <n v="10"/>
    <x v="7"/>
  </r>
  <r>
    <n v="10360"/>
    <x v="101"/>
    <n v="1092"/>
    <n v="30"/>
    <x v="7"/>
  </r>
  <r>
    <n v="10360"/>
    <x v="101"/>
    <n v="3465"/>
    <n v="35"/>
    <x v="7"/>
  </r>
  <r>
    <n v="10360"/>
    <x v="101"/>
    <n v="1092"/>
    <n v="30"/>
    <x v="6"/>
  </r>
  <r>
    <n v="10360"/>
    <x v="101"/>
    <n v="3465"/>
    <n v="35"/>
    <x v="6"/>
  </r>
  <r>
    <n v="10360"/>
    <x v="101"/>
    <n v="2108"/>
    <n v="10"/>
    <x v="6"/>
  </r>
  <r>
    <n v="10360"/>
    <x v="101"/>
    <n v="165.2"/>
    <n v="28"/>
    <x v="6"/>
  </r>
  <r>
    <n v="10360"/>
    <x v="101"/>
    <n v="1092"/>
    <n v="30"/>
    <x v="2"/>
  </r>
  <r>
    <n v="10360"/>
    <x v="101"/>
    <n v="3465"/>
    <n v="35"/>
    <x v="2"/>
  </r>
  <r>
    <n v="10360"/>
    <x v="101"/>
    <n v="2108"/>
    <n v="10"/>
    <x v="2"/>
  </r>
  <r>
    <n v="10360"/>
    <x v="101"/>
    <n v="560"/>
    <n v="35"/>
    <x v="2"/>
  </r>
  <r>
    <n v="10360"/>
    <x v="101"/>
    <n v="165.2"/>
    <n v="28"/>
    <x v="2"/>
  </r>
  <r>
    <n v="10360"/>
    <x v="101"/>
    <n v="560"/>
    <n v="35"/>
    <x v="7"/>
  </r>
  <r>
    <n v="10360"/>
    <x v="101"/>
    <n v="165.2"/>
    <n v="28"/>
    <x v="7"/>
  </r>
  <r>
    <n v="10360"/>
    <x v="101"/>
    <n v="560"/>
    <n v="35"/>
    <x v="6"/>
  </r>
  <r>
    <n v="10360"/>
    <x v="101"/>
    <n v="165.2"/>
    <n v="28"/>
    <x v="4"/>
  </r>
  <r>
    <n v="10360"/>
    <x v="101"/>
    <n v="2108"/>
    <n v="10"/>
    <x v="5"/>
  </r>
  <r>
    <n v="10360"/>
    <x v="101"/>
    <n v="165.2"/>
    <n v="28"/>
    <x v="5"/>
  </r>
  <r>
    <n v="10360"/>
    <x v="101"/>
    <n v="560"/>
    <n v="35"/>
    <x v="0"/>
  </r>
  <r>
    <n v="10360"/>
    <x v="101"/>
    <n v="2108"/>
    <n v="10"/>
    <x v="0"/>
  </r>
  <r>
    <n v="10360"/>
    <x v="101"/>
    <n v="3465"/>
    <n v="35"/>
    <x v="0"/>
  </r>
  <r>
    <n v="10360"/>
    <x v="101"/>
    <n v="1092"/>
    <n v="30"/>
    <x v="0"/>
  </r>
  <r>
    <n v="10360"/>
    <x v="101"/>
    <n v="3465"/>
    <n v="35"/>
    <x v="5"/>
  </r>
  <r>
    <n v="10360"/>
    <x v="101"/>
    <n v="1092"/>
    <n v="30"/>
    <x v="5"/>
  </r>
  <r>
    <n v="10360"/>
    <x v="101"/>
    <n v="1092"/>
    <n v="30"/>
    <x v="4"/>
  </r>
  <r>
    <n v="10360"/>
    <x v="101"/>
    <n v="3465"/>
    <n v="35"/>
    <x v="4"/>
  </r>
  <r>
    <n v="10360"/>
    <x v="101"/>
    <n v="560"/>
    <n v="35"/>
    <x v="5"/>
  </r>
  <r>
    <n v="10360"/>
    <x v="101"/>
    <n v="560"/>
    <n v="35"/>
    <x v="4"/>
  </r>
  <r>
    <n v="10360"/>
    <x v="101"/>
    <n v="165.2"/>
    <n v="28"/>
    <x v="0"/>
  </r>
  <r>
    <n v="10360"/>
    <x v="101"/>
    <n v="560"/>
    <n v="35"/>
    <x v="3"/>
  </r>
  <r>
    <n v="10360"/>
    <x v="101"/>
    <n v="1092"/>
    <n v="30"/>
    <x v="3"/>
  </r>
  <r>
    <n v="10360"/>
    <x v="101"/>
    <n v="3465"/>
    <n v="35"/>
    <x v="3"/>
  </r>
  <r>
    <n v="10360"/>
    <x v="101"/>
    <n v="2108"/>
    <n v="10"/>
    <x v="3"/>
  </r>
  <r>
    <n v="10360"/>
    <x v="101"/>
    <n v="3465"/>
    <n v="35"/>
    <x v="1"/>
  </r>
  <r>
    <n v="10360"/>
    <x v="101"/>
    <n v="1092"/>
    <n v="30"/>
    <x v="1"/>
  </r>
  <r>
    <n v="10360"/>
    <x v="101"/>
    <n v="165.2"/>
    <n v="28"/>
    <x v="1"/>
  </r>
  <r>
    <n v="10360"/>
    <x v="101"/>
    <n v="165.2"/>
    <n v="28"/>
    <x v="3"/>
  </r>
  <r>
    <n v="10360"/>
    <x v="101"/>
    <n v="2108"/>
    <n v="10"/>
    <x v="4"/>
  </r>
  <r>
    <n v="10360"/>
    <x v="101"/>
    <n v="2108"/>
    <n v="10"/>
    <x v="1"/>
  </r>
  <r>
    <n v="10360"/>
    <x v="101"/>
    <n v="560"/>
    <n v="35"/>
    <x v="1"/>
  </r>
  <r>
    <n v="10361"/>
    <x v="101"/>
    <n v="699.83999884128571"/>
    <n v="54"/>
    <x v="3"/>
  </r>
  <r>
    <n v="10361"/>
    <x v="101"/>
    <n v="1346.3999977707863"/>
    <n v="55"/>
    <x v="2"/>
  </r>
  <r>
    <n v="10361"/>
    <x v="101"/>
    <n v="699.83999884128571"/>
    <n v="54"/>
    <x v="5"/>
  </r>
  <r>
    <n v="10361"/>
    <x v="101"/>
    <n v="1346.3999977707863"/>
    <n v="55"/>
    <x v="5"/>
  </r>
  <r>
    <n v="10361"/>
    <x v="101"/>
    <n v="699.83999884128571"/>
    <n v="54"/>
    <x v="2"/>
  </r>
  <r>
    <n v="10361"/>
    <x v="101"/>
    <n v="699.83999884128571"/>
    <n v="54"/>
    <x v="4"/>
  </r>
  <r>
    <n v="10361"/>
    <x v="101"/>
    <n v="1346.3999977707863"/>
    <n v="55"/>
    <x v="6"/>
  </r>
  <r>
    <n v="10361"/>
    <x v="101"/>
    <n v="1346.3999977707863"/>
    <n v="55"/>
    <x v="7"/>
  </r>
  <r>
    <n v="10361"/>
    <x v="101"/>
    <n v="699.83999884128571"/>
    <n v="54"/>
    <x v="6"/>
  </r>
  <r>
    <n v="10361"/>
    <x v="101"/>
    <n v="1346.3999977707863"/>
    <n v="55"/>
    <x v="4"/>
  </r>
  <r>
    <n v="10361"/>
    <x v="101"/>
    <n v="1346.3999977707863"/>
    <n v="55"/>
    <x v="1"/>
  </r>
  <r>
    <n v="10361"/>
    <x v="101"/>
    <n v="699.83999884128571"/>
    <n v="54"/>
    <x v="1"/>
  </r>
  <r>
    <n v="10361"/>
    <x v="101"/>
    <n v="1346.3999977707863"/>
    <n v="55"/>
    <x v="0"/>
  </r>
  <r>
    <n v="10361"/>
    <x v="101"/>
    <n v="699.83999884128571"/>
    <n v="54"/>
    <x v="0"/>
  </r>
  <r>
    <n v="10361"/>
    <x v="101"/>
    <n v="1346.3999977707863"/>
    <n v="55"/>
    <x v="3"/>
  </r>
  <r>
    <n v="10361"/>
    <x v="101"/>
    <n v="699.83999884128571"/>
    <n v="54"/>
    <x v="7"/>
  </r>
  <r>
    <n v="10362"/>
    <x v="102"/>
    <n v="848"/>
    <n v="20"/>
    <x v="4"/>
  </r>
  <r>
    <n v="10362"/>
    <x v="102"/>
    <n v="141.6"/>
    <n v="24"/>
    <x v="6"/>
  </r>
  <r>
    <n v="10362"/>
    <x v="102"/>
    <n v="848"/>
    <n v="20"/>
    <x v="6"/>
  </r>
  <r>
    <n v="10362"/>
    <x v="102"/>
    <n v="560"/>
    <n v="50"/>
    <x v="6"/>
  </r>
  <r>
    <n v="10362"/>
    <x v="102"/>
    <n v="848"/>
    <n v="20"/>
    <x v="5"/>
  </r>
  <r>
    <n v="10362"/>
    <x v="102"/>
    <n v="141.6"/>
    <n v="24"/>
    <x v="1"/>
  </r>
  <r>
    <n v="10362"/>
    <x v="102"/>
    <n v="848"/>
    <n v="20"/>
    <x v="1"/>
  </r>
  <r>
    <n v="10362"/>
    <x v="102"/>
    <n v="141.6"/>
    <n v="24"/>
    <x v="4"/>
  </r>
  <r>
    <n v="10362"/>
    <x v="102"/>
    <n v="848"/>
    <n v="20"/>
    <x v="2"/>
  </r>
  <r>
    <n v="10362"/>
    <x v="102"/>
    <n v="560"/>
    <n v="50"/>
    <x v="4"/>
  </r>
  <r>
    <n v="10362"/>
    <x v="102"/>
    <n v="560"/>
    <n v="50"/>
    <x v="1"/>
  </r>
  <r>
    <n v="10362"/>
    <x v="102"/>
    <n v="560"/>
    <n v="50"/>
    <x v="3"/>
  </r>
  <r>
    <n v="10362"/>
    <x v="102"/>
    <n v="560"/>
    <n v="50"/>
    <x v="5"/>
  </r>
  <r>
    <n v="10362"/>
    <x v="102"/>
    <n v="141.6"/>
    <n v="24"/>
    <x v="3"/>
  </r>
  <r>
    <n v="10362"/>
    <x v="102"/>
    <n v="848"/>
    <n v="20"/>
    <x v="3"/>
  </r>
  <r>
    <n v="10362"/>
    <x v="102"/>
    <n v="141.6"/>
    <n v="24"/>
    <x v="0"/>
  </r>
  <r>
    <n v="10362"/>
    <x v="102"/>
    <n v="848"/>
    <n v="20"/>
    <x v="0"/>
  </r>
  <r>
    <n v="10362"/>
    <x v="102"/>
    <n v="560"/>
    <n v="50"/>
    <x v="0"/>
  </r>
  <r>
    <n v="10362"/>
    <x v="102"/>
    <n v="560"/>
    <n v="50"/>
    <x v="7"/>
  </r>
  <r>
    <n v="10362"/>
    <x v="102"/>
    <n v="141.6"/>
    <n v="24"/>
    <x v="5"/>
  </r>
  <r>
    <n v="10362"/>
    <x v="102"/>
    <n v="141.6"/>
    <n v="24"/>
    <x v="7"/>
  </r>
  <r>
    <n v="10362"/>
    <x v="102"/>
    <n v="141.6"/>
    <n v="24"/>
    <x v="2"/>
  </r>
  <r>
    <n v="10362"/>
    <x v="102"/>
    <n v="560"/>
    <n v="50"/>
    <x v="2"/>
  </r>
  <r>
    <n v="10362"/>
    <x v="102"/>
    <n v="848"/>
    <n v="20"/>
    <x v="7"/>
  </r>
  <r>
    <n v="10363"/>
    <x v="103"/>
    <n v="74.400000000000006"/>
    <n v="12"/>
    <x v="3"/>
  </r>
  <r>
    <n v="10363"/>
    <x v="103"/>
    <n v="172.8"/>
    <n v="12"/>
    <x v="6"/>
  </r>
  <r>
    <n v="10363"/>
    <x v="103"/>
    <n v="200"/>
    <n v="20"/>
    <x v="4"/>
  </r>
  <r>
    <n v="10363"/>
    <x v="103"/>
    <n v="74.400000000000006"/>
    <n v="12"/>
    <x v="4"/>
  </r>
  <r>
    <n v="10363"/>
    <x v="103"/>
    <n v="172.8"/>
    <n v="12"/>
    <x v="4"/>
  </r>
  <r>
    <n v="10363"/>
    <x v="103"/>
    <n v="74.400000000000006"/>
    <n v="12"/>
    <x v="6"/>
  </r>
  <r>
    <n v="10363"/>
    <x v="103"/>
    <n v="200"/>
    <n v="20"/>
    <x v="2"/>
  </r>
  <r>
    <n v="10363"/>
    <x v="103"/>
    <n v="74.400000000000006"/>
    <n v="12"/>
    <x v="1"/>
  </r>
  <r>
    <n v="10363"/>
    <x v="103"/>
    <n v="74.400000000000006"/>
    <n v="12"/>
    <x v="2"/>
  </r>
  <r>
    <n v="10363"/>
    <x v="103"/>
    <n v="172.8"/>
    <n v="12"/>
    <x v="2"/>
  </r>
  <r>
    <n v="10363"/>
    <x v="103"/>
    <n v="172.8"/>
    <n v="12"/>
    <x v="1"/>
  </r>
  <r>
    <n v="10363"/>
    <x v="103"/>
    <n v="172.8"/>
    <n v="12"/>
    <x v="3"/>
  </r>
  <r>
    <n v="10363"/>
    <x v="103"/>
    <n v="200"/>
    <n v="20"/>
    <x v="1"/>
  </r>
  <r>
    <n v="10363"/>
    <x v="103"/>
    <n v="200"/>
    <n v="20"/>
    <x v="6"/>
  </r>
  <r>
    <n v="10363"/>
    <x v="103"/>
    <n v="74.400000000000006"/>
    <n v="12"/>
    <x v="0"/>
  </r>
  <r>
    <n v="10363"/>
    <x v="103"/>
    <n v="200"/>
    <n v="20"/>
    <x v="3"/>
  </r>
  <r>
    <n v="10363"/>
    <x v="103"/>
    <n v="172.8"/>
    <n v="12"/>
    <x v="7"/>
  </r>
  <r>
    <n v="10363"/>
    <x v="103"/>
    <n v="74.400000000000006"/>
    <n v="12"/>
    <x v="7"/>
  </r>
  <r>
    <n v="10363"/>
    <x v="103"/>
    <n v="200"/>
    <n v="20"/>
    <x v="0"/>
  </r>
  <r>
    <n v="10363"/>
    <x v="103"/>
    <n v="172.8"/>
    <n v="12"/>
    <x v="5"/>
  </r>
  <r>
    <n v="10363"/>
    <x v="103"/>
    <n v="172.8"/>
    <n v="12"/>
    <x v="0"/>
  </r>
  <r>
    <n v="10363"/>
    <x v="103"/>
    <n v="74.400000000000006"/>
    <n v="12"/>
    <x v="5"/>
  </r>
  <r>
    <n v="10363"/>
    <x v="103"/>
    <n v="200"/>
    <n v="20"/>
    <x v="5"/>
  </r>
  <r>
    <n v="10363"/>
    <x v="103"/>
    <n v="200"/>
    <n v="20"/>
    <x v="7"/>
  </r>
  <r>
    <n v="10364"/>
    <x v="103"/>
    <n v="864"/>
    <n v="30"/>
    <x v="5"/>
  </r>
  <r>
    <n v="10364"/>
    <x v="103"/>
    <n v="864"/>
    <n v="30"/>
    <x v="1"/>
  </r>
  <r>
    <n v="10364"/>
    <x v="103"/>
    <n v="86"/>
    <n v="5"/>
    <x v="2"/>
  </r>
  <r>
    <n v="10364"/>
    <x v="103"/>
    <n v="864"/>
    <n v="30"/>
    <x v="6"/>
  </r>
  <r>
    <n v="10364"/>
    <x v="103"/>
    <n v="86"/>
    <n v="5"/>
    <x v="5"/>
  </r>
  <r>
    <n v="10364"/>
    <x v="103"/>
    <n v="86"/>
    <n v="5"/>
    <x v="7"/>
  </r>
  <r>
    <n v="10364"/>
    <x v="103"/>
    <n v="864"/>
    <n v="30"/>
    <x v="2"/>
  </r>
  <r>
    <n v="10364"/>
    <x v="103"/>
    <n v="86"/>
    <n v="5"/>
    <x v="6"/>
  </r>
  <r>
    <n v="10364"/>
    <x v="103"/>
    <n v="86"/>
    <n v="5"/>
    <x v="1"/>
  </r>
  <r>
    <n v="10364"/>
    <x v="103"/>
    <n v="864"/>
    <n v="30"/>
    <x v="3"/>
  </r>
  <r>
    <n v="10364"/>
    <x v="103"/>
    <n v="864"/>
    <n v="30"/>
    <x v="7"/>
  </r>
  <r>
    <n v="10364"/>
    <x v="103"/>
    <n v="86"/>
    <n v="5"/>
    <x v="4"/>
  </r>
  <r>
    <n v="10364"/>
    <x v="103"/>
    <n v="864"/>
    <n v="30"/>
    <x v="4"/>
  </r>
  <r>
    <n v="10364"/>
    <x v="103"/>
    <n v="864"/>
    <n v="30"/>
    <x v="0"/>
  </r>
  <r>
    <n v="10364"/>
    <x v="103"/>
    <n v="86"/>
    <n v="5"/>
    <x v="0"/>
  </r>
  <r>
    <n v="10364"/>
    <x v="103"/>
    <n v="86"/>
    <n v="5"/>
    <x v="3"/>
  </r>
  <r>
    <n v="10365"/>
    <x v="104"/>
    <n v="403.2"/>
    <n v="24"/>
    <x v="2"/>
  </r>
  <r>
    <n v="10365"/>
    <x v="104"/>
    <n v="403.2"/>
    <n v="24"/>
    <x v="6"/>
  </r>
  <r>
    <n v="10365"/>
    <x v="104"/>
    <n v="403.2"/>
    <n v="24"/>
    <x v="3"/>
  </r>
  <r>
    <n v="10365"/>
    <x v="104"/>
    <n v="403.2"/>
    <n v="24"/>
    <x v="1"/>
  </r>
  <r>
    <n v="10365"/>
    <x v="104"/>
    <n v="403.2"/>
    <n v="24"/>
    <x v="0"/>
  </r>
  <r>
    <n v="10365"/>
    <x v="104"/>
    <n v="403.2"/>
    <n v="24"/>
    <x v="4"/>
  </r>
  <r>
    <n v="10365"/>
    <x v="104"/>
    <n v="403.2"/>
    <n v="24"/>
    <x v="5"/>
  </r>
  <r>
    <n v="10365"/>
    <x v="104"/>
    <n v="403.2"/>
    <n v="24"/>
    <x v="7"/>
  </r>
  <r>
    <n v="10366"/>
    <x v="105"/>
    <n v="52"/>
    <n v="5"/>
    <x v="6"/>
  </r>
  <r>
    <n v="10366"/>
    <x v="105"/>
    <n v="52"/>
    <n v="5"/>
    <x v="1"/>
  </r>
  <r>
    <n v="10366"/>
    <x v="105"/>
    <n v="84"/>
    <n v="5"/>
    <x v="2"/>
  </r>
  <r>
    <n v="10366"/>
    <x v="105"/>
    <n v="52"/>
    <n v="5"/>
    <x v="5"/>
  </r>
  <r>
    <n v="10366"/>
    <x v="105"/>
    <n v="84"/>
    <n v="5"/>
    <x v="5"/>
  </r>
  <r>
    <n v="10366"/>
    <x v="105"/>
    <n v="84"/>
    <n v="5"/>
    <x v="0"/>
  </r>
  <r>
    <n v="10366"/>
    <x v="105"/>
    <n v="52"/>
    <n v="5"/>
    <x v="0"/>
  </r>
  <r>
    <n v="10366"/>
    <x v="105"/>
    <n v="84"/>
    <n v="5"/>
    <x v="1"/>
  </r>
  <r>
    <n v="10366"/>
    <x v="105"/>
    <n v="84"/>
    <n v="5"/>
    <x v="6"/>
  </r>
  <r>
    <n v="10366"/>
    <x v="105"/>
    <n v="84"/>
    <n v="5"/>
    <x v="7"/>
  </r>
  <r>
    <n v="10366"/>
    <x v="105"/>
    <n v="52"/>
    <n v="5"/>
    <x v="7"/>
  </r>
  <r>
    <n v="10366"/>
    <x v="105"/>
    <n v="84"/>
    <n v="5"/>
    <x v="4"/>
  </r>
  <r>
    <n v="10366"/>
    <x v="105"/>
    <n v="52"/>
    <n v="5"/>
    <x v="4"/>
  </r>
  <r>
    <n v="10366"/>
    <x v="105"/>
    <n v="52"/>
    <n v="5"/>
    <x v="2"/>
  </r>
  <r>
    <n v="10366"/>
    <x v="105"/>
    <n v="52"/>
    <n v="5"/>
    <x v="3"/>
  </r>
  <r>
    <n v="10366"/>
    <x v="105"/>
    <n v="84"/>
    <n v="5"/>
    <x v="3"/>
  </r>
  <r>
    <n v="10367"/>
    <x v="105"/>
    <n v="106.2"/>
    <n v="18"/>
    <x v="2"/>
  </r>
  <r>
    <n v="10367"/>
    <x v="105"/>
    <n v="403.2"/>
    <n v="36"/>
    <x v="2"/>
  </r>
  <r>
    <n v="10367"/>
    <x v="105"/>
    <n v="252"/>
    <n v="15"/>
    <x v="2"/>
  </r>
  <r>
    <n v="10367"/>
    <x v="105"/>
    <n v="72.8"/>
    <n v="7"/>
    <x v="2"/>
  </r>
  <r>
    <n v="10367"/>
    <x v="105"/>
    <n v="403.2"/>
    <n v="36"/>
    <x v="1"/>
  </r>
  <r>
    <n v="10367"/>
    <x v="105"/>
    <n v="106.2"/>
    <n v="18"/>
    <x v="1"/>
  </r>
  <r>
    <n v="10367"/>
    <x v="105"/>
    <n v="72.8"/>
    <n v="7"/>
    <x v="1"/>
  </r>
  <r>
    <n v="10367"/>
    <x v="105"/>
    <n v="106.2"/>
    <n v="18"/>
    <x v="4"/>
  </r>
  <r>
    <n v="10367"/>
    <x v="105"/>
    <n v="403.2"/>
    <n v="36"/>
    <x v="7"/>
  </r>
  <r>
    <n v="10367"/>
    <x v="105"/>
    <n v="106.2"/>
    <n v="18"/>
    <x v="7"/>
  </r>
  <r>
    <n v="10367"/>
    <x v="105"/>
    <n v="252"/>
    <n v="15"/>
    <x v="7"/>
  </r>
  <r>
    <n v="10367"/>
    <x v="105"/>
    <n v="72.8"/>
    <n v="7"/>
    <x v="3"/>
  </r>
  <r>
    <n v="10367"/>
    <x v="105"/>
    <n v="252"/>
    <n v="15"/>
    <x v="3"/>
  </r>
  <r>
    <n v="10367"/>
    <x v="105"/>
    <n v="106.2"/>
    <n v="18"/>
    <x v="3"/>
  </r>
  <r>
    <n v="10367"/>
    <x v="105"/>
    <n v="403.2"/>
    <n v="36"/>
    <x v="3"/>
  </r>
  <r>
    <n v="10367"/>
    <x v="105"/>
    <n v="252"/>
    <n v="15"/>
    <x v="1"/>
  </r>
  <r>
    <n v="10367"/>
    <x v="105"/>
    <n v="106.2"/>
    <n v="18"/>
    <x v="6"/>
  </r>
  <r>
    <n v="10367"/>
    <x v="105"/>
    <n v="252"/>
    <n v="15"/>
    <x v="0"/>
  </r>
  <r>
    <n v="10367"/>
    <x v="105"/>
    <n v="72.8"/>
    <n v="7"/>
    <x v="0"/>
  </r>
  <r>
    <n v="10367"/>
    <x v="105"/>
    <n v="72.8"/>
    <n v="7"/>
    <x v="4"/>
  </r>
  <r>
    <n v="10367"/>
    <x v="105"/>
    <n v="72.8"/>
    <n v="7"/>
    <x v="6"/>
  </r>
  <r>
    <n v="10367"/>
    <x v="105"/>
    <n v="403.2"/>
    <n v="36"/>
    <x v="0"/>
  </r>
  <r>
    <n v="10367"/>
    <x v="105"/>
    <n v="403.2"/>
    <n v="36"/>
    <x v="6"/>
  </r>
  <r>
    <n v="10367"/>
    <x v="105"/>
    <n v="106.2"/>
    <n v="18"/>
    <x v="0"/>
  </r>
  <r>
    <n v="10367"/>
    <x v="105"/>
    <n v="252"/>
    <n v="15"/>
    <x v="5"/>
  </r>
  <r>
    <n v="10367"/>
    <x v="105"/>
    <n v="106.2"/>
    <n v="18"/>
    <x v="5"/>
  </r>
  <r>
    <n v="10367"/>
    <x v="105"/>
    <n v="403.2"/>
    <n v="36"/>
    <x v="5"/>
  </r>
  <r>
    <n v="10367"/>
    <x v="105"/>
    <n v="403.2"/>
    <n v="36"/>
    <x v="4"/>
  </r>
  <r>
    <n v="10367"/>
    <x v="105"/>
    <n v="72.8"/>
    <n v="7"/>
    <x v="7"/>
  </r>
  <r>
    <n v="10367"/>
    <x v="105"/>
    <n v="252"/>
    <n v="15"/>
    <x v="4"/>
  </r>
  <r>
    <n v="10367"/>
    <x v="105"/>
    <n v="252"/>
    <n v="15"/>
    <x v="6"/>
  </r>
  <r>
    <n v="10367"/>
    <x v="105"/>
    <n v="72.8"/>
    <n v="7"/>
    <x v="5"/>
  </r>
  <r>
    <n v="10368"/>
    <x v="106"/>
    <n v="35.999999940395355"/>
    <n v="5"/>
    <x v="0"/>
  </r>
  <r>
    <n v="10368"/>
    <x v="106"/>
    <n v="837.89999861270189"/>
    <n v="35"/>
    <x v="0"/>
  </r>
  <r>
    <n v="10368"/>
    <x v="106"/>
    <n v="425.87999929487705"/>
    <n v="13"/>
    <x v="0"/>
  </r>
  <r>
    <n v="10368"/>
    <x v="106"/>
    <n v="425.87999929487705"/>
    <n v="13"/>
    <x v="1"/>
  </r>
  <r>
    <n v="10368"/>
    <x v="106"/>
    <n v="425.87999929487705"/>
    <n v="13"/>
    <x v="7"/>
  </r>
  <r>
    <n v="10368"/>
    <x v="106"/>
    <n v="390"/>
    <n v="25"/>
    <x v="7"/>
  </r>
  <r>
    <n v="10368"/>
    <x v="106"/>
    <n v="390"/>
    <n v="25"/>
    <x v="0"/>
  </r>
  <r>
    <n v="10368"/>
    <x v="106"/>
    <n v="390"/>
    <n v="25"/>
    <x v="1"/>
  </r>
  <r>
    <n v="10368"/>
    <x v="106"/>
    <n v="35.999999940395355"/>
    <n v="5"/>
    <x v="4"/>
  </r>
  <r>
    <n v="10368"/>
    <x v="106"/>
    <n v="35.999999940395355"/>
    <n v="5"/>
    <x v="1"/>
  </r>
  <r>
    <n v="10368"/>
    <x v="106"/>
    <n v="837.89999861270189"/>
    <n v="35"/>
    <x v="5"/>
  </r>
  <r>
    <n v="10368"/>
    <x v="106"/>
    <n v="390"/>
    <n v="25"/>
    <x v="5"/>
  </r>
  <r>
    <n v="10368"/>
    <x v="106"/>
    <n v="425.87999929487705"/>
    <n v="13"/>
    <x v="5"/>
  </r>
  <r>
    <n v="10368"/>
    <x v="106"/>
    <n v="35.999999940395355"/>
    <n v="5"/>
    <x v="5"/>
  </r>
  <r>
    <n v="10368"/>
    <x v="106"/>
    <n v="425.87999929487705"/>
    <n v="13"/>
    <x v="4"/>
  </r>
  <r>
    <n v="10368"/>
    <x v="106"/>
    <n v="837.89999861270189"/>
    <n v="35"/>
    <x v="7"/>
  </r>
  <r>
    <n v="10368"/>
    <x v="106"/>
    <n v="837.89999861270189"/>
    <n v="35"/>
    <x v="1"/>
  </r>
  <r>
    <n v="10368"/>
    <x v="106"/>
    <n v="837.89999861270189"/>
    <n v="35"/>
    <x v="4"/>
  </r>
  <r>
    <n v="10368"/>
    <x v="106"/>
    <n v="837.89999861270189"/>
    <n v="35"/>
    <x v="2"/>
  </r>
  <r>
    <n v="10368"/>
    <x v="106"/>
    <n v="390"/>
    <n v="25"/>
    <x v="2"/>
  </r>
  <r>
    <n v="10368"/>
    <x v="106"/>
    <n v="425.87999929487705"/>
    <n v="13"/>
    <x v="2"/>
  </r>
  <r>
    <n v="10368"/>
    <x v="106"/>
    <n v="35.999999940395355"/>
    <n v="5"/>
    <x v="6"/>
  </r>
  <r>
    <n v="10368"/>
    <x v="106"/>
    <n v="425.87999929487705"/>
    <n v="13"/>
    <x v="6"/>
  </r>
  <r>
    <n v="10368"/>
    <x v="106"/>
    <n v="390"/>
    <n v="25"/>
    <x v="6"/>
  </r>
  <r>
    <n v="10368"/>
    <x v="106"/>
    <n v="390"/>
    <n v="25"/>
    <x v="4"/>
  </r>
  <r>
    <n v="10368"/>
    <x v="106"/>
    <n v="837.89999861270189"/>
    <n v="35"/>
    <x v="3"/>
  </r>
  <r>
    <n v="10368"/>
    <x v="106"/>
    <n v="390"/>
    <n v="25"/>
    <x v="3"/>
  </r>
  <r>
    <n v="10368"/>
    <x v="106"/>
    <n v="425.87999929487705"/>
    <n v="13"/>
    <x v="3"/>
  </r>
  <r>
    <n v="10368"/>
    <x v="106"/>
    <n v="35.999999940395355"/>
    <n v="5"/>
    <x v="3"/>
  </r>
  <r>
    <n v="10368"/>
    <x v="106"/>
    <n v="837.89999861270189"/>
    <n v="35"/>
    <x v="6"/>
  </r>
  <r>
    <n v="10368"/>
    <x v="106"/>
    <n v="35.999999940395355"/>
    <n v="5"/>
    <x v="7"/>
  </r>
  <r>
    <n v="10368"/>
    <x v="106"/>
    <n v="35.999999940395355"/>
    <n v="5"/>
    <x v="2"/>
  </r>
  <r>
    <n v="10369"/>
    <x v="107"/>
    <n v="410.40000000000003"/>
    <n v="18"/>
    <x v="1"/>
  </r>
  <r>
    <n v="10369"/>
    <x v="107"/>
    <n v="410.40000000000003"/>
    <n v="18"/>
    <x v="5"/>
  </r>
  <r>
    <n v="10369"/>
    <x v="107"/>
    <n v="1980"/>
    <n v="20"/>
    <x v="3"/>
  </r>
  <r>
    <n v="10369"/>
    <x v="107"/>
    <n v="410.40000000000003"/>
    <n v="18"/>
    <x v="3"/>
  </r>
  <r>
    <n v="10369"/>
    <x v="107"/>
    <n v="410.40000000000003"/>
    <n v="18"/>
    <x v="7"/>
  </r>
  <r>
    <n v="10369"/>
    <x v="107"/>
    <n v="410.40000000000003"/>
    <n v="18"/>
    <x v="4"/>
  </r>
  <r>
    <n v="10369"/>
    <x v="107"/>
    <n v="1980"/>
    <n v="20"/>
    <x v="2"/>
  </r>
  <r>
    <n v="10369"/>
    <x v="107"/>
    <n v="410.40000000000003"/>
    <n v="18"/>
    <x v="2"/>
  </r>
  <r>
    <n v="10369"/>
    <x v="107"/>
    <n v="1980"/>
    <n v="20"/>
    <x v="5"/>
  </r>
  <r>
    <n v="10369"/>
    <x v="107"/>
    <n v="1980"/>
    <n v="20"/>
    <x v="4"/>
  </r>
  <r>
    <n v="10369"/>
    <x v="107"/>
    <n v="1980"/>
    <n v="20"/>
    <x v="1"/>
  </r>
  <r>
    <n v="10369"/>
    <x v="107"/>
    <n v="1980"/>
    <n v="20"/>
    <x v="7"/>
  </r>
  <r>
    <n v="10369"/>
    <x v="107"/>
    <n v="410.40000000000003"/>
    <n v="18"/>
    <x v="6"/>
  </r>
  <r>
    <n v="10369"/>
    <x v="107"/>
    <n v="1980"/>
    <n v="20"/>
    <x v="6"/>
  </r>
  <r>
    <n v="10369"/>
    <x v="107"/>
    <n v="1980"/>
    <n v="20"/>
    <x v="0"/>
  </r>
  <r>
    <n v="10369"/>
    <x v="107"/>
    <n v="410.40000000000003"/>
    <n v="18"/>
    <x v="0"/>
  </r>
  <r>
    <n v="10370"/>
    <x v="108"/>
    <n v="135.99999904632568"/>
    <n v="20"/>
    <x v="0"/>
  </r>
  <r>
    <n v="10370"/>
    <x v="108"/>
    <n v="183.59999871253967"/>
    <n v="15"/>
    <x v="4"/>
  </r>
  <r>
    <n v="10370"/>
    <x v="108"/>
    <n v="798"/>
    <n v="30"/>
    <x v="4"/>
  </r>
  <r>
    <n v="10370"/>
    <x v="108"/>
    <n v="798"/>
    <n v="30"/>
    <x v="5"/>
  </r>
  <r>
    <n v="10370"/>
    <x v="108"/>
    <n v="798"/>
    <n v="30"/>
    <x v="0"/>
  </r>
  <r>
    <n v="10370"/>
    <x v="108"/>
    <n v="183.59999871253967"/>
    <n v="15"/>
    <x v="5"/>
  </r>
  <r>
    <n v="10370"/>
    <x v="108"/>
    <n v="798"/>
    <n v="30"/>
    <x v="6"/>
  </r>
  <r>
    <n v="10370"/>
    <x v="108"/>
    <n v="135.99999904632568"/>
    <n v="20"/>
    <x v="6"/>
  </r>
  <r>
    <n v="10370"/>
    <x v="108"/>
    <n v="183.59999871253967"/>
    <n v="15"/>
    <x v="6"/>
  </r>
  <r>
    <n v="10370"/>
    <x v="108"/>
    <n v="135.99999904632568"/>
    <n v="20"/>
    <x v="5"/>
  </r>
  <r>
    <n v="10370"/>
    <x v="108"/>
    <n v="798"/>
    <n v="30"/>
    <x v="3"/>
  </r>
  <r>
    <n v="10370"/>
    <x v="108"/>
    <n v="135.99999904632568"/>
    <n v="20"/>
    <x v="4"/>
  </r>
  <r>
    <n v="10370"/>
    <x v="108"/>
    <n v="183.59999871253967"/>
    <n v="15"/>
    <x v="0"/>
  </r>
  <r>
    <n v="10370"/>
    <x v="108"/>
    <n v="135.99999904632568"/>
    <n v="20"/>
    <x v="2"/>
  </r>
  <r>
    <n v="10370"/>
    <x v="108"/>
    <n v="183.59999871253967"/>
    <n v="15"/>
    <x v="7"/>
  </r>
  <r>
    <n v="10370"/>
    <x v="108"/>
    <n v="798"/>
    <n v="30"/>
    <x v="7"/>
  </r>
  <r>
    <n v="10370"/>
    <x v="108"/>
    <n v="135.99999904632568"/>
    <n v="20"/>
    <x v="3"/>
  </r>
  <r>
    <n v="10370"/>
    <x v="108"/>
    <n v="183.59999871253967"/>
    <n v="15"/>
    <x v="3"/>
  </r>
  <r>
    <n v="10370"/>
    <x v="108"/>
    <n v="183.59999871253967"/>
    <n v="15"/>
    <x v="2"/>
  </r>
  <r>
    <n v="10370"/>
    <x v="108"/>
    <n v="135.99999904632568"/>
    <n v="20"/>
    <x v="1"/>
  </r>
  <r>
    <n v="10370"/>
    <x v="108"/>
    <n v="135.99999904632568"/>
    <n v="20"/>
    <x v="7"/>
  </r>
  <r>
    <n v="10370"/>
    <x v="108"/>
    <n v="798"/>
    <n v="30"/>
    <x v="2"/>
  </r>
  <r>
    <n v="10370"/>
    <x v="108"/>
    <n v="798"/>
    <n v="30"/>
    <x v="1"/>
  </r>
  <r>
    <n v="10370"/>
    <x v="108"/>
    <n v="183.59999871253967"/>
    <n v="15"/>
    <x v="1"/>
  </r>
  <r>
    <n v="10371"/>
    <x v="108"/>
    <n v="72.959999728202817"/>
    <n v="6"/>
    <x v="1"/>
  </r>
  <r>
    <n v="10371"/>
    <x v="108"/>
    <n v="72.959999728202817"/>
    <n v="6"/>
    <x v="6"/>
  </r>
  <r>
    <n v="10371"/>
    <x v="108"/>
    <n v="72.959999728202817"/>
    <n v="6"/>
    <x v="3"/>
  </r>
  <r>
    <n v="10371"/>
    <x v="108"/>
    <n v="72.959999728202817"/>
    <n v="6"/>
    <x v="0"/>
  </r>
  <r>
    <n v="10371"/>
    <x v="108"/>
    <n v="72.959999728202817"/>
    <n v="6"/>
    <x v="5"/>
  </r>
  <r>
    <n v="10371"/>
    <x v="108"/>
    <n v="72.959999728202817"/>
    <n v="6"/>
    <x v="2"/>
  </r>
  <r>
    <n v="10371"/>
    <x v="108"/>
    <n v="72.959999728202817"/>
    <n v="6"/>
    <x v="7"/>
  </r>
  <r>
    <n v="10371"/>
    <x v="108"/>
    <n v="72.959999728202817"/>
    <n v="6"/>
    <x v="4"/>
  </r>
  <r>
    <n v="10372"/>
    <x v="109"/>
    <n v="6324"/>
    <n v="40"/>
    <x v="2"/>
  </r>
  <r>
    <n v="10372"/>
    <x v="109"/>
    <n v="875.69999999999993"/>
    <n v="42"/>
    <x v="1"/>
  </r>
  <r>
    <n v="10372"/>
    <x v="109"/>
    <n v="1428"/>
    <n v="70"/>
    <x v="1"/>
  </r>
  <r>
    <n v="10372"/>
    <x v="109"/>
    <n v="6324"/>
    <n v="40"/>
    <x v="5"/>
  </r>
  <r>
    <n v="10372"/>
    <x v="109"/>
    <n v="1428"/>
    <n v="70"/>
    <x v="2"/>
  </r>
  <r>
    <n v="10372"/>
    <x v="109"/>
    <n v="6324"/>
    <n v="40"/>
    <x v="1"/>
  </r>
  <r>
    <n v="10372"/>
    <x v="109"/>
    <n v="583.20000000000005"/>
    <n v="12"/>
    <x v="1"/>
  </r>
  <r>
    <n v="10372"/>
    <x v="109"/>
    <n v="583.20000000000005"/>
    <n v="12"/>
    <x v="5"/>
  </r>
  <r>
    <n v="10372"/>
    <x v="109"/>
    <n v="6324"/>
    <n v="40"/>
    <x v="3"/>
  </r>
  <r>
    <n v="10372"/>
    <x v="109"/>
    <n v="1428"/>
    <n v="70"/>
    <x v="4"/>
  </r>
  <r>
    <n v="10372"/>
    <x v="109"/>
    <n v="583.20000000000005"/>
    <n v="12"/>
    <x v="2"/>
  </r>
  <r>
    <n v="10372"/>
    <x v="109"/>
    <n v="6324"/>
    <n v="40"/>
    <x v="4"/>
  </r>
  <r>
    <n v="10372"/>
    <x v="109"/>
    <n v="583.20000000000005"/>
    <n v="12"/>
    <x v="4"/>
  </r>
  <r>
    <n v="10372"/>
    <x v="109"/>
    <n v="875.69999999999993"/>
    <n v="42"/>
    <x v="3"/>
  </r>
  <r>
    <n v="10372"/>
    <x v="109"/>
    <n v="583.20000000000005"/>
    <n v="12"/>
    <x v="3"/>
  </r>
  <r>
    <n v="10372"/>
    <x v="109"/>
    <n v="1428"/>
    <n v="70"/>
    <x v="3"/>
  </r>
  <r>
    <n v="10372"/>
    <x v="109"/>
    <n v="875.69999999999993"/>
    <n v="42"/>
    <x v="4"/>
  </r>
  <r>
    <n v="10372"/>
    <x v="109"/>
    <n v="583.20000000000005"/>
    <n v="12"/>
    <x v="6"/>
  </r>
  <r>
    <n v="10372"/>
    <x v="109"/>
    <n v="6324"/>
    <n v="40"/>
    <x v="7"/>
  </r>
  <r>
    <n v="10372"/>
    <x v="109"/>
    <n v="1428"/>
    <n v="70"/>
    <x v="7"/>
  </r>
  <r>
    <n v="10372"/>
    <x v="109"/>
    <n v="583.20000000000005"/>
    <n v="12"/>
    <x v="0"/>
  </r>
  <r>
    <n v="10372"/>
    <x v="109"/>
    <n v="1428"/>
    <n v="70"/>
    <x v="5"/>
  </r>
  <r>
    <n v="10372"/>
    <x v="109"/>
    <n v="875.69999999999993"/>
    <n v="42"/>
    <x v="7"/>
  </r>
  <r>
    <n v="10372"/>
    <x v="109"/>
    <n v="875.69999999999993"/>
    <n v="42"/>
    <x v="6"/>
  </r>
  <r>
    <n v="10372"/>
    <x v="109"/>
    <n v="583.20000000000005"/>
    <n v="12"/>
    <x v="7"/>
  </r>
  <r>
    <n v="10372"/>
    <x v="109"/>
    <n v="6324"/>
    <n v="40"/>
    <x v="6"/>
  </r>
  <r>
    <n v="10372"/>
    <x v="109"/>
    <n v="875.69999999999993"/>
    <n v="42"/>
    <x v="5"/>
  </r>
  <r>
    <n v="10372"/>
    <x v="109"/>
    <n v="875.69999999999993"/>
    <n v="42"/>
    <x v="2"/>
  </r>
  <r>
    <n v="10372"/>
    <x v="109"/>
    <n v="875.69999999999993"/>
    <n v="42"/>
    <x v="0"/>
  </r>
  <r>
    <n v="10372"/>
    <x v="109"/>
    <n v="1428"/>
    <n v="70"/>
    <x v="0"/>
  </r>
  <r>
    <n v="10372"/>
    <x v="109"/>
    <n v="6324"/>
    <n v="40"/>
    <x v="0"/>
  </r>
  <r>
    <n v="10372"/>
    <x v="109"/>
    <n v="1428"/>
    <n v="70"/>
    <x v="6"/>
  </r>
  <r>
    <n v="10373"/>
    <x v="110"/>
    <n v="678.39999747276306"/>
    <n v="80"/>
    <x v="6"/>
  </r>
  <r>
    <n v="10373"/>
    <x v="110"/>
    <n v="678.39999747276306"/>
    <n v="80"/>
    <x v="5"/>
  </r>
  <r>
    <n v="10373"/>
    <x v="110"/>
    <n v="687.99999743700027"/>
    <n v="50"/>
    <x v="5"/>
  </r>
  <r>
    <n v="10373"/>
    <x v="110"/>
    <n v="678.39999747276306"/>
    <n v="80"/>
    <x v="1"/>
  </r>
  <r>
    <n v="10373"/>
    <x v="110"/>
    <n v="687.99999743700027"/>
    <n v="50"/>
    <x v="1"/>
  </r>
  <r>
    <n v="10373"/>
    <x v="110"/>
    <n v="678.39999747276306"/>
    <n v="80"/>
    <x v="2"/>
  </r>
  <r>
    <n v="10373"/>
    <x v="110"/>
    <n v="687.99999743700027"/>
    <n v="50"/>
    <x v="6"/>
  </r>
  <r>
    <n v="10373"/>
    <x v="110"/>
    <n v="678.39999747276306"/>
    <n v="80"/>
    <x v="4"/>
  </r>
  <r>
    <n v="10373"/>
    <x v="110"/>
    <n v="687.99999743700027"/>
    <n v="50"/>
    <x v="4"/>
  </r>
  <r>
    <n v="10373"/>
    <x v="110"/>
    <n v="687.99999743700027"/>
    <n v="50"/>
    <x v="3"/>
  </r>
  <r>
    <n v="10373"/>
    <x v="110"/>
    <n v="678.39999747276306"/>
    <n v="80"/>
    <x v="3"/>
  </r>
  <r>
    <n v="10373"/>
    <x v="110"/>
    <n v="678.39999747276306"/>
    <n v="80"/>
    <x v="7"/>
  </r>
  <r>
    <n v="10373"/>
    <x v="110"/>
    <n v="687.99999743700027"/>
    <n v="50"/>
    <x v="2"/>
  </r>
  <r>
    <n v="10373"/>
    <x v="110"/>
    <n v="678.39999747276306"/>
    <n v="80"/>
    <x v="0"/>
  </r>
  <r>
    <n v="10373"/>
    <x v="110"/>
    <n v="687.99999743700027"/>
    <n v="50"/>
    <x v="7"/>
  </r>
  <r>
    <n v="10373"/>
    <x v="110"/>
    <n v="687.99999743700027"/>
    <n v="50"/>
    <x v="0"/>
  </r>
  <r>
    <n v="10374"/>
    <x v="110"/>
    <n v="300"/>
    <n v="30"/>
    <x v="7"/>
  </r>
  <r>
    <n v="10374"/>
    <x v="110"/>
    <n v="300"/>
    <n v="30"/>
    <x v="2"/>
  </r>
  <r>
    <n v="10374"/>
    <x v="110"/>
    <n v="300"/>
    <n v="30"/>
    <x v="5"/>
  </r>
  <r>
    <n v="10374"/>
    <x v="110"/>
    <n v="159"/>
    <n v="15"/>
    <x v="5"/>
  </r>
  <r>
    <n v="10374"/>
    <x v="110"/>
    <n v="159"/>
    <n v="15"/>
    <x v="1"/>
  </r>
  <r>
    <n v="10374"/>
    <x v="110"/>
    <n v="300"/>
    <n v="30"/>
    <x v="1"/>
  </r>
  <r>
    <n v="10374"/>
    <x v="110"/>
    <n v="159"/>
    <n v="15"/>
    <x v="3"/>
  </r>
  <r>
    <n v="10374"/>
    <x v="110"/>
    <n v="159"/>
    <n v="15"/>
    <x v="2"/>
  </r>
  <r>
    <n v="10374"/>
    <x v="110"/>
    <n v="159"/>
    <n v="15"/>
    <x v="0"/>
  </r>
  <r>
    <n v="10374"/>
    <x v="110"/>
    <n v="300"/>
    <n v="30"/>
    <x v="3"/>
  </r>
  <r>
    <n v="10374"/>
    <x v="110"/>
    <n v="300"/>
    <n v="30"/>
    <x v="0"/>
  </r>
  <r>
    <n v="10374"/>
    <x v="110"/>
    <n v="159"/>
    <n v="15"/>
    <x v="6"/>
  </r>
  <r>
    <n v="10374"/>
    <x v="110"/>
    <n v="300"/>
    <n v="30"/>
    <x v="6"/>
  </r>
  <r>
    <n v="10374"/>
    <x v="110"/>
    <n v="159"/>
    <n v="15"/>
    <x v="4"/>
  </r>
  <r>
    <n v="10374"/>
    <x v="110"/>
    <n v="300"/>
    <n v="30"/>
    <x v="4"/>
  </r>
  <r>
    <n v="10374"/>
    <x v="110"/>
    <n v="159"/>
    <n v="15"/>
    <x v="7"/>
  </r>
  <r>
    <n v="10375"/>
    <x v="111"/>
    <n v="59"/>
    <n v="10"/>
    <x v="2"/>
  </r>
  <r>
    <n v="10375"/>
    <x v="111"/>
    <n v="279"/>
    <n v="15"/>
    <x v="7"/>
  </r>
  <r>
    <n v="10375"/>
    <x v="111"/>
    <n v="59"/>
    <n v="10"/>
    <x v="0"/>
  </r>
  <r>
    <n v="10375"/>
    <x v="111"/>
    <n v="279"/>
    <n v="15"/>
    <x v="1"/>
  </r>
  <r>
    <n v="10375"/>
    <x v="111"/>
    <n v="59"/>
    <n v="10"/>
    <x v="7"/>
  </r>
  <r>
    <n v="10375"/>
    <x v="111"/>
    <n v="59"/>
    <n v="10"/>
    <x v="3"/>
  </r>
  <r>
    <n v="10375"/>
    <x v="111"/>
    <n v="59"/>
    <n v="10"/>
    <x v="4"/>
  </r>
  <r>
    <n v="10375"/>
    <x v="111"/>
    <n v="279"/>
    <n v="15"/>
    <x v="4"/>
  </r>
  <r>
    <n v="10375"/>
    <x v="111"/>
    <n v="59"/>
    <n v="10"/>
    <x v="1"/>
  </r>
  <r>
    <n v="10375"/>
    <x v="111"/>
    <n v="279"/>
    <n v="15"/>
    <x v="6"/>
  </r>
  <r>
    <n v="10375"/>
    <x v="111"/>
    <n v="279"/>
    <n v="15"/>
    <x v="3"/>
  </r>
  <r>
    <n v="10375"/>
    <x v="111"/>
    <n v="279"/>
    <n v="15"/>
    <x v="2"/>
  </r>
  <r>
    <n v="10375"/>
    <x v="111"/>
    <n v="279"/>
    <n v="15"/>
    <x v="5"/>
  </r>
  <r>
    <n v="10375"/>
    <x v="111"/>
    <n v="59"/>
    <n v="10"/>
    <x v="5"/>
  </r>
  <r>
    <n v="10375"/>
    <x v="111"/>
    <n v="59"/>
    <n v="10"/>
    <x v="6"/>
  </r>
  <r>
    <n v="10375"/>
    <x v="111"/>
    <n v="279"/>
    <n v="15"/>
    <x v="0"/>
  </r>
  <r>
    <n v="10376"/>
    <x v="112"/>
    <n v="398.99999968707561"/>
    <n v="42"/>
    <x v="7"/>
  </r>
  <r>
    <n v="10376"/>
    <x v="112"/>
    <n v="398.99999968707561"/>
    <n v="42"/>
    <x v="0"/>
  </r>
  <r>
    <n v="10376"/>
    <x v="112"/>
    <n v="398.99999968707561"/>
    <n v="42"/>
    <x v="2"/>
  </r>
  <r>
    <n v="10376"/>
    <x v="112"/>
    <n v="398.99999968707561"/>
    <n v="42"/>
    <x v="5"/>
  </r>
  <r>
    <n v="10376"/>
    <x v="112"/>
    <n v="398.99999968707561"/>
    <n v="42"/>
    <x v="1"/>
  </r>
  <r>
    <n v="10376"/>
    <x v="112"/>
    <n v="398.99999968707561"/>
    <n v="42"/>
    <x v="4"/>
  </r>
  <r>
    <n v="10376"/>
    <x v="112"/>
    <n v="398.99999968707561"/>
    <n v="42"/>
    <x v="3"/>
  </r>
  <r>
    <n v="10376"/>
    <x v="112"/>
    <n v="398.99999968707561"/>
    <n v="42"/>
    <x v="6"/>
  </r>
  <r>
    <n v="10377"/>
    <x v="112"/>
    <n v="618.79999566078186"/>
    <n v="20"/>
    <x v="6"/>
  </r>
  <r>
    <n v="10377"/>
    <x v="112"/>
    <n v="244.79999828338623"/>
    <n v="20"/>
    <x v="6"/>
  </r>
  <r>
    <n v="10377"/>
    <x v="112"/>
    <n v="618.79999566078186"/>
    <n v="20"/>
    <x v="3"/>
  </r>
  <r>
    <n v="10377"/>
    <x v="112"/>
    <n v="618.79999566078186"/>
    <n v="20"/>
    <x v="2"/>
  </r>
  <r>
    <n v="10377"/>
    <x v="112"/>
    <n v="618.79999566078186"/>
    <n v="20"/>
    <x v="7"/>
  </r>
  <r>
    <n v="10377"/>
    <x v="112"/>
    <n v="244.79999828338623"/>
    <n v="20"/>
    <x v="7"/>
  </r>
  <r>
    <n v="10377"/>
    <x v="112"/>
    <n v="244.79999828338623"/>
    <n v="20"/>
    <x v="3"/>
  </r>
  <r>
    <n v="10377"/>
    <x v="112"/>
    <n v="244.79999828338623"/>
    <n v="20"/>
    <x v="5"/>
  </r>
  <r>
    <n v="10377"/>
    <x v="112"/>
    <n v="618.79999566078186"/>
    <n v="20"/>
    <x v="4"/>
  </r>
  <r>
    <n v="10377"/>
    <x v="112"/>
    <n v="618.79999566078186"/>
    <n v="20"/>
    <x v="0"/>
  </r>
  <r>
    <n v="10377"/>
    <x v="112"/>
    <n v="244.79999828338623"/>
    <n v="20"/>
    <x v="0"/>
  </r>
  <r>
    <n v="10377"/>
    <x v="112"/>
    <n v="244.79999828338623"/>
    <n v="20"/>
    <x v="2"/>
  </r>
  <r>
    <n v="10377"/>
    <x v="112"/>
    <n v="244.79999828338623"/>
    <n v="20"/>
    <x v="1"/>
  </r>
  <r>
    <n v="10377"/>
    <x v="112"/>
    <n v="618.79999566078186"/>
    <n v="20"/>
    <x v="1"/>
  </r>
  <r>
    <n v="10377"/>
    <x v="112"/>
    <n v="244.79999828338623"/>
    <n v="20"/>
    <x v="4"/>
  </r>
  <r>
    <n v="10377"/>
    <x v="112"/>
    <n v="618.79999566078186"/>
    <n v="20"/>
    <x v="5"/>
  </r>
  <r>
    <n v="10378"/>
    <x v="113"/>
    <n v="103.2"/>
    <n v="6"/>
    <x v="0"/>
  </r>
  <r>
    <n v="10378"/>
    <x v="113"/>
    <n v="103.2"/>
    <n v="6"/>
    <x v="5"/>
  </r>
  <r>
    <n v="10378"/>
    <x v="113"/>
    <n v="103.2"/>
    <n v="6"/>
    <x v="6"/>
  </r>
  <r>
    <n v="10378"/>
    <x v="113"/>
    <n v="103.2"/>
    <n v="6"/>
    <x v="3"/>
  </r>
  <r>
    <n v="10378"/>
    <x v="113"/>
    <n v="103.2"/>
    <n v="6"/>
    <x v="4"/>
  </r>
  <r>
    <n v="10378"/>
    <x v="113"/>
    <n v="103.2"/>
    <n v="6"/>
    <x v="2"/>
  </r>
  <r>
    <n v="10378"/>
    <x v="113"/>
    <n v="103.2"/>
    <n v="6"/>
    <x v="1"/>
  </r>
  <r>
    <n v="10378"/>
    <x v="113"/>
    <n v="103.2"/>
    <n v="6"/>
    <x v="7"/>
  </r>
  <r>
    <n v="10379"/>
    <x v="114"/>
    <n v="505.43999916315079"/>
    <n v="16"/>
    <x v="6"/>
  </r>
  <r>
    <n v="10379"/>
    <x v="114"/>
    <n v="55.439999908208847"/>
    <n v="8"/>
    <x v="3"/>
  </r>
  <r>
    <n v="10379"/>
    <x v="114"/>
    <n v="55.439999908208847"/>
    <n v="8"/>
    <x v="6"/>
  </r>
  <r>
    <n v="10379"/>
    <x v="114"/>
    <n v="505.43999916315079"/>
    <n v="16"/>
    <x v="1"/>
  </r>
  <r>
    <n v="10379"/>
    <x v="114"/>
    <n v="302.39999949932098"/>
    <n v="20"/>
    <x v="1"/>
  </r>
  <r>
    <n v="10379"/>
    <x v="114"/>
    <n v="505.43999916315079"/>
    <n v="16"/>
    <x v="0"/>
  </r>
  <r>
    <n v="10379"/>
    <x v="114"/>
    <n v="302.39999949932098"/>
    <n v="20"/>
    <x v="6"/>
  </r>
  <r>
    <n v="10379"/>
    <x v="114"/>
    <n v="55.439999908208847"/>
    <n v="8"/>
    <x v="0"/>
  </r>
  <r>
    <n v="10379"/>
    <x v="114"/>
    <n v="505.43999916315079"/>
    <n v="16"/>
    <x v="2"/>
  </r>
  <r>
    <n v="10379"/>
    <x v="114"/>
    <n v="55.439999908208847"/>
    <n v="8"/>
    <x v="2"/>
  </r>
  <r>
    <n v="10379"/>
    <x v="114"/>
    <n v="302.39999949932098"/>
    <n v="20"/>
    <x v="2"/>
  </r>
  <r>
    <n v="10379"/>
    <x v="114"/>
    <n v="505.43999916315079"/>
    <n v="16"/>
    <x v="5"/>
  </r>
  <r>
    <n v="10379"/>
    <x v="114"/>
    <n v="302.39999949932098"/>
    <n v="20"/>
    <x v="5"/>
  </r>
  <r>
    <n v="10379"/>
    <x v="114"/>
    <n v="55.439999908208847"/>
    <n v="8"/>
    <x v="5"/>
  </r>
  <r>
    <n v="10379"/>
    <x v="114"/>
    <n v="302.39999949932098"/>
    <n v="20"/>
    <x v="0"/>
  </r>
  <r>
    <n v="10379"/>
    <x v="114"/>
    <n v="55.439999908208847"/>
    <n v="8"/>
    <x v="7"/>
  </r>
  <r>
    <n v="10379"/>
    <x v="114"/>
    <n v="505.43999916315079"/>
    <n v="16"/>
    <x v="7"/>
  </r>
  <r>
    <n v="10379"/>
    <x v="114"/>
    <n v="302.39999949932098"/>
    <n v="20"/>
    <x v="7"/>
  </r>
  <r>
    <n v="10379"/>
    <x v="114"/>
    <n v="505.43999916315079"/>
    <n v="16"/>
    <x v="4"/>
  </r>
  <r>
    <n v="10379"/>
    <x v="114"/>
    <n v="302.39999949932098"/>
    <n v="20"/>
    <x v="4"/>
  </r>
  <r>
    <n v="10379"/>
    <x v="114"/>
    <n v="55.439999908208847"/>
    <n v="8"/>
    <x v="1"/>
  </r>
  <r>
    <n v="10379"/>
    <x v="114"/>
    <n v="505.43999916315079"/>
    <n v="16"/>
    <x v="3"/>
  </r>
  <r>
    <n v="10379"/>
    <x v="114"/>
    <n v="302.39999949932098"/>
    <n v="20"/>
    <x v="3"/>
  </r>
  <r>
    <n v="10379"/>
    <x v="114"/>
    <n v="55.439999908208847"/>
    <n v="8"/>
    <x v="4"/>
  </r>
  <r>
    <n v="10380"/>
    <x v="115"/>
    <n v="471.59999921917915"/>
    <n v="20"/>
    <x v="4"/>
  </r>
  <r>
    <n v="10380"/>
    <x v="115"/>
    <n v="335.33999944478273"/>
    <n v="18"/>
    <x v="4"/>
  </r>
  <r>
    <n v="10380"/>
    <x v="115"/>
    <n v="335.33999944478273"/>
    <n v="18"/>
    <x v="7"/>
  </r>
  <r>
    <n v="10380"/>
    <x v="115"/>
    <n v="471.59999921917915"/>
    <n v="20"/>
    <x v="3"/>
  </r>
  <r>
    <n v="10380"/>
    <x v="115"/>
    <n v="146.87999975681305"/>
    <n v="6"/>
    <x v="3"/>
  </r>
  <r>
    <n v="10380"/>
    <x v="115"/>
    <n v="360"/>
    <n v="30"/>
    <x v="3"/>
  </r>
  <r>
    <n v="10380"/>
    <x v="115"/>
    <n v="471.59999921917915"/>
    <n v="20"/>
    <x v="5"/>
  </r>
  <r>
    <n v="10380"/>
    <x v="115"/>
    <n v="146.87999975681305"/>
    <n v="6"/>
    <x v="4"/>
  </r>
  <r>
    <n v="10380"/>
    <x v="115"/>
    <n v="335.33999944478273"/>
    <n v="18"/>
    <x v="3"/>
  </r>
  <r>
    <n v="10380"/>
    <x v="115"/>
    <n v="360"/>
    <n v="30"/>
    <x v="4"/>
  </r>
  <r>
    <n v="10380"/>
    <x v="115"/>
    <n v="146.87999975681305"/>
    <n v="6"/>
    <x v="5"/>
  </r>
  <r>
    <n v="10380"/>
    <x v="115"/>
    <n v="471.59999921917915"/>
    <n v="20"/>
    <x v="1"/>
  </r>
  <r>
    <n v="10380"/>
    <x v="115"/>
    <n v="146.87999975681305"/>
    <n v="6"/>
    <x v="1"/>
  </r>
  <r>
    <n v="10380"/>
    <x v="115"/>
    <n v="360"/>
    <n v="30"/>
    <x v="1"/>
  </r>
  <r>
    <n v="10380"/>
    <x v="115"/>
    <n v="360"/>
    <n v="30"/>
    <x v="0"/>
  </r>
  <r>
    <n v="10380"/>
    <x v="115"/>
    <n v="146.87999975681305"/>
    <n v="6"/>
    <x v="7"/>
  </r>
  <r>
    <n v="10380"/>
    <x v="115"/>
    <n v="146.87999975681305"/>
    <n v="6"/>
    <x v="0"/>
  </r>
  <r>
    <n v="10380"/>
    <x v="115"/>
    <n v="335.33999944478273"/>
    <n v="18"/>
    <x v="5"/>
  </r>
  <r>
    <n v="10380"/>
    <x v="115"/>
    <n v="360"/>
    <n v="30"/>
    <x v="7"/>
  </r>
  <r>
    <n v="10380"/>
    <x v="115"/>
    <n v="471.59999921917915"/>
    <n v="20"/>
    <x v="0"/>
  </r>
  <r>
    <n v="10380"/>
    <x v="115"/>
    <n v="335.33999944478273"/>
    <n v="18"/>
    <x v="0"/>
  </r>
  <r>
    <n v="10380"/>
    <x v="115"/>
    <n v="335.33999944478273"/>
    <n v="18"/>
    <x v="1"/>
  </r>
  <r>
    <n v="10380"/>
    <x v="115"/>
    <n v="360"/>
    <n v="30"/>
    <x v="5"/>
  </r>
  <r>
    <n v="10380"/>
    <x v="115"/>
    <n v="471.59999921917915"/>
    <n v="20"/>
    <x v="7"/>
  </r>
  <r>
    <n v="10380"/>
    <x v="115"/>
    <n v="360"/>
    <n v="30"/>
    <x v="2"/>
  </r>
  <r>
    <n v="10380"/>
    <x v="115"/>
    <n v="360"/>
    <n v="30"/>
    <x v="6"/>
  </r>
  <r>
    <n v="10380"/>
    <x v="115"/>
    <n v="146.87999975681305"/>
    <n v="6"/>
    <x v="6"/>
  </r>
  <r>
    <n v="10380"/>
    <x v="115"/>
    <n v="471.59999921917915"/>
    <n v="20"/>
    <x v="6"/>
  </r>
  <r>
    <n v="10380"/>
    <x v="115"/>
    <n v="335.33999944478273"/>
    <n v="18"/>
    <x v="6"/>
  </r>
  <r>
    <n v="10380"/>
    <x v="115"/>
    <n v="335.33999944478273"/>
    <n v="18"/>
    <x v="2"/>
  </r>
  <r>
    <n v="10380"/>
    <x v="115"/>
    <n v="471.59999921917915"/>
    <n v="20"/>
    <x v="2"/>
  </r>
  <r>
    <n v="10380"/>
    <x v="115"/>
    <n v="146.87999975681305"/>
    <n v="6"/>
    <x v="2"/>
  </r>
  <r>
    <n v="10381"/>
    <x v="115"/>
    <n v="112"/>
    <n v="14"/>
    <x v="2"/>
  </r>
  <r>
    <n v="10381"/>
    <x v="115"/>
    <n v="112"/>
    <n v="14"/>
    <x v="4"/>
  </r>
  <r>
    <n v="10381"/>
    <x v="115"/>
    <n v="112"/>
    <n v="14"/>
    <x v="5"/>
  </r>
  <r>
    <n v="10381"/>
    <x v="115"/>
    <n v="112"/>
    <n v="14"/>
    <x v="1"/>
  </r>
  <r>
    <n v="10381"/>
    <x v="115"/>
    <n v="112"/>
    <n v="14"/>
    <x v="0"/>
  </r>
  <r>
    <n v="10381"/>
    <x v="115"/>
    <n v="112"/>
    <n v="14"/>
    <x v="7"/>
  </r>
  <r>
    <n v="10381"/>
    <x v="115"/>
    <n v="112"/>
    <n v="14"/>
    <x v="6"/>
  </r>
  <r>
    <n v="10381"/>
    <x v="115"/>
    <n v="112"/>
    <n v="14"/>
    <x v="3"/>
  </r>
  <r>
    <n v="10382"/>
    <x v="116"/>
    <n v="544"/>
    <n v="32"/>
    <x v="7"/>
  </r>
  <r>
    <n v="10382"/>
    <x v="116"/>
    <n v="450"/>
    <n v="9"/>
    <x v="7"/>
  </r>
  <r>
    <n v="10382"/>
    <x v="116"/>
    <n v="1386"/>
    <n v="14"/>
    <x v="7"/>
  </r>
  <r>
    <n v="10382"/>
    <x v="116"/>
    <n v="120"/>
    <n v="60"/>
    <x v="7"/>
  </r>
  <r>
    <n v="10382"/>
    <x v="116"/>
    <n v="400"/>
    <n v="50"/>
    <x v="7"/>
  </r>
  <r>
    <n v="10382"/>
    <x v="116"/>
    <n v="1386"/>
    <n v="14"/>
    <x v="3"/>
  </r>
  <r>
    <n v="10382"/>
    <x v="116"/>
    <n v="1386"/>
    <n v="14"/>
    <x v="4"/>
  </r>
  <r>
    <n v="10382"/>
    <x v="116"/>
    <n v="544"/>
    <n v="32"/>
    <x v="6"/>
  </r>
  <r>
    <n v="10382"/>
    <x v="116"/>
    <n v="544"/>
    <n v="32"/>
    <x v="2"/>
  </r>
  <r>
    <n v="10382"/>
    <x v="116"/>
    <n v="450"/>
    <n v="9"/>
    <x v="2"/>
  </r>
  <r>
    <n v="10382"/>
    <x v="116"/>
    <n v="1386"/>
    <n v="14"/>
    <x v="2"/>
  </r>
  <r>
    <n v="10382"/>
    <x v="116"/>
    <n v="120"/>
    <n v="60"/>
    <x v="2"/>
  </r>
  <r>
    <n v="10382"/>
    <x v="116"/>
    <n v="400"/>
    <n v="50"/>
    <x v="2"/>
  </r>
  <r>
    <n v="10382"/>
    <x v="116"/>
    <n v="400"/>
    <n v="50"/>
    <x v="3"/>
  </r>
  <r>
    <n v="10382"/>
    <x v="116"/>
    <n v="120"/>
    <n v="60"/>
    <x v="4"/>
  </r>
  <r>
    <n v="10382"/>
    <x v="116"/>
    <n v="544"/>
    <n v="32"/>
    <x v="3"/>
  </r>
  <r>
    <n v="10382"/>
    <x v="116"/>
    <n v="450"/>
    <n v="9"/>
    <x v="4"/>
  </r>
  <r>
    <n v="10382"/>
    <x v="116"/>
    <n v="544"/>
    <n v="32"/>
    <x v="4"/>
  </r>
  <r>
    <n v="10382"/>
    <x v="116"/>
    <n v="400"/>
    <n v="50"/>
    <x v="6"/>
  </r>
  <r>
    <n v="10382"/>
    <x v="116"/>
    <n v="120"/>
    <n v="60"/>
    <x v="6"/>
  </r>
  <r>
    <n v="10382"/>
    <x v="116"/>
    <n v="1386"/>
    <n v="14"/>
    <x v="6"/>
  </r>
  <r>
    <n v="10382"/>
    <x v="116"/>
    <n v="450"/>
    <n v="9"/>
    <x v="6"/>
  </r>
  <r>
    <n v="10382"/>
    <x v="116"/>
    <n v="400"/>
    <n v="50"/>
    <x v="4"/>
  </r>
  <r>
    <n v="10382"/>
    <x v="116"/>
    <n v="450"/>
    <n v="9"/>
    <x v="5"/>
  </r>
  <r>
    <n v="10382"/>
    <x v="116"/>
    <n v="400"/>
    <n v="50"/>
    <x v="0"/>
  </r>
  <r>
    <n v="10382"/>
    <x v="116"/>
    <n v="120"/>
    <n v="60"/>
    <x v="0"/>
  </r>
  <r>
    <n v="10382"/>
    <x v="116"/>
    <n v="1386"/>
    <n v="14"/>
    <x v="0"/>
  </r>
  <r>
    <n v="10382"/>
    <x v="116"/>
    <n v="450"/>
    <n v="9"/>
    <x v="0"/>
  </r>
  <r>
    <n v="10382"/>
    <x v="116"/>
    <n v="544"/>
    <n v="32"/>
    <x v="0"/>
  </r>
  <r>
    <n v="10382"/>
    <x v="116"/>
    <n v="400"/>
    <n v="50"/>
    <x v="5"/>
  </r>
  <r>
    <n v="10382"/>
    <x v="116"/>
    <n v="450"/>
    <n v="9"/>
    <x v="3"/>
  </r>
  <r>
    <n v="10382"/>
    <x v="116"/>
    <n v="1386"/>
    <n v="14"/>
    <x v="5"/>
  </r>
  <r>
    <n v="10382"/>
    <x v="116"/>
    <n v="120"/>
    <n v="60"/>
    <x v="3"/>
  </r>
  <r>
    <n v="10382"/>
    <x v="116"/>
    <n v="544"/>
    <n v="32"/>
    <x v="5"/>
  </r>
  <r>
    <n v="10382"/>
    <x v="116"/>
    <n v="400"/>
    <n v="50"/>
    <x v="1"/>
  </r>
  <r>
    <n v="10382"/>
    <x v="116"/>
    <n v="120"/>
    <n v="60"/>
    <x v="1"/>
  </r>
  <r>
    <n v="10382"/>
    <x v="116"/>
    <n v="1386"/>
    <n v="14"/>
    <x v="1"/>
  </r>
  <r>
    <n v="10382"/>
    <x v="116"/>
    <n v="450"/>
    <n v="9"/>
    <x v="1"/>
  </r>
  <r>
    <n v="10382"/>
    <x v="116"/>
    <n v="544"/>
    <n v="32"/>
    <x v="1"/>
  </r>
  <r>
    <n v="10382"/>
    <x v="116"/>
    <n v="120"/>
    <n v="60"/>
    <x v="5"/>
  </r>
  <r>
    <n v="10383"/>
    <x v="117"/>
    <n v="195"/>
    <n v="15"/>
    <x v="1"/>
  </r>
  <r>
    <n v="10383"/>
    <x v="117"/>
    <n v="195"/>
    <n v="15"/>
    <x v="7"/>
  </r>
  <r>
    <n v="10383"/>
    <x v="117"/>
    <n v="96"/>
    <n v="20"/>
    <x v="7"/>
  </r>
  <r>
    <n v="10383"/>
    <x v="117"/>
    <n v="608"/>
    <n v="20"/>
    <x v="0"/>
  </r>
  <r>
    <n v="10383"/>
    <x v="117"/>
    <n v="195"/>
    <n v="15"/>
    <x v="0"/>
  </r>
  <r>
    <n v="10383"/>
    <x v="117"/>
    <n v="96"/>
    <n v="20"/>
    <x v="0"/>
  </r>
  <r>
    <n v="10383"/>
    <x v="117"/>
    <n v="96"/>
    <n v="20"/>
    <x v="6"/>
  </r>
  <r>
    <n v="10383"/>
    <x v="117"/>
    <n v="195"/>
    <n v="15"/>
    <x v="6"/>
  </r>
  <r>
    <n v="10383"/>
    <x v="117"/>
    <n v="608"/>
    <n v="20"/>
    <x v="6"/>
  </r>
  <r>
    <n v="10383"/>
    <x v="117"/>
    <n v="608"/>
    <n v="20"/>
    <x v="5"/>
  </r>
  <r>
    <n v="10383"/>
    <x v="117"/>
    <n v="608"/>
    <n v="20"/>
    <x v="7"/>
  </r>
  <r>
    <n v="10383"/>
    <x v="117"/>
    <n v="608"/>
    <n v="20"/>
    <x v="1"/>
  </r>
  <r>
    <n v="10383"/>
    <x v="117"/>
    <n v="195"/>
    <n v="15"/>
    <x v="5"/>
  </r>
  <r>
    <n v="10383"/>
    <x v="117"/>
    <n v="96"/>
    <n v="20"/>
    <x v="1"/>
  </r>
  <r>
    <n v="10383"/>
    <x v="117"/>
    <n v="96"/>
    <n v="20"/>
    <x v="3"/>
  </r>
  <r>
    <n v="10383"/>
    <x v="117"/>
    <n v="96"/>
    <n v="20"/>
    <x v="4"/>
  </r>
  <r>
    <n v="10383"/>
    <x v="117"/>
    <n v="195"/>
    <n v="15"/>
    <x v="4"/>
  </r>
  <r>
    <n v="10383"/>
    <x v="117"/>
    <n v="608"/>
    <n v="20"/>
    <x v="4"/>
  </r>
  <r>
    <n v="10383"/>
    <x v="117"/>
    <n v="608"/>
    <n v="20"/>
    <x v="3"/>
  </r>
  <r>
    <n v="10383"/>
    <x v="117"/>
    <n v="195"/>
    <n v="15"/>
    <x v="3"/>
  </r>
  <r>
    <n v="10383"/>
    <x v="117"/>
    <n v="96"/>
    <n v="20"/>
    <x v="2"/>
  </r>
  <r>
    <n v="10383"/>
    <x v="117"/>
    <n v="195"/>
    <n v="15"/>
    <x v="2"/>
  </r>
  <r>
    <n v="10383"/>
    <x v="117"/>
    <n v="608"/>
    <n v="20"/>
    <x v="2"/>
  </r>
  <r>
    <n v="10383"/>
    <x v="117"/>
    <n v="96"/>
    <n v="20"/>
    <x v="5"/>
  </r>
  <r>
    <n v="10384"/>
    <x v="117"/>
    <n v="1814.4"/>
    <n v="28"/>
    <x v="4"/>
  </r>
  <r>
    <n v="10384"/>
    <x v="117"/>
    <n v="408"/>
    <n v="15"/>
    <x v="5"/>
  </r>
  <r>
    <n v="10384"/>
    <x v="117"/>
    <n v="1814.4"/>
    <n v="28"/>
    <x v="5"/>
  </r>
  <r>
    <n v="10384"/>
    <x v="117"/>
    <n v="1814.4"/>
    <n v="28"/>
    <x v="7"/>
  </r>
  <r>
    <n v="10384"/>
    <x v="117"/>
    <n v="1814.4"/>
    <n v="28"/>
    <x v="1"/>
  </r>
  <r>
    <n v="10384"/>
    <x v="117"/>
    <n v="1814.4"/>
    <n v="28"/>
    <x v="3"/>
  </r>
  <r>
    <n v="10384"/>
    <x v="117"/>
    <n v="408"/>
    <n v="15"/>
    <x v="1"/>
  </r>
  <r>
    <n v="10384"/>
    <x v="117"/>
    <n v="408"/>
    <n v="15"/>
    <x v="4"/>
  </r>
  <r>
    <n v="10384"/>
    <x v="117"/>
    <n v="408"/>
    <n v="15"/>
    <x v="6"/>
  </r>
  <r>
    <n v="10384"/>
    <x v="117"/>
    <n v="1814.4"/>
    <n v="28"/>
    <x v="6"/>
  </r>
  <r>
    <n v="10384"/>
    <x v="117"/>
    <n v="1814.4"/>
    <n v="28"/>
    <x v="2"/>
  </r>
  <r>
    <n v="10384"/>
    <x v="117"/>
    <n v="408"/>
    <n v="15"/>
    <x v="7"/>
  </r>
  <r>
    <n v="10384"/>
    <x v="117"/>
    <n v="408"/>
    <n v="15"/>
    <x v="2"/>
  </r>
  <r>
    <n v="10384"/>
    <x v="117"/>
    <n v="408"/>
    <n v="15"/>
    <x v="0"/>
  </r>
  <r>
    <n v="10384"/>
    <x v="117"/>
    <n v="1814.4"/>
    <n v="28"/>
    <x v="0"/>
  </r>
  <r>
    <n v="10384"/>
    <x v="117"/>
    <n v="408"/>
    <n v="15"/>
    <x v="3"/>
  </r>
  <r>
    <n v="10385"/>
    <x v="118"/>
    <n v="63.999999761581421"/>
    <n v="8"/>
    <x v="3"/>
  </r>
  <r>
    <n v="10385"/>
    <x v="118"/>
    <n v="191.99999928474426"/>
    <n v="10"/>
    <x v="5"/>
  </r>
  <r>
    <n v="10385"/>
    <x v="118"/>
    <n v="63.999999761581421"/>
    <n v="8"/>
    <x v="2"/>
  </r>
  <r>
    <n v="10385"/>
    <x v="118"/>
    <n v="63.999999761581421"/>
    <n v="8"/>
    <x v="1"/>
  </r>
  <r>
    <n v="10385"/>
    <x v="118"/>
    <n v="435.19999837875366"/>
    <n v="20"/>
    <x v="1"/>
  </r>
  <r>
    <n v="10385"/>
    <x v="118"/>
    <n v="191.99999928474426"/>
    <n v="10"/>
    <x v="0"/>
  </r>
  <r>
    <n v="10385"/>
    <x v="118"/>
    <n v="63.999999761581421"/>
    <n v="8"/>
    <x v="0"/>
  </r>
  <r>
    <n v="10385"/>
    <x v="118"/>
    <n v="435.19999837875366"/>
    <n v="20"/>
    <x v="4"/>
  </r>
  <r>
    <n v="10385"/>
    <x v="118"/>
    <n v="435.19999837875366"/>
    <n v="20"/>
    <x v="3"/>
  </r>
  <r>
    <n v="10385"/>
    <x v="118"/>
    <n v="191.99999928474426"/>
    <n v="10"/>
    <x v="3"/>
  </r>
  <r>
    <n v="10385"/>
    <x v="118"/>
    <n v="435.19999837875366"/>
    <n v="20"/>
    <x v="5"/>
  </r>
  <r>
    <n v="10385"/>
    <x v="118"/>
    <n v="435.19999837875366"/>
    <n v="20"/>
    <x v="2"/>
  </r>
  <r>
    <n v="10385"/>
    <x v="118"/>
    <n v="191.99999928474426"/>
    <n v="10"/>
    <x v="2"/>
  </r>
  <r>
    <n v="10385"/>
    <x v="118"/>
    <n v="191.99999928474426"/>
    <n v="10"/>
    <x v="4"/>
  </r>
  <r>
    <n v="10385"/>
    <x v="118"/>
    <n v="63.999999761581421"/>
    <n v="8"/>
    <x v="4"/>
  </r>
  <r>
    <n v="10385"/>
    <x v="118"/>
    <n v="435.19999837875366"/>
    <n v="20"/>
    <x v="0"/>
  </r>
  <r>
    <n v="10385"/>
    <x v="118"/>
    <n v="191.99999928474426"/>
    <n v="10"/>
    <x v="1"/>
  </r>
  <r>
    <n v="10385"/>
    <x v="118"/>
    <n v="63.999999761581421"/>
    <n v="8"/>
    <x v="5"/>
  </r>
  <r>
    <n v="10385"/>
    <x v="118"/>
    <n v="191.99999928474426"/>
    <n v="10"/>
    <x v="6"/>
  </r>
  <r>
    <n v="10385"/>
    <x v="118"/>
    <n v="191.99999928474426"/>
    <n v="10"/>
    <x v="7"/>
  </r>
  <r>
    <n v="10385"/>
    <x v="118"/>
    <n v="435.19999837875366"/>
    <n v="20"/>
    <x v="7"/>
  </r>
  <r>
    <n v="10385"/>
    <x v="118"/>
    <n v="63.999999761581421"/>
    <n v="8"/>
    <x v="7"/>
  </r>
  <r>
    <n v="10385"/>
    <x v="118"/>
    <n v="435.19999837875366"/>
    <n v="20"/>
    <x v="6"/>
  </r>
  <r>
    <n v="10385"/>
    <x v="118"/>
    <n v="63.999999761581421"/>
    <n v="8"/>
    <x v="6"/>
  </r>
  <r>
    <n v="10386"/>
    <x v="119"/>
    <n v="112"/>
    <n v="10"/>
    <x v="3"/>
  </r>
  <r>
    <n v="10386"/>
    <x v="119"/>
    <n v="54"/>
    <n v="15"/>
    <x v="0"/>
  </r>
  <r>
    <n v="10386"/>
    <x v="119"/>
    <n v="112"/>
    <n v="10"/>
    <x v="0"/>
  </r>
  <r>
    <n v="10386"/>
    <x v="119"/>
    <n v="54"/>
    <n v="15"/>
    <x v="4"/>
  </r>
  <r>
    <n v="10386"/>
    <x v="119"/>
    <n v="112"/>
    <n v="10"/>
    <x v="6"/>
  </r>
  <r>
    <n v="10386"/>
    <x v="119"/>
    <n v="112"/>
    <n v="10"/>
    <x v="4"/>
  </r>
  <r>
    <n v="10386"/>
    <x v="119"/>
    <n v="54"/>
    <n v="15"/>
    <x v="3"/>
  </r>
  <r>
    <n v="10386"/>
    <x v="119"/>
    <n v="54"/>
    <n v="15"/>
    <x v="6"/>
  </r>
  <r>
    <n v="10386"/>
    <x v="119"/>
    <n v="54"/>
    <n v="15"/>
    <x v="5"/>
  </r>
  <r>
    <n v="10386"/>
    <x v="119"/>
    <n v="54"/>
    <n v="15"/>
    <x v="1"/>
  </r>
  <r>
    <n v="10386"/>
    <x v="119"/>
    <n v="112"/>
    <n v="10"/>
    <x v="5"/>
  </r>
  <r>
    <n v="10386"/>
    <x v="119"/>
    <n v="54"/>
    <n v="15"/>
    <x v="2"/>
  </r>
  <r>
    <n v="10386"/>
    <x v="119"/>
    <n v="112"/>
    <n v="10"/>
    <x v="1"/>
  </r>
  <r>
    <n v="10386"/>
    <x v="119"/>
    <n v="112"/>
    <n v="10"/>
    <x v="2"/>
  </r>
  <r>
    <n v="10386"/>
    <x v="119"/>
    <n v="54"/>
    <n v="15"/>
    <x v="7"/>
  </r>
  <r>
    <n v="10386"/>
    <x v="119"/>
    <n v="112"/>
    <n v="10"/>
    <x v="7"/>
  </r>
  <r>
    <n v="10387"/>
    <x v="119"/>
    <n v="528"/>
    <n v="12"/>
    <x v="0"/>
  </r>
  <r>
    <n v="10387"/>
    <x v="119"/>
    <n v="54"/>
    <n v="15"/>
    <x v="6"/>
  </r>
  <r>
    <n v="10387"/>
    <x v="119"/>
    <n v="258"/>
    <n v="15"/>
    <x v="0"/>
  </r>
  <r>
    <n v="10387"/>
    <x v="119"/>
    <n v="54"/>
    <n v="15"/>
    <x v="4"/>
  </r>
  <r>
    <n v="10387"/>
    <x v="119"/>
    <n v="218.4"/>
    <n v="6"/>
    <x v="0"/>
  </r>
  <r>
    <n v="10387"/>
    <x v="119"/>
    <n v="218.4"/>
    <n v="6"/>
    <x v="4"/>
  </r>
  <r>
    <n v="10387"/>
    <x v="119"/>
    <n v="258"/>
    <n v="15"/>
    <x v="4"/>
  </r>
  <r>
    <n v="10387"/>
    <x v="119"/>
    <n v="528"/>
    <n v="12"/>
    <x v="4"/>
  </r>
  <r>
    <n v="10387"/>
    <x v="119"/>
    <n v="218.4"/>
    <n v="6"/>
    <x v="7"/>
  </r>
  <r>
    <n v="10387"/>
    <x v="119"/>
    <n v="54"/>
    <n v="15"/>
    <x v="7"/>
  </r>
  <r>
    <n v="10387"/>
    <x v="119"/>
    <n v="218.4"/>
    <n v="6"/>
    <x v="6"/>
  </r>
  <r>
    <n v="10387"/>
    <x v="119"/>
    <n v="258"/>
    <n v="15"/>
    <x v="2"/>
  </r>
  <r>
    <n v="10387"/>
    <x v="119"/>
    <n v="54"/>
    <n v="15"/>
    <x v="0"/>
  </r>
  <r>
    <n v="10387"/>
    <x v="119"/>
    <n v="258"/>
    <n v="15"/>
    <x v="5"/>
  </r>
  <r>
    <n v="10387"/>
    <x v="119"/>
    <n v="54"/>
    <n v="15"/>
    <x v="5"/>
  </r>
  <r>
    <n v="10387"/>
    <x v="119"/>
    <n v="528"/>
    <n v="12"/>
    <x v="7"/>
  </r>
  <r>
    <n v="10387"/>
    <x v="119"/>
    <n v="258"/>
    <n v="15"/>
    <x v="7"/>
  </r>
  <r>
    <n v="10387"/>
    <x v="119"/>
    <n v="258"/>
    <n v="15"/>
    <x v="1"/>
  </r>
  <r>
    <n v="10387"/>
    <x v="119"/>
    <n v="528"/>
    <n v="12"/>
    <x v="1"/>
  </r>
  <r>
    <n v="10387"/>
    <x v="119"/>
    <n v="218.4"/>
    <n v="6"/>
    <x v="1"/>
  </r>
  <r>
    <n v="10387"/>
    <x v="119"/>
    <n v="54"/>
    <n v="15"/>
    <x v="1"/>
  </r>
  <r>
    <n v="10387"/>
    <x v="119"/>
    <n v="218.4"/>
    <n v="6"/>
    <x v="2"/>
  </r>
  <r>
    <n v="10387"/>
    <x v="119"/>
    <n v="528"/>
    <n v="12"/>
    <x v="5"/>
  </r>
  <r>
    <n v="10387"/>
    <x v="119"/>
    <n v="528"/>
    <n v="12"/>
    <x v="6"/>
  </r>
  <r>
    <n v="10387"/>
    <x v="119"/>
    <n v="218.4"/>
    <n v="6"/>
    <x v="3"/>
  </r>
  <r>
    <n v="10387"/>
    <x v="119"/>
    <n v="54"/>
    <n v="15"/>
    <x v="2"/>
  </r>
  <r>
    <n v="10387"/>
    <x v="119"/>
    <n v="528"/>
    <n v="12"/>
    <x v="2"/>
  </r>
  <r>
    <n v="10387"/>
    <x v="119"/>
    <n v="258"/>
    <n v="15"/>
    <x v="6"/>
  </r>
  <r>
    <n v="10387"/>
    <x v="119"/>
    <n v="54"/>
    <n v="15"/>
    <x v="3"/>
  </r>
  <r>
    <n v="10387"/>
    <x v="119"/>
    <n v="258"/>
    <n v="15"/>
    <x v="3"/>
  </r>
  <r>
    <n v="10387"/>
    <x v="119"/>
    <n v="528"/>
    <n v="12"/>
    <x v="3"/>
  </r>
  <r>
    <n v="10387"/>
    <x v="119"/>
    <n v="218.4"/>
    <n v="6"/>
    <x v="5"/>
  </r>
  <r>
    <n v="10388"/>
    <x v="120"/>
    <n v="89.599999666213989"/>
    <n v="20"/>
    <x v="3"/>
  </r>
  <r>
    <n v="10388"/>
    <x v="120"/>
    <n v="89.599999666213989"/>
    <n v="20"/>
    <x v="1"/>
  </r>
  <r>
    <n v="10388"/>
    <x v="120"/>
    <n v="91.199999660253525"/>
    <n v="15"/>
    <x v="1"/>
  </r>
  <r>
    <n v="10388"/>
    <x v="120"/>
    <n v="1048"/>
    <n v="40"/>
    <x v="0"/>
  </r>
  <r>
    <n v="10388"/>
    <x v="120"/>
    <n v="91.199999660253525"/>
    <n v="15"/>
    <x v="0"/>
  </r>
  <r>
    <n v="10388"/>
    <x v="120"/>
    <n v="89.599999666213989"/>
    <n v="20"/>
    <x v="5"/>
  </r>
  <r>
    <n v="10388"/>
    <x v="120"/>
    <n v="91.199999660253525"/>
    <n v="15"/>
    <x v="3"/>
  </r>
  <r>
    <n v="10388"/>
    <x v="120"/>
    <n v="1048"/>
    <n v="40"/>
    <x v="3"/>
  </r>
  <r>
    <n v="10388"/>
    <x v="120"/>
    <n v="1048"/>
    <n v="40"/>
    <x v="5"/>
  </r>
  <r>
    <n v="10388"/>
    <x v="120"/>
    <n v="1048"/>
    <n v="40"/>
    <x v="1"/>
  </r>
  <r>
    <n v="10388"/>
    <x v="120"/>
    <n v="91.199999660253525"/>
    <n v="15"/>
    <x v="5"/>
  </r>
  <r>
    <n v="10388"/>
    <x v="120"/>
    <n v="89.599999666213989"/>
    <n v="20"/>
    <x v="0"/>
  </r>
  <r>
    <n v="10388"/>
    <x v="120"/>
    <n v="1048"/>
    <n v="40"/>
    <x v="6"/>
  </r>
  <r>
    <n v="10388"/>
    <x v="120"/>
    <n v="1048"/>
    <n v="40"/>
    <x v="2"/>
  </r>
  <r>
    <n v="10388"/>
    <x v="120"/>
    <n v="89.599999666213989"/>
    <n v="20"/>
    <x v="2"/>
  </r>
  <r>
    <n v="10388"/>
    <x v="120"/>
    <n v="91.199999660253525"/>
    <n v="15"/>
    <x v="2"/>
  </r>
  <r>
    <n v="10388"/>
    <x v="120"/>
    <n v="91.199999660253525"/>
    <n v="15"/>
    <x v="6"/>
  </r>
  <r>
    <n v="10388"/>
    <x v="120"/>
    <n v="91.199999660253525"/>
    <n v="15"/>
    <x v="7"/>
  </r>
  <r>
    <n v="10388"/>
    <x v="120"/>
    <n v="91.199999660253525"/>
    <n v="15"/>
    <x v="4"/>
  </r>
  <r>
    <n v="10388"/>
    <x v="120"/>
    <n v="89.599999666213989"/>
    <n v="20"/>
    <x v="4"/>
  </r>
  <r>
    <n v="10388"/>
    <x v="120"/>
    <n v="89.599999666213989"/>
    <n v="20"/>
    <x v="7"/>
  </r>
  <r>
    <n v="10388"/>
    <x v="120"/>
    <n v="1048"/>
    <n v="40"/>
    <x v="7"/>
  </r>
  <r>
    <n v="10388"/>
    <x v="120"/>
    <n v="89.599999666213989"/>
    <n v="20"/>
    <x v="6"/>
  </r>
  <r>
    <n v="10388"/>
    <x v="120"/>
    <n v="1048"/>
    <n v="40"/>
    <x v="4"/>
  </r>
  <r>
    <n v="10389"/>
    <x v="121"/>
    <n v="788"/>
    <n v="20"/>
    <x v="5"/>
  </r>
  <r>
    <n v="10389"/>
    <x v="121"/>
    <n v="288"/>
    <n v="15"/>
    <x v="7"/>
  </r>
  <r>
    <n v="10389"/>
    <x v="121"/>
    <n v="360"/>
    <n v="30"/>
    <x v="0"/>
  </r>
  <r>
    <n v="10389"/>
    <x v="121"/>
    <n v="396.8"/>
    <n v="16"/>
    <x v="3"/>
  </r>
  <r>
    <n v="10389"/>
    <x v="121"/>
    <n v="396.8"/>
    <n v="16"/>
    <x v="6"/>
  </r>
  <r>
    <n v="10389"/>
    <x v="121"/>
    <n v="288"/>
    <n v="15"/>
    <x v="1"/>
  </r>
  <r>
    <n v="10389"/>
    <x v="121"/>
    <n v="788"/>
    <n v="20"/>
    <x v="1"/>
  </r>
  <r>
    <n v="10389"/>
    <x v="121"/>
    <n v="360"/>
    <n v="30"/>
    <x v="1"/>
  </r>
  <r>
    <n v="10389"/>
    <x v="121"/>
    <n v="788"/>
    <n v="20"/>
    <x v="7"/>
  </r>
  <r>
    <n v="10389"/>
    <x v="121"/>
    <n v="288"/>
    <n v="15"/>
    <x v="5"/>
  </r>
  <r>
    <n v="10389"/>
    <x v="121"/>
    <n v="396.8"/>
    <n v="16"/>
    <x v="7"/>
  </r>
  <r>
    <n v="10389"/>
    <x v="121"/>
    <n v="396.8"/>
    <n v="16"/>
    <x v="2"/>
  </r>
  <r>
    <n v="10389"/>
    <x v="121"/>
    <n v="288"/>
    <n v="15"/>
    <x v="2"/>
  </r>
  <r>
    <n v="10389"/>
    <x v="121"/>
    <n v="788"/>
    <n v="20"/>
    <x v="2"/>
  </r>
  <r>
    <n v="10389"/>
    <x v="121"/>
    <n v="360"/>
    <n v="30"/>
    <x v="2"/>
  </r>
  <r>
    <n v="10389"/>
    <x v="121"/>
    <n v="360"/>
    <n v="30"/>
    <x v="5"/>
  </r>
  <r>
    <n v="10389"/>
    <x v="121"/>
    <n v="288"/>
    <n v="15"/>
    <x v="3"/>
  </r>
  <r>
    <n v="10389"/>
    <x v="121"/>
    <n v="788"/>
    <n v="20"/>
    <x v="3"/>
  </r>
  <r>
    <n v="10389"/>
    <x v="121"/>
    <n v="396.8"/>
    <n v="16"/>
    <x v="5"/>
  </r>
  <r>
    <n v="10389"/>
    <x v="121"/>
    <n v="360"/>
    <n v="30"/>
    <x v="4"/>
  </r>
  <r>
    <n v="10389"/>
    <x v="121"/>
    <n v="360"/>
    <n v="30"/>
    <x v="6"/>
  </r>
  <r>
    <n v="10389"/>
    <x v="121"/>
    <n v="396.8"/>
    <n v="16"/>
    <x v="0"/>
  </r>
  <r>
    <n v="10389"/>
    <x v="121"/>
    <n v="396.8"/>
    <n v="16"/>
    <x v="1"/>
  </r>
  <r>
    <n v="10389"/>
    <x v="121"/>
    <n v="360"/>
    <n v="30"/>
    <x v="7"/>
  </r>
  <r>
    <n v="10389"/>
    <x v="121"/>
    <n v="788"/>
    <n v="20"/>
    <x v="6"/>
  </r>
  <r>
    <n v="10389"/>
    <x v="121"/>
    <n v="288"/>
    <n v="15"/>
    <x v="0"/>
  </r>
  <r>
    <n v="10389"/>
    <x v="121"/>
    <n v="788"/>
    <n v="20"/>
    <x v="4"/>
  </r>
  <r>
    <n v="10389"/>
    <x v="121"/>
    <n v="288"/>
    <n v="15"/>
    <x v="4"/>
  </r>
  <r>
    <n v="10389"/>
    <x v="121"/>
    <n v="396.8"/>
    <n v="16"/>
    <x v="4"/>
  </r>
  <r>
    <n v="10389"/>
    <x v="121"/>
    <n v="788"/>
    <n v="20"/>
    <x v="0"/>
  </r>
  <r>
    <n v="10389"/>
    <x v="121"/>
    <n v="360"/>
    <n v="30"/>
    <x v="3"/>
  </r>
  <r>
    <n v="10389"/>
    <x v="121"/>
    <n v="288"/>
    <n v="15"/>
    <x v="6"/>
  </r>
  <r>
    <n v="10390"/>
    <x v="122"/>
    <n v="518.39999914169312"/>
    <n v="40"/>
    <x v="1"/>
  </r>
  <r>
    <n v="10390"/>
    <x v="122"/>
    <n v="518.39999914169312"/>
    <n v="40"/>
    <x v="6"/>
  </r>
  <r>
    <n v="10390"/>
    <x v="122"/>
    <n v="518.39999914169312"/>
    <n v="40"/>
    <x v="5"/>
  </r>
  <r>
    <n v="10390"/>
    <x v="122"/>
    <n v="539.99999910593033"/>
    <n v="60"/>
    <x v="5"/>
  </r>
  <r>
    <n v="10390"/>
    <x v="122"/>
    <n v="432"/>
    <n v="45"/>
    <x v="5"/>
  </r>
  <r>
    <n v="10390"/>
    <x v="122"/>
    <n v="600.47999900579453"/>
    <n v="24"/>
    <x v="5"/>
  </r>
  <r>
    <n v="10390"/>
    <x v="122"/>
    <n v="539.99999910593033"/>
    <n v="60"/>
    <x v="6"/>
  </r>
  <r>
    <n v="10390"/>
    <x v="122"/>
    <n v="600.47999900579453"/>
    <n v="24"/>
    <x v="2"/>
  </r>
  <r>
    <n v="10390"/>
    <x v="122"/>
    <n v="432"/>
    <n v="45"/>
    <x v="1"/>
  </r>
  <r>
    <n v="10390"/>
    <x v="122"/>
    <n v="432"/>
    <n v="45"/>
    <x v="2"/>
  </r>
  <r>
    <n v="10390"/>
    <x v="122"/>
    <n v="539.99999910593033"/>
    <n v="60"/>
    <x v="1"/>
  </r>
  <r>
    <n v="10390"/>
    <x v="122"/>
    <n v="432"/>
    <n v="45"/>
    <x v="6"/>
  </r>
  <r>
    <n v="10390"/>
    <x v="122"/>
    <n v="600.47999900579453"/>
    <n v="24"/>
    <x v="6"/>
  </r>
  <r>
    <n v="10390"/>
    <x v="122"/>
    <n v="600.47999900579453"/>
    <n v="24"/>
    <x v="3"/>
  </r>
  <r>
    <n v="10390"/>
    <x v="122"/>
    <n v="600.47999900579453"/>
    <n v="24"/>
    <x v="1"/>
  </r>
  <r>
    <n v="10390"/>
    <x v="122"/>
    <n v="432"/>
    <n v="45"/>
    <x v="4"/>
  </r>
  <r>
    <n v="10390"/>
    <x v="122"/>
    <n v="600.47999900579453"/>
    <n v="24"/>
    <x v="0"/>
  </r>
  <r>
    <n v="10390"/>
    <x v="122"/>
    <n v="432"/>
    <n v="45"/>
    <x v="0"/>
  </r>
  <r>
    <n v="10390"/>
    <x v="122"/>
    <n v="518.39999914169312"/>
    <n v="40"/>
    <x v="0"/>
  </r>
  <r>
    <n v="10390"/>
    <x v="122"/>
    <n v="539.99999910593033"/>
    <n v="60"/>
    <x v="0"/>
  </r>
  <r>
    <n v="10390"/>
    <x v="122"/>
    <n v="600.47999900579453"/>
    <n v="24"/>
    <x v="7"/>
  </r>
  <r>
    <n v="10390"/>
    <x v="122"/>
    <n v="518.39999914169312"/>
    <n v="40"/>
    <x v="3"/>
  </r>
  <r>
    <n v="10390"/>
    <x v="122"/>
    <n v="600.47999900579453"/>
    <n v="24"/>
    <x v="4"/>
  </r>
  <r>
    <n v="10390"/>
    <x v="122"/>
    <n v="432"/>
    <n v="45"/>
    <x v="3"/>
  </r>
  <r>
    <n v="10390"/>
    <x v="122"/>
    <n v="518.39999914169312"/>
    <n v="40"/>
    <x v="4"/>
  </r>
  <r>
    <n v="10390"/>
    <x v="122"/>
    <n v="539.99999910593033"/>
    <n v="60"/>
    <x v="4"/>
  </r>
  <r>
    <n v="10390"/>
    <x v="122"/>
    <n v="432"/>
    <n v="45"/>
    <x v="7"/>
  </r>
  <r>
    <n v="10390"/>
    <x v="122"/>
    <n v="518.39999914169312"/>
    <n v="40"/>
    <x v="7"/>
  </r>
  <r>
    <n v="10390"/>
    <x v="122"/>
    <n v="539.99999910593033"/>
    <n v="60"/>
    <x v="7"/>
  </r>
  <r>
    <n v="10390"/>
    <x v="122"/>
    <n v="539.99999910593033"/>
    <n v="60"/>
    <x v="2"/>
  </r>
  <r>
    <n v="10390"/>
    <x v="122"/>
    <n v="539.99999910593033"/>
    <n v="60"/>
    <x v="3"/>
  </r>
  <r>
    <n v="10390"/>
    <x v="122"/>
    <n v="518.39999914169312"/>
    <n v="40"/>
    <x v="2"/>
  </r>
  <r>
    <n v="10391"/>
    <x v="122"/>
    <n v="86.4"/>
    <n v="18"/>
    <x v="6"/>
  </r>
  <r>
    <n v="10391"/>
    <x v="122"/>
    <n v="86.4"/>
    <n v="18"/>
    <x v="1"/>
  </r>
  <r>
    <n v="10391"/>
    <x v="122"/>
    <n v="86.4"/>
    <n v="18"/>
    <x v="0"/>
  </r>
  <r>
    <n v="10391"/>
    <x v="122"/>
    <n v="86.4"/>
    <n v="18"/>
    <x v="3"/>
  </r>
  <r>
    <n v="10391"/>
    <x v="122"/>
    <n v="86.4"/>
    <n v="18"/>
    <x v="5"/>
  </r>
  <r>
    <n v="10391"/>
    <x v="122"/>
    <n v="86.4"/>
    <n v="18"/>
    <x v="2"/>
  </r>
  <r>
    <n v="10391"/>
    <x v="122"/>
    <n v="86.4"/>
    <n v="18"/>
    <x v="7"/>
  </r>
  <r>
    <n v="10391"/>
    <x v="122"/>
    <n v="86.4"/>
    <n v="18"/>
    <x v="4"/>
  </r>
  <r>
    <n v="10392"/>
    <x v="123"/>
    <n v="1440"/>
    <n v="50"/>
    <x v="1"/>
  </r>
  <r>
    <n v="10392"/>
    <x v="123"/>
    <n v="1440"/>
    <n v="50"/>
    <x v="0"/>
  </r>
  <r>
    <n v="10392"/>
    <x v="123"/>
    <n v="1440"/>
    <n v="50"/>
    <x v="4"/>
  </r>
  <r>
    <n v="10392"/>
    <x v="123"/>
    <n v="1440"/>
    <n v="50"/>
    <x v="3"/>
  </r>
  <r>
    <n v="10392"/>
    <x v="123"/>
    <n v="1440"/>
    <n v="50"/>
    <x v="7"/>
  </r>
  <r>
    <n v="10392"/>
    <x v="123"/>
    <n v="1440"/>
    <n v="50"/>
    <x v="5"/>
  </r>
  <r>
    <n v="10392"/>
    <x v="123"/>
    <n v="1440"/>
    <n v="50"/>
    <x v="2"/>
  </r>
  <r>
    <n v="10392"/>
    <x v="123"/>
    <n v="1440"/>
    <n v="50"/>
    <x v="6"/>
  </r>
  <r>
    <n v="10393"/>
    <x v="124"/>
    <n v="320"/>
    <n v="32"/>
    <x v="1"/>
  </r>
  <r>
    <n v="10393"/>
    <x v="124"/>
    <n v="58.800000000000004"/>
    <n v="7"/>
    <x v="1"/>
  </r>
  <r>
    <n v="10393"/>
    <x v="124"/>
    <n v="1307.25"/>
    <n v="70"/>
    <x v="7"/>
  </r>
  <r>
    <n v="10393"/>
    <x v="124"/>
    <n v="320"/>
    <n v="32"/>
    <x v="0"/>
  </r>
  <r>
    <n v="10393"/>
    <x v="124"/>
    <n v="1307.25"/>
    <n v="70"/>
    <x v="0"/>
  </r>
  <r>
    <n v="10393"/>
    <x v="124"/>
    <n v="58.800000000000004"/>
    <n v="7"/>
    <x v="0"/>
  </r>
  <r>
    <n v="10393"/>
    <x v="124"/>
    <n v="585.90000000000009"/>
    <n v="42"/>
    <x v="0"/>
  </r>
  <r>
    <n v="10393"/>
    <x v="124"/>
    <n v="285"/>
    <n v="25"/>
    <x v="0"/>
  </r>
  <r>
    <n v="10393"/>
    <x v="124"/>
    <n v="58.800000000000004"/>
    <n v="7"/>
    <x v="7"/>
  </r>
  <r>
    <n v="10393"/>
    <x v="124"/>
    <n v="585.90000000000009"/>
    <n v="42"/>
    <x v="7"/>
  </r>
  <r>
    <n v="10393"/>
    <x v="124"/>
    <n v="585.90000000000009"/>
    <n v="42"/>
    <x v="1"/>
  </r>
  <r>
    <n v="10393"/>
    <x v="124"/>
    <n v="1307.25"/>
    <n v="70"/>
    <x v="6"/>
  </r>
  <r>
    <n v="10393"/>
    <x v="124"/>
    <n v="58.800000000000004"/>
    <n v="7"/>
    <x v="6"/>
  </r>
  <r>
    <n v="10393"/>
    <x v="124"/>
    <n v="585.90000000000009"/>
    <n v="42"/>
    <x v="6"/>
  </r>
  <r>
    <n v="10393"/>
    <x v="124"/>
    <n v="285"/>
    <n v="25"/>
    <x v="6"/>
  </r>
  <r>
    <n v="10393"/>
    <x v="124"/>
    <n v="285"/>
    <n v="25"/>
    <x v="5"/>
  </r>
  <r>
    <n v="10393"/>
    <x v="124"/>
    <n v="585.90000000000009"/>
    <n v="42"/>
    <x v="5"/>
  </r>
  <r>
    <n v="10393"/>
    <x v="124"/>
    <n v="320"/>
    <n v="32"/>
    <x v="7"/>
  </r>
  <r>
    <n v="10393"/>
    <x v="124"/>
    <n v="58.800000000000004"/>
    <n v="7"/>
    <x v="5"/>
  </r>
  <r>
    <n v="10393"/>
    <x v="124"/>
    <n v="320"/>
    <n v="32"/>
    <x v="5"/>
  </r>
  <r>
    <n v="10393"/>
    <x v="124"/>
    <n v="1307.25"/>
    <n v="70"/>
    <x v="5"/>
  </r>
  <r>
    <n v="10393"/>
    <x v="124"/>
    <n v="285"/>
    <n v="25"/>
    <x v="7"/>
  </r>
  <r>
    <n v="10393"/>
    <x v="124"/>
    <n v="320"/>
    <n v="32"/>
    <x v="3"/>
  </r>
  <r>
    <n v="10393"/>
    <x v="124"/>
    <n v="58.800000000000004"/>
    <n v="7"/>
    <x v="4"/>
  </r>
  <r>
    <n v="10393"/>
    <x v="124"/>
    <n v="1307.25"/>
    <n v="70"/>
    <x v="4"/>
  </r>
  <r>
    <n v="10393"/>
    <x v="124"/>
    <n v="320"/>
    <n v="32"/>
    <x v="4"/>
  </r>
  <r>
    <n v="10393"/>
    <x v="124"/>
    <n v="58.800000000000004"/>
    <n v="7"/>
    <x v="2"/>
  </r>
  <r>
    <n v="10393"/>
    <x v="124"/>
    <n v="585.90000000000009"/>
    <n v="42"/>
    <x v="2"/>
  </r>
  <r>
    <n v="10393"/>
    <x v="124"/>
    <n v="585.90000000000009"/>
    <n v="42"/>
    <x v="4"/>
  </r>
  <r>
    <n v="10393"/>
    <x v="124"/>
    <n v="285"/>
    <n v="25"/>
    <x v="2"/>
  </r>
  <r>
    <n v="10393"/>
    <x v="124"/>
    <n v="1307.25"/>
    <n v="70"/>
    <x v="2"/>
  </r>
  <r>
    <n v="10393"/>
    <x v="124"/>
    <n v="1307.25"/>
    <n v="70"/>
    <x v="3"/>
  </r>
  <r>
    <n v="10393"/>
    <x v="124"/>
    <n v="58.800000000000004"/>
    <n v="7"/>
    <x v="3"/>
  </r>
  <r>
    <n v="10393"/>
    <x v="124"/>
    <n v="585.90000000000009"/>
    <n v="42"/>
    <x v="3"/>
  </r>
  <r>
    <n v="10393"/>
    <x v="124"/>
    <n v="285"/>
    <n v="25"/>
    <x v="1"/>
  </r>
  <r>
    <n v="10393"/>
    <x v="124"/>
    <n v="1307.25"/>
    <n v="70"/>
    <x v="1"/>
  </r>
  <r>
    <n v="10393"/>
    <x v="124"/>
    <n v="285"/>
    <n v="25"/>
    <x v="3"/>
  </r>
  <r>
    <n v="10393"/>
    <x v="124"/>
    <n v="320"/>
    <n v="32"/>
    <x v="2"/>
  </r>
  <r>
    <n v="10393"/>
    <x v="124"/>
    <n v="285"/>
    <n v="25"/>
    <x v="4"/>
  </r>
  <r>
    <n v="10393"/>
    <x v="124"/>
    <n v="320"/>
    <n v="32"/>
    <x v="6"/>
  </r>
  <r>
    <n v="10394"/>
    <x v="124"/>
    <n v="48"/>
    <n v="10"/>
    <x v="6"/>
  </r>
  <r>
    <n v="10394"/>
    <x v="124"/>
    <n v="394"/>
    <n v="10"/>
    <x v="3"/>
  </r>
  <r>
    <n v="10394"/>
    <x v="124"/>
    <n v="48"/>
    <n v="10"/>
    <x v="3"/>
  </r>
  <r>
    <n v="10394"/>
    <x v="124"/>
    <n v="394"/>
    <n v="10"/>
    <x v="1"/>
  </r>
  <r>
    <n v="10394"/>
    <x v="124"/>
    <n v="48"/>
    <n v="10"/>
    <x v="5"/>
  </r>
  <r>
    <n v="10394"/>
    <x v="124"/>
    <n v="394"/>
    <n v="10"/>
    <x v="5"/>
  </r>
  <r>
    <n v="10394"/>
    <x v="124"/>
    <n v="48"/>
    <n v="10"/>
    <x v="1"/>
  </r>
  <r>
    <n v="10394"/>
    <x v="124"/>
    <n v="394"/>
    <n v="10"/>
    <x v="7"/>
  </r>
  <r>
    <n v="10394"/>
    <x v="124"/>
    <n v="48"/>
    <n v="10"/>
    <x v="7"/>
  </r>
  <r>
    <n v="10394"/>
    <x v="124"/>
    <n v="394"/>
    <n v="10"/>
    <x v="2"/>
  </r>
  <r>
    <n v="10394"/>
    <x v="124"/>
    <n v="48"/>
    <n v="10"/>
    <x v="0"/>
  </r>
  <r>
    <n v="10394"/>
    <x v="124"/>
    <n v="394"/>
    <n v="10"/>
    <x v="0"/>
  </r>
  <r>
    <n v="10394"/>
    <x v="124"/>
    <n v="394"/>
    <n v="10"/>
    <x v="6"/>
  </r>
  <r>
    <n v="10394"/>
    <x v="124"/>
    <n v="394"/>
    <n v="10"/>
    <x v="4"/>
  </r>
  <r>
    <n v="10394"/>
    <x v="124"/>
    <n v="48"/>
    <n v="10"/>
    <x v="2"/>
  </r>
  <r>
    <n v="10394"/>
    <x v="124"/>
    <n v="48"/>
    <n v="10"/>
    <x v="4"/>
  </r>
  <r>
    <n v="10395"/>
    <x v="125"/>
    <n v="1650.599997267127"/>
    <n v="70"/>
    <x v="5"/>
  </r>
  <r>
    <n v="10395"/>
    <x v="125"/>
    <n v="241.91999959945679"/>
    <n v="28"/>
    <x v="5"/>
  </r>
  <r>
    <n v="10395"/>
    <x v="125"/>
    <n v="241.91999959945679"/>
    <n v="28"/>
    <x v="3"/>
  </r>
  <r>
    <n v="10395"/>
    <x v="125"/>
    <n v="241.91999959945679"/>
    <n v="28"/>
    <x v="7"/>
  </r>
  <r>
    <n v="10395"/>
    <x v="125"/>
    <n v="241.91999959945679"/>
    <n v="28"/>
    <x v="1"/>
  </r>
  <r>
    <n v="10395"/>
    <x v="125"/>
    <n v="1650.599997267127"/>
    <n v="70"/>
    <x v="1"/>
  </r>
  <r>
    <n v="10395"/>
    <x v="125"/>
    <n v="230.4"/>
    <n v="8"/>
    <x v="1"/>
  </r>
  <r>
    <n v="10395"/>
    <x v="125"/>
    <n v="1650.599997267127"/>
    <n v="70"/>
    <x v="2"/>
  </r>
  <r>
    <n v="10395"/>
    <x v="125"/>
    <n v="230.4"/>
    <n v="8"/>
    <x v="7"/>
  </r>
  <r>
    <n v="10395"/>
    <x v="125"/>
    <n v="230.4"/>
    <n v="8"/>
    <x v="2"/>
  </r>
  <r>
    <n v="10395"/>
    <x v="125"/>
    <n v="230.4"/>
    <n v="8"/>
    <x v="0"/>
  </r>
  <r>
    <n v="10395"/>
    <x v="125"/>
    <n v="241.91999959945679"/>
    <n v="28"/>
    <x v="0"/>
  </r>
  <r>
    <n v="10395"/>
    <x v="125"/>
    <n v="241.91999959945679"/>
    <n v="28"/>
    <x v="6"/>
  </r>
  <r>
    <n v="10395"/>
    <x v="125"/>
    <n v="1650.599997267127"/>
    <n v="70"/>
    <x v="6"/>
  </r>
  <r>
    <n v="10395"/>
    <x v="125"/>
    <n v="230.4"/>
    <n v="8"/>
    <x v="6"/>
  </r>
  <r>
    <n v="10395"/>
    <x v="125"/>
    <n v="1650.599997267127"/>
    <n v="70"/>
    <x v="0"/>
  </r>
  <r>
    <n v="10395"/>
    <x v="125"/>
    <n v="241.91999959945679"/>
    <n v="28"/>
    <x v="4"/>
  </r>
  <r>
    <n v="10395"/>
    <x v="125"/>
    <n v="1650.599997267127"/>
    <n v="70"/>
    <x v="4"/>
  </r>
  <r>
    <n v="10395"/>
    <x v="125"/>
    <n v="230.4"/>
    <n v="8"/>
    <x v="4"/>
  </r>
  <r>
    <n v="10395"/>
    <x v="125"/>
    <n v="230.4"/>
    <n v="8"/>
    <x v="5"/>
  </r>
  <r>
    <n v="10395"/>
    <x v="125"/>
    <n v="1650.599997267127"/>
    <n v="70"/>
    <x v="3"/>
  </r>
  <r>
    <n v="10395"/>
    <x v="125"/>
    <n v="241.91999959945679"/>
    <n v="28"/>
    <x v="2"/>
  </r>
  <r>
    <n v="10395"/>
    <x v="125"/>
    <n v="1650.599997267127"/>
    <n v="70"/>
    <x v="7"/>
  </r>
  <r>
    <n v="10395"/>
    <x v="125"/>
    <n v="230.4"/>
    <n v="8"/>
    <x v="3"/>
  </r>
  <r>
    <n v="10396"/>
    <x v="126"/>
    <n v="583.79999999999995"/>
    <n v="21"/>
    <x v="0"/>
  </r>
  <r>
    <n v="10396"/>
    <x v="126"/>
    <n v="288"/>
    <n v="40"/>
    <x v="4"/>
  </r>
  <r>
    <n v="10396"/>
    <x v="126"/>
    <n v="288"/>
    <n v="40"/>
    <x v="0"/>
  </r>
  <r>
    <n v="10396"/>
    <x v="126"/>
    <n v="288"/>
    <n v="40"/>
    <x v="7"/>
  </r>
  <r>
    <n v="10396"/>
    <x v="126"/>
    <n v="1032"/>
    <n v="60"/>
    <x v="7"/>
  </r>
  <r>
    <n v="10396"/>
    <x v="126"/>
    <n v="583.79999999999995"/>
    <n v="21"/>
    <x v="7"/>
  </r>
  <r>
    <n v="10396"/>
    <x v="126"/>
    <n v="1032"/>
    <n v="60"/>
    <x v="0"/>
  </r>
  <r>
    <n v="10396"/>
    <x v="126"/>
    <n v="583.79999999999995"/>
    <n v="21"/>
    <x v="4"/>
  </r>
  <r>
    <n v="10396"/>
    <x v="126"/>
    <n v="1032"/>
    <n v="60"/>
    <x v="4"/>
  </r>
  <r>
    <n v="10396"/>
    <x v="126"/>
    <n v="288"/>
    <n v="40"/>
    <x v="1"/>
  </r>
  <r>
    <n v="10396"/>
    <x v="126"/>
    <n v="583.79999999999995"/>
    <n v="21"/>
    <x v="2"/>
  </r>
  <r>
    <n v="10396"/>
    <x v="126"/>
    <n v="1032"/>
    <n v="60"/>
    <x v="2"/>
  </r>
  <r>
    <n v="10396"/>
    <x v="126"/>
    <n v="288"/>
    <n v="40"/>
    <x v="2"/>
  </r>
  <r>
    <n v="10396"/>
    <x v="126"/>
    <n v="288"/>
    <n v="40"/>
    <x v="6"/>
  </r>
  <r>
    <n v="10396"/>
    <x v="126"/>
    <n v="1032"/>
    <n v="60"/>
    <x v="6"/>
  </r>
  <r>
    <n v="10396"/>
    <x v="126"/>
    <n v="583.79999999999995"/>
    <n v="21"/>
    <x v="6"/>
  </r>
  <r>
    <n v="10396"/>
    <x v="126"/>
    <n v="1032"/>
    <n v="60"/>
    <x v="5"/>
  </r>
  <r>
    <n v="10396"/>
    <x v="126"/>
    <n v="1032"/>
    <n v="60"/>
    <x v="1"/>
  </r>
  <r>
    <n v="10396"/>
    <x v="126"/>
    <n v="583.79999999999995"/>
    <n v="21"/>
    <x v="5"/>
  </r>
  <r>
    <n v="10396"/>
    <x v="126"/>
    <n v="288"/>
    <n v="40"/>
    <x v="5"/>
  </r>
  <r>
    <n v="10396"/>
    <x v="126"/>
    <n v="288"/>
    <n v="40"/>
    <x v="3"/>
  </r>
  <r>
    <n v="10396"/>
    <x v="126"/>
    <n v="583.79999999999995"/>
    <n v="21"/>
    <x v="3"/>
  </r>
  <r>
    <n v="10396"/>
    <x v="126"/>
    <n v="1032"/>
    <n v="60"/>
    <x v="3"/>
  </r>
  <r>
    <n v="10396"/>
    <x v="126"/>
    <n v="583.79999999999995"/>
    <n v="21"/>
    <x v="1"/>
  </r>
  <r>
    <n v="10397"/>
    <x v="126"/>
    <n v="67.999999523162842"/>
    <n v="10"/>
    <x v="1"/>
  </r>
  <r>
    <n v="10397"/>
    <x v="126"/>
    <n v="67.999999523162842"/>
    <n v="10"/>
    <x v="2"/>
  </r>
  <r>
    <n v="10397"/>
    <x v="126"/>
    <n v="648.71999545097356"/>
    <n v="18"/>
    <x v="5"/>
  </r>
  <r>
    <n v="10397"/>
    <x v="126"/>
    <n v="67.999999523162842"/>
    <n v="10"/>
    <x v="5"/>
  </r>
  <r>
    <n v="10397"/>
    <x v="126"/>
    <n v="67.999999523162842"/>
    <n v="10"/>
    <x v="6"/>
  </r>
  <r>
    <n v="10397"/>
    <x v="126"/>
    <n v="648.71999545097356"/>
    <n v="18"/>
    <x v="6"/>
  </r>
  <r>
    <n v="10397"/>
    <x v="126"/>
    <n v="648.71999545097356"/>
    <n v="18"/>
    <x v="1"/>
  </r>
  <r>
    <n v="10397"/>
    <x v="126"/>
    <n v="67.999999523162842"/>
    <n v="10"/>
    <x v="4"/>
  </r>
  <r>
    <n v="10397"/>
    <x v="126"/>
    <n v="648.71999545097356"/>
    <n v="18"/>
    <x v="4"/>
  </r>
  <r>
    <n v="10397"/>
    <x v="126"/>
    <n v="648.71999545097356"/>
    <n v="18"/>
    <x v="2"/>
  </r>
  <r>
    <n v="10397"/>
    <x v="126"/>
    <n v="67.999999523162842"/>
    <n v="10"/>
    <x v="0"/>
  </r>
  <r>
    <n v="10397"/>
    <x v="126"/>
    <n v="648.71999545097356"/>
    <n v="18"/>
    <x v="3"/>
  </r>
  <r>
    <n v="10397"/>
    <x v="126"/>
    <n v="67.999999523162842"/>
    <n v="10"/>
    <x v="7"/>
  </r>
  <r>
    <n v="10397"/>
    <x v="126"/>
    <n v="648.71999545097356"/>
    <n v="18"/>
    <x v="7"/>
  </r>
  <r>
    <n v="10397"/>
    <x v="126"/>
    <n v="648.71999545097356"/>
    <n v="18"/>
    <x v="0"/>
  </r>
  <r>
    <n v="10397"/>
    <x v="126"/>
    <n v="67.999999523162842"/>
    <n v="10"/>
    <x v="3"/>
  </r>
  <r>
    <n v="10398"/>
    <x v="127"/>
    <n v="432"/>
    <n v="30"/>
    <x v="0"/>
  </r>
  <r>
    <n v="10398"/>
    <x v="127"/>
    <n v="432"/>
    <n v="30"/>
    <x v="2"/>
  </r>
  <r>
    <n v="10398"/>
    <x v="127"/>
    <n v="2073.5999965667725"/>
    <n v="120"/>
    <x v="0"/>
  </r>
  <r>
    <n v="10398"/>
    <x v="127"/>
    <n v="432"/>
    <n v="30"/>
    <x v="1"/>
  </r>
  <r>
    <n v="10398"/>
    <x v="127"/>
    <n v="2073.5999965667725"/>
    <n v="120"/>
    <x v="1"/>
  </r>
  <r>
    <n v="10398"/>
    <x v="127"/>
    <n v="2073.5999965667725"/>
    <n v="120"/>
    <x v="6"/>
  </r>
  <r>
    <n v="10398"/>
    <x v="127"/>
    <n v="2073.5999965667725"/>
    <n v="120"/>
    <x v="5"/>
  </r>
  <r>
    <n v="10398"/>
    <x v="127"/>
    <n v="2073.5999965667725"/>
    <n v="120"/>
    <x v="2"/>
  </r>
  <r>
    <n v="10398"/>
    <x v="127"/>
    <n v="432"/>
    <n v="30"/>
    <x v="4"/>
  </r>
  <r>
    <n v="10398"/>
    <x v="127"/>
    <n v="2073.5999965667725"/>
    <n v="120"/>
    <x v="4"/>
  </r>
  <r>
    <n v="10398"/>
    <x v="127"/>
    <n v="2073.5999965667725"/>
    <n v="120"/>
    <x v="3"/>
  </r>
  <r>
    <n v="10398"/>
    <x v="127"/>
    <n v="432"/>
    <n v="30"/>
    <x v="3"/>
  </r>
  <r>
    <n v="10398"/>
    <x v="127"/>
    <n v="432"/>
    <n v="30"/>
    <x v="7"/>
  </r>
  <r>
    <n v="10398"/>
    <x v="127"/>
    <n v="2073.5999965667725"/>
    <n v="120"/>
    <x v="7"/>
  </r>
  <r>
    <n v="10398"/>
    <x v="127"/>
    <n v="432"/>
    <n v="30"/>
    <x v="5"/>
  </r>
  <r>
    <n v="10398"/>
    <x v="127"/>
    <n v="432"/>
    <n v="30"/>
    <x v="6"/>
  </r>
  <r>
    <n v="10399"/>
    <x v="128"/>
    <n v="600"/>
    <n v="60"/>
    <x v="0"/>
  </r>
  <r>
    <n v="10399"/>
    <x v="128"/>
    <n v="504"/>
    <n v="35"/>
    <x v="3"/>
  </r>
  <r>
    <n v="10399"/>
    <x v="128"/>
    <n v="504"/>
    <n v="35"/>
    <x v="1"/>
  </r>
  <r>
    <n v="10399"/>
    <x v="128"/>
    <n v="145.6"/>
    <n v="14"/>
    <x v="1"/>
  </r>
  <r>
    <n v="10399"/>
    <x v="128"/>
    <n v="600"/>
    <n v="60"/>
    <x v="5"/>
  </r>
  <r>
    <n v="10399"/>
    <x v="128"/>
    <n v="516"/>
    <n v="30"/>
    <x v="5"/>
  </r>
  <r>
    <n v="10399"/>
    <x v="128"/>
    <n v="600"/>
    <n v="60"/>
    <x v="1"/>
  </r>
  <r>
    <n v="10399"/>
    <x v="128"/>
    <n v="145.6"/>
    <n v="14"/>
    <x v="5"/>
  </r>
  <r>
    <n v="10399"/>
    <x v="128"/>
    <n v="145.6"/>
    <n v="14"/>
    <x v="2"/>
  </r>
  <r>
    <n v="10399"/>
    <x v="128"/>
    <n v="516"/>
    <n v="30"/>
    <x v="0"/>
  </r>
  <r>
    <n v="10399"/>
    <x v="128"/>
    <n v="504"/>
    <n v="35"/>
    <x v="0"/>
  </r>
  <r>
    <n v="10399"/>
    <x v="128"/>
    <n v="145.6"/>
    <n v="14"/>
    <x v="0"/>
  </r>
  <r>
    <n v="10399"/>
    <x v="128"/>
    <n v="600"/>
    <n v="60"/>
    <x v="2"/>
  </r>
  <r>
    <n v="10399"/>
    <x v="128"/>
    <n v="516"/>
    <n v="30"/>
    <x v="2"/>
  </r>
  <r>
    <n v="10399"/>
    <x v="128"/>
    <n v="504"/>
    <n v="35"/>
    <x v="2"/>
  </r>
  <r>
    <n v="10399"/>
    <x v="128"/>
    <n v="504"/>
    <n v="35"/>
    <x v="5"/>
  </r>
  <r>
    <n v="10399"/>
    <x v="128"/>
    <n v="600"/>
    <n v="60"/>
    <x v="4"/>
  </r>
  <r>
    <n v="10399"/>
    <x v="128"/>
    <n v="516"/>
    <n v="30"/>
    <x v="7"/>
  </r>
  <r>
    <n v="10399"/>
    <x v="128"/>
    <n v="504"/>
    <n v="35"/>
    <x v="7"/>
  </r>
  <r>
    <n v="10399"/>
    <x v="128"/>
    <n v="145.6"/>
    <n v="14"/>
    <x v="7"/>
  </r>
  <r>
    <n v="10399"/>
    <x v="128"/>
    <n v="600"/>
    <n v="60"/>
    <x v="6"/>
  </r>
  <r>
    <n v="10399"/>
    <x v="128"/>
    <n v="516"/>
    <n v="30"/>
    <x v="6"/>
  </r>
  <r>
    <n v="10399"/>
    <x v="128"/>
    <n v="516"/>
    <n v="30"/>
    <x v="1"/>
  </r>
  <r>
    <n v="10399"/>
    <x v="128"/>
    <n v="145.6"/>
    <n v="14"/>
    <x v="6"/>
  </r>
  <r>
    <n v="10399"/>
    <x v="128"/>
    <n v="600"/>
    <n v="60"/>
    <x v="7"/>
  </r>
  <r>
    <n v="10399"/>
    <x v="128"/>
    <n v="516"/>
    <n v="30"/>
    <x v="4"/>
  </r>
  <r>
    <n v="10399"/>
    <x v="128"/>
    <n v="504"/>
    <n v="35"/>
    <x v="4"/>
  </r>
  <r>
    <n v="10399"/>
    <x v="128"/>
    <n v="145.6"/>
    <n v="14"/>
    <x v="4"/>
  </r>
  <r>
    <n v="10399"/>
    <x v="128"/>
    <n v="600"/>
    <n v="60"/>
    <x v="3"/>
  </r>
  <r>
    <n v="10399"/>
    <x v="128"/>
    <n v="516"/>
    <n v="30"/>
    <x v="3"/>
  </r>
  <r>
    <n v="10399"/>
    <x v="128"/>
    <n v="145.6"/>
    <n v="14"/>
    <x v="3"/>
  </r>
  <r>
    <n v="10399"/>
    <x v="128"/>
    <n v="504"/>
    <n v="3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E4AFD-8A58-4C25-8FC0-B602BED2A94F}" name="数据透视表2" cacheId="9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H30:K42" firstHeaderRow="0" firstDataRow="1" firstDataCol="1"/>
  <pivotFields count="6">
    <pivotField showAll="0"/>
    <pivotField axis="axisRow" showAll="0">
      <items count="9">
        <item x="2"/>
        <item x="4"/>
        <item x="7"/>
        <item x="5"/>
        <item x="3"/>
        <item x="6"/>
        <item x="1"/>
        <item x="0"/>
        <item t="default"/>
      </items>
    </pivotField>
    <pivotField dataField="1" showAll="0"/>
    <pivotField dataField="1" showAll="0"/>
    <pivotField numFmtId="22" showAll="0"/>
    <pivotField axis="axisRow" showAll="0">
      <items count="4">
        <item x="1"/>
        <item x="2"/>
        <item x="0"/>
        <item t="default"/>
      </items>
    </pivotField>
  </pivotFields>
  <rowFields count="2">
    <field x="5"/>
    <field x="1"/>
  </rowFields>
  <rowItems count="12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>
      <x v="2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数量" fld="3" baseField="0" baseItem="0"/>
    <dataField name="求和项:'销售额'" fld="2" baseField="0" baseItem="0"/>
    <dataField name="求和项:'销售额'2" fld="2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CC112-CDBC-4DA5-872E-126E48BB5E92}" name="数据透视表3" cacheId="1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H1:O11" firstHeaderRow="1" firstDataRow="2" firstDataCol="1"/>
  <pivotFields count="6">
    <pivotField showAll="0"/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9">
        <item x="4"/>
        <item x="1"/>
        <item x="2"/>
        <item x="3"/>
        <item x="5"/>
        <item x="0"/>
        <item x="6"/>
        <item x="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7">
    <i>
      <x v="7"/>
    </i>
    <i>
      <x v="8"/>
    </i>
    <i>
      <x v="9"/>
    </i>
    <i>
      <x v="10"/>
    </i>
    <i>
      <x v="11"/>
    </i>
    <i>
      <x v="1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" connectionId="1" xr16:uid="{6CFFC6C8-6176-44A9-869C-EA278A74F874}" autoFormatId="16" applyNumberFormats="0" applyBorderFormats="0" applyFontFormats="0" applyPatternFormats="0" applyAlignmentFormats="0" applyWidthHeightFormats="0">
  <queryTableRefresh nextId="6">
    <queryTableFields count="5">
      <queryTableField id="1" name="订单ID" tableColumnId="1"/>
      <queryTableField id="2" name="类别名称" tableColumnId="2"/>
      <queryTableField id="3" name="'销售额'" tableColumnId="3"/>
      <queryTableField id="4" name="数量" tableColumnId="4"/>
      <queryTableField id="5" name="订购日期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_1" connectionId="2" xr16:uid="{FB78C0D0-1667-48EB-9343-E77DE893B118}" autoFormatId="16" applyNumberFormats="0" applyBorderFormats="0" applyFontFormats="0" applyPatternFormats="0" applyAlignmentFormats="0" applyWidthHeightFormats="0">
  <queryTableRefresh nextId="6">
    <queryTableFields count="5">
      <queryTableField id="1" name="订单ID" tableColumnId="1"/>
      <queryTableField id="2" name="订购日期" tableColumnId="2"/>
      <queryTableField id="3" name="'销售额'" tableColumnId="3"/>
      <queryTableField id="4" name="数量" tableColumnId="4"/>
      <queryTableField id="5" name="类别名称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363DF-6264-4F18-80B8-20D944F445F5}" name="表_查询来自_MS_Access_Database" displayName="表_查询来自_MS_Access_Database" ref="A1:E17257" tableType="queryTable" totalsRowShown="0">
  <autoFilter ref="A1:E17257" xr:uid="{AFB8CCC2-FACF-43A6-8119-BAAC81D65318}"/>
  <sortState xmlns:xlrd2="http://schemas.microsoft.com/office/spreadsheetml/2017/richdata2" ref="A2:E17257">
    <sortCondition ref="E2:E17257"/>
    <sortCondition ref="A2:A17257"/>
  </sortState>
  <tableColumns count="5">
    <tableColumn id="1" xr3:uid="{060A4E75-561B-48B7-83C7-1101607E4E4D}" uniqueName="1" name="订单ID" queryTableFieldId="1"/>
    <tableColumn id="2" xr3:uid="{526F13D2-DB18-4AE1-B8B4-A46136278E77}" uniqueName="2" name="类别名称" queryTableFieldId="2"/>
    <tableColumn id="3" xr3:uid="{63A62D24-3443-4001-B96B-D5C2085144F6}" uniqueName="3" name="'销售额'" queryTableFieldId="3"/>
    <tableColumn id="4" xr3:uid="{8FB41B0D-BA22-43C3-BBA3-FEBD51D2680F}" uniqueName="4" name="数量" queryTableFieldId="4"/>
    <tableColumn id="5" xr3:uid="{D65492A5-96D1-4DEE-BFF1-60F2CA3AB091}" uniqueName="5" name="订购日期" queryTableFieldId="5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56525-7003-4CB5-87AB-6CA54AF331DD}" name="表_查询来自_MS_Access_Database_1" displayName="表_查询来自_MS_Access_Database_1" ref="A1:E3241" tableType="queryTable" totalsRowShown="0">
  <autoFilter ref="A1:E3241" xr:uid="{188B3F01-B8FF-432E-BF1E-8A8FFC35D9DC}"/>
  <tableColumns count="5">
    <tableColumn id="1" xr3:uid="{E11CAF6B-CBC3-41B1-A302-EC1FFB762252}" uniqueName="1" name="订单ID" queryTableFieldId="1"/>
    <tableColumn id="2" xr3:uid="{555360B9-6EEB-45E5-95C7-48FCCF37C63C}" uniqueName="2" name="订购日期" queryTableFieldId="2" dataDxfId="0"/>
    <tableColumn id="3" xr3:uid="{0B36A9AD-0170-41E9-91DA-E245499A360F}" uniqueName="3" name="'销售额'" queryTableFieldId="3"/>
    <tableColumn id="4" xr3:uid="{456ADF39-910D-439A-B10D-264064D86ACF}" uniqueName="4" name="数量" queryTableFieldId="4"/>
    <tableColumn id="5" xr3:uid="{870869C5-CB2F-4634-B4F2-A882E76BCC4B}" uniqueName="5" name="类别名称" queryTableField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57"/>
  <sheetViews>
    <sheetView topLeftCell="B1" workbookViewId="0">
      <selection activeCell="B1" sqref="B1:E352"/>
    </sheetView>
  </sheetViews>
  <sheetFormatPr defaultRowHeight="14"/>
  <cols>
    <col min="1" max="1" width="9.90625" bestFit="1" customWidth="1"/>
    <col min="2" max="2" width="11.90625" bestFit="1" customWidth="1"/>
    <col min="3" max="3" width="12.453125" bestFit="1" customWidth="1"/>
    <col min="4" max="4" width="7.7265625" bestFit="1" customWidth="1"/>
    <col min="5" max="5" width="16.81640625" bestFit="1" customWidth="1"/>
    <col min="8" max="8" width="16" bestFit="1" customWidth="1"/>
    <col min="9" max="9" width="13.08984375" bestFit="1" customWidth="1"/>
    <col min="10" max="10" width="17.6328125" bestFit="1" customWidth="1"/>
    <col min="11" max="11" width="18.81640625" bestFit="1" customWidth="1"/>
    <col min="12" max="12" width="13.54296875" bestFit="1" customWidth="1"/>
    <col min="13" max="13" width="4.54296875" bestFit="1" customWidth="1"/>
    <col min="14" max="15" width="5.6328125" bestFit="1" customWidth="1"/>
    <col min="16" max="16" width="3.453125" bestFit="1" customWidth="1"/>
    <col min="17" max="17" width="13.54296875" bestFit="1" customWidth="1"/>
    <col min="18" max="19" width="5.6328125" bestFit="1" customWidth="1"/>
    <col min="20" max="20" width="13.54296875" bestFit="1" customWidth="1"/>
    <col min="21" max="21" width="3.453125" bestFit="1" customWidth="1"/>
    <col min="22" max="22" width="13.54296875" bestFit="1" customWidth="1"/>
    <col min="23" max="23" width="3.453125" bestFit="1" customWidth="1"/>
    <col min="24" max="24" width="5.6328125" bestFit="1" customWidth="1"/>
    <col min="25" max="25" width="13.54296875" bestFit="1" customWidth="1"/>
    <col min="26" max="26" width="3.453125" bestFit="1" customWidth="1"/>
    <col min="27" max="28" width="5.6328125" bestFit="1" customWidth="1"/>
    <col min="29" max="30" width="6.7265625" bestFit="1" customWidth="1"/>
    <col min="31" max="32" width="5.6328125" bestFit="1" customWidth="1"/>
    <col min="33" max="33" width="3.453125" bestFit="1" customWidth="1"/>
    <col min="34" max="34" width="6.7265625" bestFit="1" customWidth="1"/>
    <col min="35" max="36" width="5.6328125" bestFit="1" customWidth="1"/>
    <col min="37" max="40" width="13.54296875" bestFit="1" customWidth="1"/>
    <col min="41" max="41" width="4.54296875" bestFit="1" customWidth="1"/>
    <col min="42" max="43" width="13.54296875" bestFit="1" customWidth="1"/>
    <col min="44" max="44" width="3.453125" bestFit="1" customWidth="1"/>
    <col min="45" max="45" width="6.7265625" bestFit="1" customWidth="1"/>
    <col min="46" max="46" width="3.453125" bestFit="1" customWidth="1"/>
    <col min="47" max="49" width="13.54296875" bestFit="1" customWidth="1"/>
    <col min="50" max="50" width="3.453125" bestFit="1" customWidth="1"/>
    <col min="51" max="52" width="13.54296875" bestFit="1" customWidth="1"/>
    <col min="53" max="53" width="5.6328125" bestFit="1" customWidth="1"/>
    <col min="54" max="54" width="6.7265625" bestFit="1" customWidth="1"/>
    <col min="55" max="55" width="5.6328125" bestFit="1" customWidth="1"/>
    <col min="56" max="56" width="13.54296875" bestFit="1" customWidth="1"/>
    <col min="57" max="57" width="5.6328125" bestFit="1" customWidth="1"/>
    <col min="58" max="58" width="3.453125" bestFit="1" customWidth="1"/>
    <col min="59" max="59" width="13.54296875" bestFit="1" customWidth="1"/>
    <col min="60" max="60" width="3.453125" bestFit="1" customWidth="1"/>
    <col min="61" max="61" width="5.6328125" bestFit="1" customWidth="1"/>
    <col min="62" max="63" width="13.54296875" bestFit="1" customWidth="1"/>
    <col min="64" max="64" width="3.453125" bestFit="1" customWidth="1"/>
    <col min="65" max="65" width="6.7265625" bestFit="1" customWidth="1"/>
    <col min="66" max="68" width="13.54296875" bestFit="1" customWidth="1"/>
    <col min="69" max="70" width="5.6328125" bestFit="1" customWidth="1"/>
    <col min="71" max="71" width="4.54296875" bestFit="1" customWidth="1"/>
    <col min="72" max="72" width="13.54296875" bestFit="1" customWidth="1"/>
    <col min="73" max="73" width="5.6328125" bestFit="1" customWidth="1"/>
    <col min="74" max="77" width="13.54296875" bestFit="1" customWidth="1"/>
    <col min="78" max="78" width="4.54296875" bestFit="1" customWidth="1"/>
    <col min="79" max="79" width="13.54296875" bestFit="1" customWidth="1"/>
    <col min="80" max="83" width="5.6328125" bestFit="1" customWidth="1"/>
    <col min="84" max="84" width="13.54296875" bestFit="1" customWidth="1"/>
    <col min="85" max="85" width="3.453125" bestFit="1" customWidth="1"/>
    <col min="86" max="86" width="13.54296875" bestFit="1" customWidth="1"/>
    <col min="87" max="87" width="5.6328125" bestFit="1" customWidth="1"/>
    <col min="88" max="88" width="7.81640625" bestFit="1" customWidth="1"/>
    <col min="89" max="89" width="13.54296875" bestFit="1" customWidth="1"/>
    <col min="90" max="90" width="4.54296875" bestFit="1" customWidth="1"/>
    <col min="91" max="92" width="13.54296875" bestFit="1" customWidth="1"/>
    <col min="93" max="93" width="4.54296875" bestFit="1" customWidth="1"/>
    <col min="94" max="94" width="5.6328125" bestFit="1" customWidth="1"/>
    <col min="95" max="96" width="13.54296875" bestFit="1" customWidth="1"/>
    <col min="97" max="97" width="5.6328125" bestFit="1" customWidth="1"/>
    <col min="98" max="98" width="13.54296875" bestFit="1" customWidth="1"/>
    <col min="99" max="99" width="5.6328125" bestFit="1" customWidth="1"/>
    <col min="100" max="100" width="13.54296875" bestFit="1" customWidth="1"/>
    <col min="101" max="101" width="4.54296875" bestFit="1" customWidth="1"/>
    <col min="102" max="102" width="13.54296875" bestFit="1" customWidth="1"/>
    <col min="103" max="103" width="3.453125" bestFit="1" customWidth="1"/>
    <col min="104" max="104" width="5.6328125" bestFit="1" customWidth="1"/>
    <col min="105" max="106" width="13.54296875" bestFit="1" customWidth="1"/>
    <col min="107" max="107" width="5.6328125" bestFit="1" customWidth="1"/>
    <col min="108" max="108" width="4.54296875" bestFit="1" customWidth="1"/>
    <col min="109" max="109" width="6.7265625" bestFit="1" customWidth="1"/>
    <col min="110" max="110" width="5.6328125" bestFit="1" customWidth="1"/>
    <col min="111" max="111" width="13.54296875" bestFit="1" customWidth="1"/>
    <col min="112" max="112" width="6.7265625" bestFit="1" customWidth="1"/>
    <col min="113" max="113" width="5.6328125" bestFit="1" customWidth="1"/>
    <col min="114" max="114" width="3.453125" bestFit="1" customWidth="1"/>
    <col min="115" max="115" width="13.54296875" bestFit="1" customWidth="1"/>
    <col min="116" max="116" width="5.6328125" bestFit="1" customWidth="1"/>
    <col min="117" max="117" width="3.453125" bestFit="1" customWidth="1"/>
    <col min="118" max="118" width="13.54296875" bestFit="1" customWidth="1"/>
    <col min="119" max="119" width="6.7265625" bestFit="1" customWidth="1"/>
    <col min="120" max="121" width="13.54296875" bestFit="1" customWidth="1"/>
    <col min="122" max="122" width="4.54296875" bestFit="1" customWidth="1"/>
    <col min="123" max="123" width="3.453125" bestFit="1" customWidth="1"/>
    <col min="124" max="124" width="13.54296875" bestFit="1" customWidth="1"/>
    <col min="125" max="125" width="5.6328125" bestFit="1" customWidth="1"/>
    <col min="126" max="127" width="13.54296875" bestFit="1" customWidth="1"/>
    <col min="128" max="128" width="4.54296875" bestFit="1" customWidth="1"/>
    <col min="129" max="129" width="13.54296875" bestFit="1" customWidth="1"/>
    <col min="130" max="130" width="3.453125" bestFit="1" customWidth="1"/>
    <col min="131" max="131" width="12.36328125" bestFit="1" customWidth="1"/>
    <col min="132" max="132" width="13.54296875" bestFit="1" customWidth="1"/>
    <col min="133" max="133" width="5.6328125" bestFit="1" customWidth="1"/>
    <col min="134" max="134" width="13.54296875" bestFit="1" customWidth="1"/>
    <col min="135" max="135" width="5.6328125" bestFit="1" customWidth="1"/>
    <col min="136" max="136" width="8.90625" bestFit="1" customWidth="1"/>
    <col min="137" max="138" width="5.6328125" bestFit="1" customWidth="1"/>
    <col min="139" max="139" width="3.453125" bestFit="1" customWidth="1"/>
    <col min="140" max="141" width="13.54296875" bestFit="1" customWidth="1"/>
    <col min="142" max="142" width="4.54296875" bestFit="1" customWidth="1"/>
    <col min="143" max="143" width="5.6328125" bestFit="1" customWidth="1"/>
    <col min="144" max="144" width="13.54296875" bestFit="1" customWidth="1"/>
    <col min="145" max="145" width="4.54296875" bestFit="1" customWidth="1"/>
    <col min="146" max="146" width="5.6328125" bestFit="1" customWidth="1"/>
    <col min="147" max="147" width="12.36328125" bestFit="1" customWidth="1"/>
    <col min="148" max="148" width="4.54296875" bestFit="1" customWidth="1"/>
    <col min="149" max="150" width="13.54296875" bestFit="1" customWidth="1"/>
    <col min="151" max="151" width="5.6328125" bestFit="1" customWidth="1"/>
    <col min="152" max="154" width="13.54296875" bestFit="1" customWidth="1"/>
    <col min="155" max="155" width="5.6328125" bestFit="1" customWidth="1"/>
    <col min="156" max="157" width="13.54296875" bestFit="1" customWidth="1"/>
    <col min="158" max="159" width="5.6328125" bestFit="1" customWidth="1"/>
    <col min="160" max="160" width="13.54296875" bestFit="1" customWidth="1"/>
    <col min="161" max="161" width="3.453125" bestFit="1" customWidth="1"/>
    <col min="162" max="163" width="13.54296875" bestFit="1" customWidth="1"/>
    <col min="164" max="164" width="3.453125" bestFit="1" customWidth="1"/>
    <col min="165" max="165" width="13.54296875" bestFit="1" customWidth="1"/>
    <col min="166" max="166" width="5.6328125" bestFit="1" customWidth="1"/>
    <col min="167" max="167" width="6.7265625" bestFit="1" customWidth="1"/>
    <col min="168" max="168" width="4.54296875" bestFit="1" customWidth="1"/>
    <col min="169" max="169" width="13.54296875" bestFit="1" customWidth="1"/>
    <col min="170" max="170" width="12.36328125" bestFit="1" customWidth="1"/>
    <col min="171" max="172" width="13.54296875" bestFit="1" customWidth="1"/>
    <col min="173" max="173" width="4.54296875" bestFit="1" customWidth="1"/>
    <col min="174" max="174" width="13.54296875" bestFit="1" customWidth="1"/>
    <col min="175" max="175" width="5.6328125" bestFit="1" customWidth="1"/>
    <col min="176" max="178" width="13.54296875" bestFit="1" customWidth="1"/>
    <col min="179" max="181" width="5.6328125" bestFit="1" customWidth="1"/>
    <col min="182" max="185" width="13.54296875" bestFit="1" customWidth="1"/>
    <col min="186" max="186" width="4.54296875" bestFit="1" customWidth="1"/>
    <col min="187" max="187" width="5.6328125" bestFit="1" customWidth="1"/>
    <col min="188" max="188" width="6.7265625" bestFit="1" customWidth="1"/>
    <col min="189" max="189" width="13.54296875" bestFit="1" customWidth="1"/>
    <col min="190" max="190" width="3.453125" bestFit="1" customWidth="1"/>
    <col min="191" max="191" width="6.7265625" bestFit="1" customWidth="1"/>
    <col min="192" max="192" width="13.54296875" bestFit="1" customWidth="1"/>
    <col min="193" max="193" width="5.6328125" bestFit="1" customWidth="1"/>
    <col min="194" max="194" width="4.54296875" bestFit="1" customWidth="1"/>
    <col min="195" max="195" width="12.36328125" bestFit="1" customWidth="1"/>
    <col min="196" max="196" width="13.54296875" bestFit="1" customWidth="1"/>
    <col min="197" max="198" width="5.6328125" bestFit="1" customWidth="1"/>
    <col min="199" max="199" width="4.54296875" bestFit="1" customWidth="1"/>
    <col min="200" max="200" width="13.54296875" bestFit="1" customWidth="1"/>
    <col min="201" max="202" width="5.6328125" bestFit="1" customWidth="1"/>
    <col min="203" max="203" width="3.453125" bestFit="1" customWidth="1"/>
    <col min="204" max="204" width="13.54296875" bestFit="1" customWidth="1"/>
    <col min="205" max="205" width="5.6328125" bestFit="1" customWidth="1"/>
    <col min="206" max="206" width="13.54296875" bestFit="1" customWidth="1"/>
    <col min="207" max="207" width="6.7265625" bestFit="1" customWidth="1"/>
    <col min="208" max="208" width="5.6328125" bestFit="1" customWidth="1"/>
    <col min="209" max="213" width="13.54296875" bestFit="1" customWidth="1"/>
    <col min="214" max="214" width="5.6328125" bestFit="1" customWidth="1"/>
    <col min="215" max="216" width="13.54296875" bestFit="1" customWidth="1"/>
    <col min="217" max="217" width="5.6328125" bestFit="1" customWidth="1"/>
    <col min="218" max="219" width="13.54296875" bestFit="1" customWidth="1"/>
    <col min="220" max="220" width="5.6328125" bestFit="1" customWidth="1"/>
    <col min="221" max="221" width="13.54296875" bestFit="1" customWidth="1"/>
    <col min="222" max="222" width="4.54296875" bestFit="1" customWidth="1"/>
    <col min="223" max="223" width="5.6328125" bestFit="1" customWidth="1"/>
    <col min="224" max="225" width="13.54296875" bestFit="1" customWidth="1"/>
    <col min="226" max="226" width="5.6328125" bestFit="1" customWidth="1"/>
    <col min="227" max="227" width="4.54296875" bestFit="1" customWidth="1"/>
    <col min="228" max="228" width="13.54296875" bestFit="1" customWidth="1"/>
    <col min="229" max="229" width="4.54296875" bestFit="1" customWidth="1"/>
    <col min="230" max="230" width="5.6328125" bestFit="1" customWidth="1"/>
    <col min="231" max="231" width="13.54296875" bestFit="1" customWidth="1"/>
    <col min="232" max="232" width="4.54296875" bestFit="1" customWidth="1"/>
    <col min="233" max="234" width="5.6328125" bestFit="1" customWidth="1"/>
    <col min="235" max="235" width="13.54296875" bestFit="1" customWidth="1"/>
    <col min="236" max="236" width="12.36328125" bestFit="1" customWidth="1"/>
    <col min="237" max="237" width="13.54296875" bestFit="1" customWidth="1"/>
    <col min="238" max="238" width="6.7265625" bestFit="1" customWidth="1"/>
    <col min="239" max="239" width="4.54296875" bestFit="1" customWidth="1"/>
    <col min="240" max="240" width="6.7265625" bestFit="1" customWidth="1"/>
    <col min="241" max="241" width="13.54296875" bestFit="1" customWidth="1"/>
    <col min="242" max="242" width="6.7265625" bestFit="1" customWidth="1"/>
    <col min="243" max="243" width="13.54296875" bestFit="1" customWidth="1"/>
    <col min="244" max="244" width="7.81640625" bestFit="1" customWidth="1"/>
    <col min="245" max="245" width="13.54296875" bestFit="1" customWidth="1"/>
    <col min="246" max="246" width="6.7265625" bestFit="1" customWidth="1"/>
    <col min="247" max="247" width="4.54296875" bestFit="1" customWidth="1"/>
    <col min="248" max="248" width="13.54296875" bestFit="1" customWidth="1"/>
    <col min="249" max="249" width="6.7265625" bestFit="1" customWidth="1"/>
    <col min="250" max="251" width="4.54296875" bestFit="1" customWidth="1"/>
    <col min="252" max="253" width="6.7265625" bestFit="1" customWidth="1"/>
    <col min="254" max="255" width="13.54296875" bestFit="1" customWidth="1"/>
    <col min="256" max="256" width="4.54296875" bestFit="1" customWidth="1"/>
    <col min="257" max="258" width="6.7265625" bestFit="1" customWidth="1"/>
    <col min="259" max="259" width="4.54296875" bestFit="1" customWidth="1"/>
    <col min="260" max="260" width="13.54296875" bestFit="1" customWidth="1"/>
    <col min="261" max="262" width="6.7265625" bestFit="1" customWidth="1"/>
    <col min="263" max="263" width="7.81640625" bestFit="1" customWidth="1"/>
    <col min="264" max="264" width="13.54296875" bestFit="1" customWidth="1"/>
    <col min="265" max="265" width="4.54296875" bestFit="1" customWidth="1"/>
    <col min="266" max="266" width="6.7265625" bestFit="1" customWidth="1"/>
    <col min="267" max="267" width="13.54296875" bestFit="1" customWidth="1"/>
    <col min="268" max="268" width="4.54296875" bestFit="1" customWidth="1"/>
    <col min="269" max="270" width="6.7265625" bestFit="1" customWidth="1"/>
    <col min="271" max="271" width="4.54296875" bestFit="1" customWidth="1"/>
    <col min="272" max="272" width="7.81640625" bestFit="1" customWidth="1"/>
    <col min="273" max="273" width="5.6328125" bestFit="1" customWidth="1"/>
    <col min="274" max="274" width="6.7265625" bestFit="1" customWidth="1"/>
    <col min="275" max="275" width="13.54296875" bestFit="1" customWidth="1"/>
    <col min="276" max="276" width="6.7265625" bestFit="1" customWidth="1"/>
    <col min="277" max="281" width="13.54296875" bestFit="1" customWidth="1"/>
    <col min="282" max="283" width="6.7265625" bestFit="1" customWidth="1"/>
    <col min="284" max="284" width="13.54296875" bestFit="1" customWidth="1"/>
    <col min="285" max="285" width="4.54296875" bestFit="1" customWidth="1"/>
    <col min="286" max="286" width="13.54296875" bestFit="1" customWidth="1"/>
    <col min="287" max="287" width="4.54296875" bestFit="1" customWidth="1"/>
    <col min="288" max="288" width="6.7265625" bestFit="1" customWidth="1"/>
    <col min="289" max="290" width="4.54296875" bestFit="1" customWidth="1"/>
    <col min="291" max="291" width="6.7265625" bestFit="1" customWidth="1"/>
    <col min="292" max="292" width="13.54296875" bestFit="1" customWidth="1"/>
    <col min="293" max="293" width="4.54296875" bestFit="1" customWidth="1"/>
    <col min="294" max="294" width="13.54296875" bestFit="1" customWidth="1"/>
    <col min="295" max="295" width="4.54296875" bestFit="1" customWidth="1"/>
    <col min="296" max="297" width="13.54296875" bestFit="1" customWidth="1"/>
    <col min="298" max="298" width="6.7265625" bestFit="1" customWidth="1"/>
    <col min="299" max="299" width="13.54296875" bestFit="1" customWidth="1"/>
    <col min="300" max="300" width="4.54296875" bestFit="1" customWidth="1"/>
    <col min="301" max="301" width="6.7265625" bestFit="1" customWidth="1"/>
    <col min="302" max="302" width="13.54296875" bestFit="1" customWidth="1"/>
    <col min="303" max="303" width="12.36328125" bestFit="1" customWidth="1"/>
    <col min="304" max="304" width="4.54296875" bestFit="1" customWidth="1"/>
    <col min="305" max="305" width="6.7265625" bestFit="1" customWidth="1"/>
    <col min="306" max="306" width="13.54296875" bestFit="1" customWidth="1"/>
    <col min="307" max="308" width="4.54296875" bestFit="1" customWidth="1"/>
    <col min="309" max="309" width="13.54296875" bestFit="1" customWidth="1"/>
    <col min="310" max="310" width="6.7265625" bestFit="1" customWidth="1"/>
    <col min="311" max="311" width="4.54296875" bestFit="1" customWidth="1"/>
    <col min="312" max="312" width="6.7265625" bestFit="1" customWidth="1"/>
    <col min="313" max="314" width="13.54296875" bestFit="1" customWidth="1"/>
    <col min="315" max="315" width="6.7265625" bestFit="1" customWidth="1"/>
    <col min="316" max="317" width="13.54296875" bestFit="1" customWidth="1"/>
    <col min="318" max="318" width="4.54296875" bestFit="1" customWidth="1"/>
    <col min="319" max="319" width="6.7265625" bestFit="1" customWidth="1"/>
    <col min="320" max="320" width="4.54296875" bestFit="1" customWidth="1"/>
    <col min="321" max="321" width="7.81640625" bestFit="1" customWidth="1"/>
    <col min="322" max="322" width="13.54296875" bestFit="1" customWidth="1"/>
    <col min="323" max="323" width="4.54296875" bestFit="1" customWidth="1"/>
    <col min="324" max="324" width="13.54296875" bestFit="1" customWidth="1"/>
    <col min="325" max="325" width="6.7265625" bestFit="1" customWidth="1"/>
    <col min="326" max="326" width="13.54296875" bestFit="1" customWidth="1"/>
    <col min="327" max="327" width="4.54296875" bestFit="1" customWidth="1"/>
    <col min="328" max="328" width="6.7265625" bestFit="1" customWidth="1"/>
    <col min="329" max="329" width="4.54296875" bestFit="1" customWidth="1"/>
    <col min="330" max="330" width="6.7265625" bestFit="1" customWidth="1"/>
    <col min="331" max="331" width="13.54296875" bestFit="1" customWidth="1"/>
    <col min="332" max="332" width="4.54296875" bestFit="1" customWidth="1"/>
    <col min="333" max="333" width="6.7265625" bestFit="1" customWidth="1"/>
    <col min="334" max="334" width="13.54296875" bestFit="1" customWidth="1"/>
    <col min="335" max="335" width="4.54296875" bestFit="1" customWidth="1"/>
    <col min="336" max="336" width="13.54296875" bestFit="1" customWidth="1"/>
    <col min="337" max="338" width="4.54296875" bestFit="1" customWidth="1"/>
    <col min="339" max="340" width="7.81640625" bestFit="1" customWidth="1"/>
    <col min="341" max="341" width="6.7265625" bestFit="1" customWidth="1"/>
    <col min="342" max="342" width="13.54296875" bestFit="1" customWidth="1"/>
    <col min="343" max="343" width="6.7265625" bestFit="1" customWidth="1"/>
    <col min="344" max="344" width="4.54296875" bestFit="1" customWidth="1"/>
    <col min="345" max="345" width="13.54296875" bestFit="1" customWidth="1"/>
    <col min="346" max="346" width="6.7265625" bestFit="1" customWidth="1"/>
    <col min="347" max="347" width="4.54296875" bestFit="1" customWidth="1"/>
    <col min="348" max="350" width="13.54296875" bestFit="1" customWidth="1"/>
    <col min="351" max="351" width="4.54296875" bestFit="1" customWidth="1"/>
    <col min="352" max="352" width="13.54296875" bestFit="1" customWidth="1"/>
    <col min="353" max="353" width="7.81640625" bestFit="1" customWidth="1"/>
    <col min="354" max="355" width="13.54296875" bestFit="1" customWidth="1"/>
    <col min="356" max="356" width="4.54296875" bestFit="1" customWidth="1"/>
    <col min="357" max="357" width="6.7265625" bestFit="1" customWidth="1"/>
    <col min="358" max="358" width="13.54296875" bestFit="1" customWidth="1"/>
    <col min="359" max="360" width="6.7265625" bestFit="1" customWidth="1"/>
    <col min="361" max="361" width="4.54296875" bestFit="1" customWidth="1"/>
    <col min="362" max="362" width="7.81640625" bestFit="1" customWidth="1"/>
    <col min="363" max="364" width="13.54296875" bestFit="1" customWidth="1"/>
    <col min="365" max="366" width="4.54296875" bestFit="1" customWidth="1"/>
    <col min="367" max="367" width="6.7265625" bestFit="1" customWidth="1"/>
    <col min="368" max="368" width="4.54296875" bestFit="1" customWidth="1"/>
    <col min="369" max="370" width="13.54296875" bestFit="1" customWidth="1"/>
    <col min="371" max="371" width="6.7265625" bestFit="1" customWidth="1"/>
    <col min="372" max="372" width="4.54296875" bestFit="1" customWidth="1"/>
    <col min="373" max="373" width="7.81640625" bestFit="1" customWidth="1"/>
    <col min="374" max="374" width="13.54296875" bestFit="1" customWidth="1"/>
    <col min="375" max="375" width="6.7265625" bestFit="1" customWidth="1"/>
    <col min="376" max="376" width="4.54296875" bestFit="1" customWidth="1"/>
    <col min="377" max="381" width="13.54296875" bestFit="1" customWidth="1"/>
    <col min="382" max="382" width="5.6328125" bestFit="1" customWidth="1"/>
    <col min="383" max="384" width="13.54296875" bestFit="1" customWidth="1"/>
    <col min="385" max="385" width="6.7265625" bestFit="1" customWidth="1"/>
    <col min="386" max="387" width="13.54296875" bestFit="1" customWidth="1"/>
    <col min="388" max="388" width="4.54296875" bestFit="1" customWidth="1"/>
    <col min="389" max="389" width="8.90625" bestFit="1" customWidth="1"/>
    <col min="390" max="390" width="13.54296875" bestFit="1" customWidth="1"/>
    <col min="391" max="391" width="8.90625" bestFit="1" customWidth="1"/>
    <col min="392" max="392" width="13.54296875" bestFit="1" customWidth="1"/>
    <col min="393" max="393" width="4.54296875" bestFit="1" customWidth="1"/>
    <col min="394" max="394" width="6.7265625" bestFit="1" customWidth="1"/>
    <col min="395" max="395" width="13.54296875" bestFit="1" customWidth="1"/>
    <col min="396" max="396" width="7.81640625" bestFit="1" customWidth="1"/>
    <col min="397" max="397" width="6.7265625" bestFit="1" customWidth="1"/>
    <col min="398" max="399" width="13.54296875" bestFit="1" customWidth="1"/>
    <col min="400" max="400" width="4.54296875" bestFit="1" customWidth="1"/>
    <col min="401" max="401" width="13.54296875" bestFit="1" customWidth="1"/>
    <col min="402" max="402" width="4.54296875" bestFit="1" customWidth="1"/>
    <col min="403" max="404" width="13.54296875" bestFit="1" customWidth="1"/>
    <col min="405" max="406" width="4.54296875" bestFit="1" customWidth="1"/>
    <col min="407" max="407" width="6.7265625" bestFit="1" customWidth="1"/>
    <col min="408" max="408" width="7.81640625" bestFit="1" customWidth="1"/>
    <col min="409" max="410" width="6.7265625" bestFit="1" customWidth="1"/>
    <col min="411" max="411" width="4.54296875" bestFit="1" customWidth="1"/>
    <col min="412" max="412" width="10" bestFit="1" customWidth="1"/>
    <col min="413" max="413" width="4.54296875" bestFit="1" customWidth="1"/>
    <col min="414" max="414" width="6.7265625" bestFit="1" customWidth="1"/>
    <col min="415" max="415" width="4.54296875" bestFit="1" customWidth="1"/>
    <col min="416" max="417" width="13.54296875" bestFit="1" customWidth="1"/>
    <col min="418" max="418" width="7.81640625" bestFit="1" customWidth="1"/>
    <col min="419" max="420" width="13.54296875" bestFit="1" customWidth="1"/>
    <col min="421" max="421" width="6.7265625" bestFit="1" customWidth="1"/>
    <col min="422" max="423" width="13.54296875" bestFit="1" customWidth="1"/>
    <col min="424" max="424" width="5.6328125" bestFit="1" customWidth="1"/>
    <col min="425" max="425" width="6.7265625" bestFit="1" customWidth="1"/>
    <col min="426" max="426" width="13.54296875" bestFit="1" customWidth="1"/>
    <col min="427" max="427" width="6.7265625" bestFit="1" customWidth="1"/>
    <col min="428" max="428" width="13.54296875" bestFit="1" customWidth="1"/>
    <col min="429" max="429" width="7.81640625" bestFit="1" customWidth="1"/>
    <col min="430" max="430" width="13.54296875" bestFit="1" customWidth="1"/>
    <col min="431" max="431" width="6.7265625" bestFit="1" customWidth="1"/>
    <col min="432" max="433" width="4.54296875" bestFit="1" customWidth="1"/>
    <col min="434" max="434" width="13.54296875" bestFit="1" customWidth="1"/>
    <col min="435" max="435" width="5.6328125" bestFit="1" customWidth="1"/>
    <col min="436" max="436" width="6.7265625" bestFit="1" customWidth="1"/>
    <col min="437" max="437" width="13.54296875" bestFit="1" customWidth="1"/>
    <col min="438" max="438" width="6.7265625" bestFit="1" customWidth="1"/>
    <col min="439" max="439" width="13.54296875" bestFit="1" customWidth="1"/>
    <col min="440" max="440" width="7.81640625" bestFit="1" customWidth="1"/>
    <col min="441" max="443" width="13.54296875" bestFit="1" customWidth="1"/>
    <col min="444" max="444" width="4.54296875" bestFit="1" customWidth="1"/>
    <col min="445" max="445" width="13.54296875" bestFit="1" customWidth="1"/>
    <col min="446" max="446" width="6.7265625" bestFit="1" customWidth="1"/>
    <col min="447" max="447" width="4.54296875" bestFit="1" customWidth="1"/>
    <col min="448" max="448" width="13.54296875" bestFit="1" customWidth="1"/>
    <col min="449" max="449" width="6.7265625" bestFit="1" customWidth="1"/>
    <col min="450" max="451" width="13.54296875" bestFit="1" customWidth="1"/>
    <col min="452" max="454" width="6.7265625" bestFit="1" customWidth="1"/>
    <col min="455" max="455" width="13.54296875" bestFit="1" customWidth="1"/>
    <col min="456" max="456" width="4.54296875" bestFit="1" customWidth="1"/>
    <col min="457" max="457" width="13.54296875" bestFit="1" customWidth="1"/>
    <col min="458" max="458" width="4.54296875" bestFit="1" customWidth="1"/>
    <col min="459" max="462" width="13.54296875" bestFit="1" customWidth="1"/>
    <col min="463" max="463" width="4.54296875" bestFit="1" customWidth="1"/>
    <col min="464" max="464" width="13.54296875" bestFit="1" customWidth="1"/>
    <col min="465" max="465" width="4.54296875" bestFit="1" customWidth="1"/>
    <col min="466" max="466" width="6.7265625" bestFit="1" customWidth="1"/>
    <col min="467" max="467" width="4.54296875" bestFit="1" customWidth="1"/>
    <col min="468" max="468" width="6.7265625" bestFit="1" customWidth="1"/>
    <col min="469" max="469" width="13.54296875" bestFit="1" customWidth="1"/>
    <col min="470" max="471" width="6.7265625" bestFit="1" customWidth="1"/>
    <col min="472" max="473" width="4.54296875" bestFit="1" customWidth="1"/>
    <col min="474" max="474" width="7.81640625" bestFit="1" customWidth="1"/>
    <col min="475" max="475" width="13.54296875" bestFit="1" customWidth="1"/>
    <col min="476" max="476" width="6.7265625" bestFit="1" customWidth="1"/>
    <col min="477" max="478" width="13.54296875" bestFit="1" customWidth="1"/>
    <col min="479" max="479" width="6.7265625" bestFit="1" customWidth="1"/>
    <col min="480" max="481" width="13.54296875" bestFit="1" customWidth="1"/>
    <col min="482" max="482" width="5.6328125" bestFit="1" customWidth="1"/>
    <col min="483" max="485" width="13.54296875" bestFit="1" customWidth="1"/>
    <col min="486" max="486" width="6.7265625" bestFit="1" customWidth="1"/>
    <col min="487" max="487" width="13.54296875" bestFit="1" customWidth="1"/>
    <col min="488" max="488" width="6.7265625" bestFit="1" customWidth="1"/>
    <col min="489" max="490" width="13.54296875" bestFit="1" customWidth="1"/>
    <col min="491" max="491" width="4.54296875" bestFit="1" customWidth="1"/>
    <col min="492" max="495" width="13.54296875" bestFit="1" customWidth="1"/>
    <col min="496" max="496" width="4.54296875" bestFit="1" customWidth="1"/>
    <col min="497" max="497" width="6.7265625" bestFit="1" customWidth="1"/>
    <col min="498" max="498" width="5.6328125" bestFit="1" customWidth="1"/>
    <col min="499" max="499" width="6.7265625" bestFit="1" customWidth="1"/>
    <col min="500" max="502" width="13.54296875" bestFit="1" customWidth="1"/>
    <col min="503" max="503" width="4.54296875" bestFit="1" customWidth="1"/>
    <col min="504" max="504" width="6.7265625" bestFit="1" customWidth="1"/>
    <col min="505" max="505" width="10" bestFit="1" customWidth="1"/>
    <col min="506" max="507" width="13.54296875" bestFit="1" customWidth="1"/>
    <col min="508" max="508" width="6.7265625" bestFit="1" customWidth="1"/>
    <col min="509" max="509" width="12.36328125" bestFit="1" customWidth="1"/>
    <col min="510" max="510" width="4.54296875" bestFit="1" customWidth="1"/>
    <col min="511" max="511" width="6.7265625" bestFit="1" customWidth="1"/>
    <col min="512" max="512" width="13.54296875" bestFit="1" customWidth="1"/>
    <col min="513" max="513" width="6.7265625" bestFit="1" customWidth="1"/>
    <col min="514" max="514" width="13.54296875" bestFit="1" customWidth="1"/>
    <col min="515" max="515" width="4.54296875" bestFit="1" customWidth="1"/>
    <col min="516" max="516" width="12.36328125" bestFit="1" customWidth="1"/>
    <col min="517" max="517" width="13.54296875" bestFit="1" customWidth="1"/>
    <col min="518" max="518" width="7.81640625" bestFit="1" customWidth="1"/>
    <col min="519" max="519" width="4.54296875" bestFit="1" customWidth="1"/>
    <col min="520" max="520" width="12.36328125" bestFit="1" customWidth="1"/>
    <col min="521" max="521" width="8.90625" bestFit="1" customWidth="1"/>
    <col min="522" max="522" width="6.7265625" bestFit="1" customWidth="1"/>
    <col min="523" max="523" width="4.54296875" bestFit="1" customWidth="1"/>
    <col min="524" max="525" width="13.54296875" bestFit="1" customWidth="1"/>
    <col min="526" max="526" width="4.54296875" bestFit="1" customWidth="1"/>
    <col min="527" max="527" width="13.54296875" bestFit="1" customWidth="1"/>
    <col min="528" max="528" width="12.36328125" bestFit="1" customWidth="1"/>
    <col min="529" max="529" width="13.54296875" bestFit="1" customWidth="1"/>
    <col min="530" max="530" width="4.54296875" bestFit="1" customWidth="1"/>
    <col min="531" max="532" width="13.54296875" bestFit="1" customWidth="1"/>
    <col min="533" max="533" width="12.36328125" bestFit="1" customWidth="1"/>
    <col min="534" max="536" width="13.54296875" bestFit="1" customWidth="1"/>
    <col min="537" max="538" width="4.54296875" bestFit="1" customWidth="1"/>
    <col min="539" max="539" width="12.36328125" bestFit="1" customWidth="1"/>
    <col min="540" max="541" width="4.54296875" bestFit="1" customWidth="1"/>
    <col min="542" max="542" width="13.54296875" bestFit="1" customWidth="1"/>
    <col min="543" max="544" width="6.7265625" bestFit="1" customWidth="1"/>
    <col min="545" max="545" width="5.6328125" bestFit="1" customWidth="1"/>
    <col min="546" max="546" width="13.54296875" bestFit="1" customWidth="1"/>
    <col min="547" max="547" width="12.36328125" bestFit="1" customWidth="1"/>
    <col min="548" max="549" width="13.54296875" bestFit="1" customWidth="1"/>
    <col min="550" max="550" width="5.6328125" bestFit="1" customWidth="1"/>
    <col min="551" max="552" width="13.54296875" bestFit="1" customWidth="1"/>
    <col min="553" max="553" width="6.7265625" bestFit="1" customWidth="1"/>
    <col min="554" max="554" width="4.54296875" bestFit="1" customWidth="1"/>
    <col min="555" max="555" width="7.81640625" bestFit="1" customWidth="1"/>
    <col min="556" max="556" width="13.54296875" bestFit="1" customWidth="1"/>
    <col min="557" max="557" width="4.54296875" bestFit="1" customWidth="1"/>
    <col min="558" max="558" width="13.54296875" bestFit="1" customWidth="1"/>
    <col min="559" max="559" width="6.7265625" bestFit="1" customWidth="1"/>
    <col min="560" max="560" width="4.54296875" bestFit="1" customWidth="1"/>
    <col min="561" max="563" width="13.54296875" bestFit="1" customWidth="1"/>
    <col min="564" max="564" width="8.90625" bestFit="1" customWidth="1"/>
    <col min="565" max="565" width="13.54296875" bestFit="1" customWidth="1"/>
    <col min="566" max="566" width="7.81640625" bestFit="1" customWidth="1"/>
    <col min="567" max="567" width="5.6328125" bestFit="1" customWidth="1"/>
    <col min="568" max="570" width="13.54296875" bestFit="1" customWidth="1"/>
    <col min="571" max="571" width="4.54296875" bestFit="1" customWidth="1"/>
    <col min="572" max="572" width="13.54296875" bestFit="1" customWidth="1"/>
    <col min="573" max="573" width="4.54296875" bestFit="1" customWidth="1"/>
    <col min="574" max="575" width="13.54296875" bestFit="1" customWidth="1"/>
    <col min="576" max="576" width="6.7265625" bestFit="1" customWidth="1"/>
    <col min="577" max="578" width="13.54296875" bestFit="1" customWidth="1"/>
    <col min="579" max="579" width="4.54296875" bestFit="1" customWidth="1"/>
    <col min="580" max="580" width="13.54296875" bestFit="1" customWidth="1"/>
    <col min="581" max="581" width="6.7265625" bestFit="1" customWidth="1"/>
    <col min="582" max="582" width="13.54296875" bestFit="1" customWidth="1"/>
    <col min="583" max="583" width="6.7265625" bestFit="1" customWidth="1"/>
    <col min="584" max="584" width="4.54296875" bestFit="1" customWidth="1"/>
    <col min="585" max="585" width="6.7265625" bestFit="1" customWidth="1"/>
    <col min="586" max="586" width="4.54296875" bestFit="1" customWidth="1"/>
    <col min="587" max="588" width="13.54296875" bestFit="1" customWidth="1"/>
    <col min="589" max="589" width="4.54296875" bestFit="1" customWidth="1"/>
    <col min="590" max="590" width="13.54296875" bestFit="1" customWidth="1"/>
    <col min="591" max="591" width="6.7265625" bestFit="1" customWidth="1"/>
    <col min="592" max="592" width="13.54296875" bestFit="1" customWidth="1"/>
    <col min="593" max="594" width="4.54296875" bestFit="1" customWidth="1"/>
    <col min="595" max="595" width="6.7265625" bestFit="1" customWidth="1"/>
    <col min="596" max="598" width="13.54296875" bestFit="1" customWidth="1"/>
    <col min="599" max="600" width="4.54296875" bestFit="1" customWidth="1"/>
    <col min="601" max="601" width="6.7265625" bestFit="1" customWidth="1"/>
    <col min="602" max="603" width="4.54296875" bestFit="1" customWidth="1"/>
    <col min="604" max="609" width="13.54296875" bestFit="1" customWidth="1"/>
    <col min="610" max="610" width="5.6328125" bestFit="1" customWidth="1"/>
    <col min="611" max="612" width="13.54296875" bestFit="1" customWidth="1"/>
    <col min="613" max="613" width="6.7265625" bestFit="1" customWidth="1"/>
    <col min="614" max="614" width="7.81640625" bestFit="1" customWidth="1"/>
    <col min="615" max="615" width="13.54296875" bestFit="1" customWidth="1"/>
    <col min="616" max="616" width="4.54296875" bestFit="1" customWidth="1"/>
    <col min="617" max="617" width="7.81640625" bestFit="1" customWidth="1"/>
    <col min="618" max="620" width="13.54296875" bestFit="1" customWidth="1"/>
    <col min="621" max="621" width="4.54296875" bestFit="1" customWidth="1"/>
    <col min="622" max="622" width="6.7265625" bestFit="1" customWidth="1"/>
    <col min="623" max="624" width="13.54296875" bestFit="1" customWidth="1"/>
    <col min="625" max="625" width="6.7265625" bestFit="1" customWidth="1"/>
    <col min="626" max="626" width="4.54296875" bestFit="1" customWidth="1"/>
    <col min="627" max="627" width="7.81640625" bestFit="1" customWidth="1"/>
    <col min="628" max="628" width="4.54296875" bestFit="1" customWidth="1"/>
    <col min="629" max="629" width="13.54296875" bestFit="1" customWidth="1"/>
    <col min="630" max="631" width="4.54296875" bestFit="1" customWidth="1"/>
    <col min="632" max="632" width="13.54296875" bestFit="1" customWidth="1"/>
    <col min="633" max="633" width="4.54296875" bestFit="1" customWidth="1"/>
    <col min="634" max="634" width="7.81640625" bestFit="1" customWidth="1"/>
    <col min="635" max="635" width="13.54296875" bestFit="1" customWidth="1"/>
    <col min="636" max="636" width="6.7265625" bestFit="1" customWidth="1"/>
    <col min="637" max="637" width="13.54296875" bestFit="1" customWidth="1"/>
    <col min="638" max="638" width="5.6328125" bestFit="1" customWidth="1"/>
    <col min="639" max="639" width="13.54296875" bestFit="1" customWidth="1"/>
    <col min="640" max="640" width="4.54296875" bestFit="1" customWidth="1"/>
    <col min="641" max="642" width="13.54296875" bestFit="1" customWidth="1"/>
    <col min="643" max="643" width="6.7265625" bestFit="1" customWidth="1"/>
    <col min="644" max="644" width="13.54296875" bestFit="1" customWidth="1"/>
    <col min="645" max="645" width="6.7265625" bestFit="1" customWidth="1"/>
    <col min="646" max="646" width="13.54296875" bestFit="1" customWidth="1"/>
    <col min="647" max="647" width="4.54296875" bestFit="1" customWidth="1"/>
    <col min="648" max="649" width="13.54296875" bestFit="1" customWidth="1"/>
    <col min="650" max="651" width="4.54296875" bestFit="1" customWidth="1"/>
    <col min="652" max="652" width="13.54296875" bestFit="1" customWidth="1"/>
    <col min="653" max="655" width="6.7265625" bestFit="1" customWidth="1"/>
    <col min="656" max="656" width="7.81640625" bestFit="1" customWidth="1"/>
    <col min="657" max="657" width="4.54296875" bestFit="1" customWidth="1"/>
    <col min="658" max="658" width="13.54296875" bestFit="1" customWidth="1"/>
    <col min="659" max="659" width="4.54296875" bestFit="1" customWidth="1"/>
    <col min="660" max="660" width="7.81640625" bestFit="1" customWidth="1"/>
    <col min="661" max="662" width="13.54296875" bestFit="1" customWidth="1"/>
    <col min="663" max="663" width="5.6328125" bestFit="1" customWidth="1"/>
    <col min="664" max="665" width="13.54296875" bestFit="1" customWidth="1"/>
    <col min="666" max="667" width="4.54296875" bestFit="1" customWidth="1"/>
    <col min="668" max="668" width="13.54296875" bestFit="1" customWidth="1"/>
    <col min="669" max="669" width="4.54296875" bestFit="1" customWidth="1"/>
    <col min="670" max="671" width="6.7265625" bestFit="1" customWidth="1"/>
    <col min="672" max="672" width="13.54296875" bestFit="1" customWidth="1"/>
    <col min="673" max="673" width="7.81640625" bestFit="1" customWidth="1"/>
    <col min="674" max="674" width="13.54296875" bestFit="1" customWidth="1"/>
    <col min="675" max="675" width="6.7265625" bestFit="1" customWidth="1"/>
    <col min="676" max="676" width="5.6328125" bestFit="1" customWidth="1"/>
    <col min="677" max="677" width="4.54296875" bestFit="1" customWidth="1"/>
    <col min="678" max="678" width="8.90625" bestFit="1" customWidth="1"/>
    <col min="679" max="679" width="4.54296875" bestFit="1" customWidth="1"/>
    <col min="680" max="680" width="6.7265625" bestFit="1" customWidth="1"/>
    <col min="681" max="681" width="4.54296875" bestFit="1" customWidth="1"/>
    <col min="682" max="682" width="13.54296875" bestFit="1" customWidth="1"/>
    <col min="683" max="683" width="8.90625" bestFit="1" customWidth="1"/>
    <col min="684" max="684" width="6.7265625" bestFit="1" customWidth="1"/>
    <col min="685" max="685" width="4.54296875" bestFit="1" customWidth="1"/>
    <col min="686" max="686" width="13.54296875" bestFit="1" customWidth="1"/>
    <col min="687" max="689" width="6.7265625" bestFit="1" customWidth="1"/>
    <col min="690" max="691" width="13.54296875" bestFit="1" customWidth="1"/>
    <col min="692" max="692" width="5.6328125" bestFit="1" customWidth="1"/>
    <col min="693" max="693" width="6.7265625" bestFit="1" customWidth="1"/>
    <col min="694" max="695" width="13.54296875" bestFit="1" customWidth="1"/>
    <col min="696" max="696" width="4.54296875" bestFit="1" customWidth="1"/>
    <col min="697" max="697" width="6.7265625" bestFit="1" customWidth="1"/>
    <col min="698" max="698" width="4.54296875" bestFit="1" customWidth="1"/>
    <col min="699" max="699" width="7.81640625" bestFit="1" customWidth="1"/>
    <col min="700" max="700" width="13.54296875" bestFit="1" customWidth="1"/>
    <col min="701" max="702" width="6.7265625" bestFit="1" customWidth="1"/>
    <col min="703" max="703" width="13.54296875" bestFit="1" customWidth="1"/>
    <col min="704" max="704" width="4.54296875" bestFit="1" customWidth="1"/>
    <col min="705" max="706" width="13.54296875" bestFit="1" customWidth="1"/>
    <col min="707" max="707" width="4.54296875" bestFit="1" customWidth="1"/>
    <col min="708" max="708" width="6.7265625" bestFit="1" customWidth="1"/>
    <col min="709" max="709" width="4.54296875" bestFit="1" customWidth="1"/>
    <col min="710" max="711" width="6.7265625" bestFit="1" customWidth="1"/>
    <col min="712" max="713" width="13.54296875" bestFit="1" customWidth="1"/>
    <col min="714" max="714" width="5.6328125" bestFit="1" customWidth="1"/>
    <col min="715" max="715" width="4.54296875" bestFit="1" customWidth="1"/>
    <col min="716" max="716" width="13.54296875" bestFit="1" customWidth="1"/>
    <col min="717" max="717" width="6.7265625" bestFit="1" customWidth="1"/>
    <col min="718" max="718" width="13.54296875" bestFit="1" customWidth="1"/>
    <col min="719" max="719" width="4.54296875" bestFit="1" customWidth="1"/>
    <col min="720" max="721" width="13.54296875" bestFit="1" customWidth="1"/>
    <col min="722" max="722" width="6.7265625" bestFit="1" customWidth="1"/>
    <col min="723" max="723" width="13.54296875" bestFit="1" customWidth="1"/>
    <col min="724" max="724" width="4.54296875" bestFit="1" customWidth="1"/>
    <col min="725" max="725" width="13.54296875" bestFit="1" customWidth="1"/>
    <col min="726" max="726" width="6.7265625" bestFit="1" customWidth="1"/>
    <col min="727" max="727" width="12.36328125" bestFit="1" customWidth="1"/>
    <col min="728" max="728" width="4.54296875" bestFit="1" customWidth="1"/>
    <col min="729" max="729" width="5.6328125" bestFit="1" customWidth="1"/>
    <col min="730" max="730" width="6.7265625" bestFit="1" customWidth="1"/>
    <col min="731" max="731" width="13.54296875" bestFit="1" customWidth="1"/>
    <col min="732" max="732" width="6.7265625" bestFit="1" customWidth="1"/>
    <col min="733" max="733" width="13.54296875" bestFit="1" customWidth="1"/>
    <col min="734" max="734" width="6.7265625" bestFit="1" customWidth="1"/>
    <col min="735" max="737" width="4.54296875" bestFit="1" customWidth="1"/>
    <col min="738" max="738" width="6.7265625" bestFit="1" customWidth="1"/>
    <col min="739" max="740" width="7.81640625" bestFit="1" customWidth="1"/>
    <col min="741" max="741" width="13.54296875" bestFit="1" customWidth="1"/>
    <col min="742" max="742" width="6.7265625" bestFit="1" customWidth="1"/>
    <col min="743" max="747" width="13.54296875" bestFit="1" customWidth="1"/>
    <col min="748" max="748" width="5.6328125" bestFit="1" customWidth="1"/>
    <col min="749" max="749" width="13.54296875" bestFit="1" customWidth="1"/>
    <col min="750" max="750" width="6.7265625" bestFit="1" customWidth="1"/>
    <col min="751" max="753" width="13.54296875" bestFit="1" customWidth="1"/>
    <col min="754" max="757" width="4.54296875" bestFit="1" customWidth="1"/>
    <col min="758" max="758" width="13.54296875" bestFit="1" customWidth="1"/>
    <col min="759" max="759" width="6.7265625" bestFit="1" customWidth="1"/>
    <col min="760" max="760" width="4.54296875" bestFit="1" customWidth="1"/>
    <col min="761" max="761" width="7.81640625" bestFit="1" customWidth="1"/>
    <col min="762" max="766" width="13.54296875" bestFit="1" customWidth="1"/>
    <col min="767" max="767" width="4.54296875" bestFit="1" customWidth="1"/>
    <col min="768" max="768" width="6.7265625" bestFit="1" customWidth="1"/>
    <col min="769" max="769" width="13.54296875" bestFit="1" customWidth="1"/>
    <col min="770" max="770" width="6.7265625" bestFit="1" customWidth="1"/>
    <col min="771" max="772" width="13.54296875" bestFit="1" customWidth="1"/>
    <col min="773" max="773" width="4.54296875" bestFit="1" customWidth="1"/>
    <col min="774" max="777" width="13.54296875" bestFit="1" customWidth="1"/>
    <col min="778" max="778" width="5.6328125" bestFit="1" customWidth="1"/>
    <col min="779" max="779" width="8.90625" bestFit="1" customWidth="1"/>
    <col min="780" max="780" width="7.81640625" bestFit="1" customWidth="1"/>
    <col min="781" max="781" width="10" bestFit="1" customWidth="1"/>
    <col min="782" max="783" width="13.54296875" bestFit="1" customWidth="1"/>
    <col min="784" max="784" width="6.7265625" bestFit="1" customWidth="1"/>
    <col min="785" max="785" width="7.81640625" bestFit="1" customWidth="1"/>
    <col min="786" max="786" width="5.6328125" bestFit="1" customWidth="1"/>
    <col min="787" max="788" width="13.54296875" bestFit="1" customWidth="1"/>
    <col min="789" max="789" width="4.54296875" bestFit="1" customWidth="1"/>
    <col min="790" max="790" width="5.6328125" bestFit="1" customWidth="1"/>
    <col min="791" max="791" width="13.54296875" bestFit="1" customWidth="1"/>
    <col min="792" max="792" width="4.54296875" bestFit="1" customWidth="1"/>
    <col min="793" max="793" width="13.54296875" bestFit="1" customWidth="1"/>
    <col min="794" max="794" width="4.54296875" bestFit="1" customWidth="1"/>
    <col min="795" max="798" width="13.54296875" bestFit="1" customWidth="1"/>
    <col min="799" max="799" width="5.6328125" bestFit="1" customWidth="1"/>
    <col min="800" max="800" width="13.54296875" bestFit="1" customWidth="1"/>
    <col min="801" max="801" width="6.7265625" bestFit="1" customWidth="1"/>
    <col min="802" max="802" width="4.54296875" bestFit="1" customWidth="1"/>
    <col min="803" max="803" width="13.54296875" bestFit="1" customWidth="1"/>
    <col min="804" max="804" width="4.54296875" bestFit="1" customWidth="1"/>
    <col min="805" max="806" width="13.54296875" bestFit="1" customWidth="1"/>
    <col min="807" max="807" width="4.54296875" bestFit="1" customWidth="1"/>
    <col min="808" max="808" width="13.54296875" bestFit="1" customWidth="1"/>
    <col min="809" max="809" width="6.7265625" bestFit="1" customWidth="1"/>
    <col min="810" max="812" width="13.54296875" bestFit="1" customWidth="1"/>
    <col min="813" max="814" width="4.54296875" bestFit="1" customWidth="1"/>
    <col min="815" max="815" width="13.54296875" bestFit="1" customWidth="1"/>
    <col min="816" max="816" width="4.54296875" bestFit="1" customWidth="1"/>
    <col min="817" max="817" width="13.54296875" bestFit="1" customWidth="1"/>
    <col min="818" max="818" width="12.36328125" bestFit="1" customWidth="1"/>
    <col min="819" max="819" width="5.6328125" bestFit="1" customWidth="1"/>
    <col min="820" max="820" width="6.7265625" bestFit="1" customWidth="1"/>
    <col min="821" max="822" width="4.54296875" bestFit="1" customWidth="1"/>
    <col min="823" max="824" width="13.54296875" bestFit="1" customWidth="1"/>
    <col min="825" max="826" width="4.54296875" bestFit="1" customWidth="1"/>
    <col min="827" max="827" width="13.54296875" bestFit="1" customWidth="1"/>
    <col min="828" max="828" width="6.7265625" bestFit="1" customWidth="1"/>
    <col min="829" max="830" width="13.54296875" bestFit="1" customWidth="1"/>
    <col min="831" max="831" width="5.6328125" bestFit="1" customWidth="1"/>
    <col min="832" max="832" width="13.54296875" bestFit="1" customWidth="1"/>
    <col min="833" max="834" width="4.54296875" bestFit="1" customWidth="1"/>
    <col min="835" max="835" width="13.54296875" bestFit="1" customWidth="1"/>
    <col min="836" max="836" width="4.54296875" bestFit="1" customWidth="1"/>
    <col min="837" max="837" width="7.81640625" bestFit="1" customWidth="1"/>
    <col min="838" max="838" width="4.54296875" bestFit="1" customWidth="1"/>
    <col min="839" max="839" width="8.90625" bestFit="1" customWidth="1"/>
    <col min="840" max="840" width="4.54296875" bestFit="1" customWidth="1"/>
    <col min="841" max="841" width="6.7265625" bestFit="1" customWidth="1"/>
    <col min="842" max="843" width="13.54296875" bestFit="1" customWidth="1"/>
    <col min="844" max="844" width="4.54296875" bestFit="1" customWidth="1"/>
    <col min="845" max="845" width="5.6328125" bestFit="1" customWidth="1"/>
    <col min="846" max="846" width="6.7265625" bestFit="1" customWidth="1"/>
    <col min="847" max="847" width="8.90625" bestFit="1" customWidth="1"/>
    <col min="848" max="851" width="13.54296875" bestFit="1" customWidth="1"/>
    <col min="852" max="852" width="5.6328125" bestFit="1" customWidth="1"/>
    <col min="853" max="853" width="6.7265625" bestFit="1" customWidth="1"/>
    <col min="854" max="854" width="13.54296875" bestFit="1" customWidth="1"/>
    <col min="855" max="855" width="4.54296875" bestFit="1" customWidth="1"/>
    <col min="856" max="858" width="13.54296875" bestFit="1" customWidth="1"/>
    <col min="859" max="859" width="4.54296875" bestFit="1" customWidth="1"/>
    <col min="860" max="862" width="6.7265625" bestFit="1" customWidth="1"/>
    <col min="863" max="863" width="4.54296875" bestFit="1" customWidth="1"/>
    <col min="864" max="864" width="13.54296875" bestFit="1" customWidth="1"/>
    <col min="865" max="865" width="4.54296875" bestFit="1" customWidth="1"/>
    <col min="866" max="866" width="6.7265625" bestFit="1" customWidth="1"/>
    <col min="867" max="867" width="13.54296875" bestFit="1" customWidth="1"/>
    <col min="868" max="868" width="4.54296875" bestFit="1" customWidth="1"/>
    <col min="869" max="869" width="6.7265625" bestFit="1" customWidth="1"/>
    <col min="870" max="870" width="13.54296875" bestFit="1" customWidth="1"/>
    <col min="871" max="871" width="4.54296875" bestFit="1" customWidth="1"/>
    <col min="872" max="872" width="6.7265625" bestFit="1" customWidth="1"/>
    <col min="873" max="876" width="13.54296875" bestFit="1" customWidth="1"/>
    <col min="877" max="877" width="6.7265625" bestFit="1" customWidth="1"/>
    <col min="878" max="879" width="13.54296875" bestFit="1" customWidth="1"/>
    <col min="880" max="880" width="5.6328125" bestFit="1" customWidth="1"/>
    <col min="881" max="881" width="12.36328125" bestFit="1" customWidth="1"/>
    <col min="882" max="882" width="6.7265625" bestFit="1" customWidth="1"/>
    <col min="883" max="884" width="13.54296875" bestFit="1" customWidth="1"/>
    <col min="885" max="885" width="5.6328125" bestFit="1" customWidth="1"/>
    <col min="886" max="886" width="13.54296875" bestFit="1" customWidth="1"/>
    <col min="887" max="887" width="12.36328125" bestFit="1" customWidth="1"/>
    <col min="888" max="888" width="13.54296875" bestFit="1" customWidth="1"/>
    <col min="889" max="889" width="4.54296875" bestFit="1" customWidth="1"/>
    <col min="890" max="890" width="13.54296875" bestFit="1" customWidth="1"/>
    <col min="891" max="891" width="12.36328125" bestFit="1" customWidth="1"/>
    <col min="892" max="892" width="4.54296875" bestFit="1" customWidth="1"/>
    <col min="893" max="893" width="12.36328125" bestFit="1" customWidth="1"/>
    <col min="894" max="894" width="4.54296875" bestFit="1" customWidth="1"/>
    <col min="895" max="895" width="6.7265625" bestFit="1" customWidth="1"/>
    <col min="896" max="896" width="13.54296875" bestFit="1" customWidth="1"/>
    <col min="897" max="897" width="4.54296875" bestFit="1" customWidth="1"/>
    <col min="898" max="898" width="6.7265625" bestFit="1" customWidth="1"/>
    <col min="899" max="899" width="4.54296875" bestFit="1" customWidth="1"/>
    <col min="900" max="900" width="13.54296875" bestFit="1" customWidth="1"/>
    <col min="901" max="901" width="6.7265625" bestFit="1" customWidth="1"/>
    <col min="902" max="902" width="13.54296875" bestFit="1" customWidth="1"/>
    <col min="903" max="903" width="4.54296875" bestFit="1" customWidth="1"/>
    <col min="904" max="904" width="6.7265625" bestFit="1" customWidth="1"/>
    <col min="905" max="905" width="4.54296875" bestFit="1" customWidth="1"/>
    <col min="906" max="907" width="13.54296875" bestFit="1" customWidth="1"/>
    <col min="908" max="908" width="4.54296875" bestFit="1" customWidth="1"/>
    <col min="909" max="909" width="13.54296875" bestFit="1" customWidth="1"/>
    <col min="910" max="911" width="4.54296875" bestFit="1" customWidth="1"/>
    <col min="912" max="912" width="13.54296875" bestFit="1" customWidth="1"/>
    <col min="913" max="913" width="8.90625" bestFit="1" customWidth="1"/>
    <col min="914" max="914" width="6.7265625" bestFit="1" customWidth="1"/>
    <col min="915" max="916" width="4.54296875" bestFit="1" customWidth="1"/>
    <col min="917" max="919" width="13.54296875" bestFit="1" customWidth="1"/>
    <col min="920" max="920" width="4.54296875" bestFit="1" customWidth="1"/>
    <col min="921" max="921" width="6.7265625" bestFit="1" customWidth="1"/>
    <col min="922" max="922" width="13.54296875" bestFit="1" customWidth="1"/>
    <col min="923" max="924" width="4.54296875" bestFit="1" customWidth="1"/>
    <col min="925" max="926" width="13.54296875" bestFit="1" customWidth="1"/>
    <col min="927" max="927" width="4.54296875" bestFit="1" customWidth="1"/>
    <col min="928" max="929" width="13.54296875" bestFit="1" customWidth="1"/>
    <col min="930" max="930" width="4.54296875" bestFit="1" customWidth="1"/>
    <col min="931" max="931" width="6.7265625" bestFit="1" customWidth="1"/>
    <col min="932" max="935" width="13.54296875" bestFit="1" customWidth="1"/>
    <col min="936" max="937" width="4.54296875" bestFit="1" customWidth="1"/>
    <col min="938" max="938" width="6.7265625" bestFit="1" customWidth="1"/>
    <col min="939" max="940" width="13.54296875" bestFit="1" customWidth="1"/>
    <col min="941" max="942" width="4.54296875" bestFit="1" customWidth="1"/>
    <col min="943" max="943" width="13.54296875" bestFit="1" customWidth="1"/>
    <col min="944" max="944" width="6.7265625" bestFit="1" customWidth="1"/>
    <col min="945" max="945" width="12.36328125" bestFit="1" customWidth="1"/>
    <col min="946" max="946" width="4.54296875" bestFit="1" customWidth="1"/>
    <col min="947" max="948" width="13.54296875" bestFit="1" customWidth="1"/>
    <col min="949" max="949" width="5.6328125" bestFit="1" customWidth="1"/>
    <col min="950" max="951" width="13.54296875" bestFit="1" customWidth="1"/>
    <col min="952" max="952" width="4.54296875" bestFit="1" customWidth="1"/>
    <col min="953" max="953" width="13.54296875" bestFit="1" customWidth="1"/>
    <col min="954" max="955" width="6.7265625" bestFit="1" customWidth="1"/>
    <col min="956" max="956" width="4.54296875" bestFit="1" customWidth="1"/>
    <col min="957" max="957" width="13.54296875" bestFit="1" customWidth="1"/>
    <col min="958" max="958" width="4.54296875" bestFit="1" customWidth="1"/>
    <col min="959" max="960" width="13.54296875" bestFit="1" customWidth="1"/>
    <col min="961" max="961" width="6.7265625" bestFit="1" customWidth="1"/>
    <col min="962" max="963" width="13.54296875" bestFit="1" customWidth="1"/>
    <col min="964" max="964" width="7.81640625" bestFit="1" customWidth="1"/>
    <col min="965" max="965" width="4.54296875" bestFit="1" customWidth="1"/>
    <col min="966" max="966" width="8.90625" bestFit="1" customWidth="1"/>
    <col min="967" max="967" width="5.6328125" bestFit="1" customWidth="1"/>
    <col min="968" max="972" width="13.54296875" bestFit="1" customWidth="1"/>
    <col min="973" max="973" width="5.6328125" bestFit="1" customWidth="1"/>
    <col min="974" max="974" width="6.7265625" bestFit="1" customWidth="1"/>
    <col min="975" max="975" width="13.54296875" bestFit="1" customWidth="1"/>
    <col min="976" max="976" width="6.7265625" bestFit="1" customWidth="1"/>
    <col min="977" max="977" width="4.54296875" bestFit="1" customWidth="1"/>
    <col min="978" max="978" width="8.90625" bestFit="1" customWidth="1"/>
    <col min="979" max="980" width="6.7265625" bestFit="1" customWidth="1"/>
    <col min="981" max="981" width="4.54296875" bestFit="1" customWidth="1"/>
    <col min="982" max="982" width="13.54296875" bestFit="1" customWidth="1"/>
    <col min="983" max="983" width="4.54296875" bestFit="1" customWidth="1"/>
    <col min="984" max="985" width="13.54296875" bestFit="1" customWidth="1"/>
    <col min="986" max="986" width="4.54296875" bestFit="1" customWidth="1"/>
    <col min="987" max="987" width="7.81640625" bestFit="1" customWidth="1"/>
    <col min="988" max="989" width="4.54296875" bestFit="1" customWidth="1"/>
    <col min="990" max="990" width="13.54296875" bestFit="1" customWidth="1"/>
    <col min="991" max="992" width="4.54296875" bestFit="1" customWidth="1"/>
    <col min="993" max="994" width="13.54296875" bestFit="1" customWidth="1"/>
    <col min="995" max="995" width="5.6328125" bestFit="1" customWidth="1"/>
    <col min="996" max="996" width="4.54296875" bestFit="1" customWidth="1"/>
    <col min="997" max="997" width="10" bestFit="1" customWidth="1"/>
    <col min="998" max="998" width="4.54296875" bestFit="1" customWidth="1"/>
    <col min="999" max="999" width="7.81640625" bestFit="1" customWidth="1"/>
    <col min="1000" max="1001" width="4.54296875" bestFit="1" customWidth="1"/>
    <col min="1002" max="1002" width="6.7265625" bestFit="1" customWidth="1"/>
    <col min="1003" max="1004" width="13.54296875" bestFit="1" customWidth="1"/>
    <col min="1005" max="1005" width="5.6328125" bestFit="1" customWidth="1"/>
    <col min="1006" max="1006" width="4.54296875" bestFit="1" customWidth="1"/>
    <col min="1007" max="1008" width="13.54296875" bestFit="1" customWidth="1"/>
    <col min="1009" max="1010" width="4.54296875" bestFit="1" customWidth="1"/>
    <col min="1011" max="1011" width="6.7265625" bestFit="1" customWidth="1"/>
    <col min="1012" max="1012" width="13.54296875" bestFit="1" customWidth="1"/>
    <col min="1013" max="1013" width="4.54296875" bestFit="1" customWidth="1"/>
    <col min="1014" max="1014" width="12.36328125" bestFit="1" customWidth="1"/>
    <col min="1015" max="1015" width="4.54296875" bestFit="1" customWidth="1"/>
    <col min="1016" max="1016" width="5.6328125" bestFit="1" customWidth="1"/>
    <col min="1017" max="1017" width="13.54296875" bestFit="1" customWidth="1"/>
    <col min="1018" max="1019" width="6.7265625" bestFit="1" customWidth="1"/>
    <col min="1020" max="1020" width="13.54296875" bestFit="1" customWidth="1"/>
    <col min="1021" max="1021" width="6.7265625" bestFit="1" customWidth="1"/>
    <col min="1022" max="1023" width="4.54296875" bestFit="1" customWidth="1"/>
    <col min="1024" max="1024" width="6.7265625" bestFit="1" customWidth="1"/>
    <col min="1025" max="1028" width="13.54296875" bestFit="1" customWidth="1"/>
    <col min="1029" max="1029" width="6.7265625" bestFit="1" customWidth="1"/>
    <col min="1030" max="1030" width="4.54296875" bestFit="1" customWidth="1"/>
    <col min="1031" max="1031" width="7.81640625" bestFit="1" customWidth="1"/>
    <col min="1032" max="1032" width="5.6328125" bestFit="1" customWidth="1"/>
    <col min="1033" max="1033" width="13.54296875" bestFit="1" customWidth="1"/>
    <col min="1034" max="1034" width="4.54296875" bestFit="1" customWidth="1"/>
    <col min="1035" max="1035" width="8.90625" bestFit="1" customWidth="1"/>
    <col min="1036" max="1037" width="13.54296875" bestFit="1" customWidth="1"/>
    <col min="1038" max="1038" width="8.90625" bestFit="1" customWidth="1"/>
    <col min="1039" max="1039" width="13.54296875" bestFit="1" customWidth="1"/>
    <col min="1040" max="1040" width="4.54296875" bestFit="1" customWidth="1"/>
    <col min="1041" max="1041" width="13.54296875" bestFit="1" customWidth="1"/>
    <col min="1042" max="1042" width="4.54296875" bestFit="1" customWidth="1"/>
    <col min="1043" max="1043" width="6.7265625" bestFit="1" customWidth="1"/>
    <col min="1044" max="1044" width="7.81640625" bestFit="1" customWidth="1"/>
    <col min="1045" max="1046" width="13.54296875" bestFit="1" customWidth="1"/>
    <col min="1047" max="1047" width="4.54296875" bestFit="1" customWidth="1"/>
    <col min="1048" max="1048" width="13.54296875" bestFit="1" customWidth="1"/>
    <col min="1049" max="1049" width="6.7265625" bestFit="1" customWidth="1"/>
    <col min="1050" max="1056" width="13.54296875" bestFit="1" customWidth="1"/>
    <col min="1057" max="1058" width="4.54296875" bestFit="1" customWidth="1"/>
    <col min="1059" max="1059" width="13.54296875" bestFit="1" customWidth="1"/>
    <col min="1060" max="1060" width="7.81640625" bestFit="1" customWidth="1"/>
    <col min="1061" max="1061" width="13.54296875" bestFit="1" customWidth="1"/>
    <col min="1062" max="1062" width="4.54296875" bestFit="1" customWidth="1"/>
    <col min="1063" max="1063" width="13.54296875" bestFit="1" customWidth="1"/>
    <col min="1064" max="1064" width="4.54296875" bestFit="1" customWidth="1"/>
    <col min="1065" max="1065" width="13.54296875" bestFit="1" customWidth="1"/>
    <col min="1066" max="1066" width="4.54296875" bestFit="1" customWidth="1"/>
    <col min="1067" max="1067" width="6.7265625" bestFit="1" customWidth="1"/>
    <col min="1068" max="1068" width="5.6328125" bestFit="1" customWidth="1"/>
    <col min="1069" max="1070" width="13.54296875" bestFit="1" customWidth="1"/>
    <col min="1071" max="1071" width="5.6328125" bestFit="1" customWidth="1"/>
    <col min="1072" max="1072" width="13.54296875" bestFit="1" customWidth="1"/>
    <col min="1073" max="1073" width="7.81640625" bestFit="1" customWidth="1"/>
    <col min="1074" max="1074" width="5.6328125" bestFit="1" customWidth="1"/>
    <col min="1075" max="1075" width="8.90625" bestFit="1" customWidth="1"/>
    <col min="1076" max="1076" width="13.54296875" bestFit="1" customWidth="1"/>
    <col min="1077" max="1079" width="5.6328125" bestFit="1" customWidth="1"/>
    <col min="1080" max="1080" width="13.54296875" bestFit="1" customWidth="1"/>
    <col min="1081" max="1081" width="5.6328125" bestFit="1" customWidth="1"/>
    <col min="1082" max="1082" width="13.54296875" bestFit="1" customWidth="1"/>
    <col min="1083" max="1083" width="5.6328125" bestFit="1" customWidth="1"/>
    <col min="1084" max="1084" width="13.54296875" bestFit="1" customWidth="1"/>
    <col min="1085" max="1085" width="5.6328125" bestFit="1" customWidth="1"/>
    <col min="1086" max="1086" width="13.54296875" bestFit="1" customWidth="1"/>
    <col min="1087" max="1087" width="5.6328125" bestFit="1" customWidth="1"/>
    <col min="1088" max="1088" width="13.54296875" bestFit="1" customWidth="1"/>
    <col min="1089" max="1093" width="5.6328125" bestFit="1" customWidth="1"/>
    <col min="1094" max="1095" width="13.54296875" bestFit="1" customWidth="1"/>
    <col min="1096" max="1098" width="7.81640625" bestFit="1" customWidth="1"/>
    <col min="1099" max="1099" width="13.54296875" bestFit="1" customWidth="1"/>
    <col min="1100" max="1100" width="5.6328125" bestFit="1" customWidth="1"/>
    <col min="1101" max="1101" width="8.90625" bestFit="1" customWidth="1"/>
    <col min="1102" max="1103" width="5.6328125" bestFit="1" customWidth="1"/>
    <col min="1104" max="1107" width="13.54296875" bestFit="1" customWidth="1"/>
    <col min="1108" max="1108" width="8.90625" bestFit="1" customWidth="1"/>
    <col min="1109" max="1110" width="5.6328125" bestFit="1" customWidth="1"/>
    <col min="1111" max="1111" width="13.54296875" bestFit="1" customWidth="1"/>
    <col min="1112" max="1112" width="5.6328125" bestFit="1" customWidth="1"/>
    <col min="1113" max="1116" width="13.54296875" bestFit="1" customWidth="1"/>
    <col min="1117" max="1117" width="5.6328125" bestFit="1" customWidth="1"/>
    <col min="1118" max="1118" width="10" bestFit="1" customWidth="1"/>
    <col min="1119" max="1119" width="13.54296875" bestFit="1" customWidth="1"/>
    <col min="1120" max="1120" width="5.6328125" bestFit="1" customWidth="1"/>
    <col min="1121" max="1121" width="7.81640625" bestFit="1" customWidth="1"/>
    <col min="1122" max="1122" width="13.54296875" bestFit="1" customWidth="1"/>
    <col min="1123" max="1124" width="5.6328125" bestFit="1" customWidth="1"/>
    <col min="1125" max="1125" width="13.54296875" bestFit="1" customWidth="1"/>
    <col min="1126" max="1126" width="5.6328125" bestFit="1" customWidth="1"/>
    <col min="1127" max="1130" width="13.54296875" bestFit="1" customWidth="1"/>
    <col min="1131" max="1131" width="7.81640625" bestFit="1" customWidth="1"/>
    <col min="1132" max="1132" width="13.54296875" bestFit="1" customWidth="1"/>
    <col min="1133" max="1133" width="5.6328125" bestFit="1" customWidth="1"/>
    <col min="1134" max="1135" width="7.81640625" bestFit="1" customWidth="1"/>
    <col min="1136" max="1136" width="5.6328125" bestFit="1" customWidth="1"/>
    <col min="1137" max="1138" width="13.54296875" bestFit="1" customWidth="1"/>
    <col min="1139" max="1139" width="5.6328125" bestFit="1" customWidth="1"/>
    <col min="1140" max="1141" width="13.54296875" bestFit="1" customWidth="1"/>
    <col min="1142" max="1142" width="5.6328125" bestFit="1" customWidth="1"/>
    <col min="1143" max="1143" width="13.54296875" bestFit="1" customWidth="1"/>
    <col min="1144" max="1144" width="5.6328125" bestFit="1" customWidth="1"/>
    <col min="1145" max="1145" width="13.54296875" bestFit="1" customWidth="1"/>
    <col min="1146" max="1146" width="8.90625" bestFit="1" customWidth="1"/>
    <col min="1147" max="1148" width="5.6328125" bestFit="1" customWidth="1"/>
    <col min="1149" max="1149" width="7.81640625" bestFit="1" customWidth="1"/>
    <col min="1150" max="1150" width="13.54296875" bestFit="1" customWidth="1"/>
    <col min="1151" max="1151" width="5.6328125" bestFit="1" customWidth="1"/>
    <col min="1152" max="1152" width="13.54296875" bestFit="1" customWidth="1"/>
    <col min="1153" max="1153" width="5.6328125" bestFit="1" customWidth="1"/>
    <col min="1154" max="1154" width="13.54296875" bestFit="1" customWidth="1"/>
    <col min="1155" max="1156" width="5.6328125" bestFit="1" customWidth="1"/>
    <col min="1157" max="1158" width="13.54296875" bestFit="1" customWidth="1"/>
    <col min="1159" max="1160" width="5.6328125" bestFit="1" customWidth="1"/>
    <col min="1161" max="1161" width="13.54296875" bestFit="1" customWidth="1"/>
    <col min="1162" max="1164" width="5.6328125" bestFit="1" customWidth="1"/>
    <col min="1165" max="1166" width="13.54296875" bestFit="1" customWidth="1"/>
    <col min="1167" max="1167" width="12.36328125" bestFit="1" customWidth="1"/>
    <col min="1168" max="1168" width="13.54296875" bestFit="1" customWidth="1"/>
    <col min="1169" max="1169" width="12.36328125" bestFit="1" customWidth="1"/>
    <col min="1170" max="1170" width="13.54296875" bestFit="1" customWidth="1"/>
    <col min="1171" max="1173" width="5.6328125" bestFit="1" customWidth="1"/>
    <col min="1174" max="1174" width="13.54296875" bestFit="1" customWidth="1"/>
    <col min="1175" max="1177" width="5.6328125" bestFit="1" customWidth="1"/>
    <col min="1178" max="1178" width="7.81640625" bestFit="1" customWidth="1"/>
    <col min="1179" max="1179" width="12.36328125" bestFit="1" customWidth="1"/>
    <col min="1180" max="1180" width="5.6328125" bestFit="1" customWidth="1"/>
    <col min="1181" max="1182" width="13.54296875" bestFit="1" customWidth="1"/>
    <col min="1183" max="1183" width="5.6328125" bestFit="1" customWidth="1"/>
    <col min="1184" max="1184" width="7.81640625" bestFit="1" customWidth="1"/>
    <col min="1185" max="1186" width="13.54296875" bestFit="1" customWidth="1"/>
    <col min="1187" max="1187" width="5.6328125" bestFit="1" customWidth="1"/>
    <col min="1188" max="1188" width="7.81640625" bestFit="1" customWidth="1"/>
    <col min="1189" max="1191" width="5.6328125" bestFit="1" customWidth="1"/>
    <col min="1192" max="1193" width="13.54296875" bestFit="1" customWidth="1"/>
    <col min="1194" max="1194" width="5.6328125" bestFit="1" customWidth="1"/>
    <col min="1195" max="1195" width="13.54296875" bestFit="1" customWidth="1"/>
    <col min="1196" max="1196" width="7.81640625" bestFit="1" customWidth="1"/>
    <col min="1197" max="1197" width="13.54296875" bestFit="1" customWidth="1"/>
    <col min="1198" max="1198" width="5.6328125" bestFit="1" customWidth="1"/>
    <col min="1199" max="1199" width="13.54296875" bestFit="1" customWidth="1"/>
    <col min="1200" max="1200" width="5.6328125" bestFit="1" customWidth="1"/>
    <col min="1201" max="1201" width="13.54296875" bestFit="1" customWidth="1"/>
    <col min="1202" max="1202" width="7.81640625" bestFit="1" customWidth="1"/>
    <col min="1203" max="1206" width="5.6328125" bestFit="1" customWidth="1"/>
    <col min="1207" max="1207" width="13.54296875" bestFit="1" customWidth="1"/>
    <col min="1208" max="1208" width="5.6328125" bestFit="1" customWidth="1"/>
    <col min="1209" max="1209" width="7.81640625" bestFit="1" customWidth="1"/>
    <col min="1210" max="1210" width="8.90625" bestFit="1" customWidth="1"/>
    <col min="1211" max="1211" width="5.6328125" bestFit="1" customWidth="1"/>
    <col min="1212" max="1212" width="13.54296875" bestFit="1" customWidth="1"/>
    <col min="1213" max="1213" width="5.6328125" bestFit="1" customWidth="1"/>
    <col min="1214" max="1214" width="13.54296875" bestFit="1" customWidth="1"/>
    <col min="1215" max="1217" width="5.6328125" bestFit="1" customWidth="1"/>
    <col min="1218" max="1220" width="13.54296875" bestFit="1" customWidth="1"/>
    <col min="1221" max="1221" width="5.6328125" bestFit="1" customWidth="1"/>
    <col min="1222" max="1222" width="7.81640625" bestFit="1" customWidth="1"/>
    <col min="1223" max="1223" width="5.6328125" bestFit="1" customWidth="1"/>
    <col min="1224" max="1224" width="8.90625" bestFit="1" customWidth="1"/>
    <col min="1225" max="1226" width="5.6328125" bestFit="1" customWidth="1"/>
    <col min="1227" max="1227" width="13.54296875" bestFit="1" customWidth="1"/>
    <col min="1228" max="1228" width="8.90625" bestFit="1" customWidth="1"/>
    <col min="1229" max="1229" width="5.6328125" bestFit="1" customWidth="1"/>
    <col min="1230" max="1230" width="13.54296875" bestFit="1" customWidth="1"/>
    <col min="1231" max="1231" width="5.6328125" bestFit="1" customWidth="1"/>
    <col min="1232" max="1233" width="13.54296875" bestFit="1" customWidth="1"/>
    <col min="1234" max="1234" width="5.6328125" bestFit="1" customWidth="1"/>
    <col min="1235" max="1238" width="13.54296875" bestFit="1" customWidth="1"/>
    <col min="1239" max="1240" width="5.6328125" bestFit="1" customWidth="1"/>
    <col min="1241" max="1242" width="13.54296875" bestFit="1" customWidth="1"/>
    <col min="1243" max="1245" width="5.6328125" bestFit="1" customWidth="1"/>
    <col min="1246" max="1247" width="13.54296875" bestFit="1" customWidth="1"/>
    <col min="1248" max="1248" width="5.6328125" bestFit="1" customWidth="1"/>
    <col min="1249" max="1249" width="13.54296875" bestFit="1" customWidth="1"/>
    <col min="1250" max="1250" width="5.6328125" bestFit="1" customWidth="1"/>
    <col min="1251" max="1251" width="13.54296875" bestFit="1" customWidth="1"/>
    <col min="1252" max="1252" width="8.90625" bestFit="1" customWidth="1"/>
    <col min="1253" max="1253" width="5.6328125" bestFit="1" customWidth="1"/>
    <col min="1254" max="1254" width="13.54296875" bestFit="1" customWidth="1"/>
    <col min="1255" max="1255" width="5.6328125" bestFit="1" customWidth="1"/>
    <col min="1256" max="1256" width="7.81640625" bestFit="1" customWidth="1"/>
    <col min="1257" max="1257" width="13.54296875" bestFit="1" customWidth="1"/>
    <col min="1258" max="1258" width="7.81640625" bestFit="1" customWidth="1"/>
    <col min="1259" max="1263" width="13.54296875" bestFit="1" customWidth="1"/>
    <col min="1264" max="1265" width="5.6328125" bestFit="1" customWidth="1"/>
    <col min="1266" max="1266" width="7.81640625" bestFit="1" customWidth="1"/>
    <col min="1267" max="1267" width="5.6328125" bestFit="1" customWidth="1"/>
    <col min="1268" max="1269" width="13.54296875" bestFit="1" customWidth="1"/>
    <col min="1270" max="1274" width="5.6328125" bestFit="1" customWidth="1"/>
    <col min="1275" max="1275" width="13.54296875" bestFit="1" customWidth="1"/>
    <col min="1276" max="1279" width="5.6328125" bestFit="1" customWidth="1"/>
    <col min="1280" max="1280" width="8.90625" bestFit="1" customWidth="1"/>
    <col min="1281" max="1281" width="13.54296875" bestFit="1" customWidth="1"/>
    <col min="1282" max="1283" width="5.6328125" bestFit="1" customWidth="1"/>
    <col min="1284" max="1284" width="13.54296875" bestFit="1" customWidth="1"/>
    <col min="1285" max="1286" width="5.6328125" bestFit="1" customWidth="1"/>
    <col min="1287" max="1287" width="13.54296875" bestFit="1" customWidth="1"/>
    <col min="1288" max="1288" width="7.81640625" bestFit="1" customWidth="1"/>
    <col min="1289" max="1289" width="13.54296875" bestFit="1" customWidth="1"/>
    <col min="1290" max="1290" width="5.6328125" bestFit="1" customWidth="1"/>
    <col min="1291" max="1291" width="13.54296875" bestFit="1" customWidth="1"/>
    <col min="1292" max="1293" width="5.6328125" bestFit="1" customWidth="1"/>
    <col min="1294" max="1294" width="7.81640625" bestFit="1" customWidth="1"/>
    <col min="1295" max="1295" width="13.54296875" bestFit="1" customWidth="1"/>
    <col min="1296" max="1296" width="5.6328125" bestFit="1" customWidth="1"/>
    <col min="1297" max="1297" width="7.81640625" bestFit="1" customWidth="1"/>
    <col min="1298" max="1298" width="8.90625" bestFit="1" customWidth="1"/>
    <col min="1299" max="1299" width="10" bestFit="1" customWidth="1"/>
    <col min="1300" max="1300" width="7.81640625" bestFit="1" customWidth="1"/>
    <col min="1301" max="1301" width="5.6328125" bestFit="1" customWidth="1"/>
    <col min="1302" max="1302" width="8.90625" bestFit="1" customWidth="1"/>
    <col min="1303" max="1303" width="13.54296875" bestFit="1" customWidth="1"/>
    <col min="1304" max="1305" width="5.6328125" bestFit="1" customWidth="1"/>
    <col min="1306" max="1306" width="7.81640625" bestFit="1" customWidth="1"/>
    <col min="1307" max="1307" width="13.54296875" bestFit="1" customWidth="1"/>
    <col min="1308" max="1308" width="5.6328125" bestFit="1" customWidth="1"/>
    <col min="1309" max="1310" width="13.54296875" bestFit="1" customWidth="1"/>
    <col min="1311" max="1311" width="7.81640625" bestFit="1" customWidth="1"/>
    <col min="1312" max="1312" width="6.7265625" bestFit="1" customWidth="1"/>
    <col min="1313" max="1313" width="13.54296875" bestFit="1" customWidth="1"/>
    <col min="1314" max="1314" width="6.7265625" bestFit="1" customWidth="1"/>
    <col min="1315" max="1315" width="7.81640625" bestFit="1" customWidth="1"/>
  </cols>
  <sheetData>
    <row r="1" spans="1:5">
      <c r="A1" t="s">
        <v>167</v>
      </c>
      <c r="B1" t="s">
        <v>168</v>
      </c>
      <c r="C1" t="s">
        <v>169</v>
      </c>
      <c r="D1" t="s">
        <v>170</v>
      </c>
      <c r="E1" t="s">
        <v>171</v>
      </c>
    </row>
    <row r="2" spans="1:5">
      <c r="A2">
        <v>10248</v>
      </c>
      <c r="B2" t="s">
        <v>172</v>
      </c>
      <c r="C2">
        <v>168</v>
      </c>
      <c r="D2">
        <v>12</v>
      </c>
      <c r="E2" s="80">
        <v>35250</v>
      </c>
    </row>
    <row r="3" spans="1:5">
      <c r="A3">
        <v>10248</v>
      </c>
      <c r="B3" t="s">
        <v>173</v>
      </c>
      <c r="C3">
        <v>168</v>
      </c>
      <c r="D3">
        <v>12</v>
      </c>
      <c r="E3" s="80">
        <v>35250</v>
      </c>
    </row>
    <row r="4" spans="1:5">
      <c r="A4">
        <v>10248</v>
      </c>
      <c r="B4" t="s">
        <v>174</v>
      </c>
      <c r="C4">
        <v>168</v>
      </c>
      <c r="D4">
        <v>12</v>
      </c>
      <c r="E4" s="80">
        <v>35250</v>
      </c>
    </row>
    <row r="5" spans="1:5">
      <c r="A5">
        <v>10248</v>
      </c>
      <c r="B5" t="s">
        <v>175</v>
      </c>
      <c r="C5">
        <v>168</v>
      </c>
      <c r="D5">
        <v>12</v>
      </c>
      <c r="E5" s="80">
        <v>35250</v>
      </c>
    </row>
    <row r="6" spans="1:5">
      <c r="A6">
        <v>10248</v>
      </c>
      <c r="B6" t="s">
        <v>176</v>
      </c>
      <c r="C6">
        <v>168</v>
      </c>
      <c r="D6">
        <v>12</v>
      </c>
      <c r="E6" s="80">
        <v>35250</v>
      </c>
    </row>
    <row r="7" spans="1:5">
      <c r="A7">
        <v>10248</v>
      </c>
      <c r="B7" t="s">
        <v>177</v>
      </c>
      <c r="C7">
        <v>168</v>
      </c>
      <c r="D7">
        <v>12</v>
      </c>
      <c r="E7" s="80">
        <v>35250</v>
      </c>
    </row>
    <row r="8" spans="1:5">
      <c r="A8">
        <v>10248</v>
      </c>
      <c r="B8" t="s">
        <v>178</v>
      </c>
      <c r="C8">
        <v>168</v>
      </c>
      <c r="D8">
        <v>12</v>
      </c>
      <c r="E8" s="80">
        <v>35250</v>
      </c>
    </row>
    <row r="9" spans="1:5">
      <c r="A9">
        <v>10248</v>
      </c>
      <c r="B9" t="s">
        <v>179</v>
      </c>
      <c r="C9">
        <v>168</v>
      </c>
      <c r="D9">
        <v>12</v>
      </c>
      <c r="E9" s="80">
        <v>35250</v>
      </c>
    </row>
    <row r="10" spans="1:5">
      <c r="A10">
        <v>10248</v>
      </c>
      <c r="B10" t="s">
        <v>172</v>
      </c>
      <c r="C10">
        <v>98</v>
      </c>
      <c r="D10">
        <v>10</v>
      </c>
      <c r="E10" s="80">
        <v>35250</v>
      </c>
    </row>
    <row r="11" spans="1:5">
      <c r="A11">
        <v>10248</v>
      </c>
      <c r="B11" t="s">
        <v>173</v>
      </c>
      <c r="C11">
        <v>98</v>
      </c>
      <c r="D11">
        <v>10</v>
      </c>
      <c r="E11" s="80">
        <v>35250</v>
      </c>
    </row>
    <row r="12" spans="1:5">
      <c r="A12">
        <v>10248</v>
      </c>
      <c r="B12" t="s">
        <v>174</v>
      </c>
      <c r="C12">
        <v>98</v>
      </c>
      <c r="D12">
        <v>10</v>
      </c>
      <c r="E12" s="80">
        <v>35250</v>
      </c>
    </row>
    <row r="13" spans="1:5">
      <c r="A13">
        <v>10248</v>
      </c>
      <c r="B13" t="s">
        <v>175</v>
      </c>
      <c r="C13">
        <v>98</v>
      </c>
      <c r="D13">
        <v>10</v>
      </c>
      <c r="E13" s="80">
        <v>35250</v>
      </c>
    </row>
    <row r="14" spans="1:5">
      <c r="A14">
        <v>10248</v>
      </c>
      <c r="B14" t="s">
        <v>176</v>
      </c>
      <c r="C14">
        <v>98</v>
      </c>
      <c r="D14">
        <v>10</v>
      </c>
      <c r="E14" s="80">
        <v>35250</v>
      </c>
    </row>
    <row r="15" spans="1:5">
      <c r="A15">
        <v>10248</v>
      </c>
      <c r="B15" t="s">
        <v>177</v>
      </c>
      <c r="C15">
        <v>98</v>
      </c>
      <c r="D15">
        <v>10</v>
      </c>
      <c r="E15" s="80">
        <v>35250</v>
      </c>
    </row>
    <row r="16" spans="1:5">
      <c r="A16">
        <v>10248</v>
      </c>
      <c r="B16" t="s">
        <v>178</v>
      </c>
      <c r="C16">
        <v>98</v>
      </c>
      <c r="D16">
        <v>10</v>
      </c>
      <c r="E16" s="80">
        <v>35250</v>
      </c>
    </row>
    <row r="17" spans="1:11">
      <c r="A17">
        <v>10248</v>
      </c>
      <c r="B17" t="s">
        <v>179</v>
      </c>
      <c r="C17">
        <v>98</v>
      </c>
      <c r="D17">
        <v>10</v>
      </c>
      <c r="E17" s="80">
        <v>35250</v>
      </c>
    </row>
    <row r="18" spans="1:11">
      <c r="A18">
        <v>10248</v>
      </c>
      <c r="B18" t="s">
        <v>172</v>
      </c>
      <c r="C18">
        <v>174</v>
      </c>
      <c r="D18">
        <v>5</v>
      </c>
      <c r="E18" s="80">
        <v>35250</v>
      </c>
    </row>
    <row r="19" spans="1:11">
      <c r="A19">
        <v>10248</v>
      </c>
      <c r="B19" t="s">
        <v>173</v>
      </c>
      <c r="C19">
        <v>174</v>
      </c>
      <c r="D19">
        <v>5</v>
      </c>
      <c r="E19" s="80">
        <v>35250</v>
      </c>
    </row>
    <row r="20" spans="1:11">
      <c r="A20">
        <v>10248</v>
      </c>
      <c r="B20" t="s">
        <v>174</v>
      </c>
      <c r="C20">
        <v>174</v>
      </c>
      <c r="D20">
        <v>5</v>
      </c>
      <c r="E20" s="80">
        <v>35250</v>
      </c>
    </row>
    <row r="21" spans="1:11">
      <c r="A21">
        <v>10248</v>
      </c>
      <c r="B21" t="s">
        <v>175</v>
      </c>
      <c r="C21">
        <v>174</v>
      </c>
      <c r="D21">
        <v>5</v>
      </c>
      <c r="E21" s="80">
        <v>35250</v>
      </c>
    </row>
    <row r="22" spans="1:11">
      <c r="A22">
        <v>10248</v>
      </c>
      <c r="B22" t="s">
        <v>176</v>
      </c>
      <c r="C22">
        <v>174</v>
      </c>
      <c r="D22">
        <v>5</v>
      </c>
      <c r="E22" s="80">
        <v>35250</v>
      </c>
    </row>
    <row r="23" spans="1:11">
      <c r="A23">
        <v>10248</v>
      </c>
      <c r="B23" t="s">
        <v>177</v>
      </c>
      <c r="C23">
        <v>174</v>
      </c>
      <c r="D23">
        <v>5</v>
      </c>
      <c r="E23" s="80">
        <v>35250</v>
      </c>
    </row>
    <row r="24" spans="1:11">
      <c r="A24">
        <v>10248</v>
      </c>
      <c r="B24" t="s">
        <v>178</v>
      </c>
      <c r="C24">
        <v>174</v>
      </c>
      <c r="D24">
        <v>5</v>
      </c>
      <c r="E24" s="80">
        <v>35250</v>
      </c>
    </row>
    <row r="25" spans="1:11">
      <c r="A25">
        <v>10248</v>
      </c>
      <c r="B25" t="s">
        <v>179</v>
      </c>
      <c r="C25">
        <v>174</v>
      </c>
      <c r="D25">
        <v>5</v>
      </c>
      <c r="E25" s="80">
        <v>35250</v>
      </c>
    </row>
    <row r="26" spans="1:11">
      <c r="A26">
        <v>10249</v>
      </c>
      <c r="B26" t="s">
        <v>172</v>
      </c>
      <c r="C26">
        <v>167.4</v>
      </c>
      <c r="D26">
        <v>9</v>
      </c>
      <c r="E26" s="80">
        <v>35251</v>
      </c>
    </row>
    <row r="27" spans="1:11">
      <c r="A27">
        <v>10249</v>
      </c>
      <c r="B27" t="s">
        <v>173</v>
      </c>
      <c r="C27">
        <v>167.4</v>
      </c>
      <c r="D27">
        <v>9</v>
      </c>
      <c r="E27" s="80">
        <v>35251</v>
      </c>
    </row>
    <row r="28" spans="1:11">
      <c r="A28">
        <v>10249</v>
      </c>
      <c r="B28" t="s">
        <v>174</v>
      </c>
      <c r="C28">
        <v>167.4</v>
      </c>
      <c r="D28">
        <v>9</v>
      </c>
      <c r="E28" s="80">
        <v>35251</v>
      </c>
    </row>
    <row r="29" spans="1:11">
      <c r="A29">
        <v>10249</v>
      </c>
      <c r="B29" t="s">
        <v>175</v>
      </c>
      <c r="C29">
        <v>167.4</v>
      </c>
      <c r="D29">
        <v>9</v>
      </c>
      <c r="E29" s="80">
        <v>35251</v>
      </c>
    </row>
    <row r="30" spans="1:11">
      <c r="A30">
        <v>10249</v>
      </c>
      <c r="B30" t="s">
        <v>176</v>
      </c>
      <c r="C30">
        <v>167.4</v>
      </c>
      <c r="D30">
        <v>9</v>
      </c>
      <c r="E30" s="80">
        <v>35251</v>
      </c>
      <c r="H30" s="82" t="s">
        <v>183</v>
      </c>
      <c r="I30" t="s">
        <v>180</v>
      </c>
      <c r="J30" t="s">
        <v>184</v>
      </c>
      <c r="K30" t="s">
        <v>186</v>
      </c>
    </row>
    <row r="31" spans="1:11">
      <c r="A31">
        <v>10249</v>
      </c>
      <c r="B31" t="s">
        <v>177</v>
      </c>
      <c r="C31">
        <v>167.4</v>
      </c>
      <c r="D31">
        <v>9</v>
      </c>
      <c r="E31" s="80">
        <v>35251</v>
      </c>
      <c r="H31" s="83" t="s">
        <v>185</v>
      </c>
      <c r="I31" s="81">
        <v>153957</v>
      </c>
      <c r="J31" s="81">
        <v>3797531.2148614749</v>
      </c>
      <c r="K31" s="85">
        <v>0.375</v>
      </c>
    </row>
    <row r="32" spans="1:11">
      <c r="A32">
        <v>10249</v>
      </c>
      <c r="B32" t="s">
        <v>178</v>
      </c>
      <c r="C32">
        <v>167.4</v>
      </c>
      <c r="D32">
        <v>9</v>
      </c>
      <c r="E32" s="80">
        <v>35251</v>
      </c>
      <c r="H32" s="84" t="s">
        <v>174</v>
      </c>
      <c r="I32" s="81">
        <v>51319</v>
      </c>
      <c r="J32" s="81">
        <v>1265843.7382871583</v>
      </c>
      <c r="K32" s="85">
        <v>0.125</v>
      </c>
    </row>
    <row r="33" spans="1:11">
      <c r="A33">
        <v>10249</v>
      </c>
      <c r="B33" t="s">
        <v>179</v>
      </c>
      <c r="C33">
        <v>167.4</v>
      </c>
      <c r="D33">
        <v>9</v>
      </c>
      <c r="E33" s="80">
        <v>35251</v>
      </c>
      <c r="H33" s="84" t="s">
        <v>176</v>
      </c>
      <c r="I33" s="81">
        <v>51319</v>
      </c>
      <c r="J33" s="81">
        <v>1265843.7382871583</v>
      </c>
      <c r="K33" s="85">
        <v>0.125</v>
      </c>
    </row>
    <row r="34" spans="1:11">
      <c r="A34">
        <v>10249</v>
      </c>
      <c r="B34" t="s">
        <v>172</v>
      </c>
      <c r="C34">
        <v>1696</v>
      </c>
      <c r="D34">
        <v>40</v>
      </c>
      <c r="E34" s="80">
        <v>35251</v>
      </c>
      <c r="H34" s="84" t="s">
        <v>179</v>
      </c>
      <c r="I34" s="81">
        <v>51319</v>
      </c>
      <c r="J34" s="81">
        <v>1265843.7382871583</v>
      </c>
      <c r="K34" s="85">
        <v>0.125</v>
      </c>
    </row>
    <row r="35" spans="1:11">
      <c r="A35">
        <v>10249</v>
      </c>
      <c r="B35" t="s">
        <v>173</v>
      </c>
      <c r="C35">
        <v>1696</v>
      </c>
      <c r="D35">
        <v>40</v>
      </c>
      <c r="E35" s="80">
        <v>35251</v>
      </c>
      <c r="H35" s="83" t="s">
        <v>187</v>
      </c>
      <c r="I35" s="81">
        <v>205276</v>
      </c>
      <c r="J35" s="81">
        <v>5063374.9531486332</v>
      </c>
      <c r="K35" s="85">
        <v>0.5</v>
      </c>
    </row>
    <row r="36" spans="1:11">
      <c r="A36">
        <v>10249</v>
      </c>
      <c r="B36" t="s">
        <v>174</v>
      </c>
      <c r="C36">
        <v>1696</v>
      </c>
      <c r="D36">
        <v>40</v>
      </c>
      <c r="E36" s="80">
        <v>35251</v>
      </c>
      <c r="H36" s="84" t="s">
        <v>177</v>
      </c>
      <c r="I36" s="81">
        <v>51319</v>
      </c>
      <c r="J36" s="81">
        <v>1265843.7382871583</v>
      </c>
      <c r="K36" s="85">
        <v>0.125</v>
      </c>
    </row>
    <row r="37" spans="1:11">
      <c r="A37">
        <v>10249</v>
      </c>
      <c r="B37" t="s">
        <v>175</v>
      </c>
      <c r="C37">
        <v>1696</v>
      </c>
      <c r="D37">
        <v>40</v>
      </c>
      <c r="E37" s="80">
        <v>35251</v>
      </c>
      <c r="H37" s="84" t="s">
        <v>175</v>
      </c>
      <c r="I37" s="81">
        <v>51319</v>
      </c>
      <c r="J37" s="81">
        <v>1265843.7382871583</v>
      </c>
      <c r="K37" s="85">
        <v>0.125</v>
      </c>
    </row>
    <row r="38" spans="1:11">
      <c r="A38">
        <v>10249</v>
      </c>
      <c r="B38" t="s">
        <v>176</v>
      </c>
      <c r="C38">
        <v>1696</v>
      </c>
      <c r="D38">
        <v>40</v>
      </c>
      <c r="E38" s="80">
        <v>35251</v>
      </c>
      <c r="H38" s="84" t="s">
        <v>178</v>
      </c>
      <c r="I38" s="81">
        <v>51319</v>
      </c>
      <c r="J38" s="81">
        <v>1265843.7382871583</v>
      </c>
      <c r="K38" s="85">
        <v>0.125</v>
      </c>
    </row>
    <row r="39" spans="1:11">
      <c r="A39">
        <v>10249</v>
      </c>
      <c r="B39" t="s">
        <v>177</v>
      </c>
      <c r="C39">
        <v>1696</v>
      </c>
      <c r="D39">
        <v>40</v>
      </c>
      <c r="E39" s="80">
        <v>35251</v>
      </c>
      <c r="H39" s="84" t="s">
        <v>173</v>
      </c>
      <c r="I39" s="81">
        <v>51319</v>
      </c>
      <c r="J39" s="81">
        <v>1265843.7382871583</v>
      </c>
      <c r="K39" s="85">
        <v>0.125</v>
      </c>
    </row>
    <row r="40" spans="1:11">
      <c r="A40">
        <v>10249</v>
      </c>
      <c r="B40" t="s">
        <v>178</v>
      </c>
      <c r="C40">
        <v>1696</v>
      </c>
      <c r="D40">
        <v>40</v>
      </c>
      <c r="E40" s="80">
        <v>35251</v>
      </c>
      <c r="H40" s="83" t="s">
        <v>172</v>
      </c>
      <c r="I40" s="81">
        <v>51319</v>
      </c>
      <c r="J40" s="81">
        <v>1265843.7382871583</v>
      </c>
      <c r="K40" s="85">
        <v>0.125</v>
      </c>
    </row>
    <row r="41" spans="1:11">
      <c r="A41">
        <v>10249</v>
      </c>
      <c r="B41" t="s">
        <v>179</v>
      </c>
      <c r="C41">
        <v>1696</v>
      </c>
      <c r="D41">
        <v>40</v>
      </c>
      <c r="E41" s="80">
        <v>35251</v>
      </c>
      <c r="H41" s="84" t="s">
        <v>172</v>
      </c>
      <c r="I41" s="81">
        <v>51319</v>
      </c>
      <c r="J41" s="81">
        <v>1265843.7382871583</v>
      </c>
      <c r="K41" s="85">
        <v>0.125</v>
      </c>
    </row>
    <row r="42" spans="1:11">
      <c r="A42">
        <v>10250</v>
      </c>
      <c r="B42" t="s">
        <v>172</v>
      </c>
      <c r="C42">
        <v>77</v>
      </c>
      <c r="D42">
        <v>10</v>
      </c>
      <c r="E42" s="80">
        <v>35254</v>
      </c>
      <c r="H42" s="83" t="s">
        <v>182</v>
      </c>
      <c r="I42" s="81">
        <v>410552</v>
      </c>
      <c r="J42" s="81">
        <v>10126749.906297266</v>
      </c>
      <c r="K42" s="85">
        <v>1</v>
      </c>
    </row>
    <row r="43" spans="1:11">
      <c r="A43">
        <v>10250</v>
      </c>
      <c r="B43" t="s">
        <v>173</v>
      </c>
      <c r="C43">
        <v>77</v>
      </c>
      <c r="D43">
        <v>10</v>
      </c>
      <c r="E43" s="80">
        <v>35254</v>
      </c>
    </row>
    <row r="44" spans="1:11">
      <c r="A44">
        <v>10250</v>
      </c>
      <c r="B44" t="s">
        <v>174</v>
      </c>
      <c r="C44">
        <v>77</v>
      </c>
      <c r="D44">
        <v>10</v>
      </c>
      <c r="E44" s="80">
        <v>35254</v>
      </c>
    </row>
    <row r="45" spans="1:11">
      <c r="A45">
        <v>10250</v>
      </c>
      <c r="B45" t="s">
        <v>175</v>
      </c>
      <c r="C45">
        <v>77</v>
      </c>
      <c r="D45">
        <v>10</v>
      </c>
      <c r="E45" s="80">
        <v>35254</v>
      </c>
    </row>
    <row r="46" spans="1:11">
      <c r="A46">
        <v>10250</v>
      </c>
      <c r="B46" t="s">
        <v>176</v>
      </c>
      <c r="C46">
        <v>77</v>
      </c>
      <c r="D46">
        <v>10</v>
      </c>
      <c r="E46" s="80">
        <v>35254</v>
      </c>
    </row>
    <row r="47" spans="1:11">
      <c r="A47">
        <v>10250</v>
      </c>
      <c r="B47" t="s">
        <v>177</v>
      </c>
      <c r="C47">
        <v>77</v>
      </c>
      <c r="D47">
        <v>10</v>
      </c>
      <c r="E47" s="80">
        <v>35254</v>
      </c>
    </row>
    <row r="48" spans="1:11">
      <c r="A48">
        <v>10250</v>
      </c>
      <c r="B48" t="s">
        <v>178</v>
      </c>
      <c r="C48">
        <v>77</v>
      </c>
      <c r="D48">
        <v>10</v>
      </c>
      <c r="E48" s="80">
        <v>35254</v>
      </c>
    </row>
    <row r="49" spans="1:5">
      <c r="A49">
        <v>10250</v>
      </c>
      <c r="B49" t="s">
        <v>179</v>
      </c>
      <c r="C49">
        <v>77</v>
      </c>
      <c r="D49">
        <v>10</v>
      </c>
      <c r="E49" s="80">
        <v>35254</v>
      </c>
    </row>
    <row r="50" spans="1:5">
      <c r="A50">
        <v>10250</v>
      </c>
      <c r="B50" t="s">
        <v>172</v>
      </c>
      <c r="C50">
        <v>1261.3999911546707</v>
      </c>
      <c r="D50">
        <v>35</v>
      </c>
      <c r="E50" s="80">
        <v>35254</v>
      </c>
    </row>
    <row r="51" spans="1:5">
      <c r="A51">
        <v>10250</v>
      </c>
      <c r="B51" t="s">
        <v>173</v>
      </c>
      <c r="C51">
        <v>1261.3999911546707</v>
      </c>
      <c r="D51">
        <v>35</v>
      </c>
      <c r="E51" s="80">
        <v>35254</v>
      </c>
    </row>
    <row r="52" spans="1:5">
      <c r="A52">
        <v>10250</v>
      </c>
      <c r="B52" t="s">
        <v>174</v>
      </c>
      <c r="C52">
        <v>1261.3999911546707</v>
      </c>
      <c r="D52">
        <v>35</v>
      </c>
      <c r="E52" s="80">
        <v>35254</v>
      </c>
    </row>
    <row r="53" spans="1:5">
      <c r="A53">
        <v>10250</v>
      </c>
      <c r="B53" t="s">
        <v>175</v>
      </c>
      <c r="C53">
        <v>1261.3999911546707</v>
      </c>
      <c r="D53">
        <v>35</v>
      </c>
      <c r="E53" s="80">
        <v>35254</v>
      </c>
    </row>
    <row r="54" spans="1:5">
      <c r="A54">
        <v>10250</v>
      </c>
      <c r="B54" t="s">
        <v>176</v>
      </c>
      <c r="C54">
        <v>1261.3999911546707</v>
      </c>
      <c r="D54">
        <v>35</v>
      </c>
      <c r="E54" s="80">
        <v>35254</v>
      </c>
    </row>
    <row r="55" spans="1:5">
      <c r="A55">
        <v>10250</v>
      </c>
      <c r="B55" t="s">
        <v>177</v>
      </c>
      <c r="C55">
        <v>1261.3999911546707</v>
      </c>
      <c r="D55">
        <v>35</v>
      </c>
      <c r="E55" s="80">
        <v>35254</v>
      </c>
    </row>
    <row r="56" spans="1:5">
      <c r="A56">
        <v>10250</v>
      </c>
      <c r="B56" t="s">
        <v>178</v>
      </c>
      <c r="C56">
        <v>1261.3999911546707</v>
      </c>
      <c r="D56">
        <v>35</v>
      </c>
      <c r="E56" s="80">
        <v>35254</v>
      </c>
    </row>
    <row r="57" spans="1:5">
      <c r="A57">
        <v>10250</v>
      </c>
      <c r="B57" t="s">
        <v>179</v>
      </c>
      <c r="C57">
        <v>1261.3999911546707</v>
      </c>
      <c r="D57">
        <v>35</v>
      </c>
      <c r="E57" s="80">
        <v>35254</v>
      </c>
    </row>
    <row r="58" spans="1:5">
      <c r="A58">
        <v>10250</v>
      </c>
      <c r="B58" t="s">
        <v>172</v>
      </c>
      <c r="C58">
        <v>214.19999849796295</v>
      </c>
      <c r="D58">
        <v>15</v>
      </c>
      <c r="E58" s="80">
        <v>35254</v>
      </c>
    </row>
    <row r="59" spans="1:5">
      <c r="A59">
        <v>10250</v>
      </c>
      <c r="B59" t="s">
        <v>173</v>
      </c>
      <c r="C59">
        <v>214.19999849796295</v>
      </c>
      <c r="D59">
        <v>15</v>
      </c>
      <c r="E59" s="80">
        <v>35254</v>
      </c>
    </row>
    <row r="60" spans="1:5">
      <c r="A60">
        <v>10250</v>
      </c>
      <c r="B60" t="s">
        <v>174</v>
      </c>
      <c r="C60">
        <v>214.19999849796295</v>
      </c>
      <c r="D60">
        <v>15</v>
      </c>
      <c r="E60" s="80">
        <v>35254</v>
      </c>
    </row>
    <row r="61" spans="1:5">
      <c r="A61">
        <v>10250</v>
      </c>
      <c r="B61" t="s">
        <v>175</v>
      </c>
      <c r="C61">
        <v>214.19999849796295</v>
      </c>
      <c r="D61">
        <v>15</v>
      </c>
      <c r="E61" s="80">
        <v>35254</v>
      </c>
    </row>
    <row r="62" spans="1:5">
      <c r="A62">
        <v>10250</v>
      </c>
      <c r="B62" t="s">
        <v>176</v>
      </c>
      <c r="C62">
        <v>214.19999849796295</v>
      </c>
      <c r="D62">
        <v>15</v>
      </c>
      <c r="E62" s="80">
        <v>35254</v>
      </c>
    </row>
    <row r="63" spans="1:5">
      <c r="A63">
        <v>10250</v>
      </c>
      <c r="B63" t="s">
        <v>177</v>
      </c>
      <c r="C63">
        <v>214.19999849796295</v>
      </c>
      <c r="D63">
        <v>15</v>
      </c>
      <c r="E63" s="80">
        <v>35254</v>
      </c>
    </row>
    <row r="64" spans="1:5">
      <c r="A64">
        <v>10250</v>
      </c>
      <c r="B64" t="s">
        <v>178</v>
      </c>
      <c r="C64">
        <v>214.19999849796295</v>
      </c>
      <c r="D64">
        <v>15</v>
      </c>
      <c r="E64" s="80">
        <v>35254</v>
      </c>
    </row>
    <row r="65" spans="1:5">
      <c r="A65">
        <v>10250</v>
      </c>
      <c r="B65" t="s">
        <v>179</v>
      </c>
      <c r="C65">
        <v>214.19999849796295</v>
      </c>
      <c r="D65">
        <v>15</v>
      </c>
      <c r="E65" s="80">
        <v>35254</v>
      </c>
    </row>
    <row r="66" spans="1:5">
      <c r="A66">
        <v>10251</v>
      </c>
      <c r="B66" t="s">
        <v>172</v>
      </c>
      <c r="C66">
        <v>95.759999924898139</v>
      </c>
      <c r="D66">
        <v>6</v>
      </c>
      <c r="E66" s="80">
        <v>35254</v>
      </c>
    </row>
    <row r="67" spans="1:5">
      <c r="A67">
        <v>10251</v>
      </c>
      <c r="B67" t="s">
        <v>173</v>
      </c>
      <c r="C67">
        <v>95.759999924898139</v>
      </c>
      <c r="D67">
        <v>6</v>
      </c>
      <c r="E67" s="80">
        <v>35254</v>
      </c>
    </row>
    <row r="68" spans="1:5">
      <c r="A68">
        <v>10251</v>
      </c>
      <c r="B68" t="s">
        <v>174</v>
      </c>
      <c r="C68">
        <v>95.759999924898139</v>
      </c>
      <c r="D68">
        <v>6</v>
      </c>
      <c r="E68" s="80">
        <v>35254</v>
      </c>
    </row>
    <row r="69" spans="1:5">
      <c r="A69">
        <v>10251</v>
      </c>
      <c r="B69" t="s">
        <v>175</v>
      </c>
      <c r="C69">
        <v>95.759999924898139</v>
      </c>
      <c r="D69">
        <v>6</v>
      </c>
      <c r="E69" s="80">
        <v>35254</v>
      </c>
    </row>
    <row r="70" spans="1:5">
      <c r="A70">
        <v>10251</v>
      </c>
      <c r="B70" t="s">
        <v>176</v>
      </c>
      <c r="C70">
        <v>95.759999924898139</v>
      </c>
      <c r="D70">
        <v>6</v>
      </c>
      <c r="E70" s="80">
        <v>35254</v>
      </c>
    </row>
    <row r="71" spans="1:5">
      <c r="A71">
        <v>10251</v>
      </c>
      <c r="B71" t="s">
        <v>177</v>
      </c>
      <c r="C71">
        <v>95.759999924898139</v>
      </c>
      <c r="D71">
        <v>6</v>
      </c>
      <c r="E71" s="80">
        <v>35254</v>
      </c>
    </row>
    <row r="72" spans="1:5">
      <c r="A72">
        <v>10251</v>
      </c>
      <c r="B72" t="s">
        <v>178</v>
      </c>
      <c r="C72">
        <v>95.759999924898139</v>
      </c>
      <c r="D72">
        <v>6</v>
      </c>
      <c r="E72" s="80">
        <v>35254</v>
      </c>
    </row>
    <row r="73" spans="1:5">
      <c r="A73">
        <v>10251</v>
      </c>
      <c r="B73" t="s">
        <v>179</v>
      </c>
      <c r="C73">
        <v>95.759999924898139</v>
      </c>
      <c r="D73">
        <v>6</v>
      </c>
      <c r="E73" s="80">
        <v>35254</v>
      </c>
    </row>
    <row r="74" spans="1:5">
      <c r="A74">
        <v>10251</v>
      </c>
      <c r="B74" t="s">
        <v>172</v>
      </c>
      <c r="C74">
        <v>222.29999982565641</v>
      </c>
      <c r="D74">
        <v>15</v>
      </c>
      <c r="E74" s="80">
        <v>35254</v>
      </c>
    </row>
    <row r="75" spans="1:5">
      <c r="A75">
        <v>10251</v>
      </c>
      <c r="B75" t="s">
        <v>173</v>
      </c>
      <c r="C75">
        <v>222.29999982565641</v>
      </c>
      <c r="D75">
        <v>15</v>
      </c>
      <c r="E75" s="80">
        <v>35254</v>
      </c>
    </row>
    <row r="76" spans="1:5">
      <c r="A76">
        <v>10251</v>
      </c>
      <c r="B76" t="s">
        <v>174</v>
      </c>
      <c r="C76">
        <v>222.29999982565641</v>
      </c>
      <c r="D76">
        <v>15</v>
      </c>
      <c r="E76" s="80">
        <v>35254</v>
      </c>
    </row>
    <row r="77" spans="1:5">
      <c r="A77">
        <v>10251</v>
      </c>
      <c r="B77" t="s">
        <v>175</v>
      </c>
      <c r="C77">
        <v>222.29999982565641</v>
      </c>
      <c r="D77">
        <v>15</v>
      </c>
      <c r="E77" s="80">
        <v>35254</v>
      </c>
    </row>
    <row r="78" spans="1:5">
      <c r="A78">
        <v>10251</v>
      </c>
      <c r="B78" t="s">
        <v>176</v>
      </c>
      <c r="C78">
        <v>222.29999982565641</v>
      </c>
      <c r="D78">
        <v>15</v>
      </c>
      <c r="E78" s="80">
        <v>35254</v>
      </c>
    </row>
    <row r="79" spans="1:5">
      <c r="A79">
        <v>10251</v>
      </c>
      <c r="B79" t="s">
        <v>177</v>
      </c>
      <c r="C79">
        <v>222.29999982565641</v>
      </c>
      <c r="D79">
        <v>15</v>
      </c>
      <c r="E79" s="80">
        <v>35254</v>
      </c>
    </row>
    <row r="80" spans="1:5">
      <c r="A80">
        <v>10251</v>
      </c>
      <c r="B80" t="s">
        <v>178</v>
      </c>
      <c r="C80">
        <v>222.29999982565641</v>
      </c>
      <c r="D80">
        <v>15</v>
      </c>
      <c r="E80" s="80">
        <v>35254</v>
      </c>
    </row>
    <row r="81" spans="1:5">
      <c r="A81">
        <v>10251</v>
      </c>
      <c r="B81" t="s">
        <v>179</v>
      </c>
      <c r="C81">
        <v>222.29999982565641</v>
      </c>
      <c r="D81">
        <v>15</v>
      </c>
      <c r="E81" s="80">
        <v>35254</v>
      </c>
    </row>
    <row r="82" spans="1:5">
      <c r="A82">
        <v>10251</v>
      </c>
      <c r="B82" t="s">
        <v>172</v>
      </c>
      <c r="C82">
        <v>336</v>
      </c>
      <c r="D82">
        <v>20</v>
      </c>
      <c r="E82" s="80">
        <v>35254</v>
      </c>
    </row>
    <row r="83" spans="1:5">
      <c r="A83">
        <v>10251</v>
      </c>
      <c r="B83" t="s">
        <v>173</v>
      </c>
      <c r="C83">
        <v>336</v>
      </c>
      <c r="D83">
        <v>20</v>
      </c>
      <c r="E83" s="80">
        <v>35254</v>
      </c>
    </row>
    <row r="84" spans="1:5">
      <c r="A84">
        <v>10251</v>
      </c>
      <c r="B84" t="s">
        <v>174</v>
      </c>
      <c r="C84">
        <v>336</v>
      </c>
      <c r="D84">
        <v>20</v>
      </c>
      <c r="E84" s="80">
        <v>35254</v>
      </c>
    </row>
    <row r="85" spans="1:5">
      <c r="A85">
        <v>10251</v>
      </c>
      <c r="B85" t="s">
        <v>175</v>
      </c>
      <c r="C85">
        <v>336</v>
      </c>
      <c r="D85">
        <v>20</v>
      </c>
      <c r="E85" s="80">
        <v>35254</v>
      </c>
    </row>
    <row r="86" spans="1:5">
      <c r="A86">
        <v>10251</v>
      </c>
      <c r="B86" t="s">
        <v>176</v>
      </c>
      <c r="C86">
        <v>336</v>
      </c>
      <c r="D86">
        <v>20</v>
      </c>
      <c r="E86" s="80">
        <v>35254</v>
      </c>
    </row>
    <row r="87" spans="1:5">
      <c r="A87">
        <v>10251</v>
      </c>
      <c r="B87" t="s">
        <v>177</v>
      </c>
      <c r="C87">
        <v>336</v>
      </c>
      <c r="D87">
        <v>20</v>
      </c>
      <c r="E87" s="80">
        <v>35254</v>
      </c>
    </row>
    <row r="88" spans="1:5">
      <c r="A88">
        <v>10251</v>
      </c>
      <c r="B88" t="s">
        <v>178</v>
      </c>
      <c r="C88">
        <v>336</v>
      </c>
      <c r="D88">
        <v>20</v>
      </c>
      <c r="E88" s="80">
        <v>35254</v>
      </c>
    </row>
    <row r="89" spans="1:5">
      <c r="A89">
        <v>10251</v>
      </c>
      <c r="B89" t="s">
        <v>179</v>
      </c>
      <c r="C89">
        <v>336</v>
      </c>
      <c r="D89">
        <v>20</v>
      </c>
      <c r="E89" s="80">
        <v>35254</v>
      </c>
    </row>
    <row r="90" spans="1:5">
      <c r="A90">
        <v>10252</v>
      </c>
      <c r="B90" t="s">
        <v>172</v>
      </c>
      <c r="C90">
        <v>2462.3999980688095</v>
      </c>
      <c r="D90">
        <v>40</v>
      </c>
      <c r="E90" s="80">
        <v>35255</v>
      </c>
    </row>
    <row r="91" spans="1:5">
      <c r="A91">
        <v>10252</v>
      </c>
      <c r="B91" t="s">
        <v>173</v>
      </c>
      <c r="C91">
        <v>2462.3999980688095</v>
      </c>
      <c r="D91">
        <v>40</v>
      </c>
      <c r="E91" s="80">
        <v>35255</v>
      </c>
    </row>
    <row r="92" spans="1:5">
      <c r="A92">
        <v>10252</v>
      </c>
      <c r="B92" t="s">
        <v>174</v>
      </c>
      <c r="C92">
        <v>2462.3999980688095</v>
      </c>
      <c r="D92">
        <v>40</v>
      </c>
      <c r="E92" s="80">
        <v>35255</v>
      </c>
    </row>
    <row r="93" spans="1:5">
      <c r="A93">
        <v>10252</v>
      </c>
      <c r="B93" t="s">
        <v>175</v>
      </c>
      <c r="C93">
        <v>2462.3999980688095</v>
      </c>
      <c r="D93">
        <v>40</v>
      </c>
      <c r="E93" s="80">
        <v>35255</v>
      </c>
    </row>
    <row r="94" spans="1:5">
      <c r="A94">
        <v>10252</v>
      </c>
      <c r="B94" t="s">
        <v>176</v>
      </c>
      <c r="C94">
        <v>2462.3999980688095</v>
      </c>
      <c r="D94">
        <v>40</v>
      </c>
      <c r="E94" s="80">
        <v>35255</v>
      </c>
    </row>
    <row r="95" spans="1:5">
      <c r="A95">
        <v>10252</v>
      </c>
      <c r="B95" t="s">
        <v>177</v>
      </c>
      <c r="C95">
        <v>2462.3999980688095</v>
      </c>
      <c r="D95">
        <v>40</v>
      </c>
      <c r="E95" s="80">
        <v>35255</v>
      </c>
    </row>
    <row r="96" spans="1:5">
      <c r="A96">
        <v>10252</v>
      </c>
      <c r="B96" t="s">
        <v>178</v>
      </c>
      <c r="C96">
        <v>2462.3999980688095</v>
      </c>
      <c r="D96">
        <v>40</v>
      </c>
      <c r="E96" s="80">
        <v>35255</v>
      </c>
    </row>
    <row r="97" spans="1:5">
      <c r="A97">
        <v>10252</v>
      </c>
      <c r="B97" t="s">
        <v>179</v>
      </c>
      <c r="C97">
        <v>2462.3999980688095</v>
      </c>
      <c r="D97">
        <v>40</v>
      </c>
      <c r="E97" s="80">
        <v>35255</v>
      </c>
    </row>
    <row r="98" spans="1:5">
      <c r="A98">
        <v>10252</v>
      </c>
      <c r="B98" t="s">
        <v>172</v>
      </c>
      <c r="C98">
        <v>47.499999962747097</v>
      </c>
      <c r="D98">
        <v>25</v>
      </c>
      <c r="E98" s="80">
        <v>35255</v>
      </c>
    </row>
    <row r="99" spans="1:5">
      <c r="A99">
        <v>10252</v>
      </c>
      <c r="B99" t="s">
        <v>173</v>
      </c>
      <c r="C99">
        <v>47.499999962747097</v>
      </c>
      <c r="D99">
        <v>25</v>
      </c>
      <c r="E99" s="80">
        <v>35255</v>
      </c>
    </row>
    <row r="100" spans="1:5">
      <c r="A100">
        <v>10252</v>
      </c>
      <c r="B100" t="s">
        <v>174</v>
      </c>
      <c r="C100">
        <v>47.499999962747097</v>
      </c>
      <c r="D100">
        <v>25</v>
      </c>
      <c r="E100" s="80">
        <v>35255</v>
      </c>
    </row>
    <row r="101" spans="1:5">
      <c r="A101">
        <v>10252</v>
      </c>
      <c r="B101" t="s">
        <v>175</v>
      </c>
      <c r="C101">
        <v>47.499999962747097</v>
      </c>
      <c r="D101">
        <v>25</v>
      </c>
      <c r="E101" s="80">
        <v>35255</v>
      </c>
    </row>
    <row r="102" spans="1:5">
      <c r="A102">
        <v>10252</v>
      </c>
      <c r="B102" t="s">
        <v>176</v>
      </c>
      <c r="C102">
        <v>47.499999962747097</v>
      </c>
      <c r="D102">
        <v>25</v>
      </c>
      <c r="E102" s="80">
        <v>35255</v>
      </c>
    </row>
    <row r="103" spans="1:5">
      <c r="A103">
        <v>10252</v>
      </c>
      <c r="B103" t="s">
        <v>177</v>
      </c>
      <c r="C103">
        <v>47.499999962747097</v>
      </c>
      <c r="D103">
        <v>25</v>
      </c>
      <c r="E103" s="80">
        <v>35255</v>
      </c>
    </row>
    <row r="104" spans="1:5">
      <c r="A104">
        <v>10252</v>
      </c>
      <c r="B104" t="s">
        <v>178</v>
      </c>
      <c r="C104">
        <v>47.499999962747097</v>
      </c>
      <c r="D104">
        <v>25</v>
      </c>
      <c r="E104" s="80">
        <v>35255</v>
      </c>
    </row>
    <row r="105" spans="1:5">
      <c r="A105">
        <v>10252</v>
      </c>
      <c r="B105" t="s">
        <v>179</v>
      </c>
      <c r="C105">
        <v>47.499999962747097</v>
      </c>
      <c r="D105">
        <v>25</v>
      </c>
      <c r="E105" s="80">
        <v>35255</v>
      </c>
    </row>
    <row r="106" spans="1:5">
      <c r="A106">
        <v>10252</v>
      </c>
      <c r="B106" t="s">
        <v>172</v>
      </c>
      <c r="C106">
        <v>1088</v>
      </c>
      <c r="D106">
        <v>40</v>
      </c>
      <c r="E106" s="80">
        <v>35255</v>
      </c>
    </row>
    <row r="107" spans="1:5">
      <c r="A107">
        <v>10252</v>
      </c>
      <c r="B107" t="s">
        <v>173</v>
      </c>
      <c r="C107">
        <v>1088</v>
      </c>
      <c r="D107">
        <v>40</v>
      </c>
      <c r="E107" s="80">
        <v>35255</v>
      </c>
    </row>
    <row r="108" spans="1:5">
      <c r="A108">
        <v>10252</v>
      </c>
      <c r="B108" t="s">
        <v>174</v>
      </c>
      <c r="C108">
        <v>1088</v>
      </c>
      <c r="D108">
        <v>40</v>
      </c>
      <c r="E108" s="80">
        <v>35255</v>
      </c>
    </row>
    <row r="109" spans="1:5">
      <c r="A109">
        <v>10252</v>
      </c>
      <c r="B109" t="s">
        <v>175</v>
      </c>
      <c r="C109">
        <v>1088</v>
      </c>
      <c r="D109">
        <v>40</v>
      </c>
      <c r="E109" s="80">
        <v>35255</v>
      </c>
    </row>
    <row r="110" spans="1:5">
      <c r="A110">
        <v>10252</v>
      </c>
      <c r="B110" t="s">
        <v>176</v>
      </c>
      <c r="C110">
        <v>1088</v>
      </c>
      <c r="D110">
        <v>40</v>
      </c>
      <c r="E110" s="80">
        <v>35255</v>
      </c>
    </row>
    <row r="111" spans="1:5">
      <c r="A111">
        <v>10252</v>
      </c>
      <c r="B111" t="s">
        <v>177</v>
      </c>
      <c r="C111">
        <v>1088</v>
      </c>
      <c r="D111">
        <v>40</v>
      </c>
      <c r="E111" s="80">
        <v>35255</v>
      </c>
    </row>
    <row r="112" spans="1:5">
      <c r="A112">
        <v>10252</v>
      </c>
      <c r="B112" t="s">
        <v>178</v>
      </c>
      <c r="C112">
        <v>1088</v>
      </c>
      <c r="D112">
        <v>40</v>
      </c>
      <c r="E112" s="80">
        <v>35255</v>
      </c>
    </row>
    <row r="113" spans="1:5">
      <c r="A113">
        <v>10252</v>
      </c>
      <c r="B113" t="s">
        <v>179</v>
      </c>
      <c r="C113">
        <v>1088</v>
      </c>
      <c r="D113">
        <v>40</v>
      </c>
      <c r="E113" s="80">
        <v>35255</v>
      </c>
    </row>
    <row r="114" spans="1:5">
      <c r="A114">
        <v>10253</v>
      </c>
      <c r="B114" t="s">
        <v>172</v>
      </c>
      <c r="C114">
        <v>200</v>
      </c>
      <c r="D114">
        <v>20</v>
      </c>
      <c r="E114" s="80">
        <v>35256</v>
      </c>
    </row>
    <row r="115" spans="1:5">
      <c r="A115">
        <v>10253</v>
      </c>
      <c r="B115" t="s">
        <v>173</v>
      </c>
      <c r="C115">
        <v>200</v>
      </c>
      <c r="D115">
        <v>20</v>
      </c>
      <c r="E115" s="80">
        <v>35256</v>
      </c>
    </row>
    <row r="116" spans="1:5">
      <c r="A116">
        <v>10253</v>
      </c>
      <c r="B116" t="s">
        <v>174</v>
      </c>
      <c r="C116">
        <v>200</v>
      </c>
      <c r="D116">
        <v>20</v>
      </c>
      <c r="E116" s="80">
        <v>35256</v>
      </c>
    </row>
    <row r="117" spans="1:5">
      <c r="A117">
        <v>10253</v>
      </c>
      <c r="B117" t="s">
        <v>175</v>
      </c>
      <c r="C117">
        <v>200</v>
      </c>
      <c r="D117">
        <v>20</v>
      </c>
      <c r="E117" s="80">
        <v>35256</v>
      </c>
    </row>
    <row r="118" spans="1:5">
      <c r="A118">
        <v>10253</v>
      </c>
      <c r="B118" t="s">
        <v>176</v>
      </c>
      <c r="C118">
        <v>200</v>
      </c>
      <c r="D118">
        <v>20</v>
      </c>
      <c r="E118" s="80">
        <v>35256</v>
      </c>
    </row>
    <row r="119" spans="1:5">
      <c r="A119">
        <v>10253</v>
      </c>
      <c r="B119" t="s">
        <v>177</v>
      </c>
      <c r="C119">
        <v>200</v>
      </c>
      <c r="D119">
        <v>20</v>
      </c>
      <c r="E119" s="80">
        <v>35256</v>
      </c>
    </row>
    <row r="120" spans="1:5">
      <c r="A120">
        <v>10253</v>
      </c>
      <c r="B120" t="s">
        <v>178</v>
      </c>
      <c r="C120">
        <v>200</v>
      </c>
      <c r="D120">
        <v>20</v>
      </c>
      <c r="E120" s="80">
        <v>35256</v>
      </c>
    </row>
    <row r="121" spans="1:5">
      <c r="A121">
        <v>10253</v>
      </c>
      <c r="B121" t="s">
        <v>179</v>
      </c>
      <c r="C121">
        <v>200</v>
      </c>
      <c r="D121">
        <v>20</v>
      </c>
      <c r="E121" s="80">
        <v>35256</v>
      </c>
    </row>
    <row r="122" spans="1:5">
      <c r="A122">
        <v>10253</v>
      </c>
      <c r="B122" t="s">
        <v>172</v>
      </c>
      <c r="C122">
        <v>604.79999999999995</v>
      </c>
      <c r="D122">
        <v>42</v>
      </c>
      <c r="E122" s="80">
        <v>35256</v>
      </c>
    </row>
    <row r="123" spans="1:5">
      <c r="A123">
        <v>10253</v>
      </c>
      <c r="B123" t="s">
        <v>173</v>
      </c>
      <c r="C123">
        <v>604.79999999999995</v>
      </c>
      <c r="D123">
        <v>42</v>
      </c>
      <c r="E123" s="80">
        <v>35256</v>
      </c>
    </row>
    <row r="124" spans="1:5">
      <c r="A124">
        <v>10253</v>
      </c>
      <c r="B124" t="s">
        <v>174</v>
      </c>
      <c r="C124">
        <v>604.79999999999995</v>
      </c>
      <c r="D124">
        <v>42</v>
      </c>
      <c r="E124" s="80">
        <v>35256</v>
      </c>
    </row>
    <row r="125" spans="1:5">
      <c r="A125">
        <v>10253</v>
      </c>
      <c r="B125" t="s">
        <v>175</v>
      </c>
      <c r="C125">
        <v>604.79999999999995</v>
      </c>
      <c r="D125">
        <v>42</v>
      </c>
      <c r="E125" s="80">
        <v>35256</v>
      </c>
    </row>
    <row r="126" spans="1:5">
      <c r="A126">
        <v>10253</v>
      </c>
      <c r="B126" t="s">
        <v>176</v>
      </c>
      <c r="C126">
        <v>604.79999999999995</v>
      </c>
      <c r="D126">
        <v>42</v>
      </c>
      <c r="E126" s="80">
        <v>35256</v>
      </c>
    </row>
    <row r="127" spans="1:5">
      <c r="A127">
        <v>10253</v>
      </c>
      <c r="B127" t="s">
        <v>177</v>
      </c>
      <c r="C127">
        <v>604.79999999999995</v>
      </c>
      <c r="D127">
        <v>42</v>
      </c>
      <c r="E127" s="80">
        <v>35256</v>
      </c>
    </row>
    <row r="128" spans="1:5">
      <c r="A128">
        <v>10253</v>
      </c>
      <c r="B128" t="s">
        <v>178</v>
      </c>
      <c r="C128">
        <v>604.79999999999995</v>
      </c>
      <c r="D128">
        <v>42</v>
      </c>
      <c r="E128" s="80">
        <v>35256</v>
      </c>
    </row>
    <row r="129" spans="1:5">
      <c r="A129">
        <v>10253</v>
      </c>
      <c r="B129" t="s">
        <v>179</v>
      </c>
      <c r="C129">
        <v>604.79999999999995</v>
      </c>
      <c r="D129">
        <v>42</v>
      </c>
      <c r="E129" s="80">
        <v>35256</v>
      </c>
    </row>
    <row r="130" spans="1:5">
      <c r="A130">
        <v>10253</v>
      </c>
      <c r="B130" t="s">
        <v>172</v>
      </c>
      <c r="C130">
        <v>640</v>
      </c>
      <c r="D130">
        <v>40</v>
      </c>
      <c r="E130" s="80">
        <v>35256</v>
      </c>
    </row>
    <row r="131" spans="1:5">
      <c r="A131">
        <v>10253</v>
      </c>
      <c r="B131" t="s">
        <v>173</v>
      </c>
      <c r="C131">
        <v>640</v>
      </c>
      <c r="D131">
        <v>40</v>
      </c>
      <c r="E131" s="80">
        <v>35256</v>
      </c>
    </row>
    <row r="132" spans="1:5">
      <c r="A132">
        <v>10253</v>
      </c>
      <c r="B132" t="s">
        <v>174</v>
      </c>
      <c r="C132">
        <v>640</v>
      </c>
      <c r="D132">
        <v>40</v>
      </c>
      <c r="E132" s="80">
        <v>35256</v>
      </c>
    </row>
    <row r="133" spans="1:5">
      <c r="A133">
        <v>10253</v>
      </c>
      <c r="B133" t="s">
        <v>175</v>
      </c>
      <c r="C133">
        <v>640</v>
      </c>
      <c r="D133">
        <v>40</v>
      </c>
      <c r="E133" s="80">
        <v>35256</v>
      </c>
    </row>
    <row r="134" spans="1:5">
      <c r="A134">
        <v>10253</v>
      </c>
      <c r="B134" t="s">
        <v>176</v>
      </c>
      <c r="C134">
        <v>640</v>
      </c>
      <c r="D134">
        <v>40</v>
      </c>
      <c r="E134" s="80">
        <v>35256</v>
      </c>
    </row>
    <row r="135" spans="1:5">
      <c r="A135">
        <v>10253</v>
      </c>
      <c r="B135" t="s">
        <v>177</v>
      </c>
      <c r="C135">
        <v>640</v>
      </c>
      <c r="D135">
        <v>40</v>
      </c>
      <c r="E135" s="80">
        <v>35256</v>
      </c>
    </row>
    <row r="136" spans="1:5">
      <c r="A136">
        <v>10253</v>
      </c>
      <c r="B136" t="s">
        <v>178</v>
      </c>
      <c r="C136">
        <v>640</v>
      </c>
      <c r="D136">
        <v>40</v>
      </c>
      <c r="E136" s="80">
        <v>35256</v>
      </c>
    </row>
    <row r="137" spans="1:5">
      <c r="A137">
        <v>10253</v>
      </c>
      <c r="B137" t="s">
        <v>179</v>
      </c>
      <c r="C137">
        <v>640</v>
      </c>
      <c r="D137">
        <v>40</v>
      </c>
      <c r="E137" s="80">
        <v>35256</v>
      </c>
    </row>
    <row r="138" spans="1:5">
      <c r="A138">
        <v>10254</v>
      </c>
      <c r="B138" t="s">
        <v>172</v>
      </c>
      <c r="C138">
        <v>45.899999678134918</v>
      </c>
      <c r="D138">
        <v>15</v>
      </c>
      <c r="E138" s="80">
        <v>35257</v>
      </c>
    </row>
    <row r="139" spans="1:5">
      <c r="A139">
        <v>10254</v>
      </c>
      <c r="B139" t="s">
        <v>173</v>
      </c>
      <c r="C139">
        <v>45.899999678134918</v>
      </c>
      <c r="D139">
        <v>15</v>
      </c>
      <c r="E139" s="80">
        <v>35257</v>
      </c>
    </row>
    <row r="140" spans="1:5">
      <c r="A140">
        <v>10254</v>
      </c>
      <c r="B140" t="s">
        <v>174</v>
      </c>
      <c r="C140">
        <v>45.899999678134918</v>
      </c>
      <c r="D140">
        <v>15</v>
      </c>
      <c r="E140" s="80">
        <v>35257</v>
      </c>
    </row>
    <row r="141" spans="1:5">
      <c r="A141">
        <v>10254</v>
      </c>
      <c r="B141" t="s">
        <v>175</v>
      </c>
      <c r="C141">
        <v>45.899999678134918</v>
      </c>
      <c r="D141">
        <v>15</v>
      </c>
      <c r="E141" s="80">
        <v>35257</v>
      </c>
    </row>
    <row r="142" spans="1:5">
      <c r="A142">
        <v>10254</v>
      </c>
      <c r="B142" t="s">
        <v>176</v>
      </c>
      <c r="C142">
        <v>45.899999678134918</v>
      </c>
      <c r="D142">
        <v>15</v>
      </c>
      <c r="E142" s="80">
        <v>35257</v>
      </c>
    </row>
    <row r="143" spans="1:5">
      <c r="A143">
        <v>10254</v>
      </c>
      <c r="B143" t="s">
        <v>177</v>
      </c>
      <c r="C143">
        <v>45.899999678134918</v>
      </c>
      <c r="D143">
        <v>15</v>
      </c>
      <c r="E143" s="80">
        <v>35257</v>
      </c>
    </row>
    <row r="144" spans="1:5">
      <c r="A144">
        <v>10254</v>
      </c>
      <c r="B144" t="s">
        <v>178</v>
      </c>
      <c r="C144">
        <v>45.899999678134918</v>
      </c>
      <c r="D144">
        <v>15</v>
      </c>
      <c r="E144" s="80">
        <v>35257</v>
      </c>
    </row>
    <row r="145" spans="1:5">
      <c r="A145">
        <v>10254</v>
      </c>
      <c r="B145" t="s">
        <v>179</v>
      </c>
      <c r="C145">
        <v>45.899999678134918</v>
      </c>
      <c r="D145">
        <v>15</v>
      </c>
      <c r="E145" s="80">
        <v>35257</v>
      </c>
    </row>
    <row r="146" spans="1:5">
      <c r="A146">
        <v>10254</v>
      </c>
      <c r="B146" t="s">
        <v>172</v>
      </c>
      <c r="C146">
        <v>342.71999759674071</v>
      </c>
      <c r="D146">
        <v>21</v>
      </c>
      <c r="E146" s="80">
        <v>35257</v>
      </c>
    </row>
    <row r="147" spans="1:5">
      <c r="A147">
        <v>10254</v>
      </c>
      <c r="B147" t="s">
        <v>173</v>
      </c>
      <c r="C147">
        <v>342.71999759674071</v>
      </c>
      <c r="D147">
        <v>21</v>
      </c>
      <c r="E147" s="80">
        <v>35257</v>
      </c>
    </row>
    <row r="148" spans="1:5">
      <c r="A148">
        <v>10254</v>
      </c>
      <c r="B148" t="s">
        <v>174</v>
      </c>
      <c r="C148">
        <v>342.71999759674071</v>
      </c>
      <c r="D148">
        <v>21</v>
      </c>
      <c r="E148" s="80">
        <v>35257</v>
      </c>
    </row>
    <row r="149" spans="1:5">
      <c r="A149">
        <v>10254</v>
      </c>
      <c r="B149" t="s">
        <v>175</v>
      </c>
      <c r="C149">
        <v>342.71999759674071</v>
      </c>
      <c r="D149">
        <v>21</v>
      </c>
      <c r="E149" s="80">
        <v>35257</v>
      </c>
    </row>
    <row r="150" spans="1:5">
      <c r="A150">
        <v>10254</v>
      </c>
      <c r="B150" t="s">
        <v>176</v>
      </c>
      <c r="C150">
        <v>342.71999759674071</v>
      </c>
      <c r="D150">
        <v>21</v>
      </c>
      <c r="E150" s="80">
        <v>35257</v>
      </c>
    </row>
    <row r="151" spans="1:5">
      <c r="A151">
        <v>10254</v>
      </c>
      <c r="B151" t="s">
        <v>177</v>
      </c>
      <c r="C151">
        <v>342.71999759674071</v>
      </c>
      <c r="D151">
        <v>21</v>
      </c>
      <c r="E151" s="80">
        <v>35257</v>
      </c>
    </row>
    <row r="152" spans="1:5">
      <c r="A152">
        <v>10254</v>
      </c>
      <c r="B152" t="s">
        <v>178</v>
      </c>
      <c r="C152">
        <v>342.71999759674071</v>
      </c>
      <c r="D152">
        <v>21</v>
      </c>
      <c r="E152" s="80">
        <v>35257</v>
      </c>
    </row>
    <row r="153" spans="1:5">
      <c r="A153">
        <v>10254</v>
      </c>
      <c r="B153" t="s">
        <v>179</v>
      </c>
      <c r="C153">
        <v>342.71999759674071</v>
      </c>
      <c r="D153">
        <v>21</v>
      </c>
      <c r="E153" s="80">
        <v>35257</v>
      </c>
    </row>
    <row r="154" spans="1:5">
      <c r="A154">
        <v>10254</v>
      </c>
      <c r="B154" t="s">
        <v>172</v>
      </c>
      <c r="C154">
        <v>168</v>
      </c>
      <c r="D154">
        <v>21</v>
      </c>
      <c r="E154" s="80">
        <v>35257</v>
      </c>
    </row>
    <row r="155" spans="1:5">
      <c r="A155">
        <v>10254</v>
      </c>
      <c r="B155" t="s">
        <v>173</v>
      </c>
      <c r="C155">
        <v>168</v>
      </c>
      <c r="D155">
        <v>21</v>
      </c>
      <c r="E155" s="80">
        <v>35257</v>
      </c>
    </row>
    <row r="156" spans="1:5">
      <c r="A156">
        <v>10254</v>
      </c>
      <c r="B156" t="s">
        <v>174</v>
      </c>
      <c r="C156">
        <v>168</v>
      </c>
      <c r="D156">
        <v>21</v>
      </c>
      <c r="E156" s="80">
        <v>35257</v>
      </c>
    </row>
    <row r="157" spans="1:5">
      <c r="A157">
        <v>10254</v>
      </c>
      <c r="B157" t="s">
        <v>175</v>
      </c>
      <c r="C157">
        <v>168</v>
      </c>
      <c r="D157">
        <v>21</v>
      </c>
      <c r="E157" s="80">
        <v>35257</v>
      </c>
    </row>
    <row r="158" spans="1:5">
      <c r="A158">
        <v>10254</v>
      </c>
      <c r="B158" t="s">
        <v>176</v>
      </c>
      <c r="C158">
        <v>168</v>
      </c>
      <c r="D158">
        <v>21</v>
      </c>
      <c r="E158" s="80">
        <v>35257</v>
      </c>
    </row>
    <row r="159" spans="1:5">
      <c r="A159">
        <v>10254</v>
      </c>
      <c r="B159" t="s">
        <v>177</v>
      </c>
      <c r="C159">
        <v>168</v>
      </c>
      <c r="D159">
        <v>21</v>
      </c>
      <c r="E159" s="80">
        <v>35257</v>
      </c>
    </row>
    <row r="160" spans="1:5">
      <c r="A160">
        <v>10254</v>
      </c>
      <c r="B160" t="s">
        <v>178</v>
      </c>
      <c r="C160">
        <v>168</v>
      </c>
      <c r="D160">
        <v>21</v>
      </c>
      <c r="E160" s="80">
        <v>35257</v>
      </c>
    </row>
    <row r="161" spans="1:5">
      <c r="A161">
        <v>10254</v>
      </c>
      <c r="B161" t="s">
        <v>179</v>
      </c>
      <c r="C161">
        <v>168</v>
      </c>
      <c r="D161">
        <v>21</v>
      </c>
      <c r="E161" s="80">
        <v>35257</v>
      </c>
    </row>
    <row r="162" spans="1:5">
      <c r="A162">
        <v>10255</v>
      </c>
      <c r="B162" t="s">
        <v>172</v>
      </c>
      <c r="C162">
        <v>304</v>
      </c>
      <c r="D162">
        <v>20</v>
      </c>
      <c r="E162" s="80">
        <v>35258</v>
      </c>
    </row>
    <row r="163" spans="1:5">
      <c r="A163">
        <v>10255</v>
      </c>
      <c r="B163" t="s">
        <v>173</v>
      </c>
      <c r="C163">
        <v>304</v>
      </c>
      <c r="D163">
        <v>20</v>
      </c>
      <c r="E163" s="80">
        <v>35258</v>
      </c>
    </row>
    <row r="164" spans="1:5">
      <c r="A164">
        <v>10255</v>
      </c>
      <c r="B164" t="s">
        <v>174</v>
      </c>
      <c r="C164">
        <v>304</v>
      </c>
      <c r="D164">
        <v>20</v>
      </c>
      <c r="E164" s="80">
        <v>35258</v>
      </c>
    </row>
    <row r="165" spans="1:5">
      <c r="A165">
        <v>10255</v>
      </c>
      <c r="B165" t="s">
        <v>175</v>
      </c>
      <c r="C165">
        <v>304</v>
      </c>
      <c r="D165">
        <v>20</v>
      </c>
      <c r="E165" s="80">
        <v>35258</v>
      </c>
    </row>
    <row r="166" spans="1:5">
      <c r="A166">
        <v>10255</v>
      </c>
      <c r="B166" t="s">
        <v>176</v>
      </c>
      <c r="C166">
        <v>304</v>
      </c>
      <c r="D166">
        <v>20</v>
      </c>
      <c r="E166" s="80">
        <v>35258</v>
      </c>
    </row>
    <row r="167" spans="1:5">
      <c r="A167">
        <v>10255</v>
      </c>
      <c r="B167" t="s">
        <v>177</v>
      </c>
      <c r="C167">
        <v>304</v>
      </c>
      <c r="D167">
        <v>20</v>
      </c>
      <c r="E167" s="80">
        <v>35258</v>
      </c>
    </row>
    <row r="168" spans="1:5">
      <c r="A168">
        <v>10255</v>
      </c>
      <c r="B168" t="s">
        <v>178</v>
      </c>
      <c r="C168">
        <v>304</v>
      </c>
      <c r="D168">
        <v>20</v>
      </c>
      <c r="E168" s="80">
        <v>35258</v>
      </c>
    </row>
    <row r="169" spans="1:5">
      <c r="A169">
        <v>10255</v>
      </c>
      <c r="B169" t="s">
        <v>179</v>
      </c>
      <c r="C169">
        <v>304</v>
      </c>
      <c r="D169">
        <v>20</v>
      </c>
      <c r="E169" s="80">
        <v>35258</v>
      </c>
    </row>
    <row r="170" spans="1:5">
      <c r="A170">
        <v>10255</v>
      </c>
      <c r="B170" t="s">
        <v>172</v>
      </c>
      <c r="C170">
        <v>486.5</v>
      </c>
      <c r="D170">
        <v>35</v>
      </c>
      <c r="E170" s="80">
        <v>35258</v>
      </c>
    </row>
    <row r="171" spans="1:5">
      <c r="A171">
        <v>10255</v>
      </c>
      <c r="B171" t="s">
        <v>173</v>
      </c>
      <c r="C171">
        <v>486.5</v>
      </c>
      <c r="D171">
        <v>35</v>
      </c>
      <c r="E171" s="80">
        <v>35258</v>
      </c>
    </row>
    <row r="172" spans="1:5">
      <c r="A172">
        <v>10255</v>
      </c>
      <c r="B172" t="s">
        <v>174</v>
      </c>
      <c r="C172">
        <v>486.5</v>
      </c>
      <c r="D172">
        <v>35</v>
      </c>
      <c r="E172" s="80">
        <v>35258</v>
      </c>
    </row>
    <row r="173" spans="1:5">
      <c r="A173">
        <v>10255</v>
      </c>
      <c r="B173" t="s">
        <v>175</v>
      </c>
      <c r="C173">
        <v>486.5</v>
      </c>
      <c r="D173">
        <v>35</v>
      </c>
      <c r="E173" s="80">
        <v>35258</v>
      </c>
    </row>
    <row r="174" spans="1:5">
      <c r="A174">
        <v>10255</v>
      </c>
      <c r="B174" t="s">
        <v>176</v>
      </c>
      <c r="C174">
        <v>486.5</v>
      </c>
      <c r="D174">
        <v>35</v>
      </c>
      <c r="E174" s="80">
        <v>35258</v>
      </c>
    </row>
    <row r="175" spans="1:5">
      <c r="A175">
        <v>10255</v>
      </c>
      <c r="B175" t="s">
        <v>177</v>
      </c>
      <c r="C175">
        <v>486.5</v>
      </c>
      <c r="D175">
        <v>35</v>
      </c>
      <c r="E175" s="80">
        <v>35258</v>
      </c>
    </row>
    <row r="176" spans="1:5">
      <c r="A176">
        <v>10255</v>
      </c>
      <c r="B176" t="s">
        <v>178</v>
      </c>
      <c r="C176">
        <v>486.5</v>
      </c>
      <c r="D176">
        <v>35</v>
      </c>
      <c r="E176" s="80">
        <v>35258</v>
      </c>
    </row>
    <row r="177" spans="1:5">
      <c r="A177">
        <v>10255</v>
      </c>
      <c r="B177" t="s">
        <v>179</v>
      </c>
      <c r="C177">
        <v>486.5</v>
      </c>
      <c r="D177">
        <v>35</v>
      </c>
      <c r="E177" s="80">
        <v>35258</v>
      </c>
    </row>
    <row r="178" spans="1:5">
      <c r="A178">
        <v>10255</v>
      </c>
      <c r="B178" t="s">
        <v>172</v>
      </c>
      <c r="C178">
        <v>380</v>
      </c>
      <c r="D178">
        <v>25</v>
      </c>
      <c r="E178" s="80">
        <v>35258</v>
      </c>
    </row>
    <row r="179" spans="1:5">
      <c r="A179">
        <v>10255</v>
      </c>
      <c r="B179" t="s">
        <v>173</v>
      </c>
      <c r="C179">
        <v>380</v>
      </c>
      <c r="D179">
        <v>25</v>
      </c>
      <c r="E179" s="80">
        <v>35258</v>
      </c>
    </row>
    <row r="180" spans="1:5">
      <c r="A180">
        <v>10255</v>
      </c>
      <c r="B180" t="s">
        <v>174</v>
      </c>
      <c r="C180">
        <v>380</v>
      </c>
      <c r="D180">
        <v>25</v>
      </c>
      <c r="E180" s="80">
        <v>35258</v>
      </c>
    </row>
    <row r="181" spans="1:5">
      <c r="A181">
        <v>10255</v>
      </c>
      <c r="B181" t="s">
        <v>175</v>
      </c>
      <c r="C181">
        <v>380</v>
      </c>
      <c r="D181">
        <v>25</v>
      </c>
      <c r="E181" s="80">
        <v>35258</v>
      </c>
    </row>
    <row r="182" spans="1:5">
      <c r="A182">
        <v>10255</v>
      </c>
      <c r="B182" t="s">
        <v>176</v>
      </c>
      <c r="C182">
        <v>380</v>
      </c>
      <c r="D182">
        <v>25</v>
      </c>
      <c r="E182" s="80">
        <v>35258</v>
      </c>
    </row>
    <row r="183" spans="1:5">
      <c r="A183">
        <v>10255</v>
      </c>
      <c r="B183" t="s">
        <v>177</v>
      </c>
      <c r="C183">
        <v>380</v>
      </c>
      <c r="D183">
        <v>25</v>
      </c>
      <c r="E183" s="80">
        <v>35258</v>
      </c>
    </row>
    <row r="184" spans="1:5">
      <c r="A184">
        <v>10255</v>
      </c>
      <c r="B184" t="s">
        <v>178</v>
      </c>
      <c r="C184">
        <v>380</v>
      </c>
      <c r="D184">
        <v>25</v>
      </c>
      <c r="E184" s="80">
        <v>35258</v>
      </c>
    </row>
    <row r="185" spans="1:5">
      <c r="A185">
        <v>10255</v>
      </c>
      <c r="B185" t="s">
        <v>179</v>
      </c>
      <c r="C185">
        <v>380</v>
      </c>
      <c r="D185">
        <v>25</v>
      </c>
      <c r="E185" s="80">
        <v>35258</v>
      </c>
    </row>
    <row r="186" spans="1:5">
      <c r="A186">
        <v>10255</v>
      </c>
      <c r="B186" t="s">
        <v>172</v>
      </c>
      <c r="C186">
        <v>1320</v>
      </c>
      <c r="D186">
        <v>30</v>
      </c>
      <c r="E186" s="80">
        <v>35258</v>
      </c>
    </row>
    <row r="187" spans="1:5">
      <c r="A187">
        <v>10255</v>
      </c>
      <c r="B187" t="s">
        <v>173</v>
      </c>
      <c r="C187">
        <v>1320</v>
      </c>
      <c r="D187">
        <v>30</v>
      </c>
      <c r="E187" s="80">
        <v>35258</v>
      </c>
    </row>
    <row r="188" spans="1:5">
      <c r="A188">
        <v>10255</v>
      </c>
      <c r="B188" t="s">
        <v>174</v>
      </c>
      <c r="C188">
        <v>1320</v>
      </c>
      <c r="D188">
        <v>30</v>
      </c>
      <c r="E188" s="80">
        <v>35258</v>
      </c>
    </row>
    <row r="189" spans="1:5">
      <c r="A189">
        <v>10255</v>
      </c>
      <c r="B189" t="s">
        <v>175</v>
      </c>
      <c r="C189">
        <v>1320</v>
      </c>
      <c r="D189">
        <v>30</v>
      </c>
      <c r="E189" s="80">
        <v>35258</v>
      </c>
    </row>
    <row r="190" spans="1:5">
      <c r="A190">
        <v>10255</v>
      </c>
      <c r="B190" t="s">
        <v>176</v>
      </c>
      <c r="C190">
        <v>1320</v>
      </c>
      <c r="D190">
        <v>30</v>
      </c>
      <c r="E190" s="80">
        <v>35258</v>
      </c>
    </row>
    <row r="191" spans="1:5">
      <c r="A191">
        <v>10255</v>
      </c>
      <c r="B191" t="s">
        <v>177</v>
      </c>
      <c r="C191">
        <v>1320</v>
      </c>
      <c r="D191">
        <v>30</v>
      </c>
      <c r="E191" s="80">
        <v>35258</v>
      </c>
    </row>
    <row r="192" spans="1:5">
      <c r="A192">
        <v>10255</v>
      </c>
      <c r="B192" t="s">
        <v>178</v>
      </c>
      <c r="C192">
        <v>1320</v>
      </c>
      <c r="D192">
        <v>30</v>
      </c>
      <c r="E192" s="80">
        <v>35258</v>
      </c>
    </row>
    <row r="193" spans="1:5">
      <c r="A193">
        <v>10255</v>
      </c>
      <c r="B193" t="s">
        <v>179</v>
      </c>
      <c r="C193">
        <v>1320</v>
      </c>
      <c r="D193">
        <v>30</v>
      </c>
      <c r="E193" s="80">
        <v>35258</v>
      </c>
    </row>
    <row r="194" spans="1:5">
      <c r="A194">
        <v>10256</v>
      </c>
      <c r="B194" t="s">
        <v>172</v>
      </c>
      <c r="C194">
        <v>393</v>
      </c>
      <c r="D194">
        <v>15</v>
      </c>
      <c r="E194" s="80">
        <v>35261</v>
      </c>
    </row>
    <row r="195" spans="1:5">
      <c r="A195">
        <v>10256</v>
      </c>
      <c r="B195" t="s">
        <v>173</v>
      </c>
      <c r="C195">
        <v>393</v>
      </c>
      <c r="D195">
        <v>15</v>
      </c>
      <c r="E195" s="80">
        <v>35261</v>
      </c>
    </row>
    <row r="196" spans="1:5">
      <c r="A196">
        <v>10256</v>
      </c>
      <c r="B196" t="s">
        <v>174</v>
      </c>
      <c r="C196">
        <v>393</v>
      </c>
      <c r="D196">
        <v>15</v>
      </c>
      <c r="E196" s="80">
        <v>35261</v>
      </c>
    </row>
    <row r="197" spans="1:5">
      <c r="A197">
        <v>10256</v>
      </c>
      <c r="B197" t="s">
        <v>175</v>
      </c>
      <c r="C197">
        <v>393</v>
      </c>
      <c r="D197">
        <v>15</v>
      </c>
      <c r="E197" s="80">
        <v>35261</v>
      </c>
    </row>
    <row r="198" spans="1:5">
      <c r="A198">
        <v>10256</v>
      </c>
      <c r="B198" t="s">
        <v>176</v>
      </c>
      <c r="C198">
        <v>393</v>
      </c>
      <c r="D198">
        <v>15</v>
      </c>
      <c r="E198" s="80">
        <v>35261</v>
      </c>
    </row>
    <row r="199" spans="1:5">
      <c r="A199">
        <v>10256</v>
      </c>
      <c r="B199" t="s">
        <v>177</v>
      </c>
      <c r="C199">
        <v>393</v>
      </c>
      <c r="D199">
        <v>15</v>
      </c>
      <c r="E199" s="80">
        <v>35261</v>
      </c>
    </row>
    <row r="200" spans="1:5">
      <c r="A200">
        <v>10256</v>
      </c>
      <c r="B200" t="s">
        <v>178</v>
      </c>
      <c r="C200">
        <v>393</v>
      </c>
      <c r="D200">
        <v>15</v>
      </c>
      <c r="E200" s="80">
        <v>35261</v>
      </c>
    </row>
    <row r="201" spans="1:5">
      <c r="A201">
        <v>10256</v>
      </c>
      <c r="B201" t="s">
        <v>179</v>
      </c>
      <c r="C201">
        <v>393</v>
      </c>
      <c r="D201">
        <v>15</v>
      </c>
      <c r="E201" s="80">
        <v>35261</v>
      </c>
    </row>
    <row r="202" spans="1:5">
      <c r="A202">
        <v>10256</v>
      </c>
      <c r="B202" t="s">
        <v>172</v>
      </c>
      <c r="C202">
        <v>124.8</v>
      </c>
      <c r="D202">
        <v>12</v>
      </c>
      <c r="E202" s="80">
        <v>35261</v>
      </c>
    </row>
    <row r="203" spans="1:5">
      <c r="A203">
        <v>10256</v>
      </c>
      <c r="B203" t="s">
        <v>173</v>
      </c>
      <c r="C203">
        <v>124.8</v>
      </c>
      <c r="D203">
        <v>12</v>
      </c>
      <c r="E203" s="80">
        <v>35261</v>
      </c>
    </row>
    <row r="204" spans="1:5">
      <c r="A204">
        <v>10256</v>
      </c>
      <c r="B204" t="s">
        <v>174</v>
      </c>
      <c r="C204">
        <v>124.8</v>
      </c>
      <c r="D204">
        <v>12</v>
      </c>
      <c r="E204" s="80">
        <v>35261</v>
      </c>
    </row>
    <row r="205" spans="1:5">
      <c r="A205">
        <v>10256</v>
      </c>
      <c r="B205" t="s">
        <v>175</v>
      </c>
      <c r="C205">
        <v>124.8</v>
      </c>
      <c r="D205">
        <v>12</v>
      </c>
      <c r="E205" s="80">
        <v>35261</v>
      </c>
    </row>
    <row r="206" spans="1:5">
      <c r="A206">
        <v>10256</v>
      </c>
      <c r="B206" t="s">
        <v>176</v>
      </c>
      <c r="C206">
        <v>124.8</v>
      </c>
      <c r="D206">
        <v>12</v>
      </c>
      <c r="E206" s="80">
        <v>35261</v>
      </c>
    </row>
    <row r="207" spans="1:5">
      <c r="A207">
        <v>10256</v>
      </c>
      <c r="B207" t="s">
        <v>177</v>
      </c>
      <c r="C207">
        <v>124.8</v>
      </c>
      <c r="D207">
        <v>12</v>
      </c>
      <c r="E207" s="80">
        <v>35261</v>
      </c>
    </row>
    <row r="208" spans="1:5">
      <c r="A208">
        <v>10256</v>
      </c>
      <c r="B208" t="s">
        <v>178</v>
      </c>
      <c r="C208">
        <v>124.8</v>
      </c>
      <c r="D208">
        <v>12</v>
      </c>
      <c r="E208" s="80">
        <v>35261</v>
      </c>
    </row>
    <row r="209" spans="1:5">
      <c r="A209">
        <v>10256</v>
      </c>
      <c r="B209" t="s">
        <v>179</v>
      </c>
      <c r="C209">
        <v>124.8</v>
      </c>
      <c r="D209">
        <v>12</v>
      </c>
      <c r="E209" s="80">
        <v>35261</v>
      </c>
    </row>
    <row r="210" spans="1:5">
      <c r="A210">
        <v>10257</v>
      </c>
      <c r="B210" t="s">
        <v>172</v>
      </c>
      <c r="C210">
        <v>877.5</v>
      </c>
      <c r="D210">
        <v>25</v>
      </c>
      <c r="E210" s="80">
        <v>35262</v>
      </c>
    </row>
    <row r="211" spans="1:5">
      <c r="A211">
        <v>10257</v>
      </c>
      <c r="B211" t="s">
        <v>173</v>
      </c>
      <c r="C211">
        <v>877.5</v>
      </c>
      <c r="D211">
        <v>25</v>
      </c>
      <c r="E211" s="80">
        <v>35262</v>
      </c>
    </row>
    <row r="212" spans="1:5">
      <c r="A212">
        <v>10257</v>
      </c>
      <c r="B212" t="s">
        <v>174</v>
      </c>
      <c r="C212">
        <v>877.5</v>
      </c>
      <c r="D212">
        <v>25</v>
      </c>
      <c r="E212" s="80">
        <v>35262</v>
      </c>
    </row>
    <row r="213" spans="1:5">
      <c r="A213">
        <v>10257</v>
      </c>
      <c r="B213" t="s">
        <v>175</v>
      </c>
      <c r="C213">
        <v>877.5</v>
      </c>
      <c r="D213">
        <v>25</v>
      </c>
      <c r="E213" s="80">
        <v>35262</v>
      </c>
    </row>
    <row r="214" spans="1:5">
      <c r="A214">
        <v>10257</v>
      </c>
      <c r="B214" t="s">
        <v>176</v>
      </c>
      <c r="C214">
        <v>877.5</v>
      </c>
      <c r="D214">
        <v>25</v>
      </c>
      <c r="E214" s="80">
        <v>35262</v>
      </c>
    </row>
    <row r="215" spans="1:5">
      <c r="A215">
        <v>10257</v>
      </c>
      <c r="B215" t="s">
        <v>177</v>
      </c>
      <c r="C215">
        <v>877.5</v>
      </c>
      <c r="D215">
        <v>25</v>
      </c>
      <c r="E215" s="80">
        <v>35262</v>
      </c>
    </row>
    <row r="216" spans="1:5">
      <c r="A216">
        <v>10257</v>
      </c>
      <c r="B216" t="s">
        <v>178</v>
      </c>
      <c r="C216">
        <v>877.5</v>
      </c>
      <c r="D216">
        <v>25</v>
      </c>
      <c r="E216" s="80">
        <v>35262</v>
      </c>
    </row>
    <row r="217" spans="1:5">
      <c r="A217">
        <v>10257</v>
      </c>
      <c r="B217" t="s">
        <v>179</v>
      </c>
      <c r="C217">
        <v>877.5</v>
      </c>
      <c r="D217">
        <v>25</v>
      </c>
      <c r="E217" s="80">
        <v>35262</v>
      </c>
    </row>
    <row r="218" spans="1:5">
      <c r="A218">
        <v>10257</v>
      </c>
      <c r="B218" t="s">
        <v>172</v>
      </c>
      <c r="C218">
        <v>86.4</v>
      </c>
      <c r="D218">
        <v>6</v>
      </c>
      <c r="E218" s="80">
        <v>35262</v>
      </c>
    </row>
    <row r="219" spans="1:5">
      <c r="A219">
        <v>10257</v>
      </c>
      <c r="B219" t="s">
        <v>173</v>
      </c>
      <c r="C219">
        <v>86.4</v>
      </c>
      <c r="D219">
        <v>6</v>
      </c>
      <c r="E219" s="80">
        <v>35262</v>
      </c>
    </row>
    <row r="220" spans="1:5">
      <c r="A220">
        <v>10257</v>
      </c>
      <c r="B220" t="s">
        <v>174</v>
      </c>
      <c r="C220">
        <v>86.4</v>
      </c>
      <c r="D220">
        <v>6</v>
      </c>
      <c r="E220" s="80">
        <v>35262</v>
      </c>
    </row>
    <row r="221" spans="1:5">
      <c r="A221">
        <v>10257</v>
      </c>
      <c r="B221" t="s">
        <v>175</v>
      </c>
      <c r="C221">
        <v>86.4</v>
      </c>
      <c r="D221">
        <v>6</v>
      </c>
      <c r="E221" s="80">
        <v>35262</v>
      </c>
    </row>
    <row r="222" spans="1:5">
      <c r="A222">
        <v>10257</v>
      </c>
      <c r="B222" t="s">
        <v>176</v>
      </c>
      <c r="C222">
        <v>86.4</v>
      </c>
      <c r="D222">
        <v>6</v>
      </c>
      <c r="E222" s="80">
        <v>35262</v>
      </c>
    </row>
    <row r="223" spans="1:5">
      <c r="A223">
        <v>10257</v>
      </c>
      <c r="B223" t="s">
        <v>177</v>
      </c>
      <c r="C223">
        <v>86.4</v>
      </c>
      <c r="D223">
        <v>6</v>
      </c>
      <c r="E223" s="80">
        <v>35262</v>
      </c>
    </row>
    <row r="224" spans="1:5">
      <c r="A224">
        <v>10257</v>
      </c>
      <c r="B224" t="s">
        <v>178</v>
      </c>
      <c r="C224">
        <v>86.4</v>
      </c>
      <c r="D224">
        <v>6</v>
      </c>
      <c r="E224" s="80">
        <v>35262</v>
      </c>
    </row>
    <row r="225" spans="1:5">
      <c r="A225">
        <v>10257</v>
      </c>
      <c r="B225" t="s">
        <v>179</v>
      </c>
      <c r="C225">
        <v>86.4</v>
      </c>
      <c r="D225">
        <v>6</v>
      </c>
      <c r="E225" s="80">
        <v>35262</v>
      </c>
    </row>
    <row r="226" spans="1:5">
      <c r="A226">
        <v>10257</v>
      </c>
      <c r="B226" t="s">
        <v>172</v>
      </c>
      <c r="C226">
        <v>156</v>
      </c>
      <c r="D226">
        <v>15</v>
      </c>
      <c r="E226" s="80">
        <v>35262</v>
      </c>
    </row>
    <row r="227" spans="1:5">
      <c r="A227">
        <v>10257</v>
      </c>
      <c r="B227" t="s">
        <v>173</v>
      </c>
      <c r="C227">
        <v>156</v>
      </c>
      <c r="D227">
        <v>15</v>
      </c>
      <c r="E227" s="80">
        <v>35262</v>
      </c>
    </row>
    <row r="228" spans="1:5">
      <c r="A228">
        <v>10257</v>
      </c>
      <c r="B228" t="s">
        <v>174</v>
      </c>
      <c r="C228">
        <v>156</v>
      </c>
      <c r="D228">
        <v>15</v>
      </c>
      <c r="E228" s="80">
        <v>35262</v>
      </c>
    </row>
    <row r="229" spans="1:5">
      <c r="A229">
        <v>10257</v>
      </c>
      <c r="B229" t="s">
        <v>175</v>
      </c>
      <c r="C229">
        <v>156</v>
      </c>
      <c r="D229">
        <v>15</v>
      </c>
      <c r="E229" s="80">
        <v>35262</v>
      </c>
    </row>
    <row r="230" spans="1:5">
      <c r="A230">
        <v>10257</v>
      </c>
      <c r="B230" t="s">
        <v>176</v>
      </c>
      <c r="C230">
        <v>156</v>
      </c>
      <c r="D230">
        <v>15</v>
      </c>
      <c r="E230" s="80">
        <v>35262</v>
      </c>
    </row>
    <row r="231" spans="1:5">
      <c r="A231">
        <v>10257</v>
      </c>
      <c r="B231" t="s">
        <v>177</v>
      </c>
      <c r="C231">
        <v>156</v>
      </c>
      <c r="D231">
        <v>15</v>
      </c>
      <c r="E231" s="80">
        <v>35262</v>
      </c>
    </row>
    <row r="232" spans="1:5">
      <c r="A232">
        <v>10257</v>
      </c>
      <c r="B232" t="s">
        <v>178</v>
      </c>
      <c r="C232">
        <v>156</v>
      </c>
      <c r="D232">
        <v>15</v>
      </c>
      <c r="E232" s="80">
        <v>35262</v>
      </c>
    </row>
    <row r="233" spans="1:5">
      <c r="A233">
        <v>10257</v>
      </c>
      <c r="B233" t="s">
        <v>179</v>
      </c>
      <c r="C233">
        <v>156</v>
      </c>
      <c r="D233">
        <v>15</v>
      </c>
      <c r="E233" s="80">
        <v>35262</v>
      </c>
    </row>
    <row r="234" spans="1:5">
      <c r="A234">
        <v>10258</v>
      </c>
      <c r="B234" t="s">
        <v>172</v>
      </c>
      <c r="C234">
        <v>607.9999977350235</v>
      </c>
      <c r="D234">
        <v>50</v>
      </c>
      <c r="E234" s="80">
        <v>35263</v>
      </c>
    </row>
    <row r="235" spans="1:5">
      <c r="A235">
        <v>10258</v>
      </c>
      <c r="B235" t="s">
        <v>173</v>
      </c>
      <c r="C235">
        <v>607.9999977350235</v>
      </c>
      <c r="D235">
        <v>50</v>
      </c>
      <c r="E235" s="80">
        <v>35263</v>
      </c>
    </row>
    <row r="236" spans="1:5">
      <c r="A236">
        <v>10258</v>
      </c>
      <c r="B236" t="s">
        <v>174</v>
      </c>
      <c r="C236">
        <v>607.9999977350235</v>
      </c>
      <c r="D236">
        <v>50</v>
      </c>
      <c r="E236" s="80">
        <v>35263</v>
      </c>
    </row>
    <row r="237" spans="1:5">
      <c r="A237">
        <v>10258</v>
      </c>
      <c r="B237" t="s">
        <v>175</v>
      </c>
      <c r="C237">
        <v>607.9999977350235</v>
      </c>
      <c r="D237">
        <v>50</v>
      </c>
      <c r="E237" s="80">
        <v>35263</v>
      </c>
    </row>
    <row r="238" spans="1:5">
      <c r="A238">
        <v>10258</v>
      </c>
      <c r="B238" t="s">
        <v>176</v>
      </c>
      <c r="C238">
        <v>607.9999977350235</v>
      </c>
      <c r="D238">
        <v>50</v>
      </c>
      <c r="E238" s="80">
        <v>35263</v>
      </c>
    </row>
    <row r="239" spans="1:5">
      <c r="A239">
        <v>10258</v>
      </c>
      <c r="B239" t="s">
        <v>177</v>
      </c>
      <c r="C239">
        <v>607.9999977350235</v>
      </c>
      <c r="D239">
        <v>50</v>
      </c>
      <c r="E239" s="80">
        <v>35263</v>
      </c>
    </row>
    <row r="240" spans="1:5">
      <c r="A240">
        <v>10258</v>
      </c>
      <c r="B240" t="s">
        <v>178</v>
      </c>
      <c r="C240">
        <v>607.9999977350235</v>
      </c>
      <c r="D240">
        <v>50</v>
      </c>
      <c r="E240" s="80">
        <v>35263</v>
      </c>
    </row>
    <row r="241" spans="1:5">
      <c r="A241">
        <v>10258</v>
      </c>
      <c r="B241" t="s">
        <v>179</v>
      </c>
      <c r="C241">
        <v>607.9999977350235</v>
      </c>
      <c r="D241">
        <v>50</v>
      </c>
      <c r="E241" s="80">
        <v>35263</v>
      </c>
    </row>
    <row r="242" spans="1:5">
      <c r="A242">
        <v>10258</v>
      </c>
      <c r="B242" t="s">
        <v>172</v>
      </c>
      <c r="C242">
        <v>883.99999670684338</v>
      </c>
      <c r="D242">
        <v>65</v>
      </c>
      <c r="E242" s="80">
        <v>35263</v>
      </c>
    </row>
    <row r="243" spans="1:5">
      <c r="A243">
        <v>10258</v>
      </c>
      <c r="B243" t="s">
        <v>173</v>
      </c>
      <c r="C243">
        <v>883.99999670684338</v>
      </c>
      <c r="D243">
        <v>65</v>
      </c>
      <c r="E243" s="80">
        <v>35263</v>
      </c>
    </row>
    <row r="244" spans="1:5">
      <c r="A244">
        <v>10258</v>
      </c>
      <c r="B244" t="s">
        <v>174</v>
      </c>
      <c r="C244">
        <v>883.99999670684338</v>
      </c>
      <c r="D244">
        <v>65</v>
      </c>
      <c r="E244" s="80">
        <v>35263</v>
      </c>
    </row>
    <row r="245" spans="1:5">
      <c r="A245">
        <v>10258</v>
      </c>
      <c r="B245" t="s">
        <v>175</v>
      </c>
      <c r="C245">
        <v>883.99999670684338</v>
      </c>
      <c r="D245">
        <v>65</v>
      </c>
      <c r="E245" s="80">
        <v>35263</v>
      </c>
    </row>
    <row r="246" spans="1:5">
      <c r="A246">
        <v>10258</v>
      </c>
      <c r="B246" t="s">
        <v>176</v>
      </c>
      <c r="C246">
        <v>883.99999670684338</v>
      </c>
      <c r="D246">
        <v>65</v>
      </c>
      <c r="E246" s="80">
        <v>35263</v>
      </c>
    </row>
    <row r="247" spans="1:5">
      <c r="A247">
        <v>10258</v>
      </c>
      <c r="B247" t="s">
        <v>177</v>
      </c>
      <c r="C247">
        <v>883.99999670684338</v>
      </c>
      <c r="D247">
        <v>65</v>
      </c>
      <c r="E247" s="80">
        <v>35263</v>
      </c>
    </row>
    <row r="248" spans="1:5">
      <c r="A248">
        <v>10258</v>
      </c>
      <c r="B248" t="s">
        <v>178</v>
      </c>
      <c r="C248">
        <v>883.99999670684338</v>
      </c>
      <c r="D248">
        <v>65</v>
      </c>
      <c r="E248" s="80">
        <v>35263</v>
      </c>
    </row>
    <row r="249" spans="1:5">
      <c r="A249">
        <v>10258</v>
      </c>
      <c r="B249" t="s">
        <v>179</v>
      </c>
      <c r="C249">
        <v>883.99999670684338</v>
      </c>
      <c r="D249">
        <v>65</v>
      </c>
      <c r="E249" s="80">
        <v>35263</v>
      </c>
    </row>
    <row r="250" spans="1:5">
      <c r="A250">
        <v>10258</v>
      </c>
      <c r="B250" t="s">
        <v>172</v>
      </c>
      <c r="C250">
        <v>122.87999954223632</v>
      </c>
      <c r="D250">
        <v>6</v>
      </c>
      <c r="E250" s="80">
        <v>35263</v>
      </c>
    </row>
    <row r="251" spans="1:5">
      <c r="A251">
        <v>10258</v>
      </c>
      <c r="B251" t="s">
        <v>173</v>
      </c>
      <c r="C251">
        <v>122.87999954223632</v>
      </c>
      <c r="D251">
        <v>6</v>
      </c>
      <c r="E251" s="80">
        <v>35263</v>
      </c>
    </row>
    <row r="252" spans="1:5">
      <c r="A252">
        <v>10258</v>
      </c>
      <c r="B252" t="s">
        <v>174</v>
      </c>
      <c r="C252">
        <v>122.87999954223632</v>
      </c>
      <c r="D252">
        <v>6</v>
      </c>
      <c r="E252" s="80">
        <v>35263</v>
      </c>
    </row>
    <row r="253" spans="1:5">
      <c r="A253">
        <v>10258</v>
      </c>
      <c r="B253" t="s">
        <v>175</v>
      </c>
      <c r="C253">
        <v>122.87999954223632</v>
      </c>
      <c r="D253">
        <v>6</v>
      </c>
      <c r="E253" s="80">
        <v>35263</v>
      </c>
    </row>
    <row r="254" spans="1:5">
      <c r="A254">
        <v>10258</v>
      </c>
      <c r="B254" t="s">
        <v>176</v>
      </c>
      <c r="C254">
        <v>122.87999954223632</v>
      </c>
      <c r="D254">
        <v>6</v>
      </c>
      <c r="E254" s="80">
        <v>35263</v>
      </c>
    </row>
    <row r="255" spans="1:5">
      <c r="A255">
        <v>10258</v>
      </c>
      <c r="B255" t="s">
        <v>177</v>
      </c>
      <c r="C255">
        <v>122.87999954223632</v>
      </c>
      <c r="D255">
        <v>6</v>
      </c>
      <c r="E255" s="80">
        <v>35263</v>
      </c>
    </row>
    <row r="256" spans="1:5">
      <c r="A256">
        <v>10258</v>
      </c>
      <c r="B256" t="s">
        <v>178</v>
      </c>
      <c r="C256">
        <v>122.87999954223632</v>
      </c>
      <c r="D256">
        <v>6</v>
      </c>
      <c r="E256" s="80">
        <v>35263</v>
      </c>
    </row>
    <row r="257" spans="1:5">
      <c r="A257">
        <v>10258</v>
      </c>
      <c r="B257" t="s">
        <v>179</v>
      </c>
      <c r="C257">
        <v>122.87999954223632</v>
      </c>
      <c r="D257">
        <v>6</v>
      </c>
      <c r="E257" s="80">
        <v>35263</v>
      </c>
    </row>
    <row r="258" spans="1:5">
      <c r="A258">
        <v>10259</v>
      </c>
      <c r="B258" t="s">
        <v>172</v>
      </c>
      <c r="C258">
        <v>80</v>
      </c>
      <c r="D258">
        <v>10</v>
      </c>
      <c r="E258" s="80">
        <v>35264</v>
      </c>
    </row>
    <row r="259" spans="1:5">
      <c r="A259">
        <v>10259</v>
      </c>
      <c r="B259" t="s">
        <v>173</v>
      </c>
      <c r="C259">
        <v>80</v>
      </c>
      <c r="D259">
        <v>10</v>
      </c>
      <c r="E259" s="80">
        <v>35264</v>
      </c>
    </row>
    <row r="260" spans="1:5">
      <c r="A260">
        <v>10259</v>
      </c>
      <c r="B260" t="s">
        <v>174</v>
      </c>
      <c r="C260">
        <v>80</v>
      </c>
      <c r="D260">
        <v>10</v>
      </c>
      <c r="E260" s="80">
        <v>35264</v>
      </c>
    </row>
    <row r="261" spans="1:5">
      <c r="A261">
        <v>10259</v>
      </c>
      <c r="B261" t="s">
        <v>175</v>
      </c>
      <c r="C261">
        <v>80</v>
      </c>
      <c r="D261">
        <v>10</v>
      </c>
      <c r="E261" s="80">
        <v>35264</v>
      </c>
    </row>
    <row r="262" spans="1:5">
      <c r="A262">
        <v>10259</v>
      </c>
      <c r="B262" t="s">
        <v>176</v>
      </c>
      <c r="C262">
        <v>80</v>
      </c>
      <c r="D262">
        <v>10</v>
      </c>
      <c r="E262" s="80">
        <v>35264</v>
      </c>
    </row>
    <row r="263" spans="1:5">
      <c r="A263">
        <v>10259</v>
      </c>
      <c r="B263" t="s">
        <v>177</v>
      </c>
      <c r="C263">
        <v>80</v>
      </c>
      <c r="D263">
        <v>10</v>
      </c>
      <c r="E263" s="80">
        <v>35264</v>
      </c>
    </row>
    <row r="264" spans="1:5">
      <c r="A264">
        <v>10259</v>
      </c>
      <c r="B264" t="s">
        <v>178</v>
      </c>
      <c r="C264">
        <v>80</v>
      </c>
      <c r="D264">
        <v>10</v>
      </c>
      <c r="E264" s="80">
        <v>35264</v>
      </c>
    </row>
    <row r="265" spans="1:5">
      <c r="A265">
        <v>10259</v>
      </c>
      <c r="B265" t="s">
        <v>179</v>
      </c>
      <c r="C265">
        <v>80</v>
      </c>
      <c r="D265">
        <v>10</v>
      </c>
      <c r="E265" s="80">
        <v>35264</v>
      </c>
    </row>
    <row r="266" spans="1:5">
      <c r="A266">
        <v>10259</v>
      </c>
      <c r="B266" t="s">
        <v>172</v>
      </c>
      <c r="C266">
        <v>20.8</v>
      </c>
      <c r="D266">
        <v>1</v>
      </c>
      <c r="E266" s="80">
        <v>35264</v>
      </c>
    </row>
    <row r="267" spans="1:5">
      <c r="A267">
        <v>10259</v>
      </c>
      <c r="B267" t="s">
        <v>173</v>
      </c>
      <c r="C267">
        <v>20.8</v>
      </c>
      <c r="D267">
        <v>1</v>
      </c>
      <c r="E267" s="80">
        <v>35264</v>
      </c>
    </row>
    <row r="268" spans="1:5">
      <c r="A268">
        <v>10259</v>
      </c>
      <c r="B268" t="s">
        <v>174</v>
      </c>
      <c r="C268">
        <v>20.8</v>
      </c>
      <c r="D268">
        <v>1</v>
      </c>
      <c r="E268" s="80">
        <v>35264</v>
      </c>
    </row>
    <row r="269" spans="1:5">
      <c r="A269">
        <v>10259</v>
      </c>
      <c r="B269" t="s">
        <v>175</v>
      </c>
      <c r="C269">
        <v>20.8</v>
      </c>
      <c r="D269">
        <v>1</v>
      </c>
      <c r="E269" s="80">
        <v>35264</v>
      </c>
    </row>
    <row r="270" spans="1:5">
      <c r="A270">
        <v>10259</v>
      </c>
      <c r="B270" t="s">
        <v>176</v>
      </c>
      <c r="C270">
        <v>20.8</v>
      </c>
      <c r="D270">
        <v>1</v>
      </c>
      <c r="E270" s="80">
        <v>35264</v>
      </c>
    </row>
    <row r="271" spans="1:5">
      <c r="A271">
        <v>10259</v>
      </c>
      <c r="B271" t="s">
        <v>177</v>
      </c>
      <c r="C271">
        <v>20.8</v>
      </c>
      <c r="D271">
        <v>1</v>
      </c>
      <c r="E271" s="80">
        <v>35264</v>
      </c>
    </row>
    <row r="272" spans="1:5">
      <c r="A272">
        <v>10259</v>
      </c>
      <c r="B272" t="s">
        <v>178</v>
      </c>
      <c r="C272">
        <v>20.8</v>
      </c>
      <c r="D272">
        <v>1</v>
      </c>
      <c r="E272" s="80">
        <v>35264</v>
      </c>
    </row>
    <row r="273" spans="1:5">
      <c r="A273">
        <v>10259</v>
      </c>
      <c r="B273" t="s">
        <v>179</v>
      </c>
      <c r="C273">
        <v>20.8</v>
      </c>
      <c r="D273">
        <v>1</v>
      </c>
      <c r="E273" s="80">
        <v>35264</v>
      </c>
    </row>
    <row r="274" spans="1:5">
      <c r="A274">
        <v>10260</v>
      </c>
      <c r="B274" t="s">
        <v>172</v>
      </c>
      <c r="C274">
        <v>92.4</v>
      </c>
      <c r="D274">
        <v>16</v>
      </c>
      <c r="E274" s="80">
        <v>35265</v>
      </c>
    </row>
    <row r="275" spans="1:5">
      <c r="A275">
        <v>10260</v>
      </c>
      <c r="B275" t="s">
        <v>173</v>
      </c>
      <c r="C275">
        <v>92.4</v>
      </c>
      <c r="D275">
        <v>16</v>
      </c>
      <c r="E275" s="80">
        <v>35265</v>
      </c>
    </row>
    <row r="276" spans="1:5">
      <c r="A276">
        <v>10260</v>
      </c>
      <c r="B276" t="s">
        <v>174</v>
      </c>
      <c r="C276">
        <v>92.4</v>
      </c>
      <c r="D276">
        <v>16</v>
      </c>
      <c r="E276" s="80">
        <v>35265</v>
      </c>
    </row>
    <row r="277" spans="1:5">
      <c r="A277">
        <v>10260</v>
      </c>
      <c r="B277" t="s">
        <v>175</v>
      </c>
      <c r="C277">
        <v>92.4</v>
      </c>
      <c r="D277">
        <v>16</v>
      </c>
      <c r="E277" s="80">
        <v>35265</v>
      </c>
    </row>
    <row r="278" spans="1:5">
      <c r="A278">
        <v>10260</v>
      </c>
      <c r="B278" t="s">
        <v>176</v>
      </c>
      <c r="C278">
        <v>92.4</v>
      </c>
      <c r="D278">
        <v>16</v>
      </c>
      <c r="E278" s="80">
        <v>35265</v>
      </c>
    </row>
    <row r="279" spans="1:5">
      <c r="A279">
        <v>10260</v>
      </c>
      <c r="B279" t="s">
        <v>177</v>
      </c>
      <c r="C279">
        <v>92.4</v>
      </c>
      <c r="D279">
        <v>16</v>
      </c>
      <c r="E279" s="80">
        <v>35265</v>
      </c>
    </row>
    <row r="280" spans="1:5">
      <c r="A280">
        <v>10260</v>
      </c>
      <c r="B280" t="s">
        <v>178</v>
      </c>
      <c r="C280">
        <v>92.4</v>
      </c>
      <c r="D280">
        <v>16</v>
      </c>
      <c r="E280" s="80">
        <v>35265</v>
      </c>
    </row>
    <row r="281" spans="1:5">
      <c r="A281">
        <v>10260</v>
      </c>
      <c r="B281" t="s">
        <v>179</v>
      </c>
      <c r="C281">
        <v>92.4</v>
      </c>
      <c r="D281">
        <v>16</v>
      </c>
      <c r="E281" s="80">
        <v>35265</v>
      </c>
    </row>
    <row r="282" spans="1:5">
      <c r="A282">
        <v>10260</v>
      </c>
      <c r="B282" t="s">
        <v>172</v>
      </c>
      <c r="C282">
        <v>780</v>
      </c>
      <c r="D282">
        <v>50</v>
      </c>
      <c r="E282" s="80">
        <v>35265</v>
      </c>
    </row>
    <row r="283" spans="1:5">
      <c r="A283">
        <v>10260</v>
      </c>
      <c r="B283" t="s">
        <v>173</v>
      </c>
      <c r="C283">
        <v>780</v>
      </c>
      <c r="D283">
        <v>50</v>
      </c>
      <c r="E283" s="80">
        <v>35265</v>
      </c>
    </row>
    <row r="284" spans="1:5">
      <c r="A284">
        <v>10260</v>
      </c>
      <c r="B284" t="s">
        <v>174</v>
      </c>
      <c r="C284">
        <v>780</v>
      </c>
      <c r="D284">
        <v>50</v>
      </c>
      <c r="E284" s="80">
        <v>35265</v>
      </c>
    </row>
    <row r="285" spans="1:5">
      <c r="A285">
        <v>10260</v>
      </c>
      <c r="B285" t="s">
        <v>175</v>
      </c>
      <c r="C285">
        <v>780</v>
      </c>
      <c r="D285">
        <v>50</v>
      </c>
      <c r="E285" s="80">
        <v>35265</v>
      </c>
    </row>
    <row r="286" spans="1:5">
      <c r="A286">
        <v>10260</v>
      </c>
      <c r="B286" t="s">
        <v>176</v>
      </c>
      <c r="C286">
        <v>780</v>
      </c>
      <c r="D286">
        <v>50</v>
      </c>
      <c r="E286" s="80">
        <v>35265</v>
      </c>
    </row>
    <row r="287" spans="1:5">
      <c r="A287">
        <v>10260</v>
      </c>
      <c r="B287" t="s">
        <v>177</v>
      </c>
      <c r="C287">
        <v>780</v>
      </c>
      <c r="D287">
        <v>50</v>
      </c>
      <c r="E287" s="80">
        <v>35265</v>
      </c>
    </row>
    <row r="288" spans="1:5">
      <c r="A288">
        <v>10260</v>
      </c>
      <c r="B288" t="s">
        <v>178</v>
      </c>
      <c r="C288">
        <v>780</v>
      </c>
      <c r="D288">
        <v>50</v>
      </c>
      <c r="E288" s="80">
        <v>35265</v>
      </c>
    </row>
    <row r="289" spans="1:5">
      <c r="A289">
        <v>10260</v>
      </c>
      <c r="B289" t="s">
        <v>179</v>
      </c>
      <c r="C289">
        <v>780</v>
      </c>
      <c r="D289">
        <v>50</v>
      </c>
      <c r="E289" s="80">
        <v>35265</v>
      </c>
    </row>
    <row r="290" spans="1:5">
      <c r="A290">
        <v>10260</v>
      </c>
      <c r="B290" t="s">
        <v>172</v>
      </c>
      <c r="C290">
        <v>443.25</v>
      </c>
      <c r="D290">
        <v>15</v>
      </c>
      <c r="E290" s="80">
        <v>35265</v>
      </c>
    </row>
    <row r="291" spans="1:5">
      <c r="A291">
        <v>10260</v>
      </c>
      <c r="B291" t="s">
        <v>173</v>
      </c>
      <c r="C291">
        <v>443.25</v>
      </c>
      <c r="D291">
        <v>15</v>
      </c>
      <c r="E291" s="80">
        <v>35265</v>
      </c>
    </row>
    <row r="292" spans="1:5">
      <c r="A292">
        <v>10260</v>
      </c>
      <c r="B292" t="s">
        <v>174</v>
      </c>
      <c r="C292">
        <v>443.25</v>
      </c>
      <c r="D292">
        <v>15</v>
      </c>
      <c r="E292" s="80">
        <v>35265</v>
      </c>
    </row>
    <row r="293" spans="1:5">
      <c r="A293">
        <v>10260</v>
      </c>
      <c r="B293" t="s">
        <v>175</v>
      </c>
      <c r="C293">
        <v>443.25</v>
      </c>
      <c r="D293">
        <v>15</v>
      </c>
      <c r="E293" s="80">
        <v>35265</v>
      </c>
    </row>
    <row r="294" spans="1:5">
      <c r="A294">
        <v>10260</v>
      </c>
      <c r="B294" t="s">
        <v>176</v>
      </c>
      <c r="C294">
        <v>443.25</v>
      </c>
      <c r="D294">
        <v>15</v>
      </c>
      <c r="E294" s="80">
        <v>35265</v>
      </c>
    </row>
    <row r="295" spans="1:5">
      <c r="A295">
        <v>10260</v>
      </c>
      <c r="B295" t="s">
        <v>177</v>
      </c>
      <c r="C295">
        <v>443.25</v>
      </c>
      <c r="D295">
        <v>15</v>
      </c>
      <c r="E295" s="80">
        <v>35265</v>
      </c>
    </row>
    <row r="296" spans="1:5">
      <c r="A296">
        <v>10260</v>
      </c>
      <c r="B296" t="s">
        <v>178</v>
      </c>
      <c r="C296">
        <v>443.25</v>
      </c>
      <c r="D296">
        <v>15</v>
      </c>
      <c r="E296" s="80">
        <v>35265</v>
      </c>
    </row>
    <row r="297" spans="1:5">
      <c r="A297">
        <v>10260</v>
      </c>
      <c r="B297" t="s">
        <v>179</v>
      </c>
      <c r="C297">
        <v>443.25</v>
      </c>
      <c r="D297">
        <v>15</v>
      </c>
      <c r="E297" s="80">
        <v>35265</v>
      </c>
    </row>
    <row r="298" spans="1:5">
      <c r="A298">
        <v>10260</v>
      </c>
      <c r="B298" t="s">
        <v>172</v>
      </c>
      <c r="C298">
        <v>189</v>
      </c>
      <c r="D298">
        <v>21</v>
      </c>
      <c r="E298" s="80">
        <v>35265</v>
      </c>
    </row>
    <row r="299" spans="1:5">
      <c r="A299">
        <v>10260</v>
      </c>
      <c r="B299" t="s">
        <v>173</v>
      </c>
      <c r="C299">
        <v>189</v>
      </c>
      <c r="D299">
        <v>21</v>
      </c>
      <c r="E299" s="80">
        <v>35265</v>
      </c>
    </row>
    <row r="300" spans="1:5">
      <c r="A300">
        <v>10260</v>
      </c>
      <c r="B300" t="s">
        <v>174</v>
      </c>
      <c r="C300">
        <v>189</v>
      </c>
      <c r="D300">
        <v>21</v>
      </c>
      <c r="E300" s="80">
        <v>35265</v>
      </c>
    </row>
    <row r="301" spans="1:5">
      <c r="A301">
        <v>10260</v>
      </c>
      <c r="B301" t="s">
        <v>175</v>
      </c>
      <c r="C301">
        <v>189</v>
      </c>
      <c r="D301">
        <v>21</v>
      </c>
      <c r="E301" s="80">
        <v>35265</v>
      </c>
    </row>
    <row r="302" spans="1:5">
      <c r="A302">
        <v>10260</v>
      </c>
      <c r="B302" t="s">
        <v>176</v>
      </c>
      <c r="C302">
        <v>189</v>
      </c>
      <c r="D302">
        <v>21</v>
      </c>
      <c r="E302" s="80">
        <v>35265</v>
      </c>
    </row>
    <row r="303" spans="1:5">
      <c r="A303">
        <v>10260</v>
      </c>
      <c r="B303" t="s">
        <v>177</v>
      </c>
      <c r="C303">
        <v>189</v>
      </c>
      <c r="D303">
        <v>21</v>
      </c>
      <c r="E303" s="80">
        <v>35265</v>
      </c>
    </row>
    <row r="304" spans="1:5">
      <c r="A304">
        <v>10260</v>
      </c>
      <c r="B304" t="s">
        <v>178</v>
      </c>
      <c r="C304">
        <v>189</v>
      </c>
      <c r="D304">
        <v>21</v>
      </c>
      <c r="E304" s="80">
        <v>35265</v>
      </c>
    </row>
    <row r="305" spans="1:5">
      <c r="A305">
        <v>10260</v>
      </c>
      <c r="B305" t="s">
        <v>179</v>
      </c>
      <c r="C305">
        <v>189</v>
      </c>
      <c r="D305">
        <v>21</v>
      </c>
      <c r="E305" s="80">
        <v>35265</v>
      </c>
    </row>
    <row r="306" spans="1:5">
      <c r="A306">
        <v>10261</v>
      </c>
      <c r="B306" t="s">
        <v>172</v>
      </c>
      <c r="C306">
        <v>160</v>
      </c>
      <c r="D306">
        <v>20</v>
      </c>
      <c r="E306" s="80">
        <v>35265</v>
      </c>
    </row>
    <row r="307" spans="1:5">
      <c r="A307">
        <v>10261</v>
      </c>
      <c r="B307" t="s">
        <v>173</v>
      </c>
      <c r="C307">
        <v>160</v>
      </c>
      <c r="D307">
        <v>20</v>
      </c>
      <c r="E307" s="80">
        <v>35265</v>
      </c>
    </row>
    <row r="308" spans="1:5">
      <c r="A308">
        <v>10261</v>
      </c>
      <c r="B308" t="s">
        <v>174</v>
      </c>
      <c r="C308">
        <v>160</v>
      </c>
      <c r="D308">
        <v>20</v>
      </c>
      <c r="E308" s="80">
        <v>35265</v>
      </c>
    </row>
    <row r="309" spans="1:5">
      <c r="A309">
        <v>10261</v>
      </c>
      <c r="B309" t="s">
        <v>175</v>
      </c>
      <c r="C309">
        <v>160</v>
      </c>
      <c r="D309">
        <v>20</v>
      </c>
      <c r="E309" s="80">
        <v>35265</v>
      </c>
    </row>
    <row r="310" spans="1:5">
      <c r="A310">
        <v>10261</v>
      </c>
      <c r="B310" t="s">
        <v>176</v>
      </c>
      <c r="C310">
        <v>160</v>
      </c>
      <c r="D310">
        <v>20</v>
      </c>
      <c r="E310" s="80">
        <v>35265</v>
      </c>
    </row>
    <row r="311" spans="1:5">
      <c r="A311">
        <v>10261</v>
      </c>
      <c r="B311" t="s">
        <v>177</v>
      </c>
      <c r="C311">
        <v>160</v>
      </c>
      <c r="D311">
        <v>20</v>
      </c>
      <c r="E311" s="80">
        <v>35265</v>
      </c>
    </row>
    <row r="312" spans="1:5">
      <c r="A312">
        <v>10261</v>
      </c>
      <c r="B312" t="s">
        <v>178</v>
      </c>
      <c r="C312">
        <v>160</v>
      </c>
      <c r="D312">
        <v>20</v>
      </c>
      <c r="E312" s="80">
        <v>35265</v>
      </c>
    </row>
    <row r="313" spans="1:5">
      <c r="A313">
        <v>10261</v>
      </c>
      <c r="B313" t="s">
        <v>179</v>
      </c>
      <c r="C313">
        <v>160</v>
      </c>
      <c r="D313">
        <v>20</v>
      </c>
      <c r="E313" s="80">
        <v>35265</v>
      </c>
    </row>
    <row r="314" spans="1:5">
      <c r="A314">
        <v>10261</v>
      </c>
      <c r="B314" t="s">
        <v>172</v>
      </c>
      <c r="C314">
        <v>288</v>
      </c>
      <c r="D314">
        <v>20</v>
      </c>
      <c r="E314" s="80">
        <v>35265</v>
      </c>
    </row>
    <row r="315" spans="1:5">
      <c r="A315">
        <v>10261</v>
      </c>
      <c r="B315" t="s">
        <v>173</v>
      </c>
      <c r="C315">
        <v>288</v>
      </c>
      <c r="D315">
        <v>20</v>
      </c>
      <c r="E315" s="80">
        <v>35265</v>
      </c>
    </row>
    <row r="316" spans="1:5">
      <c r="A316">
        <v>10261</v>
      </c>
      <c r="B316" t="s">
        <v>174</v>
      </c>
      <c r="C316">
        <v>288</v>
      </c>
      <c r="D316">
        <v>20</v>
      </c>
      <c r="E316" s="80">
        <v>35265</v>
      </c>
    </row>
    <row r="317" spans="1:5">
      <c r="A317">
        <v>10261</v>
      </c>
      <c r="B317" t="s">
        <v>175</v>
      </c>
      <c r="C317">
        <v>288</v>
      </c>
      <c r="D317">
        <v>20</v>
      </c>
      <c r="E317" s="80">
        <v>35265</v>
      </c>
    </row>
    <row r="318" spans="1:5">
      <c r="A318">
        <v>10261</v>
      </c>
      <c r="B318" t="s">
        <v>176</v>
      </c>
      <c r="C318">
        <v>288</v>
      </c>
      <c r="D318">
        <v>20</v>
      </c>
      <c r="E318" s="80">
        <v>35265</v>
      </c>
    </row>
    <row r="319" spans="1:5">
      <c r="A319">
        <v>10261</v>
      </c>
      <c r="B319" t="s">
        <v>177</v>
      </c>
      <c r="C319">
        <v>288</v>
      </c>
      <c r="D319">
        <v>20</v>
      </c>
      <c r="E319" s="80">
        <v>35265</v>
      </c>
    </row>
    <row r="320" spans="1:5">
      <c r="A320">
        <v>10261</v>
      </c>
      <c r="B320" t="s">
        <v>178</v>
      </c>
      <c r="C320">
        <v>288</v>
      </c>
      <c r="D320">
        <v>20</v>
      </c>
      <c r="E320" s="80">
        <v>35265</v>
      </c>
    </row>
    <row r="321" spans="1:5">
      <c r="A321">
        <v>10261</v>
      </c>
      <c r="B321" t="s">
        <v>179</v>
      </c>
      <c r="C321">
        <v>288</v>
      </c>
      <c r="D321">
        <v>20</v>
      </c>
      <c r="E321" s="80">
        <v>35265</v>
      </c>
    </row>
    <row r="322" spans="1:5">
      <c r="A322">
        <v>10262</v>
      </c>
      <c r="B322" t="s">
        <v>172</v>
      </c>
      <c r="C322">
        <v>163.19999939203262</v>
      </c>
      <c r="D322">
        <v>12</v>
      </c>
      <c r="E322" s="80">
        <v>35268</v>
      </c>
    </row>
    <row r="323" spans="1:5">
      <c r="A323">
        <v>10262</v>
      </c>
      <c r="B323" t="s">
        <v>173</v>
      </c>
      <c r="C323">
        <v>163.19999939203262</v>
      </c>
      <c r="D323">
        <v>12</v>
      </c>
      <c r="E323" s="80">
        <v>35268</v>
      </c>
    </row>
    <row r="324" spans="1:5">
      <c r="A324">
        <v>10262</v>
      </c>
      <c r="B324" t="s">
        <v>174</v>
      </c>
      <c r="C324">
        <v>163.19999939203262</v>
      </c>
      <c r="D324">
        <v>12</v>
      </c>
      <c r="E324" s="80">
        <v>35268</v>
      </c>
    </row>
    <row r="325" spans="1:5">
      <c r="A325">
        <v>10262</v>
      </c>
      <c r="B325" t="s">
        <v>175</v>
      </c>
      <c r="C325">
        <v>163.19999939203262</v>
      </c>
      <c r="D325">
        <v>12</v>
      </c>
      <c r="E325" s="80">
        <v>35268</v>
      </c>
    </row>
    <row r="326" spans="1:5">
      <c r="A326">
        <v>10262</v>
      </c>
      <c r="B326" t="s">
        <v>176</v>
      </c>
      <c r="C326">
        <v>163.19999939203262</v>
      </c>
      <c r="D326">
        <v>12</v>
      </c>
      <c r="E326" s="80">
        <v>35268</v>
      </c>
    </row>
    <row r="327" spans="1:5">
      <c r="A327">
        <v>10262</v>
      </c>
      <c r="B327" t="s">
        <v>177</v>
      </c>
      <c r="C327">
        <v>163.19999939203262</v>
      </c>
      <c r="D327">
        <v>12</v>
      </c>
      <c r="E327" s="80">
        <v>35268</v>
      </c>
    </row>
    <row r="328" spans="1:5">
      <c r="A328">
        <v>10262</v>
      </c>
      <c r="B328" t="s">
        <v>178</v>
      </c>
      <c r="C328">
        <v>163.19999939203262</v>
      </c>
      <c r="D328">
        <v>12</v>
      </c>
      <c r="E328" s="80">
        <v>35268</v>
      </c>
    </row>
    <row r="329" spans="1:5">
      <c r="A329">
        <v>10262</v>
      </c>
      <c r="B329" t="s">
        <v>179</v>
      </c>
      <c r="C329">
        <v>163.19999939203262</v>
      </c>
      <c r="D329">
        <v>12</v>
      </c>
      <c r="E329" s="80">
        <v>35268</v>
      </c>
    </row>
    <row r="330" spans="1:5">
      <c r="A330">
        <v>10262</v>
      </c>
      <c r="B330" t="s">
        <v>172</v>
      </c>
      <c r="C330">
        <v>360</v>
      </c>
      <c r="D330">
        <v>15</v>
      </c>
      <c r="E330" s="80">
        <v>35268</v>
      </c>
    </row>
    <row r="331" spans="1:5">
      <c r="A331">
        <v>10262</v>
      </c>
      <c r="B331" t="s">
        <v>173</v>
      </c>
      <c r="C331">
        <v>360</v>
      </c>
      <c r="D331">
        <v>15</v>
      </c>
      <c r="E331" s="80">
        <v>35268</v>
      </c>
    </row>
    <row r="332" spans="1:5">
      <c r="A332">
        <v>10262</v>
      </c>
      <c r="B332" t="s">
        <v>174</v>
      </c>
      <c r="C332">
        <v>360</v>
      </c>
      <c r="D332">
        <v>15</v>
      </c>
      <c r="E332" s="80">
        <v>35268</v>
      </c>
    </row>
    <row r="333" spans="1:5">
      <c r="A333">
        <v>10262</v>
      </c>
      <c r="B333" t="s">
        <v>175</v>
      </c>
      <c r="C333">
        <v>360</v>
      </c>
      <c r="D333">
        <v>15</v>
      </c>
      <c r="E333" s="80">
        <v>35268</v>
      </c>
    </row>
    <row r="334" spans="1:5">
      <c r="A334">
        <v>10262</v>
      </c>
      <c r="B334" t="s">
        <v>176</v>
      </c>
      <c r="C334">
        <v>360</v>
      </c>
      <c r="D334">
        <v>15</v>
      </c>
      <c r="E334" s="80">
        <v>35268</v>
      </c>
    </row>
    <row r="335" spans="1:5">
      <c r="A335">
        <v>10262</v>
      </c>
      <c r="B335" t="s">
        <v>177</v>
      </c>
      <c r="C335">
        <v>360</v>
      </c>
      <c r="D335">
        <v>15</v>
      </c>
      <c r="E335" s="80">
        <v>35268</v>
      </c>
    </row>
    <row r="336" spans="1:5">
      <c r="A336">
        <v>10262</v>
      </c>
      <c r="B336" t="s">
        <v>178</v>
      </c>
      <c r="C336">
        <v>360</v>
      </c>
      <c r="D336">
        <v>15</v>
      </c>
      <c r="E336" s="80">
        <v>35268</v>
      </c>
    </row>
    <row r="337" spans="1:5">
      <c r="A337">
        <v>10262</v>
      </c>
      <c r="B337" t="s">
        <v>179</v>
      </c>
      <c r="C337">
        <v>360</v>
      </c>
      <c r="D337">
        <v>15</v>
      </c>
      <c r="E337" s="80">
        <v>35268</v>
      </c>
    </row>
    <row r="338" spans="1:5">
      <c r="A338">
        <v>10262</v>
      </c>
      <c r="B338" t="s">
        <v>172</v>
      </c>
      <c r="C338">
        <v>60.8</v>
      </c>
      <c r="D338">
        <v>2</v>
      </c>
      <c r="E338" s="80">
        <v>35268</v>
      </c>
    </row>
    <row r="339" spans="1:5">
      <c r="A339">
        <v>10262</v>
      </c>
      <c r="B339" t="s">
        <v>173</v>
      </c>
      <c r="C339">
        <v>60.8</v>
      </c>
      <c r="D339">
        <v>2</v>
      </c>
      <c r="E339" s="80">
        <v>35268</v>
      </c>
    </row>
    <row r="340" spans="1:5">
      <c r="A340">
        <v>10262</v>
      </c>
      <c r="B340" t="s">
        <v>174</v>
      </c>
      <c r="C340">
        <v>60.8</v>
      </c>
      <c r="D340">
        <v>2</v>
      </c>
      <c r="E340" s="80">
        <v>35268</v>
      </c>
    </row>
    <row r="341" spans="1:5">
      <c r="A341">
        <v>10262</v>
      </c>
      <c r="B341" t="s">
        <v>175</v>
      </c>
      <c r="C341">
        <v>60.8</v>
      </c>
      <c r="D341">
        <v>2</v>
      </c>
      <c r="E341" s="80">
        <v>35268</v>
      </c>
    </row>
    <row r="342" spans="1:5">
      <c r="A342">
        <v>10262</v>
      </c>
      <c r="B342" t="s">
        <v>176</v>
      </c>
      <c r="C342">
        <v>60.8</v>
      </c>
      <c r="D342">
        <v>2</v>
      </c>
      <c r="E342" s="80">
        <v>35268</v>
      </c>
    </row>
    <row r="343" spans="1:5">
      <c r="A343">
        <v>10262</v>
      </c>
      <c r="B343" t="s">
        <v>177</v>
      </c>
      <c r="C343">
        <v>60.8</v>
      </c>
      <c r="D343">
        <v>2</v>
      </c>
      <c r="E343" s="80">
        <v>35268</v>
      </c>
    </row>
    <row r="344" spans="1:5">
      <c r="A344">
        <v>10262</v>
      </c>
      <c r="B344" t="s">
        <v>178</v>
      </c>
      <c r="C344">
        <v>60.8</v>
      </c>
      <c r="D344">
        <v>2</v>
      </c>
      <c r="E344" s="80">
        <v>35268</v>
      </c>
    </row>
    <row r="345" spans="1:5">
      <c r="A345">
        <v>10262</v>
      </c>
      <c r="B345" t="s">
        <v>179</v>
      </c>
      <c r="C345">
        <v>60.8</v>
      </c>
      <c r="D345">
        <v>2</v>
      </c>
      <c r="E345" s="80">
        <v>35268</v>
      </c>
    </row>
    <row r="346" spans="1:5">
      <c r="A346">
        <v>10263</v>
      </c>
      <c r="B346" t="s">
        <v>172</v>
      </c>
      <c r="C346">
        <v>625.5</v>
      </c>
      <c r="D346">
        <v>60</v>
      </c>
      <c r="E346" s="80">
        <v>35269</v>
      </c>
    </row>
    <row r="347" spans="1:5">
      <c r="A347">
        <v>10263</v>
      </c>
      <c r="B347" t="s">
        <v>173</v>
      </c>
      <c r="C347">
        <v>625.5</v>
      </c>
      <c r="D347">
        <v>60</v>
      </c>
      <c r="E347" s="80">
        <v>35269</v>
      </c>
    </row>
    <row r="348" spans="1:5">
      <c r="A348">
        <v>10263</v>
      </c>
      <c r="B348" t="s">
        <v>174</v>
      </c>
      <c r="C348">
        <v>625.5</v>
      </c>
      <c r="D348">
        <v>60</v>
      </c>
      <c r="E348" s="80">
        <v>35269</v>
      </c>
    </row>
    <row r="349" spans="1:5">
      <c r="A349">
        <v>10263</v>
      </c>
      <c r="B349" t="s">
        <v>175</v>
      </c>
      <c r="C349">
        <v>625.5</v>
      </c>
      <c r="D349">
        <v>60</v>
      </c>
      <c r="E349" s="80">
        <v>35269</v>
      </c>
    </row>
    <row r="350" spans="1:5">
      <c r="A350">
        <v>10263</v>
      </c>
      <c r="B350" t="s">
        <v>176</v>
      </c>
      <c r="C350">
        <v>625.5</v>
      </c>
      <c r="D350">
        <v>60</v>
      </c>
      <c r="E350" s="80">
        <v>35269</v>
      </c>
    </row>
    <row r="351" spans="1:5">
      <c r="A351">
        <v>10263</v>
      </c>
      <c r="B351" t="s">
        <v>177</v>
      </c>
      <c r="C351">
        <v>625.5</v>
      </c>
      <c r="D351">
        <v>60</v>
      </c>
      <c r="E351" s="80">
        <v>35269</v>
      </c>
    </row>
    <row r="352" spans="1:5">
      <c r="A352">
        <v>10263</v>
      </c>
      <c r="B352" t="s">
        <v>178</v>
      </c>
      <c r="C352">
        <v>625.5</v>
      </c>
      <c r="D352">
        <v>60</v>
      </c>
      <c r="E352" s="80">
        <v>35269</v>
      </c>
    </row>
    <row r="353" spans="1:5">
      <c r="A353">
        <v>10263</v>
      </c>
      <c r="B353" t="s">
        <v>179</v>
      </c>
      <c r="C353">
        <v>625.5</v>
      </c>
      <c r="D353">
        <v>60</v>
      </c>
      <c r="E353" s="80">
        <v>35269</v>
      </c>
    </row>
    <row r="354" spans="1:5">
      <c r="A354">
        <v>10263</v>
      </c>
      <c r="B354" t="s">
        <v>172</v>
      </c>
      <c r="C354">
        <v>100.8</v>
      </c>
      <c r="D354">
        <v>28</v>
      </c>
      <c r="E354" s="80">
        <v>35269</v>
      </c>
    </row>
    <row r="355" spans="1:5">
      <c r="A355">
        <v>10263</v>
      </c>
      <c r="B355" t="s">
        <v>173</v>
      </c>
      <c r="C355">
        <v>100.8</v>
      </c>
      <c r="D355">
        <v>28</v>
      </c>
      <c r="E355" s="80">
        <v>35269</v>
      </c>
    </row>
    <row r="356" spans="1:5">
      <c r="A356">
        <v>10263</v>
      </c>
      <c r="B356" t="s">
        <v>174</v>
      </c>
      <c r="C356">
        <v>100.8</v>
      </c>
      <c r="D356">
        <v>28</v>
      </c>
      <c r="E356" s="80">
        <v>35269</v>
      </c>
    </row>
    <row r="357" spans="1:5">
      <c r="A357">
        <v>10263</v>
      </c>
      <c r="B357" t="s">
        <v>175</v>
      </c>
      <c r="C357">
        <v>100.8</v>
      </c>
      <c r="D357">
        <v>28</v>
      </c>
      <c r="E357" s="80">
        <v>35269</v>
      </c>
    </row>
    <row r="358" spans="1:5">
      <c r="A358">
        <v>10263</v>
      </c>
      <c r="B358" t="s">
        <v>176</v>
      </c>
      <c r="C358">
        <v>100.8</v>
      </c>
      <c r="D358">
        <v>28</v>
      </c>
      <c r="E358" s="80">
        <v>35269</v>
      </c>
    </row>
    <row r="359" spans="1:5">
      <c r="A359">
        <v>10263</v>
      </c>
      <c r="B359" t="s">
        <v>177</v>
      </c>
      <c r="C359">
        <v>100.8</v>
      </c>
      <c r="D359">
        <v>28</v>
      </c>
      <c r="E359" s="80">
        <v>35269</v>
      </c>
    </row>
    <row r="360" spans="1:5">
      <c r="A360">
        <v>10263</v>
      </c>
      <c r="B360" t="s">
        <v>178</v>
      </c>
      <c r="C360">
        <v>100.8</v>
      </c>
      <c r="D360">
        <v>28</v>
      </c>
      <c r="E360" s="80">
        <v>35269</v>
      </c>
    </row>
    <row r="361" spans="1:5">
      <c r="A361">
        <v>10263</v>
      </c>
      <c r="B361" t="s">
        <v>179</v>
      </c>
      <c r="C361">
        <v>100.8</v>
      </c>
      <c r="D361">
        <v>28</v>
      </c>
      <c r="E361" s="80">
        <v>35269</v>
      </c>
    </row>
    <row r="362" spans="1:5">
      <c r="A362">
        <v>10263</v>
      </c>
      <c r="B362" t="s">
        <v>172</v>
      </c>
      <c r="C362">
        <v>931.5</v>
      </c>
      <c r="D362">
        <v>60</v>
      </c>
      <c r="E362" s="80">
        <v>35269</v>
      </c>
    </row>
    <row r="363" spans="1:5">
      <c r="A363">
        <v>10263</v>
      </c>
      <c r="B363" t="s">
        <v>173</v>
      </c>
      <c r="C363">
        <v>931.5</v>
      </c>
      <c r="D363">
        <v>60</v>
      </c>
      <c r="E363" s="80">
        <v>35269</v>
      </c>
    </row>
    <row r="364" spans="1:5">
      <c r="A364">
        <v>10263</v>
      </c>
      <c r="B364" t="s">
        <v>174</v>
      </c>
      <c r="C364">
        <v>931.5</v>
      </c>
      <c r="D364">
        <v>60</v>
      </c>
      <c r="E364" s="80">
        <v>35269</v>
      </c>
    </row>
    <row r="365" spans="1:5">
      <c r="A365">
        <v>10263</v>
      </c>
      <c r="B365" t="s">
        <v>175</v>
      </c>
      <c r="C365">
        <v>931.5</v>
      </c>
      <c r="D365">
        <v>60</v>
      </c>
      <c r="E365" s="80">
        <v>35269</v>
      </c>
    </row>
    <row r="366" spans="1:5">
      <c r="A366">
        <v>10263</v>
      </c>
      <c r="B366" t="s">
        <v>176</v>
      </c>
      <c r="C366">
        <v>931.5</v>
      </c>
      <c r="D366">
        <v>60</v>
      </c>
      <c r="E366" s="80">
        <v>35269</v>
      </c>
    </row>
    <row r="367" spans="1:5">
      <c r="A367">
        <v>10263</v>
      </c>
      <c r="B367" t="s">
        <v>177</v>
      </c>
      <c r="C367">
        <v>931.5</v>
      </c>
      <c r="D367">
        <v>60</v>
      </c>
      <c r="E367" s="80">
        <v>35269</v>
      </c>
    </row>
    <row r="368" spans="1:5">
      <c r="A368">
        <v>10263</v>
      </c>
      <c r="B368" t="s">
        <v>178</v>
      </c>
      <c r="C368">
        <v>931.5</v>
      </c>
      <c r="D368">
        <v>60</v>
      </c>
      <c r="E368" s="80">
        <v>35269</v>
      </c>
    </row>
    <row r="369" spans="1:5">
      <c r="A369">
        <v>10263</v>
      </c>
      <c r="B369" t="s">
        <v>179</v>
      </c>
      <c r="C369">
        <v>931.5</v>
      </c>
      <c r="D369">
        <v>60</v>
      </c>
      <c r="E369" s="80">
        <v>35269</v>
      </c>
    </row>
    <row r="370" spans="1:5">
      <c r="A370">
        <v>10263</v>
      </c>
      <c r="B370" t="s">
        <v>172</v>
      </c>
      <c r="C370">
        <v>216</v>
      </c>
      <c r="D370">
        <v>36</v>
      </c>
      <c r="E370" s="80">
        <v>35269</v>
      </c>
    </row>
    <row r="371" spans="1:5">
      <c r="A371">
        <v>10263</v>
      </c>
      <c r="B371" t="s">
        <v>173</v>
      </c>
      <c r="C371">
        <v>216</v>
      </c>
      <c r="D371">
        <v>36</v>
      </c>
      <c r="E371" s="80">
        <v>35269</v>
      </c>
    </row>
    <row r="372" spans="1:5">
      <c r="A372">
        <v>10263</v>
      </c>
      <c r="B372" t="s">
        <v>174</v>
      </c>
      <c r="C372">
        <v>216</v>
      </c>
      <c r="D372">
        <v>36</v>
      </c>
      <c r="E372" s="80">
        <v>35269</v>
      </c>
    </row>
    <row r="373" spans="1:5">
      <c r="A373">
        <v>10263</v>
      </c>
      <c r="B373" t="s">
        <v>175</v>
      </c>
      <c r="C373">
        <v>216</v>
      </c>
      <c r="D373">
        <v>36</v>
      </c>
      <c r="E373" s="80">
        <v>35269</v>
      </c>
    </row>
    <row r="374" spans="1:5">
      <c r="A374">
        <v>10263</v>
      </c>
      <c r="B374" t="s">
        <v>176</v>
      </c>
      <c r="C374">
        <v>216</v>
      </c>
      <c r="D374">
        <v>36</v>
      </c>
      <c r="E374" s="80">
        <v>35269</v>
      </c>
    </row>
    <row r="375" spans="1:5">
      <c r="A375">
        <v>10263</v>
      </c>
      <c r="B375" t="s">
        <v>177</v>
      </c>
      <c r="C375">
        <v>216</v>
      </c>
      <c r="D375">
        <v>36</v>
      </c>
      <c r="E375" s="80">
        <v>35269</v>
      </c>
    </row>
    <row r="376" spans="1:5">
      <c r="A376">
        <v>10263</v>
      </c>
      <c r="B376" t="s">
        <v>178</v>
      </c>
      <c r="C376">
        <v>216</v>
      </c>
      <c r="D376">
        <v>36</v>
      </c>
      <c r="E376" s="80">
        <v>35269</v>
      </c>
    </row>
    <row r="377" spans="1:5">
      <c r="A377">
        <v>10263</v>
      </c>
      <c r="B377" t="s">
        <v>179</v>
      </c>
      <c r="C377">
        <v>216</v>
      </c>
      <c r="D377">
        <v>36</v>
      </c>
      <c r="E377" s="80">
        <v>35269</v>
      </c>
    </row>
    <row r="378" spans="1:5">
      <c r="A378">
        <v>10264</v>
      </c>
      <c r="B378" t="s">
        <v>172</v>
      </c>
      <c r="C378">
        <v>532</v>
      </c>
      <c r="D378">
        <v>35</v>
      </c>
      <c r="E378" s="80">
        <v>35270</v>
      </c>
    </row>
    <row r="379" spans="1:5">
      <c r="A379">
        <v>10264</v>
      </c>
      <c r="B379" t="s">
        <v>173</v>
      </c>
      <c r="C379">
        <v>532</v>
      </c>
      <c r="D379">
        <v>35</v>
      </c>
      <c r="E379" s="80">
        <v>35270</v>
      </c>
    </row>
    <row r="380" spans="1:5">
      <c r="A380">
        <v>10264</v>
      </c>
      <c r="B380" t="s">
        <v>174</v>
      </c>
      <c r="C380">
        <v>532</v>
      </c>
      <c r="D380">
        <v>35</v>
      </c>
      <c r="E380" s="80">
        <v>35270</v>
      </c>
    </row>
    <row r="381" spans="1:5">
      <c r="A381">
        <v>10264</v>
      </c>
      <c r="B381" t="s">
        <v>175</v>
      </c>
      <c r="C381">
        <v>532</v>
      </c>
      <c r="D381">
        <v>35</v>
      </c>
      <c r="E381" s="80">
        <v>35270</v>
      </c>
    </row>
    <row r="382" spans="1:5">
      <c r="A382">
        <v>10264</v>
      </c>
      <c r="B382" t="s">
        <v>176</v>
      </c>
      <c r="C382">
        <v>532</v>
      </c>
      <c r="D382">
        <v>35</v>
      </c>
      <c r="E382" s="80">
        <v>35270</v>
      </c>
    </row>
    <row r="383" spans="1:5">
      <c r="A383">
        <v>10264</v>
      </c>
      <c r="B383" t="s">
        <v>177</v>
      </c>
      <c r="C383">
        <v>532</v>
      </c>
      <c r="D383">
        <v>35</v>
      </c>
      <c r="E383" s="80">
        <v>35270</v>
      </c>
    </row>
    <row r="384" spans="1:5">
      <c r="A384">
        <v>10264</v>
      </c>
      <c r="B384" t="s">
        <v>178</v>
      </c>
      <c r="C384">
        <v>532</v>
      </c>
      <c r="D384">
        <v>35</v>
      </c>
      <c r="E384" s="80">
        <v>35270</v>
      </c>
    </row>
    <row r="385" spans="1:5">
      <c r="A385">
        <v>10264</v>
      </c>
      <c r="B385" t="s">
        <v>179</v>
      </c>
      <c r="C385">
        <v>532</v>
      </c>
      <c r="D385">
        <v>35</v>
      </c>
      <c r="E385" s="80">
        <v>35270</v>
      </c>
    </row>
    <row r="386" spans="1:5">
      <c r="A386">
        <v>10264</v>
      </c>
      <c r="B386" t="s">
        <v>172</v>
      </c>
      <c r="C386">
        <v>163.62499885261059</v>
      </c>
      <c r="D386">
        <v>25</v>
      </c>
      <c r="E386" s="80">
        <v>35270</v>
      </c>
    </row>
    <row r="387" spans="1:5">
      <c r="A387">
        <v>10264</v>
      </c>
      <c r="B387" t="s">
        <v>173</v>
      </c>
      <c r="C387">
        <v>163.62499885261059</v>
      </c>
      <c r="D387">
        <v>25</v>
      </c>
      <c r="E387" s="80">
        <v>35270</v>
      </c>
    </row>
    <row r="388" spans="1:5">
      <c r="A388">
        <v>10264</v>
      </c>
      <c r="B388" t="s">
        <v>174</v>
      </c>
      <c r="C388">
        <v>163.62499885261059</v>
      </c>
      <c r="D388">
        <v>25</v>
      </c>
      <c r="E388" s="80">
        <v>35270</v>
      </c>
    </row>
    <row r="389" spans="1:5">
      <c r="A389">
        <v>10264</v>
      </c>
      <c r="B389" t="s">
        <v>175</v>
      </c>
      <c r="C389">
        <v>163.62499885261059</v>
      </c>
      <c r="D389">
        <v>25</v>
      </c>
      <c r="E389" s="80">
        <v>35270</v>
      </c>
    </row>
    <row r="390" spans="1:5">
      <c r="A390">
        <v>10264</v>
      </c>
      <c r="B390" t="s">
        <v>176</v>
      </c>
      <c r="C390">
        <v>163.62499885261059</v>
      </c>
      <c r="D390">
        <v>25</v>
      </c>
      <c r="E390" s="80">
        <v>35270</v>
      </c>
    </row>
    <row r="391" spans="1:5">
      <c r="A391">
        <v>10264</v>
      </c>
      <c r="B391" t="s">
        <v>177</v>
      </c>
      <c r="C391">
        <v>163.62499885261059</v>
      </c>
      <c r="D391">
        <v>25</v>
      </c>
      <c r="E391" s="80">
        <v>35270</v>
      </c>
    </row>
    <row r="392" spans="1:5">
      <c r="A392">
        <v>10264</v>
      </c>
      <c r="B392" t="s">
        <v>178</v>
      </c>
      <c r="C392">
        <v>163.62499885261059</v>
      </c>
      <c r="D392">
        <v>25</v>
      </c>
      <c r="E392" s="80">
        <v>35270</v>
      </c>
    </row>
    <row r="393" spans="1:5">
      <c r="A393">
        <v>10264</v>
      </c>
      <c r="B393" t="s">
        <v>179</v>
      </c>
      <c r="C393">
        <v>163.62499885261059</v>
      </c>
      <c r="D393">
        <v>25</v>
      </c>
      <c r="E393" s="80">
        <v>35270</v>
      </c>
    </row>
    <row r="394" spans="1:5">
      <c r="A394">
        <v>10265</v>
      </c>
      <c r="B394" t="s">
        <v>172</v>
      </c>
      <c r="C394">
        <v>936</v>
      </c>
      <c r="D394">
        <v>30</v>
      </c>
      <c r="E394" s="80">
        <v>35271</v>
      </c>
    </row>
    <row r="395" spans="1:5">
      <c r="A395">
        <v>10265</v>
      </c>
      <c r="B395" t="s">
        <v>173</v>
      </c>
      <c r="C395">
        <v>936</v>
      </c>
      <c r="D395">
        <v>30</v>
      </c>
      <c r="E395" s="80">
        <v>35271</v>
      </c>
    </row>
    <row r="396" spans="1:5">
      <c r="A396">
        <v>10265</v>
      </c>
      <c r="B396" t="s">
        <v>174</v>
      </c>
      <c r="C396">
        <v>936</v>
      </c>
      <c r="D396">
        <v>30</v>
      </c>
      <c r="E396" s="80">
        <v>35271</v>
      </c>
    </row>
    <row r="397" spans="1:5">
      <c r="A397">
        <v>10265</v>
      </c>
      <c r="B397" t="s">
        <v>175</v>
      </c>
      <c r="C397">
        <v>936</v>
      </c>
      <c r="D397">
        <v>30</v>
      </c>
      <c r="E397" s="80">
        <v>35271</v>
      </c>
    </row>
    <row r="398" spans="1:5">
      <c r="A398">
        <v>10265</v>
      </c>
      <c r="B398" t="s">
        <v>176</v>
      </c>
      <c r="C398">
        <v>936</v>
      </c>
      <c r="D398">
        <v>30</v>
      </c>
      <c r="E398" s="80">
        <v>35271</v>
      </c>
    </row>
    <row r="399" spans="1:5">
      <c r="A399">
        <v>10265</v>
      </c>
      <c r="B399" t="s">
        <v>177</v>
      </c>
      <c r="C399">
        <v>936</v>
      </c>
      <c r="D399">
        <v>30</v>
      </c>
      <c r="E399" s="80">
        <v>35271</v>
      </c>
    </row>
    <row r="400" spans="1:5">
      <c r="A400">
        <v>10265</v>
      </c>
      <c r="B400" t="s">
        <v>178</v>
      </c>
      <c r="C400">
        <v>936</v>
      </c>
      <c r="D400">
        <v>30</v>
      </c>
      <c r="E400" s="80">
        <v>35271</v>
      </c>
    </row>
    <row r="401" spans="1:5">
      <c r="A401">
        <v>10265</v>
      </c>
      <c r="B401" t="s">
        <v>179</v>
      </c>
      <c r="C401">
        <v>936</v>
      </c>
      <c r="D401">
        <v>30</v>
      </c>
      <c r="E401" s="80">
        <v>35271</v>
      </c>
    </row>
    <row r="402" spans="1:5">
      <c r="A402">
        <v>10265</v>
      </c>
      <c r="B402" t="s">
        <v>172</v>
      </c>
      <c r="C402">
        <v>240</v>
      </c>
      <c r="D402">
        <v>20</v>
      </c>
      <c r="E402" s="80">
        <v>35271</v>
      </c>
    </row>
    <row r="403" spans="1:5">
      <c r="A403">
        <v>10265</v>
      </c>
      <c r="B403" t="s">
        <v>173</v>
      </c>
      <c r="C403">
        <v>240</v>
      </c>
      <c r="D403">
        <v>20</v>
      </c>
      <c r="E403" s="80">
        <v>35271</v>
      </c>
    </row>
    <row r="404" spans="1:5">
      <c r="A404">
        <v>10265</v>
      </c>
      <c r="B404" t="s">
        <v>174</v>
      </c>
      <c r="C404">
        <v>240</v>
      </c>
      <c r="D404">
        <v>20</v>
      </c>
      <c r="E404" s="80">
        <v>35271</v>
      </c>
    </row>
    <row r="405" spans="1:5">
      <c r="A405">
        <v>10265</v>
      </c>
      <c r="B405" t="s">
        <v>175</v>
      </c>
      <c r="C405">
        <v>240</v>
      </c>
      <c r="D405">
        <v>20</v>
      </c>
      <c r="E405" s="80">
        <v>35271</v>
      </c>
    </row>
    <row r="406" spans="1:5">
      <c r="A406">
        <v>10265</v>
      </c>
      <c r="B406" t="s">
        <v>176</v>
      </c>
      <c r="C406">
        <v>240</v>
      </c>
      <c r="D406">
        <v>20</v>
      </c>
      <c r="E406" s="80">
        <v>35271</v>
      </c>
    </row>
    <row r="407" spans="1:5">
      <c r="A407">
        <v>10265</v>
      </c>
      <c r="B407" t="s">
        <v>177</v>
      </c>
      <c r="C407">
        <v>240</v>
      </c>
      <c r="D407">
        <v>20</v>
      </c>
      <c r="E407" s="80">
        <v>35271</v>
      </c>
    </row>
    <row r="408" spans="1:5">
      <c r="A408">
        <v>10265</v>
      </c>
      <c r="B408" t="s">
        <v>178</v>
      </c>
      <c r="C408">
        <v>240</v>
      </c>
      <c r="D408">
        <v>20</v>
      </c>
      <c r="E408" s="80">
        <v>35271</v>
      </c>
    </row>
    <row r="409" spans="1:5">
      <c r="A409">
        <v>10265</v>
      </c>
      <c r="B409" t="s">
        <v>179</v>
      </c>
      <c r="C409">
        <v>240</v>
      </c>
      <c r="D409">
        <v>20</v>
      </c>
      <c r="E409" s="80">
        <v>35271</v>
      </c>
    </row>
    <row r="410" spans="1:5">
      <c r="A410">
        <v>10266</v>
      </c>
      <c r="B410" t="s">
        <v>172</v>
      </c>
      <c r="C410">
        <v>346.55999972820285</v>
      </c>
      <c r="D410">
        <v>12</v>
      </c>
      <c r="E410" s="80">
        <v>35272</v>
      </c>
    </row>
    <row r="411" spans="1:5">
      <c r="A411">
        <v>10266</v>
      </c>
      <c r="B411" t="s">
        <v>173</v>
      </c>
      <c r="C411">
        <v>346.55999972820285</v>
      </c>
      <c r="D411">
        <v>12</v>
      </c>
      <c r="E411" s="80">
        <v>35272</v>
      </c>
    </row>
    <row r="412" spans="1:5">
      <c r="A412">
        <v>10266</v>
      </c>
      <c r="B412" t="s">
        <v>174</v>
      </c>
      <c r="C412">
        <v>346.55999972820285</v>
      </c>
      <c r="D412">
        <v>12</v>
      </c>
      <c r="E412" s="80">
        <v>35272</v>
      </c>
    </row>
    <row r="413" spans="1:5">
      <c r="A413">
        <v>10266</v>
      </c>
      <c r="B413" t="s">
        <v>175</v>
      </c>
      <c r="C413">
        <v>346.55999972820285</v>
      </c>
      <c r="D413">
        <v>12</v>
      </c>
      <c r="E413" s="80">
        <v>35272</v>
      </c>
    </row>
    <row r="414" spans="1:5">
      <c r="A414">
        <v>10266</v>
      </c>
      <c r="B414" t="s">
        <v>176</v>
      </c>
      <c r="C414">
        <v>346.55999972820285</v>
      </c>
      <c r="D414">
        <v>12</v>
      </c>
      <c r="E414" s="80">
        <v>35272</v>
      </c>
    </row>
    <row r="415" spans="1:5">
      <c r="A415">
        <v>10266</v>
      </c>
      <c r="B415" t="s">
        <v>177</v>
      </c>
      <c r="C415">
        <v>346.55999972820285</v>
      </c>
      <c r="D415">
        <v>12</v>
      </c>
      <c r="E415" s="80">
        <v>35272</v>
      </c>
    </row>
    <row r="416" spans="1:5">
      <c r="A416">
        <v>10266</v>
      </c>
      <c r="B416" t="s">
        <v>178</v>
      </c>
      <c r="C416">
        <v>346.55999972820285</v>
      </c>
      <c r="D416">
        <v>12</v>
      </c>
      <c r="E416" s="80">
        <v>35272</v>
      </c>
    </row>
    <row r="417" spans="1:5">
      <c r="A417">
        <v>10266</v>
      </c>
      <c r="B417" t="s">
        <v>179</v>
      </c>
      <c r="C417">
        <v>346.55999972820285</v>
      </c>
      <c r="D417">
        <v>12</v>
      </c>
      <c r="E417" s="80">
        <v>35272</v>
      </c>
    </row>
    <row r="418" spans="1:5">
      <c r="A418">
        <v>10267</v>
      </c>
      <c r="B418" t="s">
        <v>172</v>
      </c>
      <c r="C418">
        <v>735</v>
      </c>
      <c r="D418">
        <v>50</v>
      </c>
      <c r="E418" s="80">
        <v>35275</v>
      </c>
    </row>
    <row r="419" spans="1:5">
      <c r="A419">
        <v>10267</v>
      </c>
      <c r="B419" t="s">
        <v>173</v>
      </c>
      <c r="C419">
        <v>735</v>
      </c>
      <c r="D419">
        <v>50</v>
      </c>
      <c r="E419" s="80">
        <v>35275</v>
      </c>
    </row>
    <row r="420" spans="1:5">
      <c r="A420">
        <v>10267</v>
      </c>
      <c r="B420" t="s">
        <v>174</v>
      </c>
      <c r="C420">
        <v>735</v>
      </c>
      <c r="D420">
        <v>50</v>
      </c>
      <c r="E420" s="80">
        <v>35275</v>
      </c>
    </row>
    <row r="421" spans="1:5">
      <c r="A421">
        <v>10267</v>
      </c>
      <c r="B421" t="s">
        <v>175</v>
      </c>
      <c r="C421">
        <v>735</v>
      </c>
      <c r="D421">
        <v>50</v>
      </c>
      <c r="E421" s="80">
        <v>35275</v>
      </c>
    </row>
    <row r="422" spans="1:5">
      <c r="A422">
        <v>10267</v>
      </c>
      <c r="B422" t="s">
        <v>176</v>
      </c>
      <c r="C422">
        <v>735</v>
      </c>
      <c r="D422">
        <v>50</v>
      </c>
      <c r="E422" s="80">
        <v>35275</v>
      </c>
    </row>
    <row r="423" spans="1:5">
      <c r="A423">
        <v>10267</v>
      </c>
      <c r="B423" t="s">
        <v>177</v>
      </c>
      <c r="C423">
        <v>735</v>
      </c>
      <c r="D423">
        <v>50</v>
      </c>
      <c r="E423" s="80">
        <v>35275</v>
      </c>
    </row>
    <row r="424" spans="1:5">
      <c r="A424">
        <v>10267</v>
      </c>
      <c r="B424" t="s">
        <v>178</v>
      </c>
      <c r="C424">
        <v>735</v>
      </c>
      <c r="D424">
        <v>50</v>
      </c>
      <c r="E424" s="80">
        <v>35275</v>
      </c>
    </row>
    <row r="425" spans="1:5">
      <c r="A425">
        <v>10267</v>
      </c>
      <c r="B425" t="s">
        <v>179</v>
      </c>
      <c r="C425">
        <v>735</v>
      </c>
      <c r="D425">
        <v>50</v>
      </c>
      <c r="E425" s="80">
        <v>35275</v>
      </c>
    </row>
    <row r="426" spans="1:5">
      <c r="A426">
        <v>10267</v>
      </c>
      <c r="B426" t="s">
        <v>172</v>
      </c>
      <c r="C426">
        <v>2617.9999816417694</v>
      </c>
      <c r="D426">
        <v>70</v>
      </c>
      <c r="E426" s="80">
        <v>35275</v>
      </c>
    </row>
    <row r="427" spans="1:5">
      <c r="A427">
        <v>10267</v>
      </c>
      <c r="B427" t="s">
        <v>173</v>
      </c>
      <c r="C427">
        <v>2617.9999816417694</v>
      </c>
      <c r="D427">
        <v>70</v>
      </c>
      <c r="E427" s="80">
        <v>35275</v>
      </c>
    </row>
    <row r="428" spans="1:5">
      <c r="A428">
        <v>10267</v>
      </c>
      <c r="B428" t="s">
        <v>174</v>
      </c>
      <c r="C428">
        <v>2617.9999816417694</v>
      </c>
      <c r="D428">
        <v>70</v>
      </c>
      <c r="E428" s="80">
        <v>35275</v>
      </c>
    </row>
    <row r="429" spans="1:5">
      <c r="A429">
        <v>10267</v>
      </c>
      <c r="B429" t="s">
        <v>175</v>
      </c>
      <c r="C429">
        <v>2617.9999816417694</v>
      </c>
      <c r="D429">
        <v>70</v>
      </c>
      <c r="E429" s="80">
        <v>35275</v>
      </c>
    </row>
    <row r="430" spans="1:5">
      <c r="A430">
        <v>10267</v>
      </c>
      <c r="B430" t="s">
        <v>176</v>
      </c>
      <c r="C430">
        <v>2617.9999816417694</v>
      </c>
      <c r="D430">
        <v>70</v>
      </c>
      <c r="E430" s="80">
        <v>35275</v>
      </c>
    </row>
    <row r="431" spans="1:5">
      <c r="A431">
        <v>10267</v>
      </c>
      <c r="B431" t="s">
        <v>177</v>
      </c>
      <c r="C431">
        <v>2617.9999816417694</v>
      </c>
      <c r="D431">
        <v>70</v>
      </c>
      <c r="E431" s="80">
        <v>35275</v>
      </c>
    </row>
    <row r="432" spans="1:5">
      <c r="A432">
        <v>10267</v>
      </c>
      <c r="B432" t="s">
        <v>178</v>
      </c>
      <c r="C432">
        <v>2617.9999816417694</v>
      </c>
      <c r="D432">
        <v>70</v>
      </c>
      <c r="E432" s="80">
        <v>35275</v>
      </c>
    </row>
    <row r="433" spans="1:5">
      <c r="A433">
        <v>10267</v>
      </c>
      <c r="B433" t="s">
        <v>179</v>
      </c>
      <c r="C433">
        <v>2617.9999816417694</v>
      </c>
      <c r="D433">
        <v>70</v>
      </c>
      <c r="E433" s="80">
        <v>35275</v>
      </c>
    </row>
    <row r="434" spans="1:5">
      <c r="A434">
        <v>10267</v>
      </c>
      <c r="B434" t="s">
        <v>172</v>
      </c>
      <c r="C434">
        <v>183.59999871253967</v>
      </c>
      <c r="D434">
        <v>15</v>
      </c>
      <c r="E434" s="80">
        <v>35275</v>
      </c>
    </row>
    <row r="435" spans="1:5">
      <c r="A435">
        <v>10267</v>
      </c>
      <c r="B435" t="s">
        <v>173</v>
      </c>
      <c r="C435">
        <v>183.59999871253967</v>
      </c>
      <c r="D435">
        <v>15</v>
      </c>
      <c r="E435" s="80">
        <v>35275</v>
      </c>
    </row>
    <row r="436" spans="1:5">
      <c r="A436">
        <v>10267</v>
      </c>
      <c r="B436" t="s">
        <v>174</v>
      </c>
      <c r="C436">
        <v>183.59999871253967</v>
      </c>
      <c r="D436">
        <v>15</v>
      </c>
      <c r="E436" s="80">
        <v>35275</v>
      </c>
    </row>
    <row r="437" spans="1:5">
      <c r="A437">
        <v>10267</v>
      </c>
      <c r="B437" t="s">
        <v>175</v>
      </c>
      <c r="C437">
        <v>183.59999871253967</v>
      </c>
      <c r="D437">
        <v>15</v>
      </c>
      <c r="E437" s="80">
        <v>35275</v>
      </c>
    </row>
    <row r="438" spans="1:5">
      <c r="A438">
        <v>10267</v>
      </c>
      <c r="B438" t="s">
        <v>176</v>
      </c>
      <c r="C438">
        <v>183.59999871253967</v>
      </c>
      <c r="D438">
        <v>15</v>
      </c>
      <c r="E438" s="80">
        <v>35275</v>
      </c>
    </row>
    <row r="439" spans="1:5">
      <c r="A439">
        <v>10267</v>
      </c>
      <c r="B439" t="s">
        <v>177</v>
      </c>
      <c r="C439">
        <v>183.59999871253967</v>
      </c>
      <c r="D439">
        <v>15</v>
      </c>
      <c r="E439" s="80">
        <v>35275</v>
      </c>
    </row>
    <row r="440" spans="1:5">
      <c r="A440">
        <v>10267</v>
      </c>
      <c r="B440" t="s">
        <v>178</v>
      </c>
      <c r="C440">
        <v>183.59999871253967</v>
      </c>
      <c r="D440">
        <v>15</v>
      </c>
      <c r="E440" s="80">
        <v>35275</v>
      </c>
    </row>
    <row r="441" spans="1:5">
      <c r="A441">
        <v>10267</v>
      </c>
      <c r="B441" t="s">
        <v>179</v>
      </c>
      <c r="C441">
        <v>183.59999871253967</v>
      </c>
      <c r="D441">
        <v>15</v>
      </c>
      <c r="E441" s="80">
        <v>35275</v>
      </c>
    </row>
    <row r="442" spans="1:5">
      <c r="A442">
        <v>10268</v>
      </c>
      <c r="B442" t="s">
        <v>172</v>
      </c>
      <c r="C442">
        <v>990</v>
      </c>
      <c r="D442">
        <v>10</v>
      </c>
      <c r="E442" s="80">
        <v>35276</v>
      </c>
    </row>
    <row r="443" spans="1:5">
      <c r="A443">
        <v>10268</v>
      </c>
      <c r="B443" t="s">
        <v>173</v>
      </c>
      <c r="C443">
        <v>990</v>
      </c>
      <c r="D443">
        <v>10</v>
      </c>
      <c r="E443" s="80">
        <v>35276</v>
      </c>
    </row>
    <row r="444" spans="1:5">
      <c r="A444">
        <v>10268</v>
      </c>
      <c r="B444" t="s">
        <v>174</v>
      </c>
      <c r="C444">
        <v>990</v>
      </c>
      <c r="D444">
        <v>10</v>
      </c>
      <c r="E444" s="80">
        <v>35276</v>
      </c>
    </row>
    <row r="445" spans="1:5">
      <c r="A445">
        <v>10268</v>
      </c>
      <c r="B445" t="s">
        <v>175</v>
      </c>
      <c r="C445">
        <v>990</v>
      </c>
      <c r="D445">
        <v>10</v>
      </c>
      <c r="E445" s="80">
        <v>35276</v>
      </c>
    </row>
    <row r="446" spans="1:5">
      <c r="A446">
        <v>10268</v>
      </c>
      <c r="B446" t="s">
        <v>176</v>
      </c>
      <c r="C446">
        <v>990</v>
      </c>
      <c r="D446">
        <v>10</v>
      </c>
      <c r="E446" s="80">
        <v>35276</v>
      </c>
    </row>
    <row r="447" spans="1:5">
      <c r="A447">
        <v>10268</v>
      </c>
      <c r="B447" t="s">
        <v>177</v>
      </c>
      <c r="C447">
        <v>990</v>
      </c>
      <c r="D447">
        <v>10</v>
      </c>
      <c r="E447" s="80">
        <v>35276</v>
      </c>
    </row>
    <row r="448" spans="1:5">
      <c r="A448">
        <v>10268</v>
      </c>
      <c r="B448" t="s">
        <v>178</v>
      </c>
      <c r="C448">
        <v>990</v>
      </c>
      <c r="D448">
        <v>10</v>
      </c>
      <c r="E448" s="80">
        <v>35276</v>
      </c>
    </row>
    <row r="449" spans="1:5">
      <c r="A449">
        <v>10268</v>
      </c>
      <c r="B449" t="s">
        <v>179</v>
      </c>
      <c r="C449">
        <v>990</v>
      </c>
      <c r="D449">
        <v>10</v>
      </c>
      <c r="E449" s="80">
        <v>35276</v>
      </c>
    </row>
    <row r="450" spans="1:5">
      <c r="A450">
        <v>10268</v>
      </c>
      <c r="B450" t="s">
        <v>172</v>
      </c>
      <c r="C450">
        <v>111.2</v>
      </c>
      <c r="D450">
        <v>4</v>
      </c>
      <c r="E450" s="80">
        <v>35276</v>
      </c>
    </row>
    <row r="451" spans="1:5">
      <c r="A451">
        <v>10268</v>
      </c>
      <c r="B451" t="s">
        <v>173</v>
      </c>
      <c r="C451">
        <v>111.2</v>
      </c>
      <c r="D451">
        <v>4</v>
      </c>
      <c r="E451" s="80">
        <v>35276</v>
      </c>
    </row>
    <row r="452" spans="1:5">
      <c r="A452">
        <v>10268</v>
      </c>
      <c r="B452" t="s">
        <v>174</v>
      </c>
      <c r="C452">
        <v>111.2</v>
      </c>
      <c r="D452">
        <v>4</v>
      </c>
      <c r="E452" s="80">
        <v>35276</v>
      </c>
    </row>
    <row r="453" spans="1:5">
      <c r="A453">
        <v>10268</v>
      </c>
      <c r="B453" t="s">
        <v>175</v>
      </c>
      <c r="C453">
        <v>111.2</v>
      </c>
      <c r="D453">
        <v>4</v>
      </c>
      <c r="E453" s="80">
        <v>35276</v>
      </c>
    </row>
    <row r="454" spans="1:5">
      <c r="A454">
        <v>10268</v>
      </c>
      <c r="B454" t="s">
        <v>176</v>
      </c>
      <c r="C454">
        <v>111.2</v>
      </c>
      <c r="D454">
        <v>4</v>
      </c>
      <c r="E454" s="80">
        <v>35276</v>
      </c>
    </row>
    <row r="455" spans="1:5">
      <c r="A455">
        <v>10268</v>
      </c>
      <c r="B455" t="s">
        <v>177</v>
      </c>
      <c r="C455">
        <v>111.2</v>
      </c>
      <c r="D455">
        <v>4</v>
      </c>
      <c r="E455" s="80">
        <v>35276</v>
      </c>
    </row>
    <row r="456" spans="1:5">
      <c r="A456">
        <v>10268</v>
      </c>
      <c r="B456" t="s">
        <v>178</v>
      </c>
      <c r="C456">
        <v>111.2</v>
      </c>
      <c r="D456">
        <v>4</v>
      </c>
      <c r="E456" s="80">
        <v>35276</v>
      </c>
    </row>
    <row r="457" spans="1:5">
      <c r="A457">
        <v>10268</v>
      </c>
      <c r="B457" t="s">
        <v>179</v>
      </c>
      <c r="C457">
        <v>111.2</v>
      </c>
      <c r="D457">
        <v>4</v>
      </c>
      <c r="E457" s="80">
        <v>35276</v>
      </c>
    </row>
    <row r="458" spans="1:5">
      <c r="A458">
        <v>10269</v>
      </c>
      <c r="B458" t="s">
        <v>172</v>
      </c>
      <c r="C458">
        <v>113.99999991059303</v>
      </c>
      <c r="D458">
        <v>60</v>
      </c>
      <c r="E458" s="80">
        <v>35277</v>
      </c>
    </row>
    <row r="459" spans="1:5">
      <c r="A459">
        <v>10269</v>
      </c>
      <c r="B459" t="s">
        <v>173</v>
      </c>
      <c r="C459">
        <v>113.99999991059303</v>
      </c>
      <c r="D459">
        <v>60</v>
      </c>
      <c r="E459" s="80">
        <v>35277</v>
      </c>
    </row>
    <row r="460" spans="1:5">
      <c r="A460">
        <v>10269</v>
      </c>
      <c r="B460" t="s">
        <v>174</v>
      </c>
      <c r="C460">
        <v>113.99999991059303</v>
      </c>
      <c r="D460">
        <v>60</v>
      </c>
      <c r="E460" s="80">
        <v>35277</v>
      </c>
    </row>
    <row r="461" spans="1:5">
      <c r="A461">
        <v>10269</v>
      </c>
      <c r="B461" t="s">
        <v>175</v>
      </c>
      <c r="C461">
        <v>113.99999991059303</v>
      </c>
      <c r="D461">
        <v>60</v>
      </c>
      <c r="E461" s="80">
        <v>35277</v>
      </c>
    </row>
    <row r="462" spans="1:5">
      <c r="A462">
        <v>10269</v>
      </c>
      <c r="B462" t="s">
        <v>176</v>
      </c>
      <c r="C462">
        <v>113.99999991059303</v>
      </c>
      <c r="D462">
        <v>60</v>
      </c>
      <c r="E462" s="80">
        <v>35277</v>
      </c>
    </row>
    <row r="463" spans="1:5">
      <c r="A463">
        <v>10269</v>
      </c>
      <c r="B463" t="s">
        <v>177</v>
      </c>
      <c r="C463">
        <v>113.99999991059303</v>
      </c>
      <c r="D463">
        <v>60</v>
      </c>
      <c r="E463" s="80">
        <v>35277</v>
      </c>
    </row>
    <row r="464" spans="1:5">
      <c r="A464">
        <v>10269</v>
      </c>
      <c r="B464" t="s">
        <v>178</v>
      </c>
      <c r="C464">
        <v>113.99999991059303</v>
      </c>
      <c r="D464">
        <v>60</v>
      </c>
      <c r="E464" s="80">
        <v>35277</v>
      </c>
    </row>
    <row r="465" spans="1:5">
      <c r="A465">
        <v>10269</v>
      </c>
      <c r="B465" t="s">
        <v>179</v>
      </c>
      <c r="C465">
        <v>113.99999991059303</v>
      </c>
      <c r="D465">
        <v>60</v>
      </c>
      <c r="E465" s="80">
        <v>35277</v>
      </c>
    </row>
    <row r="466" spans="1:5">
      <c r="A466">
        <v>10269</v>
      </c>
      <c r="B466" t="s">
        <v>172</v>
      </c>
      <c r="C466">
        <v>528.19999958574772</v>
      </c>
      <c r="D466">
        <v>20</v>
      </c>
      <c r="E466" s="80">
        <v>35277</v>
      </c>
    </row>
    <row r="467" spans="1:5">
      <c r="A467">
        <v>10269</v>
      </c>
      <c r="B467" t="s">
        <v>173</v>
      </c>
      <c r="C467">
        <v>528.19999958574772</v>
      </c>
      <c r="D467">
        <v>20</v>
      </c>
      <c r="E467" s="80">
        <v>35277</v>
      </c>
    </row>
    <row r="468" spans="1:5">
      <c r="A468">
        <v>10269</v>
      </c>
      <c r="B468" t="s">
        <v>174</v>
      </c>
      <c r="C468">
        <v>528.19999958574772</v>
      </c>
      <c r="D468">
        <v>20</v>
      </c>
      <c r="E468" s="80">
        <v>35277</v>
      </c>
    </row>
    <row r="469" spans="1:5">
      <c r="A469">
        <v>10269</v>
      </c>
      <c r="B469" t="s">
        <v>175</v>
      </c>
      <c r="C469">
        <v>528.19999958574772</v>
      </c>
      <c r="D469">
        <v>20</v>
      </c>
      <c r="E469" s="80">
        <v>35277</v>
      </c>
    </row>
    <row r="470" spans="1:5">
      <c r="A470">
        <v>10269</v>
      </c>
      <c r="B470" t="s">
        <v>176</v>
      </c>
      <c r="C470">
        <v>528.19999958574772</v>
      </c>
      <c r="D470">
        <v>20</v>
      </c>
      <c r="E470" s="80">
        <v>35277</v>
      </c>
    </row>
    <row r="471" spans="1:5">
      <c r="A471">
        <v>10269</v>
      </c>
      <c r="B471" t="s">
        <v>177</v>
      </c>
      <c r="C471">
        <v>528.19999958574772</v>
      </c>
      <c r="D471">
        <v>20</v>
      </c>
      <c r="E471" s="80">
        <v>35277</v>
      </c>
    </row>
    <row r="472" spans="1:5">
      <c r="A472">
        <v>10269</v>
      </c>
      <c r="B472" t="s">
        <v>178</v>
      </c>
      <c r="C472">
        <v>528.19999958574772</v>
      </c>
      <c r="D472">
        <v>20</v>
      </c>
      <c r="E472" s="80">
        <v>35277</v>
      </c>
    </row>
    <row r="473" spans="1:5">
      <c r="A473">
        <v>10269</v>
      </c>
      <c r="B473" t="s">
        <v>179</v>
      </c>
      <c r="C473">
        <v>528.19999958574772</v>
      </c>
      <c r="D473">
        <v>20</v>
      </c>
      <c r="E473" s="80">
        <v>35277</v>
      </c>
    </row>
    <row r="474" spans="1:5">
      <c r="A474">
        <v>10270</v>
      </c>
      <c r="B474" t="s">
        <v>172</v>
      </c>
      <c r="C474">
        <v>456</v>
      </c>
      <c r="D474">
        <v>30</v>
      </c>
      <c r="E474" s="80">
        <v>35278</v>
      </c>
    </row>
    <row r="475" spans="1:5">
      <c r="A475">
        <v>10270</v>
      </c>
      <c r="B475" t="s">
        <v>173</v>
      </c>
      <c r="C475">
        <v>456</v>
      </c>
      <c r="D475">
        <v>30</v>
      </c>
      <c r="E475" s="80">
        <v>35278</v>
      </c>
    </row>
    <row r="476" spans="1:5">
      <c r="A476">
        <v>10270</v>
      </c>
      <c r="B476" t="s">
        <v>174</v>
      </c>
      <c r="C476">
        <v>456</v>
      </c>
      <c r="D476">
        <v>30</v>
      </c>
      <c r="E476" s="80">
        <v>35278</v>
      </c>
    </row>
    <row r="477" spans="1:5">
      <c r="A477">
        <v>10270</v>
      </c>
      <c r="B477" t="s">
        <v>175</v>
      </c>
      <c r="C477">
        <v>456</v>
      </c>
      <c r="D477">
        <v>30</v>
      </c>
      <c r="E477" s="80">
        <v>35278</v>
      </c>
    </row>
    <row r="478" spans="1:5">
      <c r="A478">
        <v>10270</v>
      </c>
      <c r="B478" t="s">
        <v>176</v>
      </c>
      <c r="C478">
        <v>456</v>
      </c>
      <c r="D478">
        <v>30</v>
      </c>
      <c r="E478" s="80">
        <v>35278</v>
      </c>
    </row>
    <row r="479" spans="1:5">
      <c r="A479">
        <v>10270</v>
      </c>
      <c r="B479" t="s">
        <v>177</v>
      </c>
      <c r="C479">
        <v>456</v>
      </c>
      <c r="D479">
        <v>30</v>
      </c>
      <c r="E479" s="80">
        <v>35278</v>
      </c>
    </row>
    <row r="480" spans="1:5">
      <c r="A480">
        <v>10270</v>
      </c>
      <c r="B480" t="s">
        <v>178</v>
      </c>
      <c r="C480">
        <v>456</v>
      </c>
      <c r="D480">
        <v>30</v>
      </c>
      <c r="E480" s="80">
        <v>35278</v>
      </c>
    </row>
    <row r="481" spans="1:5">
      <c r="A481">
        <v>10270</v>
      </c>
      <c r="B481" t="s">
        <v>179</v>
      </c>
      <c r="C481">
        <v>456</v>
      </c>
      <c r="D481">
        <v>30</v>
      </c>
      <c r="E481" s="80">
        <v>35278</v>
      </c>
    </row>
    <row r="482" spans="1:5">
      <c r="A482">
        <v>10270</v>
      </c>
      <c r="B482" t="s">
        <v>172</v>
      </c>
      <c r="C482">
        <v>920</v>
      </c>
      <c r="D482">
        <v>25</v>
      </c>
      <c r="E482" s="80">
        <v>35278</v>
      </c>
    </row>
    <row r="483" spans="1:5">
      <c r="A483">
        <v>10270</v>
      </c>
      <c r="B483" t="s">
        <v>173</v>
      </c>
      <c r="C483">
        <v>920</v>
      </c>
      <c r="D483">
        <v>25</v>
      </c>
      <c r="E483" s="80">
        <v>35278</v>
      </c>
    </row>
    <row r="484" spans="1:5">
      <c r="A484">
        <v>10270</v>
      </c>
      <c r="B484" t="s">
        <v>174</v>
      </c>
      <c r="C484">
        <v>920</v>
      </c>
      <c r="D484">
        <v>25</v>
      </c>
      <c r="E484" s="80">
        <v>35278</v>
      </c>
    </row>
    <row r="485" spans="1:5">
      <c r="A485">
        <v>10270</v>
      </c>
      <c r="B485" t="s">
        <v>175</v>
      </c>
      <c r="C485">
        <v>920</v>
      </c>
      <c r="D485">
        <v>25</v>
      </c>
      <c r="E485" s="80">
        <v>35278</v>
      </c>
    </row>
    <row r="486" spans="1:5">
      <c r="A486">
        <v>10270</v>
      </c>
      <c r="B486" t="s">
        <v>176</v>
      </c>
      <c r="C486">
        <v>920</v>
      </c>
      <c r="D486">
        <v>25</v>
      </c>
      <c r="E486" s="80">
        <v>35278</v>
      </c>
    </row>
    <row r="487" spans="1:5">
      <c r="A487">
        <v>10270</v>
      </c>
      <c r="B487" t="s">
        <v>177</v>
      </c>
      <c r="C487">
        <v>920</v>
      </c>
      <c r="D487">
        <v>25</v>
      </c>
      <c r="E487" s="80">
        <v>35278</v>
      </c>
    </row>
    <row r="488" spans="1:5">
      <c r="A488">
        <v>10270</v>
      </c>
      <c r="B488" t="s">
        <v>178</v>
      </c>
      <c r="C488">
        <v>920</v>
      </c>
      <c r="D488">
        <v>25</v>
      </c>
      <c r="E488" s="80">
        <v>35278</v>
      </c>
    </row>
    <row r="489" spans="1:5">
      <c r="A489">
        <v>10270</v>
      </c>
      <c r="B489" t="s">
        <v>179</v>
      </c>
      <c r="C489">
        <v>920</v>
      </c>
      <c r="D489">
        <v>25</v>
      </c>
      <c r="E489" s="80">
        <v>35278</v>
      </c>
    </row>
    <row r="490" spans="1:5">
      <c r="A490">
        <v>10271</v>
      </c>
      <c r="B490" t="s">
        <v>172</v>
      </c>
      <c r="C490">
        <v>48</v>
      </c>
      <c r="D490">
        <v>24</v>
      </c>
      <c r="E490" s="80">
        <v>35278</v>
      </c>
    </row>
    <row r="491" spans="1:5">
      <c r="A491">
        <v>10271</v>
      </c>
      <c r="B491" t="s">
        <v>173</v>
      </c>
      <c r="C491">
        <v>48</v>
      </c>
      <c r="D491">
        <v>24</v>
      </c>
      <c r="E491" s="80">
        <v>35278</v>
      </c>
    </row>
    <row r="492" spans="1:5">
      <c r="A492">
        <v>10271</v>
      </c>
      <c r="B492" t="s">
        <v>174</v>
      </c>
      <c r="C492">
        <v>48</v>
      </c>
      <c r="D492">
        <v>24</v>
      </c>
      <c r="E492" s="80">
        <v>35278</v>
      </c>
    </row>
    <row r="493" spans="1:5">
      <c r="A493">
        <v>10271</v>
      </c>
      <c r="B493" t="s">
        <v>175</v>
      </c>
      <c r="C493">
        <v>48</v>
      </c>
      <c r="D493">
        <v>24</v>
      </c>
      <c r="E493" s="80">
        <v>35278</v>
      </c>
    </row>
    <row r="494" spans="1:5">
      <c r="A494">
        <v>10271</v>
      </c>
      <c r="B494" t="s">
        <v>176</v>
      </c>
      <c r="C494">
        <v>48</v>
      </c>
      <c r="D494">
        <v>24</v>
      </c>
      <c r="E494" s="80">
        <v>35278</v>
      </c>
    </row>
    <row r="495" spans="1:5">
      <c r="A495">
        <v>10271</v>
      </c>
      <c r="B495" t="s">
        <v>177</v>
      </c>
      <c r="C495">
        <v>48</v>
      </c>
      <c r="D495">
        <v>24</v>
      </c>
      <c r="E495" s="80">
        <v>35278</v>
      </c>
    </row>
    <row r="496" spans="1:5">
      <c r="A496">
        <v>10271</v>
      </c>
      <c r="B496" t="s">
        <v>178</v>
      </c>
      <c r="C496">
        <v>48</v>
      </c>
      <c r="D496">
        <v>24</v>
      </c>
      <c r="E496" s="80">
        <v>35278</v>
      </c>
    </row>
    <row r="497" spans="1:5">
      <c r="A497">
        <v>10271</v>
      </c>
      <c r="B497" t="s">
        <v>179</v>
      </c>
      <c r="C497">
        <v>48</v>
      </c>
      <c r="D497">
        <v>24</v>
      </c>
      <c r="E497" s="80">
        <v>35278</v>
      </c>
    </row>
    <row r="498" spans="1:5">
      <c r="A498">
        <v>10272</v>
      </c>
      <c r="B498" t="s">
        <v>172</v>
      </c>
      <c r="C498">
        <v>388.8</v>
      </c>
      <c r="D498">
        <v>6</v>
      </c>
      <c r="E498" s="80">
        <v>35279</v>
      </c>
    </row>
    <row r="499" spans="1:5">
      <c r="A499">
        <v>10272</v>
      </c>
      <c r="B499" t="s">
        <v>173</v>
      </c>
      <c r="C499">
        <v>388.8</v>
      </c>
      <c r="D499">
        <v>6</v>
      </c>
      <c r="E499" s="80">
        <v>35279</v>
      </c>
    </row>
    <row r="500" spans="1:5">
      <c r="A500">
        <v>10272</v>
      </c>
      <c r="B500" t="s">
        <v>174</v>
      </c>
      <c r="C500">
        <v>388.8</v>
      </c>
      <c r="D500">
        <v>6</v>
      </c>
      <c r="E500" s="80">
        <v>35279</v>
      </c>
    </row>
    <row r="501" spans="1:5">
      <c r="A501">
        <v>10272</v>
      </c>
      <c r="B501" t="s">
        <v>175</v>
      </c>
      <c r="C501">
        <v>388.8</v>
      </c>
      <c r="D501">
        <v>6</v>
      </c>
      <c r="E501" s="80">
        <v>35279</v>
      </c>
    </row>
    <row r="502" spans="1:5">
      <c r="A502">
        <v>10272</v>
      </c>
      <c r="B502" t="s">
        <v>176</v>
      </c>
      <c r="C502">
        <v>388.8</v>
      </c>
      <c r="D502">
        <v>6</v>
      </c>
      <c r="E502" s="80">
        <v>35279</v>
      </c>
    </row>
    <row r="503" spans="1:5">
      <c r="A503">
        <v>10272</v>
      </c>
      <c r="B503" t="s">
        <v>177</v>
      </c>
      <c r="C503">
        <v>388.8</v>
      </c>
      <c r="D503">
        <v>6</v>
      </c>
      <c r="E503" s="80">
        <v>35279</v>
      </c>
    </row>
    <row r="504" spans="1:5">
      <c r="A504">
        <v>10272</v>
      </c>
      <c r="B504" t="s">
        <v>178</v>
      </c>
      <c r="C504">
        <v>388.8</v>
      </c>
      <c r="D504">
        <v>6</v>
      </c>
      <c r="E504" s="80">
        <v>35279</v>
      </c>
    </row>
    <row r="505" spans="1:5">
      <c r="A505">
        <v>10272</v>
      </c>
      <c r="B505" t="s">
        <v>179</v>
      </c>
      <c r="C505">
        <v>388.8</v>
      </c>
      <c r="D505">
        <v>6</v>
      </c>
      <c r="E505" s="80">
        <v>35279</v>
      </c>
    </row>
    <row r="506" spans="1:5">
      <c r="A506">
        <v>10272</v>
      </c>
      <c r="B506" t="s">
        <v>172</v>
      </c>
      <c r="C506">
        <v>400</v>
      </c>
      <c r="D506">
        <v>40</v>
      </c>
      <c r="E506" s="80">
        <v>35279</v>
      </c>
    </row>
    <row r="507" spans="1:5">
      <c r="A507">
        <v>10272</v>
      </c>
      <c r="B507" t="s">
        <v>173</v>
      </c>
      <c r="C507">
        <v>400</v>
      </c>
      <c r="D507">
        <v>40</v>
      </c>
      <c r="E507" s="80">
        <v>35279</v>
      </c>
    </row>
    <row r="508" spans="1:5">
      <c r="A508">
        <v>10272</v>
      </c>
      <c r="B508" t="s">
        <v>174</v>
      </c>
      <c r="C508">
        <v>400</v>
      </c>
      <c r="D508">
        <v>40</v>
      </c>
      <c r="E508" s="80">
        <v>35279</v>
      </c>
    </row>
    <row r="509" spans="1:5">
      <c r="A509">
        <v>10272</v>
      </c>
      <c r="B509" t="s">
        <v>175</v>
      </c>
      <c r="C509">
        <v>400</v>
      </c>
      <c r="D509">
        <v>40</v>
      </c>
      <c r="E509" s="80">
        <v>35279</v>
      </c>
    </row>
    <row r="510" spans="1:5">
      <c r="A510">
        <v>10272</v>
      </c>
      <c r="B510" t="s">
        <v>176</v>
      </c>
      <c r="C510">
        <v>400</v>
      </c>
      <c r="D510">
        <v>40</v>
      </c>
      <c r="E510" s="80">
        <v>35279</v>
      </c>
    </row>
    <row r="511" spans="1:5">
      <c r="A511">
        <v>10272</v>
      </c>
      <c r="B511" t="s">
        <v>177</v>
      </c>
      <c r="C511">
        <v>400</v>
      </c>
      <c r="D511">
        <v>40</v>
      </c>
      <c r="E511" s="80">
        <v>35279</v>
      </c>
    </row>
    <row r="512" spans="1:5">
      <c r="A512">
        <v>10272</v>
      </c>
      <c r="B512" t="s">
        <v>178</v>
      </c>
      <c r="C512">
        <v>400</v>
      </c>
      <c r="D512">
        <v>40</v>
      </c>
      <c r="E512" s="80">
        <v>35279</v>
      </c>
    </row>
    <row r="513" spans="1:5">
      <c r="A513">
        <v>10272</v>
      </c>
      <c r="B513" t="s">
        <v>179</v>
      </c>
      <c r="C513">
        <v>400</v>
      </c>
      <c r="D513">
        <v>40</v>
      </c>
      <c r="E513" s="80">
        <v>35279</v>
      </c>
    </row>
    <row r="514" spans="1:5">
      <c r="A514">
        <v>10272</v>
      </c>
      <c r="B514" t="s">
        <v>172</v>
      </c>
      <c r="C514">
        <v>667.2</v>
      </c>
      <c r="D514">
        <v>24</v>
      </c>
      <c r="E514" s="80">
        <v>35279</v>
      </c>
    </row>
    <row r="515" spans="1:5">
      <c r="A515">
        <v>10272</v>
      </c>
      <c r="B515" t="s">
        <v>173</v>
      </c>
      <c r="C515">
        <v>667.2</v>
      </c>
      <c r="D515">
        <v>24</v>
      </c>
      <c r="E515" s="80">
        <v>35279</v>
      </c>
    </row>
    <row r="516" spans="1:5">
      <c r="A516">
        <v>10272</v>
      </c>
      <c r="B516" t="s">
        <v>174</v>
      </c>
      <c r="C516">
        <v>667.2</v>
      </c>
      <c r="D516">
        <v>24</v>
      </c>
      <c r="E516" s="80">
        <v>35279</v>
      </c>
    </row>
    <row r="517" spans="1:5">
      <c r="A517">
        <v>10272</v>
      </c>
      <c r="B517" t="s">
        <v>175</v>
      </c>
      <c r="C517">
        <v>667.2</v>
      </c>
      <c r="D517">
        <v>24</v>
      </c>
      <c r="E517" s="80">
        <v>35279</v>
      </c>
    </row>
    <row r="518" spans="1:5">
      <c r="A518">
        <v>10272</v>
      </c>
      <c r="B518" t="s">
        <v>176</v>
      </c>
      <c r="C518">
        <v>667.2</v>
      </c>
      <c r="D518">
        <v>24</v>
      </c>
      <c r="E518" s="80">
        <v>35279</v>
      </c>
    </row>
    <row r="519" spans="1:5">
      <c r="A519">
        <v>10272</v>
      </c>
      <c r="B519" t="s">
        <v>177</v>
      </c>
      <c r="C519">
        <v>667.2</v>
      </c>
      <c r="D519">
        <v>24</v>
      </c>
      <c r="E519" s="80">
        <v>35279</v>
      </c>
    </row>
    <row r="520" spans="1:5">
      <c r="A520">
        <v>10272</v>
      </c>
      <c r="B520" t="s">
        <v>178</v>
      </c>
      <c r="C520">
        <v>667.2</v>
      </c>
      <c r="D520">
        <v>24</v>
      </c>
      <c r="E520" s="80">
        <v>35279</v>
      </c>
    </row>
    <row r="521" spans="1:5">
      <c r="A521">
        <v>10272</v>
      </c>
      <c r="B521" t="s">
        <v>179</v>
      </c>
      <c r="C521">
        <v>667.2</v>
      </c>
      <c r="D521">
        <v>24</v>
      </c>
      <c r="E521" s="80">
        <v>35279</v>
      </c>
    </row>
    <row r="522" spans="1:5">
      <c r="A522">
        <v>10273</v>
      </c>
      <c r="B522" t="s">
        <v>172</v>
      </c>
      <c r="C522">
        <v>565.43999955654147</v>
      </c>
      <c r="D522">
        <v>24</v>
      </c>
      <c r="E522" s="80">
        <v>35282</v>
      </c>
    </row>
    <row r="523" spans="1:5">
      <c r="A523">
        <v>10273</v>
      </c>
      <c r="B523" t="s">
        <v>173</v>
      </c>
      <c r="C523">
        <v>565.43999955654147</v>
      </c>
      <c r="D523">
        <v>24</v>
      </c>
      <c r="E523" s="80">
        <v>35282</v>
      </c>
    </row>
    <row r="524" spans="1:5">
      <c r="A524">
        <v>10273</v>
      </c>
      <c r="B524" t="s">
        <v>174</v>
      </c>
      <c r="C524">
        <v>565.43999955654147</v>
      </c>
      <c r="D524">
        <v>24</v>
      </c>
      <c r="E524" s="80">
        <v>35282</v>
      </c>
    </row>
    <row r="525" spans="1:5">
      <c r="A525">
        <v>10273</v>
      </c>
      <c r="B525" t="s">
        <v>175</v>
      </c>
      <c r="C525">
        <v>565.43999955654147</v>
      </c>
      <c r="D525">
        <v>24</v>
      </c>
      <c r="E525" s="80">
        <v>35282</v>
      </c>
    </row>
    <row r="526" spans="1:5">
      <c r="A526">
        <v>10273</v>
      </c>
      <c r="B526" t="s">
        <v>176</v>
      </c>
      <c r="C526">
        <v>565.43999955654147</v>
      </c>
      <c r="D526">
        <v>24</v>
      </c>
      <c r="E526" s="80">
        <v>35282</v>
      </c>
    </row>
    <row r="527" spans="1:5">
      <c r="A527">
        <v>10273</v>
      </c>
      <c r="B527" t="s">
        <v>177</v>
      </c>
      <c r="C527">
        <v>565.43999955654147</v>
      </c>
      <c r="D527">
        <v>24</v>
      </c>
      <c r="E527" s="80">
        <v>35282</v>
      </c>
    </row>
    <row r="528" spans="1:5">
      <c r="A528">
        <v>10273</v>
      </c>
      <c r="B528" t="s">
        <v>178</v>
      </c>
      <c r="C528">
        <v>565.43999955654147</v>
      </c>
      <c r="D528">
        <v>24</v>
      </c>
      <c r="E528" s="80">
        <v>35282</v>
      </c>
    </row>
    <row r="529" spans="1:5">
      <c r="A529">
        <v>10273</v>
      </c>
      <c r="B529" t="s">
        <v>179</v>
      </c>
      <c r="C529">
        <v>565.43999955654147</v>
      </c>
      <c r="D529">
        <v>24</v>
      </c>
      <c r="E529" s="80">
        <v>35282</v>
      </c>
    </row>
    <row r="530" spans="1:5">
      <c r="A530">
        <v>10273</v>
      </c>
      <c r="B530" t="s">
        <v>172</v>
      </c>
      <c r="C530">
        <v>142.49999988824129</v>
      </c>
      <c r="D530">
        <v>15</v>
      </c>
      <c r="E530" s="80">
        <v>35282</v>
      </c>
    </row>
    <row r="531" spans="1:5">
      <c r="A531">
        <v>10273</v>
      </c>
      <c r="B531" t="s">
        <v>173</v>
      </c>
      <c r="C531">
        <v>142.49999988824129</v>
      </c>
      <c r="D531">
        <v>15</v>
      </c>
      <c r="E531" s="80">
        <v>35282</v>
      </c>
    </row>
    <row r="532" spans="1:5">
      <c r="A532">
        <v>10273</v>
      </c>
      <c r="B532" t="s">
        <v>174</v>
      </c>
      <c r="C532">
        <v>142.49999988824129</v>
      </c>
      <c r="D532">
        <v>15</v>
      </c>
      <c r="E532" s="80">
        <v>35282</v>
      </c>
    </row>
    <row r="533" spans="1:5">
      <c r="A533">
        <v>10273</v>
      </c>
      <c r="B533" t="s">
        <v>175</v>
      </c>
      <c r="C533">
        <v>142.49999988824129</v>
      </c>
      <c r="D533">
        <v>15</v>
      </c>
      <c r="E533" s="80">
        <v>35282</v>
      </c>
    </row>
    <row r="534" spans="1:5">
      <c r="A534">
        <v>10273</v>
      </c>
      <c r="B534" t="s">
        <v>176</v>
      </c>
      <c r="C534">
        <v>142.49999988824129</v>
      </c>
      <c r="D534">
        <v>15</v>
      </c>
      <c r="E534" s="80">
        <v>35282</v>
      </c>
    </row>
    <row r="535" spans="1:5">
      <c r="A535">
        <v>10273</v>
      </c>
      <c r="B535" t="s">
        <v>177</v>
      </c>
      <c r="C535">
        <v>142.49999988824129</v>
      </c>
      <c r="D535">
        <v>15</v>
      </c>
      <c r="E535" s="80">
        <v>35282</v>
      </c>
    </row>
    <row r="536" spans="1:5">
      <c r="A536">
        <v>10273</v>
      </c>
      <c r="B536" t="s">
        <v>178</v>
      </c>
      <c r="C536">
        <v>142.49999988824129</v>
      </c>
      <c r="D536">
        <v>15</v>
      </c>
      <c r="E536" s="80">
        <v>35282</v>
      </c>
    </row>
    <row r="537" spans="1:5">
      <c r="A537">
        <v>10273</v>
      </c>
      <c r="B537" t="s">
        <v>179</v>
      </c>
      <c r="C537">
        <v>142.49999988824129</v>
      </c>
      <c r="D537">
        <v>15</v>
      </c>
      <c r="E537" s="80">
        <v>35282</v>
      </c>
    </row>
    <row r="538" spans="1:5">
      <c r="A538">
        <v>10273</v>
      </c>
      <c r="B538" t="s">
        <v>172</v>
      </c>
      <c r="C538">
        <v>40</v>
      </c>
      <c r="D538">
        <v>20</v>
      </c>
      <c r="E538" s="80">
        <v>35282</v>
      </c>
    </row>
    <row r="539" spans="1:5">
      <c r="A539">
        <v>10273</v>
      </c>
      <c r="B539" t="s">
        <v>173</v>
      </c>
      <c r="C539">
        <v>40</v>
      </c>
      <c r="D539">
        <v>20</v>
      </c>
      <c r="E539" s="80">
        <v>35282</v>
      </c>
    </row>
    <row r="540" spans="1:5">
      <c r="A540">
        <v>10273</v>
      </c>
      <c r="B540" t="s">
        <v>174</v>
      </c>
      <c r="C540">
        <v>40</v>
      </c>
      <c r="D540">
        <v>20</v>
      </c>
      <c r="E540" s="80">
        <v>35282</v>
      </c>
    </row>
    <row r="541" spans="1:5">
      <c r="A541">
        <v>10273</v>
      </c>
      <c r="B541" t="s">
        <v>175</v>
      </c>
      <c r="C541">
        <v>40</v>
      </c>
      <c r="D541">
        <v>20</v>
      </c>
      <c r="E541" s="80">
        <v>35282</v>
      </c>
    </row>
    <row r="542" spans="1:5">
      <c r="A542">
        <v>10273</v>
      </c>
      <c r="B542" t="s">
        <v>176</v>
      </c>
      <c r="C542">
        <v>40</v>
      </c>
      <c r="D542">
        <v>20</v>
      </c>
      <c r="E542" s="80">
        <v>35282</v>
      </c>
    </row>
    <row r="543" spans="1:5">
      <c r="A543">
        <v>10273</v>
      </c>
      <c r="B543" t="s">
        <v>177</v>
      </c>
      <c r="C543">
        <v>40</v>
      </c>
      <c r="D543">
        <v>20</v>
      </c>
      <c r="E543" s="80">
        <v>35282</v>
      </c>
    </row>
    <row r="544" spans="1:5">
      <c r="A544">
        <v>10273</v>
      </c>
      <c r="B544" t="s">
        <v>178</v>
      </c>
      <c r="C544">
        <v>40</v>
      </c>
      <c r="D544">
        <v>20</v>
      </c>
      <c r="E544" s="80">
        <v>35282</v>
      </c>
    </row>
    <row r="545" spans="1:5">
      <c r="A545">
        <v>10273</v>
      </c>
      <c r="B545" t="s">
        <v>179</v>
      </c>
      <c r="C545">
        <v>40</v>
      </c>
      <c r="D545">
        <v>20</v>
      </c>
      <c r="E545" s="80">
        <v>35282</v>
      </c>
    </row>
    <row r="546" spans="1:5">
      <c r="A546">
        <v>10273</v>
      </c>
      <c r="B546" t="s">
        <v>172</v>
      </c>
      <c r="C546">
        <v>837.89999934285879</v>
      </c>
      <c r="D546">
        <v>60</v>
      </c>
      <c r="E546" s="80">
        <v>35282</v>
      </c>
    </row>
    <row r="547" spans="1:5">
      <c r="A547">
        <v>10273</v>
      </c>
      <c r="B547" t="s">
        <v>173</v>
      </c>
      <c r="C547">
        <v>837.89999934285879</v>
      </c>
      <c r="D547">
        <v>60</v>
      </c>
      <c r="E547" s="80">
        <v>35282</v>
      </c>
    </row>
    <row r="548" spans="1:5">
      <c r="A548">
        <v>10273</v>
      </c>
      <c r="B548" t="s">
        <v>174</v>
      </c>
      <c r="C548">
        <v>837.89999934285879</v>
      </c>
      <c r="D548">
        <v>60</v>
      </c>
      <c r="E548" s="80">
        <v>35282</v>
      </c>
    </row>
    <row r="549" spans="1:5">
      <c r="A549">
        <v>10273</v>
      </c>
      <c r="B549" t="s">
        <v>175</v>
      </c>
      <c r="C549">
        <v>837.89999934285879</v>
      </c>
      <c r="D549">
        <v>60</v>
      </c>
      <c r="E549" s="80">
        <v>35282</v>
      </c>
    </row>
    <row r="550" spans="1:5">
      <c r="A550">
        <v>10273</v>
      </c>
      <c r="B550" t="s">
        <v>176</v>
      </c>
      <c r="C550">
        <v>837.89999934285879</v>
      </c>
      <c r="D550">
        <v>60</v>
      </c>
      <c r="E550" s="80">
        <v>35282</v>
      </c>
    </row>
    <row r="551" spans="1:5">
      <c r="A551">
        <v>10273</v>
      </c>
      <c r="B551" t="s">
        <v>177</v>
      </c>
      <c r="C551">
        <v>837.89999934285879</v>
      </c>
      <c r="D551">
        <v>60</v>
      </c>
      <c r="E551" s="80">
        <v>35282</v>
      </c>
    </row>
    <row r="552" spans="1:5">
      <c r="A552">
        <v>10273</v>
      </c>
      <c r="B552" t="s">
        <v>178</v>
      </c>
      <c r="C552">
        <v>837.89999934285879</v>
      </c>
      <c r="D552">
        <v>60</v>
      </c>
      <c r="E552" s="80">
        <v>35282</v>
      </c>
    </row>
    <row r="553" spans="1:5">
      <c r="A553">
        <v>10273</v>
      </c>
      <c r="B553" t="s">
        <v>179</v>
      </c>
      <c r="C553">
        <v>837.89999934285879</v>
      </c>
      <c r="D553">
        <v>60</v>
      </c>
      <c r="E553" s="80">
        <v>35282</v>
      </c>
    </row>
    <row r="554" spans="1:5">
      <c r="A554">
        <v>10273</v>
      </c>
      <c r="B554" t="s">
        <v>172</v>
      </c>
      <c r="C554">
        <v>451.43999964594838</v>
      </c>
      <c r="D554">
        <v>33</v>
      </c>
      <c r="E554" s="80">
        <v>35282</v>
      </c>
    </row>
    <row r="555" spans="1:5">
      <c r="A555">
        <v>10273</v>
      </c>
      <c r="B555" t="s">
        <v>173</v>
      </c>
      <c r="C555">
        <v>451.43999964594838</v>
      </c>
      <c r="D555">
        <v>33</v>
      </c>
      <c r="E555" s="80">
        <v>35282</v>
      </c>
    </row>
    <row r="556" spans="1:5">
      <c r="A556">
        <v>10273</v>
      </c>
      <c r="B556" t="s">
        <v>174</v>
      </c>
      <c r="C556">
        <v>451.43999964594838</v>
      </c>
      <c r="D556">
        <v>33</v>
      </c>
      <c r="E556" s="80">
        <v>35282</v>
      </c>
    </row>
    <row r="557" spans="1:5">
      <c r="A557">
        <v>10273</v>
      </c>
      <c r="B557" t="s">
        <v>175</v>
      </c>
      <c r="C557">
        <v>451.43999964594838</v>
      </c>
      <c r="D557">
        <v>33</v>
      </c>
      <c r="E557" s="80">
        <v>35282</v>
      </c>
    </row>
    <row r="558" spans="1:5">
      <c r="A558">
        <v>10273</v>
      </c>
      <c r="B558" t="s">
        <v>176</v>
      </c>
      <c r="C558">
        <v>451.43999964594838</v>
      </c>
      <c r="D558">
        <v>33</v>
      </c>
      <c r="E558" s="80">
        <v>35282</v>
      </c>
    </row>
    <row r="559" spans="1:5">
      <c r="A559">
        <v>10273</v>
      </c>
      <c r="B559" t="s">
        <v>177</v>
      </c>
      <c r="C559">
        <v>451.43999964594838</v>
      </c>
      <c r="D559">
        <v>33</v>
      </c>
      <c r="E559" s="80">
        <v>35282</v>
      </c>
    </row>
    <row r="560" spans="1:5">
      <c r="A560">
        <v>10273</v>
      </c>
      <c r="B560" t="s">
        <v>178</v>
      </c>
      <c r="C560">
        <v>451.43999964594838</v>
      </c>
      <c r="D560">
        <v>33</v>
      </c>
      <c r="E560" s="80">
        <v>35282</v>
      </c>
    </row>
    <row r="561" spans="1:5">
      <c r="A561">
        <v>10273</v>
      </c>
      <c r="B561" t="s">
        <v>179</v>
      </c>
      <c r="C561">
        <v>451.43999964594838</v>
      </c>
      <c r="D561">
        <v>33</v>
      </c>
      <c r="E561" s="80">
        <v>35282</v>
      </c>
    </row>
    <row r="562" spans="1:5">
      <c r="A562">
        <v>10274</v>
      </c>
      <c r="B562" t="s">
        <v>172</v>
      </c>
      <c r="C562">
        <v>344</v>
      </c>
      <c r="D562">
        <v>20</v>
      </c>
      <c r="E562" s="80">
        <v>35283</v>
      </c>
    </row>
    <row r="563" spans="1:5">
      <c r="A563">
        <v>10274</v>
      </c>
      <c r="B563" t="s">
        <v>173</v>
      </c>
      <c r="C563">
        <v>344</v>
      </c>
      <c r="D563">
        <v>20</v>
      </c>
      <c r="E563" s="80">
        <v>35283</v>
      </c>
    </row>
    <row r="564" spans="1:5">
      <c r="A564">
        <v>10274</v>
      </c>
      <c r="B564" t="s">
        <v>174</v>
      </c>
      <c r="C564">
        <v>344</v>
      </c>
      <c r="D564">
        <v>20</v>
      </c>
      <c r="E564" s="80">
        <v>35283</v>
      </c>
    </row>
    <row r="565" spans="1:5">
      <c r="A565">
        <v>10274</v>
      </c>
      <c r="B565" t="s">
        <v>175</v>
      </c>
      <c r="C565">
        <v>344</v>
      </c>
      <c r="D565">
        <v>20</v>
      </c>
      <c r="E565" s="80">
        <v>35283</v>
      </c>
    </row>
    <row r="566" spans="1:5">
      <c r="A566">
        <v>10274</v>
      </c>
      <c r="B566" t="s">
        <v>176</v>
      </c>
      <c r="C566">
        <v>344</v>
      </c>
      <c r="D566">
        <v>20</v>
      </c>
      <c r="E566" s="80">
        <v>35283</v>
      </c>
    </row>
    <row r="567" spans="1:5">
      <c r="A567">
        <v>10274</v>
      </c>
      <c r="B567" t="s">
        <v>177</v>
      </c>
      <c r="C567">
        <v>344</v>
      </c>
      <c r="D567">
        <v>20</v>
      </c>
      <c r="E567" s="80">
        <v>35283</v>
      </c>
    </row>
    <row r="568" spans="1:5">
      <c r="A568">
        <v>10274</v>
      </c>
      <c r="B568" t="s">
        <v>178</v>
      </c>
      <c r="C568">
        <v>344</v>
      </c>
      <c r="D568">
        <v>20</v>
      </c>
      <c r="E568" s="80">
        <v>35283</v>
      </c>
    </row>
    <row r="569" spans="1:5">
      <c r="A569">
        <v>10274</v>
      </c>
      <c r="B569" t="s">
        <v>179</v>
      </c>
      <c r="C569">
        <v>344</v>
      </c>
      <c r="D569">
        <v>20</v>
      </c>
      <c r="E569" s="80">
        <v>35283</v>
      </c>
    </row>
    <row r="570" spans="1:5">
      <c r="A570">
        <v>10274</v>
      </c>
      <c r="B570" t="s">
        <v>172</v>
      </c>
      <c r="C570">
        <v>194.6</v>
      </c>
      <c r="D570">
        <v>7</v>
      </c>
      <c r="E570" s="80">
        <v>35283</v>
      </c>
    </row>
    <row r="571" spans="1:5">
      <c r="A571">
        <v>10274</v>
      </c>
      <c r="B571" t="s">
        <v>173</v>
      </c>
      <c r="C571">
        <v>194.6</v>
      </c>
      <c r="D571">
        <v>7</v>
      </c>
      <c r="E571" s="80">
        <v>35283</v>
      </c>
    </row>
    <row r="572" spans="1:5">
      <c r="A572">
        <v>10274</v>
      </c>
      <c r="B572" t="s">
        <v>174</v>
      </c>
      <c r="C572">
        <v>194.6</v>
      </c>
      <c r="D572">
        <v>7</v>
      </c>
      <c r="E572" s="80">
        <v>35283</v>
      </c>
    </row>
    <row r="573" spans="1:5">
      <c r="A573">
        <v>10274</v>
      </c>
      <c r="B573" t="s">
        <v>175</v>
      </c>
      <c r="C573">
        <v>194.6</v>
      </c>
      <c r="D573">
        <v>7</v>
      </c>
      <c r="E573" s="80">
        <v>35283</v>
      </c>
    </row>
    <row r="574" spans="1:5">
      <c r="A574">
        <v>10274</v>
      </c>
      <c r="B574" t="s">
        <v>176</v>
      </c>
      <c r="C574">
        <v>194.6</v>
      </c>
      <c r="D574">
        <v>7</v>
      </c>
      <c r="E574" s="80">
        <v>35283</v>
      </c>
    </row>
    <row r="575" spans="1:5">
      <c r="A575">
        <v>10274</v>
      </c>
      <c r="B575" t="s">
        <v>177</v>
      </c>
      <c r="C575">
        <v>194.6</v>
      </c>
      <c r="D575">
        <v>7</v>
      </c>
      <c r="E575" s="80">
        <v>35283</v>
      </c>
    </row>
    <row r="576" spans="1:5">
      <c r="A576">
        <v>10274</v>
      </c>
      <c r="B576" t="s">
        <v>178</v>
      </c>
      <c r="C576">
        <v>194.6</v>
      </c>
      <c r="D576">
        <v>7</v>
      </c>
      <c r="E576" s="80">
        <v>35283</v>
      </c>
    </row>
    <row r="577" spans="1:5">
      <c r="A577">
        <v>10274</v>
      </c>
      <c r="B577" t="s">
        <v>179</v>
      </c>
      <c r="C577">
        <v>194.6</v>
      </c>
      <c r="D577">
        <v>7</v>
      </c>
      <c r="E577" s="80">
        <v>35283</v>
      </c>
    </row>
    <row r="578" spans="1:5">
      <c r="A578">
        <v>10275</v>
      </c>
      <c r="B578" t="s">
        <v>172</v>
      </c>
      <c r="C578">
        <v>41.039999967813493</v>
      </c>
      <c r="D578">
        <v>12</v>
      </c>
      <c r="E578" s="80">
        <v>35284</v>
      </c>
    </row>
    <row r="579" spans="1:5">
      <c r="A579">
        <v>10275</v>
      </c>
      <c r="B579" t="s">
        <v>173</v>
      </c>
      <c r="C579">
        <v>41.039999967813493</v>
      </c>
      <c r="D579">
        <v>12</v>
      </c>
      <c r="E579" s="80">
        <v>35284</v>
      </c>
    </row>
    <row r="580" spans="1:5">
      <c r="A580">
        <v>10275</v>
      </c>
      <c r="B580" t="s">
        <v>174</v>
      </c>
      <c r="C580">
        <v>41.039999967813493</v>
      </c>
      <c r="D580">
        <v>12</v>
      </c>
      <c r="E580" s="80">
        <v>35284</v>
      </c>
    </row>
    <row r="581" spans="1:5">
      <c r="A581">
        <v>10275</v>
      </c>
      <c r="B581" t="s">
        <v>175</v>
      </c>
      <c r="C581">
        <v>41.039999967813493</v>
      </c>
      <c r="D581">
        <v>12</v>
      </c>
      <c r="E581" s="80">
        <v>35284</v>
      </c>
    </row>
    <row r="582" spans="1:5">
      <c r="A582">
        <v>10275</v>
      </c>
      <c r="B582" t="s">
        <v>176</v>
      </c>
      <c r="C582">
        <v>41.039999967813493</v>
      </c>
      <c r="D582">
        <v>12</v>
      </c>
      <c r="E582" s="80">
        <v>35284</v>
      </c>
    </row>
    <row r="583" spans="1:5">
      <c r="A583">
        <v>10275</v>
      </c>
      <c r="B583" t="s">
        <v>177</v>
      </c>
      <c r="C583">
        <v>41.039999967813493</v>
      </c>
      <c r="D583">
        <v>12</v>
      </c>
      <c r="E583" s="80">
        <v>35284</v>
      </c>
    </row>
    <row r="584" spans="1:5">
      <c r="A584">
        <v>10275</v>
      </c>
      <c r="B584" t="s">
        <v>178</v>
      </c>
      <c r="C584">
        <v>41.039999967813493</v>
      </c>
      <c r="D584">
        <v>12</v>
      </c>
      <c r="E584" s="80">
        <v>35284</v>
      </c>
    </row>
    <row r="585" spans="1:5">
      <c r="A585">
        <v>10275</v>
      </c>
      <c r="B585" t="s">
        <v>179</v>
      </c>
      <c r="C585">
        <v>41.039999967813493</v>
      </c>
      <c r="D585">
        <v>12</v>
      </c>
      <c r="E585" s="80">
        <v>35284</v>
      </c>
    </row>
    <row r="586" spans="1:5">
      <c r="A586">
        <v>10275</v>
      </c>
      <c r="B586" t="s">
        <v>172</v>
      </c>
      <c r="C586">
        <v>250.79999980330467</v>
      </c>
      <c r="D586">
        <v>6</v>
      </c>
      <c r="E586" s="80">
        <v>35284</v>
      </c>
    </row>
    <row r="587" spans="1:5">
      <c r="A587">
        <v>10275</v>
      </c>
      <c r="B587" t="s">
        <v>173</v>
      </c>
      <c r="C587">
        <v>250.79999980330467</v>
      </c>
      <c r="D587">
        <v>6</v>
      </c>
      <c r="E587" s="80">
        <v>35284</v>
      </c>
    </row>
    <row r="588" spans="1:5">
      <c r="A588">
        <v>10275</v>
      </c>
      <c r="B588" t="s">
        <v>174</v>
      </c>
      <c r="C588">
        <v>250.79999980330467</v>
      </c>
      <c r="D588">
        <v>6</v>
      </c>
      <c r="E588" s="80">
        <v>35284</v>
      </c>
    </row>
    <row r="589" spans="1:5">
      <c r="A589">
        <v>10275</v>
      </c>
      <c r="B589" t="s">
        <v>175</v>
      </c>
      <c r="C589">
        <v>250.79999980330467</v>
      </c>
      <c r="D589">
        <v>6</v>
      </c>
      <c r="E589" s="80">
        <v>35284</v>
      </c>
    </row>
    <row r="590" spans="1:5">
      <c r="A590">
        <v>10275</v>
      </c>
      <c r="B590" t="s">
        <v>176</v>
      </c>
      <c r="C590">
        <v>250.79999980330467</v>
      </c>
      <c r="D590">
        <v>6</v>
      </c>
      <c r="E590" s="80">
        <v>35284</v>
      </c>
    </row>
    <row r="591" spans="1:5">
      <c r="A591">
        <v>10275</v>
      </c>
      <c r="B591" t="s">
        <v>177</v>
      </c>
      <c r="C591">
        <v>250.79999980330467</v>
      </c>
      <c r="D591">
        <v>6</v>
      </c>
      <c r="E591" s="80">
        <v>35284</v>
      </c>
    </row>
    <row r="592" spans="1:5">
      <c r="A592">
        <v>10275</v>
      </c>
      <c r="B592" t="s">
        <v>178</v>
      </c>
      <c r="C592">
        <v>250.79999980330467</v>
      </c>
      <c r="D592">
        <v>6</v>
      </c>
      <c r="E592" s="80">
        <v>35284</v>
      </c>
    </row>
    <row r="593" spans="1:5">
      <c r="A593">
        <v>10275</v>
      </c>
      <c r="B593" t="s">
        <v>179</v>
      </c>
      <c r="C593">
        <v>250.79999980330467</v>
      </c>
      <c r="D593">
        <v>6</v>
      </c>
      <c r="E593" s="80">
        <v>35284</v>
      </c>
    </row>
    <row r="594" spans="1:5">
      <c r="A594">
        <v>10276</v>
      </c>
      <c r="B594" t="s">
        <v>172</v>
      </c>
      <c r="C594">
        <v>372</v>
      </c>
      <c r="D594">
        <v>15</v>
      </c>
      <c r="E594" s="80">
        <v>35285</v>
      </c>
    </row>
    <row r="595" spans="1:5">
      <c r="A595">
        <v>10276</v>
      </c>
      <c r="B595" t="s">
        <v>173</v>
      </c>
      <c r="C595">
        <v>372</v>
      </c>
      <c r="D595">
        <v>15</v>
      </c>
      <c r="E595" s="80">
        <v>35285</v>
      </c>
    </row>
    <row r="596" spans="1:5">
      <c r="A596">
        <v>10276</v>
      </c>
      <c r="B596" t="s">
        <v>174</v>
      </c>
      <c r="C596">
        <v>372</v>
      </c>
      <c r="D596">
        <v>15</v>
      </c>
      <c r="E596" s="80">
        <v>35285</v>
      </c>
    </row>
    <row r="597" spans="1:5">
      <c r="A597">
        <v>10276</v>
      </c>
      <c r="B597" t="s">
        <v>175</v>
      </c>
      <c r="C597">
        <v>372</v>
      </c>
      <c r="D597">
        <v>15</v>
      </c>
      <c r="E597" s="80">
        <v>35285</v>
      </c>
    </row>
    <row r="598" spans="1:5">
      <c r="A598">
        <v>10276</v>
      </c>
      <c r="B598" t="s">
        <v>176</v>
      </c>
      <c r="C598">
        <v>372</v>
      </c>
      <c r="D598">
        <v>15</v>
      </c>
      <c r="E598" s="80">
        <v>35285</v>
      </c>
    </row>
    <row r="599" spans="1:5">
      <c r="A599">
        <v>10276</v>
      </c>
      <c r="B599" t="s">
        <v>177</v>
      </c>
      <c r="C599">
        <v>372</v>
      </c>
      <c r="D599">
        <v>15</v>
      </c>
      <c r="E599" s="80">
        <v>35285</v>
      </c>
    </row>
    <row r="600" spans="1:5">
      <c r="A600">
        <v>10276</v>
      </c>
      <c r="B600" t="s">
        <v>178</v>
      </c>
      <c r="C600">
        <v>372</v>
      </c>
      <c r="D600">
        <v>15</v>
      </c>
      <c r="E600" s="80">
        <v>35285</v>
      </c>
    </row>
    <row r="601" spans="1:5">
      <c r="A601">
        <v>10276</v>
      </c>
      <c r="B601" t="s">
        <v>179</v>
      </c>
      <c r="C601">
        <v>372</v>
      </c>
      <c r="D601">
        <v>15</v>
      </c>
      <c r="E601" s="80">
        <v>35285</v>
      </c>
    </row>
    <row r="602" spans="1:5">
      <c r="A602">
        <v>10276</v>
      </c>
      <c r="B602" t="s">
        <v>172</v>
      </c>
      <c r="C602">
        <v>48</v>
      </c>
      <c r="D602">
        <v>10</v>
      </c>
      <c r="E602" s="80">
        <v>35285</v>
      </c>
    </row>
    <row r="603" spans="1:5">
      <c r="A603">
        <v>10276</v>
      </c>
      <c r="B603" t="s">
        <v>173</v>
      </c>
      <c r="C603">
        <v>48</v>
      </c>
      <c r="D603">
        <v>10</v>
      </c>
      <c r="E603" s="80">
        <v>35285</v>
      </c>
    </row>
    <row r="604" spans="1:5">
      <c r="A604">
        <v>10276</v>
      </c>
      <c r="B604" t="s">
        <v>174</v>
      </c>
      <c r="C604">
        <v>48</v>
      </c>
      <c r="D604">
        <v>10</v>
      </c>
      <c r="E604" s="80">
        <v>35285</v>
      </c>
    </row>
    <row r="605" spans="1:5">
      <c r="A605">
        <v>10276</v>
      </c>
      <c r="B605" t="s">
        <v>175</v>
      </c>
      <c r="C605">
        <v>48</v>
      </c>
      <c r="D605">
        <v>10</v>
      </c>
      <c r="E605" s="80">
        <v>35285</v>
      </c>
    </row>
    <row r="606" spans="1:5">
      <c r="A606">
        <v>10276</v>
      </c>
      <c r="B606" t="s">
        <v>176</v>
      </c>
      <c r="C606">
        <v>48</v>
      </c>
      <c r="D606">
        <v>10</v>
      </c>
      <c r="E606" s="80">
        <v>35285</v>
      </c>
    </row>
    <row r="607" spans="1:5">
      <c r="A607">
        <v>10276</v>
      </c>
      <c r="B607" t="s">
        <v>177</v>
      </c>
      <c r="C607">
        <v>48</v>
      </c>
      <c r="D607">
        <v>10</v>
      </c>
      <c r="E607" s="80">
        <v>35285</v>
      </c>
    </row>
    <row r="608" spans="1:5">
      <c r="A608">
        <v>10276</v>
      </c>
      <c r="B608" t="s">
        <v>178</v>
      </c>
      <c r="C608">
        <v>48</v>
      </c>
      <c r="D608">
        <v>10</v>
      </c>
      <c r="E608" s="80">
        <v>35285</v>
      </c>
    </row>
    <row r="609" spans="1:5">
      <c r="A609">
        <v>10276</v>
      </c>
      <c r="B609" t="s">
        <v>179</v>
      </c>
      <c r="C609">
        <v>48</v>
      </c>
      <c r="D609">
        <v>10</v>
      </c>
      <c r="E609" s="80">
        <v>35285</v>
      </c>
    </row>
    <row r="610" spans="1:5">
      <c r="A610">
        <v>10277</v>
      </c>
      <c r="B610" t="s">
        <v>172</v>
      </c>
      <c r="C610">
        <v>728</v>
      </c>
      <c r="D610">
        <v>20</v>
      </c>
      <c r="E610" s="80">
        <v>35286</v>
      </c>
    </row>
    <row r="611" spans="1:5">
      <c r="A611">
        <v>10277</v>
      </c>
      <c r="B611" t="s">
        <v>173</v>
      </c>
      <c r="C611">
        <v>728</v>
      </c>
      <c r="D611">
        <v>20</v>
      </c>
      <c r="E611" s="80">
        <v>35286</v>
      </c>
    </row>
    <row r="612" spans="1:5">
      <c r="A612">
        <v>10277</v>
      </c>
      <c r="B612" t="s">
        <v>174</v>
      </c>
      <c r="C612">
        <v>728</v>
      </c>
      <c r="D612">
        <v>20</v>
      </c>
      <c r="E612" s="80">
        <v>35286</v>
      </c>
    </row>
    <row r="613" spans="1:5">
      <c r="A613">
        <v>10277</v>
      </c>
      <c r="B613" t="s">
        <v>175</v>
      </c>
      <c r="C613">
        <v>728</v>
      </c>
      <c r="D613">
        <v>20</v>
      </c>
      <c r="E613" s="80">
        <v>35286</v>
      </c>
    </row>
    <row r="614" spans="1:5">
      <c r="A614">
        <v>10277</v>
      </c>
      <c r="B614" t="s">
        <v>176</v>
      </c>
      <c r="C614">
        <v>728</v>
      </c>
      <c r="D614">
        <v>20</v>
      </c>
      <c r="E614" s="80">
        <v>35286</v>
      </c>
    </row>
    <row r="615" spans="1:5">
      <c r="A615">
        <v>10277</v>
      </c>
      <c r="B615" t="s">
        <v>177</v>
      </c>
      <c r="C615">
        <v>728</v>
      </c>
      <c r="D615">
        <v>20</v>
      </c>
      <c r="E615" s="80">
        <v>35286</v>
      </c>
    </row>
    <row r="616" spans="1:5">
      <c r="A616">
        <v>10277</v>
      </c>
      <c r="B616" t="s">
        <v>178</v>
      </c>
      <c r="C616">
        <v>728</v>
      </c>
      <c r="D616">
        <v>20</v>
      </c>
      <c r="E616" s="80">
        <v>35286</v>
      </c>
    </row>
    <row r="617" spans="1:5">
      <c r="A617">
        <v>10277</v>
      </c>
      <c r="B617" t="s">
        <v>179</v>
      </c>
      <c r="C617">
        <v>728</v>
      </c>
      <c r="D617">
        <v>20</v>
      </c>
      <c r="E617" s="80">
        <v>35286</v>
      </c>
    </row>
    <row r="618" spans="1:5">
      <c r="A618">
        <v>10277</v>
      </c>
      <c r="B618" t="s">
        <v>172</v>
      </c>
      <c r="C618">
        <v>472.8</v>
      </c>
      <c r="D618">
        <v>12</v>
      </c>
      <c r="E618" s="80">
        <v>35286</v>
      </c>
    </row>
    <row r="619" spans="1:5">
      <c r="A619">
        <v>10277</v>
      </c>
      <c r="B619" t="s">
        <v>173</v>
      </c>
      <c r="C619">
        <v>472.8</v>
      </c>
      <c r="D619">
        <v>12</v>
      </c>
      <c r="E619" s="80">
        <v>35286</v>
      </c>
    </row>
    <row r="620" spans="1:5">
      <c r="A620">
        <v>10277</v>
      </c>
      <c r="B620" t="s">
        <v>174</v>
      </c>
      <c r="C620">
        <v>472.8</v>
      </c>
      <c r="D620">
        <v>12</v>
      </c>
      <c r="E620" s="80">
        <v>35286</v>
      </c>
    </row>
    <row r="621" spans="1:5">
      <c r="A621">
        <v>10277</v>
      </c>
      <c r="B621" t="s">
        <v>175</v>
      </c>
      <c r="C621">
        <v>472.8</v>
      </c>
      <c r="D621">
        <v>12</v>
      </c>
      <c r="E621" s="80">
        <v>35286</v>
      </c>
    </row>
    <row r="622" spans="1:5">
      <c r="A622">
        <v>10277</v>
      </c>
      <c r="B622" t="s">
        <v>176</v>
      </c>
      <c r="C622">
        <v>472.8</v>
      </c>
      <c r="D622">
        <v>12</v>
      </c>
      <c r="E622" s="80">
        <v>35286</v>
      </c>
    </row>
    <row r="623" spans="1:5">
      <c r="A623">
        <v>10277</v>
      </c>
      <c r="B623" t="s">
        <v>177</v>
      </c>
      <c r="C623">
        <v>472.8</v>
      </c>
      <c r="D623">
        <v>12</v>
      </c>
      <c r="E623" s="80">
        <v>35286</v>
      </c>
    </row>
    <row r="624" spans="1:5">
      <c r="A624">
        <v>10277</v>
      </c>
      <c r="B624" t="s">
        <v>178</v>
      </c>
      <c r="C624">
        <v>472.8</v>
      </c>
      <c r="D624">
        <v>12</v>
      </c>
      <c r="E624" s="80">
        <v>35286</v>
      </c>
    </row>
    <row r="625" spans="1:5">
      <c r="A625">
        <v>10277</v>
      </c>
      <c r="B625" t="s">
        <v>179</v>
      </c>
      <c r="C625">
        <v>472.8</v>
      </c>
      <c r="D625">
        <v>12</v>
      </c>
      <c r="E625" s="80">
        <v>35286</v>
      </c>
    </row>
    <row r="626" spans="1:5">
      <c r="A626">
        <v>10278</v>
      </c>
      <c r="B626" t="s">
        <v>172</v>
      </c>
      <c r="C626">
        <v>248</v>
      </c>
      <c r="D626">
        <v>16</v>
      </c>
      <c r="E626" s="80">
        <v>35289</v>
      </c>
    </row>
    <row r="627" spans="1:5">
      <c r="A627">
        <v>10278</v>
      </c>
      <c r="B627" t="s">
        <v>173</v>
      </c>
      <c r="C627">
        <v>248</v>
      </c>
      <c r="D627">
        <v>16</v>
      </c>
      <c r="E627" s="80">
        <v>35289</v>
      </c>
    </row>
    <row r="628" spans="1:5">
      <c r="A628">
        <v>10278</v>
      </c>
      <c r="B628" t="s">
        <v>174</v>
      </c>
      <c r="C628">
        <v>248</v>
      </c>
      <c r="D628">
        <v>16</v>
      </c>
      <c r="E628" s="80">
        <v>35289</v>
      </c>
    </row>
    <row r="629" spans="1:5">
      <c r="A629">
        <v>10278</v>
      </c>
      <c r="B629" t="s">
        <v>175</v>
      </c>
      <c r="C629">
        <v>248</v>
      </c>
      <c r="D629">
        <v>16</v>
      </c>
      <c r="E629" s="80">
        <v>35289</v>
      </c>
    </row>
    <row r="630" spans="1:5">
      <c r="A630">
        <v>10278</v>
      </c>
      <c r="B630" t="s">
        <v>176</v>
      </c>
      <c r="C630">
        <v>248</v>
      </c>
      <c r="D630">
        <v>16</v>
      </c>
      <c r="E630" s="80">
        <v>35289</v>
      </c>
    </row>
    <row r="631" spans="1:5">
      <c r="A631">
        <v>10278</v>
      </c>
      <c r="B631" t="s">
        <v>177</v>
      </c>
      <c r="C631">
        <v>248</v>
      </c>
      <c r="D631">
        <v>16</v>
      </c>
      <c r="E631" s="80">
        <v>35289</v>
      </c>
    </row>
    <row r="632" spans="1:5">
      <c r="A632">
        <v>10278</v>
      </c>
      <c r="B632" t="s">
        <v>178</v>
      </c>
      <c r="C632">
        <v>248</v>
      </c>
      <c r="D632">
        <v>16</v>
      </c>
      <c r="E632" s="80">
        <v>35289</v>
      </c>
    </row>
    <row r="633" spans="1:5">
      <c r="A633">
        <v>10278</v>
      </c>
      <c r="B633" t="s">
        <v>179</v>
      </c>
      <c r="C633">
        <v>248</v>
      </c>
      <c r="D633">
        <v>16</v>
      </c>
      <c r="E633" s="80">
        <v>35289</v>
      </c>
    </row>
    <row r="634" spans="1:5">
      <c r="A634">
        <v>10278</v>
      </c>
      <c r="B634" t="s">
        <v>172</v>
      </c>
      <c r="C634">
        <v>660</v>
      </c>
      <c r="D634">
        <v>15</v>
      </c>
      <c r="E634" s="80">
        <v>35289</v>
      </c>
    </row>
    <row r="635" spans="1:5">
      <c r="A635">
        <v>10278</v>
      </c>
      <c r="B635" t="s">
        <v>173</v>
      </c>
      <c r="C635">
        <v>660</v>
      </c>
      <c r="D635">
        <v>15</v>
      </c>
      <c r="E635" s="80">
        <v>35289</v>
      </c>
    </row>
    <row r="636" spans="1:5">
      <c r="A636">
        <v>10278</v>
      </c>
      <c r="B636" t="s">
        <v>174</v>
      </c>
      <c r="C636">
        <v>660</v>
      </c>
      <c r="D636">
        <v>15</v>
      </c>
      <c r="E636" s="80">
        <v>35289</v>
      </c>
    </row>
    <row r="637" spans="1:5">
      <c r="A637">
        <v>10278</v>
      </c>
      <c r="B637" t="s">
        <v>175</v>
      </c>
      <c r="C637">
        <v>660</v>
      </c>
      <c r="D637">
        <v>15</v>
      </c>
      <c r="E637" s="80">
        <v>35289</v>
      </c>
    </row>
    <row r="638" spans="1:5">
      <c r="A638">
        <v>10278</v>
      </c>
      <c r="B638" t="s">
        <v>176</v>
      </c>
      <c r="C638">
        <v>660</v>
      </c>
      <c r="D638">
        <v>15</v>
      </c>
      <c r="E638" s="80">
        <v>35289</v>
      </c>
    </row>
    <row r="639" spans="1:5">
      <c r="A639">
        <v>10278</v>
      </c>
      <c r="B639" t="s">
        <v>177</v>
      </c>
      <c r="C639">
        <v>660</v>
      </c>
      <c r="D639">
        <v>15</v>
      </c>
      <c r="E639" s="80">
        <v>35289</v>
      </c>
    </row>
    <row r="640" spans="1:5">
      <c r="A640">
        <v>10278</v>
      </c>
      <c r="B640" t="s">
        <v>178</v>
      </c>
      <c r="C640">
        <v>660</v>
      </c>
      <c r="D640">
        <v>15</v>
      </c>
      <c r="E640" s="80">
        <v>35289</v>
      </c>
    </row>
    <row r="641" spans="1:5">
      <c r="A641">
        <v>10278</v>
      </c>
      <c r="B641" t="s">
        <v>179</v>
      </c>
      <c r="C641">
        <v>660</v>
      </c>
      <c r="D641">
        <v>15</v>
      </c>
      <c r="E641" s="80">
        <v>35289</v>
      </c>
    </row>
    <row r="642" spans="1:5">
      <c r="A642">
        <v>10278</v>
      </c>
      <c r="B642" t="s">
        <v>172</v>
      </c>
      <c r="C642">
        <v>280.8</v>
      </c>
      <c r="D642">
        <v>8</v>
      </c>
      <c r="E642" s="80">
        <v>35289</v>
      </c>
    </row>
    <row r="643" spans="1:5">
      <c r="A643">
        <v>10278</v>
      </c>
      <c r="B643" t="s">
        <v>173</v>
      </c>
      <c r="C643">
        <v>280.8</v>
      </c>
      <c r="D643">
        <v>8</v>
      </c>
      <c r="E643" s="80">
        <v>35289</v>
      </c>
    </row>
    <row r="644" spans="1:5">
      <c r="A644">
        <v>10278</v>
      </c>
      <c r="B644" t="s">
        <v>174</v>
      </c>
      <c r="C644">
        <v>280.8</v>
      </c>
      <c r="D644">
        <v>8</v>
      </c>
      <c r="E644" s="80">
        <v>35289</v>
      </c>
    </row>
    <row r="645" spans="1:5">
      <c r="A645">
        <v>10278</v>
      </c>
      <c r="B645" t="s">
        <v>175</v>
      </c>
      <c r="C645">
        <v>280.8</v>
      </c>
      <c r="D645">
        <v>8</v>
      </c>
      <c r="E645" s="80">
        <v>35289</v>
      </c>
    </row>
    <row r="646" spans="1:5">
      <c r="A646">
        <v>10278</v>
      </c>
      <c r="B646" t="s">
        <v>176</v>
      </c>
      <c r="C646">
        <v>280.8</v>
      </c>
      <c r="D646">
        <v>8</v>
      </c>
      <c r="E646" s="80">
        <v>35289</v>
      </c>
    </row>
    <row r="647" spans="1:5">
      <c r="A647">
        <v>10278</v>
      </c>
      <c r="B647" t="s">
        <v>177</v>
      </c>
      <c r="C647">
        <v>280.8</v>
      </c>
      <c r="D647">
        <v>8</v>
      </c>
      <c r="E647" s="80">
        <v>35289</v>
      </c>
    </row>
    <row r="648" spans="1:5">
      <c r="A648">
        <v>10278</v>
      </c>
      <c r="B648" t="s">
        <v>178</v>
      </c>
      <c r="C648">
        <v>280.8</v>
      </c>
      <c r="D648">
        <v>8</v>
      </c>
      <c r="E648" s="80">
        <v>35289</v>
      </c>
    </row>
    <row r="649" spans="1:5">
      <c r="A649">
        <v>10278</v>
      </c>
      <c r="B649" t="s">
        <v>179</v>
      </c>
      <c r="C649">
        <v>280.8</v>
      </c>
      <c r="D649">
        <v>8</v>
      </c>
      <c r="E649" s="80">
        <v>35289</v>
      </c>
    </row>
    <row r="650" spans="1:5">
      <c r="A650">
        <v>10278</v>
      </c>
      <c r="B650" t="s">
        <v>172</v>
      </c>
      <c r="C650">
        <v>300</v>
      </c>
      <c r="D650">
        <v>25</v>
      </c>
      <c r="E650" s="80">
        <v>35289</v>
      </c>
    </row>
    <row r="651" spans="1:5">
      <c r="A651">
        <v>10278</v>
      </c>
      <c r="B651" t="s">
        <v>173</v>
      </c>
      <c r="C651">
        <v>300</v>
      </c>
      <c r="D651">
        <v>25</v>
      </c>
      <c r="E651" s="80">
        <v>35289</v>
      </c>
    </row>
    <row r="652" spans="1:5">
      <c r="A652">
        <v>10278</v>
      </c>
      <c r="B652" t="s">
        <v>174</v>
      </c>
      <c r="C652">
        <v>300</v>
      </c>
      <c r="D652">
        <v>25</v>
      </c>
      <c r="E652" s="80">
        <v>35289</v>
      </c>
    </row>
    <row r="653" spans="1:5">
      <c r="A653">
        <v>10278</v>
      </c>
      <c r="B653" t="s">
        <v>175</v>
      </c>
      <c r="C653">
        <v>300</v>
      </c>
      <c r="D653">
        <v>25</v>
      </c>
      <c r="E653" s="80">
        <v>35289</v>
      </c>
    </row>
    <row r="654" spans="1:5">
      <c r="A654">
        <v>10278</v>
      </c>
      <c r="B654" t="s">
        <v>176</v>
      </c>
      <c r="C654">
        <v>300</v>
      </c>
      <c r="D654">
        <v>25</v>
      </c>
      <c r="E654" s="80">
        <v>35289</v>
      </c>
    </row>
    <row r="655" spans="1:5">
      <c r="A655">
        <v>10278</v>
      </c>
      <c r="B655" t="s">
        <v>177</v>
      </c>
      <c r="C655">
        <v>300</v>
      </c>
      <c r="D655">
        <v>25</v>
      </c>
      <c r="E655" s="80">
        <v>35289</v>
      </c>
    </row>
    <row r="656" spans="1:5">
      <c r="A656">
        <v>10278</v>
      </c>
      <c r="B656" t="s">
        <v>178</v>
      </c>
      <c r="C656">
        <v>300</v>
      </c>
      <c r="D656">
        <v>25</v>
      </c>
      <c r="E656" s="80">
        <v>35289</v>
      </c>
    </row>
    <row r="657" spans="1:5">
      <c r="A657">
        <v>10278</v>
      </c>
      <c r="B657" t="s">
        <v>179</v>
      </c>
      <c r="C657">
        <v>300</v>
      </c>
      <c r="D657">
        <v>25</v>
      </c>
      <c r="E657" s="80">
        <v>35289</v>
      </c>
    </row>
    <row r="658" spans="1:5">
      <c r="A658">
        <v>10279</v>
      </c>
      <c r="B658" t="s">
        <v>172</v>
      </c>
      <c r="C658">
        <v>351</v>
      </c>
      <c r="D658">
        <v>15</v>
      </c>
      <c r="E658" s="80">
        <v>35290</v>
      </c>
    </row>
    <row r="659" spans="1:5">
      <c r="A659">
        <v>10279</v>
      </c>
      <c r="B659" t="s">
        <v>173</v>
      </c>
      <c r="C659">
        <v>351</v>
      </c>
      <c r="D659">
        <v>15</v>
      </c>
      <c r="E659" s="80">
        <v>35290</v>
      </c>
    </row>
    <row r="660" spans="1:5">
      <c r="A660">
        <v>10279</v>
      </c>
      <c r="B660" t="s">
        <v>174</v>
      </c>
      <c r="C660">
        <v>351</v>
      </c>
      <c r="D660">
        <v>15</v>
      </c>
      <c r="E660" s="80">
        <v>35290</v>
      </c>
    </row>
    <row r="661" spans="1:5">
      <c r="A661">
        <v>10279</v>
      </c>
      <c r="B661" t="s">
        <v>175</v>
      </c>
      <c r="C661">
        <v>351</v>
      </c>
      <c r="D661">
        <v>15</v>
      </c>
      <c r="E661" s="80">
        <v>35290</v>
      </c>
    </row>
    <row r="662" spans="1:5">
      <c r="A662">
        <v>10279</v>
      </c>
      <c r="B662" t="s">
        <v>176</v>
      </c>
      <c r="C662">
        <v>351</v>
      </c>
      <c r="D662">
        <v>15</v>
      </c>
      <c r="E662" s="80">
        <v>35290</v>
      </c>
    </row>
    <row r="663" spans="1:5">
      <c r="A663">
        <v>10279</v>
      </c>
      <c r="B663" t="s">
        <v>177</v>
      </c>
      <c r="C663">
        <v>351</v>
      </c>
      <c r="D663">
        <v>15</v>
      </c>
      <c r="E663" s="80">
        <v>35290</v>
      </c>
    </row>
    <row r="664" spans="1:5">
      <c r="A664">
        <v>10279</v>
      </c>
      <c r="B664" t="s">
        <v>178</v>
      </c>
      <c r="C664">
        <v>351</v>
      </c>
      <c r="D664">
        <v>15</v>
      </c>
      <c r="E664" s="80">
        <v>35290</v>
      </c>
    </row>
    <row r="665" spans="1:5">
      <c r="A665">
        <v>10279</v>
      </c>
      <c r="B665" t="s">
        <v>179</v>
      </c>
      <c r="C665">
        <v>351</v>
      </c>
      <c r="D665">
        <v>15</v>
      </c>
      <c r="E665" s="80">
        <v>35290</v>
      </c>
    </row>
    <row r="666" spans="1:5">
      <c r="A666">
        <v>10280</v>
      </c>
      <c r="B666" t="s">
        <v>172</v>
      </c>
      <c r="C666">
        <v>43.2</v>
      </c>
      <c r="D666">
        <v>12</v>
      </c>
      <c r="E666" s="80">
        <v>35291</v>
      </c>
    </row>
    <row r="667" spans="1:5">
      <c r="A667">
        <v>10280</v>
      </c>
      <c r="B667" t="s">
        <v>173</v>
      </c>
      <c r="C667">
        <v>43.2</v>
      </c>
      <c r="D667">
        <v>12</v>
      </c>
      <c r="E667" s="80">
        <v>35291</v>
      </c>
    </row>
    <row r="668" spans="1:5">
      <c r="A668">
        <v>10280</v>
      </c>
      <c r="B668" t="s">
        <v>174</v>
      </c>
      <c r="C668">
        <v>43.2</v>
      </c>
      <c r="D668">
        <v>12</v>
      </c>
      <c r="E668" s="80">
        <v>35291</v>
      </c>
    </row>
    <row r="669" spans="1:5">
      <c r="A669">
        <v>10280</v>
      </c>
      <c r="B669" t="s">
        <v>175</v>
      </c>
      <c r="C669">
        <v>43.2</v>
      </c>
      <c r="D669">
        <v>12</v>
      </c>
      <c r="E669" s="80">
        <v>35291</v>
      </c>
    </row>
    <row r="670" spans="1:5">
      <c r="A670">
        <v>10280</v>
      </c>
      <c r="B670" t="s">
        <v>176</v>
      </c>
      <c r="C670">
        <v>43.2</v>
      </c>
      <c r="D670">
        <v>12</v>
      </c>
      <c r="E670" s="80">
        <v>35291</v>
      </c>
    </row>
    <row r="671" spans="1:5">
      <c r="A671">
        <v>10280</v>
      </c>
      <c r="B671" t="s">
        <v>177</v>
      </c>
      <c r="C671">
        <v>43.2</v>
      </c>
      <c r="D671">
        <v>12</v>
      </c>
      <c r="E671" s="80">
        <v>35291</v>
      </c>
    </row>
    <row r="672" spans="1:5">
      <c r="A672">
        <v>10280</v>
      </c>
      <c r="B672" t="s">
        <v>178</v>
      </c>
      <c r="C672">
        <v>43.2</v>
      </c>
      <c r="D672">
        <v>12</v>
      </c>
      <c r="E672" s="80">
        <v>35291</v>
      </c>
    </row>
    <row r="673" spans="1:5">
      <c r="A673">
        <v>10280</v>
      </c>
      <c r="B673" t="s">
        <v>179</v>
      </c>
      <c r="C673">
        <v>43.2</v>
      </c>
      <c r="D673">
        <v>12</v>
      </c>
      <c r="E673" s="80">
        <v>35291</v>
      </c>
    </row>
    <row r="674" spans="1:5">
      <c r="A674">
        <v>10280</v>
      </c>
      <c r="B674" t="s">
        <v>172</v>
      </c>
      <c r="C674">
        <v>384</v>
      </c>
      <c r="D674">
        <v>20</v>
      </c>
      <c r="E674" s="80">
        <v>35291</v>
      </c>
    </row>
    <row r="675" spans="1:5">
      <c r="A675">
        <v>10280</v>
      </c>
      <c r="B675" t="s">
        <v>173</v>
      </c>
      <c r="C675">
        <v>384</v>
      </c>
      <c r="D675">
        <v>20</v>
      </c>
      <c r="E675" s="80">
        <v>35291</v>
      </c>
    </row>
    <row r="676" spans="1:5">
      <c r="A676">
        <v>10280</v>
      </c>
      <c r="B676" t="s">
        <v>174</v>
      </c>
      <c r="C676">
        <v>384</v>
      </c>
      <c r="D676">
        <v>20</v>
      </c>
      <c r="E676" s="80">
        <v>35291</v>
      </c>
    </row>
    <row r="677" spans="1:5">
      <c r="A677">
        <v>10280</v>
      </c>
      <c r="B677" t="s">
        <v>175</v>
      </c>
      <c r="C677">
        <v>384</v>
      </c>
      <c r="D677">
        <v>20</v>
      </c>
      <c r="E677" s="80">
        <v>35291</v>
      </c>
    </row>
    <row r="678" spans="1:5">
      <c r="A678">
        <v>10280</v>
      </c>
      <c r="B678" t="s">
        <v>176</v>
      </c>
      <c r="C678">
        <v>384</v>
      </c>
      <c r="D678">
        <v>20</v>
      </c>
      <c r="E678" s="80">
        <v>35291</v>
      </c>
    </row>
    <row r="679" spans="1:5">
      <c r="A679">
        <v>10280</v>
      </c>
      <c r="B679" t="s">
        <v>177</v>
      </c>
      <c r="C679">
        <v>384</v>
      </c>
      <c r="D679">
        <v>20</v>
      </c>
      <c r="E679" s="80">
        <v>35291</v>
      </c>
    </row>
    <row r="680" spans="1:5">
      <c r="A680">
        <v>10280</v>
      </c>
      <c r="B680" t="s">
        <v>178</v>
      </c>
      <c r="C680">
        <v>384</v>
      </c>
      <c r="D680">
        <v>20</v>
      </c>
      <c r="E680" s="80">
        <v>35291</v>
      </c>
    </row>
    <row r="681" spans="1:5">
      <c r="A681">
        <v>10280</v>
      </c>
      <c r="B681" t="s">
        <v>179</v>
      </c>
      <c r="C681">
        <v>384</v>
      </c>
      <c r="D681">
        <v>20</v>
      </c>
      <c r="E681" s="80">
        <v>35291</v>
      </c>
    </row>
    <row r="682" spans="1:5">
      <c r="A682">
        <v>10280</v>
      </c>
      <c r="B682" t="s">
        <v>172</v>
      </c>
      <c r="C682">
        <v>186</v>
      </c>
      <c r="D682">
        <v>30</v>
      </c>
      <c r="E682" s="80">
        <v>35291</v>
      </c>
    </row>
    <row r="683" spans="1:5">
      <c r="A683">
        <v>10280</v>
      </c>
      <c r="B683" t="s">
        <v>173</v>
      </c>
      <c r="C683">
        <v>186</v>
      </c>
      <c r="D683">
        <v>30</v>
      </c>
      <c r="E683" s="80">
        <v>35291</v>
      </c>
    </row>
    <row r="684" spans="1:5">
      <c r="A684">
        <v>10280</v>
      </c>
      <c r="B684" t="s">
        <v>174</v>
      </c>
      <c r="C684">
        <v>186</v>
      </c>
      <c r="D684">
        <v>30</v>
      </c>
      <c r="E684" s="80">
        <v>35291</v>
      </c>
    </row>
    <row r="685" spans="1:5">
      <c r="A685">
        <v>10280</v>
      </c>
      <c r="B685" t="s">
        <v>175</v>
      </c>
      <c r="C685">
        <v>186</v>
      </c>
      <c r="D685">
        <v>30</v>
      </c>
      <c r="E685" s="80">
        <v>35291</v>
      </c>
    </row>
    <row r="686" spans="1:5">
      <c r="A686">
        <v>10280</v>
      </c>
      <c r="B686" t="s">
        <v>176</v>
      </c>
      <c r="C686">
        <v>186</v>
      </c>
      <c r="D686">
        <v>30</v>
      </c>
      <c r="E686" s="80">
        <v>35291</v>
      </c>
    </row>
    <row r="687" spans="1:5">
      <c r="A687">
        <v>10280</v>
      </c>
      <c r="B687" t="s">
        <v>177</v>
      </c>
      <c r="C687">
        <v>186</v>
      </c>
      <c r="D687">
        <v>30</v>
      </c>
      <c r="E687" s="80">
        <v>35291</v>
      </c>
    </row>
    <row r="688" spans="1:5">
      <c r="A688">
        <v>10280</v>
      </c>
      <c r="B688" t="s">
        <v>178</v>
      </c>
      <c r="C688">
        <v>186</v>
      </c>
      <c r="D688">
        <v>30</v>
      </c>
      <c r="E688" s="80">
        <v>35291</v>
      </c>
    </row>
    <row r="689" spans="1:5">
      <c r="A689">
        <v>10280</v>
      </c>
      <c r="B689" t="s">
        <v>179</v>
      </c>
      <c r="C689">
        <v>186</v>
      </c>
      <c r="D689">
        <v>30</v>
      </c>
      <c r="E689" s="80">
        <v>35291</v>
      </c>
    </row>
    <row r="690" spans="1:5">
      <c r="A690">
        <v>10281</v>
      </c>
      <c r="B690" t="s">
        <v>172</v>
      </c>
      <c r="C690">
        <v>7.3</v>
      </c>
      <c r="D690">
        <v>1</v>
      </c>
      <c r="E690" s="80">
        <v>35291</v>
      </c>
    </row>
    <row r="691" spans="1:5">
      <c r="A691">
        <v>10281</v>
      </c>
      <c r="B691" t="s">
        <v>173</v>
      </c>
      <c r="C691">
        <v>7.3</v>
      </c>
      <c r="D691">
        <v>1</v>
      </c>
      <c r="E691" s="80">
        <v>35291</v>
      </c>
    </row>
    <row r="692" spans="1:5">
      <c r="A692">
        <v>10281</v>
      </c>
      <c r="B692" t="s">
        <v>174</v>
      </c>
      <c r="C692">
        <v>7.3</v>
      </c>
      <c r="D692">
        <v>1</v>
      </c>
      <c r="E692" s="80">
        <v>35291</v>
      </c>
    </row>
    <row r="693" spans="1:5">
      <c r="A693">
        <v>10281</v>
      </c>
      <c r="B693" t="s">
        <v>175</v>
      </c>
      <c r="C693">
        <v>7.3</v>
      </c>
      <c r="D693">
        <v>1</v>
      </c>
      <c r="E693" s="80">
        <v>35291</v>
      </c>
    </row>
    <row r="694" spans="1:5">
      <c r="A694">
        <v>10281</v>
      </c>
      <c r="B694" t="s">
        <v>176</v>
      </c>
      <c r="C694">
        <v>7.3</v>
      </c>
      <c r="D694">
        <v>1</v>
      </c>
      <c r="E694" s="80">
        <v>35291</v>
      </c>
    </row>
    <row r="695" spans="1:5">
      <c r="A695">
        <v>10281</v>
      </c>
      <c r="B695" t="s">
        <v>177</v>
      </c>
      <c r="C695">
        <v>7.3</v>
      </c>
      <c r="D695">
        <v>1</v>
      </c>
      <c r="E695" s="80">
        <v>35291</v>
      </c>
    </row>
    <row r="696" spans="1:5">
      <c r="A696">
        <v>10281</v>
      </c>
      <c r="B696" t="s">
        <v>178</v>
      </c>
      <c r="C696">
        <v>7.3</v>
      </c>
      <c r="D696">
        <v>1</v>
      </c>
      <c r="E696" s="80">
        <v>35291</v>
      </c>
    </row>
    <row r="697" spans="1:5">
      <c r="A697">
        <v>10281</v>
      </c>
      <c r="B697" t="s">
        <v>179</v>
      </c>
      <c r="C697">
        <v>7.3</v>
      </c>
      <c r="D697">
        <v>1</v>
      </c>
      <c r="E697" s="80">
        <v>35291</v>
      </c>
    </row>
    <row r="698" spans="1:5">
      <c r="A698">
        <v>10281</v>
      </c>
      <c r="B698" t="s">
        <v>172</v>
      </c>
      <c r="C698">
        <v>21.6</v>
      </c>
      <c r="D698">
        <v>6</v>
      </c>
      <c r="E698" s="80">
        <v>35291</v>
      </c>
    </row>
    <row r="699" spans="1:5">
      <c r="A699">
        <v>10281</v>
      </c>
      <c r="B699" t="s">
        <v>173</v>
      </c>
      <c r="C699">
        <v>21.6</v>
      </c>
      <c r="D699">
        <v>6</v>
      </c>
      <c r="E699" s="80">
        <v>35291</v>
      </c>
    </row>
    <row r="700" spans="1:5">
      <c r="A700">
        <v>10281</v>
      </c>
      <c r="B700" t="s">
        <v>174</v>
      </c>
      <c r="C700">
        <v>21.6</v>
      </c>
      <c r="D700">
        <v>6</v>
      </c>
      <c r="E700" s="80">
        <v>35291</v>
      </c>
    </row>
    <row r="701" spans="1:5">
      <c r="A701">
        <v>10281</v>
      </c>
      <c r="B701" t="s">
        <v>175</v>
      </c>
      <c r="C701">
        <v>21.6</v>
      </c>
      <c r="D701">
        <v>6</v>
      </c>
      <c r="E701" s="80">
        <v>35291</v>
      </c>
    </row>
    <row r="702" spans="1:5">
      <c r="A702">
        <v>10281</v>
      </c>
      <c r="B702" t="s">
        <v>176</v>
      </c>
      <c r="C702">
        <v>21.6</v>
      </c>
      <c r="D702">
        <v>6</v>
      </c>
      <c r="E702" s="80">
        <v>35291</v>
      </c>
    </row>
    <row r="703" spans="1:5">
      <c r="A703">
        <v>10281</v>
      </c>
      <c r="B703" t="s">
        <v>177</v>
      </c>
      <c r="C703">
        <v>21.6</v>
      </c>
      <c r="D703">
        <v>6</v>
      </c>
      <c r="E703" s="80">
        <v>35291</v>
      </c>
    </row>
    <row r="704" spans="1:5">
      <c r="A704">
        <v>10281</v>
      </c>
      <c r="B704" t="s">
        <v>178</v>
      </c>
      <c r="C704">
        <v>21.6</v>
      </c>
      <c r="D704">
        <v>6</v>
      </c>
      <c r="E704" s="80">
        <v>35291</v>
      </c>
    </row>
    <row r="705" spans="1:5">
      <c r="A705">
        <v>10281</v>
      </c>
      <c r="B705" t="s">
        <v>179</v>
      </c>
      <c r="C705">
        <v>21.6</v>
      </c>
      <c r="D705">
        <v>6</v>
      </c>
      <c r="E705" s="80">
        <v>35291</v>
      </c>
    </row>
    <row r="706" spans="1:5">
      <c r="A706">
        <v>10281</v>
      </c>
      <c r="B706" t="s">
        <v>172</v>
      </c>
      <c r="C706">
        <v>57.6</v>
      </c>
      <c r="D706">
        <v>4</v>
      </c>
      <c r="E706" s="80">
        <v>35291</v>
      </c>
    </row>
    <row r="707" spans="1:5">
      <c r="A707">
        <v>10281</v>
      </c>
      <c r="B707" t="s">
        <v>173</v>
      </c>
      <c r="C707">
        <v>57.6</v>
      </c>
      <c r="D707">
        <v>4</v>
      </c>
      <c r="E707" s="80">
        <v>35291</v>
      </c>
    </row>
    <row r="708" spans="1:5">
      <c r="A708">
        <v>10281</v>
      </c>
      <c r="B708" t="s">
        <v>174</v>
      </c>
      <c r="C708">
        <v>57.6</v>
      </c>
      <c r="D708">
        <v>4</v>
      </c>
      <c r="E708" s="80">
        <v>35291</v>
      </c>
    </row>
    <row r="709" spans="1:5">
      <c r="A709">
        <v>10281</v>
      </c>
      <c r="B709" t="s">
        <v>175</v>
      </c>
      <c r="C709">
        <v>57.6</v>
      </c>
      <c r="D709">
        <v>4</v>
      </c>
      <c r="E709" s="80">
        <v>35291</v>
      </c>
    </row>
    <row r="710" spans="1:5">
      <c r="A710">
        <v>10281</v>
      </c>
      <c r="B710" t="s">
        <v>176</v>
      </c>
      <c r="C710">
        <v>57.6</v>
      </c>
      <c r="D710">
        <v>4</v>
      </c>
      <c r="E710" s="80">
        <v>35291</v>
      </c>
    </row>
    <row r="711" spans="1:5">
      <c r="A711">
        <v>10281</v>
      </c>
      <c r="B711" t="s">
        <v>177</v>
      </c>
      <c r="C711">
        <v>57.6</v>
      </c>
      <c r="D711">
        <v>4</v>
      </c>
      <c r="E711" s="80">
        <v>35291</v>
      </c>
    </row>
    <row r="712" spans="1:5">
      <c r="A712">
        <v>10281</v>
      </c>
      <c r="B712" t="s">
        <v>178</v>
      </c>
      <c r="C712">
        <v>57.6</v>
      </c>
      <c r="D712">
        <v>4</v>
      </c>
      <c r="E712" s="80">
        <v>35291</v>
      </c>
    </row>
    <row r="713" spans="1:5">
      <c r="A713">
        <v>10281</v>
      </c>
      <c r="B713" t="s">
        <v>179</v>
      </c>
      <c r="C713">
        <v>57.6</v>
      </c>
      <c r="D713">
        <v>4</v>
      </c>
      <c r="E713" s="80">
        <v>35291</v>
      </c>
    </row>
    <row r="714" spans="1:5">
      <c r="A714">
        <v>10282</v>
      </c>
      <c r="B714" t="s">
        <v>172</v>
      </c>
      <c r="C714">
        <v>124.2</v>
      </c>
      <c r="D714">
        <v>6</v>
      </c>
      <c r="E714" s="80">
        <v>35292</v>
      </c>
    </row>
    <row r="715" spans="1:5">
      <c r="A715">
        <v>10282</v>
      </c>
      <c r="B715" t="s">
        <v>173</v>
      </c>
      <c r="C715">
        <v>124.2</v>
      </c>
      <c r="D715">
        <v>6</v>
      </c>
      <c r="E715" s="80">
        <v>35292</v>
      </c>
    </row>
    <row r="716" spans="1:5">
      <c r="A716">
        <v>10282</v>
      </c>
      <c r="B716" t="s">
        <v>174</v>
      </c>
      <c r="C716">
        <v>124.2</v>
      </c>
      <c r="D716">
        <v>6</v>
      </c>
      <c r="E716" s="80">
        <v>35292</v>
      </c>
    </row>
    <row r="717" spans="1:5">
      <c r="A717">
        <v>10282</v>
      </c>
      <c r="B717" t="s">
        <v>175</v>
      </c>
      <c r="C717">
        <v>124.2</v>
      </c>
      <c r="D717">
        <v>6</v>
      </c>
      <c r="E717" s="80">
        <v>35292</v>
      </c>
    </row>
    <row r="718" spans="1:5">
      <c r="A718">
        <v>10282</v>
      </c>
      <c r="B718" t="s">
        <v>176</v>
      </c>
      <c r="C718">
        <v>124.2</v>
      </c>
      <c r="D718">
        <v>6</v>
      </c>
      <c r="E718" s="80">
        <v>35292</v>
      </c>
    </row>
    <row r="719" spans="1:5">
      <c r="A719">
        <v>10282</v>
      </c>
      <c r="B719" t="s">
        <v>177</v>
      </c>
      <c r="C719">
        <v>124.2</v>
      </c>
      <c r="D719">
        <v>6</v>
      </c>
      <c r="E719" s="80">
        <v>35292</v>
      </c>
    </row>
    <row r="720" spans="1:5">
      <c r="A720">
        <v>10282</v>
      </c>
      <c r="B720" t="s">
        <v>178</v>
      </c>
      <c r="C720">
        <v>124.2</v>
      </c>
      <c r="D720">
        <v>6</v>
      </c>
      <c r="E720" s="80">
        <v>35292</v>
      </c>
    </row>
    <row r="721" spans="1:5">
      <c r="A721">
        <v>10282</v>
      </c>
      <c r="B721" t="s">
        <v>179</v>
      </c>
      <c r="C721">
        <v>124.2</v>
      </c>
      <c r="D721">
        <v>6</v>
      </c>
      <c r="E721" s="80">
        <v>35292</v>
      </c>
    </row>
    <row r="722" spans="1:5">
      <c r="A722">
        <v>10282</v>
      </c>
      <c r="B722" t="s">
        <v>172</v>
      </c>
      <c r="C722">
        <v>31.2</v>
      </c>
      <c r="D722">
        <v>2</v>
      </c>
      <c r="E722" s="80">
        <v>35292</v>
      </c>
    </row>
    <row r="723" spans="1:5">
      <c r="A723">
        <v>10282</v>
      </c>
      <c r="B723" t="s">
        <v>173</v>
      </c>
      <c r="C723">
        <v>31.2</v>
      </c>
      <c r="D723">
        <v>2</v>
      </c>
      <c r="E723" s="80">
        <v>35292</v>
      </c>
    </row>
    <row r="724" spans="1:5">
      <c r="A724">
        <v>10282</v>
      </c>
      <c r="B724" t="s">
        <v>174</v>
      </c>
      <c r="C724">
        <v>31.2</v>
      </c>
      <c r="D724">
        <v>2</v>
      </c>
      <c r="E724" s="80">
        <v>35292</v>
      </c>
    </row>
    <row r="725" spans="1:5">
      <c r="A725">
        <v>10282</v>
      </c>
      <c r="B725" t="s">
        <v>175</v>
      </c>
      <c r="C725">
        <v>31.2</v>
      </c>
      <c r="D725">
        <v>2</v>
      </c>
      <c r="E725" s="80">
        <v>35292</v>
      </c>
    </row>
    <row r="726" spans="1:5">
      <c r="A726">
        <v>10282</v>
      </c>
      <c r="B726" t="s">
        <v>176</v>
      </c>
      <c r="C726">
        <v>31.2</v>
      </c>
      <c r="D726">
        <v>2</v>
      </c>
      <c r="E726" s="80">
        <v>35292</v>
      </c>
    </row>
    <row r="727" spans="1:5">
      <c r="A727">
        <v>10282</v>
      </c>
      <c r="B727" t="s">
        <v>177</v>
      </c>
      <c r="C727">
        <v>31.2</v>
      </c>
      <c r="D727">
        <v>2</v>
      </c>
      <c r="E727" s="80">
        <v>35292</v>
      </c>
    </row>
    <row r="728" spans="1:5">
      <c r="A728">
        <v>10282</v>
      </c>
      <c r="B728" t="s">
        <v>178</v>
      </c>
      <c r="C728">
        <v>31.2</v>
      </c>
      <c r="D728">
        <v>2</v>
      </c>
      <c r="E728" s="80">
        <v>35292</v>
      </c>
    </row>
    <row r="729" spans="1:5">
      <c r="A729">
        <v>10282</v>
      </c>
      <c r="B729" t="s">
        <v>179</v>
      </c>
      <c r="C729">
        <v>31.2</v>
      </c>
      <c r="D729">
        <v>2</v>
      </c>
      <c r="E729" s="80">
        <v>35292</v>
      </c>
    </row>
    <row r="730" spans="1:5">
      <c r="A730">
        <v>10283</v>
      </c>
      <c r="B730" t="s">
        <v>172</v>
      </c>
      <c r="C730">
        <v>248</v>
      </c>
      <c r="D730">
        <v>20</v>
      </c>
      <c r="E730" s="80">
        <v>35293</v>
      </c>
    </row>
    <row r="731" spans="1:5">
      <c r="A731">
        <v>10283</v>
      </c>
      <c r="B731" t="s">
        <v>173</v>
      </c>
      <c r="C731">
        <v>248</v>
      </c>
      <c r="D731">
        <v>20</v>
      </c>
      <c r="E731" s="80">
        <v>35293</v>
      </c>
    </row>
    <row r="732" spans="1:5">
      <c r="A732">
        <v>10283</v>
      </c>
      <c r="B732" t="s">
        <v>174</v>
      </c>
      <c r="C732">
        <v>248</v>
      </c>
      <c r="D732">
        <v>20</v>
      </c>
      <c r="E732" s="80">
        <v>35293</v>
      </c>
    </row>
    <row r="733" spans="1:5">
      <c r="A733">
        <v>10283</v>
      </c>
      <c r="B733" t="s">
        <v>175</v>
      </c>
      <c r="C733">
        <v>248</v>
      </c>
      <c r="D733">
        <v>20</v>
      </c>
      <c r="E733" s="80">
        <v>35293</v>
      </c>
    </row>
    <row r="734" spans="1:5">
      <c r="A734">
        <v>10283</v>
      </c>
      <c r="B734" t="s">
        <v>176</v>
      </c>
      <c r="C734">
        <v>248</v>
      </c>
      <c r="D734">
        <v>20</v>
      </c>
      <c r="E734" s="80">
        <v>35293</v>
      </c>
    </row>
    <row r="735" spans="1:5">
      <c r="A735">
        <v>10283</v>
      </c>
      <c r="B735" t="s">
        <v>177</v>
      </c>
      <c r="C735">
        <v>248</v>
      </c>
      <c r="D735">
        <v>20</v>
      </c>
      <c r="E735" s="80">
        <v>35293</v>
      </c>
    </row>
    <row r="736" spans="1:5">
      <c r="A736">
        <v>10283</v>
      </c>
      <c r="B736" t="s">
        <v>178</v>
      </c>
      <c r="C736">
        <v>248</v>
      </c>
      <c r="D736">
        <v>20</v>
      </c>
      <c r="E736" s="80">
        <v>35293</v>
      </c>
    </row>
    <row r="737" spans="1:5">
      <c r="A737">
        <v>10283</v>
      </c>
      <c r="B737" t="s">
        <v>179</v>
      </c>
      <c r="C737">
        <v>248</v>
      </c>
      <c r="D737">
        <v>20</v>
      </c>
      <c r="E737" s="80">
        <v>35293</v>
      </c>
    </row>
    <row r="738" spans="1:5">
      <c r="A738">
        <v>10283</v>
      </c>
      <c r="B738" t="s">
        <v>172</v>
      </c>
      <c r="C738">
        <v>131.4</v>
      </c>
      <c r="D738">
        <v>18</v>
      </c>
      <c r="E738" s="80">
        <v>35293</v>
      </c>
    </row>
    <row r="739" spans="1:5">
      <c r="A739">
        <v>10283</v>
      </c>
      <c r="B739" t="s">
        <v>173</v>
      </c>
      <c r="C739">
        <v>131.4</v>
      </c>
      <c r="D739">
        <v>18</v>
      </c>
      <c r="E739" s="80">
        <v>35293</v>
      </c>
    </row>
    <row r="740" spans="1:5">
      <c r="A740">
        <v>10283</v>
      </c>
      <c r="B740" t="s">
        <v>174</v>
      </c>
      <c r="C740">
        <v>131.4</v>
      </c>
      <c r="D740">
        <v>18</v>
      </c>
      <c r="E740" s="80">
        <v>35293</v>
      </c>
    </row>
    <row r="741" spans="1:5">
      <c r="A741">
        <v>10283</v>
      </c>
      <c r="B741" t="s">
        <v>175</v>
      </c>
      <c r="C741">
        <v>131.4</v>
      </c>
      <c r="D741">
        <v>18</v>
      </c>
      <c r="E741" s="80">
        <v>35293</v>
      </c>
    </row>
    <row r="742" spans="1:5">
      <c r="A742">
        <v>10283</v>
      </c>
      <c r="B742" t="s">
        <v>176</v>
      </c>
      <c r="C742">
        <v>131.4</v>
      </c>
      <c r="D742">
        <v>18</v>
      </c>
      <c r="E742" s="80">
        <v>35293</v>
      </c>
    </row>
    <row r="743" spans="1:5">
      <c r="A743">
        <v>10283</v>
      </c>
      <c r="B743" t="s">
        <v>177</v>
      </c>
      <c r="C743">
        <v>131.4</v>
      </c>
      <c r="D743">
        <v>18</v>
      </c>
      <c r="E743" s="80">
        <v>35293</v>
      </c>
    </row>
    <row r="744" spans="1:5">
      <c r="A744">
        <v>10283</v>
      </c>
      <c r="B744" t="s">
        <v>178</v>
      </c>
      <c r="C744">
        <v>131.4</v>
      </c>
      <c r="D744">
        <v>18</v>
      </c>
      <c r="E744" s="80">
        <v>35293</v>
      </c>
    </row>
    <row r="745" spans="1:5">
      <c r="A745">
        <v>10283</v>
      </c>
      <c r="B745" t="s">
        <v>179</v>
      </c>
      <c r="C745">
        <v>131.4</v>
      </c>
      <c r="D745">
        <v>18</v>
      </c>
      <c r="E745" s="80">
        <v>35293</v>
      </c>
    </row>
    <row r="746" spans="1:5">
      <c r="A746">
        <v>10283</v>
      </c>
      <c r="B746" t="s">
        <v>172</v>
      </c>
      <c r="C746">
        <v>952</v>
      </c>
      <c r="D746">
        <v>35</v>
      </c>
      <c r="E746" s="80">
        <v>35293</v>
      </c>
    </row>
    <row r="747" spans="1:5">
      <c r="A747">
        <v>10283</v>
      </c>
      <c r="B747" t="s">
        <v>173</v>
      </c>
      <c r="C747">
        <v>952</v>
      </c>
      <c r="D747">
        <v>35</v>
      </c>
      <c r="E747" s="80">
        <v>35293</v>
      </c>
    </row>
    <row r="748" spans="1:5">
      <c r="A748">
        <v>10283</v>
      </c>
      <c r="B748" t="s">
        <v>174</v>
      </c>
      <c r="C748">
        <v>952</v>
      </c>
      <c r="D748">
        <v>35</v>
      </c>
      <c r="E748" s="80">
        <v>35293</v>
      </c>
    </row>
    <row r="749" spans="1:5">
      <c r="A749">
        <v>10283</v>
      </c>
      <c r="B749" t="s">
        <v>175</v>
      </c>
      <c r="C749">
        <v>952</v>
      </c>
      <c r="D749">
        <v>35</v>
      </c>
      <c r="E749" s="80">
        <v>35293</v>
      </c>
    </row>
    <row r="750" spans="1:5">
      <c r="A750">
        <v>10283</v>
      </c>
      <c r="B750" t="s">
        <v>176</v>
      </c>
      <c r="C750">
        <v>952</v>
      </c>
      <c r="D750">
        <v>35</v>
      </c>
      <c r="E750" s="80">
        <v>35293</v>
      </c>
    </row>
    <row r="751" spans="1:5">
      <c r="A751">
        <v>10283</v>
      </c>
      <c r="B751" t="s">
        <v>177</v>
      </c>
      <c r="C751">
        <v>952</v>
      </c>
      <c r="D751">
        <v>35</v>
      </c>
      <c r="E751" s="80">
        <v>35293</v>
      </c>
    </row>
    <row r="752" spans="1:5">
      <c r="A752">
        <v>10283</v>
      </c>
      <c r="B752" t="s">
        <v>178</v>
      </c>
      <c r="C752">
        <v>952</v>
      </c>
      <c r="D752">
        <v>35</v>
      </c>
      <c r="E752" s="80">
        <v>35293</v>
      </c>
    </row>
    <row r="753" spans="1:5">
      <c r="A753">
        <v>10283</v>
      </c>
      <c r="B753" t="s">
        <v>179</v>
      </c>
      <c r="C753">
        <v>952</v>
      </c>
      <c r="D753">
        <v>35</v>
      </c>
      <c r="E753" s="80">
        <v>35293</v>
      </c>
    </row>
    <row r="754" spans="1:5">
      <c r="A754">
        <v>10283</v>
      </c>
      <c r="B754" t="s">
        <v>172</v>
      </c>
      <c r="C754">
        <v>83.4</v>
      </c>
      <c r="D754">
        <v>3</v>
      </c>
      <c r="E754" s="80">
        <v>35293</v>
      </c>
    </row>
    <row r="755" spans="1:5">
      <c r="A755">
        <v>10283</v>
      </c>
      <c r="B755" t="s">
        <v>173</v>
      </c>
      <c r="C755">
        <v>83.4</v>
      </c>
      <c r="D755">
        <v>3</v>
      </c>
      <c r="E755" s="80">
        <v>35293</v>
      </c>
    </row>
    <row r="756" spans="1:5">
      <c r="A756">
        <v>10283</v>
      </c>
      <c r="B756" t="s">
        <v>174</v>
      </c>
      <c r="C756">
        <v>83.4</v>
      </c>
      <c r="D756">
        <v>3</v>
      </c>
      <c r="E756" s="80">
        <v>35293</v>
      </c>
    </row>
    <row r="757" spans="1:5">
      <c r="A757">
        <v>10283</v>
      </c>
      <c r="B757" t="s">
        <v>175</v>
      </c>
      <c r="C757">
        <v>83.4</v>
      </c>
      <c r="D757">
        <v>3</v>
      </c>
      <c r="E757" s="80">
        <v>35293</v>
      </c>
    </row>
    <row r="758" spans="1:5">
      <c r="A758">
        <v>10283</v>
      </c>
      <c r="B758" t="s">
        <v>176</v>
      </c>
      <c r="C758">
        <v>83.4</v>
      </c>
      <c r="D758">
        <v>3</v>
      </c>
      <c r="E758" s="80">
        <v>35293</v>
      </c>
    </row>
    <row r="759" spans="1:5">
      <c r="A759">
        <v>10283</v>
      </c>
      <c r="B759" t="s">
        <v>177</v>
      </c>
      <c r="C759">
        <v>83.4</v>
      </c>
      <c r="D759">
        <v>3</v>
      </c>
      <c r="E759" s="80">
        <v>35293</v>
      </c>
    </row>
    <row r="760" spans="1:5">
      <c r="A760">
        <v>10283</v>
      </c>
      <c r="B760" t="s">
        <v>178</v>
      </c>
      <c r="C760">
        <v>83.4</v>
      </c>
      <c r="D760">
        <v>3</v>
      </c>
      <c r="E760" s="80">
        <v>35293</v>
      </c>
    </row>
    <row r="761" spans="1:5">
      <c r="A761">
        <v>10283</v>
      </c>
      <c r="B761" t="s">
        <v>179</v>
      </c>
      <c r="C761">
        <v>83.4</v>
      </c>
      <c r="D761">
        <v>3</v>
      </c>
      <c r="E761" s="80">
        <v>35293</v>
      </c>
    </row>
    <row r="762" spans="1:5">
      <c r="A762">
        <v>10284</v>
      </c>
      <c r="B762" t="s">
        <v>172</v>
      </c>
      <c r="C762">
        <v>394.875</v>
      </c>
      <c r="D762">
        <v>15</v>
      </c>
      <c r="E762" s="80">
        <v>35296</v>
      </c>
    </row>
    <row r="763" spans="1:5">
      <c r="A763">
        <v>10284</v>
      </c>
      <c r="B763" t="s">
        <v>173</v>
      </c>
      <c r="C763">
        <v>394.875</v>
      </c>
      <c r="D763">
        <v>15</v>
      </c>
      <c r="E763" s="80">
        <v>35296</v>
      </c>
    </row>
    <row r="764" spans="1:5">
      <c r="A764">
        <v>10284</v>
      </c>
      <c r="B764" t="s">
        <v>174</v>
      </c>
      <c r="C764">
        <v>394.875</v>
      </c>
      <c r="D764">
        <v>15</v>
      </c>
      <c r="E764" s="80">
        <v>35296</v>
      </c>
    </row>
    <row r="765" spans="1:5">
      <c r="A765">
        <v>10284</v>
      </c>
      <c r="B765" t="s">
        <v>175</v>
      </c>
      <c r="C765">
        <v>394.875</v>
      </c>
      <c r="D765">
        <v>15</v>
      </c>
      <c r="E765" s="80">
        <v>35296</v>
      </c>
    </row>
    <row r="766" spans="1:5">
      <c r="A766">
        <v>10284</v>
      </c>
      <c r="B766" t="s">
        <v>176</v>
      </c>
      <c r="C766">
        <v>394.875</v>
      </c>
      <c r="D766">
        <v>15</v>
      </c>
      <c r="E766" s="80">
        <v>35296</v>
      </c>
    </row>
    <row r="767" spans="1:5">
      <c r="A767">
        <v>10284</v>
      </c>
      <c r="B767" t="s">
        <v>177</v>
      </c>
      <c r="C767">
        <v>394.875</v>
      </c>
      <c r="D767">
        <v>15</v>
      </c>
      <c r="E767" s="80">
        <v>35296</v>
      </c>
    </row>
    <row r="768" spans="1:5">
      <c r="A768">
        <v>10284</v>
      </c>
      <c r="B768" t="s">
        <v>178</v>
      </c>
      <c r="C768">
        <v>394.875</v>
      </c>
      <c r="D768">
        <v>15</v>
      </c>
      <c r="E768" s="80">
        <v>35296</v>
      </c>
    </row>
    <row r="769" spans="1:5">
      <c r="A769">
        <v>10284</v>
      </c>
      <c r="B769" t="s">
        <v>179</v>
      </c>
      <c r="C769">
        <v>394.875</v>
      </c>
      <c r="D769">
        <v>15</v>
      </c>
      <c r="E769" s="80">
        <v>35296</v>
      </c>
    </row>
    <row r="770" spans="1:5">
      <c r="A770">
        <v>10284</v>
      </c>
      <c r="B770" t="s">
        <v>172</v>
      </c>
      <c r="C770">
        <v>325.5</v>
      </c>
      <c r="D770">
        <v>21</v>
      </c>
      <c r="E770" s="80">
        <v>35296</v>
      </c>
    </row>
    <row r="771" spans="1:5">
      <c r="A771">
        <v>10284</v>
      </c>
      <c r="B771" t="s">
        <v>173</v>
      </c>
      <c r="C771">
        <v>325.5</v>
      </c>
      <c r="D771">
        <v>21</v>
      </c>
      <c r="E771" s="80">
        <v>35296</v>
      </c>
    </row>
    <row r="772" spans="1:5">
      <c r="A772">
        <v>10284</v>
      </c>
      <c r="B772" t="s">
        <v>174</v>
      </c>
      <c r="C772">
        <v>325.5</v>
      </c>
      <c r="D772">
        <v>21</v>
      </c>
      <c r="E772" s="80">
        <v>35296</v>
      </c>
    </row>
    <row r="773" spans="1:5">
      <c r="A773">
        <v>10284</v>
      </c>
      <c r="B773" t="s">
        <v>175</v>
      </c>
      <c r="C773">
        <v>325.5</v>
      </c>
      <c r="D773">
        <v>21</v>
      </c>
      <c r="E773" s="80">
        <v>35296</v>
      </c>
    </row>
    <row r="774" spans="1:5">
      <c r="A774">
        <v>10284</v>
      </c>
      <c r="B774" t="s">
        <v>176</v>
      </c>
      <c r="C774">
        <v>325.5</v>
      </c>
      <c r="D774">
        <v>21</v>
      </c>
      <c r="E774" s="80">
        <v>35296</v>
      </c>
    </row>
    <row r="775" spans="1:5">
      <c r="A775">
        <v>10284</v>
      </c>
      <c r="B775" t="s">
        <v>177</v>
      </c>
      <c r="C775">
        <v>325.5</v>
      </c>
      <c r="D775">
        <v>21</v>
      </c>
      <c r="E775" s="80">
        <v>35296</v>
      </c>
    </row>
    <row r="776" spans="1:5">
      <c r="A776">
        <v>10284</v>
      </c>
      <c r="B776" t="s">
        <v>178</v>
      </c>
      <c r="C776">
        <v>325.5</v>
      </c>
      <c r="D776">
        <v>21</v>
      </c>
      <c r="E776" s="80">
        <v>35296</v>
      </c>
    </row>
    <row r="777" spans="1:5">
      <c r="A777">
        <v>10284</v>
      </c>
      <c r="B777" t="s">
        <v>179</v>
      </c>
      <c r="C777">
        <v>325.5</v>
      </c>
      <c r="D777">
        <v>21</v>
      </c>
      <c r="E777" s="80">
        <v>35296</v>
      </c>
    </row>
    <row r="778" spans="1:5">
      <c r="A778">
        <v>10284</v>
      </c>
      <c r="B778" t="s">
        <v>172</v>
      </c>
      <c r="C778">
        <v>408</v>
      </c>
      <c r="D778">
        <v>20</v>
      </c>
      <c r="E778" s="80">
        <v>35296</v>
      </c>
    </row>
    <row r="779" spans="1:5">
      <c r="A779">
        <v>10284</v>
      </c>
      <c r="B779" t="s">
        <v>173</v>
      </c>
      <c r="C779">
        <v>408</v>
      </c>
      <c r="D779">
        <v>20</v>
      </c>
      <c r="E779" s="80">
        <v>35296</v>
      </c>
    </row>
    <row r="780" spans="1:5">
      <c r="A780">
        <v>10284</v>
      </c>
      <c r="B780" t="s">
        <v>174</v>
      </c>
      <c r="C780">
        <v>408</v>
      </c>
      <c r="D780">
        <v>20</v>
      </c>
      <c r="E780" s="80">
        <v>35296</v>
      </c>
    </row>
    <row r="781" spans="1:5">
      <c r="A781">
        <v>10284</v>
      </c>
      <c r="B781" t="s">
        <v>175</v>
      </c>
      <c r="C781">
        <v>408</v>
      </c>
      <c r="D781">
        <v>20</v>
      </c>
      <c r="E781" s="80">
        <v>35296</v>
      </c>
    </row>
    <row r="782" spans="1:5">
      <c r="A782">
        <v>10284</v>
      </c>
      <c r="B782" t="s">
        <v>176</v>
      </c>
      <c r="C782">
        <v>408</v>
      </c>
      <c r="D782">
        <v>20</v>
      </c>
      <c r="E782" s="80">
        <v>35296</v>
      </c>
    </row>
    <row r="783" spans="1:5">
      <c r="A783">
        <v>10284</v>
      </c>
      <c r="B783" t="s">
        <v>177</v>
      </c>
      <c r="C783">
        <v>408</v>
      </c>
      <c r="D783">
        <v>20</v>
      </c>
      <c r="E783" s="80">
        <v>35296</v>
      </c>
    </row>
    <row r="784" spans="1:5">
      <c r="A784">
        <v>10284</v>
      </c>
      <c r="B784" t="s">
        <v>178</v>
      </c>
      <c r="C784">
        <v>408</v>
      </c>
      <c r="D784">
        <v>20</v>
      </c>
      <c r="E784" s="80">
        <v>35296</v>
      </c>
    </row>
    <row r="785" spans="1:5">
      <c r="A785">
        <v>10284</v>
      </c>
      <c r="B785" t="s">
        <v>179</v>
      </c>
      <c r="C785">
        <v>408</v>
      </c>
      <c r="D785">
        <v>20</v>
      </c>
      <c r="E785" s="80">
        <v>35296</v>
      </c>
    </row>
    <row r="786" spans="1:5">
      <c r="A786">
        <v>10284</v>
      </c>
      <c r="B786" t="s">
        <v>172</v>
      </c>
      <c r="C786">
        <v>42</v>
      </c>
      <c r="D786">
        <v>5</v>
      </c>
      <c r="E786" s="80">
        <v>35296</v>
      </c>
    </row>
    <row r="787" spans="1:5">
      <c r="A787">
        <v>10284</v>
      </c>
      <c r="B787" t="s">
        <v>173</v>
      </c>
      <c r="C787">
        <v>42</v>
      </c>
      <c r="D787">
        <v>5</v>
      </c>
      <c r="E787" s="80">
        <v>35296</v>
      </c>
    </row>
    <row r="788" spans="1:5">
      <c r="A788">
        <v>10284</v>
      </c>
      <c r="B788" t="s">
        <v>174</v>
      </c>
      <c r="C788">
        <v>42</v>
      </c>
      <c r="D788">
        <v>5</v>
      </c>
      <c r="E788" s="80">
        <v>35296</v>
      </c>
    </row>
    <row r="789" spans="1:5">
      <c r="A789">
        <v>10284</v>
      </c>
      <c r="B789" t="s">
        <v>175</v>
      </c>
      <c r="C789">
        <v>42</v>
      </c>
      <c r="D789">
        <v>5</v>
      </c>
      <c r="E789" s="80">
        <v>35296</v>
      </c>
    </row>
    <row r="790" spans="1:5">
      <c r="A790">
        <v>10284</v>
      </c>
      <c r="B790" t="s">
        <v>176</v>
      </c>
      <c r="C790">
        <v>42</v>
      </c>
      <c r="D790">
        <v>5</v>
      </c>
      <c r="E790" s="80">
        <v>35296</v>
      </c>
    </row>
    <row r="791" spans="1:5">
      <c r="A791">
        <v>10284</v>
      </c>
      <c r="B791" t="s">
        <v>177</v>
      </c>
      <c r="C791">
        <v>42</v>
      </c>
      <c r="D791">
        <v>5</v>
      </c>
      <c r="E791" s="80">
        <v>35296</v>
      </c>
    </row>
    <row r="792" spans="1:5">
      <c r="A792">
        <v>10284</v>
      </c>
      <c r="B792" t="s">
        <v>178</v>
      </c>
      <c r="C792">
        <v>42</v>
      </c>
      <c r="D792">
        <v>5</v>
      </c>
      <c r="E792" s="80">
        <v>35296</v>
      </c>
    </row>
    <row r="793" spans="1:5">
      <c r="A793">
        <v>10284</v>
      </c>
      <c r="B793" t="s">
        <v>179</v>
      </c>
      <c r="C793">
        <v>42</v>
      </c>
      <c r="D793">
        <v>5</v>
      </c>
      <c r="E793" s="80">
        <v>35296</v>
      </c>
    </row>
    <row r="794" spans="1:5">
      <c r="A794">
        <v>10285</v>
      </c>
      <c r="B794" t="s">
        <v>172</v>
      </c>
      <c r="C794">
        <v>518.39999806880951</v>
      </c>
      <c r="D794">
        <v>45</v>
      </c>
      <c r="E794" s="80">
        <v>35297</v>
      </c>
    </row>
    <row r="795" spans="1:5">
      <c r="A795">
        <v>10285</v>
      </c>
      <c r="B795" t="s">
        <v>173</v>
      </c>
      <c r="C795">
        <v>518.39999806880951</v>
      </c>
      <c r="D795">
        <v>45</v>
      </c>
      <c r="E795" s="80">
        <v>35297</v>
      </c>
    </row>
    <row r="796" spans="1:5">
      <c r="A796">
        <v>10285</v>
      </c>
      <c r="B796" t="s">
        <v>174</v>
      </c>
      <c r="C796">
        <v>518.39999806880951</v>
      </c>
      <c r="D796">
        <v>45</v>
      </c>
      <c r="E796" s="80">
        <v>35297</v>
      </c>
    </row>
    <row r="797" spans="1:5">
      <c r="A797">
        <v>10285</v>
      </c>
      <c r="B797" t="s">
        <v>175</v>
      </c>
      <c r="C797">
        <v>518.39999806880951</v>
      </c>
      <c r="D797">
        <v>45</v>
      </c>
      <c r="E797" s="80">
        <v>35297</v>
      </c>
    </row>
    <row r="798" spans="1:5">
      <c r="A798">
        <v>10285</v>
      </c>
      <c r="B798" t="s">
        <v>176</v>
      </c>
      <c r="C798">
        <v>518.39999806880951</v>
      </c>
      <c r="D798">
        <v>45</v>
      </c>
      <c r="E798" s="80">
        <v>35297</v>
      </c>
    </row>
    <row r="799" spans="1:5">
      <c r="A799">
        <v>10285</v>
      </c>
      <c r="B799" t="s">
        <v>177</v>
      </c>
      <c r="C799">
        <v>518.39999806880951</v>
      </c>
      <c r="D799">
        <v>45</v>
      </c>
      <c r="E799" s="80">
        <v>35297</v>
      </c>
    </row>
    <row r="800" spans="1:5">
      <c r="A800">
        <v>10285</v>
      </c>
      <c r="B800" t="s">
        <v>178</v>
      </c>
      <c r="C800">
        <v>518.39999806880951</v>
      </c>
      <c r="D800">
        <v>45</v>
      </c>
      <c r="E800" s="80">
        <v>35297</v>
      </c>
    </row>
    <row r="801" spans="1:5">
      <c r="A801">
        <v>10285</v>
      </c>
      <c r="B801" t="s">
        <v>179</v>
      </c>
      <c r="C801">
        <v>518.39999806880951</v>
      </c>
      <c r="D801">
        <v>45</v>
      </c>
      <c r="E801" s="80">
        <v>35297</v>
      </c>
    </row>
    <row r="802" spans="1:5">
      <c r="A802">
        <v>10285</v>
      </c>
      <c r="B802" t="s">
        <v>172</v>
      </c>
      <c r="C802">
        <v>470.39999824762344</v>
      </c>
      <c r="D802">
        <v>40</v>
      </c>
      <c r="E802" s="80">
        <v>35297</v>
      </c>
    </row>
    <row r="803" spans="1:5">
      <c r="A803">
        <v>10285</v>
      </c>
      <c r="B803" t="s">
        <v>173</v>
      </c>
      <c r="C803">
        <v>470.39999824762344</v>
      </c>
      <c r="D803">
        <v>40</v>
      </c>
      <c r="E803" s="80">
        <v>35297</v>
      </c>
    </row>
    <row r="804" spans="1:5">
      <c r="A804">
        <v>10285</v>
      </c>
      <c r="B804" t="s">
        <v>174</v>
      </c>
      <c r="C804">
        <v>470.39999824762344</v>
      </c>
      <c r="D804">
        <v>40</v>
      </c>
      <c r="E804" s="80">
        <v>35297</v>
      </c>
    </row>
    <row r="805" spans="1:5">
      <c r="A805">
        <v>10285</v>
      </c>
      <c r="B805" t="s">
        <v>175</v>
      </c>
      <c r="C805">
        <v>470.39999824762344</v>
      </c>
      <c r="D805">
        <v>40</v>
      </c>
      <c r="E805" s="80">
        <v>35297</v>
      </c>
    </row>
    <row r="806" spans="1:5">
      <c r="A806">
        <v>10285</v>
      </c>
      <c r="B806" t="s">
        <v>176</v>
      </c>
      <c r="C806">
        <v>470.39999824762344</v>
      </c>
      <c r="D806">
        <v>40</v>
      </c>
      <c r="E806" s="80">
        <v>35297</v>
      </c>
    </row>
    <row r="807" spans="1:5">
      <c r="A807">
        <v>10285</v>
      </c>
      <c r="B807" t="s">
        <v>177</v>
      </c>
      <c r="C807">
        <v>470.39999824762344</v>
      </c>
      <c r="D807">
        <v>40</v>
      </c>
      <c r="E807" s="80">
        <v>35297</v>
      </c>
    </row>
    <row r="808" spans="1:5">
      <c r="A808">
        <v>10285</v>
      </c>
      <c r="B808" t="s">
        <v>178</v>
      </c>
      <c r="C808">
        <v>470.39999824762344</v>
      </c>
      <c r="D808">
        <v>40</v>
      </c>
      <c r="E808" s="80">
        <v>35297</v>
      </c>
    </row>
    <row r="809" spans="1:5">
      <c r="A809">
        <v>10285</v>
      </c>
      <c r="B809" t="s">
        <v>179</v>
      </c>
      <c r="C809">
        <v>470.39999824762344</v>
      </c>
      <c r="D809">
        <v>40</v>
      </c>
      <c r="E809" s="80">
        <v>35297</v>
      </c>
    </row>
    <row r="810" spans="1:5">
      <c r="A810">
        <v>10285</v>
      </c>
      <c r="B810" t="s">
        <v>172</v>
      </c>
      <c r="C810">
        <v>754.55999718904502</v>
      </c>
      <c r="D810">
        <v>36</v>
      </c>
      <c r="E810" s="80">
        <v>35297</v>
      </c>
    </row>
    <row r="811" spans="1:5">
      <c r="A811">
        <v>10285</v>
      </c>
      <c r="B811" t="s">
        <v>173</v>
      </c>
      <c r="C811">
        <v>754.55999718904502</v>
      </c>
      <c r="D811">
        <v>36</v>
      </c>
      <c r="E811" s="80">
        <v>35297</v>
      </c>
    </row>
    <row r="812" spans="1:5">
      <c r="A812">
        <v>10285</v>
      </c>
      <c r="B812" t="s">
        <v>174</v>
      </c>
      <c r="C812">
        <v>754.55999718904502</v>
      </c>
      <c r="D812">
        <v>36</v>
      </c>
      <c r="E812" s="80">
        <v>35297</v>
      </c>
    </row>
    <row r="813" spans="1:5">
      <c r="A813">
        <v>10285</v>
      </c>
      <c r="B813" t="s">
        <v>175</v>
      </c>
      <c r="C813">
        <v>754.55999718904502</v>
      </c>
      <c r="D813">
        <v>36</v>
      </c>
      <c r="E813" s="80">
        <v>35297</v>
      </c>
    </row>
    <row r="814" spans="1:5">
      <c r="A814">
        <v>10285</v>
      </c>
      <c r="B814" t="s">
        <v>176</v>
      </c>
      <c r="C814">
        <v>754.55999718904502</v>
      </c>
      <c r="D814">
        <v>36</v>
      </c>
      <c r="E814" s="80">
        <v>35297</v>
      </c>
    </row>
    <row r="815" spans="1:5">
      <c r="A815">
        <v>10285</v>
      </c>
      <c r="B815" t="s">
        <v>177</v>
      </c>
      <c r="C815">
        <v>754.55999718904502</v>
      </c>
      <c r="D815">
        <v>36</v>
      </c>
      <c r="E815" s="80">
        <v>35297</v>
      </c>
    </row>
    <row r="816" spans="1:5">
      <c r="A816">
        <v>10285</v>
      </c>
      <c r="B816" t="s">
        <v>178</v>
      </c>
      <c r="C816">
        <v>754.55999718904502</v>
      </c>
      <c r="D816">
        <v>36</v>
      </c>
      <c r="E816" s="80">
        <v>35297</v>
      </c>
    </row>
    <row r="817" spans="1:5">
      <c r="A817">
        <v>10285</v>
      </c>
      <c r="B817" t="s">
        <v>179</v>
      </c>
      <c r="C817">
        <v>754.55999718904502</v>
      </c>
      <c r="D817">
        <v>36</v>
      </c>
      <c r="E817" s="80">
        <v>35297</v>
      </c>
    </row>
    <row r="818" spans="1:5">
      <c r="A818">
        <v>10286</v>
      </c>
      <c r="B818" t="s">
        <v>172</v>
      </c>
      <c r="C818">
        <v>1440</v>
      </c>
      <c r="D818">
        <v>100</v>
      </c>
      <c r="E818" s="80">
        <v>35298</v>
      </c>
    </row>
    <row r="819" spans="1:5">
      <c r="A819">
        <v>10286</v>
      </c>
      <c r="B819" t="s">
        <v>173</v>
      </c>
      <c r="C819">
        <v>1440</v>
      </c>
      <c r="D819">
        <v>100</v>
      </c>
      <c r="E819" s="80">
        <v>35298</v>
      </c>
    </row>
    <row r="820" spans="1:5">
      <c r="A820">
        <v>10286</v>
      </c>
      <c r="B820" t="s">
        <v>174</v>
      </c>
      <c r="C820">
        <v>1440</v>
      </c>
      <c r="D820">
        <v>100</v>
      </c>
      <c r="E820" s="80">
        <v>35298</v>
      </c>
    </row>
    <row r="821" spans="1:5">
      <c r="A821">
        <v>10286</v>
      </c>
      <c r="B821" t="s">
        <v>175</v>
      </c>
      <c r="C821">
        <v>1440</v>
      </c>
      <c r="D821">
        <v>100</v>
      </c>
      <c r="E821" s="80">
        <v>35298</v>
      </c>
    </row>
    <row r="822" spans="1:5">
      <c r="A822">
        <v>10286</v>
      </c>
      <c r="B822" t="s">
        <v>176</v>
      </c>
      <c r="C822">
        <v>1440</v>
      </c>
      <c r="D822">
        <v>100</v>
      </c>
      <c r="E822" s="80">
        <v>35298</v>
      </c>
    </row>
    <row r="823" spans="1:5">
      <c r="A823">
        <v>10286</v>
      </c>
      <c r="B823" t="s">
        <v>177</v>
      </c>
      <c r="C823">
        <v>1440</v>
      </c>
      <c r="D823">
        <v>100</v>
      </c>
      <c r="E823" s="80">
        <v>35298</v>
      </c>
    </row>
    <row r="824" spans="1:5">
      <c r="A824">
        <v>10286</v>
      </c>
      <c r="B824" t="s">
        <v>178</v>
      </c>
      <c r="C824">
        <v>1440</v>
      </c>
      <c r="D824">
        <v>100</v>
      </c>
      <c r="E824" s="80">
        <v>35298</v>
      </c>
    </row>
    <row r="825" spans="1:5">
      <c r="A825">
        <v>10286</v>
      </c>
      <c r="B825" t="s">
        <v>179</v>
      </c>
      <c r="C825">
        <v>1440</v>
      </c>
      <c r="D825">
        <v>100</v>
      </c>
      <c r="E825" s="80">
        <v>35298</v>
      </c>
    </row>
    <row r="826" spans="1:5">
      <c r="A826">
        <v>10286</v>
      </c>
      <c r="B826" t="s">
        <v>172</v>
      </c>
      <c r="C826">
        <v>1576</v>
      </c>
      <c r="D826">
        <v>40</v>
      </c>
      <c r="E826" s="80">
        <v>35298</v>
      </c>
    </row>
    <row r="827" spans="1:5">
      <c r="A827">
        <v>10286</v>
      </c>
      <c r="B827" t="s">
        <v>173</v>
      </c>
      <c r="C827">
        <v>1576</v>
      </c>
      <c r="D827">
        <v>40</v>
      </c>
      <c r="E827" s="80">
        <v>35298</v>
      </c>
    </row>
    <row r="828" spans="1:5">
      <c r="A828">
        <v>10286</v>
      </c>
      <c r="B828" t="s">
        <v>174</v>
      </c>
      <c r="C828">
        <v>1576</v>
      </c>
      <c r="D828">
        <v>40</v>
      </c>
      <c r="E828" s="80">
        <v>35298</v>
      </c>
    </row>
    <row r="829" spans="1:5">
      <c r="A829">
        <v>10286</v>
      </c>
      <c r="B829" t="s">
        <v>175</v>
      </c>
      <c r="C829">
        <v>1576</v>
      </c>
      <c r="D829">
        <v>40</v>
      </c>
      <c r="E829" s="80">
        <v>35298</v>
      </c>
    </row>
    <row r="830" spans="1:5">
      <c r="A830">
        <v>10286</v>
      </c>
      <c r="B830" t="s">
        <v>176</v>
      </c>
      <c r="C830">
        <v>1576</v>
      </c>
      <c r="D830">
        <v>40</v>
      </c>
      <c r="E830" s="80">
        <v>35298</v>
      </c>
    </row>
    <row r="831" spans="1:5">
      <c r="A831">
        <v>10286</v>
      </c>
      <c r="B831" t="s">
        <v>177</v>
      </c>
      <c r="C831">
        <v>1576</v>
      </c>
      <c r="D831">
        <v>40</v>
      </c>
      <c r="E831" s="80">
        <v>35298</v>
      </c>
    </row>
    <row r="832" spans="1:5">
      <c r="A832">
        <v>10286</v>
      </c>
      <c r="B832" t="s">
        <v>178</v>
      </c>
      <c r="C832">
        <v>1576</v>
      </c>
      <c r="D832">
        <v>40</v>
      </c>
      <c r="E832" s="80">
        <v>35298</v>
      </c>
    </row>
    <row r="833" spans="1:5">
      <c r="A833">
        <v>10286</v>
      </c>
      <c r="B833" t="s">
        <v>179</v>
      </c>
      <c r="C833">
        <v>1576</v>
      </c>
      <c r="D833">
        <v>40</v>
      </c>
      <c r="E833" s="80">
        <v>35298</v>
      </c>
    </row>
    <row r="834" spans="1:5">
      <c r="A834">
        <v>10287</v>
      </c>
      <c r="B834" t="s">
        <v>172</v>
      </c>
      <c r="C834">
        <v>472.59999668598175</v>
      </c>
      <c r="D834">
        <v>40</v>
      </c>
      <c r="E834" s="80">
        <v>35299</v>
      </c>
    </row>
    <row r="835" spans="1:5">
      <c r="A835">
        <v>10287</v>
      </c>
      <c r="B835" t="s">
        <v>173</v>
      </c>
      <c r="C835">
        <v>472.59999668598175</v>
      </c>
      <c r="D835">
        <v>40</v>
      </c>
      <c r="E835" s="80">
        <v>35299</v>
      </c>
    </row>
    <row r="836" spans="1:5">
      <c r="A836">
        <v>10287</v>
      </c>
      <c r="B836" t="s">
        <v>174</v>
      </c>
      <c r="C836">
        <v>472.59999668598175</v>
      </c>
      <c r="D836">
        <v>40</v>
      </c>
      <c r="E836" s="80">
        <v>35299</v>
      </c>
    </row>
    <row r="837" spans="1:5">
      <c r="A837">
        <v>10287</v>
      </c>
      <c r="B837" t="s">
        <v>175</v>
      </c>
      <c r="C837">
        <v>472.59999668598175</v>
      </c>
      <c r="D837">
        <v>40</v>
      </c>
      <c r="E837" s="80">
        <v>35299</v>
      </c>
    </row>
    <row r="838" spans="1:5">
      <c r="A838">
        <v>10287</v>
      </c>
      <c r="B838" t="s">
        <v>176</v>
      </c>
      <c r="C838">
        <v>472.59999668598175</v>
      </c>
      <c r="D838">
        <v>40</v>
      </c>
      <c r="E838" s="80">
        <v>35299</v>
      </c>
    </row>
    <row r="839" spans="1:5">
      <c r="A839">
        <v>10287</v>
      </c>
      <c r="B839" t="s">
        <v>177</v>
      </c>
      <c r="C839">
        <v>472.59999668598175</v>
      </c>
      <c r="D839">
        <v>40</v>
      </c>
      <c r="E839" s="80">
        <v>35299</v>
      </c>
    </row>
    <row r="840" spans="1:5">
      <c r="A840">
        <v>10287</v>
      </c>
      <c r="B840" t="s">
        <v>178</v>
      </c>
      <c r="C840">
        <v>472.59999668598175</v>
      </c>
      <c r="D840">
        <v>40</v>
      </c>
      <c r="E840" s="80">
        <v>35299</v>
      </c>
    </row>
    <row r="841" spans="1:5">
      <c r="A841">
        <v>10287</v>
      </c>
      <c r="B841" t="s">
        <v>179</v>
      </c>
      <c r="C841">
        <v>472.59999668598175</v>
      </c>
      <c r="D841">
        <v>40</v>
      </c>
      <c r="E841" s="80">
        <v>35299</v>
      </c>
    </row>
    <row r="842" spans="1:5">
      <c r="A842">
        <v>10287</v>
      </c>
      <c r="B842" t="s">
        <v>172</v>
      </c>
      <c r="C842">
        <v>224</v>
      </c>
      <c r="D842">
        <v>20</v>
      </c>
      <c r="E842" s="80">
        <v>35299</v>
      </c>
    </row>
    <row r="843" spans="1:5">
      <c r="A843">
        <v>10287</v>
      </c>
      <c r="B843" t="s">
        <v>173</v>
      </c>
      <c r="C843">
        <v>224</v>
      </c>
      <c r="D843">
        <v>20</v>
      </c>
      <c r="E843" s="80">
        <v>35299</v>
      </c>
    </row>
    <row r="844" spans="1:5">
      <c r="A844">
        <v>10287</v>
      </c>
      <c r="B844" t="s">
        <v>174</v>
      </c>
      <c r="C844">
        <v>224</v>
      </c>
      <c r="D844">
        <v>20</v>
      </c>
      <c r="E844" s="80">
        <v>35299</v>
      </c>
    </row>
    <row r="845" spans="1:5">
      <c r="A845">
        <v>10287</v>
      </c>
      <c r="B845" t="s">
        <v>175</v>
      </c>
      <c r="C845">
        <v>224</v>
      </c>
      <c r="D845">
        <v>20</v>
      </c>
      <c r="E845" s="80">
        <v>35299</v>
      </c>
    </row>
    <row r="846" spans="1:5">
      <c r="A846">
        <v>10287</v>
      </c>
      <c r="B846" t="s">
        <v>176</v>
      </c>
      <c r="C846">
        <v>224</v>
      </c>
      <c r="D846">
        <v>20</v>
      </c>
      <c r="E846" s="80">
        <v>35299</v>
      </c>
    </row>
    <row r="847" spans="1:5">
      <c r="A847">
        <v>10287</v>
      </c>
      <c r="B847" t="s">
        <v>177</v>
      </c>
      <c r="C847">
        <v>224</v>
      </c>
      <c r="D847">
        <v>20</v>
      </c>
      <c r="E847" s="80">
        <v>35299</v>
      </c>
    </row>
    <row r="848" spans="1:5">
      <c r="A848">
        <v>10287</v>
      </c>
      <c r="B848" t="s">
        <v>178</v>
      </c>
      <c r="C848">
        <v>224</v>
      </c>
      <c r="D848">
        <v>20</v>
      </c>
      <c r="E848" s="80">
        <v>35299</v>
      </c>
    </row>
    <row r="849" spans="1:5">
      <c r="A849">
        <v>10287</v>
      </c>
      <c r="B849" t="s">
        <v>179</v>
      </c>
      <c r="C849">
        <v>224</v>
      </c>
      <c r="D849">
        <v>20</v>
      </c>
      <c r="E849" s="80">
        <v>35299</v>
      </c>
    </row>
    <row r="850" spans="1:5">
      <c r="A850">
        <v>10287</v>
      </c>
      <c r="B850" t="s">
        <v>172</v>
      </c>
      <c r="C850">
        <v>122.39999914169312</v>
      </c>
      <c r="D850">
        <v>15</v>
      </c>
      <c r="E850" s="80">
        <v>35299</v>
      </c>
    </row>
    <row r="851" spans="1:5">
      <c r="A851">
        <v>10287</v>
      </c>
      <c r="B851" t="s">
        <v>173</v>
      </c>
      <c r="C851">
        <v>122.39999914169312</v>
      </c>
      <c r="D851">
        <v>15</v>
      </c>
      <c r="E851" s="80">
        <v>35299</v>
      </c>
    </row>
    <row r="852" spans="1:5">
      <c r="A852">
        <v>10287</v>
      </c>
      <c r="B852" t="s">
        <v>174</v>
      </c>
      <c r="C852">
        <v>122.39999914169312</v>
      </c>
      <c r="D852">
        <v>15</v>
      </c>
      <c r="E852" s="80">
        <v>35299</v>
      </c>
    </row>
    <row r="853" spans="1:5">
      <c r="A853">
        <v>10287</v>
      </c>
      <c r="B853" t="s">
        <v>175</v>
      </c>
      <c r="C853">
        <v>122.39999914169312</v>
      </c>
      <c r="D853">
        <v>15</v>
      </c>
      <c r="E853" s="80">
        <v>35299</v>
      </c>
    </row>
    <row r="854" spans="1:5">
      <c r="A854">
        <v>10287</v>
      </c>
      <c r="B854" t="s">
        <v>176</v>
      </c>
      <c r="C854">
        <v>122.39999914169312</v>
      </c>
      <c r="D854">
        <v>15</v>
      </c>
      <c r="E854" s="80">
        <v>35299</v>
      </c>
    </row>
    <row r="855" spans="1:5">
      <c r="A855">
        <v>10287</v>
      </c>
      <c r="B855" t="s">
        <v>177</v>
      </c>
      <c r="C855">
        <v>122.39999914169312</v>
      </c>
      <c r="D855">
        <v>15</v>
      </c>
      <c r="E855" s="80">
        <v>35299</v>
      </c>
    </row>
    <row r="856" spans="1:5">
      <c r="A856">
        <v>10287</v>
      </c>
      <c r="B856" t="s">
        <v>178</v>
      </c>
      <c r="C856">
        <v>122.39999914169312</v>
      </c>
      <c r="D856">
        <v>15</v>
      </c>
      <c r="E856" s="80">
        <v>35299</v>
      </c>
    </row>
    <row r="857" spans="1:5">
      <c r="A857">
        <v>10287</v>
      </c>
      <c r="B857" t="s">
        <v>179</v>
      </c>
      <c r="C857">
        <v>122.39999914169312</v>
      </c>
      <c r="D857">
        <v>15</v>
      </c>
      <c r="E857" s="80">
        <v>35299</v>
      </c>
    </row>
    <row r="858" spans="1:5">
      <c r="A858">
        <v>10288</v>
      </c>
      <c r="B858" t="s">
        <v>172</v>
      </c>
      <c r="C858">
        <v>53.099999912083149</v>
      </c>
      <c r="D858">
        <v>10</v>
      </c>
      <c r="E858" s="80">
        <v>35300</v>
      </c>
    </row>
    <row r="859" spans="1:5">
      <c r="A859">
        <v>10288</v>
      </c>
      <c r="B859" t="s">
        <v>173</v>
      </c>
      <c r="C859">
        <v>53.099999912083149</v>
      </c>
      <c r="D859">
        <v>10</v>
      </c>
      <c r="E859" s="80">
        <v>35300</v>
      </c>
    </row>
    <row r="860" spans="1:5">
      <c r="A860">
        <v>10288</v>
      </c>
      <c r="B860" t="s">
        <v>174</v>
      </c>
      <c r="C860">
        <v>53.099999912083149</v>
      </c>
      <c r="D860">
        <v>10</v>
      </c>
      <c r="E860" s="80">
        <v>35300</v>
      </c>
    </row>
    <row r="861" spans="1:5">
      <c r="A861">
        <v>10288</v>
      </c>
      <c r="B861" t="s">
        <v>175</v>
      </c>
      <c r="C861">
        <v>53.099999912083149</v>
      </c>
      <c r="D861">
        <v>10</v>
      </c>
      <c r="E861" s="80">
        <v>35300</v>
      </c>
    </row>
    <row r="862" spans="1:5">
      <c r="A862">
        <v>10288</v>
      </c>
      <c r="B862" t="s">
        <v>176</v>
      </c>
      <c r="C862">
        <v>53.099999912083149</v>
      </c>
      <c r="D862">
        <v>10</v>
      </c>
      <c r="E862" s="80">
        <v>35300</v>
      </c>
    </row>
    <row r="863" spans="1:5">
      <c r="A863">
        <v>10288</v>
      </c>
      <c r="B863" t="s">
        <v>177</v>
      </c>
      <c r="C863">
        <v>53.099999912083149</v>
      </c>
      <c r="D863">
        <v>10</v>
      </c>
      <c r="E863" s="80">
        <v>35300</v>
      </c>
    </row>
    <row r="864" spans="1:5">
      <c r="A864">
        <v>10288</v>
      </c>
      <c r="B864" t="s">
        <v>178</v>
      </c>
      <c r="C864">
        <v>53.099999912083149</v>
      </c>
      <c r="D864">
        <v>10</v>
      </c>
      <c r="E864" s="80">
        <v>35300</v>
      </c>
    </row>
    <row r="865" spans="1:5">
      <c r="A865">
        <v>10288</v>
      </c>
      <c r="B865" t="s">
        <v>179</v>
      </c>
      <c r="C865">
        <v>53.099999912083149</v>
      </c>
      <c r="D865">
        <v>10</v>
      </c>
      <c r="E865" s="80">
        <v>35300</v>
      </c>
    </row>
    <row r="866" spans="1:5">
      <c r="A866">
        <v>10288</v>
      </c>
      <c r="B866" t="s">
        <v>172</v>
      </c>
      <c r="C866">
        <v>26.999999955296516</v>
      </c>
      <c r="D866">
        <v>3</v>
      </c>
      <c r="E866" s="80">
        <v>35300</v>
      </c>
    </row>
    <row r="867" spans="1:5">
      <c r="A867">
        <v>10288</v>
      </c>
      <c r="B867" t="s">
        <v>173</v>
      </c>
      <c r="C867">
        <v>26.999999955296516</v>
      </c>
      <c r="D867">
        <v>3</v>
      </c>
      <c r="E867" s="80">
        <v>35300</v>
      </c>
    </row>
    <row r="868" spans="1:5">
      <c r="A868">
        <v>10288</v>
      </c>
      <c r="B868" t="s">
        <v>174</v>
      </c>
      <c r="C868">
        <v>26.999999955296516</v>
      </c>
      <c r="D868">
        <v>3</v>
      </c>
      <c r="E868" s="80">
        <v>35300</v>
      </c>
    </row>
    <row r="869" spans="1:5">
      <c r="A869">
        <v>10288</v>
      </c>
      <c r="B869" t="s">
        <v>175</v>
      </c>
      <c r="C869">
        <v>26.999999955296516</v>
      </c>
      <c r="D869">
        <v>3</v>
      </c>
      <c r="E869" s="80">
        <v>35300</v>
      </c>
    </row>
    <row r="870" spans="1:5">
      <c r="A870">
        <v>10288</v>
      </c>
      <c r="B870" t="s">
        <v>176</v>
      </c>
      <c r="C870">
        <v>26.999999955296516</v>
      </c>
      <c r="D870">
        <v>3</v>
      </c>
      <c r="E870" s="80">
        <v>35300</v>
      </c>
    </row>
    <row r="871" spans="1:5">
      <c r="A871">
        <v>10288</v>
      </c>
      <c r="B871" t="s">
        <v>177</v>
      </c>
      <c r="C871">
        <v>26.999999955296516</v>
      </c>
      <c r="D871">
        <v>3</v>
      </c>
      <c r="E871" s="80">
        <v>35300</v>
      </c>
    </row>
    <row r="872" spans="1:5">
      <c r="A872">
        <v>10288</v>
      </c>
      <c r="B872" t="s">
        <v>178</v>
      </c>
      <c r="C872">
        <v>26.999999955296516</v>
      </c>
      <c r="D872">
        <v>3</v>
      </c>
      <c r="E872" s="80">
        <v>35300</v>
      </c>
    </row>
    <row r="873" spans="1:5">
      <c r="A873">
        <v>10288</v>
      </c>
      <c r="B873" t="s">
        <v>179</v>
      </c>
      <c r="C873">
        <v>26.999999955296516</v>
      </c>
      <c r="D873">
        <v>3</v>
      </c>
      <c r="E873" s="80">
        <v>35300</v>
      </c>
    </row>
    <row r="874" spans="1:5">
      <c r="A874">
        <v>10289</v>
      </c>
      <c r="B874" t="s">
        <v>172</v>
      </c>
      <c r="C874">
        <v>240</v>
      </c>
      <c r="D874">
        <v>30</v>
      </c>
      <c r="E874" s="80">
        <v>35303</v>
      </c>
    </row>
    <row r="875" spans="1:5">
      <c r="A875">
        <v>10289</v>
      </c>
      <c r="B875" t="s">
        <v>173</v>
      </c>
      <c r="C875">
        <v>240</v>
      </c>
      <c r="D875">
        <v>30</v>
      </c>
      <c r="E875" s="80">
        <v>35303</v>
      </c>
    </row>
    <row r="876" spans="1:5">
      <c r="A876">
        <v>10289</v>
      </c>
      <c r="B876" t="s">
        <v>174</v>
      </c>
      <c r="C876">
        <v>240</v>
      </c>
      <c r="D876">
        <v>30</v>
      </c>
      <c r="E876" s="80">
        <v>35303</v>
      </c>
    </row>
    <row r="877" spans="1:5">
      <c r="A877">
        <v>10289</v>
      </c>
      <c r="B877" t="s">
        <v>175</v>
      </c>
      <c r="C877">
        <v>240</v>
      </c>
      <c r="D877">
        <v>30</v>
      </c>
      <c r="E877" s="80">
        <v>35303</v>
      </c>
    </row>
    <row r="878" spans="1:5">
      <c r="A878">
        <v>10289</v>
      </c>
      <c r="B878" t="s">
        <v>176</v>
      </c>
      <c r="C878">
        <v>240</v>
      </c>
      <c r="D878">
        <v>30</v>
      </c>
      <c r="E878" s="80">
        <v>35303</v>
      </c>
    </row>
    <row r="879" spans="1:5">
      <c r="A879">
        <v>10289</v>
      </c>
      <c r="B879" t="s">
        <v>177</v>
      </c>
      <c r="C879">
        <v>240</v>
      </c>
      <c r="D879">
        <v>30</v>
      </c>
      <c r="E879" s="80">
        <v>35303</v>
      </c>
    </row>
    <row r="880" spans="1:5">
      <c r="A880">
        <v>10289</v>
      </c>
      <c r="B880" t="s">
        <v>178</v>
      </c>
      <c r="C880">
        <v>240</v>
      </c>
      <c r="D880">
        <v>30</v>
      </c>
      <c r="E880" s="80">
        <v>35303</v>
      </c>
    </row>
    <row r="881" spans="1:5">
      <c r="A881">
        <v>10289</v>
      </c>
      <c r="B881" t="s">
        <v>179</v>
      </c>
      <c r="C881">
        <v>240</v>
      </c>
      <c r="D881">
        <v>30</v>
      </c>
      <c r="E881" s="80">
        <v>35303</v>
      </c>
    </row>
    <row r="882" spans="1:5">
      <c r="A882">
        <v>10289</v>
      </c>
      <c r="B882" t="s">
        <v>172</v>
      </c>
      <c r="C882">
        <v>239.4</v>
      </c>
      <c r="D882">
        <v>9</v>
      </c>
      <c r="E882" s="80">
        <v>35303</v>
      </c>
    </row>
    <row r="883" spans="1:5">
      <c r="A883">
        <v>10289</v>
      </c>
      <c r="B883" t="s">
        <v>173</v>
      </c>
      <c r="C883">
        <v>239.4</v>
      </c>
      <c r="D883">
        <v>9</v>
      </c>
      <c r="E883" s="80">
        <v>35303</v>
      </c>
    </row>
    <row r="884" spans="1:5">
      <c r="A884">
        <v>10289</v>
      </c>
      <c r="B884" t="s">
        <v>174</v>
      </c>
      <c r="C884">
        <v>239.4</v>
      </c>
      <c r="D884">
        <v>9</v>
      </c>
      <c r="E884" s="80">
        <v>35303</v>
      </c>
    </row>
    <row r="885" spans="1:5">
      <c r="A885">
        <v>10289</v>
      </c>
      <c r="B885" t="s">
        <v>175</v>
      </c>
      <c r="C885">
        <v>239.4</v>
      </c>
      <c r="D885">
        <v>9</v>
      </c>
      <c r="E885" s="80">
        <v>35303</v>
      </c>
    </row>
    <row r="886" spans="1:5">
      <c r="A886">
        <v>10289</v>
      </c>
      <c r="B886" t="s">
        <v>176</v>
      </c>
      <c r="C886">
        <v>239.4</v>
      </c>
      <c r="D886">
        <v>9</v>
      </c>
      <c r="E886" s="80">
        <v>35303</v>
      </c>
    </row>
    <row r="887" spans="1:5">
      <c r="A887">
        <v>10289</v>
      </c>
      <c r="B887" t="s">
        <v>177</v>
      </c>
      <c r="C887">
        <v>239.4</v>
      </c>
      <c r="D887">
        <v>9</v>
      </c>
      <c r="E887" s="80">
        <v>35303</v>
      </c>
    </row>
    <row r="888" spans="1:5">
      <c r="A888">
        <v>10289</v>
      </c>
      <c r="B888" t="s">
        <v>178</v>
      </c>
      <c r="C888">
        <v>239.4</v>
      </c>
      <c r="D888">
        <v>9</v>
      </c>
      <c r="E888" s="80">
        <v>35303</v>
      </c>
    </row>
    <row r="889" spans="1:5">
      <c r="A889">
        <v>10289</v>
      </c>
      <c r="B889" t="s">
        <v>179</v>
      </c>
      <c r="C889">
        <v>239.4</v>
      </c>
      <c r="D889">
        <v>9</v>
      </c>
      <c r="E889" s="80">
        <v>35303</v>
      </c>
    </row>
    <row r="890" spans="1:5">
      <c r="A890">
        <v>10290</v>
      </c>
      <c r="B890" t="s">
        <v>172</v>
      </c>
      <c r="C890">
        <v>340</v>
      </c>
      <c r="D890">
        <v>20</v>
      </c>
      <c r="E890" s="80">
        <v>35304</v>
      </c>
    </row>
    <row r="891" spans="1:5">
      <c r="A891">
        <v>10290</v>
      </c>
      <c r="B891" t="s">
        <v>173</v>
      </c>
      <c r="C891">
        <v>340</v>
      </c>
      <c r="D891">
        <v>20</v>
      </c>
      <c r="E891" s="80">
        <v>35304</v>
      </c>
    </row>
    <row r="892" spans="1:5">
      <c r="A892">
        <v>10290</v>
      </c>
      <c r="B892" t="s">
        <v>174</v>
      </c>
      <c r="C892">
        <v>340</v>
      </c>
      <c r="D892">
        <v>20</v>
      </c>
      <c r="E892" s="80">
        <v>35304</v>
      </c>
    </row>
    <row r="893" spans="1:5">
      <c r="A893">
        <v>10290</v>
      </c>
      <c r="B893" t="s">
        <v>175</v>
      </c>
      <c r="C893">
        <v>340</v>
      </c>
      <c r="D893">
        <v>20</v>
      </c>
      <c r="E893" s="80">
        <v>35304</v>
      </c>
    </row>
    <row r="894" spans="1:5">
      <c r="A894">
        <v>10290</v>
      </c>
      <c r="B894" t="s">
        <v>176</v>
      </c>
      <c r="C894">
        <v>340</v>
      </c>
      <c r="D894">
        <v>20</v>
      </c>
      <c r="E894" s="80">
        <v>35304</v>
      </c>
    </row>
    <row r="895" spans="1:5">
      <c r="A895">
        <v>10290</v>
      </c>
      <c r="B895" t="s">
        <v>177</v>
      </c>
      <c r="C895">
        <v>340</v>
      </c>
      <c r="D895">
        <v>20</v>
      </c>
      <c r="E895" s="80">
        <v>35304</v>
      </c>
    </row>
    <row r="896" spans="1:5">
      <c r="A896">
        <v>10290</v>
      </c>
      <c r="B896" t="s">
        <v>178</v>
      </c>
      <c r="C896">
        <v>340</v>
      </c>
      <c r="D896">
        <v>20</v>
      </c>
      <c r="E896" s="80">
        <v>35304</v>
      </c>
    </row>
    <row r="897" spans="1:5">
      <c r="A897">
        <v>10290</v>
      </c>
      <c r="B897" t="s">
        <v>179</v>
      </c>
      <c r="C897">
        <v>340</v>
      </c>
      <c r="D897">
        <v>20</v>
      </c>
      <c r="E897" s="80">
        <v>35304</v>
      </c>
    </row>
    <row r="898" spans="1:5">
      <c r="A898">
        <v>10290</v>
      </c>
      <c r="B898" t="s">
        <v>172</v>
      </c>
      <c r="C898">
        <v>1485</v>
      </c>
      <c r="D898">
        <v>15</v>
      </c>
      <c r="E898" s="80">
        <v>35304</v>
      </c>
    </row>
    <row r="899" spans="1:5">
      <c r="A899">
        <v>10290</v>
      </c>
      <c r="B899" t="s">
        <v>173</v>
      </c>
      <c r="C899">
        <v>1485</v>
      </c>
      <c r="D899">
        <v>15</v>
      </c>
      <c r="E899" s="80">
        <v>35304</v>
      </c>
    </row>
    <row r="900" spans="1:5">
      <c r="A900">
        <v>10290</v>
      </c>
      <c r="B900" t="s">
        <v>174</v>
      </c>
      <c r="C900">
        <v>1485</v>
      </c>
      <c r="D900">
        <v>15</v>
      </c>
      <c r="E900" s="80">
        <v>35304</v>
      </c>
    </row>
    <row r="901" spans="1:5">
      <c r="A901">
        <v>10290</v>
      </c>
      <c r="B901" t="s">
        <v>175</v>
      </c>
      <c r="C901">
        <v>1485</v>
      </c>
      <c r="D901">
        <v>15</v>
      </c>
      <c r="E901" s="80">
        <v>35304</v>
      </c>
    </row>
    <row r="902" spans="1:5">
      <c r="A902">
        <v>10290</v>
      </c>
      <c r="B902" t="s">
        <v>176</v>
      </c>
      <c r="C902">
        <v>1485</v>
      </c>
      <c r="D902">
        <v>15</v>
      </c>
      <c r="E902" s="80">
        <v>35304</v>
      </c>
    </row>
    <row r="903" spans="1:5">
      <c r="A903">
        <v>10290</v>
      </c>
      <c r="B903" t="s">
        <v>177</v>
      </c>
      <c r="C903">
        <v>1485</v>
      </c>
      <c r="D903">
        <v>15</v>
      </c>
      <c r="E903" s="80">
        <v>35304</v>
      </c>
    </row>
    <row r="904" spans="1:5">
      <c r="A904">
        <v>10290</v>
      </c>
      <c r="B904" t="s">
        <v>178</v>
      </c>
      <c r="C904">
        <v>1485</v>
      </c>
      <c r="D904">
        <v>15</v>
      </c>
      <c r="E904" s="80">
        <v>35304</v>
      </c>
    </row>
    <row r="905" spans="1:5">
      <c r="A905">
        <v>10290</v>
      </c>
      <c r="B905" t="s">
        <v>179</v>
      </c>
      <c r="C905">
        <v>1485</v>
      </c>
      <c r="D905">
        <v>15</v>
      </c>
      <c r="E905" s="80">
        <v>35304</v>
      </c>
    </row>
    <row r="906" spans="1:5">
      <c r="A906">
        <v>10290</v>
      </c>
      <c r="B906" t="s">
        <v>172</v>
      </c>
      <c r="C906">
        <v>240</v>
      </c>
      <c r="D906">
        <v>15</v>
      </c>
      <c r="E906" s="80">
        <v>35304</v>
      </c>
    </row>
    <row r="907" spans="1:5">
      <c r="A907">
        <v>10290</v>
      </c>
      <c r="B907" t="s">
        <v>173</v>
      </c>
      <c r="C907">
        <v>240</v>
      </c>
      <c r="D907">
        <v>15</v>
      </c>
      <c r="E907" s="80">
        <v>35304</v>
      </c>
    </row>
    <row r="908" spans="1:5">
      <c r="A908">
        <v>10290</v>
      </c>
      <c r="B908" t="s">
        <v>174</v>
      </c>
      <c r="C908">
        <v>240</v>
      </c>
      <c r="D908">
        <v>15</v>
      </c>
      <c r="E908" s="80">
        <v>35304</v>
      </c>
    </row>
    <row r="909" spans="1:5">
      <c r="A909">
        <v>10290</v>
      </c>
      <c r="B909" t="s">
        <v>175</v>
      </c>
      <c r="C909">
        <v>240</v>
      </c>
      <c r="D909">
        <v>15</v>
      </c>
      <c r="E909" s="80">
        <v>35304</v>
      </c>
    </row>
    <row r="910" spans="1:5">
      <c r="A910">
        <v>10290</v>
      </c>
      <c r="B910" t="s">
        <v>176</v>
      </c>
      <c r="C910">
        <v>240</v>
      </c>
      <c r="D910">
        <v>15</v>
      </c>
      <c r="E910" s="80">
        <v>35304</v>
      </c>
    </row>
    <row r="911" spans="1:5">
      <c r="A911">
        <v>10290</v>
      </c>
      <c r="B911" t="s">
        <v>177</v>
      </c>
      <c r="C911">
        <v>240</v>
      </c>
      <c r="D911">
        <v>15</v>
      </c>
      <c r="E911" s="80">
        <v>35304</v>
      </c>
    </row>
    <row r="912" spans="1:5">
      <c r="A912">
        <v>10290</v>
      </c>
      <c r="B912" t="s">
        <v>178</v>
      </c>
      <c r="C912">
        <v>240</v>
      </c>
      <c r="D912">
        <v>15</v>
      </c>
      <c r="E912" s="80">
        <v>35304</v>
      </c>
    </row>
    <row r="913" spans="1:5">
      <c r="A913">
        <v>10290</v>
      </c>
      <c r="B913" t="s">
        <v>179</v>
      </c>
      <c r="C913">
        <v>240</v>
      </c>
      <c r="D913">
        <v>15</v>
      </c>
      <c r="E913" s="80">
        <v>35304</v>
      </c>
    </row>
    <row r="914" spans="1:5">
      <c r="A914">
        <v>10290</v>
      </c>
      <c r="B914" t="s">
        <v>172</v>
      </c>
      <c r="C914">
        <v>104</v>
      </c>
      <c r="D914">
        <v>10</v>
      </c>
      <c r="E914" s="80">
        <v>35304</v>
      </c>
    </row>
    <row r="915" spans="1:5">
      <c r="A915">
        <v>10290</v>
      </c>
      <c r="B915" t="s">
        <v>173</v>
      </c>
      <c r="C915">
        <v>104</v>
      </c>
      <c r="D915">
        <v>10</v>
      </c>
      <c r="E915" s="80">
        <v>35304</v>
      </c>
    </row>
    <row r="916" spans="1:5">
      <c r="A916">
        <v>10290</v>
      </c>
      <c r="B916" t="s">
        <v>174</v>
      </c>
      <c r="C916">
        <v>104</v>
      </c>
      <c r="D916">
        <v>10</v>
      </c>
      <c r="E916" s="80">
        <v>35304</v>
      </c>
    </row>
    <row r="917" spans="1:5">
      <c r="A917">
        <v>10290</v>
      </c>
      <c r="B917" t="s">
        <v>175</v>
      </c>
      <c r="C917">
        <v>104</v>
      </c>
      <c r="D917">
        <v>10</v>
      </c>
      <c r="E917" s="80">
        <v>35304</v>
      </c>
    </row>
    <row r="918" spans="1:5">
      <c r="A918">
        <v>10290</v>
      </c>
      <c r="B918" t="s">
        <v>176</v>
      </c>
      <c r="C918">
        <v>104</v>
      </c>
      <c r="D918">
        <v>10</v>
      </c>
      <c r="E918" s="80">
        <v>35304</v>
      </c>
    </row>
    <row r="919" spans="1:5">
      <c r="A919">
        <v>10290</v>
      </c>
      <c r="B919" t="s">
        <v>177</v>
      </c>
      <c r="C919">
        <v>104</v>
      </c>
      <c r="D919">
        <v>10</v>
      </c>
      <c r="E919" s="80">
        <v>35304</v>
      </c>
    </row>
    <row r="920" spans="1:5">
      <c r="A920">
        <v>10290</v>
      </c>
      <c r="B920" t="s">
        <v>178</v>
      </c>
      <c r="C920">
        <v>104</v>
      </c>
      <c r="D920">
        <v>10</v>
      </c>
      <c r="E920" s="80">
        <v>35304</v>
      </c>
    </row>
    <row r="921" spans="1:5">
      <c r="A921">
        <v>10290</v>
      </c>
      <c r="B921" t="s">
        <v>179</v>
      </c>
      <c r="C921">
        <v>104</v>
      </c>
      <c r="D921">
        <v>10</v>
      </c>
      <c r="E921" s="80">
        <v>35304</v>
      </c>
    </row>
    <row r="922" spans="1:5">
      <c r="A922">
        <v>10291</v>
      </c>
      <c r="B922" t="s">
        <v>172</v>
      </c>
      <c r="C922">
        <v>86.399999856948853</v>
      </c>
      <c r="D922">
        <v>20</v>
      </c>
      <c r="E922" s="80">
        <v>35304</v>
      </c>
    </row>
    <row r="923" spans="1:5">
      <c r="A923">
        <v>10291</v>
      </c>
      <c r="B923" t="s">
        <v>173</v>
      </c>
      <c r="C923">
        <v>86.399999856948853</v>
      </c>
      <c r="D923">
        <v>20</v>
      </c>
      <c r="E923" s="80">
        <v>35304</v>
      </c>
    </row>
    <row r="924" spans="1:5">
      <c r="A924">
        <v>10291</v>
      </c>
      <c r="B924" t="s">
        <v>174</v>
      </c>
      <c r="C924">
        <v>86.399999856948853</v>
      </c>
      <c r="D924">
        <v>20</v>
      </c>
      <c r="E924" s="80">
        <v>35304</v>
      </c>
    </row>
    <row r="925" spans="1:5">
      <c r="A925">
        <v>10291</v>
      </c>
      <c r="B925" t="s">
        <v>175</v>
      </c>
      <c r="C925">
        <v>86.399999856948853</v>
      </c>
      <c r="D925">
        <v>20</v>
      </c>
      <c r="E925" s="80">
        <v>35304</v>
      </c>
    </row>
    <row r="926" spans="1:5">
      <c r="A926">
        <v>10291</v>
      </c>
      <c r="B926" t="s">
        <v>176</v>
      </c>
      <c r="C926">
        <v>86.399999856948853</v>
      </c>
      <c r="D926">
        <v>20</v>
      </c>
      <c r="E926" s="80">
        <v>35304</v>
      </c>
    </row>
    <row r="927" spans="1:5">
      <c r="A927">
        <v>10291</v>
      </c>
      <c r="B927" t="s">
        <v>177</v>
      </c>
      <c r="C927">
        <v>86.399999856948853</v>
      </c>
      <c r="D927">
        <v>20</v>
      </c>
      <c r="E927" s="80">
        <v>35304</v>
      </c>
    </row>
    <row r="928" spans="1:5">
      <c r="A928">
        <v>10291</v>
      </c>
      <c r="B928" t="s">
        <v>178</v>
      </c>
      <c r="C928">
        <v>86.399999856948853</v>
      </c>
      <c r="D928">
        <v>20</v>
      </c>
      <c r="E928" s="80">
        <v>35304</v>
      </c>
    </row>
    <row r="929" spans="1:5">
      <c r="A929">
        <v>10291</v>
      </c>
      <c r="B929" t="s">
        <v>179</v>
      </c>
      <c r="C929">
        <v>86.399999856948853</v>
      </c>
      <c r="D929">
        <v>20</v>
      </c>
      <c r="E929" s="80">
        <v>35304</v>
      </c>
    </row>
    <row r="930" spans="1:5">
      <c r="A930">
        <v>10291</v>
      </c>
      <c r="B930" t="s">
        <v>172</v>
      </c>
      <c r="C930">
        <v>334.7999994456768</v>
      </c>
      <c r="D930">
        <v>24</v>
      </c>
      <c r="E930" s="80">
        <v>35304</v>
      </c>
    </row>
    <row r="931" spans="1:5">
      <c r="A931">
        <v>10291</v>
      </c>
      <c r="B931" t="s">
        <v>173</v>
      </c>
      <c r="C931">
        <v>334.7999994456768</v>
      </c>
      <c r="D931">
        <v>24</v>
      </c>
      <c r="E931" s="80">
        <v>35304</v>
      </c>
    </row>
    <row r="932" spans="1:5">
      <c r="A932">
        <v>10291</v>
      </c>
      <c r="B932" t="s">
        <v>174</v>
      </c>
      <c r="C932">
        <v>334.7999994456768</v>
      </c>
      <c r="D932">
        <v>24</v>
      </c>
      <c r="E932" s="80">
        <v>35304</v>
      </c>
    </row>
    <row r="933" spans="1:5">
      <c r="A933">
        <v>10291</v>
      </c>
      <c r="B933" t="s">
        <v>175</v>
      </c>
      <c r="C933">
        <v>334.7999994456768</v>
      </c>
      <c r="D933">
        <v>24</v>
      </c>
      <c r="E933" s="80">
        <v>35304</v>
      </c>
    </row>
    <row r="934" spans="1:5">
      <c r="A934">
        <v>10291</v>
      </c>
      <c r="B934" t="s">
        <v>176</v>
      </c>
      <c r="C934">
        <v>334.7999994456768</v>
      </c>
      <c r="D934">
        <v>24</v>
      </c>
      <c r="E934" s="80">
        <v>35304</v>
      </c>
    </row>
    <row r="935" spans="1:5">
      <c r="A935">
        <v>10291</v>
      </c>
      <c r="B935" t="s">
        <v>177</v>
      </c>
      <c r="C935">
        <v>334.7999994456768</v>
      </c>
      <c r="D935">
        <v>24</v>
      </c>
      <c r="E935" s="80">
        <v>35304</v>
      </c>
    </row>
    <row r="936" spans="1:5">
      <c r="A936">
        <v>10291</v>
      </c>
      <c r="B936" t="s">
        <v>178</v>
      </c>
      <c r="C936">
        <v>334.7999994456768</v>
      </c>
      <c r="D936">
        <v>24</v>
      </c>
      <c r="E936" s="80">
        <v>35304</v>
      </c>
    </row>
    <row r="937" spans="1:5">
      <c r="A937">
        <v>10291</v>
      </c>
      <c r="B937" t="s">
        <v>179</v>
      </c>
      <c r="C937">
        <v>334.7999994456768</v>
      </c>
      <c r="D937">
        <v>24</v>
      </c>
      <c r="E937" s="80">
        <v>35304</v>
      </c>
    </row>
    <row r="938" spans="1:5">
      <c r="A938">
        <v>10291</v>
      </c>
      <c r="B938" t="s">
        <v>172</v>
      </c>
      <c r="C938">
        <v>76.319999873638153</v>
      </c>
      <c r="D938">
        <v>2</v>
      </c>
      <c r="E938" s="80">
        <v>35304</v>
      </c>
    </row>
    <row r="939" spans="1:5">
      <c r="A939">
        <v>10291</v>
      </c>
      <c r="B939" t="s">
        <v>173</v>
      </c>
      <c r="C939">
        <v>76.319999873638153</v>
      </c>
      <c r="D939">
        <v>2</v>
      </c>
      <c r="E939" s="80">
        <v>35304</v>
      </c>
    </row>
    <row r="940" spans="1:5">
      <c r="A940">
        <v>10291</v>
      </c>
      <c r="B940" t="s">
        <v>174</v>
      </c>
      <c r="C940">
        <v>76.319999873638153</v>
      </c>
      <c r="D940">
        <v>2</v>
      </c>
      <c r="E940" s="80">
        <v>35304</v>
      </c>
    </row>
    <row r="941" spans="1:5">
      <c r="A941">
        <v>10291</v>
      </c>
      <c r="B941" t="s">
        <v>175</v>
      </c>
      <c r="C941">
        <v>76.319999873638153</v>
      </c>
      <c r="D941">
        <v>2</v>
      </c>
      <c r="E941" s="80">
        <v>35304</v>
      </c>
    </row>
    <row r="942" spans="1:5">
      <c r="A942">
        <v>10291</v>
      </c>
      <c r="B942" t="s">
        <v>176</v>
      </c>
      <c r="C942">
        <v>76.319999873638153</v>
      </c>
      <c r="D942">
        <v>2</v>
      </c>
      <c r="E942" s="80">
        <v>35304</v>
      </c>
    </row>
    <row r="943" spans="1:5">
      <c r="A943">
        <v>10291</v>
      </c>
      <c r="B943" t="s">
        <v>177</v>
      </c>
      <c r="C943">
        <v>76.319999873638153</v>
      </c>
      <c r="D943">
        <v>2</v>
      </c>
      <c r="E943" s="80">
        <v>35304</v>
      </c>
    </row>
    <row r="944" spans="1:5">
      <c r="A944">
        <v>10291</v>
      </c>
      <c r="B944" t="s">
        <v>178</v>
      </c>
      <c r="C944">
        <v>76.319999873638153</v>
      </c>
      <c r="D944">
        <v>2</v>
      </c>
      <c r="E944" s="80">
        <v>35304</v>
      </c>
    </row>
    <row r="945" spans="1:5">
      <c r="A945">
        <v>10291</v>
      </c>
      <c r="B945" t="s">
        <v>179</v>
      </c>
      <c r="C945">
        <v>76.319999873638153</v>
      </c>
      <c r="D945">
        <v>2</v>
      </c>
      <c r="E945" s="80">
        <v>35304</v>
      </c>
    </row>
    <row r="946" spans="1:5">
      <c r="A946">
        <v>10292</v>
      </c>
      <c r="B946" t="s">
        <v>172</v>
      </c>
      <c r="C946">
        <v>1296</v>
      </c>
      <c r="D946">
        <v>20</v>
      </c>
      <c r="E946" s="80">
        <v>35305</v>
      </c>
    </row>
    <row r="947" spans="1:5">
      <c r="A947">
        <v>10292</v>
      </c>
      <c r="B947" t="s">
        <v>173</v>
      </c>
      <c r="C947">
        <v>1296</v>
      </c>
      <c r="D947">
        <v>20</v>
      </c>
      <c r="E947" s="80">
        <v>35305</v>
      </c>
    </row>
    <row r="948" spans="1:5">
      <c r="A948">
        <v>10292</v>
      </c>
      <c r="B948" t="s">
        <v>174</v>
      </c>
      <c r="C948">
        <v>1296</v>
      </c>
      <c r="D948">
        <v>20</v>
      </c>
      <c r="E948" s="80">
        <v>35305</v>
      </c>
    </row>
    <row r="949" spans="1:5">
      <c r="A949">
        <v>10292</v>
      </c>
      <c r="B949" t="s">
        <v>175</v>
      </c>
      <c r="C949">
        <v>1296</v>
      </c>
      <c r="D949">
        <v>20</v>
      </c>
      <c r="E949" s="80">
        <v>35305</v>
      </c>
    </row>
    <row r="950" spans="1:5">
      <c r="A950">
        <v>10292</v>
      </c>
      <c r="B950" t="s">
        <v>176</v>
      </c>
      <c r="C950">
        <v>1296</v>
      </c>
      <c r="D950">
        <v>20</v>
      </c>
      <c r="E950" s="80">
        <v>35305</v>
      </c>
    </row>
    <row r="951" spans="1:5">
      <c r="A951">
        <v>10292</v>
      </c>
      <c r="B951" t="s">
        <v>177</v>
      </c>
      <c r="C951">
        <v>1296</v>
      </c>
      <c r="D951">
        <v>20</v>
      </c>
      <c r="E951" s="80">
        <v>35305</v>
      </c>
    </row>
    <row r="952" spans="1:5">
      <c r="A952">
        <v>10292</v>
      </c>
      <c r="B952" t="s">
        <v>178</v>
      </c>
      <c r="C952">
        <v>1296</v>
      </c>
      <c r="D952">
        <v>20</v>
      </c>
      <c r="E952" s="80">
        <v>35305</v>
      </c>
    </row>
    <row r="953" spans="1:5">
      <c r="A953">
        <v>10292</v>
      </c>
      <c r="B953" t="s">
        <v>179</v>
      </c>
      <c r="C953">
        <v>1296</v>
      </c>
      <c r="D953">
        <v>20</v>
      </c>
      <c r="E953" s="80">
        <v>35305</v>
      </c>
    </row>
    <row r="954" spans="1:5">
      <c r="A954">
        <v>10293</v>
      </c>
      <c r="B954" t="s">
        <v>172</v>
      </c>
      <c r="C954">
        <v>600</v>
      </c>
      <c r="D954">
        <v>12</v>
      </c>
      <c r="E954" s="80">
        <v>35306</v>
      </c>
    </row>
    <row r="955" spans="1:5">
      <c r="A955">
        <v>10293</v>
      </c>
      <c r="B955" t="s">
        <v>173</v>
      </c>
      <c r="C955">
        <v>600</v>
      </c>
      <c r="D955">
        <v>12</v>
      </c>
      <c r="E955" s="80">
        <v>35306</v>
      </c>
    </row>
    <row r="956" spans="1:5">
      <c r="A956">
        <v>10293</v>
      </c>
      <c r="B956" t="s">
        <v>174</v>
      </c>
      <c r="C956">
        <v>600</v>
      </c>
      <c r="D956">
        <v>12</v>
      </c>
      <c r="E956" s="80">
        <v>35306</v>
      </c>
    </row>
    <row r="957" spans="1:5">
      <c r="A957">
        <v>10293</v>
      </c>
      <c r="B957" t="s">
        <v>175</v>
      </c>
      <c r="C957">
        <v>600</v>
      </c>
      <c r="D957">
        <v>12</v>
      </c>
      <c r="E957" s="80">
        <v>35306</v>
      </c>
    </row>
    <row r="958" spans="1:5">
      <c r="A958">
        <v>10293</v>
      </c>
      <c r="B958" t="s">
        <v>176</v>
      </c>
      <c r="C958">
        <v>600</v>
      </c>
      <c r="D958">
        <v>12</v>
      </c>
      <c r="E958" s="80">
        <v>35306</v>
      </c>
    </row>
    <row r="959" spans="1:5">
      <c r="A959">
        <v>10293</v>
      </c>
      <c r="B959" t="s">
        <v>177</v>
      </c>
      <c r="C959">
        <v>600</v>
      </c>
      <c r="D959">
        <v>12</v>
      </c>
      <c r="E959" s="80">
        <v>35306</v>
      </c>
    </row>
    <row r="960" spans="1:5">
      <c r="A960">
        <v>10293</v>
      </c>
      <c r="B960" t="s">
        <v>178</v>
      </c>
      <c r="C960">
        <v>600</v>
      </c>
      <c r="D960">
        <v>12</v>
      </c>
      <c r="E960" s="80">
        <v>35306</v>
      </c>
    </row>
    <row r="961" spans="1:5">
      <c r="A961">
        <v>10293</v>
      </c>
      <c r="B961" t="s">
        <v>179</v>
      </c>
      <c r="C961">
        <v>600</v>
      </c>
      <c r="D961">
        <v>12</v>
      </c>
      <c r="E961" s="80">
        <v>35306</v>
      </c>
    </row>
    <row r="962" spans="1:5">
      <c r="A962">
        <v>10293</v>
      </c>
      <c r="B962" t="s">
        <v>172</v>
      </c>
      <c r="C962">
        <v>36</v>
      </c>
      <c r="D962">
        <v>10</v>
      </c>
      <c r="E962" s="80">
        <v>35306</v>
      </c>
    </row>
    <row r="963" spans="1:5">
      <c r="A963">
        <v>10293</v>
      </c>
      <c r="B963" t="s">
        <v>173</v>
      </c>
      <c r="C963">
        <v>36</v>
      </c>
      <c r="D963">
        <v>10</v>
      </c>
      <c r="E963" s="80">
        <v>35306</v>
      </c>
    </row>
    <row r="964" spans="1:5">
      <c r="A964">
        <v>10293</v>
      </c>
      <c r="B964" t="s">
        <v>174</v>
      </c>
      <c r="C964">
        <v>36</v>
      </c>
      <c r="D964">
        <v>10</v>
      </c>
      <c r="E964" s="80">
        <v>35306</v>
      </c>
    </row>
    <row r="965" spans="1:5">
      <c r="A965">
        <v>10293</v>
      </c>
      <c r="B965" t="s">
        <v>175</v>
      </c>
      <c r="C965">
        <v>36</v>
      </c>
      <c r="D965">
        <v>10</v>
      </c>
      <c r="E965" s="80">
        <v>35306</v>
      </c>
    </row>
    <row r="966" spans="1:5">
      <c r="A966">
        <v>10293</v>
      </c>
      <c r="B966" t="s">
        <v>176</v>
      </c>
      <c r="C966">
        <v>36</v>
      </c>
      <c r="D966">
        <v>10</v>
      </c>
      <c r="E966" s="80">
        <v>35306</v>
      </c>
    </row>
    <row r="967" spans="1:5">
      <c r="A967">
        <v>10293</v>
      </c>
      <c r="B967" t="s">
        <v>177</v>
      </c>
      <c r="C967">
        <v>36</v>
      </c>
      <c r="D967">
        <v>10</v>
      </c>
      <c r="E967" s="80">
        <v>35306</v>
      </c>
    </row>
    <row r="968" spans="1:5">
      <c r="A968">
        <v>10293</v>
      </c>
      <c r="B968" t="s">
        <v>178</v>
      </c>
      <c r="C968">
        <v>36</v>
      </c>
      <c r="D968">
        <v>10</v>
      </c>
      <c r="E968" s="80">
        <v>35306</v>
      </c>
    </row>
    <row r="969" spans="1:5">
      <c r="A969">
        <v>10293</v>
      </c>
      <c r="B969" t="s">
        <v>179</v>
      </c>
      <c r="C969">
        <v>36</v>
      </c>
      <c r="D969">
        <v>10</v>
      </c>
      <c r="E969" s="80">
        <v>35306</v>
      </c>
    </row>
    <row r="970" spans="1:5">
      <c r="A970">
        <v>10293</v>
      </c>
      <c r="B970" t="s">
        <v>172</v>
      </c>
      <c r="C970">
        <v>175.5</v>
      </c>
      <c r="D970">
        <v>5</v>
      </c>
      <c r="E970" s="80">
        <v>35306</v>
      </c>
    </row>
    <row r="971" spans="1:5">
      <c r="A971">
        <v>10293</v>
      </c>
      <c r="B971" t="s">
        <v>173</v>
      </c>
      <c r="C971">
        <v>175.5</v>
      </c>
      <c r="D971">
        <v>5</v>
      </c>
      <c r="E971" s="80">
        <v>35306</v>
      </c>
    </row>
    <row r="972" spans="1:5">
      <c r="A972">
        <v>10293</v>
      </c>
      <c r="B972" t="s">
        <v>174</v>
      </c>
      <c r="C972">
        <v>175.5</v>
      </c>
      <c r="D972">
        <v>5</v>
      </c>
      <c r="E972" s="80">
        <v>35306</v>
      </c>
    </row>
    <row r="973" spans="1:5">
      <c r="A973">
        <v>10293</v>
      </c>
      <c r="B973" t="s">
        <v>175</v>
      </c>
      <c r="C973">
        <v>175.5</v>
      </c>
      <c r="D973">
        <v>5</v>
      </c>
      <c r="E973" s="80">
        <v>35306</v>
      </c>
    </row>
    <row r="974" spans="1:5">
      <c r="A974">
        <v>10293</v>
      </c>
      <c r="B974" t="s">
        <v>176</v>
      </c>
      <c r="C974">
        <v>175.5</v>
      </c>
      <c r="D974">
        <v>5</v>
      </c>
      <c r="E974" s="80">
        <v>35306</v>
      </c>
    </row>
    <row r="975" spans="1:5">
      <c r="A975">
        <v>10293</v>
      </c>
      <c r="B975" t="s">
        <v>177</v>
      </c>
      <c r="C975">
        <v>175.5</v>
      </c>
      <c r="D975">
        <v>5</v>
      </c>
      <c r="E975" s="80">
        <v>35306</v>
      </c>
    </row>
    <row r="976" spans="1:5">
      <c r="A976">
        <v>10293</v>
      </c>
      <c r="B976" t="s">
        <v>178</v>
      </c>
      <c r="C976">
        <v>175.5</v>
      </c>
      <c r="D976">
        <v>5</v>
      </c>
      <c r="E976" s="80">
        <v>35306</v>
      </c>
    </row>
    <row r="977" spans="1:5">
      <c r="A977">
        <v>10293</v>
      </c>
      <c r="B977" t="s">
        <v>179</v>
      </c>
      <c r="C977">
        <v>175.5</v>
      </c>
      <c r="D977">
        <v>5</v>
      </c>
      <c r="E977" s="80">
        <v>35306</v>
      </c>
    </row>
    <row r="978" spans="1:5">
      <c r="A978">
        <v>10293</v>
      </c>
      <c r="B978" t="s">
        <v>172</v>
      </c>
      <c r="C978">
        <v>37.200000000000003</v>
      </c>
      <c r="D978">
        <v>6</v>
      </c>
      <c r="E978" s="80">
        <v>35306</v>
      </c>
    </row>
    <row r="979" spans="1:5">
      <c r="A979">
        <v>10293</v>
      </c>
      <c r="B979" t="s">
        <v>173</v>
      </c>
      <c r="C979">
        <v>37.200000000000003</v>
      </c>
      <c r="D979">
        <v>6</v>
      </c>
      <c r="E979" s="80">
        <v>35306</v>
      </c>
    </row>
    <row r="980" spans="1:5">
      <c r="A980">
        <v>10293</v>
      </c>
      <c r="B980" t="s">
        <v>174</v>
      </c>
      <c r="C980">
        <v>37.200000000000003</v>
      </c>
      <c r="D980">
        <v>6</v>
      </c>
      <c r="E980" s="80">
        <v>35306</v>
      </c>
    </row>
    <row r="981" spans="1:5">
      <c r="A981">
        <v>10293</v>
      </c>
      <c r="B981" t="s">
        <v>175</v>
      </c>
      <c r="C981">
        <v>37.200000000000003</v>
      </c>
      <c r="D981">
        <v>6</v>
      </c>
      <c r="E981" s="80">
        <v>35306</v>
      </c>
    </row>
    <row r="982" spans="1:5">
      <c r="A982">
        <v>10293</v>
      </c>
      <c r="B982" t="s">
        <v>176</v>
      </c>
      <c r="C982">
        <v>37.200000000000003</v>
      </c>
      <c r="D982">
        <v>6</v>
      </c>
      <c r="E982" s="80">
        <v>35306</v>
      </c>
    </row>
    <row r="983" spans="1:5">
      <c r="A983">
        <v>10293</v>
      </c>
      <c r="B983" t="s">
        <v>177</v>
      </c>
      <c r="C983">
        <v>37.200000000000003</v>
      </c>
      <c r="D983">
        <v>6</v>
      </c>
      <c r="E983" s="80">
        <v>35306</v>
      </c>
    </row>
    <row r="984" spans="1:5">
      <c r="A984">
        <v>10293</v>
      </c>
      <c r="B984" t="s">
        <v>178</v>
      </c>
      <c r="C984">
        <v>37.200000000000003</v>
      </c>
      <c r="D984">
        <v>6</v>
      </c>
      <c r="E984" s="80">
        <v>35306</v>
      </c>
    </row>
    <row r="985" spans="1:5">
      <c r="A985">
        <v>10293</v>
      </c>
      <c r="B985" t="s">
        <v>179</v>
      </c>
      <c r="C985">
        <v>37.200000000000003</v>
      </c>
      <c r="D985">
        <v>6</v>
      </c>
      <c r="E985" s="80">
        <v>35306</v>
      </c>
    </row>
    <row r="986" spans="1:5">
      <c r="A986">
        <v>10294</v>
      </c>
      <c r="B986" t="s">
        <v>172</v>
      </c>
      <c r="C986">
        <v>259.2</v>
      </c>
      <c r="D986">
        <v>18</v>
      </c>
      <c r="E986" s="80">
        <v>35307</v>
      </c>
    </row>
    <row r="987" spans="1:5">
      <c r="A987">
        <v>10294</v>
      </c>
      <c r="B987" t="s">
        <v>173</v>
      </c>
      <c r="C987">
        <v>259.2</v>
      </c>
      <c r="D987">
        <v>18</v>
      </c>
      <c r="E987" s="80">
        <v>35307</v>
      </c>
    </row>
    <row r="988" spans="1:5">
      <c r="A988">
        <v>10294</v>
      </c>
      <c r="B988" t="s">
        <v>174</v>
      </c>
      <c r="C988">
        <v>259.2</v>
      </c>
      <c r="D988">
        <v>18</v>
      </c>
      <c r="E988" s="80">
        <v>35307</v>
      </c>
    </row>
    <row r="989" spans="1:5">
      <c r="A989">
        <v>10294</v>
      </c>
      <c r="B989" t="s">
        <v>175</v>
      </c>
      <c r="C989">
        <v>259.2</v>
      </c>
      <c r="D989">
        <v>18</v>
      </c>
      <c r="E989" s="80">
        <v>35307</v>
      </c>
    </row>
    <row r="990" spans="1:5">
      <c r="A990">
        <v>10294</v>
      </c>
      <c r="B990" t="s">
        <v>176</v>
      </c>
      <c r="C990">
        <v>259.2</v>
      </c>
      <c r="D990">
        <v>18</v>
      </c>
      <c r="E990" s="80">
        <v>35307</v>
      </c>
    </row>
    <row r="991" spans="1:5">
      <c r="A991">
        <v>10294</v>
      </c>
      <c r="B991" t="s">
        <v>177</v>
      </c>
      <c r="C991">
        <v>259.2</v>
      </c>
      <c r="D991">
        <v>18</v>
      </c>
      <c r="E991" s="80">
        <v>35307</v>
      </c>
    </row>
    <row r="992" spans="1:5">
      <c r="A992">
        <v>10294</v>
      </c>
      <c r="B992" t="s">
        <v>178</v>
      </c>
      <c r="C992">
        <v>259.2</v>
      </c>
      <c r="D992">
        <v>18</v>
      </c>
      <c r="E992" s="80">
        <v>35307</v>
      </c>
    </row>
    <row r="993" spans="1:5">
      <c r="A993">
        <v>10294</v>
      </c>
      <c r="B993" t="s">
        <v>179</v>
      </c>
      <c r="C993">
        <v>259.2</v>
      </c>
      <c r="D993">
        <v>18</v>
      </c>
      <c r="E993" s="80">
        <v>35307</v>
      </c>
    </row>
    <row r="994" spans="1:5">
      <c r="A994">
        <v>10294</v>
      </c>
      <c r="B994" t="s">
        <v>172</v>
      </c>
      <c r="C994">
        <v>468</v>
      </c>
      <c r="D994">
        <v>15</v>
      </c>
      <c r="E994" s="80">
        <v>35307</v>
      </c>
    </row>
    <row r="995" spans="1:5">
      <c r="A995">
        <v>10294</v>
      </c>
      <c r="B995" t="s">
        <v>173</v>
      </c>
      <c r="C995">
        <v>468</v>
      </c>
      <c r="D995">
        <v>15</v>
      </c>
      <c r="E995" s="80">
        <v>35307</v>
      </c>
    </row>
    <row r="996" spans="1:5">
      <c r="A996">
        <v>10294</v>
      </c>
      <c r="B996" t="s">
        <v>174</v>
      </c>
      <c r="C996">
        <v>468</v>
      </c>
      <c r="D996">
        <v>15</v>
      </c>
      <c r="E996" s="80">
        <v>35307</v>
      </c>
    </row>
    <row r="997" spans="1:5">
      <c r="A997">
        <v>10294</v>
      </c>
      <c r="B997" t="s">
        <v>175</v>
      </c>
      <c r="C997">
        <v>468</v>
      </c>
      <c r="D997">
        <v>15</v>
      </c>
      <c r="E997" s="80">
        <v>35307</v>
      </c>
    </row>
    <row r="998" spans="1:5">
      <c r="A998">
        <v>10294</v>
      </c>
      <c r="B998" t="s">
        <v>176</v>
      </c>
      <c r="C998">
        <v>468</v>
      </c>
      <c r="D998">
        <v>15</v>
      </c>
      <c r="E998" s="80">
        <v>35307</v>
      </c>
    </row>
    <row r="999" spans="1:5">
      <c r="A999">
        <v>10294</v>
      </c>
      <c r="B999" t="s">
        <v>177</v>
      </c>
      <c r="C999">
        <v>468</v>
      </c>
      <c r="D999">
        <v>15</v>
      </c>
      <c r="E999" s="80">
        <v>35307</v>
      </c>
    </row>
    <row r="1000" spans="1:5">
      <c r="A1000">
        <v>10294</v>
      </c>
      <c r="B1000" t="s">
        <v>178</v>
      </c>
      <c r="C1000">
        <v>468</v>
      </c>
      <c r="D1000">
        <v>15</v>
      </c>
      <c r="E1000" s="80">
        <v>35307</v>
      </c>
    </row>
    <row r="1001" spans="1:5">
      <c r="A1001">
        <v>10294</v>
      </c>
      <c r="B1001" t="s">
        <v>179</v>
      </c>
      <c r="C1001">
        <v>468</v>
      </c>
      <c r="D1001">
        <v>15</v>
      </c>
      <c r="E1001" s="80">
        <v>35307</v>
      </c>
    </row>
    <row r="1002" spans="1:5">
      <c r="A1002">
        <v>10294</v>
      </c>
      <c r="B1002" t="s">
        <v>172</v>
      </c>
      <c r="C1002">
        <v>552</v>
      </c>
      <c r="D1002">
        <v>15</v>
      </c>
      <c r="E1002" s="80">
        <v>35307</v>
      </c>
    </row>
    <row r="1003" spans="1:5">
      <c r="A1003">
        <v>10294</v>
      </c>
      <c r="B1003" t="s">
        <v>173</v>
      </c>
      <c r="C1003">
        <v>552</v>
      </c>
      <c r="D1003">
        <v>15</v>
      </c>
      <c r="E1003" s="80">
        <v>35307</v>
      </c>
    </row>
    <row r="1004" spans="1:5">
      <c r="A1004">
        <v>10294</v>
      </c>
      <c r="B1004" t="s">
        <v>174</v>
      </c>
      <c r="C1004">
        <v>552</v>
      </c>
      <c r="D1004">
        <v>15</v>
      </c>
      <c r="E1004" s="80">
        <v>35307</v>
      </c>
    </row>
    <row r="1005" spans="1:5">
      <c r="A1005">
        <v>10294</v>
      </c>
      <c r="B1005" t="s">
        <v>175</v>
      </c>
      <c r="C1005">
        <v>552</v>
      </c>
      <c r="D1005">
        <v>15</v>
      </c>
      <c r="E1005" s="80">
        <v>35307</v>
      </c>
    </row>
    <row r="1006" spans="1:5">
      <c r="A1006">
        <v>10294</v>
      </c>
      <c r="B1006" t="s">
        <v>176</v>
      </c>
      <c r="C1006">
        <v>552</v>
      </c>
      <c r="D1006">
        <v>15</v>
      </c>
      <c r="E1006" s="80">
        <v>35307</v>
      </c>
    </row>
    <row r="1007" spans="1:5">
      <c r="A1007">
        <v>10294</v>
      </c>
      <c r="B1007" t="s">
        <v>177</v>
      </c>
      <c r="C1007">
        <v>552</v>
      </c>
      <c r="D1007">
        <v>15</v>
      </c>
      <c r="E1007" s="80">
        <v>35307</v>
      </c>
    </row>
    <row r="1008" spans="1:5">
      <c r="A1008">
        <v>10294</v>
      </c>
      <c r="B1008" t="s">
        <v>178</v>
      </c>
      <c r="C1008">
        <v>552</v>
      </c>
      <c r="D1008">
        <v>15</v>
      </c>
      <c r="E1008" s="80">
        <v>35307</v>
      </c>
    </row>
    <row r="1009" spans="1:5">
      <c r="A1009">
        <v>10294</v>
      </c>
      <c r="B1009" t="s">
        <v>179</v>
      </c>
      <c r="C1009">
        <v>552</v>
      </c>
      <c r="D1009">
        <v>15</v>
      </c>
      <c r="E1009" s="80">
        <v>35307</v>
      </c>
    </row>
    <row r="1010" spans="1:5">
      <c r="A1010">
        <v>10294</v>
      </c>
      <c r="B1010" t="s">
        <v>172</v>
      </c>
      <c r="C1010">
        <v>571.20000000000005</v>
      </c>
      <c r="D1010">
        <v>21</v>
      </c>
      <c r="E1010" s="80">
        <v>35307</v>
      </c>
    </row>
    <row r="1011" spans="1:5">
      <c r="A1011">
        <v>10294</v>
      </c>
      <c r="B1011" t="s">
        <v>173</v>
      </c>
      <c r="C1011">
        <v>571.20000000000005</v>
      </c>
      <c r="D1011">
        <v>21</v>
      </c>
      <c r="E1011" s="80">
        <v>35307</v>
      </c>
    </row>
    <row r="1012" spans="1:5">
      <c r="A1012">
        <v>10294</v>
      </c>
      <c r="B1012" t="s">
        <v>174</v>
      </c>
      <c r="C1012">
        <v>571.20000000000005</v>
      </c>
      <c r="D1012">
        <v>21</v>
      </c>
      <c r="E1012" s="80">
        <v>35307</v>
      </c>
    </row>
    <row r="1013" spans="1:5">
      <c r="A1013">
        <v>10294</v>
      </c>
      <c r="B1013" t="s">
        <v>175</v>
      </c>
      <c r="C1013">
        <v>571.20000000000005</v>
      </c>
      <c r="D1013">
        <v>21</v>
      </c>
      <c r="E1013" s="80">
        <v>35307</v>
      </c>
    </row>
    <row r="1014" spans="1:5">
      <c r="A1014">
        <v>10294</v>
      </c>
      <c r="B1014" t="s">
        <v>176</v>
      </c>
      <c r="C1014">
        <v>571.20000000000005</v>
      </c>
      <c r="D1014">
        <v>21</v>
      </c>
      <c r="E1014" s="80">
        <v>35307</v>
      </c>
    </row>
    <row r="1015" spans="1:5">
      <c r="A1015">
        <v>10294</v>
      </c>
      <c r="B1015" t="s">
        <v>177</v>
      </c>
      <c r="C1015">
        <v>571.20000000000005</v>
      </c>
      <c r="D1015">
        <v>21</v>
      </c>
      <c r="E1015" s="80">
        <v>35307</v>
      </c>
    </row>
    <row r="1016" spans="1:5">
      <c r="A1016">
        <v>10294</v>
      </c>
      <c r="B1016" t="s">
        <v>178</v>
      </c>
      <c r="C1016">
        <v>571.20000000000005</v>
      </c>
      <c r="D1016">
        <v>21</v>
      </c>
      <c r="E1016" s="80">
        <v>35307</v>
      </c>
    </row>
    <row r="1017" spans="1:5">
      <c r="A1017">
        <v>10294</v>
      </c>
      <c r="B1017" t="s">
        <v>179</v>
      </c>
      <c r="C1017">
        <v>571.20000000000005</v>
      </c>
      <c r="D1017">
        <v>21</v>
      </c>
      <c r="E1017" s="80">
        <v>35307</v>
      </c>
    </row>
    <row r="1018" spans="1:5">
      <c r="A1018">
        <v>10294</v>
      </c>
      <c r="B1018" t="s">
        <v>172</v>
      </c>
      <c r="C1018">
        <v>37.200000000000003</v>
      </c>
      <c r="D1018">
        <v>6</v>
      </c>
      <c r="E1018" s="80">
        <v>35307</v>
      </c>
    </row>
    <row r="1019" spans="1:5">
      <c r="A1019">
        <v>10294</v>
      </c>
      <c r="B1019" t="s">
        <v>173</v>
      </c>
      <c r="C1019">
        <v>37.200000000000003</v>
      </c>
      <c r="D1019">
        <v>6</v>
      </c>
      <c r="E1019" s="80">
        <v>35307</v>
      </c>
    </row>
    <row r="1020" spans="1:5">
      <c r="A1020">
        <v>10294</v>
      </c>
      <c r="B1020" t="s">
        <v>174</v>
      </c>
      <c r="C1020">
        <v>37.200000000000003</v>
      </c>
      <c r="D1020">
        <v>6</v>
      </c>
      <c r="E1020" s="80">
        <v>35307</v>
      </c>
    </row>
    <row r="1021" spans="1:5">
      <c r="A1021">
        <v>10294</v>
      </c>
      <c r="B1021" t="s">
        <v>175</v>
      </c>
      <c r="C1021">
        <v>37.200000000000003</v>
      </c>
      <c r="D1021">
        <v>6</v>
      </c>
      <c r="E1021" s="80">
        <v>35307</v>
      </c>
    </row>
    <row r="1022" spans="1:5">
      <c r="A1022">
        <v>10294</v>
      </c>
      <c r="B1022" t="s">
        <v>176</v>
      </c>
      <c r="C1022">
        <v>37.200000000000003</v>
      </c>
      <c r="D1022">
        <v>6</v>
      </c>
      <c r="E1022" s="80">
        <v>35307</v>
      </c>
    </row>
    <row r="1023" spans="1:5">
      <c r="A1023">
        <v>10294</v>
      </c>
      <c r="B1023" t="s">
        <v>177</v>
      </c>
      <c r="C1023">
        <v>37.200000000000003</v>
      </c>
      <c r="D1023">
        <v>6</v>
      </c>
      <c r="E1023" s="80">
        <v>35307</v>
      </c>
    </row>
    <row r="1024" spans="1:5">
      <c r="A1024">
        <v>10294</v>
      </c>
      <c r="B1024" t="s">
        <v>178</v>
      </c>
      <c r="C1024">
        <v>37.200000000000003</v>
      </c>
      <c r="D1024">
        <v>6</v>
      </c>
      <c r="E1024" s="80">
        <v>35307</v>
      </c>
    </row>
    <row r="1025" spans="1:5">
      <c r="A1025">
        <v>10294</v>
      </c>
      <c r="B1025" t="s">
        <v>179</v>
      </c>
      <c r="C1025">
        <v>37.200000000000003</v>
      </c>
      <c r="D1025">
        <v>6</v>
      </c>
      <c r="E1025" s="80">
        <v>35307</v>
      </c>
    </row>
    <row r="1026" spans="1:5">
      <c r="A1026">
        <v>10295</v>
      </c>
      <c r="B1026" t="s">
        <v>172</v>
      </c>
      <c r="C1026">
        <v>121.6</v>
      </c>
      <c r="D1026">
        <v>4</v>
      </c>
      <c r="E1026" s="80">
        <v>35310</v>
      </c>
    </row>
    <row r="1027" spans="1:5">
      <c r="A1027">
        <v>10295</v>
      </c>
      <c r="B1027" t="s">
        <v>173</v>
      </c>
      <c r="C1027">
        <v>121.6</v>
      </c>
      <c r="D1027">
        <v>4</v>
      </c>
      <c r="E1027" s="80">
        <v>35310</v>
      </c>
    </row>
    <row r="1028" spans="1:5">
      <c r="A1028">
        <v>10295</v>
      </c>
      <c r="B1028" t="s">
        <v>174</v>
      </c>
      <c r="C1028">
        <v>121.6</v>
      </c>
      <c r="D1028">
        <v>4</v>
      </c>
      <c r="E1028" s="80">
        <v>35310</v>
      </c>
    </row>
    <row r="1029" spans="1:5">
      <c r="A1029">
        <v>10295</v>
      </c>
      <c r="B1029" t="s">
        <v>175</v>
      </c>
      <c r="C1029">
        <v>121.6</v>
      </c>
      <c r="D1029">
        <v>4</v>
      </c>
      <c r="E1029" s="80">
        <v>35310</v>
      </c>
    </row>
    <row r="1030" spans="1:5">
      <c r="A1030">
        <v>10295</v>
      </c>
      <c r="B1030" t="s">
        <v>176</v>
      </c>
      <c r="C1030">
        <v>121.6</v>
      </c>
      <c r="D1030">
        <v>4</v>
      </c>
      <c r="E1030" s="80">
        <v>35310</v>
      </c>
    </row>
    <row r="1031" spans="1:5">
      <c r="A1031">
        <v>10295</v>
      </c>
      <c r="B1031" t="s">
        <v>177</v>
      </c>
      <c r="C1031">
        <v>121.6</v>
      </c>
      <c r="D1031">
        <v>4</v>
      </c>
      <c r="E1031" s="80">
        <v>35310</v>
      </c>
    </row>
    <row r="1032" spans="1:5">
      <c r="A1032">
        <v>10295</v>
      </c>
      <c r="B1032" t="s">
        <v>178</v>
      </c>
      <c r="C1032">
        <v>121.6</v>
      </c>
      <c r="D1032">
        <v>4</v>
      </c>
      <c r="E1032" s="80">
        <v>35310</v>
      </c>
    </row>
    <row r="1033" spans="1:5">
      <c r="A1033">
        <v>10295</v>
      </c>
      <c r="B1033" t="s">
        <v>179</v>
      </c>
      <c r="C1033">
        <v>121.6</v>
      </c>
      <c r="D1033">
        <v>4</v>
      </c>
      <c r="E1033" s="80">
        <v>35310</v>
      </c>
    </row>
    <row r="1034" spans="1:5">
      <c r="A1034">
        <v>10296</v>
      </c>
      <c r="B1034" t="s">
        <v>172</v>
      </c>
      <c r="C1034">
        <v>201.6</v>
      </c>
      <c r="D1034">
        <v>12</v>
      </c>
      <c r="E1034" s="80">
        <v>35311</v>
      </c>
    </row>
    <row r="1035" spans="1:5">
      <c r="A1035">
        <v>10296</v>
      </c>
      <c r="B1035" t="s">
        <v>173</v>
      </c>
      <c r="C1035">
        <v>201.6</v>
      </c>
      <c r="D1035">
        <v>12</v>
      </c>
      <c r="E1035" s="80">
        <v>35311</v>
      </c>
    </row>
    <row r="1036" spans="1:5">
      <c r="A1036">
        <v>10296</v>
      </c>
      <c r="B1036" t="s">
        <v>174</v>
      </c>
      <c r="C1036">
        <v>201.6</v>
      </c>
      <c r="D1036">
        <v>12</v>
      </c>
      <c r="E1036" s="80">
        <v>35311</v>
      </c>
    </row>
    <row r="1037" spans="1:5">
      <c r="A1037">
        <v>10296</v>
      </c>
      <c r="B1037" t="s">
        <v>175</v>
      </c>
      <c r="C1037">
        <v>201.6</v>
      </c>
      <c r="D1037">
        <v>12</v>
      </c>
      <c r="E1037" s="80">
        <v>35311</v>
      </c>
    </row>
    <row r="1038" spans="1:5">
      <c r="A1038">
        <v>10296</v>
      </c>
      <c r="B1038" t="s">
        <v>176</v>
      </c>
      <c r="C1038">
        <v>201.6</v>
      </c>
      <c r="D1038">
        <v>12</v>
      </c>
      <c r="E1038" s="80">
        <v>35311</v>
      </c>
    </row>
    <row r="1039" spans="1:5">
      <c r="A1039">
        <v>10296</v>
      </c>
      <c r="B1039" t="s">
        <v>177</v>
      </c>
      <c r="C1039">
        <v>201.6</v>
      </c>
      <c r="D1039">
        <v>12</v>
      </c>
      <c r="E1039" s="80">
        <v>35311</v>
      </c>
    </row>
    <row r="1040" spans="1:5">
      <c r="A1040">
        <v>10296</v>
      </c>
      <c r="B1040" t="s">
        <v>178</v>
      </c>
      <c r="C1040">
        <v>201.6</v>
      </c>
      <c r="D1040">
        <v>12</v>
      </c>
      <c r="E1040" s="80">
        <v>35311</v>
      </c>
    </row>
    <row r="1041" spans="1:5">
      <c r="A1041">
        <v>10296</v>
      </c>
      <c r="B1041" t="s">
        <v>179</v>
      </c>
      <c r="C1041">
        <v>201.6</v>
      </c>
      <c r="D1041">
        <v>12</v>
      </c>
      <c r="E1041" s="80">
        <v>35311</v>
      </c>
    </row>
    <row r="1042" spans="1:5">
      <c r="A1042">
        <v>10296</v>
      </c>
      <c r="B1042" t="s">
        <v>172</v>
      </c>
      <c r="C1042">
        <v>417</v>
      </c>
      <c r="D1042">
        <v>30</v>
      </c>
      <c r="E1042" s="80">
        <v>35311</v>
      </c>
    </row>
    <row r="1043" spans="1:5">
      <c r="A1043">
        <v>10296</v>
      </c>
      <c r="B1043" t="s">
        <v>173</v>
      </c>
      <c r="C1043">
        <v>417</v>
      </c>
      <c r="D1043">
        <v>30</v>
      </c>
      <c r="E1043" s="80">
        <v>35311</v>
      </c>
    </row>
    <row r="1044" spans="1:5">
      <c r="A1044">
        <v>10296</v>
      </c>
      <c r="B1044" t="s">
        <v>174</v>
      </c>
      <c r="C1044">
        <v>417</v>
      </c>
      <c r="D1044">
        <v>30</v>
      </c>
      <c r="E1044" s="80">
        <v>35311</v>
      </c>
    </row>
    <row r="1045" spans="1:5">
      <c r="A1045">
        <v>10296</v>
      </c>
      <c r="B1045" t="s">
        <v>175</v>
      </c>
      <c r="C1045">
        <v>417</v>
      </c>
      <c r="D1045">
        <v>30</v>
      </c>
      <c r="E1045" s="80">
        <v>35311</v>
      </c>
    </row>
    <row r="1046" spans="1:5">
      <c r="A1046">
        <v>10296</v>
      </c>
      <c r="B1046" t="s">
        <v>176</v>
      </c>
      <c r="C1046">
        <v>417</v>
      </c>
      <c r="D1046">
        <v>30</v>
      </c>
      <c r="E1046" s="80">
        <v>35311</v>
      </c>
    </row>
    <row r="1047" spans="1:5">
      <c r="A1047">
        <v>10296</v>
      </c>
      <c r="B1047" t="s">
        <v>177</v>
      </c>
      <c r="C1047">
        <v>417</v>
      </c>
      <c r="D1047">
        <v>30</v>
      </c>
      <c r="E1047" s="80">
        <v>35311</v>
      </c>
    </row>
    <row r="1048" spans="1:5">
      <c r="A1048">
        <v>10296</v>
      </c>
      <c r="B1048" t="s">
        <v>178</v>
      </c>
      <c r="C1048">
        <v>417</v>
      </c>
      <c r="D1048">
        <v>30</v>
      </c>
      <c r="E1048" s="80">
        <v>35311</v>
      </c>
    </row>
    <row r="1049" spans="1:5">
      <c r="A1049">
        <v>10296</v>
      </c>
      <c r="B1049" t="s">
        <v>179</v>
      </c>
      <c r="C1049">
        <v>417</v>
      </c>
      <c r="D1049">
        <v>30</v>
      </c>
      <c r="E1049" s="80">
        <v>35311</v>
      </c>
    </row>
    <row r="1050" spans="1:5">
      <c r="A1050">
        <v>10296</v>
      </c>
      <c r="B1050" t="s">
        <v>172</v>
      </c>
      <c r="C1050">
        <v>432</v>
      </c>
      <c r="D1050">
        <v>15</v>
      </c>
      <c r="E1050" s="80">
        <v>35311</v>
      </c>
    </row>
    <row r="1051" spans="1:5">
      <c r="A1051">
        <v>10296</v>
      </c>
      <c r="B1051" t="s">
        <v>173</v>
      </c>
      <c r="C1051">
        <v>432</v>
      </c>
      <c r="D1051">
        <v>15</v>
      </c>
      <c r="E1051" s="80">
        <v>35311</v>
      </c>
    </row>
    <row r="1052" spans="1:5">
      <c r="A1052">
        <v>10296</v>
      </c>
      <c r="B1052" t="s">
        <v>174</v>
      </c>
      <c r="C1052">
        <v>432</v>
      </c>
      <c r="D1052">
        <v>15</v>
      </c>
      <c r="E1052" s="80">
        <v>35311</v>
      </c>
    </row>
    <row r="1053" spans="1:5">
      <c r="A1053">
        <v>10296</v>
      </c>
      <c r="B1053" t="s">
        <v>175</v>
      </c>
      <c r="C1053">
        <v>432</v>
      </c>
      <c r="D1053">
        <v>15</v>
      </c>
      <c r="E1053" s="80">
        <v>35311</v>
      </c>
    </row>
    <row r="1054" spans="1:5">
      <c r="A1054">
        <v>10296</v>
      </c>
      <c r="B1054" t="s">
        <v>176</v>
      </c>
      <c r="C1054">
        <v>432</v>
      </c>
      <c r="D1054">
        <v>15</v>
      </c>
      <c r="E1054" s="80">
        <v>35311</v>
      </c>
    </row>
    <row r="1055" spans="1:5">
      <c r="A1055">
        <v>10296</v>
      </c>
      <c r="B1055" t="s">
        <v>177</v>
      </c>
      <c r="C1055">
        <v>432</v>
      </c>
      <c r="D1055">
        <v>15</v>
      </c>
      <c r="E1055" s="80">
        <v>35311</v>
      </c>
    </row>
    <row r="1056" spans="1:5">
      <c r="A1056">
        <v>10296</v>
      </c>
      <c r="B1056" t="s">
        <v>178</v>
      </c>
      <c r="C1056">
        <v>432</v>
      </c>
      <c r="D1056">
        <v>15</v>
      </c>
      <c r="E1056" s="80">
        <v>35311</v>
      </c>
    </row>
    <row r="1057" spans="1:5">
      <c r="A1057">
        <v>10296</v>
      </c>
      <c r="B1057" t="s">
        <v>179</v>
      </c>
      <c r="C1057">
        <v>432</v>
      </c>
      <c r="D1057">
        <v>15</v>
      </c>
      <c r="E1057" s="80">
        <v>35311</v>
      </c>
    </row>
    <row r="1058" spans="1:5">
      <c r="A1058">
        <v>10297</v>
      </c>
      <c r="B1058" t="s">
        <v>172</v>
      </c>
      <c r="C1058">
        <v>864</v>
      </c>
      <c r="D1058">
        <v>60</v>
      </c>
      <c r="E1058" s="80">
        <v>35312</v>
      </c>
    </row>
    <row r="1059" spans="1:5">
      <c r="A1059">
        <v>10297</v>
      </c>
      <c r="B1059" t="s">
        <v>173</v>
      </c>
      <c r="C1059">
        <v>864</v>
      </c>
      <c r="D1059">
        <v>60</v>
      </c>
      <c r="E1059" s="80">
        <v>35312</v>
      </c>
    </row>
    <row r="1060" spans="1:5">
      <c r="A1060">
        <v>10297</v>
      </c>
      <c r="B1060" t="s">
        <v>174</v>
      </c>
      <c r="C1060">
        <v>864</v>
      </c>
      <c r="D1060">
        <v>60</v>
      </c>
      <c r="E1060" s="80">
        <v>35312</v>
      </c>
    </row>
    <row r="1061" spans="1:5">
      <c r="A1061">
        <v>10297</v>
      </c>
      <c r="B1061" t="s">
        <v>175</v>
      </c>
      <c r="C1061">
        <v>864</v>
      </c>
      <c r="D1061">
        <v>60</v>
      </c>
      <c r="E1061" s="80">
        <v>35312</v>
      </c>
    </row>
    <row r="1062" spans="1:5">
      <c r="A1062">
        <v>10297</v>
      </c>
      <c r="B1062" t="s">
        <v>176</v>
      </c>
      <c r="C1062">
        <v>864</v>
      </c>
      <c r="D1062">
        <v>60</v>
      </c>
      <c r="E1062" s="80">
        <v>35312</v>
      </c>
    </row>
    <row r="1063" spans="1:5">
      <c r="A1063">
        <v>10297</v>
      </c>
      <c r="B1063" t="s">
        <v>177</v>
      </c>
      <c r="C1063">
        <v>864</v>
      </c>
      <c r="D1063">
        <v>60</v>
      </c>
      <c r="E1063" s="80">
        <v>35312</v>
      </c>
    </row>
    <row r="1064" spans="1:5">
      <c r="A1064">
        <v>10297</v>
      </c>
      <c r="B1064" t="s">
        <v>178</v>
      </c>
      <c r="C1064">
        <v>864</v>
      </c>
      <c r="D1064">
        <v>60</v>
      </c>
      <c r="E1064" s="80">
        <v>35312</v>
      </c>
    </row>
    <row r="1065" spans="1:5">
      <c r="A1065">
        <v>10297</v>
      </c>
      <c r="B1065" t="s">
        <v>179</v>
      </c>
      <c r="C1065">
        <v>864</v>
      </c>
      <c r="D1065">
        <v>60</v>
      </c>
      <c r="E1065" s="80">
        <v>35312</v>
      </c>
    </row>
    <row r="1066" spans="1:5">
      <c r="A1066">
        <v>10297</v>
      </c>
      <c r="B1066" t="s">
        <v>172</v>
      </c>
      <c r="C1066">
        <v>556</v>
      </c>
      <c r="D1066">
        <v>20</v>
      </c>
      <c r="E1066" s="80">
        <v>35312</v>
      </c>
    </row>
    <row r="1067" spans="1:5">
      <c r="A1067">
        <v>10297</v>
      </c>
      <c r="B1067" t="s">
        <v>173</v>
      </c>
      <c r="C1067">
        <v>556</v>
      </c>
      <c r="D1067">
        <v>20</v>
      </c>
      <c r="E1067" s="80">
        <v>35312</v>
      </c>
    </row>
    <row r="1068" spans="1:5">
      <c r="A1068">
        <v>10297</v>
      </c>
      <c r="B1068" t="s">
        <v>174</v>
      </c>
      <c r="C1068">
        <v>556</v>
      </c>
      <c r="D1068">
        <v>20</v>
      </c>
      <c r="E1068" s="80">
        <v>35312</v>
      </c>
    </row>
    <row r="1069" spans="1:5">
      <c r="A1069">
        <v>10297</v>
      </c>
      <c r="B1069" t="s">
        <v>175</v>
      </c>
      <c r="C1069">
        <v>556</v>
      </c>
      <c r="D1069">
        <v>20</v>
      </c>
      <c r="E1069" s="80">
        <v>35312</v>
      </c>
    </row>
    <row r="1070" spans="1:5">
      <c r="A1070">
        <v>10297</v>
      </c>
      <c r="B1070" t="s">
        <v>176</v>
      </c>
      <c r="C1070">
        <v>556</v>
      </c>
      <c r="D1070">
        <v>20</v>
      </c>
      <c r="E1070" s="80">
        <v>35312</v>
      </c>
    </row>
    <row r="1071" spans="1:5">
      <c r="A1071">
        <v>10297</v>
      </c>
      <c r="B1071" t="s">
        <v>177</v>
      </c>
      <c r="C1071">
        <v>556</v>
      </c>
      <c r="D1071">
        <v>20</v>
      </c>
      <c r="E1071" s="80">
        <v>35312</v>
      </c>
    </row>
    <row r="1072" spans="1:5">
      <c r="A1072">
        <v>10297</v>
      </c>
      <c r="B1072" t="s">
        <v>178</v>
      </c>
      <c r="C1072">
        <v>556</v>
      </c>
      <c r="D1072">
        <v>20</v>
      </c>
      <c r="E1072" s="80">
        <v>35312</v>
      </c>
    </row>
    <row r="1073" spans="1:5">
      <c r="A1073">
        <v>10297</v>
      </c>
      <c r="B1073" t="s">
        <v>179</v>
      </c>
      <c r="C1073">
        <v>556</v>
      </c>
      <c r="D1073">
        <v>20</v>
      </c>
      <c r="E1073" s="80">
        <v>35312</v>
      </c>
    </row>
    <row r="1074" spans="1:5">
      <c r="A1074">
        <v>10298</v>
      </c>
      <c r="B1074" t="s">
        <v>172</v>
      </c>
      <c r="C1074">
        <v>608</v>
      </c>
      <c r="D1074">
        <v>40</v>
      </c>
      <c r="E1074" s="80">
        <v>35313</v>
      </c>
    </row>
    <row r="1075" spans="1:5">
      <c r="A1075">
        <v>10298</v>
      </c>
      <c r="B1075" t="s">
        <v>173</v>
      </c>
      <c r="C1075">
        <v>608</v>
      </c>
      <c r="D1075">
        <v>40</v>
      </c>
      <c r="E1075" s="80">
        <v>35313</v>
      </c>
    </row>
    <row r="1076" spans="1:5">
      <c r="A1076">
        <v>10298</v>
      </c>
      <c r="B1076" t="s">
        <v>174</v>
      </c>
      <c r="C1076">
        <v>608</v>
      </c>
      <c r="D1076">
        <v>40</v>
      </c>
      <c r="E1076" s="80">
        <v>35313</v>
      </c>
    </row>
    <row r="1077" spans="1:5">
      <c r="A1077">
        <v>10298</v>
      </c>
      <c r="B1077" t="s">
        <v>175</v>
      </c>
      <c r="C1077">
        <v>608</v>
      </c>
      <c r="D1077">
        <v>40</v>
      </c>
      <c r="E1077" s="80">
        <v>35313</v>
      </c>
    </row>
    <row r="1078" spans="1:5">
      <c r="A1078">
        <v>10298</v>
      </c>
      <c r="B1078" t="s">
        <v>176</v>
      </c>
      <c r="C1078">
        <v>608</v>
      </c>
      <c r="D1078">
        <v>40</v>
      </c>
      <c r="E1078" s="80">
        <v>35313</v>
      </c>
    </row>
    <row r="1079" spans="1:5">
      <c r="A1079">
        <v>10298</v>
      </c>
      <c r="B1079" t="s">
        <v>177</v>
      </c>
      <c r="C1079">
        <v>608</v>
      </c>
      <c r="D1079">
        <v>40</v>
      </c>
      <c r="E1079" s="80">
        <v>35313</v>
      </c>
    </row>
    <row r="1080" spans="1:5">
      <c r="A1080">
        <v>10298</v>
      </c>
      <c r="B1080" t="s">
        <v>178</v>
      </c>
      <c r="C1080">
        <v>608</v>
      </c>
      <c r="D1080">
        <v>40</v>
      </c>
      <c r="E1080" s="80">
        <v>35313</v>
      </c>
    </row>
    <row r="1081" spans="1:5">
      <c r="A1081">
        <v>10298</v>
      </c>
      <c r="B1081" t="s">
        <v>179</v>
      </c>
      <c r="C1081">
        <v>608</v>
      </c>
      <c r="D1081">
        <v>40</v>
      </c>
      <c r="E1081" s="80">
        <v>35313</v>
      </c>
    </row>
    <row r="1082" spans="1:5">
      <c r="A1082">
        <v>10298</v>
      </c>
      <c r="B1082" t="s">
        <v>172</v>
      </c>
      <c r="C1082">
        <v>456</v>
      </c>
      <c r="D1082">
        <v>40</v>
      </c>
      <c r="E1082" s="80">
        <v>35313</v>
      </c>
    </row>
    <row r="1083" spans="1:5">
      <c r="A1083">
        <v>10298</v>
      </c>
      <c r="B1083" t="s">
        <v>173</v>
      </c>
      <c r="C1083">
        <v>456</v>
      </c>
      <c r="D1083">
        <v>40</v>
      </c>
      <c r="E1083" s="80">
        <v>35313</v>
      </c>
    </row>
    <row r="1084" spans="1:5">
      <c r="A1084">
        <v>10298</v>
      </c>
      <c r="B1084" t="s">
        <v>174</v>
      </c>
      <c r="C1084">
        <v>456</v>
      </c>
      <c r="D1084">
        <v>40</v>
      </c>
      <c r="E1084" s="80">
        <v>35313</v>
      </c>
    </row>
    <row r="1085" spans="1:5">
      <c r="A1085">
        <v>10298</v>
      </c>
      <c r="B1085" t="s">
        <v>175</v>
      </c>
      <c r="C1085">
        <v>456</v>
      </c>
      <c r="D1085">
        <v>40</v>
      </c>
      <c r="E1085" s="80">
        <v>35313</v>
      </c>
    </row>
    <row r="1086" spans="1:5">
      <c r="A1086">
        <v>10298</v>
      </c>
      <c r="B1086" t="s">
        <v>176</v>
      </c>
      <c r="C1086">
        <v>456</v>
      </c>
      <c r="D1086">
        <v>40</v>
      </c>
      <c r="E1086" s="80">
        <v>35313</v>
      </c>
    </row>
    <row r="1087" spans="1:5">
      <c r="A1087">
        <v>10298</v>
      </c>
      <c r="B1087" t="s">
        <v>177</v>
      </c>
      <c r="C1087">
        <v>456</v>
      </c>
      <c r="D1087">
        <v>40</v>
      </c>
      <c r="E1087" s="80">
        <v>35313</v>
      </c>
    </row>
    <row r="1088" spans="1:5">
      <c r="A1088">
        <v>10298</v>
      </c>
      <c r="B1088" t="s">
        <v>178</v>
      </c>
      <c r="C1088">
        <v>456</v>
      </c>
      <c r="D1088">
        <v>40</v>
      </c>
      <c r="E1088" s="80">
        <v>35313</v>
      </c>
    </row>
    <row r="1089" spans="1:5">
      <c r="A1089">
        <v>10298</v>
      </c>
      <c r="B1089" t="s">
        <v>179</v>
      </c>
      <c r="C1089">
        <v>456</v>
      </c>
      <c r="D1089">
        <v>40</v>
      </c>
      <c r="E1089" s="80">
        <v>35313</v>
      </c>
    </row>
    <row r="1090" spans="1:5">
      <c r="A1090">
        <v>10298</v>
      </c>
      <c r="B1090" t="s">
        <v>172</v>
      </c>
      <c r="C1090">
        <v>990</v>
      </c>
      <c r="D1090">
        <v>30</v>
      </c>
      <c r="E1090" s="80">
        <v>35313</v>
      </c>
    </row>
    <row r="1091" spans="1:5">
      <c r="A1091">
        <v>10298</v>
      </c>
      <c r="B1091" t="s">
        <v>173</v>
      </c>
      <c r="C1091">
        <v>990</v>
      </c>
      <c r="D1091">
        <v>30</v>
      </c>
      <c r="E1091" s="80">
        <v>35313</v>
      </c>
    </row>
    <row r="1092" spans="1:5">
      <c r="A1092">
        <v>10298</v>
      </c>
      <c r="B1092" t="s">
        <v>174</v>
      </c>
      <c r="C1092">
        <v>990</v>
      </c>
      <c r="D1092">
        <v>30</v>
      </c>
      <c r="E1092" s="80">
        <v>35313</v>
      </c>
    </row>
    <row r="1093" spans="1:5">
      <c r="A1093">
        <v>10298</v>
      </c>
      <c r="B1093" t="s">
        <v>175</v>
      </c>
      <c r="C1093">
        <v>990</v>
      </c>
      <c r="D1093">
        <v>30</v>
      </c>
      <c r="E1093" s="80">
        <v>35313</v>
      </c>
    </row>
    <row r="1094" spans="1:5">
      <c r="A1094">
        <v>10298</v>
      </c>
      <c r="B1094" t="s">
        <v>176</v>
      </c>
      <c r="C1094">
        <v>990</v>
      </c>
      <c r="D1094">
        <v>30</v>
      </c>
      <c r="E1094" s="80">
        <v>35313</v>
      </c>
    </row>
    <row r="1095" spans="1:5">
      <c r="A1095">
        <v>10298</v>
      </c>
      <c r="B1095" t="s">
        <v>177</v>
      </c>
      <c r="C1095">
        <v>990</v>
      </c>
      <c r="D1095">
        <v>30</v>
      </c>
      <c r="E1095" s="80">
        <v>35313</v>
      </c>
    </row>
    <row r="1096" spans="1:5">
      <c r="A1096">
        <v>10298</v>
      </c>
      <c r="B1096" t="s">
        <v>178</v>
      </c>
      <c r="C1096">
        <v>990</v>
      </c>
      <c r="D1096">
        <v>30</v>
      </c>
      <c r="E1096" s="80">
        <v>35313</v>
      </c>
    </row>
    <row r="1097" spans="1:5">
      <c r="A1097">
        <v>10298</v>
      </c>
      <c r="B1097" t="s">
        <v>179</v>
      </c>
      <c r="C1097">
        <v>990</v>
      </c>
      <c r="D1097">
        <v>30</v>
      </c>
      <c r="E1097" s="80">
        <v>35313</v>
      </c>
    </row>
    <row r="1098" spans="1:5">
      <c r="A1098">
        <v>10298</v>
      </c>
      <c r="B1098" t="s">
        <v>172</v>
      </c>
      <c r="C1098">
        <v>591</v>
      </c>
      <c r="D1098">
        <v>15</v>
      </c>
      <c r="E1098" s="80">
        <v>35313</v>
      </c>
    </row>
    <row r="1099" spans="1:5">
      <c r="A1099">
        <v>10298</v>
      </c>
      <c r="B1099" t="s">
        <v>173</v>
      </c>
      <c r="C1099">
        <v>591</v>
      </c>
      <c r="D1099">
        <v>15</v>
      </c>
      <c r="E1099" s="80">
        <v>35313</v>
      </c>
    </row>
    <row r="1100" spans="1:5">
      <c r="A1100">
        <v>10298</v>
      </c>
      <c r="B1100" t="s">
        <v>174</v>
      </c>
      <c r="C1100">
        <v>591</v>
      </c>
      <c r="D1100">
        <v>15</v>
      </c>
      <c r="E1100" s="80">
        <v>35313</v>
      </c>
    </row>
    <row r="1101" spans="1:5">
      <c r="A1101">
        <v>10298</v>
      </c>
      <c r="B1101" t="s">
        <v>175</v>
      </c>
      <c r="C1101">
        <v>591</v>
      </c>
      <c r="D1101">
        <v>15</v>
      </c>
      <c r="E1101" s="80">
        <v>35313</v>
      </c>
    </row>
    <row r="1102" spans="1:5">
      <c r="A1102">
        <v>10298</v>
      </c>
      <c r="B1102" t="s">
        <v>176</v>
      </c>
      <c r="C1102">
        <v>591</v>
      </c>
      <c r="D1102">
        <v>15</v>
      </c>
      <c r="E1102" s="80">
        <v>35313</v>
      </c>
    </row>
    <row r="1103" spans="1:5">
      <c r="A1103">
        <v>10298</v>
      </c>
      <c r="B1103" t="s">
        <v>177</v>
      </c>
      <c r="C1103">
        <v>591</v>
      </c>
      <c r="D1103">
        <v>15</v>
      </c>
      <c r="E1103" s="80">
        <v>35313</v>
      </c>
    </row>
    <row r="1104" spans="1:5">
      <c r="A1104">
        <v>10298</v>
      </c>
      <c r="B1104" t="s">
        <v>178</v>
      </c>
      <c r="C1104">
        <v>591</v>
      </c>
      <c r="D1104">
        <v>15</v>
      </c>
      <c r="E1104" s="80">
        <v>35313</v>
      </c>
    </row>
    <row r="1105" spans="1:5">
      <c r="A1105">
        <v>10298</v>
      </c>
      <c r="B1105" t="s">
        <v>179</v>
      </c>
      <c r="C1105">
        <v>591</v>
      </c>
      <c r="D1105">
        <v>15</v>
      </c>
      <c r="E1105" s="80">
        <v>35313</v>
      </c>
    </row>
    <row r="1106" spans="1:5">
      <c r="A1106">
        <v>10299</v>
      </c>
      <c r="B1106" t="s">
        <v>172</v>
      </c>
      <c r="C1106">
        <v>109.5</v>
      </c>
      <c r="D1106">
        <v>15</v>
      </c>
      <c r="E1106" s="80">
        <v>35314</v>
      </c>
    </row>
    <row r="1107" spans="1:5">
      <c r="A1107">
        <v>10299</v>
      </c>
      <c r="B1107" t="s">
        <v>173</v>
      </c>
      <c r="C1107">
        <v>109.5</v>
      </c>
      <c r="D1107">
        <v>15</v>
      </c>
      <c r="E1107" s="80">
        <v>35314</v>
      </c>
    </row>
    <row r="1108" spans="1:5">
      <c r="A1108">
        <v>10299</v>
      </c>
      <c r="B1108" t="s">
        <v>174</v>
      </c>
      <c r="C1108">
        <v>109.5</v>
      </c>
      <c r="D1108">
        <v>15</v>
      </c>
      <c r="E1108" s="80">
        <v>35314</v>
      </c>
    </row>
    <row r="1109" spans="1:5">
      <c r="A1109">
        <v>10299</v>
      </c>
      <c r="B1109" t="s">
        <v>175</v>
      </c>
      <c r="C1109">
        <v>109.5</v>
      </c>
      <c r="D1109">
        <v>15</v>
      </c>
      <c r="E1109" s="80">
        <v>35314</v>
      </c>
    </row>
    <row r="1110" spans="1:5">
      <c r="A1110">
        <v>10299</v>
      </c>
      <c r="B1110" t="s">
        <v>176</v>
      </c>
      <c r="C1110">
        <v>109.5</v>
      </c>
      <c r="D1110">
        <v>15</v>
      </c>
      <c r="E1110" s="80">
        <v>35314</v>
      </c>
    </row>
    <row r="1111" spans="1:5">
      <c r="A1111">
        <v>10299</v>
      </c>
      <c r="B1111" t="s">
        <v>177</v>
      </c>
      <c r="C1111">
        <v>109.5</v>
      </c>
      <c r="D1111">
        <v>15</v>
      </c>
      <c r="E1111" s="80">
        <v>35314</v>
      </c>
    </row>
    <row r="1112" spans="1:5">
      <c r="A1112">
        <v>10299</v>
      </c>
      <c r="B1112" t="s">
        <v>178</v>
      </c>
      <c r="C1112">
        <v>109.5</v>
      </c>
      <c r="D1112">
        <v>15</v>
      </c>
      <c r="E1112" s="80">
        <v>35314</v>
      </c>
    </row>
    <row r="1113" spans="1:5">
      <c r="A1113">
        <v>10299</v>
      </c>
      <c r="B1113" t="s">
        <v>179</v>
      </c>
      <c r="C1113">
        <v>109.5</v>
      </c>
      <c r="D1113">
        <v>15</v>
      </c>
      <c r="E1113" s="80">
        <v>35314</v>
      </c>
    </row>
    <row r="1114" spans="1:5">
      <c r="A1114">
        <v>10299</v>
      </c>
      <c r="B1114" t="s">
        <v>172</v>
      </c>
      <c r="C1114">
        <v>240</v>
      </c>
      <c r="D1114">
        <v>20</v>
      </c>
      <c r="E1114" s="80">
        <v>35314</v>
      </c>
    </row>
    <row r="1115" spans="1:5">
      <c r="A1115">
        <v>10299</v>
      </c>
      <c r="B1115" t="s">
        <v>173</v>
      </c>
      <c r="C1115">
        <v>240</v>
      </c>
      <c r="D1115">
        <v>20</v>
      </c>
      <c r="E1115" s="80">
        <v>35314</v>
      </c>
    </row>
    <row r="1116" spans="1:5">
      <c r="A1116">
        <v>10299</v>
      </c>
      <c r="B1116" t="s">
        <v>174</v>
      </c>
      <c r="C1116">
        <v>240</v>
      </c>
      <c r="D1116">
        <v>20</v>
      </c>
      <c r="E1116" s="80">
        <v>35314</v>
      </c>
    </row>
    <row r="1117" spans="1:5">
      <c r="A1117">
        <v>10299</v>
      </c>
      <c r="B1117" t="s">
        <v>175</v>
      </c>
      <c r="C1117">
        <v>240</v>
      </c>
      <c r="D1117">
        <v>20</v>
      </c>
      <c r="E1117" s="80">
        <v>35314</v>
      </c>
    </row>
    <row r="1118" spans="1:5">
      <c r="A1118">
        <v>10299</v>
      </c>
      <c r="B1118" t="s">
        <v>176</v>
      </c>
      <c r="C1118">
        <v>240</v>
      </c>
      <c r="D1118">
        <v>20</v>
      </c>
      <c r="E1118" s="80">
        <v>35314</v>
      </c>
    </row>
    <row r="1119" spans="1:5">
      <c r="A1119">
        <v>10299</v>
      </c>
      <c r="B1119" t="s">
        <v>177</v>
      </c>
      <c r="C1119">
        <v>240</v>
      </c>
      <c r="D1119">
        <v>20</v>
      </c>
      <c r="E1119" s="80">
        <v>35314</v>
      </c>
    </row>
    <row r="1120" spans="1:5">
      <c r="A1120">
        <v>10299</v>
      </c>
      <c r="B1120" t="s">
        <v>178</v>
      </c>
      <c r="C1120">
        <v>240</v>
      </c>
      <c r="D1120">
        <v>20</v>
      </c>
      <c r="E1120" s="80">
        <v>35314</v>
      </c>
    </row>
    <row r="1121" spans="1:5">
      <c r="A1121">
        <v>10299</v>
      </c>
      <c r="B1121" t="s">
        <v>179</v>
      </c>
      <c r="C1121">
        <v>240</v>
      </c>
      <c r="D1121">
        <v>20</v>
      </c>
      <c r="E1121" s="80">
        <v>35314</v>
      </c>
    </row>
    <row r="1122" spans="1:5">
      <c r="A1122">
        <v>10300</v>
      </c>
      <c r="B1122" t="s">
        <v>172</v>
      </c>
      <c r="C1122">
        <v>408</v>
      </c>
      <c r="D1122">
        <v>30</v>
      </c>
      <c r="E1122" s="80">
        <v>35317</v>
      </c>
    </row>
    <row r="1123" spans="1:5">
      <c r="A1123">
        <v>10300</v>
      </c>
      <c r="B1123" t="s">
        <v>173</v>
      </c>
      <c r="C1123">
        <v>408</v>
      </c>
      <c r="D1123">
        <v>30</v>
      </c>
      <c r="E1123" s="80">
        <v>35317</v>
      </c>
    </row>
    <row r="1124" spans="1:5">
      <c r="A1124">
        <v>10300</v>
      </c>
      <c r="B1124" t="s">
        <v>174</v>
      </c>
      <c r="C1124">
        <v>408</v>
      </c>
      <c r="D1124">
        <v>30</v>
      </c>
      <c r="E1124" s="80">
        <v>35317</v>
      </c>
    </row>
    <row r="1125" spans="1:5">
      <c r="A1125">
        <v>10300</v>
      </c>
      <c r="B1125" t="s">
        <v>175</v>
      </c>
      <c r="C1125">
        <v>408</v>
      </c>
      <c r="D1125">
        <v>30</v>
      </c>
      <c r="E1125" s="80">
        <v>35317</v>
      </c>
    </row>
    <row r="1126" spans="1:5">
      <c r="A1126">
        <v>10300</v>
      </c>
      <c r="B1126" t="s">
        <v>176</v>
      </c>
      <c r="C1126">
        <v>408</v>
      </c>
      <c r="D1126">
        <v>30</v>
      </c>
      <c r="E1126" s="80">
        <v>35317</v>
      </c>
    </row>
    <row r="1127" spans="1:5">
      <c r="A1127">
        <v>10300</v>
      </c>
      <c r="B1127" t="s">
        <v>177</v>
      </c>
      <c r="C1127">
        <v>408</v>
      </c>
      <c r="D1127">
        <v>30</v>
      </c>
      <c r="E1127" s="80">
        <v>35317</v>
      </c>
    </row>
    <row r="1128" spans="1:5">
      <c r="A1128">
        <v>10300</v>
      </c>
      <c r="B1128" t="s">
        <v>178</v>
      </c>
      <c r="C1128">
        <v>408</v>
      </c>
      <c r="D1128">
        <v>30</v>
      </c>
      <c r="E1128" s="80">
        <v>35317</v>
      </c>
    </row>
    <row r="1129" spans="1:5">
      <c r="A1129">
        <v>10300</v>
      </c>
      <c r="B1129" t="s">
        <v>179</v>
      </c>
      <c r="C1129">
        <v>408</v>
      </c>
      <c r="D1129">
        <v>30</v>
      </c>
      <c r="E1129" s="80">
        <v>35317</v>
      </c>
    </row>
    <row r="1130" spans="1:5">
      <c r="A1130">
        <v>10300</v>
      </c>
      <c r="B1130" t="s">
        <v>172</v>
      </c>
      <c r="C1130">
        <v>200</v>
      </c>
      <c r="D1130">
        <v>20</v>
      </c>
      <c r="E1130" s="80">
        <v>35317</v>
      </c>
    </row>
    <row r="1131" spans="1:5">
      <c r="A1131">
        <v>10300</v>
      </c>
      <c r="B1131" t="s">
        <v>173</v>
      </c>
      <c r="C1131">
        <v>200</v>
      </c>
      <c r="D1131">
        <v>20</v>
      </c>
      <c r="E1131" s="80">
        <v>35317</v>
      </c>
    </row>
    <row r="1132" spans="1:5">
      <c r="A1132">
        <v>10300</v>
      </c>
      <c r="B1132" t="s">
        <v>174</v>
      </c>
      <c r="C1132">
        <v>200</v>
      </c>
      <c r="D1132">
        <v>20</v>
      </c>
      <c r="E1132" s="80">
        <v>35317</v>
      </c>
    </row>
    <row r="1133" spans="1:5">
      <c r="A1133">
        <v>10300</v>
      </c>
      <c r="B1133" t="s">
        <v>175</v>
      </c>
      <c r="C1133">
        <v>200</v>
      </c>
      <c r="D1133">
        <v>20</v>
      </c>
      <c r="E1133" s="80">
        <v>35317</v>
      </c>
    </row>
    <row r="1134" spans="1:5">
      <c r="A1134">
        <v>10300</v>
      </c>
      <c r="B1134" t="s">
        <v>176</v>
      </c>
      <c r="C1134">
        <v>200</v>
      </c>
      <c r="D1134">
        <v>20</v>
      </c>
      <c r="E1134" s="80">
        <v>35317</v>
      </c>
    </row>
    <row r="1135" spans="1:5">
      <c r="A1135">
        <v>10300</v>
      </c>
      <c r="B1135" t="s">
        <v>177</v>
      </c>
      <c r="C1135">
        <v>200</v>
      </c>
      <c r="D1135">
        <v>20</v>
      </c>
      <c r="E1135" s="80">
        <v>35317</v>
      </c>
    </row>
    <row r="1136" spans="1:5">
      <c r="A1136">
        <v>10300</v>
      </c>
      <c r="B1136" t="s">
        <v>178</v>
      </c>
      <c r="C1136">
        <v>200</v>
      </c>
      <c r="D1136">
        <v>20</v>
      </c>
      <c r="E1136" s="80">
        <v>35317</v>
      </c>
    </row>
    <row r="1137" spans="1:5">
      <c r="A1137">
        <v>10300</v>
      </c>
      <c r="B1137" t="s">
        <v>179</v>
      </c>
      <c r="C1137">
        <v>200</v>
      </c>
      <c r="D1137">
        <v>20</v>
      </c>
      <c r="E1137" s="80">
        <v>35317</v>
      </c>
    </row>
    <row r="1138" spans="1:5">
      <c r="A1138">
        <v>10301</v>
      </c>
      <c r="B1138" t="s">
        <v>172</v>
      </c>
      <c r="C1138">
        <v>147</v>
      </c>
      <c r="D1138">
        <v>10</v>
      </c>
      <c r="E1138" s="80">
        <v>35317</v>
      </c>
    </row>
    <row r="1139" spans="1:5">
      <c r="A1139">
        <v>10301</v>
      </c>
      <c r="B1139" t="s">
        <v>173</v>
      </c>
      <c r="C1139">
        <v>147</v>
      </c>
      <c r="D1139">
        <v>10</v>
      </c>
      <c r="E1139" s="80">
        <v>35317</v>
      </c>
    </row>
    <row r="1140" spans="1:5">
      <c r="A1140">
        <v>10301</v>
      </c>
      <c r="B1140" t="s">
        <v>174</v>
      </c>
      <c r="C1140">
        <v>147</v>
      </c>
      <c r="D1140">
        <v>10</v>
      </c>
      <c r="E1140" s="80">
        <v>35317</v>
      </c>
    </row>
    <row r="1141" spans="1:5">
      <c r="A1141">
        <v>10301</v>
      </c>
      <c r="B1141" t="s">
        <v>175</v>
      </c>
      <c r="C1141">
        <v>147</v>
      </c>
      <c r="D1141">
        <v>10</v>
      </c>
      <c r="E1141" s="80">
        <v>35317</v>
      </c>
    </row>
    <row r="1142" spans="1:5">
      <c r="A1142">
        <v>10301</v>
      </c>
      <c r="B1142" t="s">
        <v>176</v>
      </c>
      <c r="C1142">
        <v>147</v>
      </c>
      <c r="D1142">
        <v>10</v>
      </c>
      <c r="E1142" s="80">
        <v>35317</v>
      </c>
    </row>
    <row r="1143" spans="1:5">
      <c r="A1143">
        <v>10301</v>
      </c>
      <c r="B1143" t="s">
        <v>177</v>
      </c>
      <c r="C1143">
        <v>147</v>
      </c>
      <c r="D1143">
        <v>10</v>
      </c>
      <c r="E1143" s="80">
        <v>35317</v>
      </c>
    </row>
    <row r="1144" spans="1:5">
      <c r="A1144">
        <v>10301</v>
      </c>
      <c r="B1144" t="s">
        <v>178</v>
      </c>
      <c r="C1144">
        <v>147</v>
      </c>
      <c r="D1144">
        <v>10</v>
      </c>
      <c r="E1144" s="80">
        <v>35317</v>
      </c>
    </row>
    <row r="1145" spans="1:5">
      <c r="A1145">
        <v>10301</v>
      </c>
      <c r="B1145" t="s">
        <v>179</v>
      </c>
      <c r="C1145">
        <v>147</v>
      </c>
      <c r="D1145">
        <v>10</v>
      </c>
      <c r="E1145" s="80">
        <v>35317</v>
      </c>
    </row>
    <row r="1146" spans="1:5">
      <c r="A1146">
        <v>10301</v>
      </c>
      <c r="B1146" t="s">
        <v>172</v>
      </c>
      <c r="C1146">
        <v>608</v>
      </c>
      <c r="D1146">
        <v>20</v>
      </c>
      <c r="E1146" s="80">
        <v>35317</v>
      </c>
    </row>
    <row r="1147" spans="1:5">
      <c r="A1147">
        <v>10301</v>
      </c>
      <c r="B1147" t="s">
        <v>173</v>
      </c>
      <c r="C1147">
        <v>608</v>
      </c>
      <c r="D1147">
        <v>20</v>
      </c>
      <c r="E1147" s="80">
        <v>35317</v>
      </c>
    </row>
    <row r="1148" spans="1:5">
      <c r="A1148">
        <v>10301</v>
      </c>
      <c r="B1148" t="s">
        <v>174</v>
      </c>
      <c r="C1148">
        <v>608</v>
      </c>
      <c r="D1148">
        <v>20</v>
      </c>
      <c r="E1148" s="80">
        <v>35317</v>
      </c>
    </row>
    <row r="1149" spans="1:5">
      <c r="A1149">
        <v>10301</v>
      </c>
      <c r="B1149" t="s">
        <v>175</v>
      </c>
      <c r="C1149">
        <v>608</v>
      </c>
      <c r="D1149">
        <v>20</v>
      </c>
      <c r="E1149" s="80">
        <v>35317</v>
      </c>
    </row>
    <row r="1150" spans="1:5">
      <c r="A1150">
        <v>10301</v>
      </c>
      <c r="B1150" t="s">
        <v>176</v>
      </c>
      <c r="C1150">
        <v>608</v>
      </c>
      <c r="D1150">
        <v>20</v>
      </c>
      <c r="E1150" s="80">
        <v>35317</v>
      </c>
    </row>
    <row r="1151" spans="1:5">
      <c r="A1151">
        <v>10301</v>
      </c>
      <c r="B1151" t="s">
        <v>177</v>
      </c>
      <c r="C1151">
        <v>608</v>
      </c>
      <c r="D1151">
        <v>20</v>
      </c>
      <c r="E1151" s="80">
        <v>35317</v>
      </c>
    </row>
    <row r="1152" spans="1:5">
      <c r="A1152">
        <v>10301</v>
      </c>
      <c r="B1152" t="s">
        <v>178</v>
      </c>
      <c r="C1152">
        <v>608</v>
      </c>
      <c r="D1152">
        <v>20</v>
      </c>
      <c r="E1152" s="80">
        <v>35317</v>
      </c>
    </row>
    <row r="1153" spans="1:5">
      <c r="A1153">
        <v>10301</v>
      </c>
      <c r="B1153" t="s">
        <v>179</v>
      </c>
      <c r="C1153">
        <v>608</v>
      </c>
      <c r="D1153">
        <v>20</v>
      </c>
      <c r="E1153" s="80">
        <v>35317</v>
      </c>
    </row>
    <row r="1154" spans="1:5">
      <c r="A1154">
        <v>10302</v>
      </c>
      <c r="B1154" t="s">
        <v>172</v>
      </c>
      <c r="C1154">
        <v>1248</v>
      </c>
      <c r="D1154">
        <v>40</v>
      </c>
      <c r="E1154" s="80">
        <v>35318</v>
      </c>
    </row>
    <row r="1155" spans="1:5">
      <c r="A1155">
        <v>10302</v>
      </c>
      <c r="B1155" t="s">
        <v>173</v>
      </c>
      <c r="C1155">
        <v>1248</v>
      </c>
      <c r="D1155">
        <v>40</v>
      </c>
      <c r="E1155" s="80">
        <v>35318</v>
      </c>
    </row>
    <row r="1156" spans="1:5">
      <c r="A1156">
        <v>10302</v>
      </c>
      <c r="B1156" t="s">
        <v>174</v>
      </c>
      <c r="C1156">
        <v>1248</v>
      </c>
      <c r="D1156">
        <v>40</v>
      </c>
      <c r="E1156" s="80">
        <v>35318</v>
      </c>
    </row>
    <row r="1157" spans="1:5">
      <c r="A1157">
        <v>10302</v>
      </c>
      <c r="B1157" t="s">
        <v>175</v>
      </c>
      <c r="C1157">
        <v>1248</v>
      </c>
      <c r="D1157">
        <v>40</v>
      </c>
      <c r="E1157" s="80">
        <v>35318</v>
      </c>
    </row>
    <row r="1158" spans="1:5">
      <c r="A1158">
        <v>10302</v>
      </c>
      <c r="B1158" t="s">
        <v>176</v>
      </c>
      <c r="C1158">
        <v>1248</v>
      </c>
      <c r="D1158">
        <v>40</v>
      </c>
      <c r="E1158" s="80">
        <v>35318</v>
      </c>
    </row>
    <row r="1159" spans="1:5">
      <c r="A1159">
        <v>10302</v>
      </c>
      <c r="B1159" t="s">
        <v>177</v>
      </c>
      <c r="C1159">
        <v>1248</v>
      </c>
      <c r="D1159">
        <v>40</v>
      </c>
      <c r="E1159" s="80">
        <v>35318</v>
      </c>
    </row>
    <row r="1160" spans="1:5">
      <c r="A1160">
        <v>10302</v>
      </c>
      <c r="B1160" t="s">
        <v>178</v>
      </c>
      <c r="C1160">
        <v>1248</v>
      </c>
      <c r="D1160">
        <v>40</v>
      </c>
      <c r="E1160" s="80">
        <v>35318</v>
      </c>
    </row>
    <row r="1161" spans="1:5">
      <c r="A1161">
        <v>10302</v>
      </c>
      <c r="B1161" t="s">
        <v>179</v>
      </c>
      <c r="C1161">
        <v>1248</v>
      </c>
      <c r="D1161">
        <v>40</v>
      </c>
      <c r="E1161" s="80">
        <v>35318</v>
      </c>
    </row>
    <row r="1162" spans="1:5">
      <c r="A1162">
        <v>10302</v>
      </c>
      <c r="B1162" t="s">
        <v>172</v>
      </c>
      <c r="C1162">
        <v>1019.2</v>
      </c>
      <c r="D1162">
        <v>28</v>
      </c>
      <c r="E1162" s="80">
        <v>35318</v>
      </c>
    </row>
    <row r="1163" spans="1:5">
      <c r="A1163">
        <v>10302</v>
      </c>
      <c r="B1163" t="s">
        <v>173</v>
      </c>
      <c r="C1163">
        <v>1019.2</v>
      </c>
      <c r="D1163">
        <v>28</v>
      </c>
      <c r="E1163" s="80">
        <v>35318</v>
      </c>
    </row>
    <row r="1164" spans="1:5">
      <c r="A1164">
        <v>10302</v>
      </c>
      <c r="B1164" t="s">
        <v>174</v>
      </c>
      <c r="C1164">
        <v>1019.2</v>
      </c>
      <c r="D1164">
        <v>28</v>
      </c>
      <c r="E1164" s="80">
        <v>35318</v>
      </c>
    </row>
    <row r="1165" spans="1:5">
      <c r="A1165">
        <v>10302</v>
      </c>
      <c r="B1165" t="s">
        <v>175</v>
      </c>
      <c r="C1165">
        <v>1019.2</v>
      </c>
      <c r="D1165">
        <v>28</v>
      </c>
      <c r="E1165" s="80">
        <v>35318</v>
      </c>
    </row>
    <row r="1166" spans="1:5">
      <c r="A1166">
        <v>10302</v>
      </c>
      <c r="B1166" t="s">
        <v>176</v>
      </c>
      <c r="C1166">
        <v>1019.2</v>
      </c>
      <c r="D1166">
        <v>28</v>
      </c>
      <c r="E1166" s="80">
        <v>35318</v>
      </c>
    </row>
    <row r="1167" spans="1:5">
      <c r="A1167">
        <v>10302</v>
      </c>
      <c r="B1167" t="s">
        <v>177</v>
      </c>
      <c r="C1167">
        <v>1019.2</v>
      </c>
      <c r="D1167">
        <v>28</v>
      </c>
      <c r="E1167" s="80">
        <v>35318</v>
      </c>
    </row>
    <row r="1168" spans="1:5">
      <c r="A1168">
        <v>10302</v>
      </c>
      <c r="B1168" t="s">
        <v>178</v>
      </c>
      <c r="C1168">
        <v>1019.2</v>
      </c>
      <c r="D1168">
        <v>28</v>
      </c>
      <c r="E1168" s="80">
        <v>35318</v>
      </c>
    </row>
    <row r="1169" spans="1:5">
      <c r="A1169">
        <v>10302</v>
      </c>
      <c r="B1169" t="s">
        <v>179</v>
      </c>
      <c r="C1169">
        <v>1019.2</v>
      </c>
      <c r="D1169">
        <v>28</v>
      </c>
      <c r="E1169" s="80">
        <v>35318</v>
      </c>
    </row>
    <row r="1170" spans="1:5">
      <c r="A1170">
        <v>10302</v>
      </c>
      <c r="B1170" t="s">
        <v>172</v>
      </c>
      <c r="C1170">
        <v>441.6</v>
      </c>
      <c r="D1170">
        <v>12</v>
      </c>
      <c r="E1170" s="80">
        <v>35318</v>
      </c>
    </row>
    <row r="1171" spans="1:5">
      <c r="A1171">
        <v>10302</v>
      </c>
      <c r="B1171" t="s">
        <v>173</v>
      </c>
      <c r="C1171">
        <v>441.6</v>
      </c>
      <c r="D1171">
        <v>12</v>
      </c>
      <c r="E1171" s="80">
        <v>35318</v>
      </c>
    </row>
    <row r="1172" spans="1:5">
      <c r="A1172">
        <v>10302</v>
      </c>
      <c r="B1172" t="s">
        <v>174</v>
      </c>
      <c r="C1172">
        <v>441.6</v>
      </c>
      <c r="D1172">
        <v>12</v>
      </c>
      <c r="E1172" s="80">
        <v>35318</v>
      </c>
    </row>
    <row r="1173" spans="1:5">
      <c r="A1173">
        <v>10302</v>
      </c>
      <c r="B1173" t="s">
        <v>175</v>
      </c>
      <c r="C1173">
        <v>441.6</v>
      </c>
      <c r="D1173">
        <v>12</v>
      </c>
      <c r="E1173" s="80">
        <v>35318</v>
      </c>
    </row>
    <row r="1174" spans="1:5">
      <c r="A1174">
        <v>10302</v>
      </c>
      <c r="B1174" t="s">
        <v>176</v>
      </c>
      <c r="C1174">
        <v>441.6</v>
      </c>
      <c r="D1174">
        <v>12</v>
      </c>
      <c r="E1174" s="80">
        <v>35318</v>
      </c>
    </row>
    <row r="1175" spans="1:5">
      <c r="A1175">
        <v>10302</v>
      </c>
      <c r="B1175" t="s">
        <v>177</v>
      </c>
      <c r="C1175">
        <v>441.6</v>
      </c>
      <c r="D1175">
        <v>12</v>
      </c>
      <c r="E1175" s="80">
        <v>35318</v>
      </c>
    </row>
    <row r="1176" spans="1:5">
      <c r="A1176">
        <v>10302</v>
      </c>
      <c r="B1176" t="s">
        <v>178</v>
      </c>
      <c r="C1176">
        <v>441.6</v>
      </c>
      <c r="D1176">
        <v>12</v>
      </c>
      <c r="E1176" s="80">
        <v>35318</v>
      </c>
    </row>
    <row r="1177" spans="1:5">
      <c r="A1177">
        <v>10302</v>
      </c>
      <c r="B1177" t="s">
        <v>179</v>
      </c>
      <c r="C1177">
        <v>441.6</v>
      </c>
      <c r="D1177">
        <v>12</v>
      </c>
      <c r="E1177" s="80">
        <v>35318</v>
      </c>
    </row>
    <row r="1178" spans="1:5">
      <c r="A1178">
        <v>10303</v>
      </c>
      <c r="B1178" t="s">
        <v>172</v>
      </c>
      <c r="C1178">
        <v>529.19999912381172</v>
      </c>
      <c r="D1178">
        <v>40</v>
      </c>
      <c r="E1178" s="80">
        <v>35319</v>
      </c>
    </row>
    <row r="1179" spans="1:5">
      <c r="A1179">
        <v>10303</v>
      </c>
      <c r="B1179" t="s">
        <v>173</v>
      </c>
      <c r="C1179">
        <v>529.19999912381172</v>
      </c>
      <c r="D1179">
        <v>40</v>
      </c>
      <c r="E1179" s="80">
        <v>35319</v>
      </c>
    </row>
    <row r="1180" spans="1:5">
      <c r="A1180">
        <v>10303</v>
      </c>
      <c r="B1180" t="s">
        <v>174</v>
      </c>
      <c r="C1180">
        <v>529.19999912381172</v>
      </c>
      <c r="D1180">
        <v>40</v>
      </c>
      <c r="E1180" s="80">
        <v>35319</v>
      </c>
    </row>
    <row r="1181" spans="1:5">
      <c r="A1181">
        <v>10303</v>
      </c>
      <c r="B1181" t="s">
        <v>175</v>
      </c>
      <c r="C1181">
        <v>529.19999912381172</v>
      </c>
      <c r="D1181">
        <v>40</v>
      </c>
      <c r="E1181" s="80">
        <v>35319</v>
      </c>
    </row>
    <row r="1182" spans="1:5">
      <c r="A1182">
        <v>10303</v>
      </c>
      <c r="B1182" t="s">
        <v>176</v>
      </c>
      <c r="C1182">
        <v>529.19999912381172</v>
      </c>
      <c r="D1182">
        <v>40</v>
      </c>
      <c r="E1182" s="80">
        <v>35319</v>
      </c>
    </row>
    <row r="1183" spans="1:5">
      <c r="A1183">
        <v>10303</v>
      </c>
      <c r="B1183" t="s">
        <v>177</v>
      </c>
      <c r="C1183">
        <v>529.19999912381172</v>
      </c>
      <c r="D1183">
        <v>40</v>
      </c>
      <c r="E1183" s="80">
        <v>35319</v>
      </c>
    </row>
    <row r="1184" spans="1:5">
      <c r="A1184">
        <v>10303</v>
      </c>
      <c r="B1184" t="s">
        <v>178</v>
      </c>
      <c r="C1184">
        <v>529.19999912381172</v>
      </c>
      <c r="D1184">
        <v>40</v>
      </c>
      <c r="E1184" s="80">
        <v>35319</v>
      </c>
    </row>
    <row r="1185" spans="1:5">
      <c r="A1185">
        <v>10303</v>
      </c>
      <c r="B1185" t="s">
        <v>179</v>
      </c>
      <c r="C1185">
        <v>529.19999912381172</v>
      </c>
      <c r="D1185">
        <v>40</v>
      </c>
      <c r="E1185" s="80">
        <v>35319</v>
      </c>
    </row>
    <row r="1186" spans="1:5">
      <c r="A1186">
        <v>10303</v>
      </c>
      <c r="B1186" t="s">
        <v>172</v>
      </c>
      <c r="C1186">
        <v>453.59999924898148</v>
      </c>
      <c r="D1186">
        <v>30</v>
      </c>
      <c r="E1186" s="80">
        <v>35319</v>
      </c>
    </row>
    <row r="1187" spans="1:5">
      <c r="A1187">
        <v>10303</v>
      </c>
      <c r="B1187" t="s">
        <v>173</v>
      </c>
      <c r="C1187">
        <v>453.59999924898148</v>
      </c>
      <c r="D1187">
        <v>30</v>
      </c>
      <c r="E1187" s="80">
        <v>35319</v>
      </c>
    </row>
    <row r="1188" spans="1:5">
      <c r="A1188">
        <v>10303</v>
      </c>
      <c r="B1188" t="s">
        <v>174</v>
      </c>
      <c r="C1188">
        <v>453.59999924898148</v>
      </c>
      <c r="D1188">
        <v>30</v>
      </c>
      <c r="E1188" s="80">
        <v>35319</v>
      </c>
    </row>
    <row r="1189" spans="1:5">
      <c r="A1189">
        <v>10303</v>
      </c>
      <c r="B1189" t="s">
        <v>175</v>
      </c>
      <c r="C1189">
        <v>453.59999924898148</v>
      </c>
      <c r="D1189">
        <v>30</v>
      </c>
      <c r="E1189" s="80">
        <v>35319</v>
      </c>
    </row>
    <row r="1190" spans="1:5">
      <c r="A1190">
        <v>10303</v>
      </c>
      <c r="B1190" t="s">
        <v>176</v>
      </c>
      <c r="C1190">
        <v>453.59999924898148</v>
      </c>
      <c r="D1190">
        <v>30</v>
      </c>
      <c r="E1190" s="80">
        <v>35319</v>
      </c>
    </row>
    <row r="1191" spans="1:5">
      <c r="A1191">
        <v>10303</v>
      </c>
      <c r="B1191" t="s">
        <v>177</v>
      </c>
      <c r="C1191">
        <v>453.59999924898148</v>
      </c>
      <c r="D1191">
        <v>30</v>
      </c>
      <c r="E1191" s="80">
        <v>35319</v>
      </c>
    </row>
    <row r="1192" spans="1:5">
      <c r="A1192">
        <v>10303</v>
      </c>
      <c r="B1192" t="s">
        <v>178</v>
      </c>
      <c r="C1192">
        <v>453.59999924898148</v>
      </c>
      <c r="D1192">
        <v>30</v>
      </c>
      <c r="E1192" s="80">
        <v>35319</v>
      </c>
    </row>
    <row r="1193" spans="1:5">
      <c r="A1193">
        <v>10303</v>
      </c>
      <c r="B1193" t="s">
        <v>179</v>
      </c>
      <c r="C1193">
        <v>453.59999924898148</v>
      </c>
      <c r="D1193">
        <v>30</v>
      </c>
      <c r="E1193" s="80">
        <v>35319</v>
      </c>
    </row>
    <row r="1194" spans="1:5">
      <c r="A1194">
        <v>10303</v>
      </c>
      <c r="B1194" t="s">
        <v>172</v>
      </c>
      <c r="C1194">
        <v>134.99999977648258</v>
      </c>
      <c r="D1194">
        <v>15</v>
      </c>
      <c r="E1194" s="80">
        <v>35319</v>
      </c>
    </row>
    <row r="1195" spans="1:5">
      <c r="A1195">
        <v>10303</v>
      </c>
      <c r="B1195" t="s">
        <v>173</v>
      </c>
      <c r="C1195">
        <v>134.99999977648258</v>
      </c>
      <c r="D1195">
        <v>15</v>
      </c>
      <c r="E1195" s="80">
        <v>35319</v>
      </c>
    </row>
    <row r="1196" spans="1:5">
      <c r="A1196">
        <v>10303</v>
      </c>
      <c r="B1196" t="s">
        <v>174</v>
      </c>
      <c r="C1196">
        <v>134.99999977648258</v>
      </c>
      <c r="D1196">
        <v>15</v>
      </c>
      <c r="E1196" s="80">
        <v>35319</v>
      </c>
    </row>
    <row r="1197" spans="1:5">
      <c r="A1197">
        <v>10303</v>
      </c>
      <c r="B1197" t="s">
        <v>175</v>
      </c>
      <c r="C1197">
        <v>134.99999977648258</v>
      </c>
      <c r="D1197">
        <v>15</v>
      </c>
      <c r="E1197" s="80">
        <v>35319</v>
      </c>
    </row>
    <row r="1198" spans="1:5">
      <c r="A1198">
        <v>10303</v>
      </c>
      <c r="B1198" t="s">
        <v>176</v>
      </c>
      <c r="C1198">
        <v>134.99999977648258</v>
      </c>
      <c r="D1198">
        <v>15</v>
      </c>
      <c r="E1198" s="80">
        <v>35319</v>
      </c>
    </row>
    <row r="1199" spans="1:5">
      <c r="A1199">
        <v>10303</v>
      </c>
      <c r="B1199" t="s">
        <v>177</v>
      </c>
      <c r="C1199">
        <v>134.99999977648258</v>
      </c>
      <c r="D1199">
        <v>15</v>
      </c>
      <c r="E1199" s="80">
        <v>35319</v>
      </c>
    </row>
    <row r="1200" spans="1:5">
      <c r="A1200">
        <v>10303</v>
      </c>
      <c r="B1200" t="s">
        <v>178</v>
      </c>
      <c r="C1200">
        <v>134.99999977648258</v>
      </c>
      <c r="D1200">
        <v>15</v>
      </c>
      <c r="E1200" s="80">
        <v>35319</v>
      </c>
    </row>
    <row r="1201" spans="1:5">
      <c r="A1201">
        <v>10303</v>
      </c>
      <c r="B1201" t="s">
        <v>179</v>
      </c>
      <c r="C1201">
        <v>134.99999977648258</v>
      </c>
      <c r="D1201">
        <v>15</v>
      </c>
      <c r="E1201" s="80">
        <v>35319</v>
      </c>
    </row>
    <row r="1202" spans="1:5">
      <c r="A1202">
        <v>10304</v>
      </c>
      <c r="B1202" t="s">
        <v>172</v>
      </c>
      <c r="C1202">
        <v>480</v>
      </c>
      <c r="D1202">
        <v>30</v>
      </c>
      <c r="E1202" s="80">
        <v>35320</v>
      </c>
    </row>
    <row r="1203" spans="1:5">
      <c r="A1203">
        <v>10304</v>
      </c>
      <c r="B1203" t="s">
        <v>173</v>
      </c>
      <c r="C1203">
        <v>480</v>
      </c>
      <c r="D1203">
        <v>30</v>
      </c>
      <c r="E1203" s="80">
        <v>35320</v>
      </c>
    </row>
    <row r="1204" spans="1:5">
      <c r="A1204">
        <v>10304</v>
      </c>
      <c r="B1204" t="s">
        <v>174</v>
      </c>
      <c r="C1204">
        <v>480</v>
      </c>
      <c r="D1204">
        <v>30</v>
      </c>
      <c r="E1204" s="80">
        <v>35320</v>
      </c>
    </row>
    <row r="1205" spans="1:5">
      <c r="A1205">
        <v>10304</v>
      </c>
      <c r="B1205" t="s">
        <v>175</v>
      </c>
      <c r="C1205">
        <v>480</v>
      </c>
      <c r="D1205">
        <v>30</v>
      </c>
      <c r="E1205" s="80">
        <v>35320</v>
      </c>
    </row>
    <row r="1206" spans="1:5">
      <c r="A1206">
        <v>10304</v>
      </c>
      <c r="B1206" t="s">
        <v>176</v>
      </c>
      <c r="C1206">
        <v>480</v>
      </c>
      <c r="D1206">
        <v>30</v>
      </c>
      <c r="E1206" s="80">
        <v>35320</v>
      </c>
    </row>
    <row r="1207" spans="1:5">
      <c r="A1207">
        <v>10304</v>
      </c>
      <c r="B1207" t="s">
        <v>177</v>
      </c>
      <c r="C1207">
        <v>480</v>
      </c>
      <c r="D1207">
        <v>30</v>
      </c>
      <c r="E1207" s="80">
        <v>35320</v>
      </c>
    </row>
    <row r="1208" spans="1:5">
      <c r="A1208">
        <v>10304</v>
      </c>
      <c r="B1208" t="s">
        <v>178</v>
      </c>
      <c r="C1208">
        <v>480</v>
      </c>
      <c r="D1208">
        <v>30</v>
      </c>
      <c r="E1208" s="80">
        <v>35320</v>
      </c>
    </row>
    <row r="1209" spans="1:5">
      <c r="A1209">
        <v>10304</v>
      </c>
      <c r="B1209" t="s">
        <v>179</v>
      </c>
      <c r="C1209">
        <v>480</v>
      </c>
      <c r="D1209">
        <v>30</v>
      </c>
      <c r="E1209" s="80">
        <v>35320</v>
      </c>
    </row>
    <row r="1210" spans="1:5">
      <c r="A1210">
        <v>10304</v>
      </c>
      <c r="B1210" t="s">
        <v>172</v>
      </c>
      <c r="C1210">
        <v>440</v>
      </c>
      <c r="D1210">
        <v>10</v>
      </c>
      <c r="E1210" s="80">
        <v>35320</v>
      </c>
    </row>
    <row r="1211" spans="1:5">
      <c r="A1211">
        <v>10304</v>
      </c>
      <c r="B1211" t="s">
        <v>173</v>
      </c>
      <c r="C1211">
        <v>440</v>
      </c>
      <c r="D1211">
        <v>10</v>
      </c>
      <c r="E1211" s="80">
        <v>35320</v>
      </c>
    </row>
    <row r="1212" spans="1:5">
      <c r="A1212">
        <v>10304</v>
      </c>
      <c r="B1212" t="s">
        <v>174</v>
      </c>
      <c r="C1212">
        <v>440</v>
      </c>
      <c r="D1212">
        <v>10</v>
      </c>
      <c r="E1212" s="80">
        <v>35320</v>
      </c>
    </row>
    <row r="1213" spans="1:5">
      <c r="A1213">
        <v>10304</v>
      </c>
      <c r="B1213" t="s">
        <v>175</v>
      </c>
      <c r="C1213">
        <v>440</v>
      </c>
      <c r="D1213">
        <v>10</v>
      </c>
      <c r="E1213" s="80">
        <v>35320</v>
      </c>
    </row>
    <row r="1214" spans="1:5">
      <c r="A1214">
        <v>10304</v>
      </c>
      <c r="B1214" t="s">
        <v>176</v>
      </c>
      <c r="C1214">
        <v>440</v>
      </c>
      <c r="D1214">
        <v>10</v>
      </c>
      <c r="E1214" s="80">
        <v>35320</v>
      </c>
    </row>
    <row r="1215" spans="1:5">
      <c r="A1215">
        <v>10304</v>
      </c>
      <c r="B1215" t="s">
        <v>177</v>
      </c>
      <c r="C1215">
        <v>440</v>
      </c>
      <c r="D1215">
        <v>10</v>
      </c>
      <c r="E1215" s="80">
        <v>35320</v>
      </c>
    </row>
    <row r="1216" spans="1:5">
      <c r="A1216">
        <v>10304</v>
      </c>
      <c r="B1216" t="s">
        <v>178</v>
      </c>
      <c r="C1216">
        <v>440</v>
      </c>
      <c r="D1216">
        <v>10</v>
      </c>
      <c r="E1216" s="80">
        <v>35320</v>
      </c>
    </row>
    <row r="1217" spans="1:5">
      <c r="A1217">
        <v>10304</v>
      </c>
      <c r="B1217" t="s">
        <v>179</v>
      </c>
      <c r="C1217">
        <v>440</v>
      </c>
      <c r="D1217">
        <v>10</v>
      </c>
      <c r="E1217" s="80">
        <v>35320</v>
      </c>
    </row>
    <row r="1218" spans="1:5">
      <c r="A1218">
        <v>10304</v>
      </c>
      <c r="B1218" t="s">
        <v>172</v>
      </c>
      <c r="C1218">
        <v>34.4</v>
      </c>
      <c r="D1218">
        <v>2</v>
      </c>
      <c r="E1218" s="80">
        <v>35320</v>
      </c>
    </row>
    <row r="1219" spans="1:5">
      <c r="A1219">
        <v>10304</v>
      </c>
      <c r="B1219" t="s">
        <v>173</v>
      </c>
      <c r="C1219">
        <v>34.4</v>
      </c>
      <c r="D1219">
        <v>2</v>
      </c>
      <c r="E1219" s="80">
        <v>35320</v>
      </c>
    </row>
    <row r="1220" spans="1:5">
      <c r="A1220">
        <v>10304</v>
      </c>
      <c r="B1220" t="s">
        <v>174</v>
      </c>
      <c r="C1220">
        <v>34.4</v>
      </c>
      <c r="D1220">
        <v>2</v>
      </c>
      <c r="E1220" s="80">
        <v>35320</v>
      </c>
    </row>
    <row r="1221" spans="1:5">
      <c r="A1221">
        <v>10304</v>
      </c>
      <c r="B1221" t="s">
        <v>175</v>
      </c>
      <c r="C1221">
        <v>34.4</v>
      </c>
      <c r="D1221">
        <v>2</v>
      </c>
      <c r="E1221" s="80">
        <v>35320</v>
      </c>
    </row>
    <row r="1222" spans="1:5">
      <c r="A1222">
        <v>10304</v>
      </c>
      <c r="B1222" t="s">
        <v>176</v>
      </c>
      <c r="C1222">
        <v>34.4</v>
      </c>
      <c r="D1222">
        <v>2</v>
      </c>
      <c r="E1222" s="80">
        <v>35320</v>
      </c>
    </row>
    <row r="1223" spans="1:5">
      <c r="A1223">
        <v>10304</v>
      </c>
      <c r="B1223" t="s">
        <v>177</v>
      </c>
      <c r="C1223">
        <v>34.4</v>
      </c>
      <c r="D1223">
        <v>2</v>
      </c>
      <c r="E1223" s="80">
        <v>35320</v>
      </c>
    </row>
    <row r="1224" spans="1:5">
      <c r="A1224">
        <v>10304</v>
      </c>
      <c r="B1224" t="s">
        <v>178</v>
      </c>
      <c r="C1224">
        <v>34.4</v>
      </c>
      <c r="D1224">
        <v>2</v>
      </c>
      <c r="E1224" s="80">
        <v>35320</v>
      </c>
    </row>
    <row r="1225" spans="1:5">
      <c r="A1225">
        <v>10304</v>
      </c>
      <c r="B1225" t="s">
        <v>179</v>
      </c>
      <c r="C1225">
        <v>34.4</v>
      </c>
      <c r="D1225">
        <v>2</v>
      </c>
      <c r="E1225" s="80">
        <v>35320</v>
      </c>
    </row>
    <row r="1226" spans="1:5">
      <c r="A1226">
        <v>10305</v>
      </c>
      <c r="B1226" t="s">
        <v>172</v>
      </c>
      <c r="C1226">
        <v>1124.9999981373549</v>
      </c>
      <c r="D1226">
        <v>25</v>
      </c>
      <c r="E1226" s="80">
        <v>35321</v>
      </c>
    </row>
    <row r="1227" spans="1:5">
      <c r="A1227">
        <v>10305</v>
      </c>
      <c r="B1227" t="s">
        <v>173</v>
      </c>
      <c r="C1227">
        <v>1124.9999981373549</v>
      </c>
      <c r="D1227">
        <v>25</v>
      </c>
      <c r="E1227" s="80">
        <v>35321</v>
      </c>
    </row>
    <row r="1228" spans="1:5">
      <c r="A1228">
        <v>10305</v>
      </c>
      <c r="B1228" t="s">
        <v>174</v>
      </c>
      <c r="C1228">
        <v>1124.9999981373549</v>
      </c>
      <c r="D1228">
        <v>25</v>
      </c>
      <c r="E1228" s="80">
        <v>35321</v>
      </c>
    </row>
    <row r="1229" spans="1:5">
      <c r="A1229">
        <v>10305</v>
      </c>
      <c r="B1229" t="s">
        <v>175</v>
      </c>
      <c r="C1229">
        <v>1124.9999981373549</v>
      </c>
      <c r="D1229">
        <v>25</v>
      </c>
      <c r="E1229" s="80">
        <v>35321</v>
      </c>
    </row>
    <row r="1230" spans="1:5">
      <c r="A1230">
        <v>10305</v>
      </c>
      <c r="B1230" t="s">
        <v>176</v>
      </c>
      <c r="C1230">
        <v>1124.9999981373549</v>
      </c>
      <c r="D1230">
        <v>25</v>
      </c>
      <c r="E1230" s="80">
        <v>35321</v>
      </c>
    </row>
    <row r="1231" spans="1:5">
      <c r="A1231">
        <v>10305</v>
      </c>
      <c r="B1231" t="s">
        <v>177</v>
      </c>
      <c r="C1231">
        <v>1124.9999981373549</v>
      </c>
      <c r="D1231">
        <v>25</v>
      </c>
      <c r="E1231" s="80">
        <v>35321</v>
      </c>
    </row>
    <row r="1232" spans="1:5">
      <c r="A1232">
        <v>10305</v>
      </c>
      <c r="B1232" t="s">
        <v>178</v>
      </c>
      <c r="C1232">
        <v>1124.9999981373549</v>
      </c>
      <c r="D1232">
        <v>25</v>
      </c>
      <c r="E1232" s="80">
        <v>35321</v>
      </c>
    </row>
    <row r="1233" spans="1:5">
      <c r="A1233">
        <v>10305</v>
      </c>
      <c r="B1233" t="s">
        <v>179</v>
      </c>
      <c r="C1233">
        <v>1124.9999981373549</v>
      </c>
      <c r="D1233">
        <v>25</v>
      </c>
      <c r="E1233" s="80">
        <v>35321</v>
      </c>
    </row>
    <row r="1234" spans="1:5">
      <c r="A1234">
        <v>10305</v>
      </c>
      <c r="B1234" t="s">
        <v>172</v>
      </c>
      <c r="C1234">
        <v>2227.4999963119626</v>
      </c>
      <c r="D1234">
        <v>25</v>
      </c>
      <c r="E1234" s="80">
        <v>35321</v>
      </c>
    </row>
    <row r="1235" spans="1:5">
      <c r="A1235">
        <v>10305</v>
      </c>
      <c r="B1235" t="s">
        <v>173</v>
      </c>
      <c r="C1235">
        <v>2227.4999963119626</v>
      </c>
      <c r="D1235">
        <v>25</v>
      </c>
      <c r="E1235" s="80">
        <v>35321</v>
      </c>
    </row>
    <row r="1236" spans="1:5">
      <c r="A1236">
        <v>10305</v>
      </c>
      <c r="B1236" t="s">
        <v>174</v>
      </c>
      <c r="C1236">
        <v>2227.4999963119626</v>
      </c>
      <c r="D1236">
        <v>25</v>
      </c>
      <c r="E1236" s="80">
        <v>35321</v>
      </c>
    </row>
    <row r="1237" spans="1:5">
      <c r="A1237">
        <v>10305</v>
      </c>
      <c r="B1237" t="s">
        <v>175</v>
      </c>
      <c r="C1237">
        <v>2227.4999963119626</v>
      </c>
      <c r="D1237">
        <v>25</v>
      </c>
      <c r="E1237" s="80">
        <v>35321</v>
      </c>
    </row>
    <row r="1238" spans="1:5">
      <c r="A1238">
        <v>10305</v>
      </c>
      <c r="B1238" t="s">
        <v>176</v>
      </c>
      <c r="C1238">
        <v>2227.4999963119626</v>
      </c>
      <c r="D1238">
        <v>25</v>
      </c>
      <c r="E1238" s="80">
        <v>35321</v>
      </c>
    </row>
    <row r="1239" spans="1:5">
      <c r="A1239">
        <v>10305</v>
      </c>
      <c r="B1239" t="s">
        <v>177</v>
      </c>
      <c r="C1239">
        <v>2227.4999963119626</v>
      </c>
      <c r="D1239">
        <v>25</v>
      </c>
      <c r="E1239" s="80">
        <v>35321</v>
      </c>
    </row>
    <row r="1240" spans="1:5">
      <c r="A1240">
        <v>10305</v>
      </c>
      <c r="B1240" t="s">
        <v>178</v>
      </c>
      <c r="C1240">
        <v>2227.4999963119626</v>
      </c>
      <c r="D1240">
        <v>25</v>
      </c>
      <c r="E1240" s="80">
        <v>35321</v>
      </c>
    </row>
    <row r="1241" spans="1:5">
      <c r="A1241">
        <v>10305</v>
      </c>
      <c r="B1241" t="s">
        <v>179</v>
      </c>
      <c r="C1241">
        <v>2227.4999963119626</v>
      </c>
      <c r="D1241">
        <v>25</v>
      </c>
      <c r="E1241" s="80">
        <v>35321</v>
      </c>
    </row>
    <row r="1242" spans="1:5">
      <c r="A1242">
        <v>10305</v>
      </c>
      <c r="B1242" t="s">
        <v>172</v>
      </c>
      <c r="C1242">
        <v>388.79999935626984</v>
      </c>
      <c r="D1242">
        <v>30</v>
      </c>
      <c r="E1242" s="80">
        <v>35321</v>
      </c>
    </row>
    <row r="1243" spans="1:5">
      <c r="A1243">
        <v>10305</v>
      </c>
      <c r="B1243" t="s">
        <v>173</v>
      </c>
      <c r="C1243">
        <v>388.79999935626984</v>
      </c>
      <c r="D1243">
        <v>30</v>
      </c>
      <c r="E1243" s="80">
        <v>35321</v>
      </c>
    </row>
    <row r="1244" spans="1:5">
      <c r="A1244">
        <v>10305</v>
      </c>
      <c r="B1244" t="s">
        <v>174</v>
      </c>
      <c r="C1244">
        <v>388.79999935626984</v>
      </c>
      <c r="D1244">
        <v>30</v>
      </c>
      <c r="E1244" s="80">
        <v>35321</v>
      </c>
    </row>
    <row r="1245" spans="1:5">
      <c r="A1245">
        <v>10305</v>
      </c>
      <c r="B1245" t="s">
        <v>175</v>
      </c>
      <c r="C1245">
        <v>388.79999935626984</v>
      </c>
      <c r="D1245">
        <v>30</v>
      </c>
      <c r="E1245" s="80">
        <v>35321</v>
      </c>
    </row>
    <row r="1246" spans="1:5">
      <c r="A1246">
        <v>10305</v>
      </c>
      <c r="B1246" t="s">
        <v>176</v>
      </c>
      <c r="C1246">
        <v>388.79999935626984</v>
      </c>
      <c r="D1246">
        <v>30</v>
      </c>
      <c r="E1246" s="80">
        <v>35321</v>
      </c>
    </row>
    <row r="1247" spans="1:5">
      <c r="A1247">
        <v>10305</v>
      </c>
      <c r="B1247" t="s">
        <v>177</v>
      </c>
      <c r="C1247">
        <v>388.79999935626984</v>
      </c>
      <c r="D1247">
        <v>30</v>
      </c>
      <c r="E1247" s="80">
        <v>35321</v>
      </c>
    </row>
    <row r="1248" spans="1:5">
      <c r="A1248">
        <v>10305</v>
      </c>
      <c r="B1248" t="s">
        <v>178</v>
      </c>
      <c r="C1248">
        <v>388.79999935626984</v>
      </c>
      <c r="D1248">
        <v>30</v>
      </c>
      <c r="E1248" s="80">
        <v>35321</v>
      </c>
    </row>
    <row r="1249" spans="1:5">
      <c r="A1249">
        <v>10305</v>
      </c>
      <c r="B1249" t="s">
        <v>179</v>
      </c>
      <c r="C1249">
        <v>388.79999935626984</v>
      </c>
      <c r="D1249">
        <v>30</v>
      </c>
      <c r="E1249" s="80">
        <v>35321</v>
      </c>
    </row>
    <row r="1250" spans="1:5">
      <c r="A1250">
        <v>10306</v>
      </c>
      <c r="B1250" t="s">
        <v>172</v>
      </c>
      <c r="C1250">
        <v>207</v>
      </c>
      <c r="D1250">
        <v>10</v>
      </c>
      <c r="E1250" s="80">
        <v>35324</v>
      </c>
    </row>
    <row r="1251" spans="1:5">
      <c r="A1251">
        <v>10306</v>
      </c>
      <c r="B1251" t="s">
        <v>173</v>
      </c>
      <c r="C1251">
        <v>207</v>
      </c>
      <c r="D1251">
        <v>10</v>
      </c>
      <c r="E1251" s="80">
        <v>35324</v>
      </c>
    </row>
    <row r="1252" spans="1:5">
      <c r="A1252">
        <v>10306</v>
      </c>
      <c r="B1252" t="s">
        <v>174</v>
      </c>
      <c r="C1252">
        <v>207</v>
      </c>
      <c r="D1252">
        <v>10</v>
      </c>
      <c r="E1252" s="80">
        <v>35324</v>
      </c>
    </row>
    <row r="1253" spans="1:5">
      <c r="A1253">
        <v>10306</v>
      </c>
      <c r="B1253" t="s">
        <v>175</v>
      </c>
      <c r="C1253">
        <v>207</v>
      </c>
      <c r="D1253">
        <v>10</v>
      </c>
      <c r="E1253" s="80">
        <v>35324</v>
      </c>
    </row>
    <row r="1254" spans="1:5">
      <c r="A1254">
        <v>10306</v>
      </c>
      <c r="B1254" t="s">
        <v>176</v>
      </c>
      <c r="C1254">
        <v>207</v>
      </c>
      <c r="D1254">
        <v>10</v>
      </c>
      <c r="E1254" s="80">
        <v>35324</v>
      </c>
    </row>
    <row r="1255" spans="1:5">
      <c r="A1255">
        <v>10306</v>
      </c>
      <c r="B1255" t="s">
        <v>177</v>
      </c>
      <c r="C1255">
        <v>207</v>
      </c>
      <c r="D1255">
        <v>10</v>
      </c>
      <c r="E1255" s="80">
        <v>35324</v>
      </c>
    </row>
    <row r="1256" spans="1:5">
      <c r="A1256">
        <v>10306</v>
      </c>
      <c r="B1256" t="s">
        <v>178</v>
      </c>
      <c r="C1256">
        <v>207</v>
      </c>
      <c r="D1256">
        <v>10</v>
      </c>
      <c r="E1256" s="80">
        <v>35324</v>
      </c>
    </row>
    <row r="1257" spans="1:5">
      <c r="A1257">
        <v>10306</v>
      </c>
      <c r="B1257" t="s">
        <v>179</v>
      </c>
      <c r="C1257">
        <v>207</v>
      </c>
      <c r="D1257">
        <v>10</v>
      </c>
      <c r="E1257" s="80">
        <v>35324</v>
      </c>
    </row>
    <row r="1258" spans="1:5">
      <c r="A1258">
        <v>10306</v>
      </c>
      <c r="B1258" t="s">
        <v>172</v>
      </c>
      <c r="C1258">
        <v>262</v>
      </c>
      <c r="D1258">
        <v>10</v>
      </c>
      <c r="E1258" s="80">
        <v>35324</v>
      </c>
    </row>
    <row r="1259" spans="1:5">
      <c r="A1259">
        <v>10306</v>
      </c>
      <c r="B1259" t="s">
        <v>173</v>
      </c>
      <c r="C1259">
        <v>262</v>
      </c>
      <c r="D1259">
        <v>10</v>
      </c>
      <c r="E1259" s="80">
        <v>35324</v>
      </c>
    </row>
    <row r="1260" spans="1:5">
      <c r="A1260">
        <v>10306</v>
      </c>
      <c r="B1260" t="s">
        <v>174</v>
      </c>
      <c r="C1260">
        <v>262</v>
      </c>
      <c r="D1260">
        <v>10</v>
      </c>
      <c r="E1260" s="80">
        <v>35324</v>
      </c>
    </row>
    <row r="1261" spans="1:5">
      <c r="A1261">
        <v>10306</v>
      </c>
      <c r="B1261" t="s">
        <v>175</v>
      </c>
      <c r="C1261">
        <v>262</v>
      </c>
      <c r="D1261">
        <v>10</v>
      </c>
      <c r="E1261" s="80">
        <v>35324</v>
      </c>
    </row>
    <row r="1262" spans="1:5">
      <c r="A1262">
        <v>10306</v>
      </c>
      <c r="B1262" t="s">
        <v>176</v>
      </c>
      <c r="C1262">
        <v>262</v>
      </c>
      <c r="D1262">
        <v>10</v>
      </c>
      <c r="E1262" s="80">
        <v>35324</v>
      </c>
    </row>
    <row r="1263" spans="1:5">
      <c r="A1263">
        <v>10306</v>
      </c>
      <c r="B1263" t="s">
        <v>177</v>
      </c>
      <c r="C1263">
        <v>262</v>
      </c>
      <c r="D1263">
        <v>10</v>
      </c>
      <c r="E1263" s="80">
        <v>35324</v>
      </c>
    </row>
    <row r="1264" spans="1:5">
      <c r="A1264">
        <v>10306</v>
      </c>
      <c r="B1264" t="s">
        <v>178</v>
      </c>
      <c r="C1264">
        <v>262</v>
      </c>
      <c r="D1264">
        <v>10</v>
      </c>
      <c r="E1264" s="80">
        <v>35324</v>
      </c>
    </row>
    <row r="1265" spans="1:5">
      <c r="A1265">
        <v>10306</v>
      </c>
      <c r="B1265" t="s">
        <v>179</v>
      </c>
      <c r="C1265">
        <v>262</v>
      </c>
      <c r="D1265">
        <v>10</v>
      </c>
      <c r="E1265" s="80">
        <v>35324</v>
      </c>
    </row>
    <row r="1266" spans="1:5">
      <c r="A1266">
        <v>10306</v>
      </c>
      <c r="B1266" t="s">
        <v>172</v>
      </c>
      <c r="C1266">
        <v>29.5</v>
      </c>
      <c r="D1266">
        <v>5</v>
      </c>
      <c r="E1266" s="80">
        <v>35324</v>
      </c>
    </row>
    <row r="1267" spans="1:5">
      <c r="A1267">
        <v>10306</v>
      </c>
      <c r="B1267" t="s">
        <v>173</v>
      </c>
      <c r="C1267">
        <v>29.5</v>
      </c>
      <c r="D1267">
        <v>5</v>
      </c>
      <c r="E1267" s="80">
        <v>35324</v>
      </c>
    </row>
    <row r="1268" spans="1:5">
      <c r="A1268">
        <v>10306</v>
      </c>
      <c r="B1268" t="s">
        <v>174</v>
      </c>
      <c r="C1268">
        <v>29.5</v>
      </c>
      <c r="D1268">
        <v>5</v>
      </c>
      <c r="E1268" s="80">
        <v>35324</v>
      </c>
    </row>
    <row r="1269" spans="1:5">
      <c r="A1269">
        <v>10306</v>
      </c>
      <c r="B1269" t="s">
        <v>175</v>
      </c>
      <c r="C1269">
        <v>29.5</v>
      </c>
      <c r="D1269">
        <v>5</v>
      </c>
      <c r="E1269" s="80">
        <v>35324</v>
      </c>
    </row>
    <row r="1270" spans="1:5">
      <c r="A1270">
        <v>10306</v>
      </c>
      <c r="B1270" t="s">
        <v>176</v>
      </c>
      <c r="C1270">
        <v>29.5</v>
      </c>
      <c r="D1270">
        <v>5</v>
      </c>
      <c r="E1270" s="80">
        <v>35324</v>
      </c>
    </row>
    <row r="1271" spans="1:5">
      <c r="A1271">
        <v>10306</v>
      </c>
      <c r="B1271" t="s">
        <v>177</v>
      </c>
      <c r="C1271">
        <v>29.5</v>
      </c>
      <c r="D1271">
        <v>5</v>
      </c>
      <c r="E1271" s="80">
        <v>35324</v>
      </c>
    </row>
    <row r="1272" spans="1:5">
      <c r="A1272">
        <v>10306</v>
      </c>
      <c r="B1272" t="s">
        <v>178</v>
      </c>
      <c r="C1272">
        <v>29.5</v>
      </c>
      <c r="D1272">
        <v>5</v>
      </c>
      <c r="E1272" s="80">
        <v>35324</v>
      </c>
    </row>
    <row r="1273" spans="1:5">
      <c r="A1273">
        <v>10306</v>
      </c>
      <c r="B1273" t="s">
        <v>179</v>
      </c>
      <c r="C1273">
        <v>29.5</v>
      </c>
      <c r="D1273">
        <v>5</v>
      </c>
      <c r="E1273" s="80">
        <v>35324</v>
      </c>
    </row>
    <row r="1274" spans="1:5">
      <c r="A1274">
        <v>10307</v>
      </c>
      <c r="B1274" t="s">
        <v>172</v>
      </c>
      <c r="C1274">
        <v>394</v>
      </c>
      <c r="D1274">
        <v>10</v>
      </c>
      <c r="E1274" s="80">
        <v>35325</v>
      </c>
    </row>
    <row r="1275" spans="1:5">
      <c r="A1275">
        <v>10307</v>
      </c>
      <c r="B1275" t="s">
        <v>173</v>
      </c>
      <c r="C1275">
        <v>394</v>
      </c>
      <c r="D1275">
        <v>10</v>
      </c>
      <c r="E1275" s="80">
        <v>35325</v>
      </c>
    </row>
    <row r="1276" spans="1:5">
      <c r="A1276">
        <v>10307</v>
      </c>
      <c r="B1276" t="s">
        <v>174</v>
      </c>
      <c r="C1276">
        <v>394</v>
      </c>
      <c r="D1276">
        <v>10</v>
      </c>
      <c r="E1276" s="80">
        <v>35325</v>
      </c>
    </row>
    <row r="1277" spans="1:5">
      <c r="A1277">
        <v>10307</v>
      </c>
      <c r="B1277" t="s">
        <v>175</v>
      </c>
      <c r="C1277">
        <v>394</v>
      </c>
      <c r="D1277">
        <v>10</v>
      </c>
      <c r="E1277" s="80">
        <v>35325</v>
      </c>
    </row>
    <row r="1278" spans="1:5">
      <c r="A1278">
        <v>10307</v>
      </c>
      <c r="B1278" t="s">
        <v>176</v>
      </c>
      <c r="C1278">
        <v>394</v>
      </c>
      <c r="D1278">
        <v>10</v>
      </c>
      <c r="E1278" s="80">
        <v>35325</v>
      </c>
    </row>
    <row r="1279" spans="1:5">
      <c r="A1279">
        <v>10307</v>
      </c>
      <c r="B1279" t="s">
        <v>177</v>
      </c>
      <c r="C1279">
        <v>394</v>
      </c>
      <c r="D1279">
        <v>10</v>
      </c>
      <c r="E1279" s="80">
        <v>35325</v>
      </c>
    </row>
    <row r="1280" spans="1:5">
      <c r="A1280">
        <v>10307</v>
      </c>
      <c r="B1280" t="s">
        <v>178</v>
      </c>
      <c r="C1280">
        <v>394</v>
      </c>
      <c r="D1280">
        <v>10</v>
      </c>
      <c r="E1280" s="80">
        <v>35325</v>
      </c>
    </row>
    <row r="1281" spans="1:5">
      <c r="A1281">
        <v>10307</v>
      </c>
      <c r="B1281" t="s">
        <v>179</v>
      </c>
      <c r="C1281">
        <v>394</v>
      </c>
      <c r="D1281">
        <v>10</v>
      </c>
      <c r="E1281" s="80">
        <v>35325</v>
      </c>
    </row>
    <row r="1282" spans="1:5">
      <c r="A1282">
        <v>10307</v>
      </c>
      <c r="B1282" t="s">
        <v>172</v>
      </c>
      <c r="C1282">
        <v>30</v>
      </c>
      <c r="D1282">
        <v>3</v>
      </c>
      <c r="E1282" s="80">
        <v>35325</v>
      </c>
    </row>
    <row r="1283" spans="1:5">
      <c r="A1283">
        <v>10307</v>
      </c>
      <c r="B1283" t="s">
        <v>173</v>
      </c>
      <c r="C1283">
        <v>30</v>
      </c>
      <c r="D1283">
        <v>3</v>
      </c>
      <c r="E1283" s="80">
        <v>35325</v>
      </c>
    </row>
    <row r="1284" spans="1:5">
      <c r="A1284">
        <v>10307</v>
      </c>
      <c r="B1284" t="s">
        <v>174</v>
      </c>
      <c r="C1284">
        <v>30</v>
      </c>
      <c r="D1284">
        <v>3</v>
      </c>
      <c r="E1284" s="80">
        <v>35325</v>
      </c>
    </row>
    <row r="1285" spans="1:5">
      <c r="A1285">
        <v>10307</v>
      </c>
      <c r="B1285" t="s">
        <v>175</v>
      </c>
      <c r="C1285">
        <v>30</v>
      </c>
      <c r="D1285">
        <v>3</v>
      </c>
      <c r="E1285" s="80">
        <v>35325</v>
      </c>
    </row>
    <row r="1286" spans="1:5">
      <c r="A1286">
        <v>10307</v>
      </c>
      <c r="B1286" t="s">
        <v>176</v>
      </c>
      <c r="C1286">
        <v>30</v>
      </c>
      <c r="D1286">
        <v>3</v>
      </c>
      <c r="E1286" s="80">
        <v>35325</v>
      </c>
    </row>
    <row r="1287" spans="1:5">
      <c r="A1287">
        <v>10307</v>
      </c>
      <c r="B1287" t="s">
        <v>177</v>
      </c>
      <c r="C1287">
        <v>30</v>
      </c>
      <c r="D1287">
        <v>3</v>
      </c>
      <c r="E1287" s="80">
        <v>35325</v>
      </c>
    </row>
    <row r="1288" spans="1:5">
      <c r="A1288">
        <v>10307</v>
      </c>
      <c r="B1288" t="s">
        <v>178</v>
      </c>
      <c r="C1288">
        <v>30</v>
      </c>
      <c r="D1288">
        <v>3</v>
      </c>
      <c r="E1288" s="80">
        <v>35325</v>
      </c>
    </row>
    <row r="1289" spans="1:5">
      <c r="A1289">
        <v>10307</v>
      </c>
      <c r="B1289" t="s">
        <v>179</v>
      </c>
      <c r="C1289">
        <v>30</v>
      </c>
      <c r="D1289">
        <v>3</v>
      </c>
      <c r="E1289" s="80">
        <v>35325</v>
      </c>
    </row>
    <row r="1290" spans="1:5">
      <c r="A1290">
        <v>10308</v>
      </c>
      <c r="B1290" t="s">
        <v>172</v>
      </c>
      <c r="C1290">
        <v>28.8</v>
      </c>
      <c r="D1290">
        <v>1</v>
      </c>
      <c r="E1290" s="80">
        <v>35326</v>
      </c>
    </row>
    <row r="1291" spans="1:5">
      <c r="A1291">
        <v>10308</v>
      </c>
      <c r="B1291" t="s">
        <v>173</v>
      </c>
      <c r="C1291">
        <v>28.8</v>
      </c>
      <c r="D1291">
        <v>1</v>
      </c>
      <c r="E1291" s="80">
        <v>35326</v>
      </c>
    </row>
    <row r="1292" spans="1:5">
      <c r="A1292">
        <v>10308</v>
      </c>
      <c r="B1292" t="s">
        <v>174</v>
      </c>
      <c r="C1292">
        <v>28.8</v>
      </c>
      <c r="D1292">
        <v>1</v>
      </c>
      <c r="E1292" s="80">
        <v>35326</v>
      </c>
    </row>
    <row r="1293" spans="1:5">
      <c r="A1293">
        <v>10308</v>
      </c>
      <c r="B1293" t="s">
        <v>175</v>
      </c>
      <c r="C1293">
        <v>28.8</v>
      </c>
      <c r="D1293">
        <v>1</v>
      </c>
      <c r="E1293" s="80">
        <v>35326</v>
      </c>
    </row>
    <row r="1294" spans="1:5">
      <c r="A1294">
        <v>10308</v>
      </c>
      <c r="B1294" t="s">
        <v>176</v>
      </c>
      <c r="C1294">
        <v>28.8</v>
      </c>
      <c r="D1294">
        <v>1</v>
      </c>
      <c r="E1294" s="80">
        <v>35326</v>
      </c>
    </row>
    <row r="1295" spans="1:5">
      <c r="A1295">
        <v>10308</v>
      </c>
      <c r="B1295" t="s">
        <v>177</v>
      </c>
      <c r="C1295">
        <v>28.8</v>
      </c>
      <c r="D1295">
        <v>1</v>
      </c>
      <c r="E1295" s="80">
        <v>35326</v>
      </c>
    </row>
    <row r="1296" spans="1:5">
      <c r="A1296">
        <v>10308</v>
      </c>
      <c r="B1296" t="s">
        <v>178</v>
      </c>
      <c r="C1296">
        <v>28.8</v>
      </c>
      <c r="D1296">
        <v>1</v>
      </c>
      <c r="E1296" s="80">
        <v>35326</v>
      </c>
    </row>
    <row r="1297" spans="1:5">
      <c r="A1297">
        <v>10308</v>
      </c>
      <c r="B1297" t="s">
        <v>179</v>
      </c>
      <c r="C1297">
        <v>28.8</v>
      </c>
      <c r="D1297">
        <v>1</v>
      </c>
      <c r="E1297" s="80">
        <v>35326</v>
      </c>
    </row>
    <row r="1298" spans="1:5">
      <c r="A1298">
        <v>10308</v>
      </c>
      <c r="B1298" t="s">
        <v>172</v>
      </c>
      <c r="C1298">
        <v>60</v>
      </c>
      <c r="D1298">
        <v>5</v>
      </c>
      <c r="E1298" s="80">
        <v>35326</v>
      </c>
    </row>
    <row r="1299" spans="1:5">
      <c r="A1299">
        <v>10308</v>
      </c>
      <c r="B1299" t="s">
        <v>173</v>
      </c>
      <c r="C1299">
        <v>60</v>
      </c>
      <c r="D1299">
        <v>5</v>
      </c>
      <c r="E1299" s="80">
        <v>35326</v>
      </c>
    </row>
    <row r="1300" spans="1:5">
      <c r="A1300">
        <v>10308</v>
      </c>
      <c r="B1300" t="s">
        <v>174</v>
      </c>
      <c r="C1300">
        <v>60</v>
      </c>
      <c r="D1300">
        <v>5</v>
      </c>
      <c r="E1300" s="80">
        <v>35326</v>
      </c>
    </row>
    <row r="1301" spans="1:5">
      <c r="A1301">
        <v>10308</v>
      </c>
      <c r="B1301" t="s">
        <v>175</v>
      </c>
      <c r="C1301">
        <v>60</v>
      </c>
      <c r="D1301">
        <v>5</v>
      </c>
      <c r="E1301" s="80">
        <v>35326</v>
      </c>
    </row>
    <row r="1302" spans="1:5">
      <c r="A1302">
        <v>10308</v>
      </c>
      <c r="B1302" t="s">
        <v>176</v>
      </c>
      <c r="C1302">
        <v>60</v>
      </c>
      <c r="D1302">
        <v>5</v>
      </c>
      <c r="E1302" s="80">
        <v>35326</v>
      </c>
    </row>
    <row r="1303" spans="1:5">
      <c r="A1303">
        <v>10308</v>
      </c>
      <c r="B1303" t="s">
        <v>177</v>
      </c>
      <c r="C1303">
        <v>60</v>
      </c>
      <c r="D1303">
        <v>5</v>
      </c>
      <c r="E1303" s="80">
        <v>35326</v>
      </c>
    </row>
    <row r="1304" spans="1:5">
      <c r="A1304">
        <v>10308</v>
      </c>
      <c r="B1304" t="s">
        <v>178</v>
      </c>
      <c r="C1304">
        <v>60</v>
      </c>
      <c r="D1304">
        <v>5</v>
      </c>
      <c r="E1304" s="80">
        <v>35326</v>
      </c>
    </row>
    <row r="1305" spans="1:5">
      <c r="A1305">
        <v>10308</v>
      </c>
      <c r="B1305" t="s">
        <v>179</v>
      </c>
      <c r="C1305">
        <v>60</v>
      </c>
      <c r="D1305">
        <v>5</v>
      </c>
      <c r="E1305" s="80">
        <v>35326</v>
      </c>
    </row>
    <row r="1306" spans="1:5">
      <c r="A1306">
        <v>10309</v>
      </c>
      <c r="B1306" t="s">
        <v>172</v>
      </c>
      <c r="C1306">
        <v>352</v>
      </c>
      <c r="D1306">
        <v>20</v>
      </c>
      <c r="E1306" s="80">
        <v>35327</v>
      </c>
    </row>
    <row r="1307" spans="1:5">
      <c r="A1307">
        <v>10309</v>
      </c>
      <c r="B1307" t="s">
        <v>173</v>
      </c>
      <c r="C1307">
        <v>352</v>
      </c>
      <c r="D1307">
        <v>20</v>
      </c>
      <c r="E1307" s="80">
        <v>35327</v>
      </c>
    </row>
    <row r="1308" spans="1:5">
      <c r="A1308">
        <v>10309</v>
      </c>
      <c r="B1308" t="s">
        <v>174</v>
      </c>
      <c r="C1308">
        <v>352</v>
      </c>
      <c r="D1308">
        <v>20</v>
      </c>
      <c r="E1308" s="80">
        <v>35327</v>
      </c>
    </row>
    <row r="1309" spans="1:5">
      <c r="A1309">
        <v>10309</v>
      </c>
      <c r="B1309" t="s">
        <v>175</v>
      </c>
      <c r="C1309">
        <v>352</v>
      </c>
      <c r="D1309">
        <v>20</v>
      </c>
      <c r="E1309" s="80">
        <v>35327</v>
      </c>
    </row>
    <row r="1310" spans="1:5">
      <c r="A1310">
        <v>10309</v>
      </c>
      <c r="B1310" t="s">
        <v>176</v>
      </c>
      <c r="C1310">
        <v>352</v>
      </c>
      <c r="D1310">
        <v>20</v>
      </c>
      <c r="E1310" s="80">
        <v>35327</v>
      </c>
    </row>
    <row r="1311" spans="1:5">
      <c r="A1311">
        <v>10309</v>
      </c>
      <c r="B1311" t="s">
        <v>177</v>
      </c>
      <c r="C1311">
        <v>352</v>
      </c>
      <c r="D1311">
        <v>20</v>
      </c>
      <c r="E1311" s="80">
        <v>35327</v>
      </c>
    </row>
    <row r="1312" spans="1:5">
      <c r="A1312">
        <v>10309</v>
      </c>
      <c r="B1312" t="s">
        <v>178</v>
      </c>
      <c r="C1312">
        <v>352</v>
      </c>
      <c r="D1312">
        <v>20</v>
      </c>
      <c r="E1312" s="80">
        <v>35327</v>
      </c>
    </row>
    <row r="1313" spans="1:5">
      <c r="A1313">
        <v>10309</v>
      </c>
      <c r="B1313" t="s">
        <v>179</v>
      </c>
      <c r="C1313">
        <v>352</v>
      </c>
      <c r="D1313">
        <v>20</v>
      </c>
      <c r="E1313" s="80">
        <v>35327</v>
      </c>
    </row>
    <row r="1314" spans="1:5">
      <c r="A1314">
        <v>10309</v>
      </c>
      <c r="B1314" t="s">
        <v>172</v>
      </c>
      <c r="C1314">
        <v>600</v>
      </c>
      <c r="D1314">
        <v>30</v>
      </c>
      <c r="E1314" s="80">
        <v>35327</v>
      </c>
    </row>
    <row r="1315" spans="1:5">
      <c r="A1315">
        <v>10309</v>
      </c>
      <c r="B1315" t="s">
        <v>173</v>
      </c>
      <c r="C1315">
        <v>600</v>
      </c>
      <c r="D1315">
        <v>30</v>
      </c>
      <c r="E1315" s="80">
        <v>35327</v>
      </c>
    </row>
    <row r="1316" spans="1:5">
      <c r="A1316">
        <v>10309</v>
      </c>
      <c r="B1316" t="s">
        <v>174</v>
      </c>
      <c r="C1316">
        <v>600</v>
      </c>
      <c r="D1316">
        <v>30</v>
      </c>
      <c r="E1316" s="80">
        <v>35327</v>
      </c>
    </row>
    <row r="1317" spans="1:5">
      <c r="A1317">
        <v>10309</v>
      </c>
      <c r="B1317" t="s">
        <v>175</v>
      </c>
      <c r="C1317">
        <v>600</v>
      </c>
      <c r="D1317">
        <v>30</v>
      </c>
      <c r="E1317" s="80">
        <v>35327</v>
      </c>
    </row>
    <row r="1318" spans="1:5">
      <c r="A1318">
        <v>10309</v>
      </c>
      <c r="B1318" t="s">
        <v>176</v>
      </c>
      <c r="C1318">
        <v>600</v>
      </c>
      <c r="D1318">
        <v>30</v>
      </c>
      <c r="E1318" s="80">
        <v>35327</v>
      </c>
    </row>
    <row r="1319" spans="1:5">
      <c r="A1319">
        <v>10309</v>
      </c>
      <c r="B1319" t="s">
        <v>177</v>
      </c>
      <c r="C1319">
        <v>600</v>
      </c>
      <c r="D1319">
        <v>30</v>
      </c>
      <c r="E1319" s="80">
        <v>35327</v>
      </c>
    </row>
    <row r="1320" spans="1:5">
      <c r="A1320">
        <v>10309</v>
      </c>
      <c r="B1320" t="s">
        <v>178</v>
      </c>
      <c r="C1320">
        <v>600</v>
      </c>
      <c r="D1320">
        <v>30</v>
      </c>
      <c r="E1320" s="80">
        <v>35327</v>
      </c>
    </row>
    <row r="1321" spans="1:5">
      <c r="A1321">
        <v>10309</v>
      </c>
      <c r="B1321" t="s">
        <v>179</v>
      </c>
      <c r="C1321">
        <v>600</v>
      </c>
      <c r="D1321">
        <v>30</v>
      </c>
      <c r="E1321" s="80">
        <v>35327</v>
      </c>
    </row>
    <row r="1322" spans="1:5">
      <c r="A1322">
        <v>10309</v>
      </c>
      <c r="B1322" t="s">
        <v>172</v>
      </c>
      <c r="C1322">
        <v>22.4</v>
      </c>
      <c r="D1322">
        <v>2</v>
      </c>
      <c r="E1322" s="80">
        <v>35327</v>
      </c>
    </row>
    <row r="1323" spans="1:5">
      <c r="A1323">
        <v>10309</v>
      </c>
      <c r="B1323" t="s">
        <v>173</v>
      </c>
      <c r="C1323">
        <v>22.4</v>
      </c>
      <c r="D1323">
        <v>2</v>
      </c>
      <c r="E1323" s="80">
        <v>35327</v>
      </c>
    </row>
    <row r="1324" spans="1:5">
      <c r="A1324">
        <v>10309</v>
      </c>
      <c r="B1324" t="s">
        <v>174</v>
      </c>
      <c r="C1324">
        <v>22.4</v>
      </c>
      <c r="D1324">
        <v>2</v>
      </c>
      <c r="E1324" s="80">
        <v>35327</v>
      </c>
    </row>
    <row r="1325" spans="1:5">
      <c r="A1325">
        <v>10309</v>
      </c>
      <c r="B1325" t="s">
        <v>175</v>
      </c>
      <c r="C1325">
        <v>22.4</v>
      </c>
      <c r="D1325">
        <v>2</v>
      </c>
      <c r="E1325" s="80">
        <v>35327</v>
      </c>
    </row>
    <row r="1326" spans="1:5">
      <c r="A1326">
        <v>10309</v>
      </c>
      <c r="B1326" t="s">
        <v>176</v>
      </c>
      <c r="C1326">
        <v>22.4</v>
      </c>
      <c r="D1326">
        <v>2</v>
      </c>
      <c r="E1326" s="80">
        <v>35327</v>
      </c>
    </row>
    <row r="1327" spans="1:5">
      <c r="A1327">
        <v>10309</v>
      </c>
      <c r="B1327" t="s">
        <v>177</v>
      </c>
      <c r="C1327">
        <v>22.4</v>
      </c>
      <c r="D1327">
        <v>2</v>
      </c>
      <c r="E1327" s="80">
        <v>35327</v>
      </c>
    </row>
    <row r="1328" spans="1:5">
      <c r="A1328">
        <v>10309</v>
      </c>
      <c r="B1328" t="s">
        <v>178</v>
      </c>
      <c r="C1328">
        <v>22.4</v>
      </c>
      <c r="D1328">
        <v>2</v>
      </c>
      <c r="E1328" s="80">
        <v>35327</v>
      </c>
    </row>
    <row r="1329" spans="1:5">
      <c r="A1329">
        <v>10309</v>
      </c>
      <c r="B1329" t="s">
        <v>179</v>
      </c>
      <c r="C1329">
        <v>22.4</v>
      </c>
      <c r="D1329">
        <v>2</v>
      </c>
      <c r="E1329" s="80">
        <v>35327</v>
      </c>
    </row>
    <row r="1330" spans="1:5">
      <c r="A1330">
        <v>10309</v>
      </c>
      <c r="B1330" t="s">
        <v>172</v>
      </c>
      <c r="C1330">
        <v>736</v>
      </c>
      <c r="D1330">
        <v>20</v>
      </c>
      <c r="E1330" s="80">
        <v>35327</v>
      </c>
    </row>
    <row r="1331" spans="1:5">
      <c r="A1331">
        <v>10309</v>
      </c>
      <c r="B1331" t="s">
        <v>173</v>
      </c>
      <c r="C1331">
        <v>736</v>
      </c>
      <c r="D1331">
        <v>20</v>
      </c>
      <c r="E1331" s="80">
        <v>35327</v>
      </c>
    </row>
    <row r="1332" spans="1:5">
      <c r="A1332">
        <v>10309</v>
      </c>
      <c r="B1332" t="s">
        <v>174</v>
      </c>
      <c r="C1332">
        <v>736</v>
      </c>
      <c r="D1332">
        <v>20</v>
      </c>
      <c r="E1332" s="80">
        <v>35327</v>
      </c>
    </row>
    <row r="1333" spans="1:5">
      <c r="A1333">
        <v>10309</v>
      </c>
      <c r="B1333" t="s">
        <v>175</v>
      </c>
      <c r="C1333">
        <v>736</v>
      </c>
      <c r="D1333">
        <v>20</v>
      </c>
      <c r="E1333" s="80">
        <v>35327</v>
      </c>
    </row>
    <row r="1334" spans="1:5">
      <c r="A1334">
        <v>10309</v>
      </c>
      <c r="B1334" t="s">
        <v>176</v>
      </c>
      <c r="C1334">
        <v>736</v>
      </c>
      <c r="D1334">
        <v>20</v>
      </c>
      <c r="E1334" s="80">
        <v>35327</v>
      </c>
    </row>
    <row r="1335" spans="1:5">
      <c r="A1335">
        <v>10309</v>
      </c>
      <c r="B1335" t="s">
        <v>177</v>
      </c>
      <c r="C1335">
        <v>736</v>
      </c>
      <c r="D1335">
        <v>20</v>
      </c>
      <c r="E1335" s="80">
        <v>35327</v>
      </c>
    </row>
    <row r="1336" spans="1:5">
      <c r="A1336">
        <v>10309</v>
      </c>
      <c r="B1336" t="s">
        <v>178</v>
      </c>
      <c r="C1336">
        <v>736</v>
      </c>
      <c r="D1336">
        <v>20</v>
      </c>
      <c r="E1336" s="80">
        <v>35327</v>
      </c>
    </row>
    <row r="1337" spans="1:5">
      <c r="A1337">
        <v>10309</v>
      </c>
      <c r="B1337" t="s">
        <v>179</v>
      </c>
      <c r="C1337">
        <v>736</v>
      </c>
      <c r="D1337">
        <v>20</v>
      </c>
      <c r="E1337" s="80">
        <v>35327</v>
      </c>
    </row>
    <row r="1338" spans="1:5">
      <c r="A1338">
        <v>10309</v>
      </c>
      <c r="B1338" t="s">
        <v>172</v>
      </c>
      <c r="C1338">
        <v>51.6</v>
      </c>
      <c r="D1338">
        <v>3</v>
      </c>
      <c r="E1338" s="80">
        <v>35327</v>
      </c>
    </row>
    <row r="1339" spans="1:5">
      <c r="A1339">
        <v>10309</v>
      </c>
      <c r="B1339" t="s">
        <v>173</v>
      </c>
      <c r="C1339">
        <v>51.6</v>
      </c>
      <c r="D1339">
        <v>3</v>
      </c>
      <c r="E1339" s="80">
        <v>35327</v>
      </c>
    </row>
    <row r="1340" spans="1:5">
      <c r="A1340">
        <v>10309</v>
      </c>
      <c r="B1340" t="s">
        <v>174</v>
      </c>
      <c r="C1340">
        <v>51.6</v>
      </c>
      <c r="D1340">
        <v>3</v>
      </c>
      <c r="E1340" s="80">
        <v>35327</v>
      </c>
    </row>
    <row r="1341" spans="1:5">
      <c r="A1341">
        <v>10309</v>
      </c>
      <c r="B1341" t="s">
        <v>175</v>
      </c>
      <c r="C1341">
        <v>51.6</v>
      </c>
      <c r="D1341">
        <v>3</v>
      </c>
      <c r="E1341" s="80">
        <v>35327</v>
      </c>
    </row>
    <row r="1342" spans="1:5">
      <c r="A1342">
        <v>10309</v>
      </c>
      <c r="B1342" t="s">
        <v>176</v>
      </c>
      <c r="C1342">
        <v>51.6</v>
      </c>
      <c r="D1342">
        <v>3</v>
      </c>
      <c r="E1342" s="80">
        <v>35327</v>
      </c>
    </row>
    <row r="1343" spans="1:5">
      <c r="A1343">
        <v>10309</v>
      </c>
      <c r="B1343" t="s">
        <v>177</v>
      </c>
      <c r="C1343">
        <v>51.6</v>
      </c>
      <c r="D1343">
        <v>3</v>
      </c>
      <c r="E1343" s="80">
        <v>35327</v>
      </c>
    </row>
    <row r="1344" spans="1:5">
      <c r="A1344">
        <v>10309</v>
      </c>
      <c r="B1344" t="s">
        <v>178</v>
      </c>
      <c r="C1344">
        <v>51.6</v>
      </c>
      <c r="D1344">
        <v>3</v>
      </c>
      <c r="E1344" s="80">
        <v>35327</v>
      </c>
    </row>
    <row r="1345" spans="1:5">
      <c r="A1345">
        <v>10309</v>
      </c>
      <c r="B1345" t="s">
        <v>179</v>
      </c>
      <c r="C1345">
        <v>51.6</v>
      </c>
      <c r="D1345">
        <v>3</v>
      </c>
      <c r="E1345" s="80">
        <v>35327</v>
      </c>
    </row>
    <row r="1346" spans="1:5">
      <c r="A1346">
        <v>10310</v>
      </c>
      <c r="B1346" t="s">
        <v>172</v>
      </c>
      <c r="C1346">
        <v>139</v>
      </c>
      <c r="D1346">
        <v>10</v>
      </c>
      <c r="E1346" s="80">
        <v>35328</v>
      </c>
    </row>
    <row r="1347" spans="1:5">
      <c r="A1347">
        <v>10310</v>
      </c>
      <c r="B1347" t="s">
        <v>173</v>
      </c>
      <c r="C1347">
        <v>139</v>
      </c>
      <c r="D1347">
        <v>10</v>
      </c>
      <c r="E1347" s="80">
        <v>35328</v>
      </c>
    </row>
    <row r="1348" spans="1:5">
      <c r="A1348">
        <v>10310</v>
      </c>
      <c r="B1348" t="s">
        <v>174</v>
      </c>
      <c r="C1348">
        <v>139</v>
      </c>
      <c r="D1348">
        <v>10</v>
      </c>
      <c r="E1348" s="80">
        <v>35328</v>
      </c>
    </row>
    <row r="1349" spans="1:5">
      <c r="A1349">
        <v>10310</v>
      </c>
      <c r="B1349" t="s">
        <v>175</v>
      </c>
      <c r="C1349">
        <v>139</v>
      </c>
      <c r="D1349">
        <v>10</v>
      </c>
      <c r="E1349" s="80">
        <v>35328</v>
      </c>
    </row>
    <row r="1350" spans="1:5">
      <c r="A1350">
        <v>10310</v>
      </c>
      <c r="B1350" t="s">
        <v>176</v>
      </c>
      <c r="C1350">
        <v>139</v>
      </c>
      <c r="D1350">
        <v>10</v>
      </c>
      <c r="E1350" s="80">
        <v>35328</v>
      </c>
    </row>
    <row r="1351" spans="1:5">
      <c r="A1351">
        <v>10310</v>
      </c>
      <c r="B1351" t="s">
        <v>177</v>
      </c>
      <c r="C1351">
        <v>139</v>
      </c>
      <c r="D1351">
        <v>10</v>
      </c>
      <c r="E1351" s="80">
        <v>35328</v>
      </c>
    </row>
    <row r="1352" spans="1:5">
      <c r="A1352">
        <v>10310</v>
      </c>
      <c r="B1352" t="s">
        <v>178</v>
      </c>
      <c r="C1352">
        <v>139</v>
      </c>
      <c r="D1352">
        <v>10</v>
      </c>
      <c r="E1352" s="80">
        <v>35328</v>
      </c>
    </row>
    <row r="1353" spans="1:5">
      <c r="A1353">
        <v>10310</v>
      </c>
      <c r="B1353" t="s">
        <v>179</v>
      </c>
      <c r="C1353">
        <v>139</v>
      </c>
      <c r="D1353">
        <v>10</v>
      </c>
      <c r="E1353" s="80">
        <v>35328</v>
      </c>
    </row>
    <row r="1354" spans="1:5">
      <c r="A1354">
        <v>10310</v>
      </c>
      <c r="B1354" t="s">
        <v>172</v>
      </c>
      <c r="C1354">
        <v>197</v>
      </c>
      <c r="D1354">
        <v>5</v>
      </c>
      <c r="E1354" s="80">
        <v>35328</v>
      </c>
    </row>
    <row r="1355" spans="1:5">
      <c r="A1355">
        <v>10310</v>
      </c>
      <c r="B1355" t="s">
        <v>173</v>
      </c>
      <c r="C1355">
        <v>197</v>
      </c>
      <c r="D1355">
        <v>5</v>
      </c>
      <c r="E1355" s="80">
        <v>35328</v>
      </c>
    </row>
    <row r="1356" spans="1:5">
      <c r="A1356">
        <v>10310</v>
      </c>
      <c r="B1356" t="s">
        <v>174</v>
      </c>
      <c r="C1356">
        <v>197</v>
      </c>
      <c r="D1356">
        <v>5</v>
      </c>
      <c r="E1356" s="80">
        <v>35328</v>
      </c>
    </row>
    <row r="1357" spans="1:5">
      <c r="A1357">
        <v>10310</v>
      </c>
      <c r="B1357" t="s">
        <v>175</v>
      </c>
      <c r="C1357">
        <v>197</v>
      </c>
      <c r="D1357">
        <v>5</v>
      </c>
      <c r="E1357" s="80">
        <v>35328</v>
      </c>
    </row>
    <row r="1358" spans="1:5">
      <c r="A1358">
        <v>10310</v>
      </c>
      <c r="B1358" t="s">
        <v>176</v>
      </c>
      <c r="C1358">
        <v>197</v>
      </c>
      <c r="D1358">
        <v>5</v>
      </c>
      <c r="E1358" s="80">
        <v>35328</v>
      </c>
    </row>
    <row r="1359" spans="1:5">
      <c r="A1359">
        <v>10310</v>
      </c>
      <c r="B1359" t="s">
        <v>177</v>
      </c>
      <c r="C1359">
        <v>197</v>
      </c>
      <c r="D1359">
        <v>5</v>
      </c>
      <c r="E1359" s="80">
        <v>35328</v>
      </c>
    </row>
    <row r="1360" spans="1:5">
      <c r="A1360">
        <v>10310</v>
      </c>
      <c r="B1360" t="s">
        <v>178</v>
      </c>
      <c r="C1360">
        <v>197</v>
      </c>
      <c r="D1360">
        <v>5</v>
      </c>
      <c r="E1360" s="80">
        <v>35328</v>
      </c>
    </row>
    <row r="1361" spans="1:5">
      <c r="A1361">
        <v>10310</v>
      </c>
      <c r="B1361" t="s">
        <v>179</v>
      </c>
      <c r="C1361">
        <v>197</v>
      </c>
      <c r="D1361">
        <v>5</v>
      </c>
      <c r="E1361" s="80">
        <v>35328</v>
      </c>
    </row>
    <row r="1362" spans="1:5">
      <c r="A1362">
        <v>10311</v>
      </c>
      <c r="B1362" t="s">
        <v>172</v>
      </c>
      <c r="C1362">
        <v>67.2</v>
      </c>
      <c r="D1362">
        <v>6</v>
      </c>
      <c r="E1362" s="80">
        <v>35328</v>
      </c>
    </row>
    <row r="1363" spans="1:5">
      <c r="A1363">
        <v>10311</v>
      </c>
      <c r="B1363" t="s">
        <v>173</v>
      </c>
      <c r="C1363">
        <v>67.2</v>
      </c>
      <c r="D1363">
        <v>6</v>
      </c>
      <c r="E1363" s="80">
        <v>35328</v>
      </c>
    </row>
    <row r="1364" spans="1:5">
      <c r="A1364">
        <v>10311</v>
      </c>
      <c r="B1364" t="s">
        <v>174</v>
      </c>
      <c r="C1364">
        <v>67.2</v>
      </c>
      <c r="D1364">
        <v>6</v>
      </c>
      <c r="E1364" s="80">
        <v>35328</v>
      </c>
    </row>
    <row r="1365" spans="1:5">
      <c r="A1365">
        <v>10311</v>
      </c>
      <c r="B1365" t="s">
        <v>175</v>
      </c>
      <c r="C1365">
        <v>67.2</v>
      </c>
      <c r="D1365">
        <v>6</v>
      </c>
      <c r="E1365" s="80">
        <v>35328</v>
      </c>
    </row>
    <row r="1366" spans="1:5">
      <c r="A1366">
        <v>10311</v>
      </c>
      <c r="B1366" t="s">
        <v>176</v>
      </c>
      <c r="C1366">
        <v>67.2</v>
      </c>
      <c r="D1366">
        <v>6</v>
      </c>
      <c r="E1366" s="80">
        <v>35328</v>
      </c>
    </row>
    <row r="1367" spans="1:5">
      <c r="A1367">
        <v>10311</v>
      </c>
      <c r="B1367" t="s">
        <v>177</v>
      </c>
      <c r="C1367">
        <v>67.2</v>
      </c>
      <c r="D1367">
        <v>6</v>
      </c>
      <c r="E1367" s="80">
        <v>35328</v>
      </c>
    </row>
    <row r="1368" spans="1:5">
      <c r="A1368">
        <v>10311</v>
      </c>
      <c r="B1368" t="s">
        <v>178</v>
      </c>
      <c r="C1368">
        <v>67.2</v>
      </c>
      <c r="D1368">
        <v>6</v>
      </c>
      <c r="E1368" s="80">
        <v>35328</v>
      </c>
    </row>
    <row r="1369" spans="1:5">
      <c r="A1369">
        <v>10311</v>
      </c>
      <c r="B1369" t="s">
        <v>179</v>
      </c>
      <c r="C1369">
        <v>67.2</v>
      </c>
      <c r="D1369">
        <v>6</v>
      </c>
      <c r="E1369" s="80">
        <v>35328</v>
      </c>
    </row>
    <row r="1370" spans="1:5">
      <c r="A1370">
        <v>10311</v>
      </c>
      <c r="B1370" t="s">
        <v>172</v>
      </c>
      <c r="C1370">
        <v>201.6</v>
      </c>
      <c r="D1370">
        <v>7</v>
      </c>
      <c r="E1370" s="80">
        <v>35328</v>
      </c>
    </row>
    <row r="1371" spans="1:5">
      <c r="A1371">
        <v>10311</v>
      </c>
      <c r="B1371" t="s">
        <v>173</v>
      </c>
      <c r="C1371">
        <v>201.6</v>
      </c>
      <c r="D1371">
        <v>7</v>
      </c>
      <c r="E1371" s="80">
        <v>35328</v>
      </c>
    </row>
    <row r="1372" spans="1:5">
      <c r="A1372">
        <v>10311</v>
      </c>
      <c r="B1372" t="s">
        <v>174</v>
      </c>
      <c r="C1372">
        <v>201.6</v>
      </c>
      <c r="D1372">
        <v>7</v>
      </c>
      <c r="E1372" s="80">
        <v>35328</v>
      </c>
    </row>
    <row r="1373" spans="1:5">
      <c r="A1373">
        <v>10311</v>
      </c>
      <c r="B1373" t="s">
        <v>175</v>
      </c>
      <c r="C1373">
        <v>201.6</v>
      </c>
      <c r="D1373">
        <v>7</v>
      </c>
      <c r="E1373" s="80">
        <v>35328</v>
      </c>
    </row>
    <row r="1374" spans="1:5">
      <c r="A1374">
        <v>10311</v>
      </c>
      <c r="B1374" t="s">
        <v>176</v>
      </c>
      <c r="C1374">
        <v>201.6</v>
      </c>
      <c r="D1374">
        <v>7</v>
      </c>
      <c r="E1374" s="80">
        <v>35328</v>
      </c>
    </row>
    <row r="1375" spans="1:5">
      <c r="A1375">
        <v>10311</v>
      </c>
      <c r="B1375" t="s">
        <v>177</v>
      </c>
      <c r="C1375">
        <v>201.6</v>
      </c>
      <c r="D1375">
        <v>7</v>
      </c>
      <c r="E1375" s="80">
        <v>35328</v>
      </c>
    </row>
    <row r="1376" spans="1:5">
      <c r="A1376">
        <v>10311</v>
      </c>
      <c r="B1376" t="s">
        <v>178</v>
      </c>
      <c r="C1376">
        <v>201.6</v>
      </c>
      <c r="D1376">
        <v>7</v>
      </c>
      <c r="E1376" s="80">
        <v>35328</v>
      </c>
    </row>
    <row r="1377" spans="1:5">
      <c r="A1377">
        <v>10311</v>
      </c>
      <c r="B1377" t="s">
        <v>179</v>
      </c>
      <c r="C1377">
        <v>201.6</v>
      </c>
      <c r="D1377">
        <v>7</v>
      </c>
      <c r="E1377" s="80">
        <v>35328</v>
      </c>
    </row>
    <row r="1378" spans="1:5">
      <c r="A1378">
        <v>10312</v>
      </c>
      <c r="B1378" t="s">
        <v>172</v>
      </c>
      <c r="C1378">
        <v>145.6</v>
      </c>
      <c r="D1378">
        <v>4</v>
      </c>
      <c r="E1378" s="80">
        <v>35331</v>
      </c>
    </row>
    <row r="1379" spans="1:5">
      <c r="A1379">
        <v>10312</v>
      </c>
      <c r="B1379" t="s">
        <v>173</v>
      </c>
      <c r="C1379">
        <v>145.6</v>
      </c>
      <c r="D1379">
        <v>4</v>
      </c>
      <c r="E1379" s="80">
        <v>35331</v>
      </c>
    </row>
    <row r="1380" spans="1:5">
      <c r="A1380">
        <v>10312</v>
      </c>
      <c r="B1380" t="s">
        <v>174</v>
      </c>
      <c r="C1380">
        <v>145.6</v>
      </c>
      <c r="D1380">
        <v>4</v>
      </c>
      <c r="E1380" s="80">
        <v>35331</v>
      </c>
    </row>
    <row r="1381" spans="1:5">
      <c r="A1381">
        <v>10312</v>
      </c>
      <c r="B1381" t="s">
        <v>175</v>
      </c>
      <c r="C1381">
        <v>145.6</v>
      </c>
      <c r="D1381">
        <v>4</v>
      </c>
      <c r="E1381" s="80">
        <v>35331</v>
      </c>
    </row>
    <row r="1382" spans="1:5">
      <c r="A1382">
        <v>10312</v>
      </c>
      <c r="B1382" t="s">
        <v>176</v>
      </c>
      <c r="C1382">
        <v>145.6</v>
      </c>
      <c r="D1382">
        <v>4</v>
      </c>
      <c r="E1382" s="80">
        <v>35331</v>
      </c>
    </row>
    <row r="1383" spans="1:5">
      <c r="A1383">
        <v>10312</v>
      </c>
      <c r="B1383" t="s">
        <v>177</v>
      </c>
      <c r="C1383">
        <v>145.6</v>
      </c>
      <c r="D1383">
        <v>4</v>
      </c>
      <c r="E1383" s="80">
        <v>35331</v>
      </c>
    </row>
    <row r="1384" spans="1:5">
      <c r="A1384">
        <v>10312</v>
      </c>
      <c r="B1384" t="s">
        <v>178</v>
      </c>
      <c r="C1384">
        <v>145.6</v>
      </c>
      <c r="D1384">
        <v>4</v>
      </c>
      <c r="E1384" s="80">
        <v>35331</v>
      </c>
    </row>
    <row r="1385" spans="1:5">
      <c r="A1385">
        <v>10312</v>
      </c>
      <c r="B1385" t="s">
        <v>179</v>
      </c>
      <c r="C1385">
        <v>145.6</v>
      </c>
      <c r="D1385">
        <v>4</v>
      </c>
      <c r="E1385" s="80">
        <v>35331</v>
      </c>
    </row>
    <row r="1386" spans="1:5">
      <c r="A1386">
        <v>10312</v>
      </c>
      <c r="B1386" t="s">
        <v>172</v>
      </c>
      <c r="C1386">
        <v>883.2</v>
      </c>
      <c r="D1386">
        <v>24</v>
      </c>
      <c r="E1386" s="80">
        <v>35331</v>
      </c>
    </row>
    <row r="1387" spans="1:5">
      <c r="A1387">
        <v>10312</v>
      </c>
      <c r="B1387" t="s">
        <v>173</v>
      </c>
      <c r="C1387">
        <v>883.2</v>
      </c>
      <c r="D1387">
        <v>24</v>
      </c>
      <c r="E1387" s="80">
        <v>35331</v>
      </c>
    </row>
    <row r="1388" spans="1:5">
      <c r="A1388">
        <v>10312</v>
      </c>
      <c r="B1388" t="s">
        <v>174</v>
      </c>
      <c r="C1388">
        <v>883.2</v>
      </c>
      <c r="D1388">
        <v>24</v>
      </c>
      <c r="E1388" s="80">
        <v>35331</v>
      </c>
    </row>
    <row r="1389" spans="1:5">
      <c r="A1389">
        <v>10312</v>
      </c>
      <c r="B1389" t="s">
        <v>175</v>
      </c>
      <c r="C1389">
        <v>883.2</v>
      </c>
      <c r="D1389">
        <v>24</v>
      </c>
      <c r="E1389" s="80">
        <v>35331</v>
      </c>
    </row>
    <row r="1390" spans="1:5">
      <c r="A1390">
        <v>10312</v>
      </c>
      <c r="B1390" t="s">
        <v>176</v>
      </c>
      <c r="C1390">
        <v>883.2</v>
      </c>
      <c r="D1390">
        <v>24</v>
      </c>
      <c r="E1390" s="80">
        <v>35331</v>
      </c>
    </row>
    <row r="1391" spans="1:5">
      <c r="A1391">
        <v>10312</v>
      </c>
      <c r="B1391" t="s">
        <v>177</v>
      </c>
      <c r="C1391">
        <v>883.2</v>
      </c>
      <c r="D1391">
        <v>24</v>
      </c>
      <c r="E1391" s="80">
        <v>35331</v>
      </c>
    </row>
    <row r="1392" spans="1:5">
      <c r="A1392">
        <v>10312</v>
      </c>
      <c r="B1392" t="s">
        <v>178</v>
      </c>
      <c r="C1392">
        <v>883.2</v>
      </c>
      <c r="D1392">
        <v>24</v>
      </c>
      <c r="E1392" s="80">
        <v>35331</v>
      </c>
    </row>
    <row r="1393" spans="1:5">
      <c r="A1393">
        <v>10312</v>
      </c>
      <c r="B1393" t="s">
        <v>179</v>
      </c>
      <c r="C1393">
        <v>883.2</v>
      </c>
      <c r="D1393">
        <v>24</v>
      </c>
      <c r="E1393" s="80">
        <v>35331</v>
      </c>
    </row>
    <row r="1394" spans="1:5">
      <c r="A1394">
        <v>10312</v>
      </c>
      <c r="B1394" t="s">
        <v>172</v>
      </c>
      <c r="C1394">
        <v>524</v>
      </c>
      <c r="D1394">
        <v>20</v>
      </c>
      <c r="E1394" s="80">
        <v>35331</v>
      </c>
    </row>
    <row r="1395" spans="1:5">
      <c r="A1395">
        <v>10312</v>
      </c>
      <c r="B1395" t="s">
        <v>173</v>
      </c>
      <c r="C1395">
        <v>524</v>
      </c>
      <c r="D1395">
        <v>20</v>
      </c>
      <c r="E1395" s="80">
        <v>35331</v>
      </c>
    </row>
    <row r="1396" spans="1:5">
      <c r="A1396">
        <v>10312</v>
      </c>
      <c r="B1396" t="s">
        <v>174</v>
      </c>
      <c r="C1396">
        <v>524</v>
      </c>
      <c r="D1396">
        <v>20</v>
      </c>
      <c r="E1396" s="80">
        <v>35331</v>
      </c>
    </row>
    <row r="1397" spans="1:5">
      <c r="A1397">
        <v>10312</v>
      </c>
      <c r="B1397" t="s">
        <v>175</v>
      </c>
      <c r="C1397">
        <v>524</v>
      </c>
      <c r="D1397">
        <v>20</v>
      </c>
      <c r="E1397" s="80">
        <v>35331</v>
      </c>
    </row>
    <row r="1398" spans="1:5">
      <c r="A1398">
        <v>10312</v>
      </c>
      <c r="B1398" t="s">
        <v>176</v>
      </c>
      <c r="C1398">
        <v>524</v>
      </c>
      <c r="D1398">
        <v>20</v>
      </c>
      <c r="E1398" s="80">
        <v>35331</v>
      </c>
    </row>
    <row r="1399" spans="1:5">
      <c r="A1399">
        <v>10312</v>
      </c>
      <c r="B1399" t="s">
        <v>177</v>
      </c>
      <c r="C1399">
        <v>524</v>
      </c>
      <c r="D1399">
        <v>20</v>
      </c>
      <c r="E1399" s="80">
        <v>35331</v>
      </c>
    </row>
    <row r="1400" spans="1:5">
      <c r="A1400">
        <v>10312</v>
      </c>
      <c r="B1400" t="s">
        <v>178</v>
      </c>
      <c r="C1400">
        <v>524</v>
      </c>
      <c r="D1400">
        <v>20</v>
      </c>
      <c r="E1400" s="80">
        <v>35331</v>
      </c>
    </row>
    <row r="1401" spans="1:5">
      <c r="A1401">
        <v>10312</v>
      </c>
      <c r="B1401" t="s">
        <v>179</v>
      </c>
      <c r="C1401">
        <v>524</v>
      </c>
      <c r="D1401">
        <v>20</v>
      </c>
      <c r="E1401" s="80">
        <v>35331</v>
      </c>
    </row>
    <row r="1402" spans="1:5">
      <c r="A1402">
        <v>10312</v>
      </c>
      <c r="B1402" t="s">
        <v>172</v>
      </c>
      <c r="C1402">
        <v>62</v>
      </c>
      <c r="D1402">
        <v>10</v>
      </c>
      <c r="E1402" s="80">
        <v>35331</v>
      </c>
    </row>
    <row r="1403" spans="1:5">
      <c r="A1403">
        <v>10312</v>
      </c>
      <c r="B1403" t="s">
        <v>173</v>
      </c>
      <c r="C1403">
        <v>62</v>
      </c>
      <c r="D1403">
        <v>10</v>
      </c>
      <c r="E1403" s="80">
        <v>35331</v>
      </c>
    </row>
    <row r="1404" spans="1:5">
      <c r="A1404">
        <v>10312</v>
      </c>
      <c r="B1404" t="s">
        <v>174</v>
      </c>
      <c r="C1404">
        <v>62</v>
      </c>
      <c r="D1404">
        <v>10</v>
      </c>
      <c r="E1404" s="80">
        <v>35331</v>
      </c>
    </row>
    <row r="1405" spans="1:5">
      <c r="A1405">
        <v>10312</v>
      </c>
      <c r="B1405" t="s">
        <v>175</v>
      </c>
      <c r="C1405">
        <v>62</v>
      </c>
      <c r="D1405">
        <v>10</v>
      </c>
      <c r="E1405" s="80">
        <v>35331</v>
      </c>
    </row>
    <row r="1406" spans="1:5">
      <c r="A1406">
        <v>10312</v>
      </c>
      <c r="B1406" t="s">
        <v>176</v>
      </c>
      <c r="C1406">
        <v>62</v>
      </c>
      <c r="D1406">
        <v>10</v>
      </c>
      <c r="E1406" s="80">
        <v>35331</v>
      </c>
    </row>
    <row r="1407" spans="1:5">
      <c r="A1407">
        <v>10312</v>
      </c>
      <c r="B1407" t="s">
        <v>177</v>
      </c>
      <c r="C1407">
        <v>62</v>
      </c>
      <c r="D1407">
        <v>10</v>
      </c>
      <c r="E1407" s="80">
        <v>35331</v>
      </c>
    </row>
    <row r="1408" spans="1:5">
      <c r="A1408">
        <v>10312</v>
      </c>
      <c r="B1408" t="s">
        <v>178</v>
      </c>
      <c r="C1408">
        <v>62</v>
      </c>
      <c r="D1408">
        <v>10</v>
      </c>
      <c r="E1408" s="80">
        <v>35331</v>
      </c>
    </row>
    <row r="1409" spans="1:5">
      <c r="A1409">
        <v>10312</v>
      </c>
      <c r="B1409" t="s">
        <v>179</v>
      </c>
      <c r="C1409">
        <v>62</v>
      </c>
      <c r="D1409">
        <v>10</v>
      </c>
      <c r="E1409" s="80">
        <v>35331</v>
      </c>
    </row>
    <row r="1410" spans="1:5">
      <c r="A1410">
        <v>10313</v>
      </c>
      <c r="B1410" t="s">
        <v>172</v>
      </c>
      <c r="C1410">
        <v>182.4</v>
      </c>
      <c r="D1410">
        <v>12</v>
      </c>
      <c r="E1410" s="80">
        <v>35332</v>
      </c>
    </row>
    <row r="1411" spans="1:5">
      <c r="A1411">
        <v>10313</v>
      </c>
      <c r="B1411" t="s">
        <v>173</v>
      </c>
      <c r="C1411">
        <v>182.4</v>
      </c>
      <c r="D1411">
        <v>12</v>
      </c>
      <c r="E1411" s="80">
        <v>35332</v>
      </c>
    </row>
    <row r="1412" spans="1:5">
      <c r="A1412">
        <v>10313</v>
      </c>
      <c r="B1412" t="s">
        <v>174</v>
      </c>
      <c r="C1412">
        <v>182.4</v>
      </c>
      <c r="D1412">
        <v>12</v>
      </c>
      <c r="E1412" s="80">
        <v>35332</v>
      </c>
    </row>
    <row r="1413" spans="1:5">
      <c r="A1413">
        <v>10313</v>
      </c>
      <c r="B1413" t="s">
        <v>175</v>
      </c>
      <c r="C1413">
        <v>182.4</v>
      </c>
      <c r="D1413">
        <v>12</v>
      </c>
      <c r="E1413" s="80">
        <v>35332</v>
      </c>
    </row>
    <row r="1414" spans="1:5">
      <c r="A1414">
        <v>10313</v>
      </c>
      <c r="B1414" t="s">
        <v>176</v>
      </c>
      <c r="C1414">
        <v>182.4</v>
      </c>
      <c r="D1414">
        <v>12</v>
      </c>
      <c r="E1414" s="80">
        <v>35332</v>
      </c>
    </row>
    <row r="1415" spans="1:5">
      <c r="A1415">
        <v>10313</v>
      </c>
      <c r="B1415" t="s">
        <v>177</v>
      </c>
      <c r="C1415">
        <v>182.4</v>
      </c>
      <c r="D1415">
        <v>12</v>
      </c>
      <c r="E1415" s="80">
        <v>35332</v>
      </c>
    </row>
    <row r="1416" spans="1:5">
      <c r="A1416">
        <v>10313</v>
      </c>
      <c r="B1416" t="s">
        <v>178</v>
      </c>
      <c r="C1416">
        <v>182.4</v>
      </c>
      <c r="D1416">
        <v>12</v>
      </c>
      <c r="E1416" s="80">
        <v>35332</v>
      </c>
    </row>
    <row r="1417" spans="1:5">
      <c r="A1417">
        <v>10313</v>
      </c>
      <c r="B1417" t="s">
        <v>179</v>
      </c>
      <c r="C1417">
        <v>182.4</v>
      </c>
      <c r="D1417">
        <v>12</v>
      </c>
      <c r="E1417" s="80">
        <v>35332</v>
      </c>
    </row>
    <row r="1418" spans="1:5">
      <c r="A1418">
        <v>10314</v>
      </c>
      <c r="B1418" t="s">
        <v>172</v>
      </c>
      <c r="C1418">
        <v>921.59999847412109</v>
      </c>
      <c r="D1418">
        <v>40</v>
      </c>
      <c r="E1418" s="80">
        <v>35333</v>
      </c>
    </row>
    <row r="1419" spans="1:5">
      <c r="A1419">
        <v>10314</v>
      </c>
      <c r="B1419" t="s">
        <v>173</v>
      </c>
      <c r="C1419">
        <v>921.59999847412109</v>
      </c>
      <c r="D1419">
        <v>40</v>
      </c>
      <c r="E1419" s="80">
        <v>35333</v>
      </c>
    </row>
    <row r="1420" spans="1:5">
      <c r="A1420">
        <v>10314</v>
      </c>
      <c r="B1420" t="s">
        <v>174</v>
      </c>
      <c r="C1420">
        <v>921.59999847412109</v>
      </c>
      <c r="D1420">
        <v>40</v>
      </c>
      <c r="E1420" s="80">
        <v>35333</v>
      </c>
    </row>
    <row r="1421" spans="1:5">
      <c r="A1421">
        <v>10314</v>
      </c>
      <c r="B1421" t="s">
        <v>175</v>
      </c>
      <c r="C1421">
        <v>921.59999847412109</v>
      </c>
      <c r="D1421">
        <v>40</v>
      </c>
      <c r="E1421" s="80">
        <v>35333</v>
      </c>
    </row>
    <row r="1422" spans="1:5">
      <c r="A1422">
        <v>10314</v>
      </c>
      <c r="B1422" t="s">
        <v>176</v>
      </c>
      <c r="C1422">
        <v>921.59999847412109</v>
      </c>
      <c r="D1422">
        <v>40</v>
      </c>
      <c r="E1422" s="80">
        <v>35333</v>
      </c>
    </row>
    <row r="1423" spans="1:5">
      <c r="A1423">
        <v>10314</v>
      </c>
      <c r="B1423" t="s">
        <v>177</v>
      </c>
      <c r="C1423">
        <v>921.59999847412109</v>
      </c>
      <c r="D1423">
        <v>40</v>
      </c>
      <c r="E1423" s="80">
        <v>35333</v>
      </c>
    </row>
    <row r="1424" spans="1:5">
      <c r="A1424">
        <v>10314</v>
      </c>
      <c r="B1424" t="s">
        <v>178</v>
      </c>
      <c r="C1424">
        <v>921.59999847412109</v>
      </c>
      <c r="D1424">
        <v>40</v>
      </c>
      <c r="E1424" s="80">
        <v>35333</v>
      </c>
    </row>
    <row r="1425" spans="1:5">
      <c r="A1425">
        <v>10314</v>
      </c>
      <c r="B1425" t="s">
        <v>179</v>
      </c>
      <c r="C1425">
        <v>921.59999847412109</v>
      </c>
      <c r="D1425">
        <v>40</v>
      </c>
      <c r="E1425" s="80">
        <v>35333</v>
      </c>
    </row>
    <row r="1426" spans="1:5">
      <c r="A1426">
        <v>10314</v>
      </c>
      <c r="B1426" t="s">
        <v>172</v>
      </c>
      <c r="C1426">
        <v>286.19999952614307</v>
      </c>
      <c r="D1426">
        <v>30</v>
      </c>
      <c r="E1426" s="80">
        <v>35333</v>
      </c>
    </row>
    <row r="1427" spans="1:5">
      <c r="A1427">
        <v>10314</v>
      </c>
      <c r="B1427" t="s">
        <v>173</v>
      </c>
      <c r="C1427">
        <v>286.19999952614307</v>
      </c>
      <c r="D1427">
        <v>30</v>
      </c>
      <c r="E1427" s="80">
        <v>35333</v>
      </c>
    </row>
    <row r="1428" spans="1:5">
      <c r="A1428">
        <v>10314</v>
      </c>
      <c r="B1428" t="s">
        <v>174</v>
      </c>
      <c r="C1428">
        <v>286.19999952614307</v>
      </c>
      <c r="D1428">
        <v>30</v>
      </c>
      <c r="E1428" s="80">
        <v>35333</v>
      </c>
    </row>
    <row r="1429" spans="1:5">
      <c r="A1429">
        <v>10314</v>
      </c>
      <c r="B1429" t="s">
        <v>175</v>
      </c>
      <c r="C1429">
        <v>286.19999952614307</v>
      </c>
      <c r="D1429">
        <v>30</v>
      </c>
      <c r="E1429" s="80">
        <v>35333</v>
      </c>
    </row>
    <row r="1430" spans="1:5">
      <c r="A1430">
        <v>10314</v>
      </c>
      <c r="B1430" t="s">
        <v>176</v>
      </c>
      <c r="C1430">
        <v>286.19999952614307</v>
      </c>
      <c r="D1430">
        <v>30</v>
      </c>
      <c r="E1430" s="80">
        <v>35333</v>
      </c>
    </row>
    <row r="1431" spans="1:5">
      <c r="A1431">
        <v>10314</v>
      </c>
      <c r="B1431" t="s">
        <v>177</v>
      </c>
      <c r="C1431">
        <v>286.19999952614307</v>
      </c>
      <c r="D1431">
        <v>30</v>
      </c>
      <c r="E1431" s="80">
        <v>35333</v>
      </c>
    </row>
    <row r="1432" spans="1:5">
      <c r="A1432">
        <v>10314</v>
      </c>
      <c r="B1432" t="s">
        <v>178</v>
      </c>
      <c r="C1432">
        <v>286.19999952614307</v>
      </c>
      <c r="D1432">
        <v>30</v>
      </c>
      <c r="E1432" s="80">
        <v>35333</v>
      </c>
    </row>
    <row r="1433" spans="1:5">
      <c r="A1433">
        <v>10314</v>
      </c>
      <c r="B1433" t="s">
        <v>179</v>
      </c>
      <c r="C1433">
        <v>286.19999952614307</v>
      </c>
      <c r="D1433">
        <v>30</v>
      </c>
      <c r="E1433" s="80">
        <v>35333</v>
      </c>
    </row>
    <row r="1434" spans="1:5">
      <c r="A1434">
        <v>10314</v>
      </c>
      <c r="B1434" t="s">
        <v>172</v>
      </c>
      <c r="C1434">
        <v>886.49999853223562</v>
      </c>
      <c r="D1434">
        <v>25</v>
      </c>
      <c r="E1434" s="80">
        <v>35333</v>
      </c>
    </row>
    <row r="1435" spans="1:5">
      <c r="A1435">
        <v>10314</v>
      </c>
      <c r="B1435" t="s">
        <v>173</v>
      </c>
      <c r="C1435">
        <v>886.49999853223562</v>
      </c>
      <c r="D1435">
        <v>25</v>
      </c>
      <c r="E1435" s="80">
        <v>35333</v>
      </c>
    </row>
    <row r="1436" spans="1:5">
      <c r="A1436">
        <v>10314</v>
      </c>
      <c r="B1436" t="s">
        <v>174</v>
      </c>
      <c r="C1436">
        <v>886.49999853223562</v>
      </c>
      <c r="D1436">
        <v>25</v>
      </c>
      <c r="E1436" s="80">
        <v>35333</v>
      </c>
    </row>
    <row r="1437" spans="1:5">
      <c r="A1437">
        <v>10314</v>
      </c>
      <c r="B1437" t="s">
        <v>175</v>
      </c>
      <c r="C1437">
        <v>886.49999853223562</v>
      </c>
      <c r="D1437">
        <v>25</v>
      </c>
      <c r="E1437" s="80">
        <v>35333</v>
      </c>
    </row>
    <row r="1438" spans="1:5">
      <c r="A1438">
        <v>10314</v>
      </c>
      <c r="B1438" t="s">
        <v>176</v>
      </c>
      <c r="C1438">
        <v>886.49999853223562</v>
      </c>
      <c r="D1438">
        <v>25</v>
      </c>
      <c r="E1438" s="80">
        <v>35333</v>
      </c>
    </row>
    <row r="1439" spans="1:5">
      <c r="A1439">
        <v>10314</v>
      </c>
      <c r="B1439" t="s">
        <v>177</v>
      </c>
      <c r="C1439">
        <v>886.49999853223562</v>
      </c>
      <c r="D1439">
        <v>25</v>
      </c>
      <c r="E1439" s="80">
        <v>35333</v>
      </c>
    </row>
    <row r="1440" spans="1:5">
      <c r="A1440">
        <v>10314</v>
      </c>
      <c r="B1440" t="s">
        <v>178</v>
      </c>
      <c r="C1440">
        <v>886.49999853223562</v>
      </c>
      <c r="D1440">
        <v>25</v>
      </c>
      <c r="E1440" s="80">
        <v>35333</v>
      </c>
    </row>
    <row r="1441" spans="1:5">
      <c r="A1441">
        <v>10314</v>
      </c>
      <c r="B1441" t="s">
        <v>179</v>
      </c>
      <c r="C1441">
        <v>886.49999853223562</v>
      </c>
      <c r="D1441">
        <v>25</v>
      </c>
      <c r="E1441" s="80">
        <v>35333</v>
      </c>
    </row>
    <row r="1442" spans="1:5">
      <c r="A1442">
        <v>10315</v>
      </c>
      <c r="B1442" t="s">
        <v>172</v>
      </c>
      <c r="C1442">
        <v>156.80000000000001</v>
      </c>
      <c r="D1442">
        <v>14</v>
      </c>
      <c r="E1442" s="80">
        <v>35334</v>
      </c>
    </row>
    <row r="1443" spans="1:5">
      <c r="A1443">
        <v>10315</v>
      </c>
      <c r="B1443" t="s">
        <v>173</v>
      </c>
      <c r="C1443">
        <v>156.80000000000001</v>
      </c>
      <c r="D1443">
        <v>14</v>
      </c>
      <c r="E1443" s="80">
        <v>35334</v>
      </c>
    </row>
    <row r="1444" spans="1:5">
      <c r="A1444">
        <v>10315</v>
      </c>
      <c r="B1444" t="s">
        <v>174</v>
      </c>
      <c r="C1444">
        <v>156.80000000000001</v>
      </c>
      <c r="D1444">
        <v>14</v>
      </c>
      <c r="E1444" s="80">
        <v>35334</v>
      </c>
    </row>
    <row r="1445" spans="1:5">
      <c r="A1445">
        <v>10315</v>
      </c>
      <c r="B1445" t="s">
        <v>175</v>
      </c>
      <c r="C1445">
        <v>156.80000000000001</v>
      </c>
      <c r="D1445">
        <v>14</v>
      </c>
      <c r="E1445" s="80">
        <v>35334</v>
      </c>
    </row>
    <row r="1446" spans="1:5">
      <c r="A1446">
        <v>10315</v>
      </c>
      <c r="B1446" t="s">
        <v>176</v>
      </c>
      <c r="C1446">
        <v>156.80000000000001</v>
      </c>
      <c r="D1446">
        <v>14</v>
      </c>
      <c r="E1446" s="80">
        <v>35334</v>
      </c>
    </row>
    <row r="1447" spans="1:5">
      <c r="A1447">
        <v>10315</v>
      </c>
      <c r="B1447" t="s">
        <v>177</v>
      </c>
      <c r="C1447">
        <v>156.80000000000001</v>
      </c>
      <c r="D1447">
        <v>14</v>
      </c>
      <c r="E1447" s="80">
        <v>35334</v>
      </c>
    </row>
    <row r="1448" spans="1:5">
      <c r="A1448">
        <v>10315</v>
      </c>
      <c r="B1448" t="s">
        <v>178</v>
      </c>
      <c r="C1448">
        <v>156.80000000000001</v>
      </c>
      <c r="D1448">
        <v>14</v>
      </c>
      <c r="E1448" s="80">
        <v>35334</v>
      </c>
    </row>
    <row r="1449" spans="1:5">
      <c r="A1449">
        <v>10315</v>
      </c>
      <c r="B1449" t="s">
        <v>179</v>
      </c>
      <c r="C1449">
        <v>156.80000000000001</v>
      </c>
      <c r="D1449">
        <v>14</v>
      </c>
      <c r="E1449" s="80">
        <v>35334</v>
      </c>
    </row>
    <row r="1450" spans="1:5">
      <c r="A1450">
        <v>10315</v>
      </c>
      <c r="B1450" t="s">
        <v>172</v>
      </c>
      <c r="C1450">
        <v>360</v>
      </c>
      <c r="D1450">
        <v>30</v>
      </c>
      <c r="E1450" s="80">
        <v>35334</v>
      </c>
    </row>
    <row r="1451" spans="1:5">
      <c r="A1451">
        <v>10315</v>
      </c>
      <c r="B1451" t="s">
        <v>173</v>
      </c>
      <c r="C1451">
        <v>360</v>
      </c>
      <c r="D1451">
        <v>30</v>
      </c>
      <c r="E1451" s="80">
        <v>35334</v>
      </c>
    </row>
    <row r="1452" spans="1:5">
      <c r="A1452">
        <v>10315</v>
      </c>
      <c r="B1452" t="s">
        <v>174</v>
      </c>
      <c r="C1452">
        <v>360</v>
      </c>
      <c r="D1452">
        <v>30</v>
      </c>
      <c r="E1452" s="80">
        <v>35334</v>
      </c>
    </row>
    <row r="1453" spans="1:5">
      <c r="A1453">
        <v>10315</v>
      </c>
      <c r="B1453" t="s">
        <v>175</v>
      </c>
      <c r="C1453">
        <v>360</v>
      </c>
      <c r="D1453">
        <v>30</v>
      </c>
      <c r="E1453" s="80">
        <v>35334</v>
      </c>
    </row>
    <row r="1454" spans="1:5">
      <c r="A1454">
        <v>10315</v>
      </c>
      <c r="B1454" t="s">
        <v>176</v>
      </c>
      <c r="C1454">
        <v>360</v>
      </c>
      <c r="D1454">
        <v>30</v>
      </c>
      <c r="E1454" s="80">
        <v>35334</v>
      </c>
    </row>
    <row r="1455" spans="1:5">
      <c r="A1455">
        <v>10315</v>
      </c>
      <c r="B1455" t="s">
        <v>177</v>
      </c>
      <c r="C1455">
        <v>360</v>
      </c>
      <c r="D1455">
        <v>30</v>
      </c>
      <c r="E1455" s="80">
        <v>35334</v>
      </c>
    </row>
    <row r="1456" spans="1:5">
      <c r="A1456">
        <v>10315</v>
      </c>
      <c r="B1456" t="s">
        <v>178</v>
      </c>
      <c r="C1456">
        <v>360</v>
      </c>
      <c r="D1456">
        <v>30</v>
      </c>
      <c r="E1456" s="80">
        <v>35334</v>
      </c>
    </row>
    <row r="1457" spans="1:5">
      <c r="A1457">
        <v>10315</v>
      </c>
      <c r="B1457" t="s">
        <v>179</v>
      </c>
      <c r="C1457">
        <v>360</v>
      </c>
      <c r="D1457">
        <v>30</v>
      </c>
      <c r="E1457" s="80">
        <v>35334</v>
      </c>
    </row>
    <row r="1458" spans="1:5">
      <c r="A1458">
        <v>10316</v>
      </c>
      <c r="B1458" t="s">
        <v>172</v>
      </c>
      <c r="C1458">
        <v>77</v>
      </c>
      <c r="D1458">
        <v>10</v>
      </c>
      <c r="E1458" s="80">
        <v>35335</v>
      </c>
    </row>
    <row r="1459" spans="1:5">
      <c r="A1459">
        <v>10316</v>
      </c>
      <c r="B1459" t="s">
        <v>173</v>
      </c>
      <c r="C1459">
        <v>77</v>
      </c>
      <c r="D1459">
        <v>10</v>
      </c>
      <c r="E1459" s="80">
        <v>35335</v>
      </c>
    </row>
    <row r="1460" spans="1:5">
      <c r="A1460">
        <v>10316</v>
      </c>
      <c r="B1460" t="s">
        <v>174</v>
      </c>
      <c r="C1460">
        <v>77</v>
      </c>
      <c r="D1460">
        <v>10</v>
      </c>
      <c r="E1460" s="80">
        <v>35335</v>
      </c>
    </row>
    <row r="1461" spans="1:5">
      <c r="A1461">
        <v>10316</v>
      </c>
      <c r="B1461" t="s">
        <v>175</v>
      </c>
      <c r="C1461">
        <v>77</v>
      </c>
      <c r="D1461">
        <v>10</v>
      </c>
      <c r="E1461" s="80">
        <v>35335</v>
      </c>
    </row>
    <row r="1462" spans="1:5">
      <c r="A1462">
        <v>10316</v>
      </c>
      <c r="B1462" t="s">
        <v>176</v>
      </c>
      <c r="C1462">
        <v>77</v>
      </c>
      <c r="D1462">
        <v>10</v>
      </c>
      <c r="E1462" s="80">
        <v>35335</v>
      </c>
    </row>
    <row r="1463" spans="1:5">
      <c r="A1463">
        <v>10316</v>
      </c>
      <c r="B1463" t="s">
        <v>177</v>
      </c>
      <c r="C1463">
        <v>77</v>
      </c>
      <c r="D1463">
        <v>10</v>
      </c>
      <c r="E1463" s="80">
        <v>35335</v>
      </c>
    </row>
    <row r="1464" spans="1:5">
      <c r="A1464">
        <v>10316</v>
      </c>
      <c r="B1464" t="s">
        <v>178</v>
      </c>
      <c r="C1464">
        <v>77</v>
      </c>
      <c r="D1464">
        <v>10</v>
      </c>
      <c r="E1464" s="80">
        <v>35335</v>
      </c>
    </row>
    <row r="1465" spans="1:5">
      <c r="A1465">
        <v>10316</v>
      </c>
      <c r="B1465" t="s">
        <v>179</v>
      </c>
      <c r="C1465">
        <v>77</v>
      </c>
      <c r="D1465">
        <v>10</v>
      </c>
      <c r="E1465" s="80">
        <v>35335</v>
      </c>
    </row>
    <row r="1466" spans="1:5">
      <c r="A1466">
        <v>10316</v>
      </c>
      <c r="B1466" t="s">
        <v>172</v>
      </c>
      <c r="C1466">
        <v>2758</v>
      </c>
      <c r="D1466">
        <v>70</v>
      </c>
      <c r="E1466" s="80">
        <v>35335</v>
      </c>
    </row>
    <row r="1467" spans="1:5">
      <c r="A1467">
        <v>10316</v>
      </c>
      <c r="B1467" t="s">
        <v>173</v>
      </c>
      <c r="C1467">
        <v>2758</v>
      </c>
      <c r="D1467">
        <v>70</v>
      </c>
      <c r="E1467" s="80">
        <v>35335</v>
      </c>
    </row>
    <row r="1468" spans="1:5">
      <c r="A1468">
        <v>10316</v>
      </c>
      <c r="B1468" t="s">
        <v>174</v>
      </c>
      <c r="C1468">
        <v>2758</v>
      </c>
      <c r="D1468">
        <v>70</v>
      </c>
      <c r="E1468" s="80">
        <v>35335</v>
      </c>
    </row>
    <row r="1469" spans="1:5">
      <c r="A1469">
        <v>10316</v>
      </c>
      <c r="B1469" t="s">
        <v>175</v>
      </c>
      <c r="C1469">
        <v>2758</v>
      </c>
      <c r="D1469">
        <v>70</v>
      </c>
      <c r="E1469" s="80">
        <v>35335</v>
      </c>
    </row>
    <row r="1470" spans="1:5">
      <c r="A1470">
        <v>10316</v>
      </c>
      <c r="B1470" t="s">
        <v>176</v>
      </c>
      <c r="C1470">
        <v>2758</v>
      </c>
      <c r="D1470">
        <v>70</v>
      </c>
      <c r="E1470" s="80">
        <v>35335</v>
      </c>
    </row>
    <row r="1471" spans="1:5">
      <c r="A1471">
        <v>10316</v>
      </c>
      <c r="B1471" t="s">
        <v>177</v>
      </c>
      <c r="C1471">
        <v>2758</v>
      </c>
      <c r="D1471">
        <v>70</v>
      </c>
      <c r="E1471" s="80">
        <v>35335</v>
      </c>
    </row>
    <row r="1472" spans="1:5">
      <c r="A1472">
        <v>10316</v>
      </c>
      <c r="B1472" t="s">
        <v>178</v>
      </c>
      <c r="C1472">
        <v>2758</v>
      </c>
      <c r="D1472">
        <v>70</v>
      </c>
      <c r="E1472" s="80">
        <v>35335</v>
      </c>
    </row>
    <row r="1473" spans="1:5">
      <c r="A1473">
        <v>10316</v>
      </c>
      <c r="B1473" t="s">
        <v>179</v>
      </c>
      <c r="C1473">
        <v>2758</v>
      </c>
      <c r="D1473">
        <v>70</v>
      </c>
      <c r="E1473" s="80">
        <v>35335</v>
      </c>
    </row>
    <row r="1474" spans="1:5">
      <c r="A1474">
        <v>10317</v>
      </c>
      <c r="B1474" t="s">
        <v>172</v>
      </c>
      <c r="C1474">
        <v>288</v>
      </c>
      <c r="D1474">
        <v>20</v>
      </c>
      <c r="E1474" s="80">
        <v>35338</v>
      </c>
    </row>
    <row r="1475" spans="1:5">
      <c r="A1475">
        <v>10317</v>
      </c>
      <c r="B1475" t="s">
        <v>173</v>
      </c>
      <c r="C1475">
        <v>288</v>
      </c>
      <c r="D1475">
        <v>20</v>
      </c>
      <c r="E1475" s="80">
        <v>35338</v>
      </c>
    </row>
    <row r="1476" spans="1:5">
      <c r="A1476">
        <v>10317</v>
      </c>
      <c r="B1476" t="s">
        <v>174</v>
      </c>
      <c r="C1476">
        <v>288</v>
      </c>
      <c r="D1476">
        <v>20</v>
      </c>
      <c r="E1476" s="80">
        <v>35338</v>
      </c>
    </row>
    <row r="1477" spans="1:5">
      <c r="A1477">
        <v>10317</v>
      </c>
      <c r="B1477" t="s">
        <v>175</v>
      </c>
      <c r="C1477">
        <v>288</v>
      </c>
      <c r="D1477">
        <v>20</v>
      </c>
      <c r="E1477" s="80">
        <v>35338</v>
      </c>
    </row>
    <row r="1478" spans="1:5">
      <c r="A1478">
        <v>10317</v>
      </c>
      <c r="B1478" t="s">
        <v>176</v>
      </c>
      <c r="C1478">
        <v>288</v>
      </c>
      <c r="D1478">
        <v>20</v>
      </c>
      <c r="E1478" s="80">
        <v>35338</v>
      </c>
    </row>
    <row r="1479" spans="1:5">
      <c r="A1479">
        <v>10317</v>
      </c>
      <c r="B1479" t="s">
        <v>177</v>
      </c>
      <c r="C1479">
        <v>288</v>
      </c>
      <c r="D1479">
        <v>20</v>
      </c>
      <c r="E1479" s="80">
        <v>35338</v>
      </c>
    </row>
    <row r="1480" spans="1:5">
      <c r="A1480">
        <v>10317</v>
      </c>
      <c r="B1480" t="s">
        <v>178</v>
      </c>
      <c r="C1480">
        <v>288</v>
      </c>
      <c r="D1480">
        <v>20</v>
      </c>
      <c r="E1480" s="80">
        <v>35338</v>
      </c>
    </row>
    <row r="1481" spans="1:5">
      <c r="A1481">
        <v>10317</v>
      </c>
      <c r="B1481" t="s">
        <v>179</v>
      </c>
      <c r="C1481">
        <v>288</v>
      </c>
      <c r="D1481">
        <v>20</v>
      </c>
      <c r="E1481" s="80">
        <v>35338</v>
      </c>
    </row>
    <row r="1482" spans="1:5">
      <c r="A1482">
        <v>10318</v>
      </c>
      <c r="B1482" t="s">
        <v>172</v>
      </c>
      <c r="C1482">
        <v>154</v>
      </c>
      <c r="D1482">
        <v>20</v>
      </c>
      <c r="E1482" s="80">
        <v>35339</v>
      </c>
    </row>
    <row r="1483" spans="1:5">
      <c r="A1483">
        <v>10318</v>
      </c>
      <c r="B1483" t="s">
        <v>173</v>
      </c>
      <c r="C1483">
        <v>154</v>
      </c>
      <c r="D1483">
        <v>20</v>
      </c>
      <c r="E1483" s="80">
        <v>35339</v>
      </c>
    </row>
    <row r="1484" spans="1:5">
      <c r="A1484">
        <v>10318</v>
      </c>
      <c r="B1484" t="s">
        <v>174</v>
      </c>
      <c r="C1484">
        <v>154</v>
      </c>
      <c r="D1484">
        <v>20</v>
      </c>
      <c r="E1484" s="80">
        <v>35339</v>
      </c>
    </row>
    <row r="1485" spans="1:5">
      <c r="A1485">
        <v>10318</v>
      </c>
      <c r="B1485" t="s">
        <v>175</v>
      </c>
      <c r="C1485">
        <v>154</v>
      </c>
      <c r="D1485">
        <v>20</v>
      </c>
      <c r="E1485" s="80">
        <v>35339</v>
      </c>
    </row>
    <row r="1486" spans="1:5">
      <c r="A1486">
        <v>10318</v>
      </c>
      <c r="B1486" t="s">
        <v>176</v>
      </c>
      <c r="C1486">
        <v>154</v>
      </c>
      <c r="D1486">
        <v>20</v>
      </c>
      <c r="E1486" s="80">
        <v>35339</v>
      </c>
    </row>
    <row r="1487" spans="1:5">
      <c r="A1487">
        <v>10318</v>
      </c>
      <c r="B1487" t="s">
        <v>177</v>
      </c>
      <c r="C1487">
        <v>154</v>
      </c>
      <c r="D1487">
        <v>20</v>
      </c>
      <c r="E1487" s="80">
        <v>35339</v>
      </c>
    </row>
    <row r="1488" spans="1:5">
      <c r="A1488">
        <v>10318</v>
      </c>
      <c r="B1488" t="s">
        <v>178</v>
      </c>
      <c r="C1488">
        <v>154</v>
      </c>
      <c r="D1488">
        <v>20</v>
      </c>
      <c r="E1488" s="80">
        <v>35339</v>
      </c>
    </row>
    <row r="1489" spans="1:5">
      <c r="A1489">
        <v>10318</v>
      </c>
      <c r="B1489" t="s">
        <v>179</v>
      </c>
      <c r="C1489">
        <v>154</v>
      </c>
      <c r="D1489">
        <v>20</v>
      </c>
      <c r="E1489" s="80">
        <v>35339</v>
      </c>
    </row>
    <row r="1490" spans="1:5">
      <c r="A1490">
        <v>10318</v>
      </c>
      <c r="B1490" t="s">
        <v>172</v>
      </c>
      <c r="C1490">
        <v>86.4</v>
      </c>
      <c r="D1490">
        <v>6</v>
      </c>
      <c r="E1490" s="80">
        <v>35339</v>
      </c>
    </row>
    <row r="1491" spans="1:5">
      <c r="A1491">
        <v>10318</v>
      </c>
      <c r="B1491" t="s">
        <v>173</v>
      </c>
      <c r="C1491">
        <v>86.4</v>
      </c>
      <c r="D1491">
        <v>6</v>
      </c>
      <c r="E1491" s="80">
        <v>35339</v>
      </c>
    </row>
    <row r="1492" spans="1:5">
      <c r="A1492">
        <v>10318</v>
      </c>
      <c r="B1492" t="s">
        <v>174</v>
      </c>
      <c r="C1492">
        <v>86.4</v>
      </c>
      <c r="D1492">
        <v>6</v>
      </c>
      <c r="E1492" s="80">
        <v>35339</v>
      </c>
    </row>
    <row r="1493" spans="1:5">
      <c r="A1493">
        <v>10318</v>
      </c>
      <c r="B1493" t="s">
        <v>175</v>
      </c>
      <c r="C1493">
        <v>86.4</v>
      </c>
      <c r="D1493">
        <v>6</v>
      </c>
      <c r="E1493" s="80">
        <v>35339</v>
      </c>
    </row>
    <row r="1494" spans="1:5">
      <c r="A1494">
        <v>10318</v>
      </c>
      <c r="B1494" t="s">
        <v>176</v>
      </c>
      <c r="C1494">
        <v>86.4</v>
      </c>
      <c r="D1494">
        <v>6</v>
      </c>
      <c r="E1494" s="80">
        <v>35339</v>
      </c>
    </row>
    <row r="1495" spans="1:5">
      <c r="A1495">
        <v>10318</v>
      </c>
      <c r="B1495" t="s">
        <v>177</v>
      </c>
      <c r="C1495">
        <v>86.4</v>
      </c>
      <c r="D1495">
        <v>6</v>
      </c>
      <c r="E1495" s="80">
        <v>35339</v>
      </c>
    </row>
    <row r="1496" spans="1:5">
      <c r="A1496">
        <v>10318</v>
      </c>
      <c r="B1496" t="s">
        <v>178</v>
      </c>
      <c r="C1496">
        <v>86.4</v>
      </c>
      <c r="D1496">
        <v>6</v>
      </c>
      <c r="E1496" s="80">
        <v>35339</v>
      </c>
    </row>
    <row r="1497" spans="1:5">
      <c r="A1497">
        <v>10318</v>
      </c>
      <c r="B1497" t="s">
        <v>179</v>
      </c>
      <c r="C1497">
        <v>86.4</v>
      </c>
      <c r="D1497">
        <v>6</v>
      </c>
      <c r="E1497" s="80">
        <v>35339</v>
      </c>
    </row>
    <row r="1498" spans="1:5">
      <c r="A1498">
        <v>10319</v>
      </c>
      <c r="B1498" t="s">
        <v>172</v>
      </c>
      <c r="C1498">
        <v>249.6</v>
      </c>
      <c r="D1498">
        <v>8</v>
      </c>
      <c r="E1498" s="80">
        <v>35340</v>
      </c>
    </row>
    <row r="1499" spans="1:5">
      <c r="A1499">
        <v>10319</v>
      </c>
      <c r="B1499" t="s">
        <v>173</v>
      </c>
      <c r="C1499">
        <v>249.6</v>
      </c>
      <c r="D1499">
        <v>8</v>
      </c>
      <c r="E1499" s="80">
        <v>35340</v>
      </c>
    </row>
    <row r="1500" spans="1:5">
      <c r="A1500">
        <v>10319</v>
      </c>
      <c r="B1500" t="s">
        <v>174</v>
      </c>
      <c r="C1500">
        <v>249.6</v>
      </c>
      <c r="D1500">
        <v>8</v>
      </c>
      <c r="E1500" s="80">
        <v>35340</v>
      </c>
    </row>
    <row r="1501" spans="1:5">
      <c r="A1501">
        <v>10319</v>
      </c>
      <c r="B1501" t="s">
        <v>175</v>
      </c>
      <c r="C1501">
        <v>249.6</v>
      </c>
      <c r="D1501">
        <v>8</v>
      </c>
      <c r="E1501" s="80">
        <v>35340</v>
      </c>
    </row>
    <row r="1502" spans="1:5">
      <c r="A1502">
        <v>10319</v>
      </c>
      <c r="B1502" t="s">
        <v>176</v>
      </c>
      <c r="C1502">
        <v>249.6</v>
      </c>
      <c r="D1502">
        <v>8</v>
      </c>
      <c r="E1502" s="80">
        <v>35340</v>
      </c>
    </row>
    <row r="1503" spans="1:5">
      <c r="A1503">
        <v>10319</v>
      </c>
      <c r="B1503" t="s">
        <v>177</v>
      </c>
      <c r="C1503">
        <v>249.6</v>
      </c>
      <c r="D1503">
        <v>8</v>
      </c>
      <c r="E1503" s="80">
        <v>35340</v>
      </c>
    </row>
    <row r="1504" spans="1:5">
      <c r="A1504">
        <v>10319</v>
      </c>
      <c r="B1504" t="s">
        <v>178</v>
      </c>
      <c r="C1504">
        <v>249.6</v>
      </c>
      <c r="D1504">
        <v>8</v>
      </c>
      <c r="E1504" s="80">
        <v>35340</v>
      </c>
    </row>
    <row r="1505" spans="1:5">
      <c r="A1505">
        <v>10319</v>
      </c>
      <c r="B1505" t="s">
        <v>179</v>
      </c>
      <c r="C1505">
        <v>249.6</v>
      </c>
      <c r="D1505">
        <v>8</v>
      </c>
      <c r="E1505" s="80">
        <v>35340</v>
      </c>
    </row>
    <row r="1506" spans="1:5">
      <c r="A1506">
        <v>10319</v>
      </c>
      <c r="B1506" t="s">
        <v>172</v>
      </c>
      <c r="C1506">
        <v>509.6</v>
      </c>
      <c r="D1506">
        <v>14</v>
      </c>
      <c r="E1506" s="80">
        <v>35340</v>
      </c>
    </row>
    <row r="1507" spans="1:5">
      <c r="A1507">
        <v>10319</v>
      </c>
      <c r="B1507" t="s">
        <v>173</v>
      </c>
      <c r="C1507">
        <v>509.6</v>
      </c>
      <c r="D1507">
        <v>14</v>
      </c>
      <c r="E1507" s="80">
        <v>35340</v>
      </c>
    </row>
    <row r="1508" spans="1:5">
      <c r="A1508">
        <v>10319</v>
      </c>
      <c r="B1508" t="s">
        <v>174</v>
      </c>
      <c r="C1508">
        <v>509.6</v>
      </c>
      <c r="D1508">
        <v>14</v>
      </c>
      <c r="E1508" s="80">
        <v>35340</v>
      </c>
    </row>
    <row r="1509" spans="1:5">
      <c r="A1509">
        <v>10319</v>
      </c>
      <c r="B1509" t="s">
        <v>175</v>
      </c>
      <c r="C1509">
        <v>509.6</v>
      </c>
      <c r="D1509">
        <v>14</v>
      </c>
      <c r="E1509" s="80">
        <v>35340</v>
      </c>
    </row>
    <row r="1510" spans="1:5">
      <c r="A1510">
        <v>10319</v>
      </c>
      <c r="B1510" t="s">
        <v>176</v>
      </c>
      <c r="C1510">
        <v>509.6</v>
      </c>
      <c r="D1510">
        <v>14</v>
      </c>
      <c r="E1510" s="80">
        <v>35340</v>
      </c>
    </row>
    <row r="1511" spans="1:5">
      <c r="A1511">
        <v>10319</v>
      </c>
      <c r="B1511" t="s">
        <v>177</v>
      </c>
      <c r="C1511">
        <v>509.6</v>
      </c>
      <c r="D1511">
        <v>14</v>
      </c>
      <c r="E1511" s="80">
        <v>35340</v>
      </c>
    </row>
    <row r="1512" spans="1:5">
      <c r="A1512">
        <v>10319</v>
      </c>
      <c r="B1512" t="s">
        <v>178</v>
      </c>
      <c r="C1512">
        <v>509.6</v>
      </c>
      <c r="D1512">
        <v>14</v>
      </c>
      <c r="E1512" s="80">
        <v>35340</v>
      </c>
    </row>
    <row r="1513" spans="1:5">
      <c r="A1513">
        <v>10319</v>
      </c>
      <c r="B1513" t="s">
        <v>179</v>
      </c>
      <c r="C1513">
        <v>509.6</v>
      </c>
      <c r="D1513">
        <v>14</v>
      </c>
      <c r="E1513" s="80">
        <v>35340</v>
      </c>
    </row>
    <row r="1514" spans="1:5">
      <c r="A1514">
        <v>10319</v>
      </c>
      <c r="B1514" t="s">
        <v>172</v>
      </c>
      <c r="C1514">
        <v>432</v>
      </c>
      <c r="D1514">
        <v>30</v>
      </c>
      <c r="E1514" s="80">
        <v>35340</v>
      </c>
    </row>
    <row r="1515" spans="1:5">
      <c r="A1515">
        <v>10319</v>
      </c>
      <c r="B1515" t="s">
        <v>173</v>
      </c>
      <c r="C1515">
        <v>432</v>
      </c>
      <c r="D1515">
        <v>30</v>
      </c>
      <c r="E1515" s="80">
        <v>35340</v>
      </c>
    </row>
    <row r="1516" spans="1:5">
      <c r="A1516">
        <v>10319</v>
      </c>
      <c r="B1516" t="s">
        <v>174</v>
      </c>
      <c r="C1516">
        <v>432</v>
      </c>
      <c r="D1516">
        <v>30</v>
      </c>
      <c r="E1516" s="80">
        <v>35340</v>
      </c>
    </row>
    <row r="1517" spans="1:5">
      <c r="A1517">
        <v>10319</v>
      </c>
      <c r="B1517" t="s">
        <v>175</v>
      </c>
      <c r="C1517">
        <v>432</v>
      </c>
      <c r="D1517">
        <v>30</v>
      </c>
      <c r="E1517" s="80">
        <v>35340</v>
      </c>
    </row>
    <row r="1518" spans="1:5">
      <c r="A1518">
        <v>10319</v>
      </c>
      <c r="B1518" t="s">
        <v>176</v>
      </c>
      <c r="C1518">
        <v>432</v>
      </c>
      <c r="D1518">
        <v>30</v>
      </c>
      <c r="E1518" s="80">
        <v>35340</v>
      </c>
    </row>
    <row r="1519" spans="1:5">
      <c r="A1519">
        <v>10319</v>
      </c>
      <c r="B1519" t="s">
        <v>177</v>
      </c>
      <c r="C1519">
        <v>432</v>
      </c>
      <c r="D1519">
        <v>30</v>
      </c>
      <c r="E1519" s="80">
        <v>35340</v>
      </c>
    </row>
    <row r="1520" spans="1:5">
      <c r="A1520">
        <v>10319</v>
      </c>
      <c r="B1520" t="s">
        <v>178</v>
      </c>
      <c r="C1520">
        <v>432</v>
      </c>
      <c r="D1520">
        <v>30</v>
      </c>
      <c r="E1520" s="80">
        <v>35340</v>
      </c>
    </row>
    <row r="1521" spans="1:5">
      <c r="A1521">
        <v>10319</v>
      </c>
      <c r="B1521" t="s">
        <v>179</v>
      </c>
      <c r="C1521">
        <v>432</v>
      </c>
      <c r="D1521">
        <v>30</v>
      </c>
      <c r="E1521" s="80">
        <v>35340</v>
      </c>
    </row>
    <row r="1522" spans="1:5">
      <c r="A1522">
        <v>10320</v>
      </c>
      <c r="B1522" t="s">
        <v>172</v>
      </c>
      <c r="C1522">
        <v>516</v>
      </c>
      <c r="D1522">
        <v>30</v>
      </c>
      <c r="E1522" s="80">
        <v>35341</v>
      </c>
    </row>
    <row r="1523" spans="1:5">
      <c r="A1523">
        <v>10320</v>
      </c>
      <c r="B1523" t="s">
        <v>173</v>
      </c>
      <c r="C1523">
        <v>516</v>
      </c>
      <c r="D1523">
        <v>30</v>
      </c>
      <c r="E1523" s="80">
        <v>35341</v>
      </c>
    </row>
    <row r="1524" spans="1:5">
      <c r="A1524">
        <v>10320</v>
      </c>
      <c r="B1524" t="s">
        <v>174</v>
      </c>
      <c r="C1524">
        <v>516</v>
      </c>
      <c r="D1524">
        <v>30</v>
      </c>
      <c r="E1524" s="80">
        <v>35341</v>
      </c>
    </row>
    <row r="1525" spans="1:5">
      <c r="A1525">
        <v>10320</v>
      </c>
      <c r="B1525" t="s">
        <v>175</v>
      </c>
      <c r="C1525">
        <v>516</v>
      </c>
      <c r="D1525">
        <v>30</v>
      </c>
      <c r="E1525" s="80">
        <v>35341</v>
      </c>
    </row>
    <row r="1526" spans="1:5">
      <c r="A1526">
        <v>10320</v>
      </c>
      <c r="B1526" t="s">
        <v>176</v>
      </c>
      <c r="C1526">
        <v>516</v>
      </c>
      <c r="D1526">
        <v>30</v>
      </c>
      <c r="E1526" s="80">
        <v>35341</v>
      </c>
    </row>
    <row r="1527" spans="1:5">
      <c r="A1527">
        <v>10320</v>
      </c>
      <c r="B1527" t="s">
        <v>177</v>
      </c>
      <c r="C1527">
        <v>516</v>
      </c>
      <c r="D1527">
        <v>30</v>
      </c>
      <c r="E1527" s="80">
        <v>35341</v>
      </c>
    </row>
    <row r="1528" spans="1:5">
      <c r="A1528">
        <v>10320</v>
      </c>
      <c r="B1528" t="s">
        <v>178</v>
      </c>
      <c r="C1528">
        <v>516</v>
      </c>
      <c r="D1528">
        <v>30</v>
      </c>
      <c r="E1528" s="80">
        <v>35341</v>
      </c>
    </row>
    <row r="1529" spans="1:5">
      <c r="A1529">
        <v>10320</v>
      </c>
      <c r="B1529" t="s">
        <v>179</v>
      </c>
      <c r="C1529">
        <v>516</v>
      </c>
      <c r="D1529">
        <v>30</v>
      </c>
      <c r="E1529" s="80">
        <v>35341</v>
      </c>
    </row>
    <row r="1530" spans="1:5">
      <c r="A1530">
        <v>10321</v>
      </c>
      <c r="B1530" t="s">
        <v>172</v>
      </c>
      <c r="C1530">
        <v>144</v>
      </c>
      <c r="D1530">
        <v>10</v>
      </c>
      <c r="E1530" s="80">
        <v>35341</v>
      </c>
    </row>
    <row r="1531" spans="1:5">
      <c r="A1531">
        <v>10321</v>
      </c>
      <c r="B1531" t="s">
        <v>173</v>
      </c>
      <c r="C1531">
        <v>144</v>
      </c>
      <c r="D1531">
        <v>10</v>
      </c>
      <c r="E1531" s="80">
        <v>35341</v>
      </c>
    </row>
    <row r="1532" spans="1:5">
      <c r="A1532">
        <v>10321</v>
      </c>
      <c r="B1532" t="s">
        <v>174</v>
      </c>
      <c r="C1532">
        <v>144</v>
      </c>
      <c r="D1532">
        <v>10</v>
      </c>
      <c r="E1532" s="80">
        <v>35341</v>
      </c>
    </row>
    <row r="1533" spans="1:5">
      <c r="A1533">
        <v>10321</v>
      </c>
      <c r="B1533" t="s">
        <v>175</v>
      </c>
      <c r="C1533">
        <v>144</v>
      </c>
      <c r="D1533">
        <v>10</v>
      </c>
      <c r="E1533" s="80">
        <v>35341</v>
      </c>
    </row>
    <row r="1534" spans="1:5">
      <c r="A1534">
        <v>10321</v>
      </c>
      <c r="B1534" t="s">
        <v>176</v>
      </c>
      <c r="C1534">
        <v>144</v>
      </c>
      <c r="D1534">
        <v>10</v>
      </c>
      <c r="E1534" s="80">
        <v>35341</v>
      </c>
    </row>
    <row r="1535" spans="1:5">
      <c r="A1535">
        <v>10321</v>
      </c>
      <c r="B1535" t="s">
        <v>177</v>
      </c>
      <c r="C1535">
        <v>144</v>
      </c>
      <c r="D1535">
        <v>10</v>
      </c>
      <c r="E1535" s="80">
        <v>35341</v>
      </c>
    </row>
    <row r="1536" spans="1:5">
      <c r="A1536">
        <v>10321</v>
      </c>
      <c r="B1536" t="s">
        <v>178</v>
      </c>
      <c r="C1536">
        <v>144</v>
      </c>
      <c r="D1536">
        <v>10</v>
      </c>
      <c r="E1536" s="80">
        <v>35341</v>
      </c>
    </row>
    <row r="1537" spans="1:5">
      <c r="A1537">
        <v>10321</v>
      </c>
      <c r="B1537" t="s">
        <v>179</v>
      </c>
      <c r="C1537">
        <v>144</v>
      </c>
      <c r="D1537">
        <v>10</v>
      </c>
      <c r="E1537" s="80">
        <v>35341</v>
      </c>
    </row>
    <row r="1538" spans="1:5">
      <c r="A1538">
        <v>10322</v>
      </c>
      <c r="B1538" t="s">
        <v>172</v>
      </c>
      <c r="C1538">
        <v>112</v>
      </c>
      <c r="D1538">
        <v>20</v>
      </c>
      <c r="E1538" s="80">
        <v>35342</v>
      </c>
    </row>
    <row r="1539" spans="1:5">
      <c r="A1539">
        <v>10322</v>
      </c>
      <c r="B1539" t="s">
        <v>173</v>
      </c>
      <c r="C1539">
        <v>112</v>
      </c>
      <c r="D1539">
        <v>20</v>
      </c>
      <c r="E1539" s="80">
        <v>35342</v>
      </c>
    </row>
    <row r="1540" spans="1:5">
      <c r="A1540">
        <v>10322</v>
      </c>
      <c r="B1540" t="s">
        <v>174</v>
      </c>
      <c r="C1540">
        <v>112</v>
      </c>
      <c r="D1540">
        <v>20</v>
      </c>
      <c r="E1540" s="80">
        <v>35342</v>
      </c>
    </row>
    <row r="1541" spans="1:5">
      <c r="A1541">
        <v>10322</v>
      </c>
      <c r="B1541" t="s">
        <v>175</v>
      </c>
      <c r="C1541">
        <v>112</v>
      </c>
      <c r="D1541">
        <v>20</v>
      </c>
      <c r="E1541" s="80">
        <v>35342</v>
      </c>
    </row>
    <row r="1542" spans="1:5">
      <c r="A1542">
        <v>10322</v>
      </c>
      <c r="B1542" t="s">
        <v>176</v>
      </c>
      <c r="C1542">
        <v>112</v>
      </c>
      <c r="D1542">
        <v>20</v>
      </c>
      <c r="E1542" s="80">
        <v>35342</v>
      </c>
    </row>
    <row r="1543" spans="1:5">
      <c r="A1543">
        <v>10322</v>
      </c>
      <c r="B1543" t="s">
        <v>177</v>
      </c>
      <c r="C1543">
        <v>112</v>
      </c>
      <c r="D1543">
        <v>20</v>
      </c>
      <c r="E1543" s="80">
        <v>35342</v>
      </c>
    </row>
    <row r="1544" spans="1:5">
      <c r="A1544">
        <v>10322</v>
      </c>
      <c r="B1544" t="s">
        <v>178</v>
      </c>
      <c r="C1544">
        <v>112</v>
      </c>
      <c r="D1544">
        <v>20</v>
      </c>
      <c r="E1544" s="80">
        <v>35342</v>
      </c>
    </row>
    <row r="1545" spans="1:5">
      <c r="A1545">
        <v>10322</v>
      </c>
      <c r="B1545" t="s">
        <v>179</v>
      </c>
      <c r="C1545">
        <v>112</v>
      </c>
      <c r="D1545">
        <v>20</v>
      </c>
      <c r="E1545" s="80">
        <v>35342</v>
      </c>
    </row>
    <row r="1546" spans="1:5">
      <c r="A1546">
        <v>10323</v>
      </c>
      <c r="B1546" t="s">
        <v>172</v>
      </c>
      <c r="C1546">
        <v>62</v>
      </c>
      <c r="D1546">
        <v>5</v>
      </c>
      <c r="E1546" s="80">
        <v>35345</v>
      </c>
    </row>
    <row r="1547" spans="1:5">
      <c r="A1547">
        <v>10323</v>
      </c>
      <c r="B1547" t="s">
        <v>173</v>
      </c>
      <c r="C1547">
        <v>62</v>
      </c>
      <c r="D1547">
        <v>5</v>
      </c>
      <c r="E1547" s="80">
        <v>35345</v>
      </c>
    </row>
    <row r="1548" spans="1:5">
      <c r="A1548">
        <v>10323</v>
      </c>
      <c r="B1548" t="s">
        <v>174</v>
      </c>
      <c r="C1548">
        <v>62</v>
      </c>
      <c r="D1548">
        <v>5</v>
      </c>
      <c r="E1548" s="80">
        <v>35345</v>
      </c>
    </row>
    <row r="1549" spans="1:5">
      <c r="A1549">
        <v>10323</v>
      </c>
      <c r="B1549" t="s">
        <v>175</v>
      </c>
      <c r="C1549">
        <v>62</v>
      </c>
      <c r="D1549">
        <v>5</v>
      </c>
      <c r="E1549" s="80">
        <v>35345</v>
      </c>
    </row>
    <row r="1550" spans="1:5">
      <c r="A1550">
        <v>10323</v>
      </c>
      <c r="B1550" t="s">
        <v>176</v>
      </c>
      <c r="C1550">
        <v>62</v>
      </c>
      <c r="D1550">
        <v>5</v>
      </c>
      <c r="E1550" s="80">
        <v>35345</v>
      </c>
    </row>
    <row r="1551" spans="1:5">
      <c r="A1551">
        <v>10323</v>
      </c>
      <c r="B1551" t="s">
        <v>177</v>
      </c>
      <c r="C1551">
        <v>62</v>
      </c>
      <c r="D1551">
        <v>5</v>
      </c>
      <c r="E1551" s="80">
        <v>35345</v>
      </c>
    </row>
    <row r="1552" spans="1:5">
      <c r="A1552">
        <v>10323</v>
      </c>
      <c r="B1552" t="s">
        <v>178</v>
      </c>
      <c r="C1552">
        <v>62</v>
      </c>
      <c r="D1552">
        <v>5</v>
      </c>
      <c r="E1552" s="80">
        <v>35345</v>
      </c>
    </row>
    <row r="1553" spans="1:5">
      <c r="A1553">
        <v>10323</v>
      </c>
      <c r="B1553" t="s">
        <v>179</v>
      </c>
      <c r="C1553">
        <v>62</v>
      </c>
      <c r="D1553">
        <v>5</v>
      </c>
      <c r="E1553" s="80">
        <v>35345</v>
      </c>
    </row>
    <row r="1554" spans="1:5">
      <c r="A1554">
        <v>10323</v>
      </c>
      <c r="B1554" t="s">
        <v>172</v>
      </c>
      <c r="C1554">
        <v>44.8</v>
      </c>
      <c r="D1554">
        <v>4</v>
      </c>
      <c r="E1554" s="80">
        <v>35345</v>
      </c>
    </row>
    <row r="1555" spans="1:5">
      <c r="A1555">
        <v>10323</v>
      </c>
      <c r="B1555" t="s">
        <v>173</v>
      </c>
      <c r="C1555">
        <v>44.8</v>
      </c>
      <c r="D1555">
        <v>4</v>
      </c>
      <c r="E1555" s="80">
        <v>35345</v>
      </c>
    </row>
    <row r="1556" spans="1:5">
      <c r="A1556">
        <v>10323</v>
      </c>
      <c r="B1556" t="s">
        <v>174</v>
      </c>
      <c r="C1556">
        <v>44.8</v>
      </c>
      <c r="D1556">
        <v>4</v>
      </c>
      <c r="E1556" s="80">
        <v>35345</v>
      </c>
    </row>
    <row r="1557" spans="1:5">
      <c r="A1557">
        <v>10323</v>
      </c>
      <c r="B1557" t="s">
        <v>175</v>
      </c>
      <c r="C1557">
        <v>44.8</v>
      </c>
      <c r="D1557">
        <v>4</v>
      </c>
      <c r="E1557" s="80">
        <v>35345</v>
      </c>
    </row>
    <row r="1558" spans="1:5">
      <c r="A1558">
        <v>10323</v>
      </c>
      <c r="B1558" t="s">
        <v>176</v>
      </c>
      <c r="C1558">
        <v>44.8</v>
      </c>
      <c r="D1558">
        <v>4</v>
      </c>
      <c r="E1558" s="80">
        <v>35345</v>
      </c>
    </row>
    <row r="1559" spans="1:5">
      <c r="A1559">
        <v>10323</v>
      </c>
      <c r="B1559" t="s">
        <v>177</v>
      </c>
      <c r="C1559">
        <v>44.8</v>
      </c>
      <c r="D1559">
        <v>4</v>
      </c>
      <c r="E1559" s="80">
        <v>35345</v>
      </c>
    </row>
    <row r="1560" spans="1:5">
      <c r="A1560">
        <v>10323</v>
      </c>
      <c r="B1560" t="s">
        <v>178</v>
      </c>
      <c r="C1560">
        <v>44.8</v>
      </c>
      <c r="D1560">
        <v>4</v>
      </c>
      <c r="E1560" s="80">
        <v>35345</v>
      </c>
    </row>
    <row r="1561" spans="1:5">
      <c r="A1561">
        <v>10323</v>
      </c>
      <c r="B1561" t="s">
        <v>179</v>
      </c>
      <c r="C1561">
        <v>44.8</v>
      </c>
      <c r="D1561">
        <v>4</v>
      </c>
      <c r="E1561" s="80">
        <v>35345</v>
      </c>
    </row>
    <row r="1562" spans="1:5">
      <c r="A1562">
        <v>10323</v>
      </c>
      <c r="B1562" t="s">
        <v>172</v>
      </c>
      <c r="C1562">
        <v>57.6</v>
      </c>
      <c r="D1562">
        <v>4</v>
      </c>
      <c r="E1562" s="80">
        <v>35345</v>
      </c>
    </row>
    <row r="1563" spans="1:5">
      <c r="A1563">
        <v>10323</v>
      </c>
      <c r="B1563" t="s">
        <v>173</v>
      </c>
      <c r="C1563">
        <v>57.6</v>
      </c>
      <c r="D1563">
        <v>4</v>
      </c>
      <c r="E1563" s="80">
        <v>35345</v>
      </c>
    </row>
    <row r="1564" spans="1:5">
      <c r="A1564">
        <v>10323</v>
      </c>
      <c r="B1564" t="s">
        <v>174</v>
      </c>
      <c r="C1564">
        <v>57.6</v>
      </c>
      <c r="D1564">
        <v>4</v>
      </c>
      <c r="E1564" s="80">
        <v>35345</v>
      </c>
    </row>
    <row r="1565" spans="1:5">
      <c r="A1565">
        <v>10323</v>
      </c>
      <c r="B1565" t="s">
        <v>175</v>
      </c>
      <c r="C1565">
        <v>57.6</v>
      </c>
      <c r="D1565">
        <v>4</v>
      </c>
      <c r="E1565" s="80">
        <v>35345</v>
      </c>
    </row>
    <row r="1566" spans="1:5">
      <c r="A1566">
        <v>10323</v>
      </c>
      <c r="B1566" t="s">
        <v>176</v>
      </c>
      <c r="C1566">
        <v>57.6</v>
      </c>
      <c r="D1566">
        <v>4</v>
      </c>
      <c r="E1566" s="80">
        <v>35345</v>
      </c>
    </row>
    <row r="1567" spans="1:5">
      <c r="A1567">
        <v>10323</v>
      </c>
      <c r="B1567" t="s">
        <v>177</v>
      </c>
      <c r="C1567">
        <v>57.6</v>
      </c>
      <c r="D1567">
        <v>4</v>
      </c>
      <c r="E1567" s="80">
        <v>35345</v>
      </c>
    </row>
    <row r="1568" spans="1:5">
      <c r="A1568">
        <v>10323</v>
      </c>
      <c r="B1568" t="s">
        <v>178</v>
      </c>
      <c r="C1568">
        <v>57.6</v>
      </c>
      <c r="D1568">
        <v>4</v>
      </c>
      <c r="E1568" s="80">
        <v>35345</v>
      </c>
    </row>
    <row r="1569" spans="1:5">
      <c r="A1569">
        <v>10323</v>
      </c>
      <c r="B1569" t="s">
        <v>179</v>
      </c>
      <c r="C1569">
        <v>57.6</v>
      </c>
      <c r="D1569">
        <v>4</v>
      </c>
      <c r="E1569" s="80">
        <v>35345</v>
      </c>
    </row>
    <row r="1570" spans="1:5">
      <c r="A1570">
        <v>10324</v>
      </c>
      <c r="B1570" t="s">
        <v>172</v>
      </c>
      <c r="C1570">
        <v>248.1149982601404</v>
      </c>
      <c r="D1570">
        <v>21</v>
      </c>
      <c r="E1570" s="80">
        <v>35346</v>
      </c>
    </row>
    <row r="1571" spans="1:5">
      <c r="A1571">
        <v>10324</v>
      </c>
      <c r="B1571" t="s">
        <v>173</v>
      </c>
      <c r="C1571">
        <v>248.1149982601404</v>
      </c>
      <c r="D1571">
        <v>21</v>
      </c>
      <c r="E1571" s="80">
        <v>35346</v>
      </c>
    </row>
    <row r="1572" spans="1:5">
      <c r="A1572">
        <v>10324</v>
      </c>
      <c r="B1572" t="s">
        <v>174</v>
      </c>
      <c r="C1572">
        <v>248.1149982601404</v>
      </c>
      <c r="D1572">
        <v>21</v>
      </c>
      <c r="E1572" s="80">
        <v>35346</v>
      </c>
    </row>
    <row r="1573" spans="1:5">
      <c r="A1573">
        <v>10324</v>
      </c>
      <c r="B1573" t="s">
        <v>175</v>
      </c>
      <c r="C1573">
        <v>248.1149982601404</v>
      </c>
      <c r="D1573">
        <v>21</v>
      </c>
      <c r="E1573" s="80">
        <v>35346</v>
      </c>
    </row>
    <row r="1574" spans="1:5">
      <c r="A1574">
        <v>10324</v>
      </c>
      <c r="B1574" t="s">
        <v>176</v>
      </c>
      <c r="C1574">
        <v>248.1149982601404</v>
      </c>
      <c r="D1574">
        <v>21</v>
      </c>
      <c r="E1574" s="80">
        <v>35346</v>
      </c>
    </row>
    <row r="1575" spans="1:5">
      <c r="A1575">
        <v>10324</v>
      </c>
      <c r="B1575" t="s">
        <v>177</v>
      </c>
      <c r="C1575">
        <v>248.1149982601404</v>
      </c>
      <c r="D1575">
        <v>21</v>
      </c>
      <c r="E1575" s="80">
        <v>35346</v>
      </c>
    </row>
    <row r="1576" spans="1:5">
      <c r="A1576">
        <v>10324</v>
      </c>
      <c r="B1576" t="s">
        <v>178</v>
      </c>
      <c r="C1576">
        <v>248.1149982601404</v>
      </c>
      <c r="D1576">
        <v>21</v>
      </c>
      <c r="E1576" s="80">
        <v>35346</v>
      </c>
    </row>
    <row r="1577" spans="1:5">
      <c r="A1577">
        <v>10324</v>
      </c>
      <c r="B1577" t="s">
        <v>179</v>
      </c>
      <c r="C1577">
        <v>248.1149982601404</v>
      </c>
      <c r="D1577">
        <v>21</v>
      </c>
      <c r="E1577" s="80">
        <v>35346</v>
      </c>
    </row>
    <row r="1578" spans="1:5">
      <c r="A1578">
        <v>10324</v>
      </c>
      <c r="B1578" t="s">
        <v>172</v>
      </c>
      <c r="C1578">
        <v>856.79999399185181</v>
      </c>
      <c r="D1578">
        <v>70</v>
      </c>
      <c r="E1578" s="80">
        <v>35346</v>
      </c>
    </row>
    <row r="1579" spans="1:5">
      <c r="A1579">
        <v>10324</v>
      </c>
      <c r="B1579" t="s">
        <v>173</v>
      </c>
      <c r="C1579">
        <v>856.79999399185181</v>
      </c>
      <c r="D1579">
        <v>70</v>
      </c>
      <c r="E1579" s="80">
        <v>35346</v>
      </c>
    </row>
    <row r="1580" spans="1:5">
      <c r="A1580">
        <v>10324</v>
      </c>
      <c r="B1580" t="s">
        <v>174</v>
      </c>
      <c r="C1580">
        <v>856.79999399185181</v>
      </c>
      <c r="D1580">
        <v>70</v>
      </c>
      <c r="E1580" s="80">
        <v>35346</v>
      </c>
    </row>
    <row r="1581" spans="1:5">
      <c r="A1581">
        <v>10324</v>
      </c>
      <c r="B1581" t="s">
        <v>175</v>
      </c>
      <c r="C1581">
        <v>856.79999399185181</v>
      </c>
      <c r="D1581">
        <v>70</v>
      </c>
      <c r="E1581" s="80">
        <v>35346</v>
      </c>
    </row>
    <row r="1582" spans="1:5">
      <c r="A1582">
        <v>10324</v>
      </c>
      <c r="B1582" t="s">
        <v>176</v>
      </c>
      <c r="C1582">
        <v>856.79999399185181</v>
      </c>
      <c r="D1582">
        <v>70</v>
      </c>
      <c r="E1582" s="80">
        <v>35346</v>
      </c>
    </row>
    <row r="1583" spans="1:5">
      <c r="A1583">
        <v>10324</v>
      </c>
      <c r="B1583" t="s">
        <v>177</v>
      </c>
      <c r="C1583">
        <v>856.79999399185181</v>
      </c>
      <c r="D1583">
        <v>70</v>
      </c>
      <c r="E1583" s="80">
        <v>35346</v>
      </c>
    </row>
    <row r="1584" spans="1:5">
      <c r="A1584">
        <v>10324</v>
      </c>
      <c r="B1584" t="s">
        <v>178</v>
      </c>
      <c r="C1584">
        <v>856.79999399185181</v>
      </c>
      <c r="D1584">
        <v>70</v>
      </c>
      <c r="E1584" s="80">
        <v>35346</v>
      </c>
    </row>
    <row r="1585" spans="1:5">
      <c r="A1585">
        <v>10324</v>
      </c>
      <c r="B1585" t="s">
        <v>179</v>
      </c>
      <c r="C1585">
        <v>856.79999399185181</v>
      </c>
      <c r="D1585">
        <v>70</v>
      </c>
      <c r="E1585" s="80">
        <v>35346</v>
      </c>
    </row>
    <row r="1586" spans="1:5">
      <c r="A1586">
        <v>10324</v>
      </c>
      <c r="B1586" t="s">
        <v>172</v>
      </c>
      <c r="C1586">
        <v>288</v>
      </c>
      <c r="D1586">
        <v>30</v>
      </c>
      <c r="E1586" s="80">
        <v>35346</v>
      </c>
    </row>
    <row r="1587" spans="1:5">
      <c r="A1587">
        <v>10324</v>
      </c>
      <c r="B1587" t="s">
        <v>173</v>
      </c>
      <c r="C1587">
        <v>288</v>
      </c>
      <c r="D1587">
        <v>30</v>
      </c>
      <c r="E1587" s="80">
        <v>35346</v>
      </c>
    </row>
    <row r="1588" spans="1:5">
      <c r="A1588">
        <v>10324</v>
      </c>
      <c r="B1588" t="s">
        <v>174</v>
      </c>
      <c r="C1588">
        <v>288</v>
      </c>
      <c r="D1588">
        <v>30</v>
      </c>
      <c r="E1588" s="80">
        <v>35346</v>
      </c>
    </row>
    <row r="1589" spans="1:5">
      <c r="A1589">
        <v>10324</v>
      </c>
      <c r="B1589" t="s">
        <v>175</v>
      </c>
      <c r="C1589">
        <v>288</v>
      </c>
      <c r="D1589">
        <v>30</v>
      </c>
      <c r="E1589" s="80">
        <v>35346</v>
      </c>
    </row>
    <row r="1590" spans="1:5">
      <c r="A1590">
        <v>10324</v>
      </c>
      <c r="B1590" t="s">
        <v>176</v>
      </c>
      <c r="C1590">
        <v>288</v>
      </c>
      <c r="D1590">
        <v>30</v>
      </c>
      <c r="E1590" s="80">
        <v>35346</v>
      </c>
    </row>
    <row r="1591" spans="1:5">
      <c r="A1591">
        <v>10324</v>
      </c>
      <c r="B1591" t="s">
        <v>177</v>
      </c>
      <c r="C1591">
        <v>288</v>
      </c>
      <c r="D1591">
        <v>30</v>
      </c>
      <c r="E1591" s="80">
        <v>35346</v>
      </c>
    </row>
    <row r="1592" spans="1:5">
      <c r="A1592">
        <v>10324</v>
      </c>
      <c r="B1592" t="s">
        <v>178</v>
      </c>
      <c r="C1592">
        <v>288</v>
      </c>
      <c r="D1592">
        <v>30</v>
      </c>
      <c r="E1592" s="80">
        <v>35346</v>
      </c>
    </row>
    <row r="1593" spans="1:5">
      <c r="A1593">
        <v>10324</v>
      </c>
      <c r="B1593" t="s">
        <v>179</v>
      </c>
      <c r="C1593">
        <v>288</v>
      </c>
      <c r="D1593">
        <v>30</v>
      </c>
      <c r="E1593" s="80">
        <v>35346</v>
      </c>
    </row>
    <row r="1594" spans="1:5">
      <c r="A1594">
        <v>10324</v>
      </c>
      <c r="B1594" t="s">
        <v>172</v>
      </c>
      <c r="C1594">
        <v>1495.9999895095825</v>
      </c>
      <c r="D1594">
        <v>40</v>
      </c>
      <c r="E1594" s="80">
        <v>35346</v>
      </c>
    </row>
    <row r="1595" spans="1:5">
      <c r="A1595">
        <v>10324</v>
      </c>
      <c r="B1595" t="s">
        <v>173</v>
      </c>
      <c r="C1595">
        <v>1495.9999895095825</v>
      </c>
      <c r="D1595">
        <v>40</v>
      </c>
      <c r="E1595" s="80">
        <v>35346</v>
      </c>
    </row>
    <row r="1596" spans="1:5">
      <c r="A1596">
        <v>10324</v>
      </c>
      <c r="B1596" t="s">
        <v>174</v>
      </c>
      <c r="C1596">
        <v>1495.9999895095825</v>
      </c>
      <c r="D1596">
        <v>40</v>
      </c>
      <c r="E1596" s="80">
        <v>35346</v>
      </c>
    </row>
    <row r="1597" spans="1:5">
      <c r="A1597">
        <v>10324</v>
      </c>
      <c r="B1597" t="s">
        <v>175</v>
      </c>
      <c r="C1597">
        <v>1495.9999895095825</v>
      </c>
      <c r="D1597">
        <v>40</v>
      </c>
      <c r="E1597" s="80">
        <v>35346</v>
      </c>
    </row>
    <row r="1598" spans="1:5">
      <c r="A1598">
        <v>10324</v>
      </c>
      <c r="B1598" t="s">
        <v>176</v>
      </c>
      <c r="C1598">
        <v>1495.9999895095825</v>
      </c>
      <c r="D1598">
        <v>40</v>
      </c>
      <c r="E1598" s="80">
        <v>35346</v>
      </c>
    </row>
    <row r="1599" spans="1:5">
      <c r="A1599">
        <v>10324</v>
      </c>
      <c r="B1599" t="s">
        <v>177</v>
      </c>
      <c r="C1599">
        <v>1495.9999895095825</v>
      </c>
      <c r="D1599">
        <v>40</v>
      </c>
      <c r="E1599" s="80">
        <v>35346</v>
      </c>
    </row>
    <row r="1600" spans="1:5">
      <c r="A1600">
        <v>10324</v>
      </c>
      <c r="B1600" t="s">
        <v>178</v>
      </c>
      <c r="C1600">
        <v>1495.9999895095825</v>
      </c>
      <c r="D1600">
        <v>40</v>
      </c>
      <c r="E1600" s="80">
        <v>35346</v>
      </c>
    </row>
    <row r="1601" spans="1:5">
      <c r="A1601">
        <v>10324</v>
      </c>
      <c r="B1601" t="s">
        <v>179</v>
      </c>
      <c r="C1601">
        <v>1495.9999895095825</v>
      </c>
      <c r="D1601">
        <v>40</v>
      </c>
      <c r="E1601" s="80">
        <v>35346</v>
      </c>
    </row>
    <row r="1602" spans="1:5">
      <c r="A1602">
        <v>10324</v>
      </c>
      <c r="B1602" t="s">
        <v>172</v>
      </c>
      <c r="C1602">
        <v>2386.7999832630157</v>
      </c>
      <c r="D1602">
        <v>80</v>
      </c>
      <c r="E1602" s="80">
        <v>35346</v>
      </c>
    </row>
    <row r="1603" spans="1:5">
      <c r="A1603">
        <v>10324</v>
      </c>
      <c r="B1603" t="s">
        <v>173</v>
      </c>
      <c r="C1603">
        <v>2386.7999832630157</v>
      </c>
      <c r="D1603">
        <v>80</v>
      </c>
      <c r="E1603" s="80">
        <v>35346</v>
      </c>
    </row>
    <row r="1604" spans="1:5">
      <c r="A1604">
        <v>10324</v>
      </c>
      <c r="B1604" t="s">
        <v>174</v>
      </c>
      <c r="C1604">
        <v>2386.7999832630157</v>
      </c>
      <c r="D1604">
        <v>80</v>
      </c>
      <c r="E1604" s="80">
        <v>35346</v>
      </c>
    </row>
    <row r="1605" spans="1:5">
      <c r="A1605">
        <v>10324</v>
      </c>
      <c r="B1605" t="s">
        <v>175</v>
      </c>
      <c r="C1605">
        <v>2386.7999832630157</v>
      </c>
      <c r="D1605">
        <v>80</v>
      </c>
      <c r="E1605" s="80">
        <v>35346</v>
      </c>
    </row>
    <row r="1606" spans="1:5">
      <c r="A1606">
        <v>10324</v>
      </c>
      <c r="B1606" t="s">
        <v>176</v>
      </c>
      <c r="C1606">
        <v>2386.7999832630157</v>
      </c>
      <c r="D1606">
        <v>80</v>
      </c>
      <c r="E1606" s="80">
        <v>35346</v>
      </c>
    </row>
    <row r="1607" spans="1:5">
      <c r="A1607">
        <v>10324</v>
      </c>
      <c r="B1607" t="s">
        <v>177</v>
      </c>
      <c r="C1607">
        <v>2386.7999832630157</v>
      </c>
      <c r="D1607">
        <v>80</v>
      </c>
      <c r="E1607" s="80">
        <v>35346</v>
      </c>
    </row>
    <row r="1608" spans="1:5">
      <c r="A1608">
        <v>10324</v>
      </c>
      <c r="B1608" t="s">
        <v>178</v>
      </c>
      <c r="C1608">
        <v>2386.7999832630157</v>
      </c>
      <c r="D1608">
        <v>80</v>
      </c>
      <c r="E1608" s="80">
        <v>35346</v>
      </c>
    </row>
    <row r="1609" spans="1:5">
      <c r="A1609">
        <v>10324</v>
      </c>
      <c r="B1609" t="s">
        <v>179</v>
      </c>
      <c r="C1609">
        <v>2386.7999832630157</v>
      </c>
      <c r="D1609">
        <v>80</v>
      </c>
      <c r="E1609" s="80">
        <v>35346</v>
      </c>
    </row>
    <row r="1610" spans="1:5">
      <c r="A1610">
        <v>10325</v>
      </c>
      <c r="B1610" t="s">
        <v>172</v>
      </c>
      <c r="C1610">
        <v>120</v>
      </c>
      <c r="D1610">
        <v>6</v>
      </c>
      <c r="E1610" s="80">
        <v>35347</v>
      </c>
    </row>
    <row r="1611" spans="1:5">
      <c r="A1611">
        <v>10325</v>
      </c>
      <c r="B1611" t="s">
        <v>173</v>
      </c>
      <c r="C1611">
        <v>120</v>
      </c>
      <c r="D1611">
        <v>6</v>
      </c>
      <c r="E1611" s="80">
        <v>35347</v>
      </c>
    </row>
    <row r="1612" spans="1:5">
      <c r="A1612">
        <v>10325</v>
      </c>
      <c r="B1612" t="s">
        <v>174</v>
      </c>
      <c r="C1612">
        <v>120</v>
      </c>
      <c r="D1612">
        <v>6</v>
      </c>
      <c r="E1612" s="80">
        <v>35347</v>
      </c>
    </row>
    <row r="1613" spans="1:5">
      <c r="A1613">
        <v>10325</v>
      </c>
      <c r="B1613" t="s">
        <v>175</v>
      </c>
      <c r="C1613">
        <v>120</v>
      </c>
      <c r="D1613">
        <v>6</v>
      </c>
      <c r="E1613" s="80">
        <v>35347</v>
      </c>
    </row>
    <row r="1614" spans="1:5">
      <c r="A1614">
        <v>10325</v>
      </c>
      <c r="B1614" t="s">
        <v>176</v>
      </c>
      <c r="C1614">
        <v>120</v>
      </c>
      <c r="D1614">
        <v>6</v>
      </c>
      <c r="E1614" s="80">
        <v>35347</v>
      </c>
    </row>
    <row r="1615" spans="1:5">
      <c r="A1615">
        <v>10325</v>
      </c>
      <c r="B1615" t="s">
        <v>177</v>
      </c>
      <c r="C1615">
        <v>120</v>
      </c>
      <c r="D1615">
        <v>6</v>
      </c>
      <c r="E1615" s="80">
        <v>35347</v>
      </c>
    </row>
    <row r="1616" spans="1:5">
      <c r="A1616">
        <v>10325</v>
      </c>
      <c r="B1616" t="s">
        <v>178</v>
      </c>
      <c r="C1616">
        <v>120</v>
      </c>
      <c r="D1616">
        <v>6</v>
      </c>
      <c r="E1616" s="80">
        <v>35347</v>
      </c>
    </row>
    <row r="1617" spans="1:5">
      <c r="A1617">
        <v>10325</v>
      </c>
      <c r="B1617" t="s">
        <v>179</v>
      </c>
      <c r="C1617">
        <v>120</v>
      </c>
      <c r="D1617">
        <v>6</v>
      </c>
      <c r="E1617" s="80">
        <v>35347</v>
      </c>
    </row>
    <row r="1618" spans="1:5">
      <c r="A1618">
        <v>10325</v>
      </c>
      <c r="B1618" t="s">
        <v>172</v>
      </c>
      <c r="C1618">
        <v>57.6</v>
      </c>
      <c r="D1618">
        <v>12</v>
      </c>
      <c r="E1618" s="80">
        <v>35347</v>
      </c>
    </row>
    <row r="1619" spans="1:5">
      <c r="A1619">
        <v>10325</v>
      </c>
      <c r="B1619" t="s">
        <v>173</v>
      </c>
      <c r="C1619">
        <v>57.6</v>
      </c>
      <c r="D1619">
        <v>12</v>
      </c>
      <c r="E1619" s="80">
        <v>35347</v>
      </c>
    </row>
    <row r="1620" spans="1:5">
      <c r="A1620">
        <v>10325</v>
      </c>
      <c r="B1620" t="s">
        <v>174</v>
      </c>
      <c r="C1620">
        <v>57.6</v>
      </c>
      <c r="D1620">
        <v>12</v>
      </c>
      <c r="E1620" s="80">
        <v>35347</v>
      </c>
    </row>
    <row r="1621" spans="1:5">
      <c r="A1621">
        <v>10325</v>
      </c>
      <c r="B1621" t="s">
        <v>175</v>
      </c>
      <c r="C1621">
        <v>57.6</v>
      </c>
      <c r="D1621">
        <v>12</v>
      </c>
      <c r="E1621" s="80">
        <v>35347</v>
      </c>
    </row>
    <row r="1622" spans="1:5">
      <c r="A1622">
        <v>10325</v>
      </c>
      <c r="B1622" t="s">
        <v>176</v>
      </c>
      <c r="C1622">
        <v>57.6</v>
      </c>
      <c r="D1622">
        <v>12</v>
      </c>
      <c r="E1622" s="80">
        <v>35347</v>
      </c>
    </row>
    <row r="1623" spans="1:5">
      <c r="A1623">
        <v>10325</v>
      </c>
      <c r="B1623" t="s">
        <v>177</v>
      </c>
      <c r="C1623">
        <v>57.6</v>
      </c>
      <c r="D1623">
        <v>12</v>
      </c>
      <c r="E1623" s="80">
        <v>35347</v>
      </c>
    </row>
    <row r="1624" spans="1:5">
      <c r="A1624">
        <v>10325</v>
      </c>
      <c r="B1624" t="s">
        <v>178</v>
      </c>
      <c r="C1624">
        <v>57.6</v>
      </c>
      <c r="D1624">
        <v>12</v>
      </c>
      <c r="E1624" s="80">
        <v>35347</v>
      </c>
    </row>
    <row r="1625" spans="1:5">
      <c r="A1625">
        <v>10325</v>
      </c>
      <c r="B1625" t="s">
        <v>179</v>
      </c>
      <c r="C1625">
        <v>57.6</v>
      </c>
      <c r="D1625">
        <v>12</v>
      </c>
      <c r="E1625" s="80">
        <v>35347</v>
      </c>
    </row>
    <row r="1626" spans="1:5">
      <c r="A1626">
        <v>10325</v>
      </c>
      <c r="B1626" t="s">
        <v>172</v>
      </c>
      <c r="C1626">
        <v>167.4</v>
      </c>
      <c r="D1626">
        <v>9</v>
      </c>
      <c r="E1626" s="80">
        <v>35347</v>
      </c>
    </row>
    <row r="1627" spans="1:5">
      <c r="A1627">
        <v>10325</v>
      </c>
      <c r="B1627" t="s">
        <v>173</v>
      </c>
      <c r="C1627">
        <v>167.4</v>
      </c>
      <c r="D1627">
        <v>9</v>
      </c>
      <c r="E1627" s="80">
        <v>35347</v>
      </c>
    </row>
    <row r="1628" spans="1:5">
      <c r="A1628">
        <v>10325</v>
      </c>
      <c r="B1628" t="s">
        <v>174</v>
      </c>
      <c r="C1628">
        <v>167.4</v>
      </c>
      <c r="D1628">
        <v>9</v>
      </c>
      <c r="E1628" s="80">
        <v>35347</v>
      </c>
    </row>
    <row r="1629" spans="1:5">
      <c r="A1629">
        <v>10325</v>
      </c>
      <c r="B1629" t="s">
        <v>175</v>
      </c>
      <c r="C1629">
        <v>167.4</v>
      </c>
      <c r="D1629">
        <v>9</v>
      </c>
      <c r="E1629" s="80">
        <v>35347</v>
      </c>
    </row>
    <row r="1630" spans="1:5">
      <c r="A1630">
        <v>10325</v>
      </c>
      <c r="B1630" t="s">
        <v>176</v>
      </c>
      <c r="C1630">
        <v>167.4</v>
      </c>
      <c r="D1630">
        <v>9</v>
      </c>
      <c r="E1630" s="80">
        <v>35347</v>
      </c>
    </row>
    <row r="1631" spans="1:5">
      <c r="A1631">
        <v>10325</v>
      </c>
      <c r="B1631" t="s">
        <v>177</v>
      </c>
      <c r="C1631">
        <v>167.4</v>
      </c>
      <c r="D1631">
        <v>9</v>
      </c>
      <c r="E1631" s="80">
        <v>35347</v>
      </c>
    </row>
    <row r="1632" spans="1:5">
      <c r="A1632">
        <v>10325</v>
      </c>
      <c r="B1632" t="s">
        <v>178</v>
      </c>
      <c r="C1632">
        <v>167.4</v>
      </c>
      <c r="D1632">
        <v>9</v>
      </c>
      <c r="E1632" s="80">
        <v>35347</v>
      </c>
    </row>
    <row r="1633" spans="1:5">
      <c r="A1633">
        <v>10325</v>
      </c>
      <c r="B1633" t="s">
        <v>179</v>
      </c>
      <c r="C1633">
        <v>167.4</v>
      </c>
      <c r="D1633">
        <v>9</v>
      </c>
      <c r="E1633" s="80">
        <v>35347</v>
      </c>
    </row>
    <row r="1634" spans="1:5">
      <c r="A1634">
        <v>10325</v>
      </c>
      <c r="B1634" t="s">
        <v>172</v>
      </c>
      <c r="C1634">
        <v>40</v>
      </c>
      <c r="D1634">
        <v>4</v>
      </c>
      <c r="E1634" s="80">
        <v>35347</v>
      </c>
    </row>
    <row r="1635" spans="1:5">
      <c r="A1635">
        <v>10325</v>
      </c>
      <c r="B1635" t="s">
        <v>173</v>
      </c>
      <c r="C1635">
        <v>40</v>
      </c>
      <c r="D1635">
        <v>4</v>
      </c>
      <c r="E1635" s="80">
        <v>35347</v>
      </c>
    </row>
    <row r="1636" spans="1:5">
      <c r="A1636">
        <v>10325</v>
      </c>
      <c r="B1636" t="s">
        <v>174</v>
      </c>
      <c r="C1636">
        <v>40</v>
      </c>
      <c r="D1636">
        <v>4</v>
      </c>
      <c r="E1636" s="80">
        <v>35347</v>
      </c>
    </row>
    <row r="1637" spans="1:5">
      <c r="A1637">
        <v>10325</v>
      </c>
      <c r="B1637" t="s">
        <v>175</v>
      </c>
      <c r="C1637">
        <v>40</v>
      </c>
      <c r="D1637">
        <v>4</v>
      </c>
      <c r="E1637" s="80">
        <v>35347</v>
      </c>
    </row>
    <row r="1638" spans="1:5">
      <c r="A1638">
        <v>10325</v>
      </c>
      <c r="B1638" t="s">
        <v>176</v>
      </c>
      <c r="C1638">
        <v>40</v>
      </c>
      <c r="D1638">
        <v>4</v>
      </c>
      <c r="E1638" s="80">
        <v>35347</v>
      </c>
    </row>
    <row r="1639" spans="1:5">
      <c r="A1639">
        <v>10325</v>
      </c>
      <c r="B1639" t="s">
        <v>177</v>
      </c>
      <c r="C1639">
        <v>40</v>
      </c>
      <c r="D1639">
        <v>4</v>
      </c>
      <c r="E1639" s="80">
        <v>35347</v>
      </c>
    </row>
    <row r="1640" spans="1:5">
      <c r="A1640">
        <v>10325</v>
      </c>
      <c r="B1640" t="s">
        <v>178</v>
      </c>
      <c r="C1640">
        <v>40</v>
      </c>
      <c r="D1640">
        <v>4</v>
      </c>
      <c r="E1640" s="80">
        <v>35347</v>
      </c>
    </row>
    <row r="1641" spans="1:5">
      <c r="A1641">
        <v>10325</v>
      </c>
      <c r="B1641" t="s">
        <v>179</v>
      </c>
      <c r="C1641">
        <v>40</v>
      </c>
      <c r="D1641">
        <v>4</v>
      </c>
      <c r="E1641" s="80">
        <v>35347</v>
      </c>
    </row>
    <row r="1642" spans="1:5">
      <c r="A1642">
        <v>10325</v>
      </c>
      <c r="B1642" t="s">
        <v>172</v>
      </c>
      <c r="C1642">
        <v>1112</v>
      </c>
      <c r="D1642">
        <v>40</v>
      </c>
      <c r="E1642" s="80">
        <v>35347</v>
      </c>
    </row>
    <row r="1643" spans="1:5">
      <c r="A1643">
        <v>10325</v>
      </c>
      <c r="B1643" t="s">
        <v>173</v>
      </c>
      <c r="C1643">
        <v>1112</v>
      </c>
      <c r="D1643">
        <v>40</v>
      </c>
      <c r="E1643" s="80">
        <v>35347</v>
      </c>
    </row>
    <row r="1644" spans="1:5">
      <c r="A1644">
        <v>10325</v>
      </c>
      <c r="B1644" t="s">
        <v>174</v>
      </c>
      <c r="C1644">
        <v>1112</v>
      </c>
      <c r="D1644">
        <v>40</v>
      </c>
      <c r="E1644" s="80">
        <v>35347</v>
      </c>
    </row>
    <row r="1645" spans="1:5">
      <c r="A1645">
        <v>10325</v>
      </c>
      <c r="B1645" t="s">
        <v>175</v>
      </c>
      <c r="C1645">
        <v>1112</v>
      </c>
      <c r="D1645">
        <v>40</v>
      </c>
      <c r="E1645" s="80">
        <v>35347</v>
      </c>
    </row>
    <row r="1646" spans="1:5">
      <c r="A1646">
        <v>10325</v>
      </c>
      <c r="B1646" t="s">
        <v>176</v>
      </c>
      <c r="C1646">
        <v>1112</v>
      </c>
      <c r="D1646">
        <v>40</v>
      </c>
      <c r="E1646" s="80">
        <v>35347</v>
      </c>
    </row>
    <row r="1647" spans="1:5">
      <c r="A1647">
        <v>10325</v>
      </c>
      <c r="B1647" t="s">
        <v>177</v>
      </c>
      <c r="C1647">
        <v>1112</v>
      </c>
      <c r="D1647">
        <v>40</v>
      </c>
      <c r="E1647" s="80">
        <v>35347</v>
      </c>
    </row>
    <row r="1648" spans="1:5">
      <c r="A1648">
        <v>10325</v>
      </c>
      <c r="B1648" t="s">
        <v>178</v>
      </c>
      <c r="C1648">
        <v>1112</v>
      </c>
      <c r="D1648">
        <v>40</v>
      </c>
      <c r="E1648" s="80">
        <v>35347</v>
      </c>
    </row>
    <row r="1649" spans="1:5">
      <c r="A1649">
        <v>10325</v>
      </c>
      <c r="B1649" t="s">
        <v>179</v>
      </c>
      <c r="C1649">
        <v>1112</v>
      </c>
      <c r="D1649">
        <v>40</v>
      </c>
      <c r="E1649" s="80">
        <v>35347</v>
      </c>
    </row>
    <row r="1650" spans="1:5">
      <c r="A1650">
        <v>10326</v>
      </c>
      <c r="B1650" t="s">
        <v>172</v>
      </c>
      <c r="C1650">
        <v>422.4</v>
      </c>
      <c r="D1650">
        <v>24</v>
      </c>
      <c r="E1650" s="80">
        <v>35348</v>
      </c>
    </row>
    <row r="1651" spans="1:5">
      <c r="A1651">
        <v>10326</v>
      </c>
      <c r="B1651" t="s">
        <v>173</v>
      </c>
      <c r="C1651">
        <v>422.4</v>
      </c>
      <c r="D1651">
        <v>24</v>
      </c>
      <c r="E1651" s="80">
        <v>35348</v>
      </c>
    </row>
    <row r="1652" spans="1:5">
      <c r="A1652">
        <v>10326</v>
      </c>
      <c r="B1652" t="s">
        <v>174</v>
      </c>
      <c r="C1652">
        <v>422.4</v>
      </c>
      <c r="D1652">
        <v>24</v>
      </c>
      <c r="E1652" s="80">
        <v>35348</v>
      </c>
    </row>
    <row r="1653" spans="1:5">
      <c r="A1653">
        <v>10326</v>
      </c>
      <c r="B1653" t="s">
        <v>175</v>
      </c>
      <c r="C1653">
        <v>422.4</v>
      </c>
      <c r="D1653">
        <v>24</v>
      </c>
      <c r="E1653" s="80">
        <v>35348</v>
      </c>
    </row>
    <row r="1654" spans="1:5">
      <c r="A1654">
        <v>10326</v>
      </c>
      <c r="B1654" t="s">
        <v>176</v>
      </c>
      <c r="C1654">
        <v>422.4</v>
      </c>
      <c r="D1654">
        <v>24</v>
      </c>
      <c r="E1654" s="80">
        <v>35348</v>
      </c>
    </row>
    <row r="1655" spans="1:5">
      <c r="A1655">
        <v>10326</v>
      </c>
      <c r="B1655" t="s">
        <v>177</v>
      </c>
      <c r="C1655">
        <v>422.4</v>
      </c>
      <c r="D1655">
        <v>24</v>
      </c>
      <c r="E1655" s="80">
        <v>35348</v>
      </c>
    </row>
    <row r="1656" spans="1:5">
      <c r="A1656">
        <v>10326</v>
      </c>
      <c r="B1656" t="s">
        <v>178</v>
      </c>
      <c r="C1656">
        <v>422.4</v>
      </c>
      <c r="D1656">
        <v>24</v>
      </c>
      <c r="E1656" s="80">
        <v>35348</v>
      </c>
    </row>
    <row r="1657" spans="1:5">
      <c r="A1657">
        <v>10326</v>
      </c>
      <c r="B1657" t="s">
        <v>179</v>
      </c>
      <c r="C1657">
        <v>422.4</v>
      </c>
      <c r="D1657">
        <v>24</v>
      </c>
      <c r="E1657" s="80">
        <v>35348</v>
      </c>
    </row>
    <row r="1658" spans="1:5">
      <c r="A1658">
        <v>10326</v>
      </c>
      <c r="B1658" t="s">
        <v>172</v>
      </c>
      <c r="C1658">
        <v>249.6</v>
      </c>
      <c r="D1658">
        <v>16</v>
      </c>
      <c r="E1658" s="80">
        <v>35348</v>
      </c>
    </row>
    <row r="1659" spans="1:5">
      <c r="A1659">
        <v>10326</v>
      </c>
      <c r="B1659" t="s">
        <v>173</v>
      </c>
      <c r="C1659">
        <v>249.6</v>
      </c>
      <c r="D1659">
        <v>16</v>
      </c>
      <c r="E1659" s="80">
        <v>35348</v>
      </c>
    </row>
    <row r="1660" spans="1:5">
      <c r="A1660">
        <v>10326</v>
      </c>
      <c r="B1660" t="s">
        <v>174</v>
      </c>
      <c r="C1660">
        <v>249.6</v>
      </c>
      <c r="D1660">
        <v>16</v>
      </c>
      <c r="E1660" s="80">
        <v>35348</v>
      </c>
    </row>
    <row r="1661" spans="1:5">
      <c r="A1661">
        <v>10326</v>
      </c>
      <c r="B1661" t="s">
        <v>175</v>
      </c>
      <c r="C1661">
        <v>249.6</v>
      </c>
      <c r="D1661">
        <v>16</v>
      </c>
      <c r="E1661" s="80">
        <v>35348</v>
      </c>
    </row>
    <row r="1662" spans="1:5">
      <c r="A1662">
        <v>10326</v>
      </c>
      <c r="B1662" t="s">
        <v>176</v>
      </c>
      <c r="C1662">
        <v>249.6</v>
      </c>
      <c r="D1662">
        <v>16</v>
      </c>
      <c r="E1662" s="80">
        <v>35348</v>
      </c>
    </row>
    <row r="1663" spans="1:5">
      <c r="A1663">
        <v>10326</v>
      </c>
      <c r="B1663" t="s">
        <v>177</v>
      </c>
      <c r="C1663">
        <v>249.6</v>
      </c>
      <c r="D1663">
        <v>16</v>
      </c>
      <c r="E1663" s="80">
        <v>35348</v>
      </c>
    </row>
    <row r="1664" spans="1:5">
      <c r="A1664">
        <v>10326</v>
      </c>
      <c r="B1664" t="s">
        <v>178</v>
      </c>
      <c r="C1664">
        <v>249.6</v>
      </c>
      <c r="D1664">
        <v>16</v>
      </c>
      <c r="E1664" s="80">
        <v>35348</v>
      </c>
    </row>
    <row r="1665" spans="1:5">
      <c r="A1665">
        <v>10326</v>
      </c>
      <c r="B1665" t="s">
        <v>179</v>
      </c>
      <c r="C1665">
        <v>249.6</v>
      </c>
      <c r="D1665">
        <v>16</v>
      </c>
      <c r="E1665" s="80">
        <v>35348</v>
      </c>
    </row>
    <row r="1666" spans="1:5">
      <c r="A1666">
        <v>10326</v>
      </c>
      <c r="B1666" t="s">
        <v>172</v>
      </c>
      <c r="C1666">
        <v>310</v>
      </c>
      <c r="D1666">
        <v>50</v>
      </c>
      <c r="E1666" s="80">
        <v>35348</v>
      </c>
    </row>
    <row r="1667" spans="1:5">
      <c r="A1667">
        <v>10326</v>
      </c>
      <c r="B1667" t="s">
        <v>173</v>
      </c>
      <c r="C1667">
        <v>310</v>
      </c>
      <c r="D1667">
        <v>50</v>
      </c>
      <c r="E1667" s="80">
        <v>35348</v>
      </c>
    </row>
    <row r="1668" spans="1:5">
      <c r="A1668">
        <v>10326</v>
      </c>
      <c r="B1668" t="s">
        <v>174</v>
      </c>
      <c r="C1668">
        <v>310</v>
      </c>
      <c r="D1668">
        <v>50</v>
      </c>
      <c r="E1668" s="80">
        <v>35348</v>
      </c>
    </row>
    <row r="1669" spans="1:5">
      <c r="A1669">
        <v>10326</v>
      </c>
      <c r="B1669" t="s">
        <v>175</v>
      </c>
      <c r="C1669">
        <v>310</v>
      </c>
      <c r="D1669">
        <v>50</v>
      </c>
      <c r="E1669" s="80">
        <v>35348</v>
      </c>
    </row>
    <row r="1670" spans="1:5">
      <c r="A1670">
        <v>10326</v>
      </c>
      <c r="B1670" t="s">
        <v>176</v>
      </c>
      <c r="C1670">
        <v>310</v>
      </c>
      <c r="D1670">
        <v>50</v>
      </c>
      <c r="E1670" s="80">
        <v>35348</v>
      </c>
    </row>
    <row r="1671" spans="1:5">
      <c r="A1671">
        <v>10326</v>
      </c>
      <c r="B1671" t="s">
        <v>177</v>
      </c>
      <c r="C1671">
        <v>310</v>
      </c>
      <c r="D1671">
        <v>50</v>
      </c>
      <c r="E1671" s="80">
        <v>35348</v>
      </c>
    </row>
    <row r="1672" spans="1:5">
      <c r="A1672">
        <v>10326</v>
      </c>
      <c r="B1672" t="s">
        <v>178</v>
      </c>
      <c r="C1672">
        <v>310</v>
      </c>
      <c r="D1672">
        <v>50</v>
      </c>
      <c r="E1672" s="80">
        <v>35348</v>
      </c>
    </row>
    <row r="1673" spans="1:5">
      <c r="A1673">
        <v>10326</v>
      </c>
      <c r="B1673" t="s">
        <v>179</v>
      </c>
      <c r="C1673">
        <v>310</v>
      </c>
      <c r="D1673">
        <v>50</v>
      </c>
      <c r="E1673" s="80">
        <v>35348</v>
      </c>
    </row>
    <row r="1674" spans="1:5">
      <c r="A1674">
        <v>10327</v>
      </c>
      <c r="B1674" t="s">
        <v>172</v>
      </c>
      <c r="C1674">
        <v>303.99999886751175</v>
      </c>
      <c r="D1674">
        <v>25</v>
      </c>
      <c r="E1674" s="80">
        <v>35349</v>
      </c>
    </row>
    <row r="1675" spans="1:5">
      <c r="A1675">
        <v>10327</v>
      </c>
      <c r="B1675" t="s">
        <v>173</v>
      </c>
      <c r="C1675">
        <v>303.99999886751175</v>
      </c>
      <c r="D1675">
        <v>25</v>
      </c>
      <c r="E1675" s="80">
        <v>35349</v>
      </c>
    </row>
    <row r="1676" spans="1:5">
      <c r="A1676">
        <v>10327</v>
      </c>
      <c r="B1676" t="s">
        <v>174</v>
      </c>
      <c r="C1676">
        <v>303.99999886751175</v>
      </c>
      <c r="D1676">
        <v>25</v>
      </c>
      <c r="E1676" s="80">
        <v>35349</v>
      </c>
    </row>
    <row r="1677" spans="1:5">
      <c r="A1677">
        <v>10327</v>
      </c>
      <c r="B1677" t="s">
        <v>175</v>
      </c>
      <c r="C1677">
        <v>303.99999886751175</v>
      </c>
      <c r="D1677">
        <v>25</v>
      </c>
      <c r="E1677" s="80">
        <v>35349</v>
      </c>
    </row>
    <row r="1678" spans="1:5">
      <c r="A1678">
        <v>10327</v>
      </c>
      <c r="B1678" t="s">
        <v>176</v>
      </c>
      <c r="C1678">
        <v>303.99999886751175</v>
      </c>
      <c r="D1678">
        <v>25</v>
      </c>
      <c r="E1678" s="80">
        <v>35349</v>
      </c>
    </row>
    <row r="1679" spans="1:5">
      <c r="A1679">
        <v>10327</v>
      </c>
      <c r="B1679" t="s">
        <v>177</v>
      </c>
      <c r="C1679">
        <v>303.99999886751175</v>
      </c>
      <c r="D1679">
        <v>25</v>
      </c>
      <c r="E1679" s="80">
        <v>35349</v>
      </c>
    </row>
    <row r="1680" spans="1:5">
      <c r="A1680">
        <v>10327</v>
      </c>
      <c r="B1680" t="s">
        <v>178</v>
      </c>
      <c r="C1680">
        <v>303.99999886751175</v>
      </c>
      <c r="D1680">
        <v>25</v>
      </c>
      <c r="E1680" s="80">
        <v>35349</v>
      </c>
    </row>
    <row r="1681" spans="1:5">
      <c r="A1681">
        <v>10327</v>
      </c>
      <c r="B1681" t="s">
        <v>179</v>
      </c>
      <c r="C1681">
        <v>303.99999886751175</v>
      </c>
      <c r="D1681">
        <v>25</v>
      </c>
      <c r="E1681" s="80">
        <v>35349</v>
      </c>
    </row>
    <row r="1682" spans="1:5">
      <c r="A1682">
        <v>10327</v>
      </c>
      <c r="B1682" t="s">
        <v>172</v>
      </c>
      <c r="C1682">
        <v>671.99999749660492</v>
      </c>
      <c r="D1682">
        <v>50</v>
      </c>
      <c r="E1682" s="80">
        <v>35349</v>
      </c>
    </row>
    <row r="1683" spans="1:5">
      <c r="A1683">
        <v>10327</v>
      </c>
      <c r="B1683" t="s">
        <v>173</v>
      </c>
      <c r="C1683">
        <v>671.99999749660492</v>
      </c>
      <c r="D1683">
        <v>50</v>
      </c>
      <c r="E1683" s="80">
        <v>35349</v>
      </c>
    </row>
    <row r="1684" spans="1:5">
      <c r="A1684">
        <v>10327</v>
      </c>
      <c r="B1684" t="s">
        <v>174</v>
      </c>
      <c r="C1684">
        <v>671.99999749660492</v>
      </c>
      <c r="D1684">
        <v>50</v>
      </c>
      <c r="E1684" s="80">
        <v>35349</v>
      </c>
    </row>
    <row r="1685" spans="1:5">
      <c r="A1685">
        <v>10327</v>
      </c>
      <c r="B1685" t="s">
        <v>175</v>
      </c>
      <c r="C1685">
        <v>671.99999749660492</v>
      </c>
      <c r="D1685">
        <v>50</v>
      </c>
      <c r="E1685" s="80">
        <v>35349</v>
      </c>
    </row>
    <row r="1686" spans="1:5">
      <c r="A1686">
        <v>10327</v>
      </c>
      <c r="B1686" t="s">
        <v>176</v>
      </c>
      <c r="C1686">
        <v>671.99999749660492</v>
      </c>
      <c r="D1686">
        <v>50</v>
      </c>
      <c r="E1686" s="80">
        <v>35349</v>
      </c>
    </row>
    <row r="1687" spans="1:5">
      <c r="A1687">
        <v>10327</v>
      </c>
      <c r="B1687" t="s">
        <v>177</v>
      </c>
      <c r="C1687">
        <v>671.99999749660492</v>
      </c>
      <c r="D1687">
        <v>50</v>
      </c>
      <c r="E1687" s="80">
        <v>35349</v>
      </c>
    </row>
    <row r="1688" spans="1:5">
      <c r="A1688">
        <v>10327</v>
      </c>
      <c r="B1688" t="s">
        <v>178</v>
      </c>
      <c r="C1688">
        <v>671.99999749660492</v>
      </c>
      <c r="D1688">
        <v>50</v>
      </c>
      <c r="E1688" s="80">
        <v>35349</v>
      </c>
    </row>
    <row r="1689" spans="1:5">
      <c r="A1689">
        <v>10327</v>
      </c>
      <c r="B1689" t="s">
        <v>179</v>
      </c>
      <c r="C1689">
        <v>671.99999749660492</v>
      </c>
      <c r="D1689">
        <v>50</v>
      </c>
      <c r="E1689" s="80">
        <v>35349</v>
      </c>
    </row>
    <row r="1690" spans="1:5">
      <c r="A1690">
        <v>10327</v>
      </c>
      <c r="B1690" t="s">
        <v>172</v>
      </c>
      <c r="C1690">
        <v>579.59999784082174</v>
      </c>
      <c r="D1690">
        <v>35</v>
      </c>
      <c r="E1690" s="80">
        <v>35349</v>
      </c>
    </row>
    <row r="1691" spans="1:5">
      <c r="A1691">
        <v>10327</v>
      </c>
      <c r="B1691" t="s">
        <v>173</v>
      </c>
      <c r="C1691">
        <v>579.59999784082174</v>
      </c>
      <c r="D1691">
        <v>35</v>
      </c>
      <c r="E1691" s="80">
        <v>35349</v>
      </c>
    </row>
    <row r="1692" spans="1:5">
      <c r="A1692">
        <v>10327</v>
      </c>
      <c r="B1692" t="s">
        <v>174</v>
      </c>
      <c r="C1692">
        <v>579.59999784082174</v>
      </c>
      <c r="D1692">
        <v>35</v>
      </c>
      <c r="E1692" s="80">
        <v>35349</v>
      </c>
    </row>
    <row r="1693" spans="1:5">
      <c r="A1693">
        <v>10327</v>
      </c>
      <c r="B1693" t="s">
        <v>175</v>
      </c>
      <c r="C1693">
        <v>579.59999784082174</v>
      </c>
      <c r="D1693">
        <v>35</v>
      </c>
      <c r="E1693" s="80">
        <v>35349</v>
      </c>
    </row>
    <row r="1694" spans="1:5">
      <c r="A1694">
        <v>10327</v>
      </c>
      <c r="B1694" t="s">
        <v>176</v>
      </c>
      <c r="C1694">
        <v>579.59999784082174</v>
      </c>
      <c r="D1694">
        <v>35</v>
      </c>
      <c r="E1694" s="80">
        <v>35349</v>
      </c>
    </row>
    <row r="1695" spans="1:5">
      <c r="A1695">
        <v>10327</v>
      </c>
      <c r="B1695" t="s">
        <v>177</v>
      </c>
      <c r="C1695">
        <v>579.59999784082174</v>
      </c>
      <c r="D1695">
        <v>35</v>
      </c>
      <c r="E1695" s="80">
        <v>35349</v>
      </c>
    </row>
    <row r="1696" spans="1:5">
      <c r="A1696">
        <v>10327</v>
      </c>
      <c r="B1696" t="s">
        <v>178</v>
      </c>
      <c r="C1696">
        <v>579.59999784082174</v>
      </c>
      <c r="D1696">
        <v>35</v>
      </c>
      <c r="E1696" s="80">
        <v>35349</v>
      </c>
    </row>
    <row r="1697" spans="1:5">
      <c r="A1697">
        <v>10327</v>
      </c>
      <c r="B1697" t="s">
        <v>179</v>
      </c>
      <c r="C1697">
        <v>579.59999784082174</v>
      </c>
      <c r="D1697">
        <v>35</v>
      </c>
      <c r="E1697" s="80">
        <v>35349</v>
      </c>
    </row>
    <row r="1698" spans="1:5">
      <c r="A1698">
        <v>10327</v>
      </c>
      <c r="B1698" t="s">
        <v>172</v>
      </c>
      <c r="C1698">
        <v>254.39999905228615</v>
      </c>
      <c r="D1698">
        <v>30</v>
      </c>
      <c r="E1698" s="80">
        <v>35349</v>
      </c>
    </row>
    <row r="1699" spans="1:5">
      <c r="A1699">
        <v>10327</v>
      </c>
      <c r="B1699" t="s">
        <v>173</v>
      </c>
      <c r="C1699">
        <v>254.39999905228615</v>
      </c>
      <c r="D1699">
        <v>30</v>
      </c>
      <c r="E1699" s="80">
        <v>35349</v>
      </c>
    </row>
    <row r="1700" spans="1:5">
      <c r="A1700">
        <v>10327</v>
      </c>
      <c r="B1700" t="s">
        <v>174</v>
      </c>
      <c r="C1700">
        <v>254.39999905228615</v>
      </c>
      <c r="D1700">
        <v>30</v>
      </c>
      <c r="E1700" s="80">
        <v>35349</v>
      </c>
    </row>
    <row r="1701" spans="1:5">
      <c r="A1701">
        <v>10327</v>
      </c>
      <c r="B1701" t="s">
        <v>175</v>
      </c>
      <c r="C1701">
        <v>254.39999905228615</v>
      </c>
      <c r="D1701">
        <v>30</v>
      </c>
      <c r="E1701" s="80">
        <v>35349</v>
      </c>
    </row>
    <row r="1702" spans="1:5">
      <c r="A1702">
        <v>10327</v>
      </c>
      <c r="B1702" t="s">
        <v>176</v>
      </c>
      <c r="C1702">
        <v>254.39999905228615</v>
      </c>
      <c r="D1702">
        <v>30</v>
      </c>
      <c r="E1702" s="80">
        <v>35349</v>
      </c>
    </row>
    <row r="1703" spans="1:5">
      <c r="A1703">
        <v>10327</v>
      </c>
      <c r="B1703" t="s">
        <v>177</v>
      </c>
      <c r="C1703">
        <v>254.39999905228615</v>
      </c>
      <c r="D1703">
        <v>30</v>
      </c>
      <c r="E1703" s="80">
        <v>35349</v>
      </c>
    </row>
    <row r="1704" spans="1:5">
      <c r="A1704">
        <v>10327</v>
      </c>
      <c r="B1704" t="s">
        <v>178</v>
      </c>
      <c r="C1704">
        <v>254.39999905228615</v>
      </c>
      <c r="D1704">
        <v>30</v>
      </c>
      <c r="E1704" s="80">
        <v>35349</v>
      </c>
    </row>
    <row r="1705" spans="1:5">
      <c r="A1705">
        <v>10327</v>
      </c>
      <c r="B1705" t="s">
        <v>179</v>
      </c>
      <c r="C1705">
        <v>254.39999905228615</v>
      </c>
      <c r="D1705">
        <v>30</v>
      </c>
      <c r="E1705" s="80">
        <v>35349</v>
      </c>
    </row>
    <row r="1706" spans="1:5">
      <c r="A1706">
        <v>10328</v>
      </c>
      <c r="B1706" t="s">
        <v>172</v>
      </c>
      <c r="C1706">
        <v>396</v>
      </c>
      <c r="D1706">
        <v>9</v>
      </c>
      <c r="E1706" s="80">
        <v>35352</v>
      </c>
    </row>
    <row r="1707" spans="1:5">
      <c r="A1707">
        <v>10328</v>
      </c>
      <c r="B1707" t="s">
        <v>173</v>
      </c>
      <c r="C1707">
        <v>396</v>
      </c>
      <c r="D1707">
        <v>9</v>
      </c>
      <c r="E1707" s="80">
        <v>35352</v>
      </c>
    </row>
    <row r="1708" spans="1:5">
      <c r="A1708">
        <v>10328</v>
      </c>
      <c r="B1708" t="s">
        <v>174</v>
      </c>
      <c r="C1708">
        <v>396</v>
      </c>
      <c r="D1708">
        <v>9</v>
      </c>
      <c r="E1708" s="80">
        <v>35352</v>
      </c>
    </row>
    <row r="1709" spans="1:5">
      <c r="A1709">
        <v>10328</v>
      </c>
      <c r="B1709" t="s">
        <v>175</v>
      </c>
      <c r="C1709">
        <v>396</v>
      </c>
      <c r="D1709">
        <v>9</v>
      </c>
      <c r="E1709" s="80">
        <v>35352</v>
      </c>
    </row>
    <row r="1710" spans="1:5">
      <c r="A1710">
        <v>10328</v>
      </c>
      <c r="B1710" t="s">
        <v>176</v>
      </c>
      <c r="C1710">
        <v>396</v>
      </c>
      <c r="D1710">
        <v>9</v>
      </c>
      <c r="E1710" s="80">
        <v>35352</v>
      </c>
    </row>
    <row r="1711" spans="1:5">
      <c r="A1711">
        <v>10328</v>
      </c>
      <c r="B1711" t="s">
        <v>177</v>
      </c>
      <c r="C1711">
        <v>396</v>
      </c>
      <c r="D1711">
        <v>9</v>
      </c>
      <c r="E1711" s="80">
        <v>35352</v>
      </c>
    </row>
    <row r="1712" spans="1:5">
      <c r="A1712">
        <v>10328</v>
      </c>
      <c r="B1712" t="s">
        <v>178</v>
      </c>
      <c r="C1712">
        <v>396</v>
      </c>
      <c r="D1712">
        <v>9</v>
      </c>
      <c r="E1712" s="80">
        <v>35352</v>
      </c>
    </row>
    <row r="1713" spans="1:5">
      <c r="A1713">
        <v>10328</v>
      </c>
      <c r="B1713" t="s">
        <v>179</v>
      </c>
      <c r="C1713">
        <v>396</v>
      </c>
      <c r="D1713">
        <v>9</v>
      </c>
      <c r="E1713" s="80">
        <v>35352</v>
      </c>
    </row>
    <row r="1714" spans="1:5">
      <c r="A1714">
        <v>10328</v>
      </c>
      <c r="B1714" t="s">
        <v>172</v>
      </c>
      <c r="C1714">
        <v>672</v>
      </c>
      <c r="D1714">
        <v>40</v>
      </c>
      <c r="E1714" s="80">
        <v>35352</v>
      </c>
    </row>
    <row r="1715" spans="1:5">
      <c r="A1715">
        <v>10328</v>
      </c>
      <c r="B1715" t="s">
        <v>173</v>
      </c>
      <c r="C1715">
        <v>672</v>
      </c>
      <c r="D1715">
        <v>40</v>
      </c>
      <c r="E1715" s="80">
        <v>35352</v>
      </c>
    </row>
    <row r="1716" spans="1:5">
      <c r="A1716">
        <v>10328</v>
      </c>
      <c r="B1716" t="s">
        <v>174</v>
      </c>
      <c r="C1716">
        <v>672</v>
      </c>
      <c r="D1716">
        <v>40</v>
      </c>
      <c r="E1716" s="80">
        <v>35352</v>
      </c>
    </row>
    <row r="1717" spans="1:5">
      <c r="A1717">
        <v>10328</v>
      </c>
      <c r="B1717" t="s">
        <v>175</v>
      </c>
      <c r="C1717">
        <v>672</v>
      </c>
      <c r="D1717">
        <v>40</v>
      </c>
      <c r="E1717" s="80">
        <v>35352</v>
      </c>
    </row>
    <row r="1718" spans="1:5">
      <c r="A1718">
        <v>10328</v>
      </c>
      <c r="B1718" t="s">
        <v>176</v>
      </c>
      <c r="C1718">
        <v>672</v>
      </c>
      <c r="D1718">
        <v>40</v>
      </c>
      <c r="E1718" s="80">
        <v>35352</v>
      </c>
    </row>
    <row r="1719" spans="1:5">
      <c r="A1719">
        <v>10328</v>
      </c>
      <c r="B1719" t="s">
        <v>177</v>
      </c>
      <c r="C1719">
        <v>672</v>
      </c>
      <c r="D1719">
        <v>40</v>
      </c>
      <c r="E1719" s="80">
        <v>35352</v>
      </c>
    </row>
    <row r="1720" spans="1:5">
      <c r="A1720">
        <v>10328</v>
      </c>
      <c r="B1720" t="s">
        <v>178</v>
      </c>
      <c r="C1720">
        <v>672</v>
      </c>
      <c r="D1720">
        <v>40</v>
      </c>
      <c r="E1720" s="80">
        <v>35352</v>
      </c>
    </row>
    <row r="1721" spans="1:5">
      <c r="A1721">
        <v>10328</v>
      </c>
      <c r="B1721" t="s">
        <v>179</v>
      </c>
      <c r="C1721">
        <v>672</v>
      </c>
      <c r="D1721">
        <v>40</v>
      </c>
      <c r="E1721" s="80">
        <v>35352</v>
      </c>
    </row>
    <row r="1722" spans="1:5">
      <c r="A1722">
        <v>10328</v>
      </c>
      <c r="B1722" t="s">
        <v>172</v>
      </c>
      <c r="C1722">
        <v>100</v>
      </c>
      <c r="D1722">
        <v>10</v>
      </c>
      <c r="E1722" s="80">
        <v>35352</v>
      </c>
    </row>
    <row r="1723" spans="1:5">
      <c r="A1723">
        <v>10328</v>
      </c>
      <c r="B1723" t="s">
        <v>173</v>
      </c>
      <c r="C1723">
        <v>100</v>
      </c>
      <c r="D1723">
        <v>10</v>
      </c>
      <c r="E1723" s="80">
        <v>35352</v>
      </c>
    </row>
    <row r="1724" spans="1:5">
      <c r="A1724">
        <v>10328</v>
      </c>
      <c r="B1724" t="s">
        <v>174</v>
      </c>
      <c r="C1724">
        <v>100</v>
      </c>
      <c r="D1724">
        <v>10</v>
      </c>
      <c r="E1724" s="80">
        <v>35352</v>
      </c>
    </row>
    <row r="1725" spans="1:5">
      <c r="A1725">
        <v>10328</v>
      </c>
      <c r="B1725" t="s">
        <v>175</v>
      </c>
      <c r="C1725">
        <v>100</v>
      </c>
      <c r="D1725">
        <v>10</v>
      </c>
      <c r="E1725" s="80">
        <v>35352</v>
      </c>
    </row>
    <row r="1726" spans="1:5">
      <c r="A1726">
        <v>10328</v>
      </c>
      <c r="B1726" t="s">
        <v>176</v>
      </c>
      <c r="C1726">
        <v>100</v>
      </c>
      <c r="D1726">
        <v>10</v>
      </c>
      <c r="E1726" s="80">
        <v>35352</v>
      </c>
    </row>
    <row r="1727" spans="1:5">
      <c r="A1727">
        <v>10328</v>
      </c>
      <c r="B1727" t="s">
        <v>177</v>
      </c>
      <c r="C1727">
        <v>100</v>
      </c>
      <c r="D1727">
        <v>10</v>
      </c>
      <c r="E1727" s="80">
        <v>35352</v>
      </c>
    </row>
    <row r="1728" spans="1:5">
      <c r="A1728">
        <v>10328</v>
      </c>
      <c r="B1728" t="s">
        <v>178</v>
      </c>
      <c r="C1728">
        <v>100</v>
      </c>
      <c r="D1728">
        <v>10</v>
      </c>
      <c r="E1728" s="80">
        <v>35352</v>
      </c>
    </row>
    <row r="1729" spans="1:5">
      <c r="A1729">
        <v>10328</v>
      </c>
      <c r="B1729" t="s">
        <v>179</v>
      </c>
      <c r="C1729">
        <v>100</v>
      </c>
      <c r="D1729">
        <v>10</v>
      </c>
      <c r="E1729" s="80">
        <v>35352</v>
      </c>
    </row>
    <row r="1730" spans="1:5">
      <c r="A1730">
        <v>10329</v>
      </c>
      <c r="B1730" t="s">
        <v>172</v>
      </c>
      <c r="C1730">
        <v>69.349999945610762</v>
      </c>
      <c r="D1730">
        <v>10</v>
      </c>
      <c r="E1730" s="80">
        <v>35353</v>
      </c>
    </row>
    <row r="1731" spans="1:5">
      <c r="A1731">
        <v>10329</v>
      </c>
      <c r="B1731" t="s">
        <v>173</v>
      </c>
      <c r="C1731">
        <v>69.349999945610762</v>
      </c>
      <c r="D1731">
        <v>10</v>
      </c>
      <c r="E1731" s="80">
        <v>35353</v>
      </c>
    </row>
    <row r="1732" spans="1:5">
      <c r="A1732">
        <v>10329</v>
      </c>
      <c r="B1732" t="s">
        <v>174</v>
      </c>
      <c r="C1732">
        <v>69.349999945610762</v>
      </c>
      <c r="D1732">
        <v>10</v>
      </c>
      <c r="E1732" s="80">
        <v>35353</v>
      </c>
    </row>
    <row r="1733" spans="1:5">
      <c r="A1733">
        <v>10329</v>
      </c>
      <c r="B1733" t="s">
        <v>175</v>
      </c>
      <c r="C1733">
        <v>69.349999945610762</v>
      </c>
      <c r="D1733">
        <v>10</v>
      </c>
      <c r="E1733" s="80">
        <v>35353</v>
      </c>
    </row>
    <row r="1734" spans="1:5">
      <c r="A1734">
        <v>10329</v>
      </c>
      <c r="B1734" t="s">
        <v>176</v>
      </c>
      <c r="C1734">
        <v>69.349999945610762</v>
      </c>
      <c r="D1734">
        <v>10</v>
      </c>
      <c r="E1734" s="80">
        <v>35353</v>
      </c>
    </row>
    <row r="1735" spans="1:5">
      <c r="A1735">
        <v>10329</v>
      </c>
      <c r="B1735" t="s">
        <v>177</v>
      </c>
      <c r="C1735">
        <v>69.349999945610762</v>
      </c>
      <c r="D1735">
        <v>10</v>
      </c>
      <c r="E1735" s="80">
        <v>35353</v>
      </c>
    </row>
    <row r="1736" spans="1:5">
      <c r="A1736">
        <v>10329</v>
      </c>
      <c r="B1736" t="s">
        <v>178</v>
      </c>
      <c r="C1736">
        <v>69.349999945610762</v>
      </c>
      <c r="D1736">
        <v>10</v>
      </c>
      <c r="E1736" s="80">
        <v>35353</v>
      </c>
    </row>
    <row r="1737" spans="1:5">
      <c r="A1737">
        <v>10329</v>
      </c>
      <c r="B1737" t="s">
        <v>179</v>
      </c>
      <c r="C1737">
        <v>69.349999945610762</v>
      </c>
      <c r="D1737">
        <v>10</v>
      </c>
      <c r="E1737" s="80">
        <v>35353</v>
      </c>
    </row>
    <row r="1738" spans="1:5">
      <c r="A1738">
        <v>10329</v>
      </c>
      <c r="B1738" t="s">
        <v>172</v>
      </c>
      <c r="C1738">
        <v>157.31999987661837</v>
      </c>
      <c r="D1738">
        <v>8</v>
      </c>
      <c r="E1738" s="80">
        <v>35353</v>
      </c>
    </row>
    <row r="1739" spans="1:5">
      <c r="A1739">
        <v>10329</v>
      </c>
      <c r="B1739" t="s">
        <v>173</v>
      </c>
      <c r="C1739">
        <v>157.31999987661837</v>
      </c>
      <c r="D1739">
        <v>8</v>
      </c>
      <c r="E1739" s="80">
        <v>35353</v>
      </c>
    </row>
    <row r="1740" spans="1:5">
      <c r="A1740">
        <v>10329</v>
      </c>
      <c r="B1740" t="s">
        <v>174</v>
      </c>
      <c r="C1740">
        <v>157.31999987661837</v>
      </c>
      <c r="D1740">
        <v>8</v>
      </c>
      <c r="E1740" s="80">
        <v>35353</v>
      </c>
    </row>
    <row r="1741" spans="1:5">
      <c r="A1741">
        <v>10329</v>
      </c>
      <c r="B1741" t="s">
        <v>175</v>
      </c>
      <c r="C1741">
        <v>157.31999987661837</v>
      </c>
      <c r="D1741">
        <v>8</v>
      </c>
      <c r="E1741" s="80">
        <v>35353</v>
      </c>
    </row>
    <row r="1742" spans="1:5">
      <c r="A1742">
        <v>10329</v>
      </c>
      <c r="B1742" t="s">
        <v>176</v>
      </c>
      <c r="C1742">
        <v>157.31999987661837</v>
      </c>
      <c r="D1742">
        <v>8</v>
      </c>
      <c r="E1742" s="80">
        <v>35353</v>
      </c>
    </row>
    <row r="1743" spans="1:5">
      <c r="A1743">
        <v>10329</v>
      </c>
      <c r="B1743" t="s">
        <v>177</v>
      </c>
      <c r="C1743">
        <v>157.31999987661837</v>
      </c>
      <c r="D1743">
        <v>8</v>
      </c>
      <c r="E1743" s="80">
        <v>35353</v>
      </c>
    </row>
    <row r="1744" spans="1:5">
      <c r="A1744">
        <v>10329</v>
      </c>
      <c r="B1744" t="s">
        <v>178</v>
      </c>
      <c r="C1744">
        <v>157.31999987661837</v>
      </c>
      <c r="D1744">
        <v>8</v>
      </c>
      <c r="E1744" s="80">
        <v>35353</v>
      </c>
    </row>
    <row r="1745" spans="1:5">
      <c r="A1745">
        <v>10329</v>
      </c>
      <c r="B1745" t="s">
        <v>179</v>
      </c>
      <c r="C1745">
        <v>157.31999987661837</v>
      </c>
      <c r="D1745">
        <v>8</v>
      </c>
      <c r="E1745" s="80">
        <v>35353</v>
      </c>
    </row>
    <row r="1746" spans="1:5">
      <c r="A1746">
        <v>10329</v>
      </c>
      <c r="B1746" t="s">
        <v>172</v>
      </c>
      <c r="C1746">
        <v>4005.1999968588352</v>
      </c>
      <c r="D1746">
        <v>20</v>
      </c>
      <c r="E1746" s="80">
        <v>35353</v>
      </c>
    </row>
    <row r="1747" spans="1:5">
      <c r="A1747">
        <v>10329</v>
      </c>
      <c r="B1747" t="s">
        <v>173</v>
      </c>
      <c r="C1747">
        <v>4005.1999968588352</v>
      </c>
      <c r="D1747">
        <v>20</v>
      </c>
      <c r="E1747" s="80">
        <v>35353</v>
      </c>
    </row>
    <row r="1748" spans="1:5">
      <c r="A1748">
        <v>10329</v>
      </c>
      <c r="B1748" t="s">
        <v>174</v>
      </c>
      <c r="C1748">
        <v>4005.1999968588352</v>
      </c>
      <c r="D1748">
        <v>20</v>
      </c>
      <c r="E1748" s="80">
        <v>35353</v>
      </c>
    </row>
    <row r="1749" spans="1:5">
      <c r="A1749">
        <v>10329</v>
      </c>
      <c r="B1749" t="s">
        <v>175</v>
      </c>
      <c r="C1749">
        <v>4005.1999968588352</v>
      </c>
      <c r="D1749">
        <v>20</v>
      </c>
      <c r="E1749" s="80">
        <v>35353</v>
      </c>
    </row>
    <row r="1750" spans="1:5">
      <c r="A1750">
        <v>10329</v>
      </c>
      <c r="B1750" t="s">
        <v>176</v>
      </c>
      <c r="C1750">
        <v>4005.1999968588352</v>
      </c>
      <c r="D1750">
        <v>20</v>
      </c>
      <c r="E1750" s="80">
        <v>35353</v>
      </c>
    </row>
    <row r="1751" spans="1:5">
      <c r="A1751">
        <v>10329</v>
      </c>
      <c r="B1751" t="s">
        <v>177</v>
      </c>
      <c r="C1751">
        <v>4005.1999968588352</v>
      </c>
      <c r="D1751">
        <v>20</v>
      </c>
      <c r="E1751" s="80">
        <v>35353</v>
      </c>
    </row>
    <row r="1752" spans="1:5">
      <c r="A1752">
        <v>10329</v>
      </c>
      <c r="B1752" t="s">
        <v>178</v>
      </c>
      <c r="C1752">
        <v>4005.1999968588352</v>
      </c>
      <c r="D1752">
        <v>20</v>
      </c>
      <c r="E1752" s="80">
        <v>35353</v>
      </c>
    </row>
    <row r="1753" spans="1:5">
      <c r="A1753">
        <v>10329</v>
      </c>
      <c r="B1753" t="s">
        <v>179</v>
      </c>
      <c r="C1753">
        <v>4005.1999968588352</v>
      </c>
      <c r="D1753">
        <v>20</v>
      </c>
      <c r="E1753" s="80">
        <v>35353</v>
      </c>
    </row>
    <row r="1754" spans="1:5">
      <c r="A1754">
        <v>10329</v>
      </c>
      <c r="B1754" t="s">
        <v>172</v>
      </c>
      <c r="C1754">
        <v>346.55999972820285</v>
      </c>
      <c r="D1754">
        <v>12</v>
      </c>
      <c r="E1754" s="80">
        <v>35353</v>
      </c>
    </row>
    <row r="1755" spans="1:5">
      <c r="A1755">
        <v>10329</v>
      </c>
      <c r="B1755" t="s">
        <v>173</v>
      </c>
      <c r="C1755">
        <v>346.55999972820285</v>
      </c>
      <c r="D1755">
        <v>12</v>
      </c>
      <c r="E1755" s="80">
        <v>35353</v>
      </c>
    </row>
    <row r="1756" spans="1:5">
      <c r="A1756">
        <v>10329</v>
      </c>
      <c r="B1756" t="s">
        <v>174</v>
      </c>
      <c r="C1756">
        <v>346.55999972820285</v>
      </c>
      <c r="D1756">
        <v>12</v>
      </c>
      <c r="E1756" s="80">
        <v>35353</v>
      </c>
    </row>
    <row r="1757" spans="1:5">
      <c r="A1757">
        <v>10329</v>
      </c>
      <c r="B1757" t="s">
        <v>175</v>
      </c>
      <c r="C1757">
        <v>346.55999972820285</v>
      </c>
      <c r="D1757">
        <v>12</v>
      </c>
      <c r="E1757" s="80">
        <v>35353</v>
      </c>
    </row>
    <row r="1758" spans="1:5">
      <c r="A1758">
        <v>10329</v>
      </c>
      <c r="B1758" t="s">
        <v>176</v>
      </c>
      <c r="C1758">
        <v>346.55999972820285</v>
      </c>
      <c r="D1758">
        <v>12</v>
      </c>
      <c r="E1758" s="80">
        <v>35353</v>
      </c>
    </row>
    <row r="1759" spans="1:5">
      <c r="A1759">
        <v>10329</v>
      </c>
      <c r="B1759" t="s">
        <v>177</v>
      </c>
      <c r="C1759">
        <v>346.55999972820285</v>
      </c>
      <c r="D1759">
        <v>12</v>
      </c>
      <c r="E1759" s="80">
        <v>35353</v>
      </c>
    </row>
    <row r="1760" spans="1:5">
      <c r="A1760">
        <v>10329</v>
      </c>
      <c r="B1760" t="s">
        <v>178</v>
      </c>
      <c r="C1760">
        <v>346.55999972820285</v>
      </c>
      <c r="D1760">
        <v>12</v>
      </c>
      <c r="E1760" s="80">
        <v>35353</v>
      </c>
    </row>
    <row r="1761" spans="1:5">
      <c r="A1761">
        <v>10329</v>
      </c>
      <c r="B1761" t="s">
        <v>179</v>
      </c>
      <c r="C1761">
        <v>346.55999972820285</v>
      </c>
      <c r="D1761">
        <v>12</v>
      </c>
      <c r="E1761" s="80">
        <v>35353</v>
      </c>
    </row>
    <row r="1762" spans="1:5">
      <c r="A1762">
        <v>10330</v>
      </c>
      <c r="B1762" t="s">
        <v>172</v>
      </c>
      <c r="C1762">
        <v>1058.2499925792217</v>
      </c>
      <c r="D1762">
        <v>50</v>
      </c>
      <c r="E1762" s="80">
        <v>35354</v>
      </c>
    </row>
    <row r="1763" spans="1:5">
      <c r="A1763">
        <v>10330</v>
      </c>
      <c r="B1763" t="s">
        <v>173</v>
      </c>
      <c r="C1763">
        <v>1058.2499925792217</v>
      </c>
      <c r="D1763">
        <v>50</v>
      </c>
      <c r="E1763" s="80">
        <v>35354</v>
      </c>
    </row>
    <row r="1764" spans="1:5">
      <c r="A1764">
        <v>10330</v>
      </c>
      <c r="B1764" t="s">
        <v>174</v>
      </c>
      <c r="C1764">
        <v>1058.2499925792217</v>
      </c>
      <c r="D1764">
        <v>50</v>
      </c>
      <c r="E1764" s="80">
        <v>35354</v>
      </c>
    </row>
    <row r="1765" spans="1:5">
      <c r="A1765">
        <v>10330</v>
      </c>
      <c r="B1765" t="s">
        <v>175</v>
      </c>
      <c r="C1765">
        <v>1058.2499925792217</v>
      </c>
      <c r="D1765">
        <v>50</v>
      </c>
      <c r="E1765" s="80">
        <v>35354</v>
      </c>
    </row>
    <row r="1766" spans="1:5">
      <c r="A1766">
        <v>10330</v>
      </c>
      <c r="B1766" t="s">
        <v>176</v>
      </c>
      <c r="C1766">
        <v>1058.2499925792217</v>
      </c>
      <c r="D1766">
        <v>50</v>
      </c>
      <c r="E1766" s="80">
        <v>35354</v>
      </c>
    </row>
    <row r="1767" spans="1:5">
      <c r="A1767">
        <v>10330</v>
      </c>
      <c r="B1767" t="s">
        <v>177</v>
      </c>
      <c r="C1767">
        <v>1058.2499925792217</v>
      </c>
      <c r="D1767">
        <v>50</v>
      </c>
      <c r="E1767" s="80">
        <v>35354</v>
      </c>
    </row>
    <row r="1768" spans="1:5">
      <c r="A1768">
        <v>10330</v>
      </c>
      <c r="B1768" t="s">
        <v>178</v>
      </c>
      <c r="C1768">
        <v>1058.2499925792217</v>
      </c>
      <c r="D1768">
        <v>50</v>
      </c>
      <c r="E1768" s="80">
        <v>35354</v>
      </c>
    </row>
    <row r="1769" spans="1:5">
      <c r="A1769">
        <v>10330</v>
      </c>
      <c r="B1769" t="s">
        <v>179</v>
      </c>
      <c r="C1769">
        <v>1058.2499925792217</v>
      </c>
      <c r="D1769">
        <v>50</v>
      </c>
      <c r="E1769" s="80">
        <v>35354</v>
      </c>
    </row>
    <row r="1770" spans="1:5">
      <c r="A1770">
        <v>10330</v>
      </c>
      <c r="B1770" t="s">
        <v>172</v>
      </c>
      <c r="C1770">
        <v>590.74999585747719</v>
      </c>
      <c r="D1770">
        <v>25</v>
      </c>
      <c r="E1770" s="80">
        <v>35354</v>
      </c>
    </row>
    <row r="1771" spans="1:5">
      <c r="A1771">
        <v>10330</v>
      </c>
      <c r="B1771" t="s">
        <v>173</v>
      </c>
      <c r="C1771">
        <v>590.74999585747719</v>
      </c>
      <c r="D1771">
        <v>25</v>
      </c>
      <c r="E1771" s="80">
        <v>35354</v>
      </c>
    </row>
    <row r="1772" spans="1:5">
      <c r="A1772">
        <v>10330</v>
      </c>
      <c r="B1772" t="s">
        <v>174</v>
      </c>
      <c r="C1772">
        <v>590.74999585747719</v>
      </c>
      <c r="D1772">
        <v>25</v>
      </c>
      <c r="E1772" s="80">
        <v>35354</v>
      </c>
    </row>
    <row r="1773" spans="1:5">
      <c r="A1773">
        <v>10330</v>
      </c>
      <c r="B1773" t="s">
        <v>175</v>
      </c>
      <c r="C1773">
        <v>590.74999585747719</v>
      </c>
      <c r="D1773">
        <v>25</v>
      </c>
      <c r="E1773" s="80">
        <v>35354</v>
      </c>
    </row>
    <row r="1774" spans="1:5">
      <c r="A1774">
        <v>10330</v>
      </c>
      <c r="B1774" t="s">
        <v>176</v>
      </c>
      <c r="C1774">
        <v>590.74999585747719</v>
      </c>
      <c r="D1774">
        <v>25</v>
      </c>
      <c r="E1774" s="80">
        <v>35354</v>
      </c>
    </row>
    <row r="1775" spans="1:5">
      <c r="A1775">
        <v>10330</v>
      </c>
      <c r="B1775" t="s">
        <v>177</v>
      </c>
      <c r="C1775">
        <v>590.74999585747719</v>
      </c>
      <c r="D1775">
        <v>25</v>
      </c>
      <c r="E1775" s="80">
        <v>35354</v>
      </c>
    </row>
    <row r="1776" spans="1:5">
      <c r="A1776">
        <v>10330</v>
      </c>
      <c r="B1776" t="s">
        <v>178</v>
      </c>
      <c r="C1776">
        <v>590.74999585747719</v>
      </c>
      <c r="D1776">
        <v>25</v>
      </c>
      <c r="E1776" s="80">
        <v>35354</v>
      </c>
    </row>
    <row r="1777" spans="1:5">
      <c r="A1777">
        <v>10330</v>
      </c>
      <c r="B1777" t="s">
        <v>179</v>
      </c>
      <c r="C1777">
        <v>590.74999585747719</v>
      </c>
      <c r="D1777">
        <v>25</v>
      </c>
      <c r="E1777" s="80">
        <v>35354</v>
      </c>
    </row>
    <row r="1778" spans="1:5">
      <c r="A1778">
        <v>10331</v>
      </c>
      <c r="B1778" t="s">
        <v>172</v>
      </c>
      <c r="C1778">
        <v>88.5</v>
      </c>
      <c r="D1778">
        <v>15</v>
      </c>
      <c r="E1778" s="80">
        <v>35354</v>
      </c>
    </row>
    <row r="1779" spans="1:5">
      <c r="A1779">
        <v>10331</v>
      </c>
      <c r="B1779" t="s">
        <v>173</v>
      </c>
      <c r="C1779">
        <v>88.5</v>
      </c>
      <c r="D1779">
        <v>15</v>
      </c>
      <c r="E1779" s="80">
        <v>35354</v>
      </c>
    </row>
    <row r="1780" spans="1:5">
      <c r="A1780">
        <v>10331</v>
      </c>
      <c r="B1780" t="s">
        <v>174</v>
      </c>
      <c r="C1780">
        <v>88.5</v>
      </c>
      <c r="D1780">
        <v>15</v>
      </c>
      <c r="E1780" s="80">
        <v>35354</v>
      </c>
    </row>
    <row r="1781" spans="1:5">
      <c r="A1781">
        <v>10331</v>
      </c>
      <c r="B1781" t="s">
        <v>175</v>
      </c>
      <c r="C1781">
        <v>88.5</v>
      </c>
      <c r="D1781">
        <v>15</v>
      </c>
      <c r="E1781" s="80">
        <v>35354</v>
      </c>
    </row>
    <row r="1782" spans="1:5">
      <c r="A1782">
        <v>10331</v>
      </c>
      <c r="B1782" t="s">
        <v>176</v>
      </c>
      <c r="C1782">
        <v>88.5</v>
      </c>
      <c r="D1782">
        <v>15</v>
      </c>
      <c r="E1782" s="80">
        <v>35354</v>
      </c>
    </row>
    <row r="1783" spans="1:5">
      <c r="A1783">
        <v>10331</v>
      </c>
      <c r="B1783" t="s">
        <v>177</v>
      </c>
      <c r="C1783">
        <v>88.5</v>
      </c>
      <c r="D1783">
        <v>15</v>
      </c>
      <c r="E1783" s="80">
        <v>35354</v>
      </c>
    </row>
    <row r="1784" spans="1:5">
      <c r="A1784">
        <v>10331</v>
      </c>
      <c r="B1784" t="s">
        <v>178</v>
      </c>
      <c r="C1784">
        <v>88.5</v>
      </c>
      <c r="D1784">
        <v>15</v>
      </c>
      <c r="E1784" s="80">
        <v>35354</v>
      </c>
    </row>
    <row r="1785" spans="1:5">
      <c r="A1785">
        <v>10331</v>
      </c>
      <c r="B1785" t="s">
        <v>179</v>
      </c>
      <c r="C1785">
        <v>88.5</v>
      </c>
      <c r="D1785">
        <v>15</v>
      </c>
      <c r="E1785" s="80">
        <v>35354</v>
      </c>
    </row>
    <row r="1786" spans="1:5">
      <c r="A1786">
        <v>10332</v>
      </c>
      <c r="B1786" t="s">
        <v>172</v>
      </c>
      <c r="C1786">
        <v>1599.9999940395355</v>
      </c>
      <c r="D1786">
        <v>40</v>
      </c>
      <c r="E1786" s="80">
        <v>35355</v>
      </c>
    </row>
    <row r="1787" spans="1:5">
      <c r="A1787">
        <v>10332</v>
      </c>
      <c r="B1787" t="s">
        <v>173</v>
      </c>
      <c r="C1787">
        <v>1599.9999940395355</v>
      </c>
      <c r="D1787">
        <v>40</v>
      </c>
      <c r="E1787" s="80">
        <v>35355</v>
      </c>
    </row>
    <row r="1788" spans="1:5">
      <c r="A1788">
        <v>10332</v>
      </c>
      <c r="B1788" t="s">
        <v>174</v>
      </c>
      <c r="C1788">
        <v>1599.9999940395355</v>
      </c>
      <c r="D1788">
        <v>40</v>
      </c>
      <c r="E1788" s="80">
        <v>35355</v>
      </c>
    </row>
    <row r="1789" spans="1:5">
      <c r="A1789">
        <v>10332</v>
      </c>
      <c r="B1789" t="s">
        <v>175</v>
      </c>
      <c r="C1789">
        <v>1599.9999940395355</v>
      </c>
      <c r="D1789">
        <v>40</v>
      </c>
      <c r="E1789" s="80">
        <v>35355</v>
      </c>
    </row>
    <row r="1790" spans="1:5">
      <c r="A1790">
        <v>10332</v>
      </c>
      <c r="B1790" t="s">
        <v>176</v>
      </c>
      <c r="C1790">
        <v>1599.9999940395355</v>
      </c>
      <c r="D1790">
        <v>40</v>
      </c>
      <c r="E1790" s="80">
        <v>35355</v>
      </c>
    </row>
    <row r="1791" spans="1:5">
      <c r="A1791">
        <v>10332</v>
      </c>
      <c r="B1791" t="s">
        <v>177</v>
      </c>
      <c r="C1791">
        <v>1599.9999940395355</v>
      </c>
      <c r="D1791">
        <v>40</v>
      </c>
      <c r="E1791" s="80">
        <v>35355</v>
      </c>
    </row>
    <row r="1792" spans="1:5">
      <c r="A1792">
        <v>10332</v>
      </c>
      <c r="B1792" t="s">
        <v>178</v>
      </c>
      <c r="C1792">
        <v>1599.9999940395355</v>
      </c>
      <c r="D1792">
        <v>40</v>
      </c>
      <c r="E1792" s="80">
        <v>35355</v>
      </c>
    </row>
    <row r="1793" spans="1:5">
      <c r="A1793">
        <v>10332</v>
      </c>
      <c r="B1793" t="s">
        <v>179</v>
      </c>
      <c r="C1793">
        <v>1599.9999940395355</v>
      </c>
      <c r="D1793">
        <v>40</v>
      </c>
      <c r="E1793" s="80">
        <v>35355</v>
      </c>
    </row>
    <row r="1794" spans="1:5">
      <c r="A1794">
        <v>10332</v>
      </c>
      <c r="B1794" t="s">
        <v>172</v>
      </c>
      <c r="C1794">
        <v>89.599999666213989</v>
      </c>
      <c r="D1794">
        <v>10</v>
      </c>
      <c r="E1794" s="80">
        <v>35355</v>
      </c>
    </row>
    <row r="1795" spans="1:5">
      <c r="A1795">
        <v>10332</v>
      </c>
      <c r="B1795" t="s">
        <v>173</v>
      </c>
      <c r="C1795">
        <v>89.599999666213989</v>
      </c>
      <c r="D1795">
        <v>10</v>
      </c>
      <c r="E1795" s="80">
        <v>35355</v>
      </c>
    </row>
    <row r="1796" spans="1:5">
      <c r="A1796">
        <v>10332</v>
      </c>
      <c r="B1796" t="s">
        <v>174</v>
      </c>
      <c r="C1796">
        <v>89.599999666213989</v>
      </c>
      <c r="D1796">
        <v>10</v>
      </c>
      <c r="E1796" s="80">
        <v>35355</v>
      </c>
    </row>
    <row r="1797" spans="1:5">
      <c r="A1797">
        <v>10332</v>
      </c>
      <c r="B1797" t="s">
        <v>175</v>
      </c>
      <c r="C1797">
        <v>89.599999666213989</v>
      </c>
      <c r="D1797">
        <v>10</v>
      </c>
      <c r="E1797" s="80">
        <v>35355</v>
      </c>
    </row>
    <row r="1798" spans="1:5">
      <c r="A1798">
        <v>10332</v>
      </c>
      <c r="B1798" t="s">
        <v>176</v>
      </c>
      <c r="C1798">
        <v>89.599999666213989</v>
      </c>
      <c r="D1798">
        <v>10</v>
      </c>
      <c r="E1798" s="80">
        <v>35355</v>
      </c>
    </row>
    <row r="1799" spans="1:5">
      <c r="A1799">
        <v>10332</v>
      </c>
      <c r="B1799" t="s">
        <v>177</v>
      </c>
      <c r="C1799">
        <v>89.599999666213989</v>
      </c>
      <c r="D1799">
        <v>10</v>
      </c>
      <c r="E1799" s="80">
        <v>35355</v>
      </c>
    </row>
    <row r="1800" spans="1:5">
      <c r="A1800">
        <v>10332</v>
      </c>
      <c r="B1800" t="s">
        <v>178</v>
      </c>
      <c r="C1800">
        <v>89.599999666213989</v>
      </c>
      <c r="D1800">
        <v>10</v>
      </c>
      <c r="E1800" s="80">
        <v>35355</v>
      </c>
    </row>
    <row r="1801" spans="1:5">
      <c r="A1801">
        <v>10332</v>
      </c>
      <c r="B1801" t="s">
        <v>179</v>
      </c>
      <c r="C1801">
        <v>89.599999666213989</v>
      </c>
      <c r="D1801">
        <v>10</v>
      </c>
      <c r="E1801" s="80">
        <v>35355</v>
      </c>
    </row>
    <row r="1802" spans="1:5">
      <c r="A1802">
        <v>10332</v>
      </c>
      <c r="B1802" t="s">
        <v>172</v>
      </c>
      <c r="C1802">
        <v>97.279999637603751</v>
      </c>
      <c r="D1802">
        <v>16</v>
      </c>
      <c r="E1802" s="80">
        <v>35355</v>
      </c>
    </row>
    <row r="1803" spans="1:5">
      <c r="A1803">
        <v>10332</v>
      </c>
      <c r="B1803" t="s">
        <v>173</v>
      </c>
      <c r="C1803">
        <v>97.279999637603751</v>
      </c>
      <c r="D1803">
        <v>16</v>
      </c>
      <c r="E1803" s="80">
        <v>35355</v>
      </c>
    </row>
    <row r="1804" spans="1:5">
      <c r="A1804">
        <v>10332</v>
      </c>
      <c r="B1804" t="s">
        <v>174</v>
      </c>
      <c r="C1804">
        <v>97.279999637603751</v>
      </c>
      <c r="D1804">
        <v>16</v>
      </c>
      <c r="E1804" s="80">
        <v>35355</v>
      </c>
    </row>
    <row r="1805" spans="1:5">
      <c r="A1805">
        <v>10332</v>
      </c>
      <c r="B1805" t="s">
        <v>175</v>
      </c>
      <c r="C1805">
        <v>97.279999637603751</v>
      </c>
      <c r="D1805">
        <v>16</v>
      </c>
      <c r="E1805" s="80">
        <v>35355</v>
      </c>
    </row>
    <row r="1806" spans="1:5">
      <c r="A1806">
        <v>10332</v>
      </c>
      <c r="B1806" t="s">
        <v>176</v>
      </c>
      <c r="C1806">
        <v>97.279999637603751</v>
      </c>
      <c r="D1806">
        <v>16</v>
      </c>
      <c r="E1806" s="80">
        <v>35355</v>
      </c>
    </row>
    <row r="1807" spans="1:5">
      <c r="A1807">
        <v>10332</v>
      </c>
      <c r="B1807" t="s">
        <v>177</v>
      </c>
      <c r="C1807">
        <v>97.279999637603751</v>
      </c>
      <c r="D1807">
        <v>16</v>
      </c>
      <c r="E1807" s="80">
        <v>35355</v>
      </c>
    </row>
    <row r="1808" spans="1:5">
      <c r="A1808">
        <v>10332</v>
      </c>
      <c r="B1808" t="s">
        <v>178</v>
      </c>
      <c r="C1808">
        <v>97.279999637603751</v>
      </c>
      <c r="D1808">
        <v>16</v>
      </c>
      <c r="E1808" s="80">
        <v>35355</v>
      </c>
    </row>
    <row r="1809" spans="1:5">
      <c r="A1809">
        <v>10332</v>
      </c>
      <c r="B1809" t="s">
        <v>179</v>
      </c>
      <c r="C1809">
        <v>97.279999637603751</v>
      </c>
      <c r="D1809">
        <v>16</v>
      </c>
      <c r="E1809" s="80">
        <v>35355</v>
      </c>
    </row>
    <row r="1810" spans="1:5">
      <c r="A1810">
        <v>10333</v>
      </c>
      <c r="B1810" t="s">
        <v>172</v>
      </c>
      <c r="C1810">
        <v>186</v>
      </c>
      <c r="D1810">
        <v>10</v>
      </c>
      <c r="E1810" s="80">
        <v>35356</v>
      </c>
    </row>
    <row r="1811" spans="1:5">
      <c r="A1811">
        <v>10333</v>
      </c>
      <c r="B1811" t="s">
        <v>173</v>
      </c>
      <c r="C1811">
        <v>186</v>
      </c>
      <c r="D1811">
        <v>10</v>
      </c>
      <c r="E1811" s="80">
        <v>35356</v>
      </c>
    </row>
    <row r="1812" spans="1:5">
      <c r="A1812">
        <v>10333</v>
      </c>
      <c r="B1812" t="s">
        <v>174</v>
      </c>
      <c r="C1812">
        <v>186</v>
      </c>
      <c r="D1812">
        <v>10</v>
      </c>
      <c r="E1812" s="80">
        <v>35356</v>
      </c>
    </row>
    <row r="1813" spans="1:5">
      <c r="A1813">
        <v>10333</v>
      </c>
      <c r="B1813" t="s">
        <v>175</v>
      </c>
      <c r="C1813">
        <v>186</v>
      </c>
      <c r="D1813">
        <v>10</v>
      </c>
      <c r="E1813" s="80">
        <v>35356</v>
      </c>
    </row>
    <row r="1814" spans="1:5">
      <c r="A1814">
        <v>10333</v>
      </c>
      <c r="B1814" t="s">
        <v>176</v>
      </c>
      <c r="C1814">
        <v>186</v>
      </c>
      <c r="D1814">
        <v>10</v>
      </c>
      <c r="E1814" s="80">
        <v>35356</v>
      </c>
    </row>
    <row r="1815" spans="1:5">
      <c r="A1815">
        <v>10333</v>
      </c>
      <c r="B1815" t="s">
        <v>177</v>
      </c>
      <c r="C1815">
        <v>186</v>
      </c>
      <c r="D1815">
        <v>10</v>
      </c>
      <c r="E1815" s="80">
        <v>35356</v>
      </c>
    </row>
    <row r="1816" spans="1:5">
      <c r="A1816">
        <v>10333</v>
      </c>
      <c r="B1816" t="s">
        <v>178</v>
      </c>
      <c r="C1816">
        <v>186</v>
      </c>
      <c r="D1816">
        <v>10</v>
      </c>
      <c r="E1816" s="80">
        <v>35356</v>
      </c>
    </row>
    <row r="1817" spans="1:5">
      <c r="A1817">
        <v>10333</v>
      </c>
      <c r="B1817" t="s">
        <v>179</v>
      </c>
      <c r="C1817">
        <v>186</v>
      </c>
      <c r="D1817">
        <v>10</v>
      </c>
      <c r="E1817" s="80">
        <v>35356</v>
      </c>
    </row>
    <row r="1818" spans="1:5">
      <c r="A1818">
        <v>10333</v>
      </c>
      <c r="B1818" t="s">
        <v>172</v>
      </c>
      <c r="C1818">
        <v>71.99999988079071</v>
      </c>
      <c r="D1818">
        <v>10</v>
      </c>
      <c r="E1818" s="80">
        <v>35356</v>
      </c>
    </row>
    <row r="1819" spans="1:5">
      <c r="A1819">
        <v>10333</v>
      </c>
      <c r="B1819" t="s">
        <v>173</v>
      </c>
      <c r="C1819">
        <v>71.99999988079071</v>
      </c>
      <c r="D1819">
        <v>10</v>
      </c>
      <c r="E1819" s="80">
        <v>35356</v>
      </c>
    </row>
    <row r="1820" spans="1:5">
      <c r="A1820">
        <v>10333</v>
      </c>
      <c r="B1820" t="s">
        <v>174</v>
      </c>
      <c r="C1820">
        <v>71.99999988079071</v>
      </c>
      <c r="D1820">
        <v>10</v>
      </c>
      <c r="E1820" s="80">
        <v>35356</v>
      </c>
    </row>
    <row r="1821" spans="1:5">
      <c r="A1821">
        <v>10333</v>
      </c>
      <c r="B1821" t="s">
        <v>175</v>
      </c>
      <c r="C1821">
        <v>71.99999988079071</v>
      </c>
      <c r="D1821">
        <v>10</v>
      </c>
      <c r="E1821" s="80">
        <v>35356</v>
      </c>
    </row>
    <row r="1822" spans="1:5">
      <c r="A1822">
        <v>10333</v>
      </c>
      <c r="B1822" t="s">
        <v>176</v>
      </c>
      <c r="C1822">
        <v>71.99999988079071</v>
      </c>
      <c r="D1822">
        <v>10</v>
      </c>
      <c r="E1822" s="80">
        <v>35356</v>
      </c>
    </row>
    <row r="1823" spans="1:5">
      <c r="A1823">
        <v>10333</v>
      </c>
      <c r="B1823" t="s">
        <v>177</v>
      </c>
      <c r="C1823">
        <v>71.99999988079071</v>
      </c>
      <c r="D1823">
        <v>10</v>
      </c>
      <c r="E1823" s="80">
        <v>35356</v>
      </c>
    </row>
    <row r="1824" spans="1:5">
      <c r="A1824">
        <v>10333</v>
      </c>
      <c r="B1824" t="s">
        <v>178</v>
      </c>
      <c r="C1824">
        <v>71.99999988079071</v>
      </c>
      <c r="D1824">
        <v>10</v>
      </c>
      <c r="E1824" s="80">
        <v>35356</v>
      </c>
    </row>
    <row r="1825" spans="1:5">
      <c r="A1825">
        <v>10333</v>
      </c>
      <c r="B1825" t="s">
        <v>179</v>
      </c>
      <c r="C1825">
        <v>71.99999988079071</v>
      </c>
      <c r="D1825">
        <v>10</v>
      </c>
      <c r="E1825" s="80">
        <v>35356</v>
      </c>
    </row>
    <row r="1826" spans="1:5">
      <c r="A1826">
        <v>10333</v>
      </c>
      <c r="B1826" t="s">
        <v>172</v>
      </c>
      <c r="C1826">
        <v>619.19999897480011</v>
      </c>
      <c r="D1826">
        <v>40</v>
      </c>
      <c r="E1826" s="80">
        <v>35356</v>
      </c>
    </row>
    <row r="1827" spans="1:5">
      <c r="A1827">
        <v>10333</v>
      </c>
      <c r="B1827" t="s">
        <v>173</v>
      </c>
      <c r="C1827">
        <v>619.19999897480011</v>
      </c>
      <c r="D1827">
        <v>40</v>
      </c>
      <c r="E1827" s="80">
        <v>35356</v>
      </c>
    </row>
    <row r="1828" spans="1:5">
      <c r="A1828">
        <v>10333</v>
      </c>
      <c r="B1828" t="s">
        <v>174</v>
      </c>
      <c r="C1828">
        <v>619.19999897480011</v>
      </c>
      <c r="D1828">
        <v>40</v>
      </c>
      <c r="E1828" s="80">
        <v>35356</v>
      </c>
    </row>
    <row r="1829" spans="1:5">
      <c r="A1829">
        <v>10333</v>
      </c>
      <c r="B1829" t="s">
        <v>175</v>
      </c>
      <c r="C1829">
        <v>619.19999897480011</v>
      </c>
      <c r="D1829">
        <v>40</v>
      </c>
      <c r="E1829" s="80">
        <v>35356</v>
      </c>
    </row>
    <row r="1830" spans="1:5">
      <c r="A1830">
        <v>10333</v>
      </c>
      <c r="B1830" t="s">
        <v>176</v>
      </c>
      <c r="C1830">
        <v>619.19999897480011</v>
      </c>
      <c r="D1830">
        <v>40</v>
      </c>
      <c r="E1830" s="80">
        <v>35356</v>
      </c>
    </row>
    <row r="1831" spans="1:5">
      <c r="A1831">
        <v>10333</v>
      </c>
      <c r="B1831" t="s">
        <v>177</v>
      </c>
      <c r="C1831">
        <v>619.19999897480011</v>
      </c>
      <c r="D1831">
        <v>40</v>
      </c>
      <c r="E1831" s="80">
        <v>35356</v>
      </c>
    </row>
    <row r="1832" spans="1:5">
      <c r="A1832">
        <v>10333</v>
      </c>
      <c r="B1832" t="s">
        <v>178</v>
      </c>
      <c r="C1832">
        <v>619.19999897480011</v>
      </c>
      <c r="D1832">
        <v>40</v>
      </c>
      <c r="E1832" s="80">
        <v>35356</v>
      </c>
    </row>
    <row r="1833" spans="1:5">
      <c r="A1833">
        <v>10333</v>
      </c>
      <c r="B1833" t="s">
        <v>179</v>
      </c>
      <c r="C1833">
        <v>619.19999897480011</v>
      </c>
      <c r="D1833">
        <v>40</v>
      </c>
      <c r="E1833" s="80">
        <v>35356</v>
      </c>
    </row>
    <row r="1834" spans="1:5">
      <c r="A1834">
        <v>10334</v>
      </c>
      <c r="B1834" t="s">
        <v>172</v>
      </c>
      <c r="C1834">
        <v>44.8</v>
      </c>
      <c r="D1834">
        <v>8</v>
      </c>
      <c r="E1834" s="80">
        <v>35359</v>
      </c>
    </row>
    <row r="1835" spans="1:5">
      <c r="A1835">
        <v>10334</v>
      </c>
      <c r="B1835" t="s">
        <v>173</v>
      </c>
      <c r="C1835">
        <v>44.8</v>
      </c>
      <c r="D1835">
        <v>8</v>
      </c>
      <c r="E1835" s="80">
        <v>35359</v>
      </c>
    </row>
    <row r="1836" spans="1:5">
      <c r="A1836">
        <v>10334</v>
      </c>
      <c r="B1836" t="s">
        <v>174</v>
      </c>
      <c r="C1836">
        <v>44.8</v>
      </c>
      <c r="D1836">
        <v>8</v>
      </c>
      <c r="E1836" s="80">
        <v>35359</v>
      </c>
    </row>
    <row r="1837" spans="1:5">
      <c r="A1837">
        <v>10334</v>
      </c>
      <c r="B1837" t="s">
        <v>175</v>
      </c>
      <c r="C1837">
        <v>44.8</v>
      </c>
      <c r="D1837">
        <v>8</v>
      </c>
      <c r="E1837" s="80">
        <v>35359</v>
      </c>
    </row>
    <row r="1838" spans="1:5">
      <c r="A1838">
        <v>10334</v>
      </c>
      <c r="B1838" t="s">
        <v>176</v>
      </c>
      <c r="C1838">
        <v>44.8</v>
      </c>
      <c r="D1838">
        <v>8</v>
      </c>
      <c r="E1838" s="80">
        <v>35359</v>
      </c>
    </row>
    <row r="1839" spans="1:5">
      <c r="A1839">
        <v>10334</v>
      </c>
      <c r="B1839" t="s">
        <v>177</v>
      </c>
      <c r="C1839">
        <v>44.8</v>
      </c>
      <c r="D1839">
        <v>8</v>
      </c>
      <c r="E1839" s="80">
        <v>35359</v>
      </c>
    </row>
    <row r="1840" spans="1:5">
      <c r="A1840">
        <v>10334</v>
      </c>
      <c r="B1840" t="s">
        <v>178</v>
      </c>
      <c r="C1840">
        <v>44.8</v>
      </c>
      <c r="D1840">
        <v>8</v>
      </c>
      <c r="E1840" s="80">
        <v>35359</v>
      </c>
    </row>
    <row r="1841" spans="1:5">
      <c r="A1841">
        <v>10334</v>
      </c>
      <c r="B1841" t="s">
        <v>179</v>
      </c>
      <c r="C1841">
        <v>44.8</v>
      </c>
      <c r="D1841">
        <v>8</v>
      </c>
      <c r="E1841" s="80">
        <v>35359</v>
      </c>
    </row>
    <row r="1842" spans="1:5">
      <c r="A1842">
        <v>10334</v>
      </c>
      <c r="B1842" t="s">
        <v>172</v>
      </c>
      <c r="C1842">
        <v>100</v>
      </c>
      <c r="D1842">
        <v>10</v>
      </c>
      <c r="E1842" s="80">
        <v>35359</v>
      </c>
    </row>
    <row r="1843" spans="1:5">
      <c r="A1843">
        <v>10334</v>
      </c>
      <c r="B1843" t="s">
        <v>173</v>
      </c>
      <c r="C1843">
        <v>100</v>
      </c>
      <c r="D1843">
        <v>10</v>
      </c>
      <c r="E1843" s="80">
        <v>35359</v>
      </c>
    </row>
    <row r="1844" spans="1:5">
      <c r="A1844">
        <v>10334</v>
      </c>
      <c r="B1844" t="s">
        <v>174</v>
      </c>
      <c r="C1844">
        <v>100</v>
      </c>
      <c r="D1844">
        <v>10</v>
      </c>
      <c r="E1844" s="80">
        <v>35359</v>
      </c>
    </row>
    <row r="1845" spans="1:5">
      <c r="A1845">
        <v>10334</v>
      </c>
      <c r="B1845" t="s">
        <v>175</v>
      </c>
      <c r="C1845">
        <v>100</v>
      </c>
      <c r="D1845">
        <v>10</v>
      </c>
      <c r="E1845" s="80">
        <v>35359</v>
      </c>
    </row>
    <row r="1846" spans="1:5">
      <c r="A1846">
        <v>10334</v>
      </c>
      <c r="B1846" t="s">
        <v>176</v>
      </c>
      <c r="C1846">
        <v>100</v>
      </c>
      <c r="D1846">
        <v>10</v>
      </c>
      <c r="E1846" s="80">
        <v>35359</v>
      </c>
    </row>
    <row r="1847" spans="1:5">
      <c r="A1847">
        <v>10334</v>
      </c>
      <c r="B1847" t="s">
        <v>177</v>
      </c>
      <c r="C1847">
        <v>100</v>
      </c>
      <c r="D1847">
        <v>10</v>
      </c>
      <c r="E1847" s="80">
        <v>35359</v>
      </c>
    </row>
    <row r="1848" spans="1:5">
      <c r="A1848">
        <v>10334</v>
      </c>
      <c r="B1848" t="s">
        <v>178</v>
      </c>
      <c r="C1848">
        <v>100</v>
      </c>
      <c r="D1848">
        <v>10</v>
      </c>
      <c r="E1848" s="80">
        <v>35359</v>
      </c>
    </row>
    <row r="1849" spans="1:5">
      <c r="A1849">
        <v>10334</v>
      </c>
      <c r="B1849" t="s">
        <v>179</v>
      </c>
      <c r="C1849">
        <v>100</v>
      </c>
      <c r="D1849">
        <v>10</v>
      </c>
      <c r="E1849" s="80">
        <v>35359</v>
      </c>
    </row>
    <row r="1850" spans="1:5">
      <c r="A1850">
        <v>10335</v>
      </c>
      <c r="B1850" t="s">
        <v>172</v>
      </c>
      <c r="C1850">
        <v>85.119999682903298</v>
      </c>
      <c r="D1850">
        <v>7</v>
      </c>
      <c r="E1850" s="80">
        <v>35360</v>
      </c>
    </row>
    <row r="1851" spans="1:5">
      <c r="A1851">
        <v>10335</v>
      </c>
      <c r="B1851" t="s">
        <v>173</v>
      </c>
      <c r="C1851">
        <v>85.119999682903298</v>
      </c>
      <c r="D1851">
        <v>7</v>
      </c>
      <c r="E1851" s="80">
        <v>35360</v>
      </c>
    </row>
    <row r="1852" spans="1:5">
      <c r="A1852">
        <v>10335</v>
      </c>
      <c r="B1852" t="s">
        <v>174</v>
      </c>
      <c r="C1852">
        <v>85.119999682903298</v>
      </c>
      <c r="D1852">
        <v>7</v>
      </c>
      <c r="E1852" s="80">
        <v>35360</v>
      </c>
    </row>
    <row r="1853" spans="1:5">
      <c r="A1853">
        <v>10335</v>
      </c>
      <c r="B1853" t="s">
        <v>175</v>
      </c>
      <c r="C1853">
        <v>85.119999682903298</v>
      </c>
      <c r="D1853">
        <v>7</v>
      </c>
      <c r="E1853" s="80">
        <v>35360</v>
      </c>
    </row>
    <row r="1854" spans="1:5">
      <c r="A1854">
        <v>10335</v>
      </c>
      <c r="B1854" t="s">
        <v>176</v>
      </c>
      <c r="C1854">
        <v>85.119999682903298</v>
      </c>
      <c r="D1854">
        <v>7</v>
      </c>
      <c r="E1854" s="80">
        <v>35360</v>
      </c>
    </row>
    <row r="1855" spans="1:5">
      <c r="A1855">
        <v>10335</v>
      </c>
      <c r="B1855" t="s">
        <v>177</v>
      </c>
      <c r="C1855">
        <v>85.119999682903298</v>
      </c>
      <c r="D1855">
        <v>7</v>
      </c>
      <c r="E1855" s="80">
        <v>35360</v>
      </c>
    </row>
    <row r="1856" spans="1:5">
      <c r="A1856">
        <v>10335</v>
      </c>
      <c r="B1856" t="s">
        <v>178</v>
      </c>
      <c r="C1856">
        <v>85.119999682903298</v>
      </c>
      <c r="D1856">
        <v>7</v>
      </c>
      <c r="E1856" s="80">
        <v>35360</v>
      </c>
    </row>
    <row r="1857" spans="1:5">
      <c r="A1857">
        <v>10335</v>
      </c>
      <c r="B1857" t="s">
        <v>179</v>
      </c>
      <c r="C1857">
        <v>85.119999682903298</v>
      </c>
      <c r="D1857">
        <v>7</v>
      </c>
      <c r="E1857" s="80">
        <v>35360</v>
      </c>
    </row>
    <row r="1858" spans="1:5">
      <c r="A1858">
        <v>10335</v>
      </c>
      <c r="B1858" t="s">
        <v>172</v>
      </c>
      <c r="C1858">
        <v>199.99999925494194</v>
      </c>
      <c r="D1858">
        <v>25</v>
      </c>
      <c r="E1858" s="80">
        <v>35360</v>
      </c>
    </row>
    <row r="1859" spans="1:5">
      <c r="A1859">
        <v>10335</v>
      </c>
      <c r="B1859" t="s">
        <v>173</v>
      </c>
      <c r="C1859">
        <v>199.99999925494194</v>
      </c>
      <c r="D1859">
        <v>25</v>
      </c>
      <c r="E1859" s="80">
        <v>35360</v>
      </c>
    </row>
    <row r="1860" spans="1:5">
      <c r="A1860">
        <v>10335</v>
      </c>
      <c r="B1860" t="s">
        <v>174</v>
      </c>
      <c r="C1860">
        <v>199.99999925494194</v>
      </c>
      <c r="D1860">
        <v>25</v>
      </c>
      <c r="E1860" s="80">
        <v>35360</v>
      </c>
    </row>
    <row r="1861" spans="1:5">
      <c r="A1861">
        <v>10335</v>
      </c>
      <c r="B1861" t="s">
        <v>175</v>
      </c>
      <c r="C1861">
        <v>199.99999925494194</v>
      </c>
      <c r="D1861">
        <v>25</v>
      </c>
      <c r="E1861" s="80">
        <v>35360</v>
      </c>
    </row>
    <row r="1862" spans="1:5">
      <c r="A1862">
        <v>10335</v>
      </c>
      <c r="B1862" t="s">
        <v>176</v>
      </c>
      <c r="C1862">
        <v>199.99999925494194</v>
      </c>
      <c r="D1862">
        <v>25</v>
      </c>
      <c r="E1862" s="80">
        <v>35360</v>
      </c>
    </row>
    <row r="1863" spans="1:5">
      <c r="A1863">
        <v>10335</v>
      </c>
      <c r="B1863" t="s">
        <v>177</v>
      </c>
      <c r="C1863">
        <v>199.99999925494194</v>
      </c>
      <c r="D1863">
        <v>25</v>
      </c>
      <c r="E1863" s="80">
        <v>35360</v>
      </c>
    </row>
    <row r="1864" spans="1:5">
      <c r="A1864">
        <v>10335</v>
      </c>
      <c r="B1864" t="s">
        <v>178</v>
      </c>
      <c r="C1864">
        <v>199.99999925494194</v>
      </c>
      <c r="D1864">
        <v>25</v>
      </c>
      <c r="E1864" s="80">
        <v>35360</v>
      </c>
    </row>
    <row r="1865" spans="1:5">
      <c r="A1865">
        <v>10335</v>
      </c>
      <c r="B1865" t="s">
        <v>179</v>
      </c>
      <c r="C1865">
        <v>199.99999925494194</v>
      </c>
      <c r="D1865">
        <v>25</v>
      </c>
      <c r="E1865" s="80">
        <v>35360</v>
      </c>
    </row>
    <row r="1866" spans="1:5">
      <c r="A1866">
        <v>10335</v>
      </c>
      <c r="B1866" t="s">
        <v>172</v>
      </c>
      <c r="C1866">
        <v>122.87999954223632</v>
      </c>
      <c r="D1866">
        <v>6</v>
      </c>
      <c r="E1866" s="80">
        <v>35360</v>
      </c>
    </row>
    <row r="1867" spans="1:5">
      <c r="A1867">
        <v>10335</v>
      </c>
      <c r="B1867" t="s">
        <v>173</v>
      </c>
      <c r="C1867">
        <v>122.87999954223632</v>
      </c>
      <c r="D1867">
        <v>6</v>
      </c>
      <c r="E1867" s="80">
        <v>35360</v>
      </c>
    </row>
    <row r="1868" spans="1:5">
      <c r="A1868">
        <v>10335</v>
      </c>
      <c r="B1868" t="s">
        <v>174</v>
      </c>
      <c r="C1868">
        <v>122.87999954223632</v>
      </c>
      <c r="D1868">
        <v>6</v>
      </c>
      <c r="E1868" s="80">
        <v>35360</v>
      </c>
    </row>
    <row r="1869" spans="1:5">
      <c r="A1869">
        <v>10335</v>
      </c>
      <c r="B1869" t="s">
        <v>175</v>
      </c>
      <c r="C1869">
        <v>122.87999954223632</v>
      </c>
      <c r="D1869">
        <v>6</v>
      </c>
      <c r="E1869" s="80">
        <v>35360</v>
      </c>
    </row>
    <row r="1870" spans="1:5">
      <c r="A1870">
        <v>10335</v>
      </c>
      <c r="B1870" t="s">
        <v>176</v>
      </c>
      <c r="C1870">
        <v>122.87999954223632</v>
      </c>
      <c r="D1870">
        <v>6</v>
      </c>
      <c r="E1870" s="80">
        <v>35360</v>
      </c>
    </row>
    <row r="1871" spans="1:5">
      <c r="A1871">
        <v>10335</v>
      </c>
      <c r="B1871" t="s">
        <v>177</v>
      </c>
      <c r="C1871">
        <v>122.87999954223632</v>
      </c>
      <c r="D1871">
        <v>6</v>
      </c>
      <c r="E1871" s="80">
        <v>35360</v>
      </c>
    </row>
    <row r="1872" spans="1:5">
      <c r="A1872">
        <v>10335</v>
      </c>
      <c r="B1872" t="s">
        <v>178</v>
      </c>
      <c r="C1872">
        <v>122.87999954223632</v>
      </c>
      <c r="D1872">
        <v>6</v>
      </c>
      <c r="E1872" s="80">
        <v>35360</v>
      </c>
    </row>
    <row r="1873" spans="1:5">
      <c r="A1873">
        <v>10335</v>
      </c>
      <c r="B1873" t="s">
        <v>179</v>
      </c>
      <c r="C1873">
        <v>122.87999954223632</v>
      </c>
      <c r="D1873">
        <v>6</v>
      </c>
      <c r="E1873" s="80">
        <v>35360</v>
      </c>
    </row>
    <row r="1874" spans="1:5">
      <c r="A1874">
        <v>10335</v>
      </c>
      <c r="B1874" t="s">
        <v>172</v>
      </c>
      <c r="C1874">
        <v>1628.1599939346313</v>
      </c>
      <c r="D1874">
        <v>48</v>
      </c>
      <c r="E1874" s="80">
        <v>35360</v>
      </c>
    </row>
    <row r="1875" spans="1:5">
      <c r="A1875">
        <v>10335</v>
      </c>
      <c r="B1875" t="s">
        <v>173</v>
      </c>
      <c r="C1875">
        <v>1628.1599939346313</v>
      </c>
      <c r="D1875">
        <v>48</v>
      </c>
      <c r="E1875" s="80">
        <v>35360</v>
      </c>
    </row>
    <row r="1876" spans="1:5">
      <c r="A1876">
        <v>10335</v>
      </c>
      <c r="B1876" t="s">
        <v>174</v>
      </c>
      <c r="C1876">
        <v>1628.1599939346313</v>
      </c>
      <c r="D1876">
        <v>48</v>
      </c>
      <c r="E1876" s="80">
        <v>35360</v>
      </c>
    </row>
    <row r="1877" spans="1:5">
      <c r="A1877">
        <v>10335</v>
      </c>
      <c r="B1877" t="s">
        <v>175</v>
      </c>
      <c r="C1877">
        <v>1628.1599939346313</v>
      </c>
      <c r="D1877">
        <v>48</v>
      </c>
      <c r="E1877" s="80">
        <v>35360</v>
      </c>
    </row>
    <row r="1878" spans="1:5">
      <c r="A1878">
        <v>10335</v>
      </c>
      <c r="B1878" t="s">
        <v>176</v>
      </c>
      <c r="C1878">
        <v>1628.1599939346313</v>
      </c>
      <c r="D1878">
        <v>48</v>
      </c>
      <c r="E1878" s="80">
        <v>35360</v>
      </c>
    </row>
    <row r="1879" spans="1:5">
      <c r="A1879">
        <v>10335</v>
      </c>
      <c r="B1879" t="s">
        <v>177</v>
      </c>
      <c r="C1879">
        <v>1628.1599939346313</v>
      </c>
      <c r="D1879">
        <v>48</v>
      </c>
      <c r="E1879" s="80">
        <v>35360</v>
      </c>
    </row>
    <row r="1880" spans="1:5">
      <c r="A1880">
        <v>10335</v>
      </c>
      <c r="B1880" t="s">
        <v>178</v>
      </c>
      <c r="C1880">
        <v>1628.1599939346313</v>
      </c>
      <c r="D1880">
        <v>48</v>
      </c>
      <c r="E1880" s="80">
        <v>35360</v>
      </c>
    </row>
    <row r="1881" spans="1:5">
      <c r="A1881">
        <v>10335</v>
      </c>
      <c r="B1881" t="s">
        <v>179</v>
      </c>
      <c r="C1881">
        <v>1628.1599939346313</v>
      </c>
      <c r="D1881">
        <v>48</v>
      </c>
      <c r="E1881" s="80">
        <v>35360</v>
      </c>
    </row>
    <row r="1882" spans="1:5">
      <c r="A1882">
        <v>10336</v>
      </c>
      <c r="B1882" t="s">
        <v>172</v>
      </c>
      <c r="C1882">
        <v>285.11999952793121</v>
      </c>
      <c r="D1882">
        <v>18</v>
      </c>
      <c r="E1882" s="80">
        <v>35361</v>
      </c>
    </row>
    <row r="1883" spans="1:5">
      <c r="A1883">
        <v>10336</v>
      </c>
      <c r="B1883" t="s">
        <v>173</v>
      </c>
      <c r="C1883">
        <v>285.11999952793121</v>
      </c>
      <c r="D1883">
        <v>18</v>
      </c>
      <c r="E1883" s="80">
        <v>35361</v>
      </c>
    </row>
    <row r="1884" spans="1:5">
      <c r="A1884">
        <v>10336</v>
      </c>
      <c r="B1884" t="s">
        <v>174</v>
      </c>
      <c r="C1884">
        <v>285.11999952793121</v>
      </c>
      <c r="D1884">
        <v>18</v>
      </c>
      <c r="E1884" s="80">
        <v>35361</v>
      </c>
    </row>
    <row r="1885" spans="1:5">
      <c r="A1885">
        <v>10336</v>
      </c>
      <c r="B1885" t="s">
        <v>175</v>
      </c>
      <c r="C1885">
        <v>285.11999952793121</v>
      </c>
      <c r="D1885">
        <v>18</v>
      </c>
      <c r="E1885" s="80">
        <v>35361</v>
      </c>
    </row>
    <row r="1886" spans="1:5">
      <c r="A1886">
        <v>10336</v>
      </c>
      <c r="B1886" t="s">
        <v>176</v>
      </c>
      <c r="C1886">
        <v>285.11999952793121</v>
      </c>
      <c r="D1886">
        <v>18</v>
      </c>
      <c r="E1886" s="80">
        <v>35361</v>
      </c>
    </row>
    <row r="1887" spans="1:5">
      <c r="A1887">
        <v>10336</v>
      </c>
      <c r="B1887" t="s">
        <v>177</v>
      </c>
      <c r="C1887">
        <v>285.11999952793121</v>
      </c>
      <c r="D1887">
        <v>18</v>
      </c>
      <c r="E1887" s="80">
        <v>35361</v>
      </c>
    </row>
    <row r="1888" spans="1:5">
      <c r="A1888">
        <v>10336</v>
      </c>
      <c r="B1888" t="s">
        <v>178</v>
      </c>
      <c r="C1888">
        <v>285.11999952793121</v>
      </c>
      <c r="D1888">
        <v>18</v>
      </c>
      <c r="E1888" s="80">
        <v>35361</v>
      </c>
    </row>
    <row r="1889" spans="1:5">
      <c r="A1889">
        <v>10336</v>
      </c>
      <c r="B1889" t="s">
        <v>179</v>
      </c>
      <c r="C1889">
        <v>285.11999952793121</v>
      </c>
      <c r="D1889">
        <v>18</v>
      </c>
      <c r="E1889" s="80">
        <v>35361</v>
      </c>
    </row>
    <row r="1890" spans="1:5">
      <c r="A1890">
        <v>10337</v>
      </c>
      <c r="B1890" t="s">
        <v>172</v>
      </c>
      <c r="C1890">
        <v>288</v>
      </c>
      <c r="D1890">
        <v>40</v>
      </c>
      <c r="E1890" s="80">
        <v>35362</v>
      </c>
    </row>
    <row r="1891" spans="1:5">
      <c r="A1891">
        <v>10337</v>
      </c>
      <c r="B1891" t="s">
        <v>173</v>
      </c>
      <c r="C1891">
        <v>288</v>
      </c>
      <c r="D1891">
        <v>40</v>
      </c>
      <c r="E1891" s="80">
        <v>35362</v>
      </c>
    </row>
    <row r="1892" spans="1:5">
      <c r="A1892">
        <v>10337</v>
      </c>
      <c r="B1892" t="s">
        <v>174</v>
      </c>
      <c r="C1892">
        <v>288</v>
      </c>
      <c r="D1892">
        <v>40</v>
      </c>
      <c r="E1892" s="80">
        <v>35362</v>
      </c>
    </row>
    <row r="1893" spans="1:5">
      <c r="A1893">
        <v>10337</v>
      </c>
      <c r="B1893" t="s">
        <v>175</v>
      </c>
      <c r="C1893">
        <v>288</v>
      </c>
      <c r="D1893">
        <v>40</v>
      </c>
      <c r="E1893" s="80">
        <v>35362</v>
      </c>
    </row>
    <row r="1894" spans="1:5">
      <c r="A1894">
        <v>10337</v>
      </c>
      <c r="B1894" t="s">
        <v>176</v>
      </c>
      <c r="C1894">
        <v>288</v>
      </c>
      <c r="D1894">
        <v>40</v>
      </c>
      <c r="E1894" s="80">
        <v>35362</v>
      </c>
    </row>
    <row r="1895" spans="1:5">
      <c r="A1895">
        <v>10337</v>
      </c>
      <c r="B1895" t="s">
        <v>177</v>
      </c>
      <c r="C1895">
        <v>288</v>
      </c>
      <c r="D1895">
        <v>40</v>
      </c>
      <c r="E1895" s="80">
        <v>35362</v>
      </c>
    </row>
    <row r="1896" spans="1:5">
      <c r="A1896">
        <v>10337</v>
      </c>
      <c r="B1896" t="s">
        <v>178</v>
      </c>
      <c r="C1896">
        <v>288</v>
      </c>
      <c r="D1896">
        <v>40</v>
      </c>
      <c r="E1896" s="80">
        <v>35362</v>
      </c>
    </row>
    <row r="1897" spans="1:5">
      <c r="A1897">
        <v>10337</v>
      </c>
      <c r="B1897" t="s">
        <v>179</v>
      </c>
      <c r="C1897">
        <v>288</v>
      </c>
      <c r="D1897">
        <v>40</v>
      </c>
      <c r="E1897" s="80">
        <v>35362</v>
      </c>
    </row>
    <row r="1898" spans="1:5">
      <c r="A1898">
        <v>10337</v>
      </c>
      <c r="B1898" t="s">
        <v>172</v>
      </c>
      <c r="C1898">
        <v>597.6</v>
      </c>
      <c r="D1898">
        <v>24</v>
      </c>
      <c r="E1898" s="80">
        <v>35362</v>
      </c>
    </row>
    <row r="1899" spans="1:5">
      <c r="A1899">
        <v>10337</v>
      </c>
      <c r="B1899" t="s">
        <v>173</v>
      </c>
      <c r="C1899">
        <v>597.6</v>
      </c>
      <c r="D1899">
        <v>24</v>
      </c>
      <c r="E1899" s="80">
        <v>35362</v>
      </c>
    </row>
    <row r="1900" spans="1:5">
      <c r="A1900">
        <v>10337</v>
      </c>
      <c r="B1900" t="s">
        <v>174</v>
      </c>
      <c r="C1900">
        <v>597.6</v>
      </c>
      <c r="D1900">
        <v>24</v>
      </c>
      <c r="E1900" s="80">
        <v>35362</v>
      </c>
    </row>
    <row r="1901" spans="1:5">
      <c r="A1901">
        <v>10337</v>
      </c>
      <c r="B1901" t="s">
        <v>175</v>
      </c>
      <c r="C1901">
        <v>597.6</v>
      </c>
      <c r="D1901">
        <v>24</v>
      </c>
      <c r="E1901" s="80">
        <v>35362</v>
      </c>
    </row>
    <row r="1902" spans="1:5">
      <c r="A1902">
        <v>10337</v>
      </c>
      <c r="B1902" t="s">
        <v>176</v>
      </c>
      <c r="C1902">
        <v>597.6</v>
      </c>
      <c r="D1902">
        <v>24</v>
      </c>
      <c r="E1902" s="80">
        <v>35362</v>
      </c>
    </row>
    <row r="1903" spans="1:5">
      <c r="A1903">
        <v>10337</v>
      </c>
      <c r="B1903" t="s">
        <v>177</v>
      </c>
      <c r="C1903">
        <v>597.6</v>
      </c>
      <c r="D1903">
        <v>24</v>
      </c>
      <c r="E1903" s="80">
        <v>35362</v>
      </c>
    </row>
    <row r="1904" spans="1:5">
      <c r="A1904">
        <v>10337</v>
      </c>
      <c r="B1904" t="s">
        <v>178</v>
      </c>
      <c r="C1904">
        <v>597.6</v>
      </c>
      <c r="D1904">
        <v>24</v>
      </c>
      <c r="E1904" s="80">
        <v>35362</v>
      </c>
    </row>
    <row r="1905" spans="1:5">
      <c r="A1905">
        <v>10337</v>
      </c>
      <c r="B1905" t="s">
        <v>179</v>
      </c>
      <c r="C1905">
        <v>597.6</v>
      </c>
      <c r="D1905">
        <v>24</v>
      </c>
      <c r="E1905" s="80">
        <v>35362</v>
      </c>
    </row>
    <row r="1906" spans="1:5">
      <c r="A1906">
        <v>10337</v>
      </c>
      <c r="B1906" t="s">
        <v>172</v>
      </c>
      <c r="C1906">
        <v>304</v>
      </c>
      <c r="D1906">
        <v>20</v>
      </c>
      <c r="E1906" s="80">
        <v>35362</v>
      </c>
    </row>
    <row r="1907" spans="1:5">
      <c r="A1907">
        <v>10337</v>
      </c>
      <c r="B1907" t="s">
        <v>173</v>
      </c>
      <c r="C1907">
        <v>304</v>
      </c>
      <c r="D1907">
        <v>20</v>
      </c>
      <c r="E1907" s="80">
        <v>35362</v>
      </c>
    </row>
    <row r="1908" spans="1:5">
      <c r="A1908">
        <v>10337</v>
      </c>
      <c r="B1908" t="s">
        <v>174</v>
      </c>
      <c r="C1908">
        <v>304</v>
      </c>
      <c r="D1908">
        <v>20</v>
      </c>
      <c r="E1908" s="80">
        <v>35362</v>
      </c>
    </row>
    <row r="1909" spans="1:5">
      <c r="A1909">
        <v>10337</v>
      </c>
      <c r="B1909" t="s">
        <v>175</v>
      </c>
      <c r="C1909">
        <v>304</v>
      </c>
      <c r="D1909">
        <v>20</v>
      </c>
      <c r="E1909" s="80">
        <v>35362</v>
      </c>
    </row>
    <row r="1910" spans="1:5">
      <c r="A1910">
        <v>10337</v>
      </c>
      <c r="B1910" t="s">
        <v>176</v>
      </c>
      <c r="C1910">
        <v>304</v>
      </c>
      <c r="D1910">
        <v>20</v>
      </c>
      <c r="E1910" s="80">
        <v>35362</v>
      </c>
    </row>
    <row r="1911" spans="1:5">
      <c r="A1911">
        <v>10337</v>
      </c>
      <c r="B1911" t="s">
        <v>177</v>
      </c>
      <c r="C1911">
        <v>304</v>
      </c>
      <c r="D1911">
        <v>20</v>
      </c>
      <c r="E1911" s="80">
        <v>35362</v>
      </c>
    </row>
    <row r="1912" spans="1:5">
      <c r="A1912">
        <v>10337</v>
      </c>
      <c r="B1912" t="s">
        <v>178</v>
      </c>
      <c r="C1912">
        <v>304</v>
      </c>
      <c r="D1912">
        <v>20</v>
      </c>
      <c r="E1912" s="80">
        <v>35362</v>
      </c>
    </row>
    <row r="1913" spans="1:5">
      <c r="A1913">
        <v>10337</v>
      </c>
      <c r="B1913" t="s">
        <v>179</v>
      </c>
      <c r="C1913">
        <v>304</v>
      </c>
      <c r="D1913">
        <v>20</v>
      </c>
      <c r="E1913" s="80">
        <v>35362</v>
      </c>
    </row>
    <row r="1914" spans="1:5">
      <c r="A1914">
        <v>10337</v>
      </c>
      <c r="B1914" t="s">
        <v>172</v>
      </c>
      <c r="C1914">
        <v>582.4</v>
      </c>
      <c r="D1914">
        <v>28</v>
      </c>
      <c r="E1914" s="80">
        <v>35362</v>
      </c>
    </row>
    <row r="1915" spans="1:5">
      <c r="A1915">
        <v>10337</v>
      </c>
      <c r="B1915" t="s">
        <v>173</v>
      </c>
      <c r="C1915">
        <v>582.4</v>
      </c>
      <c r="D1915">
        <v>28</v>
      </c>
      <c r="E1915" s="80">
        <v>35362</v>
      </c>
    </row>
    <row r="1916" spans="1:5">
      <c r="A1916">
        <v>10337</v>
      </c>
      <c r="B1916" t="s">
        <v>174</v>
      </c>
      <c r="C1916">
        <v>582.4</v>
      </c>
      <c r="D1916">
        <v>28</v>
      </c>
      <c r="E1916" s="80">
        <v>35362</v>
      </c>
    </row>
    <row r="1917" spans="1:5">
      <c r="A1917">
        <v>10337</v>
      </c>
      <c r="B1917" t="s">
        <v>175</v>
      </c>
      <c r="C1917">
        <v>582.4</v>
      </c>
      <c r="D1917">
        <v>28</v>
      </c>
      <c r="E1917" s="80">
        <v>35362</v>
      </c>
    </row>
    <row r="1918" spans="1:5">
      <c r="A1918">
        <v>10337</v>
      </c>
      <c r="B1918" t="s">
        <v>176</v>
      </c>
      <c r="C1918">
        <v>582.4</v>
      </c>
      <c r="D1918">
        <v>28</v>
      </c>
      <c r="E1918" s="80">
        <v>35362</v>
      </c>
    </row>
    <row r="1919" spans="1:5">
      <c r="A1919">
        <v>10337</v>
      </c>
      <c r="B1919" t="s">
        <v>177</v>
      </c>
      <c r="C1919">
        <v>582.4</v>
      </c>
      <c r="D1919">
        <v>28</v>
      </c>
      <c r="E1919" s="80">
        <v>35362</v>
      </c>
    </row>
    <row r="1920" spans="1:5">
      <c r="A1920">
        <v>10337</v>
      </c>
      <c r="B1920" t="s">
        <v>178</v>
      </c>
      <c r="C1920">
        <v>582.4</v>
      </c>
      <c r="D1920">
        <v>28</v>
      </c>
      <c r="E1920" s="80">
        <v>35362</v>
      </c>
    </row>
    <row r="1921" spans="1:5">
      <c r="A1921">
        <v>10337</v>
      </c>
      <c r="B1921" t="s">
        <v>179</v>
      </c>
      <c r="C1921">
        <v>582.4</v>
      </c>
      <c r="D1921">
        <v>28</v>
      </c>
      <c r="E1921" s="80">
        <v>35362</v>
      </c>
    </row>
    <row r="1922" spans="1:5">
      <c r="A1922">
        <v>10337</v>
      </c>
      <c r="B1922" t="s">
        <v>172</v>
      </c>
      <c r="C1922">
        <v>695</v>
      </c>
      <c r="D1922">
        <v>25</v>
      </c>
      <c r="E1922" s="80">
        <v>35362</v>
      </c>
    </row>
    <row r="1923" spans="1:5">
      <c r="A1923">
        <v>10337</v>
      </c>
      <c r="B1923" t="s">
        <v>173</v>
      </c>
      <c r="C1923">
        <v>695</v>
      </c>
      <c r="D1923">
        <v>25</v>
      </c>
      <c r="E1923" s="80">
        <v>35362</v>
      </c>
    </row>
    <row r="1924" spans="1:5">
      <c r="A1924">
        <v>10337</v>
      </c>
      <c r="B1924" t="s">
        <v>174</v>
      </c>
      <c r="C1924">
        <v>695</v>
      </c>
      <c r="D1924">
        <v>25</v>
      </c>
      <c r="E1924" s="80">
        <v>35362</v>
      </c>
    </row>
    <row r="1925" spans="1:5">
      <c r="A1925">
        <v>10337</v>
      </c>
      <c r="B1925" t="s">
        <v>175</v>
      </c>
      <c r="C1925">
        <v>695</v>
      </c>
      <c r="D1925">
        <v>25</v>
      </c>
      <c r="E1925" s="80">
        <v>35362</v>
      </c>
    </row>
    <row r="1926" spans="1:5">
      <c r="A1926">
        <v>10337</v>
      </c>
      <c r="B1926" t="s">
        <v>176</v>
      </c>
      <c r="C1926">
        <v>695</v>
      </c>
      <c r="D1926">
        <v>25</v>
      </c>
      <c r="E1926" s="80">
        <v>35362</v>
      </c>
    </row>
    <row r="1927" spans="1:5">
      <c r="A1927">
        <v>10337</v>
      </c>
      <c r="B1927" t="s">
        <v>177</v>
      </c>
      <c r="C1927">
        <v>695</v>
      </c>
      <c r="D1927">
        <v>25</v>
      </c>
      <c r="E1927" s="80">
        <v>35362</v>
      </c>
    </row>
    <row r="1928" spans="1:5">
      <c r="A1928">
        <v>10337</v>
      </c>
      <c r="B1928" t="s">
        <v>178</v>
      </c>
      <c r="C1928">
        <v>695</v>
      </c>
      <c r="D1928">
        <v>25</v>
      </c>
      <c r="E1928" s="80">
        <v>35362</v>
      </c>
    </row>
    <row r="1929" spans="1:5">
      <c r="A1929">
        <v>10337</v>
      </c>
      <c r="B1929" t="s">
        <v>179</v>
      </c>
      <c r="C1929">
        <v>695</v>
      </c>
      <c r="D1929">
        <v>25</v>
      </c>
      <c r="E1929" s="80">
        <v>35362</v>
      </c>
    </row>
    <row r="1930" spans="1:5">
      <c r="A1930">
        <v>10338</v>
      </c>
      <c r="B1930" t="s">
        <v>172</v>
      </c>
      <c r="C1930">
        <v>624</v>
      </c>
      <c r="D1930">
        <v>20</v>
      </c>
      <c r="E1930" s="80">
        <v>35363</v>
      </c>
    </row>
    <row r="1931" spans="1:5">
      <c r="A1931">
        <v>10338</v>
      </c>
      <c r="B1931" t="s">
        <v>173</v>
      </c>
      <c r="C1931">
        <v>624</v>
      </c>
      <c r="D1931">
        <v>20</v>
      </c>
      <c r="E1931" s="80">
        <v>35363</v>
      </c>
    </row>
    <row r="1932" spans="1:5">
      <c r="A1932">
        <v>10338</v>
      </c>
      <c r="B1932" t="s">
        <v>174</v>
      </c>
      <c r="C1932">
        <v>624</v>
      </c>
      <c r="D1932">
        <v>20</v>
      </c>
      <c r="E1932" s="80">
        <v>35363</v>
      </c>
    </row>
    <row r="1933" spans="1:5">
      <c r="A1933">
        <v>10338</v>
      </c>
      <c r="B1933" t="s">
        <v>175</v>
      </c>
      <c r="C1933">
        <v>624</v>
      </c>
      <c r="D1933">
        <v>20</v>
      </c>
      <c r="E1933" s="80">
        <v>35363</v>
      </c>
    </row>
    <row r="1934" spans="1:5">
      <c r="A1934">
        <v>10338</v>
      </c>
      <c r="B1934" t="s">
        <v>176</v>
      </c>
      <c r="C1934">
        <v>624</v>
      </c>
      <c r="D1934">
        <v>20</v>
      </c>
      <c r="E1934" s="80">
        <v>35363</v>
      </c>
    </row>
    <row r="1935" spans="1:5">
      <c r="A1935">
        <v>10338</v>
      </c>
      <c r="B1935" t="s">
        <v>177</v>
      </c>
      <c r="C1935">
        <v>624</v>
      </c>
      <c r="D1935">
        <v>20</v>
      </c>
      <c r="E1935" s="80">
        <v>35363</v>
      </c>
    </row>
    <row r="1936" spans="1:5">
      <c r="A1936">
        <v>10338</v>
      </c>
      <c r="B1936" t="s">
        <v>178</v>
      </c>
      <c r="C1936">
        <v>624</v>
      </c>
      <c r="D1936">
        <v>20</v>
      </c>
      <c r="E1936" s="80">
        <v>35363</v>
      </c>
    </row>
    <row r="1937" spans="1:5">
      <c r="A1937">
        <v>10338</v>
      </c>
      <c r="B1937" t="s">
        <v>179</v>
      </c>
      <c r="C1937">
        <v>624</v>
      </c>
      <c r="D1937">
        <v>20</v>
      </c>
      <c r="E1937" s="80">
        <v>35363</v>
      </c>
    </row>
    <row r="1938" spans="1:5">
      <c r="A1938">
        <v>10338</v>
      </c>
      <c r="B1938" t="s">
        <v>172</v>
      </c>
      <c r="C1938">
        <v>310.5</v>
      </c>
      <c r="D1938">
        <v>15</v>
      </c>
      <c r="E1938" s="80">
        <v>35363</v>
      </c>
    </row>
    <row r="1939" spans="1:5">
      <c r="A1939">
        <v>10338</v>
      </c>
      <c r="B1939" t="s">
        <v>173</v>
      </c>
      <c r="C1939">
        <v>310.5</v>
      </c>
      <c r="D1939">
        <v>15</v>
      </c>
      <c r="E1939" s="80">
        <v>35363</v>
      </c>
    </row>
    <row r="1940" spans="1:5">
      <c r="A1940">
        <v>10338</v>
      </c>
      <c r="B1940" t="s">
        <v>174</v>
      </c>
      <c r="C1940">
        <v>310.5</v>
      </c>
      <c r="D1940">
        <v>15</v>
      </c>
      <c r="E1940" s="80">
        <v>35363</v>
      </c>
    </row>
    <row r="1941" spans="1:5">
      <c r="A1941">
        <v>10338</v>
      </c>
      <c r="B1941" t="s">
        <v>175</v>
      </c>
      <c r="C1941">
        <v>310.5</v>
      </c>
      <c r="D1941">
        <v>15</v>
      </c>
      <c r="E1941" s="80">
        <v>35363</v>
      </c>
    </row>
    <row r="1942" spans="1:5">
      <c r="A1942">
        <v>10338</v>
      </c>
      <c r="B1942" t="s">
        <v>176</v>
      </c>
      <c r="C1942">
        <v>310.5</v>
      </c>
      <c r="D1942">
        <v>15</v>
      </c>
      <c r="E1942" s="80">
        <v>35363</v>
      </c>
    </row>
    <row r="1943" spans="1:5">
      <c r="A1943">
        <v>10338</v>
      </c>
      <c r="B1943" t="s">
        <v>177</v>
      </c>
      <c r="C1943">
        <v>310.5</v>
      </c>
      <c r="D1943">
        <v>15</v>
      </c>
      <c r="E1943" s="80">
        <v>35363</v>
      </c>
    </row>
    <row r="1944" spans="1:5">
      <c r="A1944">
        <v>10338</v>
      </c>
      <c r="B1944" t="s">
        <v>178</v>
      </c>
      <c r="C1944">
        <v>310.5</v>
      </c>
      <c r="D1944">
        <v>15</v>
      </c>
      <c r="E1944" s="80">
        <v>35363</v>
      </c>
    </row>
    <row r="1945" spans="1:5">
      <c r="A1945">
        <v>10338</v>
      </c>
      <c r="B1945" t="s">
        <v>179</v>
      </c>
      <c r="C1945">
        <v>310.5</v>
      </c>
      <c r="D1945">
        <v>15</v>
      </c>
      <c r="E1945" s="80">
        <v>35363</v>
      </c>
    </row>
    <row r="1946" spans="1:5">
      <c r="A1946">
        <v>10339</v>
      </c>
      <c r="B1946" t="s">
        <v>172</v>
      </c>
      <c r="C1946">
        <v>176</v>
      </c>
      <c r="D1946">
        <v>10</v>
      </c>
      <c r="E1946" s="80">
        <v>35366</v>
      </c>
    </row>
    <row r="1947" spans="1:5">
      <c r="A1947">
        <v>10339</v>
      </c>
      <c r="B1947" t="s">
        <v>173</v>
      </c>
      <c r="C1947">
        <v>176</v>
      </c>
      <c r="D1947">
        <v>10</v>
      </c>
      <c r="E1947" s="80">
        <v>35366</v>
      </c>
    </row>
    <row r="1948" spans="1:5">
      <c r="A1948">
        <v>10339</v>
      </c>
      <c r="B1948" t="s">
        <v>174</v>
      </c>
      <c r="C1948">
        <v>176</v>
      </c>
      <c r="D1948">
        <v>10</v>
      </c>
      <c r="E1948" s="80">
        <v>35366</v>
      </c>
    </row>
    <row r="1949" spans="1:5">
      <c r="A1949">
        <v>10339</v>
      </c>
      <c r="B1949" t="s">
        <v>175</v>
      </c>
      <c r="C1949">
        <v>176</v>
      </c>
      <c r="D1949">
        <v>10</v>
      </c>
      <c r="E1949" s="80">
        <v>35366</v>
      </c>
    </row>
    <row r="1950" spans="1:5">
      <c r="A1950">
        <v>10339</v>
      </c>
      <c r="B1950" t="s">
        <v>176</v>
      </c>
      <c r="C1950">
        <v>176</v>
      </c>
      <c r="D1950">
        <v>10</v>
      </c>
      <c r="E1950" s="80">
        <v>35366</v>
      </c>
    </row>
    <row r="1951" spans="1:5">
      <c r="A1951">
        <v>10339</v>
      </c>
      <c r="B1951" t="s">
        <v>177</v>
      </c>
      <c r="C1951">
        <v>176</v>
      </c>
      <c r="D1951">
        <v>10</v>
      </c>
      <c r="E1951" s="80">
        <v>35366</v>
      </c>
    </row>
    <row r="1952" spans="1:5">
      <c r="A1952">
        <v>10339</v>
      </c>
      <c r="B1952" t="s">
        <v>178</v>
      </c>
      <c r="C1952">
        <v>176</v>
      </c>
      <c r="D1952">
        <v>10</v>
      </c>
      <c r="E1952" s="80">
        <v>35366</v>
      </c>
    </row>
    <row r="1953" spans="1:5">
      <c r="A1953">
        <v>10339</v>
      </c>
      <c r="B1953" t="s">
        <v>179</v>
      </c>
      <c r="C1953">
        <v>176</v>
      </c>
      <c r="D1953">
        <v>10</v>
      </c>
      <c r="E1953" s="80">
        <v>35366</v>
      </c>
    </row>
    <row r="1954" spans="1:5">
      <c r="A1954">
        <v>10339</v>
      </c>
      <c r="B1954" t="s">
        <v>172</v>
      </c>
      <c r="C1954">
        <v>2074.7999983727932</v>
      </c>
      <c r="D1954">
        <v>70</v>
      </c>
      <c r="E1954" s="80">
        <v>35366</v>
      </c>
    </row>
    <row r="1955" spans="1:5">
      <c r="A1955">
        <v>10339</v>
      </c>
      <c r="B1955" t="s">
        <v>173</v>
      </c>
      <c r="C1955">
        <v>2074.7999983727932</v>
      </c>
      <c r="D1955">
        <v>70</v>
      </c>
      <c r="E1955" s="80">
        <v>35366</v>
      </c>
    </row>
    <row r="1956" spans="1:5">
      <c r="A1956">
        <v>10339</v>
      </c>
      <c r="B1956" t="s">
        <v>174</v>
      </c>
      <c r="C1956">
        <v>2074.7999983727932</v>
      </c>
      <c r="D1956">
        <v>70</v>
      </c>
      <c r="E1956" s="80">
        <v>35366</v>
      </c>
    </row>
    <row r="1957" spans="1:5">
      <c r="A1957">
        <v>10339</v>
      </c>
      <c r="B1957" t="s">
        <v>175</v>
      </c>
      <c r="C1957">
        <v>2074.7999983727932</v>
      </c>
      <c r="D1957">
        <v>70</v>
      </c>
      <c r="E1957" s="80">
        <v>35366</v>
      </c>
    </row>
    <row r="1958" spans="1:5">
      <c r="A1958">
        <v>10339</v>
      </c>
      <c r="B1958" t="s">
        <v>176</v>
      </c>
      <c r="C1958">
        <v>2074.7999983727932</v>
      </c>
      <c r="D1958">
        <v>70</v>
      </c>
      <c r="E1958" s="80">
        <v>35366</v>
      </c>
    </row>
    <row r="1959" spans="1:5">
      <c r="A1959">
        <v>10339</v>
      </c>
      <c r="B1959" t="s">
        <v>177</v>
      </c>
      <c r="C1959">
        <v>2074.7999983727932</v>
      </c>
      <c r="D1959">
        <v>70</v>
      </c>
      <c r="E1959" s="80">
        <v>35366</v>
      </c>
    </row>
    <row r="1960" spans="1:5">
      <c r="A1960">
        <v>10339</v>
      </c>
      <c r="B1960" t="s">
        <v>178</v>
      </c>
      <c r="C1960">
        <v>2074.7999983727932</v>
      </c>
      <c r="D1960">
        <v>70</v>
      </c>
      <c r="E1960" s="80">
        <v>35366</v>
      </c>
    </row>
    <row r="1961" spans="1:5">
      <c r="A1961">
        <v>10339</v>
      </c>
      <c r="B1961" t="s">
        <v>179</v>
      </c>
      <c r="C1961">
        <v>2074.7999983727932</v>
      </c>
      <c r="D1961">
        <v>70</v>
      </c>
      <c r="E1961" s="80">
        <v>35366</v>
      </c>
    </row>
    <row r="1962" spans="1:5">
      <c r="A1962">
        <v>10339</v>
      </c>
      <c r="B1962" t="s">
        <v>172</v>
      </c>
      <c r="C1962">
        <v>1103.2</v>
      </c>
      <c r="D1962">
        <v>28</v>
      </c>
      <c r="E1962" s="80">
        <v>35366</v>
      </c>
    </row>
    <row r="1963" spans="1:5">
      <c r="A1963">
        <v>10339</v>
      </c>
      <c r="B1963" t="s">
        <v>173</v>
      </c>
      <c r="C1963">
        <v>1103.2</v>
      </c>
      <c r="D1963">
        <v>28</v>
      </c>
      <c r="E1963" s="80">
        <v>35366</v>
      </c>
    </row>
    <row r="1964" spans="1:5">
      <c r="A1964">
        <v>10339</v>
      </c>
      <c r="B1964" t="s">
        <v>174</v>
      </c>
      <c r="C1964">
        <v>1103.2</v>
      </c>
      <c r="D1964">
        <v>28</v>
      </c>
      <c r="E1964" s="80">
        <v>35366</v>
      </c>
    </row>
    <row r="1965" spans="1:5">
      <c r="A1965">
        <v>10339</v>
      </c>
      <c r="B1965" t="s">
        <v>175</v>
      </c>
      <c r="C1965">
        <v>1103.2</v>
      </c>
      <c r="D1965">
        <v>28</v>
      </c>
      <c r="E1965" s="80">
        <v>35366</v>
      </c>
    </row>
    <row r="1966" spans="1:5">
      <c r="A1966">
        <v>10339</v>
      </c>
      <c r="B1966" t="s">
        <v>176</v>
      </c>
      <c r="C1966">
        <v>1103.2</v>
      </c>
      <c r="D1966">
        <v>28</v>
      </c>
      <c r="E1966" s="80">
        <v>35366</v>
      </c>
    </row>
    <row r="1967" spans="1:5">
      <c r="A1967">
        <v>10339</v>
      </c>
      <c r="B1967" t="s">
        <v>177</v>
      </c>
      <c r="C1967">
        <v>1103.2</v>
      </c>
      <c r="D1967">
        <v>28</v>
      </c>
      <c r="E1967" s="80">
        <v>35366</v>
      </c>
    </row>
    <row r="1968" spans="1:5">
      <c r="A1968">
        <v>10339</v>
      </c>
      <c r="B1968" t="s">
        <v>178</v>
      </c>
      <c r="C1968">
        <v>1103.2</v>
      </c>
      <c r="D1968">
        <v>28</v>
      </c>
      <c r="E1968" s="80">
        <v>35366</v>
      </c>
    </row>
    <row r="1969" spans="1:5">
      <c r="A1969">
        <v>10339</v>
      </c>
      <c r="B1969" t="s">
        <v>179</v>
      </c>
      <c r="C1969">
        <v>1103.2</v>
      </c>
      <c r="D1969">
        <v>28</v>
      </c>
      <c r="E1969" s="80">
        <v>35366</v>
      </c>
    </row>
    <row r="1970" spans="1:5">
      <c r="A1970">
        <v>10340</v>
      </c>
      <c r="B1970" t="s">
        <v>172</v>
      </c>
      <c r="C1970">
        <v>949.99999925494194</v>
      </c>
      <c r="D1970">
        <v>20</v>
      </c>
      <c r="E1970" s="80">
        <v>35367</v>
      </c>
    </row>
    <row r="1971" spans="1:5">
      <c r="A1971">
        <v>10340</v>
      </c>
      <c r="B1971" t="s">
        <v>173</v>
      </c>
      <c r="C1971">
        <v>949.99999925494194</v>
      </c>
      <c r="D1971">
        <v>20</v>
      </c>
      <c r="E1971" s="80">
        <v>35367</v>
      </c>
    </row>
    <row r="1972" spans="1:5">
      <c r="A1972">
        <v>10340</v>
      </c>
      <c r="B1972" t="s">
        <v>174</v>
      </c>
      <c r="C1972">
        <v>949.99999925494194</v>
      </c>
      <c r="D1972">
        <v>20</v>
      </c>
      <c r="E1972" s="80">
        <v>35367</v>
      </c>
    </row>
    <row r="1973" spans="1:5">
      <c r="A1973">
        <v>10340</v>
      </c>
      <c r="B1973" t="s">
        <v>175</v>
      </c>
      <c r="C1973">
        <v>949.99999925494194</v>
      </c>
      <c r="D1973">
        <v>20</v>
      </c>
      <c r="E1973" s="80">
        <v>35367</v>
      </c>
    </row>
    <row r="1974" spans="1:5">
      <c r="A1974">
        <v>10340</v>
      </c>
      <c r="B1974" t="s">
        <v>176</v>
      </c>
      <c r="C1974">
        <v>949.99999925494194</v>
      </c>
      <c r="D1974">
        <v>20</v>
      </c>
      <c r="E1974" s="80">
        <v>35367</v>
      </c>
    </row>
    <row r="1975" spans="1:5">
      <c r="A1975">
        <v>10340</v>
      </c>
      <c r="B1975" t="s">
        <v>177</v>
      </c>
      <c r="C1975">
        <v>949.99999925494194</v>
      </c>
      <c r="D1975">
        <v>20</v>
      </c>
      <c r="E1975" s="80">
        <v>35367</v>
      </c>
    </row>
    <row r="1976" spans="1:5">
      <c r="A1976">
        <v>10340</v>
      </c>
      <c r="B1976" t="s">
        <v>178</v>
      </c>
      <c r="C1976">
        <v>949.99999925494194</v>
      </c>
      <c r="D1976">
        <v>20</v>
      </c>
      <c r="E1976" s="80">
        <v>35367</v>
      </c>
    </row>
    <row r="1977" spans="1:5">
      <c r="A1977">
        <v>10340</v>
      </c>
      <c r="B1977" t="s">
        <v>179</v>
      </c>
      <c r="C1977">
        <v>949.99999925494194</v>
      </c>
      <c r="D1977">
        <v>20</v>
      </c>
      <c r="E1977" s="80">
        <v>35367</v>
      </c>
    </row>
    <row r="1978" spans="1:5">
      <c r="A1978">
        <v>10340</v>
      </c>
      <c r="B1978" t="s">
        <v>172</v>
      </c>
      <c r="C1978">
        <v>87.779999931156638</v>
      </c>
      <c r="D1978">
        <v>12</v>
      </c>
      <c r="E1978" s="80">
        <v>35367</v>
      </c>
    </row>
    <row r="1979" spans="1:5">
      <c r="A1979">
        <v>10340</v>
      </c>
      <c r="B1979" t="s">
        <v>173</v>
      </c>
      <c r="C1979">
        <v>87.779999931156638</v>
      </c>
      <c r="D1979">
        <v>12</v>
      </c>
      <c r="E1979" s="80">
        <v>35367</v>
      </c>
    </row>
    <row r="1980" spans="1:5">
      <c r="A1980">
        <v>10340</v>
      </c>
      <c r="B1980" t="s">
        <v>174</v>
      </c>
      <c r="C1980">
        <v>87.779999931156638</v>
      </c>
      <c r="D1980">
        <v>12</v>
      </c>
      <c r="E1980" s="80">
        <v>35367</v>
      </c>
    </row>
    <row r="1981" spans="1:5">
      <c r="A1981">
        <v>10340</v>
      </c>
      <c r="B1981" t="s">
        <v>175</v>
      </c>
      <c r="C1981">
        <v>87.779999931156638</v>
      </c>
      <c r="D1981">
        <v>12</v>
      </c>
      <c r="E1981" s="80">
        <v>35367</v>
      </c>
    </row>
    <row r="1982" spans="1:5">
      <c r="A1982">
        <v>10340</v>
      </c>
      <c r="B1982" t="s">
        <v>176</v>
      </c>
      <c r="C1982">
        <v>87.779999931156638</v>
      </c>
      <c r="D1982">
        <v>12</v>
      </c>
      <c r="E1982" s="80">
        <v>35367</v>
      </c>
    </row>
    <row r="1983" spans="1:5">
      <c r="A1983">
        <v>10340</v>
      </c>
      <c r="B1983" t="s">
        <v>177</v>
      </c>
      <c r="C1983">
        <v>87.779999931156638</v>
      </c>
      <c r="D1983">
        <v>12</v>
      </c>
      <c r="E1983" s="80">
        <v>35367</v>
      </c>
    </row>
    <row r="1984" spans="1:5">
      <c r="A1984">
        <v>10340</v>
      </c>
      <c r="B1984" t="s">
        <v>178</v>
      </c>
      <c r="C1984">
        <v>87.779999931156638</v>
      </c>
      <c r="D1984">
        <v>12</v>
      </c>
      <c r="E1984" s="80">
        <v>35367</v>
      </c>
    </row>
    <row r="1985" spans="1:5">
      <c r="A1985">
        <v>10340</v>
      </c>
      <c r="B1985" t="s">
        <v>179</v>
      </c>
      <c r="C1985">
        <v>87.779999931156638</v>
      </c>
      <c r="D1985">
        <v>12</v>
      </c>
      <c r="E1985" s="80">
        <v>35367</v>
      </c>
    </row>
    <row r="1986" spans="1:5">
      <c r="A1986">
        <v>10340</v>
      </c>
      <c r="B1986" t="s">
        <v>172</v>
      </c>
      <c r="C1986">
        <v>1398.3999989032745</v>
      </c>
      <c r="D1986">
        <v>40</v>
      </c>
      <c r="E1986" s="80">
        <v>35367</v>
      </c>
    </row>
    <row r="1987" spans="1:5">
      <c r="A1987">
        <v>10340</v>
      </c>
      <c r="B1987" t="s">
        <v>173</v>
      </c>
      <c r="C1987">
        <v>1398.3999989032745</v>
      </c>
      <c r="D1987">
        <v>40</v>
      </c>
      <c r="E1987" s="80">
        <v>35367</v>
      </c>
    </row>
    <row r="1988" spans="1:5">
      <c r="A1988">
        <v>10340</v>
      </c>
      <c r="B1988" t="s">
        <v>174</v>
      </c>
      <c r="C1988">
        <v>1398.3999989032745</v>
      </c>
      <c r="D1988">
        <v>40</v>
      </c>
      <c r="E1988" s="80">
        <v>35367</v>
      </c>
    </row>
    <row r="1989" spans="1:5">
      <c r="A1989">
        <v>10340</v>
      </c>
      <c r="B1989" t="s">
        <v>175</v>
      </c>
      <c r="C1989">
        <v>1398.3999989032745</v>
      </c>
      <c r="D1989">
        <v>40</v>
      </c>
      <c r="E1989" s="80">
        <v>35367</v>
      </c>
    </row>
    <row r="1990" spans="1:5">
      <c r="A1990">
        <v>10340</v>
      </c>
      <c r="B1990" t="s">
        <v>176</v>
      </c>
      <c r="C1990">
        <v>1398.3999989032745</v>
      </c>
      <c r="D1990">
        <v>40</v>
      </c>
      <c r="E1990" s="80">
        <v>35367</v>
      </c>
    </row>
    <row r="1991" spans="1:5">
      <c r="A1991">
        <v>10340</v>
      </c>
      <c r="B1991" t="s">
        <v>177</v>
      </c>
      <c r="C1991">
        <v>1398.3999989032745</v>
      </c>
      <c r="D1991">
        <v>40</v>
      </c>
      <c r="E1991" s="80">
        <v>35367</v>
      </c>
    </row>
    <row r="1992" spans="1:5">
      <c r="A1992">
        <v>10340</v>
      </c>
      <c r="B1992" t="s">
        <v>178</v>
      </c>
      <c r="C1992">
        <v>1398.3999989032745</v>
      </c>
      <c r="D1992">
        <v>40</v>
      </c>
      <c r="E1992" s="80">
        <v>35367</v>
      </c>
    </row>
    <row r="1993" spans="1:5">
      <c r="A1993">
        <v>10340</v>
      </c>
      <c r="B1993" t="s">
        <v>179</v>
      </c>
      <c r="C1993">
        <v>1398.3999989032745</v>
      </c>
      <c r="D1993">
        <v>40</v>
      </c>
      <c r="E1993" s="80">
        <v>35367</v>
      </c>
    </row>
    <row r="1994" spans="1:5">
      <c r="A1994">
        <v>10341</v>
      </c>
      <c r="B1994" t="s">
        <v>172</v>
      </c>
      <c r="C1994">
        <v>16</v>
      </c>
      <c r="D1994">
        <v>8</v>
      </c>
      <c r="E1994" s="80">
        <v>35367</v>
      </c>
    </row>
    <row r="1995" spans="1:5">
      <c r="A1995">
        <v>10341</v>
      </c>
      <c r="B1995" t="s">
        <v>173</v>
      </c>
      <c r="C1995">
        <v>16</v>
      </c>
      <c r="D1995">
        <v>8</v>
      </c>
      <c r="E1995" s="80">
        <v>35367</v>
      </c>
    </row>
    <row r="1996" spans="1:5">
      <c r="A1996">
        <v>10341</v>
      </c>
      <c r="B1996" t="s">
        <v>174</v>
      </c>
      <c r="C1996">
        <v>16</v>
      </c>
      <c r="D1996">
        <v>8</v>
      </c>
      <c r="E1996" s="80">
        <v>35367</v>
      </c>
    </row>
    <row r="1997" spans="1:5">
      <c r="A1997">
        <v>10341</v>
      </c>
      <c r="B1997" t="s">
        <v>175</v>
      </c>
      <c r="C1997">
        <v>16</v>
      </c>
      <c r="D1997">
        <v>8</v>
      </c>
      <c r="E1997" s="80">
        <v>35367</v>
      </c>
    </row>
    <row r="1998" spans="1:5">
      <c r="A1998">
        <v>10341</v>
      </c>
      <c r="B1998" t="s">
        <v>176</v>
      </c>
      <c r="C1998">
        <v>16</v>
      </c>
      <c r="D1998">
        <v>8</v>
      </c>
      <c r="E1998" s="80">
        <v>35367</v>
      </c>
    </row>
    <row r="1999" spans="1:5">
      <c r="A1999">
        <v>10341</v>
      </c>
      <c r="B1999" t="s">
        <v>177</v>
      </c>
      <c r="C1999">
        <v>16</v>
      </c>
      <c r="D1999">
        <v>8</v>
      </c>
      <c r="E1999" s="80">
        <v>35367</v>
      </c>
    </row>
    <row r="2000" spans="1:5">
      <c r="A2000">
        <v>10341</v>
      </c>
      <c r="B2000" t="s">
        <v>178</v>
      </c>
      <c r="C2000">
        <v>16</v>
      </c>
      <c r="D2000">
        <v>8</v>
      </c>
      <c r="E2000" s="80">
        <v>35367</v>
      </c>
    </row>
    <row r="2001" spans="1:5">
      <c r="A2001">
        <v>10341</v>
      </c>
      <c r="B2001" t="s">
        <v>179</v>
      </c>
      <c r="C2001">
        <v>16</v>
      </c>
      <c r="D2001">
        <v>8</v>
      </c>
      <c r="E2001" s="80">
        <v>35367</v>
      </c>
    </row>
    <row r="2002" spans="1:5">
      <c r="A2002">
        <v>10341</v>
      </c>
      <c r="B2002" t="s">
        <v>172</v>
      </c>
      <c r="C2002">
        <v>336.59999763965607</v>
      </c>
      <c r="D2002">
        <v>9</v>
      </c>
      <c r="E2002" s="80">
        <v>35367</v>
      </c>
    </row>
    <row r="2003" spans="1:5">
      <c r="A2003">
        <v>10341</v>
      </c>
      <c r="B2003" t="s">
        <v>173</v>
      </c>
      <c r="C2003">
        <v>336.59999763965607</v>
      </c>
      <c r="D2003">
        <v>9</v>
      </c>
      <c r="E2003" s="80">
        <v>35367</v>
      </c>
    </row>
    <row r="2004" spans="1:5">
      <c r="A2004">
        <v>10341</v>
      </c>
      <c r="B2004" t="s">
        <v>174</v>
      </c>
      <c r="C2004">
        <v>336.59999763965607</v>
      </c>
      <c r="D2004">
        <v>9</v>
      </c>
      <c r="E2004" s="80">
        <v>35367</v>
      </c>
    </row>
    <row r="2005" spans="1:5">
      <c r="A2005">
        <v>10341</v>
      </c>
      <c r="B2005" t="s">
        <v>175</v>
      </c>
      <c r="C2005">
        <v>336.59999763965607</v>
      </c>
      <c r="D2005">
        <v>9</v>
      </c>
      <c r="E2005" s="80">
        <v>35367</v>
      </c>
    </row>
    <row r="2006" spans="1:5">
      <c r="A2006">
        <v>10341</v>
      </c>
      <c r="B2006" t="s">
        <v>176</v>
      </c>
      <c r="C2006">
        <v>336.59999763965607</v>
      </c>
      <c r="D2006">
        <v>9</v>
      </c>
      <c r="E2006" s="80">
        <v>35367</v>
      </c>
    </row>
    <row r="2007" spans="1:5">
      <c r="A2007">
        <v>10341</v>
      </c>
      <c r="B2007" t="s">
        <v>177</v>
      </c>
      <c r="C2007">
        <v>336.59999763965607</v>
      </c>
      <c r="D2007">
        <v>9</v>
      </c>
      <c r="E2007" s="80">
        <v>35367</v>
      </c>
    </row>
    <row r="2008" spans="1:5">
      <c r="A2008">
        <v>10341</v>
      </c>
      <c r="B2008" t="s">
        <v>178</v>
      </c>
      <c r="C2008">
        <v>336.59999763965607</v>
      </c>
      <c r="D2008">
        <v>9</v>
      </c>
      <c r="E2008" s="80">
        <v>35367</v>
      </c>
    </row>
    <row r="2009" spans="1:5">
      <c r="A2009">
        <v>10341</v>
      </c>
      <c r="B2009" t="s">
        <v>179</v>
      </c>
      <c r="C2009">
        <v>336.59999763965607</v>
      </c>
      <c r="D2009">
        <v>9</v>
      </c>
      <c r="E2009" s="80">
        <v>35367</v>
      </c>
    </row>
    <row r="2010" spans="1:5">
      <c r="A2010">
        <v>10342</v>
      </c>
      <c r="B2010" t="s">
        <v>172</v>
      </c>
      <c r="C2010">
        <v>291.83999891281127</v>
      </c>
      <c r="D2010">
        <v>24</v>
      </c>
      <c r="E2010" s="80">
        <v>35368</v>
      </c>
    </row>
    <row r="2011" spans="1:5">
      <c r="A2011">
        <v>10342</v>
      </c>
      <c r="B2011" t="s">
        <v>173</v>
      </c>
      <c r="C2011">
        <v>291.83999891281127</v>
      </c>
      <c r="D2011">
        <v>24</v>
      </c>
      <c r="E2011" s="80">
        <v>35368</v>
      </c>
    </row>
    <row r="2012" spans="1:5">
      <c r="A2012">
        <v>10342</v>
      </c>
      <c r="B2012" t="s">
        <v>174</v>
      </c>
      <c r="C2012">
        <v>291.83999891281127</v>
      </c>
      <c r="D2012">
        <v>24</v>
      </c>
      <c r="E2012" s="80">
        <v>35368</v>
      </c>
    </row>
    <row r="2013" spans="1:5">
      <c r="A2013">
        <v>10342</v>
      </c>
      <c r="B2013" t="s">
        <v>175</v>
      </c>
      <c r="C2013">
        <v>291.83999891281127</v>
      </c>
      <c r="D2013">
        <v>24</v>
      </c>
      <c r="E2013" s="80">
        <v>35368</v>
      </c>
    </row>
    <row r="2014" spans="1:5">
      <c r="A2014">
        <v>10342</v>
      </c>
      <c r="B2014" t="s">
        <v>176</v>
      </c>
      <c r="C2014">
        <v>291.83999891281127</v>
      </c>
      <c r="D2014">
        <v>24</v>
      </c>
      <c r="E2014" s="80">
        <v>35368</v>
      </c>
    </row>
    <row r="2015" spans="1:5">
      <c r="A2015">
        <v>10342</v>
      </c>
      <c r="B2015" t="s">
        <v>177</v>
      </c>
      <c r="C2015">
        <v>291.83999891281127</v>
      </c>
      <c r="D2015">
        <v>24</v>
      </c>
      <c r="E2015" s="80">
        <v>35368</v>
      </c>
    </row>
    <row r="2016" spans="1:5">
      <c r="A2016">
        <v>10342</v>
      </c>
      <c r="B2016" t="s">
        <v>178</v>
      </c>
      <c r="C2016">
        <v>291.83999891281127</v>
      </c>
      <c r="D2016">
        <v>24</v>
      </c>
      <c r="E2016" s="80">
        <v>35368</v>
      </c>
    </row>
    <row r="2017" spans="1:5">
      <c r="A2017">
        <v>10342</v>
      </c>
      <c r="B2017" t="s">
        <v>179</v>
      </c>
      <c r="C2017">
        <v>291.83999891281127</v>
      </c>
      <c r="D2017">
        <v>24</v>
      </c>
      <c r="E2017" s="80">
        <v>35368</v>
      </c>
    </row>
    <row r="2018" spans="1:5">
      <c r="A2018">
        <v>10342</v>
      </c>
      <c r="B2018" t="s">
        <v>172</v>
      </c>
      <c r="C2018">
        <v>447.99999833106995</v>
      </c>
      <c r="D2018">
        <v>56</v>
      </c>
      <c r="E2018" s="80">
        <v>35368</v>
      </c>
    </row>
    <row r="2019" spans="1:5">
      <c r="A2019">
        <v>10342</v>
      </c>
      <c r="B2019" t="s">
        <v>173</v>
      </c>
      <c r="C2019">
        <v>447.99999833106995</v>
      </c>
      <c r="D2019">
        <v>56</v>
      </c>
      <c r="E2019" s="80">
        <v>35368</v>
      </c>
    </row>
    <row r="2020" spans="1:5">
      <c r="A2020">
        <v>10342</v>
      </c>
      <c r="B2020" t="s">
        <v>174</v>
      </c>
      <c r="C2020">
        <v>447.99999833106995</v>
      </c>
      <c r="D2020">
        <v>56</v>
      </c>
      <c r="E2020" s="80">
        <v>35368</v>
      </c>
    </row>
    <row r="2021" spans="1:5">
      <c r="A2021">
        <v>10342</v>
      </c>
      <c r="B2021" t="s">
        <v>175</v>
      </c>
      <c r="C2021">
        <v>447.99999833106995</v>
      </c>
      <c r="D2021">
        <v>56</v>
      </c>
      <c r="E2021" s="80">
        <v>35368</v>
      </c>
    </row>
    <row r="2022" spans="1:5">
      <c r="A2022">
        <v>10342</v>
      </c>
      <c r="B2022" t="s">
        <v>176</v>
      </c>
      <c r="C2022">
        <v>447.99999833106995</v>
      </c>
      <c r="D2022">
        <v>56</v>
      </c>
      <c r="E2022" s="80">
        <v>35368</v>
      </c>
    </row>
    <row r="2023" spans="1:5">
      <c r="A2023">
        <v>10342</v>
      </c>
      <c r="B2023" t="s">
        <v>177</v>
      </c>
      <c r="C2023">
        <v>447.99999833106995</v>
      </c>
      <c r="D2023">
        <v>56</v>
      </c>
      <c r="E2023" s="80">
        <v>35368</v>
      </c>
    </row>
    <row r="2024" spans="1:5">
      <c r="A2024">
        <v>10342</v>
      </c>
      <c r="B2024" t="s">
        <v>178</v>
      </c>
      <c r="C2024">
        <v>447.99999833106995</v>
      </c>
      <c r="D2024">
        <v>56</v>
      </c>
      <c r="E2024" s="80">
        <v>35368</v>
      </c>
    </row>
    <row r="2025" spans="1:5">
      <c r="A2025">
        <v>10342</v>
      </c>
      <c r="B2025" t="s">
        <v>179</v>
      </c>
      <c r="C2025">
        <v>447.99999833106995</v>
      </c>
      <c r="D2025">
        <v>56</v>
      </c>
      <c r="E2025" s="80">
        <v>35368</v>
      </c>
    </row>
    <row r="2026" spans="1:5">
      <c r="A2026">
        <v>10342</v>
      </c>
      <c r="B2026" t="s">
        <v>172</v>
      </c>
      <c r="C2026">
        <v>486.3999981880188</v>
      </c>
      <c r="D2026">
        <v>40</v>
      </c>
      <c r="E2026" s="80">
        <v>35368</v>
      </c>
    </row>
    <row r="2027" spans="1:5">
      <c r="A2027">
        <v>10342</v>
      </c>
      <c r="B2027" t="s">
        <v>173</v>
      </c>
      <c r="C2027">
        <v>486.3999981880188</v>
      </c>
      <c r="D2027">
        <v>40</v>
      </c>
      <c r="E2027" s="80">
        <v>35368</v>
      </c>
    </row>
    <row r="2028" spans="1:5">
      <c r="A2028">
        <v>10342</v>
      </c>
      <c r="B2028" t="s">
        <v>174</v>
      </c>
      <c r="C2028">
        <v>486.3999981880188</v>
      </c>
      <c r="D2028">
        <v>40</v>
      </c>
      <c r="E2028" s="80">
        <v>35368</v>
      </c>
    </row>
    <row r="2029" spans="1:5">
      <c r="A2029">
        <v>10342</v>
      </c>
      <c r="B2029" t="s">
        <v>175</v>
      </c>
      <c r="C2029">
        <v>486.3999981880188</v>
      </c>
      <c r="D2029">
        <v>40</v>
      </c>
      <c r="E2029" s="80">
        <v>35368</v>
      </c>
    </row>
    <row r="2030" spans="1:5">
      <c r="A2030">
        <v>10342</v>
      </c>
      <c r="B2030" t="s">
        <v>176</v>
      </c>
      <c r="C2030">
        <v>486.3999981880188</v>
      </c>
      <c r="D2030">
        <v>40</v>
      </c>
      <c r="E2030" s="80">
        <v>35368</v>
      </c>
    </row>
    <row r="2031" spans="1:5">
      <c r="A2031">
        <v>10342</v>
      </c>
      <c r="B2031" t="s">
        <v>177</v>
      </c>
      <c r="C2031">
        <v>486.3999981880188</v>
      </c>
      <c r="D2031">
        <v>40</v>
      </c>
      <c r="E2031" s="80">
        <v>35368</v>
      </c>
    </row>
    <row r="2032" spans="1:5">
      <c r="A2032">
        <v>10342</v>
      </c>
      <c r="B2032" t="s">
        <v>178</v>
      </c>
      <c r="C2032">
        <v>486.3999981880188</v>
      </c>
      <c r="D2032">
        <v>40</v>
      </c>
      <c r="E2032" s="80">
        <v>35368</v>
      </c>
    </row>
    <row r="2033" spans="1:5">
      <c r="A2033">
        <v>10342</v>
      </c>
      <c r="B2033" t="s">
        <v>179</v>
      </c>
      <c r="C2033">
        <v>486.3999981880188</v>
      </c>
      <c r="D2033">
        <v>40</v>
      </c>
      <c r="E2033" s="80">
        <v>35368</v>
      </c>
    </row>
    <row r="2034" spans="1:5">
      <c r="A2034">
        <v>10342</v>
      </c>
      <c r="B2034" t="s">
        <v>172</v>
      </c>
      <c r="C2034">
        <v>614.39999771118164</v>
      </c>
      <c r="D2034">
        <v>40</v>
      </c>
      <c r="E2034" s="80">
        <v>35368</v>
      </c>
    </row>
    <row r="2035" spans="1:5">
      <c r="A2035">
        <v>10342</v>
      </c>
      <c r="B2035" t="s">
        <v>173</v>
      </c>
      <c r="C2035">
        <v>614.39999771118164</v>
      </c>
      <c r="D2035">
        <v>40</v>
      </c>
      <c r="E2035" s="80">
        <v>35368</v>
      </c>
    </row>
    <row r="2036" spans="1:5">
      <c r="A2036">
        <v>10342</v>
      </c>
      <c r="B2036" t="s">
        <v>174</v>
      </c>
      <c r="C2036">
        <v>614.39999771118164</v>
      </c>
      <c r="D2036">
        <v>40</v>
      </c>
      <c r="E2036" s="80">
        <v>35368</v>
      </c>
    </row>
    <row r="2037" spans="1:5">
      <c r="A2037">
        <v>10342</v>
      </c>
      <c r="B2037" t="s">
        <v>175</v>
      </c>
      <c r="C2037">
        <v>614.39999771118164</v>
      </c>
      <c r="D2037">
        <v>40</v>
      </c>
      <c r="E2037" s="80">
        <v>35368</v>
      </c>
    </row>
    <row r="2038" spans="1:5">
      <c r="A2038">
        <v>10342</v>
      </c>
      <c r="B2038" t="s">
        <v>176</v>
      </c>
      <c r="C2038">
        <v>614.39999771118164</v>
      </c>
      <c r="D2038">
        <v>40</v>
      </c>
      <c r="E2038" s="80">
        <v>35368</v>
      </c>
    </row>
    <row r="2039" spans="1:5">
      <c r="A2039">
        <v>10342</v>
      </c>
      <c r="B2039" t="s">
        <v>177</v>
      </c>
      <c r="C2039">
        <v>614.39999771118164</v>
      </c>
      <c r="D2039">
        <v>40</v>
      </c>
      <c r="E2039" s="80">
        <v>35368</v>
      </c>
    </row>
    <row r="2040" spans="1:5">
      <c r="A2040">
        <v>10342</v>
      </c>
      <c r="B2040" t="s">
        <v>178</v>
      </c>
      <c r="C2040">
        <v>614.39999771118164</v>
      </c>
      <c r="D2040">
        <v>40</v>
      </c>
      <c r="E2040" s="80">
        <v>35368</v>
      </c>
    </row>
    <row r="2041" spans="1:5">
      <c r="A2041">
        <v>10342</v>
      </c>
      <c r="B2041" t="s">
        <v>179</v>
      </c>
      <c r="C2041">
        <v>614.39999771118164</v>
      </c>
      <c r="D2041">
        <v>40</v>
      </c>
      <c r="E2041" s="80">
        <v>35368</v>
      </c>
    </row>
    <row r="2042" spans="1:5">
      <c r="A2042">
        <v>10343</v>
      </c>
      <c r="B2042" t="s">
        <v>172</v>
      </c>
      <c r="C2042">
        <v>1330</v>
      </c>
      <c r="D2042">
        <v>50</v>
      </c>
      <c r="E2042" s="80">
        <v>35369</v>
      </c>
    </row>
    <row r="2043" spans="1:5">
      <c r="A2043">
        <v>10343</v>
      </c>
      <c r="B2043" t="s">
        <v>173</v>
      </c>
      <c r="C2043">
        <v>1330</v>
      </c>
      <c r="D2043">
        <v>50</v>
      </c>
      <c r="E2043" s="80">
        <v>35369</v>
      </c>
    </row>
    <row r="2044" spans="1:5">
      <c r="A2044">
        <v>10343</v>
      </c>
      <c r="B2044" t="s">
        <v>174</v>
      </c>
      <c r="C2044">
        <v>1330</v>
      </c>
      <c r="D2044">
        <v>50</v>
      </c>
      <c r="E2044" s="80">
        <v>35369</v>
      </c>
    </row>
    <row r="2045" spans="1:5">
      <c r="A2045">
        <v>10343</v>
      </c>
      <c r="B2045" t="s">
        <v>175</v>
      </c>
      <c r="C2045">
        <v>1330</v>
      </c>
      <c r="D2045">
        <v>50</v>
      </c>
      <c r="E2045" s="80">
        <v>35369</v>
      </c>
    </row>
    <row r="2046" spans="1:5">
      <c r="A2046">
        <v>10343</v>
      </c>
      <c r="B2046" t="s">
        <v>176</v>
      </c>
      <c r="C2046">
        <v>1330</v>
      </c>
      <c r="D2046">
        <v>50</v>
      </c>
      <c r="E2046" s="80">
        <v>35369</v>
      </c>
    </row>
    <row r="2047" spans="1:5">
      <c r="A2047">
        <v>10343</v>
      </c>
      <c r="B2047" t="s">
        <v>177</v>
      </c>
      <c r="C2047">
        <v>1330</v>
      </c>
      <c r="D2047">
        <v>50</v>
      </c>
      <c r="E2047" s="80">
        <v>35369</v>
      </c>
    </row>
    <row r="2048" spans="1:5">
      <c r="A2048">
        <v>10343</v>
      </c>
      <c r="B2048" t="s">
        <v>178</v>
      </c>
      <c r="C2048">
        <v>1330</v>
      </c>
      <c r="D2048">
        <v>50</v>
      </c>
      <c r="E2048" s="80">
        <v>35369</v>
      </c>
    </row>
    <row r="2049" spans="1:5">
      <c r="A2049">
        <v>10343</v>
      </c>
      <c r="B2049" t="s">
        <v>179</v>
      </c>
      <c r="C2049">
        <v>1330</v>
      </c>
      <c r="D2049">
        <v>50</v>
      </c>
      <c r="E2049" s="80">
        <v>35369</v>
      </c>
    </row>
    <row r="2050" spans="1:5">
      <c r="A2050">
        <v>10343</v>
      </c>
      <c r="B2050" t="s">
        <v>172</v>
      </c>
      <c r="C2050">
        <v>37.999999970197678</v>
      </c>
      <c r="D2050">
        <v>4</v>
      </c>
      <c r="E2050" s="80">
        <v>35369</v>
      </c>
    </row>
    <row r="2051" spans="1:5">
      <c r="A2051">
        <v>10343</v>
      </c>
      <c r="B2051" t="s">
        <v>173</v>
      </c>
      <c r="C2051">
        <v>37.999999970197678</v>
      </c>
      <c r="D2051">
        <v>4</v>
      </c>
      <c r="E2051" s="80">
        <v>35369</v>
      </c>
    </row>
    <row r="2052" spans="1:5">
      <c r="A2052">
        <v>10343</v>
      </c>
      <c r="B2052" t="s">
        <v>174</v>
      </c>
      <c r="C2052">
        <v>37.999999970197678</v>
      </c>
      <c r="D2052">
        <v>4</v>
      </c>
      <c r="E2052" s="80">
        <v>35369</v>
      </c>
    </row>
    <row r="2053" spans="1:5">
      <c r="A2053">
        <v>10343</v>
      </c>
      <c r="B2053" t="s">
        <v>175</v>
      </c>
      <c r="C2053">
        <v>37.999999970197678</v>
      </c>
      <c r="D2053">
        <v>4</v>
      </c>
      <c r="E2053" s="80">
        <v>35369</v>
      </c>
    </row>
    <row r="2054" spans="1:5">
      <c r="A2054">
        <v>10343</v>
      </c>
      <c r="B2054" t="s">
        <v>176</v>
      </c>
      <c r="C2054">
        <v>37.999999970197678</v>
      </c>
      <c r="D2054">
        <v>4</v>
      </c>
      <c r="E2054" s="80">
        <v>35369</v>
      </c>
    </row>
    <row r="2055" spans="1:5">
      <c r="A2055">
        <v>10343</v>
      </c>
      <c r="B2055" t="s">
        <v>177</v>
      </c>
      <c r="C2055">
        <v>37.999999970197678</v>
      </c>
      <c r="D2055">
        <v>4</v>
      </c>
      <c r="E2055" s="80">
        <v>35369</v>
      </c>
    </row>
    <row r="2056" spans="1:5">
      <c r="A2056">
        <v>10343</v>
      </c>
      <c r="B2056" t="s">
        <v>178</v>
      </c>
      <c r="C2056">
        <v>37.999999970197678</v>
      </c>
      <c r="D2056">
        <v>4</v>
      </c>
      <c r="E2056" s="80">
        <v>35369</v>
      </c>
    </row>
    <row r="2057" spans="1:5">
      <c r="A2057">
        <v>10343</v>
      </c>
      <c r="B2057" t="s">
        <v>179</v>
      </c>
      <c r="C2057">
        <v>37.999999970197678</v>
      </c>
      <c r="D2057">
        <v>4</v>
      </c>
      <c r="E2057" s="80">
        <v>35369</v>
      </c>
    </row>
    <row r="2058" spans="1:5">
      <c r="A2058">
        <v>10343</v>
      </c>
      <c r="B2058" t="s">
        <v>172</v>
      </c>
      <c r="C2058">
        <v>216</v>
      </c>
      <c r="D2058">
        <v>15</v>
      </c>
      <c r="E2058" s="80">
        <v>35369</v>
      </c>
    </row>
    <row r="2059" spans="1:5">
      <c r="A2059">
        <v>10343</v>
      </c>
      <c r="B2059" t="s">
        <v>173</v>
      </c>
      <c r="C2059">
        <v>216</v>
      </c>
      <c r="D2059">
        <v>15</v>
      </c>
      <c r="E2059" s="80">
        <v>35369</v>
      </c>
    </row>
    <row r="2060" spans="1:5">
      <c r="A2060">
        <v>10343</v>
      </c>
      <c r="B2060" t="s">
        <v>174</v>
      </c>
      <c r="C2060">
        <v>216</v>
      </c>
      <c r="D2060">
        <v>15</v>
      </c>
      <c r="E2060" s="80">
        <v>35369</v>
      </c>
    </row>
    <row r="2061" spans="1:5">
      <c r="A2061">
        <v>10343</v>
      </c>
      <c r="B2061" t="s">
        <v>175</v>
      </c>
      <c r="C2061">
        <v>216</v>
      </c>
      <c r="D2061">
        <v>15</v>
      </c>
      <c r="E2061" s="80">
        <v>35369</v>
      </c>
    </row>
    <row r="2062" spans="1:5">
      <c r="A2062">
        <v>10343</v>
      </c>
      <c r="B2062" t="s">
        <v>176</v>
      </c>
      <c r="C2062">
        <v>216</v>
      </c>
      <c r="D2062">
        <v>15</v>
      </c>
      <c r="E2062" s="80">
        <v>35369</v>
      </c>
    </row>
    <row r="2063" spans="1:5">
      <c r="A2063">
        <v>10343</v>
      </c>
      <c r="B2063" t="s">
        <v>177</v>
      </c>
      <c r="C2063">
        <v>216</v>
      </c>
      <c r="D2063">
        <v>15</v>
      </c>
      <c r="E2063" s="80">
        <v>35369</v>
      </c>
    </row>
    <row r="2064" spans="1:5">
      <c r="A2064">
        <v>10343</v>
      </c>
      <c r="B2064" t="s">
        <v>178</v>
      </c>
      <c r="C2064">
        <v>216</v>
      </c>
      <c r="D2064">
        <v>15</v>
      </c>
      <c r="E2064" s="80">
        <v>35369</v>
      </c>
    </row>
    <row r="2065" spans="1:5">
      <c r="A2065">
        <v>10343</v>
      </c>
      <c r="B2065" t="s">
        <v>179</v>
      </c>
      <c r="C2065">
        <v>216</v>
      </c>
      <c r="D2065">
        <v>15</v>
      </c>
      <c r="E2065" s="80">
        <v>35369</v>
      </c>
    </row>
    <row r="2066" spans="1:5">
      <c r="A2066">
        <v>10344</v>
      </c>
      <c r="B2066" t="s">
        <v>172</v>
      </c>
      <c r="C2066">
        <v>616</v>
      </c>
      <c r="D2066">
        <v>35</v>
      </c>
      <c r="E2066" s="80">
        <v>35370</v>
      </c>
    </row>
    <row r="2067" spans="1:5">
      <c r="A2067">
        <v>10344</v>
      </c>
      <c r="B2067" t="s">
        <v>173</v>
      </c>
      <c r="C2067">
        <v>616</v>
      </c>
      <c r="D2067">
        <v>35</v>
      </c>
      <c r="E2067" s="80">
        <v>35370</v>
      </c>
    </row>
    <row r="2068" spans="1:5">
      <c r="A2068">
        <v>10344</v>
      </c>
      <c r="B2068" t="s">
        <v>174</v>
      </c>
      <c r="C2068">
        <v>616</v>
      </c>
      <c r="D2068">
        <v>35</v>
      </c>
      <c r="E2068" s="80">
        <v>35370</v>
      </c>
    </row>
    <row r="2069" spans="1:5">
      <c r="A2069">
        <v>10344</v>
      </c>
      <c r="B2069" t="s">
        <v>175</v>
      </c>
      <c r="C2069">
        <v>616</v>
      </c>
      <c r="D2069">
        <v>35</v>
      </c>
      <c r="E2069" s="80">
        <v>35370</v>
      </c>
    </row>
    <row r="2070" spans="1:5">
      <c r="A2070">
        <v>10344</v>
      </c>
      <c r="B2070" t="s">
        <v>176</v>
      </c>
      <c r="C2070">
        <v>616</v>
      </c>
      <c r="D2070">
        <v>35</v>
      </c>
      <c r="E2070" s="80">
        <v>35370</v>
      </c>
    </row>
    <row r="2071" spans="1:5">
      <c r="A2071">
        <v>10344</v>
      </c>
      <c r="B2071" t="s">
        <v>177</v>
      </c>
      <c r="C2071">
        <v>616</v>
      </c>
      <c r="D2071">
        <v>35</v>
      </c>
      <c r="E2071" s="80">
        <v>35370</v>
      </c>
    </row>
    <row r="2072" spans="1:5">
      <c r="A2072">
        <v>10344</v>
      </c>
      <c r="B2072" t="s">
        <v>178</v>
      </c>
      <c r="C2072">
        <v>616</v>
      </c>
      <c r="D2072">
        <v>35</v>
      </c>
      <c r="E2072" s="80">
        <v>35370</v>
      </c>
    </row>
    <row r="2073" spans="1:5">
      <c r="A2073">
        <v>10344</v>
      </c>
      <c r="B2073" t="s">
        <v>179</v>
      </c>
      <c r="C2073">
        <v>616</v>
      </c>
      <c r="D2073">
        <v>35</v>
      </c>
      <c r="E2073" s="80">
        <v>35370</v>
      </c>
    </row>
    <row r="2074" spans="1:5">
      <c r="A2074">
        <v>10344</v>
      </c>
      <c r="B2074" t="s">
        <v>172</v>
      </c>
      <c r="C2074">
        <v>1680</v>
      </c>
      <c r="D2074">
        <v>70</v>
      </c>
      <c r="E2074" s="80">
        <v>35370</v>
      </c>
    </row>
    <row r="2075" spans="1:5">
      <c r="A2075">
        <v>10344</v>
      </c>
      <c r="B2075" t="s">
        <v>173</v>
      </c>
      <c r="C2075">
        <v>1680</v>
      </c>
      <c r="D2075">
        <v>70</v>
      </c>
      <c r="E2075" s="80">
        <v>35370</v>
      </c>
    </row>
    <row r="2076" spans="1:5">
      <c r="A2076">
        <v>10344</v>
      </c>
      <c r="B2076" t="s">
        <v>174</v>
      </c>
      <c r="C2076">
        <v>1680</v>
      </c>
      <c r="D2076">
        <v>70</v>
      </c>
      <c r="E2076" s="80">
        <v>35370</v>
      </c>
    </row>
    <row r="2077" spans="1:5">
      <c r="A2077">
        <v>10344</v>
      </c>
      <c r="B2077" t="s">
        <v>175</v>
      </c>
      <c r="C2077">
        <v>1680</v>
      </c>
      <c r="D2077">
        <v>70</v>
      </c>
      <c r="E2077" s="80">
        <v>35370</v>
      </c>
    </row>
    <row r="2078" spans="1:5">
      <c r="A2078">
        <v>10344</v>
      </c>
      <c r="B2078" t="s">
        <v>176</v>
      </c>
      <c r="C2078">
        <v>1680</v>
      </c>
      <c r="D2078">
        <v>70</v>
      </c>
      <c r="E2078" s="80">
        <v>35370</v>
      </c>
    </row>
    <row r="2079" spans="1:5">
      <c r="A2079">
        <v>10344</v>
      </c>
      <c r="B2079" t="s">
        <v>177</v>
      </c>
      <c r="C2079">
        <v>1680</v>
      </c>
      <c r="D2079">
        <v>70</v>
      </c>
      <c r="E2079" s="80">
        <v>35370</v>
      </c>
    </row>
    <row r="2080" spans="1:5">
      <c r="A2080">
        <v>10344</v>
      </c>
      <c r="B2080" t="s">
        <v>178</v>
      </c>
      <c r="C2080">
        <v>1680</v>
      </c>
      <c r="D2080">
        <v>70</v>
      </c>
      <c r="E2080" s="80">
        <v>35370</v>
      </c>
    </row>
    <row r="2081" spans="1:5">
      <c r="A2081">
        <v>10344</v>
      </c>
      <c r="B2081" t="s">
        <v>179</v>
      </c>
      <c r="C2081">
        <v>1680</v>
      </c>
      <c r="D2081">
        <v>70</v>
      </c>
      <c r="E2081" s="80">
        <v>35370</v>
      </c>
    </row>
    <row r="2082" spans="1:5">
      <c r="A2082">
        <v>10345</v>
      </c>
      <c r="B2082" t="s">
        <v>172</v>
      </c>
      <c r="C2082">
        <v>2240</v>
      </c>
      <c r="D2082">
        <v>70</v>
      </c>
      <c r="E2082" s="80">
        <v>35373</v>
      </c>
    </row>
    <row r="2083" spans="1:5">
      <c r="A2083">
        <v>10345</v>
      </c>
      <c r="B2083" t="s">
        <v>173</v>
      </c>
      <c r="C2083">
        <v>2240</v>
      </c>
      <c r="D2083">
        <v>70</v>
      </c>
      <c r="E2083" s="80">
        <v>35373</v>
      </c>
    </row>
    <row r="2084" spans="1:5">
      <c r="A2084">
        <v>10345</v>
      </c>
      <c r="B2084" t="s">
        <v>174</v>
      </c>
      <c r="C2084">
        <v>2240</v>
      </c>
      <c r="D2084">
        <v>70</v>
      </c>
      <c r="E2084" s="80">
        <v>35373</v>
      </c>
    </row>
    <row r="2085" spans="1:5">
      <c r="A2085">
        <v>10345</v>
      </c>
      <c r="B2085" t="s">
        <v>175</v>
      </c>
      <c r="C2085">
        <v>2240</v>
      </c>
      <c r="D2085">
        <v>70</v>
      </c>
      <c r="E2085" s="80">
        <v>35373</v>
      </c>
    </row>
    <row r="2086" spans="1:5">
      <c r="A2086">
        <v>10345</v>
      </c>
      <c r="B2086" t="s">
        <v>176</v>
      </c>
      <c r="C2086">
        <v>2240</v>
      </c>
      <c r="D2086">
        <v>70</v>
      </c>
      <c r="E2086" s="80">
        <v>35373</v>
      </c>
    </row>
    <row r="2087" spans="1:5">
      <c r="A2087">
        <v>10345</v>
      </c>
      <c r="B2087" t="s">
        <v>177</v>
      </c>
      <c r="C2087">
        <v>2240</v>
      </c>
      <c r="D2087">
        <v>70</v>
      </c>
      <c r="E2087" s="80">
        <v>35373</v>
      </c>
    </row>
    <row r="2088" spans="1:5">
      <c r="A2088">
        <v>10345</v>
      </c>
      <c r="B2088" t="s">
        <v>178</v>
      </c>
      <c r="C2088">
        <v>2240</v>
      </c>
      <c r="D2088">
        <v>70</v>
      </c>
      <c r="E2088" s="80">
        <v>35373</v>
      </c>
    </row>
    <row r="2089" spans="1:5">
      <c r="A2089">
        <v>10345</v>
      </c>
      <c r="B2089" t="s">
        <v>179</v>
      </c>
      <c r="C2089">
        <v>2240</v>
      </c>
      <c r="D2089">
        <v>70</v>
      </c>
      <c r="E2089" s="80">
        <v>35373</v>
      </c>
    </row>
    <row r="2090" spans="1:5">
      <c r="A2090">
        <v>10345</v>
      </c>
      <c r="B2090" t="s">
        <v>172</v>
      </c>
      <c r="C2090">
        <v>584</v>
      </c>
      <c r="D2090">
        <v>80</v>
      </c>
      <c r="E2090" s="80">
        <v>35373</v>
      </c>
    </row>
    <row r="2091" spans="1:5">
      <c r="A2091">
        <v>10345</v>
      </c>
      <c r="B2091" t="s">
        <v>173</v>
      </c>
      <c r="C2091">
        <v>584</v>
      </c>
      <c r="D2091">
        <v>80</v>
      </c>
      <c r="E2091" s="80">
        <v>35373</v>
      </c>
    </row>
    <row r="2092" spans="1:5">
      <c r="A2092">
        <v>10345</v>
      </c>
      <c r="B2092" t="s">
        <v>174</v>
      </c>
      <c r="C2092">
        <v>584</v>
      </c>
      <c r="D2092">
        <v>80</v>
      </c>
      <c r="E2092" s="80">
        <v>35373</v>
      </c>
    </row>
    <row r="2093" spans="1:5">
      <c r="A2093">
        <v>10345</v>
      </c>
      <c r="B2093" t="s">
        <v>175</v>
      </c>
      <c r="C2093">
        <v>584</v>
      </c>
      <c r="D2093">
        <v>80</v>
      </c>
      <c r="E2093" s="80">
        <v>35373</v>
      </c>
    </row>
    <row r="2094" spans="1:5">
      <c r="A2094">
        <v>10345</v>
      </c>
      <c r="B2094" t="s">
        <v>176</v>
      </c>
      <c r="C2094">
        <v>584</v>
      </c>
      <c r="D2094">
        <v>80</v>
      </c>
      <c r="E2094" s="80">
        <v>35373</v>
      </c>
    </row>
    <row r="2095" spans="1:5">
      <c r="A2095">
        <v>10345</v>
      </c>
      <c r="B2095" t="s">
        <v>177</v>
      </c>
      <c r="C2095">
        <v>584</v>
      </c>
      <c r="D2095">
        <v>80</v>
      </c>
      <c r="E2095" s="80">
        <v>35373</v>
      </c>
    </row>
    <row r="2096" spans="1:5">
      <c r="A2096">
        <v>10345</v>
      </c>
      <c r="B2096" t="s">
        <v>178</v>
      </c>
      <c r="C2096">
        <v>584</v>
      </c>
      <c r="D2096">
        <v>80</v>
      </c>
      <c r="E2096" s="80">
        <v>35373</v>
      </c>
    </row>
    <row r="2097" spans="1:5">
      <c r="A2097">
        <v>10345</v>
      </c>
      <c r="B2097" t="s">
        <v>179</v>
      </c>
      <c r="C2097">
        <v>584</v>
      </c>
      <c r="D2097">
        <v>80</v>
      </c>
      <c r="E2097" s="80">
        <v>35373</v>
      </c>
    </row>
    <row r="2098" spans="1:5">
      <c r="A2098">
        <v>10345</v>
      </c>
      <c r="B2098" t="s">
        <v>172</v>
      </c>
      <c r="C2098">
        <v>100.8</v>
      </c>
      <c r="D2098">
        <v>9</v>
      </c>
      <c r="E2098" s="80">
        <v>35373</v>
      </c>
    </row>
    <row r="2099" spans="1:5">
      <c r="A2099">
        <v>10345</v>
      </c>
      <c r="B2099" t="s">
        <v>173</v>
      </c>
      <c r="C2099">
        <v>100.8</v>
      </c>
      <c r="D2099">
        <v>9</v>
      </c>
      <c r="E2099" s="80">
        <v>35373</v>
      </c>
    </row>
    <row r="2100" spans="1:5">
      <c r="A2100">
        <v>10345</v>
      </c>
      <c r="B2100" t="s">
        <v>174</v>
      </c>
      <c r="C2100">
        <v>100.8</v>
      </c>
      <c r="D2100">
        <v>9</v>
      </c>
      <c r="E2100" s="80">
        <v>35373</v>
      </c>
    </row>
    <row r="2101" spans="1:5">
      <c r="A2101">
        <v>10345</v>
      </c>
      <c r="B2101" t="s">
        <v>175</v>
      </c>
      <c r="C2101">
        <v>100.8</v>
      </c>
      <c r="D2101">
        <v>9</v>
      </c>
      <c r="E2101" s="80">
        <v>35373</v>
      </c>
    </row>
    <row r="2102" spans="1:5">
      <c r="A2102">
        <v>10345</v>
      </c>
      <c r="B2102" t="s">
        <v>176</v>
      </c>
      <c r="C2102">
        <v>100.8</v>
      </c>
      <c r="D2102">
        <v>9</v>
      </c>
      <c r="E2102" s="80">
        <v>35373</v>
      </c>
    </row>
    <row r="2103" spans="1:5">
      <c r="A2103">
        <v>10345</v>
      </c>
      <c r="B2103" t="s">
        <v>177</v>
      </c>
      <c r="C2103">
        <v>100.8</v>
      </c>
      <c r="D2103">
        <v>9</v>
      </c>
      <c r="E2103" s="80">
        <v>35373</v>
      </c>
    </row>
    <row r="2104" spans="1:5">
      <c r="A2104">
        <v>10345</v>
      </c>
      <c r="B2104" t="s">
        <v>178</v>
      </c>
      <c r="C2104">
        <v>100.8</v>
      </c>
      <c r="D2104">
        <v>9</v>
      </c>
      <c r="E2104" s="80">
        <v>35373</v>
      </c>
    </row>
    <row r="2105" spans="1:5">
      <c r="A2105">
        <v>10345</v>
      </c>
      <c r="B2105" t="s">
        <v>179</v>
      </c>
      <c r="C2105">
        <v>100.8</v>
      </c>
      <c r="D2105">
        <v>9</v>
      </c>
      <c r="E2105" s="80">
        <v>35373</v>
      </c>
    </row>
    <row r="2106" spans="1:5">
      <c r="A2106">
        <v>10346</v>
      </c>
      <c r="B2106" t="s">
        <v>172</v>
      </c>
      <c r="C2106">
        <v>1010.8799983263016</v>
      </c>
      <c r="D2106">
        <v>36</v>
      </c>
      <c r="E2106" s="80">
        <v>35374</v>
      </c>
    </row>
    <row r="2107" spans="1:5">
      <c r="A2107">
        <v>10346</v>
      </c>
      <c r="B2107" t="s">
        <v>173</v>
      </c>
      <c r="C2107">
        <v>1010.8799983263016</v>
      </c>
      <c r="D2107">
        <v>36</v>
      </c>
      <c r="E2107" s="80">
        <v>35374</v>
      </c>
    </row>
    <row r="2108" spans="1:5">
      <c r="A2108">
        <v>10346</v>
      </c>
      <c r="B2108" t="s">
        <v>174</v>
      </c>
      <c r="C2108">
        <v>1010.8799983263016</v>
      </c>
      <c r="D2108">
        <v>36</v>
      </c>
      <c r="E2108" s="80">
        <v>35374</v>
      </c>
    </row>
    <row r="2109" spans="1:5">
      <c r="A2109">
        <v>10346</v>
      </c>
      <c r="B2109" t="s">
        <v>175</v>
      </c>
      <c r="C2109">
        <v>1010.8799983263016</v>
      </c>
      <c r="D2109">
        <v>36</v>
      </c>
      <c r="E2109" s="80">
        <v>35374</v>
      </c>
    </row>
    <row r="2110" spans="1:5">
      <c r="A2110">
        <v>10346</v>
      </c>
      <c r="B2110" t="s">
        <v>176</v>
      </c>
      <c r="C2110">
        <v>1010.8799983263016</v>
      </c>
      <c r="D2110">
        <v>36</v>
      </c>
      <c r="E2110" s="80">
        <v>35374</v>
      </c>
    </row>
    <row r="2111" spans="1:5">
      <c r="A2111">
        <v>10346</v>
      </c>
      <c r="B2111" t="s">
        <v>177</v>
      </c>
      <c r="C2111">
        <v>1010.8799983263016</v>
      </c>
      <c r="D2111">
        <v>36</v>
      </c>
      <c r="E2111" s="80">
        <v>35374</v>
      </c>
    </row>
    <row r="2112" spans="1:5">
      <c r="A2112">
        <v>10346</v>
      </c>
      <c r="B2112" t="s">
        <v>178</v>
      </c>
      <c r="C2112">
        <v>1010.8799983263016</v>
      </c>
      <c r="D2112">
        <v>36</v>
      </c>
      <c r="E2112" s="80">
        <v>35374</v>
      </c>
    </row>
    <row r="2113" spans="1:5">
      <c r="A2113">
        <v>10346</v>
      </c>
      <c r="B2113" t="s">
        <v>179</v>
      </c>
      <c r="C2113">
        <v>1010.8799983263016</v>
      </c>
      <c r="D2113">
        <v>36</v>
      </c>
      <c r="E2113" s="80">
        <v>35374</v>
      </c>
    </row>
    <row r="2114" spans="1:5">
      <c r="A2114">
        <v>10346</v>
      </c>
      <c r="B2114" t="s">
        <v>172</v>
      </c>
      <c r="C2114">
        <v>608</v>
      </c>
      <c r="D2114">
        <v>20</v>
      </c>
      <c r="E2114" s="80">
        <v>35374</v>
      </c>
    </row>
    <row r="2115" spans="1:5">
      <c r="A2115">
        <v>10346</v>
      </c>
      <c r="B2115" t="s">
        <v>173</v>
      </c>
      <c r="C2115">
        <v>608</v>
      </c>
      <c r="D2115">
        <v>20</v>
      </c>
      <c r="E2115" s="80">
        <v>35374</v>
      </c>
    </row>
    <row r="2116" spans="1:5">
      <c r="A2116">
        <v>10346</v>
      </c>
      <c r="B2116" t="s">
        <v>174</v>
      </c>
      <c r="C2116">
        <v>608</v>
      </c>
      <c r="D2116">
        <v>20</v>
      </c>
      <c r="E2116" s="80">
        <v>35374</v>
      </c>
    </row>
    <row r="2117" spans="1:5">
      <c r="A2117">
        <v>10346</v>
      </c>
      <c r="B2117" t="s">
        <v>175</v>
      </c>
      <c r="C2117">
        <v>608</v>
      </c>
      <c r="D2117">
        <v>20</v>
      </c>
      <c r="E2117" s="80">
        <v>35374</v>
      </c>
    </row>
    <row r="2118" spans="1:5">
      <c r="A2118">
        <v>10346</v>
      </c>
      <c r="B2118" t="s">
        <v>176</v>
      </c>
      <c r="C2118">
        <v>608</v>
      </c>
      <c r="D2118">
        <v>20</v>
      </c>
      <c r="E2118" s="80">
        <v>35374</v>
      </c>
    </row>
    <row r="2119" spans="1:5">
      <c r="A2119">
        <v>10346</v>
      </c>
      <c r="B2119" t="s">
        <v>177</v>
      </c>
      <c r="C2119">
        <v>608</v>
      </c>
      <c r="D2119">
        <v>20</v>
      </c>
      <c r="E2119" s="80">
        <v>35374</v>
      </c>
    </row>
    <row r="2120" spans="1:5">
      <c r="A2120">
        <v>10346</v>
      </c>
      <c r="B2120" t="s">
        <v>178</v>
      </c>
      <c r="C2120">
        <v>608</v>
      </c>
      <c r="D2120">
        <v>20</v>
      </c>
      <c r="E2120" s="80">
        <v>35374</v>
      </c>
    </row>
    <row r="2121" spans="1:5">
      <c r="A2121">
        <v>10346</v>
      </c>
      <c r="B2121" t="s">
        <v>179</v>
      </c>
      <c r="C2121">
        <v>608</v>
      </c>
      <c r="D2121">
        <v>20</v>
      </c>
      <c r="E2121" s="80">
        <v>35374</v>
      </c>
    </row>
    <row r="2122" spans="1:5">
      <c r="A2122">
        <v>10347</v>
      </c>
      <c r="B2122" t="s">
        <v>172</v>
      </c>
      <c r="C2122">
        <v>112</v>
      </c>
      <c r="D2122">
        <v>10</v>
      </c>
      <c r="E2122" s="80">
        <v>35375</v>
      </c>
    </row>
    <row r="2123" spans="1:5">
      <c r="A2123">
        <v>10347</v>
      </c>
      <c r="B2123" t="s">
        <v>173</v>
      </c>
      <c r="C2123">
        <v>112</v>
      </c>
      <c r="D2123">
        <v>10</v>
      </c>
      <c r="E2123" s="80">
        <v>35375</v>
      </c>
    </row>
    <row r="2124" spans="1:5">
      <c r="A2124">
        <v>10347</v>
      </c>
      <c r="B2124" t="s">
        <v>174</v>
      </c>
      <c r="C2124">
        <v>112</v>
      </c>
      <c r="D2124">
        <v>10</v>
      </c>
      <c r="E2124" s="80">
        <v>35375</v>
      </c>
    </row>
    <row r="2125" spans="1:5">
      <c r="A2125">
        <v>10347</v>
      </c>
      <c r="B2125" t="s">
        <v>175</v>
      </c>
      <c r="C2125">
        <v>112</v>
      </c>
      <c r="D2125">
        <v>10</v>
      </c>
      <c r="E2125" s="80">
        <v>35375</v>
      </c>
    </row>
    <row r="2126" spans="1:5">
      <c r="A2126">
        <v>10347</v>
      </c>
      <c r="B2126" t="s">
        <v>176</v>
      </c>
      <c r="C2126">
        <v>112</v>
      </c>
      <c r="D2126">
        <v>10</v>
      </c>
      <c r="E2126" s="80">
        <v>35375</v>
      </c>
    </row>
    <row r="2127" spans="1:5">
      <c r="A2127">
        <v>10347</v>
      </c>
      <c r="B2127" t="s">
        <v>177</v>
      </c>
      <c r="C2127">
        <v>112</v>
      </c>
      <c r="D2127">
        <v>10</v>
      </c>
      <c r="E2127" s="80">
        <v>35375</v>
      </c>
    </row>
    <row r="2128" spans="1:5">
      <c r="A2128">
        <v>10347</v>
      </c>
      <c r="B2128" t="s">
        <v>178</v>
      </c>
      <c r="C2128">
        <v>112</v>
      </c>
      <c r="D2128">
        <v>10</v>
      </c>
      <c r="E2128" s="80">
        <v>35375</v>
      </c>
    </row>
    <row r="2129" spans="1:5">
      <c r="A2129">
        <v>10347</v>
      </c>
      <c r="B2129" t="s">
        <v>179</v>
      </c>
      <c r="C2129">
        <v>112</v>
      </c>
      <c r="D2129">
        <v>10</v>
      </c>
      <c r="E2129" s="80">
        <v>35375</v>
      </c>
    </row>
    <row r="2130" spans="1:5">
      <c r="A2130">
        <v>10347</v>
      </c>
      <c r="B2130" t="s">
        <v>172</v>
      </c>
      <c r="C2130">
        <v>611.99999570846558</v>
      </c>
      <c r="D2130">
        <v>50</v>
      </c>
      <c r="E2130" s="80">
        <v>35375</v>
      </c>
    </row>
    <row r="2131" spans="1:5">
      <c r="A2131">
        <v>10347</v>
      </c>
      <c r="B2131" t="s">
        <v>173</v>
      </c>
      <c r="C2131">
        <v>611.99999570846558</v>
      </c>
      <c r="D2131">
        <v>50</v>
      </c>
      <c r="E2131" s="80">
        <v>35375</v>
      </c>
    </row>
    <row r="2132" spans="1:5">
      <c r="A2132">
        <v>10347</v>
      </c>
      <c r="B2132" t="s">
        <v>174</v>
      </c>
      <c r="C2132">
        <v>611.99999570846558</v>
      </c>
      <c r="D2132">
        <v>50</v>
      </c>
      <c r="E2132" s="80">
        <v>35375</v>
      </c>
    </row>
    <row r="2133" spans="1:5">
      <c r="A2133">
        <v>10347</v>
      </c>
      <c r="B2133" t="s">
        <v>175</v>
      </c>
      <c r="C2133">
        <v>611.99999570846558</v>
      </c>
      <c r="D2133">
        <v>50</v>
      </c>
      <c r="E2133" s="80">
        <v>35375</v>
      </c>
    </row>
    <row r="2134" spans="1:5">
      <c r="A2134">
        <v>10347</v>
      </c>
      <c r="B2134" t="s">
        <v>176</v>
      </c>
      <c r="C2134">
        <v>611.99999570846558</v>
      </c>
      <c r="D2134">
        <v>50</v>
      </c>
      <c r="E2134" s="80">
        <v>35375</v>
      </c>
    </row>
    <row r="2135" spans="1:5">
      <c r="A2135">
        <v>10347</v>
      </c>
      <c r="B2135" t="s">
        <v>177</v>
      </c>
      <c r="C2135">
        <v>611.99999570846558</v>
      </c>
      <c r="D2135">
        <v>50</v>
      </c>
      <c r="E2135" s="80">
        <v>35375</v>
      </c>
    </row>
    <row r="2136" spans="1:5">
      <c r="A2136">
        <v>10347</v>
      </c>
      <c r="B2136" t="s">
        <v>178</v>
      </c>
      <c r="C2136">
        <v>611.99999570846558</v>
      </c>
      <c r="D2136">
        <v>50</v>
      </c>
      <c r="E2136" s="80">
        <v>35375</v>
      </c>
    </row>
    <row r="2137" spans="1:5">
      <c r="A2137">
        <v>10347</v>
      </c>
      <c r="B2137" t="s">
        <v>179</v>
      </c>
      <c r="C2137">
        <v>611.99999570846558</v>
      </c>
      <c r="D2137">
        <v>50</v>
      </c>
      <c r="E2137" s="80">
        <v>35375</v>
      </c>
    </row>
    <row r="2138" spans="1:5">
      <c r="A2138">
        <v>10347</v>
      </c>
      <c r="B2138" t="s">
        <v>172</v>
      </c>
      <c r="C2138">
        <v>58.8</v>
      </c>
      <c r="D2138">
        <v>4</v>
      </c>
      <c r="E2138" s="80">
        <v>35375</v>
      </c>
    </row>
    <row r="2139" spans="1:5">
      <c r="A2139">
        <v>10347</v>
      </c>
      <c r="B2139" t="s">
        <v>173</v>
      </c>
      <c r="C2139">
        <v>58.8</v>
      </c>
      <c r="D2139">
        <v>4</v>
      </c>
      <c r="E2139" s="80">
        <v>35375</v>
      </c>
    </row>
    <row r="2140" spans="1:5">
      <c r="A2140">
        <v>10347</v>
      </c>
      <c r="B2140" t="s">
        <v>174</v>
      </c>
      <c r="C2140">
        <v>58.8</v>
      </c>
      <c r="D2140">
        <v>4</v>
      </c>
      <c r="E2140" s="80">
        <v>35375</v>
      </c>
    </row>
    <row r="2141" spans="1:5">
      <c r="A2141">
        <v>10347</v>
      </c>
      <c r="B2141" t="s">
        <v>175</v>
      </c>
      <c r="C2141">
        <v>58.8</v>
      </c>
      <c r="D2141">
        <v>4</v>
      </c>
      <c r="E2141" s="80">
        <v>35375</v>
      </c>
    </row>
    <row r="2142" spans="1:5">
      <c r="A2142">
        <v>10347</v>
      </c>
      <c r="B2142" t="s">
        <v>176</v>
      </c>
      <c r="C2142">
        <v>58.8</v>
      </c>
      <c r="D2142">
        <v>4</v>
      </c>
      <c r="E2142" s="80">
        <v>35375</v>
      </c>
    </row>
    <row r="2143" spans="1:5">
      <c r="A2143">
        <v>10347</v>
      </c>
      <c r="B2143" t="s">
        <v>177</v>
      </c>
      <c r="C2143">
        <v>58.8</v>
      </c>
      <c r="D2143">
        <v>4</v>
      </c>
      <c r="E2143" s="80">
        <v>35375</v>
      </c>
    </row>
    <row r="2144" spans="1:5">
      <c r="A2144">
        <v>10347</v>
      </c>
      <c r="B2144" t="s">
        <v>178</v>
      </c>
      <c r="C2144">
        <v>58.8</v>
      </c>
      <c r="D2144">
        <v>4</v>
      </c>
      <c r="E2144" s="80">
        <v>35375</v>
      </c>
    </row>
    <row r="2145" spans="1:5">
      <c r="A2145">
        <v>10347</v>
      </c>
      <c r="B2145" t="s">
        <v>179</v>
      </c>
      <c r="C2145">
        <v>58.8</v>
      </c>
      <c r="D2145">
        <v>4</v>
      </c>
      <c r="E2145" s="80">
        <v>35375</v>
      </c>
    </row>
    <row r="2146" spans="1:5">
      <c r="A2146">
        <v>10347</v>
      </c>
      <c r="B2146" t="s">
        <v>172</v>
      </c>
      <c r="C2146">
        <v>31.619999778270724</v>
      </c>
      <c r="D2146">
        <v>6</v>
      </c>
      <c r="E2146" s="80">
        <v>35375</v>
      </c>
    </row>
    <row r="2147" spans="1:5">
      <c r="A2147">
        <v>10347</v>
      </c>
      <c r="B2147" t="s">
        <v>173</v>
      </c>
      <c r="C2147">
        <v>31.619999778270724</v>
      </c>
      <c r="D2147">
        <v>6</v>
      </c>
      <c r="E2147" s="80">
        <v>35375</v>
      </c>
    </row>
    <row r="2148" spans="1:5">
      <c r="A2148">
        <v>10347</v>
      </c>
      <c r="B2148" t="s">
        <v>174</v>
      </c>
      <c r="C2148">
        <v>31.619999778270724</v>
      </c>
      <c r="D2148">
        <v>6</v>
      </c>
      <c r="E2148" s="80">
        <v>35375</v>
      </c>
    </row>
    <row r="2149" spans="1:5">
      <c r="A2149">
        <v>10347</v>
      </c>
      <c r="B2149" t="s">
        <v>175</v>
      </c>
      <c r="C2149">
        <v>31.619999778270724</v>
      </c>
      <c r="D2149">
        <v>6</v>
      </c>
      <c r="E2149" s="80">
        <v>35375</v>
      </c>
    </row>
    <row r="2150" spans="1:5">
      <c r="A2150">
        <v>10347</v>
      </c>
      <c r="B2150" t="s">
        <v>176</v>
      </c>
      <c r="C2150">
        <v>31.619999778270724</v>
      </c>
      <c r="D2150">
        <v>6</v>
      </c>
      <c r="E2150" s="80">
        <v>35375</v>
      </c>
    </row>
    <row r="2151" spans="1:5">
      <c r="A2151">
        <v>10347</v>
      </c>
      <c r="B2151" t="s">
        <v>177</v>
      </c>
      <c r="C2151">
        <v>31.619999778270724</v>
      </c>
      <c r="D2151">
        <v>6</v>
      </c>
      <c r="E2151" s="80">
        <v>35375</v>
      </c>
    </row>
    <row r="2152" spans="1:5">
      <c r="A2152">
        <v>10347</v>
      </c>
      <c r="B2152" t="s">
        <v>178</v>
      </c>
      <c r="C2152">
        <v>31.619999778270724</v>
      </c>
      <c r="D2152">
        <v>6</v>
      </c>
      <c r="E2152" s="80">
        <v>35375</v>
      </c>
    </row>
    <row r="2153" spans="1:5">
      <c r="A2153">
        <v>10347</v>
      </c>
      <c r="B2153" t="s">
        <v>179</v>
      </c>
      <c r="C2153">
        <v>31.619999778270724</v>
      </c>
      <c r="D2153">
        <v>6</v>
      </c>
      <c r="E2153" s="80">
        <v>35375</v>
      </c>
    </row>
    <row r="2154" spans="1:5">
      <c r="A2154">
        <v>10348</v>
      </c>
      <c r="B2154" t="s">
        <v>172</v>
      </c>
      <c r="C2154">
        <v>183.59999871253967</v>
      </c>
      <c r="D2154">
        <v>15</v>
      </c>
      <c r="E2154" s="80">
        <v>35376</v>
      </c>
    </row>
    <row r="2155" spans="1:5">
      <c r="A2155">
        <v>10348</v>
      </c>
      <c r="B2155" t="s">
        <v>173</v>
      </c>
      <c r="C2155">
        <v>183.59999871253967</v>
      </c>
      <c r="D2155">
        <v>15</v>
      </c>
      <c r="E2155" s="80">
        <v>35376</v>
      </c>
    </row>
    <row r="2156" spans="1:5">
      <c r="A2156">
        <v>10348</v>
      </c>
      <c r="B2156" t="s">
        <v>174</v>
      </c>
      <c r="C2156">
        <v>183.59999871253967</v>
      </c>
      <c r="D2156">
        <v>15</v>
      </c>
      <c r="E2156" s="80">
        <v>35376</v>
      </c>
    </row>
    <row r="2157" spans="1:5">
      <c r="A2157">
        <v>10348</v>
      </c>
      <c r="B2157" t="s">
        <v>175</v>
      </c>
      <c r="C2157">
        <v>183.59999871253967</v>
      </c>
      <c r="D2157">
        <v>15</v>
      </c>
      <c r="E2157" s="80">
        <v>35376</v>
      </c>
    </row>
    <row r="2158" spans="1:5">
      <c r="A2158">
        <v>10348</v>
      </c>
      <c r="B2158" t="s">
        <v>176</v>
      </c>
      <c r="C2158">
        <v>183.59999871253967</v>
      </c>
      <c r="D2158">
        <v>15</v>
      </c>
      <c r="E2158" s="80">
        <v>35376</v>
      </c>
    </row>
    <row r="2159" spans="1:5">
      <c r="A2159">
        <v>10348</v>
      </c>
      <c r="B2159" t="s">
        <v>177</v>
      </c>
      <c r="C2159">
        <v>183.59999871253967</v>
      </c>
      <c r="D2159">
        <v>15</v>
      </c>
      <c r="E2159" s="80">
        <v>35376</v>
      </c>
    </row>
    <row r="2160" spans="1:5">
      <c r="A2160">
        <v>10348</v>
      </c>
      <c r="B2160" t="s">
        <v>178</v>
      </c>
      <c r="C2160">
        <v>183.59999871253967</v>
      </c>
      <c r="D2160">
        <v>15</v>
      </c>
      <c r="E2160" s="80">
        <v>35376</v>
      </c>
    </row>
    <row r="2161" spans="1:5">
      <c r="A2161">
        <v>10348</v>
      </c>
      <c r="B2161" t="s">
        <v>179</v>
      </c>
      <c r="C2161">
        <v>183.59999871253967</v>
      </c>
      <c r="D2161">
        <v>15</v>
      </c>
      <c r="E2161" s="80">
        <v>35376</v>
      </c>
    </row>
    <row r="2162" spans="1:5">
      <c r="A2162">
        <v>10348</v>
      </c>
      <c r="B2162" t="s">
        <v>172</v>
      </c>
      <c r="C2162">
        <v>180</v>
      </c>
      <c r="D2162">
        <v>25</v>
      </c>
      <c r="E2162" s="80">
        <v>35376</v>
      </c>
    </row>
    <row r="2163" spans="1:5">
      <c r="A2163">
        <v>10348</v>
      </c>
      <c r="B2163" t="s">
        <v>173</v>
      </c>
      <c r="C2163">
        <v>180</v>
      </c>
      <c r="D2163">
        <v>25</v>
      </c>
      <c r="E2163" s="80">
        <v>35376</v>
      </c>
    </row>
    <row r="2164" spans="1:5">
      <c r="A2164">
        <v>10348</v>
      </c>
      <c r="B2164" t="s">
        <v>174</v>
      </c>
      <c r="C2164">
        <v>180</v>
      </c>
      <c r="D2164">
        <v>25</v>
      </c>
      <c r="E2164" s="80">
        <v>35376</v>
      </c>
    </row>
    <row r="2165" spans="1:5">
      <c r="A2165">
        <v>10348</v>
      </c>
      <c r="B2165" t="s">
        <v>175</v>
      </c>
      <c r="C2165">
        <v>180</v>
      </c>
      <c r="D2165">
        <v>25</v>
      </c>
      <c r="E2165" s="80">
        <v>35376</v>
      </c>
    </row>
    <row r="2166" spans="1:5">
      <c r="A2166">
        <v>10348</v>
      </c>
      <c r="B2166" t="s">
        <v>176</v>
      </c>
      <c r="C2166">
        <v>180</v>
      </c>
      <c r="D2166">
        <v>25</v>
      </c>
      <c r="E2166" s="80">
        <v>35376</v>
      </c>
    </row>
    <row r="2167" spans="1:5">
      <c r="A2167">
        <v>10348</v>
      </c>
      <c r="B2167" t="s">
        <v>177</v>
      </c>
      <c r="C2167">
        <v>180</v>
      </c>
      <c r="D2167">
        <v>25</v>
      </c>
      <c r="E2167" s="80">
        <v>35376</v>
      </c>
    </row>
    <row r="2168" spans="1:5">
      <c r="A2168">
        <v>10348</v>
      </c>
      <c r="B2168" t="s">
        <v>178</v>
      </c>
      <c r="C2168">
        <v>180</v>
      </c>
      <c r="D2168">
        <v>25</v>
      </c>
      <c r="E2168" s="80">
        <v>35376</v>
      </c>
    </row>
    <row r="2169" spans="1:5">
      <c r="A2169">
        <v>10348</v>
      </c>
      <c r="B2169" t="s">
        <v>179</v>
      </c>
      <c r="C2169">
        <v>180</v>
      </c>
      <c r="D2169">
        <v>25</v>
      </c>
      <c r="E2169" s="80">
        <v>35376</v>
      </c>
    </row>
    <row r="2170" spans="1:5">
      <c r="A2170">
        <v>10349</v>
      </c>
      <c r="B2170" t="s">
        <v>172</v>
      </c>
      <c r="C2170">
        <v>141.6</v>
      </c>
      <c r="D2170">
        <v>24</v>
      </c>
      <c r="E2170" s="80">
        <v>35377</v>
      </c>
    </row>
    <row r="2171" spans="1:5">
      <c r="A2171">
        <v>10349</v>
      </c>
      <c r="B2171" t="s">
        <v>173</v>
      </c>
      <c r="C2171">
        <v>141.6</v>
      </c>
      <c r="D2171">
        <v>24</v>
      </c>
      <c r="E2171" s="80">
        <v>35377</v>
      </c>
    </row>
    <row r="2172" spans="1:5">
      <c r="A2172">
        <v>10349</v>
      </c>
      <c r="B2172" t="s">
        <v>174</v>
      </c>
      <c r="C2172">
        <v>141.6</v>
      </c>
      <c r="D2172">
        <v>24</v>
      </c>
      <c r="E2172" s="80">
        <v>35377</v>
      </c>
    </row>
    <row r="2173" spans="1:5">
      <c r="A2173">
        <v>10349</v>
      </c>
      <c r="B2173" t="s">
        <v>175</v>
      </c>
      <c r="C2173">
        <v>141.6</v>
      </c>
      <c r="D2173">
        <v>24</v>
      </c>
      <c r="E2173" s="80">
        <v>35377</v>
      </c>
    </row>
    <row r="2174" spans="1:5">
      <c r="A2174">
        <v>10349</v>
      </c>
      <c r="B2174" t="s">
        <v>176</v>
      </c>
      <c r="C2174">
        <v>141.6</v>
      </c>
      <c r="D2174">
        <v>24</v>
      </c>
      <c r="E2174" s="80">
        <v>35377</v>
      </c>
    </row>
    <row r="2175" spans="1:5">
      <c r="A2175">
        <v>10349</v>
      </c>
      <c r="B2175" t="s">
        <v>177</v>
      </c>
      <c r="C2175">
        <v>141.6</v>
      </c>
      <c r="D2175">
        <v>24</v>
      </c>
      <c r="E2175" s="80">
        <v>35377</v>
      </c>
    </row>
    <row r="2176" spans="1:5">
      <c r="A2176">
        <v>10349</v>
      </c>
      <c r="B2176" t="s">
        <v>178</v>
      </c>
      <c r="C2176">
        <v>141.6</v>
      </c>
      <c r="D2176">
        <v>24</v>
      </c>
      <c r="E2176" s="80">
        <v>35377</v>
      </c>
    </row>
    <row r="2177" spans="1:5">
      <c r="A2177">
        <v>10349</v>
      </c>
      <c r="B2177" t="s">
        <v>179</v>
      </c>
      <c r="C2177">
        <v>141.6</v>
      </c>
      <c r="D2177">
        <v>24</v>
      </c>
      <c r="E2177" s="80">
        <v>35377</v>
      </c>
    </row>
    <row r="2178" spans="1:5">
      <c r="A2178">
        <v>10350</v>
      </c>
      <c r="B2178" t="s">
        <v>172</v>
      </c>
      <c r="C2178">
        <v>175.49999970942736</v>
      </c>
      <c r="D2178">
        <v>15</v>
      </c>
      <c r="E2178" s="80">
        <v>35380</v>
      </c>
    </row>
    <row r="2179" spans="1:5">
      <c r="A2179">
        <v>10350</v>
      </c>
      <c r="B2179" t="s">
        <v>173</v>
      </c>
      <c r="C2179">
        <v>175.49999970942736</v>
      </c>
      <c r="D2179">
        <v>15</v>
      </c>
      <c r="E2179" s="80">
        <v>35380</v>
      </c>
    </row>
    <row r="2180" spans="1:5">
      <c r="A2180">
        <v>10350</v>
      </c>
      <c r="B2180" t="s">
        <v>174</v>
      </c>
      <c r="C2180">
        <v>175.49999970942736</v>
      </c>
      <c r="D2180">
        <v>15</v>
      </c>
      <c r="E2180" s="80">
        <v>35380</v>
      </c>
    </row>
    <row r="2181" spans="1:5">
      <c r="A2181">
        <v>10350</v>
      </c>
      <c r="B2181" t="s">
        <v>175</v>
      </c>
      <c r="C2181">
        <v>175.49999970942736</v>
      </c>
      <c r="D2181">
        <v>15</v>
      </c>
      <c r="E2181" s="80">
        <v>35380</v>
      </c>
    </row>
    <row r="2182" spans="1:5">
      <c r="A2182">
        <v>10350</v>
      </c>
      <c r="B2182" t="s">
        <v>176</v>
      </c>
      <c r="C2182">
        <v>175.49999970942736</v>
      </c>
      <c r="D2182">
        <v>15</v>
      </c>
      <c r="E2182" s="80">
        <v>35380</v>
      </c>
    </row>
    <row r="2183" spans="1:5">
      <c r="A2183">
        <v>10350</v>
      </c>
      <c r="B2183" t="s">
        <v>177</v>
      </c>
      <c r="C2183">
        <v>175.49999970942736</v>
      </c>
      <c r="D2183">
        <v>15</v>
      </c>
      <c r="E2183" s="80">
        <v>35380</v>
      </c>
    </row>
    <row r="2184" spans="1:5">
      <c r="A2184">
        <v>10350</v>
      </c>
      <c r="B2184" t="s">
        <v>178</v>
      </c>
      <c r="C2184">
        <v>175.49999970942736</v>
      </c>
      <c r="D2184">
        <v>15</v>
      </c>
      <c r="E2184" s="80">
        <v>35380</v>
      </c>
    </row>
    <row r="2185" spans="1:5">
      <c r="A2185">
        <v>10350</v>
      </c>
      <c r="B2185" t="s">
        <v>179</v>
      </c>
      <c r="C2185">
        <v>175.49999970942736</v>
      </c>
      <c r="D2185">
        <v>15</v>
      </c>
      <c r="E2185" s="80">
        <v>35380</v>
      </c>
    </row>
    <row r="2186" spans="1:5">
      <c r="A2186">
        <v>10350</v>
      </c>
      <c r="B2186" t="s">
        <v>172</v>
      </c>
      <c r="C2186">
        <v>466.5599992275238</v>
      </c>
      <c r="D2186">
        <v>18</v>
      </c>
      <c r="E2186" s="80">
        <v>35380</v>
      </c>
    </row>
    <row r="2187" spans="1:5">
      <c r="A2187">
        <v>10350</v>
      </c>
      <c r="B2187" t="s">
        <v>173</v>
      </c>
      <c r="C2187">
        <v>466.5599992275238</v>
      </c>
      <c r="D2187">
        <v>18</v>
      </c>
      <c r="E2187" s="80">
        <v>35380</v>
      </c>
    </row>
    <row r="2188" spans="1:5">
      <c r="A2188">
        <v>10350</v>
      </c>
      <c r="B2188" t="s">
        <v>174</v>
      </c>
      <c r="C2188">
        <v>466.5599992275238</v>
      </c>
      <c r="D2188">
        <v>18</v>
      </c>
      <c r="E2188" s="80">
        <v>35380</v>
      </c>
    </row>
    <row r="2189" spans="1:5">
      <c r="A2189">
        <v>10350</v>
      </c>
      <c r="B2189" t="s">
        <v>175</v>
      </c>
      <c r="C2189">
        <v>466.5599992275238</v>
      </c>
      <c r="D2189">
        <v>18</v>
      </c>
      <c r="E2189" s="80">
        <v>35380</v>
      </c>
    </row>
    <row r="2190" spans="1:5">
      <c r="A2190">
        <v>10350</v>
      </c>
      <c r="B2190" t="s">
        <v>176</v>
      </c>
      <c r="C2190">
        <v>466.5599992275238</v>
      </c>
      <c r="D2190">
        <v>18</v>
      </c>
      <c r="E2190" s="80">
        <v>35380</v>
      </c>
    </row>
    <row r="2191" spans="1:5">
      <c r="A2191">
        <v>10350</v>
      </c>
      <c r="B2191" t="s">
        <v>177</v>
      </c>
      <c r="C2191">
        <v>466.5599992275238</v>
      </c>
      <c r="D2191">
        <v>18</v>
      </c>
      <c r="E2191" s="80">
        <v>35380</v>
      </c>
    </row>
    <row r="2192" spans="1:5">
      <c r="A2192">
        <v>10350</v>
      </c>
      <c r="B2192" t="s">
        <v>178</v>
      </c>
      <c r="C2192">
        <v>466.5599992275238</v>
      </c>
      <c r="D2192">
        <v>18</v>
      </c>
      <c r="E2192" s="80">
        <v>35380</v>
      </c>
    </row>
    <row r="2193" spans="1:5">
      <c r="A2193">
        <v>10350</v>
      </c>
      <c r="B2193" t="s">
        <v>179</v>
      </c>
      <c r="C2193">
        <v>466.5599992275238</v>
      </c>
      <c r="D2193">
        <v>18</v>
      </c>
      <c r="E2193" s="80">
        <v>35380</v>
      </c>
    </row>
    <row r="2194" spans="1:5">
      <c r="A2194">
        <v>10351</v>
      </c>
      <c r="B2194" t="s">
        <v>172</v>
      </c>
      <c r="C2194">
        <v>4005.1999968588352</v>
      </c>
      <c r="D2194">
        <v>20</v>
      </c>
      <c r="E2194" s="80">
        <v>35380</v>
      </c>
    </row>
    <row r="2195" spans="1:5">
      <c r="A2195">
        <v>10351</v>
      </c>
      <c r="B2195" t="s">
        <v>173</v>
      </c>
      <c r="C2195">
        <v>4005.1999968588352</v>
      </c>
      <c r="D2195">
        <v>20</v>
      </c>
      <c r="E2195" s="80">
        <v>35380</v>
      </c>
    </row>
    <row r="2196" spans="1:5">
      <c r="A2196">
        <v>10351</v>
      </c>
      <c r="B2196" t="s">
        <v>174</v>
      </c>
      <c r="C2196">
        <v>4005.1999968588352</v>
      </c>
      <c r="D2196">
        <v>20</v>
      </c>
      <c r="E2196" s="80">
        <v>35380</v>
      </c>
    </row>
    <row r="2197" spans="1:5">
      <c r="A2197">
        <v>10351</v>
      </c>
      <c r="B2197" t="s">
        <v>175</v>
      </c>
      <c r="C2197">
        <v>4005.1999968588352</v>
      </c>
      <c r="D2197">
        <v>20</v>
      </c>
      <c r="E2197" s="80">
        <v>35380</v>
      </c>
    </row>
    <row r="2198" spans="1:5">
      <c r="A2198">
        <v>10351</v>
      </c>
      <c r="B2198" t="s">
        <v>176</v>
      </c>
      <c r="C2198">
        <v>4005.1999968588352</v>
      </c>
      <c r="D2198">
        <v>20</v>
      </c>
      <c r="E2198" s="80">
        <v>35380</v>
      </c>
    </row>
    <row r="2199" spans="1:5">
      <c r="A2199">
        <v>10351</v>
      </c>
      <c r="B2199" t="s">
        <v>177</v>
      </c>
      <c r="C2199">
        <v>4005.1999968588352</v>
      </c>
      <c r="D2199">
        <v>20</v>
      </c>
      <c r="E2199" s="80">
        <v>35380</v>
      </c>
    </row>
    <row r="2200" spans="1:5">
      <c r="A2200">
        <v>10351</v>
      </c>
      <c r="B2200" t="s">
        <v>178</v>
      </c>
      <c r="C2200">
        <v>4005.1999968588352</v>
      </c>
      <c r="D2200">
        <v>20</v>
      </c>
      <c r="E2200" s="80">
        <v>35380</v>
      </c>
    </row>
    <row r="2201" spans="1:5">
      <c r="A2201">
        <v>10351</v>
      </c>
      <c r="B2201" t="s">
        <v>179</v>
      </c>
      <c r="C2201">
        <v>4005.1999968588352</v>
      </c>
      <c r="D2201">
        <v>20</v>
      </c>
      <c r="E2201" s="80">
        <v>35380</v>
      </c>
    </row>
    <row r="2202" spans="1:5">
      <c r="A2202">
        <v>10351</v>
      </c>
      <c r="B2202" t="s">
        <v>172</v>
      </c>
      <c r="C2202">
        <v>100.1</v>
      </c>
      <c r="D2202">
        <v>13</v>
      </c>
      <c r="E2202" s="80">
        <v>35380</v>
      </c>
    </row>
    <row r="2203" spans="1:5">
      <c r="A2203">
        <v>10351</v>
      </c>
      <c r="B2203" t="s">
        <v>173</v>
      </c>
      <c r="C2203">
        <v>100.1</v>
      </c>
      <c r="D2203">
        <v>13</v>
      </c>
      <c r="E2203" s="80">
        <v>35380</v>
      </c>
    </row>
    <row r="2204" spans="1:5">
      <c r="A2204">
        <v>10351</v>
      </c>
      <c r="B2204" t="s">
        <v>174</v>
      </c>
      <c r="C2204">
        <v>100.1</v>
      </c>
      <c r="D2204">
        <v>13</v>
      </c>
      <c r="E2204" s="80">
        <v>35380</v>
      </c>
    </row>
    <row r="2205" spans="1:5">
      <c r="A2205">
        <v>10351</v>
      </c>
      <c r="B2205" t="s">
        <v>175</v>
      </c>
      <c r="C2205">
        <v>100.1</v>
      </c>
      <c r="D2205">
        <v>13</v>
      </c>
      <c r="E2205" s="80">
        <v>35380</v>
      </c>
    </row>
    <row r="2206" spans="1:5">
      <c r="A2206">
        <v>10351</v>
      </c>
      <c r="B2206" t="s">
        <v>176</v>
      </c>
      <c r="C2206">
        <v>100.1</v>
      </c>
      <c r="D2206">
        <v>13</v>
      </c>
      <c r="E2206" s="80">
        <v>35380</v>
      </c>
    </row>
    <row r="2207" spans="1:5">
      <c r="A2207">
        <v>10351</v>
      </c>
      <c r="B2207" t="s">
        <v>177</v>
      </c>
      <c r="C2207">
        <v>100.1</v>
      </c>
      <c r="D2207">
        <v>13</v>
      </c>
      <c r="E2207" s="80">
        <v>35380</v>
      </c>
    </row>
    <row r="2208" spans="1:5">
      <c r="A2208">
        <v>10351</v>
      </c>
      <c r="B2208" t="s">
        <v>178</v>
      </c>
      <c r="C2208">
        <v>100.1</v>
      </c>
      <c r="D2208">
        <v>13</v>
      </c>
      <c r="E2208" s="80">
        <v>35380</v>
      </c>
    </row>
    <row r="2209" spans="1:5">
      <c r="A2209">
        <v>10351</v>
      </c>
      <c r="B2209" t="s">
        <v>179</v>
      </c>
      <c r="C2209">
        <v>100.1</v>
      </c>
      <c r="D2209">
        <v>13</v>
      </c>
      <c r="E2209" s="80">
        <v>35380</v>
      </c>
    </row>
    <row r="2210" spans="1:5">
      <c r="A2210">
        <v>10351</v>
      </c>
      <c r="B2210" t="s">
        <v>172</v>
      </c>
      <c r="C2210">
        <v>1133.8249991107732</v>
      </c>
      <c r="D2210">
        <v>77</v>
      </c>
      <c r="E2210" s="80">
        <v>35380</v>
      </c>
    </row>
    <row r="2211" spans="1:5">
      <c r="A2211">
        <v>10351</v>
      </c>
      <c r="B2211" t="s">
        <v>173</v>
      </c>
      <c r="C2211">
        <v>1133.8249991107732</v>
      </c>
      <c r="D2211">
        <v>77</v>
      </c>
      <c r="E2211" s="80">
        <v>35380</v>
      </c>
    </row>
    <row r="2212" spans="1:5">
      <c r="A2212">
        <v>10351</v>
      </c>
      <c r="B2212" t="s">
        <v>174</v>
      </c>
      <c r="C2212">
        <v>1133.8249991107732</v>
      </c>
      <c r="D2212">
        <v>77</v>
      </c>
      <c r="E2212" s="80">
        <v>35380</v>
      </c>
    </row>
    <row r="2213" spans="1:5">
      <c r="A2213">
        <v>10351</v>
      </c>
      <c r="B2213" t="s">
        <v>175</v>
      </c>
      <c r="C2213">
        <v>1133.8249991107732</v>
      </c>
      <c r="D2213">
        <v>77</v>
      </c>
      <c r="E2213" s="80">
        <v>35380</v>
      </c>
    </row>
    <row r="2214" spans="1:5">
      <c r="A2214">
        <v>10351</v>
      </c>
      <c r="B2214" t="s">
        <v>176</v>
      </c>
      <c r="C2214">
        <v>1133.8249991107732</v>
      </c>
      <c r="D2214">
        <v>77</v>
      </c>
      <c r="E2214" s="80">
        <v>35380</v>
      </c>
    </row>
    <row r="2215" spans="1:5">
      <c r="A2215">
        <v>10351</v>
      </c>
      <c r="B2215" t="s">
        <v>177</v>
      </c>
      <c r="C2215">
        <v>1133.8249991107732</v>
      </c>
      <c r="D2215">
        <v>77</v>
      </c>
      <c r="E2215" s="80">
        <v>35380</v>
      </c>
    </row>
    <row r="2216" spans="1:5">
      <c r="A2216">
        <v>10351</v>
      </c>
      <c r="B2216" t="s">
        <v>178</v>
      </c>
      <c r="C2216">
        <v>1133.8249991107732</v>
      </c>
      <c r="D2216">
        <v>77</v>
      </c>
      <c r="E2216" s="80">
        <v>35380</v>
      </c>
    </row>
    <row r="2217" spans="1:5">
      <c r="A2217">
        <v>10351</v>
      </c>
      <c r="B2217" t="s">
        <v>179</v>
      </c>
      <c r="C2217">
        <v>1133.8249991107732</v>
      </c>
      <c r="D2217">
        <v>77</v>
      </c>
      <c r="E2217" s="80">
        <v>35380</v>
      </c>
    </row>
    <row r="2218" spans="1:5">
      <c r="A2218">
        <v>10351</v>
      </c>
      <c r="B2218" t="s">
        <v>172</v>
      </c>
      <c r="C2218">
        <v>159.59999987483025</v>
      </c>
      <c r="D2218">
        <v>10</v>
      </c>
      <c r="E2218" s="80">
        <v>35380</v>
      </c>
    </row>
    <row r="2219" spans="1:5">
      <c r="A2219">
        <v>10351</v>
      </c>
      <c r="B2219" t="s">
        <v>173</v>
      </c>
      <c r="C2219">
        <v>159.59999987483025</v>
      </c>
      <c r="D2219">
        <v>10</v>
      </c>
      <c r="E2219" s="80">
        <v>35380</v>
      </c>
    </row>
    <row r="2220" spans="1:5">
      <c r="A2220">
        <v>10351</v>
      </c>
      <c r="B2220" t="s">
        <v>174</v>
      </c>
      <c r="C2220">
        <v>159.59999987483025</v>
      </c>
      <c r="D2220">
        <v>10</v>
      </c>
      <c r="E2220" s="80">
        <v>35380</v>
      </c>
    </row>
    <row r="2221" spans="1:5">
      <c r="A2221">
        <v>10351</v>
      </c>
      <c r="B2221" t="s">
        <v>175</v>
      </c>
      <c r="C2221">
        <v>159.59999987483025</v>
      </c>
      <c r="D2221">
        <v>10</v>
      </c>
      <c r="E2221" s="80">
        <v>35380</v>
      </c>
    </row>
    <row r="2222" spans="1:5">
      <c r="A2222">
        <v>10351</v>
      </c>
      <c r="B2222" t="s">
        <v>176</v>
      </c>
      <c r="C2222">
        <v>159.59999987483025</v>
      </c>
      <c r="D2222">
        <v>10</v>
      </c>
      <c r="E2222" s="80">
        <v>35380</v>
      </c>
    </row>
    <row r="2223" spans="1:5">
      <c r="A2223">
        <v>10351</v>
      </c>
      <c r="B2223" t="s">
        <v>177</v>
      </c>
      <c r="C2223">
        <v>159.59999987483025</v>
      </c>
      <c r="D2223">
        <v>10</v>
      </c>
      <c r="E2223" s="80">
        <v>35380</v>
      </c>
    </row>
    <row r="2224" spans="1:5">
      <c r="A2224">
        <v>10351</v>
      </c>
      <c r="B2224" t="s">
        <v>178</v>
      </c>
      <c r="C2224">
        <v>159.59999987483025</v>
      </c>
      <c r="D2224">
        <v>10</v>
      </c>
      <c r="E2224" s="80">
        <v>35380</v>
      </c>
    </row>
    <row r="2225" spans="1:5">
      <c r="A2225">
        <v>10351</v>
      </c>
      <c r="B2225" t="s">
        <v>179</v>
      </c>
      <c r="C2225">
        <v>159.59999987483025</v>
      </c>
      <c r="D2225">
        <v>10</v>
      </c>
      <c r="E2225" s="80">
        <v>35380</v>
      </c>
    </row>
    <row r="2226" spans="1:5">
      <c r="A2226">
        <v>10352</v>
      </c>
      <c r="B2226" t="s">
        <v>172</v>
      </c>
      <c r="C2226">
        <v>36</v>
      </c>
      <c r="D2226">
        <v>10</v>
      </c>
      <c r="E2226" s="80">
        <v>35381</v>
      </c>
    </row>
    <row r="2227" spans="1:5">
      <c r="A2227">
        <v>10352</v>
      </c>
      <c r="B2227" t="s">
        <v>173</v>
      </c>
      <c r="C2227">
        <v>36</v>
      </c>
      <c r="D2227">
        <v>10</v>
      </c>
      <c r="E2227" s="80">
        <v>35381</v>
      </c>
    </row>
    <row r="2228" spans="1:5">
      <c r="A2228">
        <v>10352</v>
      </c>
      <c r="B2228" t="s">
        <v>174</v>
      </c>
      <c r="C2228">
        <v>36</v>
      </c>
      <c r="D2228">
        <v>10</v>
      </c>
      <c r="E2228" s="80">
        <v>35381</v>
      </c>
    </row>
    <row r="2229" spans="1:5">
      <c r="A2229">
        <v>10352</v>
      </c>
      <c r="B2229" t="s">
        <v>175</v>
      </c>
      <c r="C2229">
        <v>36</v>
      </c>
      <c r="D2229">
        <v>10</v>
      </c>
      <c r="E2229" s="80">
        <v>35381</v>
      </c>
    </row>
    <row r="2230" spans="1:5">
      <c r="A2230">
        <v>10352</v>
      </c>
      <c r="B2230" t="s">
        <v>176</v>
      </c>
      <c r="C2230">
        <v>36</v>
      </c>
      <c r="D2230">
        <v>10</v>
      </c>
      <c r="E2230" s="80">
        <v>35381</v>
      </c>
    </row>
    <row r="2231" spans="1:5">
      <c r="A2231">
        <v>10352</v>
      </c>
      <c r="B2231" t="s">
        <v>177</v>
      </c>
      <c r="C2231">
        <v>36</v>
      </c>
      <c r="D2231">
        <v>10</v>
      </c>
      <c r="E2231" s="80">
        <v>35381</v>
      </c>
    </row>
    <row r="2232" spans="1:5">
      <c r="A2232">
        <v>10352</v>
      </c>
      <c r="B2232" t="s">
        <v>178</v>
      </c>
      <c r="C2232">
        <v>36</v>
      </c>
      <c r="D2232">
        <v>10</v>
      </c>
      <c r="E2232" s="80">
        <v>35381</v>
      </c>
    </row>
    <row r="2233" spans="1:5">
      <c r="A2233">
        <v>10352</v>
      </c>
      <c r="B2233" t="s">
        <v>179</v>
      </c>
      <c r="C2233">
        <v>36</v>
      </c>
      <c r="D2233">
        <v>10</v>
      </c>
      <c r="E2233" s="80">
        <v>35381</v>
      </c>
    </row>
    <row r="2234" spans="1:5">
      <c r="A2234">
        <v>10352</v>
      </c>
      <c r="B2234" t="s">
        <v>172</v>
      </c>
      <c r="C2234">
        <v>100.29999929666519</v>
      </c>
      <c r="D2234">
        <v>20</v>
      </c>
      <c r="E2234" s="80">
        <v>35381</v>
      </c>
    </row>
    <row r="2235" spans="1:5">
      <c r="A2235">
        <v>10352</v>
      </c>
      <c r="B2235" t="s">
        <v>173</v>
      </c>
      <c r="C2235">
        <v>100.29999929666519</v>
      </c>
      <c r="D2235">
        <v>20</v>
      </c>
      <c r="E2235" s="80">
        <v>35381</v>
      </c>
    </row>
    <row r="2236" spans="1:5">
      <c r="A2236">
        <v>10352</v>
      </c>
      <c r="B2236" t="s">
        <v>174</v>
      </c>
      <c r="C2236">
        <v>100.29999929666519</v>
      </c>
      <c r="D2236">
        <v>20</v>
      </c>
      <c r="E2236" s="80">
        <v>35381</v>
      </c>
    </row>
    <row r="2237" spans="1:5">
      <c r="A2237">
        <v>10352</v>
      </c>
      <c r="B2237" t="s">
        <v>175</v>
      </c>
      <c r="C2237">
        <v>100.29999929666519</v>
      </c>
      <c r="D2237">
        <v>20</v>
      </c>
      <c r="E2237" s="80">
        <v>35381</v>
      </c>
    </row>
    <row r="2238" spans="1:5">
      <c r="A2238">
        <v>10352</v>
      </c>
      <c r="B2238" t="s">
        <v>176</v>
      </c>
      <c r="C2238">
        <v>100.29999929666519</v>
      </c>
      <c r="D2238">
        <v>20</v>
      </c>
      <c r="E2238" s="80">
        <v>35381</v>
      </c>
    </row>
    <row r="2239" spans="1:5">
      <c r="A2239">
        <v>10352</v>
      </c>
      <c r="B2239" t="s">
        <v>177</v>
      </c>
      <c r="C2239">
        <v>100.29999929666519</v>
      </c>
      <c r="D2239">
        <v>20</v>
      </c>
      <c r="E2239" s="80">
        <v>35381</v>
      </c>
    </row>
    <row r="2240" spans="1:5">
      <c r="A2240">
        <v>10352</v>
      </c>
      <c r="B2240" t="s">
        <v>178</v>
      </c>
      <c r="C2240">
        <v>100.29999929666519</v>
      </c>
      <c r="D2240">
        <v>20</v>
      </c>
      <c r="E2240" s="80">
        <v>35381</v>
      </c>
    </row>
    <row r="2241" spans="1:5">
      <c r="A2241">
        <v>10352</v>
      </c>
      <c r="B2241" t="s">
        <v>179</v>
      </c>
      <c r="C2241">
        <v>100.29999929666519</v>
      </c>
      <c r="D2241">
        <v>20</v>
      </c>
      <c r="E2241" s="80">
        <v>35381</v>
      </c>
    </row>
    <row r="2242" spans="1:5">
      <c r="A2242">
        <v>10353</v>
      </c>
      <c r="B2242" t="s">
        <v>172</v>
      </c>
      <c r="C2242">
        <v>161.27999939918519</v>
      </c>
      <c r="D2242">
        <v>12</v>
      </c>
      <c r="E2242" s="80">
        <v>35382</v>
      </c>
    </row>
    <row r="2243" spans="1:5">
      <c r="A2243">
        <v>10353</v>
      </c>
      <c r="B2243" t="s">
        <v>173</v>
      </c>
      <c r="C2243">
        <v>161.27999939918519</v>
      </c>
      <c r="D2243">
        <v>12</v>
      </c>
      <c r="E2243" s="80">
        <v>35382</v>
      </c>
    </row>
    <row r="2244" spans="1:5">
      <c r="A2244">
        <v>10353</v>
      </c>
      <c r="B2244" t="s">
        <v>174</v>
      </c>
      <c r="C2244">
        <v>161.27999939918519</v>
      </c>
      <c r="D2244">
        <v>12</v>
      </c>
      <c r="E2244" s="80">
        <v>35382</v>
      </c>
    </row>
    <row r="2245" spans="1:5">
      <c r="A2245">
        <v>10353</v>
      </c>
      <c r="B2245" t="s">
        <v>175</v>
      </c>
      <c r="C2245">
        <v>161.27999939918519</v>
      </c>
      <c r="D2245">
        <v>12</v>
      </c>
      <c r="E2245" s="80">
        <v>35382</v>
      </c>
    </row>
    <row r="2246" spans="1:5">
      <c r="A2246">
        <v>10353</v>
      </c>
      <c r="B2246" t="s">
        <v>176</v>
      </c>
      <c r="C2246">
        <v>161.27999939918519</v>
      </c>
      <c r="D2246">
        <v>12</v>
      </c>
      <c r="E2246" s="80">
        <v>35382</v>
      </c>
    </row>
    <row r="2247" spans="1:5">
      <c r="A2247">
        <v>10353</v>
      </c>
      <c r="B2247" t="s">
        <v>177</v>
      </c>
      <c r="C2247">
        <v>161.27999939918519</v>
      </c>
      <c r="D2247">
        <v>12</v>
      </c>
      <c r="E2247" s="80">
        <v>35382</v>
      </c>
    </row>
    <row r="2248" spans="1:5">
      <c r="A2248">
        <v>10353</v>
      </c>
      <c r="B2248" t="s">
        <v>178</v>
      </c>
      <c r="C2248">
        <v>161.27999939918519</v>
      </c>
      <c r="D2248">
        <v>12</v>
      </c>
      <c r="E2248" s="80">
        <v>35382</v>
      </c>
    </row>
    <row r="2249" spans="1:5">
      <c r="A2249">
        <v>10353</v>
      </c>
      <c r="B2249" t="s">
        <v>179</v>
      </c>
      <c r="C2249">
        <v>161.27999939918519</v>
      </c>
      <c r="D2249">
        <v>12</v>
      </c>
      <c r="E2249" s="80">
        <v>35382</v>
      </c>
    </row>
    <row r="2250" spans="1:5">
      <c r="A2250">
        <v>10353</v>
      </c>
      <c r="B2250" t="s">
        <v>172</v>
      </c>
      <c r="C2250">
        <v>8431.9999685883522</v>
      </c>
      <c r="D2250">
        <v>50</v>
      </c>
      <c r="E2250" s="80">
        <v>35382</v>
      </c>
    </row>
    <row r="2251" spans="1:5">
      <c r="A2251">
        <v>10353</v>
      </c>
      <c r="B2251" t="s">
        <v>173</v>
      </c>
      <c r="C2251">
        <v>8431.9999685883522</v>
      </c>
      <c r="D2251">
        <v>50</v>
      </c>
      <c r="E2251" s="80">
        <v>35382</v>
      </c>
    </row>
    <row r="2252" spans="1:5">
      <c r="A2252">
        <v>10353</v>
      </c>
      <c r="B2252" t="s">
        <v>174</v>
      </c>
      <c r="C2252">
        <v>8431.9999685883522</v>
      </c>
      <c r="D2252">
        <v>50</v>
      </c>
      <c r="E2252" s="80">
        <v>35382</v>
      </c>
    </row>
    <row r="2253" spans="1:5">
      <c r="A2253">
        <v>10353</v>
      </c>
      <c r="B2253" t="s">
        <v>175</v>
      </c>
      <c r="C2253">
        <v>8431.9999685883522</v>
      </c>
      <c r="D2253">
        <v>50</v>
      </c>
      <c r="E2253" s="80">
        <v>35382</v>
      </c>
    </row>
    <row r="2254" spans="1:5">
      <c r="A2254">
        <v>10353</v>
      </c>
      <c r="B2254" t="s">
        <v>176</v>
      </c>
      <c r="C2254">
        <v>8431.9999685883522</v>
      </c>
      <c r="D2254">
        <v>50</v>
      </c>
      <c r="E2254" s="80">
        <v>35382</v>
      </c>
    </row>
    <row r="2255" spans="1:5">
      <c r="A2255">
        <v>10353</v>
      </c>
      <c r="B2255" t="s">
        <v>177</v>
      </c>
      <c r="C2255">
        <v>8431.9999685883522</v>
      </c>
      <c r="D2255">
        <v>50</v>
      </c>
      <c r="E2255" s="80">
        <v>35382</v>
      </c>
    </row>
    <row r="2256" spans="1:5">
      <c r="A2256">
        <v>10353</v>
      </c>
      <c r="B2256" t="s">
        <v>178</v>
      </c>
      <c r="C2256">
        <v>8431.9999685883522</v>
      </c>
      <c r="D2256">
        <v>50</v>
      </c>
      <c r="E2256" s="80">
        <v>35382</v>
      </c>
    </row>
    <row r="2257" spans="1:5">
      <c r="A2257">
        <v>10353</v>
      </c>
      <c r="B2257" t="s">
        <v>179</v>
      </c>
      <c r="C2257">
        <v>8431.9999685883522</v>
      </c>
      <c r="D2257">
        <v>50</v>
      </c>
      <c r="E2257" s="80">
        <v>35382</v>
      </c>
    </row>
    <row r="2258" spans="1:5">
      <c r="A2258">
        <v>10354</v>
      </c>
      <c r="B2258" t="s">
        <v>172</v>
      </c>
      <c r="C2258">
        <v>172.8</v>
      </c>
      <c r="D2258">
        <v>12</v>
      </c>
      <c r="E2258" s="80">
        <v>35383</v>
      </c>
    </row>
    <row r="2259" spans="1:5">
      <c r="A2259">
        <v>10354</v>
      </c>
      <c r="B2259" t="s">
        <v>173</v>
      </c>
      <c r="C2259">
        <v>172.8</v>
      </c>
      <c r="D2259">
        <v>12</v>
      </c>
      <c r="E2259" s="80">
        <v>35383</v>
      </c>
    </row>
    <row r="2260" spans="1:5">
      <c r="A2260">
        <v>10354</v>
      </c>
      <c r="B2260" t="s">
        <v>174</v>
      </c>
      <c r="C2260">
        <v>172.8</v>
      </c>
      <c r="D2260">
        <v>12</v>
      </c>
      <c r="E2260" s="80">
        <v>35383</v>
      </c>
    </row>
    <row r="2261" spans="1:5">
      <c r="A2261">
        <v>10354</v>
      </c>
      <c r="B2261" t="s">
        <v>175</v>
      </c>
      <c r="C2261">
        <v>172.8</v>
      </c>
      <c r="D2261">
        <v>12</v>
      </c>
      <c r="E2261" s="80">
        <v>35383</v>
      </c>
    </row>
    <row r="2262" spans="1:5">
      <c r="A2262">
        <v>10354</v>
      </c>
      <c r="B2262" t="s">
        <v>176</v>
      </c>
      <c r="C2262">
        <v>172.8</v>
      </c>
      <c r="D2262">
        <v>12</v>
      </c>
      <c r="E2262" s="80">
        <v>35383</v>
      </c>
    </row>
    <row r="2263" spans="1:5">
      <c r="A2263">
        <v>10354</v>
      </c>
      <c r="B2263" t="s">
        <v>177</v>
      </c>
      <c r="C2263">
        <v>172.8</v>
      </c>
      <c r="D2263">
        <v>12</v>
      </c>
      <c r="E2263" s="80">
        <v>35383</v>
      </c>
    </row>
    <row r="2264" spans="1:5">
      <c r="A2264">
        <v>10354</v>
      </c>
      <c r="B2264" t="s">
        <v>178</v>
      </c>
      <c r="C2264">
        <v>172.8</v>
      </c>
      <c r="D2264">
        <v>12</v>
      </c>
      <c r="E2264" s="80">
        <v>35383</v>
      </c>
    </row>
    <row r="2265" spans="1:5">
      <c r="A2265">
        <v>10354</v>
      </c>
      <c r="B2265" t="s">
        <v>179</v>
      </c>
      <c r="C2265">
        <v>172.8</v>
      </c>
      <c r="D2265">
        <v>12</v>
      </c>
      <c r="E2265" s="80">
        <v>35383</v>
      </c>
    </row>
    <row r="2266" spans="1:5">
      <c r="A2266">
        <v>10354</v>
      </c>
      <c r="B2266" t="s">
        <v>172</v>
      </c>
      <c r="C2266">
        <v>396</v>
      </c>
      <c r="D2266">
        <v>4</v>
      </c>
      <c r="E2266" s="80">
        <v>35383</v>
      </c>
    </row>
    <row r="2267" spans="1:5">
      <c r="A2267">
        <v>10354</v>
      </c>
      <c r="B2267" t="s">
        <v>173</v>
      </c>
      <c r="C2267">
        <v>396</v>
      </c>
      <c r="D2267">
        <v>4</v>
      </c>
      <c r="E2267" s="80">
        <v>35383</v>
      </c>
    </row>
    <row r="2268" spans="1:5">
      <c r="A2268">
        <v>10354</v>
      </c>
      <c r="B2268" t="s">
        <v>174</v>
      </c>
      <c r="C2268">
        <v>396</v>
      </c>
      <c r="D2268">
        <v>4</v>
      </c>
      <c r="E2268" s="80">
        <v>35383</v>
      </c>
    </row>
    <row r="2269" spans="1:5">
      <c r="A2269">
        <v>10354</v>
      </c>
      <c r="B2269" t="s">
        <v>175</v>
      </c>
      <c r="C2269">
        <v>396</v>
      </c>
      <c r="D2269">
        <v>4</v>
      </c>
      <c r="E2269" s="80">
        <v>35383</v>
      </c>
    </row>
    <row r="2270" spans="1:5">
      <c r="A2270">
        <v>10354</v>
      </c>
      <c r="B2270" t="s">
        <v>176</v>
      </c>
      <c r="C2270">
        <v>396</v>
      </c>
      <c r="D2270">
        <v>4</v>
      </c>
      <c r="E2270" s="80">
        <v>35383</v>
      </c>
    </row>
    <row r="2271" spans="1:5">
      <c r="A2271">
        <v>10354</v>
      </c>
      <c r="B2271" t="s">
        <v>177</v>
      </c>
      <c r="C2271">
        <v>396</v>
      </c>
      <c r="D2271">
        <v>4</v>
      </c>
      <c r="E2271" s="80">
        <v>35383</v>
      </c>
    </row>
    <row r="2272" spans="1:5">
      <c r="A2272">
        <v>10354</v>
      </c>
      <c r="B2272" t="s">
        <v>178</v>
      </c>
      <c r="C2272">
        <v>396</v>
      </c>
      <c r="D2272">
        <v>4</v>
      </c>
      <c r="E2272" s="80">
        <v>35383</v>
      </c>
    </row>
    <row r="2273" spans="1:5">
      <c r="A2273">
        <v>10354</v>
      </c>
      <c r="B2273" t="s">
        <v>179</v>
      </c>
      <c r="C2273">
        <v>396</v>
      </c>
      <c r="D2273">
        <v>4</v>
      </c>
      <c r="E2273" s="80">
        <v>35383</v>
      </c>
    </row>
    <row r="2274" spans="1:5">
      <c r="A2274">
        <v>10355</v>
      </c>
      <c r="B2274" t="s">
        <v>172</v>
      </c>
      <c r="C2274">
        <v>90</v>
      </c>
      <c r="D2274">
        <v>25</v>
      </c>
      <c r="E2274" s="80">
        <v>35384</v>
      </c>
    </row>
    <row r="2275" spans="1:5">
      <c r="A2275">
        <v>10355</v>
      </c>
      <c r="B2275" t="s">
        <v>173</v>
      </c>
      <c r="C2275">
        <v>90</v>
      </c>
      <c r="D2275">
        <v>25</v>
      </c>
      <c r="E2275" s="80">
        <v>35384</v>
      </c>
    </row>
    <row r="2276" spans="1:5">
      <c r="A2276">
        <v>10355</v>
      </c>
      <c r="B2276" t="s">
        <v>174</v>
      </c>
      <c r="C2276">
        <v>90</v>
      </c>
      <c r="D2276">
        <v>25</v>
      </c>
      <c r="E2276" s="80">
        <v>35384</v>
      </c>
    </row>
    <row r="2277" spans="1:5">
      <c r="A2277">
        <v>10355</v>
      </c>
      <c r="B2277" t="s">
        <v>175</v>
      </c>
      <c r="C2277">
        <v>90</v>
      </c>
      <c r="D2277">
        <v>25</v>
      </c>
      <c r="E2277" s="80">
        <v>35384</v>
      </c>
    </row>
    <row r="2278" spans="1:5">
      <c r="A2278">
        <v>10355</v>
      </c>
      <c r="B2278" t="s">
        <v>176</v>
      </c>
      <c r="C2278">
        <v>90</v>
      </c>
      <c r="D2278">
        <v>25</v>
      </c>
      <c r="E2278" s="80">
        <v>35384</v>
      </c>
    </row>
    <row r="2279" spans="1:5">
      <c r="A2279">
        <v>10355</v>
      </c>
      <c r="B2279" t="s">
        <v>177</v>
      </c>
      <c r="C2279">
        <v>90</v>
      </c>
      <c r="D2279">
        <v>25</v>
      </c>
      <c r="E2279" s="80">
        <v>35384</v>
      </c>
    </row>
    <row r="2280" spans="1:5">
      <c r="A2280">
        <v>10355</v>
      </c>
      <c r="B2280" t="s">
        <v>178</v>
      </c>
      <c r="C2280">
        <v>90</v>
      </c>
      <c r="D2280">
        <v>25</v>
      </c>
      <c r="E2280" s="80">
        <v>35384</v>
      </c>
    </row>
    <row r="2281" spans="1:5">
      <c r="A2281">
        <v>10355</v>
      </c>
      <c r="B2281" t="s">
        <v>179</v>
      </c>
      <c r="C2281">
        <v>90</v>
      </c>
      <c r="D2281">
        <v>25</v>
      </c>
      <c r="E2281" s="80">
        <v>35384</v>
      </c>
    </row>
    <row r="2282" spans="1:5">
      <c r="A2282">
        <v>10355</v>
      </c>
      <c r="B2282" t="s">
        <v>172</v>
      </c>
      <c r="C2282">
        <v>390</v>
      </c>
      <c r="D2282">
        <v>25</v>
      </c>
      <c r="E2282" s="80">
        <v>35384</v>
      </c>
    </row>
    <row r="2283" spans="1:5">
      <c r="A2283">
        <v>10355</v>
      </c>
      <c r="B2283" t="s">
        <v>173</v>
      </c>
      <c r="C2283">
        <v>390</v>
      </c>
      <c r="D2283">
        <v>25</v>
      </c>
      <c r="E2283" s="80">
        <v>35384</v>
      </c>
    </row>
    <row r="2284" spans="1:5">
      <c r="A2284">
        <v>10355</v>
      </c>
      <c r="B2284" t="s">
        <v>174</v>
      </c>
      <c r="C2284">
        <v>390</v>
      </c>
      <c r="D2284">
        <v>25</v>
      </c>
      <c r="E2284" s="80">
        <v>35384</v>
      </c>
    </row>
    <row r="2285" spans="1:5">
      <c r="A2285">
        <v>10355</v>
      </c>
      <c r="B2285" t="s">
        <v>175</v>
      </c>
      <c r="C2285">
        <v>390</v>
      </c>
      <c r="D2285">
        <v>25</v>
      </c>
      <c r="E2285" s="80">
        <v>35384</v>
      </c>
    </row>
    <row r="2286" spans="1:5">
      <c r="A2286">
        <v>10355</v>
      </c>
      <c r="B2286" t="s">
        <v>176</v>
      </c>
      <c r="C2286">
        <v>390</v>
      </c>
      <c r="D2286">
        <v>25</v>
      </c>
      <c r="E2286" s="80">
        <v>35384</v>
      </c>
    </row>
    <row r="2287" spans="1:5">
      <c r="A2287">
        <v>10355</v>
      </c>
      <c r="B2287" t="s">
        <v>177</v>
      </c>
      <c r="C2287">
        <v>390</v>
      </c>
      <c r="D2287">
        <v>25</v>
      </c>
      <c r="E2287" s="80">
        <v>35384</v>
      </c>
    </row>
    <row r="2288" spans="1:5">
      <c r="A2288">
        <v>10355</v>
      </c>
      <c r="B2288" t="s">
        <v>178</v>
      </c>
      <c r="C2288">
        <v>390</v>
      </c>
      <c r="D2288">
        <v>25</v>
      </c>
      <c r="E2288" s="80">
        <v>35384</v>
      </c>
    </row>
    <row r="2289" spans="1:5">
      <c r="A2289">
        <v>10355</v>
      </c>
      <c r="B2289" t="s">
        <v>179</v>
      </c>
      <c r="C2289">
        <v>390</v>
      </c>
      <c r="D2289">
        <v>25</v>
      </c>
      <c r="E2289" s="80">
        <v>35384</v>
      </c>
    </row>
    <row r="2290" spans="1:5">
      <c r="A2290">
        <v>10356</v>
      </c>
      <c r="B2290" t="s">
        <v>172</v>
      </c>
      <c r="C2290">
        <v>300</v>
      </c>
      <c r="D2290">
        <v>30</v>
      </c>
      <c r="E2290" s="80">
        <v>35387</v>
      </c>
    </row>
    <row r="2291" spans="1:5">
      <c r="A2291">
        <v>10356</v>
      </c>
      <c r="B2291" t="s">
        <v>173</v>
      </c>
      <c r="C2291">
        <v>300</v>
      </c>
      <c r="D2291">
        <v>30</v>
      </c>
      <c r="E2291" s="80">
        <v>35387</v>
      </c>
    </row>
    <row r="2292" spans="1:5">
      <c r="A2292">
        <v>10356</v>
      </c>
      <c r="B2292" t="s">
        <v>174</v>
      </c>
      <c r="C2292">
        <v>300</v>
      </c>
      <c r="D2292">
        <v>30</v>
      </c>
      <c r="E2292" s="80">
        <v>35387</v>
      </c>
    </row>
    <row r="2293" spans="1:5">
      <c r="A2293">
        <v>10356</v>
      </c>
      <c r="B2293" t="s">
        <v>175</v>
      </c>
      <c r="C2293">
        <v>300</v>
      </c>
      <c r="D2293">
        <v>30</v>
      </c>
      <c r="E2293" s="80">
        <v>35387</v>
      </c>
    </row>
    <row r="2294" spans="1:5">
      <c r="A2294">
        <v>10356</v>
      </c>
      <c r="B2294" t="s">
        <v>176</v>
      </c>
      <c r="C2294">
        <v>300</v>
      </c>
      <c r="D2294">
        <v>30</v>
      </c>
      <c r="E2294" s="80">
        <v>35387</v>
      </c>
    </row>
    <row r="2295" spans="1:5">
      <c r="A2295">
        <v>10356</v>
      </c>
      <c r="B2295" t="s">
        <v>177</v>
      </c>
      <c r="C2295">
        <v>300</v>
      </c>
      <c r="D2295">
        <v>30</v>
      </c>
      <c r="E2295" s="80">
        <v>35387</v>
      </c>
    </row>
    <row r="2296" spans="1:5">
      <c r="A2296">
        <v>10356</v>
      </c>
      <c r="B2296" t="s">
        <v>178</v>
      </c>
      <c r="C2296">
        <v>300</v>
      </c>
      <c r="D2296">
        <v>30</v>
      </c>
      <c r="E2296" s="80">
        <v>35387</v>
      </c>
    </row>
    <row r="2297" spans="1:5">
      <c r="A2297">
        <v>10356</v>
      </c>
      <c r="B2297" t="s">
        <v>179</v>
      </c>
      <c r="C2297">
        <v>300</v>
      </c>
      <c r="D2297">
        <v>30</v>
      </c>
      <c r="E2297" s="80">
        <v>35387</v>
      </c>
    </row>
    <row r="2298" spans="1:5">
      <c r="A2298">
        <v>10356</v>
      </c>
      <c r="B2298" t="s">
        <v>172</v>
      </c>
      <c r="C2298">
        <v>230.4</v>
      </c>
      <c r="D2298">
        <v>12</v>
      </c>
      <c r="E2298" s="80">
        <v>35387</v>
      </c>
    </row>
    <row r="2299" spans="1:5">
      <c r="A2299">
        <v>10356</v>
      </c>
      <c r="B2299" t="s">
        <v>173</v>
      </c>
      <c r="C2299">
        <v>230.4</v>
      </c>
      <c r="D2299">
        <v>12</v>
      </c>
      <c r="E2299" s="80">
        <v>35387</v>
      </c>
    </row>
    <row r="2300" spans="1:5">
      <c r="A2300">
        <v>10356</v>
      </c>
      <c r="B2300" t="s">
        <v>174</v>
      </c>
      <c r="C2300">
        <v>230.4</v>
      </c>
      <c r="D2300">
        <v>12</v>
      </c>
      <c r="E2300" s="80">
        <v>35387</v>
      </c>
    </row>
    <row r="2301" spans="1:5">
      <c r="A2301">
        <v>10356</v>
      </c>
      <c r="B2301" t="s">
        <v>175</v>
      </c>
      <c r="C2301">
        <v>230.4</v>
      </c>
      <c r="D2301">
        <v>12</v>
      </c>
      <c r="E2301" s="80">
        <v>35387</v>
      </c>
    </row>
    <row r="2302" spans="1:5">
      <c r="A2302">
        <v>10356</v>
      </c>
      <c r="B2302" t="s">
        <v>176</v>
      </c>
      <c r="C2302">
        <v>230.4</v>
      </c>
      <c r="D2302">
        <v>12</v>
      </c>
      <c r="E2302" s="80">
        <v>35387</v>
      </c>
    </row>
    <row r="2303" spans="1:5">
      <c r="A2303">
        <v>10356</v>
      </c>
      <c r="B2303" t="s">
        <v>177</v>
      </c>
      <c r="C2303">
        <v>230.4</v>
      </c>
      <c r="D2303">
        <v>12</v>
      </c>
      <c r="E2303" s="80">
        <v>35387</v>
      </c>
    </row>
    <row r="2304" spans="1:5">
      <c r="A2304">
        <v>10356</v>
      </c>
      <c r="B2304" t="s">
        <v>178</v>
      </c>
      <c r="C2304">
        <v>230.4</v>
      </c>
      <c r="D2304">
        <v>12</v>
      </c>
      <c r="E2304" s="80">
        <v>35387</v>
      </c>
    </row>
    <row r="2305" spans="1:5">
      <c r="A2305">
        <v>10356</v>
      </c>
      <c r="B2305" t="s">
        <v>179</v>
      </c>
      <c r="C2305">
        <v>230.4</v>
      </c>
      <c r="D2305">
        <v>12</v>
      </c>
      <c r="E2305" s="80">
        <v>35387</v>
      </c>
    </row>
    <row r="2306" spans="1:5">
      <c r="A2306">
        <v>10356</v>
      </c>
      <c r="B2306" t="s">
        <v>172</v>
      </c>
      <c r="C2306">
        <v>576</v>
      </c>
      <c r="D2306">
        <v>20</v>
      </c>
      <c r="E2306" s="80">
        <v>35387</v>
      </c>
    </row>
    <row r="2307" spans="1:5">
      <c r="A2307">
        <v>10356</v>
      </c>
      <c r="B2307" t="s">
        <v>173</v>
      </c>
      <c r="C2307">
        <v>576</v>
      </c>
      <c r="D2307">
        <v>20</v>
      </c>
      <c r="E2307" s="80">
        <v>35387</v>
      </c>
    </row>
    <row r="2308" spans="1:5">
      <c r="A2308">
        <v>10356</v>
      </c>
      <c r="B2308" t="s">
        <v>174</v>
      </c>
      <c r="C2308">
        <v>576</v>
      </c>
      <c r="D2308">
        <v>20</v>
      </c>
      <c r="E2308" s="80">
        <v>35387</v>
      </c>
    </row>
    <row r="2309" spans="1:5">
      <c r="A2309">
        <v>10356</v>
      </c>
      <c r="B2309" t="s">
        <v>175</v>
      </c>
      <c r="C2309">
        <v>576</v>
      </c>
      <c r="D2309">
        <v>20</v>
      </c>
      <c r="E2309" s="80">
        <v>35387</v>
      </c>
    </row>
    <row r="2310" spans="1:5">
      <c r="A2310">
        <v>10356</v>
      </c>
      <c r="B2310" t="s">
        <v>176</v>
      </c>
      <c r="C2310">
        <v>576</v>
      </c>
      <c r="D2310">
        <v>20</v>
      </c>
      <c r="E2310" s="80">
        <v>35387</v>
      </c>
    </row>
    <row r="2311" spans="1:5">
      <c r="A2311">
        <v>10356</v>
      </c>
      <c r="B2311" t="s">
        <v>177</v>
      </c>
      <c r="C2311">
        <v>576</v>
      </c>
      <c r="D2311">
        <v>20</v>
      </c>
      <c r="E2311" s="80">
        <v>35387</v>
      </c>
    </row>
    <row r="2312" spans="1:5">
      <c r="A2312">
        <v>10356</v>
      </c>
      <c r="B2312" t="s">
        <v>178</v>
      </c>
      <c r="C2312">
        <v>576</v>
      </c>
      <c r="D2312">
        <v>20</v>
      </c>
      <c r="E2312" s="80">
        <v>35387</v>
      </c>
    </row>
    <row r="2313" spans="1:5">
      <c r="A2313">
        <v>10356</v>
      </c>
      <c r="B2313" t="s">
        <v>179</v>
      </c>
      <c r="C2313">
        <v>576</v>
      </c>
      <c r="D2313">
        <v>20</v>
      </c>
      <c r="E2313" s="80">
        <v>35387</v>
      </c>
    </row>
    <row r="2314" spans="1:5">
      <c r="A2314">
        <v>10357</v>
      </c>
      <c r="B2314" t="s">
        <v>172</v>
      </c>
      <c r="C2314">
        <v>595.19999778270721</v>
      </c>
      <c r="D2314">
        <v>30</v>
      </c>
      <c r="E2314" s="80">
        <v>35388</v>
      </c>
    </row>
    <row r="2315" spans="1:5">
      <c r="A2315">
        <v>10357</v>
      </c>
      <c r="B2315" t="s">
        <v>173</v>
      </c>
      <c r="C2315">
        <v>595.19999778270721</v>
      </c>
      <c r="D2315">
        <v>30</v>
      </c>
      <c r="E2315" s="80">
        <v>35388</v>
      </c>
    </row>
    <row r="2316" spans="1:5">
      <c r="A2316">
        <v>10357</v>
      </c>
      <c r="B2316" t="s">
        <v>174</v>
      </c>
      <c r="C2316">
        <v>595.19999778270721</v>
      </c>
      <c r="D2316">
        <v>30</v>
      </c>
      <c r="E2316" s="80">
        <v>35388</v>
      </c>
    </row>
    <row r="2317" spans="1:5">
      <c r="A2317">
        <v>10357</v>
      </c>
      <c r="B2317" t="s">
        <v>175</v>
      </c>
      <c r="C2317">
        <v>595.19999778270721</v>
      </c>
      <c r="D2317">
        <v>30</v>
      </c>
      <c r="E2317" s="80">
        <v>35388</v>
      </c>
    </row>
    <row r="2318" spans="1:5">
      <c r="A2318">
        <v>10357</v>
      </c>
      <c r="B2318" t="s">
        <v>176</v>
      </c>
      <c r="C2318">
        <v>595.19999778270721</v>
      </c>
      <c r="D2318">
        <v>30</v>
      </c>
      <c r="E2318" s="80">
        <v>35388</v>
      </c>
    </row>
    <row r="2319" spans="1:5">
      <c r="A2319">
        <v>10357</v>
      </c>
      <c r="B2319" t="s">
        <v>177</v>
      </c>
      <c r="C2319">
        <v>595.19999778270721</v>
      </c>
      <c r="D2319">
        <v>30</v>
      </c>
      <c r="E2319" s="80">
        <v>35388</v>
      </c>
    </row>
    <row r="2320" spans="1:5">
      <c r="A2320">
        <v>10357</v>
      </c>
      <c r="B2320" t="s">
        <v>178</v>
      </c>
      <c r="C2320">
        <v>595.19999778270721</v>
      </c>
      <c r="D2320">
        <v>30</v>
      </c>
      <c r="E2320" s="80">
        <v>35388</v>
      </c>
    </row>
    <row r="2321" spans="1:5">
      <c r="A2321">
        <v>10357</v>
      </c>
      <c r="B2321" t="s">
        <v>179</v>
      </c>
      <c r="C2321">
        <v>595.19999778270721</v>
      </c>
      <c r="D2321">
        <v>30</v>
      </c>
      <c r="E2321" s="80">
        <v>35388</v>
      </c>
    </row>
    <row r="2322" spans="1:5">
      <c r="A2322">
        <v>10357</v>
      </c>
      <c r="B2322" t="s">
        <v>172</v>
      </c>
      <c r="C2322">
        <v>398.4</v>
      </c>
      <c r="D2322">
        <v>16</v>
      </c>
      <c r="E2322" s="80">
        <v>35388</v>
      </c>
    </row>
    <row r="2323" spans="1:5">
      <c r="A2323">
        <v>10357</v>
      </c>
      <c r="B2323" t="s">
        <v>173</v>
      </c>
      <c r="C2323">
        <v>398.4</v>
      </c>
      <c r="D2323">
        <v>16</v>
      </c>
      <c r="E2323" s="80">
        <v>35388</v>
      </c>
    </row>
    <row r="2324" spans="1:5">
      <c r="A2324">
        <v>10357</v>
      </c>
      <c r="B2324" t="s">
        <v>174</v>
      </c>
      <c r="C2324">
        <v>398.4</v>
      </c>
      <c r="D2324">
        <v>16</v>
      </c>
      <c r="E2324" s="80">
        <v>35388</v>
      </c>
    </row>
    <row r="2325" spans="1:5">
      <c r="A2325">
        <v>10357</v>
      </c>
      <c r="B2325" t="s">
        <v>175</v>
      </c>
      <c r="C2325">
        <v>398.4</v>
      </c>
      <c r="D2325">
        <v>16</v>
      </c>
      <c r="E2325" s="80">
        <v>35388</v>
      </c>
    </row>
    <row r="2326" spans="1:5">
      <c r="A2326">
        <v>10357</v>
      </c>
      <c r="B2326" t="s">
        <v>176</v>
      </c>
      <c r="C2326">
        <v>398.4</v>
      </c>
      <c r="D2326">
        <v>16</v>
      </c>
      <c r="E2326" s="80">
        <v>35388</v>
      </c>
    </row>
    <row r="2327" spans="1:5">
      <c r="A2327">
        <v>10357</v>
      </c>
      <c r="B2327" t="s">
        <v>177</v>
      </c>
      <c r="C2327">
        <v>398.4</v>
      </c>
      <c r="D2327">
        <v>16</v>
      </c>
      <c r="E2327" s="80">
        <v>35388</v>
      </c>
    </row>
    <row r="2328" spans="1:5">
      <c r="A2328">
        <v>10357</v>
      </c>
      <c r="B2328" t="s">
        <v>178</v>
      </c>
      <c r="C2328">
        <v>398.4</v>
      </c>
      <c r="D2328">
        <v>16</v>
      </c>
      <c r="E2328" s="80">
        <v>35388</v>
      </c>
    </row>
    <row r="2329" spans="1:5">
      <c r="A2329">
        <v>10357</v>
      </c>
      <c r="B2329" t="s">
        <v>179</v>
      </c>
      <c r="C2329">
        <v>398.4</v>
      </c>
      <c r="D2329">
        <v>16</v>
      </c>
      <c r="E2329" s="80">
        <v>35388</v>
      </c>
    </row>
    <row r="2330" spans="1:5">
      <c r="A2330">
        <v>10357</v>
      </c>
      <c r="B2330" t="s">
        <v>172</v>
      </c>
      <c r="C2330">
        <v>174.07999935150147</v>
      </c>
      <c r="D2330">
        <v>8</v>
      </c>
      <c r="E2330" s="80">
        <v>35388</v>
      </c>
    </row>
    <row r="2331" spans="1:5">
      <c r="A2331">
        <v>10357</v>
      </c>
      <c r="B2331" t="s">
        <v>173</v>
      </c>
      <c r="C2331">
        <v>174.07999935150147</v>
      </c>
      <c r="D2331">
        <v>8</v>
      </c>
      <c r="E2331" s="80">
        <v>35388</v>
      </c>
    </row>
    <row r="2332" spans="1:5">
      <c r="A2332">
        <v>10357</v>
      </c>
      <c r="B2332" t="s">
        <v>174</v>
      </c>
      <c r="C2332">
        <v>174.07999935150147</v>
      </c>
      <c r="D2332">
        <v>8</v>
      </c>
      <c r="E2332" s="80">
        <v>35388</v>
      </c>
    </row>
    <row r="2333" spans="1:5">
      <c r="A2333">
        <v>10357</v>
      </c>
      <c r="B2333" t="s">
        <v>175</v>
      </c>
      <c r="C2333">
        <v>174.07999935150147</v>
      </c>
      <c r="D2333">
        <v>8</v>
      </c>
      <c r="E2333" s="80">
        <v>35388</v>
      </c>
    </row>
    <row r="2334" spans="1:5">
      <c r="A2334">
        <v>10357</v>
      </c>
      <c r="B2334" t="s">
        <v>176</v>
      </c>
      <c r="C2334">
        <v>174.07999935150147</v>
      </c>
      <c r="D2334">
        <v>8</v>
      </c>
      <c r="E2334" s="80">
        <v>35388</v>
      </c>
    </row>
    <row r="2335" spans="1:5">
      <c r="A2335">
        <v>10357</v>
      </c>
      <c r="B2335" t="s">
        <v>177</v>
      </c>
      <c r="C2335">
        <v>174.07999935150147</v>
      </c>
      <c r="D2335">
        <v>8</v>
      </c>
      <c r="E2335" s="80">
        <v>35388</v>
      </c>
    </row>
    <row r="2336" spans="1:5">
      <c r="A2336">
        <v>10357</v>
      </c>
      <c r="B2336" t="s">
        <v>178</v>
      </c>
      <c r="C2336">
        <v>174.07999935150147</v>
      </c>
      <c r="D2336">
        <v>8</v>
      </c>
      <c r="E2336" s="80">
        <v>35388</v>
      </c>
    </row>
    <row r="2337" spans="1:5">
      <c r="A2337">
        <v>10357</v>
      </c>
      <c r="B2337" t="s">
        <v>179</v>
      </c>
      <c r="C2337">
        <v>174.07999935150147</v>
      </c>
      <c r="D2337">
        <v>8</v>
      </c>
      <c r="E2337" s="80">
        <v>35388</v>
      </c>
    </row>
    <row r="2338" spans="1:5">
      <c r="A2338">
        <v>10358</v>
      </c>
      <c r="B2338" t="s">
        <v>172</v>
      </c>
      <c r="C2338">
        <v>34.19999997317791</v>
      </c>
      <c r="D2338">
        <v>10</v>
      </c>
      <c r="E2338" s="80">
        <v>35389</v>
      </c>
    </row>
    <row r="2339" spans="1:5">
      <c r="A2339">
        <v>10358</v>
      </c>
      <c r="B2339" t="s">
        <v>173</v>
      </c>
      <c r="C2339">
        <v>34.19999997317791</v>
      </c>
      <c r="D2339">
        <v>10</v>
      </c>
      <c r="E2339" s="80">
        <v>35389</v>
      </c>
    </row>
    <row r="2340" spans="1:5">
      <c r="A2340">
        <v>10358</v>
      </c>
      <c r="B2340" t="s">
        <v>174</v>
      </c>
      <c r="C2340">
        <v>34.19999997317791</v>
      </c>
      <c r="D2340">
        <v>10</v>
      </c>
      <c r="E2340" s="80">
        <v>35389</v>
      </c>
    </row>
    <row r="2341" spans="1:5">
      <c r="A2341">
        <v>10358</v>
      </c>
      <c r="B2341" t="s">
        <v>175</v>
      </c>
      <c r="C2341">
        <v>34.19999997317791</v>
      </c>
      <c r="D2341">
        <v>10</v>
      </c>
      <c r="E2341" s="80">
        <v>35389</v>
      </c>
    </row>
    <row r="2342" spans="1:5">
      <c r="A2342">
        <v>10358</v>
      </c>
      <c r="B2342" t="s">
        <v>176</v>
      </c>
      <c r="C2342">
        <v>34.19999997317791</v>
      </c>
      <c r="D2342">
        <v>10</v>
      </c>
      <c r="E2342" s="80">
        <v>35389</v>
      </c>
    </row>
    <row r="2343" spans="1:5">
      <c r="A2343">
        <v>10358</v>
      </c>
      <c r="B2343" t="s">
        <v>177</v>
      </c>
      <c r="C2343">
        <v>34.19999997317791</v>
      </c>
      <c r="D2343">
        <v>10</v>
      </c>
      <c r="E2343" s="80">
        <v>35389</v>
      </c>
    </row>
    <row r="2344" spans="1:5">
      <c r="A2344">
        <v>10358</v>
      </c>
      <c r="B2344" t="s">
        <v>178</v>
      </c>
      <c r="C2344">
        <v>34.19999997317791</v>
      </c>
      <c r="D2344">
        <v>10</v>
      </c>
      <c r="E2344" s="80">
        <v>35389</v>
      </c>
    </row>
    <row r="2345" spans="1:5">
      <c r="A2345">
        <v>10358</v>
      </c>
      <c r="B2345" t="s">
        <v>179</v>
      </c>
      <c r="C2345">
        <v>34.19999997317791</v>
      </c>
      <c r="D2345">
        <v>10</v>
      </c>
      <c r="E2345" s="80">
        <v>35389</v>
      </c>
    </row>
    <row r="2346" spans="1:5">
      <c r="A2346">
        <v>10358</v>
      </c>
      <c r="B2346" t="s">
        <v>172</v>
      </c>
      <c r="C2346">
        <v>106.3999999165535</v>
      </c>
      <c r="D2346">
        <v>10</v>
      </c>
      <c r="E2346" s="80">
        <v>35389</v>
      </c>
    </row>
    <row r="2347" spans="1:5">
      <c r="A2347">
        <v>10358</v>
      </c>
      <c r="B2347" t="s">
        <v>173</v>
      </c>
      <c r="C2347">
        <v>106.3999999165535</v>
      </c>
      <c r="D2347">
        <v>10</v>
      </c>
      <c r="E2347" s="80">
        <v>35389</v>
      </c>
    </row>
    <row r="2348" spans="1:5">
      <c r="A2348">
        <v>10358</v>
      </c>
      <c r="B2348" t="s">
        <v>174</v>
      </c>
      <c r="C2348">
        <v>106.3999999165535</v>
      </c>
      <c r="D2348">
        <v>10</v>
      </c>
      <c r="E2348" s="80">
        <v>35389</v>
      </c>
    </row>
    <row r="2349" spans="1:5">
      <c r="A2349">
        <v>10358</v>
      </c>
      <c r="B2349" t="s">
        <v>175</v>
      </c>
      <c r="C2349">
        <v>106.3999999165535</v>
      </c>
      <c r="D2349">
        <v>10</v>
      </c>
      <c r="E2349" s="80">
        <v>35389</v>
      </c>
    </row>
    <row r="2350" spans="1:5">
      <c r="A2350">
        <v>10358</v>
      </c>
      <c r="B2350" t="s">
        <v>176</v>
      </c>
      <c r="C2350">
        <v>106.3999999165535</v>
      </c>
      <c r="D2350">
        <v>10</v>
      </c>
      <c r="E2350" s="80">
        <v>35389</v>
      </c>
    </row>
    <row r="2351" spans="1:5">
      <c r="A2351">
        <v>10358</v>
      </c>
      <c r="B2351" t="s">
        <v>177</v>
      </c>
      <c r="C2351">
        <v>106.3999999165535</v>
      </c>
      <c r="D2351">
        <v>10</v>
      </c>
      <c r="E2351" s="80">
        <v>35389</v>
      </c>
    </row>
    <row r="2352" spans="1:5">
      <c r="A2352">
        <v>10358</v>
      </c>
      <c r="B2352" t="s">
        <v>178</v>
      </c>
      <c r="C2352">
        <v>106.3999999165535</v>
      </c>
      <c r="D2352">
        <v>10</v>
      </c>
      <c r="E2352" s="80">
        <v>35389</v>
      </c>
    </row>
    <row r="2353" spans="1:5">
      <c r="A2353">
        <v>10358</v>
      </c>
      <c r="B2353" t="s">
        <v>179</v>
      </c>
      <c r="C2353">
        <v>106.3999999165535</v>
      </c>
      <c r="D2353">
        <v>10</v>
      </c>
      <c r="E2353" s="80">
        <v>35389</v>
      </c>
    </row>
    <row r="2354" spans="1:5">
      <c r="A2354">
        <v>10358</v>
      </c>
      <c r="B2354" t="s">
        <v>172</v>
      </c>
      <c r="C2354">
        <v>288.79999977350235</v>
      </c>
      <c r="D2354">
        <v>20</v>
      </c>
      <c r="E2354" s="80">
        <v>35389</v>
      </c>
    </row>
    <row r="2355" spans="1:5">
      <c r="A2355">
        <v>10358</v>
      </c>
      <c r="B2355" t="s">
        <v>173</v>
      </c>
      <c r="C2355">
        <v>288.79999977350235</v>
      </c>
      <c r="D2355">
        <v>20</v>
      </c>
      <c r="E2355" s="80">
        <v>35389</v>
      </c>
    </row>
    <row r="2356" spans="1:5">
      <c r="A2356">
        <v>10358</v>
      </c>
      <c r="B2356" t="s">
        <v>174</v>
      </c>
      <c r="C2356">
        <v>288.79999977350235</v>
      </c>
      <c r="D2356">
        <v>20</v>
      </c>
      <c r="E2356" s="80">
        <v>35389</v>
      </c>
    </row>
    <row r="2357" spans="1:5">
      <c r="A2357">
        <v>10358</v>
      </c>
      <c r="B2357" t="s">
        <v>175</v>
      </c>
      <c r="C2357">
        <v>288.79999977350235</v>
      </c>
      <c r="D2357">
        <v>20</v>
      </c>
      <c r="E2357" s="80">
        <v>35389</v>
      </c>
    </row>
    <row r="2358" spans="1:5">
      <c r="A2358">
        <v>10358</v>
      </c>
      <c r="B2358" t="s">
        <v>176</v>
      </c>
      <c r="C2358">
        <v>288.79999977350235</v>
      </c>
      <c r="D2358">
        <v>20</v>
      </c>
      <c r="E2358" s="80">
        <v>35389</v>
      </c>
    </row>
    <row r="2359" spans="1:5">
      <c r="A2359">
        <v>10358</v>
      </c>
      <c r="B2359" t="s">
        <v>177</v>
      </c>
      <c r="C2359">
        <v>288.79999977350235</v>
      </c>
      <c r="D2359">
        <v>20</v>
      </c>
      <c r="E2359" s="80">
        <v>35389</v>
      </c>
    </row>
    <row r="2360" spans="1:5">
      <c r="A2360">
        <v>10358</v>
      </c>
      <c r="B2360" t="s">
        <v>178</v>
      </c>
      <c r="C2360">
        <v>288.79999977350235</v>
      </c>
      <c r="D2360">
        <v>20</v>
      </c>
      <c r="E2360" s="80">
        <v>35389</v>
      </c>
    </row>
    <row r="2361" spans="1:5">
      <c r="A2361">
        <v>10358</v>
      </c>
      <c r="B2361" t="s">
        <v>179</v>
      </c>
      <c r="C2361">
        <v>288.79999977350235</v>
      </c>
      <c r="D2361">
        <v>20</v>
      </c>
      <c r="E2361" s="80">
        <v>35389</v>
      </c>
    </row>
    <row r="2362" spans="1:5">
      <c r="A2362">
        <v>10359</v>
      </c>
      <c r="B2362" t="s">
        <v>172</v>
      </c>
      <c r="C2362">
        <v>739.47999942004674</v>
      </c>
      <c r="D2362">
        <v>56</v>
      </c>
      <c r="E2362" s="80">
        <v>35390</v>
      </c>
    </row>
    <row r="2363" spans="1:5">
      <c r="A2363">
        <v>10359</v>
      </c>
      <c r="B2363" t="s">
        <v>173</v>
      </c>
      <c r="C2363">
        <v>739.47999942004674</v>
      </c>
      <c r="D2363">
        <v>56</v>
      </c>
      <c r="E2363" s="80">
        <v>35390</v>
      </c>
    </row>
    <row r="2364" spans="1:5">
      <c r="A2364">
        <v>10359</v>
      </c>
      <c r="B2364" t="s">
        <v>174</v>
      </c>
      <c r="C2364">
        <v>739.47999942004674</v>
      </c>
      <c r="D2364">
        <v>56</v>
      </c>
      <c r="E2364" s="80">
        <v>35390</v>
      </c>
    </row>
    <row r="2365" spans="1:5">
      <c r="A2365">
        <v>10359</v>
      </c>
      <c r="B2365" t="s">
        <v>175</v>
      </c>
      <c r="C2365">
        <v>739.47999942004674</v>
      </c>
      <c r="D2365">
        <v>56</v>
      </c>
      <c r="E2365" s="80">
        <v>35390</v>
      </c>
    </row>
    <row r="2366" spans="1:5">
      <c r="A2366">
        <v>10359</v>
      </c>
      <c r="B2366" t="s">
        <v>176</v>
      </c>
      <c r="C2366">
        <v>739.47999942004674</v>
      </c>
      <c r="D2366">
        <v>56</v>
      </c>
      <c r="E2366" s="80">
        <v>35390</v>
      </c>
    </row>
    <row r="2367" spans="1:5">
      <c r="A2367">
        <v>10359</v>
      </c>
      <c r="B2367" t="s">
        <v>177</v>
      </c>
      <c r="C2367">
        <v>739.47999942004674</v>
      </c>
      <c r="D2367">
        <v>56</v>
      </c>
      <c r="E2367" s="80">
        <v>35390</v>
      </c>
    </row>
    <row r="2368" spans="1:5">
      <c r="A2368">
        <v>10359</v>
      </c>
      <c r="B2368" t="s">
        <v>178</v>
      </c>
      <c r="C2368">
        <v>739.47999942004674</v>
      </c>
      <c r="D2368">
        <v>56</v>
      </c>
      <c r="E2368" s="80">
        <v>35390</v>
      </c>
    </row>
    <row r="2369" spans="1:5">
      <c r="A2369">
        <v>10359</v>
      </c>
      <c r="B2369" t="s">
        <v>179</v>
      </c>
      <c r="C2369">
        <v>739.47999942004674</v>
      </c>
      <c r="D2369">
        <v>56</v>
      </c>
      <c r="E2369" s="80">
        <v>35390</v>
      </c>
    </row>
    <row r="2370" spans="1:5">
      <c r="A2370">
        <v>10359</v>
      </c>
      <c r="B2370" t="s">
        <v>172</v>
      </c>
      <c r="C2370">
        <v>664.99999947845936</v>
      </c>
      <c r="D2370">
        <v>70</v>
      </c>
      <c r="E2370" s="80">
        <v>35390</v>
      </c>
    </row>
    <row r="2371" spans="1:5">
      <c r="A2371">
        <v>10359</v>
      </c>
      <c r="B2371" t="s">
        <v>173</v>
      </c>
      <c r="C2371">
        <v>664.99999947845936</v>
      </c>
      <c r="D2371">
        <v>70</v>
      </c>
      <c r="E2371" s="80">
        <v>35390</v>
      </c>
    </row>
    <row r="2372" spans="1:5">
      <c r="A2372">
        <v>10359</v>
      </c>
      <c r="B2372" t="s">
        <v>174</v>
      </c>
      <c r="C2372">
        <v>664.99999947845936</v>
      </c>
      <c r="D2372">
        <v>70</v>
      </c>
      <c r="E2372" s="80">
        <v>35390</v>
      </c>
    </row>
    <row r="2373" spans="1:5">
      <c r="A2373">
        <v>10359</v>
      </c>
      <c r="B2373" t="s">
        <v>175</v>
      </c>
      <c r="C2373">
        <v>664.99999947845936</v>
      </c>
      <c r="D2373">
        <v>70</v>
      </c>
      <c r="E2373" s="80">
        <v>35390</v>
      </c>
    </row>
    <row r="2374" spans="1:5">
      <c r="A2374">
        <v>10359</v>
      </c>
      <c r="B2374" t="s">
        <v>176</v>
      </c>
      <c r="C2374">
        <v>664.99999947845936</v>
      </c>
      <c r="D2374">
        <v>70</v>
      </c>
      <c r="E2374" s="80">
        <v>35390</v>
      </c>
    </row>
    <row r="2375" spans="1:5">
      <c r="A2375">
        <v>10359</v>
      </c>
      <c r="B2375" t="s">
        <v>177</v>
      </c>
      <c r="C2375">
        <v>664.99999947845936</v>
      </c>
      <c r="D2375">
        <v>70</v>
      </c>
      <c r="E2375" s="80">
        <v>35390</v>
      </c>
    </row>
    <row r="2376" spans="1:5">
      <c r="A2376">
        <v>10359</v>
      </c>
      <c r="B2376" t="s">
        <v>178</v>
      </c>
      <c r="C2376">
        <v>664.99999947845936</v>
      </c>
      <c r="D2376">
        <v>70</v>
      </c>
      <c r="E2376" s="80">
        <v>35390</v>
      </c>
    </row>
    <row r="2377" spans="1:5">
      <c r="A2377">
        <v>10359</v>
      </c>
      <c r="B2377" t="s">
        <v>179</v>
      </c>
      <c r="C2377">
        <v>664.99999947845936</v>
      </c>
      <c r="D2377">
        <v>70</v>
      </c>
      <c r="E2377" s="80">
        <v>35390</v>
      </c>
    </row>
    <row r="2378" spans="1:5">
      <c r="A2378">
        <v>10359</v>
      </c>
      <c r="B2378" t="s">
        <v>172</v>
      </c>
      <c r="C2378">
        <v>2067.1999983787537</v>
      </c>
      <c r="D2378">
        <v>80</v>
      </c>
      <c r="E2378" s="80">
        <v>35390</v>
      </c>
    </row>
    <row r="2379" spans="1:5">
      <c r="A2379">
        <v>10359</v>
      </c>
      <c r="B2379" t="s">
        <v>173</v>
      </c>
      <c r="C2379">
        <v>2067.1999983787537</v>
      </c>
      <c r="D2379">
        <v>80</v>
      </c>
      <c r="E2379" s="80">
        <v>35390</v>
      </c>
    </row>
    <row r="2380" spans="1:5">
      <c r="A2380">
        <v>10359</v>
      </c>
      <c r="B2380" t="s">
        <v>174</v>
      </c>
      <c r="C2380">
        <v>2067.1999983787537</v>
      </c>
      <c r="D2380">
        <v>80</v>
      </c>
      <c r="E2380" s="80">
        <v>35390</v>
      </c>
    </row>
    <row r="2381" spans="1:5">
      <c r="A2381">
        <v>10359</v>
      </c>
      <c r="B2381" t="s">
        <v>175</v>
      </c>
      <c r="C2381">
        <v>2067.1999983787537</v>
      </c>
      <c r="D2381">
        <v>80</v>
      </c>
      <c r="E2381" s="80">
        <v>35390</v>
      </c>
    </row>
    <row r="2382" spans="1:5">
      <c r="A2382">
        <v>10359</v>
      </c>
      <c r="B2382" t="s">
        <v>176</v>
      </c>
      <c r="C2382">
        <v>2067.1999983787537</v>
      </c>
      <c r="D2382">
        <v>80</v>
      </c>
      <c r="E2382" s="80">
        <v>35390</v>
      </c>
    </row>
    <row r="2383" spans="1:5">
      <c r="A2383">
        <v>10359</v>
      </c>
      <c r="B2383" t="s">
        <v>177</v>
      </c>
      <c r="C2383">
        <v>2067.1999983787537</v>
      </c>
      <c r="D2383">
        <v>80</v>
      </c>
      <c r="E2383" s="80">
        <v>35390</v>
      </c>
    </row>
    <row r="2384" spans="1:5">
      <c r="A2384">
        <v>10359</v>
      </c>
      <c r="B2384" t="s">
        <v>178</v>
      </c>
      <c r="C2384">
        <v>2067.1999983787537</v>
      </c>
      <c r="D2384">
        <v>80</v>
      </c>
      <c r="E2384" s="80">
        <v>35390</v>
      </c>
    </row>
    <row r="2385" spans="1:5">
      <c r="A2385">
        <v>10359</v>
      </c>
      <c r="B2385" t="s">
        <v>179</v>
      </c>
      <c r="C2385">
        <v>2067.1999983787537</v>
      </c>
      <c r="D2385">
        <v>80</v>
      </c>
      <c r="E2385" s="80">
        <v>35390</v>
      </c>
    </row>
    <row r="2386" spans="1:5">
      <c r="A2386">
        <v>10360</v>
      </c>
      <c r="B2386" t="s">
        <v>172</v>
      </c>
      <c r="C2386">
        <v>1092</v>
      </c>
      <c r="D2386">
        <v>30</v>
      </c>
      <c r="E2386" s="80">
        <v>35391</v>
      </c>
    </row>
    <row r="2387" spans="1:5">
      <c r="A2387">
        <v>10360</v>
      </c>
      <c r="B2387" t="s">
        <v>173</v>
      </c>
      <c r="C2387">
        <v>1092</v>
      </c>
      <c r="D2387">
        <v>30</v>
      </c>
      <c r="E2387" s="80">
        <v>35391</v>
      </c>
    </row>
    <row r="2388" spans="1:5">
      <c r="A2388">
        <v>10360</v>
      </c>
      <c r="B2388" t="s">
        <v>174</v>
      </c>
      <c r="C2388">
        <v>1092</v>
      </c>
      <c r="D2388">
        <v>30</v>
      </c>
      <c r="E2388" s="80">
        <v>35391</v>
      </c>
    </row>
    <row r="2389" spans="1:5">
      <c r="A2389">
        <v>10360</v>
      </c>
      <c r="B2389" t="s">
        <v>175</v>
      </c>
      <c r="C2389">
        <v>1092</v>
      </c>
      <c r="D2389">
        <v>30</v>
      </c>
      <c r="E2389" s="80">
        <v>35391</v>
      </c>
    </row>
    <row r="2390" spans="1:5">
      <c r="A2390">
        <v>10360</v>
      </c>
      <c r="B2390" t="s">
        <v>176</v>
      </c>
      <c r="C2390">
        <v>1092</v>
      </c>
      <c r="D2390">
        <v>30</v>
      </c>
      <c r="E2390" s="80">
        <v>35391</v>
      </c>
    </row>
    <row r="2391" spans="1:5">
      <c r="A2391">
        <v>10360</v>
      </c>
      <c r="B2391" t="s">
        <v>177</v>
      </c>
      <c r="C2391">
        <v>1092</v>
      </c>
      <c r="D2391">
        <v>30</v>
      </c>
      <c r="E2391" s="80">
        <v>35391</v>
      </c>
    </row>
    <row r="2392" spans="1:5">
      <c r="A2392">
        <v>10360</v>
      </c>
      <c r="B2392" t="s">
        <v>178</v>
      </c>
      <c r="C2392">
        <v>1092</v>
      </c>
      <c r="D2392">
        <v>30</v>
      </c>
      <c r="E2392" s="80">
        <v>35391</v>
      </c>
    </row>
    <row r="2393" spans="1:5">
      <c r="A2393">
        <v>10360</v>
      </c>
      <c r="B2393" t="s">
        <v>179</v>
      </c>
      <c r="C2393">
        <v>1092</v>
      </c>
      <c r="D2393">
        <v>30</v>
      </c>
      <c r="E2393" s="80">
        <v>35391</v>
      </c>
    </row>
    <row r="2394" spans="1:5">
      <c r="A2394">
        <v>10360</v>
      </c>
      <c r="B2394" t="s">
        <v>172</v>
      </c>
      <c r="C2394">
        <v>3465</v>
      </c>
      <c r="D2394">
        <v>35</v>
      </c>
      <c r="E2394" s="80">
        <v>35391</v>
      </c>
    </row>
    <row r="2395" spans="1:5">
      <c r="A2395">
        <v>10360</v>
      </c>
      <c r="B2395" t="s">
        <v>173</v>
      </c>
      <c r="C2395">
        <v>3465</v>
      </c>
      <c r="D2395">
        <v>35</v>
      </c>
      <c r="E2395" s="80">
        <v>35391</v>
      </c>
    </row>
    <row r="2396" spans="1:5">
      <c r="A2396">
        <v>10360</v>
      </c>
      <c r="B2396" t="s">
        <v>174</v>
      </c>
      <c r="C2396">
        <v>3465</v>
      </c>
      <c r="D2396">
        <v>35</v>
      </c>
      <c r="E2396" s="80">
        <v>35391</v>
      </c>
    </row>
    <row r="2397" spans="1:5">
      <c r="A2397">
        <v>10360</v>
      </c>
      <c r="B2397" t="s">
        <v>175</v>
      </c>
      <c r="C2397">
        <v>3465</v>
      </c>
      <c r="D2397">
        <v>35</v>
      </c>
      <c r="E2397" s="80">
        <v>35391</v>
      </c>
    </row>
    <row r="2398" spans="1:5">
      <c r="A2398">
        <v>10360</v>
      </c>
      <c r="B2398" t="s">
        <v>176</v>
      </c>
      <c r="C2398">
        <v>3465</v>
      </c>
      <c r="D2398">
        <v>35</v>
      </c>
      <c r="E2398" s="80">
        <v>35391</v>
      </c>
    </row>
    <row r="2399" spans="1:5">
      <c r="A2399">
        <v>10360</v>
      </c>
      <c r="B2399" t="s">
        <v>177</v>
      </c>
      <c r="C2399">
        <v>3465</v>
      </c>
      <c r="D2399">
        <v>35</v>
      </c>
      <c r="E2399" s="80">
        <v>35391</v>
      </c>
    </row>
    <row r="2400" spans="1:5">
      <c r="A2400">
        <v>10360</v>
      </c>
      <c r="B2400" t="s">
        <v>178</v>
      </c>
      <c r="C2400">
        <v>3465</v>
      </c>
      <c r="D2400">
        <v>35</v>
      </c>
      <c r="E2400" s="80">
        <v>35391</v>
      </c>
    </row>
    <row r="2401" spans="1:5">
      <c r="A2401">
        <v>10360</v>
      </c>
      <c r="B2401" t="s">
        <v>179</v>
      </c>
      <c r="C2401">
        <v>3465</v>
      </c>
      <c r="D2401">
        <v>35</v>
      </c>
      <c r="E2401" s="80">
        <v>35391</v>
      </c>
    </row>
    <row r="2402" spans="1:5">
      <c r="A2402">
        <v>10360</v>
      </c>
      <c r="B2402" t="s">
        <v>172</v>
      </c>
      <c r="C2402">
        <v>2108</v>
      </c>
      <c r="D2402">
        <v>10</v>
      </c>
      <c r="E2402" s="80">
        <v>35391</v>
      </c>
    </row>
    <row r="2403" spans="1:5">
      <c r="A2403">
        <v>10360</v>
      </c>
      <c r="B2403" t="s">
        <v>173</v>
      </c>
      <c r="C2403">
        <v>2108</v>
      </c>
      <c r="D2403">
        <v>10</v>
      </c>
      <c r="E2403" s="80">
        <v>35391</v>
      </c>
    </row>
    <row r="2404" spans="1:5">
      <c r="A2404">
        <v>10360</v>
      </c>
      <c r="B2404" t="s">
        <v>174</v>
      </c>
      <c r="C2404">
        <v>2108</v>
      </c>
      <c r="D2404">
        <v>10</v>
      </c>
      <c r="E2404" s="80">
        <v>35391</v>
      </c>
    </row>
    <row r="2405" spans="1:5">
      <c r="A2405">
        <v>10360</v>
      </c>
      <c r="B2405" t="s">
        <v>175</v>
      </c>
      <c r="C2405">
        <v>2108</v>
      </c>
      <c r="D2405">
        <v>10</v>
      </c>
      <c r="E2405" s="80">
        <v>35391</v>
      </c>
    </row>
    <row r="2406" spans="1:5">
      <c r="A2406">
        <v>10360</v>
      </c>
      <c r="B2406" t="s">
        <v>176</v>
      </c>
      <c r="C2406">
        <v>2108</v>
      </c>
      <c r="D2406">
        <v>10</v>
      </c>
      <c r="E2406" s="80">
        <v>35391</v>
      </c>
    </row>
    <row r="2407" spans="1:5">
      <c r="A2407">
        <v>10360</v>
      </c>
      <c r="B2407" t="s">
        <v>177</v>
      </c>
      <c r="C2407">
        <v>2108</v>
      </c>
      <c r="D2407">
        <v>10</v>
      </c>
      <c r="E2407" s="80">
        <v>35391</v>
      </c>
    </row>
    <row r="2408" spans="1:5">
      <c r="A2408">
        <v>10360</v>
      </c>
      <c r="B2408" t="s">
        <v>178</v>
      </c>
      <c r="C2408">
        <v>2108</v>
      </c>
      <c r="D2408">
        <v>10</v>
      </c>
      <c r="E2408" s="80">
        <v>35391</v>
      </c>
    </row>
    <row r="2409" spans="1:5">
      <c r="A2409">
        <v>10360</v>
      </c>
      <c r="B2409" t="s">
        <v>179</v>
      </c>
      <c r="C2409">
        <v>2108</v>
      </c>
      <c r="D2409">
        <v>10</v>
      </c>
      <c r="E2409" s="80">
        <v>35391</v>
      </c>
    </row>
    <row r="2410" spans="1:5">
      <c r="A2410">
        <v>10360</v>
      </c>
      <c r="B2410" t="s">
        <v>172</v>
      </c>
      <c r="C2410">
        <v>560</v>
      </c>
      <c r="D2410">
        <v>35</v>
      </c>
      <c r="E2410" s="80">
        <v>35391</v>
      </c>
    </row>
    <row r="2411" spans="1:5">
      <c r="A2411">
        <v>10360</v>
      </c>
      <c r="B2411" t="s">
        <v>173</v>
      </c>
      <c r="C2411">
        <v>560</v>
      </c>
      <c r="D2411">
        <v>35</v>
      </c>
      <c r="E2411" s="80">
        <v>35391</v>
      </c>
    </row>
    <row r="2412" spans="1:5">
      <c r="A2412">
        <v>10360</v>
      </c>
      <c r="B2412" t="s">
        <v>174</v>
      </c>
      <c r="C2412">
        <v>560</v>
      </c>
      <c r="D2412">
        <v>35</v>
      </c>
      <c r="E2412" s="80">
        <v>35391</v>
      </c>
    </row>
    <row r="2413" spans="1:5">
      <c r="A2413">
        <v>10360</v>
      </c>
      <c r="B2413" t="s">
        <v>175</v>
      </c>
      <c r="C2413">
        <v>560</v>
      </c>
      <c r="D2413">
        <v>35</v>
      </c>
      <c r="E2413" s="80">
        <v>35391</v>
      </c>
    </row>
    <row r="2414" spans="1:5">
      <c r="A2414">
        <v>10360</v>
      </c>
      <c r="B2414" t="s">
        <v>176</v>
      </c>
      <c r="C2414">
        <v>560</v>
      </c>
      <c r="D2414">
        <v>35</v>
      </c>
      <c r="E2414" s="80">
        <v>35391</v>
      </c>
    </row>
    <row r="2415" spans="1:5">
      <c r="A2415">
        <v>10360</v>
      </c>
      <c r="B2415" t="s">
        <v>177</v>
      </c>
      <c r="C2415">
        <v>560</v>
      </c>
      <c r="D2415">
        <v>35</v>
      </c>
      <c r="E2415" s="80">
        <v>35391</v>
      </c>
    </row>
    <row r="2416" spans="1:5">
      <c r="A2416">
        <v>10360</v>
      </c>
      <c r="B2416" t="s">
        <v>178</v>
      </c>
      <c r="C2416">
        <v>560</v>
      </c>
      <c r="D2416">
        <v>35</v>
      </c>
      <c r="E2416" s="80">
        <v>35391</v>
      </c>
    </row>
    <row r="2417" spans="1:5">
      <c r="A2417">
        <v>10360</v>
      </c>
      <c r="B2417" t="s">
        <v>179</v>
      </c>
      <c r="C2417">
        <v>560</v>
      </c>
      <c r="D2417">
        <v>35</v>
      </c>
      <c r="E2417" s="80">
        <v>35391</v>
      </c>
    </row>
    <row r="2418" spans="1:5">
      <c r="A2418">
        <v>10360</v>
      </c>
      <c r="B2418" t="s">
        <v>172</v>
      </c>
      <c r="C2418">
        <v>165.2</v>
      </c>
      <c r="D2418">
        <v>28</v>
      </c>
      <c r="E2418" s="80">
        <v>35391</v>
      </c>
    </row>
    <row r="2419" spans="1:5">
      <c r="A2419">
        <v>10360</v>
      </c>
      <c r="B2419" t="s">
        <v>173</v>
      </c>
      <c r="C2419">
        <v>165.2</v>
      </c>
      <c r="D2419">
        <v>28</v>
      </c>
      <c r="E2419" s="80">
        <v>35391</v>
      </c>
    </row>
    <row r="2420" spans="1:5">
      <c r="A2420">
        <v>10360</v>
      </c>
      <c r="B2420" t="s">
        <v>174</v>
      </c>
      <c r="C2420">
        <v>165.2</v>
      </c>
      <c r="D2420">
        <v>28</v>
      </c>
      <c r="E2420" s="80">
        <v>35391</v>
      </c>
    </row>
    <row r="2421" spans="1:5">
      <c r="A2421">
        <v>10360</v>
      </c>
      <c r="B2421" t="s">
        <v>175</v>
      </c>
      <c r="C2421">
        <v>165.2</v>
      </c>
      <c r="D2421">
        <v>28</v>
      </c>
      <c r="E2421" s="80">
        <v>35391</v>
      </c>
    </row>
    <row r="2422" spans="1:5">
      <c r="A2422">
        <v>10360</v>
      </c>
      <c r="B2422" t="s">
        <v>176</v>
      </c>
      <c r="C2422">
        <v>165.2</v>
      </c>
      <c r="D2422">
        <v>28</v>
      </c>
      <c r="E2422" s="80">
        <v>35391</v>
      </c>
    </row>
    <row r="2423" spans="1:5">
      <c r="A2423">
        <v>10360</v>
      </c>
      <c r="B2423" t="s">
        <v>177</v>
      </c>
      <c r="C2423">
        <v>165.2</v>
      </c>
      <c r="D2423">
        <v>28</v>
      </c>
      <c r="E2423" s="80">
        <v>35391</v>
      </c>
    </row>
    <row r="2424" spans="1:5">
      <c r="A2424">
        <v>10360</v>
      </c>
      <c r="B2424" t="s">
        <v>178</v>
      </c>
      <c r="C2424">
        <v>165.2</v>
      </c>
      <c r="D2424">
        <v>28</v>
      </c>
      <c r="E2424" s="80">
        <v>35391</v>
      </c>
    </row>
    <row r="2425" spans="1:5">
      <c r="A2425">
        <v>10360</v>
      </c>
      <c r="B2425" t="s">
        <v>179</v>
      </c>
      <c r="C2425">
        <v>165.2</v>
      </c>
      <c r="D2425">
        <v>28</v>
      </c>
      <c r="E2425" s="80">
        <v>35391</v>
      </c>
    </row>
    <row r="2426" spans="1:5">
      <c r="A2426">
        <v>10361</v>
      </c>
      <c r="B2426" t="s">
        <v>172</v>
      </c>
      <c r="C2426">
        <v>699.83999884128571</v>
      </c>
      <c r="D2426">
        <v>54</v>
      </c>
      <c r="E2426" s="80">
        <v>35391</v>
      </c>
    </row>
    <row r="2427" spans="1:5">
      <c r="A2427">
        <v>10361</v>
      </c>
      <c r="B2427" t="s">
        <v>173</v>
      </c>
      <c r="C2427">
        <v>699.83999884128571</v>
      </c>
      <c r="D2427">
        <v>54</v>
      </c>
      <c r="E2427" s="80">
        <v>35391</v>
      </c>
    </row>
    <row r="2428" spans="1:5">
      <c r="A2428">
        <v>10361</v>
      </c>
      <c r="B2428" t="s">
        <v>174</v>
      </c>
      <c r="C2428">
        <v>699.83999884128571</v>
      </c>
      <c r="D2428">
        <v>54</v>
      </c>
      <c r="E2428" s="80">
        <v>35391</v>
      </c>
    </row>
    <row r="2429" spans="1:5">
      <c r="A2429">
        <v>10361</v>
      </c>
      <c r="B2429" t="s">
        <v>175</v>
      </c>
      <c r="C2429">
        <v>699.83999884128571</v>
      </c>
      <c r="D2429">
        <v>54</v>
      </c>
      <c r="E2429" s="80">
        <v>35391</v>
      </c>
    </row>
    <row r="2430" spans="1:5">
      <c r="A2430">
        <v>10361</v>
      </c>
      <c r="B2430" t="s">
        <v>176</v>
      </c>
      <c r="C2430">
        <v>699.83999884128571</v>
      </c>
      <c r="D2430">
        <v>54</v>
      </c>
      <c r="E2430" s="80">
        <v>35391</v>
      </c>
    </row>
    <row r="2431" spans="1:5">
      <c r="A2431">
        <v>10361</v>
      </c>
      <c r="B2431" t="s">
        <v>177</v>
      </c>
      <c r="C2431">
        <v>699.83999884128571</v>
      </c>
      <c r="D2431">
        <v>54</v>
      </c>
      <c r="E2431" s="80">
        <v>35391</v>
      </c>
    </row>
    <row r="2432" spans="1:5">
      <c r="A2432">
        <v>10361</v>
      </c>
      <c r="B2432" t="s">
        <v>178</v>
      </c>
      <c r="C2432">
        <v>699.83999884128571</v>
      </c>
      <c r="D2432">
        <v>54</v>
      </c>
      <c r="E2432" s="80">
        <v>35391</v>
      </c>
    </row>
    <row r="2433" spans="1:5">
      <c r="A2433">
        <v>10361</v>
      </c>
      <c r="B2433" t="s">
        <v>179</v>
      </c>
      <c r="C2433">
        <v>699.83999884128571</v>
      </c>
      <c r="D2433">
        <v>54</v>
      </c>
      <c r="E2433" s="80">
        <v>35391</v>
      </c>
    </row>
    <row r="2434" spans="1:5">
      <c r="A2434">
        <v>10361</v>
      </c>
      <c r="B2434" t="s">
        <v>172</v>
      </c>
      <c r="C2434">
        <v>1346.3999977707863</v>
      </c>
      <c r="D2434">
        <v>55</v>
      </c>
      <c r="E2434" s="80">
        <v>35391</v>
      </c>
    </row>
    <row r="2435" spans="1:5">
      <c r="A2435">
        <v>10361</v>
      </c>
      <c r="B2435" t="s">
        <v>173</v>
      </c>
      <c r="C2435">
        <v>1346.3999977707863</v>
      </c>
      <c r="D2435">
        <v>55</v>
      </c>
      <c r="E2435" s="80">
        <v>35391</v>
      </c>
    </row>
    <row r="2436" spans="1:5">
      <c r="A2436">
        <v>10361</v>
      </c>
      <c r="B2436" t="s">
        <v>174</v>
      </c>
      <c r="C2436">
        <v>1346.3999977707863</v>
      </c>
      <c r="D2436">
        <v>55</v>
      </c>
      <c r="E2436" s="80">
        <v>35391</v>
      </c>
    </row>
    <row r="2437" spans="1:5">
      <c r="A2437">
        <v>10361</v>
      </c>
      <c r="B2437" t="s">
        <v>175</v>
      </c>
      <c r="C2437">
        <v>1346.3999977707863</v>
      </c>
      <c r="D2437">
        <v>55</v>
      </c>
      <c r="E2437" s="80">
        <v>35391</v>
      </c>
    </row>
    <row r="2438" spans="1:5">
      <c r="A2438">
        <v>10361</v>
      </c>
      <c r="B2438" t="s">
        <v>176</v>
      </c>
      <c r="C2438">
        <v>1346.3999977707863</v>
      </c>
      <c r="D2438">
        <v>55</v>
      </c>
      <c r="E2438" s="80">
        <v>35391</v>
      </c>
    </row>
    <row r="2439" spans="1:5">
      <c r="A2439">
        <v>10361</v>
      </c>
      <c r="B2439" t="s">
        <v>177</v>
      </c>
      <c r="C2439">
        <v>1346.3999977707863</v>
      </c>
      <c r="D2439">
        <v>55</v>
      </c>
      <c r="E2439" s="80">
        <v>35391</v>
      </c>
    </row>
    <row r="2440" spans="1:5">
      <c r="A2440">
        <v>10361</v>
      </c>
      <c r="B2440" t="s">
        <v>178</v>
      </c>
      <c r="C2440">
        <v>1346.3999977707863</v>
      </c>
      <c r="D2440">
        <v>55</v>
      </c>
      <c r="E2440" s="80">
        <v>35391</v>
      </c>
    </row>
    <row r="2441" spans="1:5">
      <c r="A2441">
        <v>10361</v>
      </c>
      <c r="B2441" t="s">
        <v>179</v>
      </c>
      <c r="C2441">
        <v>1346.3999977707863</v>
      </c>
      <c r="D2441">
        <v>55</v>
      </c>
      <c r="E2441" s="80">
        <v>35391</v>
      </c>
    </row>
    <row r="2442" spans="1:5">
      <c r="A2442">
        <v>10362</v>
      </c>
      <c r="B2442" t="s">
        <v>172</v>
      </c>
      <c r="C2442">
        <v>560</v>
      </c>
      <c r="D2442">
        <v>50</v>
      </c>
      <c r="E2442" s="80">
        <v>35394</v>
      </c>
    </row>
    <row r="2443" spans="1:5">
      <c r="A2443">
        <v>10362</v>
      </c>
      <c r="B2443" t="s">
        <v>173</v>
      </c>
      <c r="C2443">
        <v>560</v>
      </c>
      <c r="D2443">
        <v>50</v>
      </c>
      <c r="E2443" s="80">
        <v>35394</v>
      </c>
    </row>
    <row r="2444" spans="1:5">
      <c r="A2444">
        <v>10362</v>
      </c>
      <c r="B2444" t="s">
        <v>174</v>
      </c>
      <c r="C2444">
        <v>560</v>
      </c>
      <c r="D2444">
        <v>50</v>
      </c>
      <c r="E2444" s="80">
        <v>35394</v>
      </c>
    </row>
    <row r="2445" spans="1:5">
      <c r="A2445">
        <v>10362</v>
      </c>
      <c r="B2445" t="s">
        <v>175</v>
      </c>
      <c r="C2445">
        <v>560</v>
      </c>
      <c r="D2445">
        <v>50</v>
      </c>
      <c r="E2445" s="80">
        <v>35394</v>
      </c>
    </row>
    <row r="2446" spans="1:5">
      <c r="A2446">
        <v>10362</v>
      </c>
      <c r="B2446" t="s">
        <v>176</v>
      </c>
      <c r="C2446">
        <v>560</v>
      </c>
      <c r="D2446">
        <v>50</v>
      </c>
      <c r="E2446" s="80">
        <v>35394</v>
      </c>
    </row>
    <row r="2447" spans="1:5">
      <c r="A2447">
        <v>10362</v>
      </c>
      <c r="B2447" t="s">
        <v>177</v>
      </c>
      <c r="C2447">
        <v>560</v>
      </c>
      <c r="D2447">
        <v>50</v>
      </c>
      <c r="E2447" s="80">
        <v>35394</v>
      </c>
    </row>
    <row r="2448" spans="1:5">
      <c r="A2448">
        <v>10362</v>
      </c>
      <c r="B2448" t="s">
        <v>178</v>
      </c>
      <c r="C2448">
        <v>560</v>
      </c>
      <c r="D2448">
        <v>50</v>
      </c>
      <c r="E2448" s="80">
        <v>35394</v>
      </c>
    </row>
    <row r="2449" spans="1:5">
      <c r="A2449">
        <v>10362</v>
      </c>
      <c r="B2449" t="s">
        <v>179</v>
      </c>
      <c r="C2449">
        <v>560</v>
      </c>
      <c r="D2449">
        <v>50</v>
      </c>
      <c r="E2449" s="80">
        <v>35394</v>
      </c>
    </row>
    <row r="2450" spans="1:5">
      <c r="A2450">
        <v>10362</v>
      </c>
      <c r="B2450" t="s">
        <v>172</v>
      </c>
      <c r="C2450">
        <v>848</v>
      </c>
      <c r="D2450">
        <v>20</v>
      </c>
      <c r="E2450" s="80">
        <v>35394</v>
      </c>
    </row>
    <row r="2451" spans="1:5">
      <c r="A2451">
        <v>10362</v>
      </c>
      <c r="B2451" t="s">
        <v>173</v>
      </c>
      <c r="C2451">
        <v>848</v>
      </c>
      <c r="D2451">
        <v>20</v>
      </c>
      <c r="E2451" s="80">
        <v>35394</v>
      </c>
    </row>
    <row r="2452" spans="1:5">
      <c r="A2452">
        <v>10362</v>
      </c>
      <c r="B2452" t="s">
        <v>174</v>
      </c>
      <c r="C2452">
        <v>848</v>
      </c>
      <c r="D2452">
        <v>20</v>
      </c>
      <c r="E2452" s="80">
        <v>35394</v>
      </c>
    </row>
    <row r="2453" spans="1:5">
      <c r="A2453">
        <v>10362</v>
      </c>
      <c r="B2453" t="s">
        <v>175</v>
      </c>
      <c r="C2453">
        <v>848</v>
      </c>
      <c r="D2453">
        <v>20</v>
      </c>
      <c r="E2453" s="80">
        <v>35394</v>
      </c>
    </row>
    <row r="2454" spans="1:5">
      <c r="A2454">
        <v>10362</v>
      </c>
      <c r="B2454" t="s">
        <v>176</v>
      </c>
      <c r="C2454">
        <v>848</v>
      </c>
      <c r="D2454">
        <v>20</v>
      </c>
      <c r="E2454" s="80">
        <v>35394</v>
      </c>
    </row>
    <row r="2455" spans="1:5">
      <c r="A2455">
        <v>10362</v>
      </c>
      <c r="B2455" t="s">
        <v>177</v>
      </c>
      <c r="C2455">
        <v>848</v>
      </c>
      <c r="D2455">
        <v>20</v>
      </c>
      <c r="E2455" s="80">
        <v>35394</v>
      </c>
    </row>
    <row r="2456" spans="1:5">
      <c r="A2456">
        <v>10362</v>
      </c>
      <c r="B2456" t="s">
        <v>178</v>
      </c>
      <c r="C2456">
        <v>848</v>
      </c>
      <c r="D2456">
        <v>20</v>
      </c>
      <c r="E2456" s="80">
        <v>35394</v>
      </c>
    </row>
    <row r="2457" spans="1:5">
      <c r="A2457">
        <v>10362</v>
      </c>
      <c r="B2457" t="s">
        <v>179</v>
      </c>
      <c r="C2457">
        <v>848</v>
      </c>
      <c r="D2457">
        <v>20</v>
      </c>
      <c r="E2457" s="80">
        <v>35394</v>
      </c>
    </row>
    <row r="2458" spans="1:5">
      <c r="A2458">
        <v>10362</v>
      </c>
      <c r="B2458" t="s">
        <v>172</v>
      </c>
      <c r="C2458">
        <v>141.6</v>
      </c>
      <c r="D2458">
        <v>24</v>
      </c>
      <c r="E2458" s="80">
        <v>35394</v>
      </c>
    </row>
    <row r="2459" spans="1:5">
      <c r="A2459">
        <v>10362</v>
      </c>
      <c r="B2459" t="s">
        <v>173</v>
      </c>
      <c r="C2459">
        <v>141.6</v>
      </c>
      <c r="D2459">
        <v>24</v>
      </c>
      <c r="E2459" s="80">
        <v>35394</v>
      </c>
    </row>
    <row r="2460" spans="1:5">
      <c r="A2460">
        <v>10362</v>
      </c>
      <c r="B2460" t="s">
        <v>174</v>
      </c>
      <c r="C2460">
        <v>141.6</v>
      </c>
      <c r="D2460">
        <v>24</v>
      </c>
      <c r="E2460" s="80">
        <v>35394</v>
      </c>
    </row>
    <row r="2461" spans="1:5">
      <c r="A2461">
        <v>10362</v>
      </c>
      <c r="B2461" t="s">
        <v>175</v>
      </c>
      <c r="C2461">
        <v>141.6</v>
      </c>
      <c r="D2461">
        <v>24</v>
      </c>
      <c r="E2461" s="80">
        <v>35394</v>
      </c>
    </row>
    <row r="2462" spans="1:5">
      <c r="A2462">
        <v>10362</v>
      </c>
      <c r="B2462" t="s">
        <v>176</v>
      </c>
      <c r="C2462">
        <v>141.6</v>
      </c>
      <c r="D2462">
        <v>24</v>
      </c>
      <c r="E2462" s="80">
        <v>35394</v>
      </c>
    </row>
    <row r="2463" spans="1:5">
      <c r="A2463">
        <v>10362</v>
      </c>
      <c r="B2463" t="s">
        <v>177</v>
      </c>
      <c r="C2463">
        <v>141.6</v>
      </c>
      <c r="D2463">
        <v>24</v>
      </c>
      <c r="E2463" s="80">
        <v>35394</v>
      </c>
    </row>
    <row r="2464" spans="1:5">
      <c r="A2464">
        <v>10362</v>
      </c>
      <c r="B2464" t="s">
        <v>178</v>
      </c>
      <c r="C2464">
        <v>141.6</v>
      </c>
      <c r="D2464">
        <v>24</v>
      </c>
      <c r="E2464" s="80">
        <v>35394</v>
      </c>
    </row>
    <row r="2465" spans="1:5">
      <c r="A2465">
        <v>10362</v>
      </c>
      <c r="B2465" t="s">
        <v>179</v>
      </c>
      <c r="C2465">
        <v>141.6</v>
      </c>
      <c r="D2465">
        <v>24</v>
      </c>
      <c r="E2465" s="80">
        <v>35394</v>
      </c>
    </row>
    <row r="2466" spans="1:5">
      <c r="A2466">
        <v>10363</v>
      </c>
      <c r="B2466" t="s">
        <v>172</v>
      </c>
      <c r="C2466">
        <v>200</v>
      </c>
      <c r="D2466">
        <v>20</v>
      </c>
      <c r="E2466" s="80">
        <v>35395</v>
      </c>
    </row>
    <row r="2467" spans="1:5">
      <c r="A2467">
        <v>10363</v>
      </c>
      <c r="B2467" t="s">
        <v>173</v>
      </c>
      <c r="C2467">
        <v>200</v>
      </c>
      <c r="D2467">
        <v>20</v>
      </c>
      <c r="E2467" s="80">
        <v>35395</v>
      </c>
    </row>
    <row r="2468" spans="1:5">
      <c r="A2468">
        <v>10363</v>
      </c>
      <c r="B2468" t="s">
        <v>174</v>
      </c>
      <c r="C2468">
        <v>200</v>
      </c>
      <c r="D2468">
        <v>20</v>
      </c>
      <c r="E2468" s="80">
        <v>35395</v>
      </c>
    </row>
    <row r="2469" spans="1:5">
      <c r="A2469">
        <v>10363</v>
      </c>
      <c r="B2469" t="s">
        <v>175</v>
      </c>
      <c r="C2469">
        <v>200</v>
      </c>
      <c r="D2469">
        <v>20</v>
      </c>
      <c r="E2469" s="80">
        <v>35395</v>
      </c>
    </row>
    <row r="2470" spans="1:5">
      <c r="A2470">
        <v>10363</v>
      </c>
      <c r="B2470" t="s">
        <v>176</v>
      </c>
      <c r="C2470">
        <v>200</v>
      </c>
      <c r="D2470">
        <v>20</v>
      </c>
      <c r="E2470" s="80">
        <v>35395</v>
      </c>
    </row>
    <row r="2471" spans="1:5">
      <c r="A2471">
        <v>10363</v>
      </c>
      <c r="B2471" t="s">
        <v>177</v>
      </c>
      <c r="C2471">
        <v>200</v>
      </c>
      <c r="D2471">
        <v>20</v>
      </c>
      <c r="E2471" s="80">
        <v>35395</v>
      </c>
    </row>
    <row r="2472" spans="1:5">
      <c r="A2472">
        <v>10363</v>
      </c>
      <c r="B2472" t="s">
        <v>178</v>
      </c>
      <c r="C2472">
        <v>200</v>
      </c>
      <c r="D2472">
        <v>20</v>
      </c>
      <c r="E2472" s="80">
        <v>35395</v>
      </c>
    </row>
    <row r="2473" spans="1:5">
      <c r="A2473">
        <v>10363</v>
      </c>
      <c r="B2473" t="s">
        <v>179</v>
      </c>
      <c r="C2473">
        <v>200</v>
      </c>
      <c r="D2473">
        <v>20</v>
      </c>
      <c r="E2473" s="80">
        <v>35395</v>
      </c>
    </row>
    <row r="2474" spans="1:5">
      <c r="A2474">
        <v>10363</v>
      </c>
      <c r="B2474" t="s">
        <v>172</v>
      </c>
      <c r="C2474">
        <v>74.400000000000006</v>
      </c>
      <c r="D2474">
        <v>12</v>
      </c>
      <c r="E2474" s="80">
        <v>35395</v>
      </c>
    </row>
    <row r="2475" spans="1:5">
      <c r="A2475">
        <v>10363</v>
      </c>
      <c r="B2475" t="s">
        <v>173</v>
      </c>
      <c r="C2475">
        <v>74.400000000000006</v>
      </c>
      <c r="D2475">
        <v>12</v>
      </c>
      <c r="E2475" s="80">
        <v>35395</v>
      </c>
    </row>
    <row r="2476" spans="1:5">
      <c r="A2476">
        <v>10363</v>
      </c>
      <c r="B2476" t="s">
        <v>174</v>
      </c>
      <c r="C2476">
        <v>74.400000000000006</v>
      </c>
      <c r="D2476">
        <v>12</v>
      </c>
      <c r="E2476" s="80">
        <v>35395</v>
      </c>
    </row>
    <row r="2477" spans="1:5">
      <c r="A2477">
        <v>10363</v>
      </c>
      <c r="B2477" t="s">
        <v>175</v>
      </c>
      <c r="C2477">
        <v>74.400000000000006</v>
      </c>
      <c r="D2477">
        <v>12</v>
      </c>
      <c r="E2477" s="80">
        <v>35395</v>
      </c>
    </row>
    <row r="2478" spans="1:5">
      <c r="A2478">
        <v>10363</v>
      </c>
      <c r="B2478" t="s">
        <v>176</v>
      </c>
      <c r="C2478">
        <v>74.400000000000006</v>
      </c>
      <c r="D2478">
        <v>12</v>
      </c>
      <c r="E2478" s="80">
        <v>35395</v>
      </c>
    </row>
    <row r="2479" spans="1:5">
      <c r="A2479">
        <v>10363</v>
      </c>
      <c r="B2479" t="s">
        <v>177</v>
      </c>
      <c r="C2479">
        <v>74.400000000000006</v>
      </c>
      <c r="D2479">
        <v>12</v>
      </c>
      <c r="E2479" s="80">
        <v>35395</v>
      </c>
    </row>
    <row r="2480" spans="1:5">
      <c r="A2480">
        <v>10363</v>
      </c>
      <c r="B2480" t="s">
        <v>178</v>
      </c>
      <c r="C2480">
        <v>74.400000000000006</v>
      </c>
      <c r="D2480">
        <v>12</v>
      </c>
      <c r="E2480" s="80">
        <v>35395</v>
      </c>
    </row>
    <row r="2481" spans="1:5">
      <c r="A2481">
        <v>10363</v>
      </c>
      <c r="B2481" t="s">
        <v>179</v>
      </c>
      <c r="C2481">
        <v>74.400000000000006</v>
      </c>
      <c r="D2481">
        <v>12</v>
      </c>
      <c r="E2481" s="80">
        <v>35395</v>
      </c>
    </row>
    <row r="2482" spans="1:5">
      <c r="A2482">
        <v>10363</v>
      </c>
      <c r="B2482" t="s">
        <v>172</v>
      </c>
      <c r="C2482">
        <v>172.8</v>
      </c>
      <c r="D2482">
        <v>12</v>
      </c>
      <c r="E2482" s="80">
        <v>35395</v>
      </c>
    </row>
    <row r="2483" spans="1:5">
      <c r="A2483">
        <v>10363</v>
      </c>
      <c r="B2483" t="s">
        <v>173</v>
      </c>
      <c r="C2483">
        <v>172.8</v>
      </c>
      <c r="D2483">
        <v>12</v>
      </c>
      <c r="E2483" s="80">
        <v>35395</v>
      </c>
    </row>
    <row r="2484" spans="1:5">
      <c r="A2484">
        <v>10363</v>
      </c>
      <c r="B2484" t="s">
        <v>174</v>
      </c>
      <c r="C2484">
        <v>172.8</v>
      </c>
      <c r="D2484">
        <v>12</v>
      </c>
      <c r="E2484" s="80">
        <v>35395</v>
      </c>
    </row>
    <row r="2485" spans="1:5">
      <c r="A2485">
        <v>10363</v>
      </c>
      <c r="B2485" t="s">
        <v>175</v>
      </c>
      <c r="C2485">
        <v>172.8</v>
      </c>
      <c r="D2485">
        <v>12</v>
      </c>
      <c r="E2485" s="80">
        <v>35395</v>
      </c>
    </row>
    <row r="2486" spans="1:5">
      <c r="A2486">
        <v>10363</v>
      </c>
      <c r="B2486" t="s">
        <v>176</v>
      </c>
      <c r="C2486">
        <v>172.8</v>
      </c>
      <c r="D2486">
        <v>12</v>
      </c>
      <c r="E2486" s="80">
        <v>35395</v>
      </c>
    </row>
    <row r="2487" spans="1:5">
      <c r="A2487">
        <v>10363</v>
      </c>
      <c r="B2487" t="s">
        <v>177</v>
      </c>
      <c r="C2487">
        <v>172.8</v>
      </c>
      <c r="D2487">
        <v>12</v>
      </c>
      <c r="E2487" s="80">
        <v>35395</v>
      </c>
    </row>
    <row r="2488" spans="1:5">
      <c r="A2488">
        <v>10363</v>
      </c>
      <c r="B2488" t="s">
        <v>178</v>
      </c>
      <c r="C2488">
        <v>172.8</v>
      </c>
      <c r="D2488">
        <v>12</v>
      </c>
      <c r="E2488" s="80">
        <v>35395</v>
      </c>
    </row>
    <row r="2489" spans="1:5">
      <c r="A2489">
        <v>10363</v>
      </c>
      <c r="B2489" t="s">
        <v>179</v>
      </c>
      <c r="C2489">
        <v>172.8</v>
      </c>
      <c r="D2489">
        <v>12</v>
      </c>
      <c r="E2489" s="80">
        <v>35395</v>
      </c>
    </row>
    <row r="2490" spans="1:5">
      <c r="A2490">
        <v>10364</v>
      </c>
      <c r="B2490" t="s">
        <v>172</v>
      </c>
      <c r="C2490">
        <v>864</v>
      </c>
      <c r="D2490">
        <v>30</v>
      </c>
      <c r="E2490" s="80">
        <v>35395</v>
      </c>
    </row>
    <row r="2491" spans="1:5">
      <c r="A2491">
        <v>10364</v>
      </c>
      <c r="B2491" t="s">
        <v>173</v>
      </c>
      <c r="C2491">
        <v>864</v>
      </c>
      <c r="D2491">
        <v>30</v>
      </c>
      <c r="E2491" s="80">
        <v>35395</v>
      </c>
    </row>
    <row r="2492" spans="1:5">
      <c r="A2492">
        <v>10364</v>
      </c>
      <c r="B2492" t="s">
        <v>174</v>
      </c>
      <c r="C2492">
        <v>864</v>
      </c>
      <c r="D2492">
        <v>30</v>
      </c>
      <c r="E2492" s="80">
        <v>35395</v>
      </c>
    </row>
    <row r="2493" spans="1:5">
      <c r="A2493">
        <v>10364</v>
      </c>
      <c r="B2493" t="s">
        <v>175</v>
      </c>
      <c r="C2493">
        <v>864</v>
      </c>
      <c r="D2493">
        <v>30</v>
      </c>
      <c r="E2493" s="80">
        <v>35395</v>
      </c>
    </row>
    <row r="2494" spans="1:5">
      <c r="A2494">
        <v>10364</v>
      </c>
      <c r="B2494" t="s">
        <v>176</v>
      </c>
      <c r="C2494">
        <v>864</v>
      </c>
      <c r="D2494">
        <v>30</v>
      </c>
      <c r="E2494" s="80">
        <v>35395</v>
      </c>
    </row>
    <row r="2495" spans="1:5">
      <c r="A2495">
        <v>10364</v>
      </c>
      <c r="B2495" t="s">
        <v>177</v>
      </c>
      <c r="C2495">
        <v>864</v>
      </c>
      <c r="D2495">
        <v>30</v>
      </c>
      <c r="E2495" s="80">
        <v>35395</v>
      </c>
    </row>
    <row r="2496" spans="1:5">
      <c r="A2496">
        <v>10364</v>
      </c>
      <c r="B2496" t="s">
        <v>178</v>
      </c>
      <c r="C2496">
        <v>864</v>
      </c>
      <c r="D2496">
        <v>30</v>
      </c>
      <c r="E2496" s="80">
        <v>35395</v>
      </c>
    </row>
    <row r="2497" spans="1:5">
      <c r="A2497">
        <v>10364</v>
      </c>
      <c r="B2497" t="s">
        <v>179</v>
      </c>
      <c r="C2497">
        <v>864</v>
      </c>
      <c r="D2497">
        <v>30</v>
      </c>
      <c r="E2497" s="80">
        <v>35395</v>
      </c>
    </row>
    <row r="2498" spans="1:5">
      <c r="A2498">
        <v>10364</v>
      </c>
      <c r="B2498" t="s">
        <v>172</v>
      </c>
      <c r="C2498">
        <v>86</v>
      </c>
      <c r="D2498">
        <v>5</v>
      </c>
      <c r="E2498" s="80">
        <v>35395</v>
      </c>
    </row>
    <row r="2499" spans="1:5">
      <c r="A2499">
        <v>10364</v>
      </c>
      <c r="B2499" t="s">
        <v>173</v>
      </c>
      <c r="C2499">
        <v>86</v>
      </c>
      <c r="D2499">
        <v>5</v>
      </c>
      <c r="E2499" s="80">
        <v>35395</v>
      </c>
    </row>
    <row r="2500" spans="1:5">
      <c r="A2500">
        <v>10364</v>
      </c>
      <c r="B2500" t="s">
        <v>174</v>
      </c>
      <c r="C2500">
        <v>86</v>
      </c>
      <c r="D2500">
        <v>5</v>
      </c>
      <c r="E2500" s="80">
        <v>35395</v>
      </c>
    </row>
    <row r="2501" spans="1:5">
      <c r="A2501">
        <v>10364</v>
      </c>
      <c r="B2501" t="s">
        <v>175</v>
      </c>
      <c r="C2501">
        <v>86</v>
      </c>
      <c r="D2501">
        <v>5</v>
      </c>
      <c r="E2501" s="80">
        <v>35395</v>
      </c>
    </row>
    <row r="2502" spans="1:5">
      <c r="A2502">
        <v>10364</v>
      </c>
      <c r="B2502" t="s">
        <v>176</v>
      </c>
      <c r="C2502">
        <v>86</v>
      </c>
      <c r="D2502">
        <v>5</v>
      </c>
      <c r="E2502" s="80">
        <v>35395</v>
      </c>
    </row>
    <row r="2503" spans="1:5">
      <c r="A2503">
        <v>10364</v>
      </c>
      <c r="B2503" t="s">
        <v>177</v>
      </c>
      <c r="C2503">
        <v>86</v>
      </c>
      <c r="D2503">
        <v>5</v>
      </c>
      <c r="E2503" s="80">
        <v>35395</v>
      </c>
    </row>
    <row r="2504" spans="1:5">
      <c r="A2504">
        <v>10364</v>
      </c>
      <c r="B2504" t="s">
        <v>178</v>
      </c>
      <c r="C2504">
        <v>86</v>
      </c>
      <c r="D2504">
        <v>5</v>
      </c>
      <c r="E2504" s="80">
        <v>35395</v>
      </c>
    </row>
    <row r="2505" spans="1:5">
      <c r="A2505">
        <v>10364</v>
      </c>
      <c r="B2505" t="s">
        <v>179</v>
      </c>
      <c r="C2505">
        <v>86</v>
      </c>
      <c r="D2505">
        <v>5</v>
      </c>
      <c r="E2505" s="80">
        <v>35395</v>
      </c>
    </row>
    <row r="2506" spans="1:5">
      <c r="A2506">
        <v>10365</v>
      </c>
      <c r="B2506" t="s">
        <v>172</v>
      </c>
      <c r="C2506">
        <v>403.2</v>
      </c>
      <c r="D2506">
        <v>24</v>
      </c>
      <c r="E2506" s="80">
        <v>35396</v>
      </c>
    </row>
    <row r="2507" spans="1:5">
      <c r="A2507">
        <v>10365</v>
      </c>
      <c r="B2507" t="s">
        <v>173</v>
      </c>
      <c r="C2507">
        <v>403.2</v>
      </c>
      <c r="D2507">
        <v>24</v>
      </c>
      <c r="E2507" s="80">
        <v>35396</v>
      </c>
    </row>
    <row r="2508" spans="1:5">
      <c r="A2508">
        <v>10365</v>
      </c>
      <c r="B2508" t="s">
        <v>174</v>
      </c>
      <c r="C2508">
        <v>403.2</v>
      </c>
      <c r="D2508">
        <v>24</v>
      </c>
      <c r="E2508" s="80">
        <v>35396</v>
      </c>
    </row>
    <row r="2509" spans="1:5">
      <c r="A2509">
        <v>10365</v>
      </c>
      <c r="B2509" t="s">
        <v>175</v>
      </c>
      <c r="C2509">
        <v>403.2</v>
      </c>
      <c r="D2509">
        <v>24</v>
      </c>
      <c r="E2509" s="80">
        <v>35396</v>
      </c>
    </row>
    <row r="2510" spans="1:5">
      <c r="A2510">
        <v>10365</v>
      </c>
      <c r="B2510" t="s">
        <v>176</v>
      </c>
      <c r="C2510">
        <v>403.2</v>
      </c>
      <c r="D2510">
        <v>24</v>
      </c>
      <c r="E2510" s="80">
        <v>35396</v>
      </c>
    </row>
    <row r="2511" spans="1:5">
      <c r="A2511">
        <v>10365</v>
      </c>
      <c r="B2511" t="s">
        <v>177</v>
      </c>
      <c r="C2511">
        <v>403.2</v>
      </c>
      <c r="D2511">
        <v>24</v>
      </c>
      <c r="E2511" s="80">
        <v>35396</v>
      </c>
    </row>
    <row r="2512" spans="1:5">
      <c r="A2512">
        <v>10365</v>
      </c>
      <c r="B2512" t="s">
        <v>178</v>
      </c>
      <c r="C2512">
        <v>403.2</v>
      </c>
      <c r="D2512">
        <v>24</v>
      </c>
      <c r="E2512" s="80">
        <v>35396</v>
      </c>
    </row>
    <row r="2513" spans="1:5">
      <c r="A2513">
        <v>10365</v>
      </c>
      <c r="B2513" t="s">
        <v>179</v>
      </c>
      <c r="C2513">
        <v>403.2</v>
      </c>
      <c r="D2513">
        <v>24</v>
      </c>
      <c r="E2513" s="80">
        <v>35396</v>
      </c>
    </row>
    <row r="2514" spans="1:5">
      <c r="A2514">
        <v>10366</v>
      </c>
      <c r="B2514" t="s">
        <v>172</v>
      </c>
      <c r="C2514">
        <v>84</v>
      </c>
      <c r="D2514">
        <v>5</v>
      </c>
      <c r="E2514" s="80">
        <v>35397</v>
      </c>
    </row>
    <row r="2515" spans="1:5">
      <c r="A2515">
        <v>10366</v>
      </c>
      <c r="B2515" t="s">
        <v>173</v>
      </c>
      <c r="C2515">
        <v>84</v>
      </c>
      <c r="D2515">
        <v>5</v>
      </c>
      <c r="E2515" s="80">
        <v>35397</v>
      </c>
    </row>
    <row r="2516" spans="1:5">
      <c r="A2516">
        <v>10366</v>
      </c>
      <c r="B2516" t="s">
        <v>174</v>
      </c>
      <c r="C2516">
        <v>84</v>
      </c>
      <c r="D2516">
        <v>5</v>
      </c>
      <c r="E2516" s="80">
        <v>35397</v>
      </c>
    </row>
    <row r="2517" spans="1:5">
      <c r="A2517">
        <v>10366</v>
      </c>
      <c r="B2517" t="s">
        <v>175</v>
      </c>
      <c r="C2517">
        <v>84</v>
      </c>
      <c r="D2517">
        <v>5</v>
      </c>
      <c r="E2517" s="80">
        <v>35397</v>
      </c>
    </row>
    <row r="2518" spans="1:5">
      <c r="A2518">
        <v>10366</v>
      </c>
      <c r="B2518" t="s">
        <v>176</v>
      </c>
      <c r="C2518">
        <v>84</v>
      </c>
      <c r="D2518">
        <v>5</v>
      </c>
      <c r="E2518" s="80">
        <v>35397</v>
      </c>
    </row>
    <row r="2519" spans="1:5">
      <c r="A2519">
        <v>10366</v>
      </c>
      <c r="B2519" t="s">
        <v>177</v>
      </c>
      <c r="C2519">
        <v>84</v>
      </c>
      <c r="D2519">
        <v>5</v>
      </c>
      <c r="E2519" s="80">
        <v>35397</v>
      </c>
    </row>
    <row r="2520" spans="1:5">
      <c r="A2520">
        <v>10366</v>
      </c>
      <c r="B2520" t="s">
        <v>178</v>
      </c>
      <c r="C2520">
        <v>84</v>
      </c>
      <c r="D2520">
        <v>5</v>
      </c>
      <c r="E2520" s="80">
        <v>35397</v>
      </c>
    </row>
    <row r="2521" spans="1:5">
      <c r="A2521">
        <v>10366</v>
      </c>
      <c r="B2521" t="s">
        <v>179</v>
      </c>
      <c r="C2521">
        <v>84</v>
      </c>
      <c r="D2521">
        <v>5</v>
      </c>
      <c r="E2521" s="80">
        <v>35397</v>
      </c>
    </row>
    <row r="2522" spans="1:5">
      <c r="A2522">
        <v>10366</v>
      </c>
      <c r="B2522" t="s">
        <v>172</v>
      </c>
      <c r="C2522">
        <v>52</v>
      </c>
      <c r="D2522">
        <v>5</v>
      </c>
      <c r="E2522" s="80">
        <v>35397</v>
      </c>
    </row>
    <row r="2523" spans="1:5">
      <c r="A2523">
        <v>10366</v>
      </c>
      <c r="B2523" t="s">
        <v>173</v>
      </c>
      <c r="C2523">
        <v>52</v>
      </c>
      <c r="D2523">
        <v>5</v>
      </c>
      <c r="E2523" s="80">
        <v>35397</v>
      </c>
    </row>
    <row r="2524" spans="1:5">
      <c r="A2524">
        <v>10366</v>
      </c>
      <c r="B2524" t="s">
        <v>174</v>
      </c>
      <c r="C2524">
        <v>52</v>
      </c>
      <c r="D2524">
        <v>5</v>
      </c>
      <c r="E2524" s="80">
        <v>35397</v>
      </c>
    </row>
    <row r="2525" spans="1:5">
      <c r="A2525">
        <v>10366</v>
      </c>
      <c r="B2525" t="s">
        <v>175</v>
      </c>
      <c r="C2525">
        <v>52</v>
      </c>
      <c r="D2525">
        <v>5</v>
      </c>
      <c r="E2525" s="80">
        <v>35397</v>
      </c>
    </row>
    <row r="2526" spans="1:5">
      <c r="A2526">
        <v>10366</v>
      </c>
      <c r="B2526" t="s">
        <v>176</v>
      </c>
      <c r="C2526">
        <v>52</v>
      </c>
      <c r="D2526">
        <v>5</v>
      </c>
      <c r="E2526" s="80">
        <v>35397</v>
      </c>
    </row>
    <row r="2527" spans="1:5">
      <c r="A2527">
        <v>10366</v>
      </c>
      <c r="B2527" t="s">
        <v>177</v>
      </c>
      <c r="C2527">
        <v>52</v>
      </c>
      <c r="D2527">
        <v>5</v>
      </c>
      <c r="E2527" s="80">
        <v>35397</v>
      </c>
    </row>
    <row r="2528" spans="1:5">
      <c r="A2528">
        <v>10366</v>
      </c>
      <c r="B2528" t="s">
        <v>178</v>
      </c>
      <c r="C2528">
        <v>52</v>
      </c>
      <c r="D2528">
        <v>5</v>
      </c>
      <c r="E2528" s="80">
        <v>35397</v>
      </c>
    </row>
    <row r="2529" spans="1:5">
      <c r="A2529">
        <v>10366</v>
      </c>
      <c r="B2529" t="s">
        <v>179</v>
      </c>
      <c r="C2529">
        <v>52</v>
      </c>
      <c r="D2529">
        <v>5</v>
      </c>
      <c r="E2529" s="80">
        <v>35397</v>
      </c>
    </row>
    <row r="2530" spans="1:5">
      <c r="A2530">
        <v>10367</v>
      </c>
      <c r="B2530" t="s">
        <v>172</v>
      </c>
      <c r="C2530">
        <v>403.2</v>
      </c>
      <c r="D2530">
        <v>36</v>
      </c>
      <c r="E2530" s="80">
        <v>35397</v>
      </c>
    </row>
    <row r="2531" spans="1:5">
      <c r="A2531">
        <v>10367</v>
      </c>
      <c r="B2531" t="s">
        <v>173</v>
      </c>
      <c r="C2531">
        <v>403.2</v>
      </c>
      <c r="D2531">
        <v>36</v>
      </c>
      <c r="E2531" s="80">
        <v>35397</v>
      </c>
    </row>
    <row r="2532" spans="1:5">
      <c r="A2532">
        <v>10367</v>
      </c>
      <c r="B2532" t="s">
        <v>174</v>
      </c>
      <c r="C2532">
        <v>403.2</v>
      </c>
      <c r="D2532">
        <v>36</v>
      </c>
      <c r="E2532" s="80">
        <v>35397</v>
      </c>
    </row>
    <row r="2533" spans="1:5">
      <c r="A2533">
        <v>10367</v>
      </c>
      <c r="B2533" t="s">
        <v>175</v>
      </c>
      <c r="C2533">
        <v>403.2</v>
      </c>
      <c r="D2533">
        <v>36</v>
      </c>
      <c r="E2533" s="80">
        <v>35397</v>
      </c>
    </row>
    <row r="2534" spans="1:5">
      <c r="A2534">
        <v>10367</v>
      </c>
      <c r="B2534" t="s">
        <v>176</v>
      </c>
      <c r="C2534">
        <v>403.2</v>
      </c>
      <c r="D2534">
        <v>36</v>
      </c>
      <c r="E2534" s="80">
        <v>35397</v>
      </c>
    </row>
    <row r="2535" spans="1:5">
      <c r="A2535">
        <v>10367</v>
      </c>
      <c r="B2535" t="s">
        <v>177</v>
      </c>
      <c r="C2535">
        <v>403.2</v>
      </c>
      <c r="D2535">
        <v>36</v>
      </c>
      <c r="E2535" s="80">
        <v>35397</v>
      </c>
    </row>
    <row r="2536" spans="1:5">
      <c r="A2536">
        <v>10367</v>
      </c>
      <c r="B2536" t="s">
        <v>178</v>
      </c>
      <c r="C2536">
        <v>403.2</v>
      </c>
      <c r="D2536">
        <v>36</v>
      </c>
      <c r="E2536" s="80">
        <v>35397</v>
      </c>
    </row>
    <row r="2537" spans="1:5">
      <c r="A2537">
        <v>10367</v>
      </c>
      <c r="B2537" t="s">
        <v>179</v>
      </c>
      <c r="C2537">
        <v>403.2</v>
      </c>
      <c r="D2537">
        <v>36</v>
      </c>
      <c r="E2537" s="80">
        <v>35397</v>
      </c>
    </row>
    <row r="2538" spans="1:5">
      <c r="A2538">
        <v>10367</v>
      </c>
      <c r="B2538" t="s">
        <v>172</v>
      </c>
      <c r="C2538">
        <v>106.2</v>
      </c>
      <c r="D2538">
        <v>18</v>
      </c>
      <c r="E2538" s="80">
        <v>35397</v>
      </c>
    </row>
    <row r="2539" spans="1:5">
      <c r="A2539">
        <v>10367</v>
      </c>
      <c r="B2539" t="s">
        <v>173</v>
      </c>
      <c r="C2539">
        <v>106.2</v>
      </c>
      <c r="D2539">
        <v>18</v>
      </c>
      <c r="E2539" s="80">
        <v>35397</v>
      </c>
    </row>
    <row r="2540" spans="1:5">
      <c r="A2540">
        <v>10367</v>
      </c>
      <c r="B2540" t="s">
        <v>174</v>
      </c>
      <c r="C2540">
        <v>106.2</v>
      </c>
      <c r="D2540">
        <v>18</v>
      </c>
      <c r="E2540" s="80">
        <v>35397</v>
      </c>
    </row>
    <row r="2541" spans="1:5">
      <c r="A2541">
        <v>10367</v>
      </c>
      <c r="B2541" t="s">
        <v>175</v>
      </c>
      <c r="C2541">
        <v>106.2</v>
      </c>
      <c r="D2541">
        <v>18</v>
      </c>
      <c r="E2541" s="80">
        <v>35397</v>
      </c>
    </row>
    <row r="2542" spans="1:5">
      <c r="A2542">
        <v>10367</v>
      </c>
      <c r="B2542" t="s">
        <v>176</v>
      </c>
      <c r="C2542">
        <v>106.2</v>
      </c>
      <c r="D2542">
        <v>18</v>
      </c>
      <c r="E2542" s="80">
        <v>35397</v>
      </c>
    </row>
    <row r="2543" spans="1:5">
      <c r="A2543">
        <v>10367</v>
      </c>
      <c r="B2543" t="s">
        <v>177</v>
      </c>
      <c r="C2543">
        <v>106.2</v>
      </c>
      <c r="D2543">
        <v>18</v>
      </c>
      <c r="E2543" s="80">
        <v>35397</v>
      </c>
    </row>
    <row r="2544" spans="1:5">
      <c r="A2544">
        <v>10367</v>
      </c>
      <c r="B2544" t="s">
        <v>178</v>
      </c>
      <c r="C2544">
        <v>106.2</v>
      </c>
      <c r="D2544">
        <v>18</v>
      </c>
      <c r="E2544" s="80">
        <v>35397</v>
      </c>
    </row>
    <row r="2545" spans="1:5">
      <c r="A2545">
        <v>10367</v>
      </c>
      <c r="B2545" t="s">
        <v>179</v>
      </c>
      <c r="C2545">
        <v>106.2</v>
      </c>
      <c r="D2545">
        <v>18</v>
      </c>
      <c r="E2545" s="80">
        <v>35397</v>
      </c>
    </row>
    <row r="2546" spans="1:5">
      <c r="A2546">
        <v>10367</v>
      </c>
      <c r="B2546" t="s">
        <v>172</v>
      </c>
      <c r="C2546">
        <v>252</v>
      </c>
      <c r="D2546">
        <v>15</v>
      </c>
      <c r="E2546" s="80">
        <v>35397</v>
      </c>
    </row>
    <row r="2547" spans="1:5">
      <c r="A2547">
        <v>10367</v>
      </c>
      <c r="B2547" t="s">
        <v>173</v>
      </c>
      <c r="C2547">
        <v>252</v>
      </c>
      <c r="D2547">
        <v>15</v>
      </c>
      <c r="E2547" s="80">
        <v>35397</v>
      </c>
    </row>
    <row r="2548" spans="1:5">
      <c r="A2548">
        <v>10367</v>
      </c>
      <c r="B2548" t="s">
        <v>174</v>
      </c>
      <c r="C2548">
        <v>252</v>
      </c>
      <c r="D2548">
        <v>15</v>
      </c>
      <c r="E2548" s="80">
        <v>35397</v>
      </c>
    </row>
    <row r="2549" spans="1:5">
      <c r="A2549">
        <v>10367</v>
      </c>
      <c r="B2549" t="s">
        <v>175</v>
      </c>
      <c r="C2549">
        <v>252</v>
      </c>
      <c r="D2549">
        <v>15</v>
      </c>
      <c r="E2549" s="80">
        <v>35397</v>
      </c>
    </row>
    <row r="2550" spans="1:5">
      <c r="A2550">
        <v>10367</v>
      </c>
      <c r="B2550" t="s">
        <v>176</v>
      </c>
      <c r="C2550">
        <v>252</v>
      </c>
      <c r="D2550">
        <v>15</v>
      </c>
      <c r="E2550" s="80">
        <v>35397</v>
      </c>
    </row>
    <row r="2551" spans="1:5">
      <c r="A2551">
        <v>10367</v>
      </c>
      <c r="B2551" t="s">
        <v>177</v>
      </c>
      <c r="C2551">
        <v>252</v>
      </c>
      <c r="D2551">
        <v>15</v>
      </c>
      <c r="E2551" s="80">
        <v>35397</v>
      </c>
    </row>
    <row r="2552" spans="1:5">
      <c r="A2552">
        <v>10367</v>
      </c>
      <c r="B2552" t="s">
        <v>178</v>
      </c>
      <c r="C2552">
        <v>252</v>
      </c>
      <c r="D2552">
        <v>15</v>
      </c>
      <c r="E2552" s="80">
        <v>35397</v>
      </c>
    </row>
    <row r="2553" spans="1:5">
      <c r="A2553">
        <v>10367</v>
      </c>
      <c r="B2553" t="s">
        <v>179</v>
      </c>
      <c r="C2553">
        <v>252</v>
      </c>
      <c r="D2553">
        <v>15</v>
      </c>
      <c r="E2553" s="80">
        <v>35397</v>
      </c>
    </row>
    <row r="2554" spans="1:5">
      <c r="A2554">
        <v>10367</v>
      </c>
      <c r="B2554" t="s">
        <v>172</v>
      </c>
      <c r="C2554">
        <v>72.8</v>
      </c>
      <c r="D2554">
        <v>7</v>
      </c>
      <c r="E2554" s="80">
        <v>35397</v>
      </c>
    </row>
    <row r="2555" spans="1:5">
      <c r="A2555">
        <v>10367</v>
      </c>
      <c r="B2555" t="s">
        <v>173</v>
      </c>
      <c r="C2555">
        <v>72.8</v>
      </c>
      <c r="D2555">
        <v>7</v>
      </c>
      <c r="E2555" s="80">
        <v>35397</v>
      </c>
    </row>
    <row r="2556" spans="1:5">
      <c r="A2556">
        <v>10367</v>
      </c>
      <c r="B2556" t="s">
        <v>174</v>
      </c>
      <c r="C2556">
        <v>72.8</v>
      </c>
      <c r="D2556">
        <v>7</v>
      </c>
      <c r="E2556" s="80">
        <v>35397</v>
      </c>
    </row>
    <row r="2557" spans="1:5">
      <c r="A2557">
        <v>10367</v>
      </c>
      <c r="B2557" t="s">
        <v>175</v>
      </c>
      <c r="C2557">
        <v>72.8</v>
      </c>
      <c r="D2557">
        <v>7</v>
      </c>
      <c r="E2557" s="80">
        <v>35397</v>
      </c>
    </row>
    <row r="2558" spans="1:5">
      <c r="A2558">
        <v>10367</v>
      </c>
      <c r="B2558" t="s">
        <v>176</v>
      </c>
      <c r="C2558">
        <v>72.8</v>
      </c>
      <c r="D2558">
        <v>7</v>
      </c>
      <c r="E2558" s="80">
        <v>35397</v>
      </c>
    </row>
    <row r="2559" spans="1:5">
      <c r="A2559">
        <v>10367</v>
      </c>
      <c r="B2559" t="s">
        <v>177</v>
      </c>
      <c r="C2559">
        <v>72.8</v>
      </c>
      <c r="D2559">
        <v>7</v>
      </c>
      <c r="E2559" s="80">
        <v>35397</v>
      </c>
    </row>
    <row r="2560" spans="1:5">
      <c r="A2560">
        <v>10367</v>
      </c>
      <c r="B2560" t="s">
        <v>178</v>
      </c>
      <c r="C2560">
        <v>72.8</v>
      </c>
      <c r="D2560">
        <v>7</v>
      </c>
      <c r="E2560" s="80">
        <v>35397</v>
      </c>
    </row>
    <row r="2561" spans="1:5">
      <c r="A2561">
        <v>10367</v>
      </c>
      <c r="B2561" t="s">
        <v>179</v>
      </c>
      <c r="C2561">
        <v>72.8</v>
      </c>
      <c r="D2561">
        <v>7</v>
      </c>
      <c r="E2561" s="80">
        <v>35397</v>
      </c>
    </row>
    <row r="2562" spans="1:5">
      <c r="A2562">
        <v>10368</v>
      </c>
      <c r="B2562" t="s">
        <v>172</v>
      </c>
      <c r="C2562">
        <v>35.999999940395355</v>
      </c>
      <c r="D2562">
        <v>5</v>
      </c>
      <c r="E2562" s="80">
        <v>35398</v>
      </c>
    </row>
    <row r="2563" spans="1:5">
      <c r="A2563">
        <v>10368</v>
      </c>
      <c r="B2563" t="s">
        <v>173</v>
      </c>
      <c r="C2563">
        <v>35.999999940395355</v>
      </c>
      <c r="D2563">
        <v>5</v>
      </c>
      <c r="E2563" s="80">
        <v>35398</v>
      </c>
    </row>
    <row r="2564" spans="1:5">
      <c r="A2564">
        <v>10368</v>
      </c>
      <c r="B2564" t="s">
        <v>174</v>
      </c>
      <c r="C2564">
        <v>35.999999940395355</v>
      </c>
      <c r="D2564">
        <v>5</v>
      </c>
      <c r="E2564" s="80">
        <v>35398</v>
      </c>
    </row>
    <row r="2565" spans="1:5">
      <c r="A2565">
        <v>10368</v>
      </c>
      <c r="B2565" t="s">
        <v>175</v>
      </c>
      <c r="C2565">
        <v>35.999999940395355</v>
      </c>
      <c r="D2565">
        <v>5</v>
      </c>
      <c r="E2565" s="80">
        <v>35398</v>
      </c>
    </row>
    <row r="2566" spans="1:5">
      <c r="A2566">
        <v>10368</v>
      </c>
      <c r="B2566" t="s">
        <v>176</v>
      </c>
      <c r="C2566">
        <v>35.999999940395355</v>
      </c>
      <c r="D2566">
        <v>5</v>
      </c>
      <c r="E2566" s="80">
        <v>35398</v>
      </c>
    </row>
    <row r="2567" spans="1:5">
      <c r="A2567">
        <v>10368</v>
      </c>
      <c r="B2567" t="s">
        <v>177</v>
      </c>
      <c r="C2567">
        <v>35.999999940395355</v>
      </c>
      <c r="D2567">
        <v>5</v>
      </c>
      <c r="E2567" s="80">
        <v>35398</v>
      </c>
    </row>
    <row r="2568" spans="1:5">
      <c r="A2568">
        <v>10368</v>
      </c>
      <c r="B2568" t="s">
        <v>178</v>
      </c>
      <c r="C2568">
        <v>35.999999940395355</v>
      </c>
      <c r="D2568">
        <v>5</v>
      </c>
      <c r="E2568" s="80">
        <v>35398</v>
      </c>
    </row>
    <row r="2569" spans="1:5">
      <c r="A2569">
        <v>10368</v>
      </c>
      <c r="B2569" t="s">
        <v>179</v>
      </c>
      <c r="C2569">
        <v>35.999999940395355</v>
      </c>
      <c r="D2569">
        <v>5</v>
      </c>
      <c r="E2569" s="80">
        <v>35398</v>
      </c>
    </row>
    <row r="2570" spans="1:5">
      <c r="A2570">
        <v>10368</v>
      </c>
      <c r="B2570" t="s">
        <v>172</v>
      </c>
      <c r="C2570">
        <v>425.87999929487705</v>
      </c>
      <c r="D2570">
        <v>13</v>
      </c>
      <c r="E2570" s="80">
        <v>35398</v>
      </c>
    </row>
    <row r="2571" spans="1:5">
      <c r="A2571">
        <v>10368</v>
      </c>
      <c r="B2571" t="s">
        <v>173</v>
      </c>
      <c r="C2571">
        <v>425.87999929487705</v>
      </c>
      <c r="D2571">
        <v>13</v>
      </c>
      <c r="E2571" s="80">
        <v>35398</v>
      </c>
    </row>
    <row r="2572" spans="1:5">
      <c r="A2572">
        <v>10368</v>
      </c>
      <c r="B2572" t="s">
        <v>174</v>
      </c>
      <c r="C2572">
        <v>425.87999929487705</v>
      </c>
      <c r="D2572">
        <v>13</v>
      </c>
      <c r="E2572" s="80">
        <v>35398</v>
      </c>
    </row>
    <row r="2573" spans="1:5">
      <c r="A2573">
        <v>10368</v>
      </c>
      <c r="B2573" t="s">
        <v>175</v>
      </c>
      <c r="C2573">
        <v>425.87999929487705</v>
      </c>
      <c r="D2573">
        <v>13</v>
      </c>
      <c r="E2573" s="80">
        <v>35398</v>
      </c>
    </row>
    <row r="2574" spans="1:5">
      <c r="A2574">
        <v>10368</v>
      </c>
      <c r="B2574" t="s">
        <v>176</v>
      </c>
      <c r="C2574">
        <v>425.87999929487705</v>
      </c>
      <c r="D2574">
        <v>13</v>
      </c>
      <c r="E2574" s="80">
        <v>35398</v>
      </c>
    </row>
    <row r="2575" spans="1:5">
      <c r="A2575">
        <v>10368</v>
      </c>
      <c r="B2575" t="s">
        <v>177</v>
      </c>
      <c r="C2575">
        <v>425.87999929487705</v>
      </c>
      <c r="D2575">
        <v>13</v>
      </c>
      <c r="E2575" s="80">
        <v>35398</v>
      </c>
    </row>
    <row r="2576" spans="1:5">
      <c r="A2576">
        <v>10368</v>
      </c>
      <c r="B2576" t="s">
        <v>178</v>
      </c>
      <c r="C2576">
        <v>425.87999929487705</v>
      </c>
      <c r="D2576">
        <v>13</v>
      </c>
      <c r="E2576" s="80">
        <v>35398</v>
      </c>
    </row>
    <row r="2577" spans="1:5">
      <c r="A2577">
        <v>10368</v>
      </c>
      <c r="B2577" t="s">
        <v>179</v>
      </c>
      <c r="C2577">
        <v>425.87999929487705</v>
      </c>
      <c r="D2577">
        <v>13</v>
      </c>
      <c r="E2577" s="80">
        <v>35398</v>
      </c>
    </row>
    <row r="2578" spans="1:5">
      <c r="A2578">
        <v>10368</v>
      </c>
      <c r="B2578" t="s">
        <v>172</v>
      </c>
      <c r="C2578">
        <v>390</v>
      </c>
      <c r="D2578">
        <v>25</v>
      </c>
      <c r="E2578" s="80">
        <v>35398</v>
      </c>
    </row>
    <row r="2579" spans="1:5">
      <c r="A2579">
        <v>10368</v>
      </c>
      <c r="B2579" t="s">
        <v>173</v>
      </c>
      <c r="C2579">
        <v>390</v>
      </c>
      <c r="D2579">
        <v>25</v>
      </c>
      <c r="E2579" s="80">
        <v>35398</v>
      </c>
    </row>
    <row r="2580" spans="1:5">
      <c r="A2580">
        <v>10368</v>
      </c>
      <c r="B2580" t="s">
        <v>174</v>
      </c>
      <c r="C2580">
        <v>390</v>
      </c>
      <c r="D2580">
        <v>25</v>
      </c>
      <c r="E2580" s="80">
        <v>35398</v>
      </c>
    </row>
    <row r="2581" spans="1:5">
      <c r="A2581">
        <v>10368</v>
      </c>
      <c r="B2581" t="s">
        <v>175</v>
      </c>
      <c r="C2581">
        <v>390</v>
      </c>
      <c r="D2581">
        <v>25</v>
      </c>
      <c r="E2581" s="80">
        <v>35398</v>
      </c>
    </row>
    <row r="2582" spans="1:5">
      <c r="A2582">
        <v>10368</v>
      </c>
      <c r="B2582" t="s">
        <v>176</v>
      </c>
      <c r="C2582">
        <v>390</v>
      </c>
      <c r="D2582">
        <v>25</v>
      </c>
      <c r="E2582" s="80">
        <v>35398</v>
      </c>
    </row>
    <row r="2583" spans="1:5">
      <c r="A2583">
        <v>10368</v>
      </c>
      <c r="B2583" t="s">
        <v>177</v>
      </c>
      <c r="C2583">
        <v>390</v>
      </c>
      <c r="D2583">
        <v>25</v>
      </c>
      <c r="E2583" s="80">
        <v>35398</v>
      </c>
    </row>
    <row r="2584" spans="1:5">
      <c r="A2584">
        <v>10368</v>
      </c>
      <c r="B2584" t="s">
        <v>178</v>
      </c>
      <c r="C2584">
        <v>390</v>
      </c>
      <c r="D2584">
        <v>25</v>
      </c>
      <c r="E2584" s="80">
        <v>35398</v>
      </c>
    </row>
    <row r="2585" spans="1:5">
      <c r="A2585">
        <v>10368</v>
      </c>
      <c r="B2585" t="s">
        <v>179</v>
      </c>
      <c r="C2585">
        <v>390</v>
      </c>
      <c r="D2585">
        <v>25</v>
      </c>
      <c r="E2585" s="80">
        <v>35398</v>
      </c>
    </row>
    <row r="2586" spans="1:5">
      <c r="A2586">
        <v>10368</v>
      </c>
      <c r="B2586" t="s">
        <v>172</v>
      </c>
      <c r="C2586">
        <v>837.89999861270189</v>
      </c>
      <c r="D2586">
        <v>35</v>
      </c>
      <c r="E2586" s="80">
        <v>35398</v>
      </c>
    </row>
    <row r="2587" spans="1:5">
      <c r="A2587">
        <v>10368</v>
      </c>
      <c r="B2587" t="s">
        <v>173</v>
      </c>
      <c r="C2587">
        <v>837.89999861270189</v>
      </c>
      <c r="D2587">
        <v>35</v>
      </c>
      <c r="E2587" s="80">
        <v>35398</v>
      </c>
    </row>
    <row r="2588" spans="1:5">
      <c r="A2588">
        <v>10368</v>
      </c>
      <c r="B2588" t="s">
        <v>174</v>
      </c>
      <c r="C2588">
        <v>837.89999861270189</v>
      </c>
      <c r="D2588">
        <v>35</v>
      </c>
      <c r="E2588" s="80">
        <v>35398</v>
      </c>
    </row>
    <row r="2589" spans="1:5">
      <c r="A2589">
        <v>10368</v>
      </c>
      <c r="B2589" t="s">
        <v>175</v>
      </c>
      <c r="C2589">
        <v>837.89999861270189</v>
      </c>
      <c r="D2589">
        <v>35</v>
      </c>
      <c r="E2589" s="80">
        <v>35398</v>
      </c>
    </row>
    <row r="2590" spans="1:5">
      <c r="A2590">
        <v>10368</v>
      </c>
      <c r="B2590" t="s">
        <v>176</v>
      </c>
      <c r="C2590">
        <v>837.89999861270189</v>
      </c>
      <c r="D2590">
        <v>35</v>
      </c>
      <c r="E2590" s="80">
        <v>35398</v>
      </c>
    </row>
    <row r="2591" spans="1:5">
      <c r="A2591">
        <v>10368</v>
      </c>
      <c r="B2591" t="s">
        <v>177</v>
      </c>
      <c r="C2591">
        <v>837.89999861270189</v>
      </c>
      <c r="D2591">
        <v>35</v>
      </c>
      <c r="E2591" s="80">
        <v>35398</v>
      </c>
    </row>
    <row r="2592" spans="1:5">
      <c r="A2592">
        <v>10368</v>
      </c>
      <c r="B2592" t="s">
        <v>178</v>
      </c>
      <c r="C2592">
        <v>837.89999861270189</v>
      </c>
      <c r="D2592">
        <v>35</v>
      </c>
      <c r="E2592" s="80">
        <v>35398</v>
      </c>
    </row>
    <row r="2593" spans="1:5">
      <c r="A2593">
        <v>10368</v>
      </c>
      <c r="B2593" t="s">
        <v>179</v>
      </c>
      <c r="C2593">
        <v>837.89999861270189</v>
      </c>
      <c r="D2593">
        <v>35</v>
      </c>
      <c r="E2593" s="80">
        <v>35398</v>
      </c>
    </row>
    <row r="2594" spans="1:5">
      <c r="A2594">
        <v>10369</v>
      </c>
      <c r="B2594" t="s">
        <v>172</v>
      </c>
      <c r="C2594">
        <v>1980</v>
      </c>
      <c r="D2594">
        <v>20</v>
      </c>
      <c r="E2594" s="80">
        <v>35401</v>
      </c>
    </row>
    <row r="2595" spans="1:5">
      <c r="A2595">
        <v>10369</v>
      </c>
      <c r="B2595" t="s">
        <v>173</v>
      </c>
      <c r="C2595">
        <v>1980</v>
      </c>
      <c r="D2595">
        <v>20</v>
      </c>
      <c r="E2595" s="80">
        <v>35401</v>
      </c>
    </row>
    <row r="2596" spans="1:5">
      <c r="A2596">
        <v>10369</v>
      </c>
      <c r="B2596" t="s">
        <v>174</v>
      </c>
      <c r="C2596">
        <v>1980</v>
      </c>
      <c r="D2596">
        <v>20</v>
      </c>
      <c r="E2596" s="80">
        <v>35401</v>
      </c>
    </row>
    <row r="2597" spans="1:5">
      <c r="A2597">
        <v>10369</v>
      </c>
      <c r="B2597" t="s">
        <v>175</v>
      </c>
      <c r="C2597">
        <v>1980</v>
      </c>
      <c r="D2597">
        <v>20</v>
      </c>
      <c r="E2597" s="80">
        <v>35401</v>
      </c>
    </row>
    <row r="2598" spans="1:5">
      <c r="A2598">
        <v>10369</v>
      </c>
      <c r="B2598" t="s">
        <v>176</v>
      </c>
      <c r="C2598">
        <v>1980</v>
      </c>
      <c r="D2598">
        <v>20</v>
      </c>
      <c r="E2598" s="80">
        <v>35401</v>
      </c>
    </row>
    <row r="2599" spans="1:5">
      <c r="A2599">
        <v>10369</v>
      </c>
      <c r="B2599" t="s">
        <v>177</v>
      </c>
      <c r="C2599">
        <v>1980</v>
      </c>
      <c r="D2599">
        <v>20</v>
      </c>
      <c r="E2599" s="80">
        <v>35401</v>
      </c>
    </row>
    <row r="2600" spans="1:5">
      <c r="A2600">
        <v>10369</v>
      </c>
      <c r="B2600" t="s">
        <v>178</v>
      </c>
      <c r="C2600">
        <v>1980</v>
      </c>
      <c r="D2600">
        <v>20</v>
      </c>
      <c r="E2600" s="80">
        <v>35401</v>
      </c>
    </row>
    <row r="2601" spans="1:5">
      <c r="A2601">
        <v>10369</v>
      </c>
      <c r="B2601" t="s">
        <v>179</v>
      </c>
      <c r="C2601">
        <v>1980</v>
      </c>
      <c r="D2601">
        <v>20</v>
      </c>
      <c r="E2601" s="80">
        <v>35401</v>
      </c>
    </row>
    <row r="2602" spans="1:5">
      <c r="A2602">
        <v>10369</v>
      </c>
      <c r="B2602" t="s">
        <v>172</v>
      </c>
      <c r="C2602">
        <v>410.40000000000003</v>
      </c>
      <c r="D2602">
        <v>18</v>
      </c>
      <c r="E2602" s="80">
        <v>35401</v>
      </c>
    </row>
    <row r="2603" spans="1:5">
      <c r="A2603">
        <v>10369</v>
      </c>
      <c r="B2603" t="s">
        <v>173</v>
      </c>
      <c r="C2603">
        <v>410.40000000000003</v>
      </c>
      <c r="D2603">
        <v>18</v>
      </c>
      <c r="E2603" s="80">
        <v>35401</v>
      </c>
    </row>
    <row r="2604" spans="1:5">
      <c r="A2604">
        <v>10369</v>
      </c>
      <c r="B2604" t="s">
        <v>174</v>
      </c>
      <c r="C2604">
        <v>410.40000000000003</v>
      </c>
      <c r="D2604">
        <v>18</v>
      </c>
      <c r="E2604" s="80">
        <v>35401</v>
      </c>
    </row>
    <row r="2605" spans="1:5">
      <c r="A2605">
        <v>10369</v>
      </c>
      <c r="B2605" t="s">
        <v>175</v>
      </c>
      <c r="C2605">
        <v>410.40000000000003</v>
      </c>
      <c r="D2605">
        <v>18</v>
      </c>
      <c r="E2605" s="80">
        <v>35401</v>
      </c>
    </row>
    <row r="2606" spans="1:5">
      <c r="A2606">
        <v>10369</v>
      </c>
      <c r="B2606" t="s">
        <v>176</v>
      </c>
      <c r="C2606">
        <v>410.40000000000003</v>
      </c>
      <c r="D2606">
        <v>18</v>
      </c>
      <c r="E2606" s="80">
        <v>35401</v>
      </c>
    </row>
    <row r="2607" spans="1:5">
      <c r="A2607">
        <v>10369</v>
      </c>
      <c r="B2607" t="s">
        <v>177</v>
      </c>
      <c r="C2607">
        <v>410.40000000000003</v>
      </c>
      <c r="D2607">
        <v>18</v>
      </c>
      <c r="E2607" s="80">
        <v>35401</v>
      </c>
    </row>
    <row r="2608" spans="1:5">
      <c r="A2608">
        <v>10369</v>
      </c>
      <c r="B2608" t="s">
        <v>178</v>
      </c>
      <c r="C2608">
        <v>410.40000000000003</v>
      </c>
      <c r="D2608">
        <v>18</v>
      </c>
      <c r="E2608" s="80">
        <v>35401</v>
      </c>
    </row>
    <row r="2609" spans="1:5">
      <c r="A2609">
        <v>10369</v>
      </c>
      <c r="B2609" t="s">
        <v>179</v>
      </c>
      <c r="C2609">
        <v>410.40000000000003</v>
      </c>
      <c r="D2609">
        <v>18</v>
      </c>
      <c r="E2609" s="80">
        <v>35401</v>
      </c>
    </row>
    <row r="2610" spans="1:5">
      <c r="A2610">
        <v>10370</v>
      </c>
      <c r="B2610" t="s">
        <v>172</v>
      </c>
      <c r="C2610">
        <v>183.59999871253967</v>
      </c>
      <c r="D2610">
        <v>15</v>
      </c>
      <c r="E2610" s="80">
        <v>35402</v>
      </c>
    </row>
    <row r="2611" spans="1:5">
      <c r="A2611">
        <v>10370</v>
      </c>
      <c r="B2611" t="s">
        <v>173</v>
      </c>
      <c r="C2611">
        <v>183.59999871253967</v>
      </c>
      <c r="D2611">
        <v>15</v>
      </c>
      <c r="E2611" s="80">
        <v>35402</v>
      </c>
    </row>
    <row r="2612" spans="1:5">
      <c r="A2612">
        <v>10370</v>
      </c>
      <c r="B2612" t="s">
        <v>174</v>
      </c>
      <c r="C2612">
        <v>183.59999871253967</v>
      </c>
      <c r="D2612">
        <v>15</v>
      </c>
      <c r="E2612" s="80">
        <v>35402</v>
      </c>
    </row>
    <row r="2613" spans="1:5">
      <c r="A2613">
        <v>10370</v>
      </c>
      <c r="B2613" t="s">
        <v>175</v>
      </c>
      <c r="C2613">
        <v>183.59999871253967</v>
      </c>
      <c r="D2613">
        <v>15</v>
      </c>
      <c r="E2613" s="80">
        <v>35402</v>
      </c>
    </row>
    <row r="2614" spans="1:5">
      <c r="A2614">
        <v>10370</v>
      </c>
      <c r="B2614" t="s">
        <v>176</v>
      </c>
      <c r="C2614">
        <v>183.59999871253967</v>
      </c>
      <c r="D2614">
        <v>15</v>
      </c>
      <c r="E2614" s="80">
        <v>35402</v>
      </c>
    </row>
    <row r="2615" spans="1:5">
      <c r="A2615">
        <v>10370</v>
      </c>
      <c r="B2615" t="s">
        <v>177</v>
      </c>
      <c r="C2615">
        <v>183.59999871253967</v>
      </c>
      <c r="D2615">
        <v>15</v>
      </c>
      <c r="E2615" s="80">
        <v>35402</v>
      </c>
    </row>
    <row r="2616" spans="1:5">
      <c r="A2616">
        <v>10370</v>
      </c>
      <c r="B2616" t="s">
        <v>178</v>
      </c>
      <c r="C2616">
        <v>183.59999871253967</v>
      </c>
      <c r="D2616">
        <v>15</v>
      </c>
      <c r="E2616" s="80">
        <v>35402</v>
      </c>
    </row>
    <row r="2617" spans="1:5">
      <c r="A2617">
        <v>10370</v>
      </c>
      <c r="B2617" t="s">
        <v>179</v>
      </c>
      <c r="C2617">
        <v>183.59999871253967</v>
      </c>
      <c r="D2617">
        <v>15</v>
      </c>
      <c r="E2617" s="80">
        <v>35402</v>
      </c>
    </row>
    <row r="2618" spans="1:5">
      <c r="A2618">
        <v>10370</v>
      </c>
      <c r="B2618" t="s">
        <v>172</v>
      </c>
      <c r="C2618">
        <v>798</v>
      </c>
      <c r="D2618">
        <v>30</v>
      </c>
      <c r="E2618" s="80">
        <v>35402</v>
      </c>
    </row>
    <row r="2619" spans="1:5">
      <c r="A2619">
        <v>10370</v>
      </c>
      <c r="B2619" t="s">
        <v>173</v>
      </c>
      <c r="C2619">
        <v>798</v>
      </c>
      <c r="D2619">
        <v>30</v>
      </c>
      <c r="E2619" s="80">
        <v>35402</v>
      </c>
    </row>
    <row r="2620" spans="1:5">
      <c r="A2620">
        <v>10370</v>
      </c>
      <c r="B2620" t="s">
        <v>174</v>
      </c>
      <c r="C2620">
        <v>798</v>
      </c>
      <c r="D2620">
        <v>30</v>
      </c>
      <c r="E2620" s="80">
        <v>35402</v>
      </c>
    </row>
    <row r="2621" spans="1:5">
      <c r="A2621">
        <v>10370</v>
      </c>
      <c r="B2621" t="s">
        <v>175</v>
      </c>
      <c r="C2621">
        <v>798</v>
      </c>
      <c r="D2621">
        <v>30</v>
      </c>
      <c r="E2621" s="80">
        <v>35402</v>
      </c>
    </row>
    <row r="2622" spans="1:5">
      <c r="A2622">
        <v>10370</v>
      </c>
      <c r="B2622" t="s">
        <v>176</v>
      </c>
      <c r="C2622">
        <v>798</v>
      </c>
      <c r="D2622">
        <v>30</v>
      </c>
      <c r="E2622" s="80">
        <v>35402</v>
      </c>
    </row>
    <row r="2623" spans="1:5">
      <c r="A2623">
        <v>10370</v>
      </c>
      <c r="B2623" t="s">
        <v>177</v>
      </c>
      <c r="C2623">
        <v>798</v>
      </c>
      <c r="D2623">
        <v>30</v>
      </c>
      <c r="E2623" s="80">
        <v>35402</v>
      </c>
    </row>
    <row r="2624" spans="1:5">
      <c r="A2624">
        <v>10370</v>
      </c>
      <c r="B2624" t="s">
        <v>178</v>
      </c>
      <c r="C2624">
        <v>798</v>
      </c>
      <c r="D2624">
        <v>30</v>
      </c>
      <c r="E2624" s="80">
        <v>35402</v>
      </c>
    </row>
    <row r="2625" spans="1:5">
      <c r="A2625">
        <v>10370</v>
      </c>
      <c r="B2625" t="s">
        <v>179</v>
      </c>
      <c r="C2625">
        <v>798</v>
      </c>
      <c r="D2625">
        <v>30</v>
      </c>
      <c r="E2625" s="80">
        <v>35402</v>
      </c>
    </row>
    <row r="2626" spans="1:5">
      <c r="A2626">
        <v>10370</v>
      </c>
      <c r="B2626" t="s">
        <v>172</v>
      </c>
      <c r="C2626">
        <v>135.99999904632568</v>
      </c>
      <c r="D2626">
        <v>20</v>
      </c>
      <c r="E2626" s="80">
        <v>35402</v>
      </c>
    </row>
    <row r="2627" spans="1:5">
      <c r="A2627">
        <v>10370</v>
      </c>
      <c r="B2627" t="s">
        <v>173</v>
      </c>
      <c r="C2627">
        <v>135.99999904632568</v>
      </c>
      <c r="D2627">
        <v>20</v>
      </c>
      <c r="E2627" s="80">
        <v>35402</v>
      </c>
    </row>
    <row r="2628" spans="1:5">
      <c r="A2628">
        <v>10370</v>
      </c>
      <c r="B2628" t="s">
        <v>174</v>
      </c>
      <c r="C2628">
        <v>135.99999904632568</v>
      </c>
      <c r="D2628">
        <v>20</v>
      </c>
      <c r="E2628" s="80">
        <v>35402</v>
      </c>
    </row>
    <row r="2629" spans="1:5">
      <c r="A2629">
        <v>10370</v>
      </c>
      <c r="B2629" t="s">
        <v>175</v>
      </c>
      <c r="C2629">
        <v>135.99999904632568</v>
      </c>
      <c r="D2629">
        <v>20</v>
      </c>
      <c r="E2629" s="80">
        <v>35402</v>
      </c>
    </row>
    <row r="2630" spans="1:5">
      <c r="A2630">
        <v>10370</v>
      </c>
      <c r="B2630" t="s">
        <v>176</v>
      </c>
      <c r="C2630">
        <v>135.99999904632568</v>
      </c>
      <c r="D2630">
        <v>20</v>
      </c>
      <c r="E2630" s="80">
        <v>35402</v>
      </c>
    </row>
    <row r="2631" spans="1:5">
      <c r="A2631">
        <v>10370</v>
      </c>
      <c r="B2631" t="s">
        <v>177</v>
      </c>
      <c r="C2631">
        <v>135.99999904632568</v>
      </c>
      <c r="D2631">
        <v>20</v>
      </c>
      <c r="E2631" s="80">
        <v>35402</v>
      </c>
    </row>
    <row r="2632" spans="1:5">
      <c r="A2632">
        <v>10370</v>
      </c>
      <c r="B2632" t="s">
        <v>178</v>
      </c>
      <c r="C2632">
        <v>135.99999904632568</v>
      </c>
      <c r="D2632">
        <v>20</v>
      </c>
      <c r="E2632" s="80">
        <v>35402</v>
      </c>
    </row>
    <row r="2633" spans="1:5">
      <c r="A2633">
        <v>10370</v>
      </c>
      <c r="B2633" t="s">
        <v>179</v>
      </c>
      <c r="C2633">
        <v>135.99999904632568</v>
      </c>
      <c r="D2633">
        <v>20</v>
      </c>
      <c r="E2633" s="80">
        <v>35402</v>
      </c>
    </row>
    <row r="2634" spans="1:5">
      <c r="A2634">
        <v>10371</v>
      </c>
      <c r="B2634" t="s">
        <v>172</v>
      </c>
      <c r="C2634">
        <v>72.959999728202817</v>
      </c>
      <c r="D2634">
        <v>6</v>
      </c>
      <c r="E2634" s="80">
        <v>35402</v>
      </c>
    </row>
    <row r="2635" spans="1:5">
      <c r="A2635">
        <v>10371</v>
      </c>
      <c r="B2635" t="s">
        <v>173</v>
      </c>
      <c r="C2635">
        <v>72.959999728202817</v>
      </c>
      <c r="D2635">
        <v>6</v>
      </c>
      <c r="E2635" s="80">
        <v>35402</v>
      </c>
    </row>
    <row r="2636" spans="1:5">
      <c r="A2636">
        <v>10371</v>
      </c>
      <c r="B2636" t="s">
        <v>174</v>
      </c>
      <c r="C2636">
        <v>72.959999728202817</v>
      </c>
      <c r="D2636">
        <v>6</v>
      </c>
      <c r="E2636" s="80">
        <v>35402</v>
      </c>
    </row>
    <row r="2637" spans="1:5">
      <c r="A2637">
        <v>10371</v>
      </c>
      <c r="B2637" t="s">
        <v>175</v>
      </c>
      <c r="C2637">
        <v>72.959999728202817</v>
      </c>
      <c r="D2637">
        <v>6</v>
      </c>
      <c r="E2637" s="80">
        <v>35402</v>
      </c>
    </row>
    <row r="2638" spans="1:5">
      <c r="A2638">
        <v>10371</v>
      </c>
      <c r="B2638" t="s">
        <v>176</v>
      </c>
      <c r="C2638">
        <v>72.959999728202817</v>
      </c>
      <c r="D2638">
        <v>6</v>
      </c>
      <c r="E2638" s="80">
        <v>35402</v>
      </c>
    </row>
    <row r="2639" spans="1:5">
      <c r="A2639">
        <v>10371</v>
      </c>
      <c r="B2639" t="s">
        <v>177</v>
      </c>
      <c r="C2639">
        <v>72.959999728202817</v>
      </c>
      <c r="D2639">
        <v>6</v>
      </c>
      <c r="E2639" s="80">
        <v>35402</v>
      </c>
    </row>
    <row r="2640" spans="1:5">
      <c r="A2640">
        <v>10371</v>
      </c>
      <c r="B2640" t="s">
        <v>178</v>
      </c>
      <c r="C2640">
        <v>72.959999728202817</v>
      </c>
      <c r="D2640">
        <v>6</v>
      </c>
      <c r="E2640" s="80">
        <v>35402</v>
      </c>
    </row>
    <row r="2641" spans="1:5">
      <c r="A2641">
        <v>10371</v>
      </c>
      <c r="B2641" t="s">
        <v>179</v>
      </c>
      <c r="C2641">
        <v>72.959999728202817</v>
      </c>
      <c r="D2641">
        <v>6</v>
      </c>
      <c r="E2641" s="80">
        <v>35402</v>
      </c>
    </row>
    <row r="2642" spans="1:5">
      <c r="A2642">
        <v>10372</v>
      </c>
      <c r="B2642" t="s">
        <v>172</v>
      </c>
      <c r="C2642">
        <v>583.20000000000005</v>
      </c>
      <c r="D2642">
        <v>12</v>
      </c>
      <c r="E2642" s="80">
        <v>35403</v>
      </c>
    </row>
    <row r="2643" spans="1:5">
      <c r="A2643">
        <v>10372</v>
      </c>
      <c r="B2643" t="s">
        <v>173</v>
      </c>
      <c r="C2643">
        <v>583.20000000000005</v>
      </c>
      <c r="D2643">
        <v>12</v>
      </c>
      <c r="E2643" s="80">
        <v>35403</v>
      </c>
    </row>
    <row r="2644" spans="1:5">
      <c r="A2644">
        <v>10372</v>
      </c>
      <c r="B2644" t="s">
        <v>174</v>
      </c>
      <c r="C2644">
        <v>583.20000000000005</v>
      </c>
      <c r="D2644">
        <v>12</v>
      </c>
      <c r="E2644" s="80">
        <v>35403</v>
      </c>
    </row>
    <row r="2645" spans="1:5">
      <c r="A2645">
        <v>10372</v>
      </c>
      <c r="B2645" t="s">
        <v>175</v>
      </c>
      <c r="C2645">
        <v>583.20000000000005</v>
      </c>
      <c r="D2645">
        <v>12</v>
      </c>
      <c r="E2645" s="80">
        <v>35403</v>
      </c>
    </row>
    <row r="2646" spans="1:5">
      <c r="A2646">
        <v>10372</v>
      </c>
      <c r="B2646" t="s">
        <v>176</v>
      </c>
      <c r="C2646">
        <v>583.20000000000005</v>
      </c>
      <c r="D2646">
        <v>12</v>
      </c>
      <c r="E2646" s="80">
        <v>35403</v>
      </c>
    </row>
    <row r="2647" spans="1:5">
      <c r="A2647">
        <v>10372</v>
      </c>
      <c r="B2647" t="s">
        <v>177</v>
      </c>
      <c r="C2647">
        <v>583.20000000000005</v>
      </c>
      <c r="D2647">
        <v>12</v>
      </c>
      <c r="E2647" s="80">
        <v>35403</v>
      </c>
    </row>
    <row r="2648" spans="1:5">
      <c r="A2648">
        <v>10372</v>
      </c>
      <c r="B2648" t="s">
        <v>178</v>
      </c>
      <c r="C2648">
        <v>583.20000000000005</v>
      </c>
      <c r="D2648">
        <v>12</v>
      </c>
      <c r="E2648" s="80">
        <v>35403</v>
      </c>
    </row>
    <row r="2649" spans="1:5">
      <c r="A2649">
        <v>10372</v>
      </c>
      <c r="B2649" t="s">
        <v>179</v>
      </c>
      <c r="C2649">
        <v>583.20000000000005</v>
      </c>
      <c r="D2649">
        <v>12</v>
      </c>
      <c r="E2649" s="80">
        <v>35403</v>
      </c>
    </row>
    <row r="2650" spans="1:5">
      <c r="A2650">
        <v>10372</v>
      </c>
      <c r="B2650" t="s">
        <v>172</v>
      </c>
      <c r="C2650">
        <v>6324</v>
      </c>
      <c r="D2650">
        <v>40</v>
      </c>
      <c r="E2650" s="80">
        <v>35403</v>
      </c>
    </row>
    <row r="2651" spans="1:5">
      <c r="A2651">
        <v>10372</v>
      </c>
      <c r="B2651" t="s">
        <v>173</v>
      </c>
      <c r="C2651">
        <v>6324</v>
      </c>
      <c r="D2651">
        <v>40</v>
      </c>
      <c r="E2651" s="80">
        <v>35403</v>
      </c>
    </row>
    <row r="2652" spans="1:5">
      <c r="A2652">
        <v>10372</v>
      </c>
      <c r="B2652" t="s">
        <v>174</v>
      </c>
      <c r="C2652">
        <v>6324</v>
      </c>
      <c r="D2652">
        <v>40</v>
      </c>
      <c r="E2652" s="80">
        <v>35403</v>
      </c>
    </row>
    <row r="2653" spans="1:5">
      <c r="A2653">
        <v>10372</v>
      </c>
      <c r="B2653" t="s">
        <v>175</v>
      </c>
      <c r="C2653">
        <v>6324</v>
      </c>
      <c r="D2653">
        <v>40</v>
      </c>
      <c r="E2653" s="80">
        <v>35403</v>
      </c>
    </row>
    <row r="2654" spans="1:5">
      <c r="A2654">
        <v>10372</v>
      </c>
      <c r="B2654" t="s">
        <v>176</v>
      </c>
      <c r="C2654">
        <v>6324</v>
      </c>
      <c r="D2654">
        <v>40</v>
      </c>
      <c r="E2654" s="80">
        <v>35403</v>
      </c>
    </row>
    <row r="2655" spans="1:5">
      <c r="A2655">
        <v>10372</v>
      </c>
      <c r="B2655" t="s">
        <v>177</v>
      </c>
      <c r="C2655">
        <v>6324</v>
      </c>
      <c r="D2655">
        <v>40</v>
      </c>
      <c r="E2655" s="80">
        <v>35403</v>
      </c>
    </row>
    <row r="2656" spans="1:5">
      <c r="A2656">
        <v>10372</v>
      </c>
      <c r="B2656" t="s">
        <v>178</v>
      </c>
      <c r="C2656">
        <v>6324</v>
      </c>
      <c r="D2656">
        <v>40</v>
      </c>
      <c r="E2656" s="80">
        <v>35403</v>
      </c>
    </row>
    <row r="2657" spans="1:5">
      <c r="A2657">
        <v>10372</v>
      </c>
      <c r="B2657" t="s">
        <v>179</v>
      </c>
      <c r="C2657">
        <v>6324</v>
      </c>
      <c r="D2657">
        <v>40</v>
      </c>
      <c r="E2657" s="80">
        <v>35403</v>
      </c>
    </row>
    <row r="2658" spans="1:5">
      <c r="A2658">
        <v>10372</v>
      </c>
      <c r="B2658" t="s">
        <v>172</v>
      </c>
      <c r="C2658">
        <v>1428</v>
      </c>
      <c r="D2658">
        <v>70</v>
      </c>
      <c r="E2658" s="80">
        <v>35403</v>
      </c>
    </row>
    <row r="2659" spans="1:5">
      <c r="A2659">
        <v>10372</v>
      </c>
      <c r="B2659" t="s">
        <v>173</v>
      </c>
      <c r="C2659">
        <v>1428</v>
      </c>
      <c r="D2659">
        <v>70</v>
      </c>
      <c r="E2659" s="80">
        <v>35403</v>
      </c>
    </row>
    <row r="2660" spans="1:5">
      <c r="A2660">
        <v>10372</v>
      </c>
      <c r="B2660" t="s">
        <v>174</v>
      </c>
      <c r="C2660">
        <v>1428</v>
      </c>
      <c r="D2660">
        <v>70</v>
      </c>
      <c r="E2660" s="80">
        <v>35403</v>
      </c>
    </row>
    <row r="2661" spans="1:5">
      <c r="A2661">
        <v>10372</v>
      </c>
      <c r="B2661" t="s">
        <v>175</v>
      </c>
      <c r="C2661">
        <v>1428</v>
      </c>
      <c r="D2661">
        <v>70</v>
      </c>
      <c r="E2661" s="80">
        <v>35403</v>
      </c>
    </row>
    <row r="2662" spans="1:5">
      <c r="A2662">
        <v>10372</v>
      </c>
      <c r="B2662" t="s">
        <v>176</v>
      </c>
      <c r="C2662">
        <v>1428</v>
      </c>
      <c r="D2662">
        <v>70</v>
      </c>
      <c r="E2662" s="80">
        <v>35403</v>
      </c>
    </row>
    <row r="2663" spans="1:5">
      <c r="A2663">
        <v>10372</v>
      </c>
      <c r="B2663" t="s">
        <v>177</v>
      </c>
      <c r="C2663">
        <v>1428</v>
      </c>
      <c r="D2663">
        <v>70</v>
      </c>
      <c r="E2663" s="80">
        <v>35403</v>
      </c>
    </row>
    <row r="2664" spans="1:5">
      <c r="A2664">
        <v>10372</v>
      </c>
      <c r="B2664" t="s">
        <v>178</v>
      </c>
      <c r="C2664">
        <v>1428</v>
      </c>
      <c r="D2664">
        <v>70</v>
      </c>
      <c r="E2664" s="80">
        <v>35403</v>
      </c>
    </row>
    <row r="2665" spans="1:5">
      <c r="A2665">
        <v>10372</v>
      </c>
      <c r="B2665" t="s">
        <v>179</v>
      </c>
      <c r="C2665">
        <v>1428</v>
      </c>
      <c r="D2665">
        <v>70</v>
      </c>
      <c r="E2665" s="80">
        <v>35403</v>
      </c>
    </row>
    <row r="2666" spans="1:5">
      <c r="A2666">
        <v>10372</v>
      </c>
      <c r="B2666" t="s">
        <v>172</v>
      </c>
      <c r="C2666">
        <v>875.69999999999993</v>
      </c>
      <c r="D2666">
        <v>42</v>
      </c>
      <c r="E2666" s="80">
        <v>35403</v>
      </c>
    </row>
    <row r="2667" spans="1:5">
      <c r="A2667">
        <v>10372</v>
      </c>
      <c r="B2667" t="s">
        <v>173</v>
      </c>
      <c r="C2667">
        <v>875.69999999999993</v>
      </c>
      <c r="D2667">
        <v>42</v>
      </c>
      <c r="E2667" s="80">
        <v>35403</v>
      </c>
    </row>
    <row r="2668" spans="1:5">
      <c r="A2668">
        <v>10372</v>
      </c>
      <c r="B2668" t="s">
        <v>174</v>
      </c>
      <c r="C2668">
        <v>875.69999999999993</v>
      </c>
      <c r="D2668">
        <v>42</v>
      </c>
      <c r="E2668" s="80">
        <v>35403</v>
      </c>
    </row>
    <row r="2669" spans="1:5">
      <c r="A2669">
        <v>10372</v>
      </c>
      <c r="B2669" t="s">
        <v>175</v>
      </c>
      <c r="C2669">
        <v>875.69999999999993</v>
      </c>
      <c r="D2669">
        <v>42</v>
      </c>
      <c r="E2669" s="80">
        <v>35403</v>
      </c>
    </row>
    <row r="2670" spans="1:5">
      <c r="A2670">
        <v>10372</v>
      </c>
      <c r="B2670" t="s">
        <v>176</v>
      </c>
      <c r="C2670">
        <v>875.69999999999993</v>
      </c>
      <c r="D2670">
        <v>42</v>
      </c>
      <c r="E2670" s="80">
        <v>35403</v>
      </c>
    </row>
    <row r="2671" spans="1:5">
      <c r="A2671">
        <v>10372</v>
      </c>
      <c r="B2671" t="s">
        <v>177</v>
      </c>
      <c r="C2671">
        <v>875.69999999999993</v>
      </c>
      <c r="D2671">
        <v>42</v>
      </c>
      <c r="E2671" s="80">
        <v>35403</v>
      </c>
    </row>
    <row r="2672" spans="1:5">
      <c r="A2672">
        <v>10372</v>
      </c>
      <c r="B2672" t="s">
        <v>178</v>
      </c>
      <c r="C2672">
        <v>875.69999999999993</v>
      </c>
      <c r="D2672">
        <v>42</v>
      </c>
      <c r="E2672" s="80">
        <v>35403</v>
      </c>
    </row>
    <row r="2673" spans="1:5">
      <c r="A2673">
        <v>10372</v>
      </c>
      <c r="B2673" t="s">
        <v>179</v>
      </c>
      <c r="C2673">
        <v>875.69999999999993</v>
      </c>
      <c r="D2673">
        <v>42</v>
      </c>
      <c r="E2673" s="80">
        <v>35403</v>
      </c>
    </row>
    <row r="2674" spans="1:5">
      <c r="A2674">
        <v>10373</v>
      </c>
      <c r="B2674" t="s">
        <v>172</v>
      </c>
      <c r="C2674">
        <v>678.39999747276306</v>
      </c>
      <c r="D2674">
        <v>80</v>
      </c>
      <c r="E2674" s="80">
        <v>35404</v>
      </c>
    </row>
    <row r="2675" spans="1:5">
      <c r="A2675">
        <v>10373</v>
      </c>
      <c r="B2675" t="s">
        <v>173</v>
      </c>
      <c r="C2675">
        <v>678.39999747276306</v>
      </c>
      <c r="D2675">
        <v>80</v>
      </c>
      <c r="E2675" s="80">
        <v>35404</v>
      </c>
    </row>
    <row r="2676" spans="1:5">
      <c r="A2676">
        <v>10373</v>
      </c>
      <c r="B2676" t="s">
        <v>174</v>
      </c>
      <c r="C2676">
        <v>678.39999747276306</v>
      </c>
      <c r="D2676">
        <v>80</v>
      </c>
      <c r="E2676" s="80">
        <v>35404</v>
      </c>
    </row>
    <row r="2677" spans="1:5">
      <c r="A2677">
        <v>10373</v>
      </c>
      <c r="B2677" t="s">
        <v>175</v>
      </c>
      <c r="C2677">
        <v>678.39999747276306</v>
      </c>
      <c r="D2677">
        <v>80</v>
      </c>
      <c r="E2677" s="80">
        <v>35404</v>
      </c>
    </row>
    <row r="2678" spans="1:5">
      <c r="A2678">
        <v>10373</v>
      </c>
      <c r="B2678" t="s">
        <v>176</v>
      </c>
      <c r="C2678">
        <v>678.39999747276306</v>
      </c>
      <c r="D2678">
        <v>80</v>
      </c>
      <c r="E2678" s="80">
        <v>35404</v>
      </c>
    </row>
    <row r="2679" spans="1:5">
      <c r="A2679">
        <v>10373</v>
      </c>
      <c r="B2679" t="s">
        <v>177</v>
      </c>
      <c r="C2679">
        <v>678.39999747276306</v>
      </c>
      <c r="D2679">
        <v>80</v>
      </c>
      <c r="E2679" s="80">
        <v>35404</v>
      </c>
    </row>
    <row r="2680" spans="1:5">
      <c r="A2680">
        <v>10373</v>
      </c>
      <c r="B2680" t="s">
        <v>178</v>
      </c>
      <c r="C2680">
        <v>678.39999747276306</v>
      </c>
      <c r="D2680">
        <v>80</v>
      </c>
      <c r="E2680" s="80">
        <v>35404</v>
      </c>
    </row>
    <row r="2681" spans="1:5">
      <c r="A2681">
        <v>10373</v>
      </c>
      <c r="B2681" t="s">
        <v>179</v>
      </c>
      <c r="C2681">
        <v>678.39999747276306</v>
      </c>
      <c r="D2681">
        <v>80</v>
      </c>
      <c r="E2681" s="80">
        <v>35404</v>
      </c>
    </row>
    <row r="2682" spans="1:5">
      <c r="A2682">
        <v>10373</v>
      </c>
      <c r="B2682" t="s">
        <v>172</v>
      </c>
      <c r="C2682">
        <v>687.99999743700027</v>
      </c>
      <c r="D2682">
        <v>50</v>
      </c>
      <c r="E2682" s="80">
        <v>35404</v>
      </c>
    </row>
    <row r="2683" spans="1:5">
      <c r="A2683">
        <v>10373</v>
      </c>
      <c r="B2683" t="s">
        <v>173</v>
      </c>
      <c r="C2683">
        <v>687.99999743700027</v>
      </c>
      <c r="D2683">
        <v>50</v>
      </c>
      <c r="E2683" s="80">
        <v>35404</v>
      </c>
    </row>
    <row r="2684" spans="1:5">
      <c r="A2684">
        <v>10373</v>
      </c>
      <c r="B2684" t="s">
        <v>174</v>
      </c>
      <c r="C2684">
        <v>687.99999743700027</v>
      </c>
      <c r="D2684">
        <v>50</v>
      </c>
      <c r="E2684" s="80">
        <v>35404</v>
      </c>
    </row>
    <row r="2685" spans="1:5">
      <c r="A2685">
        <v>10373</v>
      </c>
      <c r="B2685" t="s">
        <v>175</v>
      </c>
      <c r="C2685">
        <v>687.99999743700027</v>
      </c>
      <c r="D2685">
        <v>50</v>
      </c>
      <c r="E2685" s="80">
        <v>35404</v>
      </c>
    </row>
    <row r="2686" spans="1:5">
      <c r="A2686">
        <v>10373</v>
      </c>
      <c r="B2686" t="s">
        <v>176</v>
      </c>
      <c r="C2686">
        <v>687.99999743700027</v>
      </c>
      <c r="D2686">
        <v>50</v>
      </c>
      <c r="E2686" s="80">
        <v>35404</v>
      </c>
    </row>
    <row r="2687" spans="1:5">
      <c r="A2687">
        <v>10373</v>
      </c>
      <c r="B2687" t="s">
        <v>177</v>
      </c>
      <c r="C2687">
        <v>687.99999743700027</v>
      </c>
      <c r="D2687">
        <v>50</v>
      </c>
      <c r="E2687" s="80">
        <v>35404</v>
      </c>
    </row>
    <row r="2688" spans="1:5">
      <c r="A2688">
        <v>10373</v>
      </c>
      <c r="B2688" t="s">
        <v>178</v>
      </c>
      <c r="C2688">
        <v>687.99999743700027</v>
      </c>
      <c r="D2688">
        <v>50</v>
      </c>
      <c r="E2688" s="80">
        <v>35404</v>
      </c>
    </row>
    <row r="2689" spans="1:5">
      <c r="A2689">
        <v>10373</v>
      </c>
      <c r="B2689" t="s">
        <v>179</v>
      </c>
      <c r="C2689">
        <v>687.99999743700027</v>
      </c>
      <c r="D2689">
        <v>50</v>
      </c>
      <c r="E2689" s="80">
        <v>35404</v>
      </c>
    </row>
    <row r="2690" spans="1:5">
      <c r="A2690">
        <v>10374</v>
      </c>
      <c r="B2690" t="s">
        <v>172</v>
      </c>
      <c r="C2690">
        <v>300</v>
      </c>
      <c r="D2690">
        <v>30</v>
      </c>
      <c r="E2690" s="80">
        <v>35404</v>
      </c>
    </row>
    <row r="2691" spans="1:5">
      <c r="A2691">
        <v>10374</v>
      </c>
      <c r="B2691" t="s">
        <v>173</v>
      </c>
      <c r="C2691">
        <v>300</v>
      </c>
      <c r="D2691">
        <v>30</v>
      </c>
      <c r="E2691" s="80">
        <v>35404</v>
      </c>
    </row>
    <row r="2692" spans="1:5">
      <c r="A2692">
        <v>10374</v>
      </c>
      <c r="B2692" t="s">
        <v>174</v>
      </c>
      <c r="C2692">
        <v>300</v>
      </c>
      <c r="D2692">
        <v>30</v>
      </c>
      <c r="E2692" s="80">
        <v>35404</v>
      </c>
    </row>
    <row r="2693" spans="1:5">
      <c r="A2693">
        <v>10374</v>
      </c>
      <c r="B2693" t="s">
        <v>175</v>
      </c>
      <c r="C2693">
        <v>300</v>
      </c>
      <c r="D2693">
        <v>30</v>
      </c>
      <c r="E2693" s="80">
        <v>35404</v>
      </c>
    </row>
    <row r="2694" spans="1:5">
      <c r="A2694">
        <v>10374</v>
      </c>
      <c r="B2694" t="s">
        <v>176</v>
      </c>
      <c r="C2694">
        <v>300</v>
      </c>
      <c r="D2694">
        <v>30</v>
      </c>
      <c r="E2694" s="80">
        <v>35404</v>
      </c>
    </row>
    <row r="2695" spans="1:5">
      <c r="A2695">
        <v>10374</v>
      </c>
      <c r="B2695" t="s">
        <v>177</v>
      </c>
      <c r="C2695">
        <v>300</v>
      </c>
      <c r="D2695">
        <v>30</v>
      </c>
      <c r="E2695" s="80">
        <v>35404</v>
      </c>
    </row>
    <row r="2696" spans="1:5">
      <c r="A2696">
        <v>10374</v>
      </c>
      <c r="B2696" t="s">
        <v>178</v>
      </c>
      <c r="C2696">
        <v>300</v>
      </c>
      <c r="D2696">
        <v>30</v>
      </c>
      <c r="E2696" s="80">
        <v>35404</v>
      </c>
    </row>
    <row r="2697" spans="1:5">
      <c r="A2697">
        <v>10374</v>
      </c>
      <c r="B2697" t="s">
        <v>179</v>
      </c>
      <c r="C2697">
        <v>300</v>
      </c>
      <c r="D2697">
        <v>30</v>
      </c>
      <c r="E2697" s="80">
        <v>35404</v>
      </c>
    </row>
    <row r="2698" spans="1:5">
      <c r="A2698">
        <v>10374</v>
      </c>
      <c r="B2698" t="s">
        <v>172</v>
      </c>
      <c r="C2698">
        <v>159</v>
      </c>
      <c r="D2698">
        <v>15</v>
      </c>
      <c r="E2698" s="80">
        <v>35404</v>
      </c>
    </row>
    <row r="2699" spans="1:5">
      <c r="A2699">
        <v>10374</v>
      </c>
      <c r="B2699" t="s">
        <v>173</v>
      </c>
      <c r="C2699">
        <v>159</v>
      </c>
      <c r="D2699">
        <v>15</v>
      </c>
      <c r="E2699" s="80">
        <v>35404</v>
      </c>
    </row>
    <row r="2700" spans="1:5">
      <c r="A2700">
        <v>10374</v>
      </c>
      <c r="B2700" t="s">
        <v>174</v>
      </c>
      <c r="C2700">
        <v>159</v>
      </c>
      <c r="D2700">
        <v>15</v>
      </c>
      <c r="E2700" s="80">
        <v>35404</v>
      </c>
    </row>
    <row r="2701" spans="1:5">
      <c r="A2701">
        <v>10374</v>
      </c>
      <c r="B2701" t="s">
        <v>175</v>
      </c>
      <c r="C2701">
        <v>159</v>
      </c>
      <c r="D2701">
        <v>15</v>
      </c>
      <c r="E2701" s="80">
        <v>35404</v>
      </c>
    </row>
    <row r="2702" spans="1:5">
      <c r="A2702">
        <v>10374</v>
      </c>
      <c r="B2702" t="s">
        <v>176</v>
      </c>
      <c r="C2702">
        <v>159</v>
      </c>
      <c r="D2702">
        <v>15</v>
      </c>
      <c r="E2702" s="80">
        <v>35404</v>
      </c>
    </row>
    <row r="2703" spans="1:5">
      <c r="A2703">
        <v>10374</v>
      </c>
      <c r="B2703" t="s">
        <v>177</v>
      </c>
      <c r="C2703">
        <v>159</v>
      </c>
      <c r="D2703">
        <v>15</v>
      </c>
      <c r="E2703" s="80">
        <v>35404</v>
      </c>
    </row>
    <row r="2704" spans="1:5">
      <c r="A2704">
        <v>10374</v>
      </c>
      <c r="B2704" t="s">
        <v>178</v>
      </c>
      <c r="C2704">
        <v>159</v>
      </c>
      <c r="D2704">
        <v>15</v>
      </c>
      <c r="E2704" s="80">
        <v>35404</v>
      </c>
    </row>
    <row r="2705" spans="1:5">
      <c r="A2705">
        <v>10374</v>
      </c>
      <c r="B2705" t="s">
        <v>179</v>
      </c>
      <c r="C2705">
        <v>159</v>
      </c>
      <c r="D2705">
        <v>15</v>
      </c>
      <c r="E2705" s="80">
        <v>35404</v>
      </c>
    </row>
    <row r="2706" spans="1:5">
      <c r="A2706">
        <v>10375</v>
      </c>
      <c r="B2706" t="s">
        <v>172</v>
      </c>
      <c r="C2706">
        <v>279</v>
      </c>
      <c r="D2706">
        <v>15</v>
      </c>
      <c r="E2706" s="80">
        <v>35405</v>
      </c>
    </row>
    <row r="2707" spans="1:5">
      <c r="A2707">
        <v>10375</v>
      </c>
      <c r="B2707" t="s">
        <v>173</v>
      </c>
      <c r="C2707">
        <v>279</v>
      </c>
      <c r="D2707">
        <v>15</v>
      </c>
      <c r="E2707" s="80">
        <v>35405</v>
      </c>
    </row>
    <row r="2708" spans="1:5">
      <c r="A2708">
        <v>10375</v>
      </c>
      <c r="B2708" t="s">
        <v>174</v>
      </c>
      <c r="C2708">
        <v>279</v>
      </c>
      <c r="D2708">
        <v>15</v>
      </c>
      <c r="E2708" s="80">
        <v>35405</v>
      </c>
    </row>
    <row r="2709" spans="1:5">
      <c r="A2709">
        <v>10375</v>
      </c>
      <c r="B2709" t="s">
        <v>175</v>
      </c>
      <c r="C2709">
        <v>279</v>
      </c>
      <c r="D2709">
        <v>15</v>
      </c>
      <c r="E2709" s="80">
        <v>35405</v>
      </c>
    </row>
    <row r="2710" spans="1:5">
      <c r="A2710">
        <v>10375</v>
      </c>
      <c r="B2710" t="s">
        <v>176</v>
      </c>
      <c r="C2710">
        <v>279</v>
      </c>
      <c r="D2710">
        <v>15</v>
      </c>
      <c r="E2710" s="80">
        <v>35405</v>
      </c>
    </row>
    <row r="2711" spans="1:5">
      <c r="A2711">
        <v>10375</v>
      </c>
      <c r="B2711" t="s">
        <v>177</v>
      </c>
      <c r="C2711">
        <v>279</v>
      </c>
      <c r="D2711">
        <v>15</v>
      </c>
      <c r="E2711" s="80">
        <v>35405</v>
      </c>
    </row>
    <row r="2712" spans="1:5">
      <c r="A2712">
        <v>10375</v>
      </c>
      <c r="B2712" t="s">
        <v>178</v>
      </c>
      <c r="C2712">
        <v>279</v>
      </c>
      <c r="D2712">
        <v>15</v>
      </c>
      <c r="E2712" s="80">
        <v>35405</v>
      </c>
    </row>
    <row r="2713" spans="1:5">
      <c r="A2713">
        <v>10375</v>
      </c>
      <c r="B2713" t="s">
        <v>179</v>
      </c>
      <c r="C2713">
        <v>279</v>
      </c>
      <c r="D2713">
        <v>15</v>
      </c>
      <c r="E2713" s="80">
        <v>35405</v>
      </c>
    </row>
    <row r="2714" spans="1:5">
      <c r="A2714">
        <v>10375</v>
      </c>
      <c r="B2714" t="s">
        <v>172</v>
      </c>
      <c r="C2714">
        <v>59</v>
      </c>
      <c r="D2714">
        <v>10</v>
      </c>
      <c r="E2714" s="80">
        <v>35405</v>
      </c>
    </row>
    <row r="2715" spans="1:5">
      <c r="A2715">
        <v>10375</v>
      </c>
      <c r="B2715" t="s">
        <v>173</v>
      </c>
      <c r="C2715">
        <v>59</v>
      </c>
      <c r="D2715">
        <v>10</v>
      </c>
      <c r="E2715" s="80">
        <v>35405</v>
      </c>
    </row>
    <row r="2716" spans="1:5">
      <c r="A2716">
        <v>10375</v>
      </c>
      <c r="B2716" t="s">
        <v>174</v>
      </c>
      <c r="C2716">
        <v>59</v>
      </c>
      <c r="D2716">
        <v>10</v>
      </c>
      <c r="E2716" s="80">
        <v>35405</v>
      </c>
    </row>
    <row r="2717" spans="1:5">
      <c r="A2717">
        <v>10375</v>
      </c>
      <c r="B2717" t="s">
        <v>175</v>
      </c>
      <c r="C2717">
        <v>59</v>
      </c>
      <c r="D2717">
        <v>10</v>
      </c>
      <c r="E2717" s="80">
        <v>35405</v>
      </c>
    </row>
    <row r="2718" spans="1:5">
      <c r="A2718">
        <v>10375</v>
      </c>
      <c r="B2718" t="s">
        <v>176</v>
      </c>
      <c r="C2718">
        <v>59</v>
      </c>
      <c r="D2718">
        <v>10</v>
      </c>
      <c r="E2718" s="80">
        <v>35405</v>
      </c>
    </row>
    <row r="2719" spans="1:5">
      <c r="A2719">
        <v>10375</v>
      </c>
      <c r="B2719" t="s">
        <v>177</v>
      </c>
      <c r="C2719">
        <v>59</v>
      </c>
      <c r="D2719">
        <v>10</v>
      </c>
      <c r="E2719" s="80">
        <v>35405</v>
      </c>
    </row>
    <row r="2720" spans="1:5">
      <c r="A2720">
        <v>10375</v>
      </c>
      <c r="B2720" t="s">
        <v>178</v>
      </c>
      <c r="C2720">
        <v>59</v>
      </c>
      <c r="D2720">
        <v>10</v>
      </c>
      <c r="E2720" s="80">
        <v>35405</v>
      </c>
    </row>
    <row r="2721" spans="1:5">
      <c r="A2721">
        <v>10375</v>
      </c>
      <c r="B2721" t="s">
        <v>179</v>
      </c>
      <c r="C2721">
        <v>59</v>
      </c>
      <c r="D2721">
        <v>10</v>
      </c>
      <c r="E2721" s="80">
        <v>35405</v>
      </c>
    </row>
    <row r="2722" spans="1:5">
      <c r="A2722">
        <v>10376</v>
      </c>
      <c r="B2722" t="s">
        <v>172</v>
      </c>
      <c r="C2722">
        <v>398.99999968707561</v>
      </c>
      <c r="D2722">
        <v>42</v>
      </c>
      <c r="E2722" s="80">
        <v>35408</v>
      </c>
    </row>
    <row r="2723" spans="1:5">
      <c r="A2723">
        <v>10376</v>
      </c>
      <c r="B2723" t="s">
        <v>173</v>
      </c>
      <c r="C2723">
        <v>398.99999968707561</v>
      </c>
      <c r="D2723">
        <v>42</v>
      </c>
      <c r="E2723" s="80">
        <v>35408</v>
      </c>
    </row>
    <row r="2724" spans="1:5">
      <c r="A2724">
        <v>10376</v>
      </c>
      <c r="B2724" t="s">
        <v>174</v>
      </c>
      <c r="C2724">
        <v>398.99999968707561</v>
      </c>
      <c r="D2724">
        <v>42</v>
      </c>
      <c r="E2724" s="80">
        <v>35408</v>
      </c>
    </row>
    <row r="2725" spans="1:5">
      <c r="A2725">
        <v>10376</v>
      </c>
      <c r="B2725" t="s">
        <v>175</v>
      </c>
      <c r="C2725">
        <v>398.99999968707561</v>
      </c>
      <c r="D2725">
        <v>42</v>
      </c>
      <c r="E2725" s="80">
        <v>35408</v>
      </c>
    </row>
    <row r="2726" spans="1:5">
      <c r="A2726">
        <v>10376</v>
      </c>
      <c r="B2726" t="s">
        <v>176</v>
      </c>
      <c r="C2726">
        <v>398.99999968707561</v>
      </c>
      <c r="D2726">
        <v>42</v>
      </c>
      <c r="E2726" s="80">
        <v>35408</v>
      </c>
    </row>
    <row r="2727" spans="1:5">
      <c r="A2727">
        <v>10376</v>
      </c>
      <c r="B2727" t="s">
        <v>177</v>
      </c>
      <c r="C2727">
        <v>398.99999968707561</v>
      </c>
      <c r="D2727">
        <v>42</v>
      </c>
      <c r="E2727" s="80">
        <v>35408</v>
      </c>
    </row>
    <row r="2728" spans="1:5">
      <c r="A2728">
        <v>10376</v>
      </c>
      <c r="B2728" t="s">
        <v>178</v>
      </c>
      <c r="C2728">
        <v>398.99999968707561</v>
      </c>
      <c r="D2728">
        <v>42</v>
      </c>
      <c r="E2728" s="80">
        <v>35408</v>
      </c>
    </row>
    <row r="2729" spans="1:5">
      <c r="A2729">
        <v>10376</v>
      </c>
      <c r="B2729" t="s">
        <v>179</v>
      </c>
      <c r="C2729">
        <v>398.99999968707561</v>
      </c>
      <c r="D2729">
        <v>42</v>
      </c>
      <c r="E2729" s="80">
        <v>35408</v>
      </c>
    </row>
    <row r="2730" spans="1:5">
      <c r="A2730">
        <v>10377</v>
      </c>
      <c r="B2730" t="s">
        <v>172</v>
      </c>
      <c r="C2730">
        <v>618.79999566078186</v>
      </c>
      <c r="D2730">
        <v>20</v>
      </c>
      <c r="E2730" s="80">
        <v>35408</v>
      </c>
    </row>
    <row r="2731" spans="1:5">
      <c r="A2731">
        <v>10377</v>
      </c>
      <c r="B2731" t="s">
        <v>173</v>
      </c>
      <c r="C2731">
        <v>618.79999566078186</v>
      </c>
      <c r="D2731">
        <v>20</v>
      </c>
      <c r="E2731" s="80">
        <v>35408</v>
      </c>
    </row>
    <row r="2732" spans="1:5">
      <c r="A2732">
        <v>10377</v>
      </c>
      <c r="B2732" t="s">
        <v>174</v>
      </c>
      <c r="C2732">
        <v>618.79999566078186</v>
      </c>
      <c r="D2732">
        <v>20</v>
      </c>
      <c r="E2732" s="80">
        <v>35408</v>
      </c>
    </row>
    <row r="2733" spans="1:5">
      <c r="A2733">
        <v>10377</v>
      </c>
      <c r="B2733" t="s">
        <v>175</v>
      </c>
      <c r="C2733">
        <v>618.79999566078186</v>
      </c>
      <c r="D2733">
        <v>20</v>
      </c>
      <c r="E2733" s="80">
        <v>35408</v>
      </c>
    </row>
    <row r="2734" spans="1:5">
      <c r="A2734">
        <v>10377</v>
      </c>
      <c r="B2734" t="s">
        <v>176</v>
      </c>
      <c r="C2734">
        <v>618.79999566078186</v>
      </c>
      <c r="D2734">
        <v>20</v>
      </c>
      <c r="E2734" s="80">
        <v>35408</v>
      </c>
    </row>
    <row r="2735" spans="1:5">
      <c r="A2735">
        <v>10377</v>
      </c>
      <c r="B2735" t="s">
        <v>177</v>
      </c>
      <c r="C2735">
        <v>618.79999566078186</v>
      </c>
      <c r="D2735">
        <v>20</v>
      </c>
      <c r="E2735" s="80">
        <v>35408</v>
      </c>
    </row>
    <row r="2736" spans="1:5">
      <c r="A2736">
        <v>10377</v>
      </c>
      <c r="B2736" t="s">
        <v>178</v>
      </c>
      <c r="C2736">
        <v>618.79999566078186</v>
      </c>
      <c r="D2736">
        <v>20</v>
      </c>
      <c r="E2736" s="80">
        <v>35408</v>
      </c>
    </row>
    <row r="2737" spans="1:5">
      <c r="A2737">
        <v>10377</v>
      </c>
      <c r="B2737" t="s">
        <v>179</v>
      </c>
      <c r="C2737">
        <v>618.79999566078186</v>
      </c>
      <c r="D2737">
        <v>20</v>
      </c>
      <c r="E2737" s="80">
        <v>35408</v>
      </c>
    </row>
    <row r="2738" spans="1:5">
      <c r="A2738">
        <v>10377</v>
      </c>
      <c r="B2738" t="s">
        <v>172</v>
      </c>
      <c r="C2738">
        <v>244.79999828338623</v>
      </c>
      <c r="D2738">
        <v>20</v>
      </c>
      <c r="E2738" s="80">
        <v>35408</v>
      </c>
    </row>
    <row r="2739" spans="1:5">
      <c r="A2739">
        <v>10377</v>
      </c>
      <c r="B2739" t="s">
        <v>173</v>
      </c>
      <c r="C2739">
        <v>244.79999828338623</v>
      </c>
      <c r="D2739">
        <v>20</v>
      </c>
      <c r="E2739" s="80">
        <v>35408</v>
      </c>
    </row>
    <row r="2740" spans="1:5">
      <c r="A2740">
        <v>10377</v>
      </c>
      <c r="B2740" t="s">
        <v>174</v>
      </c>
      <c r="C2740">
        <v>244.79999828338623</v>
      </c>
      <c r="D2740">
        <v>20</v>
      </c>
      <c r="E2740" s="80">
        <v>35408</v>
      </c>
    </row>
    <row r="2741" spans="1:5">
      <c r="A2741">
        <v>10377</v>
      </c>
      <c r="B2741" t="s">
        <v>175</v>
      </c>
      <c r="C2741">
        <v>244.79999828338623</v>
      </c>
      <c r="D2741">
        <v>20</v>
      </c>
      <c r="E2741" s="80">
        <v>35408</v>
      </c>
    </row>
    <row r="2742" spans="1:5">
      <c r="A2742">
        <v>10377</v>
      </c>
      <c r="B2742" t="s">
        <v>176</v>
      </c>
      <c r="C2742">
        <v>244.79999828338623</v>
      </c>
      <c r="D2742">
        <v>20</v>
      </c>
      <c r="E2742" s="80">
        <v>35408</v>
      </c>
    </row>
    <row r="2743" spans="1:5">
      <c r="A2743">
        <v>10377</v>
      </c>
      <c r="B2743" t="s">
        <v>177</v>
      </c>
      <c r="C2743">
        <v>244.79999828338623</v>
      </c>
      <c r="D2743">
        <v>20</v>
      </c>
      <c r="E2743" s="80">
        <v>35408</v>
      </c>
    </row>
    <row r="2744" spans="1:5">
      <c r="A2744">
        <v>10377</v>
      </c>
      <c r="B2744" t="s">
        <v>178</v>
      </c>
      <c r="C2744">
        <v>244.79999828338623</v>
      </c>
      <c r="D2744">
        <v>20</v>
      </c>
      <c r="E2744" s="80">
        <v>35408</v>
      </c>
    </row>
    <row r="2745" spans="1:5">
      <c r="A2745">
        <v>10377</v>
      </c>
      <c r="B2745" t="s">
        <v>179</v>
      </c>
      <c r="C2745">
        <v>244.79999828338623</v>
      </c>
      <c r="D2745">
        <v>20</v>
      </c>
      <c r="E2745" s="80">
        <v>35408</v>
      </c>
    </row>
    <row r="2746" spans="1:5">
      <c r="A2746">
        <v>10378</v>
      </c>
      <c r="B2746" t="s">
        <v>172</v>
      </c>
      <c r="C2746">
        <v>103.2</v>
      </c>
      <c r="D2746">
        <v>6</v>
      </c>
      <c r="E2746" s="80">
        <v>35409</v>
      </c>
    </row>
    <row r="2747" spans="1:5">
      <c r="A2747">
        <v>10378</v>
      </c>
      <c r="B2747" t="s">
        <v>173</v>
      </c>
      <c r="C2747">
        <v>103.2</v>
      </c>
      <c r="D2747">
        <v>6</v>
      </c>
      <c r="E2747" s="80">
        <v>35409</v>
      </c>
    </row>
    <row r="2748" spans="1:5">
      <c r="A2748">
        <v>10378</v>
      </c>
      <c r="B2748" t="s">
        <v>174</v>
      </c>
      <c r="C2748">
        <v>103.2</v>
      </c>
      <c r="D2748">
        <v>6</v>
      </c>
      <c r="E2748" s="80">
        <v>35409</v>
      </c>
    </row>
    <row r="2749" spans="1:5">
      <c r="A2749">
        <v>10378</v>
      </c>
      <c r="B2749" t="s">
        <v>175</v>
      </c>
      <c r="C2749">
        <v>103.2</v>
      </c>
      <c r="D2749">
        <v>6</v>
      </c>
      <c r="E2749" s="80">
        <v>35409</v>
      </c>
    </row>
    <row r="2750" spans="1:5">
      <c r="A2750">
        <v>10378</v>
      </c>
      <c r="B2750" t="s">
        <v>176</v>
      </c>
      <c r="C2750">
        <v>103.2</v>
      </c>
      <c r="D2750">
        <v>6</v>
      </c>
      <c r="E2750" s="80">
        <v>35409</v>
      </c>
    </row>
    <row r="2751" spans="1:5">
      <c r="A2751">
        <v>10378</v>
      </c>
      <c r="B2751" t="s">
        <v>177</v>
      </c>
      <c r="C2751">
        <v>103.2</v>
      </c>
      <c r="D2751">
        <v>6</v>
      </c>
      <c r="E2751" s="80">
        <v>35409</v>
      </c>
    </row>
    <row r="2752" spans="1:5">
      <c r="A2752">
        <v>10378</v>
      </c>
      <c r="B2752" t="s">
        <v>178</v>
      </c>
      <c r="C2752">
        <v>103.2</v>
      </c>
      <c r="D2752">
        <v>6</v>
      </c>
      <c r="E2752" s="80">
        <v>35409</v>
      </c>
    </row>
    <row r="2753" spans="1:5">
      <c r="A2753">
        <v>10378</v>
      </c>
      <c r="B2753" t="s">
        <v>179</v>
      </c>
      <c r="C2753">
        <v>103.2</v>
      </c>
      <c r="D2753">
        <v>6</v>
      </c>
      <c r="E2753" s="80">
        <v>35409</v>
      </c>
    </row>
    <row r="2754" spans="1:5">
      <c r="A2754">
        <v>10379</v>
      </c>
      <c r="B2754" t="s">
        <v>172</v>
      </c>
      <c r="C2754">
        <v>55.439999908208847</v>
      </c>
      <c r="D2754">
        <v>8</v>
      </c>
      <c r="E2754" s="80">
        <v>35410</v>
      </c>
    </row>
    <row r="2755" spans="1:5">
      <c r="A2755">
        <v>10379</v>
      </c>
      <c r="B2755" t="s">
        <v>173</v>
      </c>
      <c r="C2755">
        <v>55.439999908208847</v>
      </c>
      <c r="D2755">
        <v>8</v>
      </c>
      <c r="E2755" s="80">
        <v>35410</v>
      </c>
    </row>
    <row r="2756" spans="1:5">
      <c r="A2756">
        <v>10379</v>
      </c>
      <c r="B2756" t="s">
        <v>174</v>
      </c>
      <c r="C2756">
        <v>55.439999908208847</v>
      </c>
      <c r="D2756">
        <v>8</v>
      </c>
      <c r="E2756" s="80">
        <v>35410</v>
      </c>
    </row>
    <row r="2757" spans="1:5">
      <c r="A2757">
        <v>10379</v>
      </c>
      <c r="B2757" t="s">
        <v>175</v>
      </c>
      <c r="C2757">
        <v>55.439999908208847</v>
      </c>
      <c r="D2757">
        <v>8</v>
      </c>
      <c r="E2757" s="80">
        <v>35410</v>
      </c>
    </row>
    <row r="2758" spans="1:5">
      <c r="A2758">
        <v>10379</v>
      </c>
      <c r="B2758" t="s">
        <v>176</v>
      </c>
      <c r="C2758">
        <v>55.439999908208847</v>
      </c>
      <c r="D2758">
        <v>8</v>
      </c>
      <c r="E2758" s="80">
        <v>35410</v>
      </c>
    </row>
    <row r="2759" spans="1:5">
      <c r="A2759">
        <v>10379</v>
      </c>
      <c r="B2759" t="s">
        <v>177</v>
      </c>
      <c r="C2759">
        <v>55.439999908208847</v>
      </c>
      <c r="D2759">
        <v>8</v>
      </c>
      <c r="E2759" s="80">
        <v>35410</v>
      </c>
    </row>
    <row r="2760" spans="1:5">
      <c r="A2760">
        <v>10379</v>
      </c>
      <c r="B2760" t="s">
        <v>178</v>
      </c>
      <c r="C2760">
        <v>55.439999908208847</v>
      </c>
      <c r="D2760">
        <v>8</v>
      </c>
      <c r="E2760" s="80">
        <v>35410</v>
      </c>
    </row>
    <row r="2761" spans="1:5">
      <c r="A2761">
        <v>10379</v>
      </c>
      <c r="B2761" t="s">
        <v>179</v>
      </c>
      <c r="C2761">
        <v>55.439999908208847</v>
      </c>
      <c r="D2761">
        <v>8</v>
      </c>
      <c r="E2761" s="80">
        <v>35410</v>
      </c>
    </row>
    <row r="2762" spans="1:5">
      <c r="A2762">
        <v>10379</v>
      </c>
      <c r="B2762" t="s">
        <v>172</v>
      </c>
      <c r="C2762">
        <v>505.43999916315079</v>
      </c>
      <c r="D2762">
        <v>16</v>
      </c>
      <c r="E2762" s="80">
        <v>35410</v>
      </c>
    </row>
    <row r="2763" spans="1:5">
      <c r="A2763">
        <v>10379</v>
      </c>
      <c r="B2763" t="s">
        <v>173</v>
      </c>
      <c r="C2763">
        <v>505.43999916315079</v>
      </c>
      <c r="D2763">
        <v>16</v>
      </c>
      <c r="E2763" s="80">
        <v>35410</v>
      </c>
    </row>
    <row r="2764" spans="1:5">
      <c r="A2764">
        <v>10379</v>
      </c>
      <c r="B2764" t="s">
        <v>174</v>
      </c>
      <c r="C2764">
        <v>505.43999916315079</v>
      </c>
      <c r="D2764">
        <v>16</v>
      </c>
      <c r="E2764" s="80">
        <v>35410</v>
      </c>
    </row>
    <row r="2765" spans="1:5">
      <c r="A2765">
        <v>10379</v>
      </c>
      <c r="B2765" t="s">
        <v>175</v>
      </c>
      <c r="C2765">
        <v>505.43999916315079</v>
      </c>
      <c r="D2765">
        <v>16</v>
      </c>
      <c r="E2765" s="80">
        <v>35410</v>
      </c>
    </row>
    <row r="2766" spans="1:5">
      <c r="A2766">
        <v>10379</v>
      </c>
      <c r="B2766" t="s">
        <v>176</v>
      </c>
      <c r="C2766">
        <v>505.43999916315079</v>
      </c>
      <c r="D2766">
        <v>16</v>
      </c>
      <c r="E2766" s="80">
        <v>35410</v>
      </c>
    </row>
    <row r="2767" spans="1:5">
      <c r="A2767">
        <v>10379</v>
      </c>
      <c r="B2767" t="s">
        <v>177</v>
      </c>
      <c r="C2767">
        <v>505.43999916315079</v>
      </c>
      <c r="D2767">
        <v>16</v>
      </c>
      <c r="E2767" s="80">
        <v>35410</v>
      </c>
    </row>
    <row r="2768" spans="1:5">
      <c r="A2768">
        <v>10379</v>
      </c>
      <c r="B2768" t="s">
        <v>178</v>
      </c>
      <c r="C2768">
        <v>505.43999916315079</v>
      </c>
      <c r="D2768">
        <v>16</v>
      </c>
      <c r="E2768" s="80">
        <v>35410</v>
      </c>
    </row>
    <row r="2769" spans="1:5">
      <c r="A2769">
        <v>10379</v>
      </c>
      <c r="B2769" t="s">
        <v>179</v>
      </c>
      <c r="C2769">
        <v>505.43999916315079</v>
      </c>
      <c r="D2769">
        <v>16</v>
      </c>
      <c r="E2769" s="80">
        <v>35410</v>
      </c>
    </row>
    <row r="2770" spans="1:5">
      <c r="A2770">
        <v>10379</v>
      </c>
      <c r="B2770" t="s">
        <v>172</v>
      </c>
      <c r="C2770">
        <v>302.39999949932098</v>
      </c>
      <c r="D2770">
        <v>20</v>
      </c>
      <c r="E2770" s="80">
        <v>35410</v>
      </c>
    </row>
    <row r="2771" spans="1:5">
      <c r="A2771">
        <v>10379</v>
      </c>
      <c r="B2771" t="s">
        <v>173</v>
      </c>
      <c r="C2771">
        <v>302.39999949932098</v>
      </c>
      <c r="D2771">
        <v>20</v>
      </c>
      <c r="E2771" s="80">
        <v>35410</v>
      </c>
    </row>
    <row r="2772" spans="1:5">
      <c r="A2772">
        <v>10379</v>
      </c>
      <c r="B2772" t="s">
        <v>174</v>
      </c>
      <c r="C2772">
        <v>302.39999949932098</v>
      </c>
      <c r="D2772">
        <v>20</v>
      </c>
      <c r="E2772" s="80">
        <v>35410</v>
      </c>
    </row>
    <row r="2773" spans="1:5">
      <c r="A2773">
        <v>10379</v>
      </c>
      <c r="B2773" t="s">
        <v>175</v>
      </c>
      <c r="C2773">
        <v>302.39999949932098</v>
      </c>
      <c r="D2773">
        <v>20</v>
      </c>
      <c r="E2773" s="80">
        <v>35410</v>
      </c>
    </row>
    <row r="2774" spans="1:5">
      <c r="A2774">
        <v>10379</v>
      </c>
      <c r="B2774" t="s">
        <v>176</v>
      </c>
      <c r="C2774">
        <v>302.39999949932098</v>
      </c>
      <c r="D2774">
        <v>20</v>
      </c>
      <c r="E2774" s="80">
        <v>35410</v>
      </c>
    </row>
    <row r="2775" spans="1:5">
      <c r="A2775">
        <v>10379</v>
      </c>
      <c r="B2775" t="s">
        <v>177</v>
      </c>
      <c r="C2775">
        <v>302.39999949932098</v>
      </c>
      <c r="D2775">
        <v>20</v>
      </c>
      <c r="E2775" s="80">
        <v>35410</v>
      </c>
    </row>
    <row r="2776" spans="1:5">
      <c r="A2776">
        <v>10379</v>
      </c>
      <c r="B2776" t="s">
        <v>178</v>
      </c>
      <c r="C2776">
        <v>302.39999949932098</v>
      </c>
      <c r="D2776">
        <v>20</v>
      </c>
      <c r="E2776" s="80">
        <v>35410</v>
      </c>
    </row>
    <row r="2777" spans="1:5">
      <c r="A2777">
        <v>10379</v>
      </c>
      <c r="B2777" t="s">
        <v>179</v>
      </c>
      <c r="C2777">
        <v>302.39999949932098</v>
      </c>
      <c r="D2777">
        <v>20</v>
      </c>
      <c r="E2777" s="80">
        <v>35410</v>
      </c>
    </row>
    <row r="2778" spans="1:5">
      <c r="A2778">
        <v>10380</v>
      </c>
      <c r="B2778" t="s">
        <v>172</v>
      </c>
      <c r="C2778">
        <v>335.33999944478273</v>
      </c>
      <c r="D2778">
        <v>18</v>
      </c>
      <c r="E2778" s="80">
        <v>35411</v>
      </c>
    </row>
    <row r="2779" spans="1:5">
      <c r="A2779">
        <v>10380</v>
      </c>
      <c r="B2779" t="s">
        <v>173</v>
      </c>
      <c r="C2779">
        <v>335.33999944478273</v>
      </c>
      <c r="D2779">
        <v>18</v>
      </c>
      <c r="E2779" s="80">
        <v>35411</v>
      </c>
    </row>
    <row r="2780" spans="1:5">
      <c r="A2780">
        <v>10380</v>
      </c>
      <c r="B2780" t="s">
        <v>174</v>
      </c>
      <c r="C2780">
        <v>335.33999944478273</v>
      </c>
      <c r="D2780">
        <v>18</v>
      </c>
      <c r="E2780" s="80">
        <v>35411</v>
      </c>
    </row>
    <row r="2781" spans="1:5">
      <c r="A2781">
        <v>10380</v>
      </c>
      <c r="B2781" t="s">
        <v>175</v>
      </c>
      <c r="C2781">
        <v>335.33999944478273</v>
      </c>
      <c r="D2781">
        <v>18</v>
      </c>
      <c r="E2781" s="80">
        <v>35411</v>
      </c>
    </row>
    <row r="2782" spans="1:5">
      <c r="A2782">
        <v>10380</v>
      </c>
      <c r="B2782" t="s">
        <v>176</v>
      </c>
      <c r="C2782">
        <v>335.33999944478273</v>
      </c>
      <c r="D2782">
        <v>18</v>
      </c>
      <c r="E2782" s="80">
        <v>35411</v>
      </c>
    </row>
    <row r="2783" spans="1:5">
      <c r="A2783">
        <v>10380</v>
      </c>
      <c r="B2783" t="s">
        <v>177</v>
      </c>
      <c r="C2783">
        <v>335.33999944478273</v>
      </c>
      <c r="D2783">
        <v>18</v>
      </c>
      <c r="E2783" s="80">
        <v>35411</v>
      </c>
    </row>
    <row r="2784" spans="1:5">
      <c r="A2784">
        <v>10380</v>
      </c>
      <c r="B2784" t="s">
        <v>178</v>
      </c>
      <c r="C2784">
        <v>335.33999944478273</v>
      </c>
      <c r="D2784">
        <v>18</v>
      </c>
      <c r="E2784" s="80">
        <v>35411</v>
      </c>
    </row>
    <row r="2785" spans="1:5">
      <c r="A2785">
        <v>10380</v>
      </c>
      <c r="B2785" t="s">
        <v>179</v>
      </c>
      <c r="C2785">
        <v>335.33999944478273</v>
      </c>
      <c r="D2785">
        <v>18</v>
      </c>
      <c r="E2785" s="80">
        <v>35411</v>
      </c>
    </row>
    <row r="2786" spans="1:5">
      <c r="A2786">
        <v>10380</v>
      </c>
      <c r="B2786" t="s">
        <v>172</v>
      </c>
      <c r="C2786">
        <v>471.59999921917915</v>
      </c>
      <c r="D2786">
        <v>20</v>
      </c>
      <c r="E2786" s="80">
        <v>35411</v>
      </c>
    </row>
    <row r="2787" spans="1:5">
      <c r="A2787">
        <v>10380</v>
      </c>
      <c r="B2787" t="s">
        <v>173</v>
      </c>
      <c r="C2787">
        <v>471.59999921917915</v>
      </c>
      <c r="D2787">
        <v>20</v>
      </c>
      <c r="E2787" s="80">
        <v>35411</v>
      </c>
    </row>
    <row r="2788" spans="1:5">
      <c r="A2788">
        <v>10380</v>
      </c>
      <c r="B2788" t="s">
        <v>174</v>
      </c>
      <c r="C2788">
        <v>471.59999921917915</v>
      </c>
      <c r="D2788">
        <v>20</v>
      </c>
      <c r="E2788" s="80">
        <v>35411</v>
      </c>
    </row>
    <row r="2789" spans="1:5">
      <c r="A2789">
        <v>10380</v>
      </c>
      <c r="B2789" t="s">
        <v>175</v>
      </c>
      <c r="C2789">
        <v>471.59999921917915</v>
      </c>
      <c r="D2789">
        <v>20</v>
      </c>
      <c r="E2789" s="80">
        <v>35411</v>
      </c>
    </row>
    <row r="2790" spans="1:5">
      <c r="A2790">
        <v>10380</v>
      </c>
      <c r="B2790" t="s">
        <v>176</v>
      </c>
      <c r="C2790">
        <v>471.59999921917915</v>
      </c>
      <c r="D2790">
        <v>20</v>
      </c>
      <c r="E2790" s="80">
        <v>35411</v>
      </c>
    </row>
    <row r="2791" spans="1:5">
      <c r="A2791">
        <v>10380</v>
      </c>
      <c r="B2791" t="s">
        <v>177</v>
      </c>
      <c r="C2791">
        <v>471.59999921917915</v>
      </c>
      <c r="D2791">
        <v>20</v>
      </c>
      <c r="E2791" s="80">
        <v>35411</v>
      </c>
    </row>
    <row r="2792" spans="1:5">
      <c r="A2792">
        <v>10380</v>
      </c>
      <c r="B2792" t="s">
        <v>178</v>
      </c>
      <c r="C2792">
        <v>471.59999921917915</v>
      </c>
      <c r="D2792">
        <v>20</v>
      </c>
      <c r="E2792" s="80">
        <v>35411</v>
      </c>
    </row>
    <row r="2793" spans="1:5">
      <c r="A2793">
        <v>10380</v>
      </c>
      <c r="B2793" t="s">
        <v>179</v>
      </c>
      <c r="C2793">
        <v>471.59999921917915</v>
      </c>
      <c r="D2793">
        <v>20</v>
      </c>
      <c r="E2793" s="80">
        <v>35411</v>
      </c>
    </row>
    <row r="2794" spans="1:5">
      <c r="A2794">
        <v>10380</v>
      </c>
      <c r="B2794" t="s">
        <v>172</v>
      </c>
      <c r="C2794">
        <v>146.87999975681305</v>
      </c>
      <c r="D2794">
        <v>6</v>
      </c>
      <c r="E2794" s="80">
        <v>35411</v>
      </c>
    </row>
    <row r="2795" spans="1:5">
      <c r="A2795">
        <v>10380</v>
      </c>
      <c r="B2795" t="s">
        <v>173</v>
      </c>
      <c r="C2795">
        <v>146.87999975681305</v>
      </c>
      <c r="D2795">
        <v>6</v>
      </c>
      <c r="E2795" s="80">
        <v>35411</v>
      </c>
    </row>
    <row r="2796" spans="1:5">
      <c r="A2796">
        <v>10380</v>
      </c>
      <c r="B2796" t="s">
        <v>174</v>
      </c>
      <c r="C2796">
        <v>146.87999975681305</v>
      </c>
      <c r="D2796">
        <v>6</v>
      </c>
      <c r="E2796" s="80">
        <v>35411</v>
      </c>
    </row>
    <row r="2797" spans="1:5">
      <c r="A2797">
        <v>10380</v>
      </c>
      <c r="B2797" t="s">
        <v>175</v>
      </c>
      <c r="C2797">
        <v>146.87999975681305</v>
      </c>
      <c r="D2797">
        <v>6</v>
      </c>
      <c r="E2797" s="80">
        <v>35411</v>
      </c>
    </row>
    <row r="2798" spans="1:5">
      <c r="A2798">
        <v>10380</v>
      </c>
      <c r="B2798" t="s">
        <v>176</v>
      </c>
      <c r="C2798">
        <v>146.87999975681305</v>
      </c>
      <c r="D2798">
        <v>6</v>
      </c>
      <c r="E2798" s="80">
        <v>35411</v>
      </c>
    </row>
    <row r="2799" spans="1:5">
      <c r="A2799">
        <v>10380</v>
      </c>
      <c r="B2799" t="s">
        <v>177</v>
      </c>
      <c r="C2799">
        <v>146.87999975681305</v>
      </c>
      <c r="D2799">
        <v>6</v>
      </c>
      <c r="E2799" s="80">
        <v>35411</v>
      </c>
    </row>
    <row r="2800" spans="1:5">
      <c r="A2800">
        <v>10380</v>
      </c>
      <c r="B2800" t="s">
        <v>178</v>
      </c>
      <c r="C2800">
        <v>146.87999975681305</v>
      </c>
      <c r="D2800">
        <v>6</v>
      </c>
      <c r="E2800" s="80">
        <v>35411</v>
      </c>
    </row>
    <row r="2801" spans="1:5">
      <c r="A2801">
        <v>10380</v>
      </c>
      <c r="B2801" t="s">
        <v>179</v>
      </c>
      <c r="C2801">
        <v>146.87999975681305</v>
      </c>
      <c r="D2801">
        <v>6</v>
      </c>
      <c r="E2801" s="80">
        <v>35411</v>
      </c>
    </row>
    <row r="2802" spans="1:5">
      <c r="A2802">
        <v>10380</v>
      </c>
      <c r="B2802" t="s">
        <v>172</v>
      </c>
      <c r="C2802">
        <v>360</v>
      </c>
      <c r="D2802">
        <v>30</v>
      </c>
      <c r="E2802" s="80">
        <v>35411</v>
      </c>
    </row>
    <row r="2803" spans="1:5">
      <c r="A2803">
        <v>10380</v>
      </c>
      <c r="B2803" t="s">
        <v>173</v>
      </c>
      <c r="C2803">
        <v>360</v>
      </c>
      <c r="D2803">
        <v>30</v>
      </c>
      <c r="E2803" s="80">
        <v>35411</v>
      </c>
    </row>
    <row r="2804" spans="1:5">
      <c r="A2804">
        <v>10380</v>
      </c>
      <c r="B2804" t="s">
        <v>174</v>
      </c>
      <c r="C2804">
        <v>360</v>
      </c>
      <c r="D2804">
        <v>30</v>
      </c>
      <c r="E2804" s="80">
        <v>35411</v>
      </c>
    </row>
    <row r="2805" spans="1:5">
      <c r="A2805">
        <v>10380</v>
      </c>
      <c r="B2805" t="s">
        <v>175</v>
      </c>
      <c r="C2805">
        <v>360</v>
      </c>
      <c r="D2805">
        <v>30</v>
      </c>
      <c r="E2805" s="80">
        <v>35411</v>
      </c>
    </row>
    <row r="2806" spans="1:5">
      <c r="A2806">
        <v>10380</v>
      </c>
      <c r="B2806" t="s">
        <v>176</v>
      </c>
      <c r="C2806">
        <v>360</v>
      </c>
      <c r="D2806">
        <v>30</v>
      </c>
      <c r="E2806" s="80">
        <v>35411</v>
      </c>
    </row>
    <row r="2807" spans="1:5">
      <c r="A2807">
        <v>10380</v>
      </c>
      <c r="B2807" t="s">
        <v>177</v>
      </c>
      <c r="C2807">
        <v>360</v>
      </c>
      <c r="D2807">
        <v>30</v>
      </c>
      <c r="E2807" s="80">
        <v>35411</v>
      </c>
    </row>
    <row r="2808" spans="1:5">
      <c r="A2808">
        <v>10380</v>
      </c>
      <c r="B2808" t="s">
        <v>178</v>
      </c>
      <c r="C2808">
        <v>360</v>
      </c>
      <c r="D2808">
        <v>30</v>
      </c>
      <c r="E2808" s="80">
        <v>35411</v>
      </c>
    </row>
    <row r="2809" spans="1:5">
      <c r="A2809">
        <v>10380</v>
      </c>
      <c r="B2809" t="s">
        <v>179</v>
      </c>
      <c r="C2809">
        <v>360</v>
      </c>
      <c r="D2809">
        <v>30</v>
      </c>
      <c r="E2809" s="80">
        <v>35411</v>
      </c>
    </row>
    <row r="2810" spans="1:5">
      <c r="A2810">
        <v>10381</v>
      </c>
      <c r="B2810" t="s">
        <v>172</v>
      </c>
      <c r="C2810">
        <v>112</v>
      </c>
      <c r="D2810">
        <v>14</v>
      </c>
      <c r="E2810" s="80">
        <v>35411</v>
      </c>
    </row>
    <row r="2811" spans="1:5">
      <c r="A2811">
        <v>10381</v>
      </c>
      <c r="B2811" t="s">
        <v>173</v>
      </c>
      <c r="C2811">
        <v>112</v>
      </c>
      <c r="D2811">
        <v>14</v>
      </c>
      <c r="E2811" s="80">
        <v>35411</v>
      </c>
    </row>
    <row r="2812" spans="1:5">
      <c r="A2812">
        <v>10381</v>
      </c>
      <c r="B2812" t="s">
        <v>174</v>
      </c>
      <c r="C2812">
        <v>112</v>
      </c>
      <c r="D2812">
        <v>14</v>
      </c>
      <c r="E2812" s="80">
        <v>35411</v>
      </c>
    </row>
    <row r="2813" spans="1:5">
      <c r="A2813">
        <v>10381</v>
      </c>
      <c r="B2813" t="s">
        <v>175</v>
      </c>
      <c r="C2813">
        <v>112</v>
      </c>
      <c r="D2813">
        <v>14</v>
      </c>
      <c r="E2813" s="80">
        <v>35411</v>
      </c>
    </row>
    <row r="2814" spans="1:5">
      <c r="A2814">
        <v>10381</v>
      </c>
      <c r="B2814" t="s">
        <v>176</v>
      </c>
      <c r="C2814">
        <v>112</v>
      </c>
      <c r="D2814">
        <v>14</v>
      </c>
      <c r="E2814" s="80">
        <v>35411</v>
      </c>
    </row>
    <row r="2815" spans="1:5">
      <c r="A2815">
        <v>10381</v>
      </c>
      <c r="B2815" t="s">
        <v>177</v>
      </c>
      <c r="C2815">
        <v>112</v>
      </c>
      <c r="D2815">
        <v>14</v>
      </c>
      <c r="E2815" s="80">
        <v>35411</v>
      </c>
    </row>
    <row r="2816" spans="1:5">
      <c r="A2816">
        <v>10381</v>
      </c>
      <c r="B2816" t="s">
        <v>178</v>
      </c>
      <c r="C2816">
        <v>112</v>
      </c>
      <c r="D2816">
        <v>14</v>
      </c>
      <c r="E2816" s="80">
        <v>35411</v>
      </c>
    </row>
    <row r="2817" spans="1:5">
      <c r="A2817">
        <v>10381</v>
      </c>
      <c r="B2817" t="s">
        <v>179</v>
      </c>
      <c r="C2817">
        <v>112</v>
      </c>
      <c r="D2817">
        <v>14</v>
      </c>
      <c r="E2817" s="80">
        <v>35411</v>
      </c>
    </row>
    <row r="2818" spans="1:5">
      <c r="A2818">
        <v>10382</v>
      </c>
      <c r="B2818" t="s">
        <v>172</v>
      </c>
      <c r="C2818">
        <v>544</v>
      </c>
      <c r="D2818">
        <v>32</v>
      </c>
      <c r="E2818" s="80">
        <v>35412</v>
      </c>
    </row>
    <row r="2819" spans="1:5">
      <c r="A2819">
        <v>10382</v>
      </c>
      <c r="B2819" t="s">
        <v>173</v>
      </c>
      <c r="C2819">
        <v>544</v>
      </c>
      <c r="D2819">
        <v>32</v>
      </c>
      <c r="E2819" s="80">
        <v>35412</v>
      </c>
    </row>
    <row r="2820" spans="1:5">
      <c r="A2820">
        <v>10382</v>
      </c>
      <c r="B2820" t="s">
        <v>174</v>
      </c>
      <c r="C2820">
        <v>544</v>
      </c>
      <c r="D2820">
        <v>32</v>
      </c>
      <c r="E2820" s="80">
        <v>35412</v>
      </c>
    </row>
    <row r="2821" spans="1:5">
      <c r="A2821">
        <v>10382</v>
      </c>
      <c r="B2821" t="s">
        <v>175</v>
      </c>
      <c r="C2821">
        <v>544</v>
      </c>
      <c r="D2821">
        <v>32</v>
      </c>
      <c r="E2821" s="80">
        <v>35412</v>
      </c>
    </row>
    <row r="2822" spans="1:5">
      <c r="A2822">
        <v>10382</v>
      </c>
      <c r="B2822" t="s">
        <v>176</v>
      </c>
      <c r="C2822">
        <v>544</v>
      </c>
      <c r="D2822">
        <v>32</v>
      </c>
      <c r="E2822" s="80">
        <v>35412</v>
      </c>
    </row>
    <row r="2823" spans="1:5">
      <c r="A2823">
        <v>10382</v>
      </c>
      <c r="B2823" t="s">
        <v>177</v>
      </c>
      <c r="C2823">
        <v>544</v>
      </c>
      <c r="D2823">
        <v>32</v>
      </c>
      <c r="E2823" s="80">
        <v>35412</v>
      </c>
    </row>
    <row r="2824" spans="1:5">
      <c r="A2824">
        <v>10382</v>
      </c>
      <c r="B2824" t="s">
        <v>178</v>
      </c>
      <c r="C2824">
        <v>544</v>
      </c>
      <c r="D2824">
        <v>32</v>
      </c>
      <c r="E2824" s="80">
        <v>35412</v>
      </c>
    </row>
    <row r="2825" spans="1:5">
      <c r="A2825">
        <v>10382</v>
      </c>
      <c r="B2825" t="s">
        <v>179</v>
      </c>
      <c r="C2825">
        <v>544</v>
      </c>
      <c r="D2825">
        <v>32</v>
      </c>
      <c r="E2825" s="80">
        <v>35412</v>
      </c>
    </row>
    <row r="2826" spans="1:5">
      <c r="A2826">
        <v>10382</v>
      </c>
      <c r="B2826" t="s">
        <v>172</v>
      </c>
      <c r="C2826">
        <v>450</v>
      </c>
      <c r="D2826">
        <v>9</v>
      </c>
      <c r="E2826" s="80">
        <v>35412</v>
      </c>
    </row>
    <row r="2827" spans="1:5">
      <c r="A2827">
        <v>10382</v>
      </c>
      <c r="B2827" t="s">
        <v>173</v>
      </c>
      <c r="C2827">
        <v>450</v>
      </c>
      <c r="D2827">
        <v>9</v>
      </c>
      <c r="E2827" s="80">
        <v>35412</v>
      </c>
    </row>
    <row r="2828" spans="1:5">
      <c r="A2828">
        <v>10382</v>
      </c>
      <c r="B2828" t="s">
        <v>174</v>
      </c>
      <c r="C2828">
        <v>450</v>
      </c>
      <c r="D2828">
        <v>9</v>
      </c>
      <c r="E2828" s="80">
        <v>35412</v>
      </c>
    </row>
    <row r="2829" spans="1:5">
      <c r="A2829">
        <v>10382</v>
      </c>
      <c r="B2829" t="s">
        <v>175</v>
      </c>
      <c r="C2829">
        <v>450</v>
      </c>
      <c r="D2829">
        <v>9</v>
      </c>
      <c r="E2829" s="80">
        <v>35412</v>
      </c>
    </row>
    <row r="2830" spans="1:5">
      <c r="A2830">
        <v>10382</v>
      </c>
      <c r="B2830" t="s">
        <v>176</v>
      </c>
      <c r="C2830">
        <v>450</v>
      </c>
      <c r="D2830">
        <v>9</v>
      </c>
      <c r="E2830" s="80">
        <v>35412</v>
      </c>
    </row>
    <row r="2831" spans="1:5">
      <c r="A2831">
        <v>10382</v>
      </c>
      <c r="B2831" t="s">
        <v>177</v>
      </c>
      <c r="C2831">
        <v>450</v>
      </c>
      <c r="D2831">
        <v>9</v>
      </c>
      <c r="E2831" s="80">
        <v>35412</v>
      </c>
    </row>
    <row r="2832" spans="1:5">
      <c r="A2832">
        <v>10382</v>
      </c>
      <c r="B2832" t="s">
        <v>178</v>
      </c>
      <c r="C2832">
        <v>450</v>
      </c>
      <c r="D2832">
        <v>9</v>
      </c>
      <c r="E2832" s="80">
        <v>35412</v>
      </c>
    </row>
    <row r="2833" spans="1:5">
      <c r="A2833">
        <v>10382</v>
      </c>
      <c r="B2833" t="s">
        <v>179</v>
      </c>
      <c r="C2833">
        <v>450</v>
      </c>
      <c r="D2833">
        <v>9</v>
      </c>
      <c r="E2833" s="80">
        <v>35412</v>
      </c>
    </row>
    <row r="2834" spans="1:5">
      <c r="A2834">
        <v>10382</v>
      </c>
      <c r="B2834" t="s">
        <v>172</v>
      </c>
      <c r="C2834">
        <v>1386</v>
      </c>
      <c r="D2834">
        <v>14</v>
      </c>
      <c r="E2834" s="80">
        <v>35412</v>
      </c>
    </row>
    <row r="2835" spans="1:5">
      <c r="A2835">
        <v>10382</v>
      </c>
      <c r="B2835" t="s">
        <v>173</v>
      </c>
      <c r="C2835">
        <v>1386</v>
      </c>
      <c r="D2835">
        <v>14</v>
      </c>
      <c r="E2835" s="80">
        <v>35412</v>
      </c>
    </row>
    <row r="2836" spans="1:5">
      <c r="A2836">
        <v>10382</v>
      </c>
      <c r="B2836" t="s">
        <v>174</v>
      </c>
      <c r="C2836">
        <v>1386</v>
      </c>
      <c r="D2836">
        <v>14</v>
      </c>
      <c r="E2836" s="80">
        <v>35412</v>
      </c>
    </row>
    <row r="2837" spans="1:5">
      <c r="A2837">
        <v>10382</v>
      </c>
      <c r="B2837" t="s">
        <v>175</v>
      </c>
      <c r="C2837">
        <v>1386</v>
      </c>
      <c r="D2837">
        <v>14</v>
      </c>
      <c r="E2837" s="80">
        <v>35412</v>
      </c>
    </row>
    <row r="2838" spans="1:5">
      <c r="A2838">
        <v>10382</v>
      </c>
      <c r="B2838" t="s">
        <v>176</v>
      </c>
      <c r="C2838">
        <v>1386</v>
      </c>
      <c r="D2838">
        <v>14</v>
      </c>
      <c r="E2838" s="80">
        <v>35412</v>
      </c>
    </row>
    <row r="2839" spans="1:5">
      <c r="A2839">
        <v>10382</v>
      </c>
      <c r="B2839" t="s">
        <v>177</v>
      </c>
      <c r="C2839">
        <v>1386</v>
      </c>
      <c r="D2839">
        <v>14</v>
      </c>
      <c r="E2839" s="80">
        <v>35412</v>
      </c>
    </row>
    <row r="2840" spans="1:5">
      <c r="A2840">
        <v>10382</v>
      </c>
      <c r="B2840" t="s">
        <v>178</v>
      </c>
      <c r="C2840">
        <v>1386</v>
      </c>
      <c r="D2840">
        <v>14</v>
      </c>
      <c r="E2840" s="80">
        <v>35412</v>
      </c>
    </row>
    <row r="2841" spans="1:5">
      <c r="A2841">
        <v>10382</v>
      </c>
      <c r="B2841" t="s">
        <v>179</v>
      </c>
      <c r="C2841">
        <v>1386</v>
      </c>
      <c r="D2841">
        <v>14</v>
      </c>
      <c r="E2841" s="80">
        <v>35412</v>
      </c>
    </row>
    <row r="2842" spans="1:5">
      <c r="A2842">
        <v>10382</v>
      </c>
      <c r="B2842" t="s">
        <v>172</v>
      </c>
      <c r="C2842">
        <v>120</v>
      </c>
      <c r="D2842">
        <v>60</v>
      </c>
      <c r="E2842" s="80">
        <v>35412</v>
      </c>
    </row>
    <row r="2843" spans="1:5">
      <c r="A2843">
        <v>10382</v>
      </c>
      <c r="B2843" t="s">
        <v>173</v>
      </c>
      <c r="C2843">
        <v>120</v>
      </c>
      <c r="D2843">
        <v>60</v>
      </c>
      <c r="E2843" s="80">
        <v>35412</v>
      </c>
    </row>
    <row r="2844" spans="1:5">
      <c r="A2844">
        <v>10382</v>
      </c>
      <c r="B2844" t="s">
        <v>174</v>
      </c>
      <c r="C2844">
        <v>120</v>
      </c>
      <c r="D2844">
        <v>60</v>
      </c>
      <c r="E2844" s="80">
        <v>35412</v>
      </c>
    </row>
    <row r="2845" spans="1:5">
      <c r="A2845">
        <v>10382</v>
      </c>
      <c r="B2845" t="s">
        <v>175</v>
      </c>
      <c r="C2845">
        <v>120</v>
      </c>
      <c r="D2845">
        <v>60</v>
      </c>
      <c r="E2845" s="80">
        <v>35412</v>
      </c>
    </row>
    <row r="2846" spans="1:5">
      <c r="A2846">
        <v>10382</v>
      </c>
      <c r="B2846" t="s">
        <v>176</v>
      </c>
      <c r="C2846">
        <v>120</v>
      </c>
      <c r="D2846">
        <v>60</v>
      </c>
      <c r="E2846" s="80">
        <v>35412</v>
      </c>
    </row>
    <row r="2847" spans="1:5">
      <c r="A2847">
        <v>10382</v>
      </c>
      <c r="B2847" t="s">
        <v>177</v>
      </c>
      <c r="C2847">
        <v>120</v>
      </c>
      <c r="D2847">
        <v>60</v>
      </c>
      <c r="E2847" s="80">
        <v>35412</v>
      </c>
    </row>
    <row r="2848" spans="1:5">
      <c r="A2848">
        <v>10382</v>
      </c>
      <c r="B2848" t="s">
        <v>178</v>
      </c>
      <c r="C2848">
        <v>120</v>
      </c>
      <c r="D2848">
        <v>60</v>
      </c>
      <c r="E2848" s="80">
        <v>35412</v>
      </c>
    </row>
    <row r="2849" spans="1:5">
      <c r="A2849">
        <v>10382</v>
      </c>
      <c r="B2849" t="s">
        <v>179</v>
      </c>
      <c r="C2849">
        <v>120</v>
      </c>
      <c r="D2849">
        <v>60</v>
      </c>
      <c r="E2849" s="80">
        <v>35412</v>
      </c>
    </row>
    <row r="2850" spans="1:5">
      <c r="A2850">
        <v>10382</v>
      </c>
      <c r="B2850" t="s">
        <v>172</v>
      </c>
      <c r="C2850">
        <v>400</v>
      </c>
      <c r="D2850">
        <v>50</v>
      </c>
      <c r="E2850" s="80">
        <v>35412</v>
      </c>
    </row>
    <row r="2851" spans="1:5">
      <c r="A2851">
        <v>10382</v>
      </c>
      <c r="B2851" t="s">
        <v>173</v>
      </c>
      <c r="C2851">
        <v>400</v>
      </c>
      <c r="D2851">
        <v>50</v>
      </c>
      <c r="E2851" s="80">
        <v>35412</v>
      </c>
    </row>
    <row r="2852" spans="1:5">
      <c r="A2852">
        <v>10382</v>
      </c>
      <c r="B2852" t="s">
        <v>174</v>
      </c>
      <c r="C2852">
        <v>400</v>
      </c>
      <c r="D2852">
        <v>50</v>
      </c>
      <c r="E2852" s="80">
        <v>35412</v>
      </c>
    </row>
    <row r="2853" spans="1:5">
      <c r="A2853">
        <v>10382</v>
      </c>
      <c r="B2853" t="s">
        <v>175</v>
      </c>
      <c r="C2853">
        <v>400</v>
      </c>
      <c r="D2853">
        <v>50</v>
      </c>
      <c r="E2853" s="80">
        <v>35412</v>
      </c>
    </row>
    <row r="2854" spans="1:5">
      <c r="A2854">
        <v>10382</v>
      </c>
      <c r="B2854" t="s">
        <v>176</v>
      </c>
      <c r="C2854">
        <v>400</v>
      </c>
      <c r="D2854">
        <v>50</v>
      </c>
      <c r="E2854" s="80">
        <v>35412</v>
      </c>
    </row>
    <row r="2855" spans="1:5">
      <c r="A2855">
        <v>10382</v>
      </c>
      <c r="B2855" t="s">
        <v>177</v>
      </c>
      <c r="C2855">
        <v>400</v>
      </c>
      <c r="D2855">
        <v>50</v>
      </c>
      <c r="E2855" s="80">
        <v>35412</v>
      </c>
    </row>
    <row r="2856" spans="1:5">
      <c r="A2856">
        <v>10382</v>
      </c>
      <c r="B2856" t="s">
        <v>178</v>
      </c>
      <c r="C2856">
        <v>400</v>
      </c>
      <c r="D2856">
        <v>50</v>
      </c>
      <c r="E2856" s="80">
        <v>35412</v>
      </c>
    </row>
    <row r="2857" spans="1:5">
      <c r="A2857">
        <v>10382</v>
      </c>
      <c r="B2857" t="s">
        <v>179</v>
      </c>
      <c r="C2857">
        <v>400</v>
      </c>
      <c r="D2857">
        <v>50</v>
      </c>
      <c r="E2857" s="80">
        <v>35412</v>
      </c>
    </row>
    <row r="2858" spans="1:5">
      <c r="A2858">
        <v>10383</v>
      </c>
      <c r="B2858" t="s">
        <v>172</v>
      </c>
      <c r="C2858">
        <v>96</v>
      </c>
      <c r="D2858">
        <v>20</v>
      </c>
      <c r="E2858" s="80">
        <v>35415</v>
      </c>
    </row>
    <row r="2859" spans="1:5">
      <c r="A2859">
        <v>10383</v>
      </c>
      <c r="B2859" t="s">
        <v>173</v>
      </c>
      <c r="C2859">
        <v>96</v>
      </c>
      <c r="D2859">
        <v>20</v>
      </c>
      <c r="E2859" s="80">
        <v>35415</v>
      </c>
    </row>
    <row r="2860" spans="1:5">
      <c r="A2860">
        <v>10383</v>
      </c>
      <c r="B2860" t="s">
        <v>174</v>
      </c>
      <c r="C2860">
        <v>96</v>
      </c>
      <c r="D2860">
        <v>20</v>
      </c>
      <c r="E2860" s="80">
        <v>35415</v>
      </c>
    </row>
    <row r="2861" spans="1:5">
      <c r="A2861">
        <v>10383</v>
      </c>
      <c r="B2861" t="s">
        <v>175</v>
      </c>
      <c r="C2861">
        <v>96</v>
      </c>
      <c r="D2861">
        <v>20</v>
      </c>
      <c r="E2861" s="80">
        <v>35415</v>
      </c>
    </row>
    <row r="2862" spans="1:5">
      <c r="A2862">
        <v>10383</v>
      </c>
      <c r="B2862" t="s">
        <v>176</v>
      </c>
      <c r="C2862">
        <v>96</v>
      </c>
      <c r="D2862">
        <v>20</v>
      </c>
      <c r="E2862" s="80">
        <v>35415</v>
      </c>
    </row>
    <row r="2863" spans="1:5">
      <c r="A2863">
        <v>10383</v>
      </c>
      <c r="B2863" t="s">
        <v>177</v>
      </c>
      <c r="C2863">
        <v>96</v>
      </c>
      <c r="D2863">
        <v>20</v>
      </c>
      <c r="E2863" s="80">
        <v>35415</v>
      </c>
    </row>
    <row r="2864" spans="1:5">
      <c r="A2864">
        <v>10383</v>
      </c>
      <c r="B2864" t="s">
        <v>178</v>
      </c>
      <c r="C2864">
        <v>96</v>
      </c>
      <c r="D2864">
        <v>20</v>
      </c>
      <c r="E2864" s="80">
        <v>35415</v>
      </c>
    </row>
    <row r="2865" spans="1:5">
      <c r="A2865">
        <v>10383</v>
      </c>
      <c r="B2865" t="s">
        <v>179</v>
      </c>
      <c r="C2865">
        <v>96</v>
      </c>
      <c r="D2865">
        <v>20</v>
      </c>
      <c r="E2865" s="80">
        <v>35415</v>
      </c>
    </row>
    <row r="2866" spans="1:5">
      <c r="A2866">
        <v>10383</v>
      </c>
      <c r="B2866" t="s">
        <v>172</v>
      </c>
      <c r="C2866">
        <v>195</v>
      </c>
      <c r="D2866">
        <v>15</v>
      </c>
      <c r="E2866" s="80">
        <v>35415</v>
      </c>
    </row>
    <row r="2867" spans="1:5">
      <c r="A2867">
        <v>10383</v>
      </c>
      <c r="B2867" t="s">
        <v>173</v>
      </c>
      <c r="C2867">
        <v>195</v>
      </c>
      <c r="D2867">
        <v>15</v>
      </c>
      <c r="E2867" s="80">
        <v>35415</v>
      </c>
    </row>
    <row r="2868" spans="1:5">
      <c r="A2868">
        <v>10383</v>
      </c>
      <c r="B2868" t="s">
        <v>174</v>
      </c>
      <c r="C2868">
        <v>195</v>
      </c>
      <c r="D2868">
        <v>15</v>
      </c>
      <c r="E2868" s="80">
        <v>35415</v>
      </c>
    </row>
    <row r="2869" spans="1:5">
      <c r="A2869">
        <v>10383</v>
      </c>
      <c r="B2869" t="s">
        <v>175</v>
      </c>
      <c r="C2869">
        <v>195</v>
      </c>
      <c r="D2869">
        <v>15</v>
      </c>
      <c r="E2869" s="80">
        <v>35415</v>
      </c>
    </row>
    <row r="2870" spans="1:5">
      <c r="A2870">
        <v>10383</v>
      </c>
      <c r="B2870" t="s">
        <v>176</v>
      </c>
      <c r="C2870">
        <v>195</v>
      </c>
      <c r="D2870">
        <v>15</v>
      </c>
      <c r="E2870" s="80">
        <v>35415</v>
      </c>
    </row>
    <row r="2871" spans="1:5">
      <c r="A2871">
        <v>10383</v>
      </c>
      <c r="B2871" t="s">
        <v>177</v>
      </c>
      <c r="C2871">
        <v>195</v>
      </c>
      <c r="D2871">
        <v>15</v>
      </c>
      <c r="E2871" s="80">
        <v>35415</v>
      </c>
    </row>
    <row r="2872" spans="1:5">
      <c r="A2872">
        <v>10383</v>
      </c>
      <c r="B2872" t="s">
        <v>178</v>
      </c>
      <c r="C2872">
        <v>195</v>
      </c>
      <c r="D2872">
        <v>15</v>
      </c>
      <c r="E2872" s="80">
        <v>35415</v>
      </c>
    </row>
    <row r="2873" spans="1:5">
      <c r="A2873">
        <v>10383</v>
      </c>
      <c r="B2873" t="s">
        <v>179</v>
      </c>
      <c r="C2873">
        <v>195</v>
      </c>
      <c r="D2873">
        <v>15</v>
      </c>
      <c r="E2873" s="80">
        <v>35415</v>
      </c>
    </row>
    <row r="2874" spans="1:5">
      <c r="A2874">
        <v>10383</v>
      </c>
      <c r="B2874" t="s">
        <v>172</v>
      </c>
      <c r="C2874">
        <v>608</v>
      </c>
      <c r="D2874">
        <v>20</v>
      </c>
      <c r="E2874" s="80">
        <v>35415</v>
      </c>
    </row>
    <row r="2875" spans="1:5">
      <c r="A2875">
        <v>10383</v>
      </c>
      <c r="B2875" t="s">
        <v>173</v>
      </c>
      <c r="C2875">
        <v>608</v>
      </c>
      <c r="D2875">
        <v>20</v>
      </c>
      <c r="E2875" s="80">
        <v>35415</v>
      </c>
    </row>
    <row r="2876" spans="1:5">
      <c r="A2876">
        <v>10383</v>
      </c>
      <c r="B2876" t="s">
        <v>174</v>
      </c>
      <c r="C2876">
        <v>608</v>
      </c>
      <c r="D2876">
        <v>20</v>
      </c>
      <c r="E2876" s="80">
        <v>35415</v>
      </c>
    </row>
    <row r="2877" spans="1:5">
      <c r="A2877">
        <v>10383</v>
      </c>
      <c r="B2877" t="s">
        <v>175</v>
      </c>
      <c r="C2877">
        <v>608</v>
      </c>
      <c r="D2877">
        <v>20</v>
      </c>
      <c r="E2877" s="80">
        <v>35415</v>
      </c>
    </row>
    <row r="2878" spans="1:5">
      <c r="A2878">
        <v>10383</v>
      </c>
      <c r="B2878" t="s">
        <v>176</v>
      </c>
      <c r="C2878">
        <v>608</v>
      </c>
      <c r="D2878">
        <v>20</v>
      </c>
      <c r="E2878" s="80">
        <v>35415</v>
      </c>
    </row>
    <row r="2879" spans="1:5">
      <c r="A2879">
        <v>10383</v>
      </c>
      <c r="B2879" t="s">
        <v>177</v>
      </c>
      <c r="C2879">
        <v>608</v>
      </c>
      <c r="D2879">
        <v>20</v>
      </c>
      <c r="E2879" s="80">
        <v>35415</v>
      </c>
    </row>
    <row r="2880" spans="1:5">
      <c r="A2880">
        <v>10383</v>
      </c>
      <c r="B2880" t="s">
        <v>178</v>
      </c>
      <c r="C2880">
        <v>608</v>
      </c>
      <c r="D2880">
        <v>20</v>
      </c>
      <c r="E2880" s="80">
        <v>35415</v>
      </c>
    </row>
    <row r="2881" spans="1:5">
      <c r="A2881">
        <v>10383</v>
      </c>
      <c r="B2881" t="s">
        <v>179</v>
      </c>
      <c r="C2881">
        <v>608</v>
      </c>
      <c r="D2881">
        <v>20</v>
      </c>
      <c r="E2881" s="80">
        <v>35415</v>
      </c>
    </row>
    <row r="2882" spans="1:5">
      <c r="A2882">
        <v>10384</v>
      </c>
      <c r="B2882" t="s">
        <v>172</v>
      </c>
      <c r="C2882">
        <v>1814.4</v>
      </c>
      <c r="D2882">
        <v>28</v>
      </c>
      <c r="E2882" s="80">
        <v>35415</v>
      </c>
    </row>
    <row r="2883" spans="1:5">
      <c r="A2883">
        <v>10384</v>
      </c>
      <c r="B2883" t="s">
        <v>173</v>
      </c>
      <c r="C2883">
        <v>1814.4</v>
      </c>
      <c r="D2883">
        <v>28</v>
      </c>
      <c r="E2883" s="80">
        <v>35415</v>
      </c>
    </row>
    <row r="2884" spans="1:5">
      <c r="A2884">
        <v>10384</v>
      </c>
      <c r="B2884" t="s">
        <v>174</v>
      </c>
      <c r="C2884">
        <v>1814.4</v>
      </c>
      <c r="D2884">
        <v>28</v>
      </c>
      <c r="E2884" s="80">
        <v>35415</v>
      </c>
    </row>
    <row r="2885" spans="1:5">
      <c r="A2885">
        <v>10384</v>
      </c>
      <c r="B2885" t="s">
        <v>175</v>
      </c>
      <c r="C2885">
        <v>1814.4</v>
      </c>
      <c r="D2885">
        <v>28</v>
      </c>
      <c r="E2885" s="80">
        <v>35415</v>
      </c>
    </row>
    <row r="2886" spans="1:5">
      <c r="A2886">
        <v>10384</v>
      </c>
      <c r="B2886" t="s">
        <v>176</v>
      </c>
      <c r="C2886">
        <v>1814.4</v>
      </c>
      <c r="D2886">
        <v>28</v>
      </c>
      <c r="E2886" s="80">
        <v>35415</v>
      </c>
    </row>
    <row r="2887" spans="1:5">
      <c r="A2887">
        <v>10384</v>
      </c>
      <c r="B2887" t="s">
        <v>177</v>
      </c>
      <c r="C2887">
        <v>1814.4</v>
      </c>
      <c r="D2887">
        <v>28</v>
      </c>
      <c r="E2887" s="80">
        <v>35415</v>
      </c>
    </row>
    <row r="2888" spans="1:5">
      <c r="A2888">
        <v>10384</v>
      </c>
      <c r="B2888" t="s">
        <v>178</v>
      </c>
      <c r="C2888">
        <v>1814.4</v>
      </c>
      <c r="D2888">
        <v>28</v>
      </c>
      <c r="E2888" s="80">
        <v>35415</v>
      </c>
    </row>
    <row r="2889" spans="1:5">
      <c r="A2889">
        <v>10384</v>
      </c>
      <c r="B2889" t="s">
        <v>179</v>
      </c>
      <c r="C2889">
        <v>1814.4</v>
      </c>
      <c r="D2889">
        <v>28</v>
      </c>
      <c r="E2889" s="80">
        <v>35415</v>
      </c>
    </row>
    <row r="2890" spans="1:5">
      <c r="A2890">
        <v>10384</v>
      </c>
      <c r="B2890" t="s">
        <v>172</v>
      </c>
      <c r="C2890">
        <v>408</v>
      </c>
      <c r="D2890">
        <v>15</v>
      </c>
      <c r="E2890" s="80">
        <v>35415</v>
      </c>
    </row>
    <row r="2891" spans="1:5">
      <c r="A2891">
        <v>10384</v>
      </c>
      <c r="B2891" t="s">
        <v>173</v>
      </c>
      <c r="C2891">
        <v>408</v>
      </c>
      <c r="D2891">
        <v>15</v>
      </c>
      <c r="E2891" s="80">
        <v>35415</v>
      </c>
    </row>
    <row r="2892" spans="1:5">
      <c r="A2892">
        <v>10384</v>
      </c>
      <c r="B2892" t="s">
        <v>174</v>
      </c>
      <c r="C2892">
        <v>408</v>
      </c>
      <c r="D2892">
        <v>15</v>
      </c>
      <c r="E2892" s="80">
        <v>35415</v>
      </c>
    </row>
    <row r="2893" spans="1:5">
      <c r="A2893">
        <v>10384</v>
      </c>
      <c r="B2893" t="s">
        <v>175</v>
      </c>
      <c r="C2893">
        <v>408</v>
      </c>
      <c r="D2893">
        <v>15</v>
      </c>
      <c r="E2893" s="80">
        <v>35415</v>
      </c>
    </row>
    <row r="2894" spans="1:5">
      <c r="A2894">
        <v>10384</v>
      </c>
      <c r="B2894" t="s">
        <v>176</v>
      </c>
      <c r="C2894">
        <v>408</v>
      </c>
      <c r="D2894">
        <v>15</v>
      </c>
      <c r="E2894" s="80">
        <v>35415</v>
      </c>
    </row>
    <row r="2895" spans="1:5">
      <c r="A2895">
        <v>10384</v>
      </c>
      <c r="B2895" t="s">
        <v>177</v>
      </c>
      <c r="C2895">
        <v>408</v>
      </c>
      <c r="D2895">
        <v>15</v>
      </c>
      <c r="E2895" s="80">
        <v>35415</v>
      </c>
    </row>
    <row r="2896" spans="1:5">
      <c r="A2896">
        <v>10384</v>
      </c>
      <c r="B2896" t="s">
        <v>178</v>
      </c>
      <c r="C2896">
        <v>408</v>
      </c>
      <c r="D2896">
        <v>15</v>
      </c>
      <c r="E2896" s="80">
        <v>35415</v>
      </c>
    </row>
    <row r="2897" spans="1:5">
      <c r="A2897">
        <v>10384</v>
      </c>
      <c r="B2897" t="s">
        <v>179</v>
      </c>
      <c r="C2897">
        <v>408</v>
      </c>
      <c r="D2897">
        <v>15</v>
      </c>
      <c r="E2897" s="80">
        <v>35415</v>
      </c>
    </row>
    <row r="2898" spans="1:5">
      <c r="A2898">
        <v>10385</v>
      </c>
      <c r="B2898" t="s">
        <v>172</v>
      </c>
      <c r="C2898">
        <v>191.99999928474426</v>
      </c>
      <c r="D2898">
        <v>10</v>
      </c>
      <c r="E2898" s="80">
        <v>35416</v>
      </c>
    </row>
    <row r="2899" spans="1:5">
      <c r="A2899">
        <v>10385</v>
      </c>
      <c r="B2899" t="s">
        <v>173</v>
      </c>
      <c r="C2899">
        <v>191.99999928474426</v>
      </c>
      <c r="D2899">
        <v>10</v>
      </c>
      <c r="E2899" s="80">
        <v>35416</v>
      </c>
    </row>
    <row r="2900" spans="1:5">
      <c r="A2900">
        <v>10385</v>
      </c>
      <c r="B2900" t="s">
        <v>174</v>
      </c>
      <c r="C2900">
        <v>191.99999928474426</v>
      </c>
      <c r="D2900">
        <v>10</v>
      </c>
      <c r="E2900" s="80">
        <v>35416</v>
      </c>
    </row>
    <row r="2901" spans="1:5">
      <c r="A2901">
        <v>10385</v>
      </c>
      <c r="B2901" t="s">
        <v>175</v>
      </c>
      <c r="C2901">
        <v>191.99999928474426</v>
      </c>
      <c r="D2901">
        <v>10</v>
      </c>
      <c r="E2901" s="80">
        <v>35416</v>
      </c>
    </row>
    <row r="2902" spans="1:5">
      <c r="A2902">
        <v>10385</v>
      </c>
      <c r="B2902" t="s">
        <v>176</v>
      </c>
      <c r="C2902">
        <v>191.99999928474426</v>
      </c>
      <c r="D2902">
        <v>10</v>
      </c>
      <c r="E2902" s="80">
        <v>35416</v>
      </c>
    </row>
    <row r="2903" spans="1:5">
      <c r="A2903">
        <v>10385</v>
      </c>
      <c r="B2903" t="s">
        <v>177</v>
      </c>
      <c r="C2903">
        <v>191.99999928474426</v>
      </c>
      <c r="D2903">
        <v>10</v>
      </c>
      <c r="E2903" s="80">
        <v>35416</v>
      </c>
    </row>
    <row r="2904" spans="1:5">
      <c r="A2904">
        <v>10385</v>
      </c>
      <c r="B2904" t="s">
        <v>178</v>
      </c>
      <c r="C2904">
        <v>191.99999928474426</v>
      </c>
      <c r="D2904">
        <v>10</v>
      </c>
      <c r="E2904" s="80">
        <v>35416</v>
      </c>
    </row>
    <row r="2905" spans="1:5">
      <c r="A2905">
        <v>10385</v>
      </c>
      <c r="B2905" t="s">
        <v>179</v>
      </c>
      <c r="C2905">
        <v>191.99999928474426</v>
      </c>
      <c r="D2905">
        <v>10</v>
      </c>
      <c r="E2905" s="80">
        <v>35416</v>
      </c>
    </row>
    <row r="2906" spans="1:5">
      <c r="A2906">
        <v>10385</v>
      </c>
      <c r="B2906" t="s">
        <v>172</v>
      </c>
      <c r="C2906">
        <v>435.19999837875366</v>
      </c>
      <c r="D2906">
        <v>20</v>
      </c>
      <c r="E2906" s="80">
        <v>35416</v>
      </c>
    </row>
    <row r="2907" spans="1:5">
      <c r="A2907">
        <v>10385</v>
      </c>
      <c r="B2907" t="s">
        <v>173</v>
      </c>
      <c r="C2907">
        <v>435.19999837875366</v>
      </c>
      <c r="D2907">
        <v>20</v>
      </c>
      <c r="E2907" s="80">
        <v>35416</v>
      </c>
    </row>
    <row r="2908" spans="1:5">
      <c r="A2908">
        <v>10385</v>
      </c>
      <c r="B2908" t="s">
        <v>174</v>
      </c>
      <c r="C2908">
        <v>435.19999837875366</v>
      </c>
      <c r="D2908">
        <v>20</v>
      </c>
      <c r="E2908" s="80">
        <v>35416</v>
      </c>
    </row>
    <row r="2909" spans="1:5">
      <c r="A2909">
        <v>10385</v>
      </c>
      <c r="B2909" t="s">
        <v>175</v>
      </c>
      <c r="C2909">
        <v>435.19999837875366</v>
      </c>
      <c r="D2909">
        <v>20</v>
      </c>
      <c r="E2909" s="80">
        <v>35416</v>
      </c>
    </row>
    <row r="2910" spans="1:5">
      <c r="A2910">
        <v>10385</v>
      </c>
      <c r="B2910" t="s">
        <v>176</v>
      </c>
      <c r="C2910">
        <v>435.19999837875366</v>
      </c>
      <c r="D2910">
        <v>20</v>
      </c>
      <c r="E2910" s="80">
        <v>35416</v>
      </c>
    </row>
    <row r="2911" spans="1:5">
      <c r="A2911">
        <v>10385</v>
      </c>
      <c r="B2911" t="s">
        <v>177</v>
      </c>
      <c r="C2911">
        <v>435.19999837875366</v>
      </c>
      <c r="D2911">
        <v>20</v>
      </c>
      <c r="E2911" s="80">
        <v>35416</v>
      </c>
    </row>
    <row r="2912" spans="1:5">
      <c r="A2912">
        <v>10385</v>
      </c>
      <c r="B2912" t="s">
        <v>178</v>
      </c>
      <c r="C2912">
        <v>435.19999837875366</v>
      </c>
      <c r="D2912">
        <v>20</v>
      </c>
      <c r="E2912" s="80">
        <v>35416</v>
      </c>
    </row>
    <row r="2913" spans="1:5">
      <c r="A2913">
        <v>10385</v>
      </c>
      <c r="B2913" t="s">
        <v>179</v>
      </c>
      <c r="C2913">
        <v>435.19999837875366</v>
      </c>
      <c r="D2913">
        <v>20</v>
      </c>
      <c r="E2913" s="80">
        <v>35416</v>
      </c>
    </row>
    <row r="2914" spans="1:5">
      <c r="A2914">
        <v>10385</v>
      </c>
      <c r="B2914" t="s">
        <v>172</v>
      </c>
      <c r="C2914">
        <v>63.999999761581421</v>
      </c>
      <c r="D2914">
        <v>8</v>
      </c>
      <c r="E2914" s="80">
        <v>35416</v>
      </c>
    </row>
    <row r="2915" spans="1:5">
      <c r="A2915">
        <v>10385</v>
      </c>
      <c r="B2915" t="s">
        <v>173</v>
      </c>
      <c r="C2915">
        <v>63.999999761581421</v>
      </c>
      <c r="D2915">
        <v>8</v>
      </c>
      <c r="E2915" s="80">
        <v>35416</v>
      </c>
    </row>
    <row r="2916" spans="1:5">
      <c r="A2916">
        <v>10385</v>
      </c>
      <c r="B2916" t="s">
        <v>174</v>
      </c>
      <c r="C2916">
        <v>63.999999761581421</v>
      </c>
      <c r="D2916">
        <v>8</v>
      </c>
      <c r="E2916" s="80">
        <v>35416</v>
      </c>
    </row>
    <row r="2917" spans="1:5">
      <c r="A2917">
        <v>10385</v>
      </c>
      <c r="B2917" t="s">
        <v>175</v>
      </c>
      <c r="C2917">
        <v>63.999999761581421</v>
      </c>
      <c r="D2917">
        <v>8</v>
      </c>
      <c r="E2917" s="80">
        <v>35416</v>
      </c>
    </row>
    <row r="2918" spans="1:5">
      <c r="A2918">
        <v>10385</v>
      </c>
      <c r="B2918" t="s">
        <v>176</v>
      </c>
      <c r="C2918">
        <v>63.999999761581421</v>
      </c>
      <c r="D2918">
        <v>8</v>
      </c>
      <c r="E2918" s="80">
        <v>35416</v>
      </c>
    </row>
    <row r="2919" spans="1:5">
      <c r="A2919">
        <v>10385</v>
      </c>
      <c r="B2919" t="s">
        <v>177</v>
      </c>
      <c r="C2919">
        <v>63.999999761581421</v>
      </c>
      <c r="D2919">
        <v>8</v>
      </c>
      <c r="E2919" s="80">
        <v>35416</v>
      </c>
    </row>
    <row r="2920" spans="1:5">
      <c r="A2920">
        <v>10385</v>
      </c>
      <c r="B2920" t="s">
        <v>178</v>
      </c>
      <c r="C2920">
        <v>63.999999761581421</v>
      </c>
      <c r="D2920">
        <v>8</v>
      </c>
      <c r="E2920" s="80">
        <v>35416</v>
      </c>
    </row>
    <row r="2921" spans="1:5">
      <c r="A2921">
        <v>10385</v>
      </c>
      <c r="B2921" t="s">
        <v>179</v>
      </c>
      <c r="C2921">
        <v>63.999999761581421</v>
      </c>
      <c r="D2921">
        <v>8</v>
      </c>
      <c r="E2921" s="80">
        <v>35416</v>
      </c>
    </row>
    <row r="2922" spans="1:5">
      <c r="A2922">
        <v>10386</v>
      </c>
      <c r="B2922" t="s">
        <v>172</v>
      </c>
      <c r="C2922">
        <v>54</v>
      </c>
      <c r="D2922">
        <v>15</v>
      </c>
      <c r="E2922" s="80">
        <v>35417</v>
      </c>
    </row>
    <row r="2923" spans="1:5">
      <c r="A2923">
        <v>10386</v>
      </c>
      <c r="B2923" t="s">
        <v>173</v>
      </c>
      <c r="C2923">
        <v>54</v>
      </c>
      <c r="D2923">
        <v>15</v>
      </c>
      <c r="E2923" s="80">
        <v>35417</v>
      </c>
    </row>
    <row r="2924" spans="1:5">
      <c r="A2924">
        <v>10386</v>
      </c>
      <c r="B2924" t="s">
        <v>174</v>
      </c>
      <c r="C2924">
        <v>54</v>
      </c>
      <c r="D2924">
        <v>15</v>
      </c>
      <c r="E2924" s="80">
        <v>35417</v>
      </c>
    </row>
    <row r="2925" spans="1:5">
      <c r="A2925">
        <v>10386</v>
      </c>
      <c r="B2925" t="s">
        <v>175</v>
      </c>
      <c r="C2925">
        <v>54</v>
      </c>
      <c r="D2925">
        <v>15</v>
      </c>
      <c r="E2925" s="80">
        <v>35417</v>
      </c>
    </row>
    <row r="2926" spans="1:5">
      <c r="A2926">
        <v>10386</v>
      </c>
      <c r="B2926" t="s">
        <v>176</v>
      </c>
      <c r="C2926">
        <v>54</v>
      </c>
      <c r="D2926">
        <v>15</v>
      </c>
      <c r="E2926" s="80">
        <v>35417</v>
      </c>
    </row>
    <row r="2927" spans="1:5">
      <c r="A2927">
        <v>10386</v>
      </c>
      <c r="B2927" t="s">
        <v>177</v>
      </c>
      <c r="C2927">
        <v>54</v>
      </c>
      <c r="D2927">
        <v>15</v>
      </c>
      <c r="E2927" s="80">
        <v>35417</v>
      </c>
    </row>
    <row r="2928" spans="1:5">
      <c r="A2928">
        <v>10386</v>
      </c>
      <c r="B2928" t="s">
        <v>178</v>
      </c>
      <c r="C2928">
        <v>54</v>
      </c>
      <c r="D2928">
        <v>15</v>
      </c>
      <c r="E2928" s="80">
        <v>35417</v>
      </c>
    </row>
    <row r="2929" spans="1:5">
      <c r="A2929">
        <v>10386</v>
      </c>
      <c r="B2929" t="s">
        <v>179</v>
      </c>
      <c r="C2929">
        <v>54</v>
      </c>
      <c r="D2929">
        <v>15</v>
      </c>
      <c r="E2929" s="80">
        <v>35417</v>
      </c>
    </row>
    <row r="2930" spans="1:5">
      <c r="A2930">
        <v>10386</v>
      </c>
      <c r="B2930" t="s">
        <v>172</v>
      </c>
      <c r="C2930">
        <v>112</v>
      </c>
      <c r="D2930">
        <v>10</v>
      </c>
      <c r="E2930" s="80">
        <v>35417</v>
      </c>
    </row>
    <row r="2931" spans="1:5">
      <c r="A2931">
        <v>10386</v>
      </c>
      <c r="B2931" t="s">
        <v>173</v>
      </c>
      <c r="C2931">
        <v>112</v>
      </c>
      <c r="D2931">
        <v>10</v>
      </c>
      <c r="E2931" s="80">
        <v>35417</v>
      </c>
    </row>
    <row r="2932" spans="1:5">
      <c r="A2932">
        <v>10386</v>
      </c>
      <c r="B2932" t="s">
        <v>174</v>
      </c>
      <c r="C2932">
        <v>112</v>
      </c>
      <c r="D2932">
        <v>10</v>
      </c>
      <c r="E2932" s="80">
        <v>35417</v>
      </c>
    </row>
    <row r="2933" spans="1:5">
      <c r="A2933">
        <v>10386</v>
      </c>
      <c r="B2933" t="s">
        <v>175</v>
      </c>
      <c r="C2933">
        <v>112</v>
      </c>
      <c r="D2933">
        <v>10</v>
      </c>
      <c r="E2933" s="80">
        <v>35417</v>
      </c>
    </row>
    <row r="2934" spans="1:5">
      <c r="A2934">
        <v>10386</v>
      </c>
      <c r="B2934" t="s">
        <v>176</v>
      </c>
      <c r="C2934">
        <v>112</v>
      </c>
      <c r="D2934">
        <v>10</v>
      </c>
      <c r="E2934" s="80">
        <v>35417</v>
      </c>
    </row>
    <row r="2935" spans="1:5">
      <c r="A2935">
        <v>10386</v>
      </c>
      <c r="B2935" t="s">
        <v>177</v>
      </c>
      <c r="C2935">
        <v>112</v>
      </c>
      <c r="D2935">
        <v>10</v>
      </c>
      <c r="E2935" s="80">
        <v>35417</v>
      </c>
    </row>
    <row r="2936" spans="1:5">
      <c r="A2936">
        <v>10386</v>
      </c>
      <c r="B2936" t="s">
        <v>178</v>
      </c>
      <c r="C2936">
        <v>112</v>
      </c>
      <c r="D2936">
        <v>10</v>
      </c>
      <c r="E2936" s="80">
        <v>35417</v>
      </c>
    </row>
    <row r="2937" spans="1:5">
      <c r="A2937">
        <v>10386</v>
      </c>
      <c r="B2937" t="s">
        <v>179</v>
      </c>
      <c r="C2937">
        <v>112</v>
      </c>
      <c r="D2937">
        <v>10</v>
      </c>
      <c r="E2937" s="80">
        <v>35417</v>
      </c>
    </row>
    <row r="2938" spans="1:5">
      <c r="A2938">
        <v>10387</v>
      </c>
      <c r="B2938" t="s">
        <v>172</v>
      </c>
      <c r="C2938">
        <v>54</v>
      </c>
      <c r="D2938">
        <v>15</v>
      </c>
      <c r="E2938" s="80">
        <v>35417</v>
      </c>
    </row>
    <row r="2939" spans="1:5">
      <c r="A2939">
        <v>10387</v>
      </c>
      <c r="B2939" t="s">
        <v>173</v>
      </c>
      <c r="C2939">
        <v>54</v>
      </c>
      <c r="D2939">
        <v>15</v>
      </c>
      <c r="E2939" s="80">
        <v>35417</v>
      </c>
    </row>
    <row r="2940" spans="1:5">
      <c r="A2940">
        <v>10387</v>
      </c>
      <c r="B2940" t="s">
        <v>174</v>
      </c>
      <c r="C2940">
        <v>54</v>
      </c>
      <c r="D2940">
        <v>15</v>
      </c>
      <c r="E2940" s="80">
        <v>35417</v>
      </c>
    </row>
    <row r="2941" spans="1:5">
      <c r="A2941">
        <v>10387</v>
      </c>
      <c r="B2941" t="s">
        <v>175</v>
      </c>
      <c r="C2941">
        <v>54</v>
      </c>
      <c r="D2941">
        <v>15</v>
      </c>
      <c r="E2941" s="80">
        <v>35417</v>
      </c>
    </row>
    <row r="2942" spans="1:5">
      <c r="A2942">
        <v>10387</v>
      </c>
      <c r="B2942" t="s">
        <v>176</v>
      </c>
      <c r="C2942">
        <v>54</v>
      </c>
      <c r="D2942">
        <v>15</v>
      </c>
      <c r="E2942" s="80">
        <v>35417</v>
      </c>
    </row>
    <row r="2943" spans="1:5">
      <c r="A2943">
        <v>10387</v>
      </c>
      <c r="B2943" t="s">
        <v>177</v>
      </c>
      <c r="C2943">
        <v>54</v>
      </c>
      <c r="D2943">
        <v>15</v>
      </c>
      <c r="E2943" s="80">
        <v>35417</v>
      </c>
    </row>
    <row r="2944" spans="1:5">
      <c r="A2944">
        <v>10387</v>
      </c>
      <c r="B2944" t="s">
        <v>178</v>
      </c>
      <c r="C2944">
        <v>54</v>
      </c>
      <c r="D2944">
        <v>15</v>
      </c>
      <c r="E2944" s="80">
        <v>35417</v>
      </c>
    </row>
    <row r="2945" spans="1:5">
      <c r="A2945">
        <v>10387</v>
      </c>
      <c r="B2945" t="s">
        <v>179</v>
      </c>
      <c r="C2945">
        <v>54</v>
      </c>
      <c r="D2945">
        <v>15</v>
      </c>
      <c r="E2945" s="80">
        <v>35417</v>
      </c>
    </row>
    <row r="2946" spans="1:5">
      <c r="A2946">
        <v>10387</v>
      </c>
      <c r="B2946" t="s">
        <v>172</v>
      </c>
      <c r="C2946">
        <v>218.4</v>
      </c>
      <c r="D2946">
        <v>6</v>
      </c>
      <c r="E2946" s="80">
        <v>35417</v>
      </c>
    </row>
    <row r="2947" spans="1:5">
      <c r="A2947">
        <v>10387</v>
      </c>
      <c r="B2947" t="s">
        <v>173</v>
      </c>
      <c r="C2947">
        <v>218.4</v>
      </c>
      <c r="D2947">
        <v>6</v>
      </c>
      <c r="E2947" s="80">
        <v>35417</v>
      </c>
    </row>
    <row r="2948" spans="1:5">
      <c r="A2948">
        <v>10387</v>
      </c>
      <c r="B2948" t="s">
        <v>174</v>
      </c>
      <c r="C2948">
        <v>218.4</v>
      </c>
      <c r="D2948">
        <v>6</v>
      </c>
      <c r="E2948" s="80">
        <v>35417</v>
      </c>
    </row>
    <row r="2949" spans="1:5">
      <c r="A2949">
        <v>10387</v>
      </c>
      <c r="B2949" t="s">
        <v>175</v>
      </c>
      <c r="C2949">
        <v>218.4</v>
      </c>
      <c r="D2949">
        <v>6</v>
      </c>
      <c r="E2949" s="80">
        <v>35417</v>
      </c>
    </row>
    <row r="2950" spans="1:5">
      <c r="A2950">
        <v>10387</v>
      </c>
      <c r="B2950" t="s">
        <v>176</v>
      </c>
      <c r="C2950">
        <v>218.4</v>
      </c>
      <c r="D2950">
        <v>6</v>
      </c>
      <c r="E2950" s="80">
        <v>35417</v>
      </c>
    </row>
    <row r="2951" spans="1:5">
      <c r="A2951">
        <v>10387</v>
      </c>
      <c r="B2951" t="s">
        <v>177</v>
      </c>
      <c r="C2951">
        <v>218.4</v>
      </c>
      <c r="D2951">
        <v>6</v>
      </c>
      <c r="E2951" s="80">
        <v>35417</v>
      </c>
    </row>
    <row r="2952" spans="1:5">
      <c r="A2952">
        <v>10387</v>
      </c>
      <c r="B2952" t="s">
        <v>178</v>
      </c>
      <c r="C2952">
        <v>218.4</v>
      </c>
      <c r="D2952">
        <v>6</v>
      </c>
      <c r="E2952" s="80">
        <v>35417</v>
      </c>
    </row>
    <row r="2953" spans="1:5">
      <c r="A2953">
        <v>10387</v>
      </c>
      <c r="B2953" t="s">
        <v>179</v>
      </c>
      <c r="C2953">
        <v>218.4</v>
      </c>
      <c r="D2953">
        <v>6</v>
      </c>
      <c r="E2953" s="80">
        <v>35417</v>
      </c>
    </row>
    <row r="2954" spans="1:5">
      <c r="A2954">
        <v>10387</v>
      </c>
      <c r="B2954" t="s">
        <v>172</v>
      </c>
      <c r="C2954">
        <v>528</v>
      </c>
      <c r="D2954">
        <v>12</v>
      </c>
      <c r="E2954" s="80">
        <v>35417</v>
      </c>
    </row>
    <row r="2955" spans="1:5">
      <c r="A2955">
        <v>10387</v>
      </c>
      <c r="B2955" t="s">
        <v>173</v>
      </c>
      <c r="C2955">
        <v>528</v>
      </c>
      <c r="D2955">
        <v>12</v>
      </c>
      <c r="E2955" s="80">
        <v>35417</v>
      </c>
    </row>
    <row r="2956" spans="1:5">
      <c r="A2956">
        <v>10387</v>
      </c>
      <c r="B2956" t="s">
        <v>174</v>
      </c>
      <c r="C2956">
        <v>528</v>
      </c>
      <c r="D2956">
        <v>12</v>
      </c>
      <c r="E2956" s="80">
        <v>35417</v>
      </c>
    </row>
    <row r="2957" spans="1:5">
      <c r="A2957">
        <v>10387</v>
      </c>
      <c r="B2957" t="s">
        <v>175</v>
      </c>
      <c r="C2957">
        <v>528</v>
      </c>
      <c r="D2957">
        <v>12</v>
      </c>
      <c r="E2957" s="80">
        <v>35417</v>
      </c>
    </row>
    <row r="2958" spans="1:5">
      <c r="A2958">
        <v>10387</v>
      </c>
      <c r="B2958" t="s">
        <v>176</v>
      </c>
      <c r="C2958">
        <v>528</v>
      </c>
      <c r="D2958">
        <v>12</v>
      </c>
      <c r="E2958" s="80">
        <v>35417</v>
      </c>
    </row>
    <row r="2959" spans="1:5">
      <c r="A2959">
        <v>10387</v>
      </c>
      <c r="B2959" t="s">
        <v>177</v>
      </c>
      <c r="C2959">
        <v>528</v>
      </c>
      <c r="D2959">
        <v>12</v>
      </c>
      <c r="E2959" s="80">
        <v>35417</v>
      </c>
    </row>
    <row r="2960" spans="1:5">
      <c r="A2960">
        <v>10387</v>
      </c>
      <c r="B2960" t="s">
        <v>178</v>
      </c>
      <c r="C2960">
        <v>528</v>
      </c>
      <c r="D2960">
        <v>12</v>
      </c>
      <c r="E2960" s="80">
        <v>35417</v>
      </c>
    </row>
    <row r="2961" spans="1:5">
      <c r="A2961">
        <v>10387</v>
      </c>
      <c r="B2961" t="s">
        <v>179</v>
      </c>
      <c r="C2961">
        <v>528</v>
      </c>
      <c r="D2961">
        <v>12</v>
      </c>
      <c r="E2961" s="80">
        <v>35417</v>
      </c>
    </row>
    <row r="2962" spans="1:5">
      <c r="A2962">
        <v>10387</v>
      </c>
      <c r="B2962" t="s">
        <v>172</v>
      </c>
      <c r="C2962">
        <v>258</v>
      </c>
      <c r="D2962">
        <v>15</v>
      </c>
      <c r="E2962" s="80">
        <v>35417</v>
      </c>
    </row>
    <row r="2963" spans="1:5">
      <c r="A2963">
        <v>10387</v>
      </c>
      <c r="B2963" t="s">
        <v>173</v>
      </c>
      <c r="C2963">
        <v>258</v>
      </c>
      <c r="D2963">
        <v>15</v>
      </c>
      <c r="E2963" s="80">
        <v>35417</v>
      </c>
    </row>
    <row r="2964" spans="1:5">
      <c r="A2964">
        <v>10387</v>
      </c>
      <c r="B2964" t="s">
        <v>174</v>
      </c>
      <c r="C2964">
        <v>258</v>
      </c>
      <c r="D2964">
        <v>15</v>
      </c>
      <c r="E2964" s="80">
        <v>35417</v>
      </c>
    </row>
    <row r="2965" spans="1:5">
      <c r="A2965">
        <v>10387</v>
      </c>
      <c r="B2965" t="s">
        <v>175</v>
      </c>
      <c r="C2965">
        <v>258</v>
      </c>
      <c r="D2965">
        <v>15</v>
      </c>
      <c r="E2965" s="80">
        <v>35417</v>
      </c>
    </row>
    <row r="2966" spans="1:5">
      <c r="A2966">
        <v>10387</v>
      </c>
      <c r="B2966" t="s">
        <v>176</v>
      </c>
      <c r="C2966">
        <v>258</v>
      </c>
      <c r="D2966">
        <v>15</v>
      </c>
      <c r="E2966" s="80">
        <v>35417</v>
      </c>
    </row>
    <row r="2967" spans="1:5">
      <c r="A2967">
        <v>10387</v>
      </c>
      <c r="B2967" t="s">
        <v>177</v>
      </c>
      <c r="C2967">
        <v>258</v>
      </c>
      <c r="D2967">
        <v>15</v>
      </c>
      <c r="E2967" s="80">
        <v>35417</v>
      </c>
    </row>
    <row r="2968" spans="1:5">
      <c r="A2968">
        <v>10387</v>
      </c>
      <c r="B2968" t="s">
        <v>178</v>
      </c>
      <c r="C2968">
        <v>258</v>
      </c>
      <c r="D2968">
        <v>15</v>
      </c>
      <c r="E2968" s="80">
        <v>35417</v>
      </c>
    </row>
    <row r="2969" spans="1:5">
      <c r="A2969">
        <v>10387</v>
      </c>
      <c r="B2969" t="s">
        <v>179</v>
      </c>
      <c r="C2969">
        <v>258</v>
      </c>
      <c r="D2969">
        <v>15</v>
      </c>
      <c r="E2969" s="80">
        <v>35417</v>
      </c>
    </row>
    <row r="2970" spans="1:5">
      <c r="A2970">
        <v>10388</v>
      </c>
      <c r="B2970" t="s">
        <v>172</v>
      </c>
      <c r="C2970">
        <v>91.199999660253525</v>
      </c>
      <c r="D2970">
        <v>15</v>
      </c>
      <c r="E2970" s="80">
        <v>35418</v>
      </c>
    </row>
    <row r="2971" spans="1:5">
      <c r="A2971">
        <v>10388</v>
      </c>
      <c r="B2971" t="s">
        <v>173</v>
      </c>
      <c r="C2971">
        <v>91.199999660253525</v>
      </c>
      <c r="D2971">
        <v>15</v>
      </c>
      <c r="E2971" s="80">
        <v>35418</v>
      </c>
    </row>
    <row r="2972" spans="1:5">
      <c r="A2972">
        <v>10388</v>
      </c>
      <c r="B2972" t="s">
        <v>174</v>
      </c>
      <c r="C2972">
        <v>91.199999660253525</v>
      </c>
      <c r="D2972">
        <v>15</v>
      </c>
      <c r="E2972" s="80">
        <v>35418</v>
      </c>
    </row>
    <row r="2973" spans="1:5">
      <c r="A2973">
        <v>10388</v>
      </c>
      <c r="B2973" t="s">
        <v>175</v>
      </c>
      <c r="C2973">
        <v>91.199999660253525</v>
      </c>
      <c r="D2973">
        <v>15</v>
      </c>
      <c r="E2973" s="80">
        <v>35418</v>
      </c>
    </row>
    <row r="2974" spans="1:5">
      <c r="A2974">
        <v>10388</v>
      </c>
      <c r="B2974" t="s">
        <v>176</v>
      </c>
      <c r="C2974">
        <v>91.199999660253525</v>
      </c>
      <c r="D2974">
        <v>15</v>
      </c>
      <c r="E2974" s="80">
        <v>35418</v>
      </c>
    </row>
    <row r="2975" spans="1:5">
      <c r="A2975">
        <v>10388</v>
      </c>
      <c r="B2975" t="s">
        <v>177</v>
      </c>
      <c r="C2975">
        <v>91.199999660253525</v>
      </c>
      <c r="D2975">
        <v>15</v>
      </c>
      <c r="E2975" s="80">
        <v>35418</v>
      </c>
    </row>
    <row r="2976" spans="1:5">
      <c r="A2976">
        <v>10388</v>
      </c>
      <c r="B2976" t="s">
        <v>178</v>
      </c>
      <c r="C2976">
        <v>91.199999660253525</v>
      </c>
      <c r="D2976">
        <v>15</v>
      </c>
      <c r="E2976" s="80">
        <v>35418</v>
      </c>
    </row>
    <row r="2977" spans="1:5">
      <c r="A2977">
        <v>10388</v>
      </c>
      <c r="B2977" t="s">
        <v>179</v>
      </c>
      <c r="C2977">
        <v>91.199999660253525</v>
      </c>
      <c r="D2977">
        <v>15</v>
      </c>
      <c r="E2977" s="80">
        <v>35418</v>
      </c>
    </row>
    <row r="2978" spans="1:5">
      <c r="A2978">
        <v>10388</v>
      </c>
      <c r="B2978" t="s">
        <v>172</v>
      </c>
      <c r="C2978">
        <v>89.599999666213989</v>
      </c>
      <c r="D2978">
        <v>20</v>
      </c>
      <c r="E2978" s="80">
        <v>35418</v>
      </c>
    </row>
    <row r="2979" spans="1:5">
      <c r="A2979">
        <v>10388</v>
      </c>
      <c r="B2979" t="s">
        <v>173</v>
      </c>
      <c r="C2979">
        <v>89.599999666213989</v>
      </c>
      <c r="D2979">
        <v>20</v>
      </c>
      <c r="E2979" s="80">
        <v>35418</v>
      </c>
    </row>
    <row r="2980" spans="1:5">
      <c r="A2980">
        <v>10388</v>
      </c>
      <c r="B2980" t="s">
        <v>174</v>
      </c>
      <c r="C2980">
        <v>89.599999666213989</v>
      </c>
      <c r="D2980">
        <v>20</v>
      </c>
      <c r="E2980" s="80">
        <v>35418</v>
      </c>
    </row>
    <row r="2981" spans="1:5">
      <c r="A2981">
        <v>10388</v>
      </c>
      <c r="B2981" t="s">
        <v>175</v>
      </c>
      <c r="C2981">
        <v>89.599999666213989</v>
      </c>
      <c r="D2981">
        <v>20</v>
      </c>
      <c r="E2981" s="80">
        <v>35418</v>
      </c>
    </row>
    <row r="2982" spans="1:5">
      <c r="A2982">
        <v>10388</v>
      </c>
      <c r="B2982" t="s">
        <v>176</v>
      </c>
      <c r="C2982">
        <v>89.599999666213989</v>
      </c>
      <c r="D2982">
        <v>20</v>
      </c>
      <c r="E2982" s="80">
        <v>35418</v>
      </c>
    </row>
    <row r="2983" spans="1:5">
      <c r="A2983">
        <v>10388</v>
      </c>
      <c r="B2983" t="s">
        <v>177</v>
      </c>
      <c r="C2983">
        <v>89.599999666213989</v>
      </c>
      <c r="D2983">
        <v>20</v>
      </c>
      <c r="E2983" s="80">
        <v>35418</v>
      </c>
    </row>
    <row r="2984" spans="1:5">
      <c r="A2984">
        <v>10388</v>
      </c>
      <c r="B2984" t="s">
        <v>178</v>
      </c>
      <c r="C2984">
        <v>89.599999666213989</v>
      </c>
      <c r="D2984">
        <v>20</v>
      </c>
      <c r="E2984" s="80">
        <v>35418</v>
      </c>
    </row>
    <row r="2985" spans="1:5">
      <c r="A2985">
        <v>10388</v>
      </c>
      <c r="B2985" t="s">
        <v>179</v>
      </c>
      <c r="C2985">
        <v>89.599999666213989</v>
      </c>
      <c r="D2985">
        <v>20</v>
      </c>
      <c r="E2985" s="80">
        <v>35418</v>
      </c>
    </row>
    <row r="2986" spans="1:5">
      <c r="A2986">
        <v>10388</v>
      </c>
      <c r="B2986" t="s">
        <v>172</v>
      </c>
      <c r="C2986">
        <v>1048</v>
      </c>
      <c r="D2986">
        <v>40</v>
      </c>
      <c r="E2986" s="80">
        <v>35418</v>
      </c>
    </row>
    <row r="2987" spans="1:5">
      <c r="A2987">
        <v>10388</v>
      </c>
      <c r="B2987" t="s">
        <v>173</v>
      </c>
      <c r="C2987">
        <v>1048</v>
      </c>
      <c r="D2987">
        <v>40</v>
      </c>
      <c r="E2987" s="80">
        <v>35418</v>
      </c>
    </row>
    <row r="2988" spans="1:5">
      <c r="A2988">
        <v>10388</v>
      </c>
      <c r="B2988" t="s">
        <v>174</v>
      </c>
      <c r="C2988">
        <v>1048</v>
      </c>
      <c r="D2988">
        <v>40</v>
      </c>
      <c r="E2988" s="80">
        <v>35418</v>
      </c>
    </row>
    <row r="2989" spans="1:5">
      <c r="A2989">
        <v>10388</v>
      </c>
      <c r="B2989" t="s">
        <v>175</v>
      </c>
      <c r="C2989">
        <v>1048</v>
      </c>
      <c r="D2989">
        <v>40</v>
      </c>
      <c r="E2989" s="80">
        <v>35418</v>
      </c>
    </row>
    <row r="2990" spans="1:5">
      <c r="A2990">
        <v>10388</v>
      </c>
      <c r="B2990" t="s">
        <v>176</v>
      </c>
      <c r="C2990">
        <v>1048</v>
      </c>
      <c r="D2990">
        <v>40</v>
      </c>
      <c r="E2990" s="80">
        <v>35418</v>
      </c>
    </row>
    <row r="2991" spans="1:5">
      <c r="A2991">
        <v>10388</v>
      </c>
      <c r="B2991" t="s">
        <v>177</v>
      </c>
      <c r="C2991">
        <v>1048</v>
      </c>
      <c r="D2991">
        <v>40</v>
      </c>
      <c r="E2991" s="80">
        <v>35418</v>
      </c>
    </row>
    <row r="2992" spans="1:5">
      <c r="A2992">
        <v>10388</v>
      </c>
      <c r="B2992" t="s">
        <v>178</v>
      </c>
      <c r="C2992">
        <v>1048</v>
      </c>
      <c r="D2992">
        <v>40</v>
      </c>
      <c r="E2992" s="80">
        <v>35418</v>
      </c>
    </row>
    <row r="2993" spans="1:5">
      <c r="A2993">
        <v>10388</v>
      </c>
      <c r="B2993" t="s">
        <v>179</v>
      </c>
      <c r="C2993">
        <v>1048</v>
      </c>
      <c r="D2993">
        <v>40</v>
      </c>
      <c r="E2993" s="80">
        <v>35418</v>
      </c>
    </row>
    <row r="2994" spans="1:5">
      <c r="A2994">
        <v>10389</v>
      </c>
      <c r="B2994" t="s">
        <v>172</v>
      </c>
      <c r="C2994">
        <v>396.8</v>
      </c>
      <c r="D2994">
        <v>16</v>
      </c>
      <c r="E2994" s="80">
        <v>35419</v>
      </c>
    </row>
    <row r="2995" spans="1:5">
      <c r="A2995">
        <v>10389</v>
      </c>
      <c r="B2995" t="s">
        <v>173</v>
      </c>
      <c r="C2995">
        <v>396.8</v>
      </c>
      <c r="D2995">
        <v>16</v>
      </c>
      <c r="E2995" s="80">
        <v>35419</v>
      </c>
    </row>
    <row r="2996" spans="1:5">
      <c r="A2996">
        <v>10389</v>
      </c>
      <c r="B2996" t="s">
        <v>174</v>
      </c>
      <c r="C2996">
        <v>396.8</v>
      </c>
      <c r="D2996">
        <v>16</v>
      </c>
      <c r="E2996" s="80">
        <v>35419</v>
      </c>
    </row>
    <row r="2997" spans="1:5">
      <c r="A2997">
        <v>10389</v>
      </c>
      <c r="B2997" t="s">
        <v>175</v>
      </c>
      <c r="C2997">
        <v>396.8</v>
      </c>
      <c r="D2997">
        <v>16</v>
      </c>
      <c r="E2997" s="80">
        <v>35419</v>
      </c>
    </row>
    <row r="2998" spans="1:5">
      <c r="A2998">
        <v>10389</v>
      </c>
      <c r="B2998" t="s">
        <v>176</v>
      </c>
      <c r="C2998">
        <v>396.8</v>
      </c>
      <c r="D2998">
        <v>16</v>
      </c>
      <c r="E2998" s="80">
        <v>35419</v>
      </c>
    </row>
    <row r="2999" spans="1:5">
      <c r="A2999">
        <v>10389</v>
      </c>
      <c r="B2999" t="s">
        <v>177</v>
      </c>
      <c r="C2999">
        <v>396.8</v>
      </c>
      <c r="D2999">
        <v>16</v>
      </c>
      <c r="E2999" s="80">
        <v>35419</v>
      </c>
    </row>
    <row r="3000" spans="1:5">
      <c r="A3000">
        <v>10389</v>
      </c>
      <c r="B3000" t="s">
        <v>178</v>
      </c>
      <c r="C3000">
        <v>396.8</v>
      </c>
      <c r="D3000">
        <v>16</v>
      </c>
      <c r="E3000" s="80">
        <v>35419</v>
      </c>
    </row>
    <row r="3001" spans="1:5">
      <c r="A3001">
        <v>10389</v>
      </c>
      <c r="B3001" t="s">
        <v>179</v>
      </c>
      <c r="C3001">
        <v>396.8</v>
      </c>
      <c r="D3001">
        <v>16</v>
      </c>
      <c r="E3001" s="80">
        <v>35419</v>
      </c>
    </row>
    <row r="3002" spans="1:5">
      <c r="A3002">
        <v>10389</v>
      </c>
      <c r="B3002" t="s">
        <v>172</v>
      </c>
      <c r="C3002">
        <v>288</v>
      </c>
      <c r="D3002">
        <v>15</v>
      </c>
      <c r="E3002" s="80">
        <v>35419</v>
      </c>
    </row>
    <row r="3003" spans="1:5">
      <c r="A3003">
        <v>10389</v>
      </c>
      <c r="B3003" t="s">
        <v>173</v>
      </c>
      <c r="C3003">
        <v>288</v>
      </c>
      <c r="D3003">
        <v>15</v>
      </c>
      <c r="E3003" s="80">
        <v>35419</v>
      </c>
    </row>
    <row r="3004" spans="1:5">
      <c r="A3004">
        <v>10389</v>
      </c>
      <c r="B3004" t="s">
        <v>174</v>
      </c>
      <c r="C3004">
        <v>288</v>
      </c>
      <c r="D3004">
        <v>15</v>
      </c>
      <c r="E3004" s="80">
        <v>35419</v>
      </c>
    </row>
    <row r="3005" spans="1:5">
      <c r="A3005">
        <v>10389</v>
      </c>
      <c r="B3005" t="s">
        <v>175</v>
      </c>
      <c r="C3005">
        <v>288</v>
      </c>
      <c r="D3005">
        <v>15</v>
      </c>
      <c r="E3005" s="80">
        <v>35419</v>
      </c>
    </row>
    <row r="3006" spans="1:5">
      <c r="A3006">
        <v>10389</v>
      </c>
      <c r="B3006" t="s">
        <v>176</v>
      </c>
      <c r="C3006">
        <v>288</v>
      </c>
      <c r="D3006">
        <v>15</v>
      </c>
      <c r="E3006" s="80">
        <v>35419</v>
      </c>
    </row>
    <row r="3007" spans="1:5">
      <c r="A3007">
        <v>10389</v>
      </c>
      <c r="B3007" t="s">
        <v>177</v>
      </c>
      <c r="C3007">
        <v>288</v>
      </c>
      <c r="D3007">
        <v>15</v>
      </c>
      <c r="E3007" s="80">
        <v>35419</v>
      </c>
    </row>
    <row r="3008" spans="1:5">
      <c r="A3008">
        <v>10389</v>
      </c>
      <c r="B3008" t="s">
        <v>178</v>
      </c>
      <c r="C3008">
        <v>288</v>
      </c>
      <c r="D3008">
        <v>15</v>
      </c>
      <c r="E3008" s="80">
        <v>35419</v>
      </c>
    </row>
    <row r="3009" spans="1:5">
      <c r="A3009">
        <v>10389</v>
      </c>
      <c r="B3009" t="s">
        <v>179</v>
      </c>
      <c r="C3009">
        <v>288</v>
      </c>
      <c r="D3009">
        <v>15</v>
      </c>
      <c r="E3009" s="80">
        <v>35419</v>
      </c>
    </row>
    <row r="3010" spans="1:5">
      <c r="A3010">
        <v>10389</v>
      </c>
      <c r="B3010" t="s">
        <v>172</v>
      </c>
      <c r="C3010">
        <v>788</v>
      </c>
      <c r="D3010">
        <v>20</v>
      </c>
      <c r="E3010" s="80">
        <v>35419</v>
      </c>
    </row>
    <row r="3011" spans="1:5">
      <c r="A3011">
        <v>10389</v>
      </c>
      <c r="B3011" t="s">
        <v>173</v>
      </c>
      <c r="C3011">
        <v>788</v>
      </c>
      <c r="D3011">
        <v>20</v>
      </c>
      <c r="E3011" s="80">
        <v>35419</v>
      </c>
    </row>
    <row r="3012" spans="1:5">
      <c r="A3012">
        <v>10389</v>
      </c>
      <c r="B3012" t="s">
        <v>174</v>
      </c>
      <c r="C3012">
        <v>788</v>
      </c>
      <c r="D3012">
        <v>20</v>
      </c>
      <c r="E3012" s="80">
        <v>35419</v>
      </c>
    </row>
    <row r="3013" spans="1:5">
      <c r="A3013">
        <v>10389</v>
      </c>
      <c r="B3013" t="s">
        <v>175</v>
      </c>
      <c r="C3013">
        <v>788</v>
      </c>
      <c r="D3013">
        <v>20</v>
      </c>
      <c r="E3013" s="80">
        <v>35419</v>
      </c>
    </row>
    <row r="3014" spans="1:5">
      <c r="A3014">
        <v>10389</v>
      </c>
      <c r="B3014" t="s">
        <v>176</v>
      </c>
      <c r="C3014">
        <v>788</v>
      </c>
      <c r="D3014">
        <v>20</v>
      </c>
      <c r="E3014" s="80">
        <v>35419</v>
      </c>
    </row>
    <row r="3015" spans="1:5">
      <c r="A3015">
        <v>10389</v>
      </c>
      <c r="B3015" t="s">
        <v>177</v>
      </c>
      <c r="C3015">
        <v>788</v>
      </c>
      <c r="D3015">
        <v>20</v>
      </c>
      <c r="E3015" s="80">
        <v>35419</v>
      </c>
    </row>
    <row r="3016" spans="1:5">
      <c r="A3016">
        <v>10389</v>
      </c>
      <c r="B3016" t="s">
        <v>178</v>
      </c>
      <c r="C3016">
        <v>788</v>
      </c>
      <c r="D3016">
        <v>20</v>
      </c>
      <c r="E3016" s="80">
        <v>35419</v>
      </c>
    </row>
    <row r="3017" spans="1:5">
      <c r="A3017">
        <v>10389</v>
      </c>
      <c r="B3017" t="s">
        <v>179</v>
      </c>
      <c r="C3017">
        <v>788</v>
      </c>
      <c r="D3017">
        <v>20</v>
      </c>
      <c r="E3017" s="80">
        <v>35419</v>
      </c>
    </row>
    <row r="3018" spans="1:5">
      <c r="A3018">
        <v>10389</v>
      </c>
      <c r="B3018" t="s">
        <v>172</v>
      </c>
      <c r="C3018">
        <v>360</v>
      </c>
      <c r="D3018">
        <v>30</v>
      </c>
      <c r="E3018" s="80">
        <v>35419</v>
      </c>
    </row>
    <row r="3019" spans="1:5">
      <c r="A3019">
        <v>10389</v>
      </c>
      <c r="B3019" t="s">
        <v>173</v>
      </c>
      <c r="C3019">
        <v>360</v>
      </c>
      <c r="D3019">
        <v>30</v>
      </c>
      <c r="E3019" s="80">
        <v>35419</v>
      </c>
    </row>
    <row r="3020" spans="1:5">
      <c r="A3020">
        <v>10389</v>
      </c>
      <c r="B3020" t="s">
        <v>174</v>
      </c>
      <c r="C3020">
        <v>360</v>
      </c>
      <c r="D3020">
        <v>30</v>
      </c>
      <c r="E3020" s="80">
        <v>35419</v>
      </c>
    </row>
    <row r="3021" spans="1:5">
      <c r="A3021">
        <v>10389</v>
      </c>
      <c r="B3021" t="s">
        <v>175</v>
      </c>
      <c r="C3021">
        <v>360</v>
      </c>
      <c r="D3021">
        <v>30</v>
      </c>
      <c r="E3021" s="80">
        <v>35419</v>
      </c>
    </row>
    <row r="3022" spans="1:5">
      <c r="A3022">
        <v>10389</v>
      </c>
      <c r="B3022" t="s">
        <v>176</v>
      </c>
      <c r="C3022">
        <v>360</v>
      </c>
      <c r="D3022">
        <v>30</v>
      </c>
      <c r="E3022" s="80">
        <v>35419</v>
      </c>
    </row>
    <row r="3023" spans="1:5">
      <c r="A3023">
        <v>10389</v>
      </c>
      <c r="B3023" t="s">
        <v>177</v>
      </c>
      <c r="C3023">
        <v>360</v>
      </c>
      <c r="D3023">
        <v>30</v>
      </c>
      <c r="E3023" s="80">
        <v>35419</v>
      </c>
    </row>
    <row r="3024" spans="1:5">
      <c r="A3024">
        <v>10389</v>
      </c>
      <c r="B3024" t="s">
        <v>178</v>
      </c>
      <c r="C3024">
        <v>360</v>
      </c>
      <c r="D3024">
        <v>30</v>
      </c>
      <c r="E3024" s="80">
        <v>35419</v>
      </c>
    </row>
    <row r="3025" spans="1:5">
      <c r="A3025">
        <v>10389</v>
      </c>
      <c r="B3025" t="s">
        <v>179</v>
      </c>
      <c r="C3025">
        <v>360</v>
      </c>
      <c r="D3025">
        <v>30</v>
      </c>
      <c r="E3025" s="80">
        <v>35419</v>
      </c>
    </row>
    <row r="3026" spans="1:5">
      <c r="A3026">
        <v>10390</v>
      </c>
      <c r="B3026" t="s">
        <v>172</v>
      </c>
      <c r="C3026">
        <v>539.99999910593033</v>
      </c>
      <c r="D3026">
        <v>60</v>
      </c>
      <c r="E3026" s="80">
        <v>35422</v>
      </c>
    </row>
    <row r="3027" spans="1:5">
      <c r="A3027">
        <v>10390</v>
      </c>
      <c r="B3027" t="s">
        <v>173</v>
      </c>
      <c r="C3027">
        <v>539.99999910593033</v>
      </c>
      <c r="D3027">
        <v>60</v>
      </c>
      <c r="E3027" s="80">
        <v>35422</v>
      </c>
    </row>
    <row r="3028" spans="1:5">
      <c r="A3028">
        <v>10390</v>
      </c>
      <c r="B3028" t="s">
        <v>174</v>
      </c>
      <c r="C3028">
        <v>539.99999910593033</v>
      </c>
      <c r="D3028">
        <v>60</v>
      </c>
      <c r="E3028" s="80">
        <v>35422</v>
      </c>
    </row>
    <row r="3029" spans="1:5">
      <c r="A3029">
        <v>10390</v>
      </c>
      <c r="B3029" t="s">
        <v>175</v>
      </c>
      <c r="C3029">
        <v>539.99999910593033</v>
      </c>
      <c r="D3029">
        <v>60</v>
      </c>
      <c r="E3029" s="80">
        <v>35422</v>
      </c>
    </row>
    <row r="3030" spans="1:5">
      <c r="A3030">
        <v>10390</v>
      </c>
      <c r="B3030" t="s">
        <v>176</v>
      </c>
      <c r="C3030">
        <v>539.99999910593033</v>
      </c>
      <c r="D3030">
        <v>60</v>
      </c>
      <c r="E3030" s="80">
        <v>35422</v>
      </c>
    </row>
    <row r="3031" spans="1:5">
      <c r="A3031">
        <v>10390</v>
      </c>
      <c r="B3031" t="s">
        <v>177</v>
      </c>
      <c r="C3031">
        <v>539.99999910593033</v>
      </c>
      <c r="D3031">
        <v>60</v>
      </c>
      <c r="E3031" s="80">
        <v>35422</v>
      </c>
    </row>
    <row r="3032" spans="1:5">
      <c r="A3032">
        <v>10390</v>
      </c>
      <c r="B3032" t="s">
        <v>178</v>
      </c>
      <c r="C3032">
        <v>539.99999910593033</v>
      </c>
      <c r="D3032">
        <v>60</v>
      </c>
      <c r="E3032" s="80">
        <v>35422</v>
      </c>
    </row>
    <row r="3033" spans="1:5">
      <c r="A3033">
        <v>10390</v>
      </c>
      <c r="B3033" t="s">
        <v>179</v>
      </c>
      <c r="C3033">
        <v>539.99999910593033</v>
      </c>
      <c r="D3033">
        <v>60</v>
      </c>
      <c r="E3033" s="80">
        <v>35422</v>
      </c>
    </row>
    <row r="3034" spans="1:5">
      <c r="A3034">
        <v>10390</v>
      </c>
      <c r="B3034" t="s">
        <v>172</v>
      </c>
      <c r="C3034">
        <v>518.39999914169312</v>
      </c>
      <c r="D3034">
        <v>40</v>
      </c>
      <c r="E3034" s="80">
        <v>35422</v>
      </c>
    </row>
    <row r="3035" spans="1:5">
      <c r="A3035">
        <v>10390</v>
      </c>
      <c r="B3035" t="s">
        <v>173</v>
      </c>
      <c r="C3035">
        <v>518.39999914169312</v>
      </c>
      <c r="D3035">
        <v>40</v>
      </c>
      <c r="E3035" s="80">
        <v>35422</v>
      </c>
    </row>
    <row r="3036" spans="1:5">
      <c r="A3036">
        <v>10390</v>
      </c>
      <c r="B3036" t="s">
        <v>174</v>
      </c>
      <c r="C3036">
        <v>518.39999914169312</v>
      </c>
      <c r="D3036">
        <v>40</v>
      </c>
      <c r="E3036" s="80">
        <v>35422</v>
      </c>
    </row>
    <row r="3037" spans="1:5">
      <c r="A3037">
        <v>10390</v>
      </c>
      <c r="B3037" t="s">
        <v>175</v>
      </c>
      <c r="C3037">
        <v>518.39999914169312</v>
      </c>
      <c r="D3037">
        <v>40</v>
      </c>
      <c r="E3037" s="80">
        <v>35422</v>
      </c>
    </row>
    <row r="3038" spans="1:5">
      <c r="A3038">
        <v>10390</v>
      </c>
      <c r="B3038" t="s">
        <v>176</v>
      </c>
      <c r="C3038">
        <v>518.39999914169312</v>
      </c>
      <c r="D3038">
        <v>40</v>
      </c>
      <c r="E3038" s="80">
        <v>35422</v>
      </c>
    </row>
    <row r="3039" spans="1:5">
      <c r="A3039">
        <v>10390</v>
      </c>
      <c r="B3039" t="s">
        <v>177</v>
      </c>
      <c r="C3039">
        <v>518.39999914169312</v>
      </c>
      <c r="D3039">
        <v>40</v>
      </c>
      <c r="E3039" s="80">
        <v>35422</v>
      </c>
    </row>
    <row r="3040" spans="1:5">
      <c r="A3040">
        <v>10390</v>
      </c>
      <c r="B3040" t="s">
        <v>178</v>
      </c>
      <c r="C3040">
        <v>518.39999914169312</v>
      </c>
      <c r="D3040">
        <v>40</v>
      </c>
      <c r="E3040" s="80">
        <v>35422</v>
      </c>
    </row>
    <row r="3041" spans="1:5">
      <c r="A3041">
        <v>10390</v>
      </c>
      <c r="B3041" t="s">
        <v>179</v>
      </c>
      <c r="C3041">
        <v>518.39999914169312</v>
      </c>
      <c r="D3041">
        <v>40</v>
      </c>
      <c r="E3041" s="80">
        <v>35422</v>
      </c>
    </row>
    <row r="3042" spans="1:5">
      <c r="A3042">
        <v>10390</v>
      </c>
      <c r="B3042" t="s">
        <v>172</v>
      </c>
      <c r="C3042">
        <v>432</v>
      </c>
      <c r="D3042">
        <v>45</v>
      </c>
      <c r="E3042" s="80">
        <v>35422</v>
      </c>
    </row>
    <row r="3043" spans="1:5">
      <c r="A3043">
        <v>10390</v>
      </c>
      <c r="B3043" t="s">
        <v>173</v>
      </c>
      <c r="C3043">
        <v>432</v>
      </c>
      <c r="D3043">
        <v>45</v>
      </c>
      <c r="E3043" s="80">
        <v>35422</v>
      </c>
    </row>
    <row r="3044" spans="1:5">
      <c r="A3044">
        <v>10390</v>
      </c>
      <c r="B3044" t="s">
        <v>174</v>
      </c>
      <c r="C3044">
        <v>432</v>
      </c>
      <c r="D3044">
        <v>45</v>
      </c>
      <c r="E3044" s="80">
        <v>35422</v>
      </c>
    </row>
    <row r="3045" spans="1:5">
      <c r="A3045">
        <v>10390</v>
      </c>
      <c r="B3045" t="s">
        <v>175</v>
      </c>
      <c r="C3045">
        <v>432</v>
      </c>
      <c r="D3045">
        <v>45</v>
      </c>
      <c r="E3045" s="80">
        <v>35422</v>
      </c>
    </row>
    <row r="3046" spans="1:5">
      <c r="A3046">
        <v>10390</v>
      </c>
      <c r="B3046" t="s">
        <v>176</v>
      </c>
      <c r="C3046">
        <v>432</v>
      </c>
      <c r="D3046">
        <v>45</v>
      </c>
      <c r="E3046" s="80">
        <v>35422</v>
      </c>
    </row>
    <row r="3047" spans="1:5">
      <c r="A3047">
        <v>10390</v>
      </c>
      <c r="B3047" t="s">
        <v>177</v>
      </c>
      <c r="C3047">
        <v>432</v>
      </c>
      <c r="D3047">
        <v>45</v>
      </c>
      <c r="E3047" s="80">
        <v>35422</v>
      </c>
    </row>
    <row r="3048" spans="1:5">
      <c r="A3048">
        <v>10390</v>
      </c>
      <c r="B3048" t="s">
        <v>178</v>
      </c>
      <c r="C3048">
        <v>432</v>
      </c>
      <c r="D3048">
        <v>45</v>
      </c>
      <c r="E3048" s="80">
        <v>35422</v>
      </c>
    </row>
    <row r="3049" spans="1:5">
      <c r="A3049">
        <v>10390</v>
      </c>
      <c r="B3049" t="s">
        <v>179</v>
      </c>
      <c r="C3049">
        <v>432</v>
      </c>
      <c r="D3049">
        <v>45</v>
      </c>
      <c r="E3049" s="80">
        <v>35422</v>
      </c>
    </row>
    <row r="3050" spans="1:5">
      <c r="A3050">
        <v>10390</v>
      </c>
      <c r="B3050" t="s">
        <v>172</v>
      </c>
      <c r="C3050">
        <v>600.47999900579453</v>
      </c>
      <c r="D3050">
        <v>24</v>
      </c>
      <c r="E3050" s="80">
        <v>35422</v>
      </c>
    </row>
    <row r="3051" spans="1:5">
      <c r="A3051">
        <v>10390</v>
      </c>
      <c r="B3051" t="s">
        <v>173</v>
      </c>
      <c r="C3051">
        <v>600.47999900579453</v>
      </c>
      <c r="D3051">
        <v>24</v>
      </c>
      <c r="E3051" s="80">
        <v>35422</v>
      </c>
    </row>
    <row r="3052" spans="1:5">
      <c r="A3052">
        <v>10390</v>
      </c>
      <c r="B3052" t="s">
        <v>174</v>
      </c>
      <c r="C3052">
        <v>600.47999900579453</v>
      </c>
      <c r="D3052">
        <v>24</v>
      </c>
      <c r="E3052" s="80">
        <v>35422</v>
      </c>
    </row>
    <row r="3053" spans="1:5">
      <c r="A3053">
        <v>10390</v>
      </c>
      <c r="B3053" t="s">
        <v>175</v>
      </c>
      <c r="C3053">
        <v>600.47999900579453</v>
      </c>
      <c r="D3053">
        <v>24</v>
      </c>
      <c r="E3053" s="80">
        <v>35422</v>
      </c>
    </row>
    <row r="3054" spans="1:5">
      <c r="A3054">
        <v>10390</v>
      </c>
      <c r="B3054" t="s">
        <v>176</v>
      </c>
      <c r="C3054">
        <v>600.47999900579453</v>
      </c>
      <c r="D3054">
        <v>24</v>
      </c>
      <c r="E3054" s="80">
        <v>35422</v>
      </c>
    </row>
    <row r="3055" spans="1:5">
      <c r="A3055">
        <v>10390</v>
      </c>
      <c r="B3055" t="s">
        <v>177</v>
      </c>
      <c r="C3055">
        <v>600.47999900579453</v>
      </c>
      <c r="D3055">
        <v>24</v>
      </c>
      <c r="E3055" s="80">
        <v>35422</v>
      </c>
    </row>
    <row r="3056" spans="1:5">
      <c r="A3056">
        <v>10390</v>
      </c>
      <c r="B3056" t="s">
        <v>178</v>
      </c>
      <c r="C3056">
        <v>600.47999900579453</v>
      </c>
      <c r="D3056">
        <v>24</v>
      </c>
      <c r="E3056" s="80">
        <v>35422</v>
      </c>
    </row>
    <row r="3057" spans="1:5">
      <c r="A3057">
        <v>10390</v>
      </c>
      <c r="B3057" t="s">
        <v>179</v>
      </c>
      <c r="C3057">
        <v>600.47999900579453</v>
      </c>
      <c r="D3057">
        <v>24</v>
      </c>
      <c r="E3057" s="80">
        <v>35422</v>
      </c>
    </row>
    <row r="3058" spans="1:5">
      <c r="A3058">
        <v>10391</v>
      </c>
      <c r="B3058" t="s">
        <v>172</v>
      </c>
      <c r="C3058">
        <v>86.4</v>
      </c>
      <c r="D3058">
        <v>18</v>
      </c>
      <c r="E3058" s="80">
        <v>35422</v>
      </c>
    </row>
    <row r="3059" spans="1:5">
      <c r="A3059">
        <v>10391</v>
      </c>
      <c r="B3059" t="s">
        <v>173</v>
      </c>
      <c r="C3059">
        <v>86.4</v>
      </c>
      <c r="D3059">
        <v>18</v>
      </c>
      <c r="E3059" s="80">
        <v>35422</v>
      </c>
    </row>
    <row r="3060" spans="1:5">
      <c r="A3060">
        <v>10391</v>
      </c>
      <c r="B3060" t="s">
        <v>174</v>
      </c>
      <c r="C3060">
        <v>86.4</v>
      </c>
      <c r="D3060">
        <v>18</v>
      </c>
      <c r="E3060" s="80">
        <v>35422</v>
      </c>
    </row>
    <row r="3061" spans="1:5">
      <c r="A3061">
        <v>10391</v>
      </c>
      <c r="B3061" t="s">
        <v>175</v>
      </c>
      <c r="C3061">
        <v>86.4</v>
      </c>
      <c r="D3061">
        <v>18</v>
      </c>
      <c r="E3061" s="80">
        <v>35422</v>
      </c>
    </row>
    <row r="3062" spans="1:5">
      <c r="A3062">
        <v>10391</v>
      </c>
      <c r="B3062" t="s">
        <v>176</v>
      </c>
      <c r="C3062">
        <v>86.4</v>
      </c>
      <c r="D3062">
        <v>18</v>
      </c>
      <c r="E3062" s="80">
        <v>35422</v>
      </c>
    </row>
    <row r="3063" spans="1:5">
      <c r="A3063">
        <v>10391</v>
      </c>
      <c r="B3063" t="s">
        <v>177</v>
      </c>
      <c r="C3063">
        <v>86.4</v>
      </c>
      <c r="D3063">
        <v>18</v>
      </c>
      <c r="E3063" s="80">
        <v>35422</v>
      </c>
    </row>
    <row r="3064" spans="1:5">
      <c r="A3064">
        <v>10391</v>
      </c>
      <c r="B3064" t="s">
        <v>178</v>
      </c>
      <c r="C3064">
        <v>86.4</v>
      </c>
      <c r="D3064">
        <v>18</v>
      </c>
      <c r="E3064" s="80">
        <v>35422</v>
      </c>
    </row>
    <row r="3065" spans="1:5">
      <c r="A3065">
        <v>10391</v>
      </c>
      <c r="B3065" t="s">
        <v>179</v>
      </c>
      <c r="C3065">
        <v>86.4</v>
      </c>
      <c r="D3065">
        <v>18</v>
      </c>
      <c r="E3065" s="80">
        <v>35422</v>
      </c>
    </row>
    <row r="3066" spans="1:5">
      <c r="A3066">
        <v>10392</v>
      </c>
      <c r="B3066" t="s">
        <v>172</v>
      </c>
      <c r="C3066">
        <v>1440</v>
      </c>
      <c r="D3066">
        <v>50</v>
      </c>
      <c r="E3066" s="80">
        <v>35423</v>
      </c>
    </row>
    <row r="3067" spans="1:5">
      <c r="A3067">
        <v>10392</v>
      </c>
      <c r="B3067" t="s">
        <v>173</v>
      </c>
      <c r="C3067">
        <v>1440</v>
      </c>
      <c r="D3067">
        <v>50</v>
      </c>
      <c r="E3067" s="80">
        <v>35423</v>
      </c>
    </row>
    <row r="3068" spans="1:5">
      <c r="A3068">
        <v>10392</v>
      </c>
      <c r="B3068" t="s">
        <v>174</v>
      </c>
      <c r="C3068">
        <v>1440</v>
      </c>
      <c r="D3068">
        <v>50</v>
      </c>
      <c r="E3068" s="80">
        <v>35423</v>
      </c>
    </row>
    <row r="3069" spans="1:5">
      <c r="A3069">
        <v>10392</v>
      </c>
      <c r="B3069" t="s">
        <v>175</v>
      </c>
      <c r="C3069">
        <v>1440</v>
      </c>
      <c r="D3069">
        <v>50</v>
      </c>
      <c r="E3069" s="80">
        <v>35423</v>
      </c>
    </row>
    <row r="3070" spans="1:5">
      <c r="A3070">
        <v>10392</v>
      </c>
      <c r="B3070" t="s">
        <v>176</v>
      </c>
      <c r="C3070">
        <v>1440</v>
      </c>
      <c r="D3070">
        <v>50</v>
      </c>
      <c r="E3070" s="80">
        <v>35423</v>
      </c>
    </row>
    <row r="3071" spans="1:5">
      <c r="A3071">
        <v>10392</v>
      </c>
      <c r="B3071" t="s">
        <v>177</v>
      </c>
      <c r="C3071">
        <v>1440</v>
      </c>
      <c r="D3071">
        <v>50</v>
      </c>
      <c r="E3071" s="80">
        <v>35423</v>
      </c>
    </row>
    <row r="3072" spans="1:5">
      <c r="A3072">
        <v>10392</v>
      </c>
      <c r="B3072" t="s">
        <v>178</v>
      </c>
      <c r="C3072">
        <v>1440</v>
      </c>
      <c r="D3072">
        <v>50</v>
      </c>
      <c r="E3072" s="80">
        <v>35423</v>
      </c>
    </row>
    <row r="3073" spans="1:5">
      <c r="A3073">
        <v>10392</v>
      </c>
      <c r="B3073" t="s">
        <v>179</v>
      </c>
      <c r="C3073">
        <v>1440</v>
      </c>
      <c r="D3073">
        <v>50</v>
      </c>
      <c r="E3073" s="80">
        <v>35423</v>
      </c>
    </row>
    <row r="3074" spans="1:5">
      <c r="A3074">
        <v>10393</v>
      </c>
      <c r="B3074" t="s">
        <v>172</v>
      </c>
      <c r="C3074">
        <v>285</v>
      </c>
      <c r="D3074">
        <v>25</v>
      </c>
      <c r="E3074" s="80">
        <v>35424</v>
      </c>
    </row>
    <row r="3075" spans="1:5">
      <c r="A3075">
        <v>10393</v>
      </c>
      <c r="B3075" t="s">
        <v>173</v>
      </c>
      <c r="C3075">
        <v>285</v>
      </c>
      <c r="D3075">
        <v>25</v>
      </c>
      <c r="E3075" s="80">
        <v>35424</v>
      </c>
    </row>
    <row r="3076" spans="1:5">
      <c r="A3076">
        <v>10393</v>
      </c>
      <c r="B3076" t="s">
        <v>174</v>
      </c>
      <c r="C3076">
        <v>285</v>
      </c>
      <c r="D3076">
        <v>25</v>
      </c>
      <c r="E3076" s="80">
        <v>35424</v>
      </c>
    </row>
    <row r="3077" spans="1:5">
      <c r="A3077">
        <v>10393</v>
      </c>
      <c r="B3077" t="s">
        <v>175</v>
      </c>
      <c r="C3077">
        <v>285</v>
      </c>
      <c r="D3077">
        <v>25</v>
      </c>
      <c r="E3077" s="80">
        <v>35424</v>
      </c>
    </row>
    <row r="3078" spans="1:5">
      <c r="A3078">
        <v>10393</v>
      </c>
      <c r="B3078" t="s">
        <v>176</v>
      </c>
      <c r="C3078">
        <v>285</v>
      </c>
      <c r="D3078">
        <v>25</v>
      </c>
      <c r="E3078" s="80">
        <v>35424</v>
      </c>
    </row>
    <row r="3079" spans="1:5">
      <c r="A3079">
        <v>10393</v>
      </c>
      <c r="B3079" t="s">
        <v>177</v>
      </c>
      <c r="C3079">
        <v>285</v>
      </c>
      <c r="D3079">
        <v>25</v>
      </c>
      <c r="E3079" s="80">
        <v>35424</v>
      </c>
    </row>
    <row r="3080" spans="1:5">
      <c r="A3080">
        <v>10393</v>
      </c>
      <c r="B3080" t="s">
        <v>178</v>
      </c>
      <c r="C3080">
        <v>285</v>
      </c>
      <c r="D3080">
        <v>25</v>
      </c>
      <c r="E3080" s="80">
        <v>35424</v>
      </c>
    </row>
    <row r="3081" spans="1:5">
      <c r="A3081">
        <v>10393</v>
      </c>
      <c r="B3081" t="s">
        <v>179</v>
      </c>
      <c r="C3081">
        <v>285</v>
      </c>
      <c r="D3081">
        <v>25</v>
      </c>
      <c r="E3081" s="80">
        <v>35424</v>
      </c>
    </row>
    <row r="3082" spans="1:5">
      <c r="A3082">
        <v>10393</v>
      </c>
      <c r="B3082" t="s">
        <v>172</v>
      </c>
      <c r="C3082">
        <v>585.90000000000009</v>
      </c>
      <c r="D3082">
        <v>42</v>
      </c>
      <c r="E3082" s="80">
        <v>35424</v>
      </c>
    </row>
    <row r="3083" spans="1:5">
      <c r="A3083">
        <v>10393</v>
      </c>
      <c r="B3083" t="s">
        <v>173</v>
      </c>
      <c r="C3083">
        <v>585.90000000000009</v>
      </c>
      <c r="D3083">
        <v>42</v>
      </c>
      <c r="E3083" s="80">
        <v>35424</v>
      </c>
    </row>
    <row r="3084" spans="1:5">
      <c r="A3084">
        <v>10393</v>
      </c>
      <c r="B3084" t="s">
        <v>174</v>
      </c>
      <c r="C3084">
        <v>585.90000000000009</v>
      </c>
      <c r="D3084">
        <v>42</v>
      </c>
      <c r="E3084" s="80">
        <v>35424</v>
      </c>
    </row>
    <row r="3085" spans="1:5">
      <c r="A3085">
        <v>10393</v>
      </c>
      <c r="B3085" t="s">
        <v>175</v>
      </c>
      <c r="C3085">
        <v>585.90000000000009</v>
      </c>
      <c r="D3085">
        <v>42</v>
      </c>
      <c r="E3085" s="80">
        <v>35424</v>
      </c>
    </row>
    <row r="3086" spans="1:5">
      <c r="A3086">
        <v>10393</v>
      </c>
      <c r="B3086" t="s">
        <v>176</v>
      </c>
      <c r="C3086">
        <v>585.90000000000009</v>
      </c>
      <c r="D3086">
        <v>42</v>
      </c>
      <c r="E3086" s="80">
        <v>35424</v>
      </c>
    </row>
    <row r="3087" spans="1:5">
      <c r="A3087">
        <v>10393</v>
      </c>
      <c r="B3087" t="s">
        <v>177</v>
      </c>
      <c r="C3087">
        <v>585.90000000000009</v>
      </c>
      <c r="D3087">
        <v>42</v>
      </c>
      <c r="E3087" s="80">
        <v>35424</v>
      </c>
    </row>
    <row r="3088" spans="1:5">
      <c r="A3088">
        <v>10393</v>
      </c>
      <c r="B3088" t="s">
        <v>178</v>
      </c>
      <c r="C3088">
        <v>585.90000000000009</v>
      </c>
      <c r="D3088">
        <v>42</v>
      </c>
      <c r="E3088" s="80">
        <v>35424</v>
      </c>
    </row>
    <row r="3089" spans="1:5">
      <c r="A3089">
        <v>10393</v>
      </c>
      <c r="B3089" t="s">
        <v>179</v>
      </c>
      <c r="C3089">
        <v>585.90000000000009</v>
      </c>
      <c r="D3089">
        <v>42</v>
      </c>
      <c r="E3089" s="80">
        <v>35424</v>
      </c>
    </row>
    <row r="3090" spans="1:5">
      <c r="A3090">
        <v>10393</v>
      </c>
      <c r="B3090" t="s">
        <v>172</v>
      </c>
      <c r="C3090">
        <v>58.800000000000004</v>
      </c>
      <c r="D3090">
        <v>7</v>
      </c>
      <c r="E3090" s="80">
        <v>35424</v>
      </c>
    </row>
    <row r="3091" spans="1:5">
      <c r="A3091">
        <v>10393</v>
      </c>
      <c r="B3091" t="s">
        <v>173</v>
      </c>
      <c r="C3091">
        <v>58.800000000000004</v>
      </c>
      <c r="D3091">
        <v>7</v>
      </c>
      <c r="E3091" s="80">
        <v>35424</v>
      </c>
    </row>
    <row r="3092" spans="1:5">
      <c r="A3092">
        <v>10393</v>
      </c>
      <c r="B3092" t="s">
        <v>174</v>
      </c>
      <c r="C3092">
        <v>58.800000000000004</v>
      </c>
      <c r="D3092">
        <v>7</v>
      </c>
      <c r="E3092" s="80">
        <v>35424</v>
      </c>
    </row>
    <row r="3093" spans="1:5">
      <c r="A3093">
        <v>10393</v>
      </c>
      <c r="B3093" t="s">
        <v>175</v>
      </c>
      <c r="C3093">
        <v>58.800000000000004</v>
      </c>
      <c r="D3093">
        <v>7</v>
      </c>
      <c r="E3093" s="80">
        <v>35424</v>
      </c>
    </row>
    <row r="3094" spans="1:5">
      <c r="A3094">
        <v>10393</v>
      </c>
      <c r="B3094" t="s">
        <v>176</v>
      </c>
      <c r="C3094">
        <v>58.800000000000004</v>
      </c>
      <c r="D3094">
        <v>7</v>
      </c>
      <c r="E3094" s="80">
        <v>35424</v>
      </c>
    </row>
    <row r="3095" spans="1:5">
      <c r="A3095">
        <v>10393</v>
      </c>
      <c r="B3095" t="s">
        <v>177</v>
      </c>
      <c r="C3095">
        <v>58.800000000000004</v>
      </c>
      <c r="D3095">
        <v>7</v>
      </c>
      <c r="E3095" s="80">
        <v>35424</v>
      </c>
    </row>
    <row r="3096" spans="1:5">
      <c r="A3096">
        <v>10393</v>
      </c>
      <c r="B3096" t="s">
        <v>178</v>
      </c>
      <c r="C3096">
        <v>58.800000000000004</v>
      </c>
      <c r="D3096">
        <v>7</v>
      </c>
      <c r="E3096" s="80">
        <v>35424</v>
      </c>
    </row>
    <row r="3097" spans="1:5">
      <c r="A3097">
        <v>10393</v>
      </c>
      <c r="B3097" t="s">
        <v>179</v>
      </c>
      <c r="C3097">
        <v>58.800000000000004</v>
      </c>
      <c r="D3097">
        <v>7</v>
      </c>
      <c r="E3097" s="80">
        <v>35424</v>
      </c>
    </row>
    <row r="3098" spans="1:5">
      <c r="A3098">
        <v>10393</v>
      </c>
      <c r="B3098" t="s">
        <v>172</v>
      </c>
      <c r="C3098">
        <v>1307.25</v>
      </c>
      <c r="D3098">
        <v>70</v>
      </c>
      <c r="E3098" s="80">
        <v>35424</v>
      </c>
    </row>
    <row r="3099" spans="1:5">
      <c r="A3099">
        <v>10393</v>
      </c>
      <c r="B3099" t="s">
        <v>173</v>
      </c>
      <c r="C3099">
        <v>1307.25</v>
      </c>
      <c r="D3099">
        <v>70</v>
      </c>
      <c r="E3099" s="80">
        <v>35424</v>
      </c>
    </row>
    <row r="3100" spans="1:5">
      <c r="A3100">
        <v>10393</v>
      </c>
      <c r="B3100" t="s">
        <v>174</v>
      </c>
      <c r="C3100">
        <v>1307.25</v>
      </c>
      <c r="D3100">
        <v>70</v>
      </c>
      <c r="E3100" s="80">
        <v>35424</v>
      </c>
    </row>
    <row r="3101" spans="1:5">
      <c r="A3101">
        <v>10393</v>
      </c>
      <c r="B3101" t="s">
        <v>175</v>
      </c>
      <c r="C3101">
        <v>1307.25</v>
      </c>
      <c r="D3101">
        <v>70</v>
      </c>
      <c r="E3101" s="80">
        <v>35424</v>
      </c>
    </row>
    <row r="3102" spans="1:5">
      <c r="A3102">
        <v>10393</v>
      </c>
      <c r="B3102" t="s">
        <v>176</v>
      </c>
      <c r="C3102">
        <v>1307.25</v>
      </c>
      <c r="D3102">
        <v>70</v>
      </c>
      <c r="E3102" s="80">
        <v>35424</v>
      </c>
    </row>
    <row r="3103" spans="1:5">
      <c r="A3103">
        <v>10393</v>
      </c>
      <c r="B3103" t="s">
        <v>177</v>
      </c>
      <c r="C3103">
        <v>1307.25</v>
      </c>
      <c r="D3103">
        <v>70</v>
      </c>
      <c r="E3103" s="80">
        <v>35424</v>
      </c>
    </row>
    <row r="3104" spans="1:5">
      <c r="A3104">
        <v>10393</v>
      </c>
      <c r="B3104" t="s">
        <v>178</v>
      </c>
      <c r="C3104">
        <v>1307.25</v>
      </c>
      <c r="D3104">
        <v>70</v>
      </c>
      <c r="E3104" s="80">
        <v>35424</v>
      </c>
    </row>
    <row r="3105" spans="1:5">
      <c r="A3105">
        <v>10393</v>
      </c>
      <c r="B3105" t="s">
        <v>179</v>
      </c>
      <c r="C3105">
        <v>1307.25</v>
      </c>
      <c r="D3105">
        <v>70</v>
      </c>
      <c r="E3105" s="80">
        <v>35424</v>
      </c>
    </row>
    <row r="3106" spans="1:5">
      <c r="A3106">
        <v>10393</v>
      </c>
      <c r="B3106" t="s">
        <v>172</v>
      </c>
      <c r="C3106">
        <v>320</v>
      </c>
      <c r="D3106">
        <v>32</v>
      </c>
      <c r="E3106" s="80">
        <v>35424</v>
      </c>
    </row>
    <row r="3107" spans="1:5">
      <c r="A3107">
        <v>10393</v>
      </c>
      <c r="B3107" t="s">
        <v>173</v>
      </c>
      <c r="C3107">
        <v>320</v>
      </c>
      <c r="D3107">
        <v>32</v>
      </c>
      <c r="E3107" s="80">
        <v>35424</v>
      </c>
    </row>
    <row r="3108" spans="1:5">
      <c r="A3108">
        <v>10393</v>
      </c>
      <c r="B3108" t="s">
        <v>174</v>
      </c>
      <c r="C3108">
        <v>320</v>
      </c>
      <c r="D3108">
        <v>32</v>
      </c>
      <c r="E3108" s="80">
        <v>35424</v>
      </c>
    </row>
    <row r="3109" spans="1:5">
      <c r="A3109">
        <v>10393</v>
      </c>
      <c r="B3109" t="s">
        <v>175</v>
      </c>
      <c r="C3109">
        <v>320</v>
      </c>
      <c r="D3109">
        <v>32</v>
      </c>
      <c r="E3109" s="80">
        <v>35424</v>
      </c>
    </row>
    <row r="3110" spans="1:5">
      <c r="A3110">
        <v>10393</v>
      </c>
      <c r="B3110" t="s">
        <v>176</v>
      </c>
      <c r="C3110">
        <v>320</v>
      </c>
      <c r="D3110">
        <v>32</v>
      </c>
      <c r="E3110" s="80">
        <v>35424</v>
      </c>
    </row>
    <row r="3111" spans="1:5">
      <c r="A3111">
        <v>10393</v>
      </c>
      <c r="B3111" t="s">
        <v>177</v>
      </c>
      <c r="C3111">
        <v>320</v>
      </c>
      <c r="D3111">
        <v>32</v>
      </c>
      <c r="E3111" s="80">
        <v>35424</v>
      </c>
    </row>
    <row r="3112" spans="1:5">
      <c r="A3112">
        <v>10393</v>
      </c>
      <c r="B3112" t="s">
        <v>178</v>
      </c>
      <c r="C3112">
        <v>320</v>
      </c>
      <c r="D3112">
        <v>32</v>
      </c>
      <c r="E3112" s="80">
        <v>35424</v>
      </c>
    </row>
    <row r="3113" spans="1:5">
      <c r="A3113">
        <v>10393</v>
      </c>
      <c r="B3113" t="s">
        <v>179</v>
      </c>
      <c r="C3113">
        <v>320</v>
      </c>
      <c r="D3113">
        <v>32</v>
      </c>
      <c r="E3113" s="80">
        <v>35424</v>
      </c>
    </row>
    <row r="3114" spans="1:5">
      <c r="A3114">
        <v>10394</v>
      </c>
      <c r="B3114" t="s">
        <v>172</v>
      </c>
      <c r="C3114">
        <v>48</v>
      </c>
      <c r="D3114">
        <v>10</v>
      </c>
      <c r="E3114" s="80">
        <v>35424</v>
      </c>
    </row>
    <row r="3115" spans="1:5">
      <c r="A3115">
        <v>10394</v>
      </c>
      <c r="B3115" t="s">
        <v>173</v>
      </c>
      <c r="C3115">
        <v>48</v>
      </c>
      <c r="D3115">
        <v>10</v>
      </c>
      <c r="E3115" s="80">
        <v>35424</v>
      </c>
    </row>
    <row r="3116" spans="1:5">
      <c r="A3116">
        <v>10394</v>
      </c>
      <c r="B3116" t="s">
        <v>174</v>
      </c>
      <c r="C3116">
        <v>48</v>
      </c>
      <c r="D3116">
        <v>10</v>
      </c>
      <c r="E3116" s="80">
        <v>35424</v>
      </c>
    </row>
    <row r="3117" spans="1:5">
      <c r="A3117">
        <v>10394</v>
      </c>
      <c r="B3117" t="s">
        <v>175</v>
      </c>
      <c r="C3117">
        <v>48</v>
      </c>
      <c r="D3117">
        <v>10</v>
      </c>
      <c r="E3117" s="80">
        <v>35424</v>
      </c>
    </row>
    <row r="3118" spans="1:5">
      <c r="A3118">
        <v>10394</v>
      </c>
      <c r="B3118" t="s">
        <v>176</v>
      </c>
      <c r="C3118">
        <v>48</v>
      </c>
      <c r="D3118">
        <v>10</v>
      </c>
      <c r="E3118" s="80">
        <v>35424</v>
      </c>
    </row>
    <row r="3119" spans="1:5">
      <c r="A3119">
        <v>10394</v>
      </c>
      <c r="B3119" t="s">
        <v>177</v>
      </c>
      <c r="C3119">
        <v>48</v>
      </c>
      <c r="D3119">
        <v>10</v>
      </c>
      <c r="E3119" s="80">
        <v>35424</v>
      </c>
    </row>
    <row r="3120" spans="1:5">
      <c r="A3120">
        <v>10394</v>
      </c>
      <c r="B3120" t="s">
        <v>178</v>
      </c>
      <c r="C3120">
        <v>48</v>
      </c>
      <c r="D3120">
        <v>10</v>
      </c>
      <c r="E3120" s="80">
        <v>35424</v>
      </c>
    </row>
    <row r="3121" spans="1:5">
      <c r="A3121">
        <v>10394</v>
      </c>
      <c r="B3121" t="s">
        <v>179</v>
      </c>
      <c r="C3121">
        <v>48</v>
      </c>
      <c r="D3121">
        <v>10</v>
      </c>
      <c r="E3121" s="80">
        <v>35424</v>
      </c>
    </row>
    <row r="3122" spans="1:5">
      <c r="A3122">
        <v>10394</v>
      </c>
      <c r="B3122" t="s">
        <v>172</v>
      </c>
      <c r="C3122">
        <v>394</v>
      </c>
      <c r="D3122">
        <v>10</v>
      </c>
      <c r="E3122" s="80">
        <v>35424</v>
      </c>
    </row>
    <row r="3123" spans="1:5">
      <c r="A3123">
        <v>10394</v>
      </c>
      <c r="B3123" t="s">
        <v>173</v>
      </c>
      <c r="C3123">
        <v>394</v>
      </c>
      <c r="D3123">
        <v>10</v>
      </c>
      <c r="E3123" s="80">
        <v>35424</v>
      </c>
    </row>
    <row r="3124" spans="1:5">
      <c r="A3124">
        <v>10394</v>
      </c>
      <c r="B3124" t="s">
        <v>174</v>
      </c>
      <c r="C3124">
        <v>394</v>
      </c>
      <c r="D3124">
        <v>10</v>
      </c>
      <c r="E3124" s="80">
        <v>35424</v>
      </c>
    </row>
    <row r="3125" spans="1:5">
      <c r="A3125">
        <v>10394</v>
      </c>
      <c r="B3125" t="s">
        <v>175</v>
      </c>
      <c r="C3125">
        <v>394</v>
      </c>
      <c r="D3125">
        <v>10</v>
      </c>
      <c r="E3125" s="80">
        <v>35424</v>
      </c>
    </row>
    <row r="3126" spans="1:5">
      <c r="A3126">
        <v>10394</v>
      </c>
      <c r="B3126" t="s">
        <v>176</v>
      </c>
      <c r="C3126">
        <v>394</v>
      </c>
      <c r="D3126">
        <v>10</v>
      </c>
      <c r="E3126" s="80">
        <v>35424</v>
      </c>
    </row>
    <row r="3127" spans="1:5">
      <c r="A3127">
        <v>10394</v>
      </c>
      <c r="B3127" t="s">
        <v>177</v>
      </c>
      <c r="C3127">
        <v>394</v>
      </c>
      <c r="D3127">
        <v>10</v>
      </c>
      <c r="E3127" s="80">
        <v>35424</v>
      </c>
    </row>
    <row r="3128" spans="1:5">
      <c r="A3128">
        <v>10394</v>
      </c>
      <c r="B3128" t="s">
        <v>178</v>
      </c>
      <c r="C3128">
        <v>394</v>
      </c>
      <c r="D3128">
        <v>10</v>
      </c>
      <c r="E3128" s="80">
        <v>35424</v>
      </c>
    </row>
    <row r="3129" spans="1:5">
      <c r="A3129">
        <v>10394</v>
      </c>
      <c r="B3129" t="s">
        <v>179</v>
      </c>
      <c r="C3129">
        <v>394</v>
      </c>
      <c r="D3129">
        <v>10</v>
      </c>
      <c r="E3129" s="80">
        <v>35424</v>
      </c>
    </row>
    <row r="3130" spans="1:5">
      <c r="A3130">
        <v>10395</v>
      </c>
      <c r="B3130" t="s">
        <v>172</v>
      </c>
      <c r="C3130">
        <v>241.91999959945679</v>
      </c>
      <c r="D3130">
        <v>28</v>
      </c>
      <c r="E3130" s="80">
        <v>35425</v>
      </c>
    </row>
    <row r="3131" spans="1:5">
      <c r="A3131">
        <v>10395</v>
      </c>
      <c r="B3131" t="s">
        <v>173</v>
      </c>
      <c r="C3131">
        <v>241.91999959945679</v>
      </c>
      <c r="D3131">
        <v>28</v>
      </c>
      <c r="E3131" s="80">
        <v>35425</v>
      </c>
    </row>
    <row r="3132" spans="1:5">
      <c r="A3132">
        <v>10395</v>
      </c>
      <c r="B3132" t="s">
        <v>174</v>
      </c>
      <c r="C3132">
        <v>241.91999959945679</v>
      </c>
      <c r="D3132">
        <v>28</v>
      </c>
      <c r="E3132" s="80">
        <v>35425</v>
      </c>
    </row>
    <row r="3133" spans="1:5">
      <c r="A3133">
        <v>10395</v>
      </c>
      <c r="B3133" t="s">
        <v>175</v>
      </c>
      <c r="C3133">
        <v>241.91999959945679</v>
      </c>
      <c r="D3133">
        <v>28</v>
      </c>
      <c r="E3133" s="80">
        <v>35425</v>
      </c>
    </row>
    <row r="3134" spans="1:5">
      <c r="A3134">
        <v>10395</v>
      </c>
      <c r="B3134" t="s">
        <v>176</v>
      </c>
      <c r="C3134">
        <v>241.91999959945679</v>
      </c>
      <c r="D3134">
        <v>28</v>
      </c>
      <c r="E3134" s="80">
        <v>35425</v>
      </c>
    </row>
    <row r="3135" spans="1:5">
      <c r="A3135">
        <v>10395</v>
      </c>
      <c r="B3135" t="s">
        <v>177</v>
      </c>
      <c r="C3135">
        <v>241.91999959945679</v>
      </c>
      <c r="D3135">
        <v>28</v>
      </c>
      <c r="E3135" s="80">
        <v>35425</v>
      </c>
    </row>
    <row r="3136" spans="1:5">
      <c r="A3136">
        <v>10395</v>
      </c>
      <c r="B3136" t="s">
        <v>178</v>
      </c>
      <c r="C3136">
        <v>241.91999959945679</v>
      </c>
      <c r="D3136">
        <v>28</v>
      </c>
      <c r="E3136" s="80">
        <v>35425</v>
      </c>
    </row>
    <row r="3137" spans="1:5">
      <c r="A3137">
        <v>10395</v>
      </c>
      <c r="B3137" t="s">
        <v>179</v>
      </c>
      <c r="C3137">
        <v>241.91999959945679</v>
      </c>
      <c r="D3137">
        <v>28</v>
      </c>
      <c r="E3137" s="80">
        <v>35425</v>
      </c>
    </row>
    <row r="3138" spans="1:5">
      <c r="A3138">
        <v>10395</v>
      </c>
      <c r="B3138" t="s">
        <v>172</v>
      </c>
      <c r="C3138">
        <v>1650.599997267127</v>
      </c>
      <c r="D3138">
        <v>70</v>
      </c>
      <c r="E3138" s="80">
        <v>35425</v>
      </c>
    </row>
    <row r="3139" spans="1:5">
      <c r="A3139">
        <v>10395</v>
      </c>
      <c r="B3139" t="s">
        <v>173</v>
      </c>
      <c r="C3139">
        <v>1650.599997267127</v>
      </c>
      <c r="D3139">
        <v>70</v>
      </c>
      <c r="E3139" s="80">
        <v>35425</v>
      </c>
    </row>
    <row r="3140" spans="1:5">
      <c r="A3140">
        <v>10395</v>
      </c>
      <c r="B3140" t="s">
        <v>174</v>
      </c>
      <c r="C3140">
        <v>1650.599997267127</v>
      </c>
      <c r="D3140">
        <v>70</v>
      </c>
      <c r="E3140" s="80">
        <v>35425</v>
      </c>
    </row>
    <row r="3141" spans="1:5">
      <c r="A3141">
        <v>10395</v>
      </c>
      <c r="B3141" t="s">
        <v>175</v>
      </c>
      <c r="C3141">
        <v>1650.599997267127</v>
      </c>
      <c r="D3141">
        <v>70</v>
      </c>
      <c r="E3141" s="80">
        <v>35425</v>
      </c>
    </row>
    <row r="3142" spans="1:5">
      <c r="A3142">
        <v>10395</v>
      </c>
      <c r="B3142" t="s">
        <v>176</v>
      </c>
      <c r="C3142">
        <v>1650.599997267127</v>
      </c>
      <c r="D3142">
        <v>70</v>
      </c>
      <c r="E3142" s="80">
        <v>35425</v>
      </c>
    </row>
    <row r="3143" spans="1:5">
      <c r="A3143">
        <v>10395</v>
      </c>
      <c r="B3143" t="s">
        <v>177</v>
      </c>
      <c r="C3143">
        <v>1650.599997267127</v>
      </c>
      <c r="D3143">
        <v>70</v>
      </c>
      <c r="E3143" s="80">
        <v>35425</v>
      </c>
    </row>
    <row r="3144" spans="1:5">
      <c r="A3144">
        <v>10395</v>
      </c>
      <c r="B3144" t="s">
        <v>178</v>
      </c>
      <c r="C3144">
        <v>1650.599997267127</v>
      </c>
      <c r="D3144">
        <v>70</v>
      </c>
      <c r="E3144" s="80">
        <v>35425</v>
      </c>
    </row>
    <row r="3145" spans="1:5">
      <c r="A3145">
        <v>10395</v>
      </c>
      <c r="B3145" t="s">
        <v>179</v>
      </c>
      <c r="C3145">
        <v>1650.599997267127</v>
      </c>
      <c r="D3145">
        <v>70</v>
      </c>
      <c r="E3145" s="80">
        <v>35425</v>
      </c>
    </row>
    <row r="3146" spans="1:5">
      <c r="A3146">
        <v>10395</v>
      </c>
      <c r="B3146" t="s">
        <v>172</v>
      </c>
      <c r="C3146">
        <v>230.4</v>
      </c>
      <c r="D3146">
        <v>8</v>
      </c>
      <c r="E3146" s="80">
        <v>35425</v>
      </c>
    </row>
    <row r="3147" spans="1:5">
      <c r="A3147">
        <v>10395</v>
      </c>
      <c r="B3147" t="s">
        <v>173</v>
      </c>
      <c r="C3147">
        <v>230.4</v>
      </c>
      <c r="D3147">
        <v>8</v>
      </c>
      <c r="E3147" s="80">
        <v>35425</v>
      </c>
    </row>
    <row r="3148" spans="1:5">
      <c r="A3148">
        <v>10395</v>
      </c>
      <c r="B3148" t="s">
        <v>174</v>
      </c>
      <c r="C3148">
        <v>230.4</v>
      </c>
      <c r="D3148">
        <v>8</v>
      </c>
      <c r="E3148" s="80">
        <v>35425</v>
      </c>
    </row>
    <row r="3149" spans="1:5">
      <c r="A3149">
        <v>10395</v>
      </c>
      <c r="B3149" t="s">
        <v>175</v>
      </c>
      <c r="C3149">
        <v>230.4</v>
      </c>
      <c r="D3149">
        <v>8</v>
      </c>
      <c r="E3149" s="80">
        <v>35425</v>
      </c>
    </row>
    <row r="3150" spans="1:5">
      <c r="A3150">
        <v>10395</v>
      </c>
      <c r="B3150" t="s">
        <v>176</v>
      </c>
      <c r="C3150">
        <v>230.4</v>
      </c>
      <c r="D3150">
        <v>8</v>
      </c>
      <c r="E3150" s="80">
        <v>35425</v>
      </c>
    </row>
    <row r="3151" spans="1:5">
      <c r="A3151">
        <v>10395</v>
      </c>
      <c r="B3151" t="s">
        <v>177</v>
      </c>
      <c r="C3151">
        <v>230.4</v>
      </c>
      <c r="D3151">
        <v>8</v>
      </c>
      <c r="E3151" s="80">
        <v>35425</v>
      </c>
    </row>
    <row r="3152" spans="1:5">
      <c r="A3152">
        <v>10395</v>
      </c>
      <c r="B3152" t="s">
        <v>178</v>
      </c>
      <c r="C3152">
        <v>230.4</v>
      </c>
      <c r="D3152">
        <v>8</v>
      </c>
      <c r="E3152" s="80">
        <v>35425</v>
      </c>
    </row>
    <row r="3153" spans="1:5">
      <c r="A3153">
        <v>10395</v>
      </c>
      <c r="B3153" t="s">
        <v>179</v>
      </c>
      <c r="C3153">
        <v>230.4</v>
      </c>
      <c r="D3153">
        <v>8</v>
      </c>
      <c r="E3153" s="80">
        <v>35425</v>
      </c>
    </row>
    <row r="3154" spans="1:5">
      <c r="A3154">
        <v>10396</v>
      </c>
      <c r="B3154" t="s">
        <v>172</v>
      </c>
      <c r="C3154">
        <v>288</v>
      </c>
      <c r="D3154">
        <v>40</v>
      </c>
      <c r="E3154" s="80">
        <v>35426</v>
      </c>
    </row>
    <row r="3155" spans="1:5">
      <c r="A3155">
        <v>10396</v>
      </c>
      <c r="B3155" t="s">
        <v>173</v>
      </c>
      <c r="C3155">
        <v>288</v>
      </c>
      <c r="D3155">
        <v>40</v>
      </c>
      <c r="E3155" s="80">
        <v>35426</v>
      </c>
    </row>
    <row r="3156" spans="1:5">
      <c r="A3156">
        <v>10396</v>
      </c>
      <c r="B3156" t="s">
        <v>174</v>
      </c>
      <c r="C3156">
        <v>288</v>
      </c>
      <c r="D3156">
        <v>40</v>
      </c>
      <c r="E3156" s="80">
        <v>35426</v>
      </c>
    </row>
    <row r="3157" spans="1:5">
      <c r="A3157">
        <v>10396</v>
      </c>
      <c r="B3157" t="s">
        <v>175</v>
      </c>
      <c r="C3157">
        <v>288</v>
      </c>
      <c r="D3157">
        <v>40</v>
      </c>
      <c r="E3157" s="80">
        <v>35426</v>
      </c>
    </row>
    <row r="3158" spans="1:5">
      <c r="A3158">
        <v>10396</v>
      </c>
      <c r="B3158" t="s">
        <v>176</v>
      </c>
      <c r="C3158">
        <v>288</v>
      </c>
      <c r="D3158">
        <v>40</v>
      </c>
      <c r="E3158" s="80">
        <v>35426</v>
      </c>
    </row>
    <row r="3159" spans="1:5">
      <c r="A3159">
        <v>10396</v>
      </c>
      <c r="B3159" t="s">
        <v>177</v>
      </c>
      <c r="C3159">
        <v>288</v>
      </c>
      <c r="D3159">
        <v>40</v>
      </c>
      <c r="E3159" s="80">
        <v>35426</v>
      </c>
    </row>
    <row r="3160" spans="1:5">
      <c r="A3160">
        <v>10396</v>
      </c>
      <c r="B3160" t="s">
        <v>178</v>
      </c>
      <c r="C3160">
        <v>288</v>
      </c>
      <c r="D3160">
        <v>40</v>
      </c>
      <c r="E3160" s="80">
        <v>35426</v>
      </c>
    </row>
    <row r="3161" spans="1:5">
      <c r="A3161">
        <v>10396</v>
      </c>
      <c r="B3161" t="s">
        <v>179</v>
      </c>
      <c r="C3161">
        <v>288</v>
      </c>
      <c r="D3161">
        <v>40</v>
      </c>
      <c r="E3161" s="80">
        <v>35426</v>
      </c>
    </row>
    <row r="3162" spans="1:5">
      <c r="A3162">
        <v>10396</v>
      </c>
      <c r="B3162" t="s">
        <v>172</v>
      </c>
      <c r="C3162">
        <v>1032</v>
      </c>
      <c r="D3162">
        <v>60</v>
      </c>
      <c r="E3162" s="80">
        <v>35426</v>
      </c>
    </row>
    <row r="3163" spans="1:5">
      <c r="A3163">
        <v>10396</v>
      </c>
      <c r="B3163" t="s">
        <v>173</v>
      </c>
      <c r="C3163">
        <v>1032</v>
      </c>
      <c r="D3163">
        <v>60</v>
      </c>
      <c r="E3163" s="80">
        <v>35426</v>
      </c>
    </row>
    <row r="3164" spans="1:5">
      <c r="A3164">
        <v>10396</v>
      </c>
      <c r="B3164" t="s">
        <v>174</v>
      </c>
      <c r="C3164">
        <v>1032</v>
      </c>
      <c r="D3164">
        <v>60</v>
      </c>
      <c r="E3164" s="80">
        <v>35426</v>
      </c>
    </row>
    <row r="3165" spans="1:5">
      <c r="A3165">
        <v>10396</v>
      </c>
      <c r="B3165" t="s">
        <v>175</v>
      </c>
      <c r="C3165">
        <v>1032</v>
      </c>
      <c r="D3165">
        <v>60</v>
      </c>
      <c r="E3165" s="80">
        <v>35426</v>
      </c>
    </row>
    <row r="3166" spans="1:5">
      <c r="A3166">
        <v>10396</v>
      </c>
      <c r="B3166" t="s">
        <v>176</v>
      </c>
      <c r="C3166">
        <v>1032</v>
      </c>
      <c r="D3166">
        <v>60</v>
      </c>
      <c r="E3166" s="80">
        <v>35426</v>
      </c>
    </row>
    <row r="3167" spans="1:5">
      <c r="A3167">
        <v>10396</v>
      </c>
      <c r="B3167" t="s">
        <v>177</v>
      </c>
      <c r="C3167">
        <v>1032</v>
      </c>
      <c r="D3167">
        <v>60</v>
      </c>
      <c r="E3167" s="80">
        <v>35426</v>
      </c>
    </row>
    <row r="3168" spans="1:5">
      <c r="A3168">
        <v>10396</v>
      </c>
      <c r="B3168" t="s">
        <v>178</v>
      </c>
      <c r="C3168">
        <v>1032</v>
      </c>
      <c r="D3168">
        <v>60</v>
      </c>
      <c r="E3168" s="80">
        <v>35426</v>
      </c>
    </row>
    <row r="3169" spans="1:5">
      <c r="A3169">
        <v>10396</v>
      </c>
      <c r="B3169" t="s">
        <v>179</v>
      </c>
      <c r="C3169">
        <v>1032</v>
      </c>
      <c r="D3169">
        <v>60</v>
      </c>
      <c r="E3169" s="80">
        <v>35426</v>
      </c>
    </row>
    <row r="3170" spans="1:5">
      <c r="A3170">
        <v>10396</v>
      </c>
      <c r="B3170" t="s">
        <v>172</v>
      </c>
      <c r="C3170">
        <v>583.79999999999995</v>
      </c>
      <c r="D3170">
        <v>21</v>
      </c>
      <c r="E3170" s="80">
        <v>35426</v>
      </c>
    </row>
    <row r="3171" spans="1:5">
      <c r="A3171">
        <v>10396</v>
      </c>
      <c r="B3171" t="s">
        <v>173</v>
      </c>
      <c r="C3171">
        <v>583.79999999999995</v>
      </c>
      <c r="D3171">
        <v>21</v>
      </c>
      <c r="E3171" s="80">
        <v>35426</v>
      </c>
    </row>
    <row r="3172" spans="1:5">
      <c r="A3172">
        <v>10396</v>
      </c>
      <c r="B3172" t="s">
        <v>174</v>
      </c>
      <c r="C3172">
        <v>583.79999999999995</v>
      </c>
      <c r="D3172">
        <v>21</v>
      </c>
      <c r="E3172" s="80">
        <v>35426</v>
      </c>
    </row>
    <row r="3173" spans="1:5">
      <c r="A3173">
        <v>10396</v>
      </c>
      <c r="B3173" t="s">
        <v>175</v>
      </c>
      <c r="C3173">
        <v>583.79999999999995</v>
      </c>
      <c r="D3173">
        <v>21</v>
      </c>
      <c r="E3173" s="80">
        <v>35426</v>
      </c>
    </row>
    <row r="3174" spans="1:5">
      <c r="A3174">
        <v>10396</v>
      </c>
      <c r="B3174" t="s">
        <v>176</v>
      </c>
      <c r="C3174">
        <v>583.79999999999995</v>
      </c>
      <c r="D3174">
        <v>21</v>
      </c>
      <c r="E3174" s="80">
        <v>35426</v>
      </c>
    </row>
    <row r="3175" spans="1:5">
      <c r="A3175">
        <v>10396</v>
      </c>
      <c r="B3175" t="s">
        <v>177</v>
      </c>
      <c r="C3175">
        <v>583.79999999999995</v>
      </c>
      <c r="D3175">
        <v>21</v>
      </c>
      <c r="E3175" s="80">
        <v>35426</v>
      </c>
    </row>
    <row r="3176" spans="1:5">
      <c r="A3176">
        <v>10396</v>
      </c>
      <c r="B3176" t="s">
        <v>178</v>
      </c>
      <c r="C3176">
        <v>583.79999999999995</v>
      </c>
      <c r="D3176">
        <v>21</v>
      </c>
      <c r="E3176" s="80">
        <v>35426</v>
      </c>
    </row>
    <row r="3177" spans="1:5">
      <c r="A3177">
        <v>10396</v>
      </c>
      <c r="B3177" t="s">
        <v>179</v>
      </c>
      <c r="C3177">
        <v>583.79999999999995</v>
      </c>
      <c r="D3177">
        <v>21</v>
      </c>
      <c r="E3177" s="80">
        <v>35426</v>
      </c>
    </row>
    <row r="3178" spans="1:5">
      <c r="A3178">
        <v>10397</v>
      </c>
      <c r="B3178" t="s">
        <v>172</v>
      </c>
      <c r="C3178">
        <v>67.999999523162842</v>
      </c>
      <c r="D3178">
        <v>10</v>
      </c>
      <c r="E3178" s="80">
        <v>35426</v>
      </c>
    </row>
    <row r="3179" spans="1:5">
      <c r="A3179">
        <v>10397</v>
      </c>
      <c r="B3179" t="s">
        <v>173</v>
      </c>
      <c r="C3179">
        <v>67.999999523162842</v>
      </c>
      <c r="D3179">
        <v>10</v>
      </c>
      <c r="E3179" s="80">
        <v>35426</v>
      </c>
    </row>
    <row r="3180" spans="1:5">
      <c r="A3180">
        <v>10397</v>
      </c>
      <c r="B3180" t="s">
        <v>174</v>
      </c>
      <c r="C3180">
        <v>67.999999523162842</v>
      </c>
      <c r="D3180">
        <v>10</v>
      </c>
      <c r="E3180" s="80">
        <v>35426</v>
      </c>
    </row>
    <row r="3181" spans="1:5">
      <c r="A3181">
        <v>10397</v>
      </c>
      <c r="B3181" t="s">
        <v>175</v>
      </c>
      <c r="C3181">
        <v>67.999999523162842</v>
      </c>
      <c r="D3181">
        <v>10</v>
      </c>
      <c r="E3181" s="80">
        <v>35426</v>
      </c>
    </row>
    <row r="3182" spans="1:5">
      <c r="A3182">
        <v>10397</v>
      </c>
      <c r="B3182" t="s">
        <v>176</v>
      </c>
      <c r="C3182">
        <v>67.999999523162842</v>
      </c>
      <c r="D3182">
        <v>10</v>
      </c>
      <c r="E3182" s="80">
        <v>35426</v>
      </c>
    </row>
    <row r="3183" spans="1:5">
      <c r="A3183">
        <v>10397</v>
      </c>
      <c r="B3183" t="s">
        <v>177</v>
      </c>
      <c r="C3183">
        <v>67.999999523162842</v>
      </c>
      <c r="D3183">
        <v>10</v>
      </c>
      <c r="E3183" s="80">
        <v>35426</v>
      </c>
    </row>
    <row r="3184" spans="1:5">
      <c r="A3184">
        <v>10397</v>
      </c>
      <c r="B3184" t="s">
        <v>178</v>
      </c>
      <c r="C3184">
        <v>67.999999523162842</v>
      </c>
      <c r="D3184">
        <v>10</v>
      </c>
      <c r="E3184" s="80">
        <v>35426</v>
      </c>
    </row>
    <row r="3185" spans="1:5">
      <c r="A3185">
        <v>10397</v>
      </c>
      <c r="B3185" t="s">
        <v>179</v>
      </c>
      <c r="C3185">
        <v>67.999999523162842</v>
      </c>
      <c r="D3185">
        <v>10</v>
      </c>
      <c r="E3185" s="80">
        <v>35426</v>
      </c>
    </row>
    <row r="3186" spans="1:5">
      <c r="A3186">
        <v>10397</v>
      </c>
      <c r="B3186" t="s">
        <v>172</v>
      </c>
      <c r="C3186">
        <v>648.71999545097356</v>
      </c>
      <c r="D3186">
        <v>18</v>
      </c>
      <c r="E3186" s="80">
        <v>35426</v>
      </c>
    </row>
    <row r="3187" spans="1:5">
      <c r="A3187">
        <v>10397</v>
      </c>
      <c r="B3187" t="s">
        <v>173</v>
      </c>
      <c r="C3187">
        <v>648.71999545097356</v>
      </c>
      <c r="D3187">
        <v>18</v>
      </c>
      <c r="E3187" s="80">
        <v>35426</v>
      </c>
    </row>
    <row r="3188" spans="1:5">
      <c r="A3188">
        <v>10397</v>
      </c>
      <c r="B3188" t="s">
        <v>174</v>
      </c>
      <c r="C3188">
        <v>648.71999545097356</v>
      </c>
      <c r="D3188">
        <v>18</v>
      </c>
      <c r="E3188" s="80">
        <v>35426</v>
      </c>
    </row>
    <row r="3189" spans="1:5">
      <c r="A3189">
        <v>10397</v>
      </c>
      <c r="B3189" t="s">
        <v>175</v>
      </c>
      <c r="C3189">
        <v>648.71999545097356</v>
      </c>
      <c r="D3189">
        <v>18</v>
      </c>
      <c r="E3189" s="80">
        <v>35426</v>
      </c>
    </row>
    <row r="3190" spans="1:5">
      <c r="A3190">
        <v>10397</v>
      </c>
      <c r="B3190" t="s">
        <v>176</v>
      </c>
      <c r="C3190">
        <v>648.71999545097356</v>
      </c>
      <c r="D3190">
        <v>18</v>
      </c>
      <c r="E3190" s="80">
        <v>35426</v>
      </c>
    </row>
    <row r="3191" spans="1:5">
      <c r="A3191">
        <v>10397</v>
      </c>
      <c r="B3191" t="s">
        <v>177</v>
      </c>
      <c r="C3191">
        <v>648.71999545097356</v>
      </c>
      <c r="D3191">
        <v>18</v>
      </c>
      <c r="E3191" s="80">
        <v>35426</v>
      </c>
    </row>
    <row r="3192" spans="1:5">
      <c r="A3192">
        <v>10397</v>
      </c>
      <c r="B3192" t="s">
        <v>178</v>
      </c>
      <c r="C3192">
        <v>648.71999545097356</v>
      </c>
      <c r="D3192">
        <v>18</v>
      </c>
      <c r="E3192" s="80">
        <v>35426</v>
      </c>
    </row>
    <row r="3193" spans="1:5">
      <c r="A3193">
        <v>10397</v>
      </c>
      <c r="B3193" t="s">
        <v>179</v>
      </c>
      <c r="C3193">
        <v>648.71999545097356</v>
      </c>
      <c r="D3193">
        <v>18</v>
      </c>
      <c r="E3193" s="80">
        <v>35426</v>
      </c>
    </row>
    <row r="3194" spans="1:5">
      <c r="A3194">
        <v>10398</v>
      </c>
      <c r="B3194" t="s">
        <v>172</v>
      </c>
      <c r="C3194">
        <v>432</v>
      </c>
      <c r="D3194">
        <v>30</v>
      </c>
      <c r="E3194" s="80">
        <v>35429</v>
      </c>
    </row>
    <row r="3195" spans="1:5">
      <c r="A3195">
        <v>10398</v>
      </c>
      <c r="B3195" t="s">
        <v>173</v>
      </c>
      <c r="C3195">
        <v>432</v>
      </c>
      <c r="D3195">
        <v>30</v>
      </c>
      <c r="E3195" s="80">
        <v>35429</v>
      </c>
    </row>
    <row r="3196" spans="1:5">
      <c r="A3196">
        <v>10398</v>
      </c>
      <c r="B3196" t="s">
        <v>174</v>
      </c>
      <c r="C3196">
        <v>432</v>
      </c>
      <c r="D3196">
        <v>30</v>
      </c>
      <c r="E3196" s="80">
        <v>35429</v>
      </c>
    </row>
    <row r="3197" spans="1:5">
      <c r="A3197">
        <v>10398</v>
      </c>
      <c r="B3197" t="s">
        <v>175</v>
      </c>
      <c r="C3197">
        <v>432</v>
      </c>
      <c r="D3197">
        <v>30</v>
      </c>
      <c r="E3197" s="80">
        <v>35429</v>
      </c>
    </row>
    <row r="3198" spans="1:5">
      <c r="A3198">
        <v>10398</v>
      </c>
      <c r="B3198" t="s">
        <v>176</v>
      </c>
      <c r="C3198">
        <v>432</v>
      </c>
      <c r="D3198">
        <v>30</v>
      </c>
      <c r="E3198" s="80">
        <v>35429</v>
      </c>
    </row>
    <row r="3199" spans="1:5">
      <c r="A3199">
        <v>10398</v>
      </c>
      <c r="B3199" t="s">
        <v>177</v>
      </c>
      <c r="C3199">
        <v>432</v>
      </c>
      <c r="D3199">
        <v>30</v>
      </c>
      <c r="E3199" s="80">
        <v>35429</v>
      </c>
    </row>
    <row r="3200" spans="1:5">
      <c r="A3200">
        <v>10398</v>
      </c>
      <c r="B3200" t="s">
        <v>178</v>
      </c>
      <c r="C3200">
        <v>432</v>
      </c>
      <c r="D3200">
        <v>30</v>
      </c>
      <c r="E3200" s="80">
        <v>35429</v>
      </c>
    </row>
    <row r="3201" spans="1:5">
      <c r="A3201">
        <v>10398</v>
      </c>
      <c r="B3201" t="s">
        <v>179</v>
      </c>
      <c r="C3201">
        <v>432</v>
      </c>
      <c r="D3201">
        <v>30</v>
      </c>
      <c r="E3201" s="80">
        <v>35429</v>
      </c>
    </row>
    <row r="3202" spans="1:5">
      <c r="A3202">
        <v>10398</v>
      </c>
      <c r="B3202" t="s">
        <v>172</v>
      </c>
      <c r="C3202">
        <v>2073.5999965667725</v>
      </c>
      <c r="D3202">
        <v>120</v>
      </c>
      <c r="E3202" s="80">
        <v>35429</v>
      </c>
    </row>
    <row r="3203" spans="1:5">
      <c r="A3203">
        <v>10398</v>
      </c>
      <c r="B3203" t="s">
        <v>173</v>
      </c>
      <c r="C3203">
        <v>2073.5999965667725</v>
      </c>
      <c r="D3203">
        <v>120</v>
      </c>
      <c r="E3203" s="80">
        <v>35429</v>
      </c>
    </row>
    <row r="3204" spans="1:5">
      <c r="A3204">
        <v>10398</v>
      </c>
      <c r="B3204" t="s">
        <v>174</v>
      </c>
      <c r="C3204">
        <v>2073.5999965667725</v>
      </c>
      <c r="D3204">
        <v>120</v>
      </c>
      <c r="E3204" s="80">
        <v>35429</v>
      </c>
    </row>
    <row r="3205" spans="1:5">
      <c r="A3205">
        <v>10398</v>
      </c>
      <c r="B3205" t="s">
        <v>175</v>
      </c>
      <c r="C3205">
        <v>2073.5999965667725</v>
      </c>
      <c r="D3205">
        <v>120</v>
      </c>
      <c r="E3205" s="80">
        <v>35429</v>
      </c>
    </row>
    <row r="3206" spans="1:5">
      <c r="A3206">
        <v>10398</v>
      </c>
      <c r="B3206" t="s">
        <v>176</v>
      </c>
      <c r="C3206">
        <v>2073.5999965667725</v>
      </c>
      <c r="D3206">
        <v>120</v>
      </c>
      <c r="E3206" s="80">
        <v>35429</v>
      </c>
    </row>
    <row r="3207" spans="1:5">
      <c r="A3207">
        <v>10398</v>
      </c>
      <c r="B3207" t="s">
        <v>177</v>
      </c>
      <c r="C3207">
        <v>2073.5999965667725</v>
      </c>
      <c r="D3207">
        <v>120</v>
      </c>
      <c r="E3207" s="80">
        <v>35429</v>
      </c>
    </row>
    <row r="3208" spans="1:5">
      <c r="A3208">
        <v>10398</v>
      </c>
      <c r="B3208" t="s">
        <v>178</v>
      </c>
      <c r="C3208">
        <v>2073.5999965667725</v>
      </c>
      <c r="D3208">
        <v>120</v>
      </c>
      <c r="E3208" s="80">
        <v>35429</v>
      </c>
    </row>
    <row r="3209" spans="1:5">
      <c r="A3209">
        <v>10398</v>
      </c>
      <c r="B3209" t="s">
        <v>179</v>
      </c>
      <c r="C3209">
        <v>2073.5999965667725</v>
      </c>
      <c r="D3209">
        <v>120</v>
      </c>
      <c r="E3209" s="80">
        <v>35429</v>
      </c>
    </row>
    <row r="3210" spans="1:5">
      <c r="A3210">
        <v>10399</v>
      </c>
      <c r="B3210" t="s">
        <v>172</v>
      </c>
      <c r="C3210">
        <v>600</v>
      </c>
      <c r="D3210">
        <v>60</v>
      </c>
      <c r="E3210" s="80">
        <v>35430</v>
      </c>
    </row>
    <row r="3211" spans="1:5">
      <c r="A3211">
        <v>10399</v>
      </c>
      <c r="B3211" t="s">
        <v>173</v>
      </c>
      <c r="C3211">
        <v>600</v>
      </c>
      <c r="D3211">
        <v>60</v>
      </c>
      <c r="E3211" s="80">
        <v>35430</v>
      </c>
    </row>
    <row r="3212" spans="1:5">
      <c r="A3212">
        <v>10399</v>
      </c>
      <c r="B3212" t="s">
        <v>174</v>
      </c>
      <c r="C3212">
        <v>600</v>
      </c>
      <c r="D3212">
        <v>60</v>
      </c>
      <c r="E3212" s="80">
        <v>35430</v>
      </c>
    </row>
    <row r="3213" spans="1:5">
      <c r="A3213">
        <v>10399</v>
      </c>
      <c r="B3213" t="s">
        <v>175</v>
      </c>
      <c r="C3213">
        <v>600</v>
      </c>
      <c r="D3213">
        <v>60</v>
      </c>
      <c r="E3213" s="80">
        <v>35430</v>
      </c>
    </row>
    <row r="3214" spans="1:5">
      <c r="A3214">
        <v>10399</v>
      </c>
      <c r="B3214" t="s">
        <v>176</v>
      </c>
      <c r="C3214">
        <v>600</v>
      </c>
      <c r="D3214">
        <v>60</v>
      </c>
      <c r="E3214" s="80">
        <v>35430</v>
      </c>
    </row>
    <row r="3215" spans="1:5">
      <c r="A3215">
        <v>10399</v>
      </c>
      <c r="B3215" t="s">
        <v>177</v>
      </c>
      <c r="C3215">
        <v>600</v>
      </c>
      <c r="D3215">
        <v>60</v>
      </c>
      <c r="E3215" s="80">
        <v>35430</v>
      </c>
    </row>
    <row r="3216" spans="1:5">
      <c r="A3216">
        <v>10399</v>
      </c>
      <c r="B3216" t="s">
        <v>178</v>
      </c>
      <c r="C3216">
        <v>600</v>
      </c>
      <c r="D3216">
        <v>60</v>
      </c>
      <c r="E3216" s="80">
        <v>35430</v>
      </c>
    </row>
    <row r="3217" spans="1:5">
      <c r="A3217">
        <v>10399</v>
      </c>
      <c r="B3217" t="s">
        <v>179</v>
      </c>
      <c r="C3217">
        <v>600</v>
      </c>
      <c r="D3217">
        <v>60</v>
      </c>
      <c r="E3217" s="80">
        <v>35430</v>
      </c>
    </row>
    <row r="3218" spans="1:5">
      <c r="A3218">
        <v>10399</v>
      </c>
      <c r="B3218" t="s">
        <v>172</v>
      </c>
      <c r="C3218">
        <v>516</v>
      </c>
      <c r="D3218">
        <v>30</v>
      </c>
      <c r="E3218" s="80">
        <v>35430</v>
      </c>
    </row>
    <row r="3219" spans="1:5">
      <c r="A3219">
        <v>10399</v>
      </c>
      <c r="B3219" t="s">
        <v>173</v>
      </c>
      <c r="C3219">
        <v>516</v>
      </c>
      <c r="D3219">
        <v>30</v>
      </c>
      <c r="E3219" s="80">
        <v>35430</v>
      </c>
    </row>
    <row r="3220" spans="1:5">
      <c r="A3220">
        <v>10399</v>
      </c>
      <c r="B3220" t="s">
        <v>174</v>
      </c>
      <c r="C3220">
        <v>516</v>
      </c>
      <c r="D3220">
        <v>30</v>
      </c>
      <c r="E3220" s="80">
        <v>35430</v>
      </c>
    </row>
    <row r="3221" spans="1:5">
      <c r="A3221">
        <v>10399</v>
      </c>
      <c r="B3221" t="s">
        <v>175</v>
      </c>
      <c r="C3221">
        <v>516</v>
      </c>
      <c r="D3221">
        <v>30</v>
      </c>
      <c r="E3221" s="80">
        <v>35430</v>
      </c>
    </row>
    <row r="3222" spans="1:5">
      <c r="A3222">
        <v>10399</v>
      </c>
      <c r="B3222" t="s">
        <v>176</v>
      </c>
      <c r="C3222">
        <v>516</v>
      </c>
      <c r="D3222">
        <v>30</v>
      </c>
      <c r="E3222" s="80">
        <v>35430</v>
      </c>
    </row>
    <row r="3223" spans="1:5">
      <c r="A3223">
        <v>10399</v>
      </c>
      <c r="B3223" t="s">
        <v>177</v>
      </c>
      <c r="C3223">
        <v>516</v>
      </c>
      <c r="D3223">
        <v>30</v>
      </c>
      <c r="E3223" s="80">
        <v>35430</v>
      </c>
    </row>
    <row r="3224" spans="1:5">
      <c r="A3224">
        <v>10399</v>
      </c>
      <c r="B3224" t="s">
        <v>178</v>
      </c>
      <c r="C3224">
        <v>516</v>
      </c>
      <c r="D3224">
        <v>30</v>
      </c>
      <c r="E3224" s="80">
        <v>35430</v>
      </c>
    </row>
    <row r="3225" spans="1:5">
      <c r="A3225">
        <v>10399</v>
      </c>
      <c r="B3225" t="s">
        <v>179</v>
      </c>
      <c r="C3225">
        <v>516</v>
      </c>
      <c r="D3225">
        <v>30</v>
      </c>
      <c r="E3225" s="80">
        <v>35430</v>
      </c>
    </row>
    <row r="3226" spans="1:5">
      <c r="A3226">
        <v>10399</v>
      </c>
      <c r="B3226" t="s">
        <v>172</v>
      </c>
      <c r="C3226">
        <v>504</v>
      </c>
      <c r="D3226">
        <v>35</v>
      </c>
      <c r="E3226" s="80">
        <v>35430</v>
      </c>
    </row>
    <row r="3227" spans="1:5">
      <c r="A3227">
        <v>10399</v>
      </c>
      <c r="B3227" t="s">
        <v>173</v>
      </c>
      <c r="C3227">
        <v>504</v>
      </c>
      <c r="D3227">
        <v>35</v>
      </c>
      <c r="E3227" s="80">
        <v>35430</v>
      </c>
    </row>
    <row r="3228" spans="1:5">
      <c r="A3228">
        <v>10399</v>
      </c>
      <c r="B3228" t="s">
        <v>174</v>
      </c>
      <c r="C3228">
        <v>504</v>
      </c>
      <c r="D3228">
        <v>35</v>
      </c>
      <c r="E3228" s="80">
        <v>35430</v>
      </c>
    </row>
    <row r="3229" spans="1:5">
      <c r="A3229">
        <v>10399</v>
      </c>
      <c r="B3229" t="s">
        <v>175</v>
      </c>
      <c r="C3229">
        <v>504</v>
      </c>
      <c r="D3229">
        <v>35</v>
      </c>
      <c r="E3229" s="80">
        <v>35430</v>
      </c>
    </row>
    <row r="3230" spans="1:5">
      <c r="A3230">
        <v>10399</v>
      </c>
      <c r="B3230" t="s">
        <v>176</v>
      </c>
      <c r="C3230">
        <v>504</v>
      </c>
      <c r="D3230">
        <v>35</v>
      </c>
      <c r="E3230" s="80">
        <v>35430</v>
      </c>
    </row>
    <row r="3231" spans="1:5">
      <c r="A3231">
        <v>10399</v>
      </c>
      <c r="B3231" t="s">
        <v>177</v>
      </c>
      <c r="C3231">
        <v>504</v>
      </c>
      <c r="D3231">
        <v>35</v>
      </c>
      <c r="E3231" s="80">
        <v>35430</v>
      </c>
    </row>
    <row r="3232" spans="1:5">
      <c r="A3232">
        <v>10399</v>
      </c>
      <c r="B3232" t="s">
        <v>178</v>
      </c>
      <c r="C3232">
        <v>504</v>
      </c>
      <c r="D3232">
        <v>35</v>
      </c>
      <c r="E3232" s="80">
        <v>35430</v>
      </c>
    </row>
    <row r="3233" spans="1:5">
      <c r="A3233">
        <v>10399</v>
      </c>
      <c r="B3233" t="s">
        <v>179</v>
      </c>
      <c r="C3233">
        <v>504</v>
      </c>
      <c r="D3233">
        <v>35</v>
      </c>
      <c r="E3233" s="80">
        <v>35430</v>
      </c>
    </row>
    <row r="3234" spans="1:5">
      <c r="A3234">
        <v>10399</v>
      </c>
      <c r="B3234" t="s">
        <v>172</v>
      </c>
      <c r="C3234">
        <v>145.6</v>
      </c>
      <c r="D3234">
        <v>14</v>
      </c>
      <c r="E3234" s="80">
        <v>35430</v>
      </c>
    </row>
    <row r="3235" spans="1:5">
      <c r="A3235">
        <v>10399</v>
      </c>
      <c r="B3235" t="s">
        <v>173</v>
      </c>
      <c r="C3235">
        <v>145.6</v>
      </c>
      <c r="D3235">
        <v>14</v>
      </c>
      <c r="E3235" s="80">
        <v>35430</v>
      </c>
    </row>
    <row r="3236" spans="1:5">
      <c r="A3236">
        <v>10399</v>
      </c>
      <c r="B3236" t="s">
        <v>174</v>
      </c>
      <c r="C3236">
        <v>145.6</v>
      </c>
      <c r="D3236">
        <v>14</v>
      </c>
      <c r="E3236" s="80">
        <v>35430</v>
      </c>
    </row>
    <row r="3237" spans="1:5">
      <c r="A3237">
        <v>10399</v>
      </c>
      <c r="B3237" t="s">
        <v>175</v>
      </c>
      <c r="C3237">
        <v>145.6</v>
      </c>
      <c r="D3237">
        <v>14</v>
      </c>
      <c r="E3237" s="80">
        <v>35430</v>
      </c>
    </row>
    <row r="3238" spans="1:5">
      <c r="A3238">
        <v>10399</v>
      </c>
      <c r="B3238" t="s">
        <v>176</v>
      </c>
      <c r="C3238">
        <v>145.6</v>
      </c>
      <c r="D3238">
        <v>14</v>
      </c>
      <c r="E3238" s="80">
        <v>35430</v>
      </c>
    </row>
    <row r="3239" spans="1:5">
      <c r="A3239">
        <v>10399</v>
      </c>
      <c r="B3239" t="s">
        <v>177</v>
      </c>
      <c r="C3239">
        <v>145.6</v>
      </c>
      <c r="D3239">
        <v>14</v>
      </c>
      <c r="E3239" s="80">
        <v>35430</v>
      </c>
    </row>
    <row r="3240" spans="1:5">
      <c r="A3240">
        <v>10399</v>
      </c>
      <c r="B3240" t="s">
        <v>178</v>
      </c>
      <c r="C3240">
        <v>145.6</v>
      </c>
      <c r="D3240">
        <v>14</v>
      </c>
      <c r="E3240" s="80">
        <v>35430</v>
      </c>
    </row>
    <row r="3241" spans="1:5">
      <c r="A3241">
        <v>10399</v>
      </c>
      <c r="B3241" t="s">
        <v>179</v>
      </c>
      <c r="C3241">
        <v>145.6</v>
      </c>
      <c r="D3241">
        <v>14</v>
      </c>
      <c r="E3241" s="80">
        <v>35430</v>
      </c>
    </row>
    <row r="3242" spans="1:5">
      <c r="A3242">
        <v>10400</v>
      </c>
      <c r="B3242" t="s">
        <v>172</v>
      </c>
      <c r="C3242">
        <v>2079</v>
      </c>
      <c r="D3242">
        <v>21</v>
      </c>
      <c r="E3242" s="80">
        <v>35431</v>
      </c>
    </row>
    <row r="3243" spans="1:5">
      <c r="A3243">
        <v>10400</v>
      </c>
      <c r="B3243" t="s">
        <v>173</v>
      </c>
      <c r="C3243">
        <v>2079</v>
      </c>
      <c r="D3243">
        <v>21</v>
      </c>
      <c r="E3243" s="80">
        <v>35431</v>
      </c>
    </row>
    <row r="3244" spans="1:5">
      <c r="A3244">
        <v>10400</v>
      </c>
      <c r="B3244" t="s">
        <v>174</v>
      </c>
      <c r="C3244">
        <v>2079</v>
      </c>
      <c r="D3244">
        <v>21</v>
      </c>
      <c r="E3244" s="80">
        <v>35431</v>
      </c>
    </row>
    <row r="3245" spans="1:5">
      <c r="A3245">
        <v>10400</v>
      </c>
      <c r="B3245" t="s">
        <v>175</v>
      </c>
      <c r="C3245">
        <v>2079</v>
      </c>
      <c r="D3245">
        <v>21</v>
      </c>
      <c r="E3245" s="80">
        <v>35431</v>
      </c>
    </row>
    <row r="3246" spans="1:5">
      <c r="A3246">
        <v>10400</v>
      </c>
      <c r="B3246" t="s">
        <v>176</v>
      </c>
      <c r="C3246">
        <v>2079</v>
      </c>
      <c r="D3246">
        <v>21</v>
      </c>
      <c r="E3246" s="80">
        <v>35431</v>
      </c>
    </row>
    <row r="3247" spans="1:5">
      <c r="A3247">
        <v>10400</v>
      </c>
      <c r="B3247" t="s">
        <v>177</v>
      </c>
      <c r="C3247">
        <v>2079</v>
      </c>
      <c r="D3247">
        <v>21</v>
      </c>
      <c r="E3247" s="80">
        <v>35431</v>
      </c>
    </row>
    <row r="3248" spans="1:5">
      <c r="A3248">
        <v>10400</v>
      </c>
      <c r="B3248" t="s">
        <v>178</v>
      </c>
      <c r="C3248">
        <v>2079</v>
      </c>
      <c r="D3248">
        <v>21</v>
      </c>
      <c r="E3248" s="80">
        <v>35431</v>
      </c>
    </row>
    <row r="3249" spans="1:5">
      <c r="A3249">
        <v>10400</v>
      </c>
      <c r="B3249" t="s">
        <v>179</v>
      </c>
      <c r="C3249">
        <v>2079</v>
      </c>
      <c r="D3249">
        <v>21</v>
      </c>
      <c r="E3249" s="80">
        <v>35431</v>
      </c>
    </row>
    <row r="3250" spans="1:5">
      <c r="A3250">
        <v>10400</v>
      </c>
      <c r="B3250" t="s">
        <v>172</v>
      </c>
      <c r="C3250">
        <v>504</v>
      </c>
      <c r="D3250">
        <v>35</v>
      </c>
      <c r="E3250" s="80">
        <v>35431</v>
      </c>
    </row>
    <row r="3251" spans="1:5">
      <c r="A3251">
        <v>10400</v>
      </c>
      <c r="B3251" t="s">
        <v>173</v>
      </c>
      <c r="C3251">
        <v>504</v>
      </c>
      <c r="D3251">
        <v>35</v>
      </c>
      <c r="E3251" s="80">
        <v>35431</v>
      </c>
    </row>
    <row r="3252" spans="1:5">
      <c r="A3252">
        <v>10400</v>
      </c>
      <c r="B3252" t="s">
        <v>174</v>
      </c>
      <c r="C3252">
        <v>504</v>
      </c>
      <c r="D3252">
        <v>35</v>
      </c>
      <c r="E3252" s="80">
        <v>35431</v>
      </c>
    </row>
    <row r="3253" spans="1:5">
      <c r="A3253">
        <v>10400</v>
      </c>
      <c r="B3253" t="s">
        <v>175</v>
      </c>
      <c r="C3253">
        <v>504</v>
      </c>
      <c r="D3253">
        <v>35</v>
      </c>
      <c r="E3253" s="80">
        <v>35431</v>
      </c>
    </row>
    <row r="3254" spans="1:5">
      <c r="A3254">
        <v>10400</v>
      </c>
      <c r="B3254" t="s">
        <v>176</v>
      </c>
      <c r="C3254">
        <v>504</v>
      </c>
      <c r="D3254">
        <v>35</v>
      </c>
      <c r="E3254" s="80">
        <v>35431</v>
      </c>
    </row>
    <row r="3255" spans="1:5">
      <c r="A3255">
        <v>10400</v>
      </c>
      <c r="B3255" t="s">
        <v>177</v>
      </c>
      <c r="C3255">
        <v>504</v>
      </c>
      <c r="D3255">
        <v>35</v>
      </c>
      <c r="E3255" s="80">
        <v>35431</v>
      </c>
    </row>
    <row r="3256" spans="1:5">
      <c r="A3256">
        <v>10400</v>
      </c>
      <c r="B3256" t="s">
        <v>178</v>
      </c>
      <c r="C3256">
        <v>504</v>
      </c>
      <c r="D3256">
        <v>35</v>
      </c>
      <c r="E3256" s="80">
        <v>35431</v>
      </c>
    </row>
    <row r="3257" spans="1:5">
      <c r="A3257">
        <v>10400</v>
      </c>
      <c r="B3257" t="s">
        <v>179</v>
      </c>
      <c r="C3257">
        <v>504</v>
      </c>
      <c r="D3257">
        <v>35</v>
      </c>
      <c r="E3257" s="80">
        <v>35431</v>
      </c>
    </row>
    <row r="3258" spans="1:5">
      <c r="A3258">
        <v>10400</v>
      </c>
      <c r="B3258" t="s">
        <v>172</v>
      </c>
      <c r="C3258">
        <v>480</v>
      </c>
      <c r="D3258">
        <v>30</v>
      </c>
      <c r="E3258" s="80">
        <v>35431</v>
      </c>
    </row>
    <row r="3259" spans="1:5">
      <c r="A3259">
        <v>10400</v>
      </c>
      <c r="B3259" t="s">
        <v>173</v>
      </c>
      <c r="C3259">
        <v>480</v>
      </c>
      <c r="D3259">
        <v>30</v>
      </c>
      <c r="E3259" s="80">
        <v>35431</v>
      </c>
    </row>
    <row r="3260" spans="1:5">
      <c r="A3260">
        <v>10400</v>
      </c>
      <c r="B3260" t="s">
        <v>174</v>
      </c>
      <c r="C3260">
        <v>480</v>
      </c>
      <c r="D3260">
        <v>30</v>
      </c>
      <c r="E3260" s="80">
        <v>35431</v>
      </c>
    </row>
    <row r="3261" spans="1:5">
      <c r="A3261">
        <v>10400</v>
      </c>
      <c r="B3261" t="s">
        <v>175</v>
      </c>
      <c r="C3261">
        <v>480</v>
      </c>
      <c r="D3261">
        <v>30</v>
      </c>
      <c r="E3261" s="80">
        <v>35431</v>
      </c>
    </row>
    <row r="3262" spans="1:5">
      <c r="A3262">
        <v>10400</v>
      </c>
      <c r="B3262" t="s">
        <v>176</v>
      </c>
      <c r="C3262">
        <v>480</v>
      </c>
      <c r="D3262">
        <v>30</v>
      </c>
      <c r="E3262" s="80">
        <v>35431</v>
      </c>
    </row>
    <row r="3263" spans="1:5">
      <c r="A3263">
        <v>10400</v>
      </c>
      <c r="B3263" t="s">
        <v>177</v>
      </c>
      <c r="C3263">
        <v>480</v>
      </c>
      <c r="D3263">
        <v>30</v>
      </c>
      <c r="E3263" s="80">
        <v>35431</v>
      </c>
    </row>
    <row r="3264" spans="1:5">
      <c r="A3264">
        <v>10400</v>
      </c>
      <c r="B3264" t="s">
        <v>178</v>
      </c>
      <c r="C3264">
        <v>480</v>
      </c>
      <c r="D3264">
        <v>30</v>
      </c>
      <c r="E3264" s="80">
        <v>35431</v>
      </c>
    </row>
    <row r="3265" spans="1:5">
      <c r="A3265">
        <v>10400</v>
      </c>
      <c r="B3265" t="s">
        <v>179</v>
      </c>
      <c r="C3265">
        <v>480</v>
      </c>
      <c r="D3265">
        <v>30</v>
      </c>
      <c r="E3265" s="80">
        <v>35431</v>
      </c>
    </row>
    <row r="3266" spans="1:5">
      <c r="A3266">
        <v>10401</v>
      </c>
      <c r="B3266" t="s">
        <v>172</v>
      </c>
      <c r="C3266">
        <v>372.6</v>
      </c>
      <c r="D3266">
        <v>18</v>
      </c>
      <c r="E3266" s="80">
        <v>35431</v>
      </c>
    </row>
    <row r="3267" spans="1:5">
      <c r="A3267">
        <v>10401</v>
      </c>
      <c r="B3267" t="s">
        <v>173</v>
      </c>
      <c r="C3267">
        <v>372.6</v>
      </c>
      <c r="D3267">
        <v>18</v>
      </c>
      <c r="E3267" s="80">
        <v>35431</v>
      </c>
    </row>
    <row r="3268" spans="1:5">
      <c r="A3268">
        <v>10401</v>
      </c>
      <c r="B3268" t="s">
        <v>174</v>
      </c>
      <c r="C3268">
        <v>372.6</v>
      </c>
      <c r="D3268">
        <v>18</v>
      </c>
      <c r="E3268" s="80">
        <v>35431</v>
      </c>
    </row>
    <row r="3269" spans="1:5">
      <c r="A3269">
        <v>10401</v>
      </c>
      <c r="B3269" t="s">
        <v>175</v>
      </c>
      <c r="C3269">
        <v>372.6</v>
      </c>
      <c r="D3269">
        <v>18</v>
      </c>
      <c r="E3269" s="80">
        <v>35431</v>
      </c>
    </row>
    <row r="3270" spans="1:5">
      <c r="A3270">
        <v>10401</v>
      </c>
      <c r="B3270" t="s">
        <v>176</v>
      </c>
      <c r="C3270">
        <v>372.6</v>
      </c>
      <c r="D3270">
        <v>18</v>
      </c>
      <c r="E3270" s="80">
        <v>35431</v>
      </c>
    </row>
    <row r="3271" spans="1:5">
      <c r="A3271">
        <v>10401</v>
      </c>
      <c r="B3271" t="s">
        <v>177</v>
      </c>
      <c r="C3271">
        <v>372.6</v>
      </c>
      <c r="D3271">
        <v>18</v>
      </c>
      <c r="E3271" s="80">
        <v>35431</v>
      </c>
    </row>
    <row r="3272" spans="1:5">
      <c r="A3272">
        <v>10401</v>
      </c>
      <c r="B3272" t="s">
        <v>178</v>
      </c>
      <c r="C3272">
        <v>372.6</v>
      </c>
      <c r="D3272">
        <v>18</v>
      </c>
      <c r="E3272" s="80">
        <v>35431</v>
      </c>
    </row>
    <row r="3273" spans="1:5">
      <c r="A3273">
        <v>10401</v>
      </c>
      <c r="B3273" t="s">
        <v>179</v>
      </c>
      <c r="C3273">
        <v>372.6</v>
      </c>
      <c r="D3273">
        <v>18</v>
      </c>
      <c r="E3273" s="80">
        <v>35431</v>
      </c>
    </row>
    <row r="3274" spans="1:5">
      <c r="A3274">
        <v>10401</v>
      </c>
      <c r="B3274" t="s">
        <v>172</v>
      </c>
      <c r="C3274">
        <v>2128</v>
      </c>
      <c r="D3274">
        <v>70</v>
      </c>
      <c r="E3274" s="80">
        <v>35431</v>
      </c>
    </row>
    <row r="3275" spans="1:5">
      <c r="A3275">
        <v>10401</v>
      </c>
      <c r="B3275" t="s">
        <v>173</v>
      </c>
      <c r="C3275">
        <v>2128</v>
      </c>
      <c r="D3275">
        <v>70</v>
      </c>
      <c r="E3275" s="80">
        <v>35431</v>
      </c>
    </row>
    <row r="3276" spans="1:5">
      <c r="A3276">
        <v>10401</v>
      </c>
      <c r="B3276" t="s">
        <v>174</v>
      </c>
      <c r="C3276">
        <v>2128</v>
      </c>
      <c r="D3276">
        <v>70</v>
      </c>
      <c r="E3276" s="80">
        <v>35431</v>
      </c>
    </row>
    <row r="3277" spans="1:5">
      <c r="A3277">
        <v>10401</v>
      </c>
      <c r="B3277" t="s">
        <v>175</v>
      </c>
      <c r="C3277">
        <v>2128</v>
      </c>
      <c r="D3277">
        <v>70</v>
      </c>
      <c r="E3277" s="80">
        <v>35431</v>
      </c>
    </row>
    <row r="3278" spans="1:5">
      <c r="A3278">
        <v>10401</v>
      </c>
      <c r="B3278" t="s">
        <v>176</v>
      </c>
      <c r="C3278">
        <v>2128</v>
      </c>
      <c r="D3278">
        <v>70</v>
      </c>
      <c r="E3278" s="80">
        <v>35431</v>
      </c>
    </row>
    <row r="3279" spans="1:5">
      <c r="A3279">
        <v>10401</v>
      </c>
      <c r="B3279" t="s">
        <v>177</v>
      </c>
      <c r="C3279">
        <v>2128</v>
      </c>
      <c r="D3279">
        <v>70</v>
      </c>
      <c r="E3279" s="80">
        <v>35431</v>
      </c>
    </row>
    <row r="3280" spans="1:5">
      <c r="A3280">
        <v>10401</v>
      </c>
      <c r="B3280" t="s">
        <v>178</v>
      </c>
      <c r="C3280">
        <v>2128</v>
      </c>
      <c r="D3280">
        <v>70</v>
      </c>
      <c r="E3280" s="80">
        <v>35431</v>
      </c>
    </row>
    <row r="3281" spans="1:5">
      <c r="A3281">
        <v>10401</v>
      </c>
      <c r="B3281" t="s">
        <v>179</v>
      </c>
      <c r="C3281">
        <v>2128</v>
      </c>
      <c r="D3281">
        <v>70</v>
      </c>
      <c r="E3281" s="80">
        <v>35431</v>
      </c>
    </row>
    <row r="3282" spans="1:5">
      <c r="A3282">
        <v>10401</v>
      </c>
      <c r="B3282" t="s">
        <v>172</v>
      </c>
      <c r="C3282">
        <v>336</v>
      </c>
      <c r="D3282">
        <v>20</v>
      </c>
      <c r="E3282" s="80">
        <v>35431</v>
      </c>
    </row>
    <row r="3283" spans="1:5">
      <c r="A3283">
        <v>10401</v>
      </c>
      <c r="B3283" t="s">
        <v>173</v>
      </c>
      <c r="C3283">
        <v>336</v>
      </c>
      <c r="D3283">
        <v>20</v>
      </c>
      <c r="E3283" s="80">
        <v>35431</v>
      </c>
    </row>
    <row r="3284" spans="1:5">
      <c r="A3284">
        <v>10401</v>
      </c>
      <c r="B3284" t="s">
        <v>174</v>
      </c>
      <c r="C3284">
        <v>336</v>
      </c>
      <c r="D3284">
        <v>20</v>
      </c>
      <c r="E3284" s="80">
        <v>35431</v>
      </c>
    </row>
    <row r="3285" spans="1:5">
      <c r="A3285">
        <v>10401</v>
      </c>
      <c r="B3285" t="s">
        <v>175</v>
      </c>
      <c r="C3285">
        <v>336</v>
      </c>
      <c r="D3285">
        <v>20</v>
      </c>
      <c r="E3285" s="80">
        <v>35431</v>
      </c>
    </row>
    <row r="3286" spans="1:5">
      <c r="A3286">
        <v>10401</v>
      </c>
      <c r="B3286" t="s">
        <v>176</v>
      </c>
      <c r="C3286">
        <v>336</v>
      </c>
      <c r="D3286">
        <v>20</v>
      </c>
      <c r="E3286" s="80">
        <v>35431</v>
      </c>
    </row>
    <row r="3287" spans="1:5">
      <c r="A3287">
        <v>10401</v>
      </c>
      <c r="B3287" t="s">
        <v>177</v>
      </c>
      <c r="C3287">
        <v>336</v>
      </c>
      <c r="D3287">
        <v>20</v>
      </c>
      <c r="E3287" s="80">
        <v>35431</v>
      </c>
    </row>
    <row r="3288" spans="1:5">
      <c r="A3288">
        <v>10401</v>
      </c>
      <c r="B3288" t="s">
        <v>178</v>
      </c>
      <c r="C3288">
        <v>336</v>
      </c>
      <c r="D3288">
        <v>20</v>
      </c>
      <c r="E3288" s="80">
        <v>35431</v>
      </c>
    </row>
    <row r="3289" spans="1:5">
      <c r="A3289">
        <v>10401</v>
      </c>
      <c r="B3289" t="s">
        <v>179</v>
      </c>
      <c r="C3289">
        <v>336</v>
      </c>
      <c r="D3289">
        <v>20</v>
      </c>
      <c r="E3289" s="80">
        <v>35431</v>
      </c>
    </row>
    <row r="3290" spans="1:5">
      <c r="A3290">
        <v>10401</v>
      </c>
      <c r="B3290" t="s">
        <v>172</v>
      </c>
      <c r="C3290">
        <v>1032</v>
      </c>
      <c r="D3290">
        <v>60</v>
      </c>
      <c r="E3290" s="80">
        <v>35431</v>
      </c>
    </row>
    <row r="3291" spans="1:5">
      <c r="A3291">
        <v>10401</v>
      </c>
      <c r="B3291" t="s">
        <v>173</v>
      </c>
      <c r="C3291">
        <v>1032</v>
      </c>
      <c r="D3291">
        <v>60</v>
      </c>
      <c r="E3291" s="80">
        <v>35431</v>
      </c>
    </row>
    <row r="3292" spans="1:5">
      <c r="A3292">
        <v>10401</v>
      </c>
      <c r="B3292" t="s">
        <v>174</v>
      </c>
      <c r="C3292">
        <v>1032</v>
      </c>
      <c r="D3292">
        <v>60</v>
      </c>
      <c r="E3292" s="80">
        <v>35431</v>
      </c>
    </row>
    <row r="3293" spans="1:5">
      <c r="A3293">
        <v>10401</v>
      </c>
      <c r="B3293" t="s">
        <v>175</v>
      </c>
      <c r="C3293">
        <v>1032</v>
      </c>
      <c r="D3293">
        <v>60</v>
      </c>
      <c r="E3293" s="80">
        <v>35431</v>
      </c>
    </row>
    <row r="3294" spans="1:5">
      <c r="A3294">
        <v>10401</v>
      </c>
      <c r="B3294" t="s">
        <v>176</v>
      </c>
      <c r="C3294">
        <v>1032</v>
      </c>
      <c r="D3294">
        <v>60</v>
      </c>
      <c r="E3294" s="80">
        <v>35431</v>
      </c>
    </row>
    <row r="3295" spans="1:5">
      <c r="A3295">
        <v>10401</v>
      </c>
      <c r="B3295" t="s">
        <v>177</v>
      </c>
      <c r="C3295">
        <v>1032</v>
      </c>
      <c r="D3295">
        <v>60</v>
      </c>
      <c r="E3295" s="80">
        <v>35431</v>
      </c>
    </row>
    <row r="3296" spans="1:5">
      <c r="A3296">
        <v>10401</v>
      </c>
      <c r="B3296" t="s">
        <v>178</v>
      </c>
      <c r="C3296">
        <v>1032</v>
      </c>
      <c r="D3296">
        <v>60</v>
      </c>
      <c r="E3296" s="80">
        <v>35431</v>
      </c>
    </row>
    <row r="3297" spans="1:5">
      <c r="A3297">
        <v>10401</v>
      </c>
      <c r="B3297" t="s">
        <v>179</v>
      </c>
      <c r="C3297">
        <v>1032</v>
      </c>
      <c r="D3297">
        <v>60</v>
      </c>
      <c r="E3297" s="80">
        <v>35431</v>
      </c>
    </row>
    <row r="3298" spans="1:5">
      <c r="A3298">
        <v>10402</v>
      </c>
      <c r="B3298" t="s">
        <v>172</v>
      </c>
      <c r="C3298">
        <v>432</v>
      </c>
      <c r="D3298">
        <v>60</v>
      </c>
      <c r="E3298" s="80">
        <v>35432</v>
      </c>
    </row>
    <row r="3299" spans="1:5">
      <c r="A3299">
        <v>10402</v>
      </c>
      <c r="B3299" t="s">
        <v>173</v>
      </c>
      <c r="C3299">
        <v>432</v>
      </c>
      <c r="D3299">
        <v>60</v>
      </c>
      <c r="E3299" s="80">
        <v>35432</v>
      </c>
    </row>
    <row r="3300" spans="1:5">
      <c r="A3300">
        <v>10402</v>
      </c>
      <c r="B3300" t="s">
        <v>174</v>
      </c>
      <c r="C3300">
        <v>432</v>
      </c>
      <c r="D3300">
        <v>60</v>
      </c>
      <c r="E3300" s="80">
        <v>35432</v>
      </c>
    </row>
    <row r="3301" spans="1:5">
      <c r="A3301">
        <v>10402</v>
      </c>
      <c r="B3301" t="s">
        <v>175</v>
      </c>
      <c r="C3301">
        <v>432</v>
      </c>
      <c r="D3301">
        <v>60</v>
      </c>
      <c r="E3301" s="80">
        <v>35432</v>
      </c>
    </row>
    <row r="3302" spans="1:5">
      <c r="A3302">
        <v>10402</v>
      </c>
      <c r="B3302" t="s">
        <v>176</v>
      </c>
      <c r="C3302">
        <v>432</v>
      </c>
      <c r="D3302">
        <v>60</v>
      </c>
      <c r="E3302" s="80">
        <v>35432</v>
      </c>
    </row>
    <row r="3303" spans="1:5">
      <c r="A3303">
        <v>10402</v>
      </c>
      <c r="B3303" t="s">
        <v>177</v>
      </c>
      <c r="C3303">
        <v>432</v>
      </c>
      <c r="D3303">
        <v>60</v>
      </c>
      <c r="E3303" s="80">
        <v>35432</v>
      </c>
    </row>
    <row r="3304" spans="1:5">
      <c r="A3304">
        <v>10402</v>
      </c>
      <c r="B3304" t="s">
        <v>178</v>
      </c>
      <c r="C3304">
        <v>432</v>
      </c>
      <c r="D3304">
        <v>60</v>
      </c>
      <c r="E3304" s="80">
        <v>35432</v>
      </c>
    </row>
    <row r="3305" spans="1:5">
      <c r="A3305">
        <v>10402</v>
      </c>
      <c r="B3305" t="s">
        <v>179</v>
      </c>
      <c r="C3305">
        <v>432</v>
      </c>
      <c r="D3305">
        <v>60</v>
      </c>
      <c r="E3305" s="80">
        <v>35432</v>
      </c>
    </row>
    <row r="3306" spans="1:5">
      <c r="A3306">
        <v>10402</v>
      </c>
      <c r="B3306" t="s">
        <v>172</v>
      </c>
      <c r="C3306">
        <v>2281.5</v>
      </c>
      <c r="D3306">
        <v>65</v>
      </c>
      <c r="E3306" s="80">
        <v>35432</v>
      </c>
    </row>
    <row r="3307" spans="1:5">
      <c r="A3307">
        <v>10402</v>
      </c>
      <c r="B3307" t="s">
        <v>173</v>
      </c>
      <c r="C3307">
        <v>2281.5</v>
      </c>
      <c r="D3307">
        <v>65</v>
      </c>
      <c r="E3307" s="80">
        <v>35432</v>
      </c>
    </row>
    <row r="3308" spans="1:5">
      <c r="A3308">
        <v>10402</v>
      </c>
      <c r="B3308" t="s">
        <v>174</v>
      </c>
      <c r="C3308">
        <v>2281.5</v>
      </c>
      <c r="D3308">
        <v>65</v>
      </c>
      <c r="E3308" s="80">
        <v>35432</v>
      </c>
    </row>
    <row r="3309" spans="1:5">
      <c r="A3309">
        <v>10402</v>
      </c>
      <c r="B3309" t="s">
        <v>175</v>
      </c>
      <c r="C3309">
        <v>2281.5</v>
      </c>
      <c r="D3309">
        <v>65</v>
      </c>
      <c r="E3309" s="80">
        <v>35432</v>
      </c>
    </row>
    <row r="3310" spans="1:5">
      <c r="A3310">
        <v>10402</v>
      </c>
      <c r="B3310" t="s">
        <v>176</v>
      </c>
      <c r="C3310">
        <v>2281.5</v>
      </c>
      <c r="D3310">
        <v>65</v>
      </c>
      <c r="E3310" s="80">
        <v>35432</v>
      </c>
    </row>
    <row r="3311" spans="1:5">
      <c r="A3311">
        <v>10402</v>
      </c>
      <c r="B3311" t="s">
        <v>177</v>
      </c>
      <c r="C3311">
        <v>2281.5</v>
      </c>
      <c r="D3311">
        <v>65</v>
      </c>
      <c r="E3311" s="80">
        <v>35432</v>
      </c>
    </row>
    <row r="3312" spans="1:5">
      <c r="A3312">
        <v>10402</v>
      </c>
      <c r="B3312" t="s">
        <v>178</v>
      </c>
      <c r="C3312">
        <v>2281.5</v>
      </c>
      <c r="D3312">
        <v>65</v>
      </c>
      <c r="E3312" s="80">
        <v>35432</v>
      </c>
    </row>
    <row r="3313" spans="1:5">
      <c r="A3313">
        <v>10402</v>
      </c>
      <c r="B3313" t="s">
        <v>179</v>
      </c>
      <c r="C3313">
        <v>2281.5</v>
      </c>
      <c r="D3313">
        <v>65</v>
      </c>
      <c r="E3313" s="80">
        <v>35432</v>
      </c>
    </row>
    <row r="3314" spans="1:5">
      <c r="A3314">
        <v>10403</v>
      </c>
      <c r="B3314" t="s">
        <v>172</v>
      </c>
      <c r="C3314">
        <v>248.1149982601404</v>
      </c>
      <c r="D3314">
        <v>21</v>
      </c>
      <c r="E3314" s="80">
        <v>35433</v>
      </c>
    </row>
    <row r="3315" spans="1:5">
      <c r="A3315">
        <v>10403</v>
      </c>
      <c r="B3315" t="s">
        <v>173</v>
      </c>
      <c r="C3315">
        <v>248.1149982601404</v>
      </c>
      <c r="D3315">
        <v>21</v>
      </c>
      <c r="E3315" s="80">
        <v>35433</v>
      </c>
    </row>
    <row r="3316" spans="1:5">
      <c r="A3316">
        <v>10403</v>
      </c>
      <c r="B3316" t="s">
        <v>174</v>
      </c>
      <c r="C3316">
        <v>248.1149982601404</v>
      </c>
      <c r="D3316">
        <v>21</v>
      </c>
      <c r="E3316" s="80">
        <v>35433</v>
      </c>
    </row>
    <row r="3317" spans="1:5">
      <c r="A3317">
        <v>10403</v>
      </c>
      <c r="B3317" t="s">
        <v>175</v>
      </c>
      <c r="C3317">
        <v>248.1149982601404</v>
      </c>
      <c r="D3317">
        <v>21</v>
      </c>
      <c r="E3317" s="80">
        <v>35433</v>
      </c>
    </row>
    <row r="3318" spans="1:5">
      <c r="A3318">
        <v>10403</v>
      </c>
      <c r="B3318" t="s">
        <v>176</v>
      </c>
      <c r="C3318">
        <v>248.1149982601404</v>
      </c>
      <c r="D3318">
        <v>21</v>
      </c>
      <c r="E3318" s="80">
        <v>35433</v>
      </c>
    </row>
    <row r="3319" spans="1:5">
      <c r="A3319">
        <v>10403</v>
      </c>
      <c r="B3319" t="s">
        <v>177</v>
      </c>
      <c r="C3319">
        <v>248.1149982601404</v>
      </c>
      <c r="D3319">
        <v>21</v>
      </c>
      <c r="E3319" s="80">
        <v>35433</v>
      </c>
    </row>
    <row r="3320" spans="1:5">
      <c r="A3320">
        <v>10403</v>
      </c>
      <c r="B3320" t="s">
        <v>178</v>
      </c>
      <c r="C3320">
        <v>248.1149982601404</v>
      </c>
      <c r="D3320">
        <v>21</v>
      </c>
      <c r="E3320" s="80">
        <v>35433</v>
      </c>
    </row>
    <row r="3321" spans="1:5">
      <c r="A3321">
        <v>10403</v>
      </c>
      <c r="B3321" t="s">
        <v>179</v>
      </c>
      <c r="C3321">
        <v>248.1149982601404</v>
      </c>
      <c r="D3321">
        <v>21</v>
      </c>
      <c r="E3321" s="80">
        <v>35433</v>
      </c>
    </row>
    <row r="3322" spans="1:5">
      <c r="A3322">
        <v>10403</v>
      </c>
      <c r="B3322" t="s">
        <v>172</v>
      </c>
      <c r="C3322">
        <v>606.89999574422836</v>
      </c>
      <c r="D3322">
        <v>70</v>
      </c>
      <c r="E3322" s="80">
        <v>35433</v>
      </c>
    </row>
    <row r="3323" spans="1:5">
      <c r="A3323">
        <v>10403</v>
      </c>
      <c r="B3323" t="s">
        <v>173</v>
      </c>
      <c r="C3323">
        <v>606.89999574422836</v>
      </c>
      <c r="D3323">
        <v>70</v>
      </c>
      <c r="E3323" s="80">
        <v>35433</v>
      </c>
    </row>
    <row r="3324" spans="1:5">
      <c r="A3324">
        <v>10403</v>
      </c>
      <c r="B3324" t="s">
        <v>174</v>
      </c>
      <c r="C3324">
        <v>606.89999574422836</v>
      </c>
      <c r="D3324">
        <v>70</v>
      </c>
      <c r="E3324" s="80">
        <v>35433</v>
      </c>
    </row>
    <row r="3325" spans="1:5">
      <c r="A3325">
        <v>10403</v>
      </c>
      <c r="B3325" t="s">
        <v>175</v>
      </c>
      <c r="C3325">
        <v>606.89999574422836</v>
      </c>
      <c r="D3325">
        <v>70</v>
      </c>
      <c r="E3325" s="80">
        <v>35433</v>
      </c>
    </row>
    <row r="3326" spans="1:5">
      <c r="A3326">
        <v>10403</v>
      </c>
      <c r="B3326" t="s">
        <v>176</v>
      </c>
      <c r="C3326">
        <v>606.89999574422836</v>
      </c>
      <c r="D3326">
        <v>70</v>
      </c>
      <c r="E3326" s="80">
        <v>35433</v>
      </c>
    </row>
    <row r="3327" spans="1:5">
      <c r="A3327">
        <v>10403</v>
      </c>
      <c r="B3327" t="s">
        <v>177</v>
      </c>
      <c r="C3327">
        <v>606.89999574422836</v>
      </c>
      <c r="D3327">
        <v>70</v>
      </c>
      <c r="E3327" s="80">
        <v>35433</v>
      </c>
    </row>
    <row r="3328" spans="1:5">
      <c r="A3328">
        <v>10403</v>
      </c>
      <c r="B3328" t="s">
        <v>178</v>
      </c>
      <c r="C3328">
        <v>606.89999574422836</v>
      </c>
      <c r="D3328">
        <v>70</v>
      </c>
      <c r="E3328" s="80">
        <v>35433</v>
      </c>
    </row>
    <row r="3329" spans="1:5">
      <c r="A3329">
        <v>10403</v>
      </c>
      <c r="B3329" t="s">
        <v>179</v>
      </c>
      <c r="C3329">
        <v>606.89999574422836</v>
      </c>
      <c r="D3329">
        <v>70</v>
      </c>
      <c r="E3329" s="80">
        <v>35433</v>
      </c>
    </row>
    <row r="3330" spans="1:5">
      <c r="A3330">
        <v>10404</v>
      </c>
      <c r="B3330" t="s">
        <v>172</v>
      </c>
      <c r="C3330">
        <v>709.64999944344163</v>
      </c>
      <c r="D3330">
        <v>30</v>
      </c>
      <c r="E3330" s="80">
        <v>35433</v>
      </c>
    </row>
    <row r="3331" spans="1:5">
      <c r="A3331">
        <v>10404</v>
      </c>
      <c r="B3331" t="s">
        <v>173</v>
      </c>
      <c r="C3331">
        <v>709.64999944344163</v>
      </c>
      <c r="D3331">
        <v>30</v>
      </c>
      <c r="E3331" s="80">
        <v>35433</v>
      </c>
    </row>
    <row r="3332" spans="1:5">
      <c r="A3332">
        <v>10404</v>
      </c>
      <c r="B3332" t="s">
        <v>174</v>
      </c>
      <c r="C3332">
        <v>709.64999944344163</v>
      </c>
      <c r="D3332">
        <v>30</v>
      </c>
      <c r="E3332" s="80">
        <v>35433</v>
      </c>
    </row>
    <row r="3333" spans="1:5">
      <c r="A3333">
        <v>10404</v>
      </c>
      <c r="B3333" t="s">
        <v>175</v>
      </c>
      <c r="C3333">
        <v>709.64999944344163</v>
      </c>
      <c r="D3333">
        <v>30</v>
      </c>
      <c r="E3333" s="80">
        <v>35433</v>
      </c>
    </row>
    <row r="3334" spans="1:5">
      <c r="A3334">
        <v>10404</v>
      </c>
      <c r="B3334" t="s">
        <v>176</v>
      </c>
      <c r="C3334">
        <v>709.64999944344163</v>
      </c>
      <c r="D3334">
        <v>30</v>
      </c>
      <c r="E3334" s="80">
        <v>35433</v>
      </c>
    </row>
    <row r="3335" spans="1:5">
      <c r="A3335">
        <v>10404</v>
      </c>
      <c r="B3335" t="s">
        <v>177</v>
      </c>
      <c r="C3335">
        <v>709.64999944344163</v>
      </c>
      <c r="D3335">
        <v>30</v>
      </c>
      <c r="E3335" s="80">
        <v>35433</v>
      </c>
    </row>
    <row r="3336" spans="1:5">
      <c r="A3336">
        <v>10404</v>
      </c>
      <c r="B3336" t="s">
        <v>178</v>
      </c>
      <c r="C3336">
        <v>709.64999944344163</v>
      </c>
      <c r="D3336">
        <v>30</v>
      </c>
      <c r="E3336" s="80">
        <v>35433</v>
      </c>
    </row>
    <row r="3337" spans="1:5">
      <c r="A3337">
        <v>10404</v>
      </c>
      <c r="B3337" t="s">
        <v>179</v>
      </c>
      <c r="C3337">
        <v>709.64999944344163</v>
      </c>
      <c r="D3337">
        <v>30</v>
      </c>
      <c r="E3337" s="80">
        <v>35433</v>
      </c>
    </row>
    <row r="3338" spans="1:5">
      <c r="A3338">
        <v>10404</v>
      </c>
      <c r="B3338" t="s">
        <v>172</v>
      </c>
      <c r="C3338">
        <v>425.59999966621399</v>
      </c>
      <c r="D3338">
        <v>40</v>
      </c>
      <c r="E3338" s="80">
        <v>35433</v>
      </c>
    </row>
    <row r="3339" spans="1:5">
      <c r="A3339">
        <v>10404</v>
      </c>
      <c r="B3339" t="s">
        <v>173</v>
      </c>
      <c r="C3339">
        <v>425.59999966621399</v>
      </c>
      <c r="D3339">
        <v>40</v>
      </c>
      <c r="E3339" s="80">
        <v>35433</v>
      </c>
    </row>
    <row r="3340" spans="1:5">
      <c r="A3340">
        <v>10404</v>
      </c>
      <c r="B3340" t="s">
        <v>174</v>
      </c>
      <c r="C3340">
        <v>425.59999966621399</v>
      </c>
      <c r="D3340">
        <v>40</v>
      </c>
      <c r="E3340" s="80">
        <v>35433</v>
      </c>
    </row>
    <row r="3341" spans="1:5">
      <c r="A3341">
        <v>10404</v>
      </c>
      <c r="B3341" t="s">
        <v>175</v>
      </c>
      <c r="C3341">
        <v>425.59999966621399</v>
      </c>
      <c r="D3341">
        <v>40</v>
      </c>
      <c r="E3341" s="80">
        <v>35433</v>
      </c>
    </row>
    <row r="3342" spans="1:5">
      <c r="A3342">
        <v>10404</v>
      </c>
      <c r="B3342" t="s">
        <v>176</v>
      </c>
      <c r="C3342">
        <v>425.59999966621399</v>
      </c>
      <c r="D3342">
        <v>40</v>
      </c>
      <c r="E3342" s="80">
        <v>35433</v>
      </c>
    </row>
    <row r="3343" spans="1:5">
      <c r="A3343">
        <v>10404</v>
      </c>
      <c r="B3343" t="s">
        <v>177</v>
      </c>
      <c r="C3343">
        <v>425.59999966621399</v>
      </c>
      <c r="D3343">
        <v>40</v>
      </c>
      <c r="E3343" s="80">
        <v>35433</v>
      </c>
    </row>
    <row r="3344" spans="1:5">
      <c r="A3344">
        <v>10404</v>
      </c>
      <c r="B3344" t="s">
        <v>178</v>
      </c>
      <c r="C3344">
        <v>425.59999966621399</v>
      </c>
      <c r="D3344">
        <v>40</v>
      </c>
      <c r="E3344" s="80">
        <v>35433</v>
      </c>
    </row>
    <row r="3345" spans="1:5">
      <c r="A3345">
        <v>10404</v>
      </c>
      <c r="B3345" t="s">
        <v>179</v>
      </c>
      <c r="C3345">
        <v>425.59999966621399</v>
      </c>
      <c r="D3345">
        <v>40</v>
      </c>
      <c r="E3345" s="80">
        <v>35433</v>
      </c>
    </row>
    <row r="3346" spans="1:5">
      <c r="A3346">
        <v>10404</v>
      </c>
      <c r="B3346" t="s">
        <v>172</v>
      </c>
      <c r="C3346">
        <v>455.99999964237213</v>
      </c>
      <c r="D3346">
        <v>30</v>
      </c>
      <c r="E3346" s="80">
        <v>35433</v>
      </c>
    </row>
    <row r="3347" spans="1:5">
      <c r="A3347">
        <v>10404</v>
      </c>
      <c r="B3347" t="s">
        <v>173</v>
      </c>
      <c r="C3347">
        <v>455.99999964237213</v>
      </c>
      <c r="D3347">
        <v>30</v>
      </c>
      <c r="E3347" s="80">
        <v>35433</v>
      </c>
    </row>
    <row r="3348" spans="1:5">
      <c r="A3348">
        <v>10404</v>
      </c>
      <c r="B3348" t="s">
        <v>174</v>
      </c>
      <c r="C3348">
        <v>455.99999964237213</v>
      </c>
      <c r="D3348">
        <v>30</v>
      </c>
      <c r="E3348" s="80">
        <v>35433</v>
      </c>
    </row>
    <row r="3349" spans="1:5">
      <c r="A3349">
        <v>10404</v>
      </c>
      <c r="B3349" t="s">
        <v>175</v>
      </c>
      <c r="C3349">
        <v>455.99999964237213</v>
      </c>
      <c r="D3349">
        <v>30</v>
      </c>
      <c r="E3349" s="80">
        <v>35433</v>
      </c>
    </row>
    <row r="3350" spans="1:5">
      <c r="A3350">
        <v>10404</v>
      </c>
      <c r="B3350" t="s">
        <v>176</v>
      </c>
      <c r="C3350">
        <v>455.99999964237213</v>
      </c>
      <c r="D3350">
        <v>30</v>
      </c>
      <c r="E3350" s="80">
        <v>35433</v>
      </c>
    </row>
    <row r="3351" spans="1:5">
      <c r="A3351">
        <v>10404</v>
      </c>
      <c r="B3351" t="s">
        <v>177</v>
      </c>
      <c r="C3351">
        <v>455.99999964237213</v>
      </c>
      <c r="D3351">
        <v>30</v>
      </c>
      <c r="E3351" s="80">
        <v>35433</v>
      </c>
    </row>
    <row r="3352" spans="1:5">
      <c r="A3352">
        <v>10404</v>
      </c>
      <c r="B3352" t="s">
        <v>178</v>
      </c>
      <c r="C3352">
        <v>455.99999964237213</v>
      </c>
      <c r="D3352">
        <v>30</v>
      </c>
      <c r="E3352" s="80">
        <v>35433</v>
      </c>
    </row>
    <row r="3353" spans="1:5">
      <c r="A3353">
        <v>10404</v>
      </c>
      <c r="B3353" t="s">
        <v>179</v>
      </c>
      <c r="C3353">
        <v>455.99999964237213</v>
      </c>
      <c r="D3353">
        <v>30</v>
      </c>
      <c r="E3353" s="80">
        <v>35433</v>
      </c>
    </row>
    <row r="3354" spans="1:5">
      <c r="A3354">
        <v>10405</v>
      </c>
      <c r="B3354" t="s">
        <v>172</v>
      </c>
      <c r="C3354">
        <v>400</v>
      </c>
      <c r="D3354">
        <v>50</v>
      </c>
      <c r="E3354" s="80">
        <v>35436</v>
      </c>
    </row>
    <row r="3355" spans="1:5">
      <c r="A3355">
        <v>10405</v>
      </c>
      <c r="B3355" t="s">
        <v>173</v>
      </c>
      <c r="C3355">
        <v>400</v>
      </c>
      <c r="D3355">
        <v>50</v>
      </c>
      <c r="E3355" s="80">
        <v>35436</v>
      </c>
    </row>
    <row r="3356" spans="1:5">
      <c r="A3356">
        <v>10405</v>
      </c>
      <c r="B3356" t="s">
        <v>174</v>
      </c>
      <c r="C3356">
        <v>400</v>
      </c>
      <c r="D3356">
        <v>50</v>
      </c>
      <c r="E3356" s="80">
        <v>35436</v>
      </c>
    </row>
    <row r="3357" spans="1:5">
      <c r="A3357">
        <v>10405</v>
      </c>
      <c r="B3357" t="s">
        <v>175</v>
      </c>
      <c r="C3357">
        <v>400</v>
      </c>
      <c r="D3357">
        <v>50</v>
      </c>
      <c r="E3357" s="80">
        <v>35436</v>
      </c>
    </row>
    <row r="3358" spans="1:5">
      <c r="A3358">
        <v>10405</v>
      </c>
      <c r="B3358" t="s">
        <v>176</v>
      </c>
      <c r="C3358">
        <v>400</v>
      </c>
      <c r="D3358">
        <v>50</v>
      </c>
      <c r="E3358" s="80">
        <v>35436</v>
      </c>
    </row>
    <row r="3359" spans="1:5">
      <c r="A3359">
        <v>10405</v>
      </c>
      <c r="B3359" t="s">
        <v>177</v>
      </c>
      <c r="C3359">
        <v>400</v>
      </c>
      <c r="D3359">
        <v>50</v>
      </c>
      <c r="E3359" s="80">
        <v>35436</v>
      </c>
    </row>
    <row r="3360" spans="1:5">
      <c r="A3360">
        <v>10405</v>
      </c>
      <c r="B3360" t="s">
        <v>178</v>
      </c>
      <c r="C3360">
        <v>400</v>
      </c>
      <c r="D3360">
        <v>50</v>
      </c>
      <c r="E3360" s="80">
        <v>35436</v>
      </c>
    </row>
    <row r="3361" spans="1:5">
      <c r="A3361">
        <v>10405</v>
      </c>
      <c r="B3361" t="s">
        <v>179</v>
      </c>
      <c r="C3361">
        <v>400</v>
      </c>
      <c r="D3361">
        <v>50</v>
      </c>
      <c r="E3361" s="80">
        <v>35436</v>
      </c>
    </row>
    <row r="3362" spans="1:5">
      <c r="A3362">
        <v>10406</v>
      </c>
      <c r="B3362" t="s">
        <v>172</v>
      </c>
      <c r="C3362">
        <v>144</v>
      </c>
      <c r="D3362">
        <v>10</v>
      </c>
      <c r="E3362" s="80">
        <v>35437</v>
      </c>
    </row>
    <row r="3363" spans="1:5">
      <c r="A3363">
        <v>10406</v>
      </c>
      <c r="B3363" t="s">
        <v>173</v>
      </c>
      <c r="C3363">
        <v>144</v>
      </c>
      <c r="D3363">
        <v>10</v>
      </c>
      <c r="E3363" s="80">
        <v>35437</v>
      </c>
    </row>
    <row r="3364" spans="1:5">
      <c r="A3364">
        <v>10406</v>
      </c>
      <c r="B3364" t="s">
        <v>174</v>
      </c>
      <c r="C3364">
        <v>144</v>
      </c>
      <c r="D3364">
        <v>10</v>
      </c>
      <c r="E3364" s="80">
        <v>35437</v>
      </c>
    </row>
    <row r="3365" spans="1:5">
      <c r="A3365">
        <v>10406</v>
      </c>
      <c r="B3365" t="s">
        <v>175</v>
      </c>
      <c r="C3365">
        <v>144</v>
      </c>
      <c r="D3365">
        <v>10</v>
      </c>
      <c r="E3365" s="80">
        <v>35437</v>
      </c>
    </row>
    <row r="3366" spans="1:5">
      <c r="A3366">
        <v>10406</v>
      </c>
      <c r="B3366" t="s">
        <v>176</v>
      </c>
      <c r="C3366">
        <v>144</v>
      </c>
      <c r="D3366">
        <v>10</v>
      </c>
      <c r="E3366" s="80">
        <v>35437</v>
      </c>
    </row>
    <row r="3367" spans="1:5">
      <c r="A3367">
        <v>10406</v>
      </c>
      <c r="B3367" t="s">
        <v>177</v>
      </c>
      <c r="C3367">
        <v>144</v>
      </c>
      <c r="D3367">
        <v>10</v>
      </c>
      <c r="E3367" s="80">
        <v>35437</v>
      </c>
    </row>
    <row r="3368" spans="1:5">
      <c r="A3368">
        <v>10406</v>
      </c>
      <c r="B3368" t="s">
        <v>178</v>
      </c>
      <c r="C3368">
        <v>144</v>
      </c>
      <c r="D3368">
        <v>10</v>
      </c>
      <c r="E3368" s="80">
        <v>35437</v>
      </c>
    </row>
    <row r="3369" spans="1:5">
      <c r="A3369">
        <v>10406</v>
      </c>
      <c r="B3369" t="s">
        <v>179</v>
      </c>
      <c r="C3369">
        <v>144</v>
      </c>
      <c r="D3369">
        <v>10</v>
      </c>
      <c r="E3369" s="80">
        <v>35437</v>
      </c>
    </row>
    <row r="3370" spans="1:5">
      <c r="A3370">
        <v>10406</v>
      </c>
      <c r="B3370" t="s">
        <v>172</v>
      </c>
      <c r="C3370">
        <v>215.99999964237213</v>
      </c>
      <c r="D3370">
        <v>30</v>
      </c>
      <c r="E3370" s="80">
        <v>35437</v>
      </c>
    </row>
    <row r="3371" spans="1:5">
      <c r="A3371">
        <v>10406</v>
      </c>
      <c r="B3371" t="s">
        <v>173</v>
      </c>
      <c r="C3371">
        <v>215.99999964237213</v>
      </c>
      <c r="D3371">
        <v>30</v>
      </c>
      <c r="E3371" s="80">
        <v>35437</v>
      </c>
    </row>
    <row r="3372" spans="1:5">
      <c r="A3372">
        <v>10406</v>
      </c>
      <c r="B3372" t="s">
        <v>174</v>
      </c>
      <c r="C3372">
        <v>215.99999964237213</v>
      </c>
      <c r="D3372">
        <v>30</v>
      </c>
      <c r="E3372" s="80">
        <v>35437</v>
      </c>
    </row>
    <row r="3373" spans="1:5">
      <c r="A3373">
        <v>10406</v>
      </c>
      <c r="B3373" t="s">
        <v>175</v>
      </c>
      <c r="C3373">
        <v>215.99999964237213</v>
      </c>
      <c r="D3373">
        <v>30</v>
      </c>
      <c r="E3373" s="80">
        <v>35437</v>
      </c>
    </row>
    <row r="3374" spans="1:5">
      <c r="A3374">
        <v>10406</v>
      </c>
      <c r="B3374" t="s">
        <v>176</v>
      </c>
      <c r="C3374">
        <v>215.99999964237213</v>
      </c>
      <c r="D3374">
        <v>30</v>
      </c>
      <c r="E3374" s="80">
        <v>35437</v>
      </c>
    </row>
    <row r="3375" spans="1:5">
      <c r="A3375">
        <v>10406</v>
      </c>
      <c r="B3375" t="s">
        <v>177</v>
      </c>
      <c r="C3375">
        <v>215.99999964237213</v>
      </c>
      <c r="D3375">
        <v>30</v>
      </c>
      <c r="E3375" s="80">
        <v>35437</v>
      </c>
    </row>
    <row r="3376" spans="1:5">
      <c r="A3376">
        <v>10406</v>
      </c>
      <c r="B3376" t="s">
        <v>178</v>
      </c>
      <c r="C3376">
        <v>215.99999964237213</v>
      </c>
      <c r="D3376">
        <v>30</v>
      </c>
      <c r="E3376" s="80">
        <v>35437</v>
      </c>
    </row>
    <row r="3377" spans="1:5">
      <c r="A3377">
        <v>10406</v>
      </c>
      <c r="B3377" t="s">
        <v>179</v>
      </c>
      <c r="C3377">
        <v>215.99999964237213</v>
      </c>
      <c r="D3377">
        <v>30</v>
      </c>
      <c r="E3377" s="80">
        <v>35437</v>
      </c>
    </row>
    <row r="3378" spans="1:5">
      <c r="A3378">
        <v>10406</v>
      </c>
      <c r="B3378" t="s">
        <v>172</v>
      </c>
      <c r="C3378">
        <v>1375.9199977219105</v>
      </c>
      <c r="D3378">
        <v>42</v>
      </c>
      <c r="E3378" s="80">
        <v>35437</v>
      </c>
    </row>
    <row r="3379" spans="1:5">
      <c r="A3379">
        <v>10406</v>
      </c>
      <c r="B3379" t="s">
        <v>173</v>
      </c>
      <c r="C3379">
        <v>1375.9199977219105</v>
      </c>
      <c r="D3379">
        <v>42</v>
      </c>
      <c r="E3379" s="80">
        <v>35437</v>
      </c>
    </row>
    <row r="3380" spans="1:5">
      <c r="A3380">
        <v>10406</v>
      </c>
      <c r="B3380" t="s">
        <v>174</v>
      </c>
      <c r="C3380">
        <v>1375.9199977219105</v>
      </c>
      <c r="D3380">
        <v>42</v>
      </c>
      <c r="E3380" s="80">
        <v>35437</v>
      </c>
    </row>
    <row r="3381" spans="1:5">
      <c r="A3381">
        <v>10406</v>
      </c>
      <c r="B3381" t="s">
        <v>175</v>
      </c>
      <c r="C3381">
        <v>1375.9199977219105</v>
      </c>
      <c r="D3381">
        <v>42</v>
      </c>
      <c r="E3381" s="80">
        <v>35437</v>
      </c>
    </row>
    <row r="3382" spans="1:5">
      <c r="A3382">
        <v>10406</v>
      </c>
      <c r="B3382" t="s">
        <v>176</v>
      </c>
      <c r="C3382">
        <v>1375.9199977219105</v>
      </c>
      <c r="D3382">
        <v>42</v>
      </c>
      <c r="E3382" s="80">
        <v>35437</v>
      </c>
    </row>
    <row r="3383" spans="1:5">
      <c r="A3383">
        <v>10406</v>
      </c>
      <c r="B3383" t="s">
        <v>177</v>
      </c>
      <c r="C3383">
        <v>1375.9199977219105</v>
      </c>
      <c r="D3383">
        <v>42</v>
      </c>
      <c r="E3383" s="80">
        <v>35437</v>
      </c>
    </row>
    <row r="3384" spans="1:5">
      <c r="A3384">
        <v>10406</v>
      </c>
      <c r="B3384" t="s">
        <v>178</v>
      </c>
      <c r="C3384">
        <v>1375.9199977219105</v>
      </c>
      <c r="D3384">
        <v>42</v>
      </c>
      <c r="E3384" s="80">
        <v>35437</v>
      </c>
    </row>
    <row r="3385" spans="1:5">
      <c r="A3385">
        <v>10406</v>
      </c>
      <c r="B3385" t="s">
        <v>179</v>
      </c>
      <c r="C3385">
        <v>1375.9199977219105</v>
      </c>
      <c r="D3385">
        <v>42</v>
      </c>
      <c r="E3385" s="80">
        <v>35437</v>
      </c>
    </row>
    <row r="3386" spans="1:5">
      <c r="A3386">
        <v>10406</v>
      </c>
      <c r="B3386" t="s">
        <v>172</v>
      </c>
      <c r="C3386">
        <v>68.399999886751175</v>
      </c>
      <c r="D3386">
        <v>5</v>
      </c>
      <c r="E3386" s="80">
        <v>35437</v>
      </c>
    </row>
    <row r="3387" spans="1:5">
      <c r="A3387">
        <v>10406</v>
      </c>
      <c r="B3387" t="s">
        <v>173</v>
      </c>
      <c r="C3387">
        <v>68.399999886751175</v>
      </c>
      <c r="D3387">
        <v>5</v>
      </c>
      <c r="E3387" s="80">
        <v>35437</v>
      </c>
    </row>
    <row r="3388" spans="1:5">
      <c r="A3388">
        <v>10406</v>
      </c>
      <c r="B3388" t="s">
        <v>174</v>
      </c>
      <c r="C3388">
        <v>68.399999886751175</v>
      </c>
      <c r="D3388">
        <v>5</v>
      </c>
      <c r="E3388" s="80">
        <v>35437</v>
      </c>
    </row>
    <row r="3389" spans="1:5">
      <c r="A3389">
        <v>10406</v>
      </c>
      <c r="B3389" t="s">
        <v>175</v>
      </c>
      <c r="C3389">
        <v>68.399999886751175</v>
      </c>
      <c r="D3389">
        <v>5</v>
      </c>
      <c r="E3389" s="80">
        <v>35437</v>
      </c>
    </row>
    <row r="3390" spans="1:5">
      <c r="A3390">
        <v>10406</v>
      </c>
      <c r="B3390" t="s">
        <v>176</v>
      </c>
      <c r="C3390">
        <v>68.399999886751175</v>
      </c>
      <c r="D3390">
        <v>5</v>
      </c>
      <c r="E3390" s="80">
        <v>35437</v>
      </c>
    </row>
    <row r="3391" spans="1:5">
      <c r="A3391">
        <v>10406</v>
      </c>
      <c r="B3391" t="s">
        <v>177</v>
      </c>
      <c r="C3391">
        <v>68.399999886751175</v>
      </c>
      <c r="D3391">
        <v>5</v>
      </c>
      <c r="E3391" s="80">
        <v>35437</v>
      </c>
    </row>
    <row r="3392" spans="1:5">
      <c r="A3392">
        <v>10406</v>
      </c>
      <c r="B3392" t="s">
        <v>178</v>
      </c>
      <c r="C3392">
        <v>68.399999886751175</v>
      </c>
      <c r="D3392">
        <v>5</v>
      </c>
      <c r="E3392" s="80">
        <v>35437</v>
      </c>
    </row>
    <row r="3393" spans="1:5">
      <c r="A3393">
        <v>10406</v>
      </c>
      <c r="B3393" t="s">
        <v>179</v>
      </c>
      <c r="C3393">
        <v>68.399999886751175</v>
      </c>
      <c r="D3393">
        <v>5</v>
      </c>
      <c r="E3393" s="80">
        <v>35437</v>
      </c>
    </row>
    <row r="3394" spans="1:5">
      <c r="A3394">
        <v>10406</v>
      </c>
      <c r="B3394" t="s">
        <v>172</v>
      </c>
      <c r="C3394">
        <v>26.459999956190586</v>
      </c>
      <c r="D3394">
        <v>2</v>
      </c>
      <c r="E3394" s="80">
        <v>35437</v>
      </c>
    </row>
    <row r="3395" spans="1:5">
      <c r="A3395">
        <v>10406</v>
      </c>
      <c r="B3395" t="s">
        <v>173</v>
      </c>
      <c r="C3395">
        <v>26.459999956190586</v>
      </c>
      <c r="D3395">
        <v>2</v>
      </c>
      <c r="E3395" s="80">
        <v>35437</v>
      </c>
    </row>
    <row r="3396" spans="1:5">
      <c r="A3396">
        <v>10406</v>
      </c>
      <c r="B3396" t="s">
        <v>174</v>
      </c>
      <c r="C3396">
        <v>26.459999956190586</v>
      </c>
      <c r="D3396">
        <v>2</v>
      </c>
      <c r="E3396" s="80">
        <v>35437</v>
      </c>
    </row>
    <row r="3397" spans="1:5">
      <c r="A3397">
        <v>10406</v>
      </c>
      <c r="B3397" t="s">
        <v>175</v>
      </c>
      <c r="C3397">
        <v>26.459999956190586</v>
      </c>
      <c r="D3397">
        <v>2</v>
      </c>
      <c r="E3397" s="80">
        <v>35437</v>
      </c>
    </row>
    <row r="3398" spans="1:5">
      <c r="A3398">
        <v>10406</v>
      </c>
      <c r="B3398" t="s">
        <v>176</v>
      </c>
      <c r="C3398">
        <v>26.459999956190586</v>
      </c>
      <c r="D3398">
        <v>2</v>
      </c>
      <c r="E3398" s="80">
        <v>35437</v>
      </c>
    </row>
    <row r="3399" spans="1:5">
      <c r="A3399">
        <v>10406</v>
      </c>
      <c r="B3399" t="s">
        <v>177</v>
      </c>
      <c r="C3399">
        <v>26.459999956190586</v>
      </c>
      <c r="D3399">
        <v>2</v>
      </c>
      <c r="E3399" s="80">
        <v>35437</v>
      </c>
    </row>
    <row r="3400" spans="1:5">
      <c r="A3400">
        <v>10406</v>
      </c>
      <c r="B3400" t="s">
        <v>178</v>
      </c>
      <c r="C3400">
        <v>26.459999956190586</v>
      </c>
      <c r="D3400">
        <v>2</v>
      </c>
      <c r="E3400" s="80">
        <v>35437</v>
      </c>
    </row>
    <row r="3401" spans="1:5">
      <c r="A3401">
        <v>10406</v>
      </c>
      <c r="B3401" t="s">
        <v>179</v>
      </c>
      <c r="C3401">
        <v>26.459999956190586</v>
      </c>
      <c r="D3401">
        <v>2</v>
      </c>
      <c r="E3401" s="80">
        <v>35437</v>
      </c>
    </row>
    <row r="3402" spans="1:5">
      <c r="A3402">
        <v>10407</v>
      </c>
      <c r="B3402" t="s">
        <v>172</v>
      </c>
      <c r="C3402">
        <v>504</v>
      </c>
      <c r="D3402">
        <v>30</v>
      </c>
      <c r="E3402" s="80">
        <v>35437</v>
      </c>
    </row>
    <row r="3403" spans="1:5">
      <c r="A3403">
        <v>10407</v>
      </c>
      <c r="B3403" t="s">
        <v>173</v>
      </c>
      <c r="C3403">
        <v>504</v>
      </c>
      <c r="D3403">
        <v>30</v>
      </c>
      <c r="E3403" s="80">
        <v>35437</v>
      </c>
    </row>
    <row r="3404" spans="1:5">
      <c r="A3404">
        <v>10407</v>
      </c>
      <c r="B3404" t="s">
        <v>174</v>
      </c>
      <c r="C3404">
        <v>504</v>
      </c>
      <c r="D3404">
        <v>30</v>
      </c>
      <c r="E3404" s="80">
        <v>35437</v>
      </c>
    </row>
    <row r="3405" spans="1:5">
      <c r="A3405">
        <v>10407</v>
      </c>
      <c r="B3405" t="s">
        <v>175</v>
      </c>
      <c r="C3405">
        <v>504</v>
      </c>
      <c r="D3405">
        <v>30</v>
      </c>
      <c r="E3405" s="80">
        <v>35437</v>
      </c>
    </row>
    <row r="3406" spans="1:5">
      <c r="A3406">
        <v>10407</v>
      </c>
      <c r="B3406" t="s">
        <v>176</v>
      </c>
      <c r="C3406">
        <v>504</v>
      </c>
      <c r="D3406">
        <v>30</v>
      </c>
      <c r="E3406" s="80">
        <v>35437</v>
      </c>
    </row>
    <row r="3407" spans="1:5">
      <c r="A3407">
        <v>10407</v>
      </c>
      <c r="B3407" t="s">
        <v>177</v>
      </c>
      <c r="C3407">
        <v>504</v>
      </c>
      <c r="D3407">
        <v>30</v>
      </c>
      <c r="E3407" s="80">
        <v>35437</v>
      </c>
    </row>
    <row r="3408" spans="1:5">
      <c r="A3408">
        <v>10407</v>
      </c>
      <c r="B3408" t="s">
        <v>178</v>
      </c>
      <c r="C3408">
        <v>504</v>
      </c>
      <c r="D3408">
        <v>30</v>
      </c>
      <c r="E3408" s="80">
        <v>35437</v>
      </c>
    </row>
    <row r="3409" spans="1:5">
      <c r="A3409">
        <v>10407</v>
      </c>
      <c r="B3409" t="s">
        <v>179</v>
      </c>
      <c r="C3409">
        <v>504</v>
      </c>
      <c r="D3409">
        <v>30</v>
      </c>
      <c r="E3409" s="80">
        <v>35437</v>
      </c>
    </row>
    <row r="3410" spans="1:5">
      <c r="A3410">
        <v>10407</v>
      </c>
      <c r="B3410" t="s">
        <v>172</v>
      </c>
      <c r="C3410">
        <v>432</v>
      </c>
      <c r="D3410">
        <v>15</v>
      </c>
      <c r="E3410" s="80">
        <v>35437</v>
      </c>
    </row>
    <row r="3411" spans="1:5">
      <c r="A3411">
        <v>10407</v>
      </c>
      <c r="B3411" t="s">
        <v>173</v>
      </c>
      <c r="C3411">
        <v>432</v>
      </c>
      <c r="D3411">
        <v>15</v>
      </c>
      <c r="E3411" s="80">
        <v>35437</v>
      </c>
    </row>
    <row r="3412" spans="1:5">
      <c r="A3412">
        <v>10407</v>
      </c>
      <c r="B3412" t="s">
        <v>174</v>
      </c>
      <c r="C3412">
        <v>432</v>
      </c>
      <c r="D3412">
        <v>15</v>
      </c>
      <c r="E3412" s="80">
        <v>35437</v>
      </c>
    </row>
    <row r="3413" spans="1:5">
      <c r="A3413">
        <v>10407</v>
      </c>
      <c r="B3413" t="s">
        <v>175</v>
      </c>
      <c r="C3413">
        <v>432</v>
      </c>
      <c r="D3413">
        <v>15</v>
      </c>
      <c r="E3413" s="80">
        <v>35437</v>
      </c>
    </row>
    <row r="3414" spans="1:5">
      <c r="A3414">
        <v>10407</v>
      </c>
      <c r="B3414" t="s">
        <v>176</v>
      </c>
      <c r="C3414">
        <v>432</v>
      </c>
      <c r="D3414">
        <v>15</v>
      </c>
      <c r="E3414" s="80">
        <v>35437</v>
      </c>
    </row>
    <row r="3415" spans="1:5">
      <c r="A3415">
        <v>10407</v>
      </c>
      <c r="B3415" t="s">
        <v>177</v>
      </c>
      <c r="C3415">
        <v>432</v>
      </c>
      <c r="D3415">
        <v>15</v>
      </c>
      <c r="E3415" s="80">
        <v>35437</v>
      </c>
    </row>
    <row r="3416" spans="1:5">
      <c r="A3416">
        <v>10407</v>
      </c>
      <c r="B3416" t="s">
        <v>178</v>
      </c>
      <c r="C3416">
        <v>432</v>
      </c>
      <c r="D3416">
        <v>15</v>
      </c>
      <c r="E3416" s="80">
        <v>35437</v>
      </c>
    </row>
    <row r="3417" spans="1:5">
      <c r="A3417">
        <v>10407</v>
      </c>
      <c r="B3417" t="s">
        <v>179</v>
      </c>
      <c r="C3417">
        <v>432</v>
      </c>
      <c r="D3417">
        <v>15</v>
      </c>
      <c r="E3417" s="80">
        <v>35437</v>
      </c>
    </row>
    <row r="3418" spans="1:5">
      <c r="A3418">
        <v>10407</v>
      </c>
      <c r="B3418" t="s">
        <v>172</v>
      </c>
      <c r="C3418">
        <v>258</v>
      </c>
      <c r="D3418">
        <v>15</v>
      </c>
      <c r="E3418" s="80">
        <v>35437</v>
      </c>
    </row>
    <row r="3419" spans="1:5">
      <c r="A3419">
        <v>10407</v>
      </c>
      <c r="B3419" t="s">
        <v>173</v>
      </c>
      <c r="C3419">
        <v>258</v>
      </c>
      <c r="D3419">
        <v>15</v>
      </c>
      <c r="E3419" s="80">
        <v>35437</v>
      </c>
    </row>
    <row r="3420" spans="1:5">
      <c r="A3420">
        <v>10407</v>
      </c>
      <c r="B3420" t="s">
        <v>174</v>
      </c>
      <c r="C3420">
        <v>258</v>
      </c>
      <c r="D3420">
        <v>15</v>
      </c>
      <c r="E3420" s="80">
        <v>35437</v>
      </c>
    </row>
    <row r="3421" spans="1:5">
      <c r="A3421">
        <v>10407</v>
      </c>
      <c r="B3421" t="s">
        <v>175</v>
      </c>
      <c r="C3421">
        <v>258</v>
      </c>
      <c r="D3421">
        <v>15</v>
      </c>
      <c r="E3421" s="80">
        <v>35437</v>
      </c>
    </row>
    <row r="3422" spans="1:5">
      <c r="A3422">
        <v>10407</v>
      </c>
      <c r="B3422" t="s">
        <v>176</v>
      </c>
      <c r="C3422">
        <v>258</v>
      </c>
      <c r="D3422">
        <v>15</v>
      </c>
      <c r="E3422" s="80">
        <v>35437</v>
      </c>
    </row>
    <row r="3423" spans="1:5">
      <c r="A3423">
        <v>10407</v>
      </c>
      <c r="B3423" t="s">
        <v>177</v>
      </c>
      <c r="C3423">
        <v>258</v>
      </c>
      <c r="D3423">
        <v>15</v>
      </c>
      <c r="E3423" s="80">
        <v>35437</v>
      </c>
    </row>
    <row r="3424" spans="1:5">
      <c r="A3424">
        <v>10407</v>
      </c>
      <c r="B3424" t="s">
        <v>178</v>
      </c>
      <c r="C3424">
        <v>258</v>
      </c>
      <c r="D3424">
        <v>15</v>
      </c>
      <c r="E3424" s="80">
        <v>35437</v>
      </c>
    </row>
    <row r="3425" spans="1:5">
      <c r="A3425">
        <v>10407</v>
      </c>
      <c r="B3425" t="s">
        <v>179</v>
      </c>
      <c r="C3425">
        <v>258</v>
      </c>
      <c r="D3425">
        <v>15</v>
      </c>
      <c r="E3425" s="80">
        <v>35437</v>
      </c>
    </row>
    <row r="3426" spans="1:5">
      <c r="A3426">
        <v>10408</v>
      </c>
      <c r="B3426" t="s">
        <v>172</v>
      </c>
      <c r="C3426">
        <v>208</v>
      </c>
      <c r="D3426">
        <v>10</v>
      </c>
      <c r="E3426" s="80">
        <v>35438</v>
      </c>
    </row>
    <row r="3427" spans="1:5">
      <c r="A3427">
        <v>10408</v>
      </c>
      <c r="B3427" t="s">
        <v>173</v>
      </c>
      <c r="C3427">
        <v>208</v>
      </c>
      <c r="D3427">
        <v>10</v>
      </c>
      <c r="E3427" s="80">
        <v>35438</v>
      </c>
    </row>
    <row r="3428" spans="1:5">
      <c r="A3428">
        <v>10408</v>
      </c>
      <c r="B3428" t="s">
        <v>174</v>
      </c>
      <c r="C3428">
        <v>208</v>
      </c>
      <c r="D3428">
        <v>10</v>
      </c>
      <c r="E3428" s="80">
        <v>35438</v>
      </c>
    </row>
    <row r="3429" spans="1:5">
      <c r="A3429">
        <v>10408</v>
      </c>
      <c r="B3429" t="s">
        <v>175</v>
      </c>
      <c r="C3429">
        <v>208</v>
      </c>
      <c r="D3429">
        <v>10</v>
      </c>
      <c r="E3429" s="80">
        <v>35438</v>
      </c>
    </row>
    <row r="3430" spans="1:5">
      <c r="A3430">
        <v>10408</v>
      </c>
      <c r="B3430" t="s">
        <v>176</v>
      </c>
      <c r="C3430">
        <v>208</v>
      </c>
      <c r="D3430">
        <v>10</v>
      </c>
      <c r="E3430" s="80">
        <v>35438</v>
      </c>
    </row>
    <row r="3431" spans="1:5">
      <c r="A3431">
        <v>10408</v>
      </c>
      <c r="B3431" t="s">
        <v>177</v>
      </c>
      <c r="C3431">
        <v>208</v>
      </c>
      <c r="D3431">
        <v>10</v>
      </c>
      <c r="E3431" s="80">
        <v>35438</v>
      </c>
    </row>
    <row r="3432" spans="1:5">
      <c r="A3432">
        <v>10408</v>
      </c>
      <c r="B3432" t="s">
        <v>178</v>
      </c>
      <c r="C3432">
        <v>208</v>
      </c>
      <c r="D3432">
        <v>10</v>
      </c>
      <c r="E3432" s="80">
        <v>35438</v>
      </c>
    </row>
    <row r="3433" spans="1:5">
      <c r="A3433">
        <v>10408</v>
      </c>
      <c r="B3433" t="s">
        <v>179</v>
      </c>
      <c r="C3433">
        <v>208</v>
      </c>
      <c r="D3433">
        <v>10</v>
      </c>
      <c r="E3433" s="80">
        <v>35438</v>
      </c>
    </row>
    <row r="3434" spans="1:5">
      <c r="A3434">
        <v>10408</v>
      </c>
      <c r="B3434" t="s">
        <v>172</v>
      </c>
      <c r="C3434">
        <v>35.4</v>
      </c>
      <c r="D3434">
        <v>6</v>
      </c>
      <c r="E3434" s="80">
        <v>35438</v>
      </c>
    </row>
    <row r="3435" spans="1:5">
      <c r="A3435">
        <v>10408</v>
      </c>
      <c r="B3435" t="s">
        <v>173</v>
      </c>
      <c r="C3435">
        <v>35.4</v>
      </c>
      <c r="D3435">
        <v>6</v>
      </c>
      <c r="E3435" s="80">
        <v>35438</v>
      </c>
    </row>
    <row r="3436" spans="1:5">
      <c r="A3436">
        <v>10408</v>
      </c>
      <c r="B3436" t="s">
        <v>174</v>
      </c>
      <c r="C3436">
        <v>35.4</v>
      </c>
      <c r="D3436">
        <v>6</v>
      </c>
      <c r="E3436" s="80">
        <v>35438</v>
      </c>
    </row>
    <row r="3437" spans="1:5">
      <c r="A3437">
        <v>10408</v>
      </c>
      <c r="B3437" t="s">
        <v>175</v>
      </c>
      <c r="C3437">
        <v>35.4</v>
      </c>
      <c r="D3437">
        <v>6</v>
      </c>
      <c r="E3437" s="80">
        <v>35438</v>
      </c>
    </row>
    <row r="3438" spans="1:5">
      <c r="A3438">
        <v>10408</v>
      </c>
      <c r="B3438" t="s">
        <v>176</v>
      </c>
      <c r="C3438">
        <v>35.4</v>
      </c>
      <c r="D3438">
        <v>6</v>
      </c>
      <c r="E3438" s="80">
        <v>35438</v>
      </c>
    </row>
    <row r="3439" spans="1:5">
      <c r="A3439">
        <v>10408</v>
      </c>
      <c r="B3439" t="s">
        <v>177</v>
      </c>
      <c r="C3439">
        <v>35.4</v>
      </c>
      <c r="D3439">
        <v>6</v>
      </c>
      <c r="E3439" s="80">
        <v>35438</v>
      </c>
    </row>
    <row r="3440" spans="1:5">
      <c r="A3440">
        <v>10408</v>
      </c>
      <c r="B3440" t="s">
        <v>178</v>
      </c>
      <c r="C3440">
        <v>35.4</v>
      </c>
      <c r="D3440">
        <v>6</v>
      </c>
      <c r="E3440" s="80">
        <v>35438</v>
      </c>
    </row>
    <row r="3441" spans="1:5">
      <c r="A3441">
        <v>10408</v>
      </c>
      <c r="B3441" t="s">
        <v>179</v>
      </c>
      <c r="C3441">
        <v>35.4</v>
      </c>
      <c r="D3441">
        <v>6</v>
      </c>
      <c r="E3441" s="80">
        <v>35438</v>
      </c>
    </row>
    <row r="3442" spans="1:5">
      <c r="A3442">
        <v>10408</v>
      </c>
      <c r="B3442" t="s">
        <v>172</v>
      </c>
      <c r="C3442">
        <v>1379</v>
      </c>
      <c r="D3442">
        <v>35</v>
      </c>
      <c r="E3442" s="80">
        <v>35438</v>
      </c>
    </row>
    <row r="3443" spans="1:5">
      <c r="A3443">
        <v>10408</v>
      </c>
      <c r="B3443" t="s">
        <v>173</v>
      </c>
      <c r="C3443">
        <v>1379</v>
      </c>
      <c r="D3443">
        <v>35</v>
      </c>
      <c r="E3443" s="80">
        <v>35438</v>
      </c>
    </row>
    <row r="3444" spans="1:5">
      <c r="A3444">
        <v>10408</v>
      </c>
      <c r="B3444" t="s">
        <v>174</v>
      </c>
      <c r="C3444">
        <v>1379</v>
      </c>
      <c r="D3444">
        <v>35</v>
      </c>
      <c r="E3444" s="80">
        <v>35438</v>
      </c>
    </row>
    <row r="3445" spans="1:5">
      <c r="A3445">
        <v>10408</v>
      </c>
      <c r="B3445" t="s">
        <v>175</v>
      </c>
      <c r="C3445">
        <v>1379</v>
      </c>
      <c r="D3445">
        <v>35</v>
      </c>
      <c r="E3445" s="80">
        <v>35438</v>
      </c>
    </row>
    <row r="3446" spans="1:5">
      <c r="A3446">
        <v>10408</v>
      </c>
      <c r="B3446" t="s">
        <v>176</v>
      </c>
      <c r="C3446">
        <v>1379</v>
      </c>
      <c r="D3446">
        <v>35</v>
      </c>
      <c r="E3446" s="80">
        <v>35438</v>
      </c>
    </row>
    <row r="3447" spans="1:5">
      <c r="A3447">
        <v>10408</v>
      </c>
      <c r="B3447" t="s">
        <v>177</v>
      </c>
      <c r="C3447">
        <v>1379</v>
      </c>
      <c r="D3447">
        <v>35</v>
      </c>
      <c r="E3447" s="80">
        <v>35438</v>
      </c>
    </row>
    <row r="3448" spans="1:5">
      <c r="A3448">
        <v>10408</v>
      </c>
      <c r="B3448" t="s">
        <v>178</v>
      </c>
      <c r="C3448">
        <v>1379</v>
      </c>
      <c r="D3448">
        <v>35</v>
      </c>
      <c r="E3448" s="80">
        <v>35438</v>
      </c>
    </row>
    <row r="3449" spans="1:5">
      <c r="A3449">
        <v>10408</v>
      </c>
      <c r="B3449" t="s">
        <v>179</v>
      </c>
      <c r="C3449">
        <v>1379</v>
      </c>
      <c r="D3449">
        <v>35</v>
      </c>
      <c r="E3449" s="80">
        <v>35438</v>
      </c>
    </row>
    <row r="3450" spans="1:5">
      <c r="A3450">
        <v>10409</v>
      </c>
      <c r="B3450" t="s">
        <v>172</v>
      </c>
      <c r="C3450">
        <v>223.2</v>
      </c>
      <c r="D3450">
        <v>12</v>
      </c>
      <c r="E3450" s="80">
        <v>35439</v>
      </c>
    </row>
    <row r="3451" spans="1:5">
      <c r="A3451">
        <v>10409</v>
      </c>
      <c r="B3451" t="s">
        <v>173</v>
      </c>
      <c r="C3451">
        <v>223.2</v>
      </c>
      <c r="D3451">
        <v>12</v>
      </c>
      <c r="E3451" s="80">
        <v>35439</v>
      </c>
    </row>
    <row r="3452" spans="1:5">
      <c r="A3452">
        <v>10409</v>
      </c>
      <c r="B3452" t="s">
        <v>174</v>
      </c>
      <c r="C3452">
        <v>223.2</v>
      </c>
      <c r="D3452">
        <v>12</v>
      </c>
      <c r="E3452" s="80">
        <v>35439</v>
      </c>
    </row>
    <row r="3453" spans="1:5">
      <c r="A3453">
        <v>10409</v>
      </c>
      <c r="B3453" t="s">
        <v>175</v>
      </c>
      <c r="C3453">
        <v>223.2</v>
      </c>
      <c r="D3453">
        <v>12</v>
      </c>
      <c r="E3453" s="80">
        <v>35439</v>
      </c>
    </row>
    <row r="3454" spans="1:5">
      <c r="A3454">
        <v>10409</v>
      </c>
      <c r="B3454" t="s">
        <v>176</v>
      </c>
      <c r="C3454">
        <v>223.2</v>
      </c>
      <c r="D3454">
        <v>12</v>
      </c>
      <c r="E3454" s="80">
        <v>35439</v>
      </c>
    </row>
    <row r="3455" spans="1:5">
      <c r="A3455">
        <v>10409</v>
      </c>
      <c r="B3455" t="s">
        <v>177</v>
      </c>
      <c r="C3455">
        <v>223.2</v>
      </c>
      <c r="D3455">
        <v>12</v>
      </c>
      <c r="E3455" s="80">
        <v>35439</v>
      </c>
    </row>
    <row r="3456" spans="1:5">
      <c r="A3456">
        <v>10409</v>
      </c>
      <c r="B3456" t="s">
        <v>178</v>
      </c>
      <c r="C3456">
        <v>223.2</v>
      </c>
      <c r="D3456">
        <v>12</v>
      </c>
      <c r="E3456" s="80">
        <v>35439</v>
      </c>
    </row>
    <row r="3457" spans="1:5">
      <c r="A3457">
        <v>10409</v>
      </c>
      <c r="B3457" t="s">
        <v>179</v>
      </c>
      <c r="C3457">
        <v>223.2</v>
      </c>
      <c r="D3457">
        <v>12</v>
      </c>
      <c r="E3457" s="80">
        <v>35439</v>
      </c>
    </row>
    <row r="3458" spans="1:5">
      <c r="A3458">
        <v>10409</v>
      </c>
      <c r="B3458" t="s">
        <v>172</v>
      </c>
      <c r="C3458">
        <v>96</v>
      </c>
      <c r="D3458">
        <v>12</v>
      </c>
      <c r="E3458" s="80">
        <v>35439</v>
      </c>
    </row>
    <row r="3459" spans="1:5">
      <c r="A3459">
        <v>10409</v>
      </c>
      <c r="B3459" t="s">
        <v>173</v>
      </c>
      <c r="C3459">
        <v>96</v>
      </c>
      <c r="D3459">
        <v>12</v>
      </c>
      <c r="E3459" s="80">
        <v>35439</v>
      </c>
    </row>
    <row r="3460" spans="1:5">
      <c r="A3460">
        <v>10409</v>
      </c>
      <c r="B3460" t="s">
        <v>174</v>
      </c>
      <c r="C3460">
        <v>96</v>
      </c>
      <c r="D3460">
        <v>12</v>
      </c>
      <c r="E3460" s="80">
        <v>35439</v>
      </c>
    </row>
    <row r="3461" spans="1:5">
      <c r="A3461">
        <v>10409</v>
      </c>
      <c r="B3461" t="s">
        <v>175</v>
      </c>
      <c r="C3461">
        <v>96</v>
      </c>
      <c r="D3461">
        <v>12</v>
      </c>
      <c r="E3461" s="80">
        <v>35439</v>
      </c>
    </row>
    <row r="3462" spans="1:5">
      <c r="A3462">
        <v>10409</v>
      </c>
      <c r="B3462" t="s">
        <v>176</v>
      </c>
      <c r="C3462">
        <v>96</v>
      </c>
      <c r="D3462">
        <v>12</v>
      </c>
      <c r="E3462" s="80">
        <v>35439</v>
      </c>
    </row>
    <row r="3463" spans="1:5">
      <c r="A3463">
        <v>10409</v>
      </c>
      <c r="B3463" t="s">
        <v>177</v>
      </c>
      <c r="C3463">
        <v>96</v>
      </c>
      <c r="D3463">
        <v>12</v>
      </c>
      <c r="E3463" s="80">
        <v>35439</v>
      </c>
    </row>
    <row r="3464" spans="1:5">
      <c r="A3464">
        <v>10409</v>
      </c>
      <c r="B3464" t="s">
        <v>178</v>
      </c>
      <c r="C3464">
        <v>96</v>
      </c>
      <c r="D3464">
        <v>12</v>
      </c>
      <c r="E3464" s="80">
        <v>35439</v>
      </c>
    </row>
    <row r="3465" spans="1:5">
      <c r="A3465">
        <v>10409</v>
      </c>
      <c r="B3465" t="s">
        <v>179</v>
      </c>
      <c r="C3465">
        <v>96</v>
      </c>
      <c r="D3465">
        <v>12</v>
      </c>
      <c r="E3465" s="80">
        <v>35439</v>
      </c>
    </row>
    <row r="3466" spans="1:5">
      <c r="A3466">
        <v>10410</v>
      </c>
      <c r="B3466" t="s">
        <v>172</v>
      </c>
      <c r="C3466">
        <v>98</v>
      </c>
      <c r="D3466">
        <v>49</v>
      </c>
      <c r="E3466" s="80">
        <v>35440</v>
      </c>
    </row>
    <row r="3467" spans="1:5">
      <c r="A3467">
        <v>10410</v>
      </c>
      <c r="B3467" t="s">
        <v>173</v>
      </c>
      <c r="C3467">
        <v>98</v>
      </c>
      <c r="D3467">
        <v>49</v>
      </c>
      <c r="E3467" s="80">
        <v>35440</v>
      </c>
    </row>
    <row r="3468" spans="1:5">
      <c r="A3468">
        <v>10410</v>
      </c>
      <c r="B3468" t="s">
        <v>174</v>
      </c>
      <c r="C3468">
        <v>98</v>
      </c>
      <c r="D3468">
        <v>49</v>
      </c>
      <c r="E3468" s="80">
        <v>35440</v>
      </c>
    </row>
    <row r="3469" spans="1:5">
      <c r="A3469">
        <v>10410</v>
      </c>
      <c r="B3469" t="s">
        <v>175</v>
      </c>
      <c r="C3469">
        <v>98</v>
      </c>
      <c r="D3469">
        <v>49</v>
      </c>
      <c r="E3469" s="80">
        <v>35440</v>
      </c>
    </row>
    <row r="3470" spans="1:5">
      <c r="A3470">
        <v>10410</v>
      </c>
      <c r="B3470" t="s">
        <v>176</v>
      </c>
      <c r="C3470">
        <v>98</v>
      </c>
      <c r="D3470">
        <v>49</v>
      </c>
      <c r="E3470" s="80">
        <v>35440</v>
      </c>
    </row>
    <row r="3471" spans="1:5">
      <c r="A3471">
        <v>10410</v>
      </c>
      <c r="B3471" t="s">
        <v>177</v>
      </c>
      <c r="C3471">
        <v>98</v>
      </c>
      <c r="D3471">
        <v>49</v>
      </c>
      <c r="E3471" s="80">
        <v>35440</v>
      </c>
    </row>
    <row r="3472" spans="1:5">
      <c r="A3472">
        <v>10410</v>
      </c>
      <c r="B3472" t="s">
        <v>178</v>
      </c>
      <c r="C3472">
        <v>98</v>
      </c>
      <c r="D3472">
        <v>49</v>
      </c>
      <c r="E3472" s="80">
        <v>35440</v>
      </c>
    </row>
    <row r="3473" spans="1:5">
      <c r="A3473">
        <v>10410</v>
      </c>
      <c r="B3473" t="s">
        <v>179</v>
      </c>
      <c r="C3473">
        <v>98</v>
      </c>
      <c r="D3473">
        <v>49</v>
      </c>
      <c r="E3473" s="80">
        <v>35440</v>
      </c>
    </row>
    <row r="3474" spans="1:5">
      <c r="A3474">
        <v>10410</v>
      </c>
      <c r="B3474" t="s">
        <v>172</v>
      </c>
      <c r="C3474">
        <v>704</v>
      </c>
      <c r="D3474">
        <v>16</v>
      </c>
      <c r="E3474" s="80">
        <v>35440</v>
      </c>
    </row>
    <row r="3475" spans="1:5">
      <c r="A3475">
        <v>10410</v>
      </c>
      <c r="B3475" t="s">
        <v>173</v>
      </c>
      <c r="C3475">
        <v>704</v>
      </c>
      <c r="D3475">
        <v>16</v>
      </c>
      <c r="E3475" s="80">
        <v>35440</v>
      </c>
    </row>
    <row r="3476" spans="1:5">
      <c r="A3476">
        <v>10410</v>
      </c>
      <c r="B3476" t="s">
        <v>174</v>
      </c>
      <c r="C3476">
        <v>704</v>
      </c>
      <c r="D3476">
        <v>16</v>
      </c>
      <c r="E3476" s="80">
        <v>35440</v>
      </c>
    </row>
    <row r="3477" spans="1:5">
      <c r="A3477">
        <v>10410</v>
      </c>
      <c r="B3477" t="s">
        <v>175</v>
      </c>
      <c r="C3477">
        <v>704</v>
      </c>
      <c r="D3477">
        <v>16</v>
      </c>
      <c r="E3477" s="80">
        <v>35440</v>
      </c>
    </row>
    <row r="3478" spans="1:5">
      <c r="A3478">
        <v>10410</v>
      </c>
      <c r="B3478" t="s">
        <v>176</v>
      </c>
      <c r="C3478">
        <v>704</v>
      </c>
      <c r="D3478">
        <v>16</v>
      </c>
      <c r="E3478" s="80">
        <v>35440</v>
      </c>
    </row>
    <row r="3479" spans="1:5">
      <c r="A3479">
        <v>10410</v>
      </c>
      <c r="B3479" t="s">
        <v>177</v>
      </c>
      <c r="C3479">
        <v>704</v>
      </c>
      <c r="D3479">
        <v>16</v>
      </c>
      <c r="E3479" s="80">
        <v>35440</v>
      </c>
    </row>
    <row r="3480" spans="1:5">
      <c r="A3480">
        <v>10410</v>
      </c>
      <c r="B3480" t="s">
        <v>178</v>
      </c>
      <c r="C3480">
        <v>704</v>
      </c>
      <c r="D3480">
        <v>16</v>
      </c>
      <c r="E3480" s="80">
        <v>35440</v>
      </c>
    </row>
    <row r="3481" spans="1:5">
      <c r="A3481">
        <v>10410</v>
      </c>
      <c r="B3481" t="s">
        <v>179</v>
      </c>
      <c r="C3481">
        <v>704</v>
      </c>
      <c r="D3481">
        <v>16</v>
      </c>
      <c r="E3481" s="80">
        <v>35440</v>
      </c>
    </row>
    <row r="3482" spans="1:5">
      <c r="A3482">
        <v>10411</v>
      </c>
      <c r="B3482" t="s">
        <v>172</v>
      </c>
      <c r="C3482">
        <v>153.99999942630529</v>
      </c>
      <c r="D3482">
        <v>25</v>
      </c>
      <c r="E3482" s="80">
        <v>35440</v>
      </c>
    </row>
    <row r="3483" spans="1:5">
      <c r="A3483">
        <v>10411</v>
      </c>
      <c r="B3483" t="s">
        <v>173</v>
      </c>
      <c r="C3483">
        <v>153.99999942630529</v>
      </c>
      <c r="D3483">
        <v>25</v>
      </c>
      <c r="E3483" s="80">
        <v>35440</v>
      </c>
    </row>
    <row r="3484" spans="1:5">
      <c r="A3484">
        <v>10411</v>
      </c>
      <c r="B3484" t="s">
        <v>174</v>
      </c>
      <c r="C3484">
        <v>153.99999942630529</v>
      </c>
      <c r="D3484">
        <v>25</v>
      </c>
      <c r="E3484" s="80">
        <v>35440</v>
      </c>
    </row>
    <row r="3485" spans="1:5">
      <c r="A3485">
        <v>10411</v>
      </c>
      <c r="B3485" t="s">
        <v>175</v>
      </c>
      <c r="C3485">
        <v>153.99999942630529</v>
      </c>
      <c r="D3485">
        <v>25</v>
      </c>
      <c r="E3485" s="80">
        <v>35440</v>
      </c>
    </row>
    <row r="3486" spans="1:5">
      <c r="A3486">
        <v>10411</v>
      </c>
      <c r="B3486" t="s">
        <v>176</v>
      </c>
      <c r="C3486">
        <v>153.99999942630529</v>
      </c>
      <c r="D3486">
        <v>25</v>
      </c>
      <c r="E3486" s="80">
        <v>35440</v>
      </c>
    </row>
    <row r="3487" spans="1:5">
      <c r="A3487">
        <v>10411</v>
      </c>
      <c r="B3487" t="s">
        <v>177</v>
      </c>
      <c r="C3487">
        <v>153.99999942630529</v>
      </c>
      <c r="D3487">
        <v>25</v>
      </c>
      <c r="E3487" s="80">
        <v>35440</v>
      </c>
    </row>
    <row r="3488" spans="1:5">
      <c r="A3488">
        <v>10411</v>
      </c>
      <c r="B3488" t="s">
        <v>178</v>
      </c>
      <c r="C3488">
        <v>153.99999942630529</v>
      </c>
      <c r="D3488">
        <v>25</v>
      </c>
      <c r="E3488" s="80">
        <v>35440</v>
      </c>
    </row>
    <row r="3489" spans="1:5">
      <c r="A3489">
        <v>10411</v>
      </c>
      <c r="B3489" t="s">
        <v>179</v>
      </c>
      <c r="C3489">
        <v>153.99999942630529</v>
      </c>
      <c r="D3489">
        <v>25</v>
      </c>
      <c r="E3489" s="80">
        <v>35440</v>
      </c>
    </row>
    <row r="3490" spans="1:5">
      <c r="A3490">
        <v>10411</v>
      </c>
      <c r="B3490" t="s">
        <v>172</v>
      </c>
      <c r="C3490">
        <v>495.99999815225601</v>
      </c>
      <c r="D3490">
        <v>40</v>
      </c>
      <c r="E3490" s="80">
        <v>35440</v>
      </c>
    </row>
    <row r="3491" spans="1:5">
      <c r="A3491">
        <v>10411</v>
      </c>
      <c r="B3491" t="s">
        <v>173</v>
      </c>
      <c r="C3491">
        <v>495.99999815225601</v>
      </c>
      <c r="D3491">
        <v>40</v>
      </c>
      <c r="E3491" s="80">
        <v>35440</v>
      </c>
    </row>
    <row r="3492" spans="1:5">
      <c r="A3492">
        <v>10411</v>
      </c>
      <c r="B3492" t="s">
        <v>174</v>
      </c>
      <c r="C3492">
        <v>495.99999815225601</v>
      </c>
      <c r="D3492">
        <v>40</v>
      </c>
      <c r="E3492" s="80">
        <v>35440</v>
      </c>
    </row>
    <row r="3493" spans="1:5">
      <c r="A3493">
        <v>10411</v>
      </c>
      <c r="B3493" t="s">
        <v>175</v>
      </c>
      <c r="C3493">
        <v>495.99999815225601</v>
      </c>
      <c r="D3493">
        <v>40</v>
      </c>
      <c r="E3493" s="80">
        <v>35440</v>
      </c>
    </row>
    <row r="3494" spans="1:5">
      <c r="A3494">
        <v>10411</v>
      </c>
      <c r="B3494" t="s">
        <v>176</v>
      </c>
      <c r="C3494">
        <v>495.99999815225601</v>
      </c>
      <c r="D3494">
        <v>40</v>
      </c>
      <c r="E3494" s="80">
        <v>35440</v>
      </c>
    </row>
    <row r="3495" spans="1:5">
      <c r="A3495">
        <v>10411</v>
      </c>
      <c r="B3495" t="s">
        <v>177</v>
      </c>
      <c r="C3495">
        <v>495.99999815225601</v>
      </c>
      <c r="D3495">
        <v>40</v>
      </c>
      <c r="E3495" s="80">
        <v>35440</v>
      </c>
    </row>
    <row r="3496" spans="1:5">
      <c r="A3496">
        <v>10411</v>
      </c>
      <c r="B3496" t="s">
        <v>178</v>
      </c>
      <c r="C3496">
        <v>495.99999815225601</v>
      </c>
      <c r="D3496">
        <v>40</v>
      </c>
      <c r="E3496" s="80">
        <v>35440</v>
      </c>
    </row>
    <row r="3497" spans="1:5">
      <c r="A3497">
        <v>10411</v>
      </c>
      <c r="B3497" t="s">
        <v>179</v>
      </c>
      <c r="C3497">
        <v>495.99999815225601</v>
      </c>
      <c r="D3497">
        <v>40</v>
      </c>
      <c r="E3497" s="80">
        <v>35440</v>
      </c>
    </row>
    <row r="3498" spans="1:5">
      <c r="A3498">
        <v>10411</v>
      </c>
      <c r="B3498" t="s">
        <v>172</v>
      </c>
      <c r="C3498">
        <v>316.79999881982803</v>
      </c>
      <c r="D3498">
        <v>9</v>
      </c>
      <c r="E3498" s="80">
        <v>35440</v>
      </c>
    </row>
    <row r="3499" spans="1:5">
      <c r="A3499">
        <v>10411</v>
      </c>
      <c r="B3499" t="s">
        <v>173</v>
      </c>
      <c r="C3499">
        <v>316.79999881982803</v>
      </c>
      <c r="D3499">
        <v>9</v>
      </c>
      <c r="E3499" s="80">
        <v>35440</v>
      </c>
    </row>
    <row r="3500" spans="1:5">
      <c r="A3500">
        <v>10411</v>
      </c>
      <c r="B3500" t="s">
        <v>174</v>
      </c>
      <c r="C3500">
        <v>316.79999881982803</v>
      </c>
      <c r="D3500">
        <v>9</v>
      </c>
      <c r="E3500" s="80">
        <v>35440</v>
      </c>
    </row>
    <row r="3501" spans="1:5">
      <c r="A3501">
        <v>10411</v>
      </c>
      <c r="B3501" t="s">
        <v>175</v>
      </c>
      <c r="C3501">
        <v>316.79999881982803</v>
      </c>
      <c r="D3501">
        <v>9</v>
      </c>
      <c r="E3501" s="80">
        <v>35440</v>
      </c>
    </row>
    <row r="3502" spans="1:5">
      <c r="A3502">
        <v>10411</v>
      </c>
      <c r="B3502" t="s">
        <v>176</v>
      </c>
      <c r="C3502">
        <v>316.79999881982803</v>
      </c>
      <c r="D3502">
        <v>9</v>
      </c>
      <c r="E3502" s="80">
        <v>35440</v>
      </c>
    </row>
    <row r="3503" spans="1:5">
      <c r="A3503">
        <v>10411</v>
      </c>
      <c r="B3503" t="s">
        <v>177</v>
      </c>
      <c r="C3503">
        <v>316.79999881982803</v>
      </c>
      <c r="D3503">
        <v>9</v>
      </c>
      <c r="E3503" s="80">
        <v>35440</v>
      </c>
    </row>
    <row r="3504" spans="1:5">
      <c r="A3504">
        <v>10411</v>
      </c>
      <c r="B3504" t="s">
        <v>178</v>
      </c>
      <c r="C3504">
        <v>316.79999881982803</v>
      </c>
      <c r="D3504">
        <v>9</v>
      </c>
      <c r="E3504" s="80">
        <v>35440</v>
      </c>
    </row>
    <row r="3505" spans="1:5">
      <c r="A3505">
        <v>10411</v>
      </c>
      <c r="B3505" t="s">
        <v>179</v>
      </c>
      <c r="C3505">
        <v>316.79999881982803</v>
      </c>
      <c r="D3505">
        <v>9</v>
      </c>
      <c r="E3505" s="80">
        <v>35440</v>
      </c>
    </row>
    <row r="3506" spans="1:5">
      <c r="A3506">
        <v>10412</v>
      </c>
      <c r="B3506" t="s">
        <v>172</v>
      </c>
      <c r="C3506">
        <v>334.7999994456768</v>
      </c>
      <c r="D3506">
        <v>20</v>
      </c>
      <c r="E3506" s="80">
        <v>35443</v>
      </c>
    </row>
    <row r="3507" spans="1:5">
      <c r="A3507">
        <v>10412</v>
      </c>
      <c r="B3507" t="s">
        <v>173</v>
      </c>
      <c r="C3507">
        <v>334.7999994456768</v>
      </c>
      <c r="D3507">
        <v>20</v>
      </c>
      <c r="E3507" s="80">
        <v>35443</v>
      </c>
    </row>
    <row r="3508" spans="1:5">
      <c r="A3508">
        <v>10412</v>
      </c>
      <c r="B3508" t="s">
        <v>174</v>
      </c>
      <c r="C3508">
        <v>334.7999994456768</v>
      </c>
      <c r="D3508">
        <v>20</v>
      </c>
      <c r="E3508" s="80">
        <v>35443</v>
      </c>
    </row>
    <row r="3509" spans="1:5">
      <c r="A3509">
        <v>10412</v>
      </c>
      <c r="B3509" t="s">
        <v>175</v>
      </c>
      <c r="C3509">
        <v>334.7999994456768</v>
      </c>
      <c r="D3509">
        <v>20</v>
      </c>
      <c r="E3509" s="80">
        <v>35443</v>
      </c>
    </row>
    <row r="3510" spans="1:5">
      <c r="A3510">
        <v>10412</v>
      </c>
      <c r="B3510" t="s">
        <v>176</v>
      </c>
      <c r="C3510">
        <v>334.7999994456768</v>
      </c>
      <c r="D3510">
        <v>20</v>
      </c>
      <c r="E3510" s="80">
        <v>35443</v>
      </c>
    </row>
    <row r="3511" spans="1:5">
      <c r="A3511">
        <v>10412</v>
      </c>
      <c r="B3511" t="s">
        <v>177</v>
      </c>
      <c r="C3511">
        <v>334.7999994456768</v>
      </c>
      <c r="D3511">
        <v>20</v>
      </c>
      <c r="E3511" s="80">
        <v>35443</v>
      </c>
    </row>
    <row r="3512" spans="1:5">
      <c r="A3512">
        <v>10412</v>
      </c>
      <c r="B3512" t="s">
        <v>178</v>
      </c>
      <c r="C3512">
        <v>334.7999994456768</v>
      </c>
      <c r="D3512">
        <v>20</v>
      </c>
      <c r="E3512" s="80">
        <v>35443</v>
      </c>
    </row>
    <row r="3513" spans="1:5">
      <c r="A3513">
        <v>10412</v>
      </c>
      <c r="B3513" t="s">
        <v>179</v>
      </c>
      <c r="C3513">
        <v>334.7999994456768</v>
      </c>
      <c r="D3513">
        <v>20</v>
      </c>
      <c r="E3513" s="80">
        <v>35443</v>
      </c>
    </row>
    <row r="3514" spans="1:5">
      <c r="A3514">
        <v>10413</v>
      </c>
      <c r="B3514" t="s">
        <v>172</v>
      </c>
      <c r="C3514">
        <v>345.6</v>
      </c>
      <c r="D3514">
        <v>24</v>
      </c>
      <c r="E3514" s="80">
        <v>35444</v>
      </c>
    </row>
    <row r="3515" spans="1:5">
      <c r="A3515">
        <v>10413</v>
      </c>
      <c r="B3515" t="s">
        <v>173</v>
      </c>
      <c r="C3515">
        <v>345.6</v>
      </c>
      <c r="D3515">
        <v>24</v>
      </c>
      <c r="E3515" s="80">
        <v>35444</v>
      </c>
    </row>
    <row r="3516" spans="1:5">
      <c r="A3516">
        <v>10413</v>
      </c>
      <c r="B3516" t="s">
        <v>174</v>
      </c>
      <c r="C3516">
        <v>345.6</v>
      </c>
      <c r="D3516">
        <v>24</v>
      </c>
      <c r="E3516" s="80">
        <v>35444</v>
      </c>
    </row>
    <row r="3517" spans="1:5">
      <c r="A3517">
        <v>10413</v>
      </c>
      <c r="B3517" t="s">
        <v>175</v>
      </c>
      <c r="C3517">
        <v>345.6</v>
      </c>
      <c r="D3517">
        <v>24</v>
      </c>
      <c r="E3517" s="80">
        <v>35444</v>
      </c>
    </row>
    <row r="3518" spans="1:5">
      <c r="A3518">
        <v>10413</v>
      </c>
      <c r="B3518" t="s">
        <v>176</v>
      </c>
      <c r="C3518">
        <v>345.6</v>
      </c>
      <c r="D3518">
        <v>24</v>
      </c>
      <c r="E3518" s="80">
        <v>35444</v>
      </c>
    </row>
    <row r="3519" spans="1:5">
      <c r="A3519">
        <v>10413</v>
      </c>
      <c r="B3519" t="s">
        <v>177</v>
      </c>
      <c r="C3519">
        <v>345.6</v>
      </c>
      <c r="D3519">
        <v>24</v>
      </c>
      <c r="E3519" s="80">
        <v>35444</v>
      </c>
    </row>
    <row r="3520" spans="1:5">
      <c r="A3520">
        <v>10413</v>
      </c>
      <c r="B3520" t="s">
        <v>178</v>
      </c>
      <c r="C3520">
        <v>345.6</v>
      </c>
      <c r="D3520">
        <v>24</v>
      </c>
      <c r="E3520" s="80">
        <v>35444</v>
      </c>
    </row>
    <row r="3521" spans="1:5">
      <c r="A3521">
        <v>10413</v>
      </c>
      <c r="B3521" t="s">
        <v>179</v>
      </c>
      <c r="C3521">
        <v>345.6</v>
      </c>
      <c r="D3521">
        <v>24</v>
      </c>
      <c r="E3521" s="80">
        <v>35444</v>
      </c>
    </row>
    <row r="3522" spans="1:5">
      <c r="A3522">
        <v>10413</v>
      </c>
      <c r="B3522" t="s">
        <v>172</v>
      </c>
      <c r="C3522">
        <v>1576</v>
      </c>
      <c r="D3522">
        <v>40</v>
      </c>
      <c r="E3522" s="80">
        <v>35444</v>
      </c>
    </row>
    <row r="3523" spans="1:5">
      <c r="A3523">
        <v>10413</v>
      </c>
      <c r="B3523" t="s">
        <v>173</v>
      </c>
      <c r="C3523">
        <v>1576</v>
      </c>
      <c r="D3523">
        <v>40</v>
      </c>
      <c r="E3523" s="80">
        <v>35444</v>
      </c>
    </row>
    <row r="3524" spans="1:5">
      <c r="A3524">
        <v>10413</v>
      </c>
      <c r="B3524" t="s">
        <v>174</v>
      </c>
      <c r="C3524">
        <v>1576</v>
      </c>
      <c r="D3524">
        <v>40</v>
      </c>
      <c r="E3524" s="80">
        <v>35444</v>
      </c>
    </row>
    <row r="3525" spans="1:5">
      <c r="A3525">
        <v>10413</v>
      </c>
      <c r="B3525" t="s">
        <v>175</v>
      </c>
      <c r="C3525">
        <v>1576</v>
      </c>
      <c r="D3525">
        <v>40</v>
      </c>
      <c r="E3525" s="80">
        <v>35444</v>
      </c>
    </row>
    <row r="3526" spans="1:5">
      <c r="A3526">
        <v>10413</v>
      </c>
      <c r="B3526" t="s">
        <v>176</v>
      </c>
      <c r="C3526">
        <v>1576</v>
      </c>
      <c r="D3526">
        <v>40</v>
      </c>
      <c r="E3526" s="80">
        <v>35444</v>
      </c>
    </row>
    <row r="3527" spans="1:5">
      <c r="A3527">
        <v>10413</v>
      </c>
      <c r="B3527" t="s">
        <v>177</v>
      </c>
      <c r="C3527">
        <v>1576</v>
      </c>
      <c r="D3527">
        <v>40</v>
      </c>
      <c r="E3527" s="80">
        <v>35444</v>
      </c>
    </row>
    <row r="3528" spans="1:5">
      <c r="A3528">
        <v>10413</v>
      </c>
      <c r="B3528" t="s">
        <v>178</v>
      </c>
      <c r="C3528">
        <v>1576</v>
      </c>
      <c r="D3528">
        <v>40</v>
      </c>
      <c r="E3528" s="80">
        <v>35444</v>
      </c>
    </row>
    <row r="3529" spans="1:5">
      <c r="A3529">
        <v>10413</v>
      </c>
      <c r="B3529" t="s">
        <v>179</v>
      </c>
      <c r="C3529">
        <v>1576</v>
      </c>
      <c r="D3529">
        <v>40</v>
      </c>
      <c r="E3529" s="80">
        <v>35444</v>
      </c>
    </row>
    <row r="3530" spans="1:5">
      <c r="A3530">
        <v>10413</v>
      </c>
      <c r="B3530" t="s">
        <v>172</v>
      </c>
      <c r="C3530">
        <v>201.6</v>
      </c>
      <c r="D3530">
        <v>14</v>
      </c>
      <c r="E3530" s="80">
        <v>35444</v>
      </c>
    </row>
    <row r="3531" spans="1:5">
      <c r="A3531">
        <v>10413</v>
      </c>
      <c r="B3531" t="s">
        <v>173</v>
      </c>
      <c r="C3531">
        <v>201.6</v>
      </c>
      <c r="D3531">
        <v>14</v>
      </c>
      <c r="E3531" s="80">
        <v>35444</v>
      </c>
    </row>
    <row r="3532" spans="1:5">
      <c r="A3532">
        <v>10413</v>
      </c>
      <c r="B3532" t="s">
        <v>174</v>
      </c>
      <c r="C3532">
        <v>201.6</v>
      </c>
      <c r="D3532">
        <v>14</v>
      </c>
      <c r="E3532" s="80">
        <v>35444</v>
      </c>
    </row>
    <row r="3533" spans="1:5">
      <c r="A3533">
        <v>10413</v>
      </c>
      <c r="B3533" t="s">
        <v>175</v>
      </c>
      <c r="C3533">
        <v>201.6</v>
      </c>
      <c r="D3533">
        <v>14</v>
      </c>
      <c r="E3533" s="80">
        <v>35444</v>
      </c>
    </row>
    <row r="3534" spans="1:5">
      <c r="A3534">
        <v>10413</v>
      </c>
      <c r="B3534" t="s">
        <v>176</v>
      </c>
      <c r="C3534">
        <v>201.6</v>
      </c>
      <c r="D3534">
        <v>14</v>
      </c>
      <c r="E3534" s="80">
        <v>35444</v>
      </c>
    </row>
    <row r="3535" spans="1:5">
      <c r="A3535">
        <v>10413</v>
      </c>
      <c r="B3535" t="s">
        <v>177</v>
      </c>
      <c r="C3535">
        <v>201.6</v>
      </c>
      <c r="D3535">
        <v>14</v>
      </c>
      <c r="E3535" s="80">
        <v>35444</v>
      </c>
    </row>
    <row r="3536" spans="1:5">
      <c r="A3536">
        <v>10413</v>
      </c>
      <c r="B3536" t="s">
        <v>178</v>
      </c>
      <c r="C3536">
        <v>201.6</v>
      </c>
      <c r="D3536">
        <v>14</v>
      </c>
      <c r="E3536" s="80">
        <v>35444</v>
      </c>
    </row>
    <row r="3537" spans="1:5">
      <c r="A3537">
        <v>10413</v>
      </c>
      <c r="B3537" t="s">
        <v>179</v>
      </c>
      <c r="C3537">
        <v>201.6</v>
      </c>
      <c r="D3537">
        <v>14</v>
      </c>
      <c r="E3537" s="80">
        <v>35444</v>
      </c>
    </row>
    <row r="3538" spans="1:5">
      <c r="A3538">
        <v>10414</v>
      </c>
      <c r="B3538" t="s">
        <v>172</v>
      </c>
      <c r="C3538">
        <v>124.82999990209937</v>
      </c>
      <c r="D3538">
        <v>18</v>
      </c>
      <c r="E3538" s="80">
        <v>35444</v>
      </c>
    </row>
    <row r="3539" spans="1:5">
      <c r="A3539">
        <v>10414</v>
      </c>
      <c r="B3539" t="s">
        <v>173</v>
      </c>
      <c r="C3539">
        <v>124.82999990209937</v>
      </c>
      <c r="D3539">
        <v>18</v>
      </c>
      <c r="E3539" s="80">
        <v>35444</v>
      </c>
    </row>
    <row r="3540" spans="1:5">
      <c r="A3540">
        <v>10414</v>
      </c>
      <c r="B3540" t="s">
        <v>174</v>
      </c>
      <c r="C3540">
        <v>124.82999990209937</v>
      </c>
      <c r="D3540">
        <v>18</v>
      </c>
      <c r="E3540" s="80">
        <v>35444</v>
      </c>
    </row>
    <row r="3541" spans="1:5">
      <c r="A3541">
        <v>10414</v>
      </c>
      <c r="B3541" t="s">
        <v>175</v>
      </c>
      <c r="C3541">
        <v>124.82999990209937</v>
      </c>
      <c r="D3541">
        <v>18</v>
      </c>
      <c r="E3541" s="80">
        <v>35444</v>
      </c>
    </row>
    <row r="3542" spans="1:5">
      <c r="A3542">
        <v>10414</v>
      </c>
      <c r="B3542" t="s">
        <v>176</v>
      </c>
      <c r="C3542">
        <v>124.82999990209937</v>
      </c>
      <c r="D3542">
        <v>18</v>
      </c>
      <c r="E3542" s="80">
        <v>35444</v>
      </c>
    </row>
    <row r="3543" spans="1:5">
      <c r="A3543">
        <v>10414</v>
      </c>
      <c r="B3543" t="s">
        <v>177</v>
      </c>
      <c r="C3543">
        <v>124.82999990209937</v>
      </c>
      <c r="D3543">
        <v>18</v>
      </c>
      <c r="E3543" s="80">
        <v>35444</v>
      </c>
    </row>
    <row r="3544" spans="1:5">
      <c r="A3544">
        <v>10414</v>
      </c>
      <c r="B3544" t="s">
        <v>178</v>
      </c>
      <c r="C3544">
        <v>124.82999990209937</v>
      </c>
      <c r="D3544">
        <v>18</v>
      </c>
      <c r="E3544" s="80">
        <v>35444</v>
      </c>
    </row>
    <row r="3545" spans="1:5">
      <c r="A3545">
        <v>10414</v>
      </c>
      <c r="B3545" t="s">
        <v>179</v>
      </c>
      <c r="C3545">
        <v>124.82999990209937</v>
      </c>
      <c r="D3545">
        <v>18</v>
      </c>
      <c r="E3545" s="80">
        <v>35444</v>
      </c>
    </row>
    <row r="3546" spans="1:5">
      <c r="A3546">
        <v>10414</v>
      </c>
      <c r="B3546" t="s">
        <v>172</v>
      </c>
      <c r="C3546">
        <v>100</v>
      </c>
      <c r="D3546">
        <v>50</v>
      </c>
      <c r="E3546" s="80">
        <v>35444</v>
      </c>
    </row>
    <row r="3547" spans="1:5">
      <c r="A3547">
        <v>10414</v>
      </c>
      <c r="B3547" t="s">
        <v>173</v>
      </c>
      <c r="C3547">
        <v>100</v>
      </c>
      <c r="D3547">
        <v>50</v>
      </c>
      <c r="E3547" s="80">
        <v>35444</v>
      </c>
    </row>
    <row r="3548" spans="1:5">
      <c r="A3548">
        <v>10414</v>
      </c>
      <c r="B3548" t="s">
        <v>174</v>
      </c>
      <c r="C3548">
        <v>100</v>
      </c>
      <c r="D3548">
        <v>50</v>
      </c>
      <c r="E3548" s="80">
        <v>35444</v>
      </c>
    </row>
    <row r="3549" spans="1:5">
      <c r="A3549">
        <v>10414</v>
      </c>
      <c r="B3549" t="s">
        <v>175</v>
      </c>
      <c r="C3549">
        <v>100</v>
      </c>
      <c r="D3549">
        <v>50</v>
      </c>
      <c r="E3549" s="80">
        <v>35444</v>
      </c>
    </row>
    <row r="3550" spans="1:5">
      <c r="A3550">
        <v>10414</v>
      </c>
      <c r="B3550" t="s">
        <v>176</v>
      </c>
      <c r="C3550">
        <v>100</v>
      </c>
      <c r="D3550">
        <v>50</v>
      </c>
      <c r="E3550" s="80">
        <v>35444</v>
      </c>
    </row>
    <row r="3551" spans="1:5">
      <c r="A3551">
        <v>10414</v>
      </c>
      <c r="B3551" t="s">
        <v>177</v>
      </c>
      <c r="C3551">
        <v>100</v>
      </c>
      <c r="D3551">
        <v>50</v>
      </c>
      <c r="E3551" s="80">
        <v>35444</v>
      </c>
    </row>
    <row r="3552" spans="1:5">
      <c r="A3552">
        <v>10414</v>
      </c>
      <c r="B3552" t="s">
        <v>178</v>
      </c>
      <c r="C3552">
        <v>100</v>
      </c>
      <c r="D3552">
        <v>50</v>
      </c>
      <c r="E3552" s="80">
        <v>35444</v>
      </c>
    </row>
    <row r="3553" spans="1:5">
      <c r="A3553">
        <v>10414</v>
      </c>
      <c r="B3553" t="s">
        <v>179</v>
      </c>
      <c r="C3553">
        <v>100</v>
      </c>
      <c r="D3553">
        <v>50</v>
      </c>
      <c r="E3553" s="80">
        <v>35444</v>
      </c>
    </row>
    <row r="3554" spans="1:5">
      <c r="A3554">
        <v>10415</v>
      </c>
      <c r="B3554" t="s">
        <v>172</v>
      </c>
      <c r="C3554">
        <v>62.4</v>
      </c>
      <c r="D3554">
        <v>2</v>
      </c>
      <c r="E3554" s="80">
        <v>35445</v>
      </c>
    </row>
    <row r="3555" spans="1:5">
      <c r="A3555">
        <v>10415</v>
      </c>
      <c r="B3555" t="s">
        <v>173</v>
      </c>
      <c r="C3555">
        <v>62.4</v>
      </c>
      <c r="D3555">
        <v>2</v>
      </c>
      <c r="E3555" s="80">
        <v>35445</v>
      </c>
    </row>
    <row r="3556" spans="1:5">
      <c r="A3556">
        <v>10415</v>
      </c>
      <c r="B3556" t="s">
        <v>174</v>
      </c>
      <c r="C3556">
        <v>62.4</v>
      </c>
      <c r="D3556">
        <v>2</v>
      </c>
      <c r="E3556" s="80">
        <v>35445</v>
      </c>
    </row>
    <row r="3557" spans="1:5">
      <c r="A3557">
        <v>10415</v>
      </c>
      <c r="B3557" t="s">
        <v>175</v>
      </c>
      <c r="C3557">
        <v>62.4</v>
      </c>
      <c r="D3557">
        <v>2</v>
      </c>
      <c r="E3557" s="80">
        <v>35445</v>
      </c>
    </row>
    <row r="3558" spans="1:5">
      <c r="A3558">
        <v>10415</v>
      </c>
      <c r="B3558" t="s">
        <v>176</v>
      </c>
      <c r="C3558">
        <v>62.4</v>
      </c>
      <c r="D3558">
        <v>2</v>
      </c>
      <c r="E3558" s="80">
        <v>35445</v>
      </c>
    </row>
    <row r="3559" spans="1:5">
      <c r="A3559">
        <v>10415</v>
      </c>
      <c r="B3559" t="s">
        <v>177</v>
      </c>
      <c r="C3559">
        <v>62.4</v>
      </c>
      <c r="D3559">
        <v>2</v>
      </c>
      <c r="E3559" s="80">
        <v>35445</v>
      </c>
    </row>
    <row r="3560" spans="1:5">
      <c r="A3560">
        <v>10415</v>
      </c>
      <c r="B3560" t="s">
        <v>178</v>
      </c>
      <c r="C3560">
        <v>62.4</v>
      </c>
      <c r="D3560">
        <v>2</v>
      </c>
      <c r="E3560" s="80">
        <v>35445</v>
      </c>
    </row>
    <row r="3561" spans="1:5">
      <c r="A3561">
        <v>10415</v>
      </c>
      <c r="B3561" t="s">
        <v>179</v>
      </c>
      <c r="C3561">
        <v>62.4</v>
      </c>
      <c r="D3561">
        <v>2</v>
      </c>
      <c r="E3561" s="80">
        <v>35445</v>
      </c>
    </row>
    <row r="3562" spans="1:5">
      <c r="A3562">
        <v>10415</v>
      </c>
      <c r="B3562" t="s">
        <v>172</v>
      </c>
      <c r="C3562">
        <v>40</v>
      </c>
      <c r="D3562">
        <v>20</v>
      </c>
      <c r="E3562" s="80">
        <v>35445</v>
      </c>
    </row>
    <row r="3563" spans="1:5">
      <c r="A3563">
        <v>10415</v>
      </c>
      <c r="B3563" t="s">
        <v>173</v>
      </c>
      <c r="C3563">
        <v>40</v>
      </c>
      <c r="D3563">
        <v>20</v>
      </c>
      <c r="E3563" s="80">
        <v>35445</v>
      </c>
    </row>
    <row r="3564" spans="1:5">
      <c r="A3564">
        <v>10415</v>
      </c>
      <c r="B3564" t="s">
        <v>174</v>
      </c>
      <c r="C3564">
        <v>40</v>
      </c>
      <c r="D3564">
        <v>20</v>
      </c>
      <c r="E3564" s="80">
        <v>35445</v>
      </c>
    </row>
    <row r="3565" spans="1:5">
      <c r="A3565">
        <v>10415</v>
      </c>
      <c r="B3565" t="s">
        <v>175</v>
      </c>
      <c r="C3565">
        <v>40</v>
      </c>
      <c r="D3565">
        <v>20</v>
      </c>
      <c r="E3565" s="80">
        <v>35445</v>
      </c>
    </row>
    <row r="3566" spans="1:5">
      <c r="A3566">
        <v>10415</v>
      </c>
      <c r="B3566" t="s">
        <v>176</v>
      </c>
      <c r="C3566">
        <v>40</v>
      </c>
      <c r="D3566">
        <v>20</v>
      </c>
      <c r="E3566" s="80">
        <v>35445</v>
      </c>
    </row>
    <row r="3567" spans="1:5">
      <c r="A3567">
        <v>10415</v>
      </c>
      <c r="B3567" t="s">
        <v>177</v>
      </c>
      <c r="C3567">
        <v>40</v>
      </c>
      <c r="D3567">
        <v>20</v>
      </c>
      <c r="E3567" s="80">
        <v>35445</v>
      </c>
    </row>
    <row r="3568" spans="1:5">
      <c r="A3568">
        <v>10415</v>
      </c>
      <c r="B3568" t="s">
        <v>178</v>
      </c>
      <c r="C3568">
        <v>40</v>
      </c>
      <c r="D3568">
        <v>20</v>
      </c>
      <c r="E3568" s="80">
        <v>35445</v>
      </c>
    </row>
    <row r="3569" spans="1:5">
      <c r="A3569">
        <v>10415</v>
      </c>
      <c r="B3569" t="s">
        <v>179</v>
      </c>
      <c r="C3569">
        <v>40</v>
      </c>
      <c r="D3569">
        <v>20</v>
      </c>
      <c r="E3569" s="80">
        <v>35445</v>
      </c>
    </row>
    <row r="3570" spans="1:5">
      <c r="A3570">
        <v>10416</v>
      </c>
      <c r="B3570" t="s">
        <v>172</v>
      </c>
      <c r="C3570">
        <v>146</v>
      </c>
      <c r="D3570">
        <v>20</v>
      </c>
      <c r="E3570" s="80">
        <v>35446</v>
      </c>
    </row>
    <row r="3571" spans="1:5">
      <c r="A3571">
        <v>10416</v>
      </c>
      <c r="B3571" t="s">
        <v>173</v>
      </c>
      <c r="C3571">
        <v>146</v>
      </c>
      <c r="D3571">
        <v>20</v>
      </c>
      <c r="E3571" s="80">
        <v>35446</v>
      </c>
    </row>
    <row r="3572" spans="1:5">
      <c r="A3572">
        <v>10416</v>
      </c>
      <c r="B3572" t="s">
        <v>174</v>
      </c>
      <c r="C3572">
        <v>146</v>
      </c>
      <c r="D3572">
        <v>20</v>
      </c>
      <c r="E3572" s="80">
        <v>35446</v>
      </c>
    </row>
    <row r="3573" spans="1:5">
      <c r="A3573">
        <v>10416</v>
      </c>
      <c r="B3573" t="s">
        <v>175</v>
      </c>
      <c r="C3573">
        <v>146</v>
      </c>
      <c r="D3573">
        <v>20</v>
      </c>
      <c r="E3573" s="80">
        <v>35446</v>
      </c>
    </row>
    <row r="3574" spans="1:5">
      <c r="A3574">
        <v>10416</v>
      </c>
      <c r="B3574" t="s">
        <v>176</v>
      </c>
      <c r="C3574">
        <v>146</v>
      </c>
      <c r="D3574">
        <v>20</v>
      </c>
      <c r="E3574" s="80">
        <v>35446</v>
      </c>
    </row>
    <row r="3575" spans="1:5">
      <c r="A3575">
        <v>10416</v>
      </c>
      <c r="B3575" t="s">
        <v>177</v>
      </c>
      <c r="C3575">
        <v>146</v>
      </c>
      <c r="D3575">
        <v>20</v>
      </c>
      <c r="E3575" s="80">
        <v>35446</v>
      </c>
    </row>
    <row r="3576" spans="1:5">
      <c r="A3576">
        <v>10416</v>
      </c>
      <c r="B3576" t="s">
        <v>178</v>
      </c>
      <c r="C3576">
        <v>146</v>
      </c>
      <c r="D3576">
        <v>20</v>
      </c>
      <c r="E3576" s="80">
        <v>35446</v>
      </c>
    </row>
    <row r="3577" spans="1:5">
      <c r="A3577">
        <v>10416</v>
      </c>
      <c r="B3577" t="s">
        <v>179</v>
      </c>
      <c r="C3577">
        <v>146</v>
      </c>
      <c r="D3577">
        <v>20</v>
      </c>
      <c r="E3577" s="80">
        <v>35446</v>
      </c>
    </row>
    <row r="3578" spans="1:5">
      <c r="A3578">
        <v>10416</v>
      </c>
      <c r="B3578" t="s">
        <v>172</v>
      </c>
      <c r="C3578">
        <v>262</v>
      </c>
      <c r="D3578">
        <v>10</v>
      </c>
      <c r="E3578" s="80">
        <v>35446</v>
      </c>
    </row>
    <row r="3579" spans="1:5">
      <c r="A3579">
        <v>10416</v>
      </c>
      <c r="B3579" t="s">
        <v>173</v>
      </c>
      <c r="C3579">
        <v>262</v>
      </c>
      <c r="D3579">
        <v>10</v>
      </c>
      <c r="E3579" s="80">
        <v>35446</v>
      </c>
    </row>
    <row r="3580" spans="1:5">
      <c r="A3580">
        <v>10416</v>
      </c>
      <c r="B3580" t="s">
        <v>174</v>
      </c>
      <c r="C3580">
        <v>262</v>
      </c>
      <c r="D3580">
        <v>10</v>
      </c>
      <c r="E3580" s="80">
        <v>35446</v>
      </c>
    </row>
    <row r="3581" spans="1:5">
      <c r="A3581">
        <v>10416</v>
      </c>
      <c r="B3581" t="s">
        <v>175</v>
      </c>
      <c r="C3581">
        <v>262</v>
      </c>
      <c r="D3581">
        <v>10</v>
      </c>
      <c r="E3581" s="80">
        <v>35446</v>
      </c>
    </row>
    <row r="3582" spans="1:5">
      <c r="A3582">
        <v>10416</v>
      </c>
      <c r="B3582" t="s">
        <v>176</v>
      </c>
      <c r="C3582">
        <v>262</v>
      </c>
      <c r="D3582">
        <v>10</v>
      </c>
      <c r="E3582" s="80">
        <v>35446</v>
      </c>
    </row>
    <row r="3583" spans="1:5">
      <c r="A3583">
        <v>10416</v>
      </c>
      <c r="B3583" t="s">
        <v>177</v>
      </c>
      <c r="C3583">
        <v>262</v>
      </c>
      <c r="D3583">
        <v>10</v>
      </c>
      <c r="E3583" s="80">
        <v>35446</v>
      </c>
    </row>
    <row r="3584" spans="1:5">
      <c r="A3584">
        <v>10416</v>
      </c>
      <c r="B3584" t="s">
        <v>178</v>
      </c>
      <c r="C3584">
        <v>262</v>
      </c>
      <c r="D3584">
        <v>10</v>
      </c>
      <c r="E3584" s="80">
        <v>35446</v>
      </c>
    </row>
    <row r="3585" spans="1:5">
      <c r="A3585">
        <v>10416</v>
      </c>
      <c r="B3585" t="s">
        <v>179</v>
      </c>
      <c r="C3585">
        <v>262</v>
      </c>
      <c r="D3585">
        <v>10</v>
      </c>
      <c r="E3585" s="80">
        <v>35446</v>
      </c>
    </row>
    <row r="3586" spans="1:5">
      <c r="A3586">
        <v>10416</v>
      </c>
      <c r="B3586" t="s">
        <v>172</v>
      </c>
      <c r="C3586">
        <v>312</v>
      </c>
      <c r="D3586">
        <v>20</v>
      </c>
      <c r="E3586" s="80">
        <v>35446</v>
      </c>
    </row>
    <row r="3587" spans="1:5">
      <c r="A3587">
        <v>10416</v>
      </c>
      <c r="B3587" t="s">
        <v>173</v>
      </c>
      <c r="C3587">
        <v>312</v>
      </c>
      <c r="D3587">
        <v>20</v>
      </c>
      <c r="E3587" s="80">
        <v>35446</v>
      </c>
    </row>
    <row r="3588" spans="1:5">
      <c r="A3588">
        <v>10416</v>
      </c>
      <c r="B3588" t="s">
        <v>174</v>
      </c>
      <c r="C3588">
        <v>312</v>
      </c>
      <c r="D3588">
        <v>20</v>
      </c>
      <c r="E3588" s="80">
        <v>35446</v>
      </c>
    </row>
    <row r="3589" spans="1:5">
      <c r="A3589">
        <v>10416</v>
      </c>
      <c r="B3589" t="s">
        <v>175</v>
      </c>
      <c r="C3589">
        <v>312</v>
      </c>
      <c r="D3589">
        <v>20</v>
      </c>
      <c r="E3589" s="80">
        <v>35446</v>
      </c>
    </row>
    <row r="3590" spans="1:5">
      <c r="A3590">
        <v>10416</v>
      </c>
      <c r="B3590" t="s">
        <v>176</v>
      </c>
      <c r="C3590">
        <v>312</v>
      </c>
      <c r="D3590">
        <v>20</v>
      </c>
      <c r="E3590" s="80">
        <v>35446</v>
      </c>
    </row>
    <row r="3591" spans="1:5">
      <c r="A3591">
        <v>10416</v>
      </c>
      <c r="B3591" t="s">
        <v>177</v>
      </c>
      <c r="C3591">
        <v>312</v>
      </c>
      <c r="D3591">
        <v>20</v>
      </c>
      <c r="E3591" s="80">
        <v>35446</v>
      </c>
    </row>
    <row r="3592" spans="1:5">
      <c r="A3592">
        <v>10416</v>
      </c>
      <c r="B3592" t="s">
        <v>178</v>
      </c>
      <c r="C3592">
        <v>312</v>
      </c>
      <c r="D3592">
        <v>20</v>
      </c>
      <c r="E3592" s="80">
        <v>35446</v>
      </c>
    </row>
    <row r="3593" spans="1:5">
      <c r="A3593">
        <v>10416</v>
      </c>
      <c r="B3593" t="s">
        <v>179</v>
      </c>
      <c r="C3593">
        <v>312</v>
      </c>
      <c r="D3593">
        <v>20</v>
      </c>
      <c r="E3593" s="80">
        <v>35446</v>
      </c>
    </row>
    <row r="3594" spans="1:5">
      <c r="A3594">
        <v>10417</v>
      </c>
      <c r="B3594" t="s">
        <v>172</v>
      </c>
      <c r="C3594">
        <v>10540</v>
      </c>
      <c r="D3594">
        <v>50</v>
      </c>
      <c r="E3594" s="80">
        <v>35446</v>
      </c>
    </row>
    <row r="3595" spans="1:5">
      <c r="A3595">
        <v>10417</v>
      </c>
      <c r="B3595" t="s">
        <v>173</v>
      </c>
      <c r="C3595">
        <v>10540</v>
      </c>
      <c r="D3595">
        <v>50</v>
      </c>
      <c r="E3595" s="80">
        <v>35446</v>
      </c>
    </row>
    <row r="3596" spans="1:5">
      <c r="A3596">
        <v>10417</v>
      </c>
      <c r="B3596" t="s">
        <v>174</v>
      </c>
      <c r="C3596">
        <v>10540</v>
      </c>
      <c r="D3596">
        <v>50</v>
      </c>
      <c r="E3596" s="80">
        <v>35446</v>
      </c>
    </row>
    <row r="3597" spans="1:5">
      <c r="A3597">
        <v>10417</v>
      </c>
      <c r="B3597" t="s">
        <v>175</v>
      </c>
      <c r="C3597">
        <v>10540</v>
      </c>
      <c r="D3597">
        <v>50</v>
      </c>
      <c r="E3597" s="80">
        <v>35446</v>
      </c>
    </row>
    <row r="3598" spans="1:5">
      <c r="A3598">
        <v>10417</v>
      </c>
      <c r="B3598" t="s">
        <v>176</v>
      </c>
      <c r="C3598">
        <v>10540</v>
      </c>
      <c r="D3598">
        <v>50</v>
      </c>
      <c r="E3598" s="80">
        <v>35446</v>
      </c>
    </row>
    <row r="3599" spans="1:5">
      <c r="A3599">
        <v>10417</v>
      </c>
      <c r="B3599" t="s">
        <v>177</v>
      </c>
      <c r="C3599">
        <v>10540</v>
      </c>
      <c r="D3599">
        <v>50</v>
      </c>
      <c r="E3599" s="80">
        <v>35446</v>
      </c>
    </row>
    <row r="3600" spans="1:5">
      <c r="A3600">
        <v>10417</v>
      </c>
      <c r="B3600" t="s">
        <v>178</v>
      </c>
      <c r="C3600">
        <v>10540</v>
      </c>
      <c r="D3600">
        <v>50</v>
      </c>
      <c r="E3600" s="80">
        <v>35446</v>
      </c>
    </row>
    <row r="3601" spans="1:5">
      <c r="A3601">
        <v>10417</v>
      </c>
      <c r="B3601" t="s">
        <v>179</v>
      </c>
      <c r="C3601">
        <v>10540</v>
      </c>
      <c r="D3601">
        <v>50</v>
      </c>
      <c r="E3601" s="80">
        <v>35446</v>
      </c>
    </row>
    <row r="3602" spans="1:5">
      <c r="A3602">
        <v>10417</v>
      </c>
      <c r="B3602" t="s">
        <v>172</v>
      </c>
      <c r="C3602">
        <v>14.399999999999999</v>
      </c>
      <c r="D3602">
        <v>2</v>
      </c>
      <c r="E3602" s="80">
        <v>35446</v>
      </c>
    </row>
    <row r="3603" spans="1:5">
      <c r="A3603">
        <v>10417</v>
      </c>
      <c r="B3603" t="s">
        <v>173</v>
      </c>
      <c r="C3603">
        <v>14.399999999999999</v>
      </c>
      <c r="D3603">
        <v>2</v>
      </c>
      <c r="E3603" s="80">
        <v>35446</v>
      </c>
    </row>
    <row r="3604" spans="1:5">
      <c r="A3604">
        <v>10417</v>
      </c>
      <c r="B3604" t="s">
        <v>174</v>
      </c>
      <c r="C3604">
        <v>14.399999999999999</v>
      </c>
      <c r="D3604">
        <v>2</v>
      </c>
      <c r="E3604" s="80">
        <v>35446</v>
      </c>
    </row>
    <row r="3605" spans="1:5">
      <c r="A3605">
        <v>10417</v>
      </c>
      <c r="B3605" t="s">
        <v>175</v>
      </c>
      <c r="C3605">
        <v>14.399999999999999</v>
      </c>
      <c r="D3605">
        <v>2</v>
      </c>
      <c r="E3605" s="80">
        <v>35446</v>
      </c>
    </row>
    <row r="3606" spans="1:5">
      <c r="A3606">
        <v>10417</v>
      </c>
      <c r="B3606" t="s">
        <v>176</v>
      </c>
      <c r="C3606">
        <v>14.399999999999999</v>
      </c>
      <c r="D3606">
        <v>2</v>
      </c>
      <c r="E3606" s="80">
        <v>35446</v>
      </c>
    </row>
    <row r="3607" spans="1:5">
      <c r="A3607">
        <v>10417</v>
      </c>
      <c r="B3607" t="s">
        <v>177</v>
      </c>
      <c r="C3607">
        <v>14.399999999999999</v>
      </c>
      <c r="D3607">
        <v>2</v>
      </c>
      <c r="E3607" s="80">
        <v>35446</v>
      </c>
    </row>
    <row r="3608" spans="1:5">
      <c r="A3608">
        <v>10417</v>
      </c>
      <c r="B3608" t="s">
        <v>178</v>
      </c>
      <c r="C3608">
        <v>14.399999999999999</v>
      </c>
      <c r="D3608">
        <v>2</v>
      </c>
      <c r="E3608" s="80">
        <v>35446</v>
      </c>
    </row>
    <row r="3609" spans="1:5">
      <c r="A3609">
        <v>10417</v>
      </c>
      <c r="B3609" t="s">
        <v>179</v>
      </c>
      <c r="C3609">
        <v>14.399999999999999</v>
      </c>
      <c r="D3609">
        <v>2</v>
      </c>
      <c r="E3609" s="80">
        <v>35446</v>
      </c>
    </row>
    <row r="3610" spans="1:5">
      <c r="A3610">
        <v>10417</v>
      </c>
      <c r="B3610" t="s">
        <v>172</v>
      </c>
      <c r="C3610">
        <v>270</v>
      </c>
      <c r="D3610">
        <v>36</v>
      </c>
      <c r="E3610" s="80">
        <v>35446</v>
      </c>
    </row>
    <row r="3611" spans="1:5">
      <c r="A3611">
        <v>10417</v>
      </c>
      <c r="B3611" t="s">
        <v>173</v>
      </c>
      <c r="C3611">
        <v>270</v>
      </c>
      <c r="D3611">
        <v>36</v>
      </c>
      <c r="E3611" s="80">
        <v>35446</v>
      </c>
    </row>
    <row r="3612" spans="1:5">
      <c r="A3612">
        <v>10417</v>
      </c>
      <c r="B3612" t="s">
        <v>174</v>
      </c>
      <c r="C3612">
        <v>270</v>
      </c>
      <c r="D3612">
        <v>36</v>
      </c>
      <c r="E3612" s="80">
        <v>35446</v>
      </c>
    </row>
    <row r="3613" spans="1:5">
      <c r="A3613">
        <v>10417</v>
      </c>
      <c r="B3613" t="s">
        <v>175</v>
      </c>
      <c r="C3613">
        <v>270</v>
      </c>
      <c r="D3613">
        <v>36</v>
      </c>
      <c r="E3613" s="80">
        <v>35446</v>
      </c>
    </row>
    <row r="3614" spans="1:5">
      <c r="A3614">
        <v>10417</v>
      </c>
      <c r="B3614" t="s">
        <v>176</v>
      </c>
      <c r="C3614">
        <v>270</v>
      </c>
      <c r="D3614">
        <v>36</v>
      </c>
      <c r="E3614" s="80">
        <v>35446</v>
      </c>
    </row>
    <row r="3615" spans="1:5">
      <c r="A3615">
        <v>10417</v>
      </c>
      <c r="B3615" t="s">
        <v>177</v>
      </c>
      <c r="C3615">
        <v>270</v>
      </c>
      <c r="D3615">
        <v>36</v>
      </c>
      <c r="E3615" s="80">
        <v>35446</v>
      </c>
    </row>
    <row r="3616" spans="1:5">
      <c r="A3616">
        <v>10417</v>
      </c>
      <c r="B3616" t="s">
        <v>178</v>
      </c>
      <c r="C3616">
        <v>270</v>
      </c>
      <c r="D3616">
        <v>36</v>
      </c>
      <c r="E3616" s="80">
        <v>35446</v>
      </c>
    </row>
    <row r="3617" spans="1:5">
      <c r="A3617">
        <v>10417</v>
      </c>
      <c r="B3617" t="s">
        <v>179</v>
      </c>
      <c r="C3617">
        <v>270</v>
      </c>
      <c r="D3617">
        <v>36</v>
      </c>
      <c r="E3617" s="80">
        <v>35446</v>
      </c>
    </row>
    <row r="3618" spans="1:5">
      <c r="A3618">
        <v>10417</v>
      </c>
      <c r="B3618" t="s">
        <v>172</v>
      </c>
      <c r="C3618">
        <v>364</v>
      </c>
      <c r="D3618">
        <v>35</v>
      </c>
      <c r="E3618" s="80">
        <v>35446</v>
      </c>
    </row>
    <row r="3619" spans="1:5">
      <c r="A3619">
        <v>10417</v>
      </c>
      <c r="B3619" t="s">
        <v>173</v>
      </c>
      <c r="C3619">
        <v>364</v>
      </c>
      <c r="D3619">
        <v>35</v>
      </c>
      <c r="E3619" s="80">
        <v>35446</v>
      </c>
    </row>
    <row r="3620" spans="1:5">
      <c r="A3620">
        <v>10417</v>
      </c>
      <c r="B3620" t="s">
        <v>174</v>
      </c>
      <c r="C3620">
        <v>364</v>
      </c>
      <c r="D3620">
        <v>35</v>
      </c>
      <c r="E3620" s="80">
        <v>35446</v>
      </c>
    </row>
    <row r="3621" spans="1:5">
      <c r="A3621">
        <v>10417</v>
      </c>
      <c r="B3621" t="s">
        <v>175</v>
      </c>
      <c r="C3621">
        <v>364</v>
      </c>
      <c r="D3621">
        <v>35</v>
      </c>
      <c r="E3621" s="80">
        <v>35446</v>
      </c>
    </row>
    <row r="3622" spans="1:5">
      <c r="A3622">
        <v>10417</v>
      </c>
      <c r="B3622" t="s">
        <v>176</v>
      </c>
      <c r="C3622">
        <v>364</v>
      </c>
      <c r="D3622">
        <v>35</v>
      </c>
      <c r="E3622" s="80">
        <v>35446</v>
      </c>
    </row>
    <row r="3623" spans="1:5">
      <c r="A3623">
        <v>10417</v>
      </c>
      <c r="B3623" t="s">
        <v>177</v>
      </c>
      <c r="C3623">
        <v>364</v>
      </c>
      <c r="D3623">
        <v>35</v>
      </c>
      <c r="E3623" s="80">
        <v>35446</v>
      </c>
    </row>
    <row r="3624" spans="1:5">
      <c r="A3624">
        <v>10417</v>
      </c>
      <c r="B3624" t="s">
        <v>178</v>
      </c>
      <c r="C3624">
        <v>364</v>
      </c>
      <c r="D3624">
        <v>35</v>
      </c>
      <c r="E3624" s="80">
        <v>35446</v>
      </c>
    </row>
    <row r="3625" spans="1:5">
      <c r="A3625">
        <v>10417</v>
      </c>
      <c r="B3625" t="s">
        <v>179</v>
      </c>
      <c r="C3625">
        <v>364</v>
      </c>
      <c r="D3625">
        <v>35</v>
      </c>
      <c r="E3625" s="80">
        <v>35446</v>
      </c>
    </row>
    <row r="3626" spans="1:5">
      <c r="A3626">
        <v>10418</v>
      </c>
      <c r="B3626" t="s">
        <v>172</v>
      </c>
      <c r="C3626">
        <v>912</v>
      </c>
      <c r="D3626">
        <v>60</v>
      </c>
      <c r="E3626" s="80">
        <v>35447</v>
      </c>
    </row>
    <row r="3627" spans="1:5">
      <c r="A3627">
        <v>10418</v>
      </c>
      <c r="B3627" t="s">
        <v>173</v>
      </c>
      <c r="C3627">
        <v>912</v>
      </c>
      <c r="D3627">
        <v>60</v>
      </c>
      <c r="E3627" s="80">
        <v>35447</v>
      </c>
    </row>
    <row r="3628" spans="1:5">
      <c r="A3628">
        <v>10418</v>
      </c>
      <c r="B3628" t="s">
        <v>174</v>
      </c>
      <c r="C3628">
        <v>912</v>
      </c>
      <c r="D3628">
        <v>60</v>
      </c>
      <c r="E3628" s="80">
        <v>35447</v>
      </c>
    </row>
    <row r="3629" spans="1:5">
      <c r="A3629">
        <v>10418</v>
      </c>
      <c r="B3629" t="s">
        <v>175</v>
      </c>
      <c r="C3629">
        <v>912</v>
      </c>
      <c r="D3629">
        <v>60</v>
      </c>
      <c r="E3629" s="80">
        <v>35447</v>
      </c>
    </row>
    <row r="3630" spans="1:5">
      <c r="A3630">
        <v>10418</v>
      </c>
      <c r="B3630" t="s">
        <v>176</v>
      </c>
      <c r="C3630">
        <v>912</v>
      </c>
      <c r="D3630">
        <v>60</v>
      </c>
      <c r="E3630" s="80">
        <v>35447</v>
      </c>
    </row>
    <row r="3631" spans="1:5">
      <c r="A3631">
        <v>10418</v>
      </c>
      <c r="B3631" t="s">
        <v>177</v>
      </c>
      <c r="C3631">
        <v>912</v>
      </c>
      <c r="D3631">
        <v>60</v>
      </c>
      <c r="E3631" s="80">
        <v>35447</v>
      </c>
    </row>
    <row r="3632" spans="1:5">
      <c r="A3632">
        <v>10418</v>
      </c>
      <c r="B3632" t="s">
        <v>178</v>
      </c>
      <c r="C3632">
        <v>912</v>
      </c>
      <c r="D3632">
        <v>60</v>
      </c>
      <c r="E3632" s="80">
        <v>35447</v>
      </c>
    </row>
    <row r="3633" spans="1:5">
      <c r="A3633">
        <v>10418</v>
      </c>
      <c r="B3633" t="s">
        <v>179</v>
      </c>
      <c r="C3633">
        <v>912</v>
      </c>
      <c r="D3633">
        <v>60</v>
      </c>
      <c r="E3633" s="80">
        <v>35447</v>
      </c>
    </row>
    <row r="3634" spans="1:5">
      <c r="A3634">
        <v>10418</v>
      </c>
      <c r="B3634" t="s">
        <v>172</v>
      </c>
      <c r="C3634">
        <v>418</v>
      </c>
      <c r="D3634">
        <v>55</v>
      </c>
      <c r="E3634" s="80">
        <v>35447</v>
      </c>
    </row>
    <row r="3635" spans="1:5">
      <c r="A3635">
        <v>10418</v>
      </c>
      <c r="B3635" t="s">
        <v>173</v>
      </c>
      <c r="C3635">
        <v>418</v>
      </c>
      <c r="D3635">
        <v>55</v>
      </c>
      <c r="E3635" s="80">
        <v>35447</v>
      </c>
    </row>
    <row r="3636" spans="1:5">
      <c r="A3636">
        <v>10418</v>
      </c>
      <c r="B3636" t="s">
        <v>174</v>
      </c>
      <c r="C3636">
        <v>418</v>
      </c>
      <c r="D3636">
        <v>55</v>
      </c>
      <c r="E3636" s="80">
        <v>35447</v>
      </c>
    </row>
    <row r="3637" spans="1:5">
      <c r="A3637">
        <v>10418</v>
      </c>
      <c r="B3637" t="s">
        <v>175</v>
      </c>
      <c r="C3637">
        <v>418</v>
      </c>
      <c r="D3637">
        <v>55</v>
      </c>
      <c r="E3637" s="80">
        <v>35447</v>
      </c>
    </row>
    <row r="3638" spans="1:5">
      <c r="A3638">
        <v>10418</v>
      </c>
      <c r="B3638" t="s">
        <v>176</v>
      </c>
      <c r="C3638">
        <v>418</v>
      </c>
      <c r="D3638">
        <v>55</v>
      </c>
      <c r="E3638" s="80">
        <v>35447</v>
      </c>
    </row>
    <row r="3639" spans="1:5">
      <c r="A3639">
        <v>10418</v>
      </c>
      <c r="B3639" t="s">
        <v>177</v>
      </c>
      <c r="C3639">
        <v>418</v>
      </c>
      <c r="D3639">
        <v>55</v>
      </c>
      <c r="E3639" s="80">
        <v>35447</v>
      </c>
    </row>
    <row r="3640" spans="1:5">
      <c r="A3640">
        <v>10418</v>
      </c>
      <c r="B3640" t="s">
        <v>178</v>
      </c>
      <c r="C3640">
        <v>418</v>
      </c>
      <c r="D3640">
        <v>55</v>
      </c>
      <c r="E3640" s="80">
        <v>35447</v>
      </c>
    </row>
    <row r="3641" spans="1:5">
      <c r="A3641">
        <v>10418</v>
      </c>
      <c r="B3641" t="s">
        <v>179</v>
      </c>
      <c r="C3641">
        <v>418</v>
      </c>
      <c r="D3641">
        <v>55</v>
      </c>
      <c r="E3641" s="80">
        <v>35447</v>
      </c>
    </row>
    <row r="3642" spans="1:5">
      <c r="A3642">
        <v>10418</v>
      </c>
      <c r="B3642" t="s">
        <v>172</v>
      </c>
      <c r="C3642">
        <v>364.8</v>
      </c>
      <c r="D3642">
        <v>16</v>
      </c>
      <c r="E3642" s="80">
        <v>35447</v>
      </c>
    </row>
    <row r="3643" spans="1:5">
      <c r="A3643">
        <v>10418</v>
      </c>
      <c r="B3643" t="s">
        <v>173</v>
      </c>
      <c r="C3643">
        <v>364.8</v>
      </c>
      <c r="D3643">
        <v>16</v>
      </c>
      <c r="E3643" s="80">
        <v>35447</v>
      </c>
    </row>
    <row r="3644" spans="1:5">
      <c r="A3644">
        <v>10418</v>
      </c>
      <c r="B3644" t="s">
        <v>174</v>
      </c>
      <c r="C3644">
        <v>364.8</v>
      </c>
      <c r="D3644">
        <v>16</v>
      </c>
      <c r="E3644" s="80">
        <v>35447</v>
      </c>
    </row>
    <row r="3645" spans="1:5">
      <c r="A3645">
        <v>10418</v>
      </c>
      <c r="B3645" t="s">
        <v>175</v>
      </c>
      <c r="C3645">
        <v>364.8</v>
      </c>
      <c r="D3645">
        <v>16</v>
      </c>
      <c r="E3645" s="80">
        <v>35447</v>
      </c>
    </row>
    <row r="3646" spans="1:5">
      <c r="A3646">
        <v>10418</v>
      </c>
      <c r="B3646" t="s">
        <v>176</v>
      </c>
      <c r="C3646">
        <v>364.8</v>
      </c>
      <c r="D3646">
        <v>16</v>
      </c>
      <c r="E3646" s="80">
        <v>35447</v>
      </c>
    </row>
    <row r="3647" spans="1:5">
      <c r="A3647">
        <v>10418</v>
      </c>
      <c r="B3647" t="s">
        <v>177</v>
      </c>
      <c r="C3647">
        <v>364.8</v>
      </c>
      <c r="D3647">
        <v>16</v>
      </c>
      <c r="E3647" s="80">
        <v>35447</v>
      </c>
    </row>
    <row r="3648" spans="1:5">
      <c r="A3648">
        <v>10418</v>
      </c>
      <c r="B3648" t="s">
        <v>178</v>
      </c>
      <c r="C3648">
        <v>364.8</v>
      </c>
      <c r="D3648">
        <v>16</v>
      </c>
      <c r="E3648" s="80">
        <v>35447</v>
      </c>
    </row>
    <row r="3649" spans="1:5">
      <c r="A3649">
        <v>10418</v>
      </c>
      <c r="B3649" t="s">
        <v>179</v>
      </c>
      <c r="C3649">
        <v>364.8</v>
      </c>
      <c r="D3649">
        <v>16</v>
      </c>
      <c r="E3649" s="80">
        <v>35447</v>
      </c>
    </row>
    <row r="3650" spans="1:5">
      <c r="A3650">
        <v>10418</v>
      </c>
      <c r="B3650" t="s">
        <v>172</v>
      </c>
      <c r="C3650">
        <v>120</v>
      </c>
      <c r="D3650">
        <v>15</v>
      </c>
      <c r="E3650" s="80">
        <v>35447</v>
      </c>
    </row>
    <row r="3651" spans="1:5">
      <c r="A3651">
        <v>10418</v>
      </c>
      <c r="B3651" t="s">
        <v>173</v>
      </c>
      <c r="C3651">
        <v>120</v>
      </c>
      <c r="D3651">
        <v>15</v>
      </c>
      <c r="E3651" s="80">
        <v>35447</v>
      </c>
    </row>
    <row r="3652" spans="1:5">
      <c r="A3652">
        <v>10418</v>
      </c>
      <c r="B3652" t="s">
        <v>174</v>
      </c>
      <c r="C3652">
        <v>120</v>
      </c>
      <c r="D3652">
        <v>15</v>
      </c>
      <c r="E3652" s="80">
        <v>35447</v>
      </c>
    </row>
    <row r="3653" spans="1:5">
      <c r="A3653">
        <v>10418</v>
      </c>
      <c r="B3653" t="s">
        <v>175</v>
      </c>
      <c r="C3653">
        <v>120</v>
      </c>
      <c r="D3653">
        <v>15</v>
      </c>
      <c r="E3653" s="80">
        <v>35447</v>
      </c>
    </row>
    <row r="3654" spans="1:5">
      <c r="A3654">
        <v>10418</v>
      </c>
      <c r="B3654" t="s">
        <v>176</v>
      </c>
      <c r="C3654">
        <v>120</v>
      </c>
      <c r="D3654">
        <v>15</v>
      </c>
      <c r="E3654" s="80">
        <v>35447</v>
      </c>
    </row>
    <row r="3655" spans="1:5">
      <c r="A3655">
        <v>10418</v>
      </c>
      <c r="B3655" t="s">
        <v>177</v>
      </c>
      <c r="C3655">
        <v>120</v>
      </c>
      <c r="D3655">
        <v>15</v>
      </c>
      <c r="E3655" s="80">
        <v>35447</v>
      </c>
    </row>
    <row r="3656" spans="1:5">
      <c r="A3656">
        <v>10418</v>
      </c>
      <c r="B3656" t="s">
        <v>178</v>
      </c>
      <c r="C3656">
        <v>120</v>
      </c>
      <c r="D3656">
        <v>15</v>
      </c>
      <c r="E3656" s="80">
        <v>35447</v>
      </c>
    </row>
    <row r="3657" spans="1:5">
      <c r="A3657">
        <v>10418</v>
      </c>
      <c r="B3657" t="s">
        <v>179</v>
      </c>
      <c r="C3657">
        <v>120</v>
      </c>
      <c r="D3657">
        <v>15</v>
      </c>
      <c r="E3657" s="80">
        <v>35447</v>
      </c>
    </row>
    <row r="3658" spans="1:5">
      <c r="A3658">
        <v>10419</v>
      </c>
      <c r="B3658" t="s">
        <v>172</v>
      </c>
      <c r="C3658">
        <v>1550.3999987840652</v>
      </c>
      <c r="D3658">
        <v>60</v>
      </c>
      <c r="E3658" s="80">
        <v>35450</v>
      </c>
    </row>
    <row r="3659" spans="1:5">
      <c r="A3659">
        <v>10419</v>
      </c>
      <c r="B3659" t="s">
        <v>173</v>
      </c>
      <c r="C3659">
        <v>1550.3999987840652</v>
      </c>
      <c r="D3659">
        <v>60</v>
      </c>
      <c r="E3659" s="80">
        <v>35450</v>
      </c>
    </row>
    <row r="3660" spans="1:5">
      <c r="A3660">
        <v>10419</v>
      </c>
      <c r="B3660" t="s">
        <v>174</v>
      </c>
      <c r="C3660">
        <v>1550.3999987840652</v>
      </c>
      <c r="D3660">
        <v>60</v>
      </c>
      <c r="E3660" s="80">
        <v>35450</v>
      </c>
    </row>
    <row r="3661" spans="1:5">
      <c r="A3661">
        <v>10419</v>
      </c>
      <c r="B3661" t="s">
        <v>175</v>
      </c>
      <c r="C3661">
        <v>1550.3999987840652</v>
      </c>
      <c r="D3661">
        <v>60</v>
      </c>
      <c r="E3661" s="80">
        <v>35450</v>
      </c>
    </row>
    <row r="3662" spans="1:5">
      <c r="A3662">
        <v>10419</v>
      </c>
      <c r="B3662" t="s">
        <v>176</v>
      </c>
      <c r="C3662">
        <v>1550.3999987840652</v>
      </c>
      <c r="D3662">
        <v>60</v>
      </c>
      <c r="E3662" s="80">
        <v>35450</v>
      </c>
    </row>
    <row r="3663" spans="1:5">
      <c r="A3663">
        <v>10419</v>
      </c>
      <c r="B3663" t="s">
        <v>177</v>
      </c>
      <c r="C3663">
        <v>1550.3999987840652</v>
      </c>
      <c r="D3663">
        <v>60</v>
      </c>
      <c r="E3663" s="80">
        <v>35450</v>
      </c>
    </row>
    <row r="3664" spans="1:5">
      <c r="A3664">
        <v>10419</v>
      </c>
      <c r="B3664" t="s">
        <v>178</v>
      </c>
      <c r="C3664">
        <v>1550.3999987840652</v>
      </c>
      <c r="D3664">
        <v>60</v>
      </c>
      <c r="E3664" s="80">
        <v>35450</v>
      </c>
    </row>
    <row r="3665" spans="1:5">
      <c r="A3665">
        <v>10419</v>
      </c>
      <c r="B3665" t="s">
        <v>179</v>
      </c>
      <c r="C3665">
        <v>1550.3999987840652</v>
      </c>
      <c r="D3665">
        <v>60</v>
      </c>
      <c r="E3665" s="80">
        <v>35450</v>
      </c>
    </row>
    <row r="3666" spans="1:5">
      <c r="A3666">
        <v>10419</v>
      </c>
      <c r="B3666" t="s">
        <v>172</v>
      </c>
      <c r="C3666">
        <v>547.19999957084656</v>
      </c>
      <c r="D3666">
        <v>20</v>
      </c>
      <c r="E3666" s="80">
        <v>35450</v>
      </c>
    </row>
    <row r="3667" spans="1:5">
      <c r="A3667">
        <v>10419</v>
      </c>
      <c r="B3667" t="s">
        <v>173</v>
      </c>
      <c r="C3667">
        <v>547.19999957084656</v>
      </c>
      <c r="D3667">
        <v>20</v>
      </c>
      <c r="E3667" s="80">
        <v>35450</v>
      </c>
    </row>
    <row r="3668" spans="1:5">
      <c r="A3668">
        <v>10419</v>
      </c>
      <c r="B3668" t="s">
        <v>174</v>
      </c>
      <c r="C3668">
        <v>547.19999957084656</v>
      </c>
      <c r="D3668">
        <v>20</v>
      </c>
      <c r="E3668" s="80">
        <v>35450</v>
      </c>
    </row>
    <row r="3669" spans="1:5">
      <c r="A3669">
        <v>10419</v>
      </c>
      <c r="B3669" t="s">
        <v>175</v>
      </c>
      <c r="C3669">
        <v>547.19999957084656</v>
      </c>
      <c r="D3669">
        <v>20</v>
      </c>
      <c r="E3669" s="80">
        <v>35450</v>
      </c>
    </row>
    <row r="3670" spans="1:5">
      <c r="A3670">
        <v>10419</v>
      </c>
      <c r="B3670" t="s">
        <v>176</v>
      </c>
      <c r="C3670">
        <v>547.19999957084656</v>
      </c>
      <c r="D3670">
        <v>20</v>
      </c>
      <c r="E3670" s="80">
        <v>35450</v>
      </c>
    </row>
    <row r="3671" spans="1:5">
      <c r="A3671">
        <v>10419</v>
      </c>
      <c r="B3671" t="s">
        <v>177</v>
      </c>
      <c r="C3671">
        <v>547.19999957084656</v>
      </c>
      <c r="D3671">
        <v>20</v>
      </c>
      <c r="E3671" s="80">
        <v>35450</v>
      </c>
    </row>
    <row r="3672" spans="1:5">
      <c r="A3672">
        <v>10419</v>
      </c>
      <c r="B3672" t="s">
        <v>178</v>
      </c>
      <c r="C3672">
        <v>547.19999957084656</v>
      </c>
      <c r="D3672">
        <v>20</v>
      </c>
      <c r="E3672" s="80">
        <v>35450</v>
      </c>
    </row>
    <row r="3673" spans="1:5">
      <c r="A3673">
        <v>10419</v>
      </c>
      <c r="B3673" t="s">
        <v>179</v>
      </c>
      <c r="C3673">
        <v>547.19999957084656</v>
      </c>
      <c r="D3673">
        <v>20</v>
      </c>
      <c r="E3673" s="80">
        <v>35450</v>
      </c>
    </row>
    <row r="3674" spans="1:5">
      <c r="A3674">
        <v>10420</v>
      </c>
      <c r="B3674" t="s">
        <v>172</v>
      </c>
      <c r="C3674">
        <v>1396.7999976873398</v>
      </c>
      <c r="D3674">
        <v>20</v>
      </c>
      <c r="E3674" s="80">
        <v>35451</v>
      </c>
    </row>
    <row r="3675" spans="1:5">
      <c r="A3675">
        <v>10420</v>
      </c>
      <c r="B3675" t="s">
        <v>173</v>
      </c>
      <c r="C3675">
        <v>1396.7999976873398</v>
      </c>
      <c r="D3675">
        <v>20</v>
      </c>
      <c r="E3675" s="80">
        <v>35451</v>
      </c>
    </row>
    <row r="3676" spans="1:5">
      <c r="A3676">
        <v>10420</v>
      </c>
      <c r="B3676" t="s">
        <v>174</v>
      </c>
      <c r="C3676">
        <v>1396.7999976873398</v>
      </c>
      <c r="D3676">
        <v>20</v>
      </c>
      <c r="E3676" s="80">
        <v>35451</v>
      </c>
    </row>
    <row r="3677" spans="1:5">
      <c r="A3677">
        <v>10420</v>
      </c>
      <c r="B3677" t="s">
        <v>175</v>
      </c>
      <c r="C3677">
        <v>1396.7999976873398</v>
      </c>
      <c r="D3677">
        <v>20</v>
      </c>
      <c r="E3677" s="80">
        <v>35451</v>
      </c>
    </row>
    <row r="3678" spans="1:5">
      <c r="A3678">
        <v>10420</v>
      </c>
      <c r="B3678" t="s">
        <v>176</v>
      </c>
      <c r="C3678">
        <v>1396.7999976873398</v>
      </c>
      <c r="D3678">
        <v>20</v>
      </c>
      <c r="E3678" s="80">
        <v>35451</v>
      </c>
    </row>
    <row r="3679" spans="1:5">
      <c r="A3679">
        <v>10420</v>
      </c>
      <c r="B3679" t="s">
        <v>177</v>
      </c>
      <c r="C3679">
        <v>1396.7999976873398</v>
      </c>
      <c r="D3679">
        <v>20</v>
      </c>
      <c r="E3679" s="80">
        <v>35451</v>
      </c>
    </row>
    <row r="3680" spans="1:5">
      <c r="A3680">
        <v>10420</v>
      </c>
      <c r="B3680" t="s">
        <v>178</v>
      </c>
      <c r="C3680">
        <v>1396.7999976873398</v>
      </c>
      <c r="D3680">
        <v>20</v>
      </c>
      <c r="E3680" s="80">
        <v>35451</v>
      </c>
    </row>
    <row r="3681" spans="1:5">
      <c r="A3681">
        <v>10420</v>
      </c>
      <c r="B3681" t="s">
        <v>179</v>
      </c>
      <c r="C3681">
        <v>1396.7999976873398</v>
      </c>
      <c r="D3681">
        <v>20</v>
      </c>
      <c r="E3681" s="80">
        <v>35451</v>
      </c>
    </row>
    <row r="3682" spans="1:5">
      <c r="A3682">
        <v>10420</v>
      </c>
      <c r="B3682" t="s">
        <v>172</v>
      </c>
      <c r="C3682">
        <v>8.6399999856948853</v>
      </c>
      <c r="D3682">
        <v>2</v>
      </c>
      <c r="E3682" s="80">
        <v>35451</v>
      </c>
    </row>
    <row r="3683" spans="1:5">
      <c r="A3683">
        <v>10420</v>
      </c>
      <c r="B3683" t="s">
        <v>173</v>
      </c>
      <c r="C3683">
        <v>8.6399999856948853</v>
      </c>
      <c r="D3683">
        <v>2</v>
      </c>
      <c r="E3683" s="80">
        <v>35451</v>
      </c>
    </row>
    <row r="3684" spans="1:5">
      <c r="A3684">
        <v>10420</v>
      </c>
      <c r="B3684" t="s">
        <v>174</v>
      </c>
      <c r="C3684">
        <v>8.6399999856948853</v>
      </c>
      <c r="D3684">
        <v>2</v>
      </c>
      <c r="E3684" s="80">
        <v>35451</v>
      </c>
    </row>
    <row r="3685" spans="1:5">
      <c r="A3685">
        <v>10420</v>
      </c>
      <c r="B3685" t="s">
        <v>175</v>
      </c>
      <c r="C3685">
        <v>8.6399999856948853</v>
      </c>
      <c r="D3685">
        <v>2</v>
      </c>
      <c r="E3685" s="80">
        <v>35451</v>
      </c>
    </row>
    <row r="3686" spans="1:5">
      <c r="A3686">
        <v>10420</v>
      </c>
      <c r="B3686" t="s">
        <v>176</v>
      </c>
      <c r="C3686">
        <v>8.6399999856948853</v>
      </c>
      <c r="D3686">
        <v>2</v>
      </c>
      <c r="E3686" s="80">
        <v>35451</v>
      </c>
    </row>
    <row r="3687" spans="1:5">
      <c r="A3687">
        <v>10420</v>
      </c>
      <c r="B3687" t="s">
        <v>177</v>
      </c>
      <c r="C3687">
        <v>8.6399999856948853</v>
      </c>
      <c r="D3687">
        <v>2</v>
      </c>
      <c r="E3687" s="80">
        <v>35451</v>
      </c>
    </row>
    <row r="3688" spans="1:5">
      <c r="A3688">
        <v>10420</v>
      </c>
      <c r="B3688" t="s">
        <v>178</v>
      </c>
      <c r="C3688">
        <v>8.6399999856948853</v>
      </c>
      <c r="D3688">
        <v>2</v>
      </c>
      <c r="E3688" s="80">
        <v>35451</v>
      </c>
    </row>
    <row r="3689" spans="1:5">
      <c r="A3689">
        <v>10420</v>
      </c>
      <c r="B3689" t="s">
        <v>179</v>
      </c>
      <c r="C3689">
        <v>8.6399999856948853</v>
      </c>
      <c r="D3689">
        <v>2</v>
      </c>
      <c r="E3689" s="80">
        <v>35451</v>
      </c>
    </row>
    <row r="3690" spans="1:5">
      <c r="A3690">
        <v>10420</v>
      </c>
      <c r="B3690" t="s">
        <v>172</v>
      </c>
      <c r="C3690">
        <v>86.399999856948853</v>
      </c>
      <c r="D3690">
        <v>8</v>
      </c>
      <c r="E3690" s="80">
        <v>35451</v>
      </c>
    </row>
    <row r="3691" spans="1:5">
      <c r="A3691">
        <v>10420</v>
      </c>
      <c r="B3691" t="s">
        <v>173</v>
      </c>
      <c r="C3691">
        <v>86.399999856948853</v>
      </c>
      <c r="D3691">
        <v>8</v>
      </c>
      <c r="E3691" s="80">
        <v>35451</v>
      </c>
    </row>
    <row r="3692" spans="1:5">
      <c r="A3692">
        <v>10420</v>
      </c>
      <c r="B3692" t="s">
        <v>174</v>
      </c>
      <c r="C3692">
        <v>86.399999856948853</v>
      </c>
      <c r="D3692">
        <v>8</v>
      </c>
      <c r="E3692" s="80">
        <v>35451</v>
      </c>
    </row>
    <row r="3693" spans="1:5">
      <c r="A3693">
        <v>10420</v>
      </c>
      <c r="B3693" t="s">
        <v>175</v>
      </c>
      <c r="C3693">
        <v>86.399999856948853</v>
      </c>
      <c r="D3693">
        <v>8</v>
      </c>
      <c r="E3693" s="80">
        <v>35451</v>
      </c>
    </row>
    <row r="3694" spans="1:5">
      <c r="A3694">
        <v>10420</v>
      </c>
      <c r="B3694" t="s">
        <v>176</v>
      </c>
      <c r="C3694">
        <v>86.399999856948853</v>
      </c>
      <c r="D3694">
        <v>8</v>
      </c>
      <c r="E3694" s="80">
        <v>35451</v>
      </c>
    </row>
    <row r="3695" spans="1:5">
      <c r="A3695">
        <v>10420</v>
      </c>
      <c r="B3695" t="s">
        <v>177</v>
      </c>
      <c r="C3695">
        <v>86.399999856948853</v>
      </c>
      <c r="D3695">
        <v>8</v>
      </c>
      <c r="E3695" s="80">
        <v>35451</v>
      </c>
    </row>
    <row r="3696" spans="1:5">
      <c r="A3696">
        <v>10420</v>
      </c>
      <c r="B3696" t="s">
        <v>178</v>
      </c>
      <c r="C3696">
        <v>86.399999856948853</v>
      </c>
      <c r="D3696">
        <v>8</v>
      </c>
      <c r="E3696" s="80">
        <v>35451</v>
      </c>
    </row>
    <row r="3697" spans="1:5">
      <c r="A3697">
        <v>10420</v>
      </c>
      <c r="B3697" t="s">
        <v>179</v>
      </c>
      <c r="C3697">
        <v>86.399999856948853</v>
      </c>
      <c r="D3697">
        <v>8</v>
      </c>
      <c r="E3697" s="80">
        <v>35451</v>
      </c>
    </row>
    <row r="3698" spans="1:5">
      <c r="A3698">
        <v>10420</v>
      </c>
      <c r="B3698" t="s">
        <v>172</v>
      </c>
      <c r="C3698">
        <v>215.99999964237213</v>
      </c>
      <c r="D3698">
        <v>20</v>
      </c>
      <c r="E3698" s="80">
        <v>35451</v>
      </c>
    </row>
    <row r="3699" spans="1:5">
      <c r="A3699">
        <v>10420</v>
      </c>
      <c r="B3699" t="s">
        <v>173</v>
      </c>
      <c r="C3699">
        <v>215.99999964237213</v>
      </c>
      <c r="D3699">
        <v>20</v>
      </c>
      <c r="E3699" s="80">
        <v>35451</v>
      </c>
    </row>
    <row r="3700" spans="1:5">
      <c r="A3700">
        <v>10420</v>
      </c>
      <c r="B3700" t="s">
        <v>174</v>
      </c>
      <c r="C3700">
        <v>215.99999964237213</v>
      </c>
      <c r="D3700">
        <v>20</v>
      </c>
      <c r="E3700" s="80">
        <v>35451</v>
      </c>
    </row>
    <row r="3701" spans="1:5">
      <c r="A3701">
        <v>10420</v>
      </c>
      <c r="B3701" t="s">
        <v>175</v>
      </c>
      <c r="C3701">
        <v>215.99999964237213</v>
      </c>
      <c r="D3701">
        <v>20</v>
      </c>
      <c r="E3701" s="80">
        <v>35451</v>
      </c>
    </row>
    <row r="3702" spans="1:5">
      <c r="A3702">
        <v>10420</v>
      </c>
      <c r="B3702" t="s">
        <v>176</v>
      </c>
      <c r="C3702">
        <v>215.99999964237213</v>
      </c>
      <c r="D3702">
        <v>20</v>
      </c>
      <c r="E3702" s="80">
        <v>35451</v>
      </c>
    </row>
    <row r="3703" spans="1:5">
      <c r="A3703">
        <v>10420</v>
      </c>
      <c r="B3703" t="s">
        <v>177</v>
      </c>
      <c r="C3703">
        <v>215.99999964237213</v>
      </c>
      <c r="D3703">
        <v>20</v>
      </c>
      <c r="E3703" s="80">
        <v>35451</v>
      </c>
    </row>
    <row r="3704" spans="1:5">
      <c r="A3704">
        <v>10420</v>
      </c>
      <c r="B3704" t="s">
        <v>178</v>
      </c>
      <c r="C3704">
        <v>215.99999964237213</v>
      </c>
      <c r="D3704">
        <v>20</v>
      </c>
      <c r="E3704" s="80">
        <v>35451</v>
      </c>
    </row>
    <row r="3705" spans="1:5">
      <c r="A3705">
        <v>10420</v>
      </c>
      <c r="B3705" t="s">
        <v>179</v>
      </c>
      <c r="C3705">
        <v>215.99999964237213</v>
      </c>
      <c r="D3705">
        <v>20</v>
      </c>
      <c r="E3705" s="80">
        <v>35451</v>
      </c>
    </row>
    <row r="3706" spans="1:5">
      <c r="A3706">
        <v>10421</v>
      </c>
      <c r="B3706" t="s">
        <v>172</v>
      </c>
      <c r="C3706">
        <v>24.819999825954437</v>
      </c>
      <c r="D3706">
        <v>4</v>
      </c>
      <c r="E3706" s="80">
        <v>35451</v>
      </c>
    </row>
    <row r="3707" spans="1:5">
      <c r="A3707">
        <v>10421</v>
      </c>
      <c r="B3707" t="s">
        <v>173</v>
      </c>
      <c r="C3707">
        <v>24.819999825954437</v>
      </c>
      <c r="D3707">
        <v>4</v>
      </c>
      <c r="E3707" s="80">
        <v>35451</v>
      </c>
    </row>
    <row r="3708" spans="1:5">
      <c r="A3708">
        <v>10421</v>
      </c>
      <c r="B3708" t="s">
        <v>174</v>
      </c>
      <c r="C3708">
        <v>24.819999825954437</v>
      </c>
      <c r="D3708">
        <v>4</v>
      </c>
      <c r="E3708" s="80">
        <v>35451</v>
      </c>
    </row>
    <row r="3709" spans="1:5">
      <c r="A3709">
        <v>10421</v>
      </c>
      <c r="B3709" t="s">
        <v>175</v>
      </c>
      <c r="C3709">
        <v>24.819999825954437</v>
      </c>
      <c r="D3709">
        <v>4</v>
      </c>
      <c r="E3709" s="80">
        <v>35451</v>
      </c>
    </row>
    <row r="3710" spans="1:5">
      <c r="A3710">
        <v>10421</v>
      </c>
      <c r="B3710" t="s">
        <v>176</v>
      </c>
      <c r="C3710">
        <v>24.819999825954437</v>
      </c>
      <c r="D3710">
        <v>4</v>
      </c>
      <c r="E3710" s="80">
        <v>35451</v>
      </c>
    </row>
    <row r="3711" spans="1:5">
      <c r="A3711">
        <v>10421</v>
      </c>
      <c r="B3711" t="s">
        <v>177</v>
      </c>
      <c r="C3711">
        <v>24.819999825954437</v>
      </c>
      <c r="D3711">
        <v>4</v>
      </c>
      <c r="E3711" s="80">
        <v>35451</v>
      </c>
    </row>
    <row r="3712" spans="1:5">
      <c r="A3712">
        <v>10421</v>
      </c>
      <c r="B3712" t="s">
        <v>178</v>
      </c>
      <c r="C3712">
        <v>24.819999825954437</v>
      </c>
      <c r="D3712">
        <v>4</v>
      </c>
      <c r="E3712" s="80">
        <v>35451</v>
      </c>
    </row>
    <row r="3713" spans="1:5">
      <c r="A3713">
        <v>10421</v>
      </c>
      <c r="B3713" t="s">
        <v>179</v>
      </c>
      <c r="C3713">
        <v>24.819999825954437</v>
      </c>
      <c r="D3713">
        <v>4</v>
      </c>
      <c r="E3713" s="80">
        <v>35451</v>
      </c>
    </row>
    <row r="3714" spans="1:5">
      <c r="A3714">
        <v>10421</v>
      </c>
      <c r="B3714" t="s">
        <v>172</v>
      </c>
      <c r="C3714">
        <v>747</v>
      </c>
      <c r="D3714">
        <v>30</v>
      </c>
      <c r="E3714" s="80">
        <v>35451</v>
      </c>
    </row>
    <row r="3715" spans="1:5">
      <c r="A3715">
        <v>10421</v>
      </c>
      <c r="B3715" t="s">
        <v>173</v>
      </c>
      <c r="C3715">
        <v>747</v>
      </c>
      <c r="D3715">
        <v>30</v>
      </c>
      <c r="E3715" s="80">
        <v>35451</v>
      </c>
    </row>
    <row r="3716" spans="1:5">
      <c r="A3716">
        <v>10421</v>
      </c>
      <c r="B3716" t="s">
        <v>174</v>
      </c>
      <c r="C3716">
        <v>747</v>
      </c>
      <c r="D3716">
        <v>30</v>
      </c>
      <c r="E3716" s="80">
        <v>35451</v>
      </c>
    </row>
    <row r="3717" spans="1:5">
      <c r="A3717">
        <v>10421</v>
      </c>
      <c r="B3717" t="s">
        <v>175</v>
      </c>
      <c r="C3717">
        <v>747</v>
      </c>
      <c r="D3717">
        <v>30</v>
      </c>
      <c r="E3717" s="80">
        <v>35451</v>
      </c>
    </row>
    <row r="3718" spans="1:5">
      <c r="A3718">
        <v>10421</v>
      </c>
      <c r="B3718" t="s">
        <v>176</v>
      </c>
      <c r="C3718">
        <v>747</v>
      </c>
      <c r="D3718">
        <v>30</v>
      </c>
      <c r="E3718" s="80">
        <v>35451</v>
      </c>
    </row>
    <row r="3719" spans="1:5">
      <c r="A3719">
        <v>10421</v>
      </c>
      <c r="B3719" t="s">
        <v>177</v>
      </c>
      <c r="C3719">
        <v>747</v>
      </c>
      <c r="D3719">
        <v>30</v>
      </c>
      <c r="E3719" s="80">
        <v>35451</v>
      </c>
    </row>
    <row r="3720" spans="1:5">
      <c r="A3720">
        <v>10421</v>
      </c>
      <c r="B3720" t="s">
        <v>178</v>
      </c>
      <c r="C3720">
        <v>747</v>
      </c>
      <c r="D3720">
        <v>30</v>
      </c>
      <c r="E3720" s="80">
        <v>35451</v>
      </c>
    </row>
    <row r="3721" spans="1:5">
      <c r="A3721">
        <v>10421</v>
      </c>
      <c r="B3721" t="s">
        <v>179</v>
      </c>
      <c r="C3721">
        <v>747</v>
      </c>
      <c r="D3721">
        <v>30</v>
      </c>
      <c r="E3721" s="80">
        <v>35451</v>
      </c>
    </row>
    <row r="3722" spans="1:5">
      <c r="A3722">
        <v>10421</v>
      </c>
      <c r="B3722" t="s">
        <v>172</v>
      </c>
      <c r="C3722">
        <v>334.04999765753746</v>
      </c>
      <c r="D3722">
        <v>15</v>
      </c>
      <c r="E3722" s="80">
        <v>35451</v>
      </c>
    </row>
    <row r="3723" spans="1:5">
      <c r="A3723">
        <v>10421</v>
      </c>
      <c r="B3723" t="s">
        <v>173</v>
      </c>
      <c r="C3723">
        <v>334.04999765753746</v>
      </c>
      <c r="D3723">
        <v>15</v>
      </c>
      <c r="E3723" s="80">
        <v>35451</v>
      </c>
    </row>
    <row r="3724" spans="1:5">
      <c r="A3724">
        <v>10421</v>
      </c>
      <c r="B3724" t="s">
        <v>174</v>
      </c>
      <c r="C3724">
        <v>334.04999765753746</v>
      </c>
      <c r="D3724">
        <v>15</v>
      </c>
      <c r="E3724" s="80">
        <v>35451</v>
      </c>
    </row>
    <row r="3725" spans="1:5">
      <c r="A3725">
        <v>10421</v>
      </c>
      <c r="B3725" t="s">
        <v>175</v>
      </c>
      <c r="C3725">
        <v>334.04999765753746</v>
      </c>
      <c r="D3725">
        <v>15</v>
      </c>
      <c r="E3725" s="80">
        <v>35451</v>
      </c>
    </row>
    <row r="3726" spans="1:5">
      <c r="A3726">
        <v>10421</v>
      </c>
      <c r="B3726" t="s">
        <v>176</v>
      </c>
      <c r="C3726">
        <v>334.04999765753746</v>
      </c>
      <c r="D3726">
        <v>15</v>
      </c>
      <c r="E3726" s="80">
        <v>35451</v>
      </c>
    </row>
    <row r="3727" spans="1:5">
      <c r="A3727">
        <v>10421</v>
      </c>
      <c r="B3727" t="s">
        <v>177</v>
      </c>
      <c r="C3727">
        <v>334.04999765753746</v>
      </c>
      <c r="D3727">
        <v>15</v>
      </c>
      <c r="E3727" s="80">
        <v>35451</v>
      </c>
    </row>
    <row r="3728" spans="1:5">
      <c r="A3728">
        <v>10421</v>
      </c>
      <c r="B3728" t="s">
        <v>178</v>
      </c>
      <c r="C3728">
        <v>334.04999765753746</v>
      </c>
      <c r="D3728">
        <v>15</v>
      </c>
      <c r="E3728" s="80">
        <v>35451</v>
      </c>
    </row>
    <row r="3729" spans="1:5">
      <c r="A3729">
        <v>10421</v>
      </c>
      <c r="B3729" t="s">
        <v>179</v>
      </c>
      <c r="C3729">
        <v>334.04999765753746</v>
      </c>
      <c r="D3729">
        <v>15</v>
      </c>
      <c r="E3729" s="80">
        <v>35451</v>
      </c>
    </row>
    <row r="3730" spans="1:5">
      <c r="A3730">
        <v>10421</v>
      </c>
      <c r="B3730" t="s">
        <v>172</v>
      </c>
      <c r="C3730">
        <v>88.399999380111694</v>
      </c>
      <c r="D3730">
        <v>10</v>
      </c>
      <c r="E3730" s="80">
        <v>35451</v>
      </c>
    </row>
    <row r="3731" spans="1:5">
      <c r="A3731">
        <v>10421</v>
      </c>
      <c r="B3731" t="s">
        <v>173</v>
      </c>
      <c r="C3731">
        <v>88.399999380111694</v>
      </c>
      <c r="D3731">
        <v>10</v>
      </c>
      <c r="E3731" s="80">
        <v>35451</v>
      </c>
    </row>
    <row r="3732" spans="1:5">
      <c r="A3732">
        <v>10421</v>
      </c>
      <c r="B3732" t="s">
        <v>174</v>
      </c>
      <c r="C3732">
        <v>88.399999380111694</v>
      </c>
      <c r="D3732">
        <v>10</v>
      </c>
      <c r="E3732" s="80">
        <v>35451</v>
      </c>
    </row>
    <row r="3733" spans="1:5">
      <c r="A3733">
        <v>10421</v>
      </c>
      <c r="B3733" t="s">
        <v>175</v>
      </c>
      <c r="C3733">
        <v>88.399999380111694</v>
      </c>
      <c r="D3733">
        <v>10</v>
      </c>
      <c r="E3733" s="80">
        <v>35451</v>
      </c>
    </row>
    <row r="3734" spans="1:5">
      <c r="A3734">
        <v>10421</v>
      </c>
      <c r="B3734" t="s">
        <v>176</v>
      </c>
      <c r="C3734">
        <v>88.399999380111694</v>
      </c>
      <c r="D3734">
        <v>10</v>
      </c>
      <c r="E3734" s="80">
        <v>35451</v>
      </c>
    </row>
    <row r="3735" spans="1:5">
      <c r="A3735">
        <v>10421</v>
      </c>
      <c r="B3735" t="s">
        <v>177</v>
      </c>
      <c r="C3735">
        <v>88.399999380111694</v>
      </c>
      <c r="D3735">
        <v>10</v>
      </c>
      <c r="E3735" s="80">
        <v>35451</v>
      </c>
    </row>
    <row r="3736" spans="1:5">
      <c r="A3736">
        <v>10421</v>
      </c>
      <c r="B3736" t="s">
        <v>178</v>
      </c>
      <c r="C3736">
        <v>88.399999380111694</v>
      </c>
      <c r="D3736">
        <v>10</v>
      </c>
      <c r="E3736" s="80">
        <v>35451</v>
      </c>
    </row>
    <row r="3737" spans="1:5">
      <c r="A3737">
        <v>10421</v>
      </c>
      <c r="B3737" t="s">
        <v>179</v>
      </c>
      <c r="C3737">
        <v>88.399999380111694</v>
      </c>
      <c r="D3737">
        <v>10</v>
      </c>
      <c r="E3737" s="80">
        <v>35451</v>
      </c>
    </row>
    <row r="3738" spans="1:5">
      <c r="A3738">
        <v>10422</v>
      </c>
      <c r="B3738" t="s">
        <v>172</v>
      </c>
      <c r="C3738">
        <v>49.8</v>
      </c>
      <c r="D3738">
        <v>2</v>
      </c>
      <c r="E3738" s="80">
        <v>35452</v>
      </c>
    </row>
    <row r="3739" spans="1:5">
      <c r="A3739">
        <v>10422</v>
      </c>
      <c r="B3739" t="s">
        <v>173</v>
      </c>
      <c r="C3739">
        <v>49.8</v>
      </c>
      <c r="D3739">
        <v>2</v>
      </c>
      <c r="E3739" s="80">
        <v>35452</v>
      </c>
    </row>
    <row r="3740" spans="1:5">
      <c r="A3740">
        <v>10422</v>
      </c>
      <c r="B3740" t="s">
        <v>174</v>
      </c>
      <c r="C3740">
        <v>49.8</v>
      </c>
      <c r="D3740">
        <v>2</v>
      </c>
      <c r="E3740" s="80">
        <v>35452</v>
      </c>
    </row>
    <row r="3741" spans="1:5">
      <c r="A3741">
        <v>10422</v>
      </c>
      <c r="B3741" t="s">
        <v>175</v>
      </c>
      <c r="C3741">
        <v>49.8</v>
      </c>
      <c r="D3741">
        <v>2</v>
      </c>
      <c r="E3741" s="80">
        <v>35452</v>
      </c>
    </row>
    <row r="3742" spans="1:5">
      <c r="A3742">
        <v>10422</v>
      </c>
      <c r="B3742" t="s">
        <v>176</v>
      </c>
      <c r="C3742">
        <v>49.8</v>
      </c>
      <c r="D3742">
        <v>2</v>
      </c>
      <c r="E3742" s="80">
        <v>35452</v>
      </c>
    </row>
    <row r="3743" spans="1:5">
      <c r="A3743">
        <v>10422</v>
      </c>
      <c r="B3743" t="s">
        <v>177</v>
      </c>
      <c r="C3743">
        <v>49.8</v>
      </c>
      <c r="D3743">
        <v>2</v>
      </c>
      <c r="E3743" s="80">
        <v>35452</v>
      </c>
    </row>
    <row r="3744" spans="1:5">
      <c r="A3744">
        <v>10422</v>
      </c>
      <c r="B3744" t="s">
        <v>178</v>
      </c>
      <c r="C3744">
        <v>49.8</v>
      </c>
      <c r="D3744">
        <v>2</v>
      </c>
      <c r="E3744" s="80">
        <v>35452</v>
      </c>
    </row>
    <row r="3745" spans="1:5">
      <c r="A3745">
        <v>10422</v>
      </c>
      <c r="B3745" t="s">
        <v>179</v>
      </c>
      <c r="C3745">
        <v>49.8</v>
      </c>
      <c r="D3745">
        <v>2</v>
      </c>
      <c r="E3745" s="80">
        <v>35452</v>
      </c>
    </row>
    <row r="3746" spans="1:5">
      <c r="A3746">
        <v>10423</v>
      </c>
      <c r="B3746" t="s">
        <v>172</v>
      </c>
      <c r="C3746">
        <v>140</v>
      </c>
      <c r="D3746">
        <v>14</v>
      </c>
      <c r="E3746" s="80">
        <v>35453</v>
      </c>
    </row>
    <row r="3747" spans="1:5">
      <c r="A3747">
        <v>10423</v>
      </c>
      <c r="B3747" t="s">
        <v>173</v>
      </c>
      <c r="C3747">
        <v>140</v>
      </c>
      <c r="D3747">
        <v>14</v>
      </c>
      <c r="E3747" s="80">
        <v>35453</v>
      </c>
    </row>
    <row r="3748" spans="1:5">
      <c r="A3748">
        <v>10423</v>
      </c>
      <c r="B3748" t="s">
        <v>174</v>
      </c>
      <c r="C3748">
        <v>140</v>
      </c>
      <c r="D3748">
        <v>14</v>
      </c>
      <c r="E3748" s="80">
        <v>35453</v>
      </c>
    </row>
    <row r="3749" spans="1:5">
      <c r="A3749">
        <v>10423</v>
      </c>
      <c r="B3749" t="s">
        <v>175</v>
      </c>
      <c r="C3749">
        <v>140</v>
      </c>
      <c r="D3749">
        <v>14</v>
      </c>
      <c r="E3749" s="80">
        <v>35453</v>
      </c>
    </row>
    <row r="3750" spans="1:5">
      <c r="A3750">
        <v>10423</v>
      </c>
      <c r="B3750" t="s">
        <v>176</v>
      </c>
      <c r="C3750">
        <v>140</v>
      </c>
      <c r="D3750">
        <v>14</v>
      </c>
      <c r="E3750" s="80">
        <v>35453</v>
      </c>
    </row>
    <row r="3751" spans="1:5">
      <c r="A3751">
        <v>10423</v>
      </c>
      <c r="B3751" t="s">
        <v>177</v>
      </c>
      <c r="C3751">
        <v>140</v>
      </c>
      <c r="D3751">
        <v>14</v>
      </c>
      <c r="E3751" s="80">
        <v>35453</v>
      </c>
    </row>
    <row r="3752" spans="1:5">
      <c r="A3752">
        <v>10423</v>
      </c>
      <c r="B3752" t="s">
        <v>178</v>
      </c>
      <c r="C3752">
        <v>140</v>
      </c>
      <c r="D3752">
        <v>14</v>
      </c>
      <c r="E3752" s="80">
        <v>35453</v>
      </c>
    </row>
    <row r="3753" spans="1:5">
      <c r="A3753">
        <v>10423</v>
      </c>
      <c r="B3753" t="s">
        <v>179</v>
      </c>
      <c r="C3753">
        <v>140</v>
      </c>
      <c r="D3753">
        <v>14</v>
      </c>
      <c r="E3753" s="80">
        <v>35453</v>
      </c>
    </row>
    <row r="3754" spans="1:5">
      <c r="A3754">
        <v>10423</v>
      </c>
      <c r="B3754" t="s">
        <v>172</v>
      </c>
      <c r="C3754">
        <v>880</v>
      </c>
      <c r="D3754">
        <v>20</v>
      </c>
      <c r="E3754" s="80">
        <v>35453</v>
      </c>
    </row>
    <row r="3755" spans="1:5">
      <c r="A3755">
        <v>10423</v>
      </c>
      <c r="B3755" t="s">
        <v>173</v>
      </c>
      <c r="C3755">
        <v>880</v>
      </c>
      <c r="D3755">
        <v>20</v>
      </c>
      <c r="E3755" s="80">
        <v>35453</v>
      </c>
    </row>
    <row r="3756" spans="1:5">
      <c r="A3756">
        <v>10423</v>
      </c>
      <c r="B3756" t="s">
        <v>174</v>
      </c>
      <c r="C3756">
        <v>880</v>
      </c>
      <c r="D3756">
        <v>20</v>
      </c>
      <c r="E3756" s="80">
        <v>35453</v>
      </c>
    </row>
    <row r="3757" spans="1:5">
      <c r="A3757">
        <v>10423</v>
      </c>
      <c r="B3757" t="s">
        <v>175</v>
      </c>
      <c r="C3757">
        <v>880</v>
      </c>
      <c r="D3757">
        <v>20</v>
      </c>
      <c r="E3757" s="80">
        <v>35453</v>
      </c>
    </row>
    <row r="3758" spans="1:5">
      <c r="A3758">
        <v>10423</v>
      </c>
      <c r="B3758" t="s">
        <v>176</v>
      </c>
      <c r="C3758">
        <v>880</v>
      </c>
      <c r="D3758">
        <v>20</v>
      </c>
      <c r="E3758" s="80">
        <v>35453</v>
      </c>
    </row>
    <row r="3759" spans="1:5">
      <c r="A3759">
        <v>10423</v>
      </c>
      <c r="B3759" t="s">
        <v>177</v>
      </c>
      <c r="C3759">
        <v>880</v>
      </c>
      <c r="D3759">
        <v>20</v>
      </c>
      <c r="E3759" s="80">
        <v>35453</v>
      </c>
    </row>
    <row r="3760" spans="1:5">
      <c r="A3760">
        <v>10423</v>
      </c>
      <c r="B3760" t="s">
        <v>178</v>
      </c>
      <c r="C3760">
        <v>880</v>
      </c>
      <c r="D3760">
        <v>20</v>
      </c>
      <c r="E3760" s="80">
        <v>35453</v>
      </c>
    </row>
    <row r="3761" spans="1:5">
      <c r="A3761">
        <v>10423</v>
      </c>
      <c r="B3761" t="s">
        <v>179</v>
      </c>
      <c r="C3761">
        <v>880</v>
      </c>
      <c r="D3761">
        <v>20</v>
      </c>
      <c r="E3761" s="80">
        <v>35453</v>
      </c>
    </row>
    <row r="3762" spans="1:5">
      <c r="A3762">
        <v>10424</v>
      </c>
      <c r="B3762" t="s">
        <v>172</v>
      </c>
      <c r="C3762">
        <v>691.19999742507935</v>
      </c>
      <c r="D3762">
        <v>60</v>
      </c>
      <c r="E3762" s="80">
        <v>35453</v>
      </c>
    </row>
    <row r="3763" spans="1:5">
      <c r="A3763">
        <v>10424</v>
      </c>
      <c r="B3763" t="s">
        <v>173</v>
      </c>
      <c r="C3763">
        <v>691.19999742507935</v>
      </c>
      <c r="D3763">
        <v>60</v>
      </c>
      <c r="E3763" s="80">
        <v>35453</v>
      </c>
    </row>
    <row r="3764" spans="1:5">
      <c r="A3764">
        <v>10424</v>
      </c>
      <c r="B3764" t="s">
        <v>174</v>
      </c>
      <c r="C3764">
        <v>691.19999742507935</v>
      </c>
      <c r="D3764">
        <v>60</v>
      </c>
      <c r="E3764" s="80">
        <v>35453</v>
      </c>
    </row>
    <row r="3765" spans="1:5">
      <c r="A3765">
        <v>10424</v>
      </c>
      <c r="B3765" t="s">
        <v>175</v>
      </c>
      <c r="C3765">
        <v>691.19999742507935</v>
      </c>
      <c r="D3765">
        <v>60</v>
      </c>
      <c r="E3765" s="80">
        <v>35453</v>
      </c>
    </row>
    <row r="3766" spans="1:5">
      <c r="A3766">
        <v>10424</v>
      </c>
      <c r="B3766" t="s">
        <v>176</v>
      </c>
      <c r="C3766">
        <v>691.19999742507935</v>
      </c>
      <c r="D3766">
        <v>60</v>
      </c>
      <c r="E3766" s="80">
        <v>35453</v>
      </c>
    </row>
    <row r="3767" spans="1:5">
      <c r="A3767">
        <v>10424</v>
      </c>
      <c r="B3767" t="s">
        <v>177</v>
      </c>
      <c r="C3767">
        <v>691.19999742507935</v>
      </c>
      <c r="D3767">
        <v>60</v>
      </c>
      <c r="E3767" s="80">
        <v>35453</v>
      </c>
    </row>
    <row r="3768" spans="1:5">
      <c r="A3768">
        <v>10424</v>
      </c>
      <c r="B3768" t="s">
        <v>178</v>
      </c>
      <c r="C3768">
        <v>691.19999742507935</v>
      </c>
      <c r="D3768">
        <v>60</v>
      </c>
      <c r="E3768" s="80">
        <v>35453</v>
      </c>
    </row>
    <row r="3769" spans="1:5">
      <c r="A3769">
        <v>10424</v>
      </c>
      <c r="B3769" t="s">
        <v>179</v>
      </c>
      <c r="C3769">
        <v>691.19999742507935</v>
      </c>
      <c r="D3769">
        <v>60</v>
      </c>
      <c r="E3769" s="80">
        <v>35453</v>
      </c>
    </row>
    <row r="3770" spans="1:5">
      <c r="A3770">
        <v>10424</v>
      </c>
      <c r="B3770" t="s">
        <v>172</v>
      </c>
      <c r="C3770">
        <v>8263.3599692165863</v>
      </c>
      <c r="D3770">
        <v>49</v>
      </c>
      <c r="E3770" s="80">
        <v>35453</v>
      </c>
    </row>
    <row r="3771" spans="1:5">
      <c r="A3771">
        <v>10424</v>
      </c>
      <c r="B3771" t="s">
        <v>173</v>
      </c>
      <c r="C3771">
        <v>8263.3599692165863</v>
      </c>
      <c r="D3771">
        <v>49</v>
      </c>
      <c r="E3771" s="80">
        <v>35453</v>
      </c>
    </row>
    <row r="3772" spans="1:5">
      <c r="A3772">
        <v>10424</v>
      </c>
      <c r="B3772" t="s">
        <v>174</v>
      </c>
      <c r="C3772">
        <v>8263.3599692165863</v>
      </c>
      <c r="D3772">
        <v>49</v>
      </c>
      <c r="E3772" s="80">
        <v>35453</v>
      </c>
    </row>
    <row r="3773" spans="1:5">
      <c r="A3773">
        <v>10424</v>
      </c>
      <c r="B3773" t="s">
        <v>175</v>
      </c>
      <c r="C3773">
        <v>8263.3599692165863</v>
      </c>
      <c r="D3773">
        <v>49</v>
      </c>
      <c r="E3773" s="80">
        <v>35453</v>
      </c>
    </row>
    <row r="3774" spans="1:5">
      <c r="A3774">
        <v>10424</v>
      </c>
      <c r="B3774" t="s">
        <v>176</v>
      </c>
      <c r="C3774">
        <v>8263.3599692165863</v>
      </c>
      <c r="D3774">
        <v>49</v>
      </c>
      <c r="E3774" s="80">
        <v>35453</v>
      </c>
    </row>
    <row r="3775" spans="1:5">
      <c r="A3775">
        <v>10424</v>
      </c>
      <c r="B3775" t="s">
        <v>177</v>
      </c>
      <c r="C3775">
        <v>8263.3599692165863</v>
      </c>
      <c r="D3775">
        <v>49</v>
      </c>
      <c r="E3775" s="80">
        <v>35453</v>
      </c>
    </row>
    <row r="3776" spans="1:5">
      <c r="A3776">
        <v>10424</v>
      </c>
      <c r="B3776" t="s">
        <v>178</v>
      </c>
      <c r="C3776">
        <v>8263.3599692165863</v>
      </c>
      <c r="D3776">
        <v>49</v>
      </c>
      <c r="E3776" s="80">
        <v>35453</v>
      </c>
    </row>
    <row r="3777" spans="1:5">
      <c r="A3777">
        <v>10424</v>
      </c>
      <c r="B3777" t="s">
        <v>179</v>
      </c>
      <c r="C3777">
        <v>8263.3599692165863</v>
      </c>
      <c r="D3777">
        <v>49</v>
      </c>
      <c r="E3777" s="80">
        <v>35453</v>
      </c>
    </row>
    <row r="3778" spans="1:5">
      <c r="A3778">
        <v>10424</v>
      </c>
      <c r="B3778" t="s">
        <v>172</v>
      </c>
      <c r="C3778">
        <v>239.99999910593033</v>
      </c>
      <c r="D3778">
        <v>30</v>
      </c>
      <c r="E3778" s="80">
        <v>35453</v>
      </c>
    </row>
    <row r="3779" spans="1:5">
      <c r="A3779">
        <v>10424</v>
      </c>
      <c r="B3779" t="s">
        <v>173</v>
      </c>
      <c r="C3779">
        <v>239.99999910593033</v>
      </c>
      <c r="D3779">
        <v>30</v>
      </c>
      <c r="E3779" s="80">
        <v>35453</v>
      </c>
    </row>
    <row r="3780" spans="1:5">
      <c r="A3780">
        <v>10424</v>
      </c>
      <c r="B3780" t="s">
        <v>174</v>
      </c>
      <c r="C3780">
        <v>239.99999910593033</v>
      </c>
      <c r="D3780">
        <v>30</v>
      </c>
      <c r="E3780" s="80">
        <v>35453</v>
      </c>
    </row>
    <row r="3781" spans="1:5">
      <c r="A3781">
        <v>10424</v>
      </c>
      <c r="B3781" t="s">
        <v>175</v>
      </c>
      <c r="C3781">
        <v>239.99999910593033</v>
      </c>
      <c r="D3781">
        <v>30</v>
      </c>
      <c r="E3781" s="80">
        <v>35453</v>
      </c>
    </row>
    <row r="3782" spans="1:5">
      <c r="A3782">
        <v>10424</v>
      </c>
      <c r="B3782" t="s">
        <v>176</v>
      </c>
      <c r="C3782">
        <v>239.99999910593033</v>
      </c>
      <c r="D3782">
        <v>30</v>
      </c>
      <c r="E3782" s="80">
        <v>35453</v>
      </c>
    </row>
    <row r="3783" spans="1:5">
      <c r="A3783">
        <v>10424</v>
      </c>
      <c r="B3783" t="s">
        <v>177</v>
      </c>
      <c r="C3783">
        <v>239.99999910593033</v>
      </c>
      <c r="D3783">
        <v>30</v>
      </c>
      <c r="E3783" s="80">
        <v>35453</v>
      </c>
    </row>
    <row r="3784" spans="1:5">
      <c r="A3784">
        <v>10424</v>
      </c>
      <c r="B3784" t="s">
        <v>178</v>
      </c>
      <c r="C3784">
        <v>239.99999910593033</v>
      </c>
      <c r="D3784">
        <v>30</v>
      </c>
      <c r="E3784" s="80">
        <v>35453</v>
      </c>
    </row>
    <row r="3785" spans="1:5">
      <c r="A3785">
        <v>10424</v>
      </c>
      <c r="B3785" t="s">
        <v>179</v>
      </c>
      <c r="C3785">
        <v>239.99999910593033</v>
      </c>
      <c r="D3785">
        <v>30</v>
      </c>
      <c r="E3785" s="80">
        <v>35453</v>
      </c>
    </row>
    <row r="3786" spans="1:5">
      <c r="A3786">
        <v>10425</v>
      </c>
      <c r="B3786" t="s">
        <v>172</v>
      </c>
      <c r="C3786">
        <v>144</v>
      </c>
      <c r="D3786">
        <v>10</v>
      </c>
      <c r="E3786" s="80">
        <v>35454</v>
      </c>
    </row>
    <row r="3787" spans="1:5">
      <c r="A3787">
        <v>10425</v>
      </c>
      <c r="B3787" t="s">
        <v>173</v>
      </c>
      <c r="C3787">
        <v>144</v>
      </c>
      <c r="D3787">
        <v>10</v>
      </c>
      <c r="E3787" s="80">
        <v>35454</v>
      </c>
    </row>
    <row r="3788" spans="1:5">
      <c r="A3788">
        <v>10425</v>
      </c>
      <c r="B3788" t="s">
        <v>174</v>
      </c>
      <c r="C3788">
        <v>144</v>
      </c>
      <c r="D3788">
        <v>10</v>
      </c>
      <c r="E3788" s="80">
        <v>35454</v>
      </c>
    </row>
    <row r="3789" spans="1:5">
      <c r="A3789">
        <v>10425</v>
      </c>
      <c r="B3789" t="s">
        <v>175</v>
      </c>
      <c r="C3789">
        <v>144</v>
      </c>
      <c r="D3789">
        <v>10</v>
      </c>
      <c r="E3789" s="80">
        <v>35454</v>
      </c>
    </row>
    <row r="3790" spans="1:5">
      <c r="A3790">
        <v>10425</v>
      </c>
      <c r="B3790" t="s">
        <v>176</v>
      </c>
      <c r="C3790">
        <v>144</v>
      </c>
      <c r="D3790">
        <v>10</v>
      </c>
      <c r="E3790" s="80">
        <v>35454</v>
      </c>
    </row>
    <row r="3791" spans="1:5">
      <c r="A3791">
        <v>10425</v>
      </c>
      <c r="B3791" t="s">
        <v>177</v>
      </c>
      <c r="C3791">
        <v>144</v>
      </c>
      <c r="D3791">
        <v>10</v>
      </c>
      <c r="E3791" s="80">
        <v>35454</v>
      </c>
    </row>
    <row r="3792" spans="1:5">
      <c r="A3792">
        <v>10425</v>
      </c>
      <c r="B3792" t="s">
        <v>178</v>
      </c>
      <c r="C3792">
        <v>144</v>
      </c>
      <c r="D3792">
        <v>10</v>
      </c>
      <c r="E3792" s="80">
        <v>35454</v>
      </c>
    </row>
    <row r="3793" spans="1:5">
      <c r="A3793">
        <v>10425</v>
      </c>
      <c r="B3793" t="s">
        <v>179</v>
      </c>
      <c r="C3793">
        <v>144</v>
      </c>
      <c r="D3793">
        <v>10</v>
      </c>
      <c r="E3793" s="80">
        <v>35454</v>
      </c>
    </row>
    <row r="3794" spans="1:5">
      <c r="A3794">
        <v>10425</v>
      </c>
      <c r="B3794" t="s">
        <v>172</v>
      </c>
      <c r="C3794">
        <v>216</v>
      </c>
      <c r="D3794">
        <v>20</v>
      </c>
      <c r="E3794" s="80">
        <v>35454</v>
      </c>
    </row>
    <row r="3795" spans="1:5">
      <c r="A3795">
        <v>10425</v>
      </c>
      <c r="B3795" t="s">
        <v>173</v>
      </c>
      <c r="C3795">
        <v>216</v>
      </c>
      <c r="D3795">
        <v>20</v>
      </c>
      <c r="E3795" s="80">
        <v>35454</v>
      </c>
    </row>
    <row r="3796" spans="1:5">
      <c r="A3796">
        <v>10425</v>
      </c>
      <c r="B3796" t="s">
        <v>174</v>
      </c>
      <c r="C3796">
        <v>216</v>
      </c>
      <c r="D3796">
        <v>20</v>
      </c>
      <c r="E3796" s="80">
        <v>35454</v>
      </c>
    </row>
    <row r="3797" spans="1:5">
      <c r="A3797">
        <v>10425</v>
      </c>
      <c r="B3797" t="s">
        <v>175</v>
      </c>
      <c r="C3797">
        <v>216</v>
      </c>
      <c r="D3797">
        <v>20</v>
      </c>
      <c r="E3797" s="80">
        <v>35454</v>
      </c>
    </row>
    <row r="3798" spans="1:5">
      <c r="A3798">
        <v>10425</v>
      </c>
      <c r="B3798" t="s">
        <v>176</v>
      </c>
      <c r="C3798">
        <v>216</v>
      </c>
      <c r="D3798">
        <v>20</v>
      </c>
      <c r="E3798" s="80">
        <v>35454</v>
      </c>
    </row>
    <row r="3799" spans="1:5">
      <c r="A3799">
        <v>10425</v>
      </c>
      <c r="B3799" t="s">
        <v>177</v>
      </c>
      <c r="C3799">
        <v>216</v>
      </c>
      <c r="D3799">
        <v>20</v>
      </c>
      <c r="E3799" s="80">
        <v>35454</v>
      </c>
    </row>
    <row r="3800" spans="1:5">
      <c r="A3800">
        <v>10425</v>
      </c>
      <c r="B3800" t="s">
        <v>178</v>
      </c>
      <c r="C3800">
        <v>216</v>
      </c>
      <c r="D3800">
        <v>20</v>
      </c>
      <c r="E3800" s="80">
        <v>35454</v>
      </c>
    </row>
    <row r="3801" spans="1:5">
      <c r="A3801">
        <v>10425</v>
      </c>
      <c r="B3801" t="s">
        <v>179</v>
      </c>
      <c r="C3801">
        <v>216</v>
      </c>
      <c r="D3801">
        <v>20</v>
      </c>
      <c r="E3801" s="80">
        <v>35454</v>
      </c>
    </row>
    <row r="3802" spans="1:5">
      <c r="A3802">
        <v>10426</v>
      </c>
      <c r="B3802" t="s">
        <v>172</v>
      </c>
      <c r="C3802">
        <v>152</v>
      </c>
      <c r="D3802">
        <v>5</v>
      </c>
      <c r="E3802" s="80">
        <v>35457</v>
      </c>
    </row>
    <row r="3803" spans="1:5">
      <c r="A3803">
        <v>10426</v>
      </c>
      <c r="B3803" t="s">
        <v>173</v>
      </c>
      <c r="C3803">
        <v>152</v>
      </c>
      <c r="D3803">
        <v>5</v>
      </c>
      <c r="E3803" s="80">
        <v>35457</v>
      </c>
    </row>
    <row r="3804" spans="1:5">
      <c r="A3804">
        <v>10426</v>
      </c>
      <c r="B3804" t="s">
        <v>174</v>
      </c>
      <c r="C3804">
        <v>152</v>
      </c>
      <c r="D3804">
        <v>5</v>
      </c>
      <c r="E3804" s="80">
        <v>35457</v>
      </c>
    </row>
    <row r="3805" spans="1:5">
      <c r="A3805">
        <v>10426</v>
      </c>
      <c r="B3805" t="s">
        <v>175</v>
      </c>
      <c r="C3805">
        <v>152</v>
      </c>
      <c r="D3805">
        <v>5</v>
      </c>
      <c r="E3805" s="80">
        <v>35457</v>
      </c>
    </row>
    <row r="3806" spans="1:5">
      <c r="A3806">
        <v>10426</v>
      </c>
      <c r="B3806" t="s">
        <v>176</v>
      </c>
      <c r="C3806">
        <v>152</v>
      </c>
      <c r="D3806">
        <v>5</v>
      </c>
      <c r="E3806" s="80">
        <v>35457</v>
      </c>
    </row>
    <row r="3807" spans="1:5">
      <c r="A3807">
        <v>10426</v>
      </c>
      <c r="B3807" t="s">
        <v>177</v>
      </c>
      <c r="C3807">
        <v>152</v>
      </c>
      <c r="D3807">
        <v>5</v>
      </c>
      <c r="E3807" s="80">
        <v>35457</v>
      </c>
    </row>
    <row r="3808" spans="1:5">
      <c r="A3808">
        <v>10426</v>
      </c>
      <c r="B3808" t="s">
        <v>178</v>
      </c>
      <c r="C3808">
        <v>152</v>
      </c>
      <c r="D3808">
        <v>5</v>
      </c>
      <c r="E3808" s="80">
        <v>35457</v>
      </c>
    </row>
    <row r="3809" spans="1:5">
      <c r="A3809">
        <v>10426</v>
      </c>
      <c r="B3809" t="s">
        <v>179</v>
      </c>
      <c r="C3809">
        <v>152</v>
      </c>
      <c r="D3809">
        <v>5</v>
      </c>
      <c r="E3809" s="80">
        <v>35457</v>
      </c>
    </row>
    <row r="3810" spans="1:5">
      <c r="A3810">
        <v>10426</v>
      </c>
      <c r="B3810" t="s">
        <v>172</v>
      </c>
      <c r="C3810">
        <v>186.2</v>
      </c>
      <c r="D3810">
        <v>7</v>
      </c>
      <c r="E3810" s="80">
        <v>35457</v>
      </c>
    </row>
    <row r="3811" spans="1:5">
      <c r="A3811">
        <v>10426</v>
      </c>
      <c r="B3811" t="s">
        <v>173</v>
      </c>
      <c r="C3811">
        <v>186.2</v>
      </c>
      <c r="D3811">
        <v>7</v>
      </c>
      <c r="E3811" s="80">
        <v>35457</v>
      </c>
    </row>
    <row r="3812" spans="1:5">
      <c r="A3812">
        <v>10426</v>
      </c>
      <c r="B3812" t="s">
        <v>174</v>
      </c>
      <c r="C3812">
        <v>186.2</v>
      </c>
      <c r="D3812">
        <v>7</v>
      </c>
      <c r="E3812" s="80">
        <v>35457</v>
      </c>
    </row>
    <row r="3813" spans="1:5">
      <c r="A3813">
        <v>10426</v>
      </c>
      <c r="B3813" t="s">
        <v>175</v>
      </c>
      <c r="C3813">
        <v>186.2</v>
      </c>
      <c r="D3813">
        <v>7</v>
      </c>
      <c r="E3813" s="80">
        <v>35457</v>
      </c>
    </row>
    <row r="3814" spans="1:5">
      <c r="A3814">
        <v>10426</v>
      </c>
      <c r="B3814" t="s">
        <v>176</v>
      </c>
      <c r="C3814">
        <v>186.2</v>
      </c>
      <c r="D3814">
        <v>7</v>
      </c>
      <c r="E3814" s="80">
        <v>35457</v>
      </c>
    </row>
    <row r="3815" spans="1:5">
      <c r="A3815">
        <v>10426</v>
      </c>
      <c r="B3815" t="s">
        <v>177</v>
      </c>
      <c r="C3815">
        <v>186.2</v>
      </c>
      <c r="D3815">
        <v>7</v>
      </c>
      <c r="E3815" s="80">
        <v>35457</v>
      </c>
    </row>
    <row r="3816" spans="1:5">
      <c r="A3816">
        <v>10426</v>
      </c>
      <c r="B3816" t="s">
        <v>178</v>
      </c>
      <c r="C3816">
        <v>186.2</v>
      </c>
      <c r="D3816">
        <v>7</v>
      </c>
      <c r="E3816" s="80">
        <v>35457</v>
      </c>
    </row>
    <row r="3817" spans="1:5">
      <c r="A3817">
        <v>10426</v>
      </c>
      <c r="B3817" t="s">
        <v>179</v>
      </c>
      <c r="C3817">
        <v>186.2</v>
      </c>
      <c r="D3817">
        <v>7</v>
      </c>
      <c r="E3817" s="80">
        <v>35457</v>
      </c>
    </row>
    <row r="3818" spans="1:5">
      <c r="A3818">
        <v>10427</v>
      </c>
      <c r="B3818" t="s">
        <v>172</v>
      </c>
      <c r="C3818">
        <v>651</v>
      </c>
      <c r="D3818">
        <v>35</v>
      </c>
      <c r="E3818" s="80">
        <v>35457</v>
      </c>
    </row>
    <row r="3819" spans="1:5">
      <c r="A3819">
        <v>10427</v>
      </c>
      <c r="B3819" t="s">
        <v>173</v>
      </c>
      <c r="C3819">
        <v>651</v>
      </c>
      <c r="D3819">
        <v>35</v>
      </c>
      <c r="E3819" s="80">
        <v>35457</v>
      </c>
    </row>
    <row r="3820" spans="1:5">
      <c r="A3820">
        <v>10427</v>
      </c>
      <c r="B3820" t="s">
        <v>174</v>
      </c>
      <c r="C3820">
        <v>651</v>
      </c>
      <c r="D3820">
        <v>35</v>
      </c>
      <c r="E3820" s="80">
        <v>35457</v>
      </c>
    </row>
    <row r="3821" spans="1:5">
      <c r="A3821">
        <v>10427</v>
      </c>
      <c r="B3821" t="s">
        <v>175</v>
      </c>
      <c r="C3821">
        <v>651</v>
      </c>
      <c r="D3821">
        <v>35</v>
      </c>
      <c r="E3821" s="80">
        <v>35457</v>
      </c>
    </row>
    <row r="3822" spans="1:5">
      <c r="A3822">
        <v>10427</v>
      </c>
      <c r="B3822" t="s">
        <v>176</v>
      </c>
      <c r="C3822">
        <v>651</v>
      </c>
      <c r="D3822">
        <v>35</v>
      </c>
      <c r="E3822" s="80">
        <v>35457</v>
      </c>
    </row>
    <row r="3823" spans="1:5">
      <c r="A3823">
        <v>10427</v>
      </c>
      <c r="B3823" t="s">
        <v>177</v>
      </c>
      <c r="C3823">
        <v>651</v>
      </c>
      <c r="D3823">
        <v>35</v>
      </c>
      <c r="E3823" s="80">
        <v>35457</v>
      </c>
    </row>
    <row r="3824" spans="1:5">
      <c r="A3824">
        <v>10427</v>
      </c>
      <c r="B3824" t="s">
        <v>178</v>
      </c>
      <c r="C3824">
        <v>651</v>
      </c>
      <c r="D3824">
        <v>35</v>
      </c>
      <c r="E3824" s="80">
        <v>35457</v>
      </c>
    </row>
    <row r="3825" spans="1:5">
      <c r="A3825">
        <v>10427</v>
      </c>
      <c r="B3825" t="s">
        <v>179</v>
      </c>
      <c r="C3825">
        <v>651</v>
      </c>
      <c r="D3825">
        <v>35</v>
      </c>
      <c r="E3825" s="80">
        <v>35457</v>
      </c>
    </row>
    <row r="3826" spans="1:5">
      <c r="A3826">
        <v>10428</v>
      </c>
      <c r="B3826" t="s">
        <v>172</v>
      </c>
      <c r="C3826">
        <v>192</v>
      </c>
      <c r="D3826">
        <v>20</v>
      </c>
      <c r="E3826" s="80">
        <v>35458</v>
      </c>
    </row>
    <row r="3827" spans="1:5">
      <c r="A3827">
        <v>10428</v>
      </c>
      <c r="B3827" t="s">
        <v>173</v>
      </c>
      <c r="C3827">
        <v>192</v>
      </c>
      <c r="D3827">
        <v>20</v>
      </c>
      <c r="E3827" s="80">
        <v>35458</v>
      </c>
    </row>
    <row r="3828" spans="1:5">
      <c r="A3828">
        <v>10428</v>
      </c>
      <c r="B3828" t="s">
        <v>174</v>
      </c>
      <c r="C3828">
        <v>192</v>
      </c>
      <c r="D3828">
        <v>20</v>
      </c>
      <c r="E3828" s="80">
        <v>35458</v>
      </c>
    </row>
    <row r="3829" spans="1:5">
      <c r="A3829">
        <v>10428</v>
      </c>
      <c r="B3829" t="s">
        <v>175</v>
      </c>
      <c r="C3829">
        <v>192</v>
      </c>
      <c r="D3829">
        <v>20</v>
      </c>
      <c r="E3829" s="80">
        <v>35458</v>
      </c>
    </row>
    <row r="3830" spans="1:5">
      <c r="A3830">
        <v>10428</v>
      </c>
      <c r="B3830" t="s">
        <v>176</v>
      </c>
      <c r="C3830">
        <v>192</v>
      </c>
      <c r="D3830">
        <v>20</v>
      </c>
      <c r="E3830" s="80">
        <v>35458</v>
      </c>
    </row>
    <row r="3831" spans="1:5">
      <c r="A3831">
        <v>10428</v>
      </c>
      <c r="B3831" t="s">
        <v>177</v>
      </c>
      <c r="C3831">
        <v>192</v>
      </c>
      <c r="D3831">
        <v>20</v>
      </c>
      <c r="E3831" s="80">
        <v>35458</v>
      </c>
    </row>
    <row r="3832" spans="1:5">
      <c r="A3832">
        <v>10428</v>
      </c>
      <c r="B3832" t="s">
        <v>178</v>
      </c>
      <c r="C3832">
        <v>192</v>
      </c>
      <c r="D3832">
        <v>20</v>
      </c>
      <c r="E3832" s="80">
        <v>35458</v>
      </c>
    </row>
    <row r="3833" spans="1:5">
      <c r="A3833">
        <v>10428</v>
      </c>
      <c r="B3833" t="s">
        <v>179</v>
      </c>
      <c r="C3833">
        <v>192</v>
      </c>
      <c r="D3833">
        <v>20</v>
      </c>
      <c r="E3833" s="80">
        <v>35458</v>
      </c>
    </row>
    <row r="3834" spans="1:5">
      <c r="A3834">
        <v>10429</v>
      </c>
      <c r="B3834" t="s">
        <v>172</v>
      </c>
      <c r="C3834">
        <v>520</v>
      </c>
      <c r="D3834">
        <v>40</v>
      </c>
      <c r="E3834" s="80">
        <v>35459</v>
      </c>
    </row>
    <row r="3835" spans="1:5">
      <c r="A3835">
        <v>10429</v>
      </c>
      <c r="B3835" t="s">
        <v>173</v>
      </c>
      <c r="C3835">
        <v>520</v>
      </c>
      <c r="D3835">
        <v>40</v>
      </c>
      <c r="E3835" s="80">
        <v>35459</v>
      </c>
    </row>
    <row r="3836" spans="1:5">
      <c r="A3836">
        <v>10429</v>
      </c>
      <c r="B3836" t="s">
        <v>174</v>
      </c>
      <c r="C3836">
        <v>520</v>
      </c>
      <c r="D3836">
        <v>40</v>
      </c>
      <c r="E3836" s="80">
        <v>35459</v>
      </c>
    </row>
    <row r="3837" spans="1:5">
      <c r="A3837">
        <v>10429</v>
      </c>
      <c r="B3837" t="s">
        <v>175</v>
      </c>
      <c r="C3837">
        <v>520</v>
      </c>
      <c r="D3837">
        <v>40</v>
      </c>
      <c r="E3837" s="80">
        <v>35459</v>
      </c>
    </row>
    <row r="3838" spans="1:5">
      <c r="A3838">
        <v>10429</v>
      </c>
      <c r="B3838" t="s">
        <v>176</v>
      </c>
      <c r="C3838">
        <v>520</v>
      </c>
      <c r="D3838">
        <v>40</v>
      </c>
      <c r="E3838" s="80">
        <v>35459</v>
      </c>
    </row>
    <row r="3839" spans="1:5">
      <c r="A3839">
        <v>10429</v>
      </c>
      <c r="B3839" t="s">
        <v>177</v>
      </c>
      <c r="C3839">
        <v>520</v>
      </c>
      <c r="D3839">
        <v>40</v>
      </c>
      <c r="E3839" s="80">
        <v>35459</v>
      </c>
    </row>
    <row r="3840" spans="1:5">
      <c r="A3840">
        <v>10429</v>
      </c>
      <c r="B3840" t="s">
        <v>178</v>
      </c>
      <c r="C3840">
        <v>520</v>
      </c>
      <c r="D3840">
        <v>40</v>
      </c>
      <c r="E3840" s="80">
        <v>35459</v>
      </c>
    </row>
    <row r="3841" spans="1:5">
      <c r="A3841">
        <v>10429</v>
      </c>
      <c r="B3841" t="s">
        <v>179</v>
      </c>
      <c r="C3841">
        <v>520</v>
      </c>
      <c r="D3841">
        <v>40</v>
      </c>
      <c r="E3841" s="80">
        <v>35459</v>
      </c>
    </row>
    <row r="3842" spans="1:5">
      <c r="A3842">
        <v>10429</v>
      </c>
      <c r="B3842" t="s">
        <v>172</v>
      </c>
      <c r="C3842">
        <v>921.375</v>
      </c>
      <c r="D3842">
        <v>35</v>
      </c>
      <c r="E3842" s="80">
        <v>35459</v>
      </c>
    </row>
    <row r="3843" spans="1:5">
      <c r="A3843">
        <v>10429</v>
      </c>
      <c r="B3843" t="s">
        <v>173</v>
      </c>
      <c r="C3843">
        <v>921.375</v>
      </c>
      <c r="D3843">
        <v>35</v>
      </c>
      <c r="E3843" s="80">
        <v>35459</v>
      </c>
    </row>
    <row r="3844" spans="1:5">
      <c r="A3844">
        <v>10429</v>
      </c>
      <c r="B3844" t="s">
        <v>174</v>
      </c>
      <c r="C3844">
        <v>921.375</v>
      </c>
      <c r="D3844">
        <v>35</v>
      </c>
      <c r="E3844" s="80">
        <v>35459</v>
      </c>
    </row>
    <row r="3845" spans="1:5">
      <c r="A3845">
        <v>10429</v>
      </c>
      <c r="B3845" t="s">
        <v>175</v>
      </c>
      <c r="C3845">
        <v>921.375</v>
      </c>
      <c r="D3845">
        <v>35</v>
      </c>
      <c r="E3845" s="80">
        <v>35459</v>
      </c>
    </row>
    <row r="3846" spans="1:5">
      <c r="A3846">
        <v>10429</v>
      </c>
      <c r="B3846" t="s">
        <v>176</v>
      </c>
      <c r="C3846">
        <v>921.375</v>
      </c>
      <c r="D3846">
        <v>35</v>
      </c>
      <c r="E3846" s="80">
        <v>35459</v>
      </c>
    </row>
    <row r="3847" spans="1:5">
      <c r="A3847">
        <v>10429</v>
      </c>
      <c r="B3847" t="s">
        <v>177</v>
      </c>
      <c r="C3847">
        <v>921.375</v>
      </c>
      <c r="D3847">
        <v>35</v>
      </c>
      <c r="E3847" s="80">
        <v>35459</v>
      </c>
    </row>
    <row r="3848" spans="1:5">
      <c r="A3848">
        <v>10429</v>
      </c>
      <c r="B3848" t="s">
        <v>178</v>
      </c>
      <c r="C3848">
        <v>921.375</v>
      </c>
      <c r="D3848">
        <v>35</v>
      </c>
      <c r="E3848" s="80">
        <v>35459</v>
      </c>
    </row>
    <row r="3849" spans="1:5">
      <c r="A3849">
        <v>10429</v>
      </c>
      <c r="B3849" t="s">
        <v>179</v>
      </c>
      <c r="C3849">
        <v>921.375</v>
      </c>
      <c r="D3849">
        <v>35</v>
      </c>
      <c r="E3849" s="80">
        <v>35459</v>
      </c>
    </row>
    <row r="3850" spans="1:5">
      <c r="A3850">
        <v>10430</v>
      </c>
      <c r="B3850" t="s">
        <v>172</v>
      </c>
      <c r="C3850">
        <v>1123.1999958157539</v>
      </c>
      <c r="D3850">
        <v>45</v>
      </c>
      <c r="E3850" s="80">
        <v>35460</v>
      </c>
    </row>
    <row r="3851" spans="1:5">
      <c r="A3851">
        <v>10430</v>
      </c>
      <c r="B3851" t="s">
        <v>173</v>
      </c>
      <c r="C3851">
        <v>1123.1999958157539</v>
      </c>
      <c r="D3851">
        <v>45</v>
      </c>
      <c r="E3851" s="80">
        <v>35460</v>
      </c>
    </row>
    <row r="3852" spans="1:5">
      <c r="A3852">
        <v>10430</v>
      </c>
      <c r="B3852" t="s">
        <v>174</v>
      </c>
      <c r="C3852">
        <v>1123.1999958157539</v>
      </c>
      <c r="D3852">
        <v>45</v>
      </c>
      <c r="E3852" s="80">
        <v>35460</v>
      </c>
    </row>
    <row r="3853" spans="1:5">
      <c r="A3853">
        <v>10430</v>
      </c>
      <c r="B3853" t="s">
        <v>175</v>
      </c>
      <c r="C3853">
        <v>1123.1999958157539</v>
      </c>
      <c r="D3853">
        <v>45</v>
      </c>
      <c r="E3853" s="80">
        <v>35460</v>
      </c>
    </row>
    <row r="3854" spans="1:5">
      <c r="A3854">
        <v>10430</v>
      </c>
      <c r="B3854" t="s">
        <v>176</v>
      </c>
      <c r="C3854">
        <v>1123.1999958157539</v>
      </c>
      <c r="D3854">
        <v>45</v>
      </c>
      <c r="E3854" s="80">
        <v>35460</v>
      </c>
    </row>
    <row r="3855" spans="1:5">
      <c r="A3855">
        <v>10430</v>
      </c>
      <c r="B3855" t="s">
        <v>177</v>
      </c>
      <c r="C3855">
        <v>1123.1999958157539</v>
      </c>
      <c r="D3855">
        <v>45</v>
      </c>
      <c r="E3855" s="80">
        <v>35460</v>
      </c>
    </row>
    <row r="3856" spans="1:5">
      <c r="A3856">
        <v>10430</v>
      </c>
      <c r="B3856" t="s">
        <v>178</v>
      </c>
      <c r="C3856">
        <v>1123.1999958157539</v>
      </c>
      <c r="D3856">
        <v>45</v>
      </c>
      <c r="E3856" s="80">
        <v>35460</v>
      </c>
    </row>
    <row r="3857" spans="1:5">
      <c r="A3857">
        <v>10430</v>
      </c>
      <c r="B3857" t="s">
        <v>179</v>
      </c>
      <c r="C3857">
        <v>1123.1999958157539</v>
      </c>
      <c r="D3857">
        <v>45</v>
      </c>
      <c r="E3857" s="80">
        <v>35460</v>
      </c>
    </row>
    <row r="3858" spans="1:5">
      <c r="A3858">
        <v>10430</v>
      </c>
      <c r="B3858" t="s">
        <v>172</v>
      </c>
      <c r="C3858">
        <v>400</v>
      </c>
      <c r="D3858">
        <v>50</v>
      </c>
      <c r="E3858" s="80">
        <v>35460</v>
      </c>
    </row>
    <row r="3859" spans="1:5">
      <c r="A3859">
        <v>10430</v>
      </c>
      <c r="B3859" t="s">
        <v>173</v>
      </c>
      <c r="C3859">
        <v>400</v>
      </c>
      <c r="D3859">
        <v>50</v>
      </c>
      <c r="E3859" s="80">
        <v>35460</v>
      </c>
    </row>
    <row r="3860" spans="1:5">
      <c r="A3860">
        <v>10430</v>
      </c>
      <c r="B3860" t="s">
        <v>174</v>
      </c>
      <c r="C3860">
        <v>400</v>
      </c>
      <c r="D3860">
        <v>50</v>
      </c>
      <c r="E3860" s="80">
        <v>35460</v>
      </c>
    </row>
    <row r="3861" spans="1:5">
      <c r="A3861">
        <v>10430</v>
      </c>
      <c r="B3861" t="s">
        <v>175</v>
      </c>
      <c r="C3861">
        <v>400</v>
      </c>
      <c r="D3861">
        <v>50</v>
      </c>
      <c r="E3861" s="80">
        <v>35460</v>
      </c>
    </row>
    <row r="3862" spans="1:5">
      <c r="A3862">
        <v>10430</v>
      </c>
      <c r="B3862" t="s">
        <v>176</v>
      </c>
      <c r="C3862">
        <v>400</v>
      </c>
      <c r="D3862">
        <v>50</v>
      </c>
      <c r="E3862" s="80">
        <v>35460</v>
      </c>
    </row>
    <row r="3863" spans="1:5">
      <c r="A3863">
        <v>10430</v>
      </c>
      <c r="B3863" t="s">
        <v>177</v>
      </c>
      <c r="C3863">
        <v>400</v>
      </c>
      <c r="D3863">
        <v>50</v>
      </c>
      <c r="E3863" s="80">
        <v>35460</v>
      </c>
    </row>
    <row r="3864" spans="1:5">
      <c r="A3864">
        <v>10430</v>
      </c>
      <c r="B3864" t="s">
        <v>178</v>
      </c>
      <c r="C3864">
        <v>400</v>
      </c>
      <c r="D3864">
        <v>50</v>
      </c>
      <c r="E3864" s="80">
        <v>35460</v>
      </c>
    </row>
    <row r="3865" spans="1:5">
      <c r="A3865">
        <v>10430</v>
      </c>
      <c r="B3865" t="s">
        <v>179</v>
      </c>
      <c r="C3865">
        <v>400</v>
      </c>
      <c r="D3865">
        <v>50</v>
      </c>
      <c r="E3865" s="80">
        <v>35460</v>
      </c>
    </row>
    <row r="3866" spans="1:5">
      <c r="A3866">
        <v>10430</v>
      </c>
      <c r="B3866" t="s">
        <v>172</v>
      </c>
      <c r="C3866">
        <v>912</v>
      </c>
      <c r="D3866">
        <v>30</v>
      </c>
      <c r="E3866" s="80">
        <v>35460</v>
      </c>
    </row>
    <row r="3867" spans="1:5">
      <c r="A3867">
        <v>10430</v>
      </c>
      <c r="B3867" t="s">
        <v>173</v>
      </c>
      <c r="C3867">
        <v>912</v>
      </c>
      <c r="D3867">
        <v>30</v>
      </c>
      <c r="E3867" s="80">
        <v>35460</v>
      </c>
    </row>
    <row r="3868" spans="1:5">
      <c r="A3868">
        <v>10430</v>
      </c>
      <c r="B3868" t="s">
        <v>174</v>
      </c>
      <c r="C3868">
        <v>912</v>
      </c>
      <c r="D3868">
        <v>30</v>
      </c>
      <c r="E3868" s="80">
        <v>35460</v>
      </c>
    </row>
    <row r="3869" spans="1:5">
      <c r="A3869">
        <v>10430</v>
      </c>
      <c r="B3869" t="s">
        <v>175</v>
      </c>
      <c r="C3869">
        <v>912</v>
      </c>
      <c r="D3869">
        <v>30</v>
      </c>
      <c r="E3869" s="80">
        <v>35460</v>
      </c>
    </row>
    <row r="3870" spans="1:5">
      <c r="A3870">
        <v>10430</v>
      </c>
      <c r="B3870" t="s">
        <v>176</v>
      </c>
      <c r="C3870">
        <v>912</v>
      </c>
      <c r="D3870">
        <v>30</v>
      </c>
      <c r="E3870" s="80">
        <v>35460</v>
      </c>
    </row>
    <row r="3871" spans="1:5">
      <c r="A3871">
        <v>10430</v>
      </c>
      <c r="B3871" t="s">
        <v>177</v>
      </c>
      <c r="C3871">
        <v>912</v>
      </c>
      <c r="D3871">
        <v>30</v>
      </c>
      <c r="E3871" s="80">
        <v>35460</v>
      </c>
    </row>
    <row r="3872" spans="1:5">
      <c r="A3872">
        <v>10430</v>
      </c>
      <c r="B3872" t="s">
        <v>178</v>
      </c>
      <c r="C3872">
        <v>912</v>
      </c>
      <c r="D3872">
        <v>30</v>
      </c>
      <c r="E3872" s="80">
        <v>35460</v>
      </c>
    </row>
    <row r="3873" spans="1:5">
      <c r="A3873">
        <v>10430</v>
      </c>
      <c r="B3873" t="s">
        <v>179</v>
      </c>
      <c r="C3873">
        <v>912</v>
      </c>
      <c r="D3873">
        <v>30</v>
      </c>
      <c r="E3873" s="80">
        <v>35460</v>
      </c>
    </row>
    <row r="3874" spans="1:5">
      <c r="A3874">
        <v>10430</v>
      </c>
      <c r="B3874" t="s">
        <v>172</v>
      </c>
      <c r="C3874">
        <v>2463.9999908208847</v>
      </c>
      <c r="D3874">
        <v>70</v>
      </c>
      <c r="E3874" s="80">
        <v>35460</v>
      </c>
    </row>
    <row r="3875" spans="1:5">
      <c r="A3875">
        <v>10430</v>
      </c>
      <c r="B3875" t="s">
        <v>173</v>
      </c>
      <c r="C3875">
        <v>2463.9999908208847</v>
      </c>
      <c r="D3875">
        <v>70</v>
      </c>
      <c r="E3875" s="80">
        <v>35460</v>
      </c>
    </row>
    <row r="3876" spans="1:5">
      <c r="A3876">
        <v>10430</v>
      </c>
      <c r="B3876" t="s">
        <v>174</v>
      </c>
      <c r="C3876">
        <v>2463.9999908208847</v>
      </c>
      <c r="D3876">
        <v>70</v>
      </c>
      <c r="E3876" s="80">
        <v>35460</v>
      </c>
    </row>
    <row r="3877" spans="1:5">
      <c r="A3877">
        <v>10430</v>
      </c>
      <c r="B3877" t="s">
        <v>175</v>
      </c>
      <c r="C3877">
        <v>2463.9999908208847</v>
      </c>
      <c r="D3877">
        <v>70</v>
      </c>
      <c r="E3877" s="80">
        <v>35460</v>
      </c>
    </row>
    <row r="3878" spans="1:5">
      <c r="A3878">
        <v>10430</v>
      </c>
      <c r="B3878" t="s">
        <v>176</v>
      </c>
      <c r="C3878">
        <v>2463.9999908208847</v>
      </c>
      <c r="D3878">
        <v>70</v>
      </c>
      <c r="E3878" s="80">
        <v>35460</v>
      </c>
    </row>
    <row r="3879" spans="1:5">
      <c r="A3879">
        <v>10430</v>
      </c>
      <c r="B3879" t="s">
        <v>177</v>
      </c>
      <c r="C3879">
        <v>2463.9999908208847</v>
      </c>
      <c r="D3879">
        <v>70</v>
      </c>
      <c r="E3879" s="80">
        <v>35460</v>
      </c>
    </row>
    <row r="3880" spans="1:5">
      <c r="A3880">
        <v>10430</v>
      </c>
      <c r="B3880" t="s">
        <v>178</v>
      </c>
      <c r="C3880">
        <v>2463.9999908208847</v>
      </c>
      <c r="D3880">
        <v>70</v>
      </c>
      <c r="E3880" s="80">
        <v>35460</v>
      </c>
    </row>
    <row r="3881" spans="1:5">
      <c r="A3881">
        <v>10430</v>
      </c>
      <c r="B3881" t="s">
        <v>179</v>
      </c>
      <c r="C3881">
        <v>2463.9999908208847</v>
      </c>
      <c r="D3881">
        <v>70</v>
      </c>
      <c r="E3881" s="80">
        <v>35460</v>
      </c>
    </row>
    <row r="3882" spans="1:5">
      <c r="A3882">
        <v>10431</v>
      </c>
      <c r="B3882" t="s">
        <v>172</v>
      </c>
      <c r="C3882">
        <v>1170</v>
      </c>
      <c r="D3882">
        <v>50</v>
      </c>
      <c r="E3882" s="80">
        <v>35460</v>
      </c>
    </row>
    <row r="3883" spans="1:5">
      <c r="A3883">
        <v>10431</v>
      </c>
      <c r="B3883" t="s">
        <v>173</v>
      </c>
      <c r="C3883">
        <v>1170</v>
      </c>
      <c r="D3883">
        <v>50</v>
      </c>
      <c r="E3883" s="80">
        <v>35460</v>
      </c>
    </row>
    <row r="3884" spans="1:5">
      <c r="A3884">
        <v>10431</v>
      </c>
      <c r="B3884" t="s">
        <v>174</v>
      </c>
      <c r="C3884">
        <v>1170</v>
      </c>
      <c r="D3884">
        <v>50</v>
      </c>
      <c r="E3884" s="80">
        <v>35460</v>
      </c>
    </row>
    <row r="3885" spans="1:5">
      <c r="A3885">
        <v>10431</v>
      </c>
      <c r="B3885" t="s">
        <v>175</v>
      </c>
      <c r="C3885">
        <v>1170</v>
      </c>
      <c r="D3885">
        <v>50</v>
      </c>
      <c r="E3885" s="80">
        <v>35460</v>
      </c>
    </row>
    <row r="3886" spans="1:5">
      <c r="A3886">
        <v>10431</v>
      </c>
      <c r="B3886" t="s">
        <v>176</v>
      </c>
      <c r="C3886">
        <v>1170</v>
      </c>
      <c r="D3886">
        <v>50</v>
      </c>
      <c r="E3886" s="80">
        <v>35460</v>
      </c>
    </row>
    <row r="3887" spans="1:5">
      <c r="A3887">
        <v>10431</v>
      </c>
      <c r="B3887" t="s">
        <v>177</v>
      </c>
      <c r="C3887">
        <v>1170</v>
      </c>
      <c r="D3887">
        <v>50</v>
      </c>
      <c r="E3887" s="80">
        <v>35460</v>
      </c>
    </row>
    <row r="3888" spans="1:5">
      <c r="A3888">
        <v>10431</v>
      </c>
      <c r="B3888" t="s">
        <v>178</v>
      </c>
      <c r="C3888">
        <v>1170</v>
      </c>
      <c r="D3888">
        <v>50</v>
      </c>
      <c r="E3888" s="80">
        <v>35460</v>
      </c>
    </row>
    <row r="3889" spans="1:5">
      <c r="A3889">
        <v>10431</v>
      </c>
      <c r="B3889" t="s">
        <v>179</v>
      </c>
      <c r="C3889">
        <v>1170</v>
      </c>
      <c r="D3889">
        <v>50</v>
      </c>
      <c r="E3889" s="80">
        <v>35460</v>
      </c>
    </row>
    <row r="3890" spans="1:5">
      <c r="A3890">
        <v>10431</v>
      </c>
      <c r="B3890" t="s">
        <v>172</v>
      </c>
      <c r="C3890">
        <v>551.25</v>
      </c>
      <c r="D3890">
        <v>50</v>
      </c>
      <c r="E3890" s="80">
        <v>35460</v>
      </c>
    </row>
    <row r="3891" spans="1:5">
      <c r="A3891">
        <v>10431</v>
      </c>
      <c r="B3891" t="s">
        <v>173</v>
      </c>
      <c r="C3891">
        <v>551.25</v>
      </c>
      <c r="D3891">
        <v>50</v>
      </c>
      <c r="E3891" s="80">
        <v>35460</v>
      </c>
    </row>
    <row r="3892" spans="1:5">
      <c r="A3892">
        <v>10431</v>
      </c>
      <c r="B3892" t="s">
        <v>174</v>
      </c>
      <c r="C3892">
        <v>551.25</v>
      </c>
      <c r="D3892">
        <v>50</v>
      </c>
      <c r="E3892" s="80">
        <v>35460</v>
      </c>
    </row>
    <row r="3893" spans="1:5">
      <c r="A3893">
        <v>10431</v>
      </c>
      <c r="B3893" t="s">
        <v>175</v>
      </c>
      <c r="C3893">
        <v>551.25</v>
      </c>
      <c r="D3893">
        <v>50</v>
      </c>
      <c r="E3893" s="80">
        <v>35460</v>
      </c>
    </row>
    <row r="3894" spans="1:5">
      <c r="A3894">
        <v>10431</v>
      </c>
      <c r="B3894" t="s">
        <v>176</v>
      </c>
      <c r="C3894">
        <v>551.25</v>
      </c>
      <c r="D3894">
        <v>50</v>
      </c>
      <c r="E3894" s="80">
        <v>35460</v>
      </c>
    </row>
    <row r="3895" spans="1:5">
      <c r="A3895">
        <v>10431</v>
      </c>
      <c r="B3895" t="s">
        <v>177</v>
      </c>
      <c r="C3895">
        <v>551.25</v>
      </c>
      <c r="D3895">
        <v>50</v>
      </c>
      <c r="E3895" s="80">
        <v>35460</v>
      </c>
    </row>
    <row r="3896" spans="1:5">
      <c r="A3896">
        <v>10431</v>
      </c>
      <c r="B3896" t="s">
        <v>178</v>
      </c>
      <c r="C3896">
        <v>551.25</v>
      </c>
      <c r="D3896">
        <v>50</v>
      </c>
      <c r="E3896" s="80">
        <v>35460</v>
      </c>
    </row>
    <row r="3897" spans="1:5">
      <c r="A3897">
        <v>10431</v>
      </c>
      <c r="B3897" t="s">
        <v>179</v>
      </c>
      <c r="C3897">
        <v>551.25</v>
      </c>
      <c r="D3897">
        <v>50</v>
      </c>
      <c r="E3897" s="80">
        <v>35460</v>
      </c>
    </row>
    <row r="3898" spans="1:5">
      <c r="A3898">
        <v>10431</v>
      </c>
      <c r="B3898" t="s">
        <v>172</v>
      </c>
      <c r="C3898">
        <v>171</v>
      </c>
      <c r="D3898">
        <v>30</v>
      </c>
      <c r="E3898" s="80">
        <v>35460</v>
      </c>
    </row>
    <row r="3899" spans="1:5">
      <c r="A3899">
        <v>10431</v>
      </c>
      <c r="B3899" t="s">
        <v>173</v>
      </c>
      <c r="C3899">
        <v>171</v>
      </c>
      <c r="D3899">
        <v>30</v>
      </c>
      <c r="E3899" s="80">
        <v>35460</v>
      </c>
    </row>
    <row r="3900" spans="1:5">
      <c r="A3900">
        <v>10431</v>
      </c>
      <c r="B3900" t="s">
        <v>174</v>
      </c>
      <c r="C3900">
        <v>171</v>
      </c>
      <c r="D3900">
        <v>30</v>
      </c>
      <c r="E3900" s="80">
        <v>35460</v>
      </c>
    </row>
    <row r="3901" spans="1:5">
      <c r="A3901">
        <v>10431</v>
      </c>
      <c r="B3901" t="s">
        <v>175</v>
      </c>
      <c r="C3901">
        <v>171</v>
      </c>
      <c r="D3901">
        <v>30</v>
      </c>
      <c r="E3901" s="80">
        <v>35460</v>
      </c>
    </row>
    <row r="3902" spans="1:5">
      <c r="A3902">
        <v>10431</v>
      </c>
      <c r="B3902" t="s">
        <v>176</v>
      </c>
      <c r="C3902">
        <v>171</v>
      </c>
      <c r="D3902">
        <v>30</v>
      </c>
      <c r="E3902" s="80">
        <v>35460</v>
      </c>
    </row>
    <row r="3903" spans="1:5">
      <c r="A3903">
        <v>10431</v>
      </c>
      <c r="B3903" t="s">
        <v>177</v>
      </c>
      <c r="C3903">
        <v>171</v>
      </c>
      <c r="D3903">
        <v>30</v>
      </c>
      <c r="E3903" s="80">
        <v>35460</v>
      </c>
    </row>
    <row r="3904" spans="1:5">
      <c r="A3904">
        <v>10431</v>
      </c>
      <c r="B3904" t="s">
        <v>178</v>
      </c>
      <c r="C3904">
        <v>171</v>
      </c>
      <c r="D3904">
        <v>30</v>
      </c>
      <c r="E3904" s="80">
        <v>35460</v>
      </c>
    </row>
    <row r="3905" spans="1:5">
      <c r="A3905">
        <v>10431</v>
      </c>
      <c r="B3905" t="s">
        <v>179</v>
      </c>
      <c r="C3905">
        <v>171</v>
      </c>
      <c r="D3905">
        <v>30</v>
      </c>
      <c r="E3905" s="80">
        <v>35460</v>
      </c>
    </row>
    <row r="3906" spans="1:5">
      <c r="A3906">
        <v>10432</v>
      </c>
      <c r="B3906" t="s">
        <v>172</v>
      </c>
      <c r="C3906">
        <v>249</v>
      </c>
      <c r="D3906">
        <v>10</v>
      </c>
      <c r="E3906" s="80">
        <v>35461</v>
      </c>
    </row>
    <row r="3907" spans="1:5">
      <c r="A3907">
        <v>10432</v>
      </c>
      <c r="B3907" t="s">
        <v>173</v>
      </c>
      <c r="C3907">
        <v>249</v>
      </c>
      <c r="D3907">
        <v>10</v>
      </c>
      <c r="E3907" s="80">
        <v>35461</v>
      </c>
    </row>
    <row r="3908" spans="1:5">
      <c r="A3908">
        <v>10432</v>
      </c>
      <c r="B3908" t="s">
        <v>174</v>
      </c>
      <c r="C3908">
        <v>249</v>
      </c>
      <c r="D3908">
        <v>10</v>
      </c>
      <c r="E3908" s="80">
        <v>35461</v>
      </c>
    </row>
    <row r="3909" spans="1:5">
      <c r="A3909">
        <v>10432</v>
      </c>
      <c r="B3909" t="s">
        <v>175</v>
      </c>
      <c r="C3909">
        <v>249</v>
      </c>
      <c r="D3909">
        <v>10</v>
      </c>
      <c r="E3909" s="80">
        <v>35461</v>
      </c>
    </row>
    <row r="3910" spans="1:5">
      <c r="A3910">
        <v>10432</v>
      </c>
      <c r="B3910" t="s">
        <v>176</v>
      </c>
      <c r="C3910">
        <v>249</v>
      </c>
      <c r="D3910">
        <v>10</v>
      </c>
      <c r="E3910" s="80">
        <v>35461</v>
      </c>
    </row>
    <row r="3911" spans="1:5">
      <c r="A3911">
        <v>10432</v>
      </c>
      <c r="B3911" t="s">
        <v>177</v>
      </c>
      <c r="C3911">
        <v>249</v>
      </c>
      <c r="D3911">
        <v>10</v>
      </c>
      <c r="E3911" s="80">
        <v>35461</v>
      </c>
    </row>
    <row r="3912" spans="1:5">
      <c r="A3912">
        <v>10432</v>
      </c>
      <c r="B3912" t="s">
        <v>178</v>
      </c>
      <c r="C3912">
        <v>249</v>
      </c>
      <c r="D3912">
        <v>10</v>
      </c>
      <c r="E3912" s="80">
        <v>35461</v>
      </c>
    </row>
    <row r="3913" spans="1:5">
      <c r="A3913">
        <v>10432</v>
      </c>
      <c r="B3913" t="s">
        <v>179</v>
      </c>
      <c r="C3913">
        <v>249</v>
      </c>
      <c r="D3913">
        <v>10</v>
      </c>
      <c r="E3913" s="80">
        <v>35461</v>
      </c>
    </row>
    <row r="3914" spans="1:5">
      <c r="A3914">
        <v>10432</v>
      </c>
      <c r="B3914" t="s">
        <v>172</v>
      </c>
      <c r="C3914">
        <v>236</v>
      </c>
      <c r="D3914">
        <v>40</v>
      </c>
      <c r="E3914" s="80">
        <v>35461</v>
      </c>
    </row>
    <row r="3915" spans="1:5">
      <c r="A3915">
        <v>10432</v>
      </c>
      <c r="B3915" t="s">
        <v>173</v>
      </c>
      <c r="C3915">
        <v>236</v>
      </c>
      <c r="D3915">
        <v>40</v>
      </c>
      <c r="E3915" s="80">
        <v>35461</v>
      </c>
    </row>
    <row r="3916" spans="1:5">
      <c r="A3916">
        <v>10432</v>
      </c>
      <c r="B3916" t="s">
        <v>174</v>
      </c>
      <c r="C3916">
        <v>236</v>
      </c>
      <c r="D3916">
        <v>40</v>
      </c>
      <c r="E3916" s="80">
        <v>35461</v>
      </c>
    </row>
    <row r="3917" spans="1:5">
      <c r="A3917">
        <v>10432</v>
      </c>
      <c r="B3917" t="s">
        <v>175</v>
      </c>
      <c r="C3917">
        <v>236</v>
      </c>
      <c r="D3917">
        <v>40</v>
      </c>
      <c r="E3917" s="80">
        <v>35461</v>
      </c>
    </row>
    <row r="3918" spans="1:5">
      <c r="A3918">
        <v>10432</v>
      </c>
      <c r="B3918" t="s">
        <v>176</v>
      </c>
      <c r="C3918">
        <v>236</v>
      </c>
      <c r="D3918">
        <v>40</v>
      </c>
      <c r="E3918" s="80">
        <v>35461</v>
      </c>
    </row>
    <row r="3919" spans="1:5">
      <c r="A3919">
        <v>10432</v>
      </c>
      <c r="B3919" t="s">
        <v>177</v>
      </c>
      <c r="C3919">
        <v>236</v>
      </c>
      <c r="D3919">
        <v>40</v>
      </c>
      <c r="E3919" s="80">
        <v>35461</v>
      </c>
    </row>
    <row r="3920" spans="1:5">
      <c r="A3920">
        <v>10432</v>
      </c>
      <c r="B3920" t="s">
        <v>178</v>
      </c>
      <c r="C3920">
        <v>236</v>
      </c>
      <c r="D3920">
        <v>40</v>
      </c>
      <c r="E3920" s="80">
        <v>35461</v>
      </c>
    </row>
    <row r="3921" spans="1:5">
      <c r="A3921">
        <v>10432</v>
      </c>
      <c r="B3921" t="s">
        <v>179</v>
      </c>
      <c r="C3921">
        <v>236</v>
      </c>
      <c r="D3921">
        <v>40</v>
      </c>
      <c r="E3921" s="80">
        <v>35461</v>
      </c>
    </row>
    <row r="3922" spans="1:5">
      <c r="A3922">
        <v>10433</v>
      </c>
      <c r="B3922" t="s">
        <v>172</v>
      </c>
      <c r="C3922">
        <v>851.2</v>
      </c>
      <c r="D3922">
        <v>28</v>
      </c>
      <c r="E3922" s="80">
        <v>35464</v>
      </c>
    </row>
    <row r="3923" spans="1:5">
      <c r="A3923">
        <v>10433</v>
      </c>
      <c r="B3923" t="s">
        <v>173</v>
      </c>
      <c r="C3923">
        <v>851.2</v>
      </c>
      <c r="D3923">
        <v>28</v>
      </c>
      <c r="E3923" s="80">
        <v>35464</v>
      </c>
    </row>
    <row r="3924" spans="1:5">
      <c r="A3924">
        <v>10433</v>
      </c>
      <c r="B3924" t="s">
        <v>174</v>
      </c>
      <c r="C3924">
        <v>851.2</v>
      </c>
      <c r="D3924">
        <v>28</v>
      </c>
      <c r="E3924" s="80">
        <v>35464</v>
      </c>
    </row>
    <row r="3925" spans="1:5">
      <c r="A3925">
        <v>10433</v>
      </c>
      <c r="B3925" t="s">
        <v>175</v>
      </c>
      <c r="C3925">
        <v>851.2</v>
      </c>
      <c r="D3925">
        <v>28</v>
      </c>
      <c r="E3925" s="80">
        <v>35464</v>
      </c>
    </row>
    <row r="3926" spans="1:5">
      <c r="A3926">
        <v>10433</v>
      </c>
      <c r="B3926" t="s">
        <v>176</v>
      </c>
      <c r="C3926">
        <v>851.2</v>
      </c>
      <c r="D3926">
        <v>28</v>
      </c>
      <c r="E3926" s="80">
        <v>35464</v>
      </c>
    </row>
    <row r="3927" spans="1:5">
      <c r="A3927">
        <v>10433</v>
      </c>
      <c r="B3927" t="s">
        <v>177</v>
      </c>
      <c r="C3927">
        <v>851.2</v>
      </c>
      <c r="D3927">
        <v>28</v>
      </c>
      <c r="E3927" s="80">
        <v>35464</v>
      </c>
    </row>
    <row r="3928" spans="1:5">
      <c r="A3928">
        <v>10433</v>
      </c>
      <c r="B3928" t="s">
        <v>178</v>
      </c>
      <c r="C3928">
        <v>851.2</v>
      </c>
      <c r="D3928">
        <v>28</v>
      </c>
      <c r="E3928" s="80">
        <v>35464</v>
      </c>
    </row>
    <row r="3929" spans="1:5">
      <c r="A3929">
        <v>10433</v>
      </c>
      <c r="B3929" t="s">
        <v>179</v>
      </c>
      <c r="C3929">
        <v>851.2</v>
      </c>
      <c r="D3929">
        <v>28</v>
      </c>
      <c r="E3929" s="80">
        <v>35464</v>
      </c>
    </row>
    <row r="3930" spans="1:5">
      <c r="A3930">
        <v>10434</v>
      </c>
      <c r="B3930" t="s">
        <v>172</v>
      </c>
      <c r="C3930">
        <v>100.8</v>
      </c>
      <c r="D3930">
        <v>6</v>
      </c>
      <c r="E3930" s="80">
        <v>35464</v>
      </c>
    </row>
    <row r="3931" spans="1:5">
      <c r="A3931">
        <v>10434</v>
      </c>
      <c r="B3931" t="s">
        <v>173</v>
      </c>
      <c r="C3931">
        <v>100.8</v>
      </c>
      <c r="D3931">
        <v>6</v>
      </c>
      <c r="E3931" s="80">
        <v>35464</v>
      </c>
    </row>
    <row r="3932" spans="1:5">
      <c r="A3932">
        <v>10434</v>
      </c>
      <c r="B3932" t="s">
        <v>174</v>
      </c>
      <c r="C3932">
        <v>100.8</v>
      </c>
      <c r="D3932">
        <v>6</v>
      </c>
      <c r="E3932" s="80">
        <v>35464</v>
      </c>
    </row>
    <row r="3933" spans="1:5">
      <c r="A3933">
        <v>10434</v>
      </c>
      <c r="B3933" t="s">
        <v>175</v>
      </c>
      <c r="C3933">
        <v>100.8</v>
      </c>
      <c r="D3933">
        <v>6</v>
      </c>
      <c r="E3933" s="80">
        <v>35464</v>
      </c>
    </row>
    <row r="3934" spans="1:5">
      <c r="A3934">
        <v>10434</v>
      </c>
      <c r="B3934" t="s">
        <v>176</v>
      </c>
      <c r="C3934">
        <v>100.8</v>
      </c>
      <c r="D3934">
        <v>6</v>
      </c>
      <c r="E3934" s="80">
        <v>35464</v>
      </c>
    </row>
    <row r="3935" spans="1:5">
      <c r="A3935">
        <v>10434</v>
      </c>
      <c r="B3935" t="s">
        <v>177</v>
      </c>
      <c r="C3935">
        <v>100.8</v>
      </c>
      <c r="D3935">
        <v>6</v>
      </c>
      <c r="E3935" s="80">
        <v>35464</v>
      </c>
    </row>
    <row r="3936" spans="1:5">
      <c r="A3936">
        <v>10434</v>
      </c>
      <c r="B3936" t="s">
        <v>178</v>
      </c>
      <c r="C3936">
        <v>100.8</v>
      </c>
      <c r="D3936">
        <v>6</v>
      </c>
      <c r="E3936" s="80">
        <v>35464</v>
      </c>
    </row>
    <row r="3937" spans="1:5">
      <c r="A3937">
        <v>10434</v>
      </c>
      <c r="B3937" t="s">
        <v>179</v>
      </c>
      <c r="C3937">
        <v>100.8</v>
      </c>
      <c r="D3937">
        <v>6</v>
      </c>
      <c r="E3937" s="80">
        <v>35464</v>
      </c>
    </row>
    <row r="3938" spans="1:5">
      <c r="A3938">
        <v>10434</v>
      </c>
      <c r="B3938" t="s">
        <v>172</v>
      </c>
      <c r="C3938">
        <v>220.3199984550476</v>
      </c>
      <c r="D3938">
        <v>18</v>
      </c>
      <c r="E3938" s="80">
        <v>35464</v>
      </c>
    </row>
    <row r="3939" spans="1:5">
      <c r="A3939">
        <v>10434</v>
      </c>
      <c r="B3939" t="s">
        <v>173</v>
      </c>
      <c r="C3939">
        <v>220.3199984550476</v>
      </c>
      <c r="D3939">
        <v>18</v>
      </c>
      <c r="E3939" s="80">
        <v>35464</v>
      </c>
    </row>
    <row r="3940" spans="1:5">
      <c r="A3940">
        <v>10434</v>
      </c>
      <c r="B3940" t="s">
        <v>174</v>
      </c>
      <c r="C3940">
        <v>220.3199984550476</v>
      </c>
      <c r="D3940">
        <v>18</v>
      </c>
      <c r="E3940" s="80">
        <v>35464</v>
      </c>
    </row>
    <row r="3941" spans="1:5">
      <c r="A3941">
        <v>10434</v>
      </c>
      <c r="B3941" t="s">
        <v>175</v>
      </c>
      <c r="C3941">
        <v>220.3199984550476</v>
      </c>
      <c r="D3941">
        <v>18</v>
      </c>
      <c r="E3941" s="80">
        <v>35464</v>
      </c>
    </row>
    <row r="3942" spans="1:5">
      <c r="A3942">
        <v>10434</v>
      </c>
      <c r="B3942" t="s">
        <v>176</v>
      </c>
      <c r="C3942">
        <v>220.3199984550476</v>
      </c>
      <c r="D3942">
        <v>18</v>
      </c>
      <c r="E3942" s="80">
        <v>35464</v>
      </c>
    </row>
    <row r="3943" spans="1:5">
      <c r="A3943">
        <v>10434</v>
      </c>
      <c r="B3943" t="s">
        <v>177</v>
      </c>
      <c r="C3943">
        <v>220.3199984550476</v>
      </c>
      <c r="D3943">
        <v>18</v>
      </c>
      <c r="E3943" s="80">
        <v>35464</v>
      </c>
    </row>
    <row r="3944" spans="1:5">
      <c r="A3944">
        <v>10434</v>
      </c>
      <c r="B3944" t="s">
        <v>178</v>
      </c>
      <c r="C3944">
        <v>220.3199984550476</v>
      </c>
      <c r="D3944">
        <v>18</v>
      </c>
      <c r="E3944" s="80">
        <v>35464</v>
      </c>
    </row>
    <row r="3945" spans="1:5">
      <c r="A3945">
        <v>10434</v>
      </c>
      <c r="B3945" t="s">
        <v>179</v>
      </c>
      <c r="C3945">
        <v>220.3199984550476</v>
      </c>
      <c r="D3945">
        <v>18</v>
      </c>
      <c r="E3945" s="80">
        <v>35464</v>
      </c>
    </row>
    <row r="3946" spans="1:5">
      <c r="A3946">
        <v>10435</v>
      </c>
      <c r="B3946" t="s">
        <v>172</v>
      </c>
      <c r="C3946">
        <v>152</v>
      </c>
      <c r="D3946">
        <v>10</v>
      </c>
      <c r="E3946" s="80">
        <v>35465</v>
      </c>
    </row>
    <row r="3947" spans="1:5">
      <c r="A3947">
        <v>10435</v>
      </c>
      <c r="B3947" t="s">
        <v>173</v>
      </c>
      <c r="C3947">
        <v>152</v>
      </c>
      <c r="D3947">
        <v>10</v>
      </c>
      <c r="E3947" s="80">
        <v>35465</v>
      </c>
    </row>
    <row r="3948" spans="1:5">
      <c r="A3948">
        <v>10435</v>
      </c>
      <c r="B3948" t="s">
        <v>174</v>
      </c>
      <c r="C3948">
        <v>152</v>
      </c>
      <c r="D3948">
        <v>10</v>
      </c>
      <c r="E3948" s="80">
        <v>35465</v>
      </c>
    </row>
    <row r="3949" spans="1:5">
      <c r="A3949">
        <v>10435</v>
      </c>
      <c r="B3949" t="s">
        <v>175</v>
      </c>
      <c r="C3949">
        <v>152</v>
      </c>
      <c r="D3949">
        <v>10</v>
      </c>
      <c r="E3949" s="80">
        <v>35465</v>
      </c>
    </row>
    <row r="3950" spans="1:5">
      <c r="A3950">
        <v>10435</v>
      </c>
      <c r="B3950" t="s">
        <v>176</v>
      </c>
      <c r="C3950">
        <v>152</v>
      </c>
      <c r="D3950">
        <v>10</v>
      </c>
      <c r="E3950" s="80">
        <v>35465</v>
      </c>
    </row>
    <row r="3951" spans="1:5">
      <c r="A3951">
        <v>10435</v>
      </c>
      <c r="B3951" t="s">
        <v>177</v>
      </c>
      <c r="C3951">
        <v>152</v>
      </c>
      <c r="D3951">
        <v>10</v>
      </c>
      <c r="E3951" s="80">
        <v>35465</v>
      </c>
    </row>
    <row r="3952" spans="1:5">
      <c r="A3952">
        <v>10435</v>
      </c>
      <c r="B3952" t="s">
        <v>178</v>
      </c>
      <c r="C3952">
        <v>152</v>
      </c>
      <c r="D3952">
        <v>10</v>
      </c>
      <c r="E3952" s="80">
        <v>35465</v>
      </c>
    </row>
    <row r="3953" spans="1:5">
      <c r="A3953">
        <v>10435</v>
      </c>
      <c r="B3953" t="s">
        <v>179</v>
      </c>
      <c r="C3953">
        <v>152</v>
      </c>
      <c r="D3953">
        <v>10</v>
      </c>
      <c r="E3953" s="80">
        <v>35465</v>
      </c>
    </row>
    <row r="3954" spans="1:5">
      <c r="A3954">
        <v>10435</v>
      </c>
      <c r="B3954" t="s">
        <v>172</v>
      </c>
      <c r="C3954">
        <v>201.6</v>
      </c>
      <c r="D3954">
        <v>12</v>
      </c>
      <c r="E3954" s="80">
        <v>35465</v>
      </c>
    </row>
    <row r="3955" spans="1:5">
      <c r="A3955">
        <v>10435</v>
      </c>
      <c r="B3955" t="s">
        <v>173</v>
      </c>
      <c r="C3955">
        <v>201.6</v>
      </c>
      <c r="D3955">
        <v>12</v>
      </c>
      <c r="E3955" s="80">
        <v>35465</v>
      </c>
    </row>
    <row r="3956" spans="1:5">
      <c r="A3956">
        <v>10435</v>
      </c>
      <c r="B3956" t="s">
        <v>174</v>
      </c>
      <c r="C3956">
        <v>201.6</v>
      </c>
      <c r="D3956">
        <v>12</v>
      </c>
      <c r="E3956" s="80">
        <v>35465</v>
      </c>
    </row>
    <row r="3957" spans="1:5">
      <c r="A3957">
        <v>10435</v>
      </c>
      <c r="B3957" t="s">
        <v>175</v>
      </c>
      <c r="C3957">
        <v>201.6</v>
      </c>
      <c r="D3957">
        <v>12</v>
      </c>
      <c r="E3957" s="80">
        <v>35465</v>
      </c>
    </row>
    <row r="3958" spans="1:5">
      <c r="A3958">
        <v>10435</v>
      </c>
      <c r="B3958" t="s">
        <v>176</v>
      </c>
      <c r="C3958">
        <v>201.6</v>
      </c>
      <c r="D3958">
        <v>12</v>
      </c>
      <c r="E3958" s="80">
        <v>35465</v>
      </c>
    </row>
    <row r="3959" spans="1:5">
      <c r="A3959">
        <v>10435</v>
      </c>
      <c r="B3959" t="s">
        <v>177</v>
      </c>
      <c r="C3959">
        <v>201.6</v>
      </c>
      <c r="D3959">
        <v>12</v>
      </c>
      <c r="E3959" s="80">
        <v>35465</v>
      </c>
    </row>
    <row r="3960" spans="1:5">
      <c r="A3960">
        <v>10435</v>
      </c>
      <c r="B3960" t="s">
        <v>178</v>
      </c>
      <c r="C3960">
        <v>201.6</v>
      </c>
      <c r="D3960">
        <v>12</v>
      </c>
      <c r="E3960" s="80">
        <v>35465</v>
      </c>
    </row>
    <row r="3961" spans="1:5">
      <c r="A3961">
        <v>10435</v>
      </c>
      <c r="B3961" t="s">
        <v>179</v>
      </c>
      <c r="C3961">
        <v>201.6</v>
      </c>
      <c r="D3961">
        <v>12</v>
      </c>
      <c r="E3961" s="80">
        <v>35465</v>
      </c>
    </row>
    <row r="3962" spans="1:5">
      <c r="A3962">
        <v>10435</v>
      </c>
      <c r="B3962" t="s">
        <v>172</v>
      </c>
      <c r="C3962">
        <v>278</v>
      </c>
      <c r="D3962">
        <v>10</v>
      </c>
      <c r="E3962" s="80">
        <v>35465</v>
      </c>
    </row>
    <row r="3963" spans="1:5">
      <c r="A3963">
        <v>10435</v>
      </c>
      <c r="B3963" t="s">
        <v>173</v>
      </c>
      <c r="C3963">
        <v>278</v>
      </c>
      <c r="D3963">
        <v>10</v>
      </c>
      <c r="E3963" s="80">
        <v>35465</v>
      </c>
    </row>
    <row r="3964" spans="1:5">
      <c r="A3964">
        <v>10435</v>
      </c>
      <c r="B3964" t="s">
        <v>174</v>
      </c>
      <c r="C3964">
        <v>278</v>
      </c>
      <c r="D3964">
        <v>10</v>
      </c>
      <c r="E3964" s="80">
        <v>35465</v>
      </c>
    </row>
    <row r="3965" spans="1:5">
      <c r="A3965">
        <v>10435</v>
      </c>
      <c r="B3965" t="s">
        <v>175</v>
      </c>
      <c r="C3965">
        <v>278</v>
      </c>
      <c r="D3965">
        <v>10</v>
      </c>
      <c r="E3965" s="80">
        <v>35465</v>
      </c>
    </row>
    <row r="3966" spans="1:5">
      <c r="A3966">
        <v>10435</v>
      </c>
      <c r="B3966" t="s">
        <v>176</v>
      </c>
      <c r="C3966">
        <v>278</v>
      </c>
      <c r="D3966">
        <v>10</v>
      </c>
      <c r="E3966" s="80">
        <v>35465</v>
      </c>
    </row>
    <row r="3967" spans="1:5">
      <c r="A3967">
        <v>10435</v>
      </c>
      <c r="B3967" t="s">
        <v>177</v>
      </c>
      <c r="C3967">
        <v>278</v>
      </c>
      <c r="D3967">
        <v>10</v>
      </c>
      <c r="E3967" s="80">
        <v>35465</v>
      </c>
    </row>
    <row r="3968" spans="1:5">
      <c r="A3968">
        <v>10435</v>
      </c>
      <c r="B3968" t="s">
        <v>178</v>
      </c>
      <c r="C3968">
        <v>278</v>
      </c>
      <c r="D3968">
        <v>10</v>
      </c>
      <c r="E3968" s="80">
        <v>35465</v>
      </c>
    </row>
    <row r="3969" spans="1:5">
      <c r="A3969">
        <v>10435</v>
      </c>
      <c r="B3969" t="s">
        <v>179</v>
      </c>
      <c r="C3969">
        <v>278</v>
      </c>
      <c r="D3969">
        <v>10</v>
      </c>
      <c r="E3969" s="80">
        <v>35465</v>
      </c>
    </row>
    <row r="3970" spans="1:5">
      <c r="A3970">
        <v>10436</v>
      </c>
      <c r="B3970" t="s">
        <v>172</v>
      </c>
      <c r="C3970">
        <v>48</v>
      </c>
      <c r="D3970">
        <v>5</v>
      </c>
      <c r="E3970" s="80">
        <v>35466</v>
      </c>
    </row>
    <row r="3971" spans="1:5">
      <c r="A3971">
        <v>10436</v>
      </c>
      <c r="B3971" t="s">
        <v>173</v>
      </c>
      <c r="C3971">
        <v>48</v>
      </c>
      <c r="D3971">
        <v>5</v>
      </c>
      <c r="E3971" s="80">
        <v>35466</v>
      </c>
    </row>
    <row r="3972" spans="1:5">
      <c r="A3972">
        <v>10436</v>
      </c>
      <c r="B3972" t="s">
        <v>174</v>
      </c>
      <c r="C3972">
        <v>48</v>
      </c>
      <c r="D3972">
        <v>5</v>
      </c>
      <c r="E3972" s="80">
        <v>35466</v>
      </c>
    </row>
    <row r="3973" spans="1:5">
      <c r="A3973">
        <v>10436</v>
      </c>
      <c r="B3973" t="s">
        <v>175</v>
      </c>
      <c r="C3973">
        <v>48</v>
      </c>
      <c r="D3973">
        <v>5</v>
      </c>
      <c r="E3973" s="80">
        <v>35466</v>
      </c>
    </row>
    <row r="3974" spans="1:5">
      <c r="A3974">
        <v>10436</v>
      </c>
      <c r="B3974" t="s">
        <v>176</v>
      </c>
      <c r="C3974">
        <v>48</v>
      </c>
      <c r="D3974">
        <v>5</v>
      </c>
      <c r="E3974" s="80">
        <v>35466</v>
      </c>
    </row>
    <row r="3975" spans="1:5">
      <c r="A3975">
        <v>10436</v>
      </c>
      <c r="B3975" t="s">
        <v>177</v>
      </c>
      <c r="C3975">
        <v>48</v>
      </c>
      <c r="D3975">
        <v>5</v>
      </c>
      <c r="E3975" s="80">
        <v>35466</v>
      </c>
    </row>
    <row r="3976" spans="1:5">
      <c r="A3976">
        <v>10436</v>
      </c>
      <c r="B3976" t="s">
        <v>178</v>
      </c>
      <c r="C3976">
        <v>48</v>
      </c>
      <c r="D3976">
        <v>5</v>
      </c>
      <c r="E3976" s="80">
        <v>35466</v>
      </c>
    </row>
    <row r="3977" spans="1:5">
      <c r="A3977">
        <v>10436</v>
      </c>
      <c r="B3977" t="s">
        <v>179</v>
      </c>
      <c r="C3977">
        <v>48</v>
      </c>
      <c r="D3977">
        <v>5</v>
      </c>
      <c r="E3977" s="80">
        <v>35466</v>
      </c>
    </row>
    <row r="3978" spans="1:5">
      <c r="A3978">
        <v>10436</v>
      </c>
      <c r="B3978" t="s">
        <v>172</v>
      </c>
      <c r="C3978">
        <v>1094.3999981880188</v>
      </c>
      <c r="D3978">
        <v>40</v>
      </c>
      <c r="E3978" s="80">
        <v>35466</v>
      </c>
    </row>
    <row r="3979" spans="1:5">
      <c r="A3979">
        <v>10436</v>
      </c>
      <c r="B3979" t="s">
        <v>173</v>
      </c>
      <c r="C3979">
        <v>1094.3999981880188</v>
      </c>
      <c r="D3979">
        <v>40</v>
      </c>
      <c r="E3979" s="80">
        <v>35466</v>
      </c>
    </row>
    <row r="3980" spans="1:5">
      <c r="A3980">
        <v>10436</v>
      </c>
      <c r="B3980" t="s">
        <v>174</v>
      </c>
      <c r="C3980">
        <v>1094.3999981880188</v>
      </c>
      <c r="D3980">
        <v>40</v>
      </c>
      <c r="E3980" s="80">
        <v>35466</v>
      </c>
    </row>
    <row r="3981" spans="1:5">
      <c r="A3981">
        <v>10436</v>
      </c>
      <c r="B3981" t="s">
        <v>175</v>
      </c>
      <c r="C3981">
        <v>1094.3999981880188</v>
      </c>
      <c r="D3981">
        <v>40</v>
      </c>
      <c r="E3981" s="80">
        <v>35466</v>
      </c>
    </row>
    <row r="3982" spans="1:5">
      <c r="A3982">
        <v>10436</v>
      </c>
      <c r="B3982" t="s">
        <v>176</v>
      </c>
      <c r="C3982">
        <v>1094.3999981880188</v>
      </c>
      <c r="D3982">
        <v>40</v>
      </c>
      <c r="E3982" s="80">
        <v>35466</v>
      </c>
    </row>
    <row r="3983" spans="1:5">
      <c r="A3983">
        <v>10436</v>
      </c>
      <c r="B3983" t="s">
        <v>177</v>
      </c>
      <c r="C3983">
        <v>1094.3999981880188</v>
      </c>
      <c r="D3983">
        <v>40</v>
      </c>
      <c r="E3983" s="80">
        <v>35466</v>
      </c>
    </row>
    <row r="3984" spans="1:5">
      <c r="A3984">
        <v>10436</v>
      </c>
      <c r="B3984" t="s">
        <v>178</v>
      </c>
      <c r="C3984">
        <v>1094.3999981880188</v>
      </c>
      <c r="D3984">
        <v>40</v>
      </c>
      <c r="E3984" s="80">
        <v>35466</v>
      </c>
    </row>
    <row r="3985" spans="1:5">
      <c r="A3985">
        <v>10436</v>
      </c>
      <c r="B3985" t="s">
        <v>179</v>
      </c>
      <c r="C3985">
        <v>1094.3999981880188</v>
      </c>
      <c r="D3985">
        <v>40</v>
      </c>
      <c r="E3985" s="80">
        <v>35466</v>
      </c>
    </row>
    <row r="3986" spans="1:5">
      <c r="A3986">
        <v>10436</v>
      </c>
      <c r="B3986" t="s">
        <v>172</v>
      </c>
      <c r="C3986">
        <v>718.19999881088734</v>
      </c>
      <c r="D3986">
        <v>30</v>
      </c>
      <c r="E3986" s="80">
        <v>35466</v>
      </c>
    </row>
    <row r="3987" spans="1:5">
      <c r="A3987">
        <v>10436</v>
      </c>
      <c r="B3987" t="s">
        <v>173</v>
      </c>
      <c r="C3987">
        <v>718.19999881088734</v>
      </c>
      <c r="D3987">
        <v>30</v>
      </c>
      <c r="E3987" s="80">
        <v>35466</v>
      </c>
    </row>
    <row r="3988" spans="1:5">
      <c r="A3988">
        <v>10436</v>
      </c>
      <c r="B3988" t="s">
        <v>174</v>
      </c>
      <c r="C3988">
        <v>718.19999881088734</v>
      </c>
      <c r="D3988">
        <v>30</v>
      </c>
      <c r="E3988" s="80">
        <v>35466</v>
      </c>
    </row>
    <row r="3989" spans="1:5">
      <c r="A3989">
        <v>10436</v>
      </c>
      <c r="B3989" t="s">
        <v>175</v>
      </c>
      <c r="C3989">
        <v>718.19999881088734</v>
      </c>
      <c r="D3989">
        <v>30</v>
      </c>
      <c r="E3989" s="80">
        <v>35466</v>
      </c>
    </row>
    <row r="3990" spans="1:5">
      <c r="A3990">
        <v>10436</v>
      </c>
      <c r="B3990" t="s">
        <v>176</v>
      </c>
      <c r="C3990">
        <v>718.19999881088734</v>
      </c>
      <c r="D3990">
        <v>30</v>
      </c>
      <c r="E3990" s="80">
        <v>35466</v>
      </c>
    </row>
    <row r="3991" spans="1:5">
      <c r="A3991">
        <v>10436</v>
      </c>
      <c r="B3991" t="s">
        <v>177</v>
      </c>
      <c r="C3991">
        <v>718.19999881088734</v>
      </c>
      <c r="D3991">
        <v>30</v>
      </c>
      <c r="E3991" s="80">
        <v>35466</v>
      </c>
    </row>
    <row r="3992" spans="1:5">
      <c r="A3992">
        <v>10436</v>
      </c>
      <c r="B3992" t="s">
        <v>178</v>
      </c>
      <c r="C3992">
        <v>718.19999881088734</v>
      </c>
      <c r="D3992">
        <v>30</v>
      </c>
      <c r="E3992" s="80">
        <v>35466</v>
      </c>
    </row>
    <row r="3993" spans="1:5">
      <c r="A3993">
        <v>10436</v>
      </c>
      <c r="B3993" t="s">
        <v>179</v>
      </c>
      <c r="C3993">
        <v>718.19999881088734</v>
      </c>
      <c r="D3993">
        <v>30</v>
      </c>
      <c r="E3993" s="80">
        <v>35466</v>
      </c>
    </row>
    <row r="3994" spans="1:5">
      <c r="A3994">
        <v>10436</v>
      </c>
      <c r="B3994" t="s">
        <v>172</v>
      </c>
      <c r="C3994">
        <v>133.91999977827072</v>
      </c>
      <c r="D3994">
        <v>24</v>
      </c>
      <c r="E3994" s="80">
        <v>35466</v>
      </c>
    </row>
    <row r="3995" spans="1:5">
      <c r="A3995">
        <v>10436</v>
      </c>
      <c r="B3995" t="s">
        <v>173</v>
      </c>
      <c r="C3995">
        <v>133.91999977827072</v>
      </c>
      <c r="D3995">
        <v>24</v>
      </c>
      <c r="E3995" s="80">
        <v>35466</v>
      </c>
    </row>
    <row r="3996" spans="1:5">
      <c r="A3996">
        <v>10436</v>
      </c>
      <c r="B3996" t="s">
        <v>174</v>
      </c>
      <c r="C3996">
        <v>133.91999977827072</v>
      </c>
      <c r="D3996">
        <v>24</v>
      </c>
      <c r="E3996" s="80">
        <v>35466</v>
      </c>
    </row>
    <row r="3997" spans="1:5">
      <c r="A3997">
        <v>10436</v>
      </c>
      <c r="B3997" t="s">
        <v>175</v>
      </c>
      <c r="C3997">
        <v>133.91999977827072</v>
      </c>
      <c r="D3997">
        <v>24</v>
      </c>
      <c r="E3997" s="80">
        <v>35466</v>
      </c>
    </row>
    <row r="3998" spans="1:5">
      <c r="A3998">
        <v>10436</v>
      </c>
      <c r="B3998" t="s">
        <v>176</v>
      </c>
      <c r="C3998">
        <v>133.91999977827072</v>
      </c>
      <c r="D3998">
        <v>24</v>
      </c>
      <c r="E3998" s="80">
        <v>35466</v>
      </c>
    </row>
    <row r="3999" spans="1:5">
      <c r="A3999">
        <v>10436</v>
      </c>
      <c r="B3999" t="s">
        <v>177</v>
      </c>
      <c r="C3999">
        <v>133.91999977827072</v>
      </c>
      <c r="D3999">
        <v>24</v>
      </c>
      <c r="E3999" s="80">
        <v>35466</v>
      </c>
    </row>
    <row r="4000" spans="1:5">
      <c r="A4000">
        <v>10436</v>
      </c>
      <c r="B4000" t="s">
        <v>178</v>
      </c>
      <c r="C4000">
        <v>133.91999977827072</v>
      </c>
      <c r="D4000">
        <v>24</v>
      </c>
      <c r="E4000" s="80">
        <v>35466</v>
      </c>
    </row>
    <row r="4001" spans="1:5">
      <c r="A4001">
        <v>10436</v>
      </c>
      <c r="B4001" t="s">
        <v>179</v>
      </c>
      <c r="C4001">
        <v>133.91999977827072</v>
      </c>
      <c r="D4001">
        <v>24</v>
      </c>
      <c r="E4001" s="80">
        <v>35466</v>
      </c>
    </row>
    <row r="4002" spans="1:5">
      <c r="A4002">
        <v>10437</v>
      </c>
      <c r="B4002" t="s">
        <v>172</v>
      </c>
      <c r="C4002">
        <v>393</v>
      </c>
      <c r="D4002">
        <v>15</v>
      </c>
      <c r="E4002" s="80">
        <v>35466</v>
      </c>
    </row>
    <row r="4003" spans="1:5">
      <c r="A4003">
        <v>10437</v>
      </c>
      <c r="B4003" t="s">
        <v>173</v>
      </c>
      <c r="C4003">
        <v>393</v>
      </c>
      <c r="D4003">
        <v>15</v>
      </c>
      <c r="E4003" s="80">
        <v>35466</v>
      </c>
    </row>
    <row r="4004" spans="1:5">
      <c r="A4004">
        <v>10437</v>
      </c>
      <c r="B4004" t="s">
        <v>174</v>
      </c>
      <c r="C4004">
        <v>393</v>
      </c>
      <c r="D4004">
        <v>15</v>
      </c>
      <c r="E4004" s="80">
        <v>35466</v>
      </c>
    </row>
    <row r="4005" spans="1:5">
      <c r="A4005">
        <v>10437</v>
      </c>
      <c r="B4005" t="s">
        <v>175</v>
      </c>
      <c r="C4005">
        <v>393</v>
      </c>
      <c r="D4005">
        <v>15</v>
      </c>
      <c r="E4005" s="80">
        <v>35466</v>
      </c>
    </row>
    <row r="4006" spans="1:5">
      <c r="A4006">
        <v>10437</v>
      </c>
      <c r="B4006" t="s">
        <v>176</v>
      </c>
      <c r="C4006">
        <v>393</v>
      </c>
      <c r="D4006">
        <v>15</v>
      </c>
      <c r="E4006" s="80">
        <v>35466</v>
      </c>
    </row>
    <row r="4007" spans="1:5">
      <c r="A4007">
        <v>10437</v>
      </c>
      <c r="B4007" t="s">
        <v>177</v>
      </c>
      <c r="C4007">
        <v>393</v>
      </c>
      <c r="D4007">
        <v>15</v>
      </c>
      <c r="E4007" s="80">
        <v>35466</v>
      </c>
    </row>
    <row r="4008" spans="1:5">
      <c r="A4008">
        <v>10437</v>
      </c>
      <c r="B4008" t="s">
        <v>178</v>
      </c>
      <c r="C4008">
        <v>393</v>
      </c>
      <c r="D4008">
        <v>15</v>
      </c>
      <c r="E4008" s="80">
        <v>35466</v>
      </c>
    </row>
    <row r="4009" spans="1:5">
      <c r="A4009">
        <v>10437</v>
      </c>
      <c r="B4009" t="s">
        <v>179</v>
      </c>
      <c r="C4009">
        <v>393</v>
      </c>
      <c r="D4009">
        <v>15</v>
      </c>
      <c r="E4009" s="80">
        <v>35466</v>
      </c>
    </row>
    <row r="4010" spans="1:5">
      <c r="A4010">
        <v>10438</v>
      </c>
      <c r="B4010" t="s">
        <v>172</v>
      </c>
      <c r="C4010">
        <v>87.59999967366457</v>
      </c>
      <c r="D4010">
        <v>15</v>
      </c>
      <c r="E4010" s="80">
        <v>35467</v>
      </c>
    </row>
    <row r="4011" spans="1:5">
      <c r="A4011">
        <v>10438</v>
      </c>
      <c r="B4011" t="s">
        <v>173</v>
      </c>
      <c r="C4011">
        <v>87.59999967366457</v>
      </c>
      <c r="D4011">
        <v>15</v>
      </c>
      <c r="E4011" s="80">
        <v>35467</v>
      </c>
    </row>
    <row r="4012" spans="1:5">
      <c r="A4012">
        <v>10438</v>
      </c>
      <c r="B4012" t="s">
        <v>174</v>
      </c>
      <c r="C4012">
        <v>87.59999967366457</v>
      </c>
      <c r="D4012">
        <v>15</v>
      </c>
      <c r="E4012" s="80">
        <v>35467</v>
      </c>
    </row>
    <row r="4013" spans="1:5">
      <c r="A4013">
        <v>10438</v>
      </c>
      <c r="B4013" t="s">
        <v>175</v>
      </c>
      <c r="C4013">
        <v>87.59999967366457</v>
      </c>
      <c r="D4013">
        <v>15</v>
      </c>
      <c r="E4013" s="80">
        <v>35467</v>
      </c>
    </row>
    <row r="4014" spans="1:5">
      <c r="A4014">
        <v>10438</v>
      </c>
      <c r="B4014" t="s">
        <v>176</v>
      </c>
      <c r="C4014">
        <v>87.59999967366457</v>
      </c>
      <c r="D4014">
        <v>15</v>
      </c>
      <c r="E4014" s="80">
        <v>35467</v>
      </c>
    </row>
    <row r="4015" spans="1:5">
      <c r="A4015">
        <v>10438</v>
      </c>
      <c r="B4015" t="s">
        <v>177</v>
      </c>
      <c r="C4015">
        <v>87.59999967366457</v>
      </c>
      <c r="D4015">
        <v>15</v>
      </c>
      <c r="E4015" s="80">
        <v>35467</v>
      </c>
    </row>
    <row r="4016" spans="1:5">
      <c r="A4016">
        <v>10438</v>
      </c>
      <c r="B4016" t="s">
        <v>178</v>
      </c>
      <c r="C4016">
        <v>87.59999967366457</v>
      </c>
      <c r="D4016">
        <v>15</v>
      </c>
      <c r="E4016" s="80">
        <v>35467</v>
      </c>
    </row>
    <row r="4017" spans="1:5">
      <c r="A4017">
        <v>10438</v>
      </c>
      <c r="B4017" t="s">
        <v>179</v>
      </c>
      <c r="C4017">
        <v>87.59999967366457</v>
      </c>
      <c r="D4017">
        <v>15</v>
      </c>
      <c r="E4017" s="80">
        <v>35467</v>
      </c>
    </row>
    <row r="4018" spans="1:5">
      <c r="A4018">
        <v>10438</v>
      </c>
      <c r="B4018" t="s">
        <v>172</v>
      </c>
      <c r="C4018">
        <v>179.19999933242798</v>
      </c>
      <c r="D4018">
        <v>20</v>
      </c>
      <c r="E4018" s="80">
        <v>35467</v>
      </c>
    </row>
    <row r="4019" spans="1:5">
      <c r="A4019">
        <v>10438</v>
      </c>
      <c r="B4019" t="s">
        <v>173</v>
      </c>
      <c r="C4019">
        <v>179.19999933242798</v>
      </c>
      <c r="D4019">
        <v>20</v>
      </c>
      <c r="E4019" s="80">
        <v>35467</v>
      </c>
    </row>
    <row r="4020" spans="1:5">
      <c r="A4020">
        <v>10438</v>
      </c>
      <c r="B4020" t="s">
        <v>174</v>
      </c>
      <c r="C4020">
        <v>179.19999933242798</v>
      </c>
      <c r="D4020">
        <v>20</v>
      </c>
      <c r="E4020" s="80">
        <v>35467</v>
      </c>
    </row>
    <row r="4021" spans="1:5">
      <c r="A4021">
        <v>10438</v>
      </c>
      <c r="B4021" t="s">
        <v>175</v>
      </c>
      <c r="C4021">
        <v>179.19999933242798</v>
      </c>
      <c r="D4021">
        <v>20</v>
      </c>
      <c r="E4021" s="80">
        <v>35467</v>
      </c>
    </row>
    <row r="4022" spans="1:5">
      <c r="A4022">
        <v>10438</v>
      </c>
      <c r="B4022" t="s">
        <v>176</v>
      </c>
      <c r="C4022">
        <v>179.19999933242798</v>
      </c>
      <c r="D4022">
        <v>20</v>
      </c>
      <c r="E4022" s="80">
        <v>35467</v>
      </c>
    </row>
    <row r="4023" spans="1:5">
      <c r="A4023">
        <v>10438</v>
      </c>
      <c r="B4023" t="s">
        <v>177</v>
      </c>
      <c r="C4023">
        <v>179.19999933242798</v>
      </c>
      <c r="D4023">
        <v>20</v>
      </c>
      <c r="E4023" s="80">
        <v>35467</v>
      </c>
    </row>
    <row r="4024" spans="1:5">
      <c r="A4024">
        <v>10438</v>
      </c>
      <c r="B4024" t="s">
        <v>178</v>
      </c>
      <c r="C4024">
        <v>179.19999933242798</v>
      </c>
      <c r="D4024">
        <v>20</v>
      </c>
      <c r="E4024" s="80">
        <v>35467</v>
      </c>
    </row>
    <row r="4025" spans="1:5">
      <c r="A4025">
        <v>10438</v>
      </c>
      <c r="B4025" t="s">
        <v>179</v>
      </c>
      <c r="C4025">
        <v>179.19999933242798</v>
      </c>
      <c r="D4025">
        <v>20</v>
      </c>
      <c r="E4025" s="80">
        <v>35467</v>
      </c>
    </row>
    <row r="4026" spans="1:5">
      <c r="A4026">
        <v>10438</v>
      </c>
      <c r="B4026" t="s">
        <v>172</v>
      </c>
      <c r="C4026">
        <v>187.19999930262566</v>
      </c>
      <c r="D4026">
        <v>15</v>
      </c>
      <c r="E4026" s="80">
        <v>35467</v>
      </c>
    </row>
    <row r="4027" spans="1:5">
      <c r="A4027">
        <v>10438</v>
      </c>
      <c r="B4027" t="s">
        <v>173</v>
      </c>
      <c r="C4027">
        <v>187.19999930262566</v>
      </c>
      <c r="D4027">
        <v>15</v>
      </c>
      <c r="E4027" s="80">
        <v>35467</v>
      </c>
    </row>
    <row r="4028" spans="1:5">
      <c r="A4028">
        <v>10438</v>
      </c>
      <c r="B4028" t="s">
        <v>174</v>
      </c>
      <c r="C4028">
        <v>187.19999930262566</v>
      </c>
      <c r="D4028">
        <v>15</v>
      </c>
      <c r="E4028" s="80">
        <v>35467</v>
      </c>
    </row>
    <row r="4029" spans="1:5">
      <c r="A4029">
        <v>10438</v>
      </c>
      <c r="B4029" t="s">
        <v>175</v>
      </c>
      <c r="C4029">
        <v>187.19999930262566</v>
      </c>
      <c r="D4029">
        <v>15</v>
      </c>
      <c r="E4029" s="80">
        <v>35467</v>
      </c>
    </row>
    <row r="4030" spans="1:5">
      <c r="A4030">
        <v>10438</v>
      </c>
      <c r="B4030" t="s">
        <v>176</v>
      </c>
      <c r="C4030">
        <v>187.19999930262566</v>
      </c>
      <c r="D4030">
        <v>15</v>
      </c>
      <c r="E4030" s="80">
        <v>35467</v>
      </c>
    </row>
    <row r="4031" spans="1:5">
      <c r="A4031">
        <v>10438</v>
      </c>
      <c r="B4031" t="s">
        <v>177</v>
      </c>
      <c r="C4031">
        <v>187.19999930262566</v>
      </c>
      <c r="D4031">
        <v>15</v>
      </c>
      <c r="E4031" s="80">
        <v>35467</v>
      </c>
    </row>
    <row r="4032" spans="1:5">
      <c r="A4032">
        <v>10438</v>
      </c>
      <c r="B4032" t="s">
        <v>178</v>
      </c>
      <c r="C4032">
        <v>187.19999930262566</v>
      </c>
      <c r="D4032">
        <v>15</v>
      </c>
      <c r="E4032" s="80">
        <v>35467</v>
      </c>
    </row>
    <row r="4033" spans="1:5">
      <c r="A4033">
        <v>10438</v>
      </c>
      <c r="B4033" t="s">
        <v>179</v>
      </c>
      <c r="C4033">
        <v>187.19999930262566</v>
      </c>
      <c r="D4033">
        <v>15</v>
      </c>
      <c r="E4033" s="80">
        <v>35467</v>
      </c>
    </row>
    <row r="4034" spans="1:5">
      <c r="A4034">
        <v>10439</v>
      </c>
      <c r="B4034" t="s">
        <v>172</v>
      </c>
      <c r="C4034">
        <v>456</v>
      </c>
      <c r="D4034">
        <v>15</v>
      </c>
      <c r="E4034" s="80">
        <v>35468</v>
      </c>
    </row>
    <row r="4035" spans="1:5">
      <c r="A4035">
        <v>10439</v>
      </c>
      <c r="B4035" t="s">
        <v>173</v>
      </c>
      <c r="C4035">
        <v>456</v>
      </c>
      <c r="D4035">
        <v>15</v>
      </c>
      <c r="E4035" s="80">
        <v>35468</v>
      </c>
    </row>
    <row r="4036" spans="1:5">
      <c r="A4036">
        <v>10439</v>
      </c>
      <c r="B4036" t="s">
        <v>174</v>
      </c>
      <c r="C4036">
        <v>456</v>
      </c>
      <c r="D4036">
        <v>15</v>
      </c>
      <c r="E4036" s="80">
        <v>35468</v>
      </c>
    </row>
    <row r="4037" spans="1:5">
      <c r="A4037">
        <v>10439</v>
      </c>
      <c r="B4037" t="s">
        <v>175</v>
      </c>
      <c r="C4037">
        <v>456</v>
      </c>
      <c r="D4037">
        <v>15</v>
      </c>
      <c r="E4037" s="80">
        <v>35468</v>
      </c>
    </row>
    <row r="4038" spans="1:5">
      <c r="A4038">
        <v>10439</v>
      </c>
      <c r="B4038" t="s">
        <v>176</v>
      </c>
      <c r="C4038">
        <v>456</v>
      </c>
      <c r="D4038">
        <v>15</v>
      </c>
      <c r="E4038" s="80">
        <v>35468</v>
      </c>
    </row>
    <row r="4039" spans="1:5">
      <c r="A4039">
        <v>10439</v>
      </c>
      <c r="B4039" t="s">
        <v>177</v>
      </c>
      <c r="C4039">
        <v>456</v>
      </c>
      <c r="D4039">
        <v>15</v>
      </c>
      <c r="E4039" s="80">
        <v>35468</v>
      </c>
    </row>
    <row r="4040" spans="1:5">
      <c r="A4040">
        <v>10439</v>
      </c>
      <c r="B4040" t="s">
        <v>178</v>
      </c>
      <c r="C4040">
        <v>456</v>
      </c>
      <c r="D4040">
        <v>15</v>
      </c>
      <c r="E4040" s="80">
        <v>35468</v>
      </c>
    </row>
    <row r="4041" spans="1:5">
      <c r="A4041">
        <v>10439</v>
      </c>
      <c r="B4041" t="s">
        <v>179</v>
      </c>
      <c r="C4041">
        <v>456</v>
      </c>
      <c r="D4041">
        <v>15</v>
      </c>
      <c r="E4041" s="80">
        <v>35468</v>
      </c>
    </row>
    <row r="4042" spans="1:5">
      <c r="A4042">
        <v>10439</v>
      </c>
      <c r="B4042" t="s">
        <v>172</v>
      </c>
      <c r="C4042">
        <v>222.4</v>
      </c>
      <c r="D4042">
        <v>16</v>
      </c>
      <c r="E4042" s="80">
        <v>35468</v>
      </c>
    </row>
    <row r="4043" spans="1:5">
      <c r="A4043">
        <v>10439</v>
      </c>
      <c r="B4043" t="s">
        <v>173</v>
      </c>
      <c r="C4043">
        <v>222.4</v>
      </c>
      <c r="D4043">
        <v>16</v>
      </c>
      <c r="E4043" s="80">
        <v>35468</v>
      </c>
    </row>
    <row r="4044" spans="1:5">
      <c r="A4044">
        <v>10439</v>
      </c>
      <c r="B4044" t="s">
        <v>174</v>
      </c>
      <c r="C4044">
        <v>222.4</v>
      </c>
      <c r="D4044">
        <v>16</v>
      </c>
      <c r="E4044" s="80">
        <v>35468</v>
      </c>
    </row>
    <row r="4045" spans="1:5">
      <c r="A4045">
        <v>10439</v>
      </c>
      <c r="B4045" t="s">
        <v>175</v>
      </c>
      <c r="C4045">
        <v>222.4</v>
      </c>
      <c r="D4045">
        <v>16</v>
      </c>
      <c r="E4045" s="80">
        <v>35468</v>
      </c>
    </row>
    <row r="4046" spans="1:5">
      <c r="A4046">
        <v>10439</v>
      </c>
      <c r="B4046" t="s">
        <v>176</v>
      </c>
      <c r="C4046">
        <v>222.4</v>
      </c>
      <c r="D4046">
        <v>16</v>
      </c>
      <c r="E4046" s="80">
        <v>35468</v>
      </c>
    </row>
    <row r="4047" spans="1:5">
      <c r="A4047">
        <v>10439</v>
      </c>
      <c r="B4047" t="s">
        <v>177</v>
      </c>
      <c r="C4047">
        <v>222.4</v>
      </c>
      <c r="D4047">
        <v>16</v>
      </c>
      <c r="E4047" s="80">
        <v>35468</v>
      </c>
    </row>
    <row r="4048" spans="1:5">
      <c r="A4048">
        <v>10439</v>
      </c>
      <c r="B4048" t="s">
        <v>178</v>
      </c>
      <c r="C4048">
        <v>222.4</v>
      </c>
      <c r="D4048">
        <v>16</v>
      </c>
      <c r="E4048" s="80">
        <v>35468</v>
      </c>
    </row>
    <row r="4049" spans="1:5">
      <c r="A4049">
        <v>10439</v>
      </c>
      <c r="B4049" t="s">
        <v>179</v>
      </c>
      <c r="C4049">
        <v>222.4</v>
      </c>
      <c r="D4049">
        <v>16</v>
      </c>
      <c r="E4049" s="80">
        <v>35468</v>
      </c>
    </row>
    <row r="4050" spans="1:5">
      <c r="A4050">
        <v>10439</v>
      </c>
      <c r="B4050" t="s">
        <v>172</v>
      </c>
      <c r="C4050">
        <v>159.6</v>
      </c>
      <c r="D4050">
        <v>6</v>
      </c>
      <c r="E4050" s="80">
        <v>35468</v>
      </c>
    </row>
    <row r="4051" spans="1:5">
      <c r="A4051">
        <v>10439</v>
      </c>
      <c r="B4051" t="s">
        <v>173</v>
      </c>
      <c r="C4051">
        <v>159.6</v>
      </c>
      <c r="D4051">
        <v>6</v>
      </c>
      <c r="E4051" s="80">
        <v>35468</v>
      </c>
    </row>
    <row r="4052" spans="1:5">
      <c r="A4052">
        <v>10439</v>
      </c>
      <c r="B4052" t="s">
        <v>174</v>
      </c>
      <c r="C4052">
        <v>159.6</v>
      </c>
      <c r="D4052">
        <v>6</v>
      </c>
      <c r="E4052" s="80">
        <v>35468</v>
      </c>
    </row>
    <row r="4053" spans="1:5">
      <c r="A4053">
        <v>10439</v>
      </c>
      <c r="B4053" t="s">
        <v>175</v>
      </c>
      <c r="C4053">
        <v>159.6</v>
      </c>
      <c r="D4053">
        <v>6</v>
      </c>
      <c r="E4053" s="80">
        <v>35468</v>
      </c>
    </row>
    <row r="4054" spans="1:5">
      <c r="A4054">
        <v>10439</v>
      </c>
      <c r="B4054" t="s">
        <v>176</v>
      </c>
      <c r="C4054">
        <v>159.6</v>
      </c>
      <c r="D4054">
        <v>6</v>
      </c>
      <c r="E4054" s="80">
        <v>35468</v>
      </c>
    </row>
    <row r="4055" spans="1:5">
      <c r="A4055">
        <v>10439</v>
      </c>
      <c r="B4055" t="s">
        <v>177</v>
      </c>
      <c r="C4055">
        <v>159.6</v>
      </c>
      <c r="D4055">
        <v>6</v>
      </c>
      <c r="E4055" s="80">
        <v>35468</v>
      </c>
    </row>
    <row r="4056" spans="1:5">
      <c r="A4056">
        <v>10439</v>
      </c>
      <c r="B4056" t="s">
        <v>178</v>
      </c>
      <c r="C4056">
        <v>159.6</v>
      </c>
      <c r="D4056">
        <v>6</v>
      </c>
      <c r="E4056" s="80">
        <v>35468</v>
      </c>
    </row>
    <row r="4057" spans="1:5">
      <c r="A4057">
        <v>10439</v>
      </c>
      <c r="B4057" t="s">
        <v>179</v>
      </c>
      <c r="C4057">
        <v>159.6</v>
      </c>
      <c r="D4057">
        <v>6</v>
      </c>
      <c r="E4057" s="80">
        <v>35468</v>
      </c>
    </row>
    <row r="4058" spans="1:5">
      <c r="A4058">
        <v>10439</v>
      </c>
      <c r="B4058" t="s">
        <v>172</v>
      </c>
      <c r="C4058">
        <v>240</v>
      </c>
      <c r="D4058">
        <v>30</v>
      </c>
      <c r="E4058" s="80">
        <v>35468</v>
      </c>
    </row>
    <row r="4059" spans="1:5">
      <c r="A4059">
        <v>10439</v>
      </c>
      <c r="B4059" t="s">
        <v>173</v>
      </c>
      <c r="C4059">
        <v>240</v>
      </c>
      <c r="D4059">
        <v>30</v>
      </c>
      <c r="E4059" s="80">
        <v>35468</v>
      </c>
    </row>
    <row r="4060" spans="1:5">
      <c r="A4060">
        <v>10439</v>
      </c>
      <c r="B4060" t="s">
        <v>174</v>
      </c>
      <c r="C4060">
        <v>240</v>
      </c>
      <c r="D4060">
        <v>30</v>
      </c>
      <c r="E4060" s="80">
        <v>35468</v>
      </c>
    </row>
    <row r="4061" spans="1:5">
      <c r="A4061">
        <v>10439</v>
      </c>
      <c r="B4061" t="s">
        <v>175</v>
      </c>
      <c r="C4061">
        <v>240</v>
      </c>
      <c r="D4061">
        <v>30</v>
      </c>
      <c r="E4061" s="80">
        <v>35468</v>
      </c>
    </row>
    <row r="4062" spans="1:5">
      <c r="A4062">
        <v>10439</v>
      </c>
      <c r="B4062" t="s">
        <v>176</v>
      </c>
      <c r="C4062">
        <v>240</v>
      </c>
      <c r="D4062">
        <v>30</v>
      </c>
      <c r="E4062" s="80">
        <v>35468</v>
      </c>
    </row>
    <row r="4063" spans="1:5">
      <c r="A4063">
        <v>10439</v>
      </c>
      <c r="B4063" t="s">
        <v>177</v>
      </c>
      <c r="C4063">
        <v>240</v>
      </c>
      <c r="D4063">
        <v>30</v>
      </c>
      <c r="E4063" s="80">
        <v>35468</v>
      </c>
    </row>
    <row r="4064" spans="1:5">
      <c r="A4064">
        <v>10439</v>
      </c>
      <c r="B4064" t="s">
        <v>178</v>
      </c>
      <c r="C4064">
        <v>240</v>
      </c>
      <c r="D4064">
        <v>30</v>
      </c>
      <c r="E4064" s="80">
        <v>35468</v>
      </c>
    </row>
    <row r="4065" spans="1:5">
      <c r="A4065">
        <v>10439</v>
      </c>
      <c r="B4065" t="s">
        <v>179</v>
      </c>
      <c r="C4065">
        <v>240</v>
      </c>
      <c r="D4065">
        <v>30</v>
      </c>
      <c r="E4065" s="80">
        <v>35468</v>
      </c>
    </row>
    <row r="4066" spans="1:5">
      <c r="A4066">
        <v>10440</v>
      </c>
      <c r="B4066" t="s">
        <v>172</v>
      </c>
      <c r="C4066">
        <v>581.3999959230423</v>
      </c>
      <c r="D4066">
        <v>45</v>
      </c>
      <c r="E4066" s="80">
        <v>35471</v>
      </c>
    </row>
    <row r="4067" spans="1:5">
      <c r="A4067">
        <v>10440</v>
      </c>
      <c r="B4067" t="s">
        <v>173</v>
      </c>
      <c r="C4067">
        <v>581.3999959230423</v>
      </c>
      <c r="D4067">
        <v>45</v>
      </c>
      <c r="E4067" s="80">
        <v>35471</v>
      </c>
    </row>
    <row r="4068" spans="1:5">
      <c r="A4068">
        <v>10440</v>
      </c>
      <c r="B4068" t="s">
        <v>174</v>
      </c>
      <c r="C4068">
        <v>581.3999959230423</v>
      </c>
      <c r="D4068">
        <v>45</v>
      </c>
      <c r="E4068" s="80">
        <v>35471</v>
      </c>
    </row>
    <row r="4069" spans="1:5">
      <c r="A4069">
        <v>10440</v>
      </c>
      <c r="B4069" t="s">
        <v>175</v>
      </c>
      <c r="C4069">
        <v>581.3999959230423</v>
      </c>
      <c r="D4069">
        <v>45</v>
      </c>
      <c r="E4069" s="80">
        <v>35471</v>
      </c>
    </row>
    <row r="4070" spans="1:5">
      <c r="A4070">
        <v>10440</v>
      </c>
      <c r="B4070" t="s">
        <v>176</v>
      </c>
      <c r="C4070">
        <v>581.3999959230423</v>
      </c>
      <c r="D4070">
        <v>45</v>
      </c>
      <c r="E4070" s="80">
        <v>35471</v>
      </c>
    </row>
    <row r="4071" spans="1:5">
      <c r="A4071">
        <v>10440</v>
      </c>
      <c r="B4071" t="s">
        <v>177</v>
      </c>
      <c r="C4071">
        <v>581.3999959230423</v>
      </c>
      <c r="D4071">
        <v>45</v>
      </c>
      <c r="E4071" s="80">
        <v>35471</v>
      </c>
    </row>
    <row r="4072" spans="1:5">
      <c r="A4072">
        <v>10440</v>
      </c>
      <c r="B4072" t="s">
        <v>178</v>
      </c>
      <c r="C4072">
        <v>581.3999959230423</v>
      </c>
      <c r="D4072">
        <v>45</v>
      </c>
      <c r="E4072" s="80">
        <v>35471</v>
      </c>
    </row>
    <row r="4073" spans="1:5">
      <c r="A4073">
        <v>10440</v>
      </c>
      <c r="B4073" t="s">
        <v>179</v>
      </c>
      <c r="C4073">
        <v>581.3999959230423</v>
      </c>
      <c r="D4073">
        <v>45</v>
      </c>
      <c r="E4073" s="80">
        <v>35471</v>
      </c>
    </row>
    <row r="4074" spans="1:5">
      <c r="A4074">
        <v>10440</v>
      </c>
      <c r="B4074" t="s">
        <v>172</v>
      </c>
      <c r="C4074">
        <v>578.93499594032767</v>
      </c>
      <c r="D4074">
        <v>49</v>
      </c>
      <c r="E4074" s="80">
        <v>35471</v>
      </c>
    </row>
    <row r="4075" spans="1:5">
      <c r="A4075">
        <v>10440</v>
      </c>
      <c r="B4075" t="s">
        <v>173</v>
      </c>
      <c r="C4075">
        <v>578.93499594032767</v>
      </c>
      <c r="D4075">
        <v>49</v>
      </c>
      <c r="E4075" s="80">
        <v>35471</v>
      </c>
    </row>
    <row r="4076" spans="1:5">
      <c r="A4076">
        <v>10440</v>
      </c>
      <c r="B4076" t="s">
        <v>174</v>
      </c>
      <c r="C4076">
        <v>578.93499594032767</v>
      </c>
      <c r="D4076">
        <v>49</v>
      </c>
      <c r="E4076" s="80">
        <v>35471</v>
      </c>
    </row>
    <row r="4077" spans="1:5">
      <c r="A4077">
        <v>10440</v>
      </c>
      <c r="B4077" t="s">
        <v>175</v>
      </c>
      <c r="C4077">
        <v>578.93499594032767</v>
      </c>
      <c r="D4077">
        <v>49</v>
      </c>
      <c r="E4077" s="80">
        <v>35471</v>
      </c>
    </row>
    <row r="4078" spans="1:5">
      <c r="A4078">
        <v>10440</v>
      </c>
      <c r="B4078" t="s">
        <v>176</v>
      </c>
      <c r="C4078">
        <v>578.93499594032767</v>
      </c>
      <c r="D4078">
        <v>49</v>
      </c>
      <c r="E4078" s="80">
        <v>35471</v>
      </c>
    </row>
    <row r="4079" spans="1:5">
      <c r="A4079">
        <v>10440</v>
      </c>
      <c r="B4079" t="s">
        <v>177</v>
      </c>
      <c r="C4079">
        <v>578.93499594032767</v>
      </c>
      <c r="D4079">
        <v>49</v>
      </c>
      <c r="E4079" s="80">
        <v>35471</v>
      </c>
    </row>
    <row r="4080" spans="1:5">
      <c r="A4080">
        <v>10440</v>
      </c>
      <c r="B4080" t="s">
        <v>178</v>
      </c>
      <c r="C4080">
        <v>578.93499594032767</v>
      </c>
      <c r="D4080">
        <v>49</v>
      </c>
      <c r="E4080" s="80">
        <v>35471</v>
      </c>
    </row>
    <row r="4081" spans="1:5">
      <c r="A4081">
        <v>10440</v>
      </c>
      <c r="B4081" t="s">
        <v>179</v>
      </c>
      <c r="C4081">
        <v>578.93499594032767</v>
      </c>
      <c r="D4081">
        <v>49</v>
      </c>
      <c r="E4081" s="80">
        <v>35471</v>
      </c>
    </row>
    <row r="4082" spans="1:5">
      <c r="A4082">
        <v>10440</v>
      </c>
      <c r="B4082" t="s">
        <v>172</v>
      </c>
      <c r="C4082">
        <v>2019.5999858379364</v>
      </c>
      <c r="D4082">
        <v>24</v>
      </c>
      <c r="E4082" s="80">
        <v>35471</v>
      </c>
    </row>
    <row r="4083" spans="1:5">
      <c r="A4083">
        <v>10440</v>
      </c>
      <c r="B4083" t="s">
        <v>173</v>
      </c>
      <c r="C4083">
        <v>2019.5999858379364</v>
      </c>
      <c r="D4083">
        <v>24</v>
      </c>
      <c r="E4083" s="80">
        <v>35471</v>
      </c>
    </row>
    <row r="4084" spans="1:5">
      <c r="A4084">
        <v>10440</v>
      </c>
      <c r="B4084" t="s">
        <v>174</v>
      </c>
      <c r="C4084">
        <v>2019.5999858379364</v>
      </c>
      <c r="D4084">
        <v>24</v>
      </c>
      <c r="E4084" s="80">
        <v>35471</v>
      </c>
    </row>
    <row r="4085" spans="1:5">
      <c r="A4085">
        <v>10440</v>
      </c>
      <c r="B4085" t="s">
        <v>175</v>
      </c>
      <c r="C4085">
        <v>2019.5999858379364</v>
      </c>
      <c r="D4085">
        <v>24</v>
      </c>
      <c r="E4085" s="80">
        <v>35471</v>
      </c>
    </row>
    <row r="4086" spans="1:5">
      <c r="A4086">
        <v>10440</v>
      </c>
      <c r="B4086" t="s">
        <v>176</v>
      </c>
      <c r="C4086">
        <v>2019.5999858379364</v>
      </c>
      <c r="D4086">
        <v>24</v>
      </c>
      <c r="E4086" s="80">
        <v>35471</v>
      </c>
    </row>
    <row r="4087" spans="1:5">
      <c r="A4087">
        <v>10440</v>
      </c>
      <c r="B4087" t="s">
        <v>177</v>
      </c>
      <c r="C4087">
        <v>2019.5999858379364</v>
      </c>
      <c r="D4087">
        <v>24</v>
      </c>
      <c r="E4087" s="80">
        <v>35471</v>
      </c>
    </row>
    <row r="4088" spans="1:5">
      <c r="A4088">
        <v>10440</v>
      </c>
      <c r="B4088" t="s">
        <v>178</v>
      </c>
      <c r="C4088">
        <v>2019.5999858379364</v>
      </c>
      <c r="D4088">
        <v>24</v>
      </c>
      <c r="E4088" s="80">
        <v>35471</v>
      </c>
    </row>
    <row r="4089" spans="1:5">
      <c r="A4089">
        <v>10440</v>
      </c>
      <c r="B4089" t="s">
        <v>179</v>
      </c>
      <c r="C4089">
        <v>2019.5999858379364</v>
      </c>
      <c r="D4089">
        <v>24</v>
      </c>
      <c r="E4089" s="80">
        <v>35471</v>
      </c>
    </row>
    <row r="4090" spans="1:5">
      <c r="A4090">
        <v>10440</v>
      </c>
      <c r="B4090" t="s">
        <v>172</v>
      </c>
      <c r="C4090">
        <v>1744.1999877691269</v>
      </c>
      <c r="D4090">
        <v>90</v>
      </c>
      <c r="E4090" s="80">
        <v>35471</v>
      </c>
    </row>
    <row r="4091" spans="1:5">
      <c r="A4091">
        <v>10440</v>
      </c>
      <c r="B4091" t="s">
        <v>173</v>
      </c>
      <c r="C4091">
        <v>1744.1999877691269</v>
      </c>
      <c r="D4091">
        <v>90</v>
      </c>
      <c r="E4091" s="80">
        <v>35471</v>
      </c>
    </row>
    <row r="4092" spans="1:5">
      <c r="A4092">
        <v>10440</v>
      </c>
      <c r="B4092" t="s">
        <v>174</v>
      </c>
      <c r="C4092">
        <v>1744.1999877691269</v>
      </c>
      <c r="D4092">
        <v>90</v>
      </c>
      <c r="E4092" s="80">
        <v>35471</v>
      </c>
    </row>
    <row r="4093" spans="1:5">
      <c r="A4093">
        <v>10440</v>
      </c>
      <c r="B4093" t="s">
        <v>175</v>
      </c>
      <c r="C4093">
        <v>1744.1999877691269</v>
      </c>
      <c r="D4093">
        <v>90</v>
      </c>
      <c r="E4093" s="80">
        <v>35471</v>
      </c>
    </row>
    <row r="4094" spans="1:5">
      <c r="A4094">
        <v>10440</v>
      </c>
      <c r="B4094" t="s">
        <v>176</v>
      </c>
      <c r="C4094">
        <v>1744.1999877691269</v>
      </c>
      <c r="D4094">
        <v>90</v>
      </c>
      <c r="E4094" s="80">
        <v>35471</v>
      </c>
    </row>
    <row r="4095" spans="1:5">
      <c r="A4095">
        <v>10440</v>
      </c>
      <c r="B4095" t="s">
        <v>177</v>
      </c>
      <c r="C4095">
        <v>1744.1999877691269</v>
      </c>
      <c r="D4095">
        <v>90</v>
      </c>
      <c r="E4095" s="80">
        <v>35471</v>
      </c>
    </row>
    <row r="4096" spans="1:5">
      <c r="A4096">
        <v>10440</v>
      </c>
      <c r="B4096" t="s">
        <v>178</v>
      </c>
      <c r="C4096">
        <v>1744.1999877691269</v>
      </c>
      <c r="D4096">
        <v>90</v>
      </c>
      <c r="E4096" s="80">
        <v>35471</v>
      </c>
    </row>
    <row r="4097" spans="1:5">
      <c r="A4097">
        <v>10440</v>
      </c>
      <c r="B4097" t="s">
        <v>179</v>
      </c>
      <c r="C4097">
        <v>1744.1999877691269</v>
      </c>
      <c r="D4097">
        <v>90</v>
      </c>
      <c r="E4097" s="80">
        <v>35471</v>
      </c>
    </row>
    <row r="4098" spans="1:5">
      <c r="A4098">
        <v>10441</v>
      </c>
      <c r="B4098" t="s">
        <v>172</v>
      </c>
      <c r="C4098">
        <v>1755</v>
      </c>
      <c r="D4098">
        <v>50</v>
      </c>
      <c r="E4098" s="80">
        <v>35471</v>
      </c>
    </row>
    <row r="4099" spans="1:5">
      <c r="A4099">
        <v>10441</v>
      </c>
      <c r="B4099" t="s">
        <v>173</v>
      </c>
      <c r="C4099">
        <v>1755</v>
      </c>
      <c r="D4099">
        <v>50</v>
      </c>
      <c r="E4099" s="80">
        <v>35471</v>
      </c>
    </row>
    <row r="4100" spans="1:5">
      <c r="A4100">
        <v>10441</v>
      </c>
      <c r="B4100" t="s">
        <v>174</v>
      </c>
      <c r="C4100">
        <v>1755</v>
      </c>
      <c r="D4100">
        <v>50</v>
      </c>
      <c r="E4100" s="80">
        <v>35471</v>
      </c>
    </row>
    <row r="4101" spans="1:5">
      <c r="A4101">
        <v>10441</v>
      </c>
      <c r="B4101" t="s">
        <v>175</v>
      </c>
      <c r="C4101">
        <v>1755</v>
      </c>
      <c r="D4101">
        <v>50</v>
      </c>
      <c r="E4101" s="80">
        <v>35471</v>
      </c>
    </row>
    <row r="4102" spans="1:5">
      <c r="A4102">
        <v>10441</v>
      </c>
      <c r="B4102" t="s">
        <v>176</v>
      </c>
      <c r="C4102">
        <v>1755</v>
      </c>
      <c r="D4102">
        <v>50</v>
      </c>
      <c r="E4102" s="80">
        <v>35471</v>
      </c>
    </row>
    <row r="4103" spans="1:5">
      <c r="A4103">
        <v>10441</v>
      </c>
      <c r="B4103" t="s">
        <v>177</v>
      </c>
      <c r="C4103">
        <v>1755</v>
      </c>
      <c r="D4103">
        <v>50</v>
      </c>
      <c r="E4103" s="80">
        <v>35471</v>
      </c>
    </row>
    <row r="4104" spans="1:5">
      <c r="A4104">
        <v>10441</v>
      </c>
      <c r="B4104" t="s">
        <v>178</v>
      </c>
      <c r="C4104">
        <v>1755</v>
      </c>
      <c r="D4104">
        <v>50</v>
      </c>
      <c r="E4104" s="80">
        <v>35471</v>
      </c>
    </row>
    <row r="4105" spans="1:5">
      <c r="A4105">
        <v>10441</v>
      </c>
      <c r="B4105" t="s">
        <v>179</v>
      </c>
      <c r="C4105">
        <v>1755</v>
      </c>
      <c r="D4105">
        <v>50</v>
      </c>
      <c r="E4105" s="80">
        <v>35471</v>
      </c>
    </row>
    <row r="4106" spans="1:5">
      <c r="A4106">
        <v>10442</v>
      </c>
      <c r="B4106" t="s">
        <v>172</v>
      </c>
      <c r="C4106">
        <v>504</v>
      </c>
      <c r="D4106">
        <v>30</v>
      </c>
      <c r="E4106" s="80">
        <v>35472</v>
      </c>
    </row>
    <row r="4107" spans="1:5">
      <c r="A4107">
        <v>10442</v>
      </c>
      <c r="B4107" t="s">
        <v>173</v>
      </c>
      <c r="C4107">
        <v>504</v>
      </c>
      <c r="D4107">
        <v>30</v>
      </c>
      <c r="E4107" s="80">
        <v>35472</v>
      </c>
    </row>
    <row r="4108" spans="1:5">
      <c r="A4108">
        <v>10442</v>
      </c>
      <c r="B4108" t="s">
        <v>174</v>
      </c>
      <c r="C4108">
        <v>504</v>
      </c>
      <c r="D4108">
        <v>30</v>
      </c>
      <c r="E4108" s="80">
        <v>35472</v>
      </c>
    </row>
    <row r="4109" spans="1:5">
      <c r="A4109">
        <v>10442</v>
      </c>
      <c r="B4109" t="s">
        <v>175</v>
      </c>
      <c r="C4109">
        <v>504</v>
      </c>
      <c r="D4109">
        <v>30</v>
      </c>
      <c r="E4109" s="80">
        <v>35472</v>
      </c>
    </row>
    <row r="4110" spans="1:5">
      <c r="A4110">
        <v>10442</v>
      </c>
      <c r="B4110" t="s">
        <v>176</v>
      </c>
      <c r="C4110">
        <v>504</v>
      </c>
      <c r="D4110">
        <v>30</v>
      </c>
      <c r="E4110" s="80">
        <v>35472</v>
      </c>
    </row>
    <row r="4111" spans="1:5">
      <c r="A4111">
        <v>10442</v>
      </c>
      <c r="B4111" t="s">
        <v>177</v>
      </c>
      <c r="C4111">
        <v>504</v>
      </c>
      <c r="D4111">
        <v>30</v>
      </c>
      <c r="E4111" s="80">
        <v>35472</v>
      </c>
    </row>
    <row r="4112" spans="1:5">
      <c r="A4112">
        <v>10442</v>
      </c>
      <c r="B4112" t="s">
        <v>178</v>
      </c>
      <c r="C4112">
        <v>504</v>
      </c>
      <c r="D4112">
        <v>30</v>
      </c>
      <c r="E4112" s="80">
        <v>35472</v>
      </c>
    </row>
    <row r="4113" spans="1:5">
      <c r="A4113">
        <v>10442</v>
      </c>
      <c r="B4113" t="s">
        <v>179</v>
      </c>
      <c r="C4113">
        <v>504</v>
      </c>
      <c r="D4113">
        <v>30</v>
      </c>
      <c r="E4113" s="80">
        <v>35472</v>
      </c>
    </row>
    <row r="4114" spans="1:5">
      <c r="A4114">
        <v>10442</v>
      </c>
      <c r="B4114" t="s">
        <v>172</v>
      </c>
      <c r="C4114">
        <v>472</v>
      </c>
      <c r="D4114">
        <v>80</v>
      </c>
      <c r="E4114" s="80">
        <v>35472</v>
      </c>
    </row>
    <row r="4115" spans="1:5">
      <c r="A4115">
        <v>10442</v>
      </c>
      <c r="B4115" t="s">
        <v>173</v>
      </c>
      <c r="C4115">
        <v>472</v>
      </c>
      <c r="D4115">
        <v>80</v>
      </c>
      <c r="E4115" s="80">
        <v>35472</v>
      </c>
    </row>
    <row r="4116" spans="1:5">
      <c r="A4116">
        <v>10442</v>
      </c>
      <c r="B4116" t="s">
        <v>174</v>
      </c>
      <c r="C4116">
        <v>472</v>
      </c>
      <c r="D4116">
        <v>80</v>
      </c>
      <c r="E4116" s="80">
        <v>35472</v>
      </c>
    </row>
    <row r="4117" spans="1:5">
      <c r="A4117">
        <v>10442</v>
      </c>
      <c r="B4117" t="s">
        <v>175</v>
      </c>
      <c r="C4117">
        <v>472</v>
      </c>
      <c r="D4117">
        <v>80</v>
      </c>
      <c r="E4117" s="80">
        <v>35472</v>
      </c>
    </row>
    <row r="4118" spans="1:5">
      <c r="A4118">
        <v>10442</v>
      </c>
      <c r="B4118" t="s">
        <v>176</v>
      </c>
      <c r="C4118">
        <v>472</v>
      </c>
      <c r="D4118">
        <v>80</v>
      </c>
      <c r="E4118" s="80">
        <v>35472</v>
      </c>
    </row>
    <row r="4119" spans="1:5">
      <c r="A4119">
        <v>10442</v>
      </c>
      <c r="B4119" t="s">
        <v>177</v>
      </c>
      <c r="C4119">
        <v>472</v>
      </c>
      <c r="D4119">
        <v>80</v>
      </c>
      <c r="E4119" s="80">
        <v>35472</v>
      </c>
    </row>
    <row r="4120" spans="1:5">
      <c r="A4120">
        <v>10442</v>
      </c>
      <c r="B4120" t="s">
        <v>178</v>
      </c>
      <c r="C4120">
        <v>472</v>
      </c>
      <c r="D4120">
        <v>80</v>
      </c>
      <c r="E4120" s="80">
        <v>35472</v>
      </c>
    </row>
    <row r="4121" spans="1:5">
      <c r="A4121">
        <v>10442</v>
      </c>
      <c r="B4121" t="s">
        <v>179</v>
      </c>
      <c r="C4121">
        <v>472</v>
      </c>
      <c r="D4121">
        <v>80</v>
      </c>
      <c r="E4121" s="80">
        <v>35472</v>
      </c>
    </row>
    <row r="4122" spans="1:5">
      <c r="A4122">
        <v>10442</v>
      </c>
      <c r="B4122" t="s">
        <v>172</v>
      </c>
      <c r="C4122">
        <v>816</v>
      </c>
      <c r="D4122">
        <v>60</v>
      </c>
      <c r="E4122" s="80">
        <v>35472</v>
      </c>
    </row>
    <row r="4123" spans="1:5">
      <c r="A4123">
        <v>10442</v>
      </c>
      <c r="B4123" t="s">
        <v>173</v>
      </c>
      <c r="C4123">
        <v>816</v>
      </c>
      <c r="D4123">
        <v>60</v>
      </c>
      <c r="E4123" s="80">
        <v>35472</v>
      </c>
    </row>
    <row r="4124" spans="1:5">
      <c r="A4124">
        <v>10442</v>
      </c>
      <c r="B4124" t="s">
        <v>174</v>
      </c>
      <c r="C4124">
        <v>816</v>
      </c>
      <c r="D4124">
        <v>60</v>
      </c>
      <c r="E4124" s="80">
        <v>35472</v>
      </c>
    </row>
    <row r="4125" spans="1:5">
      <c r="A4125">
        <v>10442</v>
      </c>
      <c r="B4125" t="s">
        <v>175</v>
      </c>
      <c r="C4125">
        <v>816</v>
      </c>
      <c r="D4125">
        <v>60</v>
      </c>
      <c r="E4125" s="80">
        <v>35472</v>
      </c>
    </row>
    <row r="4126" spans="1:5">
      <c r="A4126">
        <v>10442</v>
      </c>
      <c r="B4126" t="s">
        <v>176</v>
      </c>
      <c r="C4126">
        <v>816</v>
      </c>
      <c r="D4126">
        <v>60</v>
      </c>
      <c r="E4126" s="80">
        <v>35472</v>
      </c>
    </row>
    <row r="4127" spans="1:5">
      <c r="A4127">
        <v>10442</v>
      </c>
      <c r="B4127" t="s">
        <v>177</v>
      </c>
      <c r="C4127">
        <v>816</v>
      </c>
      <c r="D4127">
        <v>60</v>
      </c>
      <c r="E4127" s="80">
        <v>35472</v>
      </c>
    </row>
    <row r="4128" spans="1:5">
      <c r="A4128">
        <v>10442</v>
      </c>
      <c r="B4128" t="s">
        <v>178</v>
      </c>
      <c r="C4128">
        <v>816</v>
      </c>
      <c r="D4128">
        <v>60</v>
      </c>
      <c r="E4128" s="80">
        <v>35472</v>
      </c>
    </row>
    <row r="4129" spans="1:5">
      <c r="A4129">
        <v>10442</v>
      </c>
      <c r="B4129" t="s">
        <v>179</v>
      </c>
      <c r="C4129">
        <v>816</v>
      </c>
      <c r="D4129">
        <v>60</v>
      </c>
      <c r="E4129" s="80">
        <v>35472</v>
      </c>
    </row>
    <row r="4130" spans="1:5">
      <c r="A4130">
        <v>10443</v>
      </c>
      <c r="B4130" t="s">
        <v>172</v>
      </c>
      <c r="C4130">
        <v>80.639999699592593</v>
      </c>
      <c r="D4130">
        <v>6</v>
      </c>
      <c r="E4130" s="80">
        <v>35473</v>
      </c>
    </row>
    <row r="4131" spans="1:5">
      <c r="A4131">
        <v>10443</v>
      </c>
      <c r="B4131" t="s">
        <v>173</v>
      </c>
      <c r="C4131">
        <v>80.639999699592593</v>
      </c>
      <c r="D4131">
        <v>6</v>
      </c>
      <c r="E4131" s="80">
        <v>35473</v>
      </c>
    </row>
    <row r="4132" spans="1:5">
      <c r="A4132">
        <v>10443</v>
      </c>
      <c r="B4132" t="s">
        <v>174</v>
      </c>
      <c r="C4132">
        <v>80.639999699592593</v>
      </c>
      <c r="D4132">
        <v>6</v>
      </c>
      <c r="E4132" s="80">
        <v>35473</v>
      </c>
    </row>
    <row r="4133" spans="1:5">
      <c r="A4133">
        <v>10443</v>
      </c>
      <c r="B4133" t="s">
        <v>175</v>
      </c>
      <c r="C4133">
        <v>80.639999699592593</v>
      </c>
      <c r="D4133">
        <v>6</v>
      </c>
      <c r="E4133" s="80">
        <v>35473</v>
      </c>
    </row>
    <row r="4134" spans="1:5">
      <c r="A4134">
        <v>10443</v>
      </c>
      <c r="B4134" t="s">
        <v>176</v>
      </c>
      <c r="C4134">
        <v>80.639999699592593</v>
      </c>
      <c r="D4134">
        <v>6</v>
      </c>
      <c r="E4134" s="80">
        <v>35473</v>
      </c>
    </row>
    <row r="4135" spans="1:5">
      <c r="A4135">
        <v>10443</v>
      </c>
      <c r="B4135" t="s">
        <v>177</v>
      </c>
      <c r="C4135">
        <v>80.639999699592593</v>
      </c>
      <c r="D4135">
        <v>6</v>
      </c>
      <c r="E4135" s="80">
        <v>35473</v>
      </c>
    </row>
    <row r="4136" spans="1:5">
      <c r="A4136">
        <v>10443</v>
      </c>
      <c r="B4136" t="s">
        <v>178</v>
      </c>
      <c r="C4136">
        <v>80.639999699592593</v>
      </c>
      <c r="D4136">
        <v>6</v>
      </c>
      <c r="E4136" s="80">
        <v>35473</v>
      </c>
    </row>
    <row r="4137" spans="1:5">
      <c r="A4137">
        <v>10443</v>
      </c>
      <c r="B4137" t="s">
        <v>179</v>
      </c>
      <c r="C4137">
        <v>80.639999699592593</v>
      </c>
      <c r="D4137">
        <v>6</v>
      </c>
      <c r="E4137" s="80">
        <v>35473</v>
      </c>
    </row>
    <row r="4138" spans="1:5">
      <c r="A4138">
        <v>10443</v>
      </c>
      <c r="B4138" t="s">
        <v>172</v>
      </c>
      <c r="C4138">
        <v>436.8</v>
      </c>
      <c r="D4138">
        <v>12</v>
      </c>
      <c r="E4138" s="80">
        <v>35473</v>
      </c>
    </row>
    <row r="4139" spans="1:5">
      <c r="A4139">
        <v>10443</v>
      </c>
      <c r="B4139" t="s">
        <v>173</v>
      </c>
      <c r="C4139">
        <v>436.8</v>
      </c>
      <c r="D4139">
        <v>12</v>
      </c>
      <c r="E4139" s="80">
        <v>35473</v>
      </c>
    </row>
    <row r="4140" spans="1:5">
      <c r="A4140">
        <v>10443</v>
      </c>
      <c r="B4140" t="s">
        <v>174</v>
      </c>
      <c r="C4140">
        <v>436.8</v>
      </c>
      <c r="D4140">
        <v>12</v>
      </c>
      <c r="E4140" s="80">
        <v>35473</v>
      </c>
    </row>
    <row r="4141" spans="1:5">
      <c r="A4141">
        <v>10443</v>
      </c>
      <c r="B4141" t="s">
        <v>175</v>
      </c>
      <c r="C4141">
        <v>436.8</v>
      </c>
      <c r="D4141">
        <v>12</v>
      </c>
      <c r="E4141" s="80">
        <v>35473</v>
      </c>
    </row>
    <row r="4142" spans="1:5">
      <c r="A4142">
        <v>10443</v>
      </c>
      <c r="B4142" t="s">
        <v>176</v>
      </c>
      <c r="C4142">
        <v>436.8</v>
      </c>
      <c r="D4142">
        <v>12</v>
      </c>
      <c r="E4142" s="80">
        <v>35473</v>
      </c>
    </row>
    <row r="4143" spans="1:5">
      <c r="A4143">
        <v>10443</v>
      </c>
      <c r="B4143" t="s">
        <v>177</v>
      </c>
      <c r="C4143">
        <v>436.8</v>
      </c>
      <c r="D4143">
        <v>12</v>
      </c>
      <c r="E4143" s="80">
        <v>35473</v>
      </c>
    </row>
    <row r="4144" spans="1:5">
      <c r="A4144">
        <v>10443</v>
      </c>
      <c r="B4144" t="s">
        <v>178</v>
      </c>
      <c r="C4144">
        <v>436.8</v>
      </c>
      <c r="D4144">
        <v>12</v>
      </c>
      <c r="E4144" s="80">
        <v>35473</v>
      </c>
    </row>
    <row r="4145" spans="1:5">
      <c r="A4145">
        <v>10443</v>
      </c>
      <c r="B4145" t="s">
        <v>179</v>
      </c>
      <c r="C4145">
        <v>436.8</v>
      </c>
      <c r="D4145">
        <v>12</v>
      </c>
      <c r="E4145" s="80">
        <v>35473</v>
      </c>
    </row>
    <row r="4146" spans="1:5">
      <c r="A4146">
        <v>10444</v>
      </c>
      <c r="B4146" t="s">
        <v>172</v>
      </c>
      <c r="C4146">
        <v>312</v>
      </c>
      <c r="D4146">
        <v>10</v>
      </c>
      <c r="E4146" s="80">
        <v>35473</v>
      </c>
    </row>
    <row r="4147" spans="1:5">
      <c r="A4147">
        <v>10444</v>
      </c>
      <c r="B4147" t="s">
        <v>173</v>
      </c>
      <c r="C4147">
        <v>312</v>
      </c>
      <c r="D4147">
        <v>10</v>
      </c>
      <c r="E4147" s="80">
        <v>35473</v>
      </c>
    </row>
    <row r="4148" spans="1:5">
      <c r="A4148">
        <v>10444</v>
      </c>
      <c r="B4148" t="s">
        <v>174</v>
      </c>
      <c r="C4148">
        <v>312</v>
      </c>
      <c r="D4148">
        <v>10</v>
      </c>
      <c r="E4148" s="80">
        <v>35473</v>
      </c>
    </row>
    <row r="4149" spans="1:5">
      <c r="A4149">
        <v>10444</v>
      </c>
      <c r="B4149" t="s">
        <v>175</v>
      </c>
      <c r="C4149">
        <v>312</v>
      </c>
      <c r="D4149">
        <v>10</v>
      </c>
      <c r="E4149" s="80">
        <v>35473</v>
      </c>
    </row>
    <row r="4150" spans="1:5">
      <c r="A4150">
        <v>10444</v>
      </c>
      <c r="B4150" t="s">
        <v>176</v>
      </c>
      <c r="C4150">
        <v>312</v>
      </c>
      <c r="D4150">
        <v>10</v>
      </c>
      <c r="E4150" s="80">
        <v>35473</v>
      </c>
    </row>
    <row r="4151" spans="1:5">
      <c r="A4151">
        <v>10444</v>
      </c>
      <c r="B4151" t="s">
        <v>177</v>
      </c>
      <c r="C4151">
        <v>312</v>
      </c>
      <c r="D4151">
        <v>10</v>
      </c>
      <c r="E4151" s="80">
        <v>35473</v>
      </c>
    </row>
    <row r="4152" spans="1:5">
      <c r="A4152">
        <v>10444</v>
      </c>
      <c r="B4152" t="s">
        <v>178</v>
      </c>
      <c r="C4152">
        <v>312</v>
      </c>
      <c r="D4152">
        <v>10</v>
      </c>
      <c r="E4152" s="80">
        <v>35473</v>
      </c>
    </row>
    <row r="4153" spans="1:5">
      <c r="A4153">
        <v>10444</v>
      </c>
      <c r="B4153" t="s">
        <v>179</v>
      </c>
      <c r="C4153">
        <v>312</v>
      </c>
      <c r="D4153">
        <v>10</v>
      </c>
      <c r="E4153" s="80">
        <v>35473</v>
      </c>
    </row>
    <row r="4154" spans="1:5">
      <c r="A4154">
        <v>10444</v>
      </c>
      <c r="B4154" t="s">
        <v>172</v>
      </c>
      <c r="C4154">
        <v>373.5</v>
      </c>
      <c r="D4154">
        <v>15</v>
      </c>
      <c r="E4154" s="80">
        <v>35473</v>
      </c>
    </row>
    <row r="4155" spans="1:5">
      <c r="A4155">
        <v>10444</v>
      </c>
      <c r="B4155" t="s">
        <v>173</v>
      </c>
      <c r="C4155">
        <v>373.5</v>
      </c>
      <c r="D4155">
        <v>15</v>
      </c>
      <c r="E4155" s="80">
        <v>35473</v>
      </c>
    </row>
    <row r="4156" spans="1:5">
      <c r="A4156">
        <v>10444</v>
      </c>
      <c r="B4156" t="s">
        <v>174</v>
      </c>
      <c r="C4156">
        <v>373.5</v>
      </c>
      <c r="D4156">
        <v>15</v>
      </c>
      <c r="E4156" s="80">
        <v>35473</v>
      </c>
    </row>
    <row r="4157" spans="1:5">
      <c r="A4157">
        <v>10444</v>
      </c>
      <c r="B4157" t="s">
        <v>175</v>
      </c>
      <c r="C4157">
        <v>373.5</v>
      </c>
      <c r="D4157">
        <v>15</v>
      </c>
      <c r="E4157" s="80">
        <v>35473</v>
      </c>
    </row>
    <row r="4158" spans="1:5">
      <c r="A4158">
        <v>10444</v>
      </c>
      <c r="B4158" t="s">
        <v>176</v>
      </c>
      <c r="C4158">
        <v>373.5</v>
      </c>
      <c r="D4158">
        <v>15</v>
      </c>
      <c r="E4158" s="80">
        <v>35473</v>
      </c>
    </row>
    <row r="4159" spans="1:5">
      <c r="A4159">
        <v>10444</v>
      </c>
      <c r="B4159" t="s">
        <v>177</v>
      </c>
      <c r="C4159">
        <v>373.5</v>
      </c>
      <c r="D4159">
        <v>15</v>
      </c>
      <c r="E4159" s="80">
        <v>35473</v>
      </c>
    </row>
    <row r="4160" spans="1:5">
      <c r="A4160">
        <v>10444</v>
      </c>
      <c r="B4160" t="s">
        <v>178</v>
      </c>
      <c r="C4160">
        <v>373.5</v>
      </c>
      <c r="D4160">
        <v>15</v>
      </c>
      <c r="E4160" s="80">
        <v>35473</v>
      </c>
    </row>
    <row r="4161" spans="1:5">
      <c r="A4161">
        <v>10444</v>
      </c>
      <c r="B4161" t="s">
        <v>179</v>
      </c>
      <c r="C4161">
        <v>373.5</v>
      </c>
      <c r="D4161">
        <v>15</v>
      </c>
      <c r="E4161" s="80">
        <v>35473</v>
      </c>
    </row>
    <row r="4162" spans="1:5">
      <c r="A4162">
        <v>10444</v>
      </c>
      <c r="B4162" t="s">
        <v>172</v>
      </c>
      <c r="C4162">
        <v>115.2</v>
      </c>
      <c r="D4162">
        <v>8</v>
      </c>
      <c r="E4162" s="80">
        <v>35473</v>
      </c>
    </row>
    <row r="4163" spans="1:5">
      <c r="A4163">
        <v>10444</v>
      </c>
      <c r="B4163" t="s">
        <v>173</v>
      </c>
      <c r="C4163">
        <v>115.2</v>
      </c>
      <c r="D4163">
        <v>8</v>
      </c>
      <c r="E4163" s="80">
        <v>35473</v>
      </c>
    </row>
    <row r="4164" spans="1:5">
      <c r="A4164">
        <v>10444</v>
      </c>
      <c r="B4164" t="s">
        <v>174</v>
      </c>
      <c r="C4164">
        <v>115.2</v>
      </c>
      <c r="D4164">
        <v>8</v>
      </c>
      <c r="E4164" s="80">
        <v>35473</v>
      </c>
    </row>
    <row r="4165" spans="1:5">
      <c r="A4165">
        <v>10444</v>
      </c>
      <c r="B4165" t="s">
        <v>175</v>
      </c>
      <c r="C4165">
        <v>115.2</v>
      </c>
      <c r="D4165">
        <v>8</v>
      </c>
      <c r="E4165" s="80">
        <v>35473</v>
      </c>
    </row>
    <row r="4166" spans="1:5">
      <c r="A4166">
        <v>10444</v>
      </c>
      <c r="B4166" t="s">
        <v>176</v>
      </c>
      <c r="C4166">
        <v>115.2</v>
      </c>
      <c r="D4166">
        <v>8</v>
      </c>
      <c r="E4166" s="80">
        <v>35473</v>
      </c>
    </row>
    <row r="4167" spans="1:5">
      <c r="A4167">
        <v>10444</v>
      </c>
      <c r="B4167" t="s">
        <v>177</v>
      </c>
      <c r="C4167">
        <v>115.2</v>
      </c>
      <c r="D4167">
        <v>8</v>
      </c>
      <c r="E4167" s="80">
        <v>35473</v>
      </c>
    </row>
    <row r="4168" spans="1:5">
      <c r="A4168">
        <v>10444</v>
      </c>
      <c r="B4168" t="s">
        <v>178</v>
      </c>
      <c r="C4168">
        <v>115.2</v>
      </c>
      <c r="D4168">
        <v>8</v>
      </c>
      <c r="E4168" s="80">
        <v>35473</v>
      </c>
    </row>
    <row r="4169" spans="1:5">
      <c r="A4169">
        <v>10444</v>
      </c>
      <c r="B4169" t="s">
        <v>179</v>
      </c>
      <c r="C4169">
        <v>115.2</v>
      </c>
      <c r="D4169">
        <v>8</v>
      </c>
      <c r="E4169" s="80">
        <v>35473</v>
      </c>
    </row>
    <row r="4170" spans="1:5">
      <c r="A4170">
        <v>10444</v>
      </c>
      <c r="B4170" t="s">
        <v>172</v>
      </c>
      <c r="C4170">
        <v>231</v>
      </c>
      <c r="D4170">
        <v>30</v>
      </c>
      <c r="E4170" s="80">
        <v>35473</v>
      </c>
    </row>
    <row r="4171" spans="1:5">
      <c r="A4171">
        <v>10444</v>
      </c>
      <c r="B4171" t="s">
        <v>173</v>
      </c>
      <c r="C4171">
        <v>231</v>
      </c>
      <c r="D4171">
        <v>30</v>
      </c>
      <c r="E4171" s="80">
        <v>35473</v>
      </c>
    </row>
    <row r="4172" spans="1:5">
      <c r="A4172">
        <v>10444</v>
      </c>
      <c r="B4172" t="s">
        <v>174</v>
      </c>
      <c r="C4172">
        <v>231</v>
      </c>
      <c r="D4172">
        <v>30</v>
      </c>
      <c r="E4172" s="80">
        <v>35473</v>
      </c>
    </row>
    <row r="4173" spans="1:5">
      <c r="A4173">
        <v>10444</v>
      </c>
      <c r="B4173" t="s">
        <v>175</v>
      </c>
      <c r="C4173">
        <v>231</v>
      </c>
      <c r="D4173">
        <v>30</v>
      </c>
      <c r="E4173" s="80">
        <v>35473</v>
      </c>
    </row>
    <row r="4174" spans="1:5">
      <c r="A4174">
        <v>10444</v>
      </c>
      <c r="B4174" t="s">
        <v>176</v>
      </c>
      <c r="C4174">
        <v>231</v>
      </c>
      <c r="D4174">
        <v>30</v>
      </c>
      <c r="E4174" s="80">
        <v>35473</v>
      </c>
    </row>
    <row r="4175" spans="1:5">
      <c r="A4175">
        <v>10444</v>
      </c>
      <c r="B4175" t="s">
        <v>177</v>
      </c>
      <c r="C4175">
        <v>231</v>
      </c>
      <c r="D4175">
        <v>30</v>
      </c>
      <c r="E4175" s="80">
        <v>35473</v>
      </c>
    </row>
    <row r="4176" spans="1:5">
      <c r="A4176">
        <v>10444</v>
      </c>
      <c r="B4176" t="s">
        <v>178</v>
      </c>
      <c r="C4176">
        <v>231</v>
      </c>
      <c r="D4176">
        <v>30</v>
      </c>
      <c r="E4176" s="80">
        <v>35473</v>
      </c>
    </row>
    <row r="4177" spans="1:5">
      <c r="A4177">
        <v>10444</v>
      </c>
      <c r="B4177" t="s">
        <v>179</v>
      </c>
      <c r="C4177">
        <v>231</v>
      </c>
      <c r="D4177">
        <v>30</v>
      </c>
      <c r="E4177" s="80">
        <v>35473</v>
      </c>
    </row>
    <row r="4178" spans="1:5">
      <c r="A4178">
        <v>10445</v>
      </c>
      <c r="B4178" t="s">
        <v>172</v>
      </c>
      <c r="C4178">
        <v>86.4</v>
      </c>
      <c r="D4178">
        <v>6</v>
      </c>
      <c r="E4178" s="80">
        <v>35474</v>
      </c>
    </row>
    <row r="4179" spans="1:5">
      <c r="A4179">
        <v>10445</v>
      </c>
      <c r="B4179" t="s">
        <v>173</v>
      </c>
      <c r="C4179">
        <v>86.4</v>
      </c>
      <c r="D4179">
        <v>6</v>
      </c>
      <c r="E4179" s="80">
        <v>35474</v>
      </c>
    </row>
    <row r="4180" spans="1:5">
      <c r="A4180">
        <v>10445</v>
      </c>
      <c r="B4180" t="s">
        <v>174</v>
      </c>
      <c r="C4180">
        <v>86.4</v>
      </c>
      <c r="D4180">
        <v>6</v>
      </c>
      <c r="E4180" s="80">
        <v>35474</v>
      </c>
    </row>
    <row r="4181" spans="1:5">
      <c r="A4181">
        <v>10445</v>
      </c>
      <c r="B4181" t="s">
        <v>175</v>
      </c>
      <c r="C4181">
        <v>86.4</v>
      </c>
      <c r="D4181">
        <v>6</v>
      </c>
      <c r="E4181" s="80">
        <v>35474</v>
      </c>
    </row>
    <row r="4182" spans="1:5">
      <c r="A4182">
        <v>10445</v>
      </c>
      <c r="B4182" t="s">
        <v>176</v>
      </c>
      <c r="C4182">
        <v>86.4</v>
      </c>
      <c r="D4182">
        <v>6</v>
      </c>
      <c r="E4182" s="80">
        <v>35474</v>
      </c>
    </row>
    <row r="4183" spans="1:5">
      <c r="A4183">
        <v>10445</v>
      </c>
      <c r="B4183" t="s">
        <v>177</v>
      </c>
      <c r="C4183">
        <v>86.4</v>
      </c>
      <c r="D4183">
        <v>6</v>
      </c>
      <c r="E4183" s="80">
        <v>35474</v>
      </c>
    </row>
    <row r="4184" spans="1:5">
      <c r="A4184">
        <v>10445</v>
      </c>
      <c r="B4184" t="s">
        <v>178</v>
      </c>
      <c r="C4184">
        <v>86.4</v>
      </c>
      <c r="D4184">
        <v>6</v>
      </c>
      <c r="E4184" s="80">
        <v>35474</v>
      </c>
    </row>
    <row r="4185" spans="1:5">
      <c r="A4185">
        <v>10445</v>
      </c>
      <c r="B4185" t="s">
        <v>179</v>
      </c>
      <c r="C4185">
        <v>86.4</v>
      </c>
      <c r="D4185">
        <v>6</v>
      </c>
      <c r="E4185" s="80">
        <v>35474</v>
      </c>
    </row>
    <row r="4186" spans="1:5">
      <c r="A4186">
        <v>10445</v>
      </c>
      <c r="B4186" t="s">
        <v>172</v>
      </c>
      <c r="C4186">
        <v>88.5</v>
      </c>
      <c r="D4186">
        <v>15</v>
      </c>
      <c r="E4186" s="80">
        <v>35474</v>
      </c>
    </row>
    <row r="4187" spans="1:5">
      <c r="A4187">
        <v>10445</v>
      </c>
      <c r="B4187" t="s">
        <v>173</v>
      </c>
      <c r="C4187">
        <v>88.5</v>
      </c>
      <c r="D4187">
        <v>15</v>
      </c>
      <c r="E4187" s="80">
        <v>35474</v>
      </c>
    </row>
    <row r="4188" spans="1:5">
      <c r="A4188">
        <v>10445</v>
      </c>
      <c r="B4188" t="s">
        <v>174</v>
      </c>
      <c r="C4188">
        <v>88.5</v>
      </c>
      <c r="D4188">
        <v>15</v>
      </c>
      <c r="E4188" s="80">
        <v>35474</v>
      </c>
    </row>
    <row r="4189" spans="1:5">
      <c r="A4189">
        <v>10445</v>
      </c>
      <c r="B4189" t="s">
        <v>175</v>
      </c>
      <c r="C4189">
        <v>88.5</v>
      </c>
      <c r="D4189">
        <v>15</v>
      </c>
      <c r="E4189" s="80">
        <v>35474</v>
      </c>
    </row>
    <row r="4190" spans="1:5">
      <c r="A4190">
        <v>10445</v>
      </c>
      <c r="B4190" t="s">
        <v>176</v>
      </c>
      <c r="C4190">
        <v>88.5</v>
      </c>
      <c r="D4190">
        <v>15</v>
      </c>
      <c r="E4190" s="80">
        <v>35474</v>
      </c>
    </row>
    <row r="4191" spans="1:5">
      <c r="A4191">
        <v>10445</v>
      </c>
      <c r="B4191" t="s">
        <v>177</v>
      </c>
      <c r="C4191">
        <v>88.5</v>
      </c>
      <c r="D4191">
        <v>15</v>
      </c>
      <c r="E4191" s="80">
        <v>35474</v>
      </c>
    </row>
    <row r="4192" spans="1:5">
      <c r="A4192">
        <v>10445</v>
      </c>
      <c r="B4192" t="s">
        <v>178</v>
      </c>
      <c r="C4192">
        <v>88.5</v>
      </c>
      <c r="D4192">
        <v>15</v>
      </c>
      <c r="E4192" s="80">
        <v>35474</v>
      </c>
    </row>
    <row r="4193" spans="1:5">
      <c r="A4193">
        <v>10445</v>
      </c>
      <c r="B4193" t="s">
        <v>179</v>
      </c>
      <c r="C4193">
        <v>88.5</v>
      </c>
      <c r="D4193">
        <v>15</v>
      </c>
      <c r="E4193" s="80">
        <v>35474</v>
      </c>
    </row>
    <row r="4194" spans="1:5">
      <c r="A4194">
        <v>10446</v>
      </c>
      <c r="B4194" t="s">
        <v>172</v>
      </c>
      <c r="C4194">
        <v>78.839999869465828</v>
      </c>
      <c r="D4194">
        <v>12</v>
      </c>
      <c r="E4194" s="80">
        <v>35475</v>
      </c>
    </row>
    <row r="4195" spans="1:5">
      <c r="A4195">
        <v>10446</v>
      </c>
      <c r="B4195" t="s">
        <v>173</v>
      </c>
      <c r="C4195">
        <v>78.839999869465828</v>
      </c>
      <c r="D4195">
        <v>12</v>
      </c>
      <c r="E4195" s="80">
        <v>35475</v>
      </c>
    </row>
    <row r="4196" spans="1:5">
      <c r="A4196">
        <v>10446</v>
      </c>
      <c r="B4196" t="s">
        <v>174</v>
      </c>
      <c r="C4196">
        <v>78.839999869465828</v>
      </c>
      <c r="D4196">
        <v>12</v>
      </c>
      <c r="E4196" s="80">
        <v>35475</v>
      </c>
    </row>
    <row r="4197" spans="1:5">
      <c r="A4197">
        <v>10446</v>
      </c>
      <c r="B4197" t="s">
        <v>175</v>
      </c>
      <c r="C4197">
        <v>78.839999869465828</v>
      </c>
      <c r="D4197">
        <v>12</v>
      </c>
      <c r="E4197" s="80">
        <v>35475</v>
      </c>
    </row>
    <row r="4198" spans="1:5">
      <c r="A4198">
        <v>10446</v>
      </c>
      <c r="B4198" t="s">
        <v>176</v>
      </c>
      <c r="C4198">
        <v>78.839999869465828</v>
      </c>
      <c r="D4198">
        <v>12</v>
      </c>
      <c r="E4198" s="80">
        <v>35475</v>
      </c>
    </row>
    <row r="4199" spans="1:5">
      <c r="A4199">
        <v>10446</v>
      </c>
      <c r="B4199" t="s">
        <v>177</v>
      </c>
      <c r="C4199">
        <v>78.839999869465828</v>
      </c>
      <c r="D4199">
        <v>12</v>
      </c>
      <c r="E4199" s="80">
        <v>35475</v>
      </c>
    </row>
    <row r="4200" spans="1:5">
      <c r="A4200">
        <v>10446</v>
      </c>
      <c r="B4200" t="s">
        <v>178</v>
      </c>
      <c r="C4200">
        <v>78.839999869465828</v>
      </c>
      <c r="D4200">
        <v>12</v>
      </c>
      <c r="E4200" s="80">
        <v>35475</v>
      </c>
    </row>
    <row r="4201" spans="1:5">
      <c r="A4201">
        <v>10446</v>
      </c>
      <c r="B4201" t="s">
        <v>179</v>
      </c>
      <c r="C4201">
        <v>78.839999869465828</v>
      </c>
      <c r="D4201">
        <v>12</v>
      </c>
      <c r="E4201" s="80">
        <v>35475</v>
      </c>
    </row>
    <row r="4202" spans="1:5">
      <c r="A4202">
        <v>10446</v>
      </c>
      <c r="B4202" t="s">
        <v>172</v>
      </c>
      <c r="C4202">
        <v>64.799999892711639</v>
      </c>
      <c r="D4202">
        <v>20</v>
      </c>
      <c r="E4202" s="80">
        <v>35475</v>
      </c>
    </row>
    <row r="4203" spans="1:5">
      <c r="A4203">
        <v>10446</v>
      </c>
      <c r="B4203" t="s">
        <v>173</v>
      </c>
      <c r="C4203">
        <v>64.799999892711639</v>
      </c>
      <c r="D4203">
        <v>20</v>
      </c>
      <c r="E4203" s="80">
        <v>35475</v>
      </c>
    </row>
    <row r="4204" spans="1:5">
      <c r="A4204">
        <v>10446</v>
      </c>
      <c r="B4204" t="s">
        <v>174</v>
      </c>
      <c r="C4204">
        <v>64.799999892711639</v>
      </c>
      <c r="D4204">
        <v>20</v>
      </c>
      <c r="E4204" s="80">
        <v>35475</v>
      </c>
    </row>
    <row r="4205" spans="1:5">
      <c r="A4205">
        <v>10446</v>
      </c>
      <c r="B4205" t="s">
        <v>175</v>
      </c>
      <c r="C4205">
        <v>64.799999892711639</v>
      </c>
      <c r="D4205">
        <v>20</v>
      </c>
      <c r="E4205" s="80">
        <v>35475</v>
      </c>
    </row>
    <row r="4206" spans="1:5">
      <c r="A4206">
        <v>10446</v>
      </c>
      <c r="B4206" t="s">
        <v>176</v>
      </c>
      <c r="C4206">
        <v>64.799999892711639</v>
      </c>
      <c r="D4206">
        <v>20</v>
      </c>
      <c r="E4206" s="80">
        <v>35475</v>
      </c>
    </row>
    <row r="4207" spans="1:5">
      <c r="A4207">
        <v>10446</v>
      </c>
      <c r="B4207" t="s">
        <v>177</v>
      </c>
      <c r="C4207">
        <v>64.799999892711639</v>
      </c>
      <c r="D4207">
        <v>20</v>
      </c>
      <c r="E4207" s="80">
        <v>35475</v>
      </c>
    </row>
    <row r="4208" spans="1:5">
      <c r="A4208">
        <v>10446</v>
      </c>
      <c r="B4208" t="s">
        <v>178</v>
      </c>
      <c r="C4208">
        <v>64.799999892711639</v>
      </c>
      <c r="D4208">
        <v>20</v>
      </c>
      <c r="E4208" s="80">
        <v>35475</v>
      </c>
    </row>
    <row r="4209" spans="1:5">
      <c r="A4209">
        <v>10446</v>
      </c>
      <c r="B4209" t="s">
        <v>179</v>
      </c>
      <c r="C4209">
        <v>64.799999892711639</v>
      </c>
      <c r="D4209">
        <v>20</v>
      </c>
      <c r="E4209" s="80">
        <v>35475</v>
      </c>
    </row>
    <row r="4210" spans="1:5">
      <c r="A4210">
        <v>10446</v>
      </c>
      <c r="B4210" t="s">
        <v>172</v>
      </c>
      <c r="C4210">
        <v>26.999999955296516</v>
      </c>
      <c r="D4210">
        <v>3</v>
      </c>
      <c r="E4210" s="80">
        <v>35475</v>
      </c>
    </row>
    <row r="4211" spans="1:5">
      <c r="A4211">
        <v>10446</v>
      </c>
      <c r="B4211" t="s">
        <v>173</v>
      </c>
      <c r="C4211">
        <v>26.999999955296516</v>
      </c>
      <c r="D4211">
        <v>3</v>
      </c>
      <c r="E4211" s="80">
        <v>35475</v>
      </c>
    </row>
    <row r="4212" spans="1:5">
      <c r="A4212">
        <v>10446</v>
      </c>
      <c r="B4212" t="s">
        <v>174</v>
      </c>
      <c r="C4212">
        <v>26.999999955296516</v>
      </c>
      <c r="D4212">
        <v>3</v>
      </c>
      <c r="E4212" s="80">
        <v>35475</v>
      </c>
    </row>
    <row r="4213" spans="1:5">
      <c r="A4213">
        <v>10446</v>
      </c>
      <c r="B4213" t="s">
        <v>175</v>
      </c>
      <c r="C4213">
        <v>26.999999955296516</v>
      </c>
      <c r="D4213">
        <v>3</v>
      </c>
      <c r="E4213" s="80">
        <v>35475</v>
      </c>
    </row>
    <row r="4214" spans="1:5">
      <c r="A4214">
        <v>10446</v>
      </c>
      <c r="B4214" t="s">
        <v>176</v>
      </c>
      <c r="C4214">
        <v>26.999999955296516</v>
      </c>
      <c r="D4214">
        <v>3</v>
      </c>
      <c r="E4214" s="80">
        <v>35475</v>
      </c>
    </row>
    <row r="4215" spans="1:5">
      <c r="A4215">
        <v>10446</v>
      </c>
      <c r="B4215" t="s">
        <v>177</v>
      </c>
      <c r="C4215">
        <v>26.999999955296516</v>
      </c>
      <c r="D4215">
        <v>3</v>
      </c>
      <c r="E4215" s="80">
        <v>35475</v>
      </c>
    </row>
    <row r="4216" spans="1:5">
      <c r="A4216">
        <v>10446</v>
      </c>
      <c r="B4216" t="s">
        <v>178</v>
      </c>
      <c r="C4216">
        <v>26.999999955296516</v>
      </c>
      <c r="D4216">
        <v>3</v>
      </c>
      <c r="E4216" s="80">
        <v>35475</v>
      </c>
    </row>
    <row r="4217" spans="1:5">
      <c r="A4217">
        <v>10446</v>
      </c>
      <c r="B4217" t="s">
        <v>179</v>
      </c>
      <c r="C4217">
        <v>26.999999955296516</v>
      </c>
      <c r="D4217">
        <v>3</v>
      </c>
      <c r="E4217" s="80">
        <v>35475</v>
      </c>
    </row>
    <row r="4218" spans="1:5">
      <c r="A4218">
        <v>10446</v>
      </c>
      <c r="B4218" t="s">
        <v>172</v>
      </c>
      <c r="C4218">
        <v>75.599999874830246</v>
      </c>
      <c r="D4218">
        <v>15</v>
      </c>
      <c r="E4218" s="80">
        <v>35475</v>
      </c>
    </row>
    <row r="4219" spans="1:5">
      <c r="A4219">
        <v>10446</v>
      </c>
      <c r="B4219" t="s">
        <v>173</v>
      </c>
      <c r="C4219">
        <v>75.599999874830246</v>
      </c>
      <c r="D4219">
        <v>15</v>
      </c>
      <c r="E4219" s="80">
        <v>35475</v>
      </c>
    </row>
    <row r="4220" spans="1:5">
      <c r="A4220">
        <v>10446</v>
      </c>
      <c r="B4220" t="s">
        <v>174</v>
      </c>
      <c r="C4220">
        <v>75.599999874830246</v>
      </c>
      <c r="D4220">
        <v>15</v>
      </c>
      <c r="E4220" s="80">
        <v>35475</v>
      </c>
    </row>
    <row r="4221" spans="1:5">
      <c r="A4221">
        <v>10446</v>
      </c>
      <c r="B4221" t="s">
        <v>175</v>
      </c>
      <c r="C4221">
        <v>75.599999874830246</v>
      </c>
      <c r="D4221">
        <v>15</v>
      </c>
      <c r="E4221" s="80">
        <v>35475</v>
      </c>
    </row>
    <row r="4222" spans="1:5">
      <c r="A4222">
        <v>10446</v>
      </c>
      <c r="B4222" t="s">
        <v>176</v>
      </c>
      <c r="C4222">
        <v>75.599999874830246</v>
      </c>
      <c r="D4222">
        <v>15</v>
      </c>
      <c r="E4222" s="80">
        <v>35475</v>
      </c>
    </row>
    <row r="4223" spans="1:5">
      <c r="A4223">
        <v>10446</v>
      </c>
      <c r="B4223" t="s">
        <v>177</v>
      </c>
      <c r="C4223">
        <v>75.599999874830246</v>
      </c>
      <c r="D4223">
        <v>15</v>
      </c>
      <c r="E4223" s="80">
        <v>35475</v>
      </c>
    </row>
    <row r="4224" spans="1:5">
      <c r="A4224">
        <v>10446</v>
      </c>
      <c r="B4224" t="s">
        <v>178</v>
      </c>
      <c r="C4224">
        <v>75.599999874830246</v>
      </c>
      <c r="D4224">
        <v>15</v>
      </c>
      <c r="E4224" s="80">
        <v>35475</v>
      </c>
    </row>
    <row r="4225" spans="1:5">
      <c r="A4225">
        <v>10446</v>
      </c>
      <c r="B4225" t="s">
        <v>179</v>
      </c>
      <c r="C4225">
        <v>75.599999874830246</v>
      </c>
      <c r="D4225">
        <v>15</v>
      </c>
      <c r="E4225" s="80">
        <v>35475</v>
      </c>
    </row>
    <row r="4226" spans="1:5">
      <c r="A4226">
        <v>10447</v>
      </c>
      <c r="B4226" t="s">
        <v>172</v>
      </c>
      <c r="C4226">
        <v>292</v>
      </c>
      <c r="D4226">
        <v>40</v>
      </c>
      <c r="E4226" s="80">
        <v>35475</v>
      </c>
    </row>
    <row r="4227" spans="1:5">
      <c r="A4227">
        <v>10447</v>
      </c>
      <c r="B4227" t="s">
        <v>173</v>
      </c>
      <c r="C4227">
        <v>292</v>
      </c>
      <c r="D4227">
        <v>40</v>
      </c>
      <c r="E4227" s="80">
        <v>35475</v>
      </c>
    </row>
    <row r="4228" spans="1:5">
      <c r="A4228">
        <v>10447</v>
      </c>
      <c r="B4228" t="s">
        <v>174</v>
      </c>
      <c r="C4228">
        <v>292</v>
      </c>
      <c r="D4228">
        <v>40</v>
      </c>
      <c r="E4228" s="80">
        <v>35475</v>
      </c>
    </row>
    <row r="4229" spans="1:5">
      <c r="A4229">
        <v>10447</v>
      </c>
      <c r="B4229" t="s">
        <v>175</v>
      </c>
      <c r="C4229">
        <v>292</v>
      </c>
      <c r="D4229">
        <v>40</v>
      </c>
      <c r="E4229" s="80">
        <v>35475</v>
      </c>
    </row>
    <row r="4230" spans="1:5">
      <c r="A4230">
        <v>10447</v>
      </c>
      <c r="B4230" t="s">
        <v>176</v>
      </c>
      <c r="C4230">
        <v>292</v>
      </c>
      <c r="D4230">
        <v>40</v>
      </c>
      <c r="E4230" s="80">
        <v>35475</v>
      </c>
    </row>
    <row r="4231" spans="1:5">
      <c r="A4231">
        <v>10447</v>
      </c>
      <c r="B4231" t="s">
        <v>177</v>
      </c>
      <c r="C4231">
        <v>292</v>
      </c>
      <c r="D4231">
        <v>40</v>
      </c>
      <c r="E4231" s="80">
        <v>35475</v>
      </c>
    </row>
    <row r="4232" spans="1:5">
      <c r="A4232">
        <v>10447</v>
      </c>
      <c r="B4232" t="s">
        <v>178</v>
      </c>
      <c r="C4232">
        <v>292</v>
      </c>
      <c r="D4232">
        <v>40</v>
      </c>
      <c r="E4232" s="80">
        <v>35475</v>
      </c>
    </row>
    <row r="4233" spans="1:5">
      <c r="A4233">
        <v>10447</v>
      </c>
      <c r="B4233" t="s">
        <v>179</v>
      </c>
      <c r="C4233">
        <v>292</v>
      </c>
      <c r="D4233">
        <v>40</v>
      </c>
      <c r="E4233" s="80">
        <v>35475</v>
      </c>
    </row>
    <row r="4234" spans="1:5">
      <c r="A4234">
        <v>10447</v>
      </c>
      <c r="B4234" t="s">
        <v>172</v>
      </c>
      <c r="C4234">
        <v>588</v>
      </c>
      <c r="D4234">
        <v>35</v>
      </c>
      <c r="E4234" s="80">
        <v>35475</v>
      </c>
    </row>
    <row r="4235" spans="1:5">
      <c r="A4235">
        <v>10447</v>
      </c>
      <c r="B4235" t="s">
        <v>173</v>
      </c>
      <c r="C4235">
        <v>588</v>
      </c>
      <c r="D4235">
        <v>35</v>
      </c>
      <c r="E4235" s="80">
        <v>35475</v>
      </c>
    </row>
    <row r="4236" spans="1:5">
      <c r="A4236">
        <v>10447</v>
      </c>
      <c r="B4236" t="s">
        <v>174</v>
      </c>
      <c r="C4236">
        <v>588</v>
      </c>
      <c r="D4236">
        <v>35</v>
      </c>
      <c r="E4236" s="80">
        <v>35475</v>
      </c>
    </row>
    <row r="4237" spans="1:5">
      <c r="A4237">
        <v>10447</v>
      </c>
      <c r="B4237" t="s">
        <v>175</v>
      </c>
      <c r="C4237">
        <v>588</v>
      </c>
      <c r="D4237">
        <v>35</v>
      </c>
      <c r="E4237" s="80">
        <v>35475</v>
      </c>
    </row>
    <row r="4238" spans="1:5">
      <c r="A4238">
        <v>10447</v>
      </c>
      <c r="B4238" t="s">
        <v>176</v>
      </c>
      <c r="C4238">
        <v>588</v>
      </c>
      <c r="D4238">
        <v>35</v>
      </c>
      <c r="E4238" s="80">
        <v>35475</v>
      </c>
    </row>
    <row r="4239" spans="1:5">
      <c r="A4239">
        <v>10447</v>
      </c>
      <c r="B4239" t="s">
        <v>177</v>
      </c>
      <c r="C4239">
        <v>588</v>
      </c>
      <c r="D4239">
        <v>35</v>
      </c>
      <c r="E4239" s="80">
        <v>35475</v>
      </c>
    </row>
    <row r="4240" spans="1:5">
      <c r="A4240">
        <v>10447</v>
      </c>
      <c r="B4240" t="s">
        <v>178</v>
      </c>
      <c r="C4240">
        <v>588</v>
      </c>
      <c r="D4240">
        <v>35</v>
      </c>
      <c r="E4240" s="80">
        <v>35475</v>
      </c>
    </row>
    <row r="4241" spans="1:5">
      <c r="A4241">
        <v>10447</v>
      </c>
      <c r="B4241" t="s">
        <v>179</v>
      </c>
      <c r="C4241">
        <v>588</v>
      </c>
      <c r="D4241">
        <v>35</v>
      </c>
      <c r="E4241" s="80">
        <v>35475</v>
      </c>
    </row>
    <row r="4242" spans="1:5">
      <c r="A4242">
        <v>10447</v>
      </c>
      <c r="B4242" t="s">
        <v>172</v>
      </c>
      <c r="C4242">
        <v>34.4</v>
      </c>
      <c r="D4242">
        <v>2</v>
      </c>
      <c r="E4242" s="80">
        <v>35475</v>
      </c>
    </row>
    <row r="4243" spans="1:5">
      <c r="A4243">
        <v>10447</v>
      </c>
      <c r="B4243" t="s">
        <v>173</v>
      </c>
      <c r="C4243">
        <v>34.4</v>
      </c>
      <c r="D4243">
        <v>2</v>
      </c>
      <c r="E4243" s="80">
        <v>35475</v>
      </c>
    </row>
    <row r="4244" spans="1:5">
      <c r="A4244">
        <v>10447</v>
      </c>
      <c r="B4244" t="s">
        <v>174</v>
      </c>
      <c r="C4244">
        <v>34.4</v>
      </c>
      <c r="D4244">
        <v>2</v>
      </c>
      <c r="E4244" s="80">
        <v>35475</v>
      </c>
    </row>
    <row r="4245" spans="1:5">
      <c r="A4245">
        <v>10447</v>
      </c>
      <c r="B4245" t="s">
        <v>175</v>
      </c>
      <c r="C4245">
        <v>34.4</v>
      </c>
      <c r="D4245">
        <v>2</v>
      </c>
      <c r="E4245" s="80">
        <v>35475</v>
      </c>
    </row>
    <row r="4246" spans="1:5">
      <c r="A4246">
        <v>10447</v>
      </c>
      <c r="B4246" t="s">
        <v>176</v>
      </c>
      <c r="C4246">
        <v>34.4</v>
      </c>
      <c r="D4246">
        <v>2</v>
      </c>
      <c r="E4246" s="80">
        <v>35475</v>
      </c>
    </row>
    <row r="4247" spans="1:5">
      <c r="A4247">
        <v>10447</v>
      </c>
      <c r="B4247" t="s">
        <v>177</v>
      </c>
      <c r="C4247">
        <v>34.4</v>
      </c>
      <c r="D4247">
        <v>2</v>
      </c>
      <c r="E4247" s="80">
        <v>35475</v>
      </c>
    </row>
    <row r="4248" spans="1:5">
      <c r="A4248">
        <v>10447</v>
      </c>
      <c r="B4248" t="s">
        <v>178</v>
      </c>
      <c r="C4248">
        <v>34.4</v>
      </c>
      <c r="D4248">
        <v>2</v>
      </c>
      <c r="E4248" s="80">
        <v>35475</v>
      </c>
    </row>
    <row r="4249" spans="1:5">
      <c r="A4249">
        <v>10447</v>
      </c>
      <c r="B4249" t="s">
        <v>179</v>
      </c>
      <c r="C4249">
        <v>34.4</v>
      </c>
      <c r="D4249">
        <v>2</v>
      </c>
      <c r="E4249" s="80">
        <v>35475</v>
      </c>
    </row>
    <row r="4250" spans="1:5">
      <c r="A4250">
        <v>10448</v>
      </c>
      <c r="B4250" t="s">
        <v>172</v>
      </c>
      <c r="C4250">
        <v>149.4</v>
      </c>
      <c r="D4250">
        <v>6</v>
      </c>
      <c r="E4250" s="80">
        <v>35478</v>
      </c>
    </row>
    <row r="4251" spans="1:5">
      <c r="A4251">
        <v>10448</v>
      </c>
      <c r="B4251" t="s">
        <v>173</v>
      </c>
      <c r="C4251">
        <v>149.4</v>
      </c>
      <c r="D4251">
        <v>6</v>
      </c>
      <c r="E4251" s="80">
        <v>35478</v>
      </c>
    </row>
    <row r="4252" spans="1:5">
      <c r="A4252">
        <v>10448</v>
      </c>
      <c r="B4252" t="s">
        <v>174</v>
      </c>
      <c r="C4252">
        <v>149.4</v>
      </c>
      <c r="D4252">
        <v>6</v>
      </c>
      <c r="E4252" s="80">
        <v>35478</v>
      </c>
    </row>
    <row r="4253" spans="1:5">
      <c r="A4253">
        <v>10448</v>
      </c>
      <c r="B4253" t="s">
        <v>175</v>
      </c>
      <c r="C4253">
        <v>149.4</v>
      </c>
      <c r="D4253">
        <v>6</v>
      </c>
      <c r="E4253" s="80">
        <v>35478</v>
      </c>
    </row>
    <row r="4254" spans="1:5">
      <c r="A4254">
        <v>10448</v>
      </c>
      <c r="B4254" t="s">
        <v>176</v>
      </c>
      <c r="C4254">
        <v>149.4</v>
      </c>
      <c r="D4254">
        <v>6</v>
      </c>
      <c r="E4254" s="80">
        <v>35478</v>
      </c>
    </row>
    <row r="4255" spans="1:5">
      <c r="A4255">
        <v>10448</v>
      </c>
      <c r="B4255" t="s">
        <v>177</v>
      </c>
      <c r="C4255">
        <v>149.4</v>
      </c>
      <c r="D4255">
        <v>6</v>
      </c>
      <c r="E4255" s="80">
        <v>35478</v>
      </c>
    </row>
    <row r="4256" spans="1:5">
      <c r="A4256">
        <v>10448</v>
      </c>
      <c r="B4256" t="s">
        <v>178</v>
      </c>
      <c r="C4256">
        <v>149.4</v>
      </c>
      <c r="D4256">
        <v>6</v>
      </c>
      <c r="E4256" s="80">
        <v>35478</v>
      </c>
    </row>
    <row r="4257" spans="1:5">
      <c r="A4257">
        <v>10448</v>
      </c>
      <c r="B4257" t="s">
        <v>179</v>
      </c>
      <c r="C4257">
        <v>149.4</v>
      </c>
      <c r="D4257">
        <v>6</v>
      </c>
      <c r="E4257" s="80">
        <v>35478</v>
      </c>
    </row>
    <row r="4258" spans="1:5">
      <c r="A4258">
        <v>10448</v>
      </c>
      <c r="B4258" t="s">
        <v>172</v>
      </c>
      <c r="C4258">
        <v>294</v>
      </c>
      <c r="D4258">
        <v>20</v>
      </c>
      <c r="E4258" s="80">
        <v>35478</v>
      </c>
    </row>
    <row r="4259" spans="1:5">
      <c r="A4259">
        <v>10448</v>
      </c>
      <c r="B4259" t="s">
        <v>173</v>
      </c>
      <c r="C4259">
        <v>294</v>
      </c>
      <c r="D4259">
        <v>20</v>
      </c>
      <c r="E4259" s="80">
        <v>35478</v>
      </c>
    </row>
    <row r="4260" spans="1:5">
      <c r="A4260">
        <v>10448</v>
      </c>
      <c r="B4260" t="s">
        <v>174</v>
      </c>
      <c r="C4260">
        <v>294</v>
      </c>
      <c r="D4260">
        <v>20</v>
      </c>
      <c r="E4260" s="80">
        <v>35478</v>
      </c>
    </row>
    <row r="4261" spans="1:5">
      <c r="A4261">
        <v>10448</v>
      </c>
      <c r="B4261" t="s">
        <v>175</v>
      </c>
      <c r="C4261">
        <v>294</v>
      </c>
      <c r="D4261">
        <v>20</v>
      </c>
      <c r="E4261" s="80">
        <v>35478</v>
      </c>
    </row>
    <row r="4262" spans="1:5">
      <c r="A4262">
        <v>10448</v>
      </c>
      <c r="B4262" t="s">
        <v>176</v>
      </c>
      <c r="C4262">
        <v>294</v>
      </c>
      <c r="D4262">
        <v>20</v>
      </c>
      <c r="E4262" s="80">
        <v>35478</v>
      </c>
    </row>
    <row r="4263" spans="1:5">
      <c r="A4263">
        <v>10448</v>
      </c>
      <c r="B4263" t="s">
        <v>177</v>
      </c>
      <c r="C4263">
        <v>294</v>
      </c>
      <c r="D4263">
        <v>20</v>
      </c>
      <c r="E4263" s="80">
        <v>35478</v>
      </c>
    </row>
    <row r="4264" spans="1:5">
      <c r="A4264">
        <v>10448</v>
      </c>
      <c r="B4264" t="s">
        <v>178</v>
      </c>
      <c r="C4264">
        <v>294</v>
      </c>
      <c r="D4264">
        <v>20</v>
      </c>
      <c r="E4264" s="80">
        <v>35478</v>
      </c>
    </row>
    <row r="4265" spans="1:5">
      <c r="A4265">
        <v>10448</v>
      </c>
      <c r="B4265" t="s">
        <v>179</v>
      </c>
      <c r="C4265">
        <v>294</v>
      </c>
      <c r="D4265">
        <v>20</v>
      </c>
      <c r="E4265" s="80">
        <v>35478</v>
      </c>
    </row>
    <row r="4266" spans="1:5">
      <c r="A4266">
        <v>10449</v>
      </c>
      <c r="B4266" t="s">
        <v>172</v>
      </c>
      <c r="C4266">
        <v>347.2</v>
      </c>
      <c r="D4266">
        <v>14</v>
      </c>
      <c r="E4266" s="80">
        <v>35479</v>
      </c>
    </row>
    <row r="4267" spans="1:5">
      <c r="A4267">
        <v>10449</v>
      </c>
      <c r="B4267" t="s">
        <v>173</v>
      </c>
      <c r="C4267">
        <v>347.2</v>
      </c>
      <c r="D4267">
        <v>14</v>
      </c>
      <c r="E4267" s="80">
        <v>35479</v>
      </c>
    </row>
    <row r="4268" spans="1:5">
      <c r="A4268">
        <v>10449</v>
      </c>
      <c r="B4268" t="s">
        <v>174</v>
      </c>
      <c r="C4268">
        <v>347.2</v>
      </c>
      <c r="D4268">
        <v>14</v>
      </c>
      <c r="E4268" s="80">
        <v>35479</v>
      </c>
    </row>
    <row r="4269" spans="1:5">
      <c r="A4269">
        <v>10449</v>
      </c>
      <c r="B4269" t="s">
        <v>175</v>
      </c>
      <c r="C4269">
        <v>347.2</v>
      </c>
      <c r="D4269">
        <v>14</v>
      </c>
      <c r="E4269" s="80">
        <v>35479</v>
      </c>
    </row>
    <row r="4270" spans="1:5">
      <c r="A4270">
        <v>10449</v>
      </c>
      <c r="B4270" t="s">
        <v>176</v>
      </c>
      <c r="C4270">
        <v>347.2</v>
      </c>
      <c r="D4270">
        <v>14</v>
      </c>
      <c r="E4270" s="80">
        <v>35479</v>
      </c>
    </row>
    <row r="4271" spans="1:5">
      <c r="A4271">
        <v>10449</v>
      </c>
      <c r="B4271" t="s">
        <v>177</v>
      </c>
      <c r="C4271">
        <v>347.2</v>
      </c>
      <c r="D4271">
        <v>14</v>
      </c>
      <c r="E4271" s="80">
        <v>35479</v>
      </c>
    </row>
    <row r="4272" spans="1:5">
      <c r="A4272">
        <v>10449</v>
      </c>
      <c r="B4272" t="s">
        <v>178</v>
      </c>
      <c r="C4272">
        <v>347.2</v>
      </c>
      <c r="D4272">
        <v>14</v>
      </c>
      <c r="E4272" s="80">
        <v>35479</v>
      </c>
    </row>
    <row r="4273" spans="1:5">
      <c r="A4273">
        <v>10449</v>
      </c>
      <c r="B4273" t="s">
        <v>179</v>
      </c>
      <c r="C4273">
        <v>347.2</v>
      </c>
      <c r="D4273">
        <v>14</v>
      </c>
      <c r="E4273" s="80">
        <v>35479</v>
      </c>
    </row>
    <row r="4274" spans="1:5">
      <c r="A4274">
        <v>10449</v>
      </c>
      <c r="B4274" t="s">
        <v>172</v>
      </c>
      <c r="C4274">
        <v>112</v>
      </c>
      <c r="D4274">
        <v>20</v>
      </c>
      <c r="E4274" s="80">
        <v>35479</v>
      </c>
    </row>
    <row r="4275" spans="1:5">
      <c r="A4275">
        <v>10449</v>
      </c>
      <c r="B4275" t="s">
        <v>173</v>
      </c>
      <c r="C4275">
        <v>112</v>
      </c>
      <c r="D4275">
        <v>20</v>
      </c>
      <c r="E4275" s="80">
        <v>35479</v>
      </c>
    </row>
    <row r="4276" spans="1:5">
      <c r="A4276">
        <v>10449</v>
      </c>
      <c r="B4276" t="s">
        <v>174</v>
      </c>
      <c r="C4276">
        <v>112</v>
      </c>
      <c r="D4276">
        <v>20</v>
      </c>
      <c r="E4276" s="80">
        <v>35479</v>
      </c>
    </row>
    <row r="4277" spans="1:5">
      <c r="A4277">
        <v>10449</v>
      </c>
      <c r="B4277" t="s">
        <v>175</v>
      </c>
      <c r="C4277">
        <v>112</v>
      </c>
      <c r="D4277">
        <v>20</v>
      </c>
      <c r="E4277" s="80">
        <v>35479</v>
      </c>
    </row>
    <row r="4278" spans="1:5">
      <c r="A4278">
        <v>10449</v>
      </c>
      <c r="B4278" t="s">
        <v>176</v>
      </c>
      <c r="C4278">
        <v>112</v>
      </c>
      <c r="D4278">
        <v>20</v>
      </c>
      <c r="E4278" s="80">
        <v>35479</v>
      </c>
    </row>
    <row r="4279" spans="1:5">
      <c r="A4279">
        <v>10449</v>
      </c>
      <c r="B4279" t="s">
        <v>177</v>
      </c>
      <c r="C4279">
        <v>112</v>
      </c>
      <c r="D4279">
        <v>20</v>
      </c>
      <c r="E4279" s="80">
        <v>35479</v>
      </c>
    </row>
    <row r="4280" spans="1:5">
      <c r="A4280">
        <v>10449</v>
      </c>
      <c r="B4280" t="s">
        <v>178</v>
      </c>
      <c r="C4280">
        <v>112</v>
      </c>
      <c r="D4280">
        <v>20</v>
      </c>
      <c r="E4280" s="80">
        <v>35479</v>
      </c>
    </row>
    <row r="4281" spans="1:5">
      <c r="A4281">
        <v>10449</v>
      </c>
      <c r="B4281" t="s">
        <v>179</v>
      </c>
      <c r="C4281">
        <v>112</v>
      </c>
      <c r="D4281">
        <v>20</v>
      </c>
      <c r="E4281" s="80">
        <v>35479</v>
      </c>
    </row>
    <row r="4282" spans="1:5">
      <c r="A4282">
        <v>10449</v>
      </c>
      <c r="B4282" t="s">
        <v>172</v>
      </c>
      <c r="C4282">
        <v>1379</v>
      </c>
      <c r="D4282">
        <v>35</v>
      </c>
      <c r="E4282" s="80">
        <v>35479</v>
      </c>
    </row>
    <row r="4283" spans="1:5">
      <c r="A4283">
        <v>10449</v>
      </c>
      <c r="B4283" t="s">
        <v>173</v>
      </c>
      <c r="C4283">
        <v>1379</v>
      </c>
      <c r="D4283">
        <v>35</v>
      </c>
      <c r="E4283" s="80">
        <v>35479</v>
      </c>
    </row>
    <row r="4284" spans="1:5">
      <c r="A4284">
        <v>10449</v>
      </c>
      <c r="B4284" t="s">
        <v>174</v>
      </c>
      <c r="C4284">
        <v>1379</v>
      </c>
      <c r="D4284">
        <v>35</v>
      </c>
      <c r="E4284" s="80">
        <v>35479</v>
      </c>
    </row>
    <row r="4285" spans="1:5">
      <c r="A4285">
        <v>10449</v>
      </c>
      <c r="B4285" t="s">
        <v>175</v>
      </c>
      <c r="C4285">
        <v>1379</v>
      </c>
      <c r="D4285">
        <v>35</v>
      </c>
      <c r="E4285" s="80">
        <v>35479</v>
      </c>
    </row>
    <row r="4286" spans="1:5">
      <c r="A4286">
        <v>10449</v>
      </c>
      <c r="B4286" t="s">
        <v>176</v>
      </c>
      <c r="C4286">
        <v>1379</v>
      </c>
      <c r="D4286">
        <v>35</v>
      </c>
      <c r="E4286" s="80">
        <v>35479</v>
      </c>
    </row>
    <row r="4287" spans="1:5">
      <c r="A4287">
        <v>10449</v>
      </c>
      <c r="B4287" t="s">
        <v>177</v>
      </c>
      <c r="C4287">
        <v>1379</v>
      </c>
      <c r="D4287">
        <v>35</v>
      </c>
      <c r="E4287" s="80">
        <v>35479</v>
      </c>
    </row>
    <row r="4288" spans="1:5">
      <c r="A4288">
        <v>10449</v>
      </c>
      <c r="B4288" t="s">
        <v>178</v>
      </c>
      <c r="C4288">
        <v>1379</v>
      </c>
      <c r="D4288">
        <v>35</v>
      </c>
      <c r="E4288" s="80">
        <v>35479</v>
      </c>
    </row>
    <row r="4289" spans="1:5">
      <c r="A4289">
        <v>10449</v>
      </c>
      <c r="B4289" t="s">
        <v>179</v>
      </c>
      <c r="C4289">
        <v>1379</v>
      </c>
      <c r="D4289">
        <v>35</v>
      </c>
      <c r="E4289" s="80">
        <v>35479</v>
      </c>
    </row>
    <row r="4290" spans="1:5">
      <c r="A4290">
        <v>10450</v>
      </c>
      <c r="B4290" t="s">
        <v>172</v>
      </c>
      <c r="C4290">
        <v>396.79999852180481</v>
      </c>
      <c r="D4290">
        <v>20</v>
      </c>
      <c r="E4290" s="80">
        <v>35480</v>
      </c>
    </row>
    <row r="4291" spans="1:5">
      <c r="A4291">
        <v>10450</v>
      </c>
      <c r="B4291" t="s">
        <v>173</v>
      </c>
      <c r="C4291">
        <v>396.79999852180481</v>
      </c>
      <c r="D4291">
        <v>20</v>
      </c>
      <c r="E4291" s="80">
        <v>35480</v>
      </c>
    </row>
    <row r="4292" spans="1:5">
      <c r="A4292">
        <v>10450</v>
      </c>
      <c r="B4292" t="s">
        <v>174</v>
      </c>
      <c r="C4292">
        <v>396.79999852180481</v>
      </c>
      <c r="D4292">
        <v>20</v>
      </c>
      <c r="E4292" s="80">
        <v>35480</v>
      </c>
    </row>
    <row r="4293" spans="1:5">
      <c r="A4293">
        <v>10450</v>
      </c>
      <c r="B4293" t="s">
        <v>175</v>
      </c>
      <c r="C4293">
        <v>396.79999852180481</v>
      </c>
      <c r="D4293">
        <v>20</v>
      </c>
      <c r="E4293" s="80">
        <v>35480</v>
      </c>
    </row>
    <row r="4294" spans="1:5">
      <c r="A4294">
        <v>10450</v>
      </c>
      <c r="B4294" t="s">
        <v>176</v>
      </c>
      <c r="C4294">
        <v>396.79999852180481</v>
      </c>
      <c r="D4294">
        <v>20</v>
      </c>
      <c r="E4294" s="80">
        <v>35480</v>
      </c>
    </row>
    <row r="4295" spans="1:5">
      <c r="A4295">
        <v>10450</v>
      </c>
      <c r="B4295" t="s">
        <v>177</v>
      </c>
      <c r="C4295">
        <v>396.79999852180481</v>
      </c>
      <c r="D4295">
        <v>20</v>
      </c>
      <c r="E4295" s="80">
        <v>35480</v>
      </c>
    </row>
    <row r="4296" spans="1:5">
      <c r="A4296">
        <v>10450</v>
      </c>
      <c r="B4296" t="s">
        <v>178</v>
      </c>
      <c r="C4296">
        <v>396.79999852180481</v>
      </c>
      <c r="D4296">
        <v>20</v>
      </c>
      <c r="E4296" s="80">
        <v>35480</v>
      </c>
    </row>
    <row r="4297" spans="1:5">
      <c r="A4297">
        <v>10450</v>
      </c>
      <c r="B4297" t="s">
        <v>179</v>
      </c>
      <c r="C4297">
        <v>396.79999852180481</v>
      </c>
      <c r="D4297">
        <v>20</v>
      </c>
      <c r="E4297" s="80">
        <v>35480</v>
      </c>
    </row>
    <row r="4298" spans="1:5">
      <c r="A4298">
        <v>10450</v>
      </c>
      <c r="B4298" t="s">
        <v>172</v>
      </c>
      <c r="C4298">
        <v>28.319999894499777</v>
      </c>
      <c r="D4298">
        <v>6</v>
      </c>
      <c r="E4298" s="80">
        <v>35480</v>
      </c>
    </row>
    <row r="4299" spans="1:5">
      <c r="A4299">
        <v>10450</v>
      </c>
      <c r="B4299" t="s">
        <v>173</v>
      </c>
      <c r="C4299">
        <v>28.319999894499777</v>
      </c>
      <c r="D4299">
        <v>6</v>
      </c>
      <c r="E4299" s="80">
        <v>35480</v>
      </c>
    </row>
    <row r="4300" spans="1:5">
      <c r="A4300">
        <v>10450</v>
      </c>
      <c r="B4300" t="s">
        <v>174</v>
      </c>
      <c r="C4300">
        <v>28.319999894499777</v>
      </c>
      <c r="D4300">
        <v>6</v>
      </c>
      <c r="E4300" s="80">
        <v>35480</v>
      </c>
    </row>
    <row r="4301" spans="1:5">
      <c r="A4301">
        <v>10450</v>
      </c>
      <c r="B4301" t="s">
        <v>175</v>
      </c>
      <c r="C4301">
        <v>28.319999894499777</v>
      </c>
      <c r="D4301">
        <v>6</v>
      </c>
      <c r="E4301" s="80">
        <v>35480</v>
      </c>
    </row>
    <row r="4302" spans="1:5">
      <c r="A4302">
        <v>10450</v>
      </c>
      <c r="B4302" t="s">
        <v>176</v>
      </c>
      <c r="C4302">
        <v>28.319999894499777</v>
      </c>
      <c r="D4302">
        <v>6</v>
      </c>
      <c r="E4302" s="80">
        <v>35480</v>
      </c>
    </row>
    <row r="4303" spans="1:5">
      <c r="A4303">
        <v>10450</v>
      </c>
      <c r="B4303" t="s">
        <v>177</v>
      </c>
      <c r="C4303">
        <v>28.319999894499777</v>
      </c>
      <c r="D4303">
        <v>6</v>
      </c>
      <c r="E4303" s="80">
        <v>35480</v>
      </c>
    </row>
    <row r="4304" spans="1:5">
      <c r="A4304">
        <v>10450</v>
      </c>
      <c r="B4304" t="s">
        <v>178</v>
      </c>
      <c r="C4304">
        <v>28.319999894499777</v>
      </c>
      <c r="D4304">
        <v>6</v>
      </c>
      <c r="E4304" s="80">
        <v>35480</v>
      </c>
    </row>
    <row r="4305" spans="1:5">
      <c r="A4305">
        <v>10450</v>
      </c>
      <c r="B4305" t="s">
        <v>179</v>
      </c>
      <c r="C4305">
        <v>28.319999894499777</v>
      </c>
      <c r="D4305">
        <v>6</v>
      </c>
      <c r="E4305" s="80">
        <v>35480</v>
      </c>
    </row>
    <row r="4306" spans="1:5">
      <c r="A4306">
        <v>10451</v>
      </c>
      <c r="B4306" t="s">
        <v>172</v>
      </c>
      <c r="C4306">
        <v>2073.5999965667725</v>
      </c>
      <c r="D4306">
        <v>120</v>
      </c>
      <c r="E4306" s="80">
        <v>35480</v>
      </c>
    </row>
    <row r="4307" spans="1:5">
      <c r="A4307">
        <v>10451</v>
      </c>
      <c r="B4307" t="s">
        <v>173</v>
      </c>
      <c r="C4307">
        <v>2073.5999965667725</v>
      </c>
      <c r="D4307">
        <v>120</v>
      </c>
      <c r="E4307" s="80">
        <v>35480</v>
      </c>
    </row>
    <row r="4308" spans="1:5">
      <c r="A4308">
        <v>10451</v>
      </c>
      <c r="B4308" t="s">
        <v>174</v>
      </c>
      <c r="C4308">
        <v>2073.5999965667725</v>
      </c>
      <c r="D4308">
        <v>120</v>
      </c>
      <c r="E4308" s="80">
        <v>35480</v>
      </c>
    </row>
    <row r="4309" spans="1:5">
      <c r="A4309">
        <v>10451</v>
      </c>
      <c r="B4309" t="s">
        <v>175</v>
      </c>
      <c r="C4309">
        <v>2073.5999965667725</v>
      </c>
      <c r="D4309">
        <v>120</v>
      </c>
      <c r="E4309" s="80">
        <v>35480</v>
      </c>
    </row>
    <row r="4310" spans="1:5">
      <c r="A4310">
        <v>10451</v>
      </c>
      <c r="B4310" t="s">
        <v>176</v>
      </c>
      <c r="C4310">
        <v>2073.5999965667725</v>
      </c>
      <c r="D4310">
        <v>120</v>
      </c>
      <c r="E4310" s="80">
        <v>35480</v>
      </c>
    </row>
    <row r="4311" spans="1:5">
      <c r="A4311">
        <v>10451</v>
      </c>
      <c r="B4311" t="s">
        <v>177</v>
      </c>
      <c r="C4311">
        <v>2073.5999965667725</v>
      </c>
      <c r="D4311">
        <v>120</v>
      </c>
      <c r="E4311" s="80">
        <v>35480</v>
      </c>
    </row>
    <row r="4312" spans="1:5">
      <c r="A4312">
        <v>10451</v>
      </c>
      <c r="B4312" t="s">
        <v>178</v>
      </c>
      <c r="C4312">
        <v>2073.5999965667725</v>
      </c>
      <c r="D4312">
        <v>120</v>
      </c>
      <c r="E4312" s="80">
        <v>35480</v>
      </c>
    </row>
    <row r="4313" spans="1:5">
      <c r="A4313">
        <v>10451</v>
      </c>
      <c r="B4313" t="s">
        <v>179</v>
      </c>
      <c r="C4313">
        <v>2073.5999965667725</v>
      </c>
      <c r="D4313">
        <v>120</v>
      </c>
      <c r="E4313" s="80">
        <v>35480</v>
      </c>
    </row>
    <row r="4314" spans="1:5">
      <c r="A4314">
        <v>10451</v>
      </c>
      <c r="B4314" t="s">
        <v>172</v>
      </c>
      <c r="C4314">
        <v>837.89999861270189</v>
      </c>
      <c r="D4314">
        <v>35</v>
      </c>
      <c r="E4314" s="80">
        <v>35480</v>
      </c>
    </row>
    <row r="4315" spans="1:5">
      <c r="A4315">
        <v>10451</v>
      </c>
      <c r="B4315" t="s">
        <v>173</v>
      </c>
      <c r="C4315">
        <v>837.89999861270189</v>
      </c>
      <c r="D4315">
        <v>35</v>
      </c>
      <c r="E4315" s="80">
        <v>35480</v>
      </c>
    </row>
    <row r="4316" spans="1:5">
      <c r="A4316">
        <v>10451</v>
      </c>
      <c r="B4316" t="s">
        <v>174</v>
      </c>
      <c r="C4316">
        <v>837.89999861270189</v>
      </c>
      <c r="D4316">
        <v>35</v>
      </c>
      <c r="E4316" s="80">
        <v>35480</v>
      </c>
    </row>
    <row r="4317" spans="1:5">
      <c r="A4317">
        <v>10451</v>
      </c>
      <c r="B4317" t="s">
        <v>175</v>
      </c>
      <c r="C4317">
        <v>837.89999861270189</v>
      </c>
      <c r="D4317">
        <v>35</v>
      </c>
      <c r="E4317" s="80">
        <v>35480</v>
      </c>
    </row>
    <row r="4318" spans="1:5">
      <c r="A4318">
        <v>10451</v>
      </c>
      <c r="B4318" t="s">
        <v>176</v>
      </c>
      <c r="C4318">
        <v>837.89999861270189</v>
      </c>
      <c r="D4318">
        <v>35</v>
      </c>
      <c r="E4318" s="80">
        <v>35480</v>
      </c>
    </row>
    <row r="4319" spans="1:5">
      <c r="A4319">
        <v>10451</v>
      </c>
      <c r="B4319" t="s">
        <v>177</v>
      </c>
      <c r="C4319">
        <v>837.89999861270189</v>
      </c>
      <c r="D4319">
        <v>35</v>
      </c>
      <c r="E4319" s="80">
        <v>35480</v>
      </c>
    </row>
    <row r="4320" spans="1:5">
      <c r="A4320">
        <v>10451</v>
      </c>
      <c r="B4320" t="s">
        <v>178</v>
      </c>
      <c r="C4320">
        <v>837.89999861270189</v>
      </c>
      <c r="D4320">
        <v>35</v>
      </c>
      <c r="E4320" s="80">
        <v>35480</v>
      </c>
    </row>
    <row r="4321" spans="1:5">
      <c r="A4321">
        <v>10451</v>
      </c>
      <c r="B4321" t="s">
        <v>179</v>
      </c>
      <c r="C4321">
        <v>837.89999861270189</v>
      </c>
      <c r="D4321">
        <v>35</v>
      </c>
      <c r="E4321" s="80">
        <v>35480</v>
      </c>
    </row>
    <row r="4322" spans="1:5">
      <c r="A4322">
        <v>10451</v>
      </c>
      <c r="B4322" t="s">
        <v>172</v>
      </c>
      <c r="C4322">
        <v>423.35999929904938</v>
      </c>
      <c r="D4322">
        <v>28</v>
      </c>
      <c r="E4322" s="80">
        <v>35480</v>
      </c>
    </row>
    <row r="4323" spans="1:5">
      <c r="A4323">
        <v>10451</v>
      </c>
      <c r="B4323" t="s">
        <v>173</v>
      </c>
      <c r="C4323">
        <v>423.35999929904938</v>
      </c>
      <c r="D4323">
        <v>28</v>
      </c>
      <c r="E4323" s="80">
        <v>35480</v>
      </c>
    </row>
    <row r="4324" spans="1:5">
      <c r="A4324">
        <v>10451</v>
      </c>
      <c r="B4324" t="s">
        <v>174</v>
      </c>
      <c r="C4324">
        <v>423.35999929904938</v>
      </c>
      <c r="D4324">
        <v>28</v>
      </c>
      <c r="E4324" s="80">
        <v>35480</v>
      </c>
    </row>
    <row r="4325" spans="1:5">
      <c r="A4325">
        <v>10451</v>
      </c>
      <c r="B4325" t="s">
        <v>175</v>
      </c>
      <c r="C4325">
        <v>423.35999929904938</v>
      </c>
      <c r="D4325">
        <v>28</v>
      </c>
      <c r="E4325" s="80">
        <v>35480</v>
      </c>
    </row>
    <row r="4326" spans="1:5">
      <c r="A4326">
        <v>10451</v>
      </c>
      <c r="B4326" t="s">
        <v>176</v>
      </c>
      <c r="C4326">
        <v>423.35999929904938</v>
      </c>
      <c r="D4326">
        <v>28</v>
      </c>
      <c r="E4326" s="80">
        <v>35480</v>
      </c>
    </row>
    <row r="4327" spans="1:5">
      <c r="A4327">
        <v>10451</v>
      </c>
      <c r="B4327" t="s">
        <v>177</v>
      </c>
      <c r="C4327">
        <v>423.35999929904938</v>
      </c>
      <c r="D4327">
        <v>28</v>
      </c>
      <c r="E4327" s="80">
        <v>35480</v>
      </c>
    </row>
    <row r="4328" spans="1:5">
      <c r="A4328">
        <v>10451</v>
      </c>
      <c r="B4328" t="s">
        <v>178</v>
      </c>
      <c r="C4328">
        <v>423.35999929904938</v>
      </c>
      <c r="D4328">
        <v>28</v>
      </c>
      <c r="E4328" s="80">
        <v>35480</v>
      </c>
    </row>
    <row r="4329" spans="1:5">
      <c r="A4329">
        <v>10451</v>
      </c>
      <c r="B4329" t="s">
        <v>179</v>
      </c>
      <c r="C4329">
        <v>423.35999929904938</v>
      </c>
      <c r="D4329">
        <v>28</v>
      </c>
      <c r="E4329" s="80">
        <v>35480</v>
      </c>
    </row>
    <row r="4330" spans="1:5">
      <c r="A4330">
        <v>10451</v>
      </c>
      <c r="B4330" t="s">
        <v>172</v>
      </c>
      <c r="C4330">
        <v>514.79999914765358</v>
      </c>
      <c r="D4330">
        <v>55</v>
      </c>
      <c r="E4330" s="80">
        <v>35480</v>
      </c>
    </row>
    <row r="4331" spans="1:5">
      <c r="A4331">
        <v>10451</v>
      </c>
      <c r="B4331" t="s">
        <v>173</v>
      </c>
      <c r="C4331">
        <v>514.79999914765358</v>
      </c>
      <c r="D4331">
        <v>55</v>
      </c>
      <c r="E4331" s="80">
        <v>35480</v>
      </c>
    </row>
    <row r="4332" spans="1:5">
      <c r="A4332">
        <v>10451</v>
      </c>
      <c r="B4332" t="s">
        <v>174</v>
      </c>
      <c r="C4332">
        <v>514.79999914765358</v>
      </c>
      <c r="D4332">
        <v>55</v>
      </c>
      <c r="E4332" s="80">
        <v>35480</v>
      </c>
    </row>
    <row r="4333" spans="1:5">
      <c r="A4333">
        <v>10451</v>
      </c>
      <c r="B4333" t="s">
        <v>175</v>
      </c>
      <c r="C4333">
        <v>514.79999914765358</v>
      </c>
      <c r="D4333">
        <v>55</v>
      </c>
      <c r="E4333" s="80">
        <v>35480</v>
      </c>
    </row>
    <row r="4334" spans="1:5">
      <c r="A4334">
        <v>10451</v>
      </c>
      <c r="B4334" t="s">
        <v>176</v>
      </c>
      <c r="C4334">
        <v>514.79999914765358</v>
      </c>
      <c r="D4334">
        <v>55</v>
      </c>
      <c r="E4334" s="80">
        <v>35480</v>
      </c>
    </row>
    <row r="4335" spans="1:5">
      <c r="A4335">
        <v>10451</v>
      </c>
      <c r="B4335" t="s">
        <v>177</v>
      </c>
      <c r="C4335">
        <v>514.79999914765358</v>
      </c>
      <c r="D4335">
        <v>55</v>
      </c>
      <c r="E4335" s="80">
        <v>35480</v>
      </c>
    </row>
    <row r="4336" spans="1:5">
      <c r="A4336">
        <v>10451</v>
      </c>
      <c r="B4336" t="s">
        <v>178</v>
      </c>
      <c r="C4336">
        <v>514.79999914765358</v>
      </c>
      <c r="D4336">
        <v>55</v>
      </c>
      <c r="E4336" s="80">
        <v>35480</v>
      </c>
    </row>
    <row r="4337" spans="1:5">
      <c r="A4337">
        <v>10451</v>
      </c>
      <c r="B4337" t="s">
        <v>179</v>
      </c>
      <c r="C4337">
        <v>514.79999914765358</v>
      </c>
      <c r="D4337">
        <v>55</v>
      </c>
      <c r="E4337" s="80">
        <v>35480</v>
      </c>
    </row>
    <row r="4338" spans="1:5">
      <c r="A4338">
        <v>10452</v>
      </c>
      <c r="B4338" t="s">
        <v>172</v>
      </c>
      <c r="C4338">
        <v>546</v>
      </c>
      <c r="D4338">
        <v>15</v>
      </c>
      <c r="E4338" s="80">
        <v>35481</v>
      </c>
    </row>
    <row r="4339" spans="1:5">
      <c r="A4339">
        <v>10452</v>
      </c>
      <c r="B4339" t="s">
        <v>173</v>
      </c>
      <c r="C4339">
        <v>546</v>
      </c>
      <c r="D4339">
        <v>15</v>
      </c>
      <c r="E4339" s="80">
        <v>35481</v>
      </c>
    </row>
    <row r="4340" spans="1:5">
      <c r="A4340">
        <v>10452</v>
      </c>
      <c r="B4340" t="s">
        <v>174</v>
      </c>
      <c r="C4340">
        <v>546</v>
      </c>
      <c r="D4340">
        <v>15</v>
      </c>
      <c r="E4340" s="80">
        <v>35481</v>
      </c>
    </row>
    <row r="4341" spans="1:5">
      <c r="A4341">
        <v>10452</v>
      </c>
      <c r="B4341" t="s">
        <v>175</v>
      </c>
      <c r="C4341">
        <v>546</v>
      </c>
      <c r="D4341">
        <v>15</v>
      </c>
      <c r="E4341" s="80">
        <v>35481</v>
      </c>
    </row>
    <row r="4342" spans="1:5">
      <c r="A4342">
        <v>10452</v>
      </c>
      <c r="B4342" t="s">
        <v>176</v>
      </c>
      <c r="C4342">
        <v>546</v>
      </c>
      <c r="D4342">
        <v>15</v>
      </c>
      <c r="E4342" s="80">
        <v>35481</v>
      </c>
    </row>
    <row r="4343" spans="1:5">
      <c r="A4343">
        <v>10452</v>
      </c>
      <c r="B4343" t="s">
        <v>177</v>
      </c>
      <c r="C4343">
        <v>546</v>
      </c>
      <c r="D4343">
        <v>15</v>
      </c>
      <c r="E4343" s="80">
        <v>35481</v>
      </c>
    </row>
    <row r="4344" spans="1:5">
      <c r="A4344">
        <v>10452</v>
      </c>
      <c r="B4344" t="s">
        <v>178</v>
      </c>
      <c r="C4344">
        <v>546</v>
      </c>
      <c r="D4344">
        <v>15</v>
      </c>
      <c r="E4344" s="80">
        <v>35481</v>
      </c>
    </row>
    <row r="4345" spans="1:5">
      <c r="A4345">
        <v>10452</v>
      </c>
      <c r="B4345" t="s">
        <v>179</v>
      </c>
      <c r="C4345">
        <v>546</v>
      </c>
      <c r="D4345">
        <v>15</v>
      </c>
      <c r="E4345" s="80">
        <v>35481</v>
      </c>
    </row>
    <row r="4346" spans="1:5">
      <c r="A4346">
        <v>10452</v>
      </c>
      <c r="B4346" t="s">
        <v>172</v>
      </c>
      <c r="C4346">
        <v>1472.49999884516</v>
      </c>
      <c r="D4346">
        <v>100</v>
      </c>
      <c r="E4346" s="80">
        <v>35481</v>
      </c>
    </row>
    <row r="4347" spans="1:5">
      <c r="A4347">
        <v>10452</v>
      </c>
      <c r="B4347" t="s">
        <v>173</v>
      </c>
      <c r="C4347">
        <v>1472.49999884516</v>
      </c>
      <c r="D4347">
        <v>100</v>
      </c>
      <c r="E4347" s="80">
        <v>35481</v>
      </c>
    </row>
    <row r="4348" spans="1:5">
      <c r="A4348">
        <v>10452</v>
      </c>
      <c r="B4348" t="s">
        <v>174</v>
      </c>
      <c r="C4348">
        <v>1472.49999884516</v>
      </c>
      <c r="D4348">
        <v>100</v>
      </c>
      <c r="E4348" s="80">
        <v>35481</v>
      </c>
    </row>
    <row r="4349" spans="1:5">
      <c r="A4349">
        <v>10452</v>
      </c>
      <c r="B4349" t="s">
        <v>175</v>
      </c>
      <c r="C4349">
        <v>1472.49999884516</v>
      </c>
      <c r="D4349">
        <v>100</v>
      </c>
      <c r="E4349" s="80">
        <v>35481</v>
      </c>
    </row>
    <row r="4350" spans="1:5">
      <c r="A4350">
        <v>10452</v>
      </c>
      <c r="B4350" t="s">
        <v>176</v>
      </c>
      <c r="C4350">
        <v>1472.49999884516</v>
      </c>
      <c r="D4350">
        <v>100</v>
      </c>
      <c r="E4350" s="80">
        <v>35481</v>
      </c>
    </row>
    <row r="4351" spans="1:5">
      <c r="A4351">
        <v>10452</v>
      </c>
      <c r="B4351" t="s">
        <v>177</v>
      </c>
      <c r="C4351">
        <v>1472.49999884516</v>
      </c>
      <c r="D4351">
        <v>100</v>
      </c>
      <c r="E4351" s="80">
        <v>35481</v>
      </c>
    </row>
    <row r="4352" spans="1:5">
      <c r="A4352">
        <v>10452</v>
      </c>
      <c r="B4352" t="s">
        <v>178</v>
      </c>
      <c r="C4352">
        <v>1472.49999884516</v>
      </c>
      <c r="D4352">
        <v>100</v>
      </c>
      <c r="E4352" s="80">
        <v>35481</v>
      </c>
    </row>
    <row r="4353" spans="1:5">
      <c r="A4353">
        <v>10452</v>
      </c>
      <c r="B4353" t="s">
        <v>179</v>
      </c>
      <c r="C4353">
        <v>1472.49999884516</v>
      </c>
      <c r="D4353">
        <v>100</v>
      </c>
      <c r="E4353" s="80">
        <v>35481</v>
      </c>
    </row>
    <row r="4354" spans="1:5">
      <c r="A4354">
        <v>10453</v>
      </c>
      <c r="B4354" t="s">
        <v>172</v>
      </c>
      <c r="C4354">
        <v>137.69999977201223</v>
      </c>
      <c r="D4354">
        <v>15</v>
      </c>
      <c r="E4354" s="80">
        <v>35482</v>
      </c>
    </row>
    <row r="4355" spans="1:5">
      <c r="A4355">
        <v>10453</v>
      </c>
      <c r="B4355" t="s">
        <v>173</v>
      </c>
      <c r="C4355">
        <v>137.69999977201223</v>
      </c>
      <c r="D4355">
        <v>15</v>
      </c>
      <c r="E4355" s="80">
        <v>35482</v>
      </c>
    </row>
    <row r="4356" spans="1:5">
      <c r="A4356">
        <v>10453</v>
      </c>
      <c r="B4356" t="s">
        <v>174</v>
      </c>
      <c r="C4356">
        <v>137.69999977201223</v>
      </c>
      <c r="D4356">
        <v>15</v>
      </c>
      <c r="E4356" s="80">
        <v>35482</v>
      </c>
    </row>
    <row r="4357" spans="1:5">
      <c r="A4357">
        <v>10453</v>
      </c>
      <c r="B4357" t="s">
        <v>175</v>
      </c>
      <c r="C4357">
        <v>137.69999977201223</v>
      </c>
      <c r="D4357">
        <v>15</v>
      </c>
      <c r="E4357" s="80">
        <v>35482</v>
      </c>
    </row>
    <row r="4358" spans="1:5">
      <c r="A4358">
        <v>10453</v>
      </c>
      <c r="B4358" t="s">
        <v>176</v>
      </c>
      <c r="C4358">
        <v>137.69999977201223</v>
      </c>
      <c r="D4358">
        <v>15</v>
      </c>
      <c r="E4358" s="80">
        <v>35482</v>
      </c>
    </row>
    <row r="4359" spans="1:5">
      <c r="A4359">
        <v>10453</v>
      </c>
      <c r="B4359" t="s">
        <v>177</v>
      </c>
      <c r="C4359">
        <v>137.69999977201223</v>
      </c>
      <c r="D4359">
        <v>15</v>
      </c>
      <c r="E4359" s="80">
        <v>35482</v>
      </c>
    </row>
    <row r="4360" spans="1:5">
      <c r="A4360">
        <v>10453</v>
      </c>
      <c r="B4360" t="s">
        <v>178</v>
      </c>
      <c r="C4360">
        <v>137.69999977201223</v>
      </c>
      <c r="D4360">
        <v>15</v>
      </c>
      <c r="E4360" s="80">
        <v>35482</v>
      </c>
    </row>
    <row r="4361" spans="1:5">
      <c r="A4361">
        <v>10453</v>
      </c>
      <c r="B4361" t="s">
        <v>179</v>
      </c>
      <c r="C4361">
        <v>137.69999977201223</v>
      </c>
      <c r="D4361">
        <v>15</v>
      </c>
      <c r="E4361" s="80">
        <v>35482</v>
      </c>
    </row>
    <row r="4362" spans="1:5">
      <c r="A4362">
        <v>10453</v>
      </c>
      <c r="B4362" t="s">
        <v>172</v>
      </c>
      <c r="C4362">
        <v>269.99999955296516</v>
      </c>
      <c r="D4362">
        <v>25</v>
      </c>
      <c r="E4362" s="80">
        <v>35482</v>
      </c>
    </row>
    <row r="4363" spans="1:5">
      <c r="A4363">
        <v>10453</v>
      </c>
      <c r="B4363" t="s">
        <v>173</v>
      </c>
      <c r="C4363">
        <v>269.99999955296516</v>
      </c>
      <c r="D4363">
        <v>25</v>
      </c>
      <c r="E4363" s="80">
        <v>35482</v>
      </c>
    </row>
    <row r="4364" spans="1:5">
      <c r="A4364">
        <v>10453</v>
      </c>
      <c r="B4364" t="s">
        <v>174</v>
      </c>
      <c r="C4364">
        <v>269.99999955296516</v>
      </c>
      <c r="D4364">
        <v>25</v>
      </c>
      <c r="E4364" s="80">
        <v>35482</v>
      </c>
    </row>
    <row r="4365" spans="1:5">
      <c r="A4365">
        <v>10453</v>
      </c>
      <c r="B4365" t="s">
        <v>175</v>
      </c>
      <c r="C4365">
        <v>269.99999955296516</v>
      </c>
      <c r="D4365">
        <v>25</v>
      </c>
      <c r="E4365" s="80">
        <v>35482</v>
      </c>
    </row>
    <row r="4366" spans="1:5">
      <c r="A4366">
        <v>10453</v>
      </c>
      <c r="B4366" t="s">
        <v>176</v>
      </c>
      <c r="C4366">
        <v>269.99999955296516</v>
      </c>
      <c r="D4366">
        <v>25</v>
      </c>
      <c r="E4366" s="80">
        <v>35482</v>
      </c>
    </row>
    <row r="4367" spans="1:5">
      <c r="A4367">
        <v>10453</v>
      </c>
      <c r="B4367" t="s">
        <v>177</v>
      </c>
      <c r="C4367">
        <v>269.99999955296516</v>
      </c>
      <c r="D4367">
        <v>25</v>
      </c>
      <c r="E4367" s="80">
        <v>35482</v>
      </c>
    </row>
    <row r="4368" spans="1:5">
      <c r="A4368">
        <v>10453</v>
      </c>
      <c r="B4368" t="s">
        <v>178</v>
      </c>
      <c r="C4368">
        <v>269.99999955296516</v>
      </c>
      <c r="D4368">
        <v>25</v>
      </c>
      <c r="E4368" s="80">
        <v>35482</v>
      </c>
    </row>
    <row r="4369" spans="1:5">
      <c r="A4369">
        <v>10453</v>
      </c>
      <c r="B4369" t="s">
        <v>179</v>
      </c>
      <c r="C4369">
        <v>269.99999955296516</v>
      </c>
      <c r="D4369">
        <v>25</v>
      </c>
      <c r="E4369" s="80">
        <v>35482</v>
      </c>
    </row>
    <row r="4370" spans="1:5">
      <c r="A4370">
        <v>10454</v>
      </c>
      <c r="B4370" t="s">
        <v>172</v>
      </c>
      <c r="C4370">
        <v>222.39999917149544</v>
      </c>
      <c r="D4370">
        <v>20</v>
      </c>
      <c r="E4370" s="80">
        <v>35482</v>
      </c>
    </row>
    <row r="4371" spans="1:5">
      <c r="A4371">
        <v>10454</v>
      </c>
      <c r="B4371" t="s">
        <v>173</v>
      </c>
      <c r="C4371">
        <v>222.39999917149544</v>
      </c>
      <c r="D4371">
        <v>20</v>
      </c>
      <c r="E4371" s="80">
        <v>35482</v>
      </c>
    </row>
    <row r="4372" spans="1:5">
      <c r="A4372">
        <v>10454</v>
      </c>
      <c r="B4372" t="s">
        <v>174</v>
      </c>
      <c r="C4372">
        <v>222.39999917149544</v>
      </c>
      <c r="D4372">
        <v>20</v>
      </c>
      <c r="E4372" s="80">
        <v>35482</v>
      </c>
    </row>
    <row r="4373" spans="1:5">
      <c r="A4373">
        <v>10454</v>
      </c>
      <c r="B4373" t="s">
        <v>175</v>
      </c>
      <c r="C4373">
        <v>222.39999917149544</v>
      </c>
      <c r="D4373">
        <v>20</v>
      </c>
      <c r="E4373" s="80">
        <v>35482</v>
      </c>
    </row>
    <row r="4374" spans="1:5">
      <c r="A4374">
        <v>10454</v>
      </c>
      <c r="B4374" t="s">
        <v>176</v>
      </c>
      <c r="C4374">
        <v>222.39999917149544</v>
      </c>
      <c r="D4374">
        <v>20</v>
      </c>
      <c r="E4374" s="80">
        <v>35482</v>
      </c>
    </row>
    <row r="4375" spans="1:5">
      <c r="A4375">
        <v>10454</v>
      </c>
      <c r="B4375" t="s">
        <v>177</v>
      </c>
      <c r="C4375">
        <v>222.39999917149544</v>
      </c>
      <c r="D4375">
        <v>20</v>
      </c>
      <c r="E4375" s="80">
        <v>35482</v>
      </c>
    </row>
    <row r="4376" spans="1:5">
      <c r="A4376">
        <v>10454</v>
      </c>
      <c r="B4376" t="s">
        <v>178</v>
      </c>
      <c r="C4376">
        <v>222.39999917149544</v>
      </c>
      <c r="D4376">
        <v>20</v>
      </c>
      <c r="E4376" s="80">
        <v>35482</v>
      </c>
    </row>
    <row r="4377" spans="1:5">
      <c r="A4377">
        <v>10454</v>
      </c>
      <c r="B4377" t="s">
        <v>179</v>
      </c>
      <c r="C4377">
        <v>222.39999917149544</v>
      </c>
      <c r="D4377">
        <v>20</v>
      </c>
      <c r="E4377" s="80">
        <v>35482</v>
      </c>
    </row>
    <row r="4378" spans="1:5">
      <c r="A4378">
        <v>10454</v>
      </c>
      <c r="B4378" t="s">
        <v>172</v>
      </c>
      <c r="C4378">
        <v>31.99999988079071</v>
      </c>
      <c r="D4378">
        <v>20</v>
      </c>
      <c r="E4378" s="80">
        <v>35482</v>
      </c>
    </row>
    <row r="4379" spans="1:5">
      <c r="A4379">
        <v>10454</v>
      </c>
      <c r="B4379" t="s">
        <v>173</v>
      </c>
      <c r="C4379">
        <v>31.99999988079071</v>
      </c>
      <c r="D4379">
        <v>20</v>
      </c>
      <c r="E4379" s="80">
        <v>35482</v>
      </c>
    </row>
    <row r="4380" spans="1:5">
      <c r="A4380">
        <v>10454</v>
      </c>
      <c r="B4380" t="s">
        <v>174</v>
      </c>
      <c r="C4380">
        <v>31.99999988079071</v>
      </c>
      <c r="D4380">
        <v>20</v>
      </c>
      <c r="E4380" s="80">
        <v>35482</v>
      </c>
    </row>
    <row r="4381" spans="1:5">
      <c r="A4381">
        <v>10454</v>
      </c>
      <c r="B4381" t="s">
        <v>175</v>
      </c>
      <c r="C4381">
        <v>31.99999988079071</v>
      </c>
      <c r="D4381">
        <v>20</v>
      </c>
      <c r="E4381" s="80">
        <v>35482</v>
      </c>
    </row>
    <row r="4382" spans="1:5">
      <c r="A4382">
        <v>10454</v>
      </c>
      <c r="B4382" t="s">
        <v>176</v>
      </c>
      <c r="C4382">
        <v>31.99999988079071</v>
      </c>
      <c r="D4382">
        <v>20</v>
      </c>
      <c r="E4382" s="80">
        <v>35482</v>
      </c>
    </row>
    <row r="4383" spans="1:5">
      <c r="A4383">
        <v>10454</v>
      </c>
      <c r="B4383" t="s">
        <v>177</v>
      </c>
      <c r="C4383">
        <v>31.99999988079071</v>
      </c>
      <c r="D4383">
        <v>20</v>
      </c>
      <c r="E4383" s="80">
        <v>35482</v>
      </c>
    </row>
    <row r="4384" spans="1:5">
      <c r="A4384">
        <v>10454</v>
      </c>
      <c r="B4384" t="s">
        <v>178</v>
      </c>
      <c r="C4384">
        <v>31.99999988079071</v>
      </c>
      <c r="D4384">
        <v>20</v>
      </c>
      <c r="E4384" s="80">
        <v>35482</v>
      </c>
    </row>
    <row r="4385" spans="1:5">
      <c r="A4385">
        <v>10454</v>
      </c>
      <c r="B4385" t="s">
        <v>179</v>
      </c>
      <c r="C4385">
        <v>31.99999988079071</v>
      </c>
      <c r="D4385">
        <v>20</v>
      </c>
      <c r="E4385" s="80">
        <v>35482</v>
      </c>
    </row>
    <row r="4386" spans="1:5">
      <c r="A4386">
        <v>10454</v>
      </c>
      <c r="B4386" t="s">
        <v>172</v>
      </c>
      <c r="C4386">
        <v>76.799999713897705</v>
      </c>
      <c r="D4386">
        <v>10</v>
      </c>
      <c r="E4386" s="80">
        <v>35482</v>
      </c>
    </row>
    <row r="4387" spans="1:5">
      <c r="A4387">
        <v>10454</v>
      </c>
      <c r="B4387" t="s">
        <v>173</v>
      </c>
      <c r="C4387">
        <v>76.799999713897705</v>
      </c>
      <c r="D4387">
        <v>10</v>
      </c>
      <c r="E4387" s="80">
        <v>35482</v>
      </c>
    </row>
    <row r="4388" spans="1:5">
      <c r="A4388">
        <v>10454</v>
      </c>
      <c r="B4388" t="s">
        <v>174</v>
      </c>
      <c r="C4388">
        <v>76.799999713897705</v>
      </c>
      <c r="D4388">
        <v>10</v>
      </c>
      <c r="E4388" s="80">
        <v>35482</v>
      </c>
    </row>
    <row r="4389" spans="1:5">
      <c r="A4389">
        <v>10454</v>
      </c>
      <c r="B4389" t="s">
        <v>175</v>
      </c>
      <c r="C4389">
        <v>76.799999713897705</v>
      </c>
      <c r="D4389">
        <v>10</v>
      </c>
      <c r="E4389" s="80">
        <v>35482</v>
      </c>
    </row>
    <row r="4390" spans="1:5">
      <c r="A4390">
        <v>10454</v>
      </c>
      <c r="B4390" t="s">
        <v>176</v>
      </c>
      <c r="C4390">
        <v>76.799999713897705</v>
      </c>
      <c r="D4390">
        <v>10</v>
      </c>
      <c r="E4390" s="80">
        <v>35482</v>
      </c>
    </row>
    <row r="4391" spans="1:5">
      <c r="A4391">
        <v>10454</v>
      </c>
      <c r="B4391" t="s">
        <v>177</v>
      </c>
      <c r="C4391">
        <v>76.799999713897705</v>
      </c>
      <c r="D4391">
        <v>10</v>
      </c>
      <c r="E4391" s="80">
        <v>35482</v>
      </c>
    </row>
    <row r="4392" spans="1:5">
      <c r="A4392">
        <v>10454</v>
      </c>
      <c r="B4392" t="s">
        <v>178</v>
      </c>
      <c r="C4392">
        <v>76.799999713897705</v>
      </c>
      <c r="D4392">
        <v>10</v>
      </c>
      <c r="E4392" s="80">
        <v>35482</v>
      </c>
    </row>
    <row r="4393" spans="1:5">
      <c r="A4393">
        <v>10454</v>
      </c>
      <c r="B4393" t="s">
        <v>179</v>
      </c>
      <c r="C4393">
        <v>76.799999713897705</v>
      </c>
      <c r="D4393">
        <v>10</v>
      </c>
      <c r="E4393" s="80">
        <v>35482</v>
      </c>
    </row>
    <row r="4394" spans="1:5">
      <c r="A4394">
        <v>10455</v>
      </c>
      <c r="B4394" t="s">
        <v>172</v>
      </c>
      <c r="C4394">
        <v>288</v>
      </c>
      <c r="D4394">
        <v>20</v>
      </c>
      <c r="E4394" s="80">
        <v>35485</v>
      </c>
    </row>
    <row r="4395" spans="1:5">
      <c r="A4395">
        <v>10455</v>
      </c>
      <c r="B4395" t="s">
        <v>173</v>
      </c>
      <c r="C4395">
        <v>288</v>
      </c>
      <c r="D4395">
        <v>20</v>
      </c>
      <c r="E4395" s="80">
        <v>35485</v>
      </c>
    </row>
    <row r="4396" spans="1:5">
      <c r="A4396">
        <v>10455</v>
      </c>
      <c r="B4396" t="s">
        <v>174</v>
      </c>
      <c r="C4396">
        <v>288</v>
      </c>
      <c r="D4396">
        <v>20</v>
      </c>
      <c r="E4396" s="80">
        <v>35485</v>
      </c>
    </row>
    <row r="4397" spans="1:5">
      <c r="A4397">
        <v>10455</v>
      </c>
      <c r="B4397" t="s">
        <v>175</v>
      </c>
      <c r="C4397">
        <v>288</v>
      </c>
      <c r="D4397">
        <v>20</v>
      </c>
      <c r="E4397" s="80">
        <v>35485</v>
      </c>
    </row>
    <row r="4398" spans="1:5">
      <c r="A4398">
        <v>10455</v>
      </c>
      <c r="B4398" t="s">
        <v>176</v>
      </c>
      <c r="C4398">
        <v>288</v>
      </c>
      <c r="D4398">
        <v>20</v>
      </c>
      <c r="E4398" s="80">
        <v>35485</v>
      </c>
    </row>
    <row r="4399" spans="1:5">
      <c r="A4399">
        <v>10455</v>
      </c>
      <c r="B4399" t="s">
        <v>177</v>
      </c>
      <c r="C4399">
        <v>288</v>
      </c>
      <c r="D4399">
        <v>20</v>
      </c>
      <c r="E4399" s="80">
        <v>35485</v>
      </c>
    </row>
    <row r="4400" spans="1:5">
      <c r="A4400">
        <v>10455</v>
      </c>
      <c r="B4400" t="s">
        <v>178</v>
      </c>
      <c r="C4400">
        <v>288</v>
      </c>
      <c r="D4400">
        <v>20</v>
      </c>
      <c r="E4400" s="80">
        <v>35485</v>
      </c>
    </row>
    <row r="4401" spans="1:5">
      <c r="A4401">
        <v>10455</v>
      </c>
      <c r="B4401" t="s">
        <v>179</v>
      </c>
      <c r="C4401">
        <v>288</v>
      </c>
      <c r="D4401">
        <v>20</v>
      </c>
      <c r="E4401" s="80">
        <v>35485</v>
      </c>
    </row>
    <row r="4402" spans="1:5">
      <c r="A4402">
        <v>10455</v>
      </c>
      <c r="B4402" t="s">
        <v>172</v>
      </c>
      <c r="C4402">
        <v>1310</v>
      </c>
      <c r="D4402">
        <v>50</v>
      </c>
      <c r="E4402" s="80">
        <v>35485</v>
      </c>
    </row>
    <row r="4403" spans="1:5">
      <c r="A4403">
        <v>10455</v>
      </c>
      <c r="B4403" t="s">
        <v>173</v>
      </c>
      <c r="C4403">
        <v>1310</v>
      </c>
      <c r="D4403">
        <v>50</v>
      </c>
      <c r="E4403" s="80">
        <v>35485</v>
      </c>
    </row>
    <row r="4404" spans="1:5">
      <c r="A4404">
        <v>10455</v>
      </c>
      <c r="B4404" t="s">
        <v>174</v>
      </c>
      <c r="C4404">
        <v>1310</v>
      </c>
      <c r="D4404">
        <v>50</v>
      </c>
      <c r="E4404" s="80">
        <v>35485</v>
      </c>
    </row>
    <row r="4405" spans="1:5">
      <c r="A4405">
        <v>10455</v>
      </c>
      <c r="B4405" t="s">
        <v>175</v>
      </c>
      <c r="C4405">
        <v>1310</v>
      </c>
      <c r="D4405">
        <v>50</v>
      </c>
      <c r="E4405" s="80">
        <v>35485</v>
      </c>
    </row>
    <row r="4406" spans="1:5">
      <c r="A4406">
        <v>10455</v>
      </c>
      <c r="B4406" t="s">
        <v>176</v>
      </c>
      <c r="C4406">
        <v>1310</v>
      </c>
      <c r="D4406">
        <v>50</v>
      </c>
      <c r="E4406" s="80">
        <v>35485</v>
      </c>
    </row>
    <row r="4407" spans="1:5">
      <c r="A4407">
        <v>10455</v>
      </c>
      <c r="B4407" t="s">
        <v>177</v>
      </c>
      <c r="C4407">
        <v>1310</v>
      </c>
      <c r="D4407">
        <v>50</v>
      </c>
      <c r="E4407" s="80">
        <v>35485</v>
      </c>
    </row>
    <row r="4408" spans="1:5">
      <c r="A4408">
        <v>10455</v>
      </c>
      <c r="B4408" t="s">
        <v>178</v>
      </c>
      <c r="C4408">
        <v>1310</v>
      </c>
      <c r="D4408">
        <v>50</v>
      </c>
      <c r="E4408" s="80">
        <v>35485</v>
      </c>
    </row>
    <row r="4409" spans="1:5">
      <c r="A4409">
        <v>10455</v>
      </c>
      <c r="B4409" t="s">
        <v>179</v>
      </c>
      <c r="C4409">
        <v>1310</v>
      </c>
      <c r="D4409">
        <v>50</v>
      </c>
      <c r="E4409" s="80">
        <v>35485</v>
      </c>
    </row>
    <row r="4410" spans="1:5">
      <c r="A4410">
        <v>10455</v>
      </c>
      <c r="B4410" t="s">
        <v>172</v>
      </c>
      <c r="C4410">
        <v>570</v>
      </c>
      <c r="D4410">
        <v>25</v>
      </c>
      <c r="E4410" s="80">
        <v>35485</v>
      </c>
    </row>
    <row r="4411" spans="1:5">
      <c r="A4411">
        <v>10455</v>
      </c>
      <c r="B4411" t="s">
        <v>173</v>
      </c>
      <c r="C4411">
        <v>570</v>
      </c>
      <c r="D4411">
        <v>25</v>
      </c>
      <c r="E4411" s="80">
        <v>35485</v>
      </c>
    </row>
    <row r="4412" spans="1:5">
      <c r="A4412">
        <v>10455</v>
      </c>
      <c r="B4412" t="s">
        <v>174</v>
      </c>
      <c r="C4412">
        <v>570</v>
      </c>
      <c r="D4412">
        <v>25</v>
      </c>
      <c r="E4412" s="80">
        <v>35485</v>
      </c>
    </row>
    <row r="4413" spans="1:5">
      <c r="A4413">
        <v>10455</v>
      </c>
      <c r="B4413" t="s">
        <v>175</v>
      </c>
      <c r="C4413">
        <v>570</v>
      </c>
      <c r="D4413">
        <v>25</v>
      </c>
      <c r="E4413" s="80">
        <v>35485</v>
      </c>
    </row>
    <row r="4414" spans="1:5">
      <c r="A4414">
        <v>10455</v>
      </c>
      <c r="B4414" t="s">
        <v>176</v>
      </c>
      <c r="C4414">
        <v>570</v>
      </c>
      <c r="D4414">
        <v>25</v>
      </c>
      <c r="E4414" s="80">
        <v>35485</v>
      </c>
    </row>
    <row r="4415" spans="1:5">
      <c r="A4415">
        <v>10455</v>
      </c>
      <c r="B4415" t="s">
        <v>177</v>
      </c>
      <c r="C4415">
        <v>570</v>
      </c>
      <c r="D4415">
        <v>25</v>
      </c>
      <c r="E4415" s="80">
        <v>35485</v>
      </c>
    </row>
    <row r="4416" spans="1:5">
      <c r="A4416">
        <v>10455</v>
      </c>
      <c r="B4416" t="s">
        <v>178</v>
      </c>
      <c r="C4416">
        <v>570</v>
      </c>
      <c r="D4416">
        <v>25</v>
      </c>
      <c r="E4416" s="80">
        <v>35485</v>
      </c>
    </row>
    <row r="4417" spans="1:5">
      <c r="A4417">
        <v>10455</v>
      </c>
      <c r="B4417" t="s">
        <v>179</v>
      </c>
      <c r="C4417">
        <v>570</v>
      </c>
      <c r="D4417">
        <v>25</v>
      </c>
      <c r="E4417" s="80">
        <v>35485</v>
      </c>
    </row>
    <row r="4418" spans="1:5">
      <c r="A4418">
        <v>10455</v>
      </c>
      <c r="B4418" t="s">
        <v>172</v>
      </c>
      <c r="C4418">
        <v>516</v>
      </c>
      <c r="D4418">
        <v>30</v>
      </c>
      <c r="E4418" s="80">
        <v>35485</v>
      </c>
    </row>
    <row r="4419" spans="1:5">
      <c r="A4419">
        <v>10455</v>
      </c>
      <c r="B4419" t="s">
        <v>173</v>
      </c>
      <c r="C4419">
        <v>516</v>
      </c>
      <c r="D4419">
        <v>30</v>
      </c>
      <c r="E4419" s="80">
        <v>35485</v>
      </c>
    </row>
    <row r="4420" spans="1:5">
      <c r="A4420">
        <v>10455</v>
      </c>
      <c r="B4420" t="s">
        <v>174</v>
      </c>
      <c r="C4420">
        <v>516</v>
      </c>
      <c r="D4420">
        <v>30</v>
      </c>
      <c r="E4420" s="80">
        <v>35485</v>
      </c>
    </row>
    <row r="4421" spans="1:5">
      <c r="A4421">
        <v>10455</v>
      </c>
      <c r="B4421" t="s">
        <v>175</v>
      </c>
      <c r="C4421">
        <v>516</v>
      </c>
      <c r="D4421">
        <v>30</v>
      </c>
      <c r="E4421" s="80">
        <v>35485</v>
      </c>
    </row>
    <row r="4422" spans="1:5">
      <c r="A4422">
        <v>10455</v>
      </c>
      <c r="B4422" t="s">
        <v>176</v>
      </c>
      <c r="C4422">
        <v>516</v>
      </c>
      <c r="D4422">
        <v>30</v>
      </c>
      <c r="E4422" s="80">
        <v>35485</v>
      </c>
    </row>
    <row r="4423" spans="1:5">
      <c r="A4423">
        <v>10455</v>
      </c>
      <c r="B4423" t="s">
        <v>177</v>
      </c>
      <c r="C4423">
        <v>516</v>
      </c>
      <c r="D4423">
        <v>30</v>
      </c>
      <c r="E4423" s="80">
        <v>35485</v>
      </c>
    </row>
    <row r="4424" spans="1:5">
      <c r="A4424">
        <v>10455</v>
      </c>
      <c r="B4424" t="s">
        <v>178</v>
      </c>
      <c r="C4424">
        <v>516</v>
      </c>
      <c r="D4424">
        <v>30</v>
      </c>
      <c r="E4424" s="80">
        <v>35485</v>
      </c>
    </row>
    <row r="4425" spans="1:5">
      <c r="A4425">
        <v>10455</v>
      </c>
      <c r="B4425" t="s">
        <v>179</v>
      </c>
      <c r="C4425">
        <v>516</v>
      </c>
      <c r="D4425">
        <v>30</v>
      </c>
      <c r="E4425" s="80">
        <v>35485</v>
      </c>
    </row>
    <row r="4426" spans="1:5">
      <c r="A4426">
        <v>10456</v>
      </c>
      <c r="B4426" t="s">
        <v>172</v>
      </c>
      <c r="C4426">
        <v>271.99999809265137</v>
      </c>
      <c r="D4426">
        <v>40</v>
      </c>
      <c r="E4426" s="80">
        <v>35486</v>
      </c>
    </row>
    <row r="4427" spans="1:5">
      <c r="A4427">
        <v>10456</v>
      </c>
      <c r="B4427" t="s">
        <v>173</v>
      </c>
      <c r="C4427">
        <v>271.99999809265137</v>
      </c>
      <c r="D4427">
        <v>40</v>
      </c>
      <c r="E4427" s="80">
        <v>35486</v>
      </c>
    </row>
    <row r="4428" spans="1:5">
      <c r="A4428">
        <v>10456</v>
      </c>
      <c r="B4428" t="s">
        <v>174</v>
      </c>
      <c r="C4428">
        <v>271.99999809265137</v>
      </c>
      <c r="D4428">
        <v>40</v>
      </c>
      <c r="E4428" s="80">
        <v>35486</v>
      </c>
    </row>
    <row r="4429" spans="1:5">
      <c r="A4429">
        <v>10456</v>
      </c>
      <c r="B4429" t="s">
        <v>175</v>
      </c>
      <c r="C4429">
        <v>271.99999809265137</v>
      </c>
      <c r="D4429">
        <v>40</v>
      </c>
      <c r="E4429" s="80">
        <v>35486</v>
      </c>
    </row>
    <row r="4430" spans="1:5">
      <c r="A4430">
        <v>10456</v>
      </c>
      <c r="B4430" t="s">
        <v>176</v>
      </c>
      <c r="C4430">
        <v>271.99999809265137</v>
      </c>
      <c r="D4430">
        <v>40</v>
      </c>
      <c r="E4430" s="80">
        <v>35486</v>
      </c>
    </row>
    <row r="4431" spans="1:5">
      <c r="A4431">
        <v>10456</v>
      </c>
      <c r="B4431" t="s">
        <v>177</v>
      </c>
      <c r="C4431">
        <v>271.99999809265137</v>
      </c>
      <c r="D4431">
        <v>40</v>
      </c>
      <c r="E4431" s="80">
        <v>35486</v>
      </c>
    </row>
    <row r="4432" spans="1:5">
      <c r="A4432">
        <v>10456</v>
      </c>
      <c r="B4432" t="s">
        <v>178</v>
      </c>
      <c r="C4432">
        <v>271.99999809265137</v>
      </c>
      <c r="D4432">
        <v>40</v>
      </c>
      <c r="E4432" s="80">
        <v>35486</v>
      </c>
    </row>
    <row r="4433" spans="1:5">
      <c r="A4433">
        <v>10456</v>
      </c>
      <c r="B4433" t="s">
        <v>179</v>
      </c>
      <c r="C4433">
        <v>271.99999809265137</v>
      </c>
      <c r="D4433">
        <v>40</v>
      </c>
      <c r="E4433" s="80">
        <v>35486</v>
      </c>
    </row>
    <row r="4434" spans="1:5">
      <c r="A4434">
        <v>10456</v>
      </c>
      <c r="B4434" t="s">
        <v>172</v>
      </c>
      <c r="C4434">
        <v>285.59999799728394</v>
      </c>
      <c r="D4434">
        <v>21</v>
      </c>
      <c r="E4434" s="80">
        <v>35486</v>
      </c>
    </row>
    <row r="4435" spans="1:5">
      <c r="A4435">
        <v>10456</v>
      </c>
      <c r="B4435" t="s">
        <v>173</v>
      </c>
      <c r="C4435">
        <v>285.59999799728394</v>
      </c>
      <c r="D4435">
        <v>21</v>
      </c>
      <c r="E4435" s="80">
        <v>35486</v>
      </c>
    </row>
    <row r="4436" spans="1:5">
      <c r="A4436">
        <v>10456</v>
      </c>
      <c r="B4436" t="s">
        <v>174</v>
      </c>
      <c r="C4436">
        <v>285.59999799728394</v>
      </c>
      <c r="D4436">
        <v>21</v>
      </c>
      <c r="E4436" s="80">
        <v>35486</v>
      </c>
    </row>
    <row r="4437" spans="1:5">
      <c r="A4437">
        <v>10456</v>
      </c>
      <c r="B4437" t="s">
        <v>175</v>
      </c>
      <c r="C4437">
        <v>285.59999799728394</v>
      </c>
      <c r="D4437">
        <v>21</v>
      </c>
      <c r="E4437" s="80">
        <v>35486</v>
      </c>
    </row>
    <row r="4438" spans="1:5">
      <c r="A4438">
        <v>10456</v>
      </c>
      <c r="B4438" t="s">
        <v>176</v>
      </c>
      <c r="C4438">
        <v>285.59999799728394</v>
      </c>
      <c r="D4438">
        <v>21</v>
      </c>
      <c r="E4438" s="80">
        <v>35486</v>
      </c>
    </row>
    <row r="4439" spans="1:5">
      <c r="A4439">
        <v>10456</v>
      </c>
      <c r="B4439" t="s">
        <v>177</v>
      </c>
      <c r="C4439">
        <v>285.59999799728394</v>
      </c>
      <c r="D4439">
        <v>21</v>
      </c>
      <c r="E4439" s="80">
        <v>35486</v>
      </c>
    </row>
    <row r="4440" spans="1:5">
      <c r="A4440">
        <v>10456</v>
      </c>
      <c r="B4440" t="s">
        <v>178</v>
      </c>
      <c r="C4440">
        <v>285.59999799728394</v>
      </c>
      <c r="D4440">
        <v>21</v>
      </c>
      <c r="E4440" s="80">
        <v>35486</v>
      </c>
    </row>
    <row r="4441" spans="1:5">
      <c r="A4441">
        <v>10456</v>
      </c>
      <c r="B4441" t="s">
        <v>179</v>
      </c>
      <c r="C4441">
        <v>285.59999799728394</v>
      </c>
      <c r="D4441">
        <v>21</v>
      </c>
      <c r="E4441" s="80">
        <v>35486</v>
      </c>
    </row>
    <row r="4442" spans="1:5">
      <c r="A4442">
        <v>10457</v>
      </c>
      <c r="B4442" t="s">
        <v>172</v>
      </c>
      <c r="C4442">
        <v>1584</v>
      </c>
      <c r="D4442">
        <v>36</v>
      </c>
      <c r="E4442" s="80">
        <v>35486</v>
      </c>
    </row>
    <row r="4443" spans="1:5">
      <c r="A4443">
        <v>10457</v>
      </c>
      <c r="B4443" t="s">
        <v>173</v>
      </c>
      <c r="C4443">
        <v>1584</v>
      </c>
      <c r="D4443">
        <v>36</v>
      </c>
      <c r="E4443" s="80">
        <v>35486</v>
      </c>
    </row>
    <row r="4444" spans="1:5">
      <c r="A4444">
        <v>10457</v>
      </c>
      <c r="B4444" t="s">
        <v>174</v>
      </c>
      <c r="C4444">
        <v>1584</v>
      </c>
      <c r="D4444">
        <v>36</v>
      </c>
      <c r="E4444" s="80">
        <v>35486</v>
      </c>
    </row>
    <row r="4445" spans="1:5">
      <c r="A4445">
        <v>10457</v>
      </c>
      <c r="B4445" t="s">
        <v>175</v>
      </c>
      <c r="C4445">
        <v>1584</v>
      </c>
      <c r="D4445">
        <v>36</v>
      </c>
      <c r="E4445" s="80">
        <v>35486</v>
      </c>
    </row>
    <row r="4446" spans="1:5">
      <c r="A4446">
        <v>10457</v>
      </c>
      <c r="B4446" t="s">
        <v>176</v>
      </c>
      <c r="C4446">
        <v>1584</v>
      </c>
      <c r="D4446">
        <v>36</v>
      </c>
      <c r="E4446" s="80">
        <v>35486</v>
      </c>
    </row>
    <row r="4447" spans="1:5">
      <c r="A4447">
        <v>10457</v>
      </c>
      <c r="B4447" t="s">
        <v>177</v>
      </c>
      <c r="C4447">
        <v>1584</v>
      </c>
      <c r="D4447">
        <v>36</v>
      </c>
      <c r="E4447" s="80">
        <v>35486</v>
      </c>
    </row>
    <row r="4448" spans="1:5">
      <c r="A4448">
        <v>10457</v>
      </c>
      <c r="B4448" t="s">
        <v>178</v>
      </c>
      <c r="C4448">
        <v>1584</v>
      </c>
      <c r="D4448">
        <v>36</v>
      </c>
      <c r="E4448" s="80">
        <v>35486</v>
      </c>
    </row>
    <row r="4449" spans="1:5">
      <c r="A4449">
        <v>10457</v>
      </c>
      <c r="B4449" t="s">
        <v>179</v>
      </c>
      <c r="C4449">
        <v>1584</v>
      </c>
      <c r="D4449">
        <v>36</v>
      </c>
      <c r="E4449" s="80">
        <v>35486</v>
      </c>
    </row>
    <row r="4450" spans="1:5">
      <c r="A4450">
        <v>10458</v>
      </c>
      <c r="B4450" t="s">
        <v>172</v>
      </c>
      <c r="C4450">
        <v>747</v>
      </c>
      <c r="D4450">
        <v>30</v>
      </c>
      <c r="E4450" s="80">
        <v>35487</v>
      </c>
    </row>
    <row r="4451" spans="1:5">
      <c r="A4451">
        <v>10458</v>
      </c>
      <c r="B4451" t="s">
        <v>173</v>
      </c>
      <c r="C4451">
        <v>747</v>
      </c>
      <c r="D4451">
        <v>30</v>
      </c>
      <c r="E4451" s="80">
        <v>35487</v>
      </c>
    </row>
    <row r="4452" spans="1:5">
      <c r="A4452">
        <v>10458</v>
      </c>
      <c r="B4452" t="s">
        <v>174</v>
      </c>
      <c r="C4452">
        <v>747</v>
      </c>
      <c r="D4452">
        <v>30</v>
      </c>
      <c r="E4452" s="80">
        <v>35487</v>
      </c>
    </row>
    <row r="4453" spans="1:5">
      <c r="A4453">
        <v>10458</v>
      </c>
      <c r="B4453" t="s">
        <v>175</v>
      </c>
      <c r="C4453">
        <v>747</v>
      </c>
      <c r="D4453">
        <v>30</v>
      </c>
      <c r="E4453" s="80">
        <v>35487</v>
      </c>
    </row>
    <row r="4454" spans="1:5">
      <c r="A4454">
        <v>10458</v>
      </c>
      <c r="B4454" t="s">
        <v>176</v>
      </c>
      <c r="C4454">
        <v>747</v>
      </c>
      <c r="D4454">
        <v>30</v>
      </c>
      <c r="E4454" s="80">
        <v>35487</v>
      </c>
    </row>
    <row r="4455" spans="1:5">
      <c r="A4455">
        <v>10458</v>
      </c>
      <c r="B4455" t="s">
        <v>177</v>
      </c>
      <c r="C4455">
        <v>747</v>
      </c>
      <c r="D4455">
        <v>30</v>
      </c>
      <c r="E4455" s="80">
        <v>35487</v>
      </c>
    </row>
    <row r="4456" spans="1:5">
      <c r="A4456">
        <v>10458</v>
      </c>
      <c r="B4456" t="s">
        <v>178</v>
      </c>
      <c r="C4456">
        <v>747</v>
      </c>
      <c r="D4456">
        <v>30</v>
      </c>
      <c r="E4456" s="80">
        <v>35487</v>
      </c>
    </row>
    <row r="4457" spans="1:5">
      <c r="A4457">
        <v>10458</v>
      </c>
      <c r="B4457" t="s">
        <v>179</v>
      </c>
      <c r="C4457">
        <v>747</v>
      </c>
      <c r="D4457">
        <v>30</v>
      </c>
      <c r="E4457" s="80">
        <v>35487</v>
      </c>
    </row>
    <row r="4458" spans="1:5">
      <c r="A4458">
        <v>10458</v>
      </c>
      <c r="B4458" t="s">
        <v>172</v>
      </c>
      <c r="C4458">
        <v>1092</v>
      </c>
      <c r="D4458">
        <v>30</v>
      </c>
      <c r="E4458" s="80">
        <v>35487</v>
      </c>
    </row>
    <row r="4459" spans="1:5">
      <c r="A4459">
        <v>10458</v>
      </c>
      <c r="B4459" t="s">
        <v>173</v>
      </c>
      <c r="C4459">
        <v>1092</v>
      </c>
      <c r="D4459">
        <v>30</v>
      </c>
      <c r="E4459" s="80">
        <v>35487</v>
      </c>
    </row>
    <row r="4460" spans="1:5">
      <c r="A4460">
        <v>10458</v>
      </c>
      <c r="B4460" t="s">
        <v>174</v>
      </c>
      <c r="C4460">
        <v>1092</v>
      </c>
      <c r="D4460">
        <v>30</v>
      </c>
      <c r="E4460" s="80">
        <v>35487</v>
      </c>
    </row>
    <row r="4461" spans="1:5">
      <c r="A4461">
        <v>10458</v>
      </c>
      <c r="B4461" t="s">
        <v>175</v>
      </c>
      <c r="C4461">
        <v>1092</v>
      </c>
      <c r="D4461">
        <v>30</v>
      </c>
      <c r="E4461" s="80">
        <v>35487</v>
      </c>
    </row>
    <row r="4462" spans="1:5">
      <c r="A4462">
        <v>10458</v>
      </c>
      <c r="B4462" t="s">
        <v>176</v>
      </c>
      <c r="C4462">
        <v>1092</v>
      </c>
      <c r="D4462">
        <v>30</v>
      </c>
      <c r="E4462" s="80">
        <v>35487</v>
      </c>
    </row>
    <row r="4463" spans="1:5">
      <c r="A4463">
        <v>10458</v>
      </c>
      <c r="B4463" t="s">
        <v>177</v>
      </c>
      <c r="C4463">
        <v>1092</v>
      </c>
      <c r="D4463">
        <v>30</v>
      </c>
      <c r="E4463" s="80">
        <v>35487</v>
      </c>
    </row>
    <row r="4464" spans="1:5">
      <c r="A4464">
        <v>10458</v>
      </c>
      <c r="B4464" t="s">
        <v>178</v>
      </c>
      <c r="C4464">
        <v>1092</v>
      </c>
      <c r="D4464">
        <v>30</v>
      </c>
      <c r="E4464" s="80">
        <v>35487</v>
      </c>
    </row>
    <row r="4465" spans="1:5">
      <c r="A4465">
        <v>10458</v>
      </c>
      <c r="B4465" t="s">
        <v>179</v>
      </c>
      <c r="C4465">
        <v>1092</v>
      </c>
      <c r="D4465">
        <v>30</v>
      </c>
      <c r="E4465" s="80">
        <v>35487</v>
      </c>
    </row>
    <row r="4466" spans="1:5">
      <c r="A4466">
        <v>10458</v>
      </c>
      <c r="B4466" t="s">
        <v>172</v>
      </c>
      <c r="C4466">
        <v>736</v>
      </c>
      <c r="D4466">
        <v>20</v>
      </c>
      <c r="E4466" s="80">
        <v>35487</v>
      </c>
    </row>
    <row r="4467" spans="1:5">
      <c r="A4467">
        <v>10458</v>
      </c>
      <c r="B4467" t="s">
        <v>173</v>
      </c>
      <c r="C4467">
        <v>736</v>
      </c>
      <c r="D4467">
        <v>20</v>
      </c>
      <c r="E4467" s="80">
        <v>35487</v>
      </c>
    </row>
    <row r="4468" spans="1:5">
      <c r="A4468">
        <v>10458</v>
      </c>
      <c r="B4468" t="s">
        <v>174</v>
      </c>
      <c r="C4468">
        <v>736</v>
      </c>
      <c r="D4468">
        <v>20</v>
      </c>
      <c r="E4468" s="80">
        <v>35487</v>
      </c>
    </row>
    <row r="4469" spans="1:5">
      <c r="A4469">
        <v>10458</v>
      </c>
      <c r="B4469" t="s">
        <v>175</v>
      </c>
      <c r="C4469">
        <v>736</v>
      </c>
      <c r="D4469">
        <v>20</v>
      </c>
      <c r="E4469" s="80">
        <v>35487</v>
      </c>
    </row>
    <row r="4470" spans="1:5">
      <c r="A4470">
        <v>10458</v>
      </c>
      <c r="B4470" t="s">
        <v>176</v>
      </c>
      <c r="C4470">
        <v>736</v>
      </c>
      <c r="D4470">
        <v>20</v>
      </c>
      <c r="E4470" s="80">
        <v>35487</v>
      </c>
    </row>
    <row r="4471" spans="1:5">
      <c r="A4471">
        <v>10458</v>
      </c>
      <c r="B4471" t="s">
        <v>177</v>
      </c>
      <c r="C4471">
        <v>736</v>
      </c>
      <c r="D4471">
        <v>20</v>
      </c>
      <c r="E4471" s="80">
        <v>35487</v>
      </c>
    </row>
    <row r="4472" spans="1:5">
      <c r="A4472">
        <v>10458</v>
      </c>
      <c r="B4472" t="s">
        <v>178</v>
      </c>
      <c r="C4472">
        <v>736</v>
      </c>
      <c r="D4472">
        <v>20</v>
      </c>
      <c r="E4472" s="80">
        <v>35487</v>
      </c>
    </row>
    <row r="4473" spans="1:5">
      <c r="A4473">
        <v>10458</v>
      </c>
      <c r="B4473" t="s">
        <v>179</v>
      </c>
      <c r="C4473">
        <v>736</v>
      </c>
      <c r="D4473">
        <v>20</v>
      </c>
      <c r="E4473" s="80">
        <v>35487</v>
      </c>
    </row>
    <row r="4474" spans="1:5">
      <c r="A4474">
        <v>10458</v>
      </c>
      <c r="B4474" t="s">
        <v>172</v>
      </c>
      <c r="C4474">
        <v>456</v>
      </c>
      <c r="D4474">
        <v>15</v>
      </c>
      <c r="E4474" s="80">
        <v>35487</v>
      </c>
    </row>
    <row r="4475" spans="1:5">
      <c r="A4475">
        <v>10458</v>
      </c>
      <c r="B4475" t="s">
        <v>173</v>
      </c>
      <c r="C4475">
        <v>456</v>
      </c>
      <c r="D4475">
        <v>15</v>
      </c>
      <c r="E4475" s="80">
        <v>35487</v>
      </c>
    </row>
    <row r="4476" spans="1:5">
      <c r="A4476">
        <v>10458</v>
      </c>
      <c r="B4476" t="s">
        <v>174</v>
      </c>
      <c r="C4476">
        <v>456</v>
      </c>
      <c r="D4476">
        <v>15</v>
      </c>
      <c r="E4476" s="80">
        <v>35487</v>
      </c>
    </row>
    <row r="4477" spans="1:5">
      <c r="A4477">
        <v>10458</v>
      </c>
      <c r="B4477" t="s">
        <v>175</v>
      </c>
      <c r="C4477">
        <v>456</v>
      </c>
      <c r="D4477">
        <v>15</v>
      </c>
      <c r="E4477" s="80">
        <v>35487</v>
      </c>
    </row>
    <row r="4478" spans="1:5">
      <c r="A4478">
        <v>10458</v>
      </c>
      <c r="B4478" t="s">
        <v>176</v>
      </c>
      <c r="C4478">
        <v>456</v>
      </c>
      <c r="D4478">
        <v>15</v>
      </c>
      <c r="E4478" s="80">
        <v>35487</v>
      </c>
    </row>
    <row r="4479" spans="1:5">
      <c r="A4479">
        <v>10458</v>
      </c>
      <c r="B4479" t="s">
        <v>177</v>
      </c>
      <c r="C4479">
        <v>456</v>
      </c>
      <c r="D4479">
        <v>15</v>
      </c>
      <c r="E4479" s="80">
        <v>35487</v>
      </c>
    </row>
    <row r="4480" spans="1:5">
      <c r="A4480">
        <v>10458</v>
      </c>
      <c r="B4480" t="s">
        <v>178</v>
      </c>
      <c r="C4480">
        <v>456</v>
      </c>
      <c r="D4480">
        <v>15</v>
      </c>
      <c r="E4480" s="80">
        <v>35487</v>
      </c>
    </row>
    <row r="4481" spans="1:5">
      <c r="A4481">
        <v>10458</v>
      </c>
      <c r="B4481" t="s">
        <v>179</v>
      </c>
      <c r="C4481">
        <v>456</v>
      </c>
      <c r="D4481">
        <v>15</v>
      </c>
      <c r="E4481" s="80">
        <v>35487</v>
      </c>
    </row>
    <row r="4482" spans="1:5">
      <c r="A4482">
        <v>10458</v>
      </c>
      <c r="B4482" t="s">
        <v>172</v>
      </c>
      <c r="C4482">
        <v>860</v>
      </c>
      <c r="D4482">
        <v>50</v>
      </c>
      <c r="E4482" s="80">
        <v>35487</v>
      </c>
    </row>
    <row r="4483" spans="1:5">
      <c r="A4483">
        <v>10458</v>
      </c>
      <c r="B4483" t="s">
        <v>173</v>
      </c>
      <c r="C4483">
        <v>860</v>
      </c>
      <c r="D4483">
        <v>50</v>
      </c>
      <c r="E4483" s="80">
        <v>35487</v>
      </c>
    </row>
    <row r="4484" spans="1:5">
      <c r="A4484">
        <v>10458</v>
      </c>
      <c r="B4484" t="s">
        <v>174</v>
      </c>
      <c r="C4484">
        <v>860</v>
      </c>
      <c r="D4484">
        <v>50</v>
      </c>
      <c r="E4484" s="80">
        <v>35487</v>
      </c>
    </row>
    <row r="4485" spans="1:5">
      <c r="A4485">
        <v>10458</v>
      </c>
      <c r="B4485" t="s">
        <v>175</v>
      </c>
      <c r="C4485">
        <v>860</v>
      </c>
      <c r="D4485">
        <v>50</v>
      </c>
      <c r="E4485" s="80">
        <v>35487</v>
      </c>
    </row>
    <row r="4486" spans="1:5">
      <c r="A4486">
        <v>10458</v>
      </c>
      <c r="B4486" t="s">
        <v>176</v>
      </c>
      <c r="C4486">
        <v>860</v>
      </c>
      <c r="D4486">
        <v>50</v>
      </c>
      <c r="E4486" s="80">
        <v>35487</v>
      </c>
    </row>
    <row r="4487" spans="1:5">
      <c r="A4487">
        <v>10458</v>
      </c>
      <c r="B4487" t="s">
        <v>177</v>
      </c>
      <c r="C4487">
        <v>860</v>
      </c>
      <c r="D4487">
        <v>50</v>
      </c>
      <c r="E4487" s="80">
        <v>35487</v>
      </c>
    </row>
    <row r="4488" spans="1:5">
      <c r="A4488">
        <v>10458</v>
      </c>
      <c r="B4488" t="s">
        <v>178</v>
      </c>
      <c r="C4488">
        <v>860</v>
      </c>
      <c r="D4488">
        <v>50</v>
      </c>
      <c r="E4488" s="80">
        <v>35487</v>
      </c>
    </row>
    <row r="4489" spans="1:5">
      <c r="A4489">
        <v>10458</v>
      </c>
      <c r="B4489" t="s">
        <v>179</v>
      </c>
      <c r="C4489">
        <v>860</v>
      </c>
      <c r="D4489">
        <v>50</v>
      </c>
      <c r="E4489" s="80">
        <v>35487</v>
      </c>
    </row>
    <row r="4490" spans="1:5">
      <c r="A4490">
        <v>10459</v>
      </c>
      <c r="B4490" t="s">
        <v>172</v>
      </c>
      <c r="C4490">
        <v>364.79999971389771</v>
      </c>
      <c r="D4490">
        <v>16</v>
      </c>
      <c r="E4490" s="80">
        <v>35488</v>
      </c>
    </row>
    <row r="4491" spans="1:5">
      <c r="A4491">
        <v>10459</v>
      </c>
      <c r="B4491" t="s">
        <v>173</v>
      </c>
      <c r="C4491">
        <v>364.79999971389771</v>
      </c>
      <c r="D4491">
        <v>16</v>
      </c>
      <c r="E4491" s="80">
        <v>35488</v>
      </c>
    </row>
    <row r="4492" spans="1:5">
      <c r="A4492">
        <v>10459</v>
      </c>
      <c r="B4492" t="s">
        <v>174</v>
      </c>
      <c r="C4492">
        <v>364.79999971389771</v>
      </c>
      <c r="D4492">
        <v>16</v>
      </c>
      <c r="E4492" s="80">
        <v>35488</v>
      </c>
    </row>
    <row r="4493" spans="1:5">
      <c r="A4493">
        <v>10459</v>
      </c>
      <c r="B4493" t="s">
        <v>175</v>
      </c>
      <c r="C4493">
        <v>364.79999971389771</v>
      </c>
      <c r="D4493">
        <v>16</v>
      </c>
      <c r="E4493" s="80">
        <v>35488</v>
      </c>
    </row>
    <row r="4494" spans="1:5">
      <c r="A4494">
        <v>10459</v>
      </c>
      <c r="B4494" t="s">
        <v>176</v>
      </c>
      <c r="C4494">
        <v>364.79999971389771</v>
      </c>
      <c r="D4494">
        <v>16</v>
      </c>
      <c r="E4494" s="80">
        <v>35488</v>
      </c>
    </row>
    <row r="4495" spans="1:5">
      <c r="A4495">
        <v>10459</v>
      </c>
      <c r="B4495" t="s">
        <v>177</v>
      </c>
      <c r="C4495">
        <v>364.79999971389771</v>
      </c>
      <c r="D4495">
        <v>16</v>
      </c>
      <c r="E4495" s="80">
        <v>35488</v>
      </c>
    </row>
    <row r="4496" spans="1:5">
      <c r="A4496">
        <v>10459</v>
      </c>
      <c r="B4496" t="s">
        <v>178</v>
      </c>
      <c r="C4496">
        <v>364.79999971389771</v>
      </c>
      <c r="D4496">
        <v>16</v>
      </c>
      <c r="E4496" s="80">
        <v>35488</v>
      </c>
    </row>
    <row r="4497" spans="1:5">
      <c r="A4497">
        <v>10459</v>
      </c>
      <c r="B4497" t="s">
        <v>179</v>
      </c>
      <c r="C4497">
        <v>364.79999971389771</v>
      </c>
      <c r="D4497">
        <v>16</v>
      </c>
      <c r="E4497" s="80">
        <v>35488</v>
      </c>
    </row>
    <row r="4498" spans="1:5">
      <c r="A4498">
        <v>10459</v>
      </c>
      <c r="B4498" t="s">
        <v>172</v>
      </c>
      <c r="C4498">
        <v>182.39999985694885</v>
      </c>
      <c r="D4498">
        <v>20</v>
      </c>
      <c r="E4498" s="80">
        <v>35488</v>
      </c>
    </row>
    <row r="4499" spans="1:5">
      <c r="A4499">
        <v>10459</v>
      </c>
      <c r="B4499" t="s">
        <v>173</v>
      </c>
      <c r="C4499">
        <v>182.39999985694885</v>
      </c>
      <c r="D4499">
        <v>20</v>
      </c>
      <c r="E4499" s="80">
        <v>35488</v>
      </c>
    </row>
    <row r="4500" spans="1:5">
      <c r="A4500">
        <v>10459</v>
      </c>
      <c r="B4500" t="s">
        <v>174</v>
      </c>
      <c r="C4500">
        <v>182.39999985694885</v>
      </c>
      <c r="D4500">
        <v>20</v>
      </c>
      <c r="E4500" s="80">
        <v>35488</v>
      </c>
    </row>
    <row r="4501" spans="1:5">
      <c r="A4501">
        <v>10459</v>
      </c>
      <c r="B4501" t="s">
        <v>175</v>
      </c>
      <c r="C4501">
        <v>182.39999985694885</v>
      </c>
      <c r="D4501">
        <v>20</v>
      </c>
      <c r="E4501" s="80">
        <v>35488</v>
      </c>
    </row>
    <row r="4502" spans="1:5">
      <c r="A4502">
        <v>10459</v>
      </c>
      <c r="B4502" t="s">
        <v>176</v>
      </c>
      <c r="C4502">
        <v>182.39999985694885</v>
      </c>
      <c r="D4502">
        <v>20</v>
      </c>
      <c r="E4502" s="80">
        <v>35488</v>
      </c>
    </row>
    <row r="4503" spans="1:5">
      <c r="A4503">
        <v>10459</v>
      </c>
      <c r="B4503" t="s">
        <v>177</v>
      </c>
      <c r="C4503">
        <v>182.39999985694885</v>
      </c>
      <c r="D4503">
        <v>20</v>
      </c>
      <c r="E4503" s="80">
        <v>35488</v>
      </c>
    </row>
    <row r="4504" spans="1:5">
      <c r="A4504">
        <v>10459</v>
      </c>
      <c r="B4504" t="s">
        <v>178</v>
      </c>
      <c r="C4504">
        <v>182.39999985694885</v>
      </c>
      <c r="D4504">
        <v>20</v>
      </c>
      <c r="E4504" s="80">
        <v>35488</v>
      </c>
    </row>
    <row r="4505" spans="1:5">
      <c r="A4505">
        <v>10459</v>
      </c>
      <c r="B4505" t="s">
        <v>179</v>
      </c>
      <c r="C4505">
        <v>182.39999985694885</v>
      </c>
      <c r="D4505">
        <v>20</v>
      </c>
      <c r="E4505" s="80">
        <v>35488</v>
      </c>
    </row>
    <row r="4506" spans="1:5">
      <c r="A4506">
        <v>10459</v>
      </c>
      <c r="B4506" t="s">
        <v>172</v>
      </c>
      <c r="C4506">
        <v>1112</v>
      </c>
      <c r="D4506">
        <v>40</v>
      </c>
      <c r="E4506" s="80">
        <v>35488</v>
      </c>
    </row>
    <row r="4507" spans="1:5">
      <c r="A4507">
        <v>10459</v>
      </c>
      <c r="B4507" t="s">
        <v>173</v>
      </c>
      <c r="C4507">
        <v>1112</v>
      </c>
      <c r="D4507">
        <v>40</v>
      </c>
      <c r="E4507" s="80">
        <v>35488</v>
      </c>
    </row>
    <row r="4508" spans="1:5">
      <c r="A4508">
        <v>10459</v>
      </c>
      <c r="B4508" t="s">
        <v>174</v>
      </c>
      <c r="C4508">
        <v>1112</v>
      </c>
      <c r="D4508">
        <v>40</v>
      </c>
      <c r="E4508" s="80">
        <v>35488</v>
      </c>
    </row>
    <row r="4509" spans="1:5">
      <c r="A4509">
        <v>10459</v>
      </c>
      <c r="B4509" t="s">
        <v>175</v>
      </c>
      <c r="C4509">
        <v>1112</v>
      </c>
      <c r="D4509">
        <v>40</v>
      </c>
      <c r="E4509" s="80">
        <v>35488</v>
      </c>
    </row>
    <row r="4510" spans="1:5">
      <c r="A4510">
        <v>10459</v>
      </c>
      <c r="B4510" t="s">
        <v>176</v>
      </c>
      <c r="C4510">
        <v>1112</v>
      </c>
      <c r="D4510">
        <v>40</v>
      </c>
      <c r="E4510" s="80">
        <v>35488</v>
      </c>
    </row>
    <row r="4511" spans="1:5">
      <c r="A4511">
        <v>10459</v>
      </c>
      <c r="B4511" t="s">
        <v>177</v>
      </c>
      <c r="C4511">
        <v>1112</v>
      </c>
      <c r="D4511">
        <v>40</v>
      </c>
      <c r="E4511" s="80">
        <v>35488</v>
      </c>
    </row>
    <row r="4512" spans="1:5">
      <c r="A4512">
        <v>10459</v>
      </c>
      <c r="B4512" t="s">
        <v>178</v>
      </c>
      <c r="C4512">
        <v>1112</v>
      </c>
      <c r="D4512">
        <v>40</v>
      </c>
      <c r="E4512" s="80">
        <v>35488</v>
      </c>
    </row>
    <row r="4513" spans="1:5">
      <c r="A4513">
        <v>10459</v>
      </c>
      <c r="B4513" t="s">
        <v>179</v>
      </c>
      <c r="C4513">
        <v>1112</v>
      </c>
      <c r="D4513">
        <v>40</v>
      </c>
      <c r="E4513" s="80">
        <v>35488</v>
      </c>
    </row>
    <row r="4514" spans="1:5">
      <c r="A4514">
        <v>10460</v>
      </c>
      <c r="B4514" t="s">
        <v>172</v>
      </c>
      <c r="C4514">
        <v>157.5</v>
      </c>
      <c r="D4514">
        <v>21</v>
      </c>
      <c r="E4514" s="80">
        <v>35489</v>
      </c>
    </row>
    <row r="4515" spans="1:5">
      <c r="A4515">
        <v>10460</v>
      </c>
      <c r="B4515" t="s">
        <v>173</v>
      </c>
      <c r="C4515">
        <v>157.5</v>
      </c>
      <c r="D4515">
        <v>21</v>
      </c>
      <c r="E4515" s="80">
        <v>35489</v>
      </c>
    </row>
    <row r="4516" spans="1:5">
      <c r="A4516">
        <v>10460</v>
      </c>
      <c r="B4516" t="s">
        <v>174</v>
      </c>
      <c r="C4516">
        <v>157.5</v>
      </c>
      <c r="D4516">
        <v>21</v>
      </c>
      <c r="E4516" s="80">
        <v>35489</v>
      </c>
    </row>
    <row r="4517" spans="1:5">
      <c r="A4517">
        <v>10460</v>
      </c>
      <c r="B4517" t="s">
        <v>175</v>
      </c>
      <c r="C4517">
        <v>157.5</v>
      </c>
      <c r="D4517">
        <v>21</v>
      </c>
      <c r="E4517" s="80">
        <v>35489</v>
      </c>
    </row>
    <row r="4518" spans="1:5">
      <c r="A4518">
        <v>10460</v>
      </c>
      <c r="B4518" t="s">
        <v>176</v>
      </c>
      <c r="C4518">
        <v>157.5</v>
      </c>
      <c r="D4518">
        <v>21</v>
      </c>
      <c r="E4518" s="80">
        <v>35489</v>
      </c>
    </row>
    <row r="4519" spans="1:5">
      <c r="A4519">
        <v>10460</v>
      </c>
      <c r="B4519" t="s">
        <v>177</v>
      </c>
      <c r="C4519">
        <v>157.5</v>
      </c>
      <c r="D4519">
        <v>21</v>
      </c>
      <c r="E4519" s="80">
        <v>35489</v>
      </c>
    </row>
    <row r="4520" spans="1:5">
      <c r="A4520">
        <v>10460</v>
      </c>
      <c r="B4520" t="s">
        <v>178</v>
      </c>
      <c r="C4520">
        <v>157.5</v>
      </c>
      <c r="D4520">
        <v>21</v>
      </c>
      <c r="E4520" s="80">
        <v>35489</v>
      </c>
    </row>
    <row r="4521" spans="1:5">
      <c r="A4521">
        <v>10460</v>
      </c>
      <c r="B4521" t="s">
        <v>179</v>
      </c>
      <c r="C4521">
        <v>157.5</v>
      </c>
      <c r="D4521">
        <v>21</v>
      </c>
      <c r="E4521" s="80">
        <v>35489</v>
      </c>
    </row>
    <row r="4522" spans="1:5">
      <c r="A4522">
        <v>10460</v>
      </c>
      <c r="B4522" t="s">
        <v>172</v>
      </c>
      <c r="C4522">
        <v>18.600000000000001</v>
      </c>
      <c r="D4522">
        <v>4</v>
      </c>
      <c r="E4522" s="80">
        <v>35489</v>
      </c>
    </row>
    <row r="4523" spans="1:5">
      <c r="A4523">
        <v>10460</v>
      </c>
      <c r="B4523" t="s">
        <v>173</v>
      </c>
      <c r="C4523">
        <v>18.600000000000001</v>
      </c>
      <c r="D4523">
        <v>4</v>
      </c>
      <c r="E4523" s="80">
        <v>35489</v>
      </c>
    </row>
    <row r="4524" spans="1:5">
      <c r="A4524">
        <v>10460</v>
      </c>
      <c r="B4524" t="s">
        <v>174</v>
      </c>
      <c r="C4524">
        <v>18.600000000000001</v>
      </c>
      <c r="D4524">
        <v>4</v>
      </c>
      <c r="E4524" s="80">
        <v>35489</v>
      </c>
    </row>
    <row r="4525" spans="1:5">
      <c r="A4525">
        <v>10460</v>
      </c>
      <c r="B4525" t="s">
        <v>175</v>
      </c>
      <c r="C4525">
        <v>18.600000000000001</v>
      </c>
      <c r="D4525">
        <v>4</v>
      </c>
      <c r="E4525" s="80">
        <v>35489</v>
      </c>
    </row>
    <row r="4526" spans="1:5">
      <c r="A4526">
        <v>10460</v>
      </c>
      <c r="B4526" t="s">
        <v>176</v>
      </c>
      <c r="C4526">
        <v>18.600000000000001</v>
      </c>
      <c r="D4526">
        <v>4</v>
      </c>
      <c r="E4526" s="80">
        <v>35489</v>
      </c>
    </row>
    <row r="4527" spans="1:5">
      <c r="A4527">
        <v>10460</v>
      </c>
      <c r="B4527" t="s">
        <v>177</v>
      </c>
      <c r="C4527">
        <v>18.600000000000001</v>
      </c>
      <c r="D4527">
        <v>4</v>
      </c>
      <c r="E4527" s="80">
        <v>35489</v>
      </c>
    </row>
    <row r="4528" spans="1:5">
      <c r="A4528">
        <v>10460</v>
      </c>
      <c r="B4528" t="s">
        <v>178</v>
      </c>
      <c r="C4528">
        <v>18.600000000000001</v>
      </c>
      <c r="D4528">
        <v>4</v>
      </c>
      <c r="E4528" s="80">
        <v>35489</v>
      </c>
    </row>
    <row r="4529" spans="1:5">
      <c r="A4529">
        <v>10460</v>
      </c>
      <c r="B4529" t="s">
        <v>179</v>
      </c>
      <c r="C4529">
        <v>18.600000000000001</v>
      </c>
      <c r="D4529">
        <v>4</v>
      </c>
      <c r="E4529" s="80">
        <v>35489</v>
      </c>
    </row>
    <row r="4530" spans="1:5">
      <c r="A4530">
        <v>10461</v>
      </c>
      <c r="B4530" t="s">
        <v>172</v>
      </c>
      <c r="C4530">
        <v>240</v>
      </c>
      <c r="D4530">
        <v>40</v>
      </c>
      <c r="E4530" s="80">
        <v>35489</v>
      </c>
    </row>
    <row r="4531" spans="1:5">
      <c r="A4531">
        <v>10461</v>
      </c>
      <c r="B4531" t="s">
        <v>173</v>
      </c>
      <c r="C4531">
        <v>240</v>
      </c>
      <c r="D4531">
        <v>40</v>
      </c>
      <c r="E4531" s="80">
        <v>35489</v>
      </c>
    </row>
    <row r="4532" spans="1:5">
      <c r="A4532">
        <v>10461</v>
      </c>
      <c r="B4532" t="s">
        <v>174</v>
      </c>
      <c r="C4532">
        <v>240</v>
      </c>
      <c r="D4532">
        <v>40</v>
      </c>
      <c r="E4532" s="80">
        <v>35489</v>
      </c>
    </row>
    <row r="4533" spans="1:5">
      <c r="A4533">
        <v>10461</v>
      </c>
      <c r="B4533" t="s">
        <v>175</v>
      </c>
      <c r="C4533">
        <v>240</v>
      </c>
      <c r="D4533">
        <v>40</v>
      </c>
      <c r="E4533" s="80">
        <v>35489</v>
      </c>
    </row>
    <row r="4534" spans="1:5">
      <c r="A4534">
        <v>10461</v>
      </c>
      <c r="B4534" t="s">
        <v>176</v>
      </c>
      <c r="C4534">
        <v>240</v>
      </c>
      <c r="D4534">
        <v>40</v>
      </c>
      <c r="E4534" s="80">
        <v>35489</v>
      </c>
    </row>
    <row r="4535" spans="1:5">
      <c r="A4535">
        <v>10461</v>
      </c>
      <c r="B4535" t="s">
        <v>177</v>
      </c>
      <c r="C4535">
        <v>240</v>
      </c>
      <c r="D4535">
        <v>40</v>
      </c>
      <c r="E4535" s="80">
        <v>35489</v>
      </c>
    </row>
    <row r="4536" spans="1:5">
      <c r="A4536">
        <v>10461</v>
      </c>
      <c r="B4536" t="s">
        <v>178</v>
      </c>
      <c r="C4536">
        <v>240</v>
      </c>
      <c r="D4536">
        <v>40</v>
      </c>
      <c r="E4536" s="80">
        <v>35489</v>
      </c>
    </row>
    <row r="4537" spans="1:5">
      <c r="A4537">
        <v>10461</v>
      </c>
      <c r="B4537" t="s">
        <v>179</v>
      </c>
      <c r="C4537">
        <v>240</v>
      </c>
      <c r="D4537">
        <v>40</v>
      </c>
      <c r="E4537" s="80">
        <v>35489</v>
      </c>
    </row>
    <row r="4538" spans="1:5">
      <c r="A4538">
        <v>10461</v>
      </c>
      <c r="B4538" t="s">
        <v>172</v>
      </c>
      <c r="C4538">
        <v>434.70000000000005</v>
      </c>
      <c r="D4538">
        <v>28</v>
      </c>
      <c r="E4538" s="80">
        <v>35489</v>
      </c>
    </row>
    <row r="4539" spans="1:5">
      <c r="A4539">
        <v>10461</v>
      </c>
      <c r="B4539" t="s">
        <v>173</v>
      </c>
      <c r="C4539">
        <v>434.70000000000005</v>
      </c>
      <c r="D4539">
        <v>28</v>
      </c>
      <c r="E4539" s="80">
        <v>35489</v>
      </c>
    </row>
    <row r="4540" spans="1:5">
      <c r="A4540">
        <v>10461</v>
      </c>
      <c r="B4540" t="s">
        <v>174</v>
      </c>
      <c r="C4540">
        <v>434.70000000000005</v>
      </c>
      <c r="D4540">
        <v>28</v>
      </c>
      <c r="E4540" s="80">
        <v>35489</v>
      </c>
    </row>
    <row r="4541" spans="1:5">
      <c r="A4541">
        <v>10461</v>
      </c>
      <c r="B4541" t="s">
        <v>175</v>
      </c>
      <c r="C4541">
        <v>434.70000000000005</v>
      </c>
      <c r="D4541">
        <v>28</v>
      </c>
      <c r="E4541" s="80">
        <v>35489</v>
      </c>
    </row>
    <row r="4542" spans="1:5">
      <c r="A4542">
        <v>10461</v>
      </c>
      <c r="B4542" t="s">
        <v>176</v>
      </c>
      <c r="C4542">
        <v>434.70000000000005</v>
      </c>
      <c r="D4542">
        <v>28</v>
      </c>
      <c r="E4542" s="80">
        <v>35489</v>
      </c>
    </row>
    <row r="4543" spans="1:5">
      <c r="A4543">
        <v>10461</v>
      </c>
      <c r="B4543" t="s">
        <v>177</v>
      </c>
      <c r="C4543">
        <v>434.70000000000005</v>
      </c>
      <c r="D4543">
        <v>28</v>
      </c>
      <c r="E4543" s="80">
        <v>35489</v>
      </c>
    </row>
    <row r="4544" spans="1:5">
      <c r="A4544">
        <v>10461</v>
      </c>
      <c r="B4544" t="s">
        <v>178</v>
      </c>
      <c r="C4544">
        <v>434.70000000000005</v>
      </c>
      <c r="D4544">
        <v>28</v>
      </c>
      <c r="E4544" s="80">
        <v>35489</v>
      </c>
    </row>
    <row r="4545" spans="1:5">
      <c r="A4545">
        <v>10461</v>
      </c>
      <c r="B4545" t="s">
        <v>179</v>
      </c>
      <c r="C4545">
        <v>434.70000000000005</v>
      </c>
      <c r="D4545">
        <v>28</v>
      </c>
      <c r="E4545" s="80">
        <v>35489</v>
      </c>
    </row>
    <row r="4546" spans="1:5">
      <c r="A4546">
        <v>10461</v>
      </c>
      <c r="B4546" t="s">
        <v>172</v>
      </c>
      <c r="C4546">
        <v>864</v>
      </c>
      <c r="D4546">
        <v>60</v>
      </c>
      <c r="E4546" s="80">
        <v>35489</v>
      </c>
    </row>
    <row r="4547" spans="1:5">
      <c r="A4547">
        <v>10461</v>
      </c>
      <c r="B4547" t="s">
        <v>173</v>
      </c>
      <c r="C4547">
        <v>864</v>
      </c>
      <c r="D4547">
        <v>60</v>
      </c>
      <c r="E4547" s="80">
        <v>35489</v>
      </c>
    </row>
    <row r="4548" spans="1:5">
      <c r="A4548">
        <v>10461</v>
      </c>
      <c r="B4548" t="s">
        <v>174</v>
      </c>
      <c r="C4548">
        <v>864</v>
      </c>
      <c r="D4548">
        <v>60</v>
      </c>
      <c r="E4548" s="80">
        <v>35489</v>
      </c>
    </row>
    <row r="4549" spans="1:5">
      <c r="A4549">
        <v>10461</v>
      </c>
      <c r="B4549" t="s">
        <v>175</v>
      </c>
      <c r="C4549">
        <v>864</v>
      </c>
      <c r="D4549">
        <v>60</v>
      </c>
      <c r="E4549" s="80">
        <v>35489</v>
      </c>
    </row>
    <row r="4550" spans="1:5">
      <c r="A4550">
        <v>10461</v>
      </c>
      <c r="B4550" t="s">
        <v>176</v>
      </c>
      <c r="C4550">
        <v>864</v>
      </c>
      <c r="D4550">
        <v>60</v>
      </c>
      <c r="E4550" s="80">
        <v>35489</v>
      </c>
    </row>
    <row r="4551" spans="1:5">
      <c r="A4551">
        <v>10461</v>
      </c>
      <c r="B4551" t="s">
        <v>177</v>
      </c>
      <c r="C4551">
        <v>864</v>
      </c>
      <c r="D4551">
        <v>60</v>
      </c>
      <c r="E4551" s="80">
        <v>35489</v>
      </c>
    </row>
    <row r="4552" spans="1:5">
      <c r="A4552">
        <v>10461</v>
      </c>
      <c r="B4552" t="s">
        <v>178</v>
      </c>
      <c r="C4552">
        <v>864</v>
      </c>
      <c r="D4552">
        <v>60</v>
      </c>
      <c r="E4552" s="80">
        <v>35489</v>
      </c>
    </row>
    <row r="4553" spans="1:5">
      <c r="A4553">
        <v>10461</v>
      </c>
      <c r="B4553" t="s">
        <v>179</v>
      </c>
      <c r="C4553">
        <v>864</v>
      </c>
      <c r="D4553">
        <v>60</v>
      </c>
      <c r="E4553" s="80">
        <v>35489</v>
      </c>
    </row>
    <row r="4554" spans="1:5">
      <c r="A4554">
        <v>10462</v>
      </c>
      <c r="B4554" t="s">
        <v>172</v>
      </c>
      <c r="C4554">
        <v>4.8</v>
      </c>
      <c r="D4554">
        <v>1</v>
      </c>
      <c r="E4554" s="80">
        <v>35492</v>
      </c>
    </row>
    <row r="4555" spans="1:5">
      <c r="A4555">
        <v>10462</v>
      </c>
      <c r="B4555" t="s">
        <v>173</v>
      </c>
      <c r="C4555">
        <v>4.8</v>
      </c>
      <c r="D4555">
        <v>1</v>
      </c>
      <c r="E4555" s="80">
        <v>35492</v>
      </c>
    </row>
    <row r="4556" spans="1:5">
      <c r="A4556">
        <v>10462</v>
      </c>
      <c r="B4556" t="s">
        <v>174</v>
      </c>
      <c r="C4556">
        <v>4.8</v>
      </c>
      <c r="D4556">
        <v>1</v>
      </c>
      <c r="E4556" s="80">
        <v>35492</v>
      </c>
    </row>
    <row r="4557" spans="1:5">
      <c r="A4557">
        <v>10462</v>
      </c>
      <c r="B4557" t="s">
        <v>175</v>
      </c>
      <c r="C4557">
        <v>4.8</v>
      </c>
      <c r="D4557">
        <v>1</v>
      </c>
      <c r="E4557" s="80">
        <v>35492</v>
      </c>
    </row>
    <row r="4558" spans="1:5">
      <c r="A4558">
        <v>10462</v>
      </c>
      <c r="B4558" t="s">
        <v>176</v>
      </c>
      <c r="C4558">
        <v>4.8</v>
      </c>
      <c r="D4558">
        <v>1</v>
      </c>
      <c r="E4558" s="80">
        <v>35492</v>
      </c>
    </row>
    <row r="4559" spans="1:5">
      <c r="A4559">
        <v>10462</v>
      </c>
      <c r="B4559" t="s">
        <v>177</v>
      </c>
      <c r="C4559">
        <v>4.8</v>
      </c>
      <c r="D4559">
        <v>1</v>
      </c>
      <c r="E4559" s="80">
        <v>35492</v>
      </c>
    </row>
    <row r="4560" spans="1:5">
      <c r="A4560">
        <v>10462</v>
      </c>
      <c r="B4560" t="s">
        <v>178</v>
      </c>
      <c r="C4560">
        <v>4.8</v>
      </c>
      <c r="D4560">
        <v>1</v>
      </c>
      <c r="E4560" s="80">
        <v>35492</v>
      </c>
    </row>
    <row r="4561" spans="1:5">
      <c r="A4561">
        <v>10462</v>
      </c>
      <c r="B4561" t="s">
        <v>179</v>
      </c>
      <c r="C4561">
        <v>4.8</v>
      </c>
      <c r="D4561">
        <v>1</v>
      </c>
      <c r="E4561" s="80">
        <v>35492</v>
      </c>
    </row>
    <row r="4562" spans="1:5">
      <c r="A4562">
        <v>10462</v>
      </c>
      <c r="B4562" t="s">
        <v>172</v>
      </c>
      <c r="C4562">
        <v>151.19999999999999</v>
      </c>
      <c r="D4562">
        <v>21</v>
      </c>
      <c r="E4562" s="80">
        <v>35492</v>
      </c>
    </row>
    <row r="4563" spans="1:5">
      <c r="A4563">
        <v>10462</v>
      </c>
      <c r="B4563" t="s">
        <v>173</v>
      </c>
      <c r="C4563">
        <v>151.19999999999999</v>
      </c>
      <c r="D4563">
        <v>21</v>
      </c>
      <c r="E4563" s="80">
        <v>35492</v>
      </c>
    </row>
    <row r="4564" spans="1:5">
      <c r="A4564">
        <v>10462</v>
      </c>
      <c r="B4564" t="s">
        <v>174</v>
      </c>
      <c r="C4564">
        <v>151.19999999999999</v>
      </c>
      <c r="D4564">
        <v>21</v>
      </c>
      <c r="E4564" s="80">
        <v>35492</v>
      </c>
    </row>
    <row r="4565" spans="1:5">
      <c r="A4565">
        <v>10462</v>
      </c>
      <c r="B4565" t="s">
        <v>175</v>
      </c>
      <c r="C4565">
        <v>151.19999999999999</v>
      </c>
      <c r="D4565">
        <v>21</v>
      </c>
      <c r="E4565" s="80">
        <v>35492</v>
      </c>
    </row>
    <row r="4566" spans="1:5">
      <c r="A4566">
        <v>10462</v>
      </c>
      <c r="B4566" t="s">
        <v>176</v>
      </c>
      <c r="C4566">
        <v>151.19999999999999</v>
      </c>
      <c r="D4566">
        <v>21</v>
      </c>
      <c r="E4566" s="80">
        <v>35492</v>
      </c>
    </row>
    <row r="4567" spans="1:5">
      <c r="A4567">
        <v>10462</v>
      </c>
      <c r="B4567" t="s">
        <v>177</v>
      </c>
      <c r="C4567">
        <v>151.19999999999999</v>
      </c>
      <c r="D4567">
        <v>21</v>
      </c>
      <c r="E4567" s="80">
        <v>35492</v>
      </c>
    </row>
    <row r="4568" spans="1:5">
      <c r="A4568">
        <v>10462</v>
      </c>
      <c r="B4568" t="s">
        <v>178</v>
      </c>
      <c r="C4568">
        <v>151.19999999999999</v>
      </c>
      <c r="D4568">
        <v>21</v>
      </c>
      <c r="E4568" s="80">
        <v>35492</v>
      </c>
    </row>
    <row r="4569" spans="1:5">
      <c r="A4569">
        <v>10462</v>
      </c>
      <c r="B4569" t="s">
        <v>179</v>
      </c>
      <c r="C4569">
        <v>151.19999999999999</v>
      </c>
      <c r="D4569">
        <v>21</v>
      </c>
      <c r="E4569" s="80">
        <v>35492</v>
      </c>
    </row>
    <row r="4570" spans="1:5">
      <c r="A4570">
        <v>10463</v>
      </c>
      <c r="B4570" t="s">
        <v>172</v>
      </c>
      <c r="C4570">
        <v>153.30000000000001</v>
      </c>
      <c r="D4570">
        <v>21</v>
      </c>
      <c r="E4570" s="80">
        <v>35493</v>
      </c>
    </row>
    <row r="4571" spans="1:5">
      <c r="A4571">
        <v>10463</v>
      </c>
      <c r="B4571" t="s">
        <v>173</v>
      </c>
      <c r="C4571">
        <v>153.30000000000001</v>
      </c>
      <c r="D4571">
        <v>21</v>
      </c>
      <c r="E4571" s="80">
        <v>35493</v>
      </c>
    </row>
    <row r="4572" spans="1:5">
      <c r="A4572">
        <v>10463</v>
      </c>
      <c r="B4572" t="s">
        <v>174</v>
      </c>
      <c r="C4572">
        <v>153.30000000000001</v>
      </c>
      <c r="D4572">
        <v>21</v>
      </c>
      <c r="E4572" s="80">
        <v>35493</v>
      </c>
    </row>
    <row r="4573" spans="1:5">
      <c r="A4573">
        <v>10463</v>
      </c>
      <c r="B4573" t="s">
        <v>175</v>
      </c>
      <c r="C4573">
        <v>153.30000000000001</v>
      </c>
      <c r="D4573">
        <v>21</v>
      </c>
      <c r="E4573" s="80">
        <v>35493</v>
      </c>
    </row>
    <row r="4574" spans="1:5">
      <c r="A4574">
        <v>10463</v>
      </c>
      <c r="B4574" t="s">
        <v>176</v>
      </c>
      <c r="C4574">
        <v>153.30000000000001</v>
      </c>
      <c r="D4574">
        <v>21</v>
      </c>
      <c r="E4574" s="80">
        <v>35493</v>
      </c>
    </row>
    <row r="4575" spans="1:5">
      <c r="A4575">
        <v>10463</v>
      </c>
      <c r="B4575" t="s">
        <v>177</v>
      </c>
      <c r="C4575">
        <v>153.30000000000001</v>
      </c>
      <c r="D4575">
        <v>21</v>
      </c>
      <c r="E4575" s="80">
        <v>35493</v>
      </c>
    </row>
    <row r="4576" spans="1:5">
      <c r="A4576">
        <v>10463</v>
      </c>
      <c r="B4576" t="s">
        <v>178</v>
      </c>
      <c r="C4576">
        <v>153.30000000000001</v>
      </c>
      <c r="D4576">
        <v>21</v>
      </c>
      <c r="E4576" s="80">
        <v>35493</v>
      </c>
    </row>
    <row r="4577" spans="1:5">
      <c r="A4577">
        <v>10463</v>
      </c>
      <c r="B4577" t="s">
        <v>179</v>
      </c>
      <c r="C4577">
        <v>153.30000000000001</v>
      </c>
      <c r="D4577">
        <v>21</v>
      </c>
      <c r="E4577" s="80">
        <v>35493</v>
      </c>
    </row>
    <row r="4578" spans="1:5">
      <c r="A4578">
        <v>10463</v>
      </c>
      <c r="B4578" t="s">
        <v>172</v>
      </c>
      <c r="C4578">
        <v>560</v>
      </c>
      <c r="D4578">
        <v>50</v>
      </c>
      <c r="E4578" s="80">
        <v>35493</v>
      </c>
    </row>
    <row r="4579" spans="1:5">
      <c r="A4579">
        <v>10463</v>
      </c>
      <c r="B4579" t="s">
        <v>173</v>
      </c>
      <c r="C4579">
        <v>560</v>
      </c>
      <c r="D4579">
        <v>50</v>
      </c>
      <c r="E4579" s="80">
        <v>35493</v>
      </c>
    </row>
    <row r="4580" spans="1:5">
      <c r="A4580">
        <v>10463</v>
      </c>
      <c r="B4580" t="s">
        <v>174</v>
      </c>
      <c r="C4580">
        <v>560</v>
      </c>
      <c r="D4580">
        <v>50</v>
      </c>
      <c r="E4580" s="80">
        <v>35493</v>
      </c>
    </row>
    <row r="4581" spans="1:5">
      <c r="A4581">
        <v>10463</v>
      </c>
      <c r="B4581" t="s">
        <v>175</v>
      </c>
      <c r="C4581">
        <v>560</v>
      </c>
      <c r="D4581">
        <v>50</v>
      </c>
      <c r="E4581" s="80">
        <v>35493</v>
      </c>
    </row>
    <row r="4582" spans="1:5">
      <c r="A4582">
        <v>10463</v>
      </c>
      <c r="B4582" t="s">
        <v>176</v>
      </c>
      <c r="C4582">
        <v>560</v>
      </c>
      <c r="D4582">
        <v>50</v>
      </c>
      <c r="E4582" s="80">
        <v>35493</v>
      </c>
    </row>
    <row r="4583" spans="1:5">
      <c r="A4583">
        <v>10463</v>
      </c>
      <c r="B4583" t="s">
        <v>177</v>
      </c>
      <c r="C4583">
        <v>560</v>
      </c>
      <c r="D4583">
        <v>50</v>
      </c>
      <c r="E4583" s="80">
        <v>35493</v>
      </c>
    </row>
    <row r="4584" spans="1:5">
      <c r="A4584">
        <v>10463</v>
      </c>
      <c r="B4584" t="s">
        <v>178</v>
      </c>
      <c r="C4584">
        <v>560</v>
      </c>
      <c r="D4584">
        <v>50</v>
      </c>
      <c r="E4584" s="80">
        <v>35493</v>
      </c>
    </row>
    <row r="4585" spans="1:5">
      <c r="A4585">
        <v>10463</v>
      </c>
      <c r="B4585" t="s">
        <v>179</v>
      </c>
      <c r="C4585">
        <v>560</v>
      </c>
      <c r="D4585">
        <v>50</v>
      </c>
      <c r="E4585" s="80">
        <v>35493</v>
      </c>
    </row>
    <row r="4586" spans="1:5">
      <c r="A4586">
        <v>10464</v>
      </c>
      <c r="B4586" t="s">
        <v>172</v>
      </c>
      <c r="C4586">
        <v>225.27999916076661</v>
      </c>
      <c r="D4586">
        <v>16</v>
      </c>
      <c r="E4586" s="80">
        <v>35493</v>
      </c>
    </row>
    <row r="4587" spans="1:5">
      <c r="A4587">
        <v>10464</v>
      </c>
      <c r="B4587" t="s">
        <v>173</v>
      </c>
      <c r="C4587">
        <v>225.27999916076661</v>
      </c>
      <c r="D4587">
        <v>16</v>
      </c>
      <c r="E4587" s="80">
        <v>35493</v>
      </c>
    </row>
    <row r="4588" spans="1:5">
      <c r="A4588">
        <v>10464</v>
      </c>
      <c r="B4588" t="s">
        <v>174</v>
      </c>
      <c r="C4588">
        <v>225.27999916076661</v>
      </c>
      <c r="D4588">
        <v>16</v>
      </c>
      <c r="E4588" s="80">
        <v>35493</v>
      </c>
    </row>
    <row r="4589" spans="1:5">
      <c r="A4589">
        <v>10464</v>
      </c>
      <c r="B4589" t="s">
        <v>175</v>
      </c>
      <c r="C4589">
        <v>225.27999916076661</v>
      </c>
      <c r="D4589">
        <v>16</v>
      </c>
      <c r="E4589" s="80">
        <v>35493</v>
      </c>
    </row>
    <row r="4590" spans="1:5">
      <c r="A4590">
        <v>10464</v>
      </c>
      <c r="B4590" t="s">
        <v>176</v>
      </c>
      <c r="C4590">
        <v>225.27999916076661</v>
      </c>
      <c r="D4590">
        <v>16</v>
      </c>
      <c r="E4590" s="80">
        <v>35493</v>
      </c>
    </row>
    <row r="4591" spans="1:5">
      <c r="A4591">
        <v>10464</v>
      </c>
      <c r="B4591" t="s">
        <v>177</v>
      </c>
      <c r="C4591">
        <v>225.27999916076661</v>
      </c>
      <c r="D4591">
        <v>16</v>
      </c>
      <c r="E4591" s="80">
        <v>35493</v>
      </c>
    </row>
    <row r="4592" spans="1:5">
      <c r="A4592">
        <v>10464</v>
      </c>
      <c r="B4592" t="s">
        <v>178</v>
      </c>
      <c r="C4592">
        <v>225.27999916076661</v>
      </c>
      <c r="D4592">
        <v>16</v>
      </c>
      <c r="E4592" s="80">
        <v>35493</v>
      </c>
    </row>
    <row r="4593" spans="1:5">
      <c r="A4593">
        <v>10464</v>
      </c>
      <c r="B4593" t="s">
        <v>179</v>
      </c>
      <c r="C4593">
        <v>225.27999916076661</v>
      </c>
      <c r="D4593">
        <v>16</v>
      </c>
      <c r="E4593" s="80">
        <v>35493</v>
      </c>
    </row>
    <row r="4594" spans="1:5">
      <c r="A4594">
        <v>10464</v>
      </c>
      <c r="B4594" t="s">
        <v>172</v>
      </c>
      <c r="C4594">
        <v>110.4</v>
      </c>
      <c r="D4594">
        <v>3</v>
      </c>
      <c r="E4594" s="80">
        <v>35493</v>
      </c>
    </row>
    <row r="4595" spans="1:5">
      <c r="A4595">
        <v>10464</v>
      </c>
      <c r="B4595" t="s">
        <v>173</v>
      </c>
      <c r="C4595">
        <v>110.4</v>
      </c>
      <c r="D4595">
        <v>3</v>
      </c>
      <c r="E4595" s="80">
        <v>35493</v>
      </c>
    </row>
    <row r="4596" spans="1:5">
      <c r="A4596">
        <v>10464</v>
      </c>
      <c r="B4596" t="s">
        <v>174</v>
      </c>
      <c r="C4596">
        <v>110.4</v>
      </c>
      <c r="D4596">
        <v>3</v>
      </c>
      <c r="E4596" s="80">
        <v>35493</v>
      </c>
    </row>
    <row r="4597" spans="1:5">
      <c r="A4597">
        <v>10464</v>
      </c>
      <c r="B4597" t="s">
        <v>175</v>
      </c>
      <c r="C4597">
        <v>110.4</v>
      </c>
      <c r="D4597">
        <v>3</v>
      </c>
      <c r="E4597" s="80">
        <v>35493</v>
      </c>
    </row>
    <row r="4598" spans="1:5">
      <c r="A4598">
        <v>10464</v>
      </c>
      <c r="B4598" t="s">
        <v>176</v>
      </c>
      <c r="C4598">
        <v>110.4</v>
      </c>
      <c r="D4598">
        <v>3</v>
      </c>
      <c r="E4598" s="80">
        <v>35493</v>
      </c>
    </row>
    <row r="4599" spans="1:5">
      <c r="A4599">
        <v>10464</v>
      </c>
      <c r="B4599" t="s">
        <v>177</v>
      </c>
      <c r="C4599">
        <v>110.4</v>
      </c>
      <c r="D4599">
        <v>3</v>
      </c>
      <c r="E4599" s="80">
        <v>35493</v>
      </c>
    </row>
    <row r="4600" spans="1:5">
      <c r="A4600">
        <v>10464</v>
      </c>
      <c r="B4600" t="s">
        <v>178</v>
      </c>
      <c r="C4600">
        <v>110.4</v>
      </c>
      <c r="D4600">
        <v>3</v>
      </c>
      <c r="E4600" s="80">
        <v>35493</v>
      </c>
    </row>
    <row r="4601" spans="1:5">
      <c r="A4601">
        <v>10464</v>
      </c>
      <c r="B4601" t="s">
        <v>179</v>
      </c>
      <c r="C4601">
        <v>110.4</v>
      </c>
      <c r="D4601">
        <v>3</v>
      </c>
      <c r="E4601" s="80">
        <v>35493</v>
      </c>
    </row>
    <row r="4602" spans="1:5">
      <c r="A4602">
        <v>10464</v>
      </c>
      <c r="B4602" t="s">
        <v>172</v>
      </c>
      <c r="C4602">
        <v>729.5999972820282</v>
      </c>
      <c r="D4602">
        <v>30</v>
      </c>
      <c r="E4602" s="80">
        <v>35493</v>
      </c>
    </row>
    <row r="4603" spans="1:5">
      <c r="A4603">
        <v>10464</v>
      </c>
      <c r="B4603" t="s">
        <v>173</v>
      </c>
      <c r="C4603">
        <v>729.5999972820282</v>
      </c>
      <c r="D4603">
        <v>30</v>
      </c>
      <c r="E4603" s="80">
        <v>35493</v>
      </c>
    </row>
    <row r="4604" spans="1:5">
      <c r="A4604">
        <v>10464</v>
      </c>
      <c r="B4604" t="s">
        <v>174</v>
      </c>
      <c r="C4604">
        <v>729.5999972820282</v>
      </c>
      <c r="D4604">
        <v>30</v>
      </c>
      <c r="E4604" s="80">
        <v>35493</v>
      </c>
    </row>
    <row r="4605" spans="1:5">
      <c r="A4605">
        <v>10464</v>
      </c>
      <c r="B4605" t="s">
        <v>175</v>
      </c>
      <c r="C4605">
        <v>729.5999972820282</v>
      </c>
      <c r="D4605">
        <v>30</v>
      </c>
      <c r="E4605" s="80">
        <v>35493</v>
      </c>
    </row>
    <row r="4606" spans="1:5">
      <c r="A4606">
        <v>10464</v>
      </c>
      <c r="B4606" t="s">
        <v>176</v>
      </c>
      <c r="C4606">
        <v>729.5999972820282</v>
      </c>
      <c r="D4606">
        <v>30</v>
      </c>
      <c r="E4606" s="80">
        <v>35493</v>
      </c>
    </row>
    <row r="4607" spans="1:5">
      <c r="A4607">
        <v>10464</v>
      </c>
      <c r="B4607" t="s">
        <v>177</v>
      </c>
      <c r="C4607">
        <v>729.5999972820282</v>
      </c>
      <c r="D4607">
        <v>30</v>
      </c>
      <c r="E4607" s="80">
        <v>35493</v>
      </c>
    </row>
    <row r="4608" spans="1:5">
      <c r="A4608">
        <v>10464</v>
      </c>
      <c r="B4608" t="s">
        <v>178</v>
      </c>
      <c r="C4608">
        <v>729.5999972820282</v>
      </c>
      <c r="D4608">
        <v>30</v>
      </c>
      <c r="E4608" s="80">
        <v>35493</v>
      </c>
    </row>
    <row r="4609" spans="1:5">
      <c r="A4609">
        <v>10464</v>
      </c>
      <c r="B4609" t="s">
        <v>179</v>
      </c>
      <c r="C4609">
        <v>729.5999972820282</v>
      </c>
      <c r="D4609">
        <v>30</v>
      </c>
      <c r="E4609" s="80">
        <v>35493</v>
      </c>
    </row>
    <row r="4610" spans="1:5">
      <c r="A4610">
        <v>10464</v>
      </c>
      <c r="B4610" t="s">
        <v>172</v>
      </c>
      <c r="C4610">
        <v>544</v>
      </c>
      <c r="D4610">
        <v>20</v>
      </c>
      <c r="E4610" s="80">
        <v>35493</v>
      </c>
    </row>
    <row r="4611" spans="1:5">
      <c r="A4611">
        <v>10464</v>
      </c>
      <c r="B4611" t="s">
        <v>173</v>
      </c>
      <c r="C4611">
        <v>544</v>
      </c>
      <c r="D4611">
        <v>20</v>
      </c>
      <c r="E4611" s="80">
        <v>35493</v>
      </c>
    </row>
    <row r="4612" spans="1:5">
      <c r="A4612">
        <v>10464</v>
      </c>
      <c r="B4612" t="s">
        <v>174</v>
      </c>
      <c r="C4612">
        <v>544</v>
      </c>
      <c r="D4612">
        <v>20</v>
      </c>
      <c r="E4612" s="80">
        <v>35493</v>
      </c>
    </row>
    <row r="4613" spans="1:5">
      <c r="A4613">
        <v>10464</v>
      </c>
      <c r="B4613" t="s">
        <v>175</v>
      </c>
      <c r="C4613">
        <v>544</v>
      </c>
      <c r="D4613">
        <v>20</v>
      </c>
      <c r="E4613" s="80">
        <v>35493</v>
      </c>
    </row>
    <row r="4614" spans="1:5">
      <c r="A4614">
        <v>10464</v>
      </c>
      <c r="B4614" t="s">
        <v>176</v>
      </c>
      <c r="C4614">
        <v>544</v>
      </c>
      <c r="D4614">
        <v>20</v>
      </c>
      <c r="E4614" s="80">
        <v>35493</v>
      </c>
    </row>
    <row r="4615" spans="1:5">
      <c r="A4615">
        <v>10464</v>
      </c>
      <c r="B4615" t="s">
        <v>177</v>
      </c>
      <c r="C4615">
        <v>544</v>
      </c>
      <c r="D4615">
        <v>20</v>
      </c>
      <c r="E4615" s="80">
        <v>35493</v>
      </c>
    </row>
    <row r="4616" spans="1:5">
      <c r="A4616">
        <v>10464</v>
      </c>
      <c r="B4616" t="s">
        <v>178</v>
      </c>
      <c r="C4616">
        <v>544</v>
      </c>
      <c r="D4616">
        <v>20</v>
      </c>
      <c r="E4616" s="80">
        <v>35493</v>
      </c>
    </row>
    <row r="4617" spans="1:5">
      <c r="A4617">
        <v>10464</v>
      </c>
      <c r="B4617" t="s">
        <v>179</v>
      </c>
      <c r="C4617">
        <v>544</v>
      </c>
      <c r="D4617">
        <v>20</v>
      </c>
      <c r="E4617" s="80">
        <v>35493</v>
      </c>
    </row>
    <row r="4618" spans="1:5">
      <c r="A4618">
        <v>10465</v>
      </c>
      <c r="B4618" t="s">
        <v>172</v>
      </c>
      <c r="C4618">
        <v>90</v>
      </c>
      <c r="D4618">
        <v>25</v>
      </c>
      <c r="E4618" s="80">
        <v>35494</v>
      </c>
    </row>
    <row r="4619" spans="1:5">
      <c r="A4619">
        <v>10465</v>
      </c>
      <c r="B4619" t="s">
        <v>173</v>
      </c>
      <c r="C4619">
        <v>90</v>
      </c>
      <c r="D4619">
        <v>25</v>
      </c>
      <c r="E4619" s="80">
        <v>35494</v>
      </c>
    </row>
    <row r="4620" spans="1:5">
      <c r="A4620">
        <v>10465</v>
      </c>
      <c r="B4620" t="s">
        <v>174</v>
      </c>
      <c r="C4620">
        <v>90</v>
      </c>
      <c r="D4620">
        <v>25</v>
      </c>
      <c r="E4620" s="80">
        <v>35494</v>
      </c>
    </row>
    <row r="4621" spans="1:5">
      <c r="A4621">
        <v>10465</v>
      </c>
      <c r="B4621" t="s">
        <v>175</v>
      </c>
      <c r="C4621">
        <v>90</v>
      </c>
      <c r="D4621">
        <v>25</v>
      </c>
      <c r="E4621" s="80">
        <v>35494</v>
      </c>
    </row>
    <row r="4622" spans="1:5">
      <c r="A4622">
        <v>10465</v>
      </c>
      <c r="B4622" t="s">
        <v>176</v>
      </c>
      <c r="C4622">
        <v>90</v>
      </c>
      <c r="D4622">
        <v>25</v>
      </c>
      <c r="E4622" s="80">
        <v>35494</v>
      </c>
    </row>
    <row r="4623" spans="1:5">
      <c r="A4623">
        <v>10465</v>
      </c>
      <c r="B4623" t="s">
        <v>177</v>
      </c>
      <c r="C4623">
        <v>90</v>
      </c>
      <c r="D4623">
        <v>25</v>
      </c>
      <c r="E4623" s="80">
        <v>35494</v>
      </c>
    </row>
    <row r="4624" spans="1:5">
      <c r="A4624">
        <v>10465</v>
      </c>
      <c r="B4624" t="s">
        <v>178</v>
      </c>
      <c r="C4624">
        <v>90</v>
      </c>
      <c r="D4624">
        <v>25</v>
      </c>
      <c r="E4624" s="80">
        <v>35494</v>
      </c>
    </row>
    <row r="4625" spans="1:5">
      <c r="A4625">
        <v>10465</v>
      </c>
      <c r="B4625" t="s">
        <v>179</v>
      </c>
      <c r="C4625">
        <v>90</v>
      </c>
      <c r="D4625">
        <v>25</v>
      </c>
      <c r="E4625" s="80">
        <v>35494</v>
      </c>
    </row>
    <row r="4626" spans="1:5">
      <c r="A4626">
        <v>10465</v>
      </c>
      <c r="B4626" t="s">
        <v>172</v>
      </c>
      <c r="C4626">
        <v>1603.7999973446131</v>
      </c>
      <c r="D4626">
        <v>18</v>
      </c>
      <c r="E4626" s="80">
        <v>35494</v>
      </c>
    </row>
    <row r="4627" spans="1:5">
      <c r="A4627">
        <v>10465</v>
      </c>
      <c r="B4627" t="s">
        <v>173</v>
      </c>
      <c r="C4627">
        <v>1603.7999973446131</v>
      </c>
      <c r="D4627">
        <v>18</v>
      </c>
      <c r="E4627" s="80">
        <v>35494</v>
      </c>
    </row>
    <row r="4628" spans="1:5">
      <c r="A4628">
        <v>10465</v>
      </c>
      <c r="B4628" t="s">
        <v>174</v>
      </c>
      <c r="C4628">
        <v>1603.7999973446131</v>
      </c>
      <c r="D4628">
        <v>18</v>
      </c>
      <c r="E4628" s="80">
        <v>35494</v>
      </c>
    </row>
    <row r="4629" spans="1:5">
      <c r="A4629">
        <v>10465</v>
      </c>
      <c r="B4629" t="s">
        <v>175</v>
      </c>
      <c r="C4629">
        <v>1603.7999973446131</v>
      </c>
      <c r="D4629">
        <v>18</v>
      </c>
      <c r="E4629" s="80">
        <v>35494</v>
      </c>
    </row>
    <row r="4630" spans="1:5">
      <c r="A4630">
        <v>10465</v>
      </c>
      <c r="B4630" t="s">
        <v>176</v>
      </c>
      <c r="C4630">
        <v>1603.7999973446131</v>
      </c>
      <c r="D4630">
        <v>18</v>
      </c>
      <c r="E4630" s="80">
        <v>35494</v>
      </c>
    </row>
    <row r="4631" spans="1:5">
      <c r="A4631">
        <v>10465</v>
      </c>
      <c r="B4631" t="s">
        <v>177</v>
      </c>
      <c r="C4631">
        <v>1603.7999973446131</v>
      </c>
      <c r="D4631">
        <v>18</v>
      </c>
      <c r="E4631" s="80">
        <v>35494</v>
      </c>
    </row>
    <row r="4632" spans="1:5">
      <c r="A4632">
        <v>10465</v>
      </c>
      <c r="B4632" t="s">
        <v>178</v>
      </c>
      <c r="C4632">
        <v>1603.7999973446131</v>
      </c>
      <c r="D4632">
        <v>18</v>
      </c>
      <c r="E4632" s="80">
        <v>35494</v>
      </c>
    </row>
    <row r="4633" spans="1:5">
      <c r="A4633">
        <v>10465</v>
      </c>
      <c r="B4633" t="s">
        <v>179</v>
      </c>
      <c r="C4633">
        <v>1603.7999973446131</v>
      </c>
      <c r="D4633">
        <v>18</v>
      </c>
      <c r="E4633" s="80">
        <v>35494</v>
      </c>
    </row>
    <row r="4634" spans="1:5">
      <c r="A4634">
        <v>10465</v>
      </c>
      <c r="B4634" t="s">
        <v>172</v>
      </c>
      <c r="C4634">
        <v>294</v>
      </c>
      <c r="D4634">
        <v>20</v>
      </c>
      <c r="E4634" s="80">
        <v>35494</v>
      </c>
    </row>
    <row r="4635" spans="1:5">
      <c r="A4635">
        <v>10465</v>
      </c>
      <c r="B4635" t="s">
        <v>173</v>
      </c>
      <c r="C4635">
        <v>294</v>
      </c>
      <c r="D4635">
        <v>20</v>
      </c>
      <c r="E4635" s="80">
        <v>35494</v>
      </c>
    </row>
    <row r="4636" spans="1:5">
      <c r="A4636">
        <v>10465</v>
      </c>
      <c r="B4636" t="s">
        <v>174</v>
      </c>
      <c r="C4636">
        <v>294</v>
      </c>
      <c r="D4636">
        <v>20</v>
      </c>
      <c r="E4636" s="80">
        <v>35494</v>
      </c>
    </row>
    <row r="4637" spans="1:5">
      <c r="A4637">
        <v>10465</v>
      </c>
      <c r="B4637" t="s">
        <v>175</v>
      </c>
      <c r="C4637">
        <v>294</v>
      </c>
      <c r="D4637">
        <v>20</v>
      </c>
      <c r="E4637" s="80">
        <v>35494</v>
      </c>
    </row>
    <row r="4638" spans="1:5">
      <c r="A4638">
        <v>10465</v>
      </c>
      <c r="B4638" t="s">
        <v>176</v>
      </c>
      <c r="C4638">
        <v>294</v>
      </c>
      <c r="D4638">
        <v>20</v>
      </c>
      <c r="E4638" s="80">
        <v>35494</v>
      </c>
    </row>
    <row r="4639" spans="1:5">
      <c r="A4639">
        <v>10465</v>
      </c>
      <c r="B4639" t="s">
        <v>177</v>
      </c>
      <c r="C4639">
        <v>294</v>
      </c>
      <c r="D4639">
        <v>20</v>
      </c>
      <c r="E4639" s="80">
        <v>35494</v>
      </c>
    </row>
    <row r="4640" spans="1:5">
      <c r="A4640">
        <v>10465</v>
      </c>
      <c r="B4640" t="s">
        <v>178</v>
      </c>
      <c r="C4640">
        <v>294</v>
      </c>
      <c r="D4640">
        <v>20</v>
      </c>
      <c r="E4640" s="80">
        <v>35494</v>
      </c>
    </row>
    <row r="4641" spans="1:5">
      <c r="A4641">
        <v>10465</v>
      </c>
      <c r="B4641" t="s">
        <v>179</v>
      </c>
      <c r="C4641">
        <v>294</v>
      </c>
      <c r="D4641">
        <v>20</v>
      </c>
      <c r="E4641" s="80">
        <v>35494</v>
      </c>
    </row>
    <row r="4642" spans="1:5">
      <c r="A4642">
        <v>10465</v>
      </c>
      <c r="B4642" t="s">
        <v>172</v>
      </c>
      <c r="C4642">
        <v>205.19999966025352</v>
      </c>
      <c r="D4642">
        <v>30</v>
      </c>
      <c r="E4642" s="80">
        <v>35494</v>
      </c>
    </row>
    <row r="4643" spans="1:5">
      <c r="A4643">
        <v>10465</v>
      </c>
      <c r="B4643" t="s">
        <v>173</v>
      </c>
      <c r="C4643">
        <v>205.19999966025352</v>
      </c>
      <c r="D4643">
        <v>30</v>
      </c>
      <c r="E4643" s="80">
        <v>35494</v>
      </c>
    </row>
    <row r="4644" spans="1:5">
      <c r="A4644">
        <v>10465</v>
      </c>
      <c r="B4644" t="s">
        <v>174</v>
      </c>
      <c r="C4644">
        <v>205.19999966025352</v>
      </c>
      <c r="D4644">
        <v>30</v>
      </c>
      <c r="E4644" s="80">
        <v>35494</v>
      </c>
    </row>
    <row r="4645" spans="1:5">
      <c r="A4645">
        <v>10465</v>
      </c>
      <c r="B4645" t="s">
        <v>175</v>
      </c>
      <c r="C4645">
        <v>205.19999966025352</v>
      </c>
      <c r="D4645">
        <v>30</v>
      </c>
      <c r="E4645" s="80">
        <v>35494</v>
      </c>
    </row>
    <row r="4646" spans="1:5">
      <c r="A4646">
        <v>10465</v>
      </c>
      <c r="B4646" t="s">
        <v>176</v>
      </c>
      <c r="C4646">
        <v>205.19999966025352</v>
      </c>
      <c r="D4646">
        <v>30</v>
      </c>
      <c r="E4646" s="80">
        <v>35494</v>
      </c>
    </row>
    <row r="4647" spans="1:5">
      <c r="A4647">
        <v>10465</v>
      </c>
      <c r="B4647" t="s">
        <v>177</v>
      </c>
      <c r="C4647">
        <v>205.19999966025352</v>
      </c>
      <c r="D4647">
        <v>30</v>
      </c>
      <c r="E4647" s="80">
        <v>35494</v>
      </c>
    </row>
    <row r="4648" spans="1:5">
      <c r="A4648">
        <v>10465</v>
      </c>
      <c r="B4648" t="s">
        <v>178</v>
      </c>
      <c r="C4648">
        <v>205.19999966025352</v>
      </c>
      <c r="D4648">
        <v>30</v>
      </c>
      <c r="E4648" s="80">
        <v>35494</v>
      </c>
    </row>
    <row r="4649" spans="1:5">
      <c r="A4649">
        <v>10465</v>
      </c>
      <c r="B4649" t="s">
        <v>179</v>
      </c>
      <c r="C4649">
        <v>205.19999966025352</v>
      </c>
      <c r="D4649">
        <v>30</v>
      </c>
      <c r="E4649" s="80">
        <v>35494</v>
      </c>
    </row>
    <row r="4650" spans="1:5">
      <c r="A4650">
        <v>10465</v>
      </c>
      <c r="B4650" t="s">
        <v>172</v>
      </c>
      <c r="C4650">
        <v>325</v>
      </c>
      <c r="D4650">
        <v>25</v>
      </c>
      <c r="E4650" s="80">
        <v>35494</v>
      </c>
    </row>
    <row r="4651" spans="1:5">
      <c r="A4651">
        <v>10465</v>
      </c>
      <c r="B4651" t="s">
        <v>173</v>
      </c>
      <c r="C4651">
        <v>325</v>
      </c>
      <c r="D4651">
        <v>25</v>
      </c>
      <c r="E4651" s="80">
        <v>35494</v>
      </c>
    </row>
    <row r="4652" spans="1:5">
      <c r="A4652">
        <v>10465</v>
      </c>
      <c r="B4652" t="s">
        <v>174</v>
      </c>
      <c r="C4652">
        <v>325</v>
      </c>
      <c r="D4652">
        <v>25</v>
      </c>
      <c r="E4652" s="80">
        <v>35494</v>
      </c>
    </row>
    <row r="4653" spans="1:5">
      <c r="A4653">
        <v>10465</v>
      </c>
      <c r="B4653" t="s">
        <v>175</v>
      </c>
      <c r="C4653">
        <v>325</v>
      </c>
      <c r="D4653">
        <v>25</v>
      </c>
      <c r="E4653" s="80">
        <v>35494</v>
      </c>
    </row>
    <row r="4654" spans="1:5">
      <c r="A4654">
        <v>10465</v>
      </c>
      <c r="B4654" t="s">
        <v>176</v>
      </c>
      <c r="C4654">
        <v>325</v>
      </c>
      <c r="D4654">
        <v>25</v>
      </c>
      <c r="E4654" s="80">
        <v>35494</v>
      </c>
    </row>
    <row r="4655" spans="1:5">
      <c r="A4655">
        <v>10465</v>
      </c>
      <c r="B4655" t="s">
        <v>177</v>
      </c>
      <c r="C4655">
        <v>325</v>
      </c>
      <c r="D4655">
        <v>25</v>
      </c>
      <c r="E4655" s="80">
        <v>35494</v>
      </c>
    </row>
    <row r="4656" spans="1:5">
      <c r="A4656">
        <v>10465</v>
      </c>
      <c r="B4656" t="s">
        <v>178</v>
      </c>
      <c r="C4656">
        <v>325</v>
      </c>
      <c r="D4656">
        <v>25</v>
      </c>
      <c r="E4656" s="80">
        <v>35494</v>
      </c>
    </row>
    <row r="4657" spans="1:5">
      <c r="A4657">
        <v>10465</v>
      </c>
      <c r="B4657" t="s">
        <v>179</v>
      </c>
      <c r="C4657">
        <v>325</v>
      </c>
      <c r="D4657">
        <v>25</v>
      </c>
      <c r="E4657" s="80">
        <v>35494</v>
      </c>
    </row>
    <row r="4658" spans="1:5">
      <c r="A4658">
        <v>10466</v>
      </c>
      <c r="B4658" t="s">
        <v>172</v>
      </c>
      <c r="C4658">
        <v>168</v>
      </c>
      <c r="D4658">
        <v>10</v>
      </c>
      <c r="E4658" s="80">
        <v>35495</v>
      </c>
    </row>
    <row r="4659" spans="1:5">
      <c r="A4659">
        <v>10466</v>
      </c>
      <c r="B4659" t="s">
        <v>173</v>
      </c>
      <c r="C4659">
        <v>168</v>
      </c>
      <c r="D4659">
        <v>10</v>
      </c>
      <c r="E4659" s="80">
        <v>35495</v>
      </c>
    </row>
    <row r="4660" spans="1:5">
      <c r="A4660">
        <v>10466</v>
      </c>
      <c r="B4660" t="s">
        <v>174</v>
      </c>
      <c r="C4660">
        <v>168</v>
      </c>
      <c r="D4660">
        <v>10</v>
      </c>
      <c r="E4660" s="80">
        <v>35495</v>
      </c>
    </row>
    <row r="4661" spans="1:5">
      <c r="A4661">
        <v>10466</v>
      </c>
      <c r="B4661" t="s">
        <v>175</v>
      </c>
      <c r="C4661">
        <v>168</v>
      </c>
      <c r="D4661">
        <v>10</v>
      </c>
      <c r="E4661" s="80">
        <v>35495</v>
      </c>
    </row>
    <row r="4662" spans="1:5">
      <c r="A4662">
        <v>10466</v>
      </c>
      <c r="B4662" t="s">
        <v>176</v>
      </c>
      <c r="C4662">
        <v>168</v>
      </c>
      <c r="D4662">
        <v>10</v>
      </c>
      <c r="E4662" s="80">
        <v>35495</v>
      </c>
    </row>
    <row r="4663" spans="1:5">
      <c r="A4663">
        <v>10466</v>
      </c>
      <c r="B4663" t="s">
        <v>177</v>
      </c>
      <c r="C4663">
        <v>168</v>
      </c>
      <c r="D4663">
        <v>10</v>
      </c>
      <c r="E4663" s="80">
        <v>35495</v>
      </c>
    </row>
    <row r="4664" spans="1:5">
      <c r="A4664">
        <v>10466</v>
      </c>
      <c r="B4664" t="s">
        <v>178</v>
      </c>
      <c r="C4664">
        <v>168</v>
      </c>
      <c r="D4664">
        <v>10</v>
      </c>
      <c r="E4664" s="80">
        <v>35495</v>
      </c>
    </row>
    <row r="4665" spans="1:5">
      <c r="A4665">
        <v>10466</v>
      </c>
      <c r="B4665" t="s">
        <v>179</v>
      </c>
      <c r="C4665">
        <v>168</v>
      </c>
      <c r="D4665">
        <v>10</v>
      </c>
      <c r="E4665" s="80">
        <v>35495</v>
      </c>
    </row>
    <row r="4666" spans="1:5">
      <c r="A4666">
        <v>10466</v>
      </c>
      <c r="B4666" t="s">
        <v>172</v>
      </c>
      <c r="C4666">
        <v>48</v>
      </c>
      <c r="D4666">
        <v>5</v>
      </c>
      <c r="E4666" s="80">
        <v>35495</v>
      </c>
    </row>
    <row r="4667" spans="1:5">
      <c r="A4667">
        <v>10466</v>
      </c>
      <c r="B4667" t="s">
        <v>173</v>
      </c>
      <c r="C4667">
        <v>48</v>
      </c>
      <c r="D4667">
        <v>5</v>
      </c>
      <c r="E4667" s="80">
        <v>35495</v>
      </c>
    </row>
    <row r="4668" spans="1:5">
      <c r="A4668">
        <v>10466</v>
      </c>
      <c r="B4668" t="s">
        <v>174</v>
      </c>
      <c r="C4668">
        <v>48</v>
      </c>
      <c r="D4668">
        <v>5</v>
      </c>
      <c r="E4668" s="80">
        <v>35495</v>
      </c>
    </row>
    <row r="4669" spans="1:5">
      <c r="A4669">
        <v>10466</v>
      </c>
      <c r="B4669" t="s">
        <v>175</v>
      </c>
      <c r="C4669">
        <v>48</v>
      </c>
      <c r="D4669">
        <v>5</v>
      </c>
      <c r="E4669" s="80">
        <v>35495</v>
      </c>
    </row>
    <row r="4670" spans="1:5">
      <c r="A4670">
        <v>10466</v>
      </c>
      <c r="B4670" t="s">
        <v>176</v>
      </c>
      <c r="C4670">
        <v>48</v>
      </c>
      <c r="D4670">
        <v>5</v>
      </c>
      <c r="E4670" s="80">
        <v>35495</v>
      </c>
    </row>
    <row r="4671" spans="1:5">
      <c r="A4671">
        <v>10466</v>
      </c>
      <c r="B4671" t="s">
        <v>177</v>
      </c>
      <c r="C4671">
        <v>48</v>
      </c>
      <c r="D4671">
        <v>5</v>
      </c>
      <c r="E4671" s="80">
        <v>35495</v>
      </c>
    </row>
    <row r="4672" spans="1:5">
      <c r="A4672">
        <v>10466</v>
      </c>
      <c r="B4672" t="s">
        <v>178</v>
      </c>
      <c r="C4672">
        <v>48</v>
      </c>
      <c r="D4672">
        <v>5</v>
      </c>
      <c r="E4672" s="80">
        <v>35495</v>
      </c>
    </row>
    <row r="4673" spans="1:5">
      <c r="A4673">
        <v>10466</v>
      </c>
      <c r="B4673" t="s">
        <v>179</v>
      </c>
      <c r="C4673">
        <v>48</v>
      </c>
      <c r="D4673">
        <v>5</v>
      </c>
      <c r="E4673" s="80">
        <v>35495</v>
      </c>
    </row>
    <row r="4674" spans="1:5">
      <c r="A4674">
        <v>10467</v>
      </c>
      <c r="B4674" t="s">
        <v>172</v>
      </c>
      <c r="C4674">
        <v>100.8</v>
      </c>
      <c r="D4674">
        <v>28</v>
      </c>
      <c r="E4674" s="80">
        <v>35495</v>
      </c>
    </row>
    <row r="4675" spans="1:5">
      <c r="A4675">
        <v>10467</v>
      </c>
      <c r="B4675" t="s">
        <v>173</v>
      </c>
      <c r="C4675">
        <v>100.8</v>
      </c>
      <c r="D4675">
        <v>28</v>
      </c>
      <c r="E4675" s="80">
        <v>35495</v>
      </c>
    </row>
    <row r="4676" spans="1:5">
      <c r="A4676">
        <v>10467</v>
      </c>
      <c r="B4676" t="s">
        <v>174</v>
      </c>
      <c r="C4676">
        <v>100.8</v>
      </c>
      <c r="D4676">
        <v>28</v>
      </c>
      <c r="E4676" s="80">
        <v>35495</v>
      </c>
    </row>
    <row r="4677" spans="1:5">
      <c r="A4677">
        <v>10467</v>
      </c>
      <c r="B4677" t="s">
        <v>175</v>
      </c>
      <c r="C4677">
        <v>100.8</v>
      </c>
      <c r="D4677">
        <v>28</v>
      </c>
      <c r="E4677" s="80">
        <v>35495</v>
      </c>
    </row>
    <row r="4678" spans="1:5">
      <c r="A4678">
        <v>10467</v>
      </c>
      <c r="B4678" t="s">
        <v>176</v>
      </c>
      <c r="C4678">
        <v>100.8</v>
      </c>
      <c r="D4678">
        <v>28</v>
      </c>
      <c r="E4678" s="80">
        <v>35495</v>
      </c>
    </row>
    <row r="4679" spans="1:5">
      <c r="A4679">
        <v>10467</v>
      </c>
      <c r="B4679" t="s">
        <v>177</v>
      </c>
      <c r="C4679">
        <v>100.8</v>
      </c>
      <c r="D4679">
        <v>28</v>
      </c>
      <c r="E4679" s="80">
        <v>35495</v>
      </c>
    </row>
    <row r="4680" spans="1:5">
      <c r="A4680">
        <v>10467</v>
      </c>
      <c r="B4680" t="s">
        <v>178</v>
      </c>
      <c r="C4680">
        <v>100.8</v>
      </c>
      <c r="D4680">
        <v>28</v>
      </c>
      <c r="E4680" s="80">
        <v>35495</v>
      </c>
    </row>
    <row r="4681" spans="1:5">
      <c r="A4681">
        <v>10467</v>
      </c>
      <c r="B4681" t="s">
        <v>179</v>
      </c>
      <c r="C4681">
        <v>100.8</v>
      </c>
      <c r="D4681">
        <v>28</v>
      </c>
      <c r="E4681" s="80">
        <v>35495</v>
      </c>
    </row>
    <row r="4682" spans="1:5">
      <c r="A4682">
        <v>10467</v>
      </c>
      <c r="B4682" t="s">
        <v>172</v>
      </c>
      <c r="C4682">
        <v>134.4</v>
      </c>
      <c r="D4682">
        <v>12</v>
      </c>
      <c r="E4682" s="80">
        <v>35495</v>
      </c>
    </row>
    <row r="4683" spans="1:5">
      <c r="A4683">
        <v>10467</v>
      </c>
      <c r="B4683" t="s">
        <v>173</v>
      </c>
      <c r="C4683">
        <v>134.4</v>
      </c>
      <c r="D4683">
        <v>12</v>
      </c>
      <c r="E4683" s="80">
        <v>35495</v>
      </c>
    </row>
    <row r="4684" spans="1:5">
      <c r="A4684">
        <v>10467</v>
      </c>
      <c r="B4684" t="s">
        <v>174</v>
      </c>
      <c r="C4684">
        <v>134.4</v>
      </c>
      <c r="D4684">
        <v>12</v>
      </c>
      <c r="E4684" s="80">
        <v>35495</v>
      </c>
    </row>
    <row r="4685" spans="1:5">
      <c r="A4685">
        <v>10467</v>
      </c>
      <c r="B4685" t="s">
        <v>175</v>
      </c>
      <c r="C4685">
        <v>134.4</v>
      </c>
      <c r="D4685">
        <v>12</v>
      </c>
      <c r="E4685" s="80">
        <v>35495</v>
      </c>
    </row>
    <row r="4686" spans="1:5">
      <c r="A4686">
        <v>10467</v>
      </c>
      <c r="B4686" t="s">
        <v>176</v>
      </c>
      <c r="C4686">
        <v>134.4</v>
      </c>
      <c r="D4686">
        <v>12</v>
      </c>
      <c r="E4686" s="80">
        <v>35495</v>
      </c>
    </row>
    <row r="4687" spans="1:5">
      <c r="A4687">
        <v>10467</v>
      </c>
      <c r="B4687" t="s">
        <v>177</v>
      </c>
      <c r="C4687">
        <v>134.4</v>
      </c>
      <c r="D4687">
        <v>12</v>
      </c>
      <c r="E4687" s="80">
        <v>35495</v>
      </c>
    </row>
    <row r="4688" spans="1:5">
      <c r="A4688">
        <v>10467</v>
      </c>
      <c r="B4688" t="s">
        <v>178</v>
      </c>
      <c r="C4688">
        <v>134.4</v>
      </c>
      <c r="D4688">
        <v>12</v>
      </c>
      <c r="E4688" s="80">
        <v>35495</v>
      </c>
    </row>
    <row r="4689" spans="1:5">
      <c r="A4689">
        <v>10467</v>
      </c>
      <c r="B4689" t="s">
        <v>179</v>
      </c>
      <c r="C4689">
        <v>134.4</v>
      </c>
      <c r="D4689">
        <v>12</v>
      </c>
      <c r="E4689" s="80">
        <v>35495</v>
      </c>
    </row>
    <row r="4690" spans="1:5">
      <c r="A4690">
        <v>10468</v>
      </c>
      <c r="B4690" t="s">
        <v>172</v>
      </c>
      <c r="C4690">
        <v>165.6</v>
      </c>
      <c r="D4690">
        <v>8</v>
      </c>
      <c r="E4690" s="80">
        <v>35496</v>
      </c>
    </row>
    <row r="4691" spans="1:5">
      <c r="A4691">
        <v>10468</v>
      </c>
      <c r="B4691" t="s">
        <v>173</v>
      </c>
      <c r="C4691">
        <v>165.6</v>
      </c>
      <c r="D4691">
        <v>8</v>
      </c>
      <c r="E4691" s="80">
        <v>35496</v>
      </c>
    </row>
    <row r="4692" spans="1:5">
      <c r="A4692">
        <v>10468</v>
      </c>
      <c r="B4692" t="s">
        <v>174</v>
      </c>
      <c r="C4692">
        <v>165.6</v>
      </c>
      <c r="D4692">
        <v>8</v>
      </c>
      <c r="E4692" s="80">
        <v>35496</v>
      </c>
    </row>
    <row r="4693" spans="1:5">
      <c r="A4693">
        <v>10468</v>
      </c>
      <c r="B4693" t="s">
        <v>175</v>
      </c>
      <c r="C4693">
        <v>165.6</v>
      </c>
      <c r="D4693">
        <v>8</v>
      </c>
      <c r="E4693" s="80">
        <v>35496</v>
      </c>
    </row>
    <row r="4694" spans="1:5">
      <c r="A4694">
        <v>10468</v>
      </c>
      <c r="B4694" t="s">
        <v>176</v>
      </c>
      <c r="C4694">
        <v>165.6</v>
      </c>
      <c r="D4694">
        <v>8</v>
      </c>
      <c r="E4694" s="80">
        <v>35496</v>
      </c>
    </row>
    <row r="4695" spans="1:5">
      <c r="A4695">
        <v>10468</v>
      </c>
      <c r="B4695" t="s">
        <v>177</v>
      </c>
      <c r="C4695">
        <v>165.6</v>
      </c>
      <c r="D4695">
        <v>8</v>
      </c>
      <c r="E4695" s="80">
        <v>35496</v>
      </c>
    </row>
    <row r="4696" spans="1:5">
      <c r="A4696">
        <v>10468</v>
      </c>
      <c r="B4696" t="s">
        <v>178</v>
      </c>
      <c r="C4696">
        <v>165.6</v>
      </c>
      <c r="D4696">
        <v>8</v>
      </c>
      <c r="E4696" s="80">
        <v>35496</v>
      </c>
    </row>
    <row r="4697" spans="1:5">
      <c r="A4697">
        <v>10468</v>
      </c>
      <c r="B4697" t="s">
        <v>179</v>
      </c>
      <c r="C4697">
        <v>165.6</v>
      </c>
      <c r="D4697">
        <v>8</v>
      </c>
      <c r="E4697" s="80">
        <v>35496</v>
      </c>
    </row>
    <row r="4698" spans="1:5">
      <c r="A4698">
        <v>10468</v>
      </c>
      <c r="B4698" t="s">
        <v>172</v>
      </c>
      <c r="C4698">
        <v>552</v>
      </c>
      <c r="D4698">
        <v>15</v>
      </c>
      <c r="E4698" s="80">
        <v>35496</v>
      </c>
    </row>
    <row r="4699" spans="1:5">
      <c r="A4699">
        <v>10468</v>
      </c>
      <c r="B4699" t="s">
        <v>173</v>
      </c>
      <c r="C4699">
        <v>552</v>
      </c>
      <c r="D4699">
        <v>15</v>
      </c>
      <c r="E4699" s="80">
        <v>35496</v>
      </c>
    </row>
    <row r="4700" spans="1:5">
      <c r="A4700">
        <v>10468</v>
      </c>
      <c r="B4700" t="s">
        <v>174</v>
      </c>
      <c r="C4700">
        <v>552</v>
      </c>
      <c r="D4700">
        <v>15</v>
      </c>
      <c r="E4700" s="80">
        <v>35496</v>
      </c>
    </row>
    <row r="4701" spans="1:5">
      <c r="A4701">
        <v>10468</v>
      </c>
      <c r="B4701" t="s">
        <v>175</v>
      </c>
      <c r="C4701">
        <v>552</v>
      </c>
      <c r="D4701">
        <v>15</v>
      </c>
      <c r="E4701" s="80">
        <v>35496</v>
      </c>
    </row>
    <row r="4702" spans="1:5">
      <c r="A4702">
        <v>10468</v>
      </c>
      <c r="B4702" t="s">
        <v>176</v>
      </c>
      <c r="C4702">
        <v>552</v>
      </c>
      <c r="D4702">
        <v>15</v>
      </c>
      <c r="E4702" s="80">
        <v>35496</v>
      </c>
    </row>
    <row r="4703" spans="1:5">
      <c r="A4703">
        <v>10468</v>
      </c>
      <c r="B4703" t="s">
        <v>177</v>
      </c>
      <c r="C4703">
        <v>552</v>
      </c>
      <c r="D4703">
        <v>15</v>
      </c>
      <c r="E4703" s="80">
        <v>35496</v>
      </c>
    </row>
    <row r="4704" spans="1:5">
      <c r="A4704">
        <v>10468</v>
      </c>
      <c r="B4704" t="s">
        <v>178</v>
      </c>
      <c r="C4704">
        <v>552</v>
      </c>
      <c r="D4704">
        <v>15</v>
      </c>
      <c r="E4704" s="80">
        <v>35496</v>
      </c>
    </row>
    <row r="4705" spans="1:5">
      <c r="A4705">
        <v>10468</v>
      </c>
      <c r="B4705" t="s">
        <v>179</v>
      </c>
      <c r="C4705">
        <v>552</v>
      </c>
      <c r="D4705">
        <v>15</v>
      </c>
      <c r="E4705" s="80">
        <v>35496</v>
      </c>
    </row>
    <row r="4706" spans="1:5">
      <c r="A4706">
        <v>10469</v>
      </c>
      <c r="B4706" t="s">
        <v>172</v>
      </c>
      <c r="C4706">
        <v>516.7999963760376</v>
      </c>
      <c r="D4706">
        <v>40</v>
      </c>
      <c r="E4706" s="80">
        <v>35499</v>
      </c>
    </row>
    <row r="4707" spans="1:5">
      <c r="A4707">
        <v>10469</v>
      </c>
      <c r="B4707" t="s">
        <v>173</v>
      </c>
      <c r="C4707">
        <v>516.7999963760376</v>
      </c>
      <c r="D4707">
        <v>40</v>
      </c>
      <c r="E4707" s="80">
        <v>35499</v>
      </c>
    </row>
    <row r="4708" spans="1:5">
      <c r="A4708">
        <v>10469</v>
      </c>
      <c r="B4708" t="s">
        <v>174</v>
      </c>
      <c r="C4708">
        <v>516.7999963760376</v>
      </c>
      <c r="D4708">
        <v>40</v>
      </c>
      <c r="E4708" s="80">
        <v>35499</v>
      </c>
    </row>
    <row r="4709" spans="1:5">
      <c r="A4709">
        <v>10469</v>
      </c>
      <c r="B4709" t="s">
        <v>175</v>
      </c>
      <c r="C4709">
        <v>516.7999963760376</v>
      </c>
      <c r="D4709">
        <v>40</v>
      </c>
      <c r="E4709" s="80">
        <v>35499</v>
      </c>
    </row>
    <row r="4710" spans="1:5">
      <c r="A4710">
        <v>10469</v>
      </c>
      <c r="B4710" t="s">
        <v>176</v>
      </c>
      <c r="C4710">
        <v>516.7999963760376</v>
      </c>
      <c r="D4710">
        <v>40</v>
      </c>
      <c r="E4710" s="80">
        <v>35499</v>
      </c>
    </row>
    <row r="4711" spans="1:5">
      <c r="A4711">
        <v>10469</v>
      </c>
      <c r="B4711" t="s">
        <v>177</v>
      </c>
      <c r="C4711">
        <v>516.7999963760376</v>
      </c>
      <c r="D4711">
        <v>40</v>
      </c>
      <c r="E4711" s="80">
        <v>35499</v>
      </c>
    </row>
    <row r="4712" spans="1:5">
      <c r="A4712">
        <v>10469</v>
      </c>
      <c r="B4712" t="s">
        <v>178</v>
      </c>
      <c r="C4712">
        <v>516.7999963760376</v>
      </c>
      <c r="D4712">
        <v>40</v>
      </c>
      <c r="E4712" s="80">
        <v>35499</v>
      </c>
    </row>
    <row r="4713" spans="1:5">
      <c r="A4713">
        <v>10469</v>
      </c>
      <c r="B4713" t="s">
        <v>179</v>
      </c>
      <c r="C4713">
        <v>516.7999963760376</v>
      </c>
      <c r="D4713">
        <v>40</v>
      </c>
      <c r="E4713" s="80">
        <v>35499</v>
      </c>
    </row>
    <row r="4714" spans="1:5">
      <c r="A4714">
        <v>10469</v>
      </c>
      <c r="B4714" t="s">
        <v>172</v>
      </c>
      <c r="C4714">
        <v>413.52499710023403</v>
      </c>
      <c r="D4714">
        <v>35</v>
      </c>
      <c r="E4714" s="80">
        <v>35499</v>
      </c>
    </row>
    <row r="4715" spans="1:5">
      <c r="A4715">
        <v>10469</v>
      </c>
      <c r="B4715" t="s">
        <v>173</v>
      </c>
      <c r="C4715">
        <v>413.52499710023403</v>
      </c>
      <c r="D4715">
        <v>35</v>
      </c>
      <c r="E4715" s="80">
        <v>35499</v>
      </c>
    </row>
    <row r="4716" spans="1:5">
      <c r="A4716">
        <v>10469</v>
      </c>
      <c r="B4716" t="s">
        <v>174</v>
      </c>
      <c r="C4716">
        <v>413.52499710023403</v>
      </c>
      <c r="D4716">
        <v>35</v>
      </c>
      <c r="E4716" s="80">
        <v>35499</v>
      </c>
    </row>
    <row r="4717" spans="1:5">
      <c r="A4717">
        <v>10469</v>
      </c>
      <c r="B4717" t="s">
        <v>175</v>
      </c>
      <c r="C4717">
        <v>413.52499710023403</v>
      </c>
      <c r="D4717">
        <v>35</v>
      </c>
      <c r="E4717" s="80">
        <v>35499</v>
      </c>
    </row>
    <row r="4718" spans="1:5">
      <c r="A4718">
        <v>10469</v>
      </c>
      <c r="B4718" t="s">
        <v>176</v>
      </c>
      <c r="C4718">
        <v>413.52499710023403</v>
      </c>
      <c r="D4718">
        <v>35</v>
      </c>
      <c r="E4718" s="80">
        <v>35499</v>
      </c>
    </row>
    <row r="4719" spans="1:5">
      <c r="A4719">
        <v>10469</v>
      </c>
      <c r="B4719" t="s">
        <v>177</v>
      </c>
      <c r="C4719">
        <v>413.52499710023403</v>
      </c>
      <c r="D4719">
        <v>35</v>
      </c>
      <c r="E4719" s="80">
        <v>35499</v>
      </c>
    </row>
    <row r="4720" spans="1:5">
      <c r="A4720">
        <v>10469</v>
      </c>
      <c r="B4720" t="s">
        <v>178</v>
      </c>
      <c r="C4720">
        <v>413.52499710023403</v>
      </c>
      <c r="D4720">
        <v>35</v>
      </c>
      <c r="E4720" s="80">
        <v>35499</v>
      </c>
    </row>
    <row r="4721" spans="1:5">
      <c r="A4721">
        <v>10469</v>
      </c>
      <c r="B4721" t="s">
        <v>179</v>
      </c>
      <c r="C4721">
        <v>413.52499710023403</v>
      </c>
      <c r="D4721">
        <v>35</v>
      </c>
      <c r="E4721" s="80">
        <v>35499</v>
      </c>
    </row>
    <row r="4722" spans="1:5">
      <c r="A4722">
        <v>10469</v>
      </c>
      <c r="B4722" t="s">
        <v>172</v>
      </c>
      <c r="C4722">
        <v>26.349999815225601</v>
      </c>
      <c r="D4722">
        <v>2</v>
      </c>
      <c r="E4722" s="80">
        <v>35499</v>
      </c>
    </row>
    <row r="4723" spans="1:5">
      <c r="A4723">
        <v>10469</v>
      </c>
      <c r="B4723" t="s">
        <v>173</v>
      </c>
      <c r="C4723">
        <v>26.349999815225601</v>
      </c>
      <c r="D4723">
        <v>2</v>
      </c>
      <c r="E4723" s="80">
        <v>35499</v>
      </c>
    </row>
    <row r="4724" spans="1:5">
      <c r="A4724">
        <v>10469</v>
      </c>
      <c r="B4724" t="s">
        <v>174</v>
      </c>
      <c r="C4724">
        <v>26.349999815225601</v>
      </c>
      <c r="D4724">
        <v>2</v>
      </c>
      <c r="E4724" s="80">
        <v>35499</v>
      </c>
    </row>
    <row r="4725" spans="1:5">
      <c r="A4725">
        <v>10469</v>
      </c>
      <c r="B4725" t="s">
        <v>175</v>
      </c>
      <c r="C4725">
        <v>26.349999815225601</v>
      </c>
      <c r="D4725">
        <v>2</v>
      </c>
      <c r="E4725" s="80">
        <v>35499</v>
      </c>
    </row>
    <row r="4726" spans="1:5">
      <c r="A4726">
        <v>10469</v>
      </c>
      <c r="B4726" t="s">
        <v>176</v>
      </c>
      <c r="C4726">
        <v>26.349999815225601</v>
      </c>
      <c r="D4726">
        <v>2</v>
      </c>
      <c r="E4726" s="80">
        <v>35499</v>
      </c>
    </row>
    <row r="4727" spans="1:5">
      <c r="A4727">
        <v>10469</v>
      </c>
      <c r="B4727" t="s">
        <v>177</v>
      </c>
      <c r="C4727">
        <v>26.349999815225601</v>
      </c>
      <c r="D4727">
        <v>2</v>
      </c>
      <c r="E4727" s="80">
        <v>35499</v>
      </c>
    </row>
    <row r="4728" spans="1:5">
      <c r="A4728">
        <v>10469</v>
      </c>
      <c r="B4728" t="s">
        <v>178</v>
      </c>
      <c r="C4728">
        <v>26.349999815225601</v>
      </c>
      <c r="D4728">
        <v>2</v>
      </c>
      <c r="E4728" s="80">
        <v>35499</v>
      </c>
    </row>
    <row r="4729" spans="1:5">
      <c r="A4729">
        <v>10469</v>
      </c>
      <c r="B4729" t="s">
        <v>179</v>
      </c>
      <c r="C4729">
        <v>26.349999815225601</v>
      </c>
      <c r="D4729">
        <v>2</v>
      </c>
      <c r="E4729" s="80">
        <v>35499</v>
      </c>
    </row>
    <row r="4730" spans="1:5">
      <c r="A4730">
        <v>10470</v>
      </c>
      <c r="B4730" t="s">
        <v>172</v>
      </c>
      <c r="C4730">
        <v>1500</v>
      </c>
      <c r="D4730">
        <v>30</v>
      </c>
      <c r="E4730" s="80">
        <v>35500</v>
      </c>
    </row>
    <row r="4731" spans="1:5">
      <c r="A4731">
        <v>10470</v>
      </c>
      <c r="B4731" t="s">
        <v>173</v>
      </c>
      <c r="C4731">
        <v>1500</v>
      </c>
      <c r="D4731">
        <v>30</v>
      </c>
      <c r="E4731" s="80">
        <v>35500</v>
      </c>
    </row>
    <row r="4732" spans="1:5">
      <c r="A4732">
        <v>10470</v>
      </c>
      <c r="B4732" t="s">
        <v>174</v>
      </c>
      <c r="C4732">
        <v>1500</v>
      </c>
      <c r="D4732">
        <v>30</v>
      </c>
      <c r="E4732" s="80">
        <v>35500</v>
      </c>
    </row>
    <row r="4733" spans="1:5">
      <c r="A4733">
        <v>10470</v>
      </c>
      <c r="B4733" t="s">
        <v>175</v>
      </c>
      <c r="C4733">
        <v>1500</v>
      </c>
      <c r="D4733">
        <v>30</v>
      </c>
      <c r="E4733" s="80">
        <v>35500</v>
      </c>
    </row>
    <row r="4734" spans="1:5">
      <c r="A4734">
        <v>10470</v>
      </c>
      <c r="B4734" t="s">
        <v>176</v>
      </c>
      <c r="C4734">
        <v>1500</v>
      </c>
      <c r="D4734">
        <v>30</v>
      </c>
      <c r="E4734" s="80">
        <v>35500</v>
      </c>
    </row>
    <row r="4735" spans="1:5">
      <c r="A4735">
        <v>10470</v>
      </c>
      <c r="B4735" t="s">
        <v>177</v>
      </c>
      <c r="C4735">
        <v>1500</v>
      </c>
      <c r="D4735">
        <v>30</v>
      </c>
      <c r="E4735" s="80">
        <v>35500</v>
      </c>
    </row>
    <row r="4736" spans="1:5">
      <c r="A4736">
        <v>10470</v>
      </c>
      <c r="B4736" t="s">
        <v>178</v>
      </c>
      <c r="C4736">
        <v>1500</v>
      </c>
      <c r="D4736">
        <v>30</v>
      </c>
      <c r="E4736" s="80">
        <v>35500</v>
      </c>
    </row>
    <row r="4737" spans="1:5">
      <c r="A4737">
        <v>10470</v>
      </c>
      <c r="B4737" t="s">
        <v>179</v>
      </c>
      <c r="C4737">
        <v>1500</v>
      </c>
      <c r="D4737">
        <v>30</v>
      </c>
      <c r="E4737" s="80">
        <v>35500</v>
      </c>
    </row>
    <row r="4738" spans="1:5">
      <c r="A4738">
        <v>10470</v>
      </c>
      <c r="B4738" t="s">
        <v>172</v>
      </c>
      <c r="C4738">
        <v>108</v>
      </c>
      <c r="D4738">
        <v>15</v>
      </c>
      <c r="E4738" s="80">
        <v>35500</v>
      </c>
    </row>
    <row r="4739" spans="1:5">
      <c r="A4739">
        <v>10470</v>
      </c>
      <c r="B4739" t="s">
        <v>173</v>
      </c>
      <c r="C4739">
        <v>108</v>
      </c>
      <c r="D4739">
        <v>15</v>
      </c>
      <c r="E4739" s="80">
        <v>35500</v>
      </c>
    </row>
    <row r="4740" spans="1:5">
      <c r="A4740">
        <v>10470</v>
      </c>
      <c r="B4740" t="s">
        <v>174</v>
      </c>
      <c r="C4740">
        <v>108</v>
      </c>
      <c r="D4740">
        <v>15</v>
      </c>
      <c r="E4740" s="80">
        <v>35500</v>
      </c>
    </row>
    <row r="4741" spans="1:5">
      <c r="A4741">
        <v>10470</v>
      </c>
      <c r="B4741" t="s">
        <v>175</v>
      </c>
      <c r="C4741">
        <v>108</v>
      </c>
      <c r="D4741">
        <v>15</v>
      </c>
      <c r="E4741" s="80">
        <v>35500</v>
      </c>
    </row>
    <row r="4742" spans="1:5">
      <c r="A4742">
        <v>10470</v>
      </c>
      <c r="B4742" t="s">
        <v>176</v>
      </c>
      <c r="C4742">
        <v>108</v>
      </c>
      <c r="D4742">
        <v>15</v>
      </c>
      <c r="E4742" s="80">
        <v>35500</v>
      </c>
    </row>
    <row r="4743" spans="1:5">
      <c r="A4743">
        <v>10470</v>
      </c>
      <c r="B4743" t="s">
        <v>177</v>
      </c>
      <c r="C4743">
        <v>108</v>
      </c>
      <c r="D4743">
        <v>15</v>
      </c>
      <c r="E4743" s="80">
        <v>35500</v>
      </c>
    </row>
    <row r="4744" spans="1:5">
      <c r="A4744">
        <v>10470</v>
      </c>
      <c r="B4744" t="s">
        <v>178</v>
      </c>
      <c r="C4744">
        <v>108</v>
      </c>
      <c r="D4744">
        <v>15</v>
      </c>
      <c r="E4744" s="80">
        <v>35500</v>
      </c>
    </row>
    <row r="4745" spans="1:5">
      <c r="A4745">
        <v>10470</v>
      </c>
      <c r="B4745" t="s">
        <v>179</v>
      </c>
      <c r="C4745">
        <v>108</v>
      </c>
      <c r="D4745">
        <v>15</v>
      </c>
      <c r="E4745" s="80">
        <v>35500</v>
      </c>
    </row>
    <row r="4746" spans="1:5">
      <c r="A4746">
        <v>10470</v>
      </c>
      <c r="B4746" t="s">
        <v>172</v>
      </c>
      <c r="C4746">
        <v>212.8</v>
      </c>
      <c r="D4746">
        <v>8</v>
      </c>
      <c r="E4746" s="80">
        <v>35500</v>
      </c>
    </row>
    <row r="4747" spans="1:5">
      <c r="A4747">
        <v>10470</v>
      </c>
      <c r="B4747" t="s">
        <v>173</v>
      </c>
      <c r="C4747">
        <v>212.8</v>
      </c>
      <c r="D4747">
        <v>8</v>
      </c>
      <c r="E4747" s="80">
        <v>35500</v>
      </c>
    </row>
    <row r="4748" spans="1:5">
      <c r="A4748">
        <v>10470</v>
      </c>
      <c r="B4748" t="s">
        <v>174</v>
      </c>
      <c r="C4748">
        <v>212.8</v>
      </c>
      <c r="D4748">
        <v>8</v>
      </c>
      <c r="E4748" s="80">
        <v>35500</v>
      </c>
    </row>
    <row r="4749" spans="1:5">
      <c r="A4749">
        <v>10470</v>
      </c>
      <c r="B4749" t="s">
        <v>175</v>
      </c>
      <c r="C4749">
        <v>212.8</v>
      </c>
      <c r="D4749">
        <v>8</v>
      </c>
      <c r="E4749" s="80">
        <v>35500</v>
      </c>
    </row>
    <row r="4750" spans="1:5">
      <c r="A4750">
        <v>10470</v>
      </c>
      <c r="B4750" t="s">
        <v>176</v>
      </c>
      <c r="C4750">
        <v>212.8</v>
      </c>
      <c r="D4750">
        <v>8</v>
      </c>
      <c r="E4750" s="80">
        <v>35500</v>
      </c>
    </row>
    <row r="4751" spans="1:5">
      <c r="A4751">
        <v>10470</v>
      </c>
      <c r="B4751" t="s">
        <v>177</v>
      </c>
      <c r="C4751">
        <v>212.8</v>
      </c>
      <c r="D4751">
        <v>8</v>
      </c>
      <c r="E4751" s="80">
        <v>35500</v>
      </c>
    </row>
    <row r="4752" spans="1:5">
      <c r="A4752">
        <v>10470</v>
      </c>
      <c r="B4752" t="s">
        <v>178</v>
      </c>
      <c r="C4752">
        <v>212.8</v>
      </c>
      <c r="D4752">
        <v>8</v>
      </c>
      <c r="E4752" s="80">
        <v>35500</v>
      </c>
    </row>
    <row r="4753" spans="1:5">
      <c r="A4753">
        <v>10470</v>
      </c>
      <c r="B4753" t="s">
        <v>179</v>
      </c>
      <c r="C4753">
        <v>212.8</v>
      </c>
      <c r="D4753">
        <v>8</v>
      </c>
      <c r="E4753" s="80">
        <v>35500</v>
      </c>
    </row>
    <row r="4754" spans="1:5">
      <c r="A4754">
        <v>10471</v>
      </c>
      <c r="B4754" t="s">
        <v>172</v>
      </c>
      <c r="C4754">
        <v>720</v>
      </c>
      <c r="D4754">
        <v>30</v>
      </c>
      <c r="E4754" s="80">
        <v>35500</v>
      </c>
    </row>
    <row r="4755" spans="1:5">
      <c r="A4755">
        <v>10471</v>
      </c>
      <c r="B4755" t="s">
        <v>173</v>
      </c>
      <c r="C4755">
        <v>720</v>
      </c>
      <c r="D4755">
        <v>30</v>
      </c>
      <c r="E4755" s="80">
        <v>35500</v>
      </c>
    </row>
    <row r="4756" spans="1:5">
      <c r="A4756">
        <v>10471</v>
      </c>
      <c r="B4756" t="s">
        <v>174</v>
      </c>
      <c r="C4756">
        <v>720</v>
      </c>
      <c r="D4756">
        <v>30</v>
      </c>
      <c r="E4756" s="80">
        <v>35500</v>
      </c>
    </row>
    <row r="4757" spans="1:5">
      <c r="A4757">
        <v>10471</v>
      </c>
      <c r="B4757" t="s">
        <v>175</v>
      </c>
      <c r="C4757">
        <v>720</v>
      </c>
      <c r="D4757">
        <v>30</v>
      </c>
      <c r="E4757" s="80">
        <v>35500</v>
      </c>
    </row>
    <row r="4758" spans="1:5">
      <c r="A4758">
        <v>10471</v>
      </c>
      <c r="B4758" t="s">
        <v>176</v>
      </c>
      <c r="C4758">
        <v>720</v>
      </c>
      <c r="D4758">
        <v>30</v>
      </c>
      <c r="E4758" s="80">
        <v>35500</v>
      </c>
    </row>
    <row r="4759" spans="1:5">
      <c r="A4759">
        <v>10471</v>
      </c>
      <c r="B4759" t="s">
        <v>177</v>
      </c>
      <c r="C4759">
        <v>720</v>
      </c>
      <c r="D4759">
        <v>30</v>
      </c>
      <c r="E4759" s="80">
        <v>35500</v>
      </c>
    </row>
    <row r="4760" spans="1:5">
      <c r="A4760">
        <v>10471</v>
      </c>
      <c r="B4760" t="s">
        <v>178</v>
      </c>
      <c r="C4760">
        <v>720</v>
      </c>
      <c r="D4760">
        <v>30</v>
      </c>
      <c r="E4760" s="80">
        <v>35500</v>
      </c>
    </row>
    <row r="4761" spans="1:5">
      <c r="A4761">
        <v>10471</v>
      </c>
      <c r="B4761" t="s">
        <v>179</v>
      </c>
      <c r="C4761">
        <v>720</v>
      </c>
      <c r="D4761">
        <v>30</v>
      </c>
      <c r="E4761" s="80">
        <v>35500</v>
      </c>
    </row>
    <row r="4762" spans="1:5">
      <c r="A4762">
        <v>10471</v>
      </c>
      <c r="B4762" t="s">
        <v>172</v>
      </c>
      <c r="C4762">
        <v>608</v>
      </c>
      <c r="D4762">
        <v>20</v>
      </c>
      <c r="E4762" s="80">
        <v>35500</v>
      </c>
    </row>
    <row r="4763" spans="1:5">
      <c r="A4763">
        <v>10471</v>
      </c>
      <c r="B4763" t="s">
        <v>173</v>
      </c>
      <c r="C4763">
        <v>608</v>
      </c>
      <c r="D4763">
        <v>20</v>
      </c>
      <c r="E4763" s="80">
        <v>35500</v>
      </c>
    </row>
    <row r="4764" spans="1:5">
      <c r="A4764">
        <v>10471</v>
      </c>
      <c r="B4764" t="s">
        <v>174</v>
      </c>
      <c r="C4764">
        <v>608</v>
      </c>
      <c r="D4764">
        <v>20</v>
      </c>
      <c r="E4764" s="80">
        <v>35500</v>
      </c>
    </row>
    <row r="4765" spans="1:5">
      <c r="A4765">
        <v>10471</v>
      </c>
      <c r="B4765" t="s">
        <v>175</v>
      </c>
      <c r="C4765">
        <v>608</v>
      </c>
      <c r="D4765">
        <v>20</v>
      </c>
      <c r="E4765" s="80">
        <v>35500</v>
      </c>
    </row>
    <row r="4766" spans="1:5">
      <c r="A4766">
        <v>10471</v>
      </c>
      <c r="B4766" t="s">
        <v>176</v>
      </c>
      <c r="C4766">
        <v>608</v>
      </c>
      <c r="D4766">
        <v>20</v>
      </c>
      <c r="E4766" s="80">
        <v>35500</v>
      </c>
    </row>
    <row r="4767" spans="1:5">
      <c r="A4767">
        <v>10471</v>
      </c>
      <c r="B4767" t="s">
        <v>177</v>
      </c>
      <c r="C4767">
        <v>608</v>
      </c>
      <c r="D4767">
        <v>20</v>
      </c>
      <c r="E4767" s="80">
        <v>35500</v>
      </c>
    </row>
    <row r="4768" spans="1:5">
      <c r="A4768">
        <v>10471</v>
      </c>
      <c r="B4768" t="s">
        <v>178</v>
      </c>
      <c r="C4768">
        <v>608</v>
      </c>
      <c r="D4768">
        <v>20</v>
      </c>
      <c r="E4768" s="80">
        <v>35500</v>
      </c>
    </row>
    <row r="4769" spans="1:5">
      <c r="A4769">
        <v>10471</v>
      </c>
      <c r="B4769" t="s">
        <v>179</v>
      </c>
      <c r="C4769">
        <v>608</v>
      </c>
      <c r="D4769">
        <v>20</v>
      </c>
      <c r="E4769" s="80">
        <v>35500</v>
      </c>
    </row>
    <row r="4770" spans="1:5">
      <c r="A4770">
        <v>10472</v>
      </c>
      <c r="B4770" t="s">
        <v>172</v>
      </c>
      <c r="C4770">
        <v>273.59999978542328</v>
      </c>
      <c r="D4770">
        <v>80</v>
      </c>
      <c r="E4770" s="80">
        <v>35501</v>
      </c>
    </row>
    <row r="4771" spans="1:5">
      <c r="A4771">
        <v>10472</v>
      </c>
      <c r="B4771" t="s">
        <v>173</v>
      </c>
      <c r="C4771">
        <v>273.59999978542328</v>
      </c>
      <c r="D4771">
        <v>80</v>
      </c>
      <c r="E4771" s="80">
        <v>35501</v>
      </c>
    </row>
    <row r="4772" spans="1:5">
      <c r="A4772">
        <v>10472</v>
      </c>
      <c r="B4772" t="s">
        <v>174</v>
      </c>
      <c r="C4772">
        <v>273.59999978542328</v>
      </c>
      <c r="D4772">
        <v>80</v>
      </c>
      <c r="E4772" s="80">
        <v>35501</v>
      </c>
    </row>
    <row r="4773" spans="1:5">
      <c r="A4773">
        <v>10472</v>
      </c>
      <c r="B4773" t="s">
        <v>175</v>
      </c>
      <c r="C4773">
        <v>273.59999978542328</v>
      </c>
      <c r="D4773">
        <v>80</v>
      </c>
      <c r="E4773" s="80">
        <v>35501</v>
      </c>
    </row>
    <row r="4774" spans="1:5">
      <c r="A4774">
        <v>10472</v>
      </c>
      <c r="B4774" t="s">
        <v>176</v>
      </c>
      <c r="C4774">
        <v>273.59999978542328</v>
      </c>
      <c r="D4774">
        <v>80</v>
      </c>
      <c r="E4774" s="80">
        <v>35501</v>
      </c>
    </row>
    <row r="4775" spans="1:5">
      <c r="A4775">
        <v>10472</v>
      </c>
      <c r="B4775" t="s">
        <v>177</v>
      </c>
      <c r="C4775">
        <v>273.59999978542328</v>
      </c>
      <c r="D4775">
        <v>80</v>
      </c>
      <c r="E4775" s="80">
        <v>35501</v>
      </c>
    </row>
    <row r="4776" spans="1:5">
      <c r="A4776">
        <v>10472</v>
      </c>
      <c r="B4776" t="s">
        <v>178</v>
      </c>
      <c r="C4776">
        <v>273.59999978542328</v>
      </c>
      <c r="D4776">
        <v>80</v>
      </c>
      <c r="E4776" s="80">
        <v>35501</v>
      </c>
    </row>
    <row r="4777" spans="1:5">
      <c r="A4777">
        <v>10472</v>
      </c>
      <c r="B4777" t="s">
        <v>179</v>
      </c>
      <c r="C4777">
        <v>273.59999978542328</v>
      </c>
      <c r="D4777">
        <v>80</v>
      </c>
      <c r="E4777" s="80">
        <v>35501</v>
      </c>
    </row>
    <row r="4778" spans="1:5">
      <c r="A4778">
        <v>10472</v>
      </c>
      <c r="B4778" t="s">
        <v>172</v>
      </c>
      <c r="C4778">
        <v>763.2</v>
      </c>
      <c r="D4778">
        <v>18</v>
      </c>
      <c r="E4778" s="80">
        <v>35501</v>
      </c>
    </row>
    <row r="4779" spans="1:5">
      <c r="A4779">
        <v>10472</v>
      </c>
      <c r="B4779" t="s">
        <v>173</v>
      </c>
      <c r="C4779">
        <v>763.2</v>
      </c>
      <c r="D4779">
        <v>18</v>
      </c>
      <c r="E4779" s="80">
        <v>35501</v>
      </c>
    </row>
    <row r="4780" spans="1:5">
      <c r="A4780">
        <v>10472</v>
      </c>
      <c r="B4780" t="s">
        <v>174</v>
      </c>
      <c r="C4780">
        <v>763.2</v>
      </c>
      <c r="D4780">
        <v>18</v>
      </c>
      <c r="E4780" s="80">
        <v>35501</v>
      </c>
    </row>
    <row r="4781" spans="1:5">
      <c r="A4781">
        <v>10472</v>
      </c>
      <c r="B4781" t="s">
        <v>175</v>
      </c>
      <c r="C4781">
        <v>763.2</v>
      </c>
      <c r="D4781">
        <v>18</v>
      </c>
      <c r="E4781" s="80">
        <v>35501</v>
      </c>
    </row>
    <row r="4782" spans="1:5">
      <c r="A4782">
        <v>10472</v>
      </c>
      <c r="B4782" t="s">
        <v>176</v>
      </c>
      <c r="C4782">
        <v>763.2</v>
      </c>
      <c r="D4782">
        <v>18</v>
      </c>
      <c r="E4782" s="80">
        <v>35501</v>
      </c>
    </row>
    <row r="4783" spans="1:5">
      <c r="A4783">
        <v>10472</v>
      </c>
      <c r="B4783" t="s">
        <v>177</v>
      </c>
      <c r="C4783">
        <v>763.2</v>
      </c>
      <c r="D4783">
        <v>18</v>
      </c>
      <c r="E4783" s="80">
        <v>35501</v>
      </c>
    </row>
    <row r="4784" spans="1:5">
      <c r="A4784">
        <v>10472</v>
      </c>
      <c r="B4784" t="s">
        <v>178</v>
      </c>
      <c r="C4784">
        <v>763.2</v>
      </c>
      <c r="D4784">
        <v>18</v>
      </c>
      <c r="E4784" s="80">
        <v>35501</v>
      </c>
    </row>
    <row r="4785" spans="1:5">
      <c r="A4785">
        <v>10472</v>
      </c>
      <c r="B4785" t="s">
        <v>179</v>
      </c>
      <c r="C4785">
        <v>763.2</v>
      </c>
      <c r="D4785">
        <v>18</v>
      </c>
      <c r="E4785" s="80">
        <v>35501</v>
      </c>
    </row>
    <row r="4786" spans="1:5">
      <c r="A4786">
        <v>10473</v>
      </c>
      <c r="B4786" t="s">
        <v>172</v>
      </c>
      <c r="C4786">
        <v>24</v>
      </c>
      <c r="D4786">
        <v>12</v>
      </c>
      <c r="E4786" s="80">
        <v>35502</v>
      </c>
    </row>
    <row r="4787" spans="1:5">
      <c r="A4787">
        <v>10473</v>
      </c>
      <c r="B4787" t="s">
        <v>173</v>
      </c>
      <c r="C4787">
        <v>24</v>
      </c>
      <c r="D4787">
        <v>12</v>
      </c>
      <c r="E4787" s="80">
        <v>35502</v>
      </c>
    </row>
    <row r="4788" spans="1:5">
      <c r="A4788">
        <v>10473</v>
      </c>
      <c r="B4788" t="s">
        <v>174</v>
      </c>
      <c r="C4788">
        <v>24</v>
      </c>
      <c r="D4788">
        <v>12</v>
      </c>
      <c r="E4788" s="80">
        <v>35502</v>
      </c>
    </row>
    <row r="4789" spans="1:5">
      <c r="A4789">
        <v>10473</v>
      </c>
      <c r="B4789" t="s">
        <v>175</v>
      </c>
      <c r="C4789">
        <v>24</v>
      </c>
      <c r="D4789">
        <v>12</v>
      </c>
      <c r="E4789" s="80">
        <v>35502</v>
      </c>
    </row>
    <row r="4790" spans="1:5">
      <c r="A4790">
        <v>10473</v>
      </c>
      <c r="B4790" t="s">
        <v>176</v>
      </c>
      <c r="C4790">
        <v>24</v>
      </c>
      <c r="D4790">
        <v>12</v>
      </c>
      <c r="E4790" s="80">
        <v>35502</v>
      </c>
    </row>
    <row r="4791" spans="1:5">
      <c r="A4791">
        <v>10473</v>
      </c>
      <c r="B4791" t="s">
        <v>177</v>
      </c>
      <c r="C4791">
        <v>24</v>
      </c>
      <c r="D4791">
        <v>12</v>
      </c>
      <c r="E4791" s="80">
        <v>35502</v>
      </c>
    </row>
    <row r="4792" spans="1:5">
      <c r="A4792">
        <v>10473</v>
      </c>
      <c r="B4792" t="s">
        <v>178</v>
      </c>
      <c r="C4792">
        <v>24</v>
      </c>
      <c r="D4792">
        <v>12</v>
      </c>
      <c r="E4792" s="80">
        <v>35502</v>
      </c>
    </row>
    <row r="4793" spans="1:5">
      <c r="A4793">
        <v>10473</v>
      </c>
      <c r="B4793" t="s">
        <v>179</v>
      </c>
      <c r="C4793">
        <v>24</v>
      </c>
      <c r="D4793">
        <v>12</v>
      </c>
      <c r="E4793" s="80">
        <v>35502</v>
      </c>
    </row>
    <row r="4794" spans="1:5">
      <c r="A4794">
        <v>10473</v>
      </c>
      <c r="B4794" t="s">
        <v>172</v>
      </c>
      <c r="C4794">
        <v>206.4</v>
      </c>
      <c r="D4794">
        <v>12</v>
      </c>
      <c r="E4794" s="80">
        <v>35502</v>
      </c>
    </row>
    <row r="4795" spans="1:5">
      <c r="A4795">
        <v>10473</v>
      </c>
      <c r="B4795" t="s">
        <v>173</v>
      </c>
      <c r="C4795">
        <v>206.4</v>
      </c>
      <c r="D4795">
        <v>12</v>
      </c>
      <c r="E4795" s="80">
        <v>35502</v>
      </c>
    </row>
    <row r="4796" spans="1:5">
      <c r="A4796">
        <v>10473</v>
      </c>
      <c r="B4796" t="s">
        <v>174</v>
      </c>
      <c r="C4796">
        <v>206.4</v>
      </c>
      <c r="D4796">
        <v>12</v>
      </c>
      <c r="E4796" s="80">
        <v>35502</v>
      </c>
    </row>
    <row r="4797" spans="1:5">
      <c r="A4797">
        <v>10473</v>
      </c>
      <c r="B4797" t="s">
        <v>175</v>
      </c>
      <c r="C4797">
        <v>206.4</v>
      </c>
      <c r="D4797">
        <v>12</v>
      </c>
      <c r="E4797" s="80">
        <v>35502</v>
      </c>
    </row>
    <row r="4798" spans="1:5">
      <c r="A4798">
        <v>10473</v>
      </c>
      <c r="B4798" t="s">
        <v>176</v>
      </c>
      <c r="C4798">
        <v>206.4</v>
      </c>
      <c r="D4798">
        <v>12</v>
      </c>
      <c r="E4798" s="80">
        <v>35502</v>
      </c>
    </row>
    <row r="4799" spans="1:5">
      <c r="A4799">
        <v>10473</v>
      </c>
      <c r="B4799" t="s">
        <v>177</v>
      </c>
      <c r="C4799">
        <v>206.4</v>
      </c>
      <c r="D4799">
        <v>12</v>
      </c>
      <c r="E4799" s="80">
        <v>35502</v>
      </c>
    </row>
    <row r="4800" spans="1:5">
      <c r="A4800">
        <v>10473</v>
      </c>
      <c r="B4800" t="s">
        <v>178</v>
      </c>
      <c r="C4800">
        <v>206.4</v>
      </c>
      <c r="D4800">
        <v>12</v>
      </c>
      <c r="E4800" s="80">
        <v>35502</v>
      </c>
    </row>
    <row r="4801" spans="1:5">
      <c r="A4801">
        <v>10473</v>
      </c>
      <c r="B4801" t="s">
        <v>179</v>
      </c>
      <c r="C4801">
        <v>206.4</v>
      </c>
      <c r="D4801">
        <v>12</v>
      </c>
      <c r="E4801" s="80">
        <v>35502</v>
      </c>
    </row>
    <row r="4802" spans="1:5">
      <c r="A4802">
        <v>10474</v>
      </c>
      <c r="B4802" t="s">
        <v>172</v>
      </c>
      <c r="C4802">
        <v>223.2</v>
      </c>
      <c r="D4802">
        <v>12</v>
      </c>
      <c r="E4802" s="80">
        <v>35502</v>
      </c>
    </row>
    <row r="4803" spans="1:5">
      <c r="A4803">
        <v>10474</v>
      </c>
      <c r="B4803" t="s">
        <v>173</v>
      </c>
      <c r="C4803">
        <v>223.2</v>
      </c>
      <c r="D4803">
        <v>12</v>
      </c>
      <c r="E4803" s="80">
        <v>35502</v>
      </c>
    </row>
    <row r="4804" spans="1:5">
      <c r="A4804">
        <v>10474</v>
      </c>
      <c r="B4804" t="s">
        <v>174</v>
      </c>
      <c r="C4804">
        <v>223.2</v>
      </c>
      <c r="D4804">
        <v>12</v>
      </c>
      <c r="E4804" s="80">
        <v>35502</v>
      </c>
    </row>
    <row r="4805" spans="1:5">
      <c r="A4805">
        <v>10474</v>
      </c>
      <c r="B4805" t="s">
        <v>175</v>
      </c>
      <c r="C4805">
        <v>223.2</v>
      </c>
      <c r="D4805">
        <v>12</v>
      </c>
      <c r="E4805" s="80">
        <v>35502</v>
      </c>
    </row>
    <row r="4806" spans="1:5">
      <c r="A4806">
        <v>10474</v>
      </c>
      <c r="B4806" t="s">
        <v>176</v>
      </c>
      <c r="C4806">
        <v>223.2</v>
      </c>
      <c r="D4806">
        <v>12</v>
      </c>
      <c r="E4806" s="80">
        <v>35502</v>
      </c>
    </row>
    <row r="4807" spans="1:5">
      <c r="A4807">
        <v>10474</v>
      </c>
      <c r="B4807" t="s">
        <v>177</v>
      </c>
      <c r="C4807">
        <v>223.2</v>
      </c>
      <c r="D4807">
        <v>12</v>
      </c>
      <c r="E4807" s="80">
        <v>35502</v>
      </c>
    </row>
    <row r="4808" spans="1:5">
      <c r="A4808">
        <v>10474</v>
      </c>
      <c r="B4808" t="s">
        <v>178</v>
      </c>
      <c r="C4808">
        <v>223.2</v>
      </c>
      <c r="D4808">
        <v>12</v>
      </c>
      <c r="E4808" s="80">
        <v>35502</v>
      </c>
    </row>
    <row r="4809" spans="1:5">
      <c r="A4809">
        <v>10474</v>
      </c>
      <c r="B4809" t="s">
        <v>179</v>
      </c>
      <c r="C4809">
        <v>223.2</v>
      </c>
      <c r="D4809">
        <v>12</v>
      </c>
      <c r="E4809" s="80">
        <v>35502</v>
      </c>
    </row>
    <row r="4810" spans="1:5">
      <c r="A4810">
        <v>10474</v>
      </c>
      <c r="B4810" t="s">
        <v>172</v>
      </c>
      <c r="C4810">
        <v>655.20000000000005</v>
      </c>
      <c r="D4810">
        <v>18</v>
      </c>
      <c r="E4810" s="80">
        <v>35502</v>
      </c>
    </row>
    <row r="4811" spans="1:5">
      <c r="A4811">
        <v>10474</v>
      </c>
      <c r="B4811" t="s">
        <v>173</v>
      </c>
      <c r="C4811">
        <v>655.20000000000005</v>
      </c>
      <c r="D4811">
        <v>18</v>
      </c>
      <c r="E4811" s="80">
        <v>35502</v>
      </c>
    </row>
    <row r="4812" spans="1:5">
      <c r="A4812">
        <v>10474</v>
      </c>
      <c r="B4812" t="s">
        <v>174</v>
      </c>
      <c r="C4812">
        <v>655.20000000000005</v>
      </c>
      <c r="D4812">
        <v>18</v>
      </c>
      <c r="E4812" s="80">
        <v>35502</v>
      </c>
    </row>
    <row r="4813" spans="1:5">
      <c r="A4813">
        <v>10474</v>
      </c>
      <c r="B4813" t="s">
        <v>175</v>
      </c>
      <c r="C4813">
        <v>655.20000000000005</v>
      </c>
      <c r="D4813">
        <v>18</v>
      </c>
      <c r="E4813" s="80">
        <v>35502</v>
      </c>
    </row>
    <row r="4814" spans="1:5">
      <c r="A4814">
        <v>10474</v>
      </c>
      <c r="B4814" t="s">
        <v>176</v>
      </c>
      <c r="C4814">
        <v>655.20000000000005</v>
      </c>
      <c r="D4814">
        <v>18</v>
      </c>
      <c r="E4814" s="80">
        <v>35502</v>
      </c>
    </row>
    <row r="4815" spans="1:5">
      <c r="A4815">
        <v>10474</v>
      </c>
      <c r="B4815" t="s">
        <v>177</v>
      </c>
      <c r="C4815">
        <v>655.20000000000005</v>
      </c>
      <c r="D4815">
        <v>18</v>
      </c>
      <c r="E4815" s="80">
        <v>35502</v>
      </c>
    </row>
    <row r="4816" spans="1:5">
      <c r="A4816">
        <v>10474</v>
      </c>
      <c r="B4816" t="s">
        <v>178</v>
      </c>
      <c r="C4816">
        <v>655.20000000000005</v>
      </c>
      <c r="D4816">
        <v>18</v>
      </c>
      <c r="E4816" s="80">
        <v>35502</v>
      </c>
    </row>
    <row r="4817" spans="1:5">
      <c r="A4817">
        <v>10474</v>
      </c>
      <c r="B4817" t="s">
        <v>179</v>
      </c>
      <c r="C4817">
        <v>655.20000000000005</v>
      </c>
      <c r="D4817">
        <v>18</v>
      </c>
      <c r="E4817" s="80">
        <v>35502</v>
      </c>
    </row>
    <row r="4818" spans="1:5">
      <c r="A4818">
        <v>10474</v>
      </c>
      <c r="B4818" t="s">
        <v>172</v>
      </c>
      <c r="C4818">
        <v>308.7</v>
      </c>
      <c r="D4818">
        <v>21</v>
      </c>
      <c r="E4818" s="80">
        <v>35502</v>
      </c>
    </row>
    <row r="4819" spans="1:5">
      <c r="A4819">
        <v>10474</v>
      </c>
      <c r="B4819" t="s">
        <v>173</v>
      </c>
      <c r="C4819">
        <v>308.7</v>
      </c>
      <c r="D4819">
        <v>21</v>
      </c>
      <c r="E4819" s="80">
        <v>35502</v>
      </c>
    </row>
    <row r="4820" spans="1:5">
      <c r="A4820">
        <v>10474</v>
      </c>
      <c r="B4820" t="s">
        <v>174</v>
      </c>
      <c r="C4820">
        <v>308.7</v>
      </c>
      <c r="D4820">
        <v>21</v>
      </c>
      <c r="E4820" s="80">
        <v>35502</v>
      </c>
    </row>
    <row r="4821" spans="1:5">
      <c r="A4821">
        <v>10474</v>
      </c>
      <c r="B4821" t="s">
        <v>175</v>
      </c>
      <c r="C4821">
        <v>308.7</v>
      </c>
      <c r="D4821">
        <v>21</v>
      </c>
      <c r="E4821" s="80">
        <v>35502</v>
      </c>
    </row>
    <row r="4822" spans="1:5">
      <c r="A4822">
        <v>10474</v>
      </c>
      <c r="B4822" t="s">
        <v>176</v>
      </c>
      <c r="C4822">
        <v>308.7</v>
      </c>
      <c r="D4822">
        <v>21</v>
      </c>
      <c r="E4822" s="80">
        <v>35502</v>
      </c>
    </row>
    <row r="4823" spans="1:5">
      <c r="A4823">
        <v>10474</v>
      </c>
      <c r="B4823" t="s">
        <v>177</v>
      </c>
      <c r="C4823">
        <v>308.7</v>
      </c>
      <c r="D4823">
        <v>21</v>
      </c>
      <c r="E4823" s="80">
        <v>35502</v>
      </c>
    </row>
    <row r="4824" spans="1:5">
      <c r="A4824">
        <v>10474</v>
      </c>
      <c r="B4824" t="s">
        <v>178</v>
      </c>
      <c r="C4824">
        <v>308.7</v>
      </c>
      <c r="D4824">
        <v>21</v>
      </c>
      <c r="E4824" s="80">
        <v>35502</v>
      </c>
    </row>
    <row r="4825" spans="1:5">
      <c r="A4825">
        <v>10474</v>
      </c>
      <c r="B4825" t="s">
        <v>179</v>
      </c>
      <c r="C4825">
        <v>308.7</v>
      </c>
      <c r="D4825">
        <v>21</v>
      </c>
      <c r="E4825" s="80">
        <v>35502</v>
      </c>
    </row>
    <row r="4826" spans="1:5">
      <c r="A4826">
        <v>10474</v>
      </c>
      <c r="B4826" t="s">
        <v>172</v>
      </c>
      <c r="C4826">
        <v>62</v>
      </c>
      <c r="D4826">
        <v>10</v>
      </c>
      <c r="E4826" s="80">
        <v>35502</v>
      </c>
    </row>
    <row r="4827" spans="1:5">
      <c r="A4827">
        <v>10474</v>
      </c>
      <c r="B4827" t="s">
        <v>173</v>
      </c>
      <c r="C4827">
        <v>62</v>
      </c>
      <c r="D4827">
        <v>10</v>
      </c>
      <c r="E4827" s="80">
        <v>35502</v>
      </c>
    </row>
    <row r="4828" spans="1:5">
      <c r="A4828">
        <v>10474</v>
      </c>
      <c r="B4828" t="s">
        <v>174</v>
      </c>
      <c r="C4828">
        <v>62</v>
      </c>
      <c r="D4828">
        <v>10</v>
      </c>
      <c r="E4828" s="80">
        <v>35502</v>
      </c>
    </row>
    <row r="4829" spans="1:5">
      <c r="A4829">
        <v>10474</v>
      </c>
      <c r="B4829" t="s">
        <v>175</v>
      </c>
      <c r="C4829">
        <v>62</v>
      </c>
      <c r="D4829">
        <v>10</v>
      </c>
      <c r="E4829" s="80">
        <v>35502</v>
      </c>
    </row>
    <row r="4830" spans="1:5">
      <c r="A4830">
        <v>10474</v>
      </c>
      <c r="B4830" t="s">
        <v>176</v>
      </c>
      <c r="C4830">
        <v>62</v>
      </c>
      <c r="D4830">
        <v>10</v>
      </c>
      <c r="E4830" s="80">
        <v>35502</v>
      </c>
    </row>
    <row r="4831" spans="1:5">
      <c r="A4831">
        <v>10474</v>
      </c>
      <c r="B4831" t="s">
        <v>177</v>
      </c>
      <c r="C4831">
        <v>62</v>
      </c>
      <c r="D4831">
        <v>10</v>
      </c>
      <c r="E4831" s="80">
        <v>35502</v>
      </c>
    </row>
    <row r="4832" spans="1:5">
      <c r="A4832">
        <v>10474</v>
      </c>
      <c r="B4832" t="s">
        <v>178</v>
      </c>
      <c r="C4832">
        <v>62</v>
      </c>
      <c r="D4832">
        <v>10</v>
      </c>
      <c r="E4832" s="80">
        <v>35502</v>
      </c>
    </row>
    <row r="4833" spans="1:5">
      <c r="A4833">
        <v>10474</v>
      </c>
      <c r="B4833" t="s">
        <v>179</v>
      </c>
      <c r="C4833">
        <v>62</v>
      </c>
      <c r="D4833">
        <v>10</v>
      </c>
      <c r="E4833" s="80">
        <v>35502</v>
      </c>
    </row>
    <row r="4834" spans="1:5">
      <c r="A4834">
        <v>10475</v>
      </c>
      <c r="B4834" t="s">
        <v>172</v>
      </c>
      <c r="C4834">
        <v>297.49999791383743</v>
      </c>
      <c r="D4834">
        <v>35</v>
      </c>
      <c r="E4834" s="80">
        <v>35503</v>
      </c>
    </row>
    <row r="4835" spans="1:5">
      <c r="A4835">
        <v>10475</v>
      </c>
      <c r="B4835" t="s">
        <v>173</v>
      </c>
      <c r="C4835">
        <v>297.49999791383743</v>
      </c>
      <c r="D4835">
        <v>35</v>
      </c>
      <c r="E4835" s="80">
        <v>35503</v>
      </c>
    </row>
    <row r="4836" spans="1:5">
      <c r="A4836">
        <v>10475</v>
      </c>
      <c r="B4836" t="s">
        <v>174</v>
      </c>
      <c r="C4836">
        <v>297.49999791383743</v>
      </c>
      <c r="D4836">
        <v>35</v>
      </c>
      <c r="E4836" s="80">
        <v>35503</v>
      </c>
    </row>
    <row r="4837" spans="1:5">
      <c r="A4837">
        <v>10475</v>
      </c>
      <c r="B4837" t="s">
        <v>175</v>
      </c>
      <c r="C4837">
        <v>297.49999791383743</v>
      </c>
      <c r="D4837">
        <v>35</v>
      </c>
      <c r="E4837" s="80">
        <v>35503</v>
      </c>
    </row>
    <row r="4838" spans="1:5">
      <c r="A4838">
        <v>10475</v>
      </c>
      <c r="B4838" t="s">
        <v>176</v>
      </c>
      <c r="C4838">
        <v>297.49999791383743</v>
      </c>
      <c r="D4838">
        <v>35</v>
      </c>
      <c r="E4838" s="80">
        <v>35503</v>
      </c>
    </row>
    <row r="4839" spans="1:5">
      <c r="A4839">
        <v>10475</v>
      </c>
      <c r="B4839" t="s">
        <v>177</v>
      </c>
      <c r="C4839">
        <v>297.49999791383743</v>
      </c>
      <c r="D4839">
        <v>35</v>
      </c>
      <c r="E4839" s="80">
        <v>35503</v>
      </c>
    </row>
    <row r="4840" spans="1:5">
      <c r="A4840">
        <v>10475</v>
      </c>
      <c r="B4840" t="s">
        <v>178</v>
      </c>
      <c r="C4840">
        <v>297.49999791383743</v>
      </c>
      <c r="D4840">
        <v>35</v>
      </c>
      <c r="E4840" s="80">
        <v>35503</v>
      </c>
    </row>
    <row r="4841" spans="1:5">
      <c r="A4841">
        <v>10475</v>
      </c>
      <c r="B4841" t="s">
        <v>179</v>
      </c>
      <c r="C4841">
        <v>297.49999791383743</v>
      </c>
      <c r="D4841">
        <v>35</v>
      </c>
      <c r="E4841" s="80">
        <v>35503</v>
      </c>
    </row>
    <row r="4842" spans="1:5">
      <c r="A4842">
        <v>10475</v>
      </c>
      <c r="B4842" t="s">
        <v>172</v>
      </c>
      <c r="C4842">
        <v>693.59999513626099</v>
      </c>
      <c r="D4842">
        <v>60</v>
      </c>
      <c r="E4842" s="80">
        <v>35503</v>
      </c>
    </row>
    <row r="4843" spans="1:5">
      <c r="A4843">
        <v>10475</v>
      </c>
      <c r="B4843" t="s">
        <v>173</v>
      </c>
      <c r="C4843">
        <v>693.59999513626099</v>
      </c>
      <c r="D4843">
        <v>60</v>
      </c>
      <c r="E4843" s="80">
        <v>35503</v>
      </c>
    </row>
    <row r="4844" spans="1:5">
      <c r="A4844">
        <v>10475</v>
      </c>
      <c r="B4844" t="s">
        <v>174</v>
      </c>
      <c r="C4844">
        <v>693.59999513626099</v>
      </c>
      <c r="D4844">
        <v>60</v>
      </c>
      <c r="E4844" s="80">
        <v>35503</v>
      </c>
    </row>
    <row r="4845" spans="1:5">
      <c r="A4845">
        <v>10475</v>
      </c>
      <c r="B4845" t="s">
        <v>175</v>
      </c>
      <c r="C4845">
        <v>693.59999513626099</v>
      </c>
      <c r="D4845">
        <v>60</v>
      </c>
      <c r="E4845" s="80">
        <v>35503</v>
      </c>
    </row>
    <row r="4846" spans="1:5">
      <c r="A4846">
        <v>10475</v>
      </c>
      <c r="B4846" t="s">
        <v>176</v>
      </c>
      <c r="C4846">
        <v>693.59999513626099</v>
      </c>
      <c r="D4846">
        <v>60</v>
      </c>
      <c r="E4846" s="80">
        <v>35503</v>
      </c>
    </row>
    <row r="4847" spans="1:5">
      <c r="A4847">
        <v>10475</v>
      </c>
      <c r="B4847" t="s">
        <v>177</v>
      </c>
      <c r="C4847">
        <v>693.59999513626099</v>
      </c>
      <c r="D4847">
        <v>60</v>
      </c>
      <c r="E4847" s="80">
        <v>35503</v>
      </c>
    </row>
    <row r="4848" spans="1:5">
      <c r="A4848">
        <v>10475</v>
      </c>
      <c r="B4848" t="s">
        <v>178</v>
      </c>
      <c r="C4848">
        <v>693.59999513626099</v>
      </c>
      <c r="D4848">
        <v>60</v>
      </c>
      <c r="E4848" s="80">
        <v>35503</v>
      </c>
    </row>
    <row r="4849" spans="1:5">
      <c r="A4849">
        <v>10475</v>
      </c>
      <c r="B4849" t="s">
        <v>179</v>
      </c>
      <c r="C4849">
        <v>693.59999513626099</v>
      </c>
      <c r="D4849">
        <v>60</v>
      </c>
      <c r="E4849" s="80">
        <v>35503</v>
      </c>
    </row>
    <row r="4850" spans="1:5">
      <c r="A4850">
        <v>10475</v>
      </c>
      <c r="B4850" t="s">
        <v>172</v>
      </c>
      <c r="C4850">
        <v>514.07999639511104</v>
      </c>
      <c r="D4850">
        <v>42</v>
      </c>
      <c r="E4850" s="80">
        <v>35503</v>
      </c>
    </row>
    <row r="4851" spans="1:5">
      <c r="A4851">
        <v>10475</v>
      </c>
      <c r="B4851" t="s">
        <v>173</v>
      </c>
      <c r="C4851">
        <v>514.07999639511104</v>
      </c>
      <c r="D4851">
        <v>42</v>
      </c>
      <c r="E4851" s="80">
        <v>35503</v>
      </c>
    </row>
    <row r="4852" spans="1:5">
      <c r="A4852">
        <v>10475</v>
      </c>
      <c r="B4852" t="s">
        <v>174</v>
      </c>
      <c r="C4852">
        <v>514.07999639511104</v>
      </c>
      <c r="D4852">
        <v>42</v>
      </c>
      <c r="E4852" s="80">
        <v>35503</v>
      </c>
    </row>
    <row r="4853" spans="1:5">
      <c r="A4853">
        <v>10475</v>
      </c>
      <c r="B4853" t="s">
        <v>175</v>
      </c>
      <c r="C4853">
        <v>514.07999639511104</v>
      </c>
      <c r="D4853">
        <v>42</v>
      </c>
      <c r="E4853" s="80">
        <v>35503</v>
      </c>
    </row>
    <row r="4854" spans="1:5">
      <c r="A4854">
        <v>10475</v>
      </c>
      <c r="B4854" t="s">
        <v>176</v>
      </c>
      <c r="C4854">
        <v>514.07999639511104</v>
      </c>
      <c r="D4854">
        <v>42</v>
      </c>
      <c r="E4854" s="80">
        <v>35503</v>
      </c>
    </row>
    <row r="4855" spans="1:5">
      <c r="A4855">
        <v>10475</v>
      </c>
      <c r="B4855" t="s">
        <v>177</v>
      </c>
      <c r="C4855">
        <v>514.07999639511104</v>
      </c>
      <c r="D4855">
        <v>42</v>
      </c>
      <c r="E4855" s="80">
        <v>35503</v>
      </c>
    </row>
    <row r="4856" spans="1:5">
      <c r="A4856">
        <v>10475</v>
      </c>
      <c r="B4856" t="s">
        <v>178</v>
      </c>
      <c r="C4856">
        <v>514.07999639511104</v>
      </c>
      <c r="D4856">
        <v>42</v>
      </c>
      <c r="E4856" s="80">
        <v>35503</v>
      </c>
    </row>
    <row r="4857" spans="1:5">
      <c r="A4857">
        <v>10475</v>
      </c>
      <c r="B4857" t="s">
        <v>179</v>
      </c>
      <c r="C4857">
        <v>514.07999639511104</v>
      </c>
      <c r="D4857">
        <v>42</v>
      </c>
      <c r="E4857" s="80">
        <v>35503</v>
      </c>
    </row>
    <row r="4858" spans="1:5">
      <c r="A4858">
        <v>10476</v>
      </c>
      <c r="B4858" t="s">
        <v>172</v>
      </c>
      <c r="C4858">
        <v>36.479999971389766</v>
      </c>
      <c r="D4858">
        <v>2</v>
      </c>
      <c r="E4858" s="80">
        <v>35506</v>
      </c>
    </row>
    <row r="4859" spans="1:5">
      <c r="A4859">
        <v>10476</v>
      </c>
      <c r="B4859" t="s">
        <v>173</v>
      </c>
      <c r="C4859">
        <v>36.479999971389766</v>
      </c>
      <c r="D4859">
        <v>2</v>
      </c>
      <c r="E4859" s="80">
        <v>35506</v>
      </c>
    </row>
    <row r="4860" spans="1:5">
      <c r="A4860">
        <v>10476</v>
      </c>
      <c r="B4860" t="s">
        <v>174</v>
      </c>
      <c r="C4860">
        <v>36.479999971389766</v>
      </c>
      <c r="D4860">
        <v>2</v>
      </c>
      <c r="E4860" s="80">
        <v>35506</v>
      </c>
    </row>
    <row r="4861" spans="1:5">
      <c r="A4861">
        <v>10476</v>
      </c>
      <c r="B4861" t="s">
        <v>175</v>
      </c>
      <c r="C4861">
        <v>36.479999971389766</v>
      </c>
      <c r="D4861">
        <v>2</v>
      </c>
      <c r="E4861" s="80">
        <v>35506</v>
      </c>
    </row>
    <row r="4862" spans="1:5">
      <c r="A4862">
        <v>10476</v>
      </c>
      <c r="B4862" t="s">
        <v>176</v>
      </c>
      <c r="C4862">
        <v>36.479999971389766</v>
      </c>
      <c r="D4862">
        <v>2</v>
      </c>
      <c r="E4862" s="80">
        <v>35506</v>
      </c>
    </row>
    <row r="4863" spans="1:5">
      <c r="A4863">
        <v>10476</v>
      </c>
      <c r="B4863" t="s">
        <v>177</v>
      </c>
      <c r="C4863">
        <v>36.479999971389766</v>
      </c>
      <c r="D4863">
        <v>2</v>
      </c>
      <c r="E4863" s="80">
        <v>35506</v>
      </c>
    </row>
    <row r="4864" spans="1:5">
      <c r="A4864">
        <v>10476</v>
      </c>
      <c r="B4864" t="s">
        <v>178</v>
      </c>
      <c r="C4864">
        <v>36.479999971389766</v>
      </c>
      <c r="D4864">
        <v>2</v>
      </c>
      <c r="E4864" s="80">
        <v>35506</v>
      </c>
    </row>
    <row r="4865" spans="1:5">
      <c r="A4865">
        <v>10476</v>
      </c>
      <c r="B4865" t="s">
        <v>179</v>
      </c>
      <c r="C4865">
        <v>36.479999971389766</v>
      </c>
      <c r="D4865">
        <v>2</v>
      </c>
      <c r="E4865" s="80">
        <v>35506</v>
      </c>
    </row>
    <row r="4866" spans="1:5">
      <c r="A4866">
        <v>10476</v>
      </c>
      <c r="B4866" t="s">
        <v>172</v>
      </c>
      <c r="C4866">
        <v>144</v>
      </c>
      <c r="D4866">
        <v>12</v>
      </c>
      <c r="E4866" s="80">
        <v>35506</v>
      </c>
    </row>
    <row r="4867" spans="1:5">
      <c r="A4867">
        <v>10476</v>
      </c>
      <c r="B4867" t="s">
        <v>173</v>
      </c>
      <c r="C4867">
        <v>144</v>
      </c>
      <c r="D4867">
        <v>12</v>
      </c>
      <c r="E4867" s="80">
        <v>35506</v>
      </c>
    </row>
    <row r="4868" spans="1:5">
      <c r="A4868">
        <v>10476</v>
      </c>
      <c r="B4868" t="s">
        <v>174</v>
      </c>
      <c r="C4868">
        <v>144</v>
      </c>
      <c r="D4868">
        <v>12</v>
      </c>
      <c r="E4868" s="80">
        <v>35506</v>
      </c>
    </row>
    <row r="4869" spans="1:5">
      <c r="A4869">
        <v>10476</v>
      </c>
      <c r="B4869" t="s">
        <v>175</v>
      </c>
      <c r="C4869">
        <v>144</v>
      </c>
      <c r="D4869">
        <v>12</v>
      </c>
      <c r="E4869" s="80">
        <v>35506</v>
      </c>
    </row>
    <row r="4870" spans="1:5">
      <c r="A4870">
        <v>10476</v>
      </c>
      <c r="B4870" t="s">
        <v>176</v>
      </c>
      <c r="C4870">
        <v>144</v>
      </c>
      <c r="D4870">
        <v>12</v>
      </c>
      <c r="E4870" s="80">
        <v>35506</v>
      </c>
    </row>
    <row r="4871" spans="1:5">
      <c r="A4871">
        <v>10476</v>
      </c>
      <c r="B4871" t="s">
        <v>177</v>
      </c>
      <c r="C4871">
        <v>144</v>
      </c>
      <c r="D4871">
        <v>12</v>
      </c>
      <c r="E4871" s="80">
        <v>35506</v>
      </c>
    </row>
    <row r="4872" spans="1:5">
      <c r="A4872">
        <v>10476</v>
      </c>
      <c r="B4872" t="s">
        <v>178</v>
      </c>
      <c r="C4872">
        <v>144</v>
      </c>
      <c r="D4872">
        <v>12</v>
      </c>
      <c r="E4872" s="80">
        <v>35506</v>
      </c>
    </row>
    <row r="4873" spans="1:5">
      <c r="A4873">
        <v>10476</v>
      </c>
      <c r="B4873" t="s">
        <v>179</v>
      </c>
      <c r="C4873">
        <v>144</v>
      </c>
      <c r="D4873">
        <v>12</v>
      </c>
      <c r="E4873" s="80">
        <v>35506</v>
      </c>
    </row>
    <row r="4874" spans="1:5">
      <c r="A4874">
        <v>10477</v>
      </c>
      <c r="B4874" t="s">
        <v>172</v>
      </c>
      <c r="C4874">
        <v>216</v>
      </c>
      <c r="D4874">
        <v>15</v>
      </c>
      <c r="E4874" s="80">
        <v>35506</v>
      </c>
    </row>
    <row r="4875" spans="1:5">
      <c r="A4875">
        <v>10477</v>
      </c>
      <c r="B4875" t="s">
        <v>173</v>
      </c>
      <c r="C4875">
        <v>216</v>
      </c>
      <c r="D4875">
        <v>15</v>
      </c>
      <c r="E4875" s="80">
        <v>35506</v>
      </c>
    </row>
    <row r="4876" spans="1:5">
      <c r="A4876">
        <v>10477</v>
      </c>
      <c r="B4876" t="s">
        <v>174</v>
      </c>
      <c r="C4876">
        <v>216</v>
      </c>
      <c r="D4876">
        <v>15</v>
      </c>
      <c r="E4876" s="80">
        <v>35506</v>
      </c>
    </row>
    <row r="4877" spans="1:5">
      <c r="A4877">
        <v>10477</v>
      </c>
      <c r="B4877" t="s">
        <v>175</v>
      </c>
      <c r="C4877">
        <v>216</v>
      </c>
      <c r="D4877">
        <v>15</v>
      </c>
      <c r="E4877" s="80">
        <v>35506</v>
      </c>
    </row>
    <row r="4878" spans="1:5">
      <c r="A4878">
        <v>10477</v>
      </c>
      <c r="B4878" t="s">
        <v>176</v>
      </c>
      <c r="C4878">
        <v>216</v>
      </c>
      <c r="D4878">
        <v>15</v>
      </c>
      <c r="E4878" s="80">
        <v>35506</v>
      </c>
    </row>
    <row r="4879" spans="1:5">
      <c r="A4879">
        <v>10477</v>
      </c>
      <c r="B4879" t="s">
        <v>177</v>
      </c>
      <c r="C4879">
        <v>216</v>
      </c>
      <c r="D4879">
        <v>15</v>
      </c>
      <c r="E4879" s="80">
        <v>35506</v>
      </c>
    </row>
    <row r="4880" spans="1:5">
      <c r="A4880">
        <v>10477</v>
      </c>
      <c r="B4880" t="s">
        <v>178</v>
      </c>
      <c r="C4880">
        <v>216</v>
      </c>
      <c r="D4880">
        <v>15</v>
      </c>
      <c r="E4880" s="80">
        <v>35506</v>
      </c>
    </row>
    <row r="4881" spans="1:5">
      <c r="A4881">
        <v>10477</v>
      </c>
      <c r="B4881" t="s">
        <v>179</v>
      </c>
      <c r="C4881">
        <v>216</v>
      </c>
      <c r="D4881">
        <v>15</v>
      </c>
      <c r="E4881" s="80">
        <v>35506</v>
      </c>
    </row>
    <row r="4882" spans="1:5">
      <c r="A4882">
        <v>10477</v>
      </c>
      <c r="B4882" t="s">
        <v>172</v>
      </c>
      <c r="C4882">
        <v>126</v>
      </c>
      <c r="D4882">
        <v>21</v>
      </c>
      <c r="E4882" s="80">
        <v>35506</v>
      </c>
    </row>
    <row r="4883" spans="1:5">
      <c r="A4883">
        <v>10477</v>
      </c>
      <c r="B4883" t="s">
        <v>173</v>
      </c>
      <c r="C4883">
        <v>126</v>
      </c>
      <c r="D4883">
        <v>21</v>
      </c>
      <c r="E4883" s="80">
        <v>35506</v>
      </c>
    </row>
    <row r="4884" spans="1:5">
      <c r="A4884">
        <v>10477</v>
      </c>
      <c r="B4884" t="s">
        <v>174</v>
      </c>
      <c r="C4884">
        <v>126</v>
      </c>
      <c r="D4884">
        <v>21</v>
      </c>
      <c r="E4884" s="80">
        <v>35506</v>
      </c>
    </row>
    <row r="4885" spans="1:5">
      <c r="A4885">
        <v>10477</v>
      </c>
      <c r="B4885" t="s">
        <v>175</v>
      </c>
      <c r="C4885">
        <v>126</v>
      </c>
      <c r="D4885">
        <v>21</v>
      </c>
      <c r="E4885" s="80">
        <v>35506</v>
      </c>
    </row>
    <row r="4886" spans="1:5">
      <c r="A4886">
        <v>10477</v>
      </c>
      <c r="B4886" t="s">
        <v>176</v>
      </c>
      <c r="C4886">
        <v>126</v>
      </c>
      <c r="D4886">
        <v>21</v>
      </c>
      <c r="E4886" s="80">
        <v>35506</v>
      </c>
    </row>
    <row r="4887" spans="1:5">
      <c r="A4887">
        <v>10477</v>
      </c>
      <c r="B4887" t="s">
        <v>177</v>
      </c>
      <c r="C4887">
        <v>126</v>
      </c>
      <c r="D4887">
        <v>21</v>
      </c>
      <c r="E4887" s="80">
        <v>35506</v>
      </c>
    </row>
    <row r="4888" spans="1:5">
      <c r="A4888">
        <v>10477</v>
      </c>
      <c r="B4888" t="s">
        <v>178</v>
      </c>
      <c r="C4888">
        <v>126</v>
      </c>
      <c r="D4888">
        <v>21</v>
      </c>
      <c r="E4888" s="80">
        <v>35506</v>
      </c>
    </row>
    <row r="4889" spans="1:5">
      <c r="A4889">
        <v>10477</v>
      </c>
      <c r="B4889" t="s">
        <v>179</v>
      </c>
      <c r="C4889">
        <v>126</v>
      </c>
      <c r="D4889">
        <v>21</v>
      </c>
      <c r="E4889" s="80">
        <v>35506</v>
      </c>
    </row>
    <row r="4890" spans="1:5">
      <c r="A4890">
        <v>10477</v>
      </c>
      <c r="B4890" t="s">
        <v>172</v>
      </c>
      <c r="C4890">
        <v>216</v>
      </c>
      <c r="D4890">
        <v>20</v>
      </c>
      <c r="E4890" s="80">
        <v>35506</v>
      </c>
    </row>
    <row r="4891" spans="1:5">
      <c r="A4891">
        <v>10477</v>
      </c>
      <c r="B4891" t="s">
        <v>173</v>
      </c>
      <c r="C4891">
        <v>216</v>
      </c>
      <c r="D4891">
        <v>20</v>
      </c>
      <c r="E4891" s="80">
        <v>35506</v>
      </c>
    </row>
    <row r="4892" spans="1:5">
      <c r="A4892">
        <v>10477</v>
      </c>
      <c r="B4892" t="s">
        <v>174</v>
      </c>
      <c r="C4892">
        <v>216</v>
      </c>
      <c r="D4892">
        <v>20</v>
      </c>
      <c r="E4892" s="80">
        <v>35506</v>
      </c>
    </row>
    <row r="4893" spans="1:5">
      <c r="A4893">
        <v>10477</v>
      </c>
      <c r="B4893" t="s">
        <v>175</v>
      </c>
      <c r="C4893">
        <v>216</v>
      </c>
      <c r="D4893">
        <v>20</v>
      </c>
      <c r="E4893" s="80">
        <v>35506</v>
      </c>
    </row>
    <row r="4894" spans="1:5">
      <c r="A4894">
        <v>10477</v>
      </c>
      <c r="B4894" t="s">
        <v>176</v>
      </c>
      <c r="C4894">
        <v>216</v>
      </c>
      <c r="D4894">
        <v>20</v>
      </c>
      <c r="E4894" s="80">
        <v>35506</v>
      </c>
    </row>
    <row r="4895" spans="1:5">
      <c r="A4895">
        <v>10477</v>
      </c>
      <c r="B4895" t="s">
        <v>177</v>
      </c>
      <c r="C4895">
        <v>216</v>
      </c>
      <c r="D4895">
        <v>20</v>
      </c>
      <c r="E4895" s="80">
        <v>35506</v>
      </c>
    </row>
    <row r="4896" spans="1:5">
      <c r="A4896">
        <v>10477</v>
      </c>
      <c r="B4896" t="s">
        <v>178</v>
      </c>
      <c r="C4896">
        <v>216</v>
      </c>
      <c r="D4896">
        <v>20</v>
      </c>
      <c r="E4896" s="80">
        <v>35506</v>
      </c>
    </row>
    <row r="4897" spans="1:5">
      <c r="A4897">
        <v>10477</v>
      </c>
      <c r="B4897" t="s">
        <v>179</v>
      </c>
      <c r="C4897">
        <v>216</v>
      </c>
      <c r="D4897">
        <v>20</v>
      </c>
      <c r="E4897" s="80">
        <v>35506</v>
      </c>
    </row>
    <row r="4898" spans="1:5">
      <c r="A4898">
        <v>10478</v>
      </c>
      <c r="B4898" t="s">
        <v>172</v>
      </c>
      <c r="C4898">
        <v>471.1999996304512</v>
      </c>
      <c r="D4898">
        <v>20</v>
      </c>
      <c r="E4898" s="80">
        <v>35507</v>
      </c>
    </row>
    <row r="4899" spans="1:5">
      <c r="A4899">
        <v>10478</v>
      </c>
      <c r="B4899" t="s">
        <v>173</v>
      </c>
      <c r="C4899">
        <v>471.1999996304512</v>
      </c>
      <c r="D4899">
        <v>20</v>
      </c>
      <c r="E4899" s="80">
        <v>35507</v>
      </c>
    </row>
    <row r="4900" spans="1:5">
      <c r="A4900">
        <v>10478</v>
      </c>
      <c r="B4900" t="s">
        <v>174</v>
      </c>
      <c r="C4900">
        <v>471.1999996304512</v>
      </c>
      <c r="D4900">
        <v>20</v>
      </c>
      <c r="E4900" s="80">
        <v>35507</v>
      </c>
    </row>
    <row r="4901" spans="1:5">
      <c r="A4901">
        <v>10478</v>
      </c>
      <c r="B4901" t="s">
        <v>175</v>
      </c>
      <c r="C4901">
        <v>471.1999996304512</v>
      </c>
      <c r="D4901">
        <v>20</v>
      </c>
      <c r="E4901" s="80">
        <v>35507</v>
      </c>
    </row>
    <row r="4902" spans="1:5">
      <c r="A4902">
        <v>10478</v>
      </c>
      <c r="B4902" t="s">
        <v>176</v>
      </c>
      <c r="C4902">
        <v>471.1999996304512</v>
      </c>
      <c r="D4902">
        <v>20</v>
      </c>
      <c r="E4902" s="80">
        <v>35507</v>
      </c>
    </row>
    <row r="4903" spans="1:5">
      <c r="A4903">
        <v>10478</v>
      </c>
      <c r="B4903" t="s">
        <v>177</v>
      </c>
      <c r="C4903">
        <v>471.1999996304512</v>
      </c>
      <c r="D4903">
        <v>20</v>
      </c>
      <c r="E4903" s="80">
        <v>35507</v>
      </c>
    </row>
    <row r="4904" spans="1:5">
      <c r="A4904">
        <v>10478</v>
      </c>
      <c r="B4904" t="s">
        <v>178</v>
      </c>
      <c r="C4904">
        <v>471.1999996304512</v>
      </c>
      <c r="D4904">
        <v>20</v>
      </c>
      <c r="E4904" s="80">
        <v>35507</v>
      </c>
    </row>
    <row r="4905" spans="1:5">
      <c r="A4905">
        <v>10478</v>
      </c>
      <c r="B4905" t="s">
        <v>179</v>
      </c>
      <c r="C4905">
        <v>471.1999996304512</v>
      </c>
      <c r="D4905">
        <v>20</v>
      </c>
      <c r="E4905" s="80">
        <v>35507</v>
      </c>
    </row>
    <row r="4906" spans="1:5">
      <c r="A4906">
        <v>10479</v>
      </c>
      <c r="B4906" t="s">
        <v>172</v>
      </c>
      <c r="C4906">
        <v>6324</v>
      </c>
      <c r="D4906">
        <v>30</v>
      </c>
      <c r="E4906" s="80">
        <v>35508</v>
      </c>
    </row>
    <row r="4907" spans="1:5">
      <c r="A4907">
        <v>10479</v>
      </c>
      <c r="B4907" t="s">
        <v>173</v>
      </c>
      <c r="C4907">
        <v>6324</v>
      </c>
      <c r="D4907">
        <v>30</v>
      </c>
      <c r="E4907" s="80">
        <v>35508</v>
      </c>
    </row>
    <row r="4908" spans="1:5">
      <c r="A4908">
        <v>10479</v>
      </c>
      <c r="B4908" t="s">
        <v>174</v>
      </c>
      <c r="C4908">
        <v>6324</v>
      </c>
      <c r="D4908">
        <v>30</v>
      </c>
      <c r="E4908" s="80">
        <v>35508</v>
      </c>
    </row>
    <row r="4909" spans="1:5">
      <c r="A4909">
        <v>10479</v>
      </c>
      <c r="B4909" t="s">
        <v>175</v>
      </c>
      <c r="C4909">
        <v>6324</v>
      </c>
      <c r="D4909">
        <v>30</v>
      </c>
      <c r="E4909" s="80">
        <v>35508</v>
      </c>
    </row>
    <row r="4910" spans="1:5">
      <c r="A4910">
        <v>10479</v>
      </c>
      <c r="B4910" t="s">
        <v>176</v>
      </c>
      <c r="C4910">
        <v>6324</v>
      </c>
      <c r="D4910">
        <v>30</v>
      </c>
      <c r="E4910" s="80">
        <v>35508</v>
      </c>
    </row>
    <row r="4911" spans="1:5">
      <c r="A4911">
        <v>10479</v>
      </c>
      <c r="B4911" t="s">
        <v>177</v>
      </c>
      <c r="C4911">
        <v>6324</v>
      </c>
      <c r="D4911">
        <v>30</v>
      </c>
      <c r="E4911" s="80">
        <v>35508</v>
      </c>
    </row>
    <row r="4912" spans="1:5">
      <c r="A4912">
        <v>10479</v>
      </c>
      <c r="B4912" t="s">
        <v>178</v>
      </c>
      <c r="C4912">
        <v>6324</v>
      </c>
      <c r="D4912">
        <v>30</v>
      </c>
      <c r="E4912" s="80">
        <v>35508</v>
      </c>
    </row>
    <row r="4913" spans="1:5">
      <c r="A4913">
        <v>10479</v>
      </c>
      <c r="B4913" t="s">
        <v>179</v>
      </c>
      <c r="C4913">
        <v>6324</v>
      </c>
      <c r="D4913">
        <v>30</v>
      </c>
      <c r="E4913" s="80">
        <v>35508</v>
      </c>
    </row>
    <row r="4914" spans="1:5">
      <c r="A4914">
        <v>10479</v>
      </c>
      <c r="B4914" t="s">
        <v>172</v>
      </c>
      <c r="C4914">
        <v>733.6</v>
      </c>
      <c r="D4914">
        <v>28</v>
      </c>
      <c r="E4914" s="80">
        <v>35508</v>
      </c>
    </row>
    <row r="4915" spans="1:5">
      <c r="A4915">
        <v>10479</v>
      </c>
      <c r="B4915" t="s">
        <v>173</v>
      </c>
      <c r="C4915">
        <v>733.6</v>
      </c>
      <c r="D4915">
        <v>28</v>
      </c>
      <c r="E4915" s="80">
        <v>35508</v>
      </c>
    </row>
    <row r="4916" spans="1:5">
      <c r="A4916">
        <v>10479</v>
      </c>
      <c r="B4916" t="s">
        <v>174</v>
      </c>
      <c r="C4916">
        <v>733.6</v>
      </c>
      <c r="D4916">
        <v>28</v>
      </c>
      <c r="E4916" s="80">
        <v>35508</v>
      </c>
    </row>
    <row r="4917" spans="1:5">
      <c r="A4917">
        <v>10479</v>
      </c>
      <c r="B4917" t="s">
        <v>175</v>
      </c>
      <c r="C4917">
        <v>733.6</v>
      </c>
      <c r="D4917">
        <v>28</v>
      </c>
      <c r="E4917" s="80">
        <v>35508</v>
      </c>
    </row>
    <row r="4918" spans="1:5">
      <c r="A4918">
        <v>10479</v>
      </c>
      <c r="B4918" t="s">
        <v>176</v>
      </c>
      <c r="C4918">
        <v>733.6</v>
      </c>
      <c r="D4918">
        <v>28</v>
      </c>
      <c r="E4918" s="80">
        <v>35508</v>
      </c>
    </row>
    <row r="4919" spans="1:5">
      <c r="A4919">
        <v>10479</v>
      </c>
      <c r="B4919" t="s">
        <v>177</v>
      </c>
      <c r="C4919">
        <v>733.6</v>
      </c>
      <c r="D4919">
        <v>28</v>
      </c>
      <c r="E4919" s="80">
        <v>35508</v>
      </c>
    </row>
    <row r="4920" spans="1:5">
      <c r="A4920">
        <v>10479</v>
      </c>
      <c r="B4920" t="s">
        <v>178</v>
      </c>
      <c r="C4920">
        <v>733.6</v>
      </c>
      <c r="D4920">
        <v>28</v>
      </c>
      <c r="E4920" s="80">
        <v>35508</v>
      </c>
    </row>
    <row r="4921" spans="1:5">
      <c r="A4921">
        <v>10479</v>
      </c>
      <c r="B4921" t="s">
        <v>179</v>
      </c>
      <c r="C4921">
        <v>733.6</v>
      </c>
      <c r="D4921">
        <v>28</v>
      </c>
      <c r="E4921" s="80">
        <v>35508</v>
      </c>
    </row>
    <row r="4922" spans="1:5">
      <c r="A4922">
        <v>10479</v>
      </c>
      <c r="B4922" t="s">
        <v>172</v>
      </c>
      <c r="C4922">
        <v>2640</v>
      </c>
      <c r="D4922">
        <v>60</v>
      </c>
      <c r="E4922" s="80">
        <v>35508</v>
      </c>
    </row>
    <row r="4923" spans="1:5">
      <c r="A4923">
        <v>10479</v>
      </c>
      <c r="B4923" t="s">
        <v>173</v>
      </c>
      <c r="C4923">
        <v>2640</v>
      </c>
      <c r="D4923">
        <v>60</v>
      </c>
      <c r="E4923" s="80">
        <v>35508</v>
      </c>
    </row>
    <row r="4924" spans="1:5">
      <c r="A4924">
        <v>10479</v>
      </c>
      <c r="B4924" t="s">
        <v>174</v>
      </c>
      <c r="C4924">
        <v>2640</v>
      </c>
      <c r="D4924">
        <v>60</v>
      </c>
      <c r="E4924" s="80">
        <v>35508</v>
      </c>
    </row>
    <row r="4925" spans="1:5">
      <c r="A4925">
        <v>10479</v>
      </c>
      <c r="B4925" t="s">
        <v>175</v>
      </c>
      <c r="C4925">
        <v>2640</v>
      </c>
      <c r="D4925">
        <v>60</v>
      </c>
      <c r="E4925" s="80">
        <v>35508</v>
      </c>
    </row>
    <row r="4926" spans="1:5">
      <c r="A4926">
        <v>10479</v>
      </c>
      <c r="B4926" t="s">
        <v>176</v>
      </c>
      <c r="C4926">
        <v>2640</v>
      </c>
      <c r="D4926">
        <v>60</v>
      </c>
      <c r="E4926" s="80">
        <v>35508</v>
      </c>
    </row>
    <row r="4927" spans="1:5">
      <c r="A4927">
        <v>10479</v>
      </c>
      <c r="B4927" t="s">
        <v>177</v>
      </c>
      <c r="C4927">
        <v>2640</v>
      </c>
      <c r="D4927">
        <v>60</v>
      </c>
      <c r="E4927" s="80">
        <v>35508</v>
      </c>
    </row>
    <row r="4928" spans="1:5">
      <c r="A4928">
        <v>10479</v>
      </c>
      <c r="B4928" t="s">
        <v>178</v>
      </c>
      <c r="C4928">
        <v>2640</v>
      </c>
      <c r="D4928">
        <v>60</v>
      </c>
      <c r="E4928" s="80">
        <v>35508</v>
      </c>
    </row>
    <row r="4929" spans="1:5">
      <c r="A4929">
        <v>10479</v>
      </c>
      <c r="B4929" t="s">
        <v>179</v>
      </c>
      <c r="C4929">
        <v>2640</v>
      </c>
      <c r="D4929">
        <v>60</v>
      </c>
      <c r="E4929" s="80">
        <v>35508</v>
      </c>
    </row>
    <row r="4930" spans="1:5">
      <c r="A4930">
        <v>10479</v>
      </c>
      <c r="B4930" t="s">
        <v>172</v>
      </c>
      <c r="C4930">
        <v>798</v>
      </c>
      <c r="D4930">
        <v>30</v>
      </c>
      <c r="E4930" s="80">
        <v>35508</v>
      </c>
    </row>
    <row r="4931" spans="1:5">
      <c r="A4931">
        <v>10479</v>
      </c>
      <c r="B4931" t="s">
        <v>173</v>
      </c>
      <c r="C4931">
        <v>798</v>
      </c>
      <c r="D4931">
        <v>30</v>
      </c>
      <c r="E4931" s="80">
        <v>35508</v>
      </c>
    </row>
    <row r="4932" spans="1:5">
      <c r="A4932">
        <v>10479</v>
      </c>
      <c r="B4932" t="s">
        <v>174</v>
      </c>
      <c r="C4932">
        <v>798</v>
      </c>
      <c r="D4932">
        <v>30</v>
      </c>
      <c r="E4932" s="80">
        <v>35508</v>
      </c>
    </row>
    <row r="4933" spans="1:5">
      <c r="A4933">
        <v>10479</v>
      </c>
      <c r="B4933" t="s">
        <v>175</v>
      </c>
      <c r="C4933">
        <v>798</v>
      </c>
      <c r="D4933">
        <v>30</v>
      </c>
      <c r="E4933" s="80">
        <v>35508</v>
      </c>
    </row>
    <row r="4934" spans="1:5">
      <c r="A4934">
        <v>10479</v>
      </c>
      <c r="B4934" t="s">
        <v>176</v>
      </c>
      <c r="C4934">
        <v>798</v>
      </c>
      <c r="D4934">
        <v>30</v>
      </c>
      <c r="E4934" s="80">
        <v>35508</v>
      </c>
    </row>
    <row r="4935" spans="1:5">
      <c r="A4935">
        <v>10479</v>
      </c>
      <c r="B4935" t="s">
        <v>177</v>
      </c>
      <c r="C4935">
        <v>798</v>
      </c>
      <c r="D4935">
        <v>30</v>
      </c>
      <c r="E4935" s="80">
        <v>35508</v>
      </c>
    </row>
    <row r="4936" spans="1:5">
      <c r="A4936">
        <v>10479</v>
      </c>
      <c r="B4936" t="s">
        <v>178</v>
      </c>
      <c r="C4936">
        <v>798</v>
      </c>
      <c r="D4936">
        <v>30</v>
      </c>
      <c r="E4936" s="80">
        <v>35508</v>
      </c>
    </row>
    <row r="4937" spans="1:5">
      <c r="A4937">
        <v>10479</v>
      </c>
      <c r="B4937" t="s">
        <v>179</v>
      </c>
      <c r="C4937">
        <v>798</v>
      </c>
      <c r="D4937">
        <v>30</v>
      </c>
      <c r="E4937" s="80">
        <v>35508</v>
      </c>
    </row>
    <row r="4938" spans="1:5">
      <c r="A4938">
        <v>10480</v>
      </c>
      <c r="B4938" t="s">
        <v>172</v>
      </c>
      <c r="C4938">
        <v>228</v>
      </c>
      <c r="D4938">
        <v>30</v>
      </c>
      <c r="E4938" s="80">
        <v>35509</v>
      </c>
    </row>
    <row r="4939" spans="1:5">
      <c r="A4939">
        <v>10480</v>
      </c>
      <c r="B4939" t="s">
        <v>173</v>
      </c>
      <c r="C4939">
        <v>228</v>
      </c>
      <c r="D4939">
        <v>30</v>
      </c>
      <c r="E4939" s="80">
        <v>35509</v>
      </c>
    </row>
    <row r="4940" spans="1:5">
      <c r="A4940">
        <v>10480</v>
      </c>
      <c r="B4940" t="s">
        <v>174</v>
      </c>
      <c r="C4940">
        <v>228</v>
      </c>
      <c r="D4940">
        <v>30</v>
      </c>
      <c r="E4940" s="80">
        <v>35509</v>
      </c>
    </row>
    <row r="4941" spans="1:5">
      <c r="A4941">
        <v>10480</v>
      </c>
      <c r="B4941" t="s">
        <v>175</v>
      </c>
      <c r="C4941">
        <v>228</v>
      </c>
      <c r="D4941">
        <v>30</v>
      </c>
      <c r="E4941" s="80">
        <v>35509</v>
      </c>
    </row>
    <row r="4942" spans="1:5">
      <c r="A4942">
        <v>10480</v>
      </c>
      <c r="B4942" t="s">
        <v>176</v>
      </c>
      <c r="C4942">
        <v>228</v>
      </c>
      <c r="D4942">
        <v>30</v>
      </c>
      <c r="E4942" s="80">
        <v>35509</v>
      </c>
    </row>
    <row r="4943" spans="1:5">
      <c r="A4943">
        <v>10480</v>
      </c>
      <c r="B4943" t="s">
        <v>177</v>
      </c>
      <c r="C4943">
        <v>228</v>
      </c>
      <c r="D4943">
        <v>30</v>
      </c>
      <c r="E4943" s="80">
        <v>35509</v>
      </c>
    </row>
    <row r="4944" spans="1:5">
      <c r="A4944">
        <v>10480</v>
      </c>
      <c r="B4944" t="s">
        <v>178</v>
      </c>
      <c r="C4944">
        <v>228</v>
      </c>
      <c r="D4944">
        <v>30</v>
      </c>
      <c r="E4944" s="80">
        <v>35509</v>
      </c>
    </row>
    <row r="4945" spans="1:5">
      <c r="A4945">
        <v>10480</v>
      </c>
      <c r="B4945" t="s">
        <v>179</v>
      </c>
      <c r="C4945">
        <v>228</v>
      </c>
      <c r="D4945">
        <v>30</v>
      </c>
      <c r="E4945" s="80">
        <v>35509</v>
      </c>
    </row>
    <row r="4946" spans="1:5">
      <c r="A4946">
        <v>10480</v>
      </c>
      <c r="B4946" t="s">
        <v>172</v>
      </c>
      <c r="C4946">
        <v>528</v>
      </c>
      <c r="D4946">
        <v>12</v>
      </c>
      <c r="E4946" s="80">
        <v>35509</v>
      </c>
    </row>
    <row r="4947" spans="1:5">
      <c r="A4947">
        <v>10480</v>
      </c>
      <c r="B4947" t="s">
        <v>173</v>
      </c>
      <c r="C4947">
        <v>528</v>
      </c>
      <c r="D4947">
        <v>12</v>
      </c>
      <c r="E4947" s="80">
        <v>35509</v>
      </c>
    </row>
    <row r="4948" spans="1:5">
      <c r="A4948">
        <v>10480</v>
      </c>
      <c r="B4948" t="s">
        <v>174</v>
      </c>
      <c r="C4948">
        <v>528</v>
      </c>
      <c r="D4948">
        <v>12</v>
      </c>
      <c r="E4948" s="80">
        <v>35509</v>
      </c>
    </row>
    <row r="4949" spans="1:5">
      <c r="A4949">
        <v>10480</v>
      </c>
      <c r="B4949" t="s">
        <v>175</v>
      </c>
      <c r="C4949">
        <v>528</v>
      </c>
      <c r="D4949">
        <v>12</v>
      </c>
      <c r="E4949" s="80">
        <v>35509</v>
      </c>
    </row>
    <row r="4950" spans="1:5">
      <c r="A4950">
        <v>10480</v>
      </c>
      <c r="B4950" t="s">
        <v>176</v>
      </c>
      <c r="C4950">
        <v>528</v>
      </c>
      <c r="D4950">
        <v>12</v>
      </c>
      <c r="E4950" s="80">
        <v>35509</v>
      </c>
    </row>
    <row r="4951" spans="1:5">
      <c r="A4951">
        <v>10480</v>
      </c>
      <c r="B4951" t="s">
        <v>177</v>
      </c>
      <c r="C4951">
        <v>528</v>
      </c>
      <c r="D4951">
        <v>12</v>
      </c>
      <c r="E4951" s="80">
        <v>35509</v>
      </c>
    </row>
    <row r="4952" spans="1:5">
      <c r="A4952">
        <v>10480</v>
      </c>
      <c r="B4952" t="s">
        <v>178</v>
      </c>
      <c r="C4952">
        <v>528</v>
      </c>
      <c r="D4952">
        <v>12</v>
      </c>
      <c r="E4952" s="80">
        <v>35509</v>
      </c>
    </row>
    <row r="4953" spans="1:5">
      <c r="A4953">
        <v>10480</v>
      </c>
      <c r="B4953" t="s">
        <v>179</v>
      </c>
      <c r="C4953">
        <v>528</v>
      </c>
      <c r="D4953">
        <v>12</v>
      </c>
      <c r="E4953" s="80">
        <v>35509</v>
      </c>
    </row>
    <row r="4954" spans="1:5">
      <c r="A4954">
        <v>10481</v>
      </c>
      <c r="B4954" t="s">
        <v>172</v>
      </c>
      <c r="C4954">
        <v>384</v>
      </c>
      <c r="D4954">
        <v>24</v>
      </c>
      <c r="E4954" s="80">
        <v>35509</v>
      </c>
    </row>
    <row r="4955" spans="1:5">
      <c r="A4955">
        <v>10481</v>
      </c>
      <c r="B4955" t="s">
        <v>173</v>
      </c>
      <c r="C4955">
        <v>384</v>
      </c>
      <c r="D4955">
        <v>24</v>
      </c>
      <c r="E4955" s="80">
        <v>35509</v>
      </c>
    </row>
    <row r="4956" spans="1:5">
      <c r="A4956">
        <v>10481</v>
      </c>
      <c r="B4956" t="s">
        <v>174</v>
      </c>
      <c r="C4956">
        <v>384</v>
      </c>
      <c r="D4956">
        <v>24</v>
      </c>
      <c r="E4956" s="80">
        <v>35509</v>
      </c>
    </row>
    <row r="4957" spans="1:5">
      <c r="A4957">
        <v>10481</v>
      </c>
      <c r="B4957" t="s">
        <v>175</v>
      </c>
      <c r="C4957">
        <v>384</v>
      </c>
      <c r="D4957">
        <v>24</v>
      </c>
      <c r="E4957" s="80">
        <v>35509</v>
      </c>
    </row>
    <row r="4958" spans="1:5">
      <c r="A4958">
        <v>10481</v>
      </c>
      <c r="B4958" t="s">
        <v>176</v>
      </c>
      <c r="C4958">
        <v>384</v>
      </c>
      <c r="D4958">
        <v>24</v>
      </c>
      <c r="E4958" s="80">
        <v>35509</v>
      </c>
    </row>
    <row r="4959" spans="1:5">
      <c r="A4959">
        <v>10481</v>
      </c>
      <c r="B4959" t="s">
        <v>177</v>
      </c>
      <c r="C4959">
        <v>384</v>
      </c>
      <c r="D4959">
        <v>24</v>
      </c>
      <c r="E4959" s="80">
        <v>35509</v>
      </c>
    </row>
    <row r="4960" spans="1:5">
      <c r="A4960">
        <v>10481</v>
      </c>
      <c r="B4960" t="s">
        <v>178</v>
      </c>
      <c r="C4960">
        <v>384</v>
      </c>
      <c r="D4960">
        <v>24</v>
      </c>
      <c r="E4960" s="80">
        <v>35509</v>
      </c>
    </row>
    <row r="4961" spans="1:5">
      <c r="A4961">
        <v>10481</v>
      </c>
      <c r="B4961" t="s">
        <v>179</v>
      </c>
      <c r="C4961">
        <v>384</v>
      </c>
      <c r="D4961">
        <v>24</v>
      </c>
      <c r="E4961" s="80">
        <v>35509</v>
      </c>
    </row>
    <row r="4962" spans="1:5">
      <c r="A4962">
        <v>10481</v>
      </c>
      <c r="B4962" t="s">
        <v>172</v>
      </c>
      <c r="C4962">
        <v>1088</v>
      </c>
      <c r="D4962">
        <v>40</v>
      </c>
      <c r="E4962" s="80">
        <v>35509</v>
      </c>
    </row>
    <row r="4963" spans="1:5">
      <c r="A4963">
        <v>10481</v>
      </c>
      <c r="B4963" t="s">
        <v>173</v>
      </c>
      <c r="C4963">
        <v>1088</v>
      </c>
      <c r="D4963">
        <v>40</v>
      </c>
      <c r="E4963" s="80">
        <v>35509</v>
      </c>
    </row>
    <row r="4964" spans="1:5">
      <c r="A4964">
        <v>10481</v>
      </c>
      <c r="B4964" t="s">
        <v>174</v>
      </c>
      <c r="C4964">
        <v>1088</v>
      </c>
      <c r="D4964">
        <v>40</v>
      </c>
      <c r="E4964" s="80">
        <v>35509</v>
      </c>
    </row>
    <row r="4965" spans="1:5">
      <c r="A4965">
        <v>10481</v>
      </c>
      <c r="B4965" t="s">
        <v>175</v>
      </c>
      <c r="C4965">
        <v>1088</v>
      </c>
      <c r="D4965">
        <v>40</v>
      </c>
      <c r="E4965" s="80">
        <v>35509</v>
      </c>
    </row>
    <row r="4966" spans="1:5">
      <c r="A4966">
        <v>10481</v>
      </c>
      <c r="B4966" t="s">
        <v>176</v>
      </c>
      <c r="C4966">
        <v>1088</v>
      </c>
      <c r="D4966">
        <v>40</v>
      </c>
      <c r="E4966" s="80">
        <v>35509</v>
      </c>
    </row>
    <row r="4967" spans="1:5">
      <c r="A4967">
        <v>10481</v>
      </c>
      <c r="B4967" t="s">
        <v>177</v>
      </c>
      <c r="C4967">
        <v>1088</v>
      </c>
      <c r="D4967">
        <v>40</v>
      </c>
      <c r="E4967" s="80">
        <v>35509</v>
      </c>
    </row>
    <row r="4968" spans="1:5">
      <c r="A4968">
        <v>10481</v>
      </c>
      <c r="B4968" t="s">
        <v>178</v>
      </c>
      <c r="C4968">
        <v>1088</v>
      </c>
      <c r="D4968">
        <v>40</v>
      </c>
      <c r="E4968" s="80">
        <v>35509</v>
      </c>
    </row>
    <row r="4969" spans="1:5">
      <c r="A4969">
        <v>10481</v>
      </c>
      <c r="B4969" t="s">
        <v>179</v>
      </c>
      <c r="C4969">
        <v>1088</v>
      </c>
      <c r="D4969">
        <v>40</v>
      </c>
      <c r="E4969" s="80">
        <v>35509</v>
      </c>
    </row>
    <row r="4970" spans="1:5">
      <c r="A4970">
        <v>10482</v>
      </c>
      <c r="B4970" t="s">
        <v>172</v>
      </c>
      <c r="C4970">
        <v>147</v>
      </c>
      <c r="D4970">
        <v>10</v>
      </c>
      <c r="E4970" s="80">
        <v>35510</v>
      </c>
    </row>
    <row r="4971" spans="1:5">
      <c r="A4971">
        <v>10482</v>
      </c>
      <c r="B4971" t="s">
        <v>173</v>
      </c>
      <c r="C4971">
        <v>147</v>
      </c>
      <c r="D4971">
        <v>10</v>
      </c>
      <c r="E4971" s="80">
        <v>35510</v>
      </c>
    </row>
    <row r="4972" spans="1:5">
      <c r="A4972">
        <v>10482</v>
      </c>
      <c r="B4972" t="s">
        <v>174</v>
      </c>
      <c r="C4972">
        <v>147</v>
      </c>
      <c r="D4972">
        <v>10</v>
      </c>
      <c r="E4972" s="80">
        <v>35510</v>
      </c>
    </row>
    <row r="4973" spans="1:5">
      <c r="A4973">
        <v>10482</v>
      </c>
      <c r="B4973" t="s">
        <v>175</v>
      </c>
      <c r="C4973">
        <v>147</v>
      </c>
      <c r="D4973">
        <v>10</v>
      </c>
      <c r="E4973" s="80">
        <v>35510</v>
      </c>
    </row>
    <row r="4974" spans="1:5">
      <c r="A4974">
        <v>10482</v>
      </c>
      <c r="B4974" t="s">
        <v>176</v>
      </c>
      <c r="C4974">
        <v>147</v>
      </c>
      <c r="D4974">
        <v>10</v>
      </c>
      <c r="E4974" s="80">
        <v>35510</v>
      </c>
    </row>
    <row r="4975" spans="1:5">
      <c r="A4975">
        <v>10482</v>
      </c>
      <c r="B4975" t="s">
        <v>177</v>
      </c>
      <c r="C4975">
        <v>147</v>
      </c>
      <c r="D4975">
        <v>10</v>
      </c>
      <c r="E4975" s="80">
        <v>35510</v>
      </c>
    </row>
    <row r="4976" spans="1:5">
      <c r="A4976">
        <v>10482</v>
      </c>
      <c r="B4976" t="s">
        <v>178</v>
      </c>
      <c r="C4976">
        <v>147</v>
      </c>
      <c r="D4976">
        <v>10</v>
      </c>
      <c r="E4976" s="80">
        <v>35510</v>
      </c>
    </row>
    <row r="4977" spans="1:5">
      <c r="A4977">
        <v>10482</v>
      </c>
      <c r="B4977" t="s">
        <v>179</v>
      </c>
      <c r="C4977">
        <v>147</v>
      </c>
      <c r="D4977">
        <v>10</v>
      </c>
      <c r="E4977" s="80">
        <v>35510</v>
      </c>
    </row>
    <row r="4978" spans="1:5">
      <c r="A4978">
        <v>10483</v>
      </c>
      <c r="B4978" t="s">
        <v>172</v>
      </c>
      <c r="C4978">
        <v>372.39999970793724</v>
      </c>
      <c r="D4978">
        <v>35</v>
      </c>
      <c r="E4978" s="80">
        <v>35513</v>
      </c>
    </row>
    <row r="4979" spans="1:5">
      <c r="A4979">
        <v>10483</v>
      </c>
      <c r="B4979" t="s">
        <v>173</v>
      </c>
      <c r="C4979">
        <v>372.39999970793724</v>
      </c>
      <c r="D4979">
        <v>35</v>
      </c>
      <c r="E4979" s="80">
        <v>35513</v>
      </c>
    </row>
    <row r="4980" spans="1:5">
      <c r="A4980">
        <v>10483</v>
      </c>
      <c r="B4980" t="s">
        <v>174</v>
      </c>
      <c r="C4980">
        <v>372.39999970793724</v>
      </c>
      <c r="D4980">
        <v>35</v>
      </c>
      <c r="E4980" s="80">
        <v>35513</v>
      </c>
    </row>
    <row r="4981" spans="1:5">
      <c r="A4981">
        <v>10483</v>
      </c>
      <c r="B4981" t="s">
        <v>175</v>
      </c>
      <c r="C4981">
        <v>372.39999970793724</v>
      </c>
      <c r="D4981">
        <v>35</v>
      </c>
      <c r="E4981" s="80">
        <v>35513</v>
      </c>
    </row>
    <row r="4982" spans="1:5">
      <c r="A4982">
        <v>10483</v>
      </c>
      <c r="B4982" t="s">
        <v>176</v>
      </c>
      <c r="C4982">
        <v>372.39999970793724</v>
      </c>
      <c r="D4982">
        <v>35</v>
      </c>
      <c r="E4982" s="80">
        <v>35513</v>
      </c>
    </row>
    <row r="4983" spans="1:5">
      <c r="A4983">
        <v>10483</v>
      </c>
      <c r="B4983" t="s">
        <v>177</v>
      </c>
      <c r="C4983">
        <v>372.39999970793724</v>
      </c>
      <c r="D4983">
        <v>35</v>
      </c>
      <c r="E4983" s="80">
        <v>35513</v>
      </c>
    </row>
    <row r="4984" spans="1:5">
      <c r="A4984">
        <v>10483</v>
      </c>
      <c r="B4984" t="s">
        <v>178</v>
      </c>
      <c r="C4984">
        <v>372.39999970793724</v>
      </c>
      <c r="D4984">
        <v>35</v>
      </c>
      <c r="E4984" s="80">
        <v>35513</v>
      </c>
    </row>
    <row r="4985" spans="1:5">
      <c r="A4985">
        <v>10483</v>
      </c>
      <c r="B4985" t="s">
        <v>179</v>
      </c>
      <c r="C4985">
        <v>372.39999970793724</v>
      </c>
      <c r="D4985">
        <v>35</v>
      </c>
      <c r="E4985" s="80">
        <v>35513</v>
      </c>
    </row>
    <row r="4986" spans="1:5">
      <c r="A4986">
        <v>10483</v>
      </c>
      <c r="B4986" t="s">
        <v>172</v>
      </c>
      <c r="C4986">
        <v>296.39999976754189</v>
      </c>
      <c r="D4986">
        <v>30</v>
      </c>
      <c r="E4986" s="80">
        <v>35513</v>
      </c>
    </row>
    <row r="4987" spans="1:5">
      <c r="A4987">
        <v>10483</v>
      </c>
      <c r="B4987" t="s">
        <v>173</v>
      </c>
      <c r="C4987">
        <v>296.39999976754189</v>
      </c>
      <c r="D4987">
        <v>30</v>
      </c>
      <c r="E4987" s="80">
        <v>35513</v>
      </c>
    </row>
    <row r="4988" spans="1:5">
      <c r="A4988">
        <v>10483</v>
      </c>
      <c r="B4988" t="s">
        <v>174</v>
      </c>
      <c r="C4988">
        <v>296.39999976754189</v>
      </c>
      <c r="D4988">
        <v>30</v>
      </c>
      <c r="E4988" s="80">
        <v>35513</v>
      </c>
    </row>
    <row r="4989" spans="1:5">
      <c r="A4989">
        <v>10483</v>
      </c>
      <c r="B4989" t="s">
        <v>175</v>
      </c>
      <c r="C4989">
        <v>296.39999976754189</v>
      </c>
      <c r="D4989">
        <v>30</v>
      </c>
      <c r="E4989" s="80">
        <v>35513</v>
      </c>
    </row>
    <row r="4990" spans="1:5">
      <c r="A4990">
        <v>10483</v>
      </c>
      <c r="B4990" t="s">
        <v>176</v>
      </c>
      <c r="C4990">
        <v>296.39999976754189</v>
      </c>
      <c r="D4990">
        <v>30</v>
      </c>
      <c r="E4990" s="80">
        <v>35513</v>
      </c>
    </row>
    <row r="4991" spans="1:5">
      <c r="A4991">
        <v>10483</v>
      </c>
      <c r="B4991" t="s">
        <v>177</v>
      </c>
      <c r="C4991">
        <v>296.39999976754189</v>
      </c>
      <c r="D4991">
        <v>30</v>
      </c>
      <c r="E4991" s="80">
        <v>35513</v>
      </c>
    </row>
    <row r="4992" spans="1:5">
      <c r="A4992">
        <v>10483</v>
      </c>
      <c r="B4992" t="s">
        <v>178</v>
      </c>
      <c r="C4992">
        <v>296.39999976754189</v>
      </c>
      <c r="D4992">
        <v>30</v>
      </c>
      <c r="E4992" s="80">
        <v>35513</v>
      </c>
    </row>
    <row r="4993" spans="1:5">
      <c r="A4993">
        <v>10483</v>
      </c>
      <c r="B4993" t="s">
        <v>179</v>
      </c>
      <c r="C4993">
        <v>296.39999976754189</v>
      </c>
      <c r="D4993">
        <v>30</v>
      </c>
      <c r="E4993" s="80">
        <v>35513</v>
      </c>
    </row>
    <row r="4994" spans="1:5">
      <c r="A4994">
        <v>10484</v>
      </c>
      <c r="B4994" t="s">
        <v>172</v>
      </c>
      <c r="C4994">
        <v>112</v>
      </c>
      <c r="D4994">
        <v>14</v>
      </c>
      <c r="E4994" s="80">
        <v>35513</v>
      </c>
    </row>
    <row r="4995" spans="1:5">
      <c r="A4995">
        <v>10484</v>
      </c>
      <c r="B4995" t="s">
        <v>173</v>
      </c>
      <c r="C4995">
        <v>112</v>
      </c>
      <c r="D4995">
        <v>14</v>
      </c>
      <c r="E4995" s="80">
        <v>35513</v>
      </c>
    </row>
    <row r="4996" spans="1:5">
      <c r="A4996">
        <v>10484</v>
      </c>
      <c r="B4996" t="s">
        <v>174</v>
      </c>
      <c r="C4996">
        <v>112</v>
      </c>
      <c r="D4996">
        <v>14</v>
      </c>
      <c r="E4996" s="80">
        <v>35513</v>
      </c>
    </row>
    <row r="4997" spans="1:5">
      <c r="A4997">
        <v>10484</v>
      </c>
      <c r="B4997" t="s">
        <v>175</v>
      </c>
      <c r="C4997">
        <v>112</v>
      </c>
      <c r="D4997">
        <v>14</v>
      </c>
      <c r="E4997" s="80">
        <v>35513</v>
      </c>
    </row>
    <row r="4998" spans="1:5">
      <c r="A4998">
        <v>10484</v>
      </c>
      <c r="B4998" t="s">
        <v>176</v>
      </c>
      <c r="C4998">
        <v>112</v>
      </c>
      <c r="D4998">
        <v>14</v>
      </c>
      <c r="E4998" s="80">
        <v>35513</v>
      </c>
    </row>
    <row r="4999" spans="1:5">
      <c r="A4999">
        <v>10484</v>
      </c>
      <c r="B4999" t="s">
        <v>177</v>
      </c>
      <c r="C4999">
        <v>112</v>
      </c>
      <c r="D4999">
        <v>14</v>
      </c>
      <c r="E4999" s="80">
        <v>35513</v>
      </c>
    </row>
    <row r="5000" spans="1:5">
      <c r="A5000">
        <v>10484</v>
      </c>
      <c r="B5000" t="s">
        <v>178</v>
      </c>
      <c r="C5000">
        <v>112</v>
      </c>
      <c r="D5000">
        <v>14</v>
      </c>
      <c r="E5000" s="80">
        <v>35513</v>
      </c>
    </row>
    <row r="5001" spans="1:5">
      <c r="A5001">
        <v>10484</v>
      </c>
      <c r="B5001" t="s">
        <v>179</v>
      </c>
      <c r="C5001">
        <v>112</v>
      </c>
      <c r="D5001">
        <v>14</v>
      </c>
      <c r="E5001" s="80">
        <v>35513</v>
      </c>
    </row>
    <row r="5002" spans="1:5">
      <c r="A5002">
        <v>10484</v>
      </c>
      <c r="B5002" t="s">
        <v>172</v>
      </c>
      <c r="C5002">
        <v>147</v>
      </c>
      <c r="D5002">
        <v>10</v>
      </c>
      <c r="E5002" s="80">
        <v>35513</v>
      </c>
    </row>
    <row r="5003" spans="1:5">
      <c r="A5003">
        <v>10484</v>
      </c>
      <c r="B5003" t="s">
        <v>173</v>
      </c>
      <c r="C5003">
        <v>147</v>
      </c>
      <c r="D5003">
        <v>10</v>
      </c>
      <c r="E5003" s="80">
        <v>35513</v>
      </c>
    </row>
    <row r="5004" spans="1:5">
      <c r="A5004">
        <v>10484</v>
      </c>
      <c r="B5004" t="s">
        <v>174</v>
      </c>
      <c r="C5004">
        <v>147</v>
      </c>
      <c r="D5004">
        <v>10</v>
      </c>
      <c r="E5004" s="80">
        <v>35513</v>
      </c>
    </row>
    <row r="5005" spans="1:5">
      <c r="A5005">
        <v>10484</v>
      </c>
      <c r="B5005" t="s">
        <v>175</v>
      </c>
      <c r="C5005">
        <v>147</v>
      </c>
      <c r="D5005">
        <v>10</v>
      </c>
      <c r="E5005" s="80">
        <v>35513</v>
      </c>
    </row>
    <row r="5006" spans="1:5">
      <c r="A5006">
        <v>10484</v>
      </c>
      <c r="B5006" t="s">
        <v>176</v>
      </c>
      <c r="C5006">
        <v>147</v>
      </c>
      <c r="D5006">
        <v>10</v>
      </c>
      <c r="E5006" s="80">
        <v>35513</v>
      </c>
    </row>
    <row r="5007" spans="1:5">
      <c r="A5007">
        <v>10484</v>
      </c>
      <c r="B5007" t="s">
        <v>177</v>
      </c>
      <c r="C5007">
        <v>147</v>
      </c>
      <c r="D5007">
        <v>10</v>
      </c>
      <c r="E5007" s="80">
        <v>35513</v>
      </c>
    </row>
    <row r="5008" spans="1:5">
      <c r="A5008">
        <v>10484</v>
      </c>
      <c r="B5008" t="s">
        <v>178</v>
      </c>
      <c r="C5008">
        <v>147</v>
      </c>
      <c r="D5008">
        <v>10</v>
      </c>
      <c r="E5008" s="80">
        <v>35513</v>
      </c>
    </row>
    <row r="5009" spans="1:5">
      <c r="A5009">
        <v>10484</v>
      </c>
      <c r="B5009" t="s">
        <v>179</v>
      </c>
      <c r="C5009">
        <v>147</v>
      </c>
      <c r="D5009">
        <v>10</v>
      </c>
      <c r="E5009" s="80">
        <v>35513</v>
      </c>
    </row>
    <row r="5010" spans="1:5">
      <c r="A5010">
        <v>10484</v>
      </c>
      <c r="B5010" t="s">
        <v>172</v>
      </c>
      <c r="C5010">
        <v>127.2</v>
      </c>
      <c r="D5010">
        <v>3</v>
      </c>
      <c r="E5010" s="80">
        <v>35513</v>
      </c>
    </row>
    <row r="5011" spans="1:5">
      <c r="A5011">
        <v>10484</v>
      </c>
      <c r="B5011" t="s">
        <v>173</v>
      </c>
      <c r="C5011">
        <v>127.2</v>
      </c>
      <c r="D5011">
        <v>3</v>
      </c>
      <c r="E5011" s="80">
        <v>35513</v>
      </c>
    </row>
    <row r="5012" spans="1:5">
      <c r="A5012">
        <v>10484</v>
      </c>
      <c r="B5012" t="s">
        <v>174</v>
      </c>
      <c r="C5012">
        <v>127.2</v>
      </c>
      <c r="D5012">
        <v>3</v>
      </c>
      <c r="E5012" s="80">
        <v>35513</v>
      </c>
    </row>
    <row r="5013" spans="1:5">
      <c r="A5013">
        <v>10484</v>
      </c>
      <c r="B5013" t="s">
        <v>175</v>
      </c>
      <c r="C5013">
        <v>127.2</v>
      </c>
      <c r="D5013">
        <v>3</v>
      </c>
      <c r="E5013" s="80">
        <v>35513</v>
      </c>
    </row>
    <row r="5014" spans="1:5">
      <c r="A5014">
        <v>10484</v>
      </c>
      <c r="B5014" t="s">
        <v>176</v>
      </c>
      <c r="C5014">
        <v>127.2</v>
      </c>
      <c r="D5014">
        <v>3</v>
      </c>
      <c r="E5014" s="80">
        <v>35513</v>
      </c>
    </row>
    <row r="5015" spans="1:5">
      <c r="A5015">
        <v>10484</v>
      </c>
      <c r="B5015" t="s">
        <v>177</v>
      </c>
      <c r="C5015">
        <v>127.2</v>
      </c>
      <c r="D5015">
        <v>3</v>
      </c>
      <c r="E5015" s="80">
        <v>35513</v>
      </c>
    </row>
    <row r="5016" spans="1:5">
      <c r="A5016">
        <v>10484</v>
      </c>
      <c r="B5016" t="s">
        <v>178</v>
      </c>
      <c r="C5016">
        <v>127.2</v>
      </c>
      <c r="D5016">
        <v>3</v>
      </c>
      <c r="E5016" s="80">
        <v>35513</v>
      </c>
    </row>
    <row r="5017" spans="1:5">
      <c r="A5017">
        <v>10484</v>
      </c>
      <c r="B5017" t="s">
        <v>179</v>
      </c>
      <c r="C5017">
        <v>127.2</v>
      </c>
      <c r="D5017">
        <v>3</v>
      </c>
      <c r="E5017" s="80">
        <v>35513</v>
      </c>
    </row>
    <row r="5018" spans="1:5">
      <c r="A5018">
        <v>10485</v>
      </c>
      <c r="B5018" t="s">
        <v>172</v>
      </c>
      <c r="C5018">
        <v>273.5999995470047</v>
      </c>
      <c r="D5018">
        <v>20</v>
      </c>
      <c r="E5018" s="80">
        <v>35514</v>
      </c>
    </row>
    <row r="5019" spans="1:5">
      <c r="A5019">
        <v>10485</v>
      </c>
      <c r="B5019" t="s">
        <v>173</v>
      </c>
      <c r="C5019">
        <v>273.5999995470047</v>
      </c>
      <c r="D5019">
        <v>20</v>
      </c>
      <c r="E5019" s="80">
        <v>35514</v>
      </c>
    </row>
    <row r="5020" spans="1:5">
      <c r="A5020">
        <v>10485</v>
      </c>
      <c r="B5020" t="s">
        <v>174</v>
      </c>
      <c r="C5020">
        <v>273.5999995470047</v>
      </c>
      <c r="D5020">
        <v>20</v>
      </c>
      <c r="E5020" s="80">
        <v>35514</v>
      </c>
    </row>
    <row r="5021" spans="1:5">
      <c r="A5021">
        <v>10485</v>
      </c>
      <c r="B5021" t="s">
        <v>175</v>
      </c>
      <c r="C5021">
        <v>273.5999995470047</v>
      </c>
      <c r="D5021">
        <v>20</v>
      </c>
      <c r="E5021" s="80">
        <v>35514</v>
      </c>
    </row>
    <row r="5022" spans="1:5">
      <c r="A5022">
        <v>10485</v>
      </c>
      <c r="B5022" t="s">
        <v>176</v>
      </c>
      <c r="C5022">
        <v>273.5999995470047</v>
      </c>
      <c r="D5022">
        <v>20</v>
      </c>
      <c r="E5022" s="80">
        <v>35514</v>
      </c>
    </row>
    <row r="5023" spans="1:5">
      <c r="A5023">
        <v>10485</v>
      </c>
      <c r="B5023" t="s">
        <v>177</v>
      </c>
      <c r="C5023">
        <v>273.5999995470047</v>
      </c>
      <c r="D5023">
        <v>20</v>
      </c>
      <c r="E5023" s="80">
        <v>35514</v>
      </c>
    </row>
    <row r="5024" spans="1:5">
      <c r="A5024">
        <v>10485</v>
      </c>
      <c r="B5024" t="s">
        <v>178</v>
      </c>
      <c r="C5024">
        <v>273.5999995470047</v>
      </c>
      <c r="D5024">
        <v>20</v>
      </c>
      <c r="E5024" s="80">
        <v>35514</v>
      </c>
    </row>
    <row r="5025" spans="1:5">
      <c r="A5025">
        <v>10485</v>
      </c>
      <c r="B5025" t="s">
        <v>179</v>
      </c>
      <c r="C5025">
        <v>273.5999995470047</v>
      </c>
      <c r="D5025">
        <v>20</v>
      </c>
      <c r="E5025" s="80">
        <v>35514</v>
      </c>
    </row>
    <row r="5026" spans="1:5">
      <c r="A5026">
        <v>10485</v>
      </c>
      <c r="B5026" t="s">
        <v>172</v>
      </c>
      <c r="C5026">
        <v>143.99999976158142</v>
      </c>
      <c r="D5026">
        <v>20</v>
      </c>
      <c r="E5026" s="80">
        <v>35514</v>
      </c>
    </row>
    <row r="5027" spans="1:5">
      <c r="A5027">
        <v>10485</v>
      </c>
      <c r="B5027" t="s">
        <v>173</v>
      </c>
      <c r="C5027">
        <v>143.99999976158142</v>
      </c>
      <c r="D5027">
        <v>20</v>
      </c>
      <c r="E5027" s="80">
        <v>35514</v>
      </c>
    </row>
    <row r="5028" spans="1:5">
      <c r="A5028">
        <v>10485</v>
      </c>
      <c r="B5028" t="s">
        <v>174</v>
      </c>
      <c r="C5028">
        <v>143.99999976158142</v>
      </c>
      <c r="D5028">
        <v>20</v>
      </c>
      <c r="E5028" s="80">
        <v>35514</v>
      </c>
    </row>
    <row r="5029" spans="1:5">
      <c r="A5029">
        <v>10485</v>
      </c>
      <c r="B5029" t="s">
        <v>175</v>
      </c>
      <c r="C5029">
        <v>143.99999976158142</v>
      </c>
      <c r="D5029">
        <v>20</v>
      </c>
      <c r="E5029" s="80">
        <v>35514</v>
      </c>
    </row>
    <row r="5030" spans="1:5">
      <c r="A5030">
        <v>10485</v>
      </c>
      <c r="B5030" t="s">
        <v>176</v>
      </c>
      <c r="C5030">
        <v>143.99999976158142</v>
      </c>
      <c r="D5030">
        <v>20</v>
      </c>
      <c r="E5030" s="80">
        <v>35514</v>
      </c>
    </row>
    <row r="5031" spans="1:5">
      <c r="A5031">
        <v>10485</v>
      </c>
      <c r="B5031" t="s">
        <v>177</v>
      </c>
      <c r="C5031">
        <v>143.99999976158142</v>
      </c>
      <c r="D5031">
        <v>20</v>
      </c>
      <c r="E5031" s="80">
        <v>35514</v>
      </c>
    </row>
    <row r="5032" spans="1:5">
      <c r="A5032">
        <v>10485</v>
      </c>
      <c r="B5032" t="s">
        <v>178</v>
      </c>
      <c r="C5032">
        <v>143.99999976158142</v>
      </c>
      <c r="D5032">
        <v>20</v>
      </c>
      <c r="E5032" s="80">
        <v>35514</v>
      </c>
    </row>
    <row r="5033" spans="1:5">
      <c r="A5033">
        <v>10485</v>
      </c>
      <c r="B5033" t="s">
        <v>179</v>
      </c>
      <c r="C5033">
        <v>143.99999976158142</v>
      </c>
      <c r="D5033">
        <v>20</v>
      </c>
      <c r="E5033" s="80">
        <v>35514</v>
      </c>
    </row>
    <row r="5034" spans="1:5">
      <c r="A5034">
        <v>10485</v>
      </c>
      <c r="B5034" t="s">
        <v>172</v>
      </c>
      <c r="C5034">
        <v>518.39999914169312</v>
      </c>
      <c r="D5034">
        <v>30</v>
      </c>
      <c r="E5034" s="80">
        <v>35514</v>
      </c>
    </row>
    <row r="5035" spans="1:5">
      <c r="A5035">
        <v>10485</v>
      </c>
      <c r="B5035" t="s">
        <v>173</v>
      </c>
      <c r="C5035">
        <v>518.39999914169312</v>
      </c>
      <c r="D5035">
        <v>30</v>
      </c>
      <c r="E5035" s="80">
        <v>35514</v>
      </c>
    </row>
    <row r="5036" spans="1:5">
      <c r="A5036">
        <v>10485</v>
      </c>
      <c r="B5036" t="s">
        <v>174</v>
      </c>
      <c r="C5036">
        <v>518.39999914169312</v>
      </c>
      <c r="D5036">
        <v>30</v>
      </c>
      <c r="E5036" s="80">
        <v>35514</v>
      </c>
    </row>
    <row r="5037" spans="1:5">
      <c r="A5037">
        <v>10485</v>
      </c>
      <c r="B5037" t="s">
        <v>175</v>
      </c>
      <c r="C5037">
        <v>518.39999914169312</v>
      </c>
      <c r="D5037">
        <v>30</v>
      </c>
      <c r="E5037" s="80">
        <v>35514</v>
      </c>
    </row>
    <row r="5038" spans="1:5">
      <c r="A5038">
        <v>10485</v>
      </c>
      <c r="B5038" t="s">
        <v>176</v>
      </c>
      <c r="C5038">
        <v>518.39999914169312</v>
      </c>
      <c r="D5038">
        <v>30</v>
      </c>
      <c r="E5038" s="80">
        <v>35514</v>
      </c>
    </row>
    <row r="5039" spans="1:5">
      <c r="A5039">
        <v>10485</v>
      </c>
      <c r="B5039" t="s">
        <v>177</v>
      </c>
      <c r="C5039">
        <v>518.39999914169312</v>
      </c>
      <c r="D5039">
        <v>30</v>
      </c>
      <c r="E5039" s="80">
        <v>35514</v>
      </c>
    </row>
    <row r="5040" spans="1:5">
      <c r="A5040">
        <v>10485</v>
      </c>
      <c r="B5040" t="s">
        <v>178</v>
      </c>
      <c r="C5040">
        <v>518.39999914169312</v>
      </c>
      <c r="D5040">
        <v>30</v>
      </c>
      <c r="E5040" s="80">
        <v>35514</v>
      </c>
    </row>
    <row r="5041" spans="1:5">
      <c r="A5041">
        <v>10485</v>
      </c>
      <c r="B5041" t="s">
        <v>179</v>
      </c>
      <c r="C5041">
        <v>518.39999914169312</v>
      </c>
      <c r="D5041">
        <v>30</v>
      </c>
      <c r="E5041" s="80">
        <v>35514</v>
      </c>
    </row>
    <row r="5042" spans="1:5">
      <c r="A5042">
        <v>10485</v>
      </c>
      <c r="B5042" t="s">
        <v>172</v>
      </c>
      <c r="C5042">
        <v>647.99999892711639</v>
      </c>
      <c r="D5042">
        <v>60</v>
      </c>
      <c r="E5042" s="80">
        <v>35514</v>
      </c>
    </row>
    <row r="5043" spans="1:5">
      <c r="A5043">
        <v>10485</v>
      </c>
      <c r="B5043" t="s">
        <v>173</v>
      </c>
      <c r="C5043">
        <v>647.99999892711639</v>
      </c>
      <c r="D5043">
        <v>60</v>
      </c>
      <c r="E5043" s="80">
        <v>35514</v>
      </c>
    </row>
    <row r="5044" spans="1:5">
      <c r="A5044">
        <v>10485</v>
      </c>
      <c r="B5044" t="s">
        <v>174</v>
      </c>
      <c r="C5044">
        <v>647.99999892711639</v>
      </c>
      <c r="D5044">
        <v>60</v>
      </c>
      <c r="E5044" s="80">
        <v>35514</v>
      </c>
    </row>
    <row r="5045" spans="1:5">
      <c r="A5045">
        <v>10485</v>
      </c>
      <c r="B5045" t="s">
        <v>175</v>
      </c>
      <c r="C5045">
        <v>647.99999892711639</v>
      </c>
      <c r="D5045">
        <v>60</v>
      </c>
      <c r="E5045" s="80">
        <v>35514</v>
      </c>
    </row>
    <row r="5046" spans="1:5">
      <c r="A5046">
        <v>10485</v>
      </c>
      <c r="B5046" t="s">
        <v>176</v>
      </c>
      <c r="C5046">
        <v>647.99999892711639</v>
      </c>
      <c r="D5046">
        <v>60</v>
      </c>
      <c r="E5046" s="80">
        <v>35514</v>
      </c>
    </row>
    <row r="5047" spans="1:5">
      <c r="A5047">
        <v>10485</v>
      </c>
      <c r="B5047" t="s">
        <v>177</v>
      </c>
      <c r="C5047">
        <v>647.99999892711639</v>
      </c>
      <c r="D5047">
        <v>60</v>
      </c>
      <c r="E5047" s="80">
        <v>35514</v>
      </c>
    </row>
    <row r="5048" spans="1:5">
      <c r="A5048">
        <v>10485</v>
      </c>
      <c r="B5048" t="s">
        <v>178</v>
      </c>
      <c r="C5048">
        <v>647.99999892711639</v>
      </c>
      <c r="D5048">
        <v>60</v>
      </c>
      <c r="E5048" s="80">
        <v>35514</v>
      </c>
    </row>
    <row r="5049" spans="1:5">
      <c r="A5049">
        <v>10485</v>
      </c>
      <c r="B5049" t="s">
        <v>179</v>
      </c>
      <c r="C5049">
        <v>647.99999892711639</v>
      </c>
      <c r="D5049">
        <v>60</v>
      </c>
      <c r="E5049" s="80">
        <v>35514</v>
      </c>
    </row>
    <row r="5050" spans="1:5">
      <c r="A5050">
        <v>10486</v>
      </c>
      <c r="B5050" t="s">
        <v>172</v>
      </c>
      <c r="C5050">
        <v>84</v>
      </c>
      <c r="D5050">
        <v>5</v>
      </c>
      <c r="E5050" s="80">
        <v>35515</v>
      </c>
    </row>
    <row r="5051" spans="1:5">
      <c r="A5051">
        <v>10486</v>
      </c>
      <c r="B5051" t="s">
        <v>173</v>
      </c>
      <c r="C5051">
        <v>84</v>
      </c>
      <c r="D5051">
        <v>5</v>
      </c>
      <c r="E5051" s="80">
        <v>35515</v>
      </c>
    </row>
    <row r="5052" spans="1:5">
      <c r="A5052">
        <v>10486</v>
      </c>
      <c r="B5052" t="s">
        <v>174</v>
      </c>
      <c r="C5052">
        <v>84</v>
      </c>
      <c r="D5052">
        <v>5</v>
      </c>
      <c r="E5052" s="80">
        <v>35515</v>
      </c>
    </row>
    <row r="5053" spans="1:5">
      <c r="A5053">
        <v>10486</v>
      </c>
      <c r="B5053" t="s">
        <v>175</v>
      </c>
      <c r="C5053">
        <v>84</v>
      </c>
      <c r="D5053">
        <v>5</v>
      </c>
      <c r="E5053" s="80">
        <v>35515</v>
      </c>
    </row>
    <row r="5054" spans="1:5">
      <c r="A5054">
        <v>10486</v>
      </c>
      <c r="B5054" t="s">
        <v>176</v>
      </c>
      <c r="C5054">
        <v>84</v>
      </c>
      <c r="D5054">
        <v>5</v>
      </c>
      <c r="E5054" s="80">
        <v>35515</v>
      </c>
    </row>
    <row r="5055" spans="1:5">
      <c r="A5055">
        <v>10486</v>
      </c>
      <c r="B5055" t="s">
        <v>177</v>
      </c>
      <c r="C5055">
        <v>84</v>
      </c>
      <c r="D5055">
        <v>5</v>
      </c>
      <c r="E5055" s="80">
        <v>35515</v>
      </c>
    </row>
    <row r="5056" spans="1:5">
      <c r="A5056">
        <v>10486</v>
      </c>
      <c r="B5056" t="s">
        <v>178</v>
      </c>
      <c r="C5056">
        <v>84</v>
      </c>
      <c r="D5056">
        <v>5</v>
      </c>
      <c r="E5056" s="80">
        <v>35515</v>
      </c>
    </row>
    <row r="5057" spans="1:5">
      <c r="A5057">
        <v>10486</v>
      </c>
      <c r="B5057" t="s">
        <v>179</v>
      </c>
      <c r="C5057">
        <v>84</v>
      </c>
      <c r="D5057">
        <v>5</v>
      </c>
      <c r="E5057" s="80">
        <v>35515</v>
      </c>
    </row>
    <row r="5058" spans="1:5">
      <c r="A5058">
        <v>10486</v>
      </c>
      <c r="B5058" t="s">
        <v>172</v>
      </c>
      <c r="C5058">
        <v>1060</v>
      </c>
      <c r="D5058">
        <v>25</v>
      </c>
      <c r="E5058" s="80">
        <v>35515</v>
      </c>
    </row>
    <row r="5059" spans="1:5">
      <c r="A5059">
        <v>10486</v>
      </c>
      <c r="B5059" t="s">
        <v>173</v>
      </c>
      <c r="C5059">
        <v>1060</v>
      </c>
      <c r="D5059">
        <v>25</v>
      </c>
      <c r="E5059" s="80">
        <v>35515</v>
      </c>
    </row>
    <row r="5060" spans="1:5">
      <c r="A5060">
        <v>10486</v>
      </c>
      <c r="B5060" t="s">
        <v>174</v>
      </c>
      <c r="C5060">
        <v>1060</v>
      </c>
      <c r="D5060">
        <v>25</v>
      </c>
      <c r="E5060" s="80">
        <v>35515</v>
      </c>
    </row>
    <row r="5061" spans="1:5">
      <c r="A5061">
        <v>10486</v>
      </c>
      <c r="B5061" t="s">
        <v>175</v>
      </c>
      <c r="C5061">
        <v>1060</v>
      </c>
      <c r="D5061">
        <v>25</v>
      </c>
      <c r="E5061" s="80">
        <v>35515</v>
      </c>
    </row>
    <row r="5062" spans="1:5">
      <c r="A5062">
        <v>10486</v>
      </c>
      <c r="B5062" t="s">
        <v>176</v>
      </c>
      <c r="C5062">
        <v>1060</v>
      </c>
      <c r="D5062">
        <v>25</v>
      </c>
      <c r="E5062" s="80">
        <v>35515</v>
      </c>
    </row>
    <row r="5063" spans="1:5">
      <c r="A5063">
        <v>10486</v>
      </c>
      <c r="B5063" t="s">
        <v>177</v>
      </c>
      <c r="C5063">
        <v>1060</v>
      </c>
      <c r="D5063">
        <v>25</v>
      </c>
      <c r="E5063" s="80">
        <v>35515</v>
      </c>
    </row>
    <row r="5064" spans="1:5">
      <c r="A5064">
        <v>10486</v>
      </c>
      <c r="B5064" t="s">
        <v>178</v>
      </c>
      <c r="C5064">
        <v>1060</v>
      </c>
      <c r="D5064">
        <v>25</v>
      </c>
      <c r="E5064" s="80">
        <v>35515</v>
      </c>
    </row>
    <row r="5065" spans="1:5">
      <c r="A5065">
        <v>10486</v>
      </c>
      <c r="B5065" t="s">
        <v>179</v>
      </c>
      <c r="C5065">
        <v>1060</v>
      </c>
      <c r="D5065">
        <v>25</v>
      </c>
      <c r="E5065" s="80">
        <v>35515</v>
      </c>
    </row>
    <row r="5066" spans="1:5">
      <c r="A5066">
        <v>10486</v>
      </c>
      <c r="B5066" t="s">
        <v>172</v>
      </c>
      <c r="C5066">
        <v>128</v>
      </c>
      <c r="D5066">
        <v>16</v>
      </c>
      <c r="E5066" s="80">
        <v>35515</v>
      </c>
    </row>
    <row r="5067" spans="1:5">
      <c r="A5067">
        <v>10486</v>
      </c>
      <c r="B5067" t="s">
        <v>173</v>
      </c>
      <c r="C5067">
        <v>128</v>
      </c>
      <c r="D5067">
        <v>16</v>
      </c>
      <c r="E5067" s="80">
        <v>35515</v>
      </c>
    </row>
    <row r="5068" spans="1:5">
      <c r="A5068">
        <v>10486</v>
      </c>
      <c r="B5068" t="s">
        <v>174</v>
      </c>
      <c r="C5068">
        <v>128</v>
      </c>
      <c r="D5068">
        <v>16</v>
      </c>
      <c r="E5068" s="80">
        <v>35515</v>
      </c>
    </row>
    <row r="5069" spans="1:5">
      <c r="A5069">
        <v>10486</v>
      </c>
      <c r="B5069" t="s">
        <v>175</v>
      </c>
      <c r="C5069">
        <v>128</v>
      </c>
      <c r="D5069">
        <v>16</v>
      </c>
      <c r="E5069" s="80">
        <v>35515</v>
      </c>
    </row>
    <row r="5070" spans="1:5">
      <c r="A5070">
        <v>10486</v>
      </c>
      <c r="B5070" t="s">
        <v>176</v>
      </c>
      <c r="C5070">
        <v>128</v>
      </c>
      <c r="D5070">
        <v>16</v>
      </c>
      <c r="E5070" s="80">
        <v>35515</v>
      </c>
    </row>
    <row r="5071" spans="1:5">
      <c r="A5071">
        <v>10486</v>
      </c>
      <c r="B5071" t="s">
        <v>177</v>
      </c>
      <c r="C5071">
        <v>128</v>
      </c>
      <c r="D5071">
        <v>16</v>
      </c>
      <c r="E5071" s="80">
        <v>35515</v>
      </c>
    </row>
    <row r="5072" spans="1:5">
      <c r="A5072">
        <v>10486</v>
      </c>
      <c r="B5072" t="s">
        <v>178</v>
      </c>
      <c r="C5072">
        <v>128</v>
      </c>
      <c r="D5072">
        <v>16</v>
      </c>
      <c r="E5072" s="80">
        <v>35515</v>
      </c>
    </row>
    <row r="5073" spans="1:5">
      <c r="A5073">
        <v>10486</v>
      </c>
      <c r="B5073" t="s">
        <v>179</v>
      </c>
      <c r="C5073">
        <v>128</v>
      </c>
      <c r="D5073">
        <v>16</v>
      </c>
      <c r="E5073" s="80">
        <v>35515</v>
      </c>
    </row>
    <row r="5074" spans="1:5">
      <c r="A5074">
        <v>10487</v>
      </c>
      <c r="B5074" t="s">
        <v>172</v>
      </c>
      <c r="C5074">
        <v>36.5</v>
      </c>
      <c r="D5074">
        <v>5</v>
      </c>
      <c r="E5074" s="80">
        <v>35515</v>
      </c>
    </row>
    <row r="5075" spans="1:5">
      <c r="A5075">
        <v>10487</v>
      </c>
      <c r="B5075" t="s">
        <v>173</v>
      </c>
      <c r="C5075">
        <v>36.5</v>
      </c>
      <c r="D5075">
        <v>5</v>
      </c>
      <c r="E5075" s="80">
        <v>35515</v>
      </c>
    </row>
    <row r="5076" spans="1:5">
      <c r="A5076">
        <v>10487</v>
      </c>
      <c r="B5076" t="s">
        <v>174</v>
      </c>
      <c r="C5076">
        <v>36.5</v>
      </c>
      <c r="D5076">
        <v>5</v>
      </c>
      <c r="E5076" s="80">
        <v>35515</v>
      </c>
    </row>
    <row r="5077" spans="1:5">
      <c r="A5077">
        <v>10487</v>
      </c>
      <c r="B5077" t="s">
        <v>175</v>
      </c>
      <c r="C5077">
        <v>36.5</v>
      </c>
      <c r="D5077">
        <v>5</v>
      </c>
      <c r="E5077" s="80">
        <v>35515</v>
      </c>
    </row>
    <row r="5078" spans="1:5">
      <c r="A5078">
        <v>10487</v>
      </c>
      <c r="B5078" t="s">
        <v>176</v>
      </c>
      <c r="C5078">
        <v>36.5</v>
      </c>
      <c r="D5078">
        <v>5</v>
      </c>
      <c r="E5078" s="80">
        <v>35515</v>
      </c>
    </row>
    <row r="5079" spans="1:5">
      <c r="A5079">
        <v>10487</v>
      </c>
      <c r="B5079" t="s">
        <v>177</v>
      </c>
      <c r="C5079">
        <v>36.5</v>
      </c>
      <c r="D5079">
        <v>5</v>
      </c>
      <c r="E5079" s="80">
        <v>35515</v>
      </c>
    </row>
    <row r="5080" spans="1:5">
      <c r="A5080">
        <v>10487</v>
      </c>
      <c r="B5080" t="s">
        <v>178</v>
      </c>
      <c r="C5080">
        <v>36.5</v>
      </c>
      <c r="D5080">
        <v>5</v>
      </c>
      <c r="E5080" s="80">
        <v>35515</v>
      </c>
    </row>
    <row r="5081" spans="1:5">
      <c r="A5081">
        <v>10487</v>
      </c>
      <c r="B5081" t="s">
        <v>179</v>
      </c>
      <c r="C5081">
        <v>36.5</v>
      </c>
      <c r="D5081">
        <v>5</v>
      </c>
      <c r="E5081" s="80">
        <v>35515</v>
      </c>
    </row>
    <row r="5082" spans="1:5">
      <c r="A5082">
        <v>10487</v>
      </c>
      <c r="B5082" t="s">
        <v>172</v>
      </c>
      <c r="C5082">
        <v>747</v>
      </c>
      <c r="D5082">
        <v>30</v>
      </c>
      <c r="E5082" s="80">
        <v>35515</v>
      </c>
    </row>
    <row r="5083" spans="1:5">
      <c r="A5083">
        <v>10487</v>
      </c>
      <c r="B5083" t="s">
        <v>173</v>
      </c>
      <c r="C5083">
        <v>747</v>
      </c>
      <c r="D5083">
        <v>30</v>
      </c>
      <c r="E5083" s="80">
        <v>35515</v>
      </c>
    </row>
    <row r="5084" spans="1:5">
      <c r="A5084">
        <v>10487</v>
      </c>
      <c r="B5084" t="s">
        <v>174</v>
      </c>
      <c r="C5084">
        <v>747</v>
      </c>
      <c r="D5084">
        <v>30</v>
      </c>
      <c r="E5084" s="80">
        <v>35515</v>
      </c>
    </row>
    <row r="5085" spans="1:5">
      <c r="A5085">
        <v>10487</v>
      </c>
      <c r="B5085" t="s">
        <v>175</v>
      </c>
      <c r="C5085">
        <v>747</v>
      </c>
      <c r="D5085">
        <v>30</v>
      </c>
      <c r="E5085" s="80">
        <v>35515</v>
      </c>
    </row>
    <row r="5086" spans="1:5">
      <c r="A5086">
        <v>10487</v>
      </c>
      <c r="B5086" t="s">
        <v>176</v>
      </c>
      <c r="C5086">
        <v>747</v>
      </c>
      <c r="D5086">
        <v>30</v>
      </c>
      <c r="E5086" s="80">
        <v>35515</v>
      </c>
    </row>
    <row r="5087" spans="1:5">
      <c r="A5087">
        <v>10487</v>
      </c>
      <c r="B5087" t="s">
        <v>177</v>
      </c>
      <c r="C5087">
        <v>747</v>
      </c>
      <c r="D5087">
        <v>30</v>
      </c>
      <c r="E5087" s="80">
        <v>35515</v>
      </c>
    </row>
    <row r="5088" spans="1:5">
      <c r="A5088">
        <v>10487</v>
      </c>
      <c r="B5088" t="s">
        <v>178</v>
      </c>
      <c r="C5088">
        <v>747</v>
      </c>
      <c r="D5088">
        <v>30</v>
      </c>
      <c r="E5088" s="80">
        <v>35515</v>
      </c>
    </row>
    <row r="5089" spans="1:5">
      <c r="A5089">
        <v>10487</v>
      </c>
      <c r="B5089" t="s">
        <v>179</v>
      </c>
      <c r="C5089">
        <v>747</v>
      </c>
      <c r="D5089">
        <v>30</v>
      </c>
      <c r="E5089" s="80">
        <v>35515</v>
      </c>
    </row>
    <row r="5090" spans="1:5">
      <c r="A5090">
        <v>10487</v>
      </c>
      <c r="B5090" t="s">
        <v>172</v>
      </c>
      <c r="C5090">
        <v>106.19999999999999</v>
      </c>
      <c r="D5090">
        <v>24</v>
      </c>
      <c r="E5090" s="80">
        <v>35515</v>
      </c>
    </row>
    <row r="5091" spans="1:5">
      <c r="A5091">
        <v>10487</v>
      </c>
      <c r="B5091" t="s">
        <v>173</v>
      </c>
      <c r="C5091">
        <v>106.19999999999999</v>
      </c>
      <c r="D5091">
        <v>24</v>
      </c>
      <c r="E5091" s="80">
        <v>35515</v>
      </c>
    </row>
    <row r="5092" spans="1:5">
      <c r="A5092">
        <v>10487</v>
      </c>
      <c r="B5092" t="s">
        <v>174</v>
      </c>
      <c r="C5092">
        <v>106.19999999999999</v>
      </c>
      <c r="D5092">
        <v>24</v>
      </c>
      <c r="E5092" s="80">
        <v>35515</v>
      </c>
    </row>
    <row r="5093" spans="1:5">
      <c r="A5093">
        <v>10487</v>
      </c>
      <c r="B5093" t="s">
        <v>175</v>
      </c>
      <c r="C5093">
        <v>106.19999999999999</v>
      </c>
      <c r="D5093">
        <v>24</v>
      </c>
      <c r="E5093" s="80">
        <v>35515</v>
      </c>
    </row>
    <row r="5094" spans="1:5">
      <c r="A5094">
        <v>10487</v>
      </c>
      <c r="B5094" t="s">
        <v>176</v>
      </c>
      <c r="C5094">
        <v>106.19999999999999</v>
      </c>
      <c r="D5094">
        <v>24</v>
      </c>
      <c r="E5094" s="80">
        <v>35515</v>
      </c>
    </row>
    <row r="5095" spans="1:5">
      <c r="A5095">
        <v>10487</v>
      </c>
      <c r="B5095" t="s">
        <v>177</v>
      </c>
      <c r="C5095">
        <v>106.19999999999999</v>
      </c>
      <c r="D5095">
        <v>24</v>
      </c>
      <c r="E5095" s="80">
        <v>35515</v>
      </c>
    </row>
    <row r="5096" spans="1:5">
      <c r="A5096">
        <v>10487</v>
      </c>
      <c r="B5096" t="s">
        <v>178</v>
      </c>
      <c r="C5096">
        <v>106.19999999999999</v>
      </c>
      <c r="D5096">
        <v>24</v>
      </c>
      <c r="E5096" s="80">
        <v>35515</v>
      </c>
    </row>
    <row r="5097" spans="1:5">
      <c r="A5097">
        <v>10487</v>
      </c>
      <c r="B5097" t="s">
        <v>179</v>
      </c>
      <c r="C5097">
        <v>106.19999999999999</v>
      </c>
      <c r="D5097">
        <v>24</v>
      </c>
      <c r="E5097" s="80">
        <v>35515</v>
      </c>
    </row>
    <row r="5098" spans="1:5">
      <c r="A5098">
        <v>10488</v>
      </c>
      <c r="B5098" t="s">
        <v>172</v>
      </c>
      <c r="C5098">
        <v>1320</v>
      </c>
      <c r="D5098">
        <v>30</v>
      </c>
      <c r="E5098" s="80">
        <v>35516</v>
      </c>
    </row>
    <row r="5099" spans="1:5">
      <c r="A5099">
        <v>10488</v>
      </c>
      <c r="B5099" t="s">
        <v>173</v>
      </c>
      <c r="C5099">
        <v>1320</v>
      </c>
      <c r="D5099">
        <v>30</v>
      </c>
      <c r="E5099" s="80">
        <v>35516</v>
      </c>
    </row>
    <row r="5100" spans="1:5">
      <c r="A5100">
        <v>10488</v>
      </c>
      <c r="B5100" t="s">
        <v>174</v>
      </c>
      <c r="C5100">
        <v>1320</v>
      </c>
      <c r="D5100">
        <v>30</v>
      </c>
      <c r="E5100" s="80">
        <v>35516</v>
      </c>
    </row>
    <row r="5101" spans="1:5">
      <c r="A5101">
        <v>10488</v>
      </c>
      <c r="B5101" t="s">
        <v>175</v>
      </c>
      <c r="C5101">
        <v>1320</v>
      </c>
      <c r="D5101">
        <v>30</v>
      </c>
      <c r="E5101" s="80">
        <v>35516</v>
      </c>
    </row>
    <row r="5102" spans="1:5">
      <c r="A5102">
        <v>10488</v>
      </c>
      <c r="B5102" t="s">
        <v>176</v>
      </c>
      <c r="C5102">
        <v>1320</v>
      </c>
      <c r="D5102">
        <v>30</v>
      </c>
      <c r="E5102" s="80">
        <v>35516</v>
      </c>
    </row>
    <row r="5103" spans="1:5">
      <c r="A5103">
        <v>10488</v>
      </c>
      <c r="B5103" t="s">
        <v>177</v>
      </c>
      <c r="C5103">
        <v>1320</v>
      </c>
      <c r="D5103">
        <v>30</v>
      </c>
      <c r="E5103" s="80">
        <v>35516</v>
      </c>
    </row>
    <row r="5104" spans="1:5">
      <c r="A5104">
        <v>10488</v>
      </c>
      <c r="B5104" t="s">
        <v>178</v>
      </c>
      <c r="C5104">
        <v>1320</v>
      </c>
      <c r="D5104">
        <v>30</v>
      </c>
      <c r="E5104" s="80">
        <v>35516</v>
      </c>
    </row>
    <row r="5105" spans="1:5">
      <c r="A5105">
        <v>10488</v>
      </c>
      <c r="B5105" t="s">
        <v>179</v>
      </c>
      <c r="C5105">
        <v>1320</v>
      </c>
      <c r="D5105">
        <v>30</v>
      </c>
      <c r="E5105" s="80">
        <v>35516</v>
      </c>
    </row>
    <row r="5106" spans="1:5">
      <c r="A5106">
        <v>10488</v>
      </c>
      <c r="B5106" t="s">
        <v>172</v>
      </c>
      <c r="C5106">
        <v>191.99999928474426</v>
      </c>
      <c r="D5106">
        <v>20</v>
      </c>
      <c r="E5106" s="80">
        <v>35516</v>
      </c>
    </row>
    <row r="5107" spans="1:5">
      <c r="A5107">
        <v>10488</v>
      </c>
      <c r="B5107" t="s">
        <v>173</v>
      </c>
      <c r="C5107">
        <v>191.99999928474426</v>
      </c>
      <c r="D5107">
        <v>20</v>
      </c>
      <c r="E5107" s="80">
        <v>35516</v>
      </c>
    </row>
    <row r="5108" spans="1:5">
      <c r="A5108">
        <v>10488</v>
      </c>
      <c r="B5108" t="s">
        <v>174</v>
      </c>
      <c r="C5108">
        <v>191.99999928474426</v>
      </c>
      <c r="D5108">
        <v>20</v>
      </c>
      <c r="E5108" s="80">
        <v>35516</v>
      </c>
    </row>
    <row r="5109" spans="1:5">
      <c r="A5109">
        <v>10488</v>
      </c>
      <c r="B5109" t="s">
        <v>175</v>
      </c>
      <c r="C5109">
        <v>191.99999928474426</v>
      </c>
      <c r="D5109">
        <v>20</v>
      </c>
      <c r="E5109" s="80">
        <v>35516</v>
      </c>
    </row>
    <row r="5110" spans="1:5">
      <c r="A5110">
        <v>10488</v>
      </c>
      <c r="B5110" t="s">
        <v>176</v>
      </c>
      <c r="C5110">
        <v>191.99999928474426</v>
      </c>
      <c r="D5110">
        <v>20</v>
      </c>
      <c r="E5110" s="80">
        <v>35516</v>
      </c>
    </row>
    <row r="5111" spans="1:5">
      <c r="A5111">
        <v>10488</v>
      </c>
      <c r="B5111" t="s">
        <v>177</v>
      </c>
      <c r="C5111">
        <v>191.99999928474426</v>
      </c>
      <c r="D5111">
        <v>20</v>
      </c>
      <c r="E5111" s="80">
        <v>35516</v>
      </c>
    </row>
    <row r="5112" spans="1:5">
      <c r="A5112">
        <v>10488</v>
      </c>
      <c r="B5112" t="s">
        <v>178</v>
      </c>
      <c r="C5112">
        <v>191.99999928474426</v>
      </c>
      <c r="D5112">
        <v>20</v>
      </c>
      <c r="E5112" s="80">
        <v>35516</v>
      </c>
    </row>
    <row r="5113" spans="1:5">
      <c r="A5113">
        <v>10488</v>
      </c>
      <c r="B5113" t="s">
        <v>179</v>
      </c>
      <c r="C5113">
        <v>191.99999928474426</v>
      </c>
      <c r="D5113">
        <v>20</v>
      </c>
      <c r="E5113" s="80">
        <v>35516</v>
      </c>
    </row>
    <row r="5114" spans="1:5">
      <c r="A5114">
        <v>10489</v>
      </c>
      <c r="B5114" t="s">
        <v>172</v>
      </c>
      <c r="C5114">
        <v>189</v>
      </c>
      <c r="D5114">
        <v>15</v>
      </c>
      <c r="E5114" s="80">
        <v>35517</v>
      </c>
    </row>
    <row r="5115" spans="1:5">
      <c r="A5115">
        <v>10489</v>
      </c>
      <c r="B5115" t="s">
        <v>173</v>
      </c>
      <c r="C5115">
        <v>189</v>
      </c>
      <c r="D5115">
        <v>15</v>
      </c>
      <c r="E5115" s="80">
        <v>35517</v>
      </c>
    </row>
    <row r="5116" spans="1:5">
      <c r="A5116">
        <v>10489</v>
      </c>
      <c r="B5116" t="s">
        <v>174</v>
      </c>
      <c r="C5116">
        <v>189</v>
      </c>
      <c r="D5116">
        <v>15</v>
      </c>
      <c r="E5116" s="80">
        <v>35517</v>
      </c>
    </row>
    <row r="5117" spans="1:5">
      <c r="A5117">
        <v>10489</v>
      </c>
      <c r="B5117" t="s">
        <v>175</v>
      </c>
      <c r="C5117">
        <v>189</v>
      </c>
      <c r="D5117">
        <v>15</v>
      </c>
      <c r="E5117" s="80">
        <v>35517</v>
      </c>
    </row>
    <row r="5118" spans="1:5">
      <c r="A5118">
        <v>10489</v>
      </c>
      <c r="B5118" t="s">
        <v>176</v>
      </c>
      <c r="C5118">
        <v>189</v>
      </c>
      <c r="D5118">
        <v>15</v>
      </c>
      <c r="E5118" s="80">
        <v>35517</v>
      </c>
    </row>
    <row r="5119" spans="1:5">
      <c r="A5119">
        <v>10489</v>
      </c>
      <c r="B5119" t="s">
        <v>177</v>
      </c>
      <c r="C5119">
        <v>189</v>
      </c>
      <c r="D5119">
        <v>15</v>
      </c>
      <c r="E5119" s="80">
        <v>35517</v>
      </c>
    </row>
    <row r="5120" spans="1:5">
      <c r="A5120">
        <v>10489</v>
      </c>
      <c r="B5120" t="s">
        <v>178</v>
      </c>
      <c r="C5120">
        <v>189</v>
      </c>
      <c r="D5120">
        <v>15</v>
      </c>
      <c r="E5120" s="80">
        <v>35517</v>
      </c>
    </row>
    <row r="5121" spans="1:5">
      <c r="A5121">
        <v>10489</v>
      </c>
      <c r="B5121" t="s">
        <v>179</v>
      </c>
      <c r="C5121">
        <v>189</v>
      </c>
      <c r="D5121">
        <v>15</v>
      </c>
      <c r="E5121" s="80">
        <v>35517</v>
      </c>
    </row>
    <row r="5122" spans="1:5">
      <c r="A5122">
        <v>10489</v>
      </c>
      <c r="B5122" t="s">
        <v>172</v>
      </c>
      <c r="C5122">
        <v>250.2</v>
      </c>
      <c r="D5122">
        <v>18</v>
      </c>
      <c r="E5122" s="80">
        <v>35517</v>
      </c>
    </row>
    <row r="5123" spans="1:5">
      <c r="A5123">
        <v>10489</v>
      </c>
      <c r="B5123" t="s">
        <v>173</v>
      </c>
      <c r="C5123">
        <v>250.2</v>
      </c>
      <c r="D5123">
        <v>18</v>
      </c>
      <c r="E5123" s="80">
        <v>35517</v>
      </c>
    </row>
    <row r="5124" spans="1:5">
      <c r="A5124">
        <v>10489</v>
      </c>
      <c r="B5124" t="s">
        <v>174</v>
      </c>
      <c r="C5124">
        <v>250.2</v>
      </c>
      <c r="D5124">
        <v>18</v>
      </c>
      <c r="E5124" s="80">
        <v>35517</v>
      </c>
    </row>
    <row r="5125" spans="1:5">
      <c r="A5125">
        <v>10489</v>
      </c>
      <c r="B5125" t="s">
        <v>175</v>
      </c>
      <c r="C5125">
        <v>250.2</v>
      </c>
      <c r="D5125">
        <v>18</v>
      </c>
      <c r="E5125" s="80">
        <v>35517</v>
      </c>
    </row>
    <row r="5126" spans="1:5">
      <c r="A5126">
        <v>10489</v>
      </c>
      <c r="B5126" t="s">
        <v>176</v>
      </c>
      <c r="C5126">
        <v>250.2</v>
      </c>
      <c r="D5126">
        <v>18</v>
      </c>
      <c r="E5126" s="80">
        <v>35517</v>
      </c>
    </row>
    <row r="5127" spans="1:5">
      <c r="A5127">
        <v>10489</v>
      </c>
      <c r="B5127" t="s">
        <v>177</v>
      </c>
      <c r="C5127">
        <v>250.2</v>
      </c>
      <c r="D5127">
        <v>18</v>
      </c>
      <c r="E5127" s="80">
        <v>35517</v>
      </c>
    </row>
    <row r="5128" spans="1:5">
      <c r="A5128">
        <v>10489</v>
      </c>
      <c r="B5128" t="s">
        <v>178</v>
      </c>
      <c r="C5128">
        <v>250.2</v>
      </c>
      <c r="D5128">
        <v>18</v>
      </c>
      <c r="E5128" s="80">
        <v>35517</v>
      </c>
    </row>
    <row r="5129" spans="1:5">
      <c r="A5129">
        <v>10489</v>
      </c>
      <c r="B5129" t="s">
        <v>179</v>
      </c>
      <c r="C5129">
        <v>250.2</v>
      </c>
      <c r="D5129">
        <v>18</v>
      </c>
      <c r="E5129" s="80">
        <v>35517</v>
      </c>
    </row>
    <row r="5130" spans="1:5">
      <c r="A5130">
        <v>10490</v>
      </c>
      <c r="B5130" t="s">
        <v>172</v>
      </c>
      <c r="C5130">
        <v>2640</v>
      </c>
      <c r="D5130">
        <v>60</v>
      </c>
      <c r="E5130" s="80">
        <v>35520</v>
      </c>
    </row>
    <row r="5131" spans="1:5">
      <c r="A5131">
        <v>10490</v>
      </c>
      <c r="B5131" t="s">
        <v>173</v>
      </c>
      <c r="C5131">
        <v>2640</v>
      </c>
      <c r="D5131">
        <v>60</v>
      </c>
      <c r="E5131" s="80">
        <v>35520</v>
      </c>
    </row>
    <row r="5132" spans="1:5">
      <c r="A5132">
        <v>10490</v>
      </c>
      <c r="B5132" t="s">
        <v>174</v>
      </c>
      <c r="C5132">
        <v>2640</v>
      </c>
      <c r="D5132">
        <v>60</v>
      </c>
      <c r="E5132" s="80">
        <v>35520</v>
      </c>
    </row>
    <row r="5133" spans="1:5">
      <c r="A5133">
        <v>10490</v>
      </c>
      <c r="B5133" t="s">
        <v>175</v>
      </c>
      <c r="C5133">
        <v>2640</v>
      </c>
      <c r="D5133">
        <v>60</v>
      </c>
      <c r="E5133" s="80">
        <v>35520</v>
      </c>
    </row>
    <row r="5134" spans="1:5">
      <c r="A5134">
        <v>10490</v>
      </c>
      <c r="B5134" t="s">
        <v>176</v>
      </c>
      <c r="C5134">
        <v>2640</v>
      </c>
      <c r="D5134">
        <v>60</v>
      </c>
      <c r="E5134" s="80">
        <v>35520</v>
      </c>
    </row>
    <row r="5135" spans="1:5">
      <c r="A5135">
        <v>10490</v>
      </c>
      <c r="B5135" t="s">
        <v>177</v>
      </c>
      <c r="C5135">
        <v>2640</v>
      </c>
      <c r="D5135">
        <v>60</v>
      </c>
      <c r="E5135" s="80">
        <v>35520</v>
      </c>
    </row>
    <row r="5136" spans="1:5">
      <c r="A5136">
        <v>10490</v>
      </c>
      <c r="B5136" t="s">
        <v>178</v>
      </c>
      <c r="C5136">
        <v>2640</v>
      </c>
      <c r="D5136">
        <v>60</v>
      </c>
      <c r="E5136" s="80">
        <v>35520</v>
      </c>
    </row>
    <row r="5137" spans="1:5">
      <c r="A5137">
        <v>10490</v>
      </c>
      <c r="B5137" t="s">
        <v>179</v>
      </c>
      <c r="C5137">
        <v>2640</v>
      </c>
      <c r="D5137">
        <v>60</v>
      </c>
      <c r="E5137" s="80">
        <v>35520</v>
      </c>
    </row>
    <row r="5138" spans="1:5">
      <c r="A5138">
        <v>10490</v>
      </c>
      <c r="B5138" t="s">
        <v>172</v>
      </c>
      <c r="C5138">
        <v>300</v>
      </c>
      <c r="D5138">
        <v>30</v>
      </c>
      <c r="E5138" s="80">
        <v>35520</v>
      </c>
    </row>
    <row r="5139" spans="1:5">
      <c r="A5139">
        <v>10490</v>
      </c>
      <c r="B5139" t="s">
        <v>173</v>
      </c>
      <c r="C5139">
        <v>300</v>
      </c>
      <c r="D5139">
        <v>30</v>
      </c>
      <c r="E5139" s="80">
        <v>35520</v>
      </c>
    </row>
    <row r="5140" spans="1:5">
      <c r="A5140">
        <v>10490</v>
      </c>
      <c r="B5140" t="s">
        <v>174</v>
      </c>
      <c r="C5140">
        <v>300</v>
      </c>
      <c r="D5140">
        <v>30</v>
      </c>
      <c r="E5140" s="80">
        <v>35520</v>
      </c>
    </row>
    <row r="5141" spans="1:5">
      <c r="A5141">
        <v>10490</v>
      </c>
      <c r="B5141" t="s">
        <v>175</v>
      </c>
      <c r="C5141">
        <v>300</v>
      </c>
      <c r="D5141">
        <v>30</v>
      </c>
      <c r="E5141" s="80">
        <v>35520</v>
      </c>
    </row>
    <row r="5142" spans="1:5">
      <c r="A5142">
        <v>10490</v>
      </c>
      <c r="B5142" t="s">
        <v>176</v>
      </c>
      <c r="C5142">
        <v>300</v>
      </c>
      <c r="D5142">
        <v>30</v>
      </c>
      <c r="E5142" s="80">
        <v>35520</v>
      </c>
    </row>
    <row r="5143" spans="1:5">
      <c r="A5143">
        <v>10490</v>
      </c>
      <c r="B5143" t="s">
        <v>177</v>
      </c>
      <c r="C5143">
        <v>300</v>
      </c>
      <c r="D5143">
        <v>30</v>
      </c>
      <c r="E5143" s="80">
        <v>35520</v>
      </c>
    </row>
    <row r="5144" spans="1:5">
      <c r="A5144">
        <v>10490</v>
      </c>
      <c r="B5144" t="s">
        <v>178</v>
      </c>
      <c r="C5144">
        <v>300</v>
      </c>
      <c r="D5144">
        <v>30</v>
      </c>
      <c r="E5144" s="80">
        <v>35520</v>
      </c>
    </row>
    <row r="5145" spans="1:5">
      <c r="A5145">
        <v>10490</v>
      </c>
      <c r="B5145" t="s">
        <v>179</v>
      </c>
      <c r="C5145">
        <v>300</v>
      </c>
      <c r="D5145">
        <v>30</v>
      </c>
      <c r="E5145" s="80">
        <v>35520</v>
      </c>
    </row>
    <row r="5146" spans="1:5">
      <c r="A5146">
        <v>10490</v>
      </c>
      <c r="B5146" t="s">
        <v>172</v>
      </c>
      <c r="C5146">
        <v>223.2</v>
      </c>
      <c r="D5146">
        <v>36</v>
      </c>
      <c r="E5146" s="80">
        <v>35520</v>
      </c>
    </row>
    <row r="5147" spans="1:5">
      <c r="A5147">
        <v>10490</v>
      </c>
      <c r="B5147" t="s">
        <v>173</v>
      </c>
      <c r="C5147">
        <v>223.2</v>
      </c>
      <c r="D5147">
        <v>36</v>
      </c>
      <c r="E5147" s="80">
        <v>35520</v>
      </c>
    </row>
    <row r="5148" spans="1:5">
      <c r="A5148">
        <v>10490</v>
      </c>
      <c r="B5148" t="s">
        <v>174</v>
      </c>
      <c r="C5148">
        <v>223.2</v>
      </c>
      <c r="D5148">
        <v>36</v>
      </c>
      <c r="E5148" s="80">
        <v>35520</v>
      </c>
    </row>
    <row r="5149" spans="1:5">
      <c r="A5149">
        <v>10490</v>
      </c>
      <c r="B5149" t="s">
        <v>175</v>
      </c>
      <c r="C5149">
        <v>223.2</v>
      </c>
      <c r="D5149">
        <v>36</v>
      </c>
      <c r="E5149" s="80">
        <v>35520</v>
      </c>
    </row>
    <row r="5150" spans="1:5">
      <c r="A5150">
        <v>10490</v>
      </c>
      <c r="B5150" t="s">
        <v>176</v>
      </c>
      <c r="C5150">
        <v>223.2</v>
      </c>
      <c r="D5150">
        <v>36</v>
      </c>
      <c r="E5150" s="80">
        <v>35520</v>
      </c>
    </row>
    <row r="5151" spans="1:5">
      <c r="A5151">
        <v>10490</v>
      </c>
      <c r="B5151" t="s">
        <v>177</v>
      </c>
      <c r="C5151">
        <v>223.2</v>
      </c>
      <c r="D5151">
        <v>36</v>
      </c>
      <c r="E5151" s="80">
        <v>35520</v>
      </c>
    </row>
    <row r="5152" spans="1:5">
      <c r="A5152">
        <v>10490</v>
      </c>
      <c r="B5152" t="s">
        <v>178</v>
      </c>
      <c r="C5152">
        <v>223.2</v>
      </c>
      <c r="D5152">
        <v>36</v>
      </c>
      <c r="E5152" s="80">
        <v>35520</v>
      </c>
    </row>
    <row r="5153" spans="1:5">
      <c r="A5153">
        <v>10490</v>
      </c>
      <c r="B5153" t="s">
        <v>179</v>
      </c>
      <c r="C5153">
        <v>223.2</v>
      </c>
      <c r="D5153">
        <v>36</v>
      </c>
      <c r="E5153" s="80">
        <v>35520</v>
      </c>
    </row>
    <row r="5154" spans="1:5">
      <c r="A5154">
        <v>10491</v>
      </c>
      <c r="B5154" t="s">
        <v>172</v>
      </c>
      <c r="C5154">
        <v>197.62499861419201</v>
      </c>
      <c r="D5154">
        <v>15</v>
      </c>
      <c r="E5154" s="80">
        <v>35520</v>
      </c>
    </row>
    <row r="5155" spans="1:5">
      <c r="A5155">
        <v>10491</v>
      </c>
      <c r="B5155" t="s">
        <v>173</v>
      </c>
      <c r="C5155">
        <v>197.62499861419201</v>
      </c>
      <c r="D5155">
        <v>15</v>
      </c>
      <c r="E5155" s="80">
        <v>35520</v>
      </c>
    </row>
    <row r="5156" spans="1:5">
      <c r="A5156">
        <v>10491</v>
      </c>
      <c r="B5156" t="s">
        <v>174</v>
      </c>
      <c r="C5156">
        <v>197.62499861419201</v>
      </c>
      <c r="D5156">
        <v>15</v>
      </c>
      <c r="E5156" s="80">
        <v>35520</v>
      </c>
    </row>
    <row r="5157" spans="1:5">
      <c r="A5157">
        <v>10491</v>
      </c>
      <c r="B5157" t="s">
        <v>175</v>
      </c>
      <c r="C5157">
        <v>197.62499861419201</v>
      </c>
      <c r="D5157">
        <v>15</v>
      </c>
      <c r="E5157" s="80">
        <v>35520</v>
      </c>
    </row>
    <row r="5158" spans="1:5">
      <c r="A5158">
        <v>10491</v>
      </c>
      <c r="B5158" t="s">
        <v>176</v>
      </c>
      <c r="C5158">
        <v>197.62499861419201</v>
      </c>
      <c r="D5158">
        <v>15</v>
      </c>
      <c r="E5158" s="80">
        <v>35520</v>
      </c>
    </row>
    <row r="5159" spans="1:5">
      <c r="A5159">
        <v>10491</v>
      </c>
      <c r="B5159" t="s">
        <v>177</v>
      </c>
      <c r="C5159">
        <v>197.62499861419201</v>
      </c>
      <c r="D5159">
        <v>15</v>
      </c>
      <c r="E5159" s="80">
        <v>35520</v>
      </c>
    </row>
    <row r="5160" spans="1:5">
      <c r="A5160">
        <v>10491</v>
      </c>
      <c r="B5160" t="s">
        <v>178</v>
      </c>
      <c r="C5160">
        <v>197.62499861419201</v>
      </c>
      <c r="D5160">
        <v>15</v>
      </c>
      <c r="E5160" s="80">
        <v>35520</v>
      </c>
    </row>
    <row r="5161" spans="1:5">
      <c r="A5161">
        <v>10491</v>
      </c>
      <c r="B5161" t="s">
        <v>179</v>
      </c>
      <c r="C5161">
        <v>197.62499861419201</v>
      </c>
      <c r="D5161">
        <v>15</v>
      </c>
      <c r="E5161" s="80">
        <v>35520</v>
      </c>
    </row>
    <row r="5162" spans="1:5">
      <c r="A5162">
        <v>10491</v>
      </c>
      <c r="B5162" t="s">
        <v>172</v>
      </c>
      <c r="C5162">
        <v>61.879999566078183</v>
      </c>
      <c r="D5162">
        <v>7</v>
      </c>
      <c r="E5162" s="80">
        <v>35520</v>
      </c>
    </row>
    <row r="5163" spans="1:5">
      <c r="A5163">
        <v>10491</v>
      </c>
      <c r="B5163" t="s">
        <v>173</v>
      </c>
      <c r="C5163">
        <v>61.879999566078183</v>
      </c>
      <c r="D5163">
        <v>7</v>
      </c>
      <c r="E5163" s="80">
        <v>35520</v>
      </c>
    </row>
    <row r="5164" spans="1:5">
      <c r="A5164">
        <v>10491</v>
      </c>
      <c r="B5164" t="s">
        <v>174</v>
      </c>
      <c r="C5164">
        <v>61.879999566078183</v>
      </c>
      <c r="D5164">
        <v>7</v>
      </c>
      <c r="E5164" s="80">
        <v>35520</v>
      </c>
    </row>
    <row r="5165" spans="1:5">
      <c r="A5165">
        <v>10491</v>
      </c>
      <c r="B5165" t="s">
        <v>175</v>
      </c>
      <c r="C5165">
        <v>61.879999566078183</v>
      </c>
      <c r="D5165">
        <v>7</v>
      </c>
      <c r="E5165" s="80">
        <v>35520</v>
      </c>
    </row>
    <row r="5166" spans="1:5">
      <c r="A5166">
        <v>10491</v>
      </c>
      <c r="B5166" t="s">
        <v>176</v>
      </c>
      <c r="C5166">
        <v>61.879999566078183</v>
      </c>
      <c r="D5166">
        <v>7</v>
      </c>
      <c r="E5166" s="80">
        <v>35520</v>
      </c>
    </row>
    <row r="5167" spans="1:5">
      <c r="A5167">
        <v>10491</v>
      </c>
      <c r="B5167" t="s">
        <v>177</v>
      </c>
      <c r="C5167">
        <v>61.879999566078183</v>
      </c>
      <c r="D5167">
        <v>7</v>
      </c>
      <c r="E5167" s="80">
        <v>35520</v>
      </c>
    </row>
    <row r="5168" spans="1:5">
      <c r="A5168">
        <v>10491</v>
      </c>
      <c r="B5168" t="s">
        <v>178</v>
      </c>
      <c r="C5168">
        <v>61.879999566078183</v>
      </c>
      <c r="D5168">
        <v>7</v>
      </c>
      <c r="E5168" s="80">
        <v>35520</v>
      </c>
    </row>
    <row r="5169" spans="1:5">
      <c r="A5169">
        <v>10491</v>
      </c>
      <c r="B5169" t="s">
        <v>179</v>
      </c>
      <c r="C5169">
        <v>61.879999566078183</v>
      </c>
      <c r="D5169">
        <v>7</v>
      </c>
      <c r="E5169" s="80">
        <v>35520</v>
      </c>
    </row>
    <row r="5170" spans="1:5">
      <c r="A5170">
        <v>10492</v>
      </c>
      <c r="B5170" t="s">
        <v>172</v>
      </c>
      <c r="C5170">
        <v>638.39999949932098</v>
      </c>
      <c r="D5170">
        <v>60</v>
      </c>
      <c r="E5170" s="80">
        <v>35521</v>
      </c>
    </row>
    <row r="5171" spans="1:5">
      <c r="A5171">
        <v>10492</v>
      </c>
      <c r="B5171" t="s">
        <v>173</v>
      </c>
      <c r="C5171">
        <v>638.39999949932098</v>
      </c>
      <c r="D5171">
        <v>60</v>
      </c>
      <c r="E5171" s="80">
        <v>35521</v>
      </c>
    </row>
    <row r="5172" spans="1:5">
      <c r="A5172">
        <v>10492</v>
      </c>
      <c r="B5172" t="s">
        <v>174</v>
      </c>
      <c r="C5172">
        <v>638.39999949932098</v>
      </c>
      <c r="D5172">
        <v>60</v>
      </c>
      <c r="E5172" s="80">
        <v>35521</v>
      </c>
    </row>
    <row r="5173" spans="1:5">
      <c r="A5173">
        <v>10492</v>
      </c>
      <c r="B5173" t="s">
        <v>175</v>
      </c>
      <c r="C5173">
        <v>638.39999949932098</v>
      </c>
      <c r="D5173">
        <v>60</v>
      </c>
      <c r="E5173" s="80">
        <v>35521</v>
      </c>
    </row>
    <row r="5174" spans="1:5">
      <c r="A5174">
        <v>10492</v>
      </c>
      <c r="B5174" t="s">
        <v>176</v>
      </c>
      <c r="C5174">
        <v>638.39999949932098</v>
      </c>
      <c r="D5174">
        <v>60</v>
      </c>
      <c r="E5174" s="80">
        <v>35521</v>
      </c>
    </row>
    <row r="5175" spans="1:5">
      <c r="A5175">
        <v>10492</v>
      </c>
      <c r="B5175" t="s">
        <v>177</v>
      </c>
      <c r="C5175">
        <v>638.39999949932098</v>
      </c>
      <c r="D5175">
        <v>60</v>
      </c>
      <c r="E5175" s="80">
        <v>35521</v>
      </c>
    </row>
    <row r="5176" spans="1:5">
      <c r="A5176">
        <v>10492</v>
      </c>
      <c r="B5176" t="s">
        <v>178</v>
      </c>
      <c r="C5176">
        <v>638.39999949932098</v>
      </c>
      <c r="D5176">
        <v>60</v>
      </c>
      <c r="E5176" s="80">
        <v>35521</v>
      </c>
    </row>
    <row r="5177" spans="1:5">
      <c r="A5177">
        <v>10492</v>
      </c>
      <c r="B5177" t="s">
        <v>179</v>
      </c>
      <c r="C5177">
        <v>638.39999949932098</v>
      </c>
      <c r="D5177">
        <v>60</v>
      </c>
      <c r="E5177" s="80">
        <v>35521</v>
      </c>
    </row>
    <row r="5178" spans="1:5">
      <c r="A5178">
        <v>10492</v>
      </c>
      <c r="B5178" t="s">
        <v>172</v>
      </c>
      <c r="C5178">
        <v>212.79999983310699</v>
      </c>
      <c r="D5178">
        <v>20</v>
      </c>
      <c r="E5178" s="80">
        <v>35521</v>
      </c>
    </row>
    <row r="5179" spans="1:5">
      <c r="A5179">
        <v>10492</v>
      </c>
      <c r="B5179" t="s">
        <v>173</v>
      </c>
      <c r="C5179">
        <v>212.79999983310699</v>
      </c>
      <c r="D5179">
        <v>20</v>
      </c>
      <c r="E5179" s="80">
        <v>35521</v>
      </c>
    </row>
    <row r="5180" spans="1:5">
      <c r="A5180">
        <v>10492</v>
      </c>
      <c r="B5180" t="s">
        <v>174</v>
      </c>
      <c r="C5180">
        <v>212.79999983310699</v>
      </c>
      <c r="D5180">
        <v>20</v>
      </c>
      <c r="E5180" s="80">
        <v>35521</v>
      </c>
    </row>
    <row r="5181" spans="1:5">
      <c r="A5181">
        <v>10492</v>
      </c>
      <c r="B5181" t="s">
        <v>175</v>
      </c>
      <c r="C5181">
        <v>212.79999983310699</v>
      </c>
      <c r="D5181">
        <v>20</v>
      </c>
      <c r="E5181" s="80">
        <v>35521</v>
      </c>
    </row>
    <row r="5182" spans="1:5">
      <c r="A5182">
        <v>10492</v>
      </c>
      <c r="B5182" t="s">
        <v>176</v>
      </c>
      <c r="C5182">
        <v>212.79999983310699</v>
      </c>
      <c r="D5182">
        <v>20</v>
      </c>
      <c r="E5182" s="80">
        <v>35521</v>
      </c>
    </row>
    <row r="5183" spans="1:5">
      <c r="A5183">
        <v>10492</v>
      </c>
      <c r="B5183" t="s">
        <v>177</v>
      </c>
      <c r="C5183">
        <v>212.79999983310699</v>
      </c>
      <c r="D5183">
        <v>20</v>
      </c>
      <c r="E5183" s="80">
        <v>35521</v>
      </c>
    </row>
    <row r="5184" spans="1:5">
      <c r="A5184">
        <v>10492</v>
      </c>
      <c r="B5184" t="s">
        <v>178</v>
      </c>
      <c r="C5184">
        <v>212.79999983310699</v>
      </c>
      <c r="D5184">
        <v>20</v>
      </c>
      <c r="E5184" s="80">
        <v>35521</v>
      </c>
    </row>
    <row r="5185" spans="1:5">
      <c r="A5185">
        <v>10492</v>
      </c>
      <c r="B5185" t="s">
        <v>179</v>
      </c>
      <c r="C5185">
        <v>212.79999983310699</v>
      </c>
      <c r="D5185">
        <v>20</v>
      </c>
      <c r="E5185" s="80">
        <v>35521</v>
      </c>
    </row>
    <row r="5186" spans="1:5">
      <c r="A5186">
        <v>10493</v>
      </c>
      <c r="B5186" t="s">
        <v>172</v>
      </c>
      <c r="C5186">
        <v>226.79999962449074</v>
      </c>
      <c r="D5186">
        <v>15</v>
      </c>
      <c r="E5186" s="80">
        <v>35522</v>
      </c>
    </row>
    <row r="5187" spans="1:5">
      <c r="A5187">
        <v>10493</v>
      </c>
      <c r="B5187" t="s">
        <v>173</v>
      </c>
      <c r="C5187">
        <v>226.79999962449074</v>
      </c>
      <c r="D5187">
        <v>15</v>
      </c>
      <c r="E5187" s="80">
        <v>35522</v>
      </c>
    </row>
    <row r="5188" spans="1:5">
      <c r="A5188">
        <v>10493</v>
      </c>
      <c r="B5188" t="s">
        <v>174</v>
      </c>
      <c r="C5188">
        <v>226.79999962449074</v>
      </c>
      <c r="D5188">
        <v>15</v>
      </c>
      <c r="E5188" s="80">
        <v>35522</v>
      </c>
    </row>
    <row r="5189" spans="1:5">
      <c r="A5189">
        <v>10493</v>
      </c>
      <c r="B5189" t="s">
        <v>175</v>
      </c>
      <c r="C5189">
        <v>226.79999962449074</v>
      </c>
      <c r="D5189">
        <v>15</v>
      </c>
      <c r="E5189" s="80">
        <v>35522</v>
      </c>
    </row>
    <row r="5190" spans="1:5">
      <c r="A5190">
        <v>10493</v>
      </c>
      <c r="B5190" t="s">
        <v>176</v>
      </c>
      <c r="C5190">
        <v>226.79999962449074</v>
      </c>
      <c r="D5190">
        <v>15</v>
      </c>
      <c r="E5190" s="80">
        <v>35522</v>
      </c>
    </row>
    <row r="5191" spans="1:5">
      <c r="A5191">
        <v>10493</v>
      </c>
      <c r="B5191" t="s">
        <v>177</v>
      </c>
      <c r="C5191">
        <v>226.79999962449074</v>
      </c>
      <c r="D5191">
        <v>15</v>
      </c>
      <c r="E5191" s="80">
        <v>35522</v>
      </c>
    </row>
    <row r="5192" spans="1:5">
      <c r="A5192">
        <v>10493</v>
      </c>
      <c r="B5192" t="s">
        <v>178</v>
      </c>
      <c r="C5192">
        <v>226.79999962449074</v>
      </c>
      <c r="D5192">
        <v>15</v>
      </c>
      <c r="E5192" s="80">
        <v>35522</v>
      </c>
    </row>
    <row r="5193" spans="1:5">
      <c r="A5193">
        <v>10493</v>
      </c>
      <c r="B5193" t="s">
        <v>179</v>
      </c>
      <c r="C5193">
        <v>226.79999962449074</v>
      </c>
      <c r="D5193">
        <v>15</v>
      </c>
      <c r="E5193" s="80">
        <v>35522</v>
      </c>
    </row>
    <row r="5194" spans="1:5">
      <c r="A5194">
        <v>10493</v>
      </c>
      <c r="B5194" t="s">
        <v>172</v>
      </c>
      <c r="C5194">
        <v>122.39999979734421</v>
      </c>
      <c r="D5194">
        <v>10</v>
      </c>
      <c r="E5194" s="80">
        <v>35522</v>
      </c>
    </row>
    <row r="5195" spans="1:5">
      <c r="A5195">
        <v>10493</v>
      </c>
      <c r="B5195" t="s">
        <v>173</v>
      </c>
      <c r="C5195">
        <v>122.39999979734421</v>
      </c>
      <c r="D5195">
        <v>10</v>
      </c>
      <c r="E5195" s="80">
        <v>35522</v>
      </c>
    </row>
    <row r="5196" spans="1:5">
      <c r="A5196">
        <v>10493</v>
      </c>
      <c r="B5196" t="s">
        <v>174</v>
      </c>
      <c r="C5196">
        <v>122.39999979734421</v>
      </c>
      <c r="D5196">
        <v>10</v>
      </c>
      <c r="E5196" s="80">
        <v>35522</v>
      </c>
    </row>
    <row r="5197" spans="1:5">
      <c r="A5197">
        <v>10493</v>
      </c>
      <c r="B5197" t="s">
        <v>175</v>
      </c>
      <c r="C5197">
        <v>122.39999979734421</v>
      </c>
      <c r="D5197">
        <v>10</v>
      </c>
      <c r="E5197" s="80">
        <v>35522</v>
      </c>
    </row>
    <row r="5198" spans="1:5">
      <c r="A5198">
        <v>10493</v>
      </c>
      <c r="B5198" t="s">
        <v>176</v>
      </c>
      <c r="C5198">
        <v>122.39999979734421</v>
      </c>
      <c r="D5198">
        <v>10</v>
      </c>
      <c r="E5198" s="80">
        <v>35522</v>
      </c>
    </row>
    <row r="5199" spans="1:5">
      <c r="A5199">
        <v>10493</v>
      </c>
      <c r="B5199" t="s">
        <v>177</v>
      </c>
      <c r="C5199">
        <v>122.39999979734421</v>
      </c>
      <c r="D5199">
        <v>10</v>
      </c>
      <c r="E5199" s="80">
        <v>35522</v>
      </c>
    </row>
    <row r="5200" spans="1:5">
      <c r="A5200">
        <v>10493</v>
      </c>
      <c r="B5200" t="s">
        <v>178</v>
      </c>
      <c r="C5200">
        <v>122.39999979734421</v>
      </c>
      <c r="D5200">
        <v>10</v>
      </c>
      <c r="E5200" s="80">
        <v>35522</v>
      </c>
    </row>
    <row r="5201" spans="1:5">
      <c r="A5201">
        <v>10493</v>
      </c>
      <c r="B5201" t="s">
        <v>179</v>
      </c>
      <c r="C5201">
        <v>122.39999979734421</v>
      </c>
      <c r="D5201">
        <v>10</v>
      </c>
      <c r="E5201" s="80">
        <v>35522</v>
      </c>
    </row>
    <row r="5202" spans="1:5">
      <c r="A5202">
        <v>10493</v>
      </c>
      <c r="B5202" t="s">
        <v>172</v>
      </c>
      <c r="C5202">
        <v>259.19999957084656</v>
      </c>
      <c r="D5202">
        <v>10</v>
      </c>
      <c r="E5202" s="80">
        <v>35522</v>
      </c>
    </row>
    <row r="5203" spans="1:5">
      <c r="A5203">
        <v>10493</v>
      </c>
      <c r="B5203" t="s">
        <v>173</v>
      </c>
      <c r="C5203">
        <v>259.19999957084656</v>
      </c>
      <c r="D5203">
        <v>10</v>
      </c>
      <c r="E5203" s="80">
        <v>35522</v>
      </c>
    </row>
    <row r="5204" spans="1:5">
      <c r="A5204">
        <v>10493</v>
      </c>
      <c r="B5204" t="s">
        <v>174</v>
      </c>
      <c r="C5204">
        <v>259.19999957084656</v>
      </c>
      <c r="D5204">
        <v>10</v>
      </c>
      <c r="E5204" s="80">
        <v>35522</v>
      </c>
    </row>
    <row r="5205" spans="1:5">
      <c r="A5205">
        <v>10493</v>
      </c>
      <c r="B5205" t="s">
        <v>175</v>
      </c>
      <c r="C5205">
        <v>259.19999957084656</v>
      </c>
      <c r="D5205">
        <v>10</v>
      </c>
      <c r="E5205" s="80">
        <v>35522</v>
      </c>
    </row>
    <row r="5206" spans="1:5">
      <c r="A5206">
        <v>10493</v>
      </c>
      <c r="B5206" t="s">
        <v>176</v>
      </c>
      <c r="C5206">
        <v>259.19999957084656</v>
      </c>
      <c r="D5206">
        <v>10</v>
      </c>
      <c r="E5206" s="80">
        <v>35522</v>
      </c>
    </row>
    <row r="5207" spans="1:5">
      <c r="A5207">
        <v>10493</v>
      </c>
      <c r="B5207" t="s">
        <v>177</v>
      </c>
      <c r="C5207">
        <v>259.19999957084656</v>
      </c>
      <c r="D5207">
        <v>10</v>
      </c>
      <c r="E5207" s="80">
        <v>35522</v>
      </c>
    </row>
    <row r="5208" spans="1:5">
      <c r="A5208">
        <v>10493</v>
      </c>
      <c r="B5208" t="s">
        <v>178</v>
      </c>
      <c r="C5208">
        <v>259.19999957084656</v>
      </c>
      <c r="D5208">
        <v>10</v>
      </c>
      <c r="E5208" s="80">
        <v>35522</v>
      </c>
    </row>
    <row r="5209" spans="1:5">
      <c r="A5209">
        <v>10493</v>
      </c>
      <c r="B5209" t="s">
        <v>179</v>
      </c>
      <c r="C5209">
        <v>259.19999957084656</v>
      </c>
      <c r="D5209">
        <v>10</v>
      </c>
      <c r="E5209" s="80">
        <v>35522</v>
      </c>
    </row>
    <row r="5210" spans="1:5">
      <c r="A5210">
        <v>10494</v>
      </c>
      <c r="B5210" t="s">
        <v>172</v>
      </c>
      <c r="C5210">
        <v>912</v>
      </c>
      <c r="D5210">
        <v>30</v>
      </c>
      <c r="E5210" s="80">
        <v>35522</v>
      </c>
    </row>
    <row r="5211" spans="1:5">
      <c r="A5211">
        <v>10494</v>
      </c>
      <c r="B5211" t="s">
        <v>173</v>
      </c>
      <c r="C5211">
        <v>912</v>
      </c>
      <c r="D5211">
        <v>30</v>
      </c>
      <c r="E5211" s="80">
        <v>35522</v>
      </c>
    </row>
    <row r="5212" spans="1:5">
      <c r="A5212">
        <v>10494</v>
      </c>
      <c r="B5212" t="s">
        <v>174</v>
      </c>
      <c r="C5212">
        <v>912</v>
      </c>
      <c r="D5212">
        <v>30</v>
      </c>
      <c r="E5212" s="80">
        <v>35522</v>
      </c>
    </row>
    <row r="5213" spans="1:5">
      <c r="A5213">
        <v>10494</v>
      </c>
      <c r="B5213" t="s">
        <v>175</v>
      </c>
      <c r="C5213">
        <v>912</v>
      </c>
      <c r="D5213">
        <v>30</v>
      </c>
      <c r="E5213" s="80">
        <v>35522</v>
      </c>
    </row>
    <row r="5214" spans="1:5">
      <c r="A5214">
        <v>10494</v>
      </c>
      <c r="B5214" t="s">
        <v>176</v>
      </c>
      <c r="C5214">
        <v>912</v>
      </c>
      <c r="D5214">
        <v>30</v>
      </c>
      <c r="E5214" s="80">
        <v>35522</v>
      </c>
    </row>
    <row r="5215" spans="1:5">
      <c r="A5215">
        <v>10494</v>
      </c>
      <c r="B5215" t="s">
        <v>177</v>
      </c>
      <c r="C5215">
        <v>912</v>
      </c>
      <c r="D5215">
        <v>30</v>
      </c>
      <c r="E5215" s="80">
        <v>35522</v>
      </c>
    </row>
    <row r="5216" spans="1:5">
      <c r="A5216">
        <v>10494</v>
      </c>
      <c r="B5216" t="s">
        <v>178</v>
      </c>
      <c r="C5216">
        <v>912</v>
      </c>
      <c r="D5216">
        <v>30</v>
      </c>
      <c r="E5216" s="80">
        <v>35522</v>
      </c>
    </row>
    <row r="5217" spans="1:5">
      <c r="A5217">
        <v>10494</v>
      </c>
      <c r="B5217" t="s">
        <v>179</v>
      </c>
      <c r="C5217">
        <v>912</v>
      </c>
      <c r="D5217">
        <v>30</v>
      </c>
      <c r="E5217" s="80">
        <v>35522</v>
      </c>
    </row>
    <row r="5218" spans="1:5">
      <c r="A5218">
        <v>10495</v>
      </c>
      <c r="B5218" t="s">
        <v>172</v>
      </c>
      <c r="C5218">
        <v>72</v>
      </c>
      <c r="D5218">
        <v>10</v>
      </c>
      <c r="E5218" s="80">
        <v>35523</v>
      </c>
    </row>
    <row r="5219" spans="1:5">
      <c r="A5219">
        <v>10495</v>
      </c>
      <c r="B5219" t="s">
        <v>173</v>
      </c>
      <c r="C5219">
        <v>72</v>
      </c>
      <c r="D5219">
        <v>10</v>
      </c>
      <c r="E5219" s="80">
        <v>35523</v>
      </c>
    </row>
    <row r="5220" spans="1:5">
      <c r="A5220">
        <v>10495</v>
      </c>
      <c r="B5220" t="s">
        <v>174</v>
      </c>
      <c r="C5220">
        <v>72</v>
      </c>
      <c r="D5220">
        <v>10</v>
      </c>
      <c r="E5220" s="80">
        <v>35523</v>
      </c>
    </row>
    <row r="5221" spans="1:5">
      <c r="A5221">
        <v>10495</v>
      </c>
      <c r="B5221" t="s">
        <v>175</v>
      </c>
      <c r="C5221">
        <v>72</v>
      </c>
      <c r="D5221">
        <v>10</v>
      </c>
      <c r="E5221" s="80">
        <v>35523</v>
      </c>
    </row>
    <row r="5222" spans="1:5">
      <c r="A5222">
        <v>10495</v>
      </c>
      <c r="B5222" t="s">
        <v>176</v>
      </c>
      <c r="C5222">
        <v>72</v>
      </c>
      <c r="D5222">
        <v>10</v>
      </c>
      <c r="E5222" s="80">
        <v>35523</v>
      </c>
    </row>
    <row r="5223" spans="1:5">
      <c r="A5223">
        <v>10495</v>
      </c>
      <c r="B5223" t="s">
        <v>177</v>
      </c>
      <c r="C5223">
        <v>72</v>
      </c>
      <c r="D5223">
        <v>10</v>
      </c>
      <c r="E5223" s="80">
        <v>35523</v>
      </c>
    </row>
    <row r="5224" spans="1:5">
      <c r="A5224">
        <v>10495</v>
      </c>
      <c r="B5224" t="s">
        <v>178</v>
      </c>
      <c r="C5224">
        <v>72</v>
      </c>
      <c r="D5224">
        <v>10</v>
      </c>
      <c r="E5224" s="80">
        <v>35523</v>
      </c>
    </row>
    <row r="5225" spans="1:5">
      <c r="A5225">
        <v>10495</v>
      </c>
      <c r="B5225" t="s">
        <v>179</v>
      </c>
      <c r="C5225">
        <v>72</v>
      </c>
      <c r="D5225">
        <v>10</v>
      </c>
      <c r="E5225" s="80">
        <v>35523</v>
      </c>
    </row>
    <row r="5226" spans="1:5">
      <c r="A5226">
        <v>10495</v>
      </c>
      <c r="B5226" t="s">
        <v>172</v>
      </c>
      <c r="C5226">
        <v>154</v>
      </c>
      <c r="D5226">
        <v>20</v>
      </c>
      <c r="E5226" s="80">
        <v>35523</v>
      </c>
    </row>
    <row r="5227" spans="1:5">
      <c r="A5227">
        <v>10495</v>
      </c>
      <c r="B5227" t="s">
        <v>173</v>
      </c>
      <c r="C5227">
        <v>154</v>
      </c>
      <c r="D5227">
        <v>20</v>
      </c>
      <c r="E5227" s="80">
        <v>35523</v>
      </c>
    </row>
    <row r="5228" spans="1:5">
      <c r="A5228">
        <v>10495</v>
      </c>
      <c r="B5228" t="s">
        <v>174</v>
      </c>
      <c r="C5228">
        <v>154</v>
      </c>
      <c r="D5228">
        <v>20</v>
      </c>
      <c r="E5228" s="80">
        <v>35523</v>
      </c>
    </row>
    <row r="5229" spans="1:5">
      <c r="A5229">
        <v>10495</v>
      </c>
      <c r="B5229" t="s">
        <v>175</v>
      </c>
      <c r="C5229">
        <v>154</v>
      </c>
      <c r="D5229">
        <v>20</v>
      </c>
      <c r="E5229" s="80">
        <v>35523</v>
      </c>
    </row>
    <row r="5230" spans="1:5">
      <c r="A5230">
        <v>10495</v>
      </c>
      <c r="B5230" t="s">
        <v>176</v>
      </c>
      <c r="C5230">
        <v>154</v>
      </c>
      <c r="D5230">
        <v>20</v>
      </c>
      <c r="E5230" s="80">
        <v>35523</v>
      </c>
    </row>
    <row r="5231" spans="1:5">
      <c r="A5231">
        <v>10495</v>
      </c>
      <c r="B5231" t="s">
        <v>177</v>
      </c>
      <c r="C5231">
        <v>154</v>
      </c>
      <c r="D5231">
        <v>20</v>
      </c>
      <c r="E5231" s="80">
        <v>35523</v>
      </c>
    </row>
    <row r="5232" spans="1:5">
      <c r="A5232">
        <v>10495</v>
      </c>
      <c r="B5232" t="s">
        <v>178</v>
      </c>
      <c r="C5232">
        <v>154</v>
      </c>
      <c r="D5232">
        <v>20</v>
      </c>
      <c r="E5232" s="80">
        <v>35523</v>
      </c>
    </row>
    <row r="5233" spans="1:5">
      <c r="A5233">
        <v>10495</v>
      </c>
      <c r="B5233" t="s">
        <v>179</v>
      </c>
      <c r="C5233">
        <v>154</v>
      </c>
      <c r="D5233">
        <v>20</v>
      </c>
      <c r="E5233" s="80">
        <v>35523</v>
      </c>
    </row>
    <row r="5234" spans="1:5">
      <c r="A5234">
        <v>10495</v>
      </c>
      <c r="B5234" t="s">
        <v>172</v>
      </c>
      <c r="C5234">
        <v>52</v>
      </c>
      <c r="D5234">
        <v>5</v>
      </c>
      <c r="E5234" s="80">
        <v>35523</v>
      </c>
    </row>
    <row r="5235" spans="1:5">
      <c r="A5235">
        <v>10495</v>
      </c>
      <c r="B5235" t="s">
        <v>173</v>
      </c>
      <c r="C5235">
        <v>52</v>
      </c>
      <c r="D5235">
        <v>5</v>
      </c>
      <c r="E5235" s="80">
        <v>35523</v>
      </c>
    </row>
    <row r="5236" spans="1:5">
      <c r="A5236">
        <v>10495</v>
      </c>
      <c r="B5236" t="s">
        <v>174</v>
      </c>
      <c r="C5236">
        <v>52</v>
      </c>
      <c r="D5236">
        <v>5</v>
      </c>
      <c r="E5236" s="80">
        <v>35523</v>
      </c>
    </row>
    <row r="5237" spans="1:5">
      <c r="A5237">
        <v>10495</v>
      </c>
      <c r="B5237" t="s">
        <v>175</v>
      </c>
      <c r="C5237">
        <v>52</v>
      </c>
      <c r="D5237">
        <v>5</v>
      </c>
      <c r="E5237" s="80">
        <v>35523</v>
      </c>
    </row>
    <row r="5238" spans="1:5">
      <c r="A5238">
        <v>10495</v>
      </c>
      <c r="B5238" t="s">
        <v>176</v>
      </c>
      <c r="C5238">
        <v>52</v>
      </c>
      <c r="D5238">
        <v>5</v>
      </c>
      <c r="E5238" s="80">
        <v>35523</v>
      </c>
    </row>
    <row r="5239" spans="1:5">
      <c r="A5239">
        <v>10495</v>
      </c>
      <c r="B5239" t="s">
        <v>177</v>
      </c>
      <c r="C5239">
        <v>52</v>
      </c>
      <c r="D5239">
        <v>5</v>
      </c>
      <c r="E5239" s="80">
        <v>35523</v>
      </c>
    </row>
    <row r="5240" spans="1:5">
      <c r="A5240">
        <v>10495</v>
      </c>
      <c r="B5240" t="s">
        <v>178</v>
      </c>
      <c r="C5240">
        <v>52</v>
      </c>
      <c r="D5240">
        <v>5</v>
      </c>
      <c r="E5240" s="80">
        <v>35523</v>
      </c>
    </row>
    <row r="5241" spans="1:5">
      <c r="A5241">
        <v>10495</v>
      </c>
      <c r="B5241" t="s">
        <v>179</v>
      </c>
      <c r="C5241">
        <v>52</v>
      </c>
      <c r="D5241">
        <v>5</v>
      </c>
      <c r="E5241" s="80">
        <v>35523</v>
      </c>
    </row>
    <row r="5242" spans="1:5">
      <c r="A5242">
        <v>10496</v>
      </c>
      <c r="B5242" t="s">
        <v>172</v>
      </c>
      <c r="C5242">
        <v>189.99999985098839</v>
      </c>
      <c r="D5242">
        <v>20</v>
      </c>
      <c r="E5242" s="80">
        <v>35524</v>
      </c>
    </row>
    <row r="5243" spans="1:5">
      <c r="A5243">
        <v>10496</v>
      </c>
      <c r="B5243" t="s">
        <v>173</v>
      </c>
      <c r="C5243">
        <v>189.99999985098839</v>
      </c>
      <c r="D5243">
        <v>20</v>
      </c>
      <c r="E5243" s="80">
        <v>35524</v>
      </c>
    </row>
    <row r="5244" spans="1:5">
      <c r="A5244">
        <v>10496</v>
      </c>
      <c r="B5244" t="s">
        <v>174</v>
      </c>
      <c r="C5244">
        <v>189.99999985098839</v>
      </c>
      <c r="D5244">
        <v>20</v>
      </c>
      <c r="E5244" s="80">
        <v>35524</v>
      </c>
    </row>
    <row r="5245" spans="1:5">
      <c r="A5245">
        <v>10496</v>
      </c>
      <c r="B5245" t="s">
        <v>175</v>
      </c>
      <c r="C5245">
        <v>189.99999985098839</v>
      </c>
      <c r="D5245">
        <v>20</v>
      </c>
      <c r="E5245" s="80">
        <v>35524</v>
      </c>
    </row>
    <row r="5246" spans="1:5">
      <c r="A5246">
        <v>10496</v>
      </c>
      <c r="B5246" t="s">
        <v>176</v>
      </c>
      <c r="C5246">
        <v>189.99999985098839</v>
      </c>
      <c r="D5246">
        <v>20</v>
      </c>
      <c r="E5246" s="80">
        <v>35524</v>
      </c>
    </row>
    <row r="5247" spans="1:5">
      <c r="A5247">
        <v>10496</v>
      </c>
      <c r="B5247" t="s">
        <v>177</v>
      </c>
      <c r="C5247">
        <v>189.99999985098839</v>
      </c>
      <c r="D5247">
        <v>20</v>
      </c>
      <c r="E5247" s="80">
        <v>35524</v>
      </c>
    </row>
    <row r="5248" spans="1:5">
      <c r="A5248">
        <v>10496</v>
      </c>
      <c r="B5248" t="s">
        <v>178</v>
      </c>
      <c r="C5248">
        <v>189.99999985098839</v>
      </c>
      <c r="D5248">
        <v>20</v>
      </c>
      <c r="E5248" s="80">
        <v>35524</v>
      </c>
    </row>
    <row r="5249" spans="1:5">
      <c r="A5249">
        <v>10496</v>
      </c>
      <c r="B5249" t="s">
        <v>179</v>
      </c>
      <c r="C5249">
        <v>189.99999985098839</v>
      </c>
      <c r="D5249">
        <v>20</v>
      </c>
      <c r="E5249" s="80">
        <v>35524</v>
      </c>
    </row>
    <row r="5250" spans="1:5">
      <c r="A5250">
        <v>10497</v>
      </c>
      <c r="B5250" t="s">
        <v>172</v>
      </c>
      <c r="C5250">
        <v>425.6</v>
      </c>
      <c r="D5250">
        <v>14</v>
      </c>
      <c r="E5250" s="80">
        <v>35524</v>
      </c>
    </row>
    <row r="5251" spans="1:5">
      <c r="A5251">
        <v>10497</v>
      </c>
      <c r="B5251" t="s">
        <v>173</v>
      </c>
      <c r="C5251">
        <v>425.6</v>
      </c>
      <c r="D5251">
        <v>14</v>
      </c>
      <c r="E5251" s="80">
        <v>35524</v>
      </c>
    </row>
    <row r="5252" spans="1:5">
      <c r="A5252">
        <v>10497</v>
      </c>
      <c r="B5252" t="s">
        <v>174</v>
      </c>
      <c r="C5252">
        <v>425.6</v>
      </c>
      <c r="D5252">
        <v>14</v>
      </c>
      <c r="E5252" s="80">
        <v>35524</v>
      </c>
    </row>
    <row r="5253" spans="1:5">
      <c r="A5253">
        <v>10497</v>
      </c>
      <c r="B5253" t="s">
        <v>175</v>
      </c>
      <c r="C5253">
        <v>425.6</v>
      </c>
      <c r="D5253">
        <v>14</v>
      </c>
      <c r="E5253" s="80">
        <v>35524</v>
      </c>
    </row>
    <row r="5254" spans="1:5">
      <c r="A5254">
        <v>10497</v>
      </c>
      <c r="B5254" t="s">
        <v>176</v>
      </c>
      <c r="C5254">
        <v>425.6</v>
      </c>
      <c r="D5254">
        <v>14</v>
      </c>
      <c r="E5254" s="80">
        <v>35524</v>
      </c>
    </row>
    <row r="5255" spans="1:5">
      <c r="A5255">
        <v>10497</v>
      </c>
      <c r="B5255" t="s">
        <v>177</v>
      </c>
      <c r="C5255">
        <v>425.6</v>
      </c>
      <c r="D5255">
        <v>14</v>
      </c>
      <c r="E5255" s="80">
        <v>35524</v>
      </c>
    </row>
    <row r="5256" spans="1:5">
      <c r="A5256">
        <v>10497</v>
      </c>
      <c r="B5256" t="s">
        <v>178</v>
      </c>
      <c r="C5256">
        <v>425.6</v>
      </c>
      <c r="D5256">
        <v>14</v>
      </c>
      <c r="E5256" s="80">
        <v>35524</v>
      </c>
    </row>
    <row r="5257" spans="1:5">
      <c r="A5257">
        <v>10497</v>
      </c>
      <c r="B5257" t="s">
        <v>179</v>
      </c>
      <c r="C5257">
        <v>425.6</v>
      </c>
      <c r="D5257">
        <v>14</v>
      </c>
      <c r="E5257" s="80">
        <v>35524</v>
      </c>
    </row>
    <row r="5258" spans="1:5">
      <c r="A5258">
        <v>10497</v>
      </c>
      <c r="B5258" t="s">
        <v>172</v>
      </c>
      <c r="C5258">
        <v>695</v>
      </c>
      <c r="D5258">
        <v>25</v>
      </c>
      <c r="E5258" s="80">
        <v>35524</v>
      </c>
    </row>
    <row r="5259" spans="1:5">
      <c r="A5259">
        <v>10497</v>
      </c>
      <c r="B5259" t="s">
        <v>173</v>
      </c>
      <c r="C5259">
        <v>695</v>
      </c>
      <c r="D5259">
        <v>25</v>
      </c>
      <c r="E5259" s="80">
        <v>35524</v>
      </c>
    </row>
    <row r="5260" spans="1:5">
      <c r="A5260">
        <v>10497</v>
      </c>
      <c r="B5260" t="s">
        <v>174</v>
      </c>
      <c r="C5260">
        <v>695</v>
      </c>
      <c r="D5260">
        <v>25</v>
      </c>
      <c r="E5260" s="80">
        <v>35524</v>
      </c>
    </row>
    <row r="5261" spans="1:5">
      <c r="A5261">
        <v>10497</v>
      </c>
      <c r="B5261" t="s">
        <v>175</v>
      </c>
      <c r="C5261">
        <v>695</v>
      </c>
      <c r="D5261">
        <v>25</v>
      </c>
      <c r="E5261" s="80">
        <v>35524</v>
      </c>
    </row>
    <row r="5262" spans="1:5">
      <c r="A5262">
        <v>10497</v>
      </c>
      <c r="B5262" t="s">
        <v>176</v>
      </c>
      <c r="C5262">
        <v>695</v>
      </c>
      <c r="D5262">
        <v>25</v>
      </c>
      <c r="E5262" s="80">
        <v>35524</v>
      </c>
    </row>
    <row r="5263" spans="1:5">
      <c r="A5263">
        <v>10497</v>
      </c>
      <c r="B5263" t="s">
        <v>177</v>
      </c>
      <c r="C5263">
        <v>695</v>
      </c>
      <c r="D5263">
        <v>25</v>
      </c>
      <c r="E5263" s="80">
        <v>35524</v>
      </c>
    </row>
    <row r="5264" spans="1:5">
      <c r="A5264">
        <v>10497</v>
      </c>
      <c r="B5264" t="s">
        <v>178</v>
      </c>
      <c r="C5264">
        <v>695</v>
      </c>
      <c r="D5264">
        <v>25</v>
      </c>
      <c r="E5264" s="80">
        <v>35524</v>
      </c>
    </row>
    <row r="5265" spans="1:5">
      <c r="A5265">
        <v>10497</v>
      </c>
      <c r="B5265" t="s">
        <v>179</v>
      </c>
      <c r="C5265">
        <v>695</v>
      </c>
      <c r="D5265">
        <v>25</v>
      </c>
      <c r="E5265" s="80">
        <v>35524</v>
      </c>
    </row>
    <row r="5266" spans="1:5">
      <c r="A5266">
        <v>10497</v>
      </c>
      <c r="B5266" t="s">
        <v>172</v>
      </c>
      <c r="C5266">
        <v>260</v>
      </c>
      <c r="D5266">
        <v>25</v>
      </c>
      <c r="E5266" s="80">
        <v>35524</v>
      </c>
    </row>
    <row r="5267" spans="1:5">
      <c r="A5267">
        <v>10497</v>
      </c>
      <c r="B5267" t="s">
        <v>173</v>
      </c>
      <c r="C5267">
        <v>260</v>
      </c>
      <c r="D5267">
        <v>25</v>
      </c>
      <c r="E5267" s="80">
        <v>35524</v>
      </c>
    </row>
    <row r="5268" spans="1:5">
      <c r="A5268">
        <v>10497</v>
      </c>
      <c r="B5268" t="s">
        <v>174</v>
      </c>
      <c r="C5268">
        <v>260</v>
      </c>
      <c r="D5268">
        <v>25</v>
      </c>
      <c r="E5268" s="80">
        <v>35524</v>
      </c>
    </row>
    <row r="5269" spans="1:5">
      <c r="A5269">
        <v>10497</v>
      </c>
      <c r="B5269" t="s">
        <v>175</v>
      </c>
      <c r="C5269">
        <v>260</v>
      </c>
      <c r="D5269">
        <v>25</v>
      </c>
      <c r="E5269" s="80">
        <v>35524</v>
      </c>
    </row>
    <row r="5270" spans="1:5">
      <c r="A5270">
        <v>10497</v>
      </c>
      <c r="B5270" t="s">
        <v>176</v>
      </c>
      <c r="C5270">
        <v>260</v>
      </c>
      <c r="D5270">
        <v>25</v>
      </c>
      <c r="E5270" s="80">
        <v>35524</v>
      </c>
    </row>
    <row r="5271" spans="1:5">
      <c r="A5271">
        <v>10497</v>
      </c>
      <c r="B5271" t="s">
        <v>177</v>
      </c>
      <c r="C5271">
        <v>260</v>
      </c>
      <c r="D5271">
        <v>25</v>
      </c>
      <c r="E5271" s="80">
        <v>35524</v>
      </c>
    </row>
    <row r="5272" spans="1:5">
      <c r="A5272">
        <v>10497</v>
      </c>
      <c r="B5272" t="s">
        <v>178</v>
      </c>
      <c r="C5272">
        <v>260</v>
      </c>
      <c r="D5272">
        <v>25</v>
      </c>
      <c r="E5272" s="80">
        <v>35524</v>
      </c>
    </row>
    <row r="5273" spans="1:5">
      <c r="A5273">
        <v>10497</v>
      </c>
      <c r="B5273" t="s">
        <v>179</v>
      </c>
      <c r="C5273">
        <v>260</v>
      </c>
      <c r="D5273">
        <v>25</v>
      </c>
      <c r="E5273" s="80">
        <v>35524</v>
      </c>
    </row>
    <row r="5274" spans="1:5">
      <c r="A5274">
        <v>10498</v>
      </c>
      <c r="B5274" t="s">
        <v>172</v>
      </c>
      <c r="C5274">
        <v>63</v>
      </c>
      <c r="D5274">
        <v>14</v>
      </c>
      <c r="E5274" s="80">
        <v>35527</v>
      </c>
    </row>
    <row r="5275" spans="1:5">
      <c r="A5275">
        <v>10498</v>
      </c>
      <c r="B5275" t="s">
        <v>173</v>
      </c>
      <c r="C5275">
        <v>63</v>
      </c>
      <c r="D5275">
        <v>14</v>
      </c>
      <c r="E5275" s="80">
        <v>35527</v>
      </c>
    </row>
    <row r="5276" spans="1:5">
      <c r="A5276">
        <v>10498</v>
      </c>
      <c r="B5276" t="s">
        <v>174</v>
      </c>
      <c r="C5276">
        <v>63</v>
      </c>
      <c r="D5276">
        <v>14</v>
      </c>
      <c r="E5276" s="80">
        <v>35527</v>
      </c>
    </row>
    <row r="5277" spans="1:5">
      <c r="A5277">
        <v>10498</v>
      </c>
      <c r="B5277" t="s">
        <v>175</v>
      </c>
      <c r="C5277">
        <v>63</v>
      </c>
      <c r="D5277">
        <v>14</v>
      </c>
      <c r="E5277" s="80">
        <v>35527</v>
      </c>
    </row>
    <row r="5278" spans="1:5">
      <c r="A5278">
        <v>10498</v>
      </c>
      <c r="B5278" t="s">
        <v>176</v>
      </c>
      <c r="C5278">
        <v>63</v>
      </c>
      <c r="D5278">
        <v>14</v>
      </c>
      <c r="E5278" s="80">
        <v>35527</v>
      </c>
    </row>
    <row r="5279" spans="1:5">
      <c r="A5279">
        <v>10498</v>
      </c>
      <c r="B5279" t="s">
        <v>177</v>
      </c>
      <c r="C5279">
        <v>63</v>
      </c>
      <c r="D5279">
        <v>14</v>
      </c>
      <c r="E5279" s="80">
        <v>35527</v>
      </c>
    </row>
    <row r="5280" spans="1:5">
      <c r="A5280">
        <v>10498</v>
      </c>
      <c r="B5280" t="s">
        <v>178</v>
      </c>
      <c r="C5280">
        <v>63</v>
      </c>
      <c r="D5280">
        <v>14</v>
      </c>
      <c r="E5280" s="80">
        <v>35527</v>
      </c>
    </row>
    <row r="5281" spans="1:5">
      <c r="A5281">
        <v>10498</v>
      </c>
      <c r="B5281" t="s">
        <v>179</v>
      </c>
      <c r="C5281">
        <v>63</v>
      </c>
      <c r="D5281">
        <v>14</v>
      </c>
      <c r="E5281" s="80">
        <v>35527</v>
      </c>
    </row>
    <row r="5282" spans="1:5">
      <c r="A5282">
        <v>10498</v>
      </c>
      <c r="B5282" t="s">
        <v>172</v>
      </c>
      <c r="C5282">
        <v>92</v>
      </c>
      <c r="D5282">
        <v>5</v>
      </c>
      <c r="E5282" s="80">
        <v>35527</v>
      </c>
    </row>
    <row r="5283" spans="1:5">
      <c r="A5283">
        <v>10498</v>
      </c>
      <c r="B5283" t="s">
        <v>173</v>
      </c>
      <c r="C5283">
        <v>92</v>
      </c>
      <c r="D5283">
        <v>5</v>
      </c>
      <c r="E5283" s="80">
        <v>35527</v>
      </c>
    </row>
    <row r="5284" spans="1:5">
      <c r="A5284">
        <v>10498</v>
      </c>
      <c r="B5284" t="s">
        <v>174</v>
      </c>
      <c r="C5284">
        <v>92</v>
      </c>
      <c r="D5284">
        <v>5</v>
      </c>
      <c r="E5284" s="80">
        <v>35527</v>
      </c>
    </row>
    <row r="5285" spans="1:5">
      <c r="A5285">
        <v>10498</v>
      </c>
      <c r="B5285" t="s">
        <v>175</v>
      </c>
      <c r="C5285">
        <v>92</v>
      </c>
      <c r="D5285">
        <v>5</v>
      </c>
      <c r="E5285" s="80">
        <v>35527</v>
      </c>
    </row>
    <row r="5286" spans="1:5">
      <c r="A5286">
        <v>10498</v>
      </c>
      <c r="B5286" t="s">
        <v>176</v>
      </c>
      <c r="C5286">
        <v>92</v>
      </c>
      <c r="D5286">
        <v>5</v>
      </c>
      <c r="E5286" s="80">
        <v>35527</v>
      </c>
    </row>
    <row r="5287" spans="1:5">
      <c r="A5287">
        <v>10498</v>
      </c>
      <c r="B5287" t="s">
        <v>177</v>
      </c>
      <c r="C5287">
        <v>92</v>
      </c>
      <c r="D5287">
        <v>5</v>
      </c>
      <c r="E5287" s="80">
        <v>35527</v>
      </c>
    </row>
    <row r="5288" spans="1:5">
      <c r="A5288">
        <v>10498</v>
      </c>
      <c r="B5288" t="s">
        <v>178</v>
      </c>
      <c r="C5288">
        <v>92</v>
      </c>
      <c r="D5288">
        <v>5</v>
      </c>
      <c r="E5288" s="80">
        <v>35527</v>
      </c>
    </row>
    <row r="5289" spans="1:5">
      <c r="A5289">
        <v>10498</v>
      </c>
      <c r="B5289" t="s">
        <v>179</v>
      </c>
      <c r="C5289">
        <v>92</v>
      </c>
      <c r="D5289">
        <v>5</v>
      </c>
      <c r="E5289" s="80">
        <v>35527</v>
      </c>
    </row>
    <row r="5290" spans="1:5">
      <c r="A5290">
        <v>10498</v>
      </c>
      <c r="B5290" t="s">
        <v>172</v>
      </c>
      <c r="C5290">
        <v>420</v>
      </c>
      <c r="D5290">
        <v>30</v>
      </c>
      <c r="E5290" s="80">
        <v>35527</v>
      </c>
    </row>
    <row r="5291" spans="1:5">
      <c r="A5291">
        <v>10498</v>
      </c>
      <c r="B5291" t="s">
        <v>173</v>
      </c>
      <c r="C5291">
        <v>420</v>
      </c>
      <c r="D5291">
        <v>30</v>
      </c>
      <c r="E5291" s="80">
        <v>35527</v>
      </c>
    </row>
    <row r="5292" spans="1:5">
      <c r="A5292">
        <v>10498</v>
      </c>
      <c r="B5292" t="s">
        <v>174</v>
      </c>
      <c r="C5292">
        <v>420</v>
      </c>
      <c r="D5292">
        <v>30</v>
      </c>
      <c r="E5292" s="80">
        <v>35527</v>
      </c>
    </row>
    <row r="5293" spans="1:5">
      <c r="A5293">
        <v>10498</v>
      </c>
      <c r="B5293" t="s">
        <v>175</v>
      </c>
      <c r="C5293">
        <v>420</v>
      </c>
      <c r="D5293">
        <v>30</v>
      </c>
      <c r="E5293" s="80">
        <v>35527</v>
      </c>
    </row>
    <row r="5294" spans="1:5">
      <c r="A5294">
        <v>10498</v>
      </c>
      <c r="B5294" t="s">
        <v>176</v>
      </c>
      <c r="C5294">
        <v>420</v>
      </c>
      <c r="D5294">
        <v>30</v>
      </c>
      <c r="E5294" s="80">
        <v>35527</v>
      </c>
    </row>
    <row r="5295" spans="1:5">
      <c r="A5295">
        <v>10498</v>
      </c>
      <c r="B5295" t="s">
        <v>177</v>
      </c>
      <c r="C5295">
        <v>420</v>
      </c>
      <c r="D5295">
        <v>30</v>
      </c>
      <c r="E5295" s="80">
        <v>35527</v>
      </c>
    </row>
    <row r="5296" spans="1:5">
      <c r="A5296">
        <v>10498</v>
      </c>
      <c r="B5296" t="s">
        <v>178</v>
      </c>
      <c r="C5296">
        <v>420</v>
      </c>
      <c r="D5296">
        <v>30</v>
      </c>
      <c r="E5296" s="80">
        <v>35527</v>
      </c>
    </row>
    <row r="5297" spans="1:5">
      <c r="A5297">
        <v>10498</v>
      </c>
      <c r="B5297" t="s">
        <v>179</v>
      </c>
      <c r="C5297">
        <v>420</v>
      </c>
      <c r="D5297">
        <v>30</v>
      </c>
      <c r="E5297" s="80">
        <v>35527</v>
      </c>
    </row>
    <row r="5298" spans="1:5">
      <c r="A5298">
        <v>10499</v>
      </c>
      <c r="B5298" t="s">
        <v>172</v>
      </c>
      <c r="C5298">
        <v>912</v>
      </c>
      <c r="D5298">
        <v>20</v>
      </c>
      <c r="E5298" s="80">
        <v>35528</v>
      </c>
    </row>
    <row r="5299" spans="1:5">
      <c r="A5299">
        <v>10499</v>
      </c>
      <c r="B5299" t="s">
        <v>173</v>
      </c>
      <c r="C5299">
        <v>912</v>
      </c>
      <c r="D5299">
        <v>20</v>
      </c>
      <c r="E5299" s="80">
        <v>35528</v>
      </c>
    </row>
    <row r="5300" spans="1:5">
      <c r="A5300">
        <v>10499</v>
      </c>
      <c r="B5300" t="s">
        <v>174</v>
      </c>
      <c r="C5300">
        <v>912</v>
      </c>
      <c r="D5300">
        <v>20</v>
      </c>
      <c r="E5300" s="80">
        <v>35528</v>
      </c>
    </row>
    <row r="5301" spans="1:5">
      <c r="A5301">
        <v>10499</v>
      </c>
      <c r="B5301" t="s">
        <v>175</v>
      </c>
      <c r="C5301">
        <v>912</v>
      </c>
      <c r="D5301">
        <v>20</v>
      </c>
      <c r="E5301" s="80">
        <v>35528</v>
      </c>
    </row>
    <row r="5302" spans="1:5">
      <c r="A5302">
        <v>10499</v>
      </c>
      <c r="B5302" t="s">
        <v>176</v>
      </c>
      <c r="C5302">
        <v>912</v>
      </c>
      <c r="D5302">
        <v>20</v>
      </c>
      <c r="E5302" s="80">
        <v>35528</v>
      </c>
    </row>
    <row r="5303" spans="1:5">
      <c r="A5303">
        <v>10499</v>
      </c>
      <c r="B5303" t="s">
        <v>177</v>
      </c>
      <c r="C5303">
        <v>912</v>
      </c>
      <c r="D5303">
        <v>20</v>
      </c>
      <c r="E5303" s="80">
        <v>35528</v>
      </c>
    </row>
    <row r="5304" spans="1:5">
      <c r="A5304">
        <v>10499</v>
      </c>
      <c r="B5304" t="s">
        <v>178</v>
      </c>
      <c r="C5304">
        <v>912</v>
      </c>
      <c r="D5304">
        <v>20</v>
      </c>
      <c r="E5304" s="80">
        <v>35528</v>
      </c>
    </row>
    <row r="5305" spans="1:5">
      <c r="A5305">
        <v>10499</v>
      </c>
      <c r="B5305" t="s">
        <v>179</v>
      </c>
      <c r="C5305">
        <v>912</v>
      </c>
      <c r="D5305">
        <v>20</v>
      </c>
      <c r="E5305" s="80">
        <v>35528</v>
      </c>
    </row>
    <row r="5306" spans="1:5">
      <c r="A5306">
        <v>10499</v>
      </c>
      <c r="B5306" t="s">
        <v>172</v>
      </c>
      <c r="C5306">
        <v>500</v>
      </c>
      <c r="D5306">
        <v>25</v>
      </c>
      <c r="E5306" s="80">
        <v>35528</v>
      </c>
    </row>
    <row r="5307" spans="1:5">
      <c r="A5307">
        <v>10499</v>
      </c>
      <c r="B5307" t="s">
        <v>173</v>
      </c>
      <c r="C5307">
        <v>500</v>
      </c>
      <c r="D5307">
        <v>25</v>
      </c>
      <c r="E5307" s="80">
        <v>35528</v>
      </c>
    </row>
    <row r="5308" spans="1:5">
      <c r="A5308">
        <v>10499</v>
      </c>
      <c r="B5308" t="s">
        <v>174</v>
      </c>
      <c r="C5308">
        <v>500</v>
      </c>
      <c r="D5308">
        <v>25</v>
      </c>
      <c r="E5308" s="80">
        <v>35528</v>
      </c>
    </row>
    <row r="5309" spans="1:5">
      <c r="A5309">
        <v>10499</v>
      </c>
      <c r="B5309" t="s">
        <v>175</v>
      </c>
      <c r="C5309">
        <v>500</v>
      </c>
      <c r="D5309">
        <v>25</v>
      </c>
      <c r="E5309" s="80">
        <v>35528</v>
      </c>
    </row>
    <row r="5310" spans="1:5">
      <c r="A5310">
        <v>10499</v>
      </c>
      <c r="B5310" t="s">
        <v>176</v>
      </c>
      <c r="C5310">
        <v>500</v>
      </c>
      <c r="D5310">
        <v>25</v>
      </c>
      <c r="E5310" s="80">
        <v>35528</v>
      </c>
    </row>
    <row r="5311" spans="1:5">
      <c r="A5311">
        <v>10499</v>
      </c>
      <c r="B5311" t="s">
        <v>177</v>
      </c>
      <c r="C5311">
        <v>500</v>
      </c>
      <c r="D5311">
        <v>25</v>
      </c>
      <c r="E5311" s="80">
        <v>35528</v>
      </c>
    </row>
    <row r="5312" spans="1:5">
      <c r="A5312">
        <v>10499</v>
      </c>
      <c r="B5312" t="s">
        <v>178</v>
      </c>
      <c r="C5312">
        <v>500</v>
      </c>
      <c r="D5312">
        <v>25</v>
      </c>
      <c r="E5312" s="80">
        <v>35528</v>
      </c>
    </row>
    <row r="5313" spans="1:5">
      <c r="A5313">
        <v>10499</v>
      </c>
      <c r="B5313" t="s">
        <v>179</v>
      </c>
      <c r="C5313">
        <v>500</v>
      </c>
      <c r="D5313">
        <v>25</v>
      </c>
      <c r="E5313" s="80">
        <v>35528</v>
      </c>
    </row>
    <row r="5314" spans="1:5">
      <c r="A5314">
        <v>10500</v>
      </c>
      <c r="B5314" t="s">
        <v>172</v>
      </c>
      <c r="C5314">
        <v>176.6999998614192</v>
      </c>
      <c r="D5314">
        <v>12</v>
      </c>
      <c r="E5314" s="80">
        <v>35529</v>
      </c>
    </row>
    <row r="5315" spans="1:5">
      <c r="A5315">
        <v>10500</v>
      </c>
      <c r="B5315" t="s">
        <v>173</v>
      </c>
      <c r="C5315">
        <v>176.6999998614192</v>
      </c>
      <c r="D5315">
        <v>12</v>
      </c>
      <c r="E5315" s="80">
        <v>35529</v>
      </c>
    </row>
    <row r="5316" spans="1:5">
      <c r="A5316">
        <v>10500</v>
      </c>
      <c r="B5316" t="s">
        <v>174</v>
      </c>
      <c r="C5316">
        <v>176.6999998614192</v>
      </c>
      <c r="D5316">
        <v>12</v>
      </c>
      <c r="E5316" s="80">
        <v>35529</v>
      </c>
    </row>
    <row r="5317" spans="1:5">
      <c r="A5317">
        <v>10500</v>
      </c>
      <c r="B5317" t="s">
        <v>175</v>
      </c>
      <c r="C5317">
        <v>176.6999998614192</v>
      </c>
      <c r="D5317">
        <v>12</v>
      </c>
      <c r="E5317" s="80">
        <v>35529</v>
      </c>
    </row>
    <row r="5318" spans="1:5">
      <c r="A5318">
        <v>10500</v>
      </c>
      <c r="B5318" t="s">
        <v>176</v>
      </c>
      <c r="C5318">
        <v>176.6999998614192</v>
      </c>
      <c r="D5318">
        <v>12</v>
      </c>
      <c r="E5318" s="80">
        <v>35529</v>
      </c>
    </row>
    <row r="5319" spans="1:5">
      <c r="A5319">
        <v>10500</v>
      </c>
      <c r="B5319" t="s">
        <v>177</v>
      </c>
      <c r="C5319">
        <v>176.6999998614192</v>
      </c>
      <c r="D5319">
        <v>12</v>
      </c>
      <c r="E5319" s="80">
        <v>35529</v>
      </c>
    </row>
    <row r="5320" spans="1:5">
      <c r="A5320">
        <v>10500</v>
      </c>
      <c r="B5320" t="s">
        <v>178</v>
      </c>
      <c r="C5320">
        <v>176.6999998614192</v>
      </c>
      <c r="D5320">
        <v>12</v>
      </c>
      <c r="E5320" s="80">
        <v>35529</v>
      </c>
    </row>
    <row r="5321" spans="1:5">
      <c r="A5321">
        <v>10500</v>
      </c>
      <c r="B5321" t="s">
        <v>179</v>
      </c>
      <c r="C5321">
        <v>176.6999998614192</v>
      </c>
      <c r="D5321">
        <v>12</v>
      </c>
      <c r="E5321" s="80">
        <v>35529</v>
      </c>
    </row>
    <row r="5322" spans="1:5">
      <c r="A5322">
        <v>10500</v>
      </c>
      <c r="B5322" t="s">
        <v>172</v>
      </c>
      <c r="C5322">
        <v>346.55999972820285</v>
      </c>
      <c r="D5322">
        <v>8</v>
      </c>
      <c r="E5322" s="80">
        <v>35529</v>
      </c>
    </row>
    <row r="5323" spans="1:5">
      <c r="A5323">
        <v>10500</v>
      </c>
      <c r="B5323" t="s">
        <v>173</v>
      </c>
      <c r="C5323">
        <v>346.55999972820285</v>
      </c>
      <c r="D5323">
        <v>8</v>
      </c>
      <c r="E5323" s="80">
        <v>35529</v>
      </c>
    </row>
    <row r="5324" spans="1:5">
      <c r="A5324">
        <v>10500</v>
      </c>
      <c r="B5324" t="s">
        <v>174</v>
      </c>
      <c r="C5324">
        <v>346.55999972820285</v>
      </c>
      <c r="D5324">
        <v>8</v>
      </c>
      <c r="E5324" s="80">
        <v>35529</v>
      </c>
    </row>
    <row r="5325" spans="1:5">
      <c r="A5325">
        <v>10500</v>
      </c>
      <c r="B5325" t="s">
        <v>175</v>
      </c>
      <c r="C5325">
        <v>346.55999972820285</v>
      </c>
      <c r="D5325">
        <v>8</v>
      </c>
      <c r="E5325" s="80">
        <v>35529</v>
      </c>
    </row>
    <row r="5326" spans="1:5">
      <c r="A5326">
        <v>10500</v>
      </c>
      <c r="B5326" t="s">
        <v>176</v>
      </c>
      <c r="C5326">
        <v>346.55999972820285</v>
      </c>
      <c r="D5326">
        <v>8</v>
      </c>
      <c r="E5326" s="80">
        <v>35529</v>
      </c>
    </row>
    <row r="5327" spans="1:5">
      <c r="A5327">
        <v>10500</v>
      </c>
      <c r="B5327" t="s">
        <v>177</v>
      </c>
      <c r="C5327">
        <v>346.55999972820285</v>
      </c>
      <c r="D5327">
        <v>8</v>
      </c>
      <c r="E5327" s="80">
        <v>35529</v>
      </c>
    </row>
    <row r="5328" spans="1:5">
      <c r="A5328">
        <v>10500</v>
      </c>
      <c r="B5328" t="s">
        <v>178</v>
      </c>
      <c r="C5328">
        <v>346.55999972820285</v>
      </c>
      <c r="D5328">
        <v>8</v>
      </c>
      <c r="E5328" s="80">
        <v>35529</v>
      </c>
    </row>
    <row r="5329" spans="1:5">
      <c r="A5329">
        <v>10500</v>
      </c>
      <c r="B5329" t="s">
        <v>179</v>
      </c>
      <c r="C5329">
        <v>346.55999972820285</v>
      </c>
      <c r="D5329">
        <v>8</v>
      </c>
      <c r="E5329" s="80">
        <v>35529</v>
      </c>
    </row>
    <row r="5330" spans="1:5">
      <c r="A5330">
        <v>10501</v>
      </c>
      <c r="B5330" t="s">
        <v>172</v>
      </c>
      <c r="C5330">
        <v>149</v>
      </c>
      <c r="D5330">
        <v>20</v>
      </c>
      <c r="E5330" s="80">
        <v>35529</v>
      </c>
    </row>
    <row r="5331" spans="1:5">
      <c r="A5331">
        <v>10501</v>
      </c>
      <c r="B5331" t="s">
        <v>173</v>
      </c>
      <c r="C5331">
        <v>149</v>
      </c>
      <c r="D5331">
        <v>20</v>
      </c>
      <c r="E5331" s="80">
        <v>35529</v>
      </c>
    </row>
    <row r="5332" spans="1:5">
      <c r="A5332">
        <v>10501</v>
      </c>
      <c r="B5332" t="s">
        <v>174</v>
      </c>
      <c r="C5332">
        <v>149</v>
      </c>
      <c r="D5332">
        <v>20</v>
      </c>
      <c r="E5332" s="80">
        <v>35529</v>
      </c>
    </row>
    <row r="5333" spans="1:5">
      <c r="A5333">
        <v>10501</v>
      </c>
      <c r="B5333" t="s">
        <v>175</v>
      </c>
      <c r="C5333">
        <v>149</v>
      </c>
      <c r="D5333">
        <v>20</v>
      </c>
      <c r="E5333" s="80">
        <v>35529</v>
      </c>
    </row>
    <row r="5334" spans="1:5">
      <c r="A5334">
        <v>10501</v>
      </c>
      <c r="B5334" t="s">
        <v>176</v>
      </c>
      <c r="C5334">
        <v>149</v>
      </c>
      <c r="D5334">
        <v>20</v>
      </c>
      <c r="E5334" s="80">
        <v>35529</v>
      </c>
    </row>
    <row r="5335" spans="1:5">
      <c r="A5335">
        <v>10501</v>
      </c>
      <c r="B5335" t="s">
        <v>177</v>
      </c>
      <c r="C5335">
        <v>149</v>
      </c>
      <c r="D5335">
        <v>20</v>
      </c>
      <c r="E5335" s="80">
        <v>35529</v>
      </c>
    </row>
    <row r="5336" spans="1:5">
      <c r="A5336">
        <v>10501</v>
      </c>
      <c r="B5336" t="s">
        <v>178</v>
      </c>
      <c r="C5336">
        <v>149</v>
      </c>
      <c r="D5336">
        <v>20</v>
      </c>
      <c r="E5336" s="80">
        <v>35529</v>
      </c>
    </row>
    <row r="5337" spans="1:5">
      <c r="A5337">
        <v>10501</v>
      </c>
      <c r="B5337" t="s">
        <v>179</v>
      </c>
      <c r="C5337">
        <v>149</v>
      </c>
      <c r="D5337">
        <v>20</v>
      </c>
      <c r="E5337" s="80">
        <v>35529</v>
      </c>
    </row>
    <row r="5338" spans="1:5">
      <c r="A5338">
        <v>10502</v>
      </c>
      <c r="B5338" t="s">
        <v>172</v>
      </c>
      <c r="C5338">
        <v>199.5</v>
      </c>
      <c r="D5338">
        <v>21</v>
      </c>
      <c r="E5338" s="80">
        <v>35530</v>
      </c>
    </row>
    <row r="5339" spans="1:5">
      <c r="A5339">
        <v>10502</v>
      </c>
      <c r="B5339" t="s">
        <v>173</v>
      </c>
      <c r="C5339">
        <v>199.5</v>
      </c>
      <c r="D5339">
        <v>21</v>
      </c>
      <c r="E5339" s="80">
        <v>35530</v>
      </c>
    </row>
    <row r="5340" spans="1:5">
      <c r="A5340">
        <v>10502</v>
      </c>
      <c r="B5340" t="s">
        <v>174</v>
      </c>
      <c r="C5340">
        <v>199.5</v>
      </c>
      <c r="D5340">
        <v>21</v>
      </c>
      <c r="E5340" s="80">
        <v>35530</v>
      </c>
    </row>
    <row r="5341" spans="1:5">
      <c r="A5341">
        <v>10502</v>
      </c>
      <c r="B5341" t="s">
        <v>175</v>
      </c>
      <c r="C5341">
        <v>199.5</v>
      </c>
      <c r="D5341">
        <v>21</v>
      </c>
      <c r="E5341" s="80">
        <v>35530</v>
      </c>
    </row>
    <row r="5342" spans="1:5">
      <c r="A5342">
        <v>10502</v>
      </c>
      <c r="B5342" t="s">
        <v>176</v>
      </c>
      <c r="C5342">
        <v>199.5</v>
      </c>
      <c r="D5342">
        <v>21</v>
      </c>
      <c r="E5342" s="80">
        <v>35530</v>
      </c>
    </row>
    <row r="5343" spans="1:5">
      <c r="A5343">
        <v>10502</v>
      </c>
      <c r="B5343" t="s">
        <v>177</v>
      </c>
      <c r="C5343">
        <v>199.5</v>
      </c>
      <c r="D5343">
        <v>21</v>
      </c>
      <c r="E5343" s="80">
        <v>35530</v>
      </c>
    </row>
    <row r="5344" spans="1:5">
      <c r="A5344">
        <v>10502</v>
      </c>
      <c r="B5344" t="s">
        <v>178</v>
      </c>
      <c r="C5344">
        <v>199.5</v>
      </c>
      <c r="D5344">
        <v>21</v>
      </c>
      <c r="E5344" s="80">
        <v>35530</v>
      </c>
    </row>
    <row r="5345" spans="1:5">
      <c r="A5345">
        <v>10502</v>
      </c>
      <c r="B5345" t="s">
        <v>179</v>
      </c>
      <c r="C5345">
        <v>199.5</v>
      </c>
      <c r="D5345">
        <v>21</v>
      </c>
      <c r="E5345" s="80">
        <v>35530</v>
      </c>
    </row>
    <row r="5346" spans="1:5">
      <c r="A5346">
        <v>10502</v>
      </c>
      <c r="B5346" t="s">
        <v>172</v>
      </c>
      <c r="C5346">
        <v>196.8</v>
      </c>
      <c r="D5346">
        <v>6</v>
      </c>
      <c r="E5346" s="80">
        <v>35530</v>
      </c>
    </row>
    <row r="5347" spans="1:5">
      <c r="A5347">
        <v>10502</v>
      </c>
      <c r="B5347" t="s">
        <v>173</v>
      </c>
      <c r="C5347">
        <v>196.8</v>
      </c>
      <c r="D5347">
        <v>6</v>
      </c>
      <c r="E5347" s="80">
        <v>35530</v>
      </c>
    </row>
    <row r="5348" spans="1:5">
      <c r="A5348">
        <v>10502</v>
      </c>
      <c r="B5348" t="s">
        <v>174</v>
      </c>
      <c r="C5348">
        <v>196.8</v>
      </c>
      <c r="D5348">
        <v>6</v>
      </c>
      <c r="E5348" s="80">
        <v>35530</v>
      </c>
    </row>
    <row r="5349" spans="1:5">
      <c r="A5349">
        <v>10502</v>
      </c>
      <c r="B5349" t="s">
        <v>175</v>
      </c>
      <c r="C5349">
        <v>196.8</v>
      </c>
      <c r="D5349">
        <v>6</v>
      </c>
      <c r="E5349" s="80">
        <v>35530</v>
      </c>
    </row>
    <row r="5350" spans="1:5">
      <c r="A5350">
        <v>10502</v>
      </c>
      <c r="B5350" t="s">
        <v>176</v>
      </c>
      <c r="C5350">
        <v>196.8</v>
      </c>
      <c r="D5350">
        <v>6</v>
      </c>
      <c r="E5350" s="80">
        <v>35530</v>
      </c>
    </row>
    <row r="5351" spans="1:5">
      <c r="A5351">
        <v>10502</v>
      </c>
      <c r="B5351" t="s">
        <v>177</v>
      </c>
      <c r="C5351">
        <v>196.8</v>
      </c>
      <c r="D5351">
        <v>6</v>
      </c>
      <c r="E5351" s="80">
        <v>35530</v>
      </c>
    </row>
    <row r="5352" spans="1:5">
      <c r="A5352">
        <v>10502</v>
      </c>
      <c r="B5352" t="s">
        <v>178</v>
      </c>
      <c r="C5352">
        <v>196.8</v>
      </c>
      <c r="D5352">
        <v>6</v>
      </c>
      <c r="E5352" s="80">
        <v>35530</v>
      </c>
    </row>
    <row r="5353" spans="1:5">
      <c r="A5353">
        <v>10502</v>
      </c>
      <c r="B5353" t="s">
        <v>179</v>
      </c>
      <c r="C5353">
        <v>196.8</v>
      </c>
      <c r="D5353">
        <v>6</v>
      </c>
      <c r="E5353" s="80">
        <v>35530</v>
      </c>
    </row>
    <row r="5354" spans="1:5">
      <c r="A5354">
        <v>10502</v>
      </c>
      <c r="B5354" t="s">
        <v>172</v>
      </c>
      <c r="C5354">
        <v>420</v>
      </c>
      <c r="D5354">
        <v>30</v>
      </c>
      <c r="E5354" s="80">
        <v>35530</v>
      </c>
    </row>
    <row r="5355" spans="1:5">
      <c r="A5355">
        <v>10502</v>
      </c>
      <c r="B5355" t="s">
        <v>173</v>
      </c>
      <c r="C5355">
        <v>420</v>
      </c>
      <c r="D5355">
        <v>30</v>
      </c>
      <c r="E5355" s="80">
        <v>35530</v>
      </c>
    </row>
    <row r="5356" spans="1:5">
      <c r="A5356">
        <v>10502</v>
      </c>
      <c r="B5356" t="s">
        <v>174</v>
      </c>
      <c r="C5356">
        <v>420</v>
      </c>
      <c r="D5356">
        <v>30</v>
      </c>
      <c r="E5356" s="80">
        <v>35530</v>
      </c>
    </row>
    <row r="5357" spans="1:5">
      <c r="A5357">
        <v>10502</v>
      </c>
      <c r="B5357" t="s">
        <v>175</v>
      </c>
      <c r="C5357">
        <v>420</v>
      </c>
      <c r="D5357">
        <v>30</v>
      </c>
      <c r="E5357" s="80">
        <v>35530</v>
      </c>
    </row>
    <row r="5358" spans="1:5">
      <c r="A5358">
        <v>10502</v>
      </c>
      <c r="B5358" t="s">
        <v>176</v>
      </c>
      <c r="C5358">
        <v>420</v>
      </c>
      <c r="D5358">
        <v>30</v>
      </c>
      <c r="E5358" s="80">
        <v>35530</v>
      </c>
    </row>
    <row r="5359" spans="1:5">
      <c r="A5359">
        <v>10502</v>
      </c>
      <c r="B5359" t="s">
        <v>177</v>
      </c>
      <c r="C5359">
        <v>420</v>
      </c>
      <c r="D5359">
        <v>30</v>
      </c>
      <c r="E5359" s="80">
        <v>35530</v>
      </c>
    </row>
    <row r="5360" spans="1:5">
      <c r="A5360">
        <v>10502</v>
      </c>
      <c r="B5360" t="s">
        <v>178</v>
      </c>
      <c r="C5360">
        <v>420</v>
      </c>
      <c r="D5360">
        <v>30</v>
      </c>
      <c r="E5360" s="80">
        <v>35530</v>
      </c>
    </row>
    <row r="5361" spans="1:5">
      <c r="A5361">
        <v>10502</v>
      </c>
      <c r="B5361" t="s">
        <v>179</v>
      </c>
      <c r="C5361">
        <v>420</v>
      </c>
      <c r="D5361">
        <v>30</v>
      </c>
      <c r="E5361" s="80">
        <v>35530</v>
      </c>
    </row>
    <row r="5362" spans="1:5">
      <c r="A5362">
        <v>10503</v>
      </c>
      <c r="B5362" t="s">
        <v>172</v>
      </c>
      <c r="C5362">
        <v>1627.5</v>
      </c>
      <c r="D5362">
        <v>70</v>
      </c>
      <c r="E5362" s="80">
        <v>35531</v>
      </c>
    </row>
    <row r="5363" spans="1:5">
      <c r="A5363">
        <v>10503</v>
      </c>
      <c r="B5363" t="s">
        <v>173</v>
      </c>
      <c r="C5363">
        <v>1627.5</v>
      </c>
      <c r="D5363">
        <v>70</v>
      </c>
      <c r="E5363" s="80">
        <v>35531</v>
      </c>
    </row>
    <row r="5364" spans="1:5">
      <c r="A5364">
        <v>10503</v>
      </c>
      <c r="B5364" t="s">
        <v>174</v>
      </c>
      <c r="C5364">
        <v>1627.5</v>
      </c>
      <c r="D5364">
        <v>70</v>
      </c>
      <c r="E5364" s="80">
        <v>35531</v>
      </c>
    </row>
    <row r="5365" spans="1:5">
      <c r="A5365">
        <v>10503</v>
      </c>
      <c r="B5365" t="s">
        <v>175</v>
      </c>
      <c r="C5365">
        <v>1627.5</v>
      </c>
      <c r="D5365">
        <v>70</v>
      </c>
      <c r="E5365" s="80">
        <v>35531</v>
      </c>
    </row>
    <row r="5366" spans="1:5">
      <c r="A5366">
        <v>10503</v>
      </c>
      <c r="B5366" t="s">
        <v>176</v>
      </c>
      <c r="C5366">
        <v>1627.5</v>
      </c>
      <c r="D5366">
        <v>70</v>
      </c>
      <c r="E5366" s="80">
        <v>35531</v>
      </c>
    </row>
    <row r="5367" spans="1:5">
      <c r="A5367">
        <v>10503</v>
      </c>
      <c r="B5367" t="s">
        <v>177</v>
      </c>
      <c r="C5367">
        <v>1627.5</v>
      </c>
      <c r="D5367">
        <v>70</v>
      </c>
      <c r="E5367" s="80">
        <v>35531</v>
      </c>
    </row>
    <row r="5368" spans="1:5">
      <c r="A5368">
        <v>10503</v>
      </c>
      <c r="B5368" t="s">
        <v>178</v>
      </c>
      <c r="C5368">
        <v>1627.5</v>
      </c>
      <c r="D5368">
        <v>70</v>
      </c>
      <c r="E5368" s="80">
        <v>35531</v>
      </c>
    </row>
    <row r="5369" spans="1:5">
      <c r="A5369">
        <v>10503</v>
      </c>
      <c r="B5369" t="s">
        <v>179</v>
      </c>
      <c r="C5369">
        <v>1627.5</v>
      </c>
      <c r="D5369">
        <v>70</v>
      </c>
      <c r="E5369" s="80">
        <v>35531</v>
      </c>
    </row>
    <row r="5370" spans="1:5">
      <c r="A5370">
        <v>10503</v>
      </c>
      <c r="B5370" t="s">
        <v>172</v>
      </c>
      <c r="C5370">
        <v>421</v>
      </c>
      <c r="D5370">
        <v>20</v>
      </c>
      <c r="E5370" s="80">
        <v>35531</v>
      </c>
    </row>
    <row r="5371" spans="1:5">
      <c r="A5371">
        <v>10503</v>
      </c>
      <c r="B5371" t="s">
        <v>173</v>
      </c>
      <c r="C5371">
        <v>421</v>
      </c>
      <c r="D5371">
        <v>20</v>
      </c>
      <c r="E5371" s="80">
        <v>35531</v>
      </c>
    </row>
    <row r="5372" spans="1:5">
      <c r="A5372">
        <v>10503</v>
      </c>
      <c r="B5372" t="s">
        <v>174</v>
      </c>
      <c r="C5372">
        <v>421</v>
      </c>
      <c r="D5372">
        <v>20</v>
      </c>
      <c r="E5372" s="80">
        <v>35531</v>
      </c>
    </row>
    <row r="5373" spans="1:5">
      <c r="A5373">
        <v>10503</v>
      </c>
      <c r="B5373" t="s">
        <v>175</v>
      </c>
      <c r="C5373">
        <v>421</v>
      </c>
      <c r="D5373">
        <v>20</v>
      </c>
      <c r="E5373" s="80">
        <v>35531</v>
      </c>
    </row>
    <row r="5374" spans="1:5">
      <c r="A5374">
        <v>10503</v>
      </c>
      <c r="B5374" t="s">
        <v>176</v>
      </c>
      <c r="C5374">
        <v>421</v>
      </c>
      <c r="D5374">
        <v>20</v>
      </c>
      <c r="E5374" s="80">
        <v>35531</v>
      </c>
    </row>
    <row r="5375" spans="1:5">
      <c r="A5375">
        <v>10503</v>
      </c>
      <c r="B5375" t="s">
        <v>177</v>
      </c>
      <c r="C5375">
        <v>421</v>
      </c>
      <c r="D5375">
        <v>20</v>
      </c>
      <c r="E5375" s="80">
        <v>35531</v>
      </c>
    </row>
    <row r="5376" spans="1:5">
      <c r="A5376">
        <v>10503</v>
      </c>
      <c r="B5376" t="s">
        <v>178</v>
      </c>
      <c r="C5376">
        <v>421</v>
      </c>
      <c r="D5376">
        <v>20</v>
      </c>
      <c r="E5376" s="80">
        <v>35531</v>
      </c>
    </row>
    <row r="5377" spans="1:5">
      <c r="A5377">
        <v>10503</v>
      </c>
      <c r="B5377" t="s">
        <v>179</v>
      </c>
      <c r="C5377">
        <v>421</v>
      </c>
      <c r="D5377">
        <v>20</v>
      </c>
      <c r="E5377" s="80">
        <v>35531</v>
      </c>
    </row>
    <row r="5378" spans="1:5">
      <c r="A5378">
        <v>10504</v>
      </c>
      <c r="B5378" t="s">
        <v>172</v>
      </c>
      <c r="C5378">
        <v>228</v>
      </c>
      <c r="D5378">
        <v>12</v>
      </c>
      <c r="E5378" s="80">
        <v>35531</v>
      </c>
    </row>
    <row r="5379" spans="1:5">
      <c r="A5379">
        <v>10504</v>
      </c>
      <c r="B5379" t="s">
        <v>173</v>
      </c>
      <c r="C5379">
        <v>228</v>
      </c>
      <c r="D5379">
        <v>12</v>
      </c>
      <c r="E5379" s="80">
        <v>35531</v>
      </c>
    </row>
    <row r="5380" spans="1:5">
      <c r="A5380">
        <v>10504</v>
      </c>
      <c r="B5380" t="s">
        <v>174</v>
      </c>
      <c r="C5380">
        <v>228</v>
      </c>
      <c r="D5380">
        <v>12</v>
      </c>
      <c r="E5380" s="80">
        <v>35531</v>
      </c>
    </row>
    <row r="5381" spans="1:5">
      <c r="A5381">
        <v>10504</v>
      </c>
      <c r="B5381" t="s">
        <v>175</v>
      </c>
      <c r="C5381">
        <v>228</v>
      </c>
      <c r="D5381">
        <v>12</v>
      </c>
      <c r="E5381" s="80">
        <v>35531</v>
      </c>
    </row>
    <row r="5382" spans="1:5">
      <c r="A5382">
        <v>10504</v>
      </c>
      <c r="B5382" t="s">
        <v>176</v>
      </c>
      <c r="C5382">
        <v>228</v>
      </c>
      <c r="D5382">
        <v>12</v>
      </c>
      <c r="E5382" s="80">
        <v>35531</v>
      </c>
    </row>
    <row r="5383" spans="1:5">
      <c r="A5383">
        <v>10504</v>
      </c>
      <c r="B5383" t="s">
        <v>177</v>
      </c>
      <c r="C5383">
        <v>228</v>
      </c>
      <c r="D5383">
        <v>12</v>
      </c>
      <c r="E5383" s="80">
        <v>35531</v>
      </c>
    </row>
    <row r="5384" spans="1:5">
      <c r="A5384">
        <v>10504</v>
      </c>
      <c r="B5384" t="s">
        <v>178</v>
      </c>
      <c r="C5384">
        <v>228</v>
      </c>
      <c r="D5384">
        <v>12</v>
      </c>
      <c r="E5384" s="80">
        <v>35531</v>
      </c>
    </row>
    <row r="5385" spans="1:5">
      <c r="A5385">
        <v>10504</v>
      </c>
      <c r="B5385" t="s">
        <v>179</v>
      </c>
      <c r="C5385">
        <v>228</v>
      </c>
      <c r="D5385">
        <v>12</v>
      </c>
      <c r="E5385" s="80">
        <v>35531</v>
      </c>
    </row>
    <row r="5386" spans="1:5">
      <c r="A5386">
        <v>10504</v>
      </c>
      <c r="B5386" t="s">
        <v>172</v>
      </c>
      <c r="C5386">
        <v>120</v>
      </c>
      <c r="D5386">
        <v>12</v>
      </c>
      <c r="E5386" s="80">
        <v>35531</v>
      </c>
    </row>
    <row r="5387" spans="1:5">
      <c r="A5387">
        <v>10504</v>
      </c>
      <c r="B5387" t="s">
        <v>173</v>
      </c>
      <c r="C5387">
        <v>120</v>
      </c>
      <c r="D5387">
        <v>12</v>
      </c>
      <c r="E5387" s="80">
        <v>35531</v>
      </c>
    </row>
    <row r="5388" spans="1:5">
      <c r="A5388">
        <v>10504</v>
      </c>
      <c r="B5388" t="s">
        <v>174</v>
      </c>
      <c r="C5388">
        <v>120</v>
      </c>
      <c r="D5388">
        <v>12</v>
      </c>
      <c r="E5388" s="80">
        <v>35531</v>
      </c>
    </row>
    <row r="5389" spans="1:5">
      <c r="A5389">
        <v>10504</v>
      </c>
      <c r="B5389" t="s">
        <v>175</v>
      </c>
      <c r="C5389">
        <v>120</v>
      </c>
      <c r="D5389">
        <v>12</v>
      </c>
      <c r="E5389" s="80">
        <v>35531</v>
      </c>
    </row>
    <row r="5390" spans="1:5">
      <c r="A5390">
        <v>10504</v>
      </c>
      <c r="B5390" t="s">
        <v>176</v>
      </c>
      <c r="C5390">
        <v>120</v>
      </c>
      <c r="D5390">
        <v>12</v>
      </c>
      <c r="E5390" s="80">
        <v>35531</v>
      </c>
    </row>
    <row r="5391" spans="1:5">
      <c r="A5391">
        <v>10504</v>
      </c>
      <c r="B5391" t="s">
        <v>177</v>
      </c>
      <c r="C5391">
        <v>120</v>
      </c>
      <c r="D5391">
        <v>12</v>
      </c>
      <c r="E5391" s="80">
        <v>35531</v>
      </c>
    </row>
    <row r="5392" spans="1:5">
      <c r="A5392">
        <v>10504</v>
      </c>
      <c r="B5392" t="s">
        <v>178</v>
      </c>
      <c r="C5392">
        <v>120</v>
      </c>
      <c r="D5392">
        <v>12</v>
      </c>
      <c r="E5392" s="80">
        <v>35531</v>
      </c>
    </row>
    <row r="5393" spans="1:5">
      <c r="A5393">
        <v>10504</v>
      </c>
      <c r="B5393" t="s">
        <v>179</v>
      </c>
      <c r="C5393">
        <v>120</v>
      </c>
      <c r="D5393">
        <v>12</v>
      </c>
      <c r="E5393" s="80">
        <v>35531</v>
      </c>
    </row>
    <row r="5394" spans="1:5">
      <c r="A5394">
        <v>10504</v>
      </c>
      <c r="B5394" t="s">
        <v>172</v>
      </c>
      <c r="C5394">
        <v>328</v>
      </c>
      <c r="D5394">
        <v>10</v>
      </c>
      <c r="E5394" s="80">
        <v>35531</v>
      </c>
    </row>
    <row r="5395" spans="1:5">
      <c r="A5395">
        <v>10504</v>
      </c>
      <c r="B5395" t="s">
        <v>173</v>
      </c>
      <c r="C5395">
        <v>328</v>
      </c>
      <c r="D5395">
        <v>10</v>
      </c>
      <c r="E5395" s="80">
        <v>35531</v>
      </c>
    </row>
    <row r="5396" spans="1:5">
      <c r="A5396">
        <v>10504</v>
      </c>
      <c r="B5396" t="s">
        <v>174</v>
      </c>
      <c r="C5396">
        <v>328</v>
      </c>
      <c r="D5396">
        <v>10</v>
      </c>
      <c r="E5396" s="80">
        <v>35531</v>
      </c>
    </row>
    <row r="5397" spans="1:5">
      <c r="A5397">
        <v>10504</v>
      </c>
      <c r="B5397" t="s">
        <v>175</v>
      </c>
      <c r="C5397">
        <v>328</v>
      </c>
      <c r="D5397">
        <v>10</v>
      </c>
      <c r="E5397" s="80">
        <v>35531</v>
      </c>
    </row>
    <row r="5398" spans="1:5">
      <c r="A5398">
        <v>10504</v>
      </c>
      <c r="B5398" t="s">
        <v>176</v>
      </c>
      <c r="C5398">
        <v>328</v>
      </c>
      <c r="D5398">
        <v>10</v>
      </c>
      <c r="E5398" s="80">
        <v>35531</v>
      </c>
    </row>
    <row r="5399" spans="1:5">
      <c r="A5399">
        <v>10504</v>
      </c>
      <c r="B5399" t="s">
        <v>177</v>
      </c>
      <c r="C5399">
        <v>328</v>
      </c>
      <c r="D5399">
        <v>10</v>
      </c>
      <c r="E5399" s="80">
        <v>35531</v>
      </c>
    </row>
    <row r="5400" spans="1:5">
      <c r="A5400">
        <v>10504</v>
      </c>
      <c r="B5400" t="s">
        <v>178</v>
      </c>
      <c r="C5400">
        <v>328</v>
      </c>
      <c r="D5400">
        <v>10</v>
      </c>
      <c r="E5400" s="80">
        <v>35531</v>
      </c>
    </row>
    <row r="5401" spans="1:5">
      <c r="A5401">
        <v>10504</v>
      </c>
      <c r="B5401" t="s">
        <v>179</v>
      </c>
      <c r="C5401">
        <v>328</v>
      </c>
      <c r="D5401">
        <v>10</v>
      </c>
      <c r="E5401" s="80">
        <v>35531</v>
      </c>
    </row>
    <row r="5402" spans="1:5">
      <c r="A5402">
        <v>10504</v>
      </c>
      <c r="B5402" t="s">
        <v>172</v>
      </c>
      <c r="C5402">
        <v>712.5</v>
      </c>
      <c r="D5402">
        <v>25</v>
      </c>
      <c r="E5402" s="80">
        <v>35531</v>
      </c>
    </row>
    <row r="5403" spans="1:5">
      <c r="A5403">
        <v>10504</v>
      </c>
      <c r="B5403" t="s">
        <v>173</v>
      </c>
      <c r="C5403">
        <v>712.5</v>
      </c>
      <c r="D5403">
        <v>25</v>
      </c>
      <c r="E5403" s="80">
        <v>35531</v>
      </c>
    </row>
    <row r="5404" spans="1:5">
      <c r="A5404">
        <v>10504</v>
      </c>
      <c r="B5404" t="s">
        <v>174</v>
      </c>
      <c r="C5404">
        <v>712.5</v>
      </c>
      <c r="D5404">
        <v>25</v>
      </c>
      <c r="E5404" s="80">
        <v>35531</v>
      </c>
    </row>
    <row r="5405" spans="1:5">
      <c r="A5405">
        <v>10504</v>
      </c>
      <c r="B5405" t="s">
        <v>175</v>
      </c>
      <c r="C5405">
        <v>712.5</v>
      </c>
      <c r="D5405">
        <v>25</v>
      </c>
      <c r="E5405" s="80">
        <v>35531</v>
      </c>
    </row>
    <row r="5406" spans="1:5">
      <c r="A5406">
        <v>10504</v>
      </c>
      <c r="B5406" t="s">
        <v>176</v>
      </c>
      <c r="C5406">
        <v>712.5</v>
      </c>
      <c r="D5406">
        <v>25</v>
      </c>
      <c r="E5406" s="80">
        <v>35531</v>
      </c>
    </row>
    <row r="5407" spans="1:5">
      <c r="A5407">
        <v>10504</v>
      </c>
      <c r="B5407" t="s">
        <v>177</v>
      </c>
      <c r="C5407">
        <v>712.5</v>
      </c>
      <c r="D5407">
        <v>25</v>
      </c>
      <c r="E5407" s="80">
        <v>35531</v>
      </c>
    </row>
    <row r="5408" spans="1:5">
      <c r="A5408">
        <v>10504</v>
      </c>
      <c r="B5408" t="s">
        <v>178</v>
      </c>
      <c r="C5408">
        <v>712.5</v>
      </c>
      <c r="D5408">
        <v>25</v>
      </c>
      <c r="E5408" s="80">
        <v>35531</v>
      </c>
    </row>
    <row r="5409" spans="1:5">
      <c r="A5409">
        <v>10504</v>
      </c>
      <c r="B5409" t="s">
        <v>179</v>
      </c>
      <c r="C5409">
        <v>712.5</v>
      </c>
      <c r="D5409">
        <v>25</v>
      </c>
      <c r="E5409" s="80">
        <v>35531</v>
      </c>
    </row>
    <row r="5410" spans="1:5">
      <c r="A5410">
        <v>10505</v>
      </c>
      <c r="B5410" t="s">
        <v>172</v>
      </c>
      <c r="C5410">
        <v>147.9</v>
      </c>
      <c r="D5410">
        <v>3</v>
      </c>
      <c r="E5410" s="80">
        <v>35534</v>
      </c>
    </row>
    <row r="5411" spans="1:5">
      <c r="A5411">
        <v>10505</v>
      </c>
      <c r="B5411" t="s">
        <v>173</v>
      </c>
      <c r="C5411">
        <v>147.9</v>
      </c>
      <c r="D5411">
        <v>3</v>
      </c>
      <c r="E5411" s="80">
        <v>35534</v>
      </c>
    </row>
    <row r="5412" spans="1:5">
      <c r="A5412">
        <v>10505</v>
      </c>
      <c r="B5412" t="s">
        <v>174</v>
      </c>
      <c r="C5412">
        <v>147.9</v>
      </c>
      <c r="D5412">
        <v>3</v>
      </c>
      <c r="E5412" s="80">
        <v>35534</v>
      </c>
    </row>
    <row r="5413" spans="1:5">
      <c r="A5413">
        <v>10505</v>
      </c>
      <c r="B5413" t="s">
        <v>175</v>
      </c>
      <c r="C5413">
        <v>147.9</v>
      </c>
      <c r="D5413">
        <v>3</v>
      </c>
      <c r="E5413" s="80">
        <v>35534</v>
      </c>
    </row>
    <row r="5414" spans="1:5">
      <c r="A5414">
        <v>10505</v>
      </c>
      <c r="B5414" t="s">
        <v>176</v>
      </c>
      <c r="C5414">
        <v>147.9</v>
      </c>
      <c r="D5414">
        <v>3</v>
      </c>
      <c r="E5414" s="80">
        <v>35534</v>
      </c>
    </row>
    <row r="5415" spans="1:5">
      <c r="A5415">
        <v>10505</v>
      </c>
      <c r="B5415" t="s">
        <v>177</v>
      </c>
      <c r="C5415">
        <v>147.9</v>
      </c>
      <c r="D5415">
        <v>3</v>
      </c>
      <c r="E5415" s="80">
        <v>35534</v>
      </c>
    </row>
    <row r="5416" spans="1:5">
      <c r="A5416">
        <v>10505</v>
      </c>
      <c r="B5416" t="s">
        <v>178</v>
      </c>
      <c r="C5416">
        <v>147.9</v>
      </c>
      <c r="D5416">
        <v>3</v>
      </c>
      <c r="E5416" s="80">
        <v>35534</v>
      </c>
    </row>
    <row r="5417" spans="1:5">
      <c r="A5417">
        <v>10505</v>
      </c>
      <c r="B5417" t="s">
        <v>179</v>
      </c>
      <c r="C5417">
        <v>147.9</v>
      </c>
      <c r="D5417">
        <v>3</v>
      </c>
      <c r="E5417" s="80">
        <v>35534</v>
      </c>
    </row>
    <row r="5418" spans="1:5">
      <c r="A5418">
        <v>10506</v>
      </c>
      <c r="B5418" t="s">
        <v>172</v>
      </c>
      <c r="C5418">
        <v>226.79999962449074</v>
      </c>
      <c r="D5418">
        <v>18</v>
      </c>
      <c r="E5418" s="80">
        <v>35535</v>
      </c>
    </row>
    <row r="5419" spans="1:5">
      <c r="A5419">
        <v>10506</v>
      </c>
      <c r="B5419" t="s">
        <v>173</v>
      </c>
      <c r="C5419">
        <v>226.79999962449074</v>
      </c>
      <c r="D5419">
        <v>18</v>
      </c>
      <c r="E5419" s="80">
        <v>35535</v>
      </c>
    </row>
    <row r="5420" spans="1:5">
      <c r="A5420">
        <v>10506</v>
      </c>
      <c r="B5420" t="s">
        <v>174</v>
      </c>
      <c r="C5420">
        <v>226.79999962449074</v>
      </c>
      <c r="D5420">
        <v>18</v>
      </c>
      <c r="E5420" s="80">
        <v>35535</v>
      </c>
    </row>
    <row r="5421" spans="1:5">
      <c r="A5421">
        <v>10506</v>
      </c>
      <c r="B5421" t="s">
        <v>175</v>
      </c>
      <c r="C5421">
        <v>226.79999962449074</v>
      </c>
      <c r="D5421">
        <v>18</v>
      </c>
      <c r="E5421" s="80">
        <v>35535</v>
      </c>
    </row>
    <row r="5422" spans="1:5">
      <c r="A5422">
        <v>10506</v>
      </c>
      <c r="B5422" t="s">
        <v>176</v>
      </c>
      <c r="C5422">
        <v>226.79999962449074</v>
      </c>
      <c r="D5422">
        <v>18</v>
      </c>
      <c r="E5422" s="80">
        <v>35535</v>
      </c>
    </row>
    <row r="5423" spans="1:5">
      <c r="A5423">
        <v>10506</v>
      </c>
      <c r="B5423" t="s">
        <v>177</v>
      </c>
      <c r="C5423">
        <v>226.79999962449074</v>
      </c>
      <c r="D5423">
        <v>18</v>
      </c>
      <c r="E5423" s="80">
        <v>35535</v>
      </c>
    </row>
    <row r="5424" spans="1:5">
      <c r="A5424">
        <v>10506</v>
      </c>
      <c r="B5424" t="s">
        <v>178</v>
      </c>
      <c r="C5424">
        <v>226.79999962449074</v>
      </c>
      <c r="D5424">
        <v>18</v>
      </c>
      <c r="E5424" s="80">
        <v>35535</v>
      </c>
    </row>
    <row r="5425" spans="1:5">
      <c r="A5425">
        <v>10506</v>
      </c>
      <c r="B5425" t="s">
        <v>179</v>
      </c>
      <c r="C5425">
        <v>226.79999962449074</v>
      </c>
      <c r="D5425">
        <v>18</v>
      </c>
      <c r="E5425" s="80">
        <v>35535</v>
      </c>
    </row>
    <row r="5426" spans="1:5">
      <c r="A5426">
        <v>10506</v>
      </c>
      <c r="B5426" t="s">
        <v>172</v>
      </c>
      <c r="C5426">
        <v>188.99999968707561</v>
      </c>
      <c r="D5426">
        <v>14</v>
      </c>
      <c r="E5426" s="80">
        <v>35535</v>
      </c>
    </row>
    <row r="5427" spans="1:5">
      <c r="A5427">
        <v>10506</v>
      </c>
      <c r="B5427" t="s">
        <v>173</v>
      </c>
      <c r="C5427">
        <v>188.99999968707561</v>
      </c>
      <c r="D5427">
        <v>14</v>
      </c>
      <c r="E5427" s="80">
        <v>35535</v>
      </c>
    </row>
    <row r="5428" spans="1:5">
      <c r="A5428">
        <v>10506</v>
      </c>
      <c r="B5428" t="s">
        <v>174</v>
      </c>
      <c r="C5428">
        <v>188.99999968707561</v>
      </c>
      <c r="D5428">
        <v>14</v>
      </c>
      <c r="E5428" s="80">
        <v>35535</v>
      </c>
    </row>
    <row r="5429" spans="1:5">
      <c r="A5429">
        <v>10506</v>
      </c>
      <c r="B5429" t="s">
        <v>175</v>
      </c>
      <c r="C5429">
        <v>188.99999968707561</v>
      </c>
      <c r="D5429">
        <v>14</v>
      </c>
      <c r="E5429" s="80">
        <v>35535</v>
      </c>
    </row>
    <row r="5430" spans="1:5">
      <c r="A5430">
        <v>10506</v>
      </c>
      <c r="B5430" t="s">
        <v>176</v>
      </c>
      <c r="C5430">
        <v>188.99999968707561</v>
      </c>
      <c r="D5430">
        <v>14</v>
      </c>
      <c r="E5430" s="80">
        <v>35535</v>
      </c>
    </row>
    <row r="5431" spans="1:5">
      <c r="A5431">
        <v>10506</v>
      </c>
      <c r="B5431" t="s">
        <v>177</v>
      </c>
      <c r="C5431">
        <v>188.99999968707561</v>
      </c>
      <c r="D5431">
        <v>14</v>
      </c>
      <c r="E5431" s="80">
        <v>35535</v>
      </c>
    </row>
    <row r="5432" spans="1:5">
      <c r="A5432">
        <v>10506</v>
      </c>
      <c r="B5432" t="s">
        <v>178</v>
      </c>
      <c r="C5432">
        <v>188.99999968707561</v>
      </c>
      <c r="D5432">
        <v>14</v>
      </c>
      <c r="E5432" s="80">
        <v>35535</v>
      </c>
    </row>
    <row r="5433" spans="1:5">
      <c r="A5433">
        <v>10506</v>
      </c>
      <c r="B5433" t="s">
        <v>179</v>
      </c>
      <c r="C5433">
        <v>188.99999968707561</v>
      </c>
      <c r="D5433">
        <v>14</v>
      </c>
      <c r="E5433" s="80">
        <v>35535</v>
      </c>
    </row>
    <row r="5434" spans="1:5">
      <c r="A5434">
        <v>10507</v>
      </c>
      <c r="B5434" t="s">
        <v>172</v>
      </c>
      <c r="C5434">
        <v>586.49999588727951</v>
      </c>
      <c r="D5434">
        <v>15</v>
      </c>
      <c r="E5434" s="80">
        <v>35535</v>
      </c>
    </row>
    <row r="5435" spans="1:5">
      <c r="A5435">
        <v>10507</v>
      </c>
      <c r="B5435" t="s">
        <v>173</v>
      </c>
      <c r="C5435">
        <v>586.49999588727951</v>
      </c>
      <c r="D5435">
        <v>15</v>
      </c>
      <c r="E5435" s="80">
        <v>35535</v>
      </c>
    </row>
    <row r="5436" spans="1:5">
      <c r="A5436">
        <v>10507</v>
      </c>
      <c r="B5436" t="s">
        <v>174</v>
      </c>
      <c r="C5436">
        <v>586.49999588727951</v>
      </c>
      <c r="D5436">
        <v>15</v>
      </c>
      <c r="E5436" s="80">
        <v>35535</v>
      </c>
    </row>
    <row r="5437" spans="1:5">
      <c r="A5437">
        <v>10507</v>
      </c>
      <c r="B5437" t="s">
        <v>175</v>
      </c>
      <c r="C5437">
        <v>586.49999588727951</v>
      </c>
      <c r="D5437">
        <v>15</v>
      </c>
      <c r="E5437" s="80">
        <v>35535</v>
      </c>
    </row>
    <row r="5438" spans="1:5">
      <c r="A5438">
        <v>10507</v>
      </c>
      <c r="B5438" t="s">
        <v>176</v>
      </c>
      <c r="C5438">
        <v>586.49999588727951</v>
      </c>
      <c r="D5438">
        <v>15</v>
      </c>
      <c r="E5438" s="80">
        <v>35535</v>
      </c>
    </row>
    <row r="5439" spans="1:5">
      <c r="A5439">
        <v>10507</v>
      </c>
      <c r="B5439" t="s">
        <v>177</v>
      </c>
      <c r="C5439">
        <v>586.49999588727951</v>
      </c>
      <c r="D5439">
        <v>15</v>
      </c>
      <c r="E5439" s="80">
        <v>35535</v>
      </c>
    </row>
    <row r="5440" spans="1:5">
      <c r="A5440">
        <v>10507</v>
      </c>
      <c r="B5440" t="s">
        <v>178</v>
      </c>
      <c r="C5440">
        <v>586.49999588727951</v>
      </c>
      <c r="D5440">
        <v>15</v>
      </c>
      <c r="E5440" s="80">
        <v>35535</v>
      </c>
    </row>
    <row r="5441" spans="1:5">
      <c r="A5441">
        <v>10507</v>
      </c>
      <c r="B5441" t="s">
        <v>179</v>
      </c>
      <c r="C5441">
        <v>586.49999588727951</v>
      </c>
      <c r="D5441">
        <v>15</v>
      </c>
      <c r="E5441" s="80">
        <v>35535</v>
      </c>
    </row>
    <row r="5442" spans="1:5">
      <c r="A5442">
        <v>10507</v>
      </c>
      <c r="B5442" t="s">
        <v>172</v>
      </c>
      <c r="C5442">
        <v>162.56249886006117</v>
      </c>
      <c r="D5442">
        <v>15</v>
      </c>
      <c r="E5442" s="80">
        <v>35535</v>
      </c>
    </row>
    <row r="5443" spans="1:5">
      <c r="A5443">
        <v>10507</v>
      </c>
      <c r="B5443" t="s">
        <v>173</v>
      </c>
      <c r="C5443">
        <v>162.56249886006117</v>
      </c>
      <c r="D5443">
        <v>15</v>
      </c>
      <c r="E5443" s="80">
        <v>35535</v>
      </c>
    </row>
    <row r="5444" spans="1:5">
      <c r="A5444">
        <v>10507</v>
      </c>
      <c r="B5444" t="s">
        <v>174</v>
      </c>
      <c r="C5444">
        <v>162.56249886006117</v>
      </c>
      <c r="D5444">
        <v>15</v>
      </c>
      <c r="E5444" s="80">
        <v>35535</v>
      </c>
    </row>
    <row r="5445" spans="1:5">
      <c r="A5445">
        <v>10507</v>
      </c>
      <c r="B5445" t="s">
        <v>175</v>
      </c>
      <c r="C5445">
        <v>162.56249886006117</v>
      </c>
      <c r="D5445">
        <v>15</v>
      </c>
      <c r="E5445" s="80">
        <v>35535</v>
      </c>
    </row>
    <row r="5446" spans="1:5">
      <c r="A5446">
        <v>10507</v>
      </c>
      <c r="B5446" t="s">
        <v>176</v>
      </c>
      <c r="C5446">
        <v>162.56249886006117</v>
      </c>
      <c r="D5446">
        <v>15</v>
      </c>
      <c r="E5446" s="80">
        <v>35535</v>
      </c>
    </row>
    <row r="5447" spans="1:5">
      <c r="A5447">
        <v>10507</v>
      </c>
      <c r="B5447" t="s">
        <v>177</v>
      </c>
      <c r="C5447">
        <v>162.56249886006117</v>
      </c>
      <c r="D5447">
        <v>15</v>
      </c>
      <c r="E5447" s="80">
        <v>35535</v>
      </c>
    </row>
    <row r="5448" spans="1:5">
      <c r="A5448">
        <v>10507</v>
      </c>
      <c r="B5448" t="s">
        <v>178</v>
      </c>
      <c r="C5448">
        <v>162.56249886006117</v>
      </c>
      <c r="D5448">
        <v>15</v>
      </c>
      <c r="E5448" s="80">
        <v>35535</v>
      </c>
    </row>
    <row r="5449" spans="1:5">
      <c r="A5449">
        <v>10507</v>
      </c>
      <c r="B5449" t="s">
        <v>179</v>
      </c>
      <c r="C5449">
        <v>162.56249886006117</v>
      </c>
      <c r="D5449">
        <v>15</v>
      </c>
      <c r="E5449" s="80">
        <v>35535</v>
      </c>
    </row>
    <row r="5450" spans="1:5">
      <c r="A5450">
        <v>10508</v>
      </c>
      <c r="B5450" t="s">
        <v>172</v>
      </c>
      <c r="C5450">
        <v>60</v>
      </c>
      <c r="D5450">
        <v>10</v>
      </c>
      <c r="E5450" s="80">
        <v>35536</v>
      </c>
    </row>
    <row r="5451" spans="1:5">
      <c r="A5451">
        <v>10508</v>
      </c>
      <c r="B5451" t="s">
        <v>173</v>
      </c>
      <c r="C5451">
        <v>60</v>
      </c>
      <c r="D5451">
        <v>10</v>
      </c>
      <c r="E5451" s="80">
        <v>35536</v>
      </c>
    </row>
    <row r="5452" spans="1:5">
      <c r="A5452">
        <v>10508</v>
      </c>
      <c r="B5452" t="s">
        <v>174</v>
      </c>
      <c r="C5452">
        <v>60</v>
      </c>
      <c r="D5452">
        <v>10</v>
      </c>
      <c r="E5452" s="80">
        <v>35536</v>
      </c>
    </row>
    <row r="5453" spans="1:5">
      <c r="A5453">
        <v>10508</v>
      </c>
      <c r="B5453" t="s">
        <v>175</v>
      </c>
      <c r="C5453">
        <v>60</v>
      </c>
      <c r="D5453">
        <v>10</v>
      </c>
      <c r="E5453" s="80">
        <v>35536</v>
      </c>
    </row>
    <row r="5454" spans="1:5">
      <c r="A5454">
        <v>10508</v>
      </c>
      <c r="B5454" t="s">
        <v>176</v>
      </c>
      <c r="C5454">
        <v>60</v>
      </c>
      <c r="D5454">
        <v>10</v>
      </c>
      <c r="E5454" s="80">
        <v>35536</v>
      </c>
    </row>
    <row r="5455" spans="1:5">
      <c r="A5455">
        <v>10508</v>
      </c>
      <c r="B5455" t="s">
        <v>177</v>
      </c>
      <c r="C5455">
        <v>60</v>
      </c>
      <c r="D5455">
        <v>10</v>
      </c>
      <c r="E5455" s="80">
        <v>35536</v>
      </c>
    </row>
    <row r="5456" spans="1:5">
      <c r="A5456">
        <v>10508</v>
      </c>
      <c r="B5456" t="s">
        <v>178</v>
      </c>
      <c r="C5456">
        <v>60</v>
      </c>
      <c r="D5456">
        <v>10</v>
      </c>
      <c r="E5456" s="80">
        <v>35536</v>
      </c>
    </row>
    <row r="5457" spans="1:5">
      <c r="A5457">
        <v>10508</v>
      </c>
      <c r="B5457" t="s">
        <v>179</v>
      </c>
      <c r="C5457">
        <v>60</v>
      </c>
      <c r="D5457">
        <v>10</v>
      </c>
      <c r="E5457" s="80">
        <v>35536</v>
      </c>
    </row>
    <row r="5458" spans="1:5">
      <c r="A5458">
        <v>10508</v>
      </c>
      <c r="B5458" t="s">
        <v>172</v>
      </c>
      <c r="C5458">
        <v>180</v>
      </c>
      <c r="D5458">
        <v>10</v>
      </c>
      <c r="E5458" s="80">
        <v>35536</v>
      </c>
    </row>
    <row r="5459" spans="1:5">
      <c r="A5459">
        <v>10508</v>
      </c>
      <c r="B5459" t="s">
        <v>173</v>
      </c>
      <c r="C5459">
        <v>180</v>
      </c>
      <c r="D5459">
        <v>10</v>
      </c>
      <c r="E5459" s="80">
        <v>35536</v>
      </c>
    </row>
    <row r="5460" spans="1:5">
      <c r="A5460">
        <v>10508</v>
      </c>
      <c r="B5460" t="s">
        <v>174</v>
      </c>
      <c r="C5460">
        <v>180</v>
      </c>
      <c r="D5460">
        <v>10</v>
      </c>
      <c r="E5460" s="80">
        <v>35536</v>
      </c>
    </row>
    <row r="5461" spans="1:5">
      <c r="A5461">
        <v>10508</v>
      </c>
      <c r="B5461" t="s">
        <v>175</v>
      </c>
      <c r="C5461">
        <v>180</v>
      </c>
      <c r="D5461">
        <v>10</v>
      </c>
      <c r="E5461" s="80">
        <v>35536</v>
      </c>
    </row>
    <row r="5462" spans="1:5">
      <c r="A5462">
        <v>10508</v>
      </c>
      <c r="B5462" t="s">
        <v>176</v>
      </c>
      <c r="C5462">
        <v>180</v>
      </c>
      <c r="D5462">
        <v>10</v>
      </c>
      <c r="E5462" s="80">
        <v>35536</v>
      </c>
    </row>
    <row r="5463" spans="1:5">
      <c r="A5463">
        <v>10508</v>
      </c>
      <c r="B5463" t="s">
        <v>177</v>
      </c>
      <c r="C5463">
        <v>180</v>
      </c>
      <c r="D5463">
        <v>10</v>
      </c>
      <c r="E5463" s="80">
        <v>35536</v>
      </c>
    </row>
    <row r="5464" spans="1:5">
      <c r="A5464">
        <v>10508</v>
      </c>
      <c r="B5464" t="s">
        <v>178</v>
      </c>
      <c r="C5464">
        <v>180</v>
      </c>
      <c r="D5464">
        <v>10</v>
      </c>
      <c r="E5464" s="80">
        <v>35536</v>
      </c>
    </row>
    <row r="5465" spans="1:5">
      <c r="A5465">
        <v>10508</v>
      </c>
      <c r="B5465" t="s">
        <v>179</v>
      </c>
      <c r="C5465">
        <v>180</v>
      </c>
      <c r="D5465">
        <v>10</v>
      </c>
      <c r="E5465" s="80">
        <v>35536</v>
      </c>
    </row>
    <row r="5466" spans="1:5">
      <c r="A5466">
        <v>10509</v>
      </c>
      <c r="B5466" t="s">
        <v>172</v>
      </c>
      <c r="C5466">
        <v>136.80000000000001</v>
      </c>
      <c r="D5466">
        <v>3</v>
      </c>
      <c r="E5466" s="80">
        <v>35537</v>
      </c>
    </row>
    <row r="5467" spans="1:5">
      <c r="A5467">
        <v>10509</v>
      </c>
      <c r="B5467" t="s">
        <v>173</v>
      </c>
      <c r="C5467">
        <v>136.80000000000001</v>
      </c>
      <c r="D5467">
        <v>3</v>
      </c>
      <c r="E5467" s="80">
        <v>35537</v>
      </c>
    </row>
    <row r="5468" spans="1:5">
      <c r="A5468">
        <v>10509</v>
      </c>
      <c r="B5468" t="s">
        <v>174</v>
      </c>
      <c r="C5468">
        <v>136.80000000000001</v>
      </c>
      <c r="D5468">
        <v>3</v>
      </c>
      <c r="E5468" s="80">
        <v>35537</v>
      </c>
    </row>
    <row r="5469" spans="1:5">
      <c r="A5469">
        <v>10509</v>
      </c>
      <c r="B5469" t="s">
        <v>175</v>
      </c>
      <c r="C5469">
        <v>136.80000000000001</v>
      </c>
      <c r="D5469">
        <v>3</v>
      </c>
      <c r="E5469" s="80">
        <v>35537</v>
      </c>
    </row>
    <row r="5470" spans="1:5">
      <c r="A5470">
        <v>10509</v>
      </c>
      <c r="B5470" t="s">
        <v>176</v>
      </c>
      <c r="C5470">
        <v>136.80000000000001</v>
      </c>
      <c r="D5470">
        <v>3</v>
      </c>
      <c r="E5470" s="80">
        <v>35537</v>
      </c>
    </row>
    <row r="5471" spans="1:5">
      <c r="A5471">
        <v>10509</v>
      </c>
      <c r="B5471" t="s">
        <v>177</v>
      </c>
      <c r="C5471">
        <v>136.80000000000001</v>
      </c>
      <c r="D5471">
        <v>3</v>
      </c>
      <c r="E5471" s="80">
        <v>35537</v>
      </c>
    </row>
    <row r="5472" spans="1:5">
      <c r="A5472">
        <v>10509</v>
      </c>
      <c r="B5472" t="s">
        <v>178</v>
      </c>
      <c r="C5472">
        <v>136.80000000000001</v>
      </c>
      <c r="D5472">
        <v>3</v>
      </c>
      <c r="E5472" s="80">
        <v>35537</v>
      </c>
    </row>
    <row r="5473" spans="1:5">
      <c r="A5473">
        <v>10509</v>
      </c>
      <c r="B5473" t="s">
        <v>179</v>
      </c>
      <c r="C5473">
        <v>136.80000000000001</v>
      </c>
      <c r="D5473">
        <v>3</v>
      </c>
      <c r="E5473" s="80">
        <v>35537</v>
      </c>
    </row>
    <row r="5474" spans="1:5">
      <c r="A5474">
        <v>10510</v>
      </c>
      <c r="B5474" t="s">
        <v>172</v>
      </c>
      <c r="C5474">
        <v>4456.4399999999996</v>
      </c>
      <c r="D5474">
        <v>36</v>
      </c>
      <c r="E5474" s="80">
        <v>35538</v>
      </c>
    </row>
    <row r="5475" spans="1:5">
      <c r="A5475">
        <v>10510</v>
      </c>
      <c r="B5475" t="s">
        <v>173</v>
      </c>
      <c r="C5475">
        <v>4456.4399999999996</v>
      </c>
      <c r="D5475">
        <v>36</v>
      </c>
      <c r="E5475" s="80">
        <v>35538</v>
      </c>
    </row>
    <row r="5476" spans="1:5">
      <c r="A5476">
        <v>10510</v>
      </c>
      <c r="B5476" t="s">
        <v>174</v>
      </c>
      <c r="C5476">
        <v>4456.4399999999996</v>
      </c>
      <c r="D5476">
        <v>36</v>
      </c>
      <c r="E5476" s="80">
        <v>35538</v>
      </c>
    </row>
    <row r="5477" spans="1:5">
      <c r="A5477">
        <v>10510</v>
      </c>
      <c r="B5477" t="s">
        <v>175</v>
      </c>
      <c r="C5477">
        <v>4456.4399999999996</v>
      </c>
      <c r="D5477">
        <v>36</v>
      </c>
      <c r="E5477" s="80">
        <v>35538</v>
      </c>
    </row>
    <row r="5478" spans="1:5">
      <c r="A5478">
        <v>10510</v>
      </c>
      <c r="B5478" t="s">
        <v>176</v>
      </c>
      <c r="C5478">
        <v>4456.4399999999996</v>
      </c>
      <c r="D5478">
        <v>36</v>
      </c>
      <c r="E5478" s="80">
        <v>35538</v>
      </c>
    </row>
    <row r="5479" spans="1:5">
      <c r="A5479">
        <v>10510</v>
      </c>
      <c r="B5479" t="s">
        <v>177</v>
      </c>
      <c r="C5479">
        <v>4456.4399999999996</v>
      </c>
      <c r="D5479">
        <v>36</v>
      </c>
      <c r="E5479" s="80">
        <v>35538</v>
      </c>
    </row>
    <row r="5480" spans="1:5">
      <c r="A5480">
        <v>10510</v>
      </c>
      <c r="B5480" t="s">
        <v>178</v>
      </c>
      <c r="C5480">
        <v>4456.4399999999996</v>
      </c>
      <c r="D5480">
        <v>36</v>
      </c>
      <c r="E5480" s="80">
        <v>35538</v>
      </c>
    </row>
    <row r="5481" spans="1:5">
      <c r="A5481">
        <v>10510</v>
      </c>
      <c r="B5481" t="s">
        <v>179</v>
      </c>
      <c r="C5481">
        <v>4456.4399999999996</v>
      </c>
      <c r="D5481">
        <v>36</v>
      </c>
      <c r="E5481" s="80">
        <v>35538</v>
      </c>
    </row>
    <row r="5482" spans="1:5">
      <c r="A5482">
        <v>10510</v>
      </c>
      <c r="B5482" t="s">
        <v>172</v>
      </c>
      <c r="C5482">
        <v>251.0999995842576</v>
      </c>
      <c r="D5482">
        <v>36</v>
      </c>
      <c r="E5482" s="80">
        <v>35538</v>
      </c>
    </row>
    <row r="5483" spans="1:5">
      <c r="A5483">
        <v>10510</v>
      </c>
      <c r="B5483" t="s">
        <v>173</v>
      </c>
      <c r="C5483">
        <v>251.0999995842576</v>
      </c>
      <c r="D5483">
        <v>36</v>
      </c>
      <c r="E5483" s="80">
        <v>35538</v>
      </c>
    </row>
    <row r="5484" spans="1:5">
      <c r="A5484">
        <v>10510</v>
      </c>
      <c r="B5484" t="s">
        <v>174</v>
      </c>
      <c r="C5484">
        <v>251.0999995842576</v>
      </c>
      <c r="D5484">
        <v>36</v>
      </c>
      <c r="E5484" s="80">
        <v>35538</v>
      </c>
    </row>
    <row r="5485" spans="1:5">
      <c r="A5485">
        <v>10510</v>
      </c>
      <c r="B5485" t="s">
        <v>175</v>
      </c>
      <c r="C5485">
        <v>251.0999995842576</v>
      </c>
      <c r="D5485">
        <v>36</v>
      </c>
      <c r="E5485" s="80">
        <v>35538</v>
      </c>
    </row>
    <row r="5486" spans="1:5">
      <c r="A5486">
        <v>10510</v>
      </c>
      <c r="B5486" t="s">
        <v>176</v>
      </c>
      <c r="C5486">
        <v>251.0999995842576</v>
      </c>
      <c r="D5486">
        <v>36</v>
      </c>
      <c r="E5486" s="80">
        <v>35538</v>
      </c>
    </row>
    <row r="5487" spans="1:5">
      <c r="A5487">
        <v>10510</v>
      </c>
      <c r="B5487" t="s">
        <v>177</v>
      </c>
      <c r="C5487">
        <v>251.0999995842576</v>
      </c>
      <c r="D5487">
        <v>36</v>
      </c>
      <c r="E5487" s="80">
        <v>35538</v>
      </c>
    </row>
    <row r="5488" spans="1:5">
      <c r="A5488">
        <v>10510</v>
      </c>
      <c r="B5488" t="s">
        <v>178</v>
      </c>
      <c r="C5488">
        <v>251.0999995842576</v>
      </c>
      <c r="D5488">
        <v>36</v>
      </c>
      <c r="E5488" s="80">
        <v>35538</v>
      </c>
    </row>
    <row r="5489" spans="1:5">
      <c r="A5489">
        <v>10510</v>
      </c>
      <c r="B5489" t="s">
        <v>179</v>
      </c>
      <c r="C5489">
        <v>251.0999995842576</v>
      </c>
      <c r="D5489">
        <v>36</v>
      </c>
      <c r="E5489" s="80">
        <v>35538</v>
      </c>
    </row>
    <row r="5490" spans="1:5">
      <c r="A5490">
        <v>10511</v>
      </c>
      <c r="B5490" t="s">
        <v>172</v>
      </c>
      <c r="C5490">
        <v>934.99999344348907</v>
      </c>
      <c r="D5490">
        <v>50</v>
      </c>
      <c r="E5490" s="80">
        <v>35538</v>
      </c>
    </row>
    <row r="5491" spans="1:5">
      <c r="A5491">
        <v>10511</v>
      </c>
      <c r="B5491" t="s">
        <v>173</v>
      </c>
      <c r="C5491">
        <v>934.99999344348907</v>
      </c>
      <c r="D5491">
        <v>50</v>
      </c>
      <c r="E5491" s="80">
        <v>35538</v>
      </c>
    </row>
    <row r="5492" spans="1:5">
      <c r="A5492">
        <v>10511</v>
      </c>
      <c r="B5492" t="s">
        <v>174</v>
      </c>
      <c r="C5492">
        <v>934.99999344348907</v>
      </c>
      <c r="D5492">
        <v>50</v>
      </c>
      <c r="E5492" s="80">
        <v>35538</v>
      </c>
    </row>
    <row r="5493" spans="1:5">
      <c r="A5493">
        <v>10511</v>
      </c>
      <c r="B5493" t="s">
        <v>175</v>
      </c>
      <c r="C5493">
        <v>934.99999344348907</v>
      </c>
      <c r="D5493">
        <v>50</v>
      </c>
      <c r="E5493" s="80">
        <v>35538</v>
      </c>
    </row>
    <row r="5494" spans="1:5">
      <c r="A5494">
        <v>10511</v>
      </c>
      <c r="B5494" t="s">
        <v>176</v>
      </c>
      <c r="C5494">
        <v>934.99999344348907</v>
      </c>
      <c r="D5494">
        <v>50</v>
      </c>
      <c r="E5494" s="80">
        <v>35538</v>
      </c>
    </row>
    <row r="5495" spans="1:5">
      <c r="A5495">
        <v>10511</v>
      </c>
      <c r="B5495" t="s">
        <v>177</v>
      </c>
      <c r="C5495">
        <v>934.99999344348907</v>
      </c>
      <c r="D5495">
        <v>50</v>
      </c>
      <c r="E5495" s="80">
        <v>35538</v>
      </c>
    </row>
    <row r="5496" spans="1:5">
      <c r="A5496">
        <v>10511</v>
      </c>
      <c r="B5496" t="s">
        <v>178</v>
      </c>
      <c r="C5496">
        <v>934.99999344348907</v>
      </c>
      <c r="D5496">
        <v>50</v>
      </c>
      <c r="E5496" s="80">
        <v>35538</v>
      </c>
    </row>
    <row r="5497" spans="1:5">
      <c r="A5497">
        <v>10511</v>
      </c>
      <c r="B5497" t="s">
        <v>179</v>
      </c>
      <c r="C5497">
        <v>934.99999344348907</v>
      </c>
      <c r="D5497">
        <v>50</v>
      </c>
      <c r="E5497" s="80">
        <v>35538</v>
      </c>
    </row>
    <row r="5498" spans="1:5">
      <c r="A5498">
        <v>10511</v>
      </c>
      <c r="B5498" t="s">
        <v>172</v>
      </c>
      <c r="C5498">
        <v>1274.9999910593033</v>
      </c>
      <c r="D5498">
        <v>50</v>
      </c>
      <c r="E5498" s="80">
        <v>35538</v>
      </c>
    </row>
    <row r="5499" spans="1:5">
      <c r="A5499">
        <v>10511</v>
      </c>
      <c r="B5499" t="s">
        <v>173</v>
      </c>
      <c r="C5499">
        <v>1274.9999910593033</v>
      </c>
      <c r="D5499">
        <v>50</v>
      </c>
      <c r="E5499" s="80">
        <v>35538</v>
      </c>
    </row>
    <row r="5500" spans="1:5">
      <c r="A5500">
        <v>10511</v>
      </c>
      <c r="B5500" t="s">
        <v>174</v>
      </c>
      <c r="C5500">
        <v>1274.9999910593033</v>
      </c>
      <c r="D5500">
        <v>50</v>
      </c>
      <c r="E5500" s="80">
        <v>35538</v>
      </c>
    </row>
    <row r="5501" spans="1:5">
      <c r="A5501">
        <v>10511</v>
      </c>
      <c r="B5501" t="s">
        <v>175</v>
      </c>
      <c r="C5501">
        <v>1274.9999910593033</v>
      </c>
      <c r="D5501">
        <v>50</v>
      </c>
      <c r="E5501" s="80">
        <v>35538</v>
      </c>
    </row>
    <row r="5502" spans="1:5">
      <c r="A5502">
        <v>10511</v>
      </c>
      <c r="B5502" t="s">
        <v>176</v>
      </c>
      <c r="C5502">
        <v>1274.9999910593033</v>
      </c>
      <c r="D5502">
        <v>50</v>
      </c>
      <c r="E5502" s="80">
        <v>35538</v>
      </c>
    </row>
    <row r="5503" spans="1:5">
      <c r="A5503">
        <v>10511</v>
      </c>
      <c r="B5503" t="s">
        <v>177</v>
      </c>
      <c r="C5503">
        <v>1274.9999910593033</v>
      </c>
      <c r="D5503">
        <v>50</v>
      </c>
      <c r="E5503" s="80">
        <v>35538</v>
      </c>
    </row>
    <row r="5504" spans="1:5">
      <c r="A5504">
        <v>10511</v>
      </c>
      <c r="B5504" t="s">
        <v>178</v>
      </c>
      <c r="C5504">
        <v>1274.9999910593033</v>
      </c>
      <c r="D5504">
        <v>50</v>
      </c>
      <c r="E5504" s="80">
        <v>35538</v>
      </c>
    </row>
    <row r="5505" spans="1:5">
      <c r="A5505">
        <v>10511</v>
      </c>
      <c r="B5505" t="s">
        <v>179</v>
      </c>
      <c r="C5505">
        <v>1274.9999910593033</v>
      </c>
      <c r="D5505">
        <v>50</v>
      </c>
      <c r="E5505" s="80">
        <v>35538</v>
      </c>
    </row>
    <row r="5506" spans="1:5">
      <c r="A5506">
        <v>10511</v>
      </c>
      <c r="B5506" t="s">
        <v>172</v>
      </c>
      <c r="C5506">
        <v>339.99999761581421</v>
      </c>
      <c r="D5506">
        <v>10</v>
      </c>
      <c r="E5506" s="80">
        <v>35538</v>
      </c>
    </row>
    <row r="5507" spans="1:5">
      <c r="A5507">
        <v>10511</v>
      </c>
      <c r="B5507" t="s">
        <v>173</v>
      </c>
      <c r="C5507">
        <v>339.99999761581421</v>
      </c>
      <c r="D5507">
        <v>10</v>
      </c>
      <c r="E5507" s="80">
        <v>35538</v>
      </c>
    </row>
    <row r="5508" spans="1:5">
      <c r="A5508">
        <v>10511</v>
      </c>
      <c r="B5508" t="s">
        <v>174</v>
      </c>
      <c r="C5508">
        <v>339.99999761581421</v>
      </c>
      <c r="D5508">
        <v>10</v>
      </c>
      <c r="E5508" s="80">
        <v>35538</v>
      </c>
    </row>
    <row r="5509" spans="1:5">
      <c r="A5509">
        <v>10511</v>
      </c>
      <c r="B5509" t="s">
        <v>175</v>
      </c>
      <c r="C5509">
        <v>339.99999761581421</v>
      </c>
      <c r="D5509">
        <v>10</v>
      </c>
      <c r="E5509" s="80">
        <v>35538</v>
      </c>
    </row>
    <row r="5510" spans="1:5">
      <c r="A5510">
        <v>10511</v>
      </c>
      <c r="B5510" t="s">
        <v>176</v>
      </c>
      <c r="C5510">
        <v>339.99999761581421</v>
      </c>
      <c r="D5510">
        <v>10</v>
      </c>
      <c r="E5510" s="80">
        <v>35538</v>
      </c>
    </row>
    <row r="5511" spans="1:5">
      <c r="A5511">
        <v>10511</v>
      </c>
      <c r="B5511" t="s">
        <v>177</v>
      </c>
      <c r="C5511">
        <v>339.99999761581421</v>
      </c>
      <c r="D5511">
        <v>10</v>
      </c>
      <c r="E5511" s="80">
        <v>35538</v>
      </c>
    </row>
    <row r="5512" spans="1:5">
      <c r="A5512">
        <v>10511</v>
      </c>
      <c r="B5512" t="s">
        <v>178</v>
      </c>
      <c r="C5512">
        <v>339.99999761581421</v>
      </c>
      <c r="D5512">
        <v>10</v>
      </c>
      <c r="E5512" s="80">
        <v>35538</v>
      </c>
    </row>
    <row r="5513" spans="1:5">
      <c r="A5513">
        <v>10511</v>
      </c>
      <c r="B5513" t="s">
        <v>179</v>
      </c>
      <c r="C5513">
        <v>339.99999761581421</v>
      </c>
      <c r="D5513">
        <v>10</v>
      </c>
      <c r="E5513" s="80">
        <v>35538</v>
      </c>
    </row>
    <row r="5514" spans="1:5">
      <c r="A5514">
        <v>10512</v>
      </c>
      <c r="B5514" t="s">
        <v>172</v>
      </c>
      <c r="C5514">
        <v>38.249999731779099</v>
      </c>
      <c r="D5514">
        <v>10</v>
      </c>
      <c r="E5514" s="80">
        <v>35541</v>
      </c>
    </row>
    <row r="5515" spans="1:5">
      <c r="A5515">
        <v>10512</v>
      </c>
      <c r="B5515" t="s">
        <v>173</v>
      </c>
      <c r="C5515">
        <v>38.249999731779099</v>
      </c>
      <c r="D5515">
        <v>10</v>
      </c>
      <c r="E5515" s="80">
        <v>35541</v>
      </c>
    </row>
    <row r="5516" spans="1:5">
      <c r="A5516">
        <v>10512</v>
      </c>
      <c r="B5516" t="s">
        <v>174</v>
      </c>
      <c r="C5516">
        <v>38.249999731779099</v>
      </c>
      <c r="D5516">
        <v>10</v>
      </c>
      <c r="E5516" s="80">
        <v>35541</v>
      </c>
    </row>
    <row r="5517" spans="1:5">
      <c r="A5517">
        <v>10512</v>
      </c>
      <c r="B5517" t="s">
        <v>175</v>
      </c>
      <c r="C5517">
        <v>38.249999731779099</v>
      </c>
      <c r="D5517">
        <v>10</v>
      </c>
      <c r="E5517" s="80">
        <v>35541</v>
      </c>
    </row>
    <row r="5518" spans="1:5">
      <c r="A5518">
        <v>10512</v>
      </c>
      <c r="B5518" t="s">
        <v>176</v>
      </c>
      <c r="C5518">
        <v>38.249999731779099</v>
      </c>
      <c r="D5518">
        <v>10</v>
      </c>
      <c r="E5518" s="80">
        <v>35541</v>
      </c>
    </row>
    <row r="5519" spans="1:5">
      <c r="A5519">
        <v>10512</v>
      </c>
      <c r="B5519" t="s">
        <v>177</v>
      </c>
      <c r="C5519">
        <v>38.249999731779099</v>
      </c>
      <c r="D5519">
        <v>10</v>
      </c>
      <c r="E5519" s="80">
        <v>35541</v>
      </c>
    </row>
    <row r="5520" spans="1:5">
      <c r="A5520">
        <v>10512</v>
      </c>
      <c r="B5520" t="s">
        <v>178</v>
      </c>
      <c r="C5520">
        <v>38.249999731779099</v>
      </c>
      <c r="D5520">
        <v>10</v>
      </c>
      <c r="E5520" s="80">
        <v>35541</v>
      </c>
    </row>
    <row r="5521" spans="1:5">
      <c r="A5521">
        <v>10512</v>
      </c>
      <c r="B5521" t="s">
        <v>179</v>
      </c>
      <c r="C5521">
        <v>38.249999731779099</v>
      </c>
      <c r="D5521">
        <v>10</v>
      </c>
      <c r="E5521" s="80">
        <v>35541</v>
      </c>
    </row>
    <row r="5522" spans="1:5">
      <c r="A5522">
        <v>10512</v>
      </c>
      <c r="B5522" t="s">
        <v>172</v>
      </c>
      <c r="C5522">
        <v>91.799999356269836</v>
      </c>
      <c r="D5522">
        <v>9</v>
      </c>
      <c r="E5522" s="80">
        <v>35541</v>
      </c>
    </row>
    <row r="5523" spans="1:5">
      <c r="A5523">
        <v>10512</v>
      </c>
      <c r="B5523" t="s">
        <v>173</v>
      </c>
      <c r="C5523">
        <v>91.799999356269836</v>
      </c>
      <c r="D5523">
        <v>9</v>
      </c>
      <c r="E5523" s="80">
        <v>35541</v>
      </c>
    </row>
    <row r="5524" spans="1:5">
      <c r="A5524">
        <v>10512</v>
      </c>
      <c r="B5524" t="s">
        <v>174</v>
      </c>
      <c r="C5524">
        <v>91.799999356269836</v>
      </c>
      <c r="D5524">
        <v>9</v>
      </c>
      <c r="E5524" s="80">
        <v>35541</v>
      </c>
    </row>
    <row r="5525" spans="1:5">
      <c r="A5525">
        <v>10512</v>
      </c>
      <c r="B5525" t="s">
        <v>175</v>
      </c>
      <c r="C5525">
        <v>91.799999356269836</v>
      </c>
      <c r="D5525">
        <v>9</v>
      </c>
      <c r="E5525" s="80">
        <v>35541</v>
      </c>
    </row>
    <row r="5526" spans="1:5">
      <c r="A5526">
        <v>10512</v>
      </c>
      <c r="B5526" t="s">
        <v>176</v>
      </c>
      <c r="C5526">
        <v>91.799999356269836</v>
      </c>
      <c r="D5526">
        <v>9</v>
      </c>
      <c r="E5526" s="80">
        <v>35541</v>
      </c>
    </row>
    <row r="5527" spans="1:5">
      <c r="A5527">
        <v>10512</v>
      </c>
      <c r="B5527" t="s">
        <v>177</v>
      </c>
      <c r="C5527">
        <v>91.799999356269836</v>
      </c>
      <c r="D5527">
        <v>9</v>
      </c>
      <c r="E5527" s="80">
        <v>35541</v>
      </c>
    </row>
    <row r="5528" spans="1:5">
      <c r="A5528">
        <v>10512</v>
      </c>
      <c r="B5528" t="s">
        <v>178</v>
      </c>
      <c r="C5528">
        <v>91.799999356269836</v>
      </c>
      <c r="D5528">
        <v>9</v>
      </c>
      <c r="E5528" s="80">
        <v>35541</v>
      </c>
    </row>
    <row r="5529" spans="1:5">
      <c r="A5529">
        <v>10512</v>
      </c>
      <c r="B5529" t="s">
        <v>179</v>
      </c>
      <c r="C5529">
        <v>91.799999356269836</v>
      </c>
      <c r="D5529">
        <v>9</v>
      </c>
      <c r="E5529" s="80">
        <v>35541</v>
      </c>
    </row>
    <row r="5530" spans="1:5">
      <c r="A5530">
        <v>10512</v>
      </c>
      <c r="B5530" t="s">
        <v>172</v>
      </c>
      <c r="C5530">
        <v>48.449999660253525</v>
      </c>
      <c r="D5530">
        <v>6</v>
      </c>
      <c r="E5530" s="80">
        <v>35541</v>
      </c>
    </row>
    <row r="5531" spans="1:5">
      <c r="A5531">
        <v>10512</v>
      </c>
      <c r="B5531" t="s">
        <v>173</v>
      </c>
      <c r="C5531">
        <v>48.449999660253525</v>
      </c>
      <c r="D5531">
        <v>6</v>
      </c>
      <c r="E5531" s="80">
        <v>35541</v>
      </c>
    </row>
    <row r="5532" spans="1:5">
      <c r="A5532">
        <v>10512</v>
      </c>
      <c r="B5532" t="s">
        <v>174</v>
      </c>
      <c r="C5532">
        <v>48.449999660253525</v>
      </c>
      <c r="D5532">
        <v>6</v>
      </c>
      <c r="E5532" s="80">
        <v>35541</v>
      </c>
    </row>
    <row r="5533" spans="1:5">
      <c r="A5533">
        <v>10512</v>
      </c>
      <c r="B5533" t="s">
        <v>175</v>
      </c>
      <c r="C5533">
        <v>48.449999660253525</v>
      </c>
      <c r="D5533">
        <v>6</v>
      </c>
      <c r="E5533" s="80">
        <v>35541</v>
      </c>
    </row>
    <row r="5534" spans="1:5">
      <c r="A5534">
        <v>10512</v>
      </c>
      <c r="B5534" t="s">
        <v>176</v>
      </c>
      <c r="C5534">
        <v>48.449999660253525</v>
      </c>
      <c r="D5534">
        <v>6</v>
      </c>
      <c r="E5534" s="80">
        <v>35541</v>
      </c>
    </row>
    <row r="5535" spans="1:5">
      <c r="A5535">
        <v>10512</v>
      </c>
      <c r="B5535" t="s">
        <v>177</v>
      </c>
      <c r="C5535">
        <v>48.449999660253525</v>
      </c>
      <c r="D5535">
        <v>6</v>
      </c>
      <c r="E5535" s="80">
        <v>35541</v>
      </c>
    </row>
    <row r="5536" spans="1:5">
      <c r="A5536">
        <v>10512</v>
      </c>
      <c r="B5536" t="s">
        <v>178</v>
      </c>
      <c r="C5536">
        <v>48.449999660253525</v>
      </c>
      <c r="D5536">
        <v>6</v>
      </c>
      <c r="E5536" s="80">
        <v>35541</v>
      </c>
    </row>
    <row r="5537" spans="1:5">
      <c r="A5537">
        <v>10512</v>
      </c>
      <c r="B5537" t="s">
        <v>179</v>
      </c>
      <c r="C5537">
        <v>48.449999660253525</v>
      </c>
      <c r="D5537">
        <v>6</v>
      </c>
      <c r="E5537" s="80">
        <v>35541</v>
      </c>
    </row>
    <row r="5538" spans="1:5">
      <c r="A5538">
        <v>10512</v>
      </c>
      <c r="B5538" t="s">
        <v>172</v>
      </c>
      <c r="C5538">
        <v>346.79999756813049</v>
      </c>
      <c r="D5538">
        <v>12</v>
      </c>
      <c r="E5538" s="80">
        <v>35541</v>
      </c>
    </row>
    <row r="5539" spans="1:5">
      <c r="A5539">
        <v>10512</v>
      </c>
      <c r="B5539" t="s">
        <v>173</v>
      </c>
      <c r="C5539">
        <v>346.79999756813049</v>
      </c>
      <c r="D5539">
        <v>12</v>
      </c>
      <c r="E5539" s="80">
        <v>35541</v>
      </c>
    </row>
    <row r="5540" spans="1:5">
      <c r="A5540">
        <v>10512</v>
      </c>
      <c r="B5540" t="s">
        <v>174</v>
      </c>
      <c r="C5540">
        <v>346.79999756813049</v>
      </c>
      <c r="D5540">
        <v>12</v>
      </c>
      <c r="E5540" s="80">
        <v>35541</v>
      </c>
    </row>
    <row r="5541" spans="1:5">
      <c r="A5541">
        <v>10512</v>
      </c>
      <c r="B5541" t="s">
        <v>175</v>
      </c>
      <c r="C5541">
        <v>346.79999756813049</v>
      </c>
      <c r="D5541">
        <v>12</v>
      </c>
      <c r="E5541" s="80">
        <v>35541</v>
      </c>
    </row>
    <row r="5542" spans="1:5">
      <c r="A5542">
        <v>10512</v>
      </c>
      <c r="B5542" t="s">
        <v>176</v>
      </c>
      <c r="C5542">
        <v>346.79999756813049</v>
      </c>
      <c r="D5542">
        <v>12</v>
      </c>
      <c r="E5542" s="80">
        <v>35541</v>
      </c>
    </row>
    <row r="5543" spans="1:5">
      <c r="A5543">
        <v>10512</v>
      </c>
      <c r="B5543" t="s">
        <v>177</v>
      </c>
      <c r="C5543">
        <v>346.79999756813049</v>
      </c>
      <c r="D5543">
        <v>12</v>
      </c>
      <c r="E5543" s="80">
        <v>35541</v>
      </c>
    </row>
    <row r="5544" spans="1:5">
      <c r="A5544">
        <v>10512</v>
      </c>
      <c r="B5544" t="s">
        <v>178</v>
      </c>
      <c r="C5544">
        <v>346.79999756813049</v>
      </c>
      <c r="D5544">
        <v>12</v>
      </c>
      <c r="E5544" s="80">
        <v>35541</v>
      </c>
    </row>
    <row r="5545" spans="1:5">
      <c r="A5545">
        <v>10512</v>
      </c>
      <c r="B5545" t="s">
        <v>179</v>
      </c>
      <c r="C5545">
        <v>346.79999756813049</v>
      </c>
      <c r="D5545">
        <v>12</v>
      </c>
      <c r="E5545" s="80">
        <v>35541</v>
      </c>
    </row>
    <row r="5546" spans="1:5">
      <c r="A5546">
        <v>10513</v>
      </c>
      <c r="B5546" t="s">
        <v>172</v>
      </c>
      <c r="C5546">
        <v>319.9999988079071</v>
      </c>
      <c r="D5546">
        <v>40</v>
      </c>
      <c r="E5546" s="80">
        <v>35542</v>
      </c>
    </row>
    <row r="5547" spans="1:5">
      <c r="A5547">
        <v>10513</v>
      </c>
      <c r="B5547" t="s">
        <v>173</v>
      </c>
      <c r="C5547">
        <v>319.9999988079071</v>
      </c>
      <c r="D5547">
        <v>40</v>
      </c>
      <c r="E5547" s="80">
        <v>35542</v>
      </c>
    </row>
    <row r="5548" spans="1:5">
      <c r="A5548">
        <v>10513</v>
      </c>
      <c r="B5548" t="s">
        <v>174</v>
      </c>
      <c r="C5548">
        <v>319.9999988079071</v>
      </c>
      <c r="D5548">
        <v>40</v>
      </c>
      <c r="E5548" s="80">
        <v>35542</v>
      </c>
    </row>
    <row r="5549" spans="1:5">
      <c r="A5549">
        <v>10513</v>
      </c>
      <c r="B5549" t="s">
        <v>175</v>
      </c>
      <c r="C5549">
        <v>319.9999988079071</v>
      </c>
      <c r="D5549">
        <v>40</v>
      </c>
      <c r="E5549" s="80">
        <v>35542</v>
      </c>
    </row>
    <row r="5550" spans="1:5">
      <c r="A5550">
        <v>10513</v>
      </c>
      <c r="B5550" t="s">
        <v>176</v>
      </c>
      <c r="C5550">
        <v>319.9999988079071</v>
      </c>
      <c r="D5550">
        <v>40</v>
      </c>
      <c r="E5550" s="80">
        <v>35542</v>
      </c>
    </row>
    <row r="5551" spans="1:5">
      <c r="A5551">
        <v>10513</v>
      </c>
      <c r="B5551" t="s">
        <v>177</v>
      </c>
      <c r="C5551">
        <v>319.9999988079071</v>
      </c>
      <c r="D5551">
        <v>40</v>
      </c>
      <c r="E5551" s="80">
        <v>35542</v>
      </c>
    </row>
    <row r="5552" spans="1:5">
      <c r="A5552">
        <v>10513</v>
      </c>
      <c r="B5552" t="s">
        <v>178</v>
      </c>
      <c r="C5552">
        <v>319.9999988079071</v>
      </c>
      <c r="D5552">
        <v>40</v>
      </c>
      <c r="E5552" s="80">
        <v>35542</v>
      </c>
    </row>
    <row r="5553" spans="1:5">
      <c r="A5553">
        <v>10513</v>
      </c>
      <c r="B5553" t="s">
        <v>179</v>
      </c>
      <c r="C5553">
        <v>319.9999988079071</v>
      </c>
      <c r="D5553">
        <v>40</v>
      </c>
      <c r="E5553" s="80">
        <v>35542</v>
      </c>
    </row>
    <row r="5554" spans="1:5">
      <c r="A5554">
        <v>10513</v>
      </c>
      <c r="B5554" t="s">
        <v>172</v>
      </c>
      <c r="C5554">
        <v>1279.9999952316284</v>
      </c>
      <c r="D5554">
        <v>50</v>
      </c>
      <c r="E5554" s="80">
        <v>35542</v>
      </c>
    </row>
    <row r="5555" spans="1:5">
      <c r="A5555">
        <v>10513</v>
      </c>
      <c r="B5555" t="s">
        <v>173</v>
      </c>
      <c r="C5555">
        <v>1279.9999952316284</v>
      </c>
      <c r="D5555">
        <v>50</v>
      </c>
      <c r="E5555" s="80">
        <v>35542</v>
      </c>
    </row>
    <row r="5556" spans="1:5">
      <c r="A5556">
        <v>10513</v>
      </c>
      <c r="B5556" t="s">
        <v>174</v>
      </c>
      <c r="C5556">
        <v>1279.9999952316284</v>
      </c>
      <c r="D5556">
        <v>50</v>
      </c>
      <c r="E5556" s="80">
        <v>35542</v>
      </c>
    </row>
    <row r="5557" spans="1:5">
      <c r="A5557">
        <v>10513</v>
      </c>
      <c r="B5557" t="s">
        <v>175</v>
      </c>
      <c r="C5557">
        <v>1279.9999952316284</v>
      </c>
      <c r="D5557">
        <v>50</v>
      </c>
      <c r="E5557" s="80">
        <v>35542</v>
      </c>
    </row>
    <row r="5558" spans="1:5">
      <c r="A5558">
        <v>10513</v>
      </c>
      <c r="B5558" t="s">
        <v>176</v>
      </c>
      <c r="C5558">
        <v>1279.9999952316284</v>
      </c>
      <c r="D5558">
        <v>50</v>
      </c>
      <c r="E5558" s="80">
        <v>35542</v>
      </c>
    </row>
    <row r="5559" spans="1:5">
      <c r="A5559">
        <v>10513</v>
      </c>
      <c r="B5559" t="s">
        <v>177</v>
      </c>
      <c r="C5559">
        <v>1279.9999952316284</v>
      </c>
      <c r="D5559">
        <v>50</v>
      </c>
      <c r="E5559" s="80">
        <v>35542</v>
      </c>
    </row>
    <row r="5560" spans="1:5">
      <c r="A5560">
        <v>10513</v>
      </c>
      <c r="B5560" t="s">
        <v>178</v>
      </c>
      <c r="C5560">
        <v>1279.9999952316284</v>
      </c>
      <c r="D5560">
        <v>50</v>
      </c>
      <c r="E5560" s="80">
        <v>35542</v>
      </c>
    </row>
    <row r="5561" spans="1:5">
      <c r="A5561">
        <v>10513</v>
      </c>
      <c r="B5561" t="s">
        <v>179</v>
      </c>
      <c r="C5561">
        <v>1279.9999952316284</v>
      </c>
      <c r="D5561">
        <v>50</v>
      </c>
      <c r="E5561" s="80">
        <v>35542</v>
      </c>
    </row>
    <row r="5562" spans="1:5">
      <c r="A5562">
        <v>10513</v>
      </c>
      <c r="B5562" t="s">
        <v>172</v>
      </c>
      <c r="C5562">
        <v>341.99999872595072</v>
      </c>
      <c r="D5562">
        <v>15</v>
      </c>
      <c r="E5562" s="80">
        <v>35542</v>
      </c>
    </row>
    <row r="5563" spans="1:5">
      <c r="A5563">
        <v>10513</v>
      </c>
      <c r="B5563" t="s">
        <v>173</v>
      </c>
      <c r="C5563">
        <v>341.99999872595072</v>
      </c>
      <c r="D5563">
        <v>15</v>
      </c>
      <c r="E5563" s="80">
        <v>35542</v>
      </c>
    </row>
    <row r="5564" spans="1:5">
      <c r="A5564">
        <v>10513</v>
      </c>
      <c r="B5564" t="s">
        <v>174</v>
      </c>
      <c r="C5564">
        <v>341.99999872595072</v>
      </c>
      <c r="D5564">
        <v>15</v>
      </c>
      <c r="E5564" s="80">
        <v>35542</v>
      </c>
    </row>
    <row r="5565" spans="1:5">
      <c r="A5565">
        <v>10513</v>
      </c>
      <c r="B5565" t="s">
        <v>175</v>
      </c>
      <c r="C5565">
        <v>341.99999872595072</v>
      </c>
      <c r="D5565">
        <v>15</v>
      </c>
      <c r="E5565" s="80">
        <v>35542</v>
      </c>
    </row>
    <row r="5566" spans="1:5">
      <c r="A5566">
        <v>10513</v>
      </c>
      <c r="B5566" t="s">
        <v>176</v>
      </c>
      <c r="C5566">
        <v>341.99999872595072</v>
      </c>
      <c r="D5566">
        <v>15</v>
      </c>
      <c r="E5566" s="80">
        <v>35542</v>
      </c>
    </row>
    <row r="5567" spans="1:5">
      <c r="A5567">
        <v>10513</v>
      </c>
      <c r="B5567" t="s">
        <v>177</v>
      </c>
      <c r="C5567">
        <v>341.99999872595072</v>
      </c>
      <c r="D5567">
        <v>15</v>
      </c>
      <c r="E5567" s="80">
        <v>35542</v>
      </c>
    </row>
    <row r="5568" spans="1:5">
      <c r="A5568">
        <v>10513</v>
      </c>
      <c r="B5568" t="s">
        <v>178</v>
      </c>
      <c r="C5568">
        <v>341.99999872595072</v>
      </c>
      <c r="D5568">
        <v>15</v>
      </c>
      <c r="E5568" s="80">
        <v>35542</v>
      </c>
    </row>
    <row r="5569" spans="1:5">
      <c r="A5569">
        <v>10513</v>
      </c>
      <c r="B5569" t="s">
        <v>179</v>
      </c>
      <c r="C5569">
        <v>341.99999872595072</v>
      </c>
      <c r="D5569">
        <v>15</v>
      </c>
      <c r="E5569" s="80">
        <v>35542</v>
      </c>
    </row>
    <row r="5570" spans="1:5">
      <c r="A5570">
        <v>10514</v>
      </c>
      <c r="B5570" t="s">
        <v>172</v>
      </c>
      <c r="C5570">
        <v>3159</v>
      </c>
      <c r="D5570">
        <v>39</v>
      </c>
      <c r="E5570" s="80">
        <v>35542</v>
      </c>
    </row>
    <row r="5571" spans="1:5">
      <c r="A5571">
        <v>10514</v>
      </c>
      <c r="B5571" t="s">
        <v>173</v>
      </c>
      <c r="C5571">
        <v>3159</v>
      </c>
      <c r="D5571">
        <v>39</v>
      </c>
      <c r="E5571" s="80">
        <v>35542</v>
      </c>
    </row>
    <row r="5572" spans="1:5">
      <c r="A5572">
        <v>10514</v>
      </c>
      <c r="B5572" t="s">
        <v>174</v>
      </c>
      <c r="C5572">
        <v>3159</v>
      </c>
      <c r="D5572">
        <v>39</v>
      </c>
      <c r="E5572" s="80">
        <v>35542</v>
      </c>
    </row>
    <row r="5573" spans="1:5">
      <c r="A5573">
        <v>10514</v>
      </c>
      <c r="B5573" t="s">
        <v>175</v>
      </c>
      <c r="C5573">
        <v>3159</v>
      </c>
      <c r="D5573">
        <v>39</v>
      </c>
      <c r="E5573" s="80">
        <v>35542</v>
      </c>
    </row>
    <row r="5574" spans="1:5">
      <c r="A5574">
        <v>10514</v>
      </c>
      <c r="B5574" t="s">
        <v>176</v>
      </c>
      <c r="C5574">
        <v>3159</v>
      </c>
      <c r="D5574">
        <v>39</v>
      </c>
      <c r="E5574" s="80">
        <v>35542</v>
      </c>
    </row>
    <row r="5575" spans="1:5">
      <c r="A5575">
        <v>10514</v>
      </c>
      <c r="B5575" t="s">
        <v>177</v>
      </c>
      <c r="C5575">
        <v>3159</v>
      </c>
      <c r="D5575">
        <v>39</v>
      </c>
      <c r="E5575" s="80">
        <v>35542</v>
      </c>
    </row>
    <row r="5576" spans="1:5">
      <c r="A5576">
        <v>10514</v>
      </c>
      <c r="B5576" t="s">
        <v>178</v>
      </c>
      <c r="C5576">
        <v>3159</v>
      </c>
      <c r="D5576">
        <v>39</v>
      </c>
      <c r="E5576" s="80">
        <v>35542</v>
      </c>
    </row>
    <row r="5577" spans="1:5">
      <c r="A5577">
        <v>10514</v>
      </c>
      <c r="B5577" t="s">
        <v>179</v>
      </c>
      <c r="C5577">
        <v>3159</v>
      </c>
      <c r="D5577">
        <v>39</v>
      </c>
      <c r="E5577" s="80">
        <v>35542</v>
      </c>
    </row>
    <row r="5578" spans="1:5">
      <c r="A5578">
        <v>10514</v>
      </c>
      <c r="B5578" t="s">
        <v>172</v>
      </c>
      <c r="C5578">
        <v>1596</v>
      </c>
      <c r="D5578">
        <v>35</v>
      </c>
      <c r="E5578" s="80">
        <v>35542</v>
      </c>
    </row>
    <row r="5579" spans="1:5">
      <c r="A5579">
        <v>10514</v>
      </c>
      <c r="B5579" t="s">
        <v>173</v>
      </c>
      <c r="C5579">
        <v>1596</v>
      </c>
      <c r="D5579">
        <v>35</v>
      </c>
      <c r="E5579" s="80">
        <v>35542</v>
      </c>
    </row>
    <row r="5580" spans="1:5">
      <c r="A5580">
        <v>10514</v>
      </c>
      <c r="B5580" t="s">
        <v>174</v>
      </c>
      <c r="C5580">
        <v>1596</v>
      </c>
      <c r="D5580">
        <v>35</v>
      </c>
      <c r="E5580" s="80">
        <v>35542</v>
      </c>
    </row>
    <row r="5581" spans="1:5">
      <c r="A5581">
        <v>10514</v>
      </c>
      <c r="B5581" t="s">
        <v>175</v>
      </c>
      <c r="C5581">
        <v>1596</v>
      </c>
      <c r="D5581">
        <v>35</v>
      </c>
      <c r="E5581" s="80">
        <v>35542</v>
      </c>
    </row>
    <row r="5582" spans="1:5">
      <c r="A5582">
        <v>10514</v>
      </c>
      <c r="B5582" t="s">
        <v>176</v>
      </c>
      <c r="C5582">
        <v>1596</v>
      </c>
      <c r="D5582">
        <v>35</v>
      </c>
      <c r="E5582" s="80">
        <v>35542</v>
      </c>
    </row>
    <row r="5583" spans="1:5">
      <c r="A5583">
        <v>10514</v>
      </c>
      <c r="B5583" t="s">
        <v>177</v>
      </c>
      <c r="C5583">
        <v>1596</v>
      </c>
      <c r="D5583">
        <v>35</v>
      </c>
      <c r="E5583" s="80">
        <v>35542</v>
      </c>
    </row>
    <row r="5584" spans="1:5">
      <c r="A5584">
        <v>10514</v>
      </c>
      <c r="B5584" t="s">
        <v>178</v>
      </c>
      <c r="C5584">
        <v>1596</v>
      </c>
      <c r="D5584">
        <v>35</v>
      </c>
      <c r="E5584" s="80">
        <v>35542</v>
      </c>
    </row>
    <row r="5585" spans="1:5">
      <c r="A5585">
        <v>10514</v>
      </c>
      <c r="B5585" t="s">
        <v>179</v>
      </c>
      <c r="C5585">
        <v>1596</v>
      </c>
      <c r="D5585">
        <v>35</v>
      </c>
      <c r="E5585" s="80">
        <v>35542</v>
      </c>
    </row>
    <row r="5586" spans="1:5">
      <c r="A5586">
        <v>10514</v>
      </c>
      <c r="B5586" t="s">
        <v>172</v>
      </c>
      <c r="C5586">
        <v>2660</v>
      </c>
      <c r="D5586">
        <v>70</v>
      </c>
      <c r="E5586" s="80">
        <v>35542</v>
      </c>
    </row>
    <row r="5587" spans="1:5">
      <c r="A5587">
        <v>10514</v>
      </c>
      <c r="B5587" t="s">
        <v>173</v>
      </c>
      <c r="C5587">
        <v>2660</v>
      </c>
      <c r="D5587">
        <v>70</v>
      </c>
      <c r="E5587" s="80">
        <v>35542</v>
      </c>
    </row>
    <row r="5588" spans="1:5">
      <c r="A5588">
        <v>10514</v>
      </c>
      <c r="B5588" t="s">
        <v>174</v>
      </c>
      <c r="C5588">
        <v>2660</v>
      </c>
      <c r="D5588">
        <v>70</v>
      </c>
      <c r="E5588" s="80">
        <v>35542</v>
      </c>
    </row>
    <row r="5589" spans="1:5">
      <c r="A5589">
        <v>10514</v>
      </c>
      <c r="B5589" t="s">
        <v>175</v>
      </c>
      <c r="C5589">
        <v>2660</v>
      </c>
      <c r="D5589">
        <v>70</v>
      </c>
      <c r="E5589" s="80">
        <v>35542</v>
      </c>
    </row>
    <row r="5590" spans="1:5">
      <c r="A5590">
        <v>10514</v>
      </c>
      <c r="B5590" t="s">
        <v>176</v>
      </c>
      <c r="C5590">
        <v>2660</v>
      </c>
      <c r="D5590">
        <v>70</v>
      </c>
      <c r="E5590" s="80">
        <v>35542</v>
      </c>
    </row>
    <row r="5591" spans="1:5">
      <c r="A5591">
        <v>10514</v>
      </c>
      <c r="B5591" t="s">
        <v>177</v>
      </c>
      <c r="C5591">
        <v>2660</v>
      </c>
      <c r="D5591">
        <v>70</v>
      </c>
      <c r="E5591" s="80">
        <v>35542</v>
      </c>
    </row>
    <row r="5592" spans="1:5">
      <c r="A5592">
        <v>10514</v>
      </c>
      <c r="B5592" t="s">
        <v>178</v>
      </c>
      <c r="C5592">
        <v>2660</v>
      </c>
      <c r="D5592">
        <v>70</v>
      </c>
      <c r="E5592" s="80">
        <v>35542</v>
      </c>
    </row>
    <row r="5593" spans="1:5">
      <c r="A5593">
        <v>10514</v>
      </c>
      <c r="B5593" t="s">
        <v>179</v>
      </c>
      <c r="C5593">
        <v>2660</v>
      </c>
      <c r="D5593">
        <v>70</v>
      </c>
      <c r="E5593" s="80">
        <v>35542</v>
      </c>
    </row>
    <row r="5594" spans="1:5">
      <c r="A5594">
        <v>10514</v>
      </c>
      <c r="B5594" t="s">
        <v>172</v>
      </c>
      <c r="C5594">
        <v>820.95</v>
      </c>
      <c r="D5594">
        <v>39</v>
      </c>
      <c r="E5594" s="80">
        <v>35542</v>
      </c>
    </row>
    <row r="5595" spans="1:5">
      <c r="A5595">
        <v>10514</v>
      </c>
      <c r="B5595" t="s">
        <v>173</v>
      </c>
      <c r="C5595">
        <v>820.95</v>
      </c>
      <c r="D5595">
        <v>39</v>
      </c>
      <c r="E5595" s="80">
        <v>35542</v>
      </c>
    </row>
    <row r="5596" spans="1:5">
      <c r="A5596">
        <v>10514</v>
      </c>
      <c r="B5596" t="s">
        <v>174</v>
      </c>
      <c r="C5596">
        <v>820.95</v>
      </c>
      <c r="D5596">
        <v>39</v>
      </c>
      <c r="E5596" s="80">
        <v>35542</v>
      </c>
    </row>
    <row r="5597" spans="1:5">
      <c r="A5597">
        <v>10514</v>
      </c>
      <c r="B5597" t="s">
        <v>175</v>
      </c>
      <c r="C5597">
        <v>820.95</v>
      </c>
      <c r="D5597">
        <v>39</v>
      </c>
      <c r="E5597" s="80">
        <v>35542</v>
      </c>
    </row>
    <row r="5598" spans="1:5">
      <c r="A5598">
        <v>10514</v>
      </c>
      <c r="B5598" t="s">
        <v>176</v>
      </c>
      <c r="C5598">
        <v>820.95</v>
      </c>
      <c r="D5598">
        <v>39</v>
      </c>
      <c r="E5598" s="80">
        <v>35542</v>
      </c>
    </row>
    <row r="5599" spans="1:5">
      <c r="A5599">
        <v>10514</v>
      </c>
      <c r="B5599" t="s">
        <v>177</v>
      </c>
      <c r="C5599">
        <v>820.95</v>
      </c>
      <c r="D5599">
        <v>39</v>
      </c>
      <c r="E5599" s="80">
        <v>35542</v>
      </c>
    </row>
    <row r="5600" spans="1:5">
      <c r="A5600">
        <v>10514</v>
      </c>
      <c r="B5600" t="s">
        <v>178</v>
      </c>
      <c r="C5600">
        <v>820.95</v>
      </c>
      <c r="D5600">
        <v>39</v>
      </c>
      <c r="E5600" s="80">
        <v>35542</v>
      </c>
    </row>
    <row r="5601" spans="1:5">
      <c r="A5601">
        <v>10514</v>
      </c>
      <c r="B5601" t="s">
        <v>179</v>
      </c>
      <c r="C5601">
        <v>820.95</v>
      </c>
      <c r="D5601">
        <v>39</v>
      </c>
      <c r="E5601" s="80">
        <v>35542</v>
      </c>
    </row>
    <row r="5602" spans="1:5">
      <c r="A5602">
        <v>10514</v>
      </c>
      <c r="B5602" t="s">
        <v>172</v>
      </c>
      <c r="C5602">
        <v>387.5</v>
      </c>
      <c r="D5602">
        <v>50</v>
      </c>
      <c r="E5602" s="80">
        <v>35542</v>
      </c>
    </row>
    <row r="5603" spans="1:5">
      <c r="A5603">
        <v>10514</v>
      </c>
      <c r="B5603" t="s">
        <v>173</v>
      </c>
      <c r="C5603">
        <v>387.5</v>
      </c>
      <c r="D5603">
        <v>50</v>
      </c>
      <c r="E5603" s="80">
        <v>35542</v>
      </c>
    </row>
    <row r="5604" spans="1:5">
      <c r="A5604">
        <v>10514</v>
      </c>
      <c r="B5604" t="s">
        <v>174</v>
      </c>
      <c r="C5604">
        <v>387.5</v>
      </c>
      <c r="D5604">
        <v>50</v>
      </c>
      <c r="E5604" s="80">
        <v>35542</v>
      </c>
    </row>
    <row r="5605" spans="1:5">
      <c r="A5605">
        <v>10514</v>
      </c>
      <c r="B5605" t="s">
        <v>175</v>
      </c>
      <c r="C5605">
        <v>387.5</v>
      </c>
      <c r="D5605">
        <v>50</v>
      </c>
      <c r="E5605" s="80">
        <v>35542</v>
      </c>
    </row>
    <row r="5606" spans="1:5">
      <c r="A5606">
        <v>10514</v>
      </c>
      <c r="B5606" t="s">
        <v>176</v>
      </c>
      <c r="C5606">
        <v>387.5</v>
      </c>
      <c r="D5606">
        <v>50</v>
      </c>
      <c r="E5606" s="80">
        <v>35542</v>
      </c>
    </row>
    <row r="5607" spans="1:5">
      <c r="A5607">
        <v>10514</v>
      </c>
      <c r="B5607" t="s">
        <v>177</v>
      </c>
      <c r="C5607">
        <v>387.5</v>
      </c>
      <c r="D5607">
        <v>50</v>
      </c>
      <c r="E5607" s="80">
        <v>35542</v>
      </c>
    </row>
    <row r="5608" spans="1:5">
      <c r="A5608">
        <v>10514</v>
      </c>
      <c r="B5608" t="s">
        <v>178</v>
      </c>
      <c r="C5608">
        <v>387.5</v>
      </c>
      <c r="D5608">
        <v>50</v>
      </c>
      <c r="E5608" s="80">
        <v>35542</v>
      </c>
    </row>
    <row r="5609" spans="1:5">
      <c r="A5609">
        <v>10514</v>
      </c>
      <c r="B5609" t="s">
        <v>179</v>
      </c>
      <c r="C5609">
        <v>387.5</v>
      </c>
      <c r="D5609">
        <v>50</v>
      </c>
      <c r="E5609" s="80">
        <v>35542</v>
      </c>
    </row>
    <row r="5610" spans="1:5">
      <c r="A5610">
        <v>10515</v>
      </c>
      <c r="B5610" t="s">
        <v>172</v>
      </c>
      <c r="C5610">
        <v>1319.1999907493591</v>
      </c>
      <c r="D5610">
        <v>16</v>
      </c>
      <c r="E5610" s="80">
        <v>35543</v>
      </c>
    </row>
    <row r="5611" spans="1:5">
      <c r="A5611">
        <v>10515</v>
      </c>
      <c r="B5611" t="s">
        <v>173</v>
      </c>
      <c r="C5611">
        <v>1319.1999907493591</v>
      </c>
      <c r="D5611">
        <v>16</v>
      </c>
      <c r="E5611" s="80">
        <v>35543</v>
      </c>
    </row>
    <row r="5612" spans="1:5">
      <c r="A5612">
        <v>10515</v>
      </c>
      <c r="B5612" t="s">
        <v>174</v>
      </c>
      <c r="C5612">
        <v>1319.1999907493591</v>
      </c>
      <c r="D5612">
        <v>16</v>
      </c>
      <c r="E5612" s="80">
        <v>35543</v>
      </c>
    </row>
    <row r="5613" spans="1:5">
      <c r="A5613">
        <v>10515</v>
      </c>
      <c r="B5613" t="s">
        <v>175</v>
      </c>
      <c r="C5613">
        <v>1319.1999907493591</v>
      </c>
      <c r="D5613">
        <v>16</v>
      </c>
      <c r="E5613" s="80">
        <v>35543</v>
      </c>
    </row>
    <row r="5614" spans="1:5">
      <c r="A5614">
        <v>10515</v>
      </c>
      <c r="B5614" t="s">
        <v>176</v>
      </c>
      <c r="C5614">
        <v>1319.1999907493591</v>
      </c>
      <c r="D5614">
        <v>16</v>
      </c>
      <c r="E5614" s="80">
        <v>35543</v>
      </c>
    </row>
    <row r="5615" spans="1:5">
      <c r="A5615">
        <v>10515</v>
      </c>
      <c r="B5615" t="s">
        <v>177</v>
      </c>
      <c r="C5615">
        <v>1319.1999907493591</v>
      </c>
      <c r="D5615">
        <v>16</v>
      </c>
      <c r="E5615" s="80">
        <v>35543</v>
      </c>
    </row>
    <row r="5616" spans="1:5">
      <c r="A5616">
        <v>10515</v>
      </c>
      <c r="B5616" t="s">
        <v>178</v>
      </c>
      <c r="C5616">
        <v>1319.1999907493591</v>
      </c>
      <c r="D5616">
        <v>16</v>
      </c>
      <c r="E5616" s="80">
        <v>35543</v>
      </c>
    </row>
    <row r="5617" spans="1:5">
      <c r="A5617">
        <v>10515</v>
      </c>
      <c r="B5617" t="s">
        <v>179</v>
      </c>
      <c r="C5617">
        <v>1319.1999907493591</v>
      </c>
      <c r="D5617">
        <v>16</v>
      </c>
      <c r="E5617" s="80">
        <v>35543</v>
      </c>
    </row>
    <row r="5618" spans="1:5">
      <c r="A5618">
        <v>10515</v>
      </c>
      <c r="B5618" t="s">
        <v>172</v>
      </c>
      <c r="C5618">
        <v>872.5</v>
      </c>
      <c r="D5618">
        <v>50</v>
      </c>
      <c r="E5618" s="80">
        <v>35543</v>
      </c>
    </row>
    <row r="5619" spans="1:5">
      <c r="A5619">
        <v>10515</v>
      </c>
      <c r="B5619" t="s">
        <v>173</v>
      </c>
      <c r="C5619">
        <v>872.5</v>
      </c>
      <c r="D5619">
        <v>50</v>
      </c>
      <c r="E5619" s="80">
        <v>35543</v>
      </c>
    </row>
    <row r="5620" spans="1:5">
      <c r="A5620">
        <v>10515</v>
      </c>
      <c r="B5620" t="s">
        <v>174</v>
      </c>
      <c r="C5620">
        <v>872.5</v>
      </c>
      <c r="D5620">
        <v>50</v>
      </c>
      <c r="E5620" s="80">
        <v>35543</v>
      </c>
    </row>
    <row r="5621" spans="1:5">
      <c r="A5621">
        <v>10515</v>
      </c>
      <c r="B5621" t="s">
        <v>175</v>
      </c>
      <c r="C5621">
        <v>872.5</v>
      </c>
      <c r="D5621">
        <v>50</v>
      </c>
      <c r="E5621" s="80">
        <v>35543</v>
      </c>
    </row>
    <row r="5622" spans="1:5">
      <c r="A5622">
        <v>10515</v>
      </c>
      <c r="B5622" t="s">
        <v>176</v>
      </c>
      <c r="C5622">
        <v>872.5</v>
      </c>
      <c r="D5622">
        <v>50</v>
      </c>
      <c r="E5622" s="80">
        <v>35543</v>
      </c>
    </row>
    <row r="5623" spans="1:5">
      <c r="A5623">
        <v>10515</v>
      </c>
      <c r="B5623" t="s">
        <v>177</v>
      </c>
      <c r="C5623">
        <v>872.5</v>
      </c>
      <c r="D5623">
        <v>50</v>
      </c>
      <c r="E5623" s="80">
        <v>35543</v>
      </c>
    </row>
    <row r="5624" spans="1:5">
      <c r="A5624">
        <v>10515</v>
      </c>
      <c r="B5624" t="s">
        <v>178</v>
      </c>
      <c r="C5624">
        <v>872.5</v>
      </c>
      <c r="D5624">
        <v>50</v>
      </c>
      <c r="E5624" s="80">
        <v>35543</v>
      </c>
    </row>
    <row r="5625" spans="1:5">
      <c r="A5625">
        <v>10515</v>
      </c>
      <c r="B5625" t="s">
        <v>179</v>
      </c>
      <c r="C5625">
        <v>872.5</v>
      </c>
      <c r="D5625">
        <v>50</v>
      </c>
      <c r="E5625" s="80">
        <v>35543</v>
      </c>
    </row>
    <row r="5626" spans="1:5">
      <c r="A5626">
        <v>10515</v>
      </c>
      <c r="B5626" t="s">
        <v>172</v>
      </c>
      <c r="C5626">
        <v>5268</v>
      </c>
      <c r="D5626">
        <v>120</v>
      </c>
      <c r="E5626" s="80">
        <v>35543</v>
      </c>
    </row>
    <row r="5627" spans="1:5">
      <c r="A5627">
        <v>10515</v>
      </c>
      <c r="B5627" t="s">
        <v>173</v>
      </c>
      <c r="C5627">
        <v>5268</v>
      </c>
      <c r="D5627">
        <v>120</v>
      </c>
      <c r="E5627" s="80">
        <v>35543</v>
      </c>
    </row>
    <row r="5628" spans="1:5">
      <c r="A5628">
        <v>10515</v>
      </c>
      <c r="B5628" t="s">
        <v>174</v>
      </c>
      <c r="C5628">
        <v>5268</v>
      </c>
      <c r="D5628">
        <v>120</v>
      </c>
      <c r="E5628" s="80">
        <v>35543</v>
      </c>
    </row>
    <row r="5629" spans="1:5">
      <c r="A5629">
        <v>10515</v>
      </c>
      <c r="B5629" t="s">
        <v>175</v>
      </c>
      <c r="C5629">
        <v>5268</v>
      </c>
      <c r="D5629">
        <v>120</v>
      </c>
      <c r="E5629" s="80">
        <v>35543</v>
      </c>
    </row>
    <row r="5630" spans="1:5">
      <c r="A5630">
        <v>10515</v>
      </c>
      <c r="B5630" t="s">
        <v>176</v>
      </c>
      <c r="C5630">
        <v>5268</v>
      </c>
      <c r="D5630">
        <v>120</v>
      </c>
      <c r="E5630" s="80">
        <v>35543</v>
      </c>
    </row>
    <row r="5631" spans="1:5">
      <c r="A5631">
        <v>10515</v>
      </c>
      <c r="B5631" t="s">
        <v>177</v>
      </c>
      <c r="C5631">
        <v>5268</v>
      </c>
      <c r="D5631">
        <v>120</v>
      </c>
      <c r="E5631" s="80">
        <v>35543</v>
      </c>
    </row>
    <row r="5632" spans="1:5">
      <c r="A5632">
        <v>10515</v>
      </c>
      <c r="B5632" t="s">
        <v>178</v>
      </c>
      <c r="C5632">
        <v>5268</v>
      </c>
      <c r="D5632">
        <v>120</v>
      </c>
      <c r="E5632" s="80">
        <v>35543</v>
      </c>
    </row>
    <row r="5633" spans="1:5">
      <c r="A5633">
        <v>10515</v>
      </c>
      <c r="B5633" t="s">
        <v>179</v>
      </c>
      <c r="C5633">
        <v>5268</v>
      </c>
      <c r="D5633">
        <v>120</v>
      </c>
      <c r="E5633" s="80">
        <v>35543</v>
      </c>
    </row>
    <row r="5634" spans="1:5">
      <c r="A5634">
        <v>10515</v>
      </c>
      <c r="B5634" t="s">
        <v>172</v>
      </c>
      <c r="C5634">
        <v>33.999999761581421</v>
      </c>
      <c r="D5634">
        <v>16</v>
      </c>
      <c r="E5634" s="80">
        <v>35543</v>
      </c>
    </row>
    <row r="5635" spans="1:5">
      <c r="A5635">
        <v>10515</v>
      </c>
      <c r="B5635" t="s">
        <v>173</v>
      </c>
      <c r="C5635">
        <v>33.999999761581421</v>
      </c>
      <c r="D5635">
        <v>16</v>
      </c>
      <c r="E5635" s="80">
        <v>35543</v>
      </c>
    </row>
    <row r="5636" spans="1:5">
      <c r="A5636">
        <v>10515</v>
      </c>
      <c r="B5636" t="s">
        <v>174</v>
      </c>
      <c r="C5636">
        <v>33.999999761581421</v>
      </c>
      <c r="D5636">
        <v>16</v>
      </c>
      <c r="E5636" s="80">
        <v>35543</v>
      </c>
    </row>
    <row r="5637" spans="1:5">
      <c r="A5637">
        <v>10515</v>
      </c>
      <c r="B5637" t="s">
        <v>175</v>
      </c>
      <c r="C5637">
        <v>33.999999761581421</v>
      </c>
      <c r="D5637">
        <v>16</v>
      </c>
      <c r="E5637" s="80">
        <v>35543</v>
      </c>
    </row>
    <row r="5638" spans="1:5">
      <c r="A5638">
        <v>10515</v>
      </c>
      <c r="B5638" t="s">
        <v>176</v>
      </c>
      <c r="C5638">
        <v>33.999999761581421</v>
      </c>
      <c r="D5638">
        <v>16</v>
      </c>
      <c r="E5638" s="80">
        <v>35543</v>
      </c>
    </row>
    <row r="5639" spans="1:5">
      <c r="A5639">
        <v>10515</v>
      </c>
      <c r="B5639" t="s">
        <v>177</v>
      </c>
      <c r="C5639">
        <v>33.999999761581421</v>
      </c>
      <c r="D5639">
        <v>16</v>
      </c>
      <c r="E5639" s="80">
        <v>35543</v>
      </c>
    </row>
    <row r="5640" spans="1:5">
      <c r="A5640">
        <v>10515</v>
      </c>
      <c r="B5640" t="s">
        <v>178</v>
      </c>
      <c r="C5640">
        <v>33.999999761581421</v>
      </c>
      <c r="D5640">
        <v>16</v>
      </c>
      <c r="E5640" s="80">
        <v>35543</v>
      </c>
    </row>
    <row r="5641" spans="1:5">
      <c r="A5641">
        <v>10515</v>
      </c>
      <c r="B5641" t="s">
        <v>179</v>
      </c>
      <c r="C5641">
        <v>33.999999761581421</v>
      </c>
      <c r="D5641">
        <v>16</v>
      </c>
      <c r="E5641" s="80">
        <v>35543</v>
      </c>
    </row>
    <row r="5642" spans="1:5">
      <c r="A5642">
        <v>10515</v>
      </c>
      <c r="B5642" t="s">
        <v>172</v>
      </c>
      <c r="C5642">
        <v>2427.5999829769135</v>
      </c>
      <c r="D5642">
        <v>84</v>
      </c>
      <c r="E5642" s="80">
        <v>35543</v>
      </c>
    </row>
    <row r="5643" spans="1:5">
      <c r="A5643">
        <v>10515</v>
      </c>
      <c r="B5643" t="s">
        <v>173</v>
      </c>
      <c r="C5643">
        <v>2427.5999829769135</v>
      </c>
      <c r="D5643">
        <v>84</v>
      </c>
      <c r="E5643" s="80">
        <v>35543</v>
      </c>
    </row>
    <row r="5644" spans="1:5">
      <c r="A5644">
        <v>10515</v>
      </c>
      <c r="B5644" t="s">
        <v>174</v>
      </c>
      <c r="C5644">
        <v>2427.5999829769135</v>
      </c>
      <c r="D5644">
        <v>84</v>
      </c>
      <c r="E5644" s="80">
        <v>35543</v>
      </c>
    </row>
    <row r="5645" spans="1:5">
      <c r="A5645">
        <v>10515</v>
      </c>
      <c r="B5645" t="s">
        <v>175</v>
      </c>
      <c r="C5645">
        <v>2427.5999829769135</v>
      </c>
      <c r="D5645">
        <v>84</v>
      </c>
      <c r="E5645" s="80">
        <v>35543</v>
      </c>
    </row>
    <row r="5646" spans="1:5">
      <c r="A5646">
        <v>10515</v>
      </c>
      <c r="B5646" t="s">
        <v>176</v>
      </c>
      <c r="C5646">
        <v>2427.5999829769135</v>
      </c>
      <c r="D5646">
        <v>84</v>
      </c>
      <c r="E5646" s="80">
        <v>35543</v>
      </c>
    </row>
    <row r="5647" spans="1:5">
      <c r="A5647">
        <v>10515</v>
      </c>
      <c r="B5647" t="s">
        <v>177</v>
      </c>
      <c r="C5647">
        <v>2427.5999829769135</v>
      </c>
      <c r="D5647">
        <v>84</v>
      </c>
      <c r="E5647" s="80">
        <v>35543</v>
      </c>
    </row>
    <row r="5648" spans="1:5">
      <c r="A5648">
        <v>10515</v>
      </c>
      <c r="B5648" t="s">
        <v>178</v>
      </c>
      <c r="C5648">
        <v>2427.5999829769135</v>
      </c>
      <c r="D5648">
        <v>84</v>
      </c>
      <c r="E5648" s="80">
        <v>35543</v>
      </c>
    </row>
    <row r="5649" spans="1:5">
      <c r="A5649">
        <v>10515</v>
      </c>
      <c r="B5649" t="s">
        <v>179</v>
      </c>
      <c r="C5649">
        <v>2427.5999829769135</v>
      </c>
      <c r="D5649">
        <v>84</v>
      </c>
      <c r="E5649" s="80">
        <v>35543</v>
      </c>
    </row>
    <row r="5650" spans="1:5">
      <c r="A5650">
        <v>10516</v>
      </c>
      <c r="B5650" t="s">
        <v>172</v>
      </c>
      <c r="C5650">
        <v>1406.2499976716936</v>
      </c>
      <c r="D5650">
        <v>25</v>
      </c>
      <c r="E5650" s="80">
        <v>35544</v>
      </c>
    </row>
    <row r="5651" spans="1:5">
      <c r="A5651">
        <v>10516</v>
      </c>
      <c r="B5651" t="s">
        <v>173</v>
      </c>
      <c r="C5651">
        <v>1406.2499976716936</v>
      </c>
      <c r="D5651">
        <v>25</v>
      </c>
      <c r="E5651" s="80">
        <v>35544</v>
      </c>
    </row>
    <row r="5652" spans="1:5">
      <c r="A5652">
        <v>10516</v>
      </c>
      <c r="B5652" t="s">
        <v>174</v>
      </c>
      <c r="C5652">
        <v>1406.2499976716936</v>
      </c>
      <c r="D5652">
        <v>25</v>
      </c>
      <c r="E5652" s="80">
        <v>35544</v>
      </c>
    </row>
    <row r="5653" spans="1:5">
      <c r="A5653">
        <v>10516</v>
      </c>
      <c r="B5653" t="s">
        <v>175</v>
      </c>
      <c r="C5653">
        <v>1406.2499976716936</v>
      </c>
      <c r="D5653">
        <v>25</v>
      </c>
      <c r="E5653" s="80">
        <v>35544</v>
      </c>
    </row>
    <row r="5654" spans="1:5">
      <c r="A5654">
        <v>10516</v>
      </c>
      <c r="B5654" t="s">
        <v>176</v>
      </c>
      <c r="C5654">
        <v>1406.2499976716936</v>
      </c>
      <c r="D5654">
        <v>25</v>
      </c>
      <c r="E5654" s="80">
        <v>35544</v>
      </c>
    </row>
    <row r="5655" spans="1:5">
      <c r="A5655">
        <v>10516</v>
      </c>
      <c r="B5655" t="s">
        <v>177</v>
      </c>
      <c r="C5655">
        <v>1406.2499976716936</v>
      </c>
      <c r="D5655">
        <v>25</v>
      </c>
      <c r="E5655" s="80">
        <v>35544</v>
      </c>
    </row>
    <row r="5656" spans="1:5">
      <c r="A5656">
        <v>10516</v>
      </c>
      <c r="B5656" t="s">
        <v>178</v>
      </c>
      <c r="C5656">
        <v>1406.2499976716936</v>
      </c>
      <c r="D5656">
        <v>25</v>
      </c>
      <c r="E5656" s="80">
        <v>35544</v>
      </c>
    </row>
    <row r="5657" spans="1:5">
      <c r="A5657">
        <v>10516</v>
      </c>
      <c r="B5657" t="s">
        <v>179</v>
      </c>
      <c r="C5657">
        <v>1406.2499976716936</v>
      </c>
      <c r="D5657">
        <v>25</v>
      </c>
      <c r="E5657" s="80">
        <v>35544</v>
      </c>
    </row>
    <row r="5658" spans="1:5">
      <c r="A5658">
        <v>10516</v>
      </c>
      <c r="B5658" t="s">
        <v>172</v>
      </c>
      <c r="C5658">
        <v>694.79999884963036</v>
      </c>
      <c r="D5658">
        <v>80</v>
      </c>
      <c r="E5658" s="80">
        <v>35544</v>
      </c>
    </row>
    <row r="5659" spans="1:5">
      <c r="A5659">
        <v>10516</v>
      </c>
      <c r="B5659" t="s">
        <v>173</v>
      </c>
      <c r="C5659">
        <v>694.79999884963036</v>
      </c>
      <c r="D5659">
        <v>80</v>
      </c>
      <c r="E5659" s="80">
        <v>35544</v>
      </c>
    </row>
    <row r="5660" spans="1:5">
      <c r="A5660">
        <v>10516</v>
      </c>
      <c r="B5660" t="s">
        <v>174</v>
      </c>
      <c r="C5660">
        <v>694.79999884963036</v>
      </c>
      <c r="D5660">
        <v>80</v>
      </c>
      <c r="E5660" s="80">
        <v>35544</v>
      </c>
    </row>
    <row r="5661" spans="1:5">
      <c r="A5661">
        <v>10516</v>
      </c>
      <c r="B5661" t="s">
        <v>175</v>
      </c>
      <c r="C5661">
        <v>694.79999884963036</v>
      </c>
      <c r="D5661">
        <v>80</v>
      </c>
      <c r="E5661" s="80">
        <v>35544</v>
      </c>
    </row>
    <row r="5662" spans="1:5">
      <c r="A5662">
        <v>10516</v>
      </c>
      <c r="B5662" t="s">
        <v>176</v>
      </c>
      <c r="C5662">
        <v>694.79999884963036</v>
      </c>
      <c r="D5662">
        <v>80</v>
      </c>
      <c r="E5662" s="80">
        <v>35544</v>
      </c>
    </row>
    <row r="5663" spans="1:5">
      <c r="A5663">
        <v>10516</v>
      </c>
      <c r="B5663" t="s">
        <v>177</v>
      </c>
      <c r="C5663">
        <v>694.79999884963036</v>
      </c>
      <c r="D5663">
        <v>80</v>
      </c>
      <c r="E5663" s="80">
        <v>35544</v>
      </c>
    </row>
    <row r="5664" spans="1:5">
      <c r="A5664">
        <v>10516</v>
      </c>
      <c r="B5664" t="s">
        <v>178</v>
      </c>
      <c r="C5664">
        <v>694.79999884963036</v>
      </c>
      <c r="D5664">
        <v>80</v>
      </c>
      <c r="E5664" s="80">
        <v>35544</v>
      </c>
    </row>
    <row r="5665" spans="1:5">
      <c r="A5665">
        <v>10516</v>
      </c>
      <c r="B5665" t="s">
        <v>179</v>
      </c>
      <c r="C5665">
        <v>694.79999884963036</v>
      </c>
      <c r="D5665">
        <v>80</v>
      </c>
      <c r="E5665" s="80">
        <v>35544</v>
      </c>
    </row>
    <row r="5666" spans="1:5">
      <c r="A5666">
        <v>10516</v>
      </c>
      <c r="B5666" t="s">
        <v>172</v>
      </c>
      <c r="C5666">
        <v>280</v>
      </c>
      <c r="D5666">
        <v>20</v>
      </c>
      <c r="E5666" s="80">
        <v>35544</v>
      </c>
    </row>
    <row r="5667" spans="1:5">
      <c r="A5667">
        <v>10516</v>
      </c>
      <c r="B5667" t="s">
        <v>173</v>
      </c>
      <c r="C5667">
        <v>280</v>
      </c>
      <c r="D5667">
        <v>20</v>
      </c>
      <c r="E5667" s="80">
        <v>35544</v>
      </c>
    </row>
    <row r="5668" spans="1:5">
      <c r="A5668">
        <v>10516</v>
      </c>
      <c r="B5668" t="s">
        <v>174</v>
      </c>
      <c r="C5668">
        <v>280</v>
      </c>
      <c r="D5668">
        <v>20</v>
      </c>
      <c r="E5668" s="80">
        <v>35544</v>
      </c>
    </row>
    <row r="5669" spans="1:5">
      <c r="A5669">
        <v>10516</v>
      </c>
      <c r="B5669" t="s">
        <v>175</v>
      </c>
      <c r="C5669">
        <v>280</v>
      </c>
      <c r="D5669">
        <v>20</v>
      </c>
      <c r="E5669" s="80">
        <v>35544</v>
      </c>
    </row>
    <row r="5670" spans="1:5">
      <c r="A5670">
        <v>10516</v>
      </c>
      <c r="B5670" t="s">
        <v>176</v>
      </c>
      <c r="C5670">
        <v>280</v>
      </c>
      <c r="D5670">
        <v>20</v>
      </c>
      <c r="E5670" s="80">
        <v>35544</v>
      </c>
    </row>
    <row r="5671" spans="1:5">
      <c r="A5671">
        <v>10516</v>
      </c>
      <c r="B5671" t="s">
        <v>177</v>
      </c>
      <c r="C5671">
        <v>280</v>
      </c>
      <c r="D5671">
        <v>20</v>
      </c>
      <c r="E5671" s="80">
        <v>35544</v>
      </c>
    </row>
    <row r="5672" spans="1:5">
      <c r="A5672">
        <v>10516</v>
      </c>
      <c r="B5672" t="s">
        <v>178</v>
      </c>
      <c r="C5672">
        <v>280</v>
      </c>
      <c r="D5672">
        <v>20</v>
      </c>
      <c r="E5672" s="80">
        <v>35544</v>
      </c>
    </row>
    <row r="5673" spans="1:5">
      <c r="A5673">
        <v>10516</v>
      </c>
      <c r="B5673" t="s">
        <v>179</v>
      </c>
      <c r="C5673">
        <v>280</v>
      </c>
      <c r="D5673">
        <v>20</v>
      </c>
      <c r="E5673" s="80">
        <v>35544</v>
      </c>
    </row>
    <row r="5674" spans="1:5">
      <c r="A5674">
        <v>10517</v>
      </c>
      <c r="B5674" t="s">
        <v>172</v>
      </c>
      <c r="C5674">
        <v>42</v>
      </c>
      <c r="D5674">
        <v>6</v>
      </c>
      <c r="E5674" s="80">
        <v>35544</v>
      </c>
    </row>
    <row r="5675" spans="1:5">
      <c r="A5675">
        <v>10517</v>
      </c>
      <c r="B5675" t="s">
        <v>173</v>
      </c>
      <c r="C5675">
        <v>42</v>
      </c>
      <c r="D5675">
        <v>6</v>
      </c>
      <c r="E5675" s="80">
        <v>35544</v>
      </c>
    </row>
    <row r="5676" spans="1:5">
      <c r="A5676">
        <v>10517</v>
      </c>
      <c r="B5676" t="s">
        <v>174</v>
      </c>
      <c r="C5676">
        <v>42</v>
      </c>
      <c r="D5676">
        <v>6</v>
      </c>
      <c r="E5676" s="80">
        <v>35544</v>
      </c>
    </row>
    <row r="5677" spans="1:5">
      <c r="A5677">
        <v>10517</v>
      </c>
      <c r="B5677" t="s">
        <v>175</v>
      </c>
      <c r="C5677">
        <v>42</v>
      </c>
      <c r="D5677">
        <v>6</v>
      </c>
      <c r="E5677" s="80">
        <v>35544</v>
      </c>
    </row>
    <row r="5678" spans="1:5">
      <c r="A5678">
        <v>10517</v>
      </c>
      <c r="B5678" t="s">
        <v>176</v>
      </c>
      <c r="C5678">
        <v>42</v>
      </c>
      <c r="D5678">
        <v>6</v>
      </c>
      <c r="E5678" s="80">
        <v>35544</v>
      </c>
    </row>
    <row r="5679" spans="1:5">
      <c r="A5679">
        <v>10517</v>
      </c>
      <c r="B5679" t="s">
        <v>177</v>
      </c>
      <c r="C5679">
        <v>42</v>
      </c>
      <c r="D5679">
        <v>6</v>
      </c>
      <c r="E5679" s="80">
        <v>35544</v>
      </c>
    </row>
    <row r="5680" spans="1:5">
      <c r="A5680">
        <v>10517</v>
      </c>
      <c r="B5680" t="s">
        <v>178</v>
      </c>
      <c r="C5680">
        <v>42</v>
      </c>
      <c r="D5680">
        <v>6</v>
      </c>
      <c r="E5680" s="80">
        <v>35544</v>
      </c>
    </row>
    <row r="5681" spans="1:5">
      <c r="A5681">
        <v>10517</v>
      </c>
      <c r="B5681" t="s">
        <v>179</v>
      </c>
      <c r="C5681">
        <v>42</v>
      </c>
      <c r="D5681">
        <v>6</v>
      </c>
      <c r="E5681" s="80">
        <v>35544</v>
      </c>
    </row>
    <row r="5682" spans="1:5">
      <c r="A5682">
        <v>10517</v>
      </c>
      <c r="B5682" t="s">
        <v>172</v>
      </c>
      <c r="C5682">
        <v>220</v>
      </c>
      <c r="D5682">
        <v>4</v>
      </c>
      <c r="E5682" s="80">
        <v>35544</v>
      </c>
    </row>
    <row r="5683" spans="1:5">
      <c r="A5683">
        <v>10517</v>
      </c>
      <c r="B5683" t="s">
        <v>173</v>
      </c>
      <c r="C5683">
        <v>220</v>
      </c>
      <c r="D5683">
        <v>4</v>
      </c>
      <c r="E5683" s="80">
        <v>35544</v>
      </c>
    </row>
    <row r="5684" spans="1:5">
      <c r="A5684">
        <v>10517</v>
      </c>
      <c r="B5684" t="s">
        <v>174</v>
      </c>
      <c r="C5684">
        <v>220</v>
      </c>
      <c r="D5684">
        <v>4</v>
      </c>
      <c r="E5684" s="80">
        <v>35544</v>
      </c>
    </row>
    <row r="5685" spans="1:5">
      <c r="A5685">
        <v>10517</v>
      </c>
      <c r="B5685" t="s">
        <v>175</v>
      </c>
      <c r="C5685">
        <v>220</v>
      </c>
      <c r="D5685">
        <v>4</v>
      </c>
      <c r="E5685" s="80">
        <v>35544</v>
      </c>
    </row>
    <row r="5686" spans="1:5">
      <c r="A5686">
        <v>10517</v>
      </c>
      <c r="B5686" t="s">
        <v>176</v>
      </c>
      <c r="C5686">
        <v>220</v>
      </c>
      <c r="D5686">
        <v>4</v>
      </c>
      <c r="E5686" s="80">
        <v>35544</v>
      </c>
    </row>
    <row r="5687" spans="1:5">
      <c r="A5687">
        <v>10517</v>
      </c>
      <c r="B5687" t="s">
        <v>177</v>
      </c>
      <c r="C5687">
        <v>220</v>
      </c>
      <c r="D5687">
        <v>4</v>
      </c>
      <c r="E5687" s="80">
        <v>35544</v>
      </c>
    </row>
    <row r="5688" spans="1:5">
      <c r="A5688">
        <v>10517</v>
      </c>
      <c r="B5688" t="s">
        <v>178</v>
      </c>
      <c r="C5688">
        <v>220</v>
      </c>
      <c r="D5688">
        <v>4</v>
      </c>
      <c r="E5688" s="80">
        <v>35544</v>
      </c>
    </row>
    <row r="5689" spans="1:5">
      <c r="A5689">
        <v>10517</v>
      </c>
      <c r="B5689" t="s">
        <v>179</v>
      </c>
      <c r="C5689">
        <v>220</v>
      </c>
      <c r="D5689">
        <v>4</v>
      </c>
      <c r="E5689" s="80">
        <v>35544</v>
      </c>
    </row>
    <row r="5690" spans="1:5">
      <c r="A5690">
        <v>10517</v>
      </c>
      <c r="B5690" t="s">
        <v>172</v>
      </c>
      <c r="C5690">
        <v>90</v>
      </c>
      <c r="D5690">
        <v>6</v>
      </c>
      <c r="E5690" s="80">
        <v>35544</v>
      </c>
    </row>
    <row r="5691" spans="1:5">
      <c r="A5691">
        <v>10517</v>
      </c>
      <c r="B5691" t="s">
        <v>173</v>
      </c>
      <c r="C5691">
        <v>90</v>
      </c>
      <c r="D5691">
        <v>6</v>
      </c>
      <c r="E5691" s="80">
        <v>35544</v>
      </c>
    </row>
    <row r="5692" spans="1:5">
      <c r="A5692">
        <v>10517</v>
      </c>
      <c r="B5692" t="s">
        <v>174</v>
      </c>
      <c r="C5692">
        <v>90</v>
      </c>
      <c r="D5692">
        <v>6</v>
      </c>
      <c r="E5692" s="80">
        <v>35544</v>
      </c>
    </row>
    <row r="5693" spans="1:5">
      <c r="A5693">
        <v>10517</v>
      </c>
      <c r="B5693" t="s">
        <v>175</v>
      </c>
      <c r="C5693">
        <v>90</v>
      </c>
      <c r="D5693">
        <v>6</v>
      </c>
      <c r="E5693" s="80">
        <v>35544</v>
      </c>
    </row>
    <row r="5694" spans="1:5">
      <c r="A5694">
        <v>10517</v>
      </c>
      <c r="B5694" t="s">
        <v>176</v>
      </c>
      <c r="C5694">
        <v>90</v>
      </c>
      <c r="D5694">
        <v>6</v>
      </c>
      <c r="E5694" s="80">
        <v>35544</v>
      </c>
    </row>
    <row r="5695" spans="1:5">
      <c r="A5695">
        <v>10517</v>
      </c>
      <c r="B5695" t="s">
        <v>177</v>
      </c>
      <c r="C5695">
        <v>90</v>
      </c>
      <c r="D5695">
        <v>6</v>
      </c>
      <c r="E5695" s="80">
        <v>35544</v>
      </c>
    </row>
    <row r="5696" spans="1:5">
      <c r="A5696">
        <v>10517</v>
      </c>
      <c r="B5696" t="s">
        <v>178</v>
      </c>
      <c r="C5696">
        <v>90</v>
      </c>
      <c r="D5696">
        <v>6</v>
      </c>
      <c r="E5696" s="80">
        <v>35544</v>
      </c>
    </row>
    <row r="5697" spans="1:5">
      <c r="A5697">
        <v>10517</v>
      </c>
      <c r="B5697" t="s">
        <v>179</v>
      </c>
      <c r="C5697">
        <v>90</v>
      </c>
      <c r="D5697">
        <v>6</v>
      </c>
      <c r="E5697" s="80">
        <v>35544</v>
      </c>
    </row>
    <row r="5698" spans="1:5">
      <c r="A5698">
        <v>10518</v>
      </c>
      <c r="B5698" t="s">
        <v>172</v>
      </c>
      <c r="C5698">
        <v>22.5</v>
      </c>
      <c r="D5698">
        <v>5</v>
      </c>
      <c r="E5698" s="80">
        <v>35545</v>
      </c>
    </row>
    <row r="5699" spans="1:5">
      <c r="A5699">
        <v>10518</v>
      </c>
      <c r="B5699" t="s">
        <v>173</v>
      </c>
      <c r="C5699">
        <v>22.5</v>
      </c>
      <c r="D5699">
        <v>5</v>
      </c>
      <c r="E5699" s="80">
        <v>35545</v>
      </c>
    </row>
    <row r="5700" spans="1:5">
      <c r="A5700">
        <v>10518</v>
      </c>
      <c r="B5700" t="s">
        <v>174</v>
      </c>
      <c r="C5700">
        <v>22.5</v>
      </c>
      <c r="D5700">
        <v>5</v>
      </c>
      <c r="E5700" s="80">
        <v>35545</v>
      </c>
    </row>
    <row r="5701" spans="1:5">
      <c r="A5701">
        <v>10518</v>
      </c>
      <c r="B5701" t="s">
        <v>175</v>
      </c>
      <c r="C5701">
        <v>22.5</v>
      </c>
      <c r="D5701">
        <v>5</v>
      </c>
      <c r="E5701" s="80">
        <v>35545</v>
      </c>
    </row>
    <row r="5702" spans="1:5">
      <c r="A5702">
        <v>10518</v>
      </c>
      <c r="B5702" t="s">
        <v>176</v>
      </c>
      <c r="C5702">
        <v>22.5</v>
      </c>
      <c r="D5702">
        <v>5</v>
      </c>
      <c r="E5702" s="80">
        <v>35545</v>
      </c>
    </row>
    <row r="5703" spans="1:5">
      <c r="A5703">
        <v>10518</v>
      </c>
      <c r="B5703" t="s">
        <v>177</v>
      </c>
      <c r="C5703">
        <v>22.5</v>
      </c>
      <c r="D5703">
        <v>5</v>
      </c>
      <c r="E5703" s="80">
        <v>35545</v>
      </c>
    </row>
    <row r="5704" spans="1:5">
      <c r="A5704">
        <v>10518</v>
      </c>
      <c r="B5704" t="s">
        <v>178</v>
      </c>
      <c r="C5704">
        <v>22.5</v>
      </c>
      <c r="D5704">
        <v>5</v>
      </c>
      <c r="E5704" s="80">
        <v>35545</v>
      </c>
    </row>
    <row r="5705" spans="1:5">
      <c r="A5705">
        <v>10518</v>
      </c>
      <c r="B5705" t="s">
        <v>179</v>
      </c>
      <c r="C5705">
        <v>22.5</v>
      </c>
      <c r="D5705">
        <v>5</v>
      </c>
      <c r="E5705" s="80">
        <v>35545</v>
      </c>
    </row>
    <row r="5706" spans="1:5">
      <c r="A5706">
        <v>10518</v>
      </c>
      <c r="B5706" t="s">
        <v>172</v>
      </c>
      <c r="C5706">
        <v>3952.5</v>
      </c>
      <c r="D5706">
        <v>15</v>
      </c>
      <c r="E5706" s="80">
        <v>35545</v>
      </c>
    </row>
    <row r="5707" spans="1:5">
      <c r="A5707">
        <v>10518</v>
      </c>
      <c r="B5707" t="s">
        <v>173</v>
      </c>
      <c r="C5707">
        <v>3952.5</v>
      </c>
      <c r="D5707">
        <v>15</v>
      </c>
      <c r="E5707" s="80">
        <v>35545</v>
      </c>
    </row>
    <row r="5708" spans="1:5">
      <c r="A5708">
        <v>10518</v>
      </c>
      <c r="B5708" t="s">
        <v>174</v>
      </c>
      <c r="C5708">
        <v>3952.5</v>
      </c>
      <c r="D5708">
        <v>15</v>
      </c>
      <c r="E5708" s="80">
        <v>35545</v>
      </c>
    </row>
    <row r="5709" spans="1:5">
      <c r="A5709">
        <v>10518</v>
      </c>
      <c r="B5709" t="s">
        <v>175</v>
      </c>
      <c r="C5709">
        <v>3952.5</v>
      </c>
      <c r="D5709">
        <v>15</v>
      </c>
      <c r="E5709" s="80">
        <v>35545</v>
      </c>
    </row>
    <row r="5710" spans="1:5">
      <c r="A5710">
        <v>10518</v>
      </c>
      <c r="B5710" t="s">
        <v>176</v>
      </c>
      <c r="C5710">
        <v>3952.5</v>
      </c>
      <c r="D5710">
        <v>15</v>
      </c>
      <c r="E5710" s="80">
        <v>35545</v>
      </c>
    </row>
    <row r="5711" spans="1:5">
      <c r="A5711">
        <v>10518</v>
      </c>
      <c r="B5711" t="s">
        <v>177</v>
      </c>
      <c r="C5711">
        <v>3952.5</v>
      </c>
      <c r="D5711">
        <v>15</v>
      </c>
      <c r="E5711" s="80">
        <v>35545</v>
      </c>
    </row>
    <row r="5712" spans="1:5">
      <c r="A5712">
        <v>10518</v>
      </c>
      <c r="B5712" t="s">
        <v>178</v>
      </c>
      <c r="C5712">
        <v>3952.5</v>
      </c>
      <c r="D5712">
        <v>15</v>
      </c>
      <c r="E5712" s="80">
        <v>35545</v>
      </c>
    </row>
    <row r="5713" spans="1:5">
      <c r="A5713">
        <v>10518</v>
      </c>
      <c r="B5713" t="s">
        <v>179</v>
      </c>
      <c r="C5713">
        <v>3952.5</v>
      </c>
      <c r="D5713">
        <v>15</v>
      </c>
      <c r="E5713" s="80">
        <v>35545</v>
      </c>
    </row>
    <row r="5714" spans="1:5">
      <c r="A5714">
        <v>10518</v>
      </c>
      <c r="B5714" t="s">
        <v>172</v>
      </c>
      <c r="C5714">
        <v>175.05</v>
      </c>
      <c r="D5714">
        <v>9</v>
      </c>
      <c r="E5714" s="80">
        <v>35545</v>
      </c>
    </row>
    <row r="5715" spans="1:5">
      <c r="A5715">
        <v>10518</v>
      </c>
      <c r="B5715" t="s">
        <v>173</v>
      </c>
      <c r="C5715">
        <v>175.05</v>
      </c>
      <c r="D5715">
        <v>9</v>
      </c>
      <c r="E5715" s="80">
        <v>35545</v>
      </c>
    </row>
    <row r="5716" spans="1:5">
      <c r="A5716">
        <v>10518</v>
      </c>
      <c r="B5716" t="s">
        <v>174</v>
      </c>
      <c r="C5716">
        <v>175.05</v>
      </c>
      <c r="D5716">
        <v>9</v>
      </c>
      <c r="E5716" s="80">
        <v>35545</v>
      </c>
    </row>
    <row r="5717" spans="1:5">
      <c r="A5717">
        <v>10518</v>
      </c>
      <c r="B5717" t="s">
        <v>175</v>
      </c>
      <c r="C5717">
        <v>175.05</v>
      </c>
      <c r="D5717">
        <v>9</v>
      </c>
      <c r="E5717" s="80">
        <v>35545</v>
      </c>
    </row>
    <row r="5718" spans="1:5">
      <c r="A5718">
        <v>10518</v>
      </c>
      <c r="B5718" t="s">
        <v>176</v>
      </c>
      <c r="C5718">
        <v>175.05</v>
      </c>
      <c r="D5718">
        <v>9</v>
      </c>
      <c r="E5718" s="80">
        <v>35545</v>
      </c>
    </row>
    <row r="5719" spans="1:5">
      <c r="A5719">
        <v>10518</v>
      </c>
      <c r="B5719" t="s">
        <v>177</v>
      </c>
      <c r="C5719">
        <v>175.05</v>
      </c>
      <c r="D5719">
        <v>9</v>
      </c>
      <c r="E5719" s="80">
        <v>35545</v>
      </c>
    </row>
    <row r="5720" spans="1:5">
      <c r="A5720">
        <v>10518</v>
      </c>
      <c r="B5720" t="s">
        <v>178</v>
      </c>
      <c r="C5720">
        <v>175.05</v>
      </c>
      <c r="D5720">
        <v>9</v>
      </c>
      <c r="E5720" s="80">
        <v>35545</v>
      </c>
    </row>
    <row r="5721" spans="1:5">
      <c r="A5721">
        <v>10518</v>
      </c>
      <c r="B5721" t="s">
        <v>179</v>
      </c>
      <c r="C5721">
        <v>175.05</v>
      </c>
      <c r="D5721">
        <v>9</v>
      </c>
      <c r="E5721" s="80">
        <v>35545</v>
      </c>
    </row>
    <row r="5722" spans="1:5">
      <c r="A5722">
        <v>10519</v>
      </c>
      <c r="B5722" t="s">
        <v>172</v>
      </c>
      <c r="C5722">
        <v>471.1999996304512</v>
      </c>
      <c r="D5722">
        <v>16</v>
      </c>
      <c r="E5722" s="80">
        <v>35548</v>
      </c>
    </row>
    <row r="5723" spans="1:5">
      <c r="A5723">
        <v>10519</v>
      </c>
      <c r="B5723" t="s">
        <v>173</v>
      </c>
      <c r="C5723">
        <v>471.1999996304512</v>
      </c>
      <c r="D5723">
        <v>16</v>
      </c>
      <c r="E5723" s="80">
        <v>35548</v>
      </c>
    </row>
    <row r="5724" spans="1:5">
      <c r="A5724">
        <v>10519</v>
      </c>
      <c r="B5724" t="s">
        <v>174</v>
      </c>
      <c r="C5724">
        <v>471.1999996304512</v>
      </c>
      <c r="D5724">
        <v>16</v>
      </c>
      <c r="E5724" s="80">
        <v>35548</v>
      </c>
    </row>
    <row r="5725" spans="1:5">
      <c r="A5725">
        <v>10519</v>
      </c>
      <c r="B5725" t="s">
        <v>175</v>
      </c>
      <c r="C5725">
        <v>471.1999996304512</v>
      </c>
      <c r="D5725">
        <v>16</v>
      </c>
      <c r="E5725" s="80">
        <v>35548</v>
      </c>
    </row>
    <row r="5726" spans="1:5">
      <c r="A5726">
        <v>10519</v>
      </c>
      <c r="B5726" t="s">
        <v>176</v>
      </c>
      <c r="C5726">
        <v>471.1999996304512</v>
      </c>
      <c r="D5726">
        <v>16</v>
      </c>
      <c r="E5726" s="80">
        <v>35548</v>
      </c>
    </row>
    <row r="5727" spans="1:5">
      <c r="A5727">
        <v>10519</v>
      </c>
      <c r="B5727" t="s">
        <v>177</v>
      </c>
      <c r="C5727">
        <v>471.1999996304512</v>
      </c>
      <c r="D5727">
        <v>16</v>
      </c>
      <c r="E5727" s="80">
        <v>35548</v>
      </c>
    </row>
    <row r="5728" spans="1:5">
      <c r="A5728">
        <v>10519</v>
      </c>
      <c r="B5728" t="s">
        <v>178</v>
      </c>
      <c r="C5728">
        <v>471.1999996304512</v>
      </c>
      <c r="D5728">
        <v>16</v>
      </c>
      <c r="E5728" s="80">
        <v>35548</v>
      </c>
    </row>
    <row r="5729" spans="1:5">
      <c r="A5729">
        <v>10519</v>
      </c>
      <c r="B5729" t="s">
        <v>179</v>
      </c>
      <c r="C5729">
        <v>471.1999996304512</v>
      </c>
      <c r="D5729">
        <v>16</v>
      </c>
      <c r="E5729" s="80">
        <v>35548</v>
      </c>
    </row>
    <row r="5730" spans="1:5">
      <c r="A5730">
        <v>10519</v>
      </c>
      <c r="B5730" t="s">
        <v>172</v>
      </c>
      <c r="C5730">
        <v>1520</v>
      </c>
      <c r="D5730">
        <v>40</v>
      </c>
      <c r="E5730" s="80">
        <v>35548</v>
      </c>
    </row>
    <row r="5731" spans="1:5">
      <c r="A5731">
        <v>10519</v>
      </c>
      <c r="B5731" t="s">
        <v>173</v>
      </c>
      <c r="C5731">
        <v>1520</v>
      </c>
      <c r="D5731">
        <v>40</v>
      </c>
      <c r="E5731" s="80">
        <v>35548</v>
      </c>
    </row>
    <row r="5732" spans="1:5">
      <c r="A5732">
        <v>10519</v>
      </c>
      <c r="B5732" t="s">
        <v>174</v>
      </c>
      <c r="C5732">
        <v>1520</v>
      </c>
      <c r="D5732">
        <v>40</v>
      </c>
      <c r="E5732" s="80">
        <v>35548</v>
      </c>
    </row>
    <row r="5733" spans="1:5">
      <c r="A5733">
        <v>10519</v>
      </c>
      <c r="B5733" t="s">
        <v>175</v>
      </c>
      <c r="C5733">
        <v>1520</v>
      </c>
      <c r="D5733">
        <v>40</v>
      </c>
      <c r="E5733" s="80">
        <v>35548</v>
      </c>
    </row>
    <row r="5734" spans="1:5">
      <c r="A5734">
        <v>10519</v>
      </c>
      <c r="B5734" t="s">
        <v>176</v>
      </c>
      <c r="C5734">
        <v>1520</v>
      </c>
      <c r="D5734">
        <v>40</v>
      </c>
      <c r="E5734" s="80">
        <v>35548</v>
      </c>
    </row>
    <row r="5735" spans="1:5">
      <c r="A5735">
        <v>10519</v>
      </c>
      <c r="B5735" t="s">
        <v>177</v>
      </c>
      <c r="C5735">
        <v>1520</v>
      </c>
      <c r="D5735">
        <v>40</v>
      </c>
      <c r="E5735" s="80">
        <v>35548</v>
      </c>
    </row>
    <row r="5736" spans="1:5">
      <c r="A5736">
        <v>10519</v>
      </c>
      <c r="B5736" t="s">
        <v>178</v>
      </c>
      <c r="C5736">
        <v>1520</v>
      </c>
      <c r="D5736">
        <v>40</v>
      </c>
      <c r="E5736" s="80">
        <v>35548</v>
      </c>
    </row>
    <row r="5737" spans="1:5">
      <c r="A5737">
        <v>10519</v>
      </c>
      <c r="B5737" t="s">
        <v>179</v>
      </c>
      <c r="C5737">
        <v>1520</v>
      </c>
      <c r="D5737">
        <v>40</v>
      </c>
      <c r="E5737" s="80">
        <v>35548</v>
      </c>
    </row>
    <row r="5738" spans="1:5">
      <c r="A5738">
        <v>10519</v>
      </c>
      <c r="B5738" t="s">
        <v>172</v>
      </c>
      <c r="C5738">
        <v>322.99999974668026</v>
      </c>
      <c r="D5738">
        <v>10</v>
      </c>
      <c r="E5738" s="80">
        <v>35548</v>
      </c>
    </row>
    <row r="5739" spans="1:5">
      <c r="A5739">
        <v>10519</v>
      </c>
      <c r="B5739" t="s">
        <v>173</v>
      </c>
      <c r="C5739">
        <v>322.99999974668026</v>
      </c>
      <c r="D5739">
        <v>10</v>
      </c>
      <c r="E5739" s="80">
        <v>35548</v>
      </c>
    </row>
    <row r="5740" spans="1:5">
      <c r="A5740">
        <v>10519</v>
      </c>
      <c r="B5740" t="s">
        <v>174</v>
      </c>
      <c r="C5740">
        <v>322.99999974668026</v>
      </c>
      <c r="D5740">
        <v>10</v>
      </c>
      <c r="E5740" s="80">
        <v>35548</v>
      </c>
    </row>
    <row r="5741" spans="1:5">
      <c r="A5741">
        <v>10519</v>
      </c>
      <c r="B5741" t="s">
        <v>175</v>
      </c>
      <c r="C5741">
        <v>322.99999974668026</v>
      </c>
      <c r="D5741">
        <v>10</v>
      </c>
      <c r="E5741" s="80">
        <v>35548</v>
      </c>
    </row>
    <row r="5742" spans="1:5">
      <c r="A5742">
        <v>10519</v>
      </c>
      <c r="B5742" t="s">
        <v>176</v>
      </c>
      <c r="C5742">
        <v>322.99999974668026</v>
      </c>
      <c r="D5742">
        <v>10</v>
      </c>
      <c r="E5742" s="80">
        <v>35548</v>
      </c>
    </row>
    <row r="5743" spans="1:5">
      <c r="A5743">
        <v>10519</v>
      </c>
      <c r="B5743" t="s">
        <v>177</v>
      </c>
      <c r="C5743">
        <v>322.99999974668026</v>
      </c>
      <c r="D5743">
        <v>10</v>
      </c>
      <c r="E5743" s="80">
        <v>35548</v>
      </c>
    </row>
    <row r="5744" spans="1:5">
      <c r="A5744">
        <v>10519</v>
      </c>
      <c r="B5744" t="s">
        <v>178</v>
      </c>
      <c r="C5744">
        <v>322.99999974668026</v>
      </c>
      <c r="D5744">
        <v>10</v>
      </c>
      <c r="E5744" s="80">
        <v>35548</v>
      </c>
    </row>
    <row r="5745" spans="1:5">
      <c r="A5745">
        <v>10519</v>
      </c>
      <c r="B5745" t="s">
        <v>179</v>
      </c>
      <c r="C5745">
        <v>322.99999974668026</v>
      </c>
      <c r="D5745">
        <v>10</v>
      </c>
      <c r="E5745" s="80">
        <v>35548</v>
      </c>
    </row>
    <row r="5746" spans="1:5">
      <c r="A5746">
        <v>10520</v>
      </c>
      <c r="B5746" t="s">
        <v>172</v>
      </c>
      <c r="C5746">
        <v>36</v>
      </c>
      <c r="D5746">
        <v>8</v>
      </c>
      <c r="E5746" s="80">
        <v>35549</v>
      </c>
    </row>
    <row r="5747" spans="1:5">
      <c r="A5747">
        <v>10520</v>
      </c>
      <c r="B5747" t="s">
        <v>173</v>
      </c>
      <c r="C5747">
        <v>36</v>
      </c>
      <c r="D5747">
        <v>8</v>
      </c>
      <c r="E5747" s="80">
        <v>35549</v>
      </c>
    </row>
    <row r="5748" spans="1:5">
      <c r="A5748">
        <v>10520</v>
      </c>
      <c r="B5748" t="s">
        <v>174</v>
      </c>
      <c r="C5748">
        <v>36</v>
      </c>
      <c r="D5748">
        <v>8</v>
      </c>
      <c r="E5748" s="80">
        <v>35549</v>
      </c>
    </row>
    <row r="5749" spans="1:5">
      <c r="A5749">
        <v>10520</v>
      </c>
      <c r="B5749" t="s">
        <v>175</v>
      </c>
      <c r="C5749">
        <v>36</v>
      </c>
      <c r="D5749">
        <v>8</v>
      </c>
      <c r="E5749" s="80">
        <v>35549</v>
      </c>
    </row>
    <row r="5750" spans="1:5">
      <c r="A5750">
        <v>10520</v>
      </c>
      <c r="B5750" t="s">
        <v>176</v>
      </c>
      <c r="C5750">
        <v>36</v>
      </c>
      <c r="D5750">
        <v>8</v>
      </c>
      <c r="E5750" s="80">
        <v>35549</v>
      </c>
    </row>
    <row r="5751" spans="1:5">
      <c r="A5751">
        <v>10520</v>
      </c>
      <c r="B5751" t="s">
        <v>177</v>
      </c>
      <c r="C5751">
        <v>36</v>
      </c>
      <c r="D5751">
        <v>8</v>
      </c>
      <c r="E5751" s="80">
        <v>35549</v>
      </c>
    </row>
    <row r="5752" spans="1:5">
      <c r="A5752">
        <v>10520</v>
      </c>
      <c r="B5752" t="s">
        <v>178</v>
      </c>
      <c r="C5752">
        <v>36</v>
      </c>
      <c r="D5752">
        <v>8</v>
      </c>
      <c r="E5752" s="80">
        <v>35549</v>
      </c>
    </row>
    <row r="5753" spans="1:5">
      <c r="A5753">
        <v>10520</v>
      </c>
      <c r="B5753" t="s">
        <v>179</v>
      </c>
      <c r="C5753">
        <v>36</v>
      </c>
      <c r="D5753">
        <v>8</v>
      </c>
      <c r="E5753" s="80">
        <v>35549</v>
      </c>
    </row>
    <row r="5754" spans="1:5">
      <c r="A5754">
        <v>10520</v>
      </c>
      <c r="B5754" t="s">
        <v>172</v>
      </c>
      <c r="C5754">
        <v>164</v>
      </c>
      <c r="D5754">
        <v>5</v>
      </c>
      <c r="E5754" s="80">
        <v>35549</v>
      </c>
    </row>
    <row r="5755" spans="1:5">
      <c r="A5755">
        <v>10520</v>
      </c>
      <c r="B5755" t="s">
        <v>173</v>
      </c>
      <c r="C5755">
        <v>164</v>
      </c>
      <c r="D5755">
        <v>5</v>
      </c>
      <c r="E5755" s="80">
        <v>35549</v>
      </c>
    </row>
    <row r="5756" spans="1:5">
      <c r="A5756">
        <v>10520</v>
      </c>
      <c r="B5756" t="s">
        <v>174</v>
      </c>
      <c r="C5756">
        <v>164</v>
      </c>
      <c r="D5756">
        <v>5</v>
      </c>
      <c r="E5756" s="80">
        <v>35549</v>
      </c>
    </row>
    <row r="5757" spans="1:5">
      <c r="A5757">
        <v>10520</v>
      </c>
      <c r="B5757" t="s">
        <v>175</v>
      </c>
      <c r="C5757">
        <v>164</v>
      </c>
      <c r="D5757">
        <v>5</v>
      </c>
      <c r="E5757" s="80">
        <v>35549</v>
      </c>
    </row>
    <row r="5758" spans="1:5">
      <c r="A5758">
        <v>10520</v>
      </c>
      <c r="B5758" t="s">
        <v>176</v>
      </c>
      <c r="C5758">
        <v>164</v>
      </c>
      <c r="D5758">
        <v>5</v>
      </c>
      <c r="E5758" s="80">
        <v>35549</v>
      </c>
    </row>
    <row r="5759" spans="1:5">
      <c r="A5759">
        <v>10520</v>
      </c>
      <c r="B5759" t="s">
        <v>177</v>
      </c>
      <c r="C5759">
        <v>164</v>
      </c>
      <c r="D5759">
        <v>5</v>
      </c>
      <c r="E5759" s="80">
        <v>35549</v>
      </c>
    </row>
    <row r="5760" spans="1:5">
      <c r="A5760">
        <v>10520</v>
      </c>
      <c r="B5760" t="s">
        <v>178</v>
      </c>
      <c r="C5760">
        <v>164</v>
      </c>
      <c r="D5760">
        <v>5</v>
      </c>
      <c r="E5760" s="80">
        <v>35549</v>
      </c>
    </row>
    <row r="5761" spans="1:5">
      <c r="A5761">
        <v>10520</v>
      </c>
      <c r="B5761" t="s">
        <v>179</v>
      </c>
      <c r="C5761">
        <v>164</v>
      </c>
      <c r="D5761">
        <v>5</v>
      </c>
      <c r="E5761" s="80">
        <v>35549</v>
      </c>
    </row>
    <row r="5762" spans="1:5">
      <c r="A5762">
        <v>10521</v>
      </c>
      <c r="B5762" t="s">
        <v>172</v>
      </c>
      <c r="C5762">
        <v>54</v>
      </c>
      <c r="D5762">
        <v>3</v>
      </c>
      <c r="E5762" s="80">
        <v>35549</v>
      </c>
    </row>
    <row r="5763" spans="1:5">
      <c r="A5763">
        <v>10521</v>
      </c>
      <c r="B5763" t="s">
        <v>173</v>
      </c>
      <c r="C5763">
        <v>54</v>
      </c>
      <c r="D5763">
        <v>3</v>
      </c>
      <c r="E5763" s="80">
        <v>35549</v>
      </c>
    </row>
    <row r="5764" spans="1:5">
      <c r="A5764">
        <v>10521</v>
      </c>
      <c r="B5764" t="s">
        <v>174</v>
      </c>
      <c r="C5764">
        <v>54</v>
      </c>
      <c r="D5764">
        <v>3</v>
      </c>
      <c r="E5764" s="80">
        <v>35549</v>
      </c>
    </row>
    <row r="5765" spans="1:5">
      <c r="A5765">
        <v>10521</v>
      </c>
      <c r="B5765" t="s">
        <v>175</v>
      </c>
      <c r="C5765">
        <v>54</v>
      </c>
      <c r="D5765">
        <v>3</v>
      </c>
      <c r="E5765" s="80">
        <v>35549</v>
      </c>
    </row>
    <row r="5766" spans="1:5">
      <c r="A5766">
        <v>10521</v>
      </c>
      <c r="B5766" t="s">
        <v>176</v>
      </c>
      <c r="C5766">
        <v>54</v>
      </c>
      <c r="D5766">
        <v>3</v>
      </c>
      <c r="E5766" s="80">
        <v>35549</v>
      </c>
    </row>
    <row r="5767" spans="1:5">
      <c r="A5767">
        <v>10521</v>
      </c>
      <c r="B5767" t="s">
        <v>177</v>
      </c>
      <c r="C5767">
        <v>54</v>
      </c>
      <c r="D5767">
        <v>3</v>
      </c>
      <c r="E5767" s="80">
        <v>35549</v>
      </c>
    </row>
    <row r="5768" spans="1:5">
      <c r="A5768">
        <v>10521</v>
      </c>
      <c r="B5768" t="s">
        <v>178</v>
      </c>
      <c r="C5768">
        <v>54</v>
      </c>
      <c r="D5768">
        <v>3</v>
      </c>
      <c r="E5768" s="80">
        <v>35549</v>
      </c>
    </row>
    <row r="5769" spans="1:5">
      <c r="A5769">
        <v>10521</v>
      </c>
      <c r="B5769" t="s">
        <v>179</v>
      </c>
      <c r="C5769">
        <v>54</v>
      </c>
      <c r="D5769">
        <v>3</v>
      </c>
      <c r="E5769" s="80">
        <v>35549</v>
      </c>
    </row>
    <row r="5770" spans="1:5">
      <c r="A5770">
        <v>10521</v>
      </c>
      <c r="B5770" t="s">
        <v>172</v>
      </c>
      <c r="C5770">
        <v>96.5</v>
      </c>
      <c r="D5770">
        <v>10</v>
      </c>
      <c r="E5770" s="80">
        <v>35549</v>
      </c>
    </row>
    <row r="5771" spans="1:5">
      <c r="A5771">
        <v>10521</v>
      </c>
      <c r="B5771" t="s">
        <v>173</v>
      </c>
      <c r="C5771">
        <v>96.5</v>
      </c>
      <c r="D5771">
        <v>10</v>
      </c>
      <c r="E5771" s="80">
        <v>35549</v>
      </c>
    </row>
    <row r="5772" spans="1:5">
      <c r="A5772">
        <v>10521</v>
      </c>
      <c r="B5772" t="s">
        <v>174</v>
      </c>
      <c r="C5772">
        <v>96.5</v>
      </c>
      <c r="D5772">
        <v>10</v>
      </c>
      <c r="E5772" s="80">
        <v>35549</v>
      </c>
    </row>
    <row r="5773" spans="1:5">
      <c r="A5773">
        <v>10521</v>
      </c>
      <c r="B5773" t="s">
        <v>175</v>
      </c>
      <c r="C5773">
        <v>96.5</v>
      </c>
      <c r="D5773">
        <v>10</v>
      </c>
      <c r="E5773" s="80">
        <v>35549</v>
      </c>
    </row>
    <row r="5774" spans="1:5">
      <c r="A5774">
        <v>10521</v>
      </c>
      <c r="B5774" t="s">
        <v>176</v>
      </c>
      <c r="C5774">
        <v>96.5</v>
      </c>
      <c r="D5774">
        <v>10</v>
      </c>
      <c r="E5774" s="80">
        <v>35549</v>
      </c>
    </row>
    <row r="5775" spans="1:5">
      <c r="A5775">
        <v>10521</v>
      </c>
      <c r="B5775" t="s">
        <v>177</v>
      </c>
      <c r="C5775">
        <v>96.5</v>
      </c>
      <c r="D5775">
        <v>10</v>
      </c>
      <c r="E5775" s="80">
        <v>35549</v>
      </c>
    </row>
    <row r="5776" spans="1:5">
      <c r="A5776">
        <v>10521</v>
      </c>
      <c r="B5776" t="s">
        <v>178</v>
      </c>
      <c r="C5776">
        <v>96.5</v>
      </c>
      <c r="D5776">
        <v>10</v>
      </c>
      <c r="E5776" s="80">
        <v>35549</v>
      </c>
    </row>
    <row r="5777" spans="1:5">
      <c r="A5777">
        <v>10521</v>
      </c>
      <c r="B5777" t="s">
        <v>179</v>
      </c>
      <c r="C5777">
        <v>96.5</v>
      </c>
      <c r="D5777">
        <v>10</v>
      </c>
      <c r="E5777" s="80">
        <v>35549</v>
      </c>
    </row>
    <row r="5778" spans="1:5">
      <c r="A5778">
        <v>10521</v>
      </c>
      <c r="B5778" t="s">
        <v>172</v>
      </c>
      <c r="C5778">
        <v>75</v>
      </c>
      <c r="D5778">
        <v>6</v>
      </c>
      <c r="E5778" s="80">
        <v>35549</v>
      </c>
    </row>
    <row r="5779" spans="1:5">
      <c r="A5779">
        <v>10521</v>
      </c>
      <c r="B5779" t="s">
        <v>173</v>
      </c>
      <c r="C5779">
        <v>75</v>
      </c>
      <c r="D5779">
        <v>6</v>
      </c>
      <c r="E5779" s="80">
        <v>35549</v>
      </c>
    </row>
    <row r="5780" spans="1:5">
      <c r="A5780">
        <v>10521</v>
      </c>
      <c r="B5780" t="s">
        <v>174</v>
      </c>
      <c r="C5780">
        <v>75</v>
      </c>
      <c r="D5780">
        <v>6</v>
      </c>
      <c r="E5780" s="80">
        <v>35549</v>
      </c>
    </row>
    <row r="5781" spans="1:5">
      <c r="A5781">
        <v>10521</v>
      </c>
      <c r="B5781" t="s">
        <v>175</v>
      </c>
      <c r="C5781">
        <v>75</v>
      </c>
      <c r="D5781">
        <v>6</v>
      </c>
      <c r="E5781" s="80">
        <v>35549</v>
      </c>
    </row>
    <row r="5782" spans="1:5">
      <c r="A5782">
        <v>10521</v>
      </c>
      <c r="B5782" t="s">
        <v>176</v>
      </c>
      <c r="C5782">
        <v>75</v>
      </c>
      <c r="D5782">
        <v>6</v>
      </c>
      <c r="E5782" s="80">
        <v>35549</v>
      </c>
    </row>
    <row r="5783" spans="1:5">
      <c r="A5783">
        <v>10521</v>
      </c>
      <c r="B5783" t="s">
        <v>177</v>
      </c>
      <c r="C5783">
        <v>75</v>
      </c>
      <c r="D5783">
        <v>6</v>
      </c>
      <c r="E5783" s="80">
        <v>35549</v>
      </c>
    </row>
    <row r="5784" spans="1:5">
      <c r="A5784">
        <v>10521</v>
      </c>
      <c r="B5784" t="s">
        <v>178</v>
      </c>
      <c r="C5784">
        <v>75</v>
      </c>
      <c r="D5784">
        <v>6</v>
      </c>
      <c r="E5784" s="80">
        <v>35549</v>
      </c>
    </row>
    <row r="5785" spans="1:5">
      <c r="A5785">
        <v>10521</v>
      </c>
      <c r="B5785" t="s">
        <v>179</v>
      </c>
      <c r="C5785">
        <v>75</v>
      </c>
      <c r="D5785">
        <v>6</v>
      </c>
      <c r="E5785" s="80">
        <v>35549</v>
      </c>
    </row>
    <row r="5786" spans="1:5">
      <c r="A5786">
        <v>10522</v>
      </c>
      <c r="B5786" t="s">
        <v>172</v>
      </c>
      <c r="C5786">
        <v>575.99999785423279</v>
      </c>
      <c r="D5786">
        <v>40</v>
      </c>
      <c r="E5786" s="80">
        <v>35550</v>
      </c>
    </row>
    <row r="5787" spans="1:5">
      <c r="A5787">
        <v>10522</v>
      </c>
      <c r="B5787" t="s">
        <v>173</v>
      </c>
      <c r="C5787">
        <v>575.99999785423279</v>
      </c>
      <c r="D5787">
        <v>40</v>
      </c>
      <c r="E5787" s="80">
        <v>35550</v>
      </c>
    </row>
    <row r="5788" spans="1:5">
      <c r="A5788">
        <v>10522</v>
      </c>
      <c r="B5788" t="s">
        <v>174</v>
      </c>
      <c r="C5788">
        <v>575.99999785423279</v>
      </c>
      <c r="D5788">
        <v>40</v>
      </c>
      <c r="E5788" s="80">
        <v>35550</v>
      </c>
    </row>
    <row r="5789" spans="1:5">
      <c r="A5789">
        <v>10522</v>
      </c>
      <c r="B5789" t="s">
        <v>175</v>
      </c>
      <c r="C5789">
        <v>575.99999785423279</v>
      </c>
      <c r="D5789">
        <v>40</v>
      </c>
      <c r="E5789" s="80">
        <v>35550</v>
      </c>
    </row>
    <row r="5790" spans="1:5">
      <c r="A5790">
        <v>10522</v>
      </c>
      <c r="B5790" t="s">
        <v>176</v>
      </c>
      <c r="C5790">
        <v>575.99999785423279</v>
      </c>
      <c r="D5790">
        <v>40</v>
      </c>
      <c r="E5790" s="80">
        <v>35550</v>
      </c>
    </row>
    <row r="5791" spans="1:5">
      <c r="A5791">
        <v>10522</v>
      </c>
      <c r="B5791" t="s">
        <v>177</v>
      </c>
      <c r="C5791">
        <v>575.99999785423279</v>
      </c>
      <c r="D5791">
        <v>40</v>
      </c>
      <c r="E5791" s="80">
        <v>35550</v>
      </c>
    </row>
    <row r="5792" spans="1:5">
      <c r="A5792">
        <v>10522</v>
      </c>
      <c r="B5792" t="s">
        <v>178</v>
      </c>
      <c r="C5792">
        <v>575.99999785423279</v>
      </c>
      <c r="D5792">
        <v>40</v>
      </c>
      <c r="E5792" s="80">
        <v>35550</v>
      </c>
    </row>
    <row r="5793" spans="1:5">
      <c r="A5793">
        <v>10522</v>
      </c>
      <c r="B5793" t="s">
        <v>179</v>
      </c>
      <c r="C5793">
        <v>575.99999785423279</v>
      </c>
      <c r="D5793">
        <v>40</v>
      </c>
      <c r="E5793" s="80">
        <v>35550</v>
      </c>
    </row>
    <row r="5794" spans="1:5">
      <c r="A5794">
        <v>10522</v>
      </c>
      <c r="B5794" t="s">
        <v>172</v>
      </c>
      <c r="C5794">
        <v>960</v>
      </c>
      <c r="D5794">
        <v>24</v>
      </c>
      <c r="E5794" s="80">
        <v>35550</v>
      </c>
    </row>
    <row r="5795" spans="1:5">
      <c r="A5795">
        <v>10522</v>
      </c>
      <c r="B5795" t="s">
        <v>173</v>
      </c>
      <c r="C5795">
        <v>960</v>
      </c>
      <c r="D5795">
        <v>24</v>
      </c>
      <c r="E5795" s="80">
        <v>35550</v>
      </c>
    </row>
    <row r="5796" spans="1:5">
      <c r="A5796">
        <v>10522</v>
      </c>
      <c r="B5796" t="s">
        <v>174</v>
      </c>
      <c r="C5796">
        <v>960</v>
      </c>
      <c r="D5796">
        <v>24</v>
      </c>
      <c r="E5796" s="80">
        <v>35550</v>
      </c>
    </row>
    <row r="5797" spans="1:5">
      <c r="A5797">
        <v>10522</v>
      </c>
      <c r="B5797" t="s">
        <v>175</v>
      </c>
      <c r="C5797">
        <v>960</v>
      </c>
      <c r="D5797">
        <v>24</v>
      </c>
      <c r="E5797" s="80">
        <v>35550</v>
      </c>
    </row>
    <row r="5798" spans="1:5">
      <c r="A5798">
        <v>10522</v>
      </c>
      <c r="B5798" t="s">
        <v>176</v>
      </c>
      <c r="C5798">
        <v>960</v>
      </c>
      <c r="D5798">
        <v>24</v>
      </c>
      <c r="E5798" s="80">
        <v>35550</v>
      </c>
    </row>
    <row r="5799" spans="1:5">
      <c r="A5799">
        <v>10522</v>
      </c>
      <c r="B5799" t="s">
        <v>177</v>
      </c>
      <c r="C5799">
        <v>960</v>
      </c>
      <c r="D5799">
        <v>24</v>
      </c>
      <c r="E5799" s="80">
        <v>35550</v>
      </c>
    </row>
    <row r="5800" spans="1:5">
      <c r="A5800">
        <v>10522</v>
      </c>
      <c r="B5800" t="s">
        <v>178</v>
      </c>
      <c r="C5800">
        <v>960</v>
      </c>
      <c r="D5800">
        <v>24</v>
      </c>
      <c r="E5800" s="80">
        <v>35550</v>
      </c>
    </row>
    <row r="5801" spans="1:5">
      <c r="A5801">
        <v>10522</v>
      </c>
      <c r="B5801" t="s">
        <v>179</v>
      </c>
      <c r="C5801">
        <v>960</v>
      </c>
      <c r="D5801">
        <v>24</v>
      </c>
      <c r="E5801" s="80">
        <v>35550</v>
      </c>
    </row>
    <row r="5802" spans="1:5">
      <c r="A5802">
        <v>10522</v>
      </c>
      <c r="B5802" t="s">
        <v>172</v>
      </c>
      <c r="C5802">
        <v>414.23999845683574</v>
      </c>
      <c r="D5802">
        <v>20</v>
      </c>
      <c r="E5802" s="80">
        <v>35550</v>
      </c>
    </row>
    <row r="5803" spans="1:5">
      <c r="A5803">
        <v>10522</v>
      </c>
      <c r="B5803" t="s">
        <v>173</v>
      </c>
      <c r="C5803">
        <v>414.23999845683574</v>
      </c>
      <c r="D5803">
        <v>20</v>
      </c>
      <c r="E5803" s="80">
        <v>35550</v>
      </c>
    </row>
    <row r="5804" spans="1:5">
      <c r="A5804">
        <v>10522</v>
      </c>
      <c r="B5804" t="s">
        <v>174</v>
      </c>
      <c r="C5804">
        <v>414.23999845683574</v>
      </c>
      <c r="D5804">
        <v>20</v>
      </c>
      <c r="E5804" s="80">
        <v>35550</v>
      </c>
    </row>
    <row r="5805" spans="1:5">
      <c r="A5805">
        <v>10522</v>
      </c>
      <c r="B5805" t="s">
        <v>175</v>
      </c>
      <c r="C5805">
        <v>414.23999845683574</v>
      </c>
      <c r="D5805">
        <v>20</v>
      </c>
      <c r="E5805" s="80">
        <v>35550</v>
      </c>
    </row>
    <row r="5806" spans="1:5">
      <c r="A5806">
        <v>10522</v>
      </c>
      <c r="B5806" t="s">
        <v>176</v>
      </c>
      <c r="C5806">
        <v>414.23999845683574</v>
      </c>
      <c r="D5806">
        <v>20</v>
      </c>
      <c r="E5806" s="80">
        <v>35550</v>
      </c>
    </row>
    <row r="5807" spans="1:5">
      <c r="A5807">
        <v>10522</v>
      </c>
      <c r="B5807" t="s">
        <v>177</v>
      </c>
      <c r="C5807">
        <v>414.23999845683574</v>
      </c>
      <c r="D5807">
        <v>20</v>
      </c>
      <c r="E5807" s="80">
        <v>35550</v>
      </c>
    </row>
    <row r="5808" spans="1:5">
      <c r="A5808">
        <v>10522</v>
      </c>
      <c r="B5808" t="s">
        <v>178</v>
      </c>
      <c r="C5808">
        <v>414.23999845683574</v>
      </c>
      <c r="D5808">
        <v>20</v>
      </c>
      <c r="E5808" s="80">
        <v>35550</v>
      </c>
    </row>
    <row r="5809" spans="1:5">
      <c r="A5809">
        <v>10522</v>
      </c>
      <c r="B5809" t="s">
        <v>179</v>
      </c>
      <c r="C5809">
        <v>414.23999845683574</v>
      </c>
      <c r="D5809">
        <v>20</v>
      </c>
      <c r="E5809" s="80">
        <v>35550</v>
      </c>
    </row>
    <row r="5810" spans="1:5">
      <c r="A5810">
        <v>10522</v>
      </c>
      <c r="B5810" t="s">
        <v>172</v>
      </c>
      <c r="C5810">
        <v>367.99999862909317</v>
      </c>
      <c r="D5810">
        <v>25</v>
      </c>
      <c r="E5810" s="80">
        <v>35550</v>
      </c>
    </row>
    <row r="5811" spans="1:5">
      <c r="A5811">
        <v>10522</v>
      </c>
      <c r="B5811" t="s">
        <v>173</v>
      </c>
      <c r="C5811">
        <v>367.99999862909317</v>
      </c>
      <c r="D5811">
        <v>25</v>
      </c>
      <c r="E5811" s="80">
        <v>35550</v>
      </c>
    </row>
    <row r="5812" spans="1:5">
      <c r="A5812">
        <v>10522</v>
      </c>
      <c r="B5812" t="s">
        <v>174</v>
      </c>
      <c r="C5812">
        <v>367.99999862909317</v>
      </c>
      <c r="D5812">
        <v>25</v>
      </c>
      <c r="E5812" s="80">
        <v>35550</v>
      </c>
    </row>
    <row r="5813" spans="1:5">
      <c r="A5813">
        <v>10522</v>
      </c>
      <c r="B5813" t="s">
        <v>175</v>
      </c>
      <c r="C5813">
        <v>367.99999862909317</v>
      </c>
      <c r="D5813">
        <v>25</v>
      </c>
      <c r="E5813" s="80">
        <v>35550</v>
      </c>
    </row>
    <row r="5814" spans="1:5">
      <c r="A5814">
        <v>10522</v>
      </c>
      <c r="B5814" t="s">
        <v>176</v>
      </c>
      <c r="C5814">
        <v>367.99999862909317</v>
      </c>
      <c r="D5814">
        <v>25</v>
      </c>
      <c r="E5814" s="80">
        <v>35550</v>
      </c>
    </row>
    <row r="5815" spans="1:5">
      <c r="A5815">
        <v>10522</v>
      </c>
      <c r="B5815" t="s">
        <v>177</v>
      </c>
      <c r="C5815">
        <v>367.99999862909317</v>
      </c>
      <c r="D5815">
        <v>25</v>
      </c>
      <c r="E5815" s="80">
        <v>35550</v>
      </c>
    </row>
    <row r="5816" spans="1:5">
      <c r="A5816">
        <v>10522</v>
      </c>
      <c r="B5816" t="s">
        <v>178</v>
      </c>
      <c r="C5816">
        <v>367.99999862909317</v>
      </c>
      <c r="D5816">
        <v>25</v>
      </c>
      <c r="E5816" s="80">
        <v>35550</v>
      </c>
    </row>
    <row r="5817" spans="1:5">
      <c r="A5817">
        <v>10522</v>
      </c>
      <c r="B5817" t="s">
        <v>179</v>
      </c>
      <c r="C5817">
        <v>367.99999862909317</v>
      </c>
      <c r="D5817">
        <v>25</v>
      </c>
      <c r="E5817" s="80">
        <v>35550</v>
      </c>
    </row>
    <row r="5818" spans="1:5">
      <c r="A5818">
        <v>10523</v>
      </c>
      <c r="B5818" t="s">
        <v>172</v>
      </c>
      <c r="C5818">
        <v>877.49999854713678</v>
      </c>
      <c r="D5818">
        <v>25</v>
      </c>
      <c r="E5818" s="80">
        <v>35551</v>
      </c>
    </row>
    <row r="5819" spans="1:5">
      <c r="A5819">
        <v>10523</v>
      </c>
      <c r="B5819" t="s">
        <v>173</v>
      </c>
      <c r="C5819">
        <v>877.49999854713678</v>
      </c>
      <c r="D5819">
        <v>25</v>
      </c>
      <c r="E5819" s="80">
        <v>35551</v>
      </c>
    </row>
    <row r="5820" spans="1:5">
      <c r="A5820">
        <v>10523</v>
      </c>
      <c r="B5820" t="s">
        <v>174</v>
      </c>
      <c r="C5820">
        <v>877.49999854713678</v>
      </c>
      <c r="D5820">
        <v>25</v>
      </c>
      <c r="E5820" s="80">
        <v>35551</v>
      </c>
    </row>
    <row r="5821" spans="1:5">
      <c r="A5821">
        <v>10523</v>
      </c>
      <c r="B5821" t="s">
        <v>175</v>
      </c>
      <c r="C5821">
        <v>877.49999854713678</v>
      </c>
      <c r="D5821">
        <v>25</v>
      </c>
      <c r="E5821" s="80">
        <v>35551</v>
      </c>
    </row>
    <row r="5822" spans="1:5">
      <c r="A5822">
        <v>10523</v>
      </c>
      <c r="B5822" t="s">
        <v>176</v>
      </c>
      <c r="C5822">
        <v>877.49999854713678</v>
      </c>
      <c r="D5822">
        <v>25</v>
      </c>
      <c r="E5822" s="80">
        <v>35551</v>
      </c>
    </row>
    <row r="5823" spans="1:5">
      <c r="A5823">
        <v>10523</v>
      </c>
      <c r="B5823" t="s">
        <v>177</v>
      </c>
      <c r="C5823">
        <v>877.49999854713678</v>
      </c>
      <c r="D5823">
        <v>25</v>
      </c>
      <c r="E5823" s="80">
        <v>35551</v>
      </c>
    </row>
    <row r="5824" spans="1:5">
      <c r="A5824">
        <v>10523</v>
      </c>
      <c r="B5824" t="s">
        <v>178</v>
      </c>
      <c r="C5824">
        <v>877.49999854713678</v>
      </c>
      <c r="D5824">
        <v>25</v>
      </c>
      <c r="E5824" s="80">
        <v>35551</v>
      </c>
    </row>
    <row r="5825" spans="1:5">
      <c r="A5825">
        <v>10523</v>
      </c>
      <c r="B5825" t="s">
        <v>179</v>
      </c>
      <c r="C5825">
        <v>877.49999854713678</v>
      </c>
      <c r="D5825">
        <v>25</v>
      </c>
      <c r="E5825" s="80">
        <v>35551</v>
      </c>
    </row>
    <row r="5826" spans="1:5">
      <c r="A5826">
        <v>10523</v>
      </c>
      <c r="B5826" t="s">
        <v>172</v>
      </c>
      <c r="C5826">
        <v>1093.4999981895089</v>
      </c>
      <c r="D5826">
        <v>15</v>
      </c>
      <c r="E5826" s="80">
        <v>35551</v>
      </c>
    </row>
    <row r="5827" spans="1:5">
      <c r="A5827">
        <v>10523</v>
      </c>
      <c r="B5827" t="s">
        <v>173</v>
      </c>
      <c r="C5827">
        <v>1093.4999981895089</v>
      </c>
      <c r="D5827">
        <v>15</v>
      </c>
      <c r="E5827" s="80">
        <v>35551</v>
      </c>
    </row>
    <row r="5828" spans="1:5">
      <c r="A5828">
        <v>10523</v>
      </c>
      <c r="B5828" t="s">
        <v>174</v>
      </c>
      <c r="C5828">
        <v>1093.4999981895089</v>
      </c>
      <c r="D5828">
        <v>15</v>
      </c>
      <c r="E5828" s="80">
        <v>35551</v>
      </c>
    </row>
    <row r="5829" spans="1:5">
      <c r="A5829">
        <v>10523</v>
      </c>
      <c r="B5829" t="s">
        <v>175</v>
      </c>
      <c r="C5829">
        <v>1093.4999981895089</v>
      </c>
      <c r="D5829">
        <v>15</v>
      </c>
      <c r="E5829" s="80">
        <v>35551</v>
      </c>
    </row>
    <row r="5830" spans="1:5">
      <c r="A5830">
        <v>10523</v>
      </c>
      <c r="B5830" t="s">
        <v>176</v>
      </c>
      <c r="C5830">
        <v>1093.4999981895089</v>
      </c>
      <c r="D5830">
        <v>15</v>
      </c>
      <c r="E5830" s="80">
        <v>35551</v>
      </c>
    </row>
    <row r="5831" spans="1:5">
      <c r="A5831">
        <v>10523</v>
      </c>
      <c r="B5831" t="s">
        <v>177</v>
      </c>
      <c r="C5831">
        <v>1093.4999981895089</v>
      </c>
      <c r="D5831">
        <v>15</v>
      </c>
      <c r="E5831" s="80">
        <v>35551</v>
      </c>
    </row>
    <row r="5832" spans="1:5">
      <c r="A5832">
        <v>10523</v>
      </c>
      <c r="B5832" t="s">
        <v>178</v>
      </c>
      <c r="C5832">
        <v>1093.4999981895089</v>
      </c>
      <c r="D5832">
        <v>15</v>
      </c>
      <c r="E5832" s="80">
        <v>35551</v>
      </c>
    </row>
    <row r="5833" spans="1:5">
      <c r="A5833">
        <v>10523</v>
      </c>
      <c r="B5833" t="s">
        <v>179</v>
      </c>
      <c r="C5833">
        <v>1093.4999981895089</v>
      </c>
      <c r="D5833">
        <v>15</v>
      </c>
      <c r="E5833" s="80">
        <v>35551</v>
      </c>
    </row>
    <row r="5834" spans="1:5">
      <c r="A5834">
        <v>10523</v>
      </c>
      <c r="B5834" t="s">
        <v>172</v>
      </c>
      <c r="C5834">
        <v>421.19999930262566</v>
      </c>
      <c r="D5834">
        <v>18</v>
      </c>
      <c r="E5834" s="80">
        <v>35551</v>
      </c>
    </row>
    <row r="5835" spans="1:5">
      <c r="A5835">
        <v>10523</v>
      </c>
      <c r="B5835" t="s">
        <v>173</v>
      </c>
      <c r="C5835">
        <v>421.19999930262566</v>
      </c>
      <c r="D5835">
        <v>18</v>
      </c>
      <c r="E5835" s="80">
        <v>35551</v>
      </c>
    </row>
    <row r="5836" spans="1:5">
      <c r="A5836">
        <v>10523</v>
      </c>
      <c r="B5836" t="s">
        <v>174</v>
      </c>
      <c r="C5836">
        <v>421.19999930262566</v>
      </c>
      <c r="D5836">
        <v>18</v>
      </c>
      <c r="E5836" s="80">
        <v>35551</v>
      </c>
    </row>
    <row r="5837" spans="1:5">
      <c r="A5837">
        <v>10523</v>
      </c>
      <c r="B5837" t="s">
        <v>175</v>
      </c>
      <c r="C5837">
        <v>421.19999930262566</v>
      </c>
      <c r="D5837">
        <v>18</v>
      </c>
      <c r="E5837" s="80">
        <v>35551</v>
      </c>
    </row>
    <row r="5838" spans="1:5">
      <c r="A5838">
        <v>10523</v>
      </c>
      <c r="B5838" t="s">
        <v>176</v>
      </c>
      <c r="C5838">
        <v>421.19999930262566</v>
      </c>
      <c r="D5838">
        <v>18</v>
      </c>
      <c r="E5838" s="80">
        <v>35551</v>
      </c>
    </row>
    <row r="5839" spans="1:5">
      <c r="A5839">
        <v>10523</v>
      </c>
      <c r="B5839" t="s">
        <v>177</v>
      </c>
      <c r="C5839">
        <v>421.19999930262566</v>
      </c>
      <c r="D5839">
        <v>18</v>
      </c>
      <c r="E5839" s="80">
        <v>35551</v>
      </c>
    </row>
    <row r="5840" spans="1:5">
      <c r="A5840">
        <v>10523</v>
      </c>
      <c r="B5840" t="s">
        <v>178</v>
      </c>
      <c r="C5840">
        <v>421.19999930262566</v>
      </c>
      <c r="D5840">
        <v>18</v>
      </c>
      <c r="E5840" s="80">
        <v>35551</v>
      </c>
    </row>
    <row r="5841" spans="1:5">
      <c r="A5841">
        <v>10523</v>
      </c>
      <c r="B5841" t="s">
        <v>179</v>
      </c>
      <c r="C5841">
        <v>421.19999930262566</v>
      </c>
      <c r="D5841">
        <v>18</v>
      </c>
      <c r="E5841" s="80">
        <v>35551</v>
      </c>
    </row>
    <row r="5842" spans="1:5">
      <c r="A5842">
        <v>10523</v>
      </c>
      <c r="B5842" t="s">
        <v>172</v>
      </c>
      <c r="C5842">
        <v>52.109999913722277</v>
      </c>
      <c r="D5842">
        <v>6</v>
      </c>
      <c r="E5842" s="80">
        <v>35551</v>
      </c>
    </row>
    <row r="5843" spans="1:5">
      <c r="A5843">
        <v>10523</v>
      </c>
      <c r="B5843" t="s">
        <v>173</v>
      </c>
      <c r="C5843">
        <v>52.109999913722277</v>
      </c>
      <c r="D5843">
        <v>6</v>
      </c>
      <c r="E5843" s="80">
        <v>35551</v>
      </c>
    </row>
    <row r="5844" spans="1:5">
      <c r="A5844">
        <v>10523</v>
      </c>
      <c r="B5844" t="s">
        <v>174</v>
      </c>
      <c r="C5844">
        <v>52.109999913722277</v>
      </c>
      <c r="D5844">
        <v>6</v>
      </c>
      <c r="E5844" s="80">
        <v>35551</v>
      </c>
    </row>
    <row r="5845" spans="1:5">
      <c r="A5845">
        <v>10523</v>
      </c>
      <c r="B5845" t="s">
        <v>175</v>
      </c>
      <c r="C5845">
        <v>52.109999913722277</v>
      </c>
      <c r="D5845">
        <v>6</v>
      </c>
      <c r="E5845" s="80">
        <v>35551</v>
      </c>
    </row>
    <row r="5846" spans="1:5">
      <c r="A5846">
        <v>10523</v>
      </c>
      <c r="B5846" t="s">
        <v>176</v>
      </c>
      <c r="C5846">
        <v>52.109999913722277</v>
      </c>
      <c r="D5846">
        <v>6</v>
      </c>
      <c r="E5846" s="80">
        <v>35551</v>
      </c>
    </row>
    <row r="5847" spans="1:5">
      <c r="A5847">
        <v>10523</v>
      </c>
      <c r="B5847" t="s">
        <v>177</v>
      </c>
      <c r="C5847">
        <v>52.109999913722277</v>
      </c>
      <c r="D5847">
        <v>6</v>
      </c>
      <c r="E5847" s="80">
        <v>35551</v>
      </c>
    </row>
    <row r="5848" spans="1:5">
      <c r="A5848">
        <v>10523</v>
      </c>
      <c r="B5848" t="s">
        <v>178</v>
      </c>
      <c r="C5848">
        <v>52.109999913722277</v>
      </c>
      <c r="D5848">
        <v>6</v>
      </c>
      <c r="E5848" s="80">
        <v>35551</v>
      </c>
    </row>
    <row r="5849" spans="1:5">
      <c r="A5849">
        <v>10523</v>
      </c>
      <c r="B5849" t="s">
        <v>179</v>
      </c>
      <c r="C5849">
        <v>52.109999913722277</v>
      </c>
      <c r="D5849">
        <v>6</v>
      </c>
      <c r="E5849" s="80">
        <v>35551</v>
      </c>
    </row>
    <row r="5850" spans="1:5">
      <c r="A5850">
        <v>10524</v>
      </c>
      <c r="B5850" t="s">
        <v>172</v>
      </c>
      <c r="C5850">
        <v>62</v>
      </c>
      <c r="D5850">
        <v>2</v>
      </c>
      <c r="E5850" s="80">
        <v>35551</v>
      </c>
    </row>
    <row r="5851" spans="1:5">
      <c r="A5851">
        <v>10524</v>
      </c>
      <c r="B5851" t="s">
        <v>173</v>
      </c>
      <c r="C5851">
        <v>62</v>
      </c>
      <c r="D5851">
        <v>2</v>
      </c>
      <c r="E5851" s="80">
        <v>35551</v>
      </c>
    </row>
    <row r="5852" spans="1:5">
      <c r="A5852">
        <v>10524</v>
      </c>
      <c r="B5852" t="s">
        <v>174</v>
      </c>
      <c r="C5852">
        <v>62</v>
      </c>
      <c r="D5852">
        <v>2</v>
      </c>
      <c r="E5852" s="80">
        <v>35551</v>
      </c>
    </row>
    <row r="5853" spans="1:5">
      <c r="A5853">
        <v>10524</v>
      </c>
      <c r="B5853" t="s">
        <v>175</v>
      </c>
      <c r="C5853">
        <v>62</v>
      </c>
      <c r="D5853">
        <v>2</v>
      </c>
      <c r="E5853" s="80">
        <v>35551</v>
      </c>
    </row>
    <row r="5854" spans="1:5">
      <c r="A5854">
        <v>10524</v>
      </c>
      <c r="B5854" t="s">
        <v>176</v>
      </c>
      <c r="C5854">
        <v>62</v>
      </c>
      <c r="D5854">
        <v>2</v>
      </c>
      <c r="E5854" s="80">
        <v>35551</v>
      </c>
    </row>
    <row r="5855" spans="1:5">
      <c r="A5855">
        <v>10524</v>
      </c>
      <c r="B5855" t="s">
        <v>177</v>
      </c>
      <c r="C5855">
        <v>62</v>
      </c>
      <c r="D5855">
        <v>2</v>
      </c>
      <c r="E5855" s="80">
        <v>35551</v>
      </c>
    </row>
    <row r="5856" spans="1:5">
      <c r="A5856">
        <v>10524</v>
      </c>
      <c r="B5856" t="s">
        <v>178</v>
      </c>
      <c r="C5856">
        <v>62</v>
      </c>
      <c r="D5856">
        <v>2</v>
      </c>
      <c r="E5856" s="80">
        <v>35551</v>
      </c>
    </row>
    <row r="5857" spans="1:5">
      <c r="A5857">
        <v>10524</v>
      </c>
      <c r="B5857" t="s">
        <v>179</v>
      </c>
      <c r="C5857">
        <v>62</v>
      </c>
      <c r="D5857">
        <v>2</v>
      </c>
      <c r="E5857" s="80">
        <v>35551</v>
      </c>
    </row>
    <row r="5858" spans="1:5">
      <c r="A5858">
        <v>10524</v>
      </c>
      <c r="B5858" t="s">
        <v>172</v>
      </c>
      <c r="C5858">
        <v>258.89999999999998</v>
      </c>
      <c r="D5858">
        <v>10</v>
      </c>
      <c r="E5858" s="80">
        <v>35551</v>
      </c>
    </row>
    <row r="5859" spans="1:5">
      <c r="A5859">
        <v>10524</v>
      </c>
      <c r="B5859" t="s">
        <v>173</v>
      </c>
      <c r="C5859">
        <v>258.89999999999998</v>
      </c>
      <c r="D5859">
        <v>10</v>
      </c>
      <c r="E5859" s="80">
        <v>35551</v>
      </c>
    </row>
    <row r="5860" spans="1:5">
      <c r="A5860">
        <v>10524</v>
      </c>
      <c r="B5860" t="s">
        <v>174</v>
      </c>
      <c r="C5860">
        <v>258.89999999999998</v>
      </c>
      <c r="D5860">
        <v>10</v>
      </c>
      <c r="E5860" s="80">
        <v>35551</v>
      </c>
    </row>
    <row r="5861" spans="1:5">
      <c r="A5861">
        <v>10524</v>
      </c>
      <c r="B5861" t="s">
        <v>175</v>
      </c>
      <c r="C5861">
        <v>258.89999999999998</v>
      </c>
      <c r="D5861">
        <v>10</v>
      </c>
      <c r="E5861" s="80">
        <v>35551</v>
      </c>
    </row>
    <row r="5862" spans="1:5">
      <c r="A5862">
        <v>10524</v>
      </c>
      <c r="B5862" t="s">
        <v>176</v>
      </c>
      <c r="C5862">
        <v>258.89999999999998</v>
      </c>
      <c r="D5862">
        <v>10</v>
      </c>
      <c r="E5862" s="80">
        <v>35551</v>
      </c>
    </row>
    <row r="5863" spans="1:5">
      <c r="A5863">
        <v>10524</v>
      </c>
      <c r="B5863" t="s">
        <v>177</v>
      </c>
      <c r="C5863">
        <v>258.89999999999998</v>
      </c>
      <c r="D5863">
        <v>10</v>
      </c>
      <c r="E5863" s="80">
        <v>35551</v>
      </c>
    </row>
    <row r="5864" spans="1:5">
      <c r="A5864">
        <v>10524</v>
      </c>
      <c r="B5864" t="s">
        <v>178</v>
      </c>
      <c r="C5864">
        <v>258.89999999999998</v>
      </c>
      <c r="D5864">
        <v>10</v>
      </c>
      <c r="E5864" s="80">
        <v>35551</v>
      </c>
    </row>
    <row r="5865" spans="1:5">
      <c r="A5865">
        <v>10524</v>
      </c>
      <c r="B5865" t="s">
        <v>179</v>
      </c>
      <c r="C5865">
        <v>258.89999999999998</v>
      </c>
      <c r="D5865">
        <v>10</v>
      </c>
      <c r="E5865" s="80">
        <v>35551</v>
      </c>
    </row>
    <row r="5866" spans="1:5">
      <c r="A5866">
        <v>10524</v>
      </c>
      <c r="B5866" t="s">
        <v>172</v>
      </c>
      <c r="C5866">
        <v>2760</v>
      </c>
      <c r="D5866">
        <v>60</v>
      </c>
      <c r="E5866" s="80">
        <v>35551</v>
      </c>
    </row>
    <row r="5867" spans="1:5">
      <c r="A5867">
        <v>10524</v>
      </c>
      <c r="B5867" t="s">
        <v>173</v>
      </c>
      <c r="C5867">
        <v>2760</v>
      </c>
      <c r="D5867">
        <v>60</v>
      </c>
      <c r="E5867" s="80">
        <v>35551</v>
      </c>
    </row>
    <row r="5868" spans="1:5">
      <c r="A5868">
        <v>10524</v>
      </c>
      <c r="B5868" t="s">
        <v>174</v>
      </c>
      <c r="C5868">
        <v>2760</v>
      </c>
      <c r="D5868">
        <v>60</v>
      </c>
      <c r="E5868" s="80">
        <v>35551</v>
      </c>
    </row>
    <row r="5869" spans="1:5">
      <c r="A5869">
        <v>10524</v>
      </c>
      <c r="B5869" t="s">
        <v>175</v>
      </c>
      <c r="C5869">
        <v>2760</v>
      </c>
      <c r="D5869">
        <v>60</v>
      </c>
      <c r="E5869" s="80">
        <v>35551</v>
      </c>
    </row>
    <row r="5870" spans="1:5">
      <c r="A5870">
        <v>10524</v>
      </c>
      <c r="B5870" t="s">
        <v>176</v>
      </c>
      <c r="C5870">
        <v>2760</v>
      </c>
      <c r="D5870">
        <v>60</v>
      </c>
      <c r="E5870" s="80">
        <v>35551</v>
      </c>
    </row>
    <row r="5871" spans="1:5">
      <c r="A5871">
        <v>10524</v>
      </c>
      <c r="B5871" t="s">
        <v>177</v>
      </c>
      <c r="C5871">
        <v>2760</v>
      </c>
      <c r="D5871">
        <v>60</v>
      </c>
      <c r="E5871" s="80">
        <v>35551</v>
      </c>
    </row>
    <row r="5872" spans="1:5">
      <c r="A5872">
        <v>10524</v>
      </c>
      <c r="B5872" t="s">
        <v>178</v>
      </c>
      <c r="C5872">
        <v>2760</v>
      </c>
      <c r="D5872">
        <v>60</v>
      </c>
      <c r="E5872" s="80">
        <v>35551</v>
      </c>
    </row>
    <row r="5873" spans="1:5">
      <c r="A5873">
        <v>10524</v>
      </c>
      <c r="B5873" t="s">
        <v>179</v>
      </c>
      <c r="C5873">
        <v>2760</v>
      </c>
      <c r="D5873">
        <v>60</v>
      </c>
      <c r="E5873" s="80">
        <v>35551</v>
      </c>
    </row>
    <row r="5874" spans="1:5">
      <c r="A5874">
        <v>10524</v>
      </c>
      <c r="B5874" t="s">
        <v>172</v>
      </c>
      <c r="C5874">
        <v>111.75</v>
      </c>
      <c r="D5874">
        <v>15</v>
      </c>
      <c r="E5874" s="80">
        <v>35551</v>
      </c>
    </row>
    <row r="5875" spans="1:5">
      <c r="A5875">
        <v>10524</v>
      </c>
      <c r="B5875" t="s">
        <v>173</v>
      </c>
      <c r="C5875">
        <v>111.75</v>
      </c>
      <c r="D5875">
        <v>15</v>
      </c>
      <c r="E5875" s="80">
        <v>35551</v>
      </c>
    </row>
    <row r="5876" spans="1:5">
      <c r="A5876">
        <v>10524</v>
      </c>
      <c r="B5876" t="s">
        <v>174</v>
      </c>
      <c r="C5876">
        <v>111.75</v>
      </c>
      <c r="D5876">
        <v>15</v>
      </c>
      <c r="E5876" s="80">
        <v>35551</v>
      </c>
    </row>
    <row r="5877" spans="1:5">
      <c r="A5877">
        <v>10524</v>
      </c>
      <c r="B5877" t="s">
        <v>175</v>
      </c>
      <c r="C5877">
        <v>111.75</v>
      </c>
      <c r="D5877">
        <v>15</v>
      </c>
      <c r="E5877" s="80">
        <v>35551</v>
      </c>
    </row>
    <row r="5878" spans="1:5">
      <c r="A5878">
        <v>10524</v>
      </c>
      <c r="B5878" t="s">
        <v>176</v>
      </c>
      <c r="C5878">
        <v>111.75</v>
      </c>
      <c r="D5878">
        <v>15</v>
      </c>
      <c r="E5878" s="80">
        <v>35551</v>
      </c>
    </row>
    <row r="5879" spans="1:5">
      <c r="A5879">
        <v>10524</v>
      </c>
      <c r="B5879" t="s">
        <v>177</v>
      </c>
      <c r="C5879">
        <v>111.75</v>
      </c>
      <c r="D5879">
        <v>15</v>
      </c>
      <c r="E5879" s="80">
        <v>35551</v>
      </c>
    </row>
    <row r="5880" spans="1:5">
      <c r="A5880">
        <v>10524</v>
      </c>
      <c r="B5880" t="s">
        <v>178</v>
      </c>
      <c r="C5880">
        <v>111.75</v>
      </c>
      <c r="D5880">
        <v>15</v>
      </c>
      <c r="E5880" s="80">
        <v>35551</v>
      </c>
    </row>
    <row r="5881" spans="1:5">
      <c r="A5881">
        <v>10524</v>
      </c>
      <c r="B5881" t="s">
        <v>179</v>
      </c>
      <c r="C5881">
        <v>111.75</v>
      </c>
      <c r="D5881">
        <v>15</v>
      </c>
      <c r="E5881" s="80">
        <v>35551</v>
      </c>
    </row>
    <row r="5882" spans="1:5">
      <c r="A5882">
        <v>10525</v>
      </c>
      <c r="B5882" t="s">
        <v>172</v>
      </c>
      <c r="C5882">
        <v>570</v>
      </c>
      <c r="D5882">
        <v>30</v>
      </c>
      <c r="E5882" s="80">
        <v>35552</v>
      </c>
    </row>
    <row r="5883" spans="1:5">
      <c r="A5883">
        <v>10525</v>
      </c>
      <c r="B5883" t="s">
        <v>173</v>
      </c>
      <c r="C5883">
        <v>570</v>
      </c>
      <c r="D5883">
        <v>30</v>
      </c>
      <c r="E5883" s="80">
        <v>35552</v>
      </c>
    </row>
    <row r="5884" spans="1:5">
      <c r="A5884">
        <v>10525</v>
      </c>
      <c r="B5884" t="s">
        <v>174</v>
      </c>
      <c r="C5884">
        <v>570</v>
      </c>
      <c r="D5884">
        <v>30</v>
      </c>
      <c r="E5884" s="80">
        <v>35552</v>
      </c>
    </row>
    <row r="5885" spans="1:5">
      <c r="A5885">
        <v>10525</v>
      </c>
      <c r="B5885" t="s">
        <v>175</v>
      </c>
      <c r="C5885">
        <v>570</v>
      </c>
      <c r="D5885">
        <v>30</v>
      </c>
      <c r="E5885" s="80">
        <v>35552</v>
      </c>
    </row>
    <row r="5886" spans="1:5">
      <c r="A5886">
        <v>10525</v>
      </c>
      <c r="B5886" t="s">
        <v>176</v>
      </c>
      <c r="C5886">
        <v>570</v>
      </c>
      <c r="D5886">
        <v>30</v>
      </c>
      <c r="E5886" s="80">
        <v>35552</v>
      </c>
    </row>
    <row r="5887" spans="1:5">
      <c r="A5887">
        <v>10525</v>
      </c>
      <c r="B5887" t="s">
        <v>177</v>
      </c>
      <c r="C5887">
        <v>570</v>
      </c>
      <c r="D5887">
        <v>30</v>
      </c>
      <c r="E5887" s="80">
        <v>35552</v>
      </c>
    </row>
    <row r="5888" spans="1:5">
      <c r="A5888">
        <v>10525</v>
      </c>
      <c r="B5888" t="s">
        <v>178</v>
      </c>
      <c r="C5888">
        <v>570</v>
      </c>
      <c r="D5888">
        <v>30</v>
      </c>
      <c r="E5888" s="80">
        <v>35552</v>
      </c>
    </row>
    <row r="5889" spans="1:5">
      <c r="A5889">
        <v>10525</v>
      </c>
      <c r="B5889" t="s">
        <v>179</v>
      </c>
      <c r="C5889">
        <v>570</v>
      </c>
      <c r="D5889">
        <v>30</v>
      </c>
      <c r="E5889" s="80">
        <v>35552</v>
      </c>
    </row>
    <row r="5890" spans="1:5">
      <c r="A5890">
        <v>10525</v>
      </c>
      <c r="B5890" t="s">
        <v>172</v>
      </c>
      <c r="C5890">
        <v>248.39999958872795</v>
      </c>
      <c r="D5890">
        <v>15</v>
      </c>
      <c r="E5890" s="80">
        <v>35552</v>
      </c>
    </row>
    <row r="5891" spans="1:5">
      <c r="A5891">
        <v>10525</v>
      </c>
      <c r="B5891" t="s">
        <v>173</v>
      </c>
      <c r="C5891">
        <v>248.39999958872795</v>
      </c>
      <c r="D5891">
        <v>15</v>
      </c>
      <c r="E5891" s="80">
        <v>35552</v>
      </c>
    </row>
    <row r="5892" spans="1:5">
      <c r="A5892">
        <v>10525</v>
      </c>
      <c r="B5892" t="s">
        <v>174</v>
      </c>
      <c r="C5892">
        <v>248.39999958872795</v>
      </c>
      <c r="D5892">
        <v>15</v>
      </c>
      <c r="E5892" s="80">
        <v>35552</v>
      </c>
    </row>
    <row r="5893" spans="1:5">
      <c r="A5893">
        <v>10525</v>
      </c>
      <c r="B5893" t="s">
        <v>175</v>
      </c>
      <c r="C5893">
        <v>248.39999958872795</v>
      </c>
      <c r="D5893">
        <v>15</v>
      </c>
      <c r="E5893" s="80">
        <v>35552</v>
      </c>
    </row>
    <row r="5894" spans="1:5">
      <c r="A5894">
        <v>10525</v>
      </c>
      <c r="B5894" t="s">
        <v>176</v>
      </c>
      <c r="C5894">
        <v>248.39999958872795</v>
      </c>
      <c r="D5894">
        <v>15</v>
      </c>
      <c r="E5894" s="80">
        <v>35552</v>
      </c>
    </row>
    <row r="5895" spans="1:5">
      <c r="A5895">
        <v>10525</v>
      </c>
      <c r="B5895" t="s">
        <v>177</v>
      </c>
      <c r="C5895">
        <v>248.39999958872795</v>
      </c>
      <c r="D5895">
        <v>15</v>
      </c>
      <c r="E5895" s="80">
        <v>35552</v>
      </c>
    </row>
    <row r="5896" spans="1:5">
      <c r="A5896">
        <v>10525</v>
      </c>
      <c r="B5896" t="s">
        <v>178</v>
      </c>
      <c r="C5896">
        <v>248.39999958872795</v>
      </c>
      <c r="D5896">
        <v>15</v>
      </c>
      <c r="E5896" s="80">
        <v>35552</v>
      </c>
    </row>
    <row r="5897" spans="1:5">
      <c r="A5897">
        <v>10525</v>
      </c>
      <c r="B5897" t="s">
        <v>179</v>
      </c>
      <c r="C5897">
        <v>248.39999958872795</v>
      </c>
      <c r="D5897">
        <v>15</v>
      </c>
      <c r="E5897" s="80">
        <v>35552</v>
      </c>
    </row>
    <row r="5898" spans="1:5">
      <c r="A5898">
        <v>10526</v>
      </c>
      <c r="B5898" t="s">
        <v>172</v>
      </c>
      <c r="C5898">
        <v>122.39999914169312</v>
      </c>
      <c r="D5898">
        <v>8</v>
      </c>
      <c r="E5898" s="80">
        <v>35555</v>
      </c>
    </row>
    <row r="5899" spans="1:5">
      <c r="A5899">
        <v>10526</v>
      </c>
      <c r="B5899" t="s">
        <v>173</v>
      </c>
      <c r="C5899">
        <v>122.39999914169312</v>
      </c>
      <c r="D5899">
        <v>8</v>
      </c>
      <c r="E5899" s="80">
        <v>35555</v>
      </c>
    </row>
    <row r="5900" spans="1:5">
      <c r="A5900">
        <v>10526</v>
      </c>
      <c r="B5900" t="s">
        <v>174</v>
      </c>
      <c r="C5900">
        <v>122.39999914169312</v>
      </c>
      <c r="D5900">
        <v>8</v>
      </c>
      <c r="E5900" s="80">
        <v>35555</v>
      </c>
    </row>
    <row r="5901" spans="1:5">
      <c r="A5901">
        <v>10526</v>
      </c>
      <c r="B5901" t="s">
        <v>175</v>
      </c>
      <c r="C5901">
        <v>122.39999914169312</v>
      </c>
      <c r="D5901">
        <v>8</v>
      </c>
      <c r="E5901" s="80">
        <v>35555</v>
      </c>
    </row>
    <row r="5902" spans="1:5">
      <c r="A5902">
        <v>10526</v>
      </c>
      <c r="B5902" t="s">
        <v>176</v>
      </c>
      <c r="C5902">
        <v>122.39999914169312</v>
      </c>
      <c r="D5902">
        <v>8</v>
      </c>
      <c r="E5902" s="80">
        <v>35555</v>
      </c>
    </row>
    <row r="5903" spans="1:5">
      <c r="A5903">
        <v>10526</v>
      </c>
      <c r="B5903" t="s">
        <v>177</v>
      </c>
      <c r="C5903">
        <v>122.39999914169312</v>
      </c>
      <c r="D5903">
        <v>8</v>
      </c>
      <c r="E5903" s="80">
        <v>35555</v>
      </c>
    </row>
    <row r="5904" spans="1:5">
      <c r="A5904">
        <v>10526</v>
      </c>
      <c r="B5904" t="s">
        <v>178</v>
      </c>
      <c r="C5904">
        <v>122.39999914169312</v>
      </c>
      <c r="D5904">
        <v>8</v>
      </c>
      <c r="E5904" s="80">
        <v>35555</v>
      </c>
    </row>
    <row r="5905" spans="1:5">
      <c r="A5905">
        <v>10526</v>
      </c>
      <c r="B5905" t="s">
        <v>179</v>
      </c>
      <c r="C5905">
        <v>122.39999914169312</v>
      </c>
      <c r="D5905">
        <v>8</v>
      </c>
      <c r="E5905" s="80">
        <v>35555</v>
      </c>
    </row>
    <row r="5906" spans="1:5">
      <c r="A5906">
        <v>10526</v>
      </c>
      <c r="B5906" t="s">
        <v>172</v>
      </c>
      <c r="C5906">
        <v>60</v>
      </c>
      <c r="D5906">
        <v>10</v>
      </c>
      <c r="E5906" s="80">
        <v>35555</v>
      </c>
    </row>
    <row r="5907" spans="1:5">
      <c r="A5907">
        <v>10526</v>
      </c>
      <c r="B5907" t="s">
        <v>173</v>
      </c>
      <c r="C5907">
        <v>60</v>
      </c>
      <c r="D5907">
        <v>10</v>
      </c>
      <c r="E5907" s="80">
        <v>35555</v>
      </c>
    </row>
    <row r="5908" spans="1:5">
      <c r="A5908">
        <v>10526</v>
      </c>
      <c r="B5908" t="s">
        <v>174</v>
      </c>
      <c r="C5908">
        <v>60</v>
      </c>
      <c r="D5908">
        <v>10</v>
      </c>
      <c r="E5908" s="80">
        <v>35555</v>
      </c>
    </row>
    <row r="5909" spans="1:5">
      <c r="A5909">
        <v>10526</v>
      </c>
      <c r="B5909" t="s">
        <v>175</v>
      </c>
      <c r="C5909">
        <v>60</v>
      </c>
      <c r="D5909">
        <v>10</v>
      </c>
      <c r="E5909" s="80">
        <v>35555</v>
      </c>
    </row>
    <row r="5910" spans="1:5">
      <c r="A5910">
        <v>10526</v>
      </c>
      <c r="B5910" t="s">
        <v>176</v>
      </c>
      <c r="C5910">
        <v>60</v>
      </c>
      <c r="D5910">
        <v>10</v>
      </c>
      <c r="E5910" s="80">
        <v>35555</v>
      </c>
    </row>
    <row r="5911" spans="1:5">
      <c r="A5911">
        <v>10526</v>
      </c>
      <c r="B5911" t="s">
        <v>177</v>
      </c>
      <c r="C5911">
        <v>60</v>
      </c>
      <c r="D5911">
        <v>10</v>
      </c>
      <c r="E5911" s="80">
        <v>35555</v>
      </c>
    </row>
    <row r="5912" spans="1:5">
      <c r="A5912">
        <v>10526</v>
      </c>
      <c r="B5912" t="s">
        <v>178</v>
      </c>
      <c r="C5912">
        <v>60</v>
      </c>
      <c r="D5912">
        <v>10</v>
      </c>
      <c r="E5912" s="80">
        <v>35555</v>
      </c>
    </row>
    <row r="5913" spans="1:5">
      <c r="A5913">
        <v>10526</v>
      </c>
      <c r="B5913" t="s">
        <v>179</v>
      </c>
      <c r="C5913">
        <v>60</v>
      </c>
      <c r="D5913">
        <v>10</v>
      </c>
      <c r="E5913" s="80">
        <v>35555</v>
      </c>
    </row>
    <row r="5914" spans="1:5">
      <c r="A5914">
        <v>10526</v>
      </c>
      <c r="B5914" t="s">
        <v>172</v>
      </c>
      <c r="C5914">
        <v>968.9999932050705</v>
      </c>
      <c r="D5914">
        <v>30</v>
      </c>
      <c r="E5914" s="80">
        <v>35555</v>
      </c>
    </row>
    <row r="5915" spans="1:5">
      <c r="A5915">
        <v>10526</v>
      </c>
      <c r="B5915" t="s">
        <v>173</v>
      </c>
      <c r="C5915">
        <v>968.9999932050705</v>
      </c>
      <c r="D5915">
        <v>30</v>
      </c>
      <c r="E5915" s="80">
        <v>35555</v>
      </c>
    </row>
    <row r="5916" spans="1:5">
      <c r="A5916">
        <v>10526</v>
      </c>
      <c r="B5916" t="s">
        <v>174</v>
      </c>
      <c r="C5916">
        <v>968.9999932050705</v>
      </c>
      <c r="D5916">
        <v>30</v>
      </c>
      <c r="E5916" s="80">
        <v>35555</v>
      </c>
    </row>
    <row r="5917" spans="1:5">
      <c r="A5917">
        <v>10526</v>
      </c>
      <c r="B5917" t="s">
        <v>175</v>
      </c>
      <c r="C5917">
        <v>968.9999932050705</v>
      </c>
      <c r="D5917">
        <v>30</v>
      </c>
      <c r="E5917" s="80">
        <v>35555</v>
      </c>
    </row>
    <row r="5918" spans="1:5">
      <c r="A5918">
        <v>10526</v>
      </c>
      <c r="B5918" t="s">
        <v>176</v>
      </c>
      <c r="C5918">
        <v>968.9999932050705</v>
      </c>
      <c r="D5918">
        <v>30</v>
      </c>
      <c r="E5918" s="80">
        <v>35555</v>
      </c>
    </row>
    <row r="5919" spans="1:5">
      <c r="A5919">
        <v>10526</v>
      </c>
      <c r="B5919" t="s">
        <v>177</v>
      </c>
      <c r="C5919">
        <v>968.9999932050705</v>
      </c>
      <c r="D5919">
        <v>30</v>
      </c>
      <c r="E5919" s="80">
        <v>35555</v>
      </c>
    </row>
    <row r="5920" spans="1:5">
      <c r="A5920">
        <v>10526</v>
      </c>
      <c r="B5920" t="s">
        <v>178</v>
      </c>
      <c r="C5920">
        <v>968.9999932050705</v>
      </c>
      <c r="D5920">
        <v>30</v>
      </c>
      <c r="E5920" s="80">
        <v>35555</v>
      </c>
    </row>
    <row r="5921" spans="1:5">
      <c r="A5921">
        <v>10526</v>
      </c>
      <c r="B5921" t="s">
        <v>179</v>
      </c>
      <c r="C5921">
        <v>968.9999932050705</v>
      </c>
      <c r="D5921">
        <v>30</v>
      </c>
      <c r="E5921" s="80">
        <v>35555</v>
      </c>
    </row>
    <row r="5922" spans="1:5">
      <c r="A5922">
        <v>10527</v>
      </c>
      <c r="B5922" t="s">
        <v>172</v>
      </c>
      <c r="C5922">
        <v>989.99999836087227</v>
      </c>
      <c r="D5922">
        <v>50</v>
      </c>
      <c r="E5922" s="80">
        <v>35555</v>
      </c>
    </row>
    <row r="5923" spans="1:5">
      <c r="A5923">
        <v>10527</v>
      </c>
      <c r="B5923" t="s">
        <v>173</v>
      </c>
      <c r="C5923">
        <v>989.99999836087227</v>
      </c>
      <c r="D5923">
        <v>50</v>
      </c>
      <c r="E5923" s="80">
        <v>35555</v>
      </c>
    </row>
    <row r="5924" spans="1:5">
      <c r="A5924">
        <v>10527</v>
      </c>
      <c r="B5924" t="s">
        <v>174</v>
      </c>
      <c r="C5924">
        <v>989.99999836087227</v>
      </c>
      <c r="D5924">
        <v>50</v>
      </c>
      <c r="E5924" s="80">
        <v>35555</v>
      </c>
    </row>
    <row r="5925" spans="1:5">
      <c r="A5925">
        <v>10527</v>
      </c>
      <c r="B5925" t="s">
        <v>175</v>
      </c>
      <c r="C5925">
        <v>989.99999836087227</v>
      </c>
      <c r="D5925">
        <v>50</v>
      </c>
      <c r="E5925" s="80">
        <v>35555</v>
      </c>
    </row>
    <row r="5926" spans="1:5">
      <c r="A5926">
        <v>10527</v>
      </c>
      <c r="B5926" t="s">
        <v>176</v>
      </c>
      <c r="C5926">
        <v>989.99999836087227</v>
      </c>
      <c r="D5926">
        <v>50</v>
      </c>
      <c r="E5926" s="80">
        <v>35555</v>
      </c>
    </row>
    <row r="5927" spans="1:5">
      <c r="A5927">
        <v>10527</v>
      </c>
      <c r="B5927" t="s">
        <v>177</v>
      </c>
      <c r="C5927">
        <v>989.99999836087227</v>
      </c>
      <c r="D5927">
        <v>50</v>
      </c>
      <c r="E5927" s="80">
        <v>35555</v>
      </c>
    </row>
    <row r="5928" spans="1:5">
      <c r="A5928">
        <v>10527</v>
      </c>
      <c r="B5928" t="s">
        <v>178</v>
      </c>
      <c r="C5928">
        <v>989.99999836087227</v>
      </c>
      <c r="D5928">
        <v>50</v>
      </c>
      <c r="E5928" s="80">
        <v>35555</v>
      </c>
    </row>
    <row r="5929" spans="1:5">
      <c r="A5929">
        <v>10527</v>
      </c>
      <c r="B5929" t="s">
        <v>179</v>
      </c>
      <c r="C5929">
        <v>989.99999836087227</v>
      </c>
      <c r="D5929">
        <v>50</v>
      </c>
      <c r="E5929" s="80">
        <v>35555</v>
      </c>
    </row>
    <row r="5930" spans="1:5">
      <c r="A5930">
        <v>10527</v>
      </c>
      <c r="B5930" t="s">
        <v>172</v>
      </c>
      <c r="C5930">
        <v>512.99999915063381</v>
      </c>
      <c r="D5930">
        <v>30</v>
      </c>
      <c r="E5930" s="80">
        <v>35555</v>
      </c>
    </row>
    <row r="5931" spans="1:5">
      <c r="A5931">
        <v>10527</v>
      </c>
      <c r="B5931" t="s">
        <v>173</v>
      </c>
      <c r="C5931">
        <v>512.99999915063381</v>
      </c>
      <c r="D5931">
        <v>30</v>
      </c>
      <c r="E5931" s="80">
        <v>35555</v>
      </c>
    </row>
    <row r="5932" spans="1:5">
      <c r="A5932">
        <v>10527</v>
      </c>
      <c r="B5932" t="s">
        <v>174</v>
      </c>
      <c r="C5932">
        <v>512.99999915063381</v>
      </c>
      <c r="D5932">
        <v>30</v>
      </c>
      <c r="E5932" s="80">
        <v>35555</v>
      </c>
    </row>
    <row r="5933" spans="1:5">
      <c r="A5933">
        <v>10527</v>
      </c>
      <c r="B5933" t="s">
        <v>175</v>
      </c>
      <c r="C5933">
        <v>512.99999915063381</v>
      </c>
      <c r="D5933">
        <v>30</v>
      </c>
      <c r="E5933" s="80">
        <v>35555</v>
      </c>
    </row>
    <row r="5934" spans="1:5">
      <c r="A5934">
        <v>10527</v>
      </c>
      <c r="B5934" t="s">
        <v>176</v>
      </c>
      <c r="C5934">
        <v>512.99999915063381</v>
      </c>
      <c r="D5934">
        <v>30</v>
      </c>
      <c r="E5934" s="80">
        <v>35555</v>
      </c>
    </row>
    <row r="5935" spans="1:5">
      <c r="A5935">
        <v>10527</v>
      </c>
      <c r="B5935" t="s">
        <v>177</v>
      </c>
      <c r="C5935">
        <v>512.99999915063381</v>
      </c>
      <c r="D5935">
        <v>30</v>
      </c>
      <c r="E5935" s="80">
        <v>35555</v>
      </c>
    </row>
    <row r="5936" spans="1:5">
      <c r="A5936">
        <v>10527</v>
      </c>
      <c r="B5936" t="s">
        <v>178</v>
      </c>
      <c r="C5936">
        <v>512.99999915063381</v>
      </c>
      <c r="D5936">
        <v>30</v>
      </c>
      <c r="E5936" s="80">
        <v>35555</v>
      </c>
    </row>
    <row r="5937" spans="1:5">
      <c r="A5937">
        <v>10527</v>
      </c>
      <c r="B5937" t="s">
        <v>179</v>
      </c>
      <c r="C5937">
        <v>512.99999915063381</v>
      </c>
      <c r="D5937">
        <v>30</v>
      </c>
      <c r="E5937" s="80">
        <v>35555</v>
      </c>
    </row>
    <row r="5938" spans="1:5">
      <c r="A5938">
        <v>10528</v>
      </c>
      <c r="B5938" t="s">
        <v>172</v>
      </c>
      <c r="C5938">
        <v>63</v>
      </c>
      <c r="D5938">
        <v>3</v>
      </c>
      <c r="E5938" s="80">
        <v>35556</v>
      </c>
    </row>
    <row r="5939" spans="1:5">
      <c r="A5939">
        <v>10528</v>
      </c>
      <c r="B5939" t="s">
        <v>173</v>
      </c>
      <c r="C5939">
        <v>63</v>
      </c>
      <c r="D5939">
        <v>3</v>
      </c>
      <c r="E5939" s="80">
        <v>35556</v>
      </c>
    </row>
    <row r="5940" spans="1:5">
      <c r="A5940">
        <v>10528</v>
      </c>
      <c r="B5940" t="s">
        <v>174</v>
      </c>
      <c r="C5940">
        <v>63</v>
      </c>
      <c r="D5940">
        <v>3</v>
      </c>
      <c r="E5940" s="80">
        <v>35556</v>
      </c>
    </row>
    <row r="5941" spans="1:5">
      <c r="A5941">
        <v>10528</v>
      </c>
      <c r="B5941" t="s">
        <v>175</v>
      </c>
      <c r="C5941">
        <v>63</v>
      </c>
      <c r="D5941">
        <v>3</v>
      </c>
      <c r="E5941" s="80">
        <v>35556</v>
      </c>
    </row>
    <row r="5942" spans="1:5">
      <c r="A5942">
        <v>10528</v>
      </c>
      <c r="B5942" t="s">
        <v>176</v>
      </c>
      <c r="C5942">
        <v>63</v>
      </c>
      <c r="D5942">
        <v>3</v>
      </c>
      <c r="E5942" s="80">
        <v>35556</v>
      </c>
    </row>
    <row r="5943" spans="1:5">
      <c r="A5943">
        <v>10528</v>
      </c>
      <c r="B5943" t="s">
        <v>177</v>
      </c>
      <c r="C5943">
        <v>63</v>
      </c>
      <c r="D5943">
        <v>3</v>
      </c>
      <c r="E5943" s="80">
        <v>35556</v>
      </c>
    </row>
    <row r="5944" spans="1:5">
      <c r="A5944">
        <v>10528</v>
      </c>
      <c r="B5944" t="s">
        <v>178</v>
      </c>
      <c r="C5944">
        <v>63</v>
      </c>
      <c r="D5944">
        <v>3</v>
      </c>
      <c r="E5944" s="80">
        <v>35556</v>
      </c>
    </row>
    <row r="5945" spans="1:5">
      <c r="A5945">
        <v>10528</v>
      </c>
      <c r="B5945" t="s">
        <v>179</v>
      </c>
      <c r="C5945">
        <v>63</v>
      </c>
      <c r="D5945">
        <v>3</v>
      </c>
      <c r="E5945" s="80">
        <v>35556</v>
      </c>
    </row>
    <row r="5946" spans="1:5">
      <c r="A5946">
        <v>10528</v>
      </c>
      <c r="B5946" t="s">
        <v>172</v>
      </c>
      <c r="C5946">
        <v>15.999999940395355</v>
      </c>
      <c r="D5946">
        <v>8</v>
      </c>
      <c r="E5946" s="80">
        <v>35556</v>
      </c>
    </row>
    <row r="5947" spans="1:5">
      <c r="A5947">
        <v>10528</v>
      </c>
      <c r="B5947" t="s">
        <v>173</v>
      </c>
      <c r="C5947">
        <v>15.999999940395355</v>
      </c>
      <c r="D5947">
        <v>8</v>
      </c>
      <c r="E5947" s="80">
        <v>35556</v>
      </c>
    </row>
    <row r="5948" spans="1:5">
      <c r="A5948">
        <v>10528</v>
      </c>
      <c r="B5948" t="s">
        <v>174</v>
      </c>
      <c r="C5948">
        <v>15.999999940395355</v>
      </c>
      <c r="D5948">
        <v>8</v>
      </c>
      <c r="E5948" s="80">
        <v>35556</v>
      </c>
    </row>
    <row r="5949" spans="1:5">
      <c r="A5949">
        <v>10528</v>
      </c>
      <c r="B5949" t="s">
        <v>175</v>
      </c>
      <c r="C5949">
        <v>15.999999940395355</v>
      </c>
      <c r="D5949">
        <v>8</v>
      </c>
      <c r="E5949" s="80">
        <v>35556</v>
      </c>
    </row>
    <row r="5950" spans="1:5">
      <c r="A5950">
        <v>10528</v>
      </c>
      <c r="B5950" t="s">
        <v>176</v>
      </c>
      <c r="C5950">
        <v>15.999999940395355</v>
      </c>
      <c r="D5950">
        <v>8</v>
      </c>
      <c r="E5950" s="80">
        <v>35556</v>
      </c>
    </row>
    <row r="5951" spans="1:5">
      <c r="A5951">
        <v>10528</v>
      </c>
      <c r="B5951" t="s">
        <v>177</v>
      </c>
      <c r="C5951">
        <v>15.999999940395355</v>
      </c>
      <c r="D5951">
        <v>8</v>
      </c>
      <c r="E5951" s="80">
        <v>35556</v>
      </c>
    </row>
    <row r="5952" spans="1:5">
      <c r="A5952">
        <v>10528</v>
      </c>
      <c r="B5952" t="s">
        <v>178</v>
      </c>
      <c r="C5952">
        <v>15.999999940395355</v>
      </c>
      <c r="D5952">
        <v>8</v>
      </c>
      <c r="E5952" s="80">
        <v>35556</v>
      </c>
    </row>
    <row r="5953" spans="1:5">
      <c r="A5953">
        <v>10528</v>
      </c>
      <c r="B5953" t="s">
        <v>179</v>
      </c>
      <c r="C5953">
        <v>15.999999940395355</v>
      </c>
      <c r="D5953">
        <v>8</v>
      </c>
      <c r="E5953" s="80">
        <v>35556</v>
      </c>
    </row>
    <row r="5954" spans="1:5">
      <c r="A5954">
        <v>10528</v>
      </c>
      <c r="B5954" t="s">
        <v>172</v>
      </c>
      <c r="C5954">
        <v>313.2</v>
      </c>
      <c r="D5954">
        <v>9</v>
      </c>
      <c r="E5954" s="80">
        <v>35556</v>
      </c>
    </row>
    <row r="5955" spans="1:5">
      <c r="A5955">
        <v>10528</v>
      </c>
      <c r="B5955" t="s">
        <v>173</v>
      </c>
      <c r="C5955">
        <v>313.2</v>
      </c>
      <c r="D5955">
        <v>9</v>
      </c>
      <c r="E5955" s="80">
        <v>35556</v>
      </c>
    </row>
    <row r="5956" spans="1:5">
      <c r="A5956">
        <v>10528</v>
      </c>
      <c r="B5956" t="s">
        <v>174</v>
      </c>
      <c r="C5956">
        <v>313.2</v>
      </c>
      <c r="D5956">
        <v>9</v>
      </c>
      <c r="E5956" s="80">
        <v>35556</v>
      </c>
    </row>
    <row r="5957" spans="1:5">
      <c r="A5957">
        <v>10528</v>
      </c>
      <c r="B5957" t="s">
        <v>175</v>
      </c>
      <c r="C5957">
        <v>313.2</v>
      </c>
      <c r="D5957">
        <v>9</v>
      </c>
      <c r="E5957" s="80">
        <v>35556</v>
      </c>
    </row>
    <row r="5958" spans="1:5">
      <c r="A5958">
        <v>10528</v>
      </c>
      <c r="B5958" t="s">
        <v>176</v>
      </c>
      <c r="C5958">
        <v>313.2</v>
      </c>
      <c r="D5958">
        <v>9</v>
      </c>
      <c r="E5958" s="80">
        <v>35556</v>
      </c>
    </row>
    <row r="5959" spans="1:5">
      <c r="A5959">
        <v>10528</v>
      </c>
      <c r="B5959" t="s">
        <v>177</v>
      </c>
      <c r="C5959">
        <v>313.2</v>
      </c>
      <c r="D5959">
        <v>9</v>
      </c>
      <c r="E5959" s="80">
        <v>35556</v>
      </c>
    </row>
    <row r="5960" spans="1:5">
      <c r="A5960">
        <v>10528</v>
      </c>
      <c r="B5960" t="s">
        <v>178</v>
      </c>
      <c r="C5960">
        <v>313.2</v>
      </c>
      <c r="D5960">
        <v>9</v>
      </c>
      <c r="E5960" s="80">
        <v>35556</v>
      </c>
    </row>
    <row r="5961" spans="1:5">
      <c r="A5961">
        <v>10528</v>
      </c>
      <c r="B5961" t="s">
        <v>179</v>
      </c>
      <c r="C5961">
        <v>313.2</v>
      </c>
      <c r="D5961">
        <v>9</v>
      </c>
      <c r="E5961" s="80">
        <v>35556</v>
      </c>
    </row>
    <row r="5962" spans="1:5">
      <c r="A5962">
        <v>10529</v>
      </c>
      <c r="B5962" t="s">
        <v>172</v>
      </c>
      <c r="C5962">
        <v>336</v>
      </c>
      <c r="D5962">
        <v>14</v>
      </c>
      <c r="E5962" s="80">
        <v>35557</v>
      </c>
    </row>
    <row r="5963" spans="1:5">
      <c r="A5963">
        <v>10529</v>
      </c>
      <c r="B5963" t="s">
        <v>173</v>
      </c>
      <c r="C5963">
        <v>336</v>
      </c>
      <c r="D5963">
        <v>14</v>
      </c>
      <c r="E5963" s="80">
        <v>35557</v>
      </c>
    </row>
    <row r="5964" spans="1:5">
      <c r="A5964">
        <v>10529</v>
      </c>
      <c r="B5964" t="s">
        <v>174</v>
      </c>
      <c r="C5964">
        <v>336</v>
      </c>
      <c r="D5964">
        <v>14</v>
      </c>
      <c r="E5964" s="80">
        <v>35557</v>
      </c>
    </row>
    <row r="5965" spans="1:5">
      <c r="A5965">
        <v>10529</v>
      </c>
      <c r="B5965" t="s">
        <v>175</v>
      </c>
      <c r="C5965">
        <v>336</v>
      </c>
      <c r="D5965">
        <v>14</v>
      </c>
      <c r="E5965" s="80">
        <v>35557</v>
      </c>
    </row>
    <row r="5966" spans="1:5">
      <c r="A5966">
        <v>10529</v>
      </c>
      <c r="B5966" t="s">
        <v>176</v>
      </c>
      <c r="C5966">
        <v>336</v>
      </c>
      <c r="D5966">
        <v>14</v>
      </c>
      <c r="E5966" s="80">
        <v>35557</v>
      </c>
    </row>
    <row r="5967" spans="1:5">
      <c r="A5967">
        <v>10529</v>
      </c>
      <c r="B5967" t="s">
        <v>177</v>
      </c>
      <c r="C5967">
        <v>336</v>
      </c>
      <c r="D5967">
        <v>14</v>
      </c>
      <c r="E5967" s="80">
        <v>35557</v>
      </c>
    </row>
    <row r="5968" spans="1:5">
      <c r="A5968">
        <v>10529</v>
      </c>
      <c r="B5968" t="s">
        <v>178</v>
      </c>
      <c r="C5968">
        <v>336</v>
      </c>
      <c r="D5968">
        <v>14</v>
      </c>
      <c r="E5968" s="80">
        <v>35557</v>
      </c>
    </row>
    <row r="5969" spans="1:5">
      <c r="A5969">
        <v>10529</v>
      </c>
      <c r="B5969" t="s">
        <v>179</v>
      </c>
      <c r="C5969">
        <v>336</v>
      </c>
      <c r="D5969">
        <v>14</v>
      </c>
      <c r="E5969" s="80">
        <v>35557</v>
      </c>
    </row>
    <row r="5970" spans="1:5">
      <c r="A5970">
        <v>10529</v>
      </c>
      <c r="B5970" t="s">
        <v>172</v>
      </c>
      <c r="C5970">
        <v>250</v>
      </c>
      <c r="D5970">
        <v>20</v>
      </c>
      <c r="E5970" s="80">
        <v>35557</v>
      </c>
    </row>
    <row r="5971" spans="1:5">
      <c r="A5971">
        <v>10529</v>
      </c>
      <c r="B5971" t="s">
        <v>173</v>
      </c>
      <c r="C5971">
        <v>250</v>
      </c>
      <c r="D5971">
        <v>20</v>
      </c>
      <c r="E5971" s="80">
        <v>35557</v>
      </c>
    </row>
    <row r="5972" spans="1:5">
      <c r="A5972">
        <v>10529</v>
      </c>
      <c r="B5972" t="s">
        <v>174</v>
      </c>
      <c r="C5972">
        <v>250</v>
      </c>
      <c r="D5972">
        <v>20</v>
      </c>
      <c r="E5972" s="80">
        <v>35557</v>
      </c>
    </row>
    <row r="5973" spans="1:5">
      <c r="A5973">
        <v>10529</v>
      </c>
      <c r="B5973" t="s">
        <v>175</v>
      </c>
      <c r="C5973">
        <v>250</v>
      </c>
      <c r="D5973">
        <v>20</v>
      </c>
      <c r="E5973" s="80">
        <v>35557</v>
      </c>
    </row>
    <row r="5974" spans="1:5">
      <c r="A5974">
        <v>10529</v>
      </c>
      <c r="B5974" t="s">
        <v>176</v>
      </c>
      <c r="C5974">
        <v>250</v>
      </c>
      <c r="D5974">
        <v>20</v>
      </c>
      <c r="E5974" s="80">
        <v>35557</v>
      </c>
    </row>
    <row r="5975" spans="1:5">
      <c r="A5975">
        <v>10529</v>
      </c>
      <c r="B5975" t="s">
        <v>177</v>
      </c>
      <c r="C5975">
        <v>250</v>
      </c>
      <c r="D5975">
        <v>20</v>
      </c>
      <c r="E5975" s="80">
        <v>35557</v>
      </c>
    </row>
    <row r="5976" spans="1:5">
      <c r="A5976">
        <v>10529</v>
      </c>
      <c r="B5976" t="s">
        <v>178</v>
      </c>
      <c r="C5976">
        <v>250</v>
      </c>
      <c r="D5976">
        <v>20</v>
      </c>
      <c r="E5976" s="80">
        <v>35557</v>
      </c>
    </row>
    <row r="5977" spans="1:5">
      <c r="A5977">
        <v>10529</v>
      </c>
      <c r="B5977" t="s">
        <v>179</v>
      </c>
      <c r="C5977">
        <v>250</v>
      </c>
      <c r="D5977">
        <v>20</v>
      </c>
      <c r="E5977" s="80">
        <v>35557</v>
      </c>
    </row>
    <row r="5978" spans="1:5">
      <c r="A5978">
        <v>10529</v>
      </c>
      <c r="B5978" t="s">
        <v>172</v>
      </c>
      <c r="C5978">
        <v>360</v>
      </c>
      <c r="D5978">
        <v>10</v>
      </c>
      <c r="E5978" s="80">
        <v>35557</v>
      </c>
    </row>
    <row r="5979" spans="1:5">
      <c r="A5979">
        <v>10529</v>
      </c>
      <c r="B5979" t="s">
        <v>173</v>
      </c>
      <c r="C5979">
        <v>360</v>
      </c>
      <c r="D5979">
        <v>10</v>
      </c>
      <c r="E5979" s="80">
        <v>35557</v>
      </c>
    </row>
    <row r="5980" spans="1:5">
      <c r="A5980">
        <v>10529</v>
      </c>
      <c r="B5980" t="s">
        <v>174</v>
      </c>
      <c r="C5980">
        <v>360</v>
      </c>
      <c r="D5980">
        <v>10</v>
      </c>
      <c r="E5980" s="80">
        <v>35557</v>
      </c>
    </row>
    <row r="5981" spans="1:5">
      <c r="A5981">
        <v>10529</v>
      </c>
      <c r="B5981" t="s">
        <v>175</v>
      </c>
      <c r="C5981">
        <v>360</v>
      </c>
      <c r="D5981">
        <v>10</v>
      </c>
      <c r="E5981" s="80">
        <v>35557</v>
      </c>
    </row>
    <row r="5982" spans="1:5">
      <c r="A5982">
        <v>10529</v>
      </c>
      <c r="B5982" t="s">
        <v>176</v>
      </c>
      <c r="C5982">
        <v>360</v>
      </c>
      <c r="D5982">
        <v>10</v>
      </c>
      <c r="E5982" s="80">
        <v>35557</v>
      </c>
    </row>
    <row r="5983" spans="1:5">
      <c r="A5983">
        <v>10529</v>
      </c>
      <c r="B5983" t="s">
        <v>177</v>
      </c>
      <c r="C5983">
        <v>360</v>
      </c>
      <c r="D5983">
        <v>10</v>
      </c>
      <c r="E5983" s="80">
        <v>35557</v>
      </c>
    </row>
    <row r="5984" spans="1:5">
      <c r="A5984">
        <v>10529</v>
      </c>
      <c r="B5984" t="s">
        <v>178</v>
      </c>
      <c r="C5984">
        <v>360</v>
      </c>
      <c r="D5984">
        <v>10</v>
      </c>
      <c r="E5984" s="80">
        <v>35557</v>
      </c>
    </row>
    <row r="5985" spans="1:5">
      <c r="A5985">
        <v>10529</v>
      </c>
      <c r="B5985" t="s">
        <v>179</v>
      </c>
      <c r="C5985">
        <v>360</v>
      </c>
      <c r="D5985">
        <v>10</v>
      </c>
      <c r="E5985" s="80">
        <v>35557</v>
      </c>
    </row>
    <row r="5986" spans="1:5">
      <c r="A5986">
        <v>10530</v>
      </c>
      <c r="B5986" t="s">
        <v>172</v>
      </c>
      <c r="C5986">
        <v>1560</v>
      </c>
      <c r="D5986">
        <v>40</v>
      </c>
      <c r="E5986" s="80">
        <v>35558</v>
      </c>
    </row>
    <row r="5987" spans="1:5">
      <c r="A5987">
        <v>10530</v>
      </c>
      <c r="B5987" t="s">
        <v>173</v>
      </c>
      <c r="C5987">
        <v>1560</v>
      </c>
      <c r="D5987">
        <v>40</v>
      </c>
      <c r="E5987" s="80">
        <v>35558</v>
      </c>
    </row>
    <row r="5988" spans="1:5">
      <c r="A5988">
        <v>10530</v>
      </c>
      <c r="B5988" t="s">
        <v>174</v>
      </c>
      <c r="C5988">
        <v>1560</v>
      </c>
      <c r="D5988">
        <v>40</v>
      </c>
      <c r="E5988" s="80">
        <v>35558</v>
      </c>
    </row>
    <row r="5989" spans="1:5">
      <c r="A5989">
        <v>10530</v>
      </c>
      <c r="B5989" t="s">
        <v>175</v>
      </c>
      <c r="C5989">
        <v>1560</v>
      </c>
      <c r="D5989">
        <v>40</v>
      </c>
      <c r="E5989" s="80">
        <v>35558</v>
      </c>
    </row>
    <row r="5990" spans="1:5">
      <c r="A5990">
        <v>10530</v>
      </c>
      <c r="B5990" t="s">
        <v>176</v>
      </c>
      <c r="C5990">
        <v>1560</v>
      </c>
      <c r="D5990">
        <v>40</v>
      </c>
      <c r="E5990" s="80">
        <v>35558</v>
      </c>
    </row>
    <row r="5991" spans="1:5">
      <c r="A5991">
        <v>10530</v>
      </c>
      <c r="B5991" t="s">
        <v>177</v>
      </c>
      <c r="C5991">
        <v>1560</v>
      </c>
      <c r="D5991">
        <v>40</v>
      </c>
      <c r="E5991" s="80">
        <v>35558</v>
      </c>
    </row>
    <row r="5992" spans="1:5">
      <c r="A5992">
        <v>10530</v>
      </c>
      <c r="B5992" t="s">
        <v>178</v>
      </c>
      <c r="C5992">
        <v>1560</v>
      </c>
      <c r="D5992">
        <v>40</v>
      </c>
      <c r="E5992" s="80">
        <v>35558</v>
      </c>
    </row>
    <row r="5993" spans="1:5">
      <c r="A5993">
        <v>10530</v>
      </c>
      <c r="B5993" t="s">
        <v>179</v>
      </c>
      <c r="C5993">
        <v>1560</v>
      </c>
      <c r="D5993">
        <v>40</v>
      </c>
      <c r="E5993" s="80">
        <v>35558</v>
      </c>
    </row>
    <row r="5994" spans="1:5">
      <c r="A5994">
        <v>10530</v>
      </c>
      <c r="B5994" t="s">
        <v>172</v>
      </c>
      <c r="C5994">
        <v>1150</v>
      </c>
      <c r="D5994">
        <v>25</v>
      </c>
      <c r="E5994" s="80">
        <v>35558</v>
      </c>
    </row>
    <row r="5995" spans="1:5">
      <c r="A5995">
        <v>10530</v>
      </c>
      <c r="B5995" t="s">
        <v>173</v>
      </c>
      <c r="C5995">
        <v>1150</v>
      </c>
      <c r="D5995">
        <v>25</v>
      </c>
      <c r="E5995" s="80">
        <v>35558</v>
      </c>
    </row>
    <row r="5996" spans="1:5">
      <c r="A5996">
        <v>10530</v>
      </c>
      <c r="B5996" t="s">
        <v>174</v>
      </c>
      <c r="C5996">
        <v>1150</v>
      </c>
      <c r="D5996">
        <v>25</v>
      </c>
      <c r="E5996" s="80">
        <v>35558</v>
      </c>
    </row>
    <row r="5997" spans="1:5">
      <c r="A5997">
        <v>10530</v>
      </c>
      <c r="B5997" t="s">
        <v>175</v>
      </c>
      <c r="C5997">
        <v>1150</v>
      </c>
      <c r="D5997">
        <v>25</v>
      </c>
      <c r="E5997" s="80">
        <v>35558</v>
      </c>
    </row>
    <row r="5998" spans="1:5">
      <c r="A5998">
        <v>10530</v>
      </c>
      <c r="B5998" t="s">
        <v>176</v>
      </c>
      <c r="C5998">
        <v>1150</v>
      </c>
      <c r="D5998">
        <v>25</v>
      </c>
      <c r="E5998" s="80">
        <v>35558</v>
      </c>
    </row>
    <row r="5999" spans="1:5">
      <c r="A5999">
        <v>10530</v>
      </c>
      <c r="B5999" t="s">
        <v>177</v>
      </c>
      <c r="C5999">
        <v>1150</v>
      </c>
      <c r="D5999">
        <v>25</v>
      </c>
      <c r="E5999" s="80">
        <v>35558</v>
      </c>
    </row>
    <row r="6000" spans="1:5">
      <c r="A6000">
        <v>10530</v>
      </c>
      <c r="B6000" t="s">
        <v>178</v>
      </c>
      <c r="C6000">
        <v>1150</v>
      </c>
      <c r="D6000">
        <v>25</v>
      </c>
      <c r="E6000" s="80">
        <v>35558</v>
      </c>
    </row>
    <row r="6001" spans="1:5">
      <c r="A6001">
        <v>10530</v>
      </c>
      <c r="B6001" t="s">
        <v>179</v>
      </c>
      <c r="C6001">
        <v>1150</v>
      </c>
      <c r="D6001">
        <v>25</v>
      </c>
      <c r="E6001" s="80">
        <v>35558</v>
      </c>
    </row>
    <row r="6002" spans="1:5">
      <c r="A6002">
        <v>10530</v>
      </c>
      <c r="B6002" t="s">
        <v>172</v>
      </c>
      <c r="C6002">
        <v>570</v>
      </c>
      <c r="D6002">
        <v>20</v>
      </c>
      <c r="E6002" s="80">
        <v>35558</v>
      </c>
    </row>
    <row r="6003" spans="1:5">
      <c r="A6003">
        <v>10530</v>
      </c>
      <c r="B6003" t="s">
        <v>173</v>
      </c>
      <c r="C6003">
        <v>570</v>
      </c>
      <c r="D6003">
        <v>20</v>
      </c>
      <c r="E6003" s="80">
        <v>35558</v>
      </c>
    </row>
    <row r="6004" spans="1:5">
      <c r="A6004">
        <v>10530</v>
      </c>
      <c r="B6004" t="s">
        <v>174</v>
      </c>
      <c r="C6004">
        <v>570</v>
      </c>
      <c r="D6004">
        <v>20</v>
      </c>
      <c r="E6004" s="80">
        <v>35558</v>
      </c>
    </row>
    <row r="6005" spans="1:5">
      <c r="A6005">
        <v>10530</v>
      </c>
      <c r="B6005" t="s">
        <v>175</v>
      </c>
      <c r="C6005">
        <v>570</v>
      </c>
      <c r="D6005">
        <v>20</v>
      </c>
      <c r="E6005" s="80">
        <v>35558</v>
      </c>
    </row>
    <row r="6006" spans="1:5">
      <c r="A6006">
        <v>10530</v>
      </c>
      <c r="B6006" t="s">
        <v>176</v>
      </c>
      <c r="C6006">
        <v>570</v>
      </c>
      <c r="D6006">
        <v>20</v>
      </c>
      <c r="E6006" s="80">
        <v>35558</v>
      </c>
    </row>
    <row r="6007" spans="1:5">
      <c r="A6007">
        <v>10530</v>
      </c>
      <c r="B6007" t="s">
        <v>177</v>
      </c>
      <c r="C6007">
        <v>570</v>
      </c>
      <c r="D6007">
        <v>20</v>
      </c>
      <c r="E6007" s="80">
        <v>35558</v>
      </c>
    </row>
    <row r="6008" spans="1:5">
      <c r="A6008">
        <v>10530</v>
      </c>
      <c r="B6008" t="s">
        <v>178</v>
      </c>
      <c r="C6008">
        <v>570</v>
      </c>
      <c r="D6008">
        <v>20</v>
      </c>
      <c r="E6008" s="80">
        <v>35558</v>
      </c>
    </row>
    <row r="6009" spans="1:5">
      <c r="A6009">
        <v>10530</v>
      </c>
      <c r="B6009" t="s">
        <v>179</v>
      </c>
      <c r="C6009">
        <v>570</v>
      </c>
      <c r="D6009">
        <v>20</v>
      </c>
      <c r="E6009" s="80">
        <v>35558</v>
      </c>
    </row>
    <row r="6010" spans="1:5">
      <c r="A6010">
        <v>10530</v>
      </c>
      <c r="B6010" t="s">
        <v>172</v>
      </c>
      <c r="C6010">
        <v>900</v>
      </c>
      <c r="D6010">
        <v>50</v>
      </c>
      <c r="E6010" s="80">
        <v>35558</v>
      </c>
    </row>
    <row r="6011" spans="1:5">
      <c r="A6011">
        <v>10530</v>
      </c>
      <c r="B6011" t="s">
        <v>173</v>
      </c>
      <c r="C6011">
        <v>900</v>
      </c>
      <c r="D6011">
        <v>50</v>
      </c>
      <c r="E6011" s="80">
        <v>35558</v>
      </c>
    </row>
    <row r="6012" spans="1:5">
      <c r="A6012">
        <v>10530</v>
      </c>
      <c r="B6012" t="s">
        <v>174</v>
      </c>
      <c r="C6012">
        <v>900</v>
      </c>
      <c r="D6012">
        <v>50</v>
      </c>
      <c r="E6012" s="80">
        <v>35558</v>
      </c>
    </row>
    <row r="6013" spans="1:5">
      <c r="A6013">
        <v>10530</v>
      </c>
      <c r="B6013" t="s">
        <v>175</v>
      </c>
      <c r="C6013">
        <v>900</v>
      </c>
      <c r="D6013">
        <v>50</v>
      </c>
      <c r="E6013" s="80">
        <v>35558</v>
      </c>
    </row>
    <row r="6014" spans="1:5">
      <c r="A6014">
        <v>10530</v>
      </c>
      <c r="B6014" t="s">
        <v>176</v>
      </c>
      <c r="C6014">
        <v>900</v>
      </c>
      <c r="D6014">
        <v>50</v>
      </c>
      <c r="E6014" s="80">
        <v>35558</v>
      </c>
    </row>
    <row r="6015" spans="1:5">
      <c r="A6015">
        <v>10530</v>
      </c>
      <c r="B6015" t="s">
        <v>177</v>
      </c>
      <c r="C6015">
        <v>900</v>
      </c>
      <c r="D6015">
        <v>50</v>
      </c>
      <c r="E6015" s="80">
        <v>35558</v>
      </c>
    </row>
    <row r="6016" spans="1:5">
      <c r="A6016">
        <v>10530</v>
      </c>
      <c r="B6016" t="s">
        <v>178</v>
      </c>
      <c r="C6016">
        <v>900</v>
      </c>
      <c r="D6016">
        <v>50</v>
      </c>
      <c r="E6016" s="80">
        <v>35558</v>
      </c>
    </row>
    <row r="6017" spans="1:5">
      <c r="A6017">
        <v>10530</v>
      </c>
      <c r="B6017" t="s">
        <v>179</v>
      </c>
      <c r="C6017">
        <v>900</v>
      </c>
      <c r="D6017">
        <v>50</v>
      </c>
      <c r="E6017" s="80">
        <v>35558</v>
      </c>
    </row>
    <row r="6018" spans="1:5">
      <c r="A6018">
        <v>10531</v>
      </c>
      <c r="B6018" t="s">
        <v>172</v>
      </c>
      <c r="C6018">
        <v>110</v>
      </c>
      <c r="D6018">
        <v>2</v>
      </c>
      <c r="E6018" s="80">
        <v>35558</v>
      </c>
    </row>
    <row r="6019" spans="1:5">
      <c r="A6019">
        <v>10531</v>
      </c>
      <c r="B6019" t="s">
        <v>173</v>
      </c>
      <c r="C6019">
        <v>110</v>
      </c>
      <c r="D6019">
        <v>2</v>
      </c>
      <c r="E6019" s="80">
        <v>35558</v>
      </c>
    </row>
    <row r="6020" spans="1:5">
      <c r="A6020">
        <v>10531</v>
      </c>
      <c r="B6020" t="s">
        <v>174</v>
      </c>
      <c r="C6020">
        <v>110</v>
      </c>
      <c r="D6020">
        <v>2</v>
      </c>
      <c r="E6020" s="80">
        <v>35558</v>
      </c>
    </row>
    <row r="6021" spans="1:5">
      <c r="A6021">
        <v>10531</v>
      </c>
      <c r="B6021" t="s">
        <v>175</v>
      </c>
      <c r="C6021">
        <v>110</v>
      </c>
      <c r="D6021">
        <v>2</v>
      </c>
      <c r="E6021" s="80">
        <v>35558</v>
      </c>
    </row>
    <row r="6022" spans="1:5">
      <c r="A6022">
        <v>10531</v>
      </c>
      <c r="B6022" t="s">
        <v>176</v>
      </c>
      <c r="C6022">
        <v>110</v>
      </c>
      <c r="D6022">
        <v>2</v>
      </c>
      <c r="E6022" s="80">
        <v>35558</v>
      </c>
    </row>
    <row r="6023" spans="1:5">
      <c r="A6023">
        <v>10531</v>
      </c>
      <c r="B6023" t="s">
        <v>177</v>
      </c>
      <c r="C6023">
        <v>110</v>
      </c>
      <c r="D6023">
        <v>2</v>
      </c>
      <c r="E6023" s="80">
        <v>35558</v>
      </c>
    </row>
    <row r="6024" spans="1:5">
      <c r="A6024">
        <v>10531</v>
      </c>
      <c r="B6024" t="s">
        <v>178</v>
      </c>
      <c r="C6024">
        <v>110</v>
      </c>
      <c r="D6024">
        <v>2</v>
      </c>
      <c r="E6024" s="80">
        <v>35558</v>
      </c>
    </row>
    <row r="6025" spans="1:5">
      <c r="A6025">
        <v>10531</v>
      </c>
      <c r="B6025" t="s">
        <v>179</v>
      </c>
      <c r="C6025">
        <v>110</v>
      </c>
      <c r="D6025">
        <v>2</v>
      </c>
      <c r="E6025" s="80">
        <v>35558</v>
      </c>
    </row>
    <row r="6026" spans="1:5">
      <c r="A6026">
        <v>10532</v>
      </c>
      <c r="B6026" t="s">
        <v>172</v>
      </c>
      <c r="C6026">
        <v>388.35</v>
      </c>
      <c r="D6026">
        <v>15</v>
      </c>
      <c r="E6026" s="80">
        <v>35559</v>
      </c>
    </row>
    <row r="6027" spans="1:5">
      <c r="A6027">
        <v>10532</v>
      </c>
      <c r="B6027" t="s">
        <v>173</v>
      </c>
      <c r="C6027">
        <v>388.35</v>
      </c>
      <c r="D6027">
        <v>15</v>
      </c>
      <c r="E6027" s="80">
        <v>35559</v>
      </c>
    </row>
    <row r="6028" spans="1:5">
      <c r="A6028">
        <v>10532</v>
      </c>
      <c r="B6028" t="s">
        <v>174</v>
      </c>
      <c r="C6028">
        <v>388.35</v>
      </c>
      <c r="D6028">
        <v>15</v>
      </c>
      <c r="E6028" s="80">
        <v>35559</v>
      </c>
    </row>
    <row r="6029" spans="1:5">
      <c r="A6029">
        <v>10532</v>
      </c>
      <c r="B6029" t="s">
        <v>175</v>
      </c>
      <c r="C6029">
        <v>388.35</v>
      </c>
      <c r="D6029">
        <v>15</v>
      </c>
      <c r="E6029" s="80">
        <v>35559</v>
      </c>
    </row>
    <row r="6030" spans="1:5">
      <c r="A6030">
        <v>10532</v>
      </c>
      <c r="B6030" t="s">
        <v>176</v>
      </c>
      <c r="C6030">
        <v>388.35</v>
      </c>
      <c r="D6030">
        <v>15</v>
      </c>
      <c r="E6030" s="80">
        <v>35559</v>
      </c>
    </row>
    <row r="6031" spans="1:5">
      <c r="A6031">
        <v>10532</v>
      </c>
      <c r="B6031" t="s">
        <v>177</v>
      </c>
      <c r="C6031">
        <v>388.35</v>
      </c>
      <c r="D6031">
        <v>15</v>
      </c>
      <c r="E6031" s="80">
        <v>35559</v>
      </c>
    </row>
    <row r="6032" spans="1:5">
      <c r="A6032">
        <v>10532</v>
      </c>
      <c r="B6032" t="s">
        <v>178</v>
      </c>
      <c r="C6032">
        <v>388.35</v>
      </c>
      <c r="D6032">
        <v>15</v>
      </c>
      <c r="E6032" s="80">
        <v>35559</v>
      </c>
    </row>
    <row r="6033" spans="1:5">
      <c r="A6033">
        <v>10532</v>
      </c>
      <c r="B6033" t="s">
        <v>179</v>
      </c>
      <c r="C6033">
        <v>388.35</v>
      </c>
      <c r="D6033">
        <v>15</v>
      </c>
      <c r="E6033" s="80">
        <v>35559</v>
      </c>
    </row>
    <row r="6034" spans="1:5">
      <c r="A6034">
        <v>10532</v>
      </c>
      <c r="B6034" t="s">
        <v>172</v>
      </c>
      <c r="C6034">
        <v>408</v>
      </c>
      <c r="D6034">
        <v>24</v>
      </c>
      <c r="E6034" s="80">
        <v>35559</v>
      </c>
    </row>
    <row r="6035" spans="1:5">
      <c r="A6035">
        <v>10532</v>
      </c>
      <c r="B6035" t="s">
        <v>173</v>
      </c>
      <c r="C6035">
        <v>408</v>
      </c>
      <c r="D6035">
        <v>24</v>
      </c>
      <c r="E6035" s="80">
        <v>35559</v>
      </c>
    </row>
    <row r="6036" spans="1:5">
      <c r="A6036">
        <v>10532</v>
      </c>
      <c r="B6036" t="s">
        <v>174</v>
      </c>
      <c r="C6036">
        <v>408</v>
      </c>
      <c r="D6036">
        <v>24</v>
      </c>
      <c r="E6036" s="80">
        <v>35559</v>
      </c>
    </row>
    <row r="6037" spans="1:5">
      <c r="A6037">
        <v>10532</v>
      </c>
      <c r="B6037" t="s">
        <v>175</v>
      </c>
      <c r="C6037">
        <v>408</v>
      </c>
      <c r="D6037">
        <v>24</v>
      </c>
      <c r="E6037" s="80">
        <v>35559</v>
      </c>
    </row>
    <row r="6038" spans="1:5">
      <c r="A6038">
        <v>10532</v>
      </c>
      <c r="B6038" t="s">
        <v>176</v>
      </c>
      <c r="C6038">
        <v>408</v>
      </c>
      <c r="D6038">
        <v>24</v>
      </c>
      <c r="E6038" s="80">
        <v>35559</v>
      </c>
    </row>
    <row r="6039" spans="1:5">
      <c r="A6039">
        <v>10532</v>
      </c>
      <c r="B6039" t="s">
        <v>177</v>
      </c>
      <c r="C6039">
        <v>408</v>
      </c>
      <c r="D6039">
        <v>24</v>
      </c>
      <c r="E6039" s="80">
        <v>35559</v>
      </c>
    </row>
    <row r="6040" spans="1:5">
      <c r="A6040">
        <v>10532</v>
      </c>
      <c r="B6040" t="s">
        <v>178</v>
      </c>
      <c r="C6040">
        <v>408</v>
      </c>
      <c r="D6040">
        <v>24</v>
      </c>
      <c r="E6040" s="80">
        <v>35559</v>
      </c>
    </row>
    <row r="6041" spans="1:5">
      <c r="A6041">
        <v>10532</v>
      </c>
      <c r="B6041" t="s">
        <v>179</v>
      </c>
      <c r="C6041">
        <v>408</v>
      </c>
      <c r="D6041">
        <v>24</v>
      </c>
      <c r="E6041" s="80">
        <v>35559</v>
      </c>
    </row>
    <row r="6042" spans="1:5">
      <c r="A6042">
        <v>10533</v>
      </c>
      <c r="B6042" t="s">
        <v>172</v>
      </c>
      <c r="C6042">
        <v>1044.9999991804361</v>
      </c>
      <c r="D6042">
        <v>50</v>
      </c>
      <c r="E6042" s="80">
        <v>35562</v>
      </c>
    </row>
    <row r="6043" spans="1:5">
      <c r="A6043">
        <v>10533</v>
      </c>
      <c r="B6043" t="s">
        <v>173</v>
      </c>
      <c r="C6043">
        <v>1044.9999991804361</v>
      </c>
      <c r="D6043">
        <v>50</v>
      </c>
      <c r="E6043" s="80">
        <v>35562</v>
      </c>
    </row>
    <row r="6044" spans="1:5">
      <c r="A6044">
        <v>10533</v>
      </c>
      <c r="B6044" t="s">
        <v>174</v>
      </c>
      <c r="C6044">
        <v>1044.9999991804361</v>
      </c>
      <c r="D6044">
        <v>50</v>
      </c>
      <c r="E6044" s="80">
        <v>35562</v>
      </c>
    </row>
    <row r="6045" spans="1:5">
      <c r="A6045">
        <v>10533</v>
      </c>
      <c r="B6045" t="s">
        <v>175</v>
      </c>
      <c r="C6045">
        <v>1044.9999991804361</v>
      </c>
      <c r="D6045">
        <v>50</v>
      </c>
      <c r="E6045" s="80">
        <v>35562</v>
      </c>
    </row>
    <row r="6046" spans="1:5">
      <c r="A6046">
        <v>10533</v>
      </c>
      <c r="B6046" t="s">
        <v>176</v>
      </c>
      <c r="C6046">
        <v>1044.9999991804361</v>
      </c>
      <c r="D6046">
        <v>50</v>
      </c>
      <c r="E6046" s="80">
        <v>35562</v>
      </c>
    </row>
    <row r="6047" spans="1:5">
      <c r="A6047">
        <v>10533</v>
      </c>
      <c r="B6047" t="s">
        <v>177</v>
      </c>
      <c r="C6047">
        <v>1044.9999991804361</v>
      </c>
      <c r="D6047">
        <v>50</v>
      </c>
      <c r="E6047" s="80">
        <v>35562</v>
      </c>
    </row>
    <row r="6048" spans="1:5">
      <c r="A6048">
        <v>10533</v>
      </c>
      <c r="B6048" t="s">
        <v>178</v>
      </c>
      <c r="C6048">
        <v>1044.9999991804361</v>
      </c>
      <c r="D6048">
        <v>50</v>
      </c>
      <c r="E6048" s="80">
        <v>35562</v>
      </c>
    </row>
    <row r="6049" spans="1:5">
      <c r="A6049">
        <v>10533</v>
      </c>
      <c r="B6049" t="s">
        <v>179</v>
      </c>
      <c r="C6049">
        <v>1044.9999991804361</v>
      </c>
      <c r="D6049">
        <v>50</v>
      </c>
      <c r="E6049" s="80">
        <v>35562</v>
      </c>
    </row>
    <row r="6050" spans="1:5">
      <c r="A6050">
        <v>10533</v>
      </c>
      <c r="B6050" t="s">
        <v>172</v>
      </c>
      <c r="C6050">
        <v>835.2</v>
      </c>
      <c r="D6050">
        <v>24</v>
      </c>
      <c r="E6050" s="80">
        <v>35562</v>
      </c>
    </row>
    <row r="6051" spans="1:5">
      <c r="A6051">
        <v>10533</v>
      </c>
      <c r="B6051" t="s">
        <v>173</v>
      </c>
      <c r="C6051">
        <v>835.2</v>
      </c>
      <c r="D6051">
        <v>24</v>
      </c>
      <c r="E6051" s="80">
        <v>35562</v>
      </c>
    </row>
    <row r="6052" spans="1:5">
      <c r="A6052">
        <v>10533</v>
      </c>
      <c r="B6052" t="s">
        <v>174</v>
      </c>
      <c r="C6052">
        <v>835.2</v>
      </c>
      <c r="D6052">
        <v>24</v>
      </c>
      <c r="E6052" s="80">
        <v>35562</v>
      </c>
    </row>
    <row r="6053" spans="1:5">
      <c r="A6053">
        <v>10533</v>
      </c>
      <c r="B6053" t="s">
        <v>175</v>
      </c>
      <c r="C6053">
        <v>835.2</v>
      </c>
      <c r="D6053">
        <v>24</v>
      </c>
      <c r="E6053" s="80">
        <v>35562</v>
      </c>
    </row>
    <row r="6054" spans="1:5">
      <c r="A6054">
        <v>10533</v>
      </c>
      <c r="B6054" t="s">
        <v>176</v>
      </c>
      <c r="C6054">
        <v>835.2</v>
      </c>
      <c r="D6054">
        <v>24</v>
      </c>
      <c r="E6054" s="80">
        <v>35562</v>
      </c>
    </row>
    <row r="6055" spans="1:5">
      <c r="A6055">
        <v>10533</v>
      </c>
      <c r="B6055" t="s">
        <v>177</v>
      </c>
      <c r="C6055">
        <v>835.2</v>
      </c>
      <c r="D6055">
        <v>24</v>
      </c>
      <c r="E6055" s="80">
        <v>35562</v>
      </c>
    </row>
    <row r="6056" spans="1:5">
      <c r="A6056">
        <v>10533</v>
      </c>
      <c r="B6056" t="s">
        <v>178</v>
      </c>
      <c r="C6056">
        <v>835.2</v>
      </c>
      <c r="D6056">
        <v>24</v>
      </c>
      <c r="E6056" s="80">
        <v>35562</v>
      </c>
    </row>
    <row r="6057" spans="1:5">
      <c r="A6057">
        <v>10533</v>
      </c>
      <c r="B6057" t="s">
        <v>179</v>
      </c>
      <c r="C6057">
        <v>835.2</v>
      </c>
      <c r="D6057">
        <v>24</v>
      </c>
      <c r="E6057" s="80">
        <v>35562</v>
      </c>
    </row>
    <row r="6058" spans="1:5">
      <c r="A6058">
        <v>10533</v>
      </c>
      <c r="B6058" t="s">
        <v>172</v>
      </c>
      <c r="C6058">
        <v>341.9999997317791</v>
      </c>
      <c r="D6058">
        <v>24</v>
      </c>
      <c r="E6058" s="80">
        <v>35562</v>
      </c>
    </row>
    <row r="6059" spans="1:5">
      <c r="A6059">
        <v>10533</v>
      </c>
      <c r="B6059" t="s">
        <v>173</v>
      </c>
      <c r="C6059">
        <v>341.9999997317791</v>
      </c>
      <c r="D6059">
        <v>24</v>
      </c>
      <c r="E6059" s="80">
        <v>35562</v>
      </c>
    </row>
    <row r="6060" spans="1:5">
      <c r="A6060">
        <v>10533</v>
      </c>
      <c r="B6060" t="s">
        <v>174</v>
      </c>
      <c r="C6060">
        <v>341.9999997317791</v>
      </c>
      <c r="D6060">
        <v>24</v>
      </c>
      <c r="E6060" s="80">
        <v>35562</v>
      </c>
    </row>
    <row r="6061" spans="1:5">
      <c r="A6061">
        <v>10533</v>
      </c>
      <c r="B6061" t="s">
        <v>175</v>
      </c>
      <c r="C6061">
        <v>341.9999997317791</v>
      </c>
      <c r="D6061">
        <v>24</v>
      </c>
      <c r="E6061" s="80">
        <v>35562</v>
      </c>
    </row>
    <row r="6062" spans="1:5">
      <c r="A6062">
        <v>10533</v>
      </c>
      <c r="B6062" t="s">
        <v>176</v>
      </c>
      <c r="C6062">
        <v>341.9999997317791</v>
      </c>
      <c r="D6062">
        <v>24</v>
      </c>
      <c r="E6062" s="80">
        <v>35562</v>
      </c>
    </row>
    <row r="6063" spans="1:5">
      <c r="A6063">
        <v>10533</v>
      </c>
      <c r="B6063" t="s">
        <v>177</v>
      </c>
      <c r="C6063">
        <v>341.9999997317791</v>
      </c>
      <c r="D6063">
        <v>24</v>
      </c>
      <c r="E6063" s="80">
        <v>35562</v>
      </c>
    </row>
    <row r="6064" spans="1:5">
      <c r="A6064">
        <v>10533</v>
      </c>
      <c r="B6064" t="s">
        <v>178</v>
      </c>
      <c r="C6064">
        <v>341.9999997317791</v>
      </c>
      <c r="D6064">
        <v>24</v>
      </c>
      <c r="E6064" s="80">
        <v>35562</v>
      </c>
    </row>
    <row r="6065" spans="1:5">
      <c r="A6065">
        <v>10533</v>
      </c>
      <c r="B6065" t="s">
        <v>179</v>
      </c>
      <c r="C6065">
        <v>341.9999997317791</v>
      </c>
      <c r="D6065">
        <v>24</v>
      </c>
      <c r="E6065" s="80">
        <v>35562</v>
      </c>
    </row>
    <row r="6066" spans="1:5">
      <c r="A6066">
        <v>10534</v>
      </c>
      <c r="B6066" t="s">
        <v>172</v>
      </c>
      <c r="C6066">
        <v>258.89999999999998</v>
      </c>
      <c r="D6066">
        <v>10</v>
      </c>
      <c r="E6066" s="80">
        <v>35562</v>
      </c>
    </row>
    <row r="6067" spans="1:5">
      <c r="A6067">
        <v>10534</v>
      </c>
      <c r="B6067" t="s">
        <v>173</v>
      </c>
      <c r="C6067">
        <v>258.89999999999998</v>
      </c>
      <c r="D6067">
        <v>10</v>
      </c>
      <c r="E6067" s="80">
        <v>35562</v>
      </c>
    </row>
    <row r="6068" spans="1:5">
      <c r="A6068">
        <v>10534</v>
      </c>
      <c r="B6068" t="s">
        <v>174</v>
      </c>
      <c r="C6068">
        <v>258.89999999999998</v>
      </c>
      <c r="D6068">
        <v>10</v>
      </c>
      <c r="E6068" s="80">
        <v>35562</v>
      </c>
    </row>
    <row r="6069" spans="1:5">
      <c r="A6069">
        <v>10534</v>
      </c>
      <c r="B6069" t="s">
        <v>175</v>
      </c>
      <c r="C6069">
        <v>258.89999999999998</v>
      </c>
      <c r="D6069">
        <v>10</v>
      </c>
      <c r="E6069" s="80">
        <v>35562</v>
      </c>
    </row>
    <row r="6070" spans="1:5">
      <c r="A6070">
        <v>10534</v>
      </c>
      <c r="B6070" t="s">
        <v>176</v>
      </c>
      <c r="C6070">
        <v>258.89999999999998</v>
      </c>
      <c r="D6070">
        <v>10</v>
      </c>
      <c r="E6070" s="80">
        <v>35562</v>
      </c>
    </row>
    <row r="6071" spans="1:5">
      <c r="A6071">
        <v>10534</v>
      </c>
      <c r="B6071" t="s">
        <v>177</v>
      </c>
      <c r="C6071">
        <v>258.89999999999998</v>
      </c>
      <c r="D6071">
        <v>10</v>
      </c>
      <c r="E6071" s="80">
        <v>35562</v>
      </c>
    </row>
    <row r="6072" spans="1:5">
      <c r="A6072">
        <v>10534</v>
      </c>
      <c r="B6072" t="s">
        <v>178</v>
      </c>
      <c r="C6072">
        <v>258.89999999999998</v>
      </c>
      <c r="D6072">
        <v>10</v>
      </c>
      <c r="E6072" s="80">
        <v>35562</v>
      </c>
    </row>
    <row r="6073" spans="1:5">
      <c r="A6073">
        <v>10534</v>
      </c>
      <c r="B6073" t="s">
        <v>179</v>
      </c>
      <c r="C6073">
        <v>258.89999999999998</v>
      </c>
      <c r="D6073">
        <v>10</v>
      </c>
      <c r="E6073" s="80">
        <v>35562</v>
      </c>
    </row>
    <row r="6074" spans="1:5">
      <c r="A6074">
        <v>10534</v>
      </c>
      <c r="B6074" t="s">
        <v>172</v>
      </c>
      <c r="C6074">
        <v>147.19999945163727</v>
      </c>
      <c r="D6074">
        <v>10</v>
      </c>
      <c r="E6074" s="80">
        <v>35562</v>
      </c>
    </row>
    <row r="6075" spans="1:5">
      <c r="A6075">
        <v>10534</v>
      </c>
      <c r="B6075" t="s">
        <v>173</v>
      </c>
      <c r="C6075">
        <v>147.19999945163727</v>
      </c>
      <c r="D6075">
        <v>10</v>
      </c>
      <c r="E6075" s="80">
        <v>35562</v>
      </c>
    </row>
    <row r="6076" spans="1:5">
      <c r="A6076">
        <v>10534</v>
      </c>
      <c r="B6076" t="s">
        <v>174</v>
      </c>
      <c r="C6076">
        <v>147.19999945163727</v>
      </c>
      <c r="D6076">
        <v>10</v>
      </c>
      <c r="E6076" s="80">
        <v>35562</v>
      </c>
    </row>
    <row r="6077" spans="1:5">
      <c r="A6077">
        <v>10534</v>
      </c>
      <c r="B6077" t="s">
        <v>175</v>
      </c>
      <c r="C6077">
        <v>147.19999945163727</v>
      </c>
      <c r="D6077">
        <v>10</v>
      </c>
      <c r="E6077" s="80">
        <v>35562</v>
      </c>
    </row>
    <row r="6078" spans="1:5">
      <c r="A6078">
        <v>10534</v>
      </c>
      <c r="B6078" t="s">
        <v>176</v>
      </c>
      <c r="C6078">
        <v>147.19999945163727</v>
      </c>
      <c r="D6078">
        <v>10</v>
      </c>
      <c r="E6078" s="80">
        <v>35562</v>
      </c>
    </row>
    <row r="6079" spans="1:5">
      <c r="A6079">
        <v>10534</v>
      </c>
      <c r="B6079" t="s">
        <v>177</v>
      </c>
      <c r="C6079">
        <v>147.19999945163727</v>
      </c>
      <c r="D6079">
        <v>10</v>
      </c>
      <c r="E6079" s="80">
        <v>35562</v>
      </c>
    </row>
    <row r="6080" spans="1:5">
      <c r="A6080">
        <v>10534</v>
      </c>
      <c r="B6080" t="s">
        <v>178</v>
      </c>
      <c r="C6080">
        <v>147.19999945163727</v>
      </c>
      <c r="D6080">
        <v>10</v>
      </c>
      <c r="E6080" s="80">
        <v>35562</v>
      </c>
    </row>
    <row r="6081" spans="1:5">
      <c r="A6081">
        <v>10534</v>
      </c>
      <c r="B6081" t="s">
        <v>179</v>
      </c>
      <c r="C6081">
        <v>147.19999945163727</v>
      </c>
      <c r="D6081">
        <v>10</v>
      </c>
      <c r="E6081" s="80">
        <v>35562</v>
      </c>
    </row>
    <row r="6082" spans="1:5">
      <c r="A6082">
        <v>10534</v>
      </c>
      <c r="B6082" t="s">
        <v>172</v>
      </c>
      <c r="C6082">
        <v>59.599999777972698</v>
      </c>
      <c r="D6082">
        <v>10</v>
      </c>
      <c r="E6082" s="80">
        <v>35562</v>
      </c>
    </row>
    <row r="6083" spans="1:5">
      <c r="A6083">
        <v>10534</v>
      </c>
      <c r="B6083" t="s">
        <v>173</v>
      </c>
      <c r="C6083">
        <v>59.599999777972698</v>
      </c>
      <c r="D6083">
        <v>10</v>
      </c>
      <c r="E6083" s="80">
        <v>35562</v>
      </c>
    </row>
    <row r="6084" spans="1:5">
      <c r="A6084">
        <v>10534</v>
      </c>
      <c r="B6084" t="s">
        <v>174</v>
      </c>
      <c r="C6084">
        <v>59.599999777972698</v>
      </c>
      <c r="D6084">
        <v>10</v>
      </c>
      <c r="E6084" s="80">
        <v>35562</v>
      </c>
    </row>
    <row r="6085" spans="1:5">
      <c r="A6085">
        <v>10534</v>
      </c>
      <c r="B6085" t="s">
        <v>175</v>
      </c>
      <c r="C6085">
        <v>59.599999777972698</v>
      </c>
      <c r="D6085">
        <v>10</v>
      </c>
      <c r="E6085" s="80">
        <v>35562</v>
      </c>
    </row>
    <row r="6086" spans="1:5">
      <c r="A6086">
        <v>10534</v>
      </c>
      <c r="B6086" t="s">
        <v>176</v>
      </c>
      <c r="C6086">
        <v>59.599999777972698</v>
      </c>
      <c r="D6086">
        <v>10</v>
      </c>
      <c r="E6086" s="80">
        <v>35562</v>
      </c>
    </row>
    <row r="6087" spans="1:5">
      <c r="A6087">
        <v>10534</v>
      </c>
      <c r="B6087" t="s">
        <v>177</v>
      </c>
      <c r="C6087">
        <v>59.599999777972698</v>
      </c>
      <c r="D6087">
        <v>10</v>
      </c>
      <c r="E6087" s="80">
        <v>35562</v>
      </c>
    </row>
    <row r="6088" spans="1:5">
      <c r="A6088">
        <v>10534</v>
      </c>
      <c r="B6088" t="s">
        <v>178</v>
      </c>
      <c r="C6088">
        <v>59.599999777972698</v>
      </c>
      <c r="D6088">
        <v>10</v>
      </c>
      <c r="E6088" s="80">
        <v>35562</v>
      </c>
    </row>
    <row r="6089" spans="1:5">
      <c r="A6089">
        <v>10534</v>
      </c>
      <c r="B6089" t="s">
        <v>179</v>
      </c>
      <c r="C6089">
        <v>59.599999777972698</v>
      </c>
      <c r="D6089">
        <v>10</v>
      </c>
      <c r="E6089" s="80">
        <v>35562</v>
      </c>
    </row>
    <row r="6090" spans="1:5">
      <c r="A6090">
        <v>10535</v>
      </c>
      <c r="B6090" t="s">
        <v>172</v>
      </c>
      <c r="C6090">
        <v>944.99999843537807</v>
      </c>
      <c r="D6090">
        <v>50</v>
      </c>
      <c r="E6090" s="80">
        <v>35563</v>
      </c>
    </row>
    <row r="6091" spans="1:5">
      <c r="A6091">
        <v>10535</v>
      </c>
      <c r="B6091" t="s">
        <v>173</v>
      </c>
      <c r="C6091">
        <v>944.99999843537807</v>
      </c>
      <c r="D6091">
        <v>50</v>
      </c>
      <c r="E6091" s="80">
        <v>35563</v>
      </c>
    </row>
    <row r="6092" spans="1:5">
      <c r="A6092">
        <v>10535</v>
      </c>
      <c r="B6092" t="s">
        <v>174</v>
      </c>
      <c r="C6092">
        <v>944.99999843537807</v>
      </c>
      <c r="D6092">
        <v>50</v>
      </c>
      <c r="E6092" s="80">
        <v>35563</v>
      </c>
    </row>
    <row r="6093" spans="1:5">
      <c r="A6093">
        <v>10535</v>
      </c>
      <c r="B6093" t="s">
        <v>175</v>
      </c>
      <c r="C6093">
        <v>944.99999843537807</v>
      </c>
      <c r="D6093">
        <v>50</v>
      </c>
      <c r="E6093" s="80">
        <v>35563</v>
      </c>
    </row>
    <row r="6094" spans="1:5">
      <c r="A6094">
        <v>10535</v>
      </c>
      <c r="B6094" t="s">
        <v>176</v>
      </c>
      <c r="C6094">
        <v>944.99999843537807</v>
      </c>
      <c r="D6094">
        <v>50</v>
      </c>
      <c r="E6094" s="80">
        <v>35563</v>
      </c>
    </row>
    <row r="6095" spans="1:5">
      <c r="A6095">
        <v>10535</v>
      </c>
      <c r="B6095" t="s">
        <v>177</v>
      </c>
      <c r="C6095">
        <v>944.99999843537807</v>
      </c>
      <c r="D6095">
        <v>50</v>
      </c>
      <c r="E6095" s="80">
        <v>35563</v>
      </c>
    </row>
    <row r="6096" spans="1:5">
      <c r="A6096">
        <v>10535</v>
      </c>
      <c r="B6096" t="s">
        <v>178</v>
      </c>
      <c r="C6096">
        <v>944.99999843537807</v>
      </c>
      <c r="D6096">
        <v>50</v>
      </c>
      <c r="E6096" s="80">
        <v>35563</v>
      </c>
    </row>
    <row r="6097" spans="1:5">
      <c r="A6097">
        <v>10535</v>
      </c>
      <c r="B6097" t="s">
        <v>179</v>
      </c>
      <c r="C6097">
        <v>944.99999843537807</v>
      </c>
      <c r="D6097">
        <v>50</v>
      </c>
      <c r="E6097" s="80">
        <v>35563</v>
      </c>
    </row>
    <row r="6098" spans="1:5">
      <c r="A6098">
        <v>10535</v>
      </c>
      <c r="B6098" t="s">
        <v>172</v>
      </c>
      <c r="C6098">
        <v>165.59999972581863</v>
      </c>
      <c r="D6098">
        <v>10</v>
      </c>
      <c r="E6098" s="80">
        <v>35563</v>
      </c>
    </row>
    <row r="6099" spans="1:5">
      <c r="A6099">
        <v>10535</v>
      </c>
      <c r="B6099" t="s">
        <v>173</v>
      </c>
      <c r="C6099">
        <v>165.59999972581863</v>
      </c>
      <c r="D6099">
        <v>10</v>
      </c>
      <c r="E6099" s="80">
        <v>35563</v>
      </c>
    </row>
    <row r="6100" spans="1:5">
      <c r="A6100">
        <v>10535</v>
      </c>
      <c r="B6100" t="s">
        <v>174</v>
      </c>
      <c r="C6100">
        <v>165.59999972581863</v>
      </c>
      <c r="D6100">
        <v>10</v>
      </c>
      <c r="E6100" s="80">
        <v>35563</v>
      </c>
    </row>
    <row r="6101" spans="1:5">
      <c r="A6101">
        <v>10535</v>
      </c>
      <c r="B6101" t="s">
        <v>175</v>
      </c>
      <c r="C6101">
        <v>165.59999972581863</v>
      </c>
      <c r="D6101">
        <v>10</v>
      </c>
      <c r="E6101" s="80">
        <v>35563</v>
      </c>
    </row>
    <row r="6102" spans="1:5">
      <c r="A6102">
        <v>10535</v>
      </c>
      <c r="B6102" t="s">
        <v>176</v>
      </c>
      <c r="C6102">
        <v>165.59999972581863</v>
      </c>
      <c r="D6102">
        <v>10</v>
      </c>
      <c r="E6102" s="80">
        <v>35563</v>
      </c>
    </row>
    <row r="6103" spans="1:5">
      <c r="A6103">
        <v>10535</v>
      </c>
      <c r="B6103" t="s">
        <v>177</v>
      </c>
      <c r="C6103">
        <v>165.59999972581863</v>
      </c>
      <c r="D6103">
        <v>10</v>
      </c>
      <c r="E6103" s="80">
        <v>35563</v>
      </c>
    </row>
    <row r="6104" spans="1:5">
      <c r="A6104">
        <v>10535</v>
      </c>
      <c r="B6104" t="s">
        <v>178</v>
      </c>
      <c r="C6104">
        <v>165.59999972581863</v>
      </c>
      <c r="D6104">
        <v>10</v>
      </c>
      <c r="E6104" s="80">
        <v>35563</v>
      </c>
    </row>
    <row r="6105" spans="1:5">
      <c r="A6105">
        <v>10535</v>
      </c>
      <c r="B6105" t="s">
        <v>179</v>
      </c>
      <c r="C6105">
        <v>165.59999972581863</v>
      </c>
      <c r="D6105">
        <v>10</v>
      </c>
      <c r="E6105" s="80">
        <v>35563</v>
      </c>
    </row>
    <row r="6106" spans="1:5">
      <c r="A6106">
        <v>10535</v>
      </c>
      <c r="B6106" t="s">
        <v>172</v>
      </c>
      <c r="C6106">
        <v>87.749999854713678</v>
      </c>
      <c r="D6106">
        <v>5</v>
      </c>
      <c r="E6106" s="80">
        <v>35563</v>
      </c>
    </row>
    <row r="6107" spans="1:5">
      <c r="A6107">
        <v>10535</v>
      </c>
      <c r="B6107" t="s">
        <v>173</v>
      </c>
      <c r="C6107">
        <v>87.749999854713678</v>
      </c>
      <c r="D6107">
        <v>5</v>
      </c>
      <c r="E6107" s="80">
        <v>35563</v>
      </c>
    </row>
    <row r="6108" spans="1:5">
      <c r="A6108">
        <v>10535</v>
      </c>
      <c r="B6108" t="s">
        <v>174</v>
      </c>
      <c r="C6108">
        <v>87.749999854713678</v>
      </c>
      <c r="D6108">
        <v>5</v>
      </c>
      <c r="E6108" s="80">
        <v>35563</v>
      </c>
    </row>
    <row r="6109" spans="1:5">
      <c r="A6109">
        <v>10535</v>
      </c>
      <c r="B6109" t="s">
        <v>175</v>
      </c>
      <c r="C6109">
        <v>87.749999854713678</v>
      </c>
      <c r="D6109">
        <v>5</v>
      </c>
      <c r="E6109" s="80">
        <v>35563</v>
      </c>
    </row>
    <row r="6110" spans="1:5">
      <c r="A6110">
        <v>10535</v>
      </c>
      <c r="B6110" t="s">
        <v>176</v>
      </c>
      <c r="C6110">
        <v>87.749999854713678</v>
      </c>
      <c r="D6110">
        <v>5</v>
      </c>
      <c r="E6110" s="80">
        <v>35563</v>
      </c>
    </row>
    <row r="6111" spans="1:5">
      <c r="A6111">
        <v>10535</v>
      </c>
      <c r="B6111" t="s">
        <v>177</v>
      </c>
      <c r="C6111">
        <v>87.749999854713678</v>
      </c>
      <c r="D6111">
        <v>5</v>
      </c>
      <c r="E6111" s="80">
        <v>35563</v>
      </c>
    </row>
    <row r="6112" spans="1:5">
      <c r="A6112">
        <v>10535</v>
      </c>
      <c r="B6112" t="s">
        <v>178</v>
      </c>
      <c r="C6112">
        <v>87.749999854713678</v>
      </c>
      <c r="D6112">
        <v>5</v>
      </c>
      <c r="E6112" s="80">
        <v>35563</v>
      </c>
    </row>
    <row r="6113" spans="1:5">
      <c r="A6113">
        <v>10535</v>
      </c>
      <c r="B6113" t="s">
        <v>179</v>
      </c>
      <c r="C6113">
        <v>87.749999854713678</v>
      </c>
      <c r="D6113">
        <v>5</v>
      </c>
      <c r="E6113" s="80">
        <v>35563</v>
      </c>
    </row>
    <row r="6114" spans="1:5">
      <c r="A6114">
        <v>10535</v>
      </c>
      <c r="B6114" t="s">
        <v>172</v>
      </c>
      <c r="C6114">
        <v>742.4999987706542</v>
      </c>
      <c r="D6114">
        <v>15</v>
      </c>
      <c r="E6114" s="80">
        <v>35563</v>
      </c>
    </row>
    <row r="6115" spans="1:5">
      <c r="A6115">
        <v>10535</v>
      </c>
      <c r="B6115" t="s">
        <v>173</v>
      </c>
      <c r="C6115">
        <v>742.4999987706542</v>
      </c>
      <c r="D6115">
        <v>15</v>
      </c>
      <c r="E6115" s="80">
        <v>35563</v>
      </c>
    </row>
    <row r="6116" spans="1:5">
      <c r="A6116">
        <v>10535</v>
      </c>
      <c r="B6116" t="s">
        <v>174</v>
      </c>
      <c r="C6116">
        <v>742.4999987706542</v>
      </c>
      <c r="D6116">
        <v>15</v>
      </c>
      <c r="E6116" s="80">
        <v>35563</v>
      </c>
    </row>
    <row r="6117" spans="1:5">
      <c r="A6117">
        <v>10535</v>
      </c>
      <c r="B6117" t="s">
        <v>175</v>
      </c>
      <c r="C6117">
        <v>742.4999987706542</v>
      </c>
      <c r="D6117">
        <v>15</v>
      </c>
      <c r="E6117" s="80">
        <v>35563</v>
      </c>
    </row>
    <row r="6118" spans="1:5">
      <c r="A6118">
        <v>10535</v>
      </c>
      <c r="B6118" t="s">
        <v>176</v>
      </c>
      <c r="C6118">
        <v>742.4999987706542</v>
      </c>
      <c r="D6118">
        <v>15</v>
      </c>
      <c r="E6118" s="80">
        <v>35563</v>
      </c>
    </row>
    <row r="6119" spans="1:5">
      <c r="A6119">
        <v>10535</v>
      </c>
      <c r="B6119" t="s">
        <v>177</v>
      </c>
      <c r="C6119">
        <v>742.4999987706542</v>
      </c>
      <c r="D6119">
        <v>15</v>
      </c>
      <c r="E6119" s="80">
        <v>35563</v>
      </c>
    </row>
    <row r="6120" spans="1:5">
      <c r="A6120">
        <v>10535</v>
      </c>
      <c r="B6120" t="s">
        <v>178</v>
      </c>
      <c r="C6120">
        <v>742.4999987706542</v>
      </c>
      <c r="D6120">
        <v>15</v>
      </c>
      <c r="E6120" s="80">
        <v>35563</v>
      </c>
    </row>
    <row r="6121" spans="1:5">
      <c r="A6121">
        <v>10535</v>
      </c>
      <c r="B6121" t="s">
        <v>179</v>
      </c>
      <c r="C6121">
        <v>742.4999987706542</v>
      </c>
      <c r="D6121">
        <v>15</v>
      </c>
      <c r="E6121" s="80">
        <v>35563</v>
      </c>
    </row>
    <row r="6122" spans="1:5">
      <c r="A6122">
        <v>10536</v>
      </c>
      <c r="B6122" t="s">
        <v>172</v>
      </c>
      <c r="C6122">
        <v>427.5</v>
      </c>
      <c r="D6122">
        <v>15</v>
      </c>
      <c r="E6122" s="80">
        <v>35564</v>
      </c>
    </row>
    <row r="6123" spans="1:5">
      <c r="A6123">
        <v>10536</v>
      </c>
      <c r="B6123" t="s">
        <v>173</v>
      </c>
      <c r="C6123">
        <v>427.5</v>
      </c>
      <c r="D6123">
        <v>15</v>
      </c>
      <c r="E6123" s="80">
        <v>35564</v>
      </c>
    </row>
    <row r="6124" spans="1:5">
      <c r="A6124">
        <v>10536</v>
      </c>
      <c r="B6124" t="s">
        <v>174</v>
      </c>
      <c r="C6124">
        <v>427.5</v>
      </c>
      <c r="D6124">
        <v>15</v>
      </c>
      <c r="E6124" s="80">
        <v>35564</v>
      </c>
    </row>
    <row r="6125" spans="1:5">
      <c r="A6125">
        <v>10536</v>
      </c>
      <c r="B6125" t="s">
        <v>175</v>
      </c>
      <c r="C6125">
        <v>427.5</v>
      </c>
      <c r="D6125">
        <v>15</v>
      </c>
      <c r="E6125" s="80">
        <v>35564</v>
      </c>
    </row>
    <row r="6126" spans="1:5">
      <c r="A6126">
        <v>10536</v>
      </c>
      <c r="B6126" t="s">
        <v>176</v>
      </c>
      <c r="C6126">
        <v>427.5</v>
      </c>
      <c r="D6126">
        <v>15</v>
      </c>
      <c r="E6126" s="80">
        <v>35564</v>
      </c>
    </row>
    <row r="6127" spans="1:5">
      <c r="A6127">
        <v>10536</v>
      </c>
      <c r="B6127" t="s">
        <v>177</v>
      </c>
      <c r="C6127">
        <v>427.5</v>
      </c>
      <c r="D6127">
        <v>15</v>
      </c>
      <c r="E6127" s="80">
        <v>35564</v>
      </c>
    </row>
    <row r="6128" spans="1:5">
      <c r="A6128">
        <v>10536</v>
      </c>
      <c r="B6128" t="s">
        <v>178</v>
      </c>
      <c r="C6128">
        <v>427.5</v>
      </c>
      <c r="D6128">
        <v>15</v>
      </c>
      <c r="E6128" s="80">
        <v>35564</v>
      </c>
    </row>
    <row r="6129" spans="1:5">
      <c r="A6129">
        <v>10536</v>
      </c>
      <c r="B6129" t="s">
        <v>179</v>
      </c>
      <c r="C6129">
        <v>427.5</v>
      </c>
      <c r="D6129">
        <v>15</v>
      </c>
      <c r="E6129" s="80">
        <v>35564</v>
      </c>
    </row>
    <row r="6130" spans="1:5">
      <c r="A6130">
        <v>10536</v>
      </c>
      <c r="B6130" t="s">
        <v>172</v>
      </c>
      <c r="C6130">
        <v>250</v>
      </c>
      <c r="D6130">
        <v>20</v>
      </c>
      <c r="E6130" s="80">
        <v>35564</v>
      </c>
    </row>
    <row r="6131" spans="1:5">
      <c r="A6131">
        <v>10536</v>
      </c>
      <c r="B6131" t="s">
        <v>173</v>
      </c>
      <c r="C6131">
        <v>250</v>
      </c>
      <c r="D6131">
        <v>20</v>
      </c>
      <c r="E6131" s="80">
        <v>35564</v>
      </c>
    </row>
    <row r="6132" spans="1:5">
      <c r="A6132">
        <v>10536</v>
      </c>
      <c r="B6132" t="s">
        <v>174</v>
      </c>
      <c r="C6132">
        <v>250</v>
      </c>
      <c r="D6132">
        <v>20</v>
      </c>
      <c r="E6132" s="80">
        <v>35564</v>
      </c>
    </row>
    <row r="6133" spans="1:5">
      <c r="A6133">
        <v>10536</v>
      </c>
      <c r="B6133" t="s">
        <v>175</v>
      </c>
      <c r="C6133">
        <v>250</v>
      </c>
      <c r="D6133">
        <v>20</v>
      </c>
      <c r="E6133" s="80">
        <v>35564</v>
      </c>
    </row>
    <row r="6134" spans="1:5">
      <c r="A6134">
        <v>10536</v>
      </c>
      <c r="B6134" t="s">
        <v>176</v>
      </c>
      <c r="C6134">
        <v>250</v>
      </c>
      <c r="D6134">
        <v>20</v>
      </c>
      <c r="E6134" s="80">
        <v>35564</v>
      </c>
    </row>
    <row r="6135" spans="1:5">
      <c r="A6135">
        <v>10536</v>
      </c>
      <c r="B6135" t="s">
        <v>177</v>
      </c>
      <c r="C6135">
        <v>250</v>
      </c>
      <c r="D6135">
        <v>20</v>
      </c>
      <c r="E6135" s="80">
        <v>35564</v>
      </c>
    </row>
    <row r="6136" spans="1:5">
      <c r="A6136">
        <v>10536</v>
      </c>
      <c r="B6136" t="s">
        <v>178</v>
      </c>
      <c r="C6136">
        <v>250</v>
      </c>
      <c r="D6136">
        <v>20</v>
      </c>
      <c r="E6136" s="80">
        <v>35564</v>
      </c>
    </row>
    <row r="6137" spans="1:5">
      <c r="A6137">
        <v>10536</v>
      </c>
      <c r="B6137" t="s">
        <v>179</v>
      </c>
      <c r="C6137">
        <v>250</v>
      </c>
      <c r="D6137">
        <v>20</v>
      </c>
      <c r="E6137" s="80">
        <v>35564</v>
      </c>
    </row>
    <row r="6138" spans="1:5">
      <c r="A6138">
        <v>10536</v>
      </c>
      <c r="B6138" t="s">
        <v>172</v>
      </c>
      <c r="C6138">
        <v>75</v>
      </c>
      <c r="D6138">
        <v>30</v>
      </c>
      <c r="E6138" s="80">
        <v>35564</v>
      </c>
    </row>
    <row r="6139" spans="1:5">
      <c r="A6139">
        <v>10536</v>
      </c>
      <c r="B6139" t="s">
        <v>173</v>
      </c>
      <c r="C6139">
        <v>75</v>
      </c>
      <c r="D6139">
        <v>30</v>
      </c>
      <c r="E6139" s="80">
        <v>35564</v>
      </c>
    </row>
    <row r="6140" spans="1:5">
      <c r="A6140">
        <v>10536</v>
      </c>
      <c r="B6140" t="s">
        <v>174</v>
      </c>
      <c r="C6140">
        <v>75</v>
      </c>
      <c r="D6140">
        <v>30</v>
      </c>
      <c r="E6140" s="80">
        <v>35564</v>
      </c>
    </row>
    <row r="6141" spans="1:5">
      <c r="A6141">
        <v>10536</v>
      </c>
      <c r="B6141" t="s">
        <v>175</v>
      </c>
      <c r="C6141">
        <v>75</v>
      </c>
      <c r="D6141">
        <v>30</v>
      </c>
      <c r="E6141" s="80">
        <v>35564</v>
      </c>
    </row>
    <row r="6142" spans="1:5">
      <c r="A6142">
        <v>10536</v>
      </c>
      <c r="B6142" t="s">
        <v>176</v>
      </c>
      <c r="C6142">
        <v>75</v>
      </c>
      <c r="D6142">
        <v>30</v>
      </c>
      <c r="E6142" s="80">
        <v>35564</v>
      </c>
    </row>
    <row r="6143" spans="1:5">
      <c r="A6143">
        <v>10536</v>
      </c>
      <c r="B6143" t="s">
        <v>177</v>
      </c>
      <c r="C6143">
        <v>75</v>
      </c>
      <c r="D6143">
        <v>30</v>
      </c>
      <c r="E6143" s="80">
        <v>35564</v>
      </c>
    </row>
    <row r="6144" spans="1:5">
      <c r="A6144">
        <v>10536</v>
      </c>
      <c r="B6144" t="s">
        <v>178</v>
      </c>
      <c r="C6144">
        <v>75</v>
      </c>
      <c r="D6144">
        <v>30</v>
      </c>
      <c r="E6144" s="80">
        <v>35564</v>
      </c>
    </row>
    <row r="6145" spans="1:5">
      <c r="A6145">
        <v>10536</v>
      </c>
      <c r="B6145" t="s">
        <v>179</v>
      </c>
      <c r="C6145">
        <v>75</v>
      </c>
      <c r="D6145">
        <v>30</v>
      </c>
      <c r="E6145" s="80">
        <v>35564</v>
      </c>
    </row>
    <row r="6146" spans="1:5">
      <c r="A6146">
        <v>10536</v>
      </c>
      <c r="B6146" t="s">
        <v>172</v>
      </c>
      <c r="C6146">
        <v>892.5</v>
      </c>
      <c r="D6146">
        <v>35</v>
      </c>
      <c r="E6146" s="80">
        <v>35564</v>
      </c>
    </row>
    <row r="6147" spans="1:5">
      <c r="A6147">
        <v>10536</v>
      </c>
      <c r="B6147" t="s">
        <v>173</v>
      </c>
      <c r="C6147">
        <v>892.5</v>
      </c>
      <c r="D6147">
        <v>35</v>
      </c>
      <c r="E6147" s="80">
        <v>35564</v>
      </c>
    </row>
    <row r="6148" spans="1:5">
      <c r="A6148">
        <v>10536</v>
      </c>
      <c r="B6148" t="s">
        <v>174</v>
      </c>
      <c r="C6148">
        <v>892.5</v>
      </c>
      <c r="D6148">
        <v>35</v>
      </c>
      <c r="E6148" s="80">
        <v>35564</v>
      </c>
    </row>
    <row r="6149" spans="1:5">
      <c r="A6149">
        <v>10536</v>
      </c>
      <c r="B6149" t="s">
        <v>175</v>
      </c>
      <c r="C6149">
        <v>892.5</v>
      </c>
      <c r="D6149">
        <v>35</v>
      </c>
      <c r="E6149" s="80">
        <v>35564</v>
      </c>
    </row>
    <row r="6150" spans="1:5">
      <c r="A6150">
        <v>10536</v>
      </c>
      <c r="B6150" t="s">
        <v>176</v>
      </c>
      <c r="C6150">
        <v>892.5</v>
      </c>
      <c r="D6150">
        <v>35</v>
      </c>
      <c r="E6150" s="80">
        <v>35564</v>
      </c>
    </row>
    <row r="6151" spans="1:5">
      <c r="A6151">
        <v>10536</v>
      </c>
      <c r="B6151" t="s">
        <v>177</v>
      </c>
      <c r="C6151">
        <v>892.5</v>
      </c>
      <c r="D6151">
        <v>35</v>
      </c>
      <c r="E6151" s="80">
        <v>35564</v>
      </c>
    </row>
    <row r="6152" spans="1:5">
      <c r="A6152">
        <v>10536</v>
      </c>
      <c r="B6152" t="s">
        <v>178</v>
      </c>
      <c r="C6152">
        <v>892.5</v>
      </c>
      <c r="D6152">
        <v>35</v>
      </c>
      <c r="E6152" s="80">
        <v>35564</v>
      </c>
    </row>
    <row r="6153" spans="1:5">
      <c r="A6153">
        <v>10536</v>
      </c>
      <c r="B6153" t="s">
        <v>179</v>
      </c>
      <c r="C6153">
        <v>892.5</v>
      </c>
      <c r="D6153">
        <v>35</v>
      </c>
      <c r="E6153" s="80">
        <v>35564</v>
      </c>
    </row>
    <row r="6154" spans="1:5">
      <c r="A6154">
        <v>10537</v>
      </c>
      <c r="B6154" t="s">
        <v>172</v>
      </c>
      <c r="C6154">
        <v>375</v>
      </c>
      <c r="D6154">
        <v>30</v>
      </c>
      <c r="E6154" s="80">
        <v>35564</v>
      </c>
    </row>
    <row r="6155" spans="1:5">
      <c r="A6155">
        <v>10537</v>
      </c>
      <c r="B6155" t="s">
        <v>173</v>
      </c>
      <c r="C6155">
        <v>375</v>
      </c>
      <c r="D6155">
        <v>30</v>
      </c>
      <c r="E6155" s="80">
        <v>35564</v>
      </c>
    </row>
    <row r="6156" spans="1:5">
      <c r="A6156">
        <v>10537</v>
      </c>
      <c r="B6156" t="s">
        <v>174</v>
      </c>
      <c r="C6156">
        <v>375</v>
      </c>
      <c r="D6156">
        <v>30</v>
      </c>
      <c r="E6156" s="80">
        <v>35564</v>
      </c>
    </row>
    <row r="6157" spans="1:5">
      <c r="A6157">
        <v>10537</v>
      </c>
      <c r="B6157" t="s">
        <v>175</v>
      </c>
      <c r="C6157">
        <v>375</v>
      </c>
      <c r="D6157">
        <v>30</v>
      </c>
      <c r="E6157" s="80">
        <v>35564</v>
      </c>
    </row>
    <row r="6158" spans="1:5">
      <c r="A6158">
        <v>10537</v>
      </c>
      <c r="B6158" t="s">
        <v>176</v>
      </c>
      <c r="C6158">
        <v>375</v>
      </c>
      <c r="D6158">
        <v>30</v>
      </c>
      <c r="E6158" s="80">
        <v>35564</v>
      </c>
    </row>
    <row r="6159" spans="1:5">
      <c r="A6159">
        <v>10537</v>
      </c>
      <c r="B6159" t="s">
        <v>177</v>
      </c>
      <c r="C6159">
        <v>375</v>
      </c>
      <c r="D6159">
        <v>30</v>
      </c>
      <c r="E6159" s="80">
        <v>35564</v>
      </c>
    </row>
    <row r="6160" spans="1:5">
      <c r="A6160">
        <v>10537</v>
      </c>
      <c r="B6160" t="s">
        <v>178</v>
      </c>
      <c r="C6160">
        <v>375</v>
      </c>
      <c r="D6160">
        <v>30</v>
      </c>
      <c r="E6160" s="80">
        <v>35564</v>
      </c>
    </row>
    <row r="6161" spans="1:5">
      <c r="A6161">
        <v>10537</v>
      </c>
      <c r="B6161" t="s">
        <v>179</v>
      </c>
      <c r="C6161">
        <v>375</v>
      </c>
      <c r="D6161">
        <v>30</v>
      </c>
      <c r="E6161" s="80">
        <v>35564</v>
      </c>
    </row>
    <row r="6162" spans="1:5">
      <c r="A6162">
        <v>10537</v>
      </c>
      <c r="B6162" t="s">
        <v>172</v>
      </c>
      <c r="C6162">
        <v>318</v>
      </c>
      <c r="D6162">
        <v>6</v>
      </c>
      <c r="E6162" s="80">
        <v>35564</v>
      </c>
    </row>
    <row r="6163" spans="1:5">
      <c r="A6163">
        <v>10537</v>
      </c>
      <c r="B6163" t="s">
        <v>173</v>
      </c>
      <c r="C6163">
        <v>318</v>
      </c>
      <c r="D6163">
        <v>6</v>
      </c>
      <c r="E6163" s="80">
        <v>35564</v>
      </c>
    </row>
    <row r="6164" spans="1:5">
      <c r="A6164">
        <v>10537</v>
      </c>
      <c r="B6164" t="s">
        <v>174</v>
      </c>
      <c r="C6164">
        <v>318</v>
      </c>
      <c r="D6164">
        <v>6</v>
      </c>
      <c r="E6164" s="80">
        <v>35564</v>
      </c>
    </row>
    <row r="6165" spans="1:5">
      <c r="A6165">
        <v>10537</v>
      </c>
      <c r="B6165" t="s">
        <v>175</v>
      </c>
      <c r="C6165">
        <v>318</v>
      </c>
      <c r="D6165">
        <v>6</v>
      </c>
      <c r="E6165" s="80">
        <v>35564</v>
      </c>
    </row>
    <row r="6166" spans="1:5">
      <c r="A6166">
        <v>10537</v>
      </c>
      <c r="B6166" t="s">
        <v>176</v>
      </c>
      <c r="C6166">
        <v>318</v>
      </c>
      <c r="D6166">
        <v>6</v>
      </c>
      <c r="E6166" s="80">
        <v>35564</v>
      </c>
    </row>
    <row r="6167" spans="1:5">
      <c r="A6167">
        <v>10537</v>
      </c>
      <c r="B6167" t="s">
        <v>177</v>
      </c>
      <c r="C6167">
        <v>318</v>
      </c>
      <c r="D6167">
        <v>6</v>
      </c>
      <c r="E6167" s="80">
        <v>35564</v>
      </c>
    </row>
    <row r="6168" spans="1:5">
      <c r="A6168">
        <v>10537</v>
      </c>
      <c r="B6168" t="s">
        <v>178</v>
      </c>
      <c r="C6168">
        <v>318</v>
      </c>
      <c r="D6168">
        <v>6</v>
      </c>
      <c r="E6168" s="80">
        <v>35564</v>
      </c>
    </row>
    <row r="6169" spans="1:5">
      <c r="A6169">
        <v>10537</v>
      </c>
      <c r="B6169" t="s">
        <v>179</v>
      </c>
      <c r="C6169">
        <v>318</v>
      </c>
      <c r="D6169">
        <v>6</v>
      </c>
      <c r="E6169" s="80">
        <v>35564</v>
      </c>
    </row>
    <row r="6170" spans="1:5">
      <c r="A6170">
        <v>10537</v>
      </c>
      <c r="B6170" t="s">
        <v>172</v>
      </c>
      <c r="C6170">
        <v>265</v>
      </c>
      <c r="D6170">
        <v>20</v>
      </c>
      <c r="E6170" s="80">
        <v>35564</v>
      </c>
    </row>
    <row r="6171" spans="1:5">
      <c r="A6171">
        <v>10537</v>
      </c>
      <c r="B6171" t="s">
        <v>173</v>
      </c>
      <c r="C6171">
        <v>265</v>
      </c>
      <c r="D6171">
        <v>20</v>
      </c>
      <c r="E6171" s="80">
        <v>35564</v>
      </c>
    </row>
    <row r="6172" spans="1:5">
      <c r="A6172">
        <v>10537</v>
      </c>
      <c r="B6172" t="s">
        <v>174</v>
      </c>
      <c r="C6172">
        <v>265</v>
      </c>
      <c r="D6172">
        <v>20</v>
      </c>
      <c r="E6172" s="80">
        <v>35564</v>
      </c>
    </row>
    <row r="6173" spans="1:5">
      <c r="A6173">
        <v>10537</v>
      </c>
      <c r="B6173" t="s">
        <v>175</v>
      </c>
      <c r="C6173">
        <v>265</v>
      </c>
      <c r="D6173">
        <v>20</v>
      </c>
      <c r="E6173" s="80">
        <v>35564</v>
      </c>
    </row>
    <row r="6174" spans="1:5">
      <c r="A6174">
        <v>10537</v>
      </c>
      <c r="B6174" t="s">
        <v>176</v>
      </c>
      <c r="C6174">
        <v>265</v>
      </c>
      <c r="D6174">
        <v>20</v>
      </c>
      <c r="E6174" s="80">
        <v>35564</v>
      </c>
    </row>
    <row r="6175" spans="1:5">
      <c r="A6175">
        <v>10537</v>
      </c>
      <c r="B6175" t="s">
        <v>177</v>
      </c>
      <c r="C6175">
        <v>265</v>
      </c>
      <c r="D6175">
        <v>20</v>
      </c>
      <c r="E6175" s="80">
        <v>35564</v>
      </c>
    </row>
    <row r="6176" spans="1:5">
      <c r="A6176">
        <v>10537</v>
      </c>
      <c r="B6176" t="s">
        <v>178</v>
      </c>
      <c r="C6176">
        <v>265</v>
      </c>
      <c r="D6176">
        <v>20</v>
      </c>
      <c r="E6176" s="80">
        <v>35564</v>
      </c>
    </row>
    <row r="6177" spans="1:5">
      <c r="A6177">
        <v>10537</v>
      </c>
      <c r="B6177" t="s">
        <v>179</v>
      </c>
      <c r="C6177">
        <v>265</v>
      </c>
      <c r="D6177">
        <v>20</v>
      </c>
      <c r="E6177" s="80">
        <v>35564</v>
      </c>
    </row>
    <row r="6178" spans="1:5">
      <c r="A6178">
        <v>10537</v>
      </c>
      <c r="B6178" t="s">
        <v>172</v>
      </c>
      <c r="C6178">
        <v>730.8</v>
      </c>
      <c r="D6178">
        <v>21</v>
      </c>
      <c r="E6178" s="80">
        <v>35564</v>
      </c>
    </row>
    <row r="6179" spans="1:5">
      <c r="A6179">
        <v>10537</v>
      </c>
      <c r="B6179" t="s">
        <v>173</v>
      </c>
      <c r="C6179">
        <v>730.8</v>
      </c>
      <c r="D6179">
        <v>21</v>
      </c>
      <c r="E6179" s="80">
        <v>35564</v>
      </c>
    </row>
    <row r="6180" spans="1:5">
      <c r="A6180">
        <v>10537</v>
      </c>
      <c r="B6180" t="s">
        <v>174</v>
      </c>
      <c r="C6180">
        <v>730.8</v>
      </c>
      <c r="D6180">
        <v>21</v>
      </c>
      <c r="E6180" s="80">
        <v>35564</v>
      </c>
    </row>
    <row r="6181" spans="1:5">
      <c r="A6181">
        <v>10537</v>
      </c>
      <c r="B6181" t="s">
        <v>175</v>
      </c>
      <c r="C6181">
        <v>730.8</v>
      </c>
      <c r="D6181">
        <v>21</v>
      </c>
      <c r="E6181" s="80">
        <v>35564</v>
      </c>
    </row>
    <row r="6182" spans="1:5">
      <c r="A6182">
        <v>10537</v>
      </c>
      <c r="B6182" t="s">
        <v>176</v>
      </c>
      <c r="C6182">
        <v>730.8</v>
      </c>
      <c r="D6182">
        <v>21</v>
      </c>
      <c r="E6182" s="80">
        <v>35564</v>
      </c>
    </row>
    <row r="6183" spans="1:5">
      <c r="A6183">
        <v>10537</v>
      </c>
      <c r="B6183" t="s">
        <v>177</v>
      </c>
      <c r="C6183">
        <v>730.8</v>
      </c>
      <c r="D6183">
        <v>21</v>
      </c>
      <c r="E6183" s="80">
        <v>35564</v>
      </c>
    </row>
    <row r="6184" spans="1:5">
      <c r="A6184">
        <v>10537</v>
      </c>
      <c r="B6184" t="s">
        <v>178</v>
      </c>
      <c r="C6184">
        <v>730.8</v>
      </c>
      <c r="D6184">
        <v>21</v>
      </c>
      <c r="E6184" s="80">
        <v>35564</v>
      </c>
    </row>
    <row r="6185" spans="1:5">
      <c r="A6185">
        <v>10537</v>
      </c>
      <c r="B6185" t="s">
        <v>179</v>
      </c>
      <c r="C6185">
        <v>730.8</v>
      </c>
      <c r="D6185">
        <v>21</v>
      </c>
      <c r="E6185" s="80">
        <v>35564</v>
      </c>
    </row>
    <row r="6186" spans="1:5">
      <c r="A6186">
        <v>10537</v>
      </c>
      <c r="B6186" t="s">
        <v>172</v>
      </c>
      <c r="C6186">
        <v>135</v>
      </c>
      <c r="D6186">
        <v>9</v>
      </c>
      <c r="E6186" s="80">
        <v>35564</v>
      </c>
    </row>
    <row r="6187" spans="1:5">
      <c r="A6187">
        <v>10537</v>
      </c>
      <c r="B6187" t="s">
        <v>173</v>
      </c>
      <c r="C6187">
        <v>135</v>
      </c>
      <c r="D6187">
        <v>9</v>
      </c>
      <c r="E6187" s="80">
        <v>35564</v>
      </c>
    </row>
    <row r="6188" spans="1:5">
      <c r="A6188">
        <v>10537</v>
      </c>
      <c r="B6188" t="s">
        <v>174</v>
      </c>
      <c r="C6188">
        <v>135</v>
      </c>
      <c r="D6188">
        <v>9</v>
      </c>
      <c r="E6188" s="80">
        <v>35564</v>
      </c>
    </row>
    <row r="6189" spans="1:5">
      <c r="A6189">
        <v>10537</v>
      </c>
      <c r="B6189" t="s">
        <v>175</v>
      </c>
      <c r="C6189">
        <v>135</v>
      </c>
      <c r="D6189">
        <v>9</v>
      </c>
      <c r="E6189" s="80">
        <v>35564</v>
      </c>
    </row>
    <row r="6190" spans="1:5">
      <c r="A6190">
        <v>10537</v>
      </c>
      <c r="B6190" t="s">
        <v>176</v>
      </c>
      <c r="C6190">
        <v>135</v>
      </c>
      <c r="D6190">
        <v>9</v>
      </c>
      <c r="E6190" s="80">
        <v>35564</v>
      </c>
    </row>
    <row r="6191" spans="1:5">
      <c r="A6191">
        <v>10537</v>
      </c>
      <c r="B6191" t="s">
        <v>177</v>
      </c>
      <c r="C6191">
        <v>135</v>
      </c>
      <c r="D6191">
        <v>9</v>
      </c>
      <c r="E6191" s="80">
        <v>35564</v>
      </c>
    </row>
    <row r="6192" spans="1:5">
      <c r="A6192">
        <v>10537</v>
      </c>
      <c r="B6192" t="s">
        <v>178</v>
      </c>
      <c r="C6192">
        <v>135</v>
      </c>
      <c r="D6192">
        <v>9</v>
      </c>
      <c r="E6192" s="80">
        <v>35564</v>
      </c>
    </row>
    <row r="6193" spans="1:5">
      <c r="A6193">
        <v>10537</v>
      </c>
      <c r="B6193" t="s">
        <v>179</v>
      </c>
      <c r="C6193">
        <v>135</v>
      </c>
      <c r="D6193">
        <v>9</v>
      </c>
      <c r="E6193" s="80">
        <v>35564</v>
      </c>
    </row>
    <row r="6194" spans="1:5">
      <c r="A6194">
        <v>10538</v>
      </c>
      <c r="B6194" t="s">
        <v>172</v>
      </c>
      <c r="C6194">
        <v>105</v>
      </c>
      <c r="D6194">
        <v>7</v>
      </c>
      <c r="E6194" s="80">
        <v>35565</v>
      </c>
    </row>
    <row r="6195" spans="1:5">
      <c r="A6195">
        <v>10538</v>
      </c>
      <c r="B6195" t="s">
        <v>173</v>
      </c>
      <c r="C6195">
        <v>105</v>
      </c>
      <c r="D6195">
        <v>7</v>
      </c>
      <c r="E6195" s="80">
        <v>35565</v>
      </c>
    </row>
    <row r="6196" spans="1:5">
      <c r="A6196">
        <v>10538</v>
      </c>
      <c r="B6196" t="s">
        <v>174</v>
      </c>
      <c r="C6196">
        <v>105</v>
      </c>
      <c r="D6196">
        <v>7</v>
      </c>
      <c r="E6196" s="80">
        <v>35565</v>
      </c>
    </row>
    <row r="6197" spans="1:5">
      <c r="A6197">
        <v>10538</v>
      </c>
      <c r="B6197" t="s">
        <v>175</v>
      </c>
      <c r="C6197">
        <v>105</v>
      </c>
      <c r="D6197">
        <v>7</v>
      </c>
      <c r="E6197" s="80">
        <v>35565</v>
      </c>
    </row>
    <row r="6198" spans="1:5">
      <c r="A6198">
        <v>10538</v>
      </c>
      <c r="B6198" t="s">
        <v>176</v>
      </c>
      <c r="C6198">
        <v>105</v>
      </c>
      <c r="D6198">
        <v>7</v>
      </c>
      <c r="E6198" s="80">
        <v>35565</v>
      </c>
    </row>
    <row r="6199" spans="1:5">
      <c r="A6199">
        <v>10538</v>
      </c>
      <c r="B6199" t="s">
        <v>177</v>
      </c>
      <c r="C6199">
        <v>105</v>
      </c>
      <c r="D6199">
        <v>7</v>
      </c>
      <c r="E6199" s="80">
        <v>35565</v>
      </c>
    </row>
    <row r="6200" spans="1:5">
      <c r="A6200">
        <v>10538</v>
      </c>
      <c r="B6200" t="s">
        <v>178</v>
      </c>
      <c r="C6200">
        <v>105</v>
      </c>
      <c r="D6200">
        <v>7</v>
      </c>
      <c r="E6200" s="80">
        <v>35565</v>
      </c>
    </row>
    <row r="6201" spans="1:5">
      <c r="A6201">
        <v>10538</v>
      </c>
      <c r="B6201" t="s">
        <v>179</v>
      </c>
      <c r="C6201">
        <v>105</v>
      </c>
      <c r="D6201">
        <v>7</v>
      </c>
      <c r="E6201" s="80">
        <v>35565</v>
      </c>
    </row>
    <row r="6202" spans="1:5">
      <c r="A6202">
        <v>10538</v>
      </c>
      <c r="B6202" t="s">
        <v>172</v>
      </c>
      <c r="C6202">
        <v>34.799999999999997</v>
      </c>
      <c r="D6202">
        <v>1</v>
      </c>
      <c r="E6202" s="80">
        <v>35565</v>
      </c>
    </row>
    <row r="6203" spans="1:5">
      <c r="A6203">
        <v>10538</v>
      </c>
      <c r="B6203" t="s">
        <v>173</v>
      </c>
      <c r="C6203">
        <v>34.799999999999997</v>
      </c>
      <c r="D6203">
        <v>1</v>
      </c>
      <c r="E6203" s="80">
        <v>35565</v>
      </c>
    </row>
    <row r="6204" spans="1:5">
      <c r="A6204">
        <v>10538</v>
      </c>
      <c r="B6204" t="s">
        <v>174</v>
      </c>
      <c r="C6204">
        <v>34.799999999999997</v>
      </c>
      <c r="D6204">
        <v>1</v>
      </c>
      <c r="E6204" s="80">
        <v>35565</v>
      </c>
    </row>
    <row r="6205" spans="1:5">
      <c r="A6205">
        <v>10538</v>
      </c>
      <c r="B6205" t="s">
        <v>175</v>
      </c>
      <c r="C6205">
        <v>34.799999999999997</v>
      </c>
      <c r="D6205">
        <v>1</v>
      </c>
      <c r="E6205" s="80">
        <v>35565</v>
      </c>
    </row>
    <row r="6206" spans="1:5">
      <c r="A6206">
        <v>10538</v>
      </c>
      <c r="B6206" t="s">
        <v>176</v>
      </c>
      <c r="C6206">
        <v>34.799999999999997</v>
      </c>
      <c r="D6206">
        <v>1</v>
      </c>
      <c r="E6206" s="80">
        <v>35565</v>
      </c>
    </row>
    <row r="6207" spans="1:5">
      <c r="A6207">
        <v>10538</v>
      </c>
      <c r="B6207" t="s">
        <v>177</v>
      </c>
      <c r="C6207">
        <v>34.799999999999997</v>
      </c>
      <c r="D6207">
        <v>1</v>
      </c>
      <c r="E6207" s="80">
        <v>35565</v>
      </c>
    </row>
    <row r="6208" spans="1:5">
      <c r="A6208">
        <v>10538</v>
      </c>
      <c r="B6208" t="s">
        <v>178</v>
      </c>
      <c r="C6208">
        <v>34.799999999999997</v>
      </c>
      <c r="D6208">
        <v>1</v>
      </c>
      <c r="E6208" s="80">
        <v>35565</v>
      </c>
    </row>
    <row r="6209" spans="1:5">
      <c r="A6209">
        <v>10538</v>
      </c>
      <c r="B6209" t="s">
        <v>179</v>
      </c>
      <c r="C6209">
        <v>34.799999999999997</v>
      </c>
      <c r="D6209">
        <v>1</v>
      </c>
      <c r="E6209" s="80">
        <v>35565</v>
      </c>
    </row>
    <row r="6210" spans="1:5">
      <c r="A6210">
        <v>10539</v>
      </c>
      <c r="B6210" t="s">
        <v>172</v>
      </c>
      <c r="C6210">
        <v>48</v>
      </c>
      <c r="D6210">
        <v>8</v>
      </c>
      <c r="E6210" s="80">
        <v>35566</v>
      </c>
    </row>
    <row r="6211" spans="1:5">
      <c r="A6211">
        <v>10539</v>
      </c>
      <c r="B6211" t="s">
        <v>173</v>
      </c>
      <c r="C6211">
        <v>48</v>
      </c>
      <c r="D6211">
        <v>8</v>
      </c>
      <c r="E6211" s="80">
        <v>35566</v>
      </c>
    </row>
    <row r="6212" spans="1:5">
      <c r="A6212">
        <v>10539</v>
      </c>
      <c r="B6212" t="s">
        <v>174</v>
      </c>
      <c r="C6212">
        <v>48</v>
      </c>
      <c r="D6212">
        <v>8</v>
      </c>
      <c r="E6212" s="80">
        <v>35566</v>
      </c>
    </row>
    <row r="6213" spans="1:5">
      <c r="A6213">
        <v>10539</v>
      </c>
      <c r="B6213" t="s">
        <v>175</v>
      </c>
      <c r="C6213">
        <v>48</v>
      </c>
      <c r="D6213">
        <v>8</v>
      </c>
      <c r="E6213" s="80">
        <v>35566</v>
      </c>
    </row>
    <row r="6214" spans="1:5">
      <c r="A6214">
        <v>10539</v>
      </c>
      <c r="B6214" t="s">
        <v>176</v>
      </c>
      <c r="C6214">
        <v>48</v>
      </c>
      <c r="D6214">
        <v>8</v>
      </c>
      <c r="E6214" s="80">
        <v>35566</v>
      </c>
    </row>
    <row r="6215" spans="1:5">
      <c r="A6215">
        <v>10539</v>
      </c>
      <c r="B6215" t="s">
        <v>177</v>
      </c>
      <c r="C6215">
        <v>48</v>
      </c>
      <c r="D6215">
        <v>8</v>
      </c>
      <c r="E6215" s="80">
        <v>35566</v>
      </c>
    </row>
    <row r="6216" spans="1:5">
      <c r="A6216">
        <v>10539</v>
      </c>
      <c r="B6216" t="s">
        <v>178</v>
      </c>
      <c r="C6216">
        <v>48</v>
      </c>
      <c r="D6216">
        <v>8</v>
      </c>
      <c r="E6216" s="80">
        <v>35566</v>
      </c>
    </row>
    <row r="6217" spans="1:5">
      <c r="A6217">
        <v>10539</v>
      </c>
      <c r="B6217" t="s">
        <v>179</v>
      </c>
      <c r="C6217">
        <v>48</v>
      </c>
      <c r="D6217">
        <v>8</v>
      </c>
      <c r="E6217" s="80">
        <v>35566</v>
      </c>
    </row>
    <row r="6218" spans="1:5">
      <c r="A6218">
        <v>10539</v>
      </c>
      <c r="B6218" t="s">
        <v>172</v>
      </c>
      <c r="C6218">
        <v>150</v>
      </c>
      <c r="D6218">
        <v>15</v>
      </c>
      <c r="E6218" s="80">
        <v>35566</v>
      </c>
    </row>
    <row r="6219" spans="1:5">
      <c r="A6219">
        <v>10539</v>
      </c>
      <c r="B6219" t="s">
        <v>173</v>
      </c>
      <c r="C6219">
        <v>150</v>
      </c>
      <c r="D6219">
        <v>15</v>
      </c>
      <c r="E6219" s="80">
        <v>35566</v>
      </c>
    </row>
    <row r="6220" spans="1:5">
      <c r="A6220">
        <v>10539</v>
      </c>
      <c r="B6220" t="s">
        <v>174</v>
      </c>
      <c r="C6220">
        <v>150</v>
      </c>
      <c r="D6220">
        <v>15</v>
      </c>
      <c r="E6220" s="80">
        <v>35566</v>
      </c>
    </row>
    <row r="6221" spans="1:5">
      <c r="A6221">
        <v>10539</v>
      </c>
      <c r="B6221" t="s">
        <v>175</v>
      </c>
      <c r="C6221">
        <v>150</v>
      </c>
      <c r="D6221">
        <v>15</v>
      </c>
      <c r="E6221" s="80">
        <v>35566</v>
      </c>
    </row>
    <row r="6222" spans="1:5">
      <c r="A6222">
        <v>10539</v>
      </c>
      <c r="B6222" t="s">
        <v>176</v>
      </c>
      <c r="C6222">
        <v>150</v>
      </c>
      <c r="D6222">
        <v>15</v>
      </c>
      <c r="E6222" s="80">
        <v>35566</v>
      </c>
    </row>
    <row r="6223" spans="1:5">
      <c r="A6223">
        <v>10539</v>
      </c>
      <c r="B6223" t="s">
        <v>177</v>
      </c>
      <c r="C6223">
        <v>150</v>
      </c>
      <c r="D6223">
        <v>15</v>
      </c>
      <c r="E6223" s="80">
        <v>35566</v>
      </c>
    </row>
    <row r="6224" spans="1:5">
      <c r="A6224">
        <v>10539</v>
      </c>
      <c r="B6224" t="s">
        <v>178</v>
      </c>
      <c r="C6224">
        <v>150</v>
      </c>
      <c r="D6224">
        <v>15</v>
      </c>
      <c r="E6224" s="80">
        <v>35566</v>
      </c>
    </row>
    <row r="6225" spans="1:5">
      <c r="A6225">
        <v>10539</v>
      </c>
      <c r="B6225" t="s">
        <v>179</v>
      </c>
      <c r="C6225">
        <v>150</v>
      </c>
      <c r="D6225">
        <v>15</v>
      </c>
      <c r="E6225" s="80">
        <v>35566</v>
      </c>
    </row>
    <row r="6226" spans="1:5">
      <c r="A6226">
        <v>10539</v>
      </c>
      <c r="B6226" t="s">
        <v>172</v>
      </c>
      <c r="C6226">
        <v>37.5</v>
      </c>
      <c r="D6226">
        <v>15</v>
      </c>
      <c r="E6226" s="80">
        <v>35566</v>
      </c>
    </row>
    <row r="6227" spans="1:5">
      <c r="A6227">
        <v>10539</v>
      </c>
      <c r="B6227" t="s">
        <v>173</v>
      </c>
      <c r="C6227">
        <v>37.5</v>
      </c>
      <c r="D6227">
        <v>15</v>
      </c>
      <c r="E6227" s="80">
        <v>35566</v>
      </c>
    </row>
    <row r="6228" spans="1:5">
      <c r="A6228">
        <v>10539</v>
      </c>
      <c r="B6228" t="s">
        <v>174</v>
      </c>
      <c r="C6228">
        <v>37.5</v>
      </c>
      <c r="D6228">
        <v>15</v>
      </c>
      <c r="E6228" s="80">
        <v>35566</v>
      </c>
    </row>
    <row r="6229" spans="1:5">
      <c r="A6229">
        <v>10539</v>
      </c>
      <c r="B6229" t="s">
        <v>175</v>
      </c>
      <c r="C6229">
        <v>37.5</v>
      </c>
      <c r="D6229">
        <v>15</v>
      </c>
      <c r="E6229" s="80">
        <v>35566</v>
      </c>
    </row>
    <row r="6230" spans="1:5">
      <c r="A6230">
        <v>10539</v>
      </c>
      <c r="B6230" t="s">
        <v>176</v>
      </c>
      <c r="C6230">
        <v>37.5</v>
      </c>
      <c r="D6230">
        <v>15</v>
      </c>
      <c r="E6230" s="80">
        <v>35566</v>
      </c>
    </row>
    <row r="6231" spans="1:5">
      <c r="A6231">
        <v>10539</v>
      </c>
      <c r="B6231" t="s">
        <v>177</v>
      </c>
      <c r="C6231">
        <v>37.5</v>
      </c>
      <c r="D6231">
        <v>15</v>
      </c>
      <c r="E6231" s="80">
        <v>35566</v>
      </c>
    </row>
    <row r="6232" spans="1:5">
      <c r="A6232">
        <v>10539</v>
      </c>
      <c r="B6232" t="s">
        <v>178</v>
      </c>
      <c r="C6232">
        <v>37.5</v>
      </c>
      <c r="D6232">
        <v>15</v>
      </c>
      <c r="E6232" s="80">
        <v>35566</v>
      </c>
    </row>
    <row r="6233" spans="1:5">
      <c r="A6233">
        <v>10539</v>
      </c>
      <c r="B6233" t="s">
        <v>179</v>
      </c>
      <c r="C6233">
        <v>37.5</v>
      </c>
      <c r="D6233">
        <v>15</v>
      </c>
      <c r="E6233" s="80">
        <v>35566</v>
      </c>
    </row>
    <row r="6234" spans="1:5">
      <c r="A6234">
        <v>10539</v>
      </c>
      <c r="B6234" t="s">
        <v>172</v>
      </c>
      <c r="C6234">
        <v>120</v>
      </c>
      <c r="D6234">
        <v>6</v>
      </c>
      <c r="E6234" s="80">
        <v>35566</v>
      </c>
    </row>
    <row r="6235" spans="1:5">
      <c r="A6235">
        <v>10539</v>
      </c>
      <c r="B6235" t="s">
        <v>173</v>
      </c>
      <c r="C6235">
        <v>120</v>
      </c>
      <c r="D6235">
        <v>6</v>
      </c>
      <c r="E6235" s="80">
        <v>35566</v>
      </c>
    </row>
    <row r="6236" spans="1:5">
      <c r="A6236">
        <v>10539</v>
      </c>
      <c r="B6236" t="s">
        <v>174</v>
      </c>
      <c r="C6236">
        <v>120</v>
      </c>
      <c r="D6236">
        <v>6</v>
      </c>
      <c r="E6236" s="80">
        <v>35566</v>
      </c>
    </row>
    <row r="6237" spans="1:5">
      <c r="A6237">
        <v>10539</v>
      </c>
      <c r="B6237" t="s">
        <v>175</v>
      </c>
      <c r="C6237">
        <v>120</v>
      </c>
      <c r="D6237">
        <v>6</v>
      </c>
      <c r="E6237" s="80">
        <v>35566</v>
      </c>
    </row>
    <row r="6238" spans="1:5">
      <c r="A6238">
        <v>10539</v>
      </c>
      <c r="B6238" t="s">
        <v>176</v>
      </c>
      <c r="C6238">
        <v>120</v>
      </c>
      <c r="D6238">
        <v>6</v>
      </c>
      <c r="E6238" s="80">
        <v>35566</v>
      </c>
    </row>
    <row r="6239" spans="1:5">
      <c r="A6239">
        <v>10539</v>
      </c>
      <c r="B6239" t="s">
        <v>177</v>
      </c>
      <c r="C6239">
        <v>120</v>
      </c>
      <c r="D6239">
        <v>6</v>
      </c>
      <c r="E6239" s="80">
        <v>35566</v>
      </c>
    </row>
    <row r="6240" spans="1:5">
      <c r="A6240">
        <v>10539</v>
      </c>
      <c r="B6240" t="s">
        <v>178</v>
      </c>
      <c r="C6240">
        <v>120</v>
      </c>
      <c r="D6240">
        <v>6</v>
      </c>
      <c r="E6240" s="80">
        <v>35566</v>
      </c>
    </row>
    <row r="6241" spans="1:5">
      <c r="A6241">
        <v>10539</v>
      </c>
      <c r="B6241" t="s">
        <v>179</v>
      </c>
      <c r="C6241">
        <v>120</v>
      </c>
      <c r="D6241">
        <v>6</v>
      </c>
      <c r="E6241" s="80">
        <v>35566</v>
      </c>
    </row>
    <row r="6242" spans="1:5">
      <c r="A6242">
        <v>10540</v>
      </c>
      <c r="B6242" t="s">
        <v>172</v>
      </c>
      <c r="C6242">
        <v>600</v>
      </c>
      <c r="D6242">
        <v>60</v>
      </c>
      <c r="E6242" s="80">
        <v>35569</v>
      </c>
    </row>
    <row r="6243" spans="1:5">
      <c r="A6243">
        <v>10540</v>
      </c>
      <c r="B6243" t="s">
        <v>173</v>
      </c>
      <c r="C6243">
        <v>600</v>
      </c>
      <c r="D6243">
        <v>60</v>
      </c>
      <c r="E6243" s="80">
        <v>35569</v>
      </c>
    </row>
    <row r="6244" spans="1:5">
      <c r="A6244">
        <v>10540</v>
      </c>
      <c r="B6244" t="s">
        <v>174</v>
      </c>
      <c r="C6244">
        <v>600</v>
      </c>
      <c r="D6244">
        <v>60</v>
      </c>
      <c r="E6244" s="80">
        <v>35569</v>
      </c>
    </row>
    <row r="6245" spans="1:5">
      <c r="A6245">
        <v>10540</v>
      </c>
      <c r="B6245" t="s">
        <v>175</v>
      </c>
      <c r="C6245">
        <v>600</v>
      </c>
      <c r="D6245">
        <v>60</v>
      </c>
      <c r="E6245" s="80">
        <v>35569</v>
      </c>
    </row>
    <row r="6246" spans="1:5">
      <c r="A6246">
        <v>10540</v>
      </c>
      <c r="B6246" t="s">
        <v>176</v>
      </c>
      <c r="C6246">
        <v>600</v>
      </c>
      <c r="D6246">
        <v>60</v>
      </c>
      <c r="E6246" s="80">
        <v>35569</v>
      </c>
    </row>
    <row r="6247" spans="1:5">
      <c r="A6247">
        <v>10540</v>
      </c>
      <c r="B6247" t="s">
        <v>177</v>
      </c>
      <c r="C6247">
        <v>600</v>
      </c>
      <c r="D6247">
        <v>60</v>
      </c>
      <c r="E6247" s="80">
        <v>35569</v>
      </c>
    </row>
    <row r="6248" spans="1:5">
      <c r="A6248">
        <v>10540</v>
      </c>
      <c r="B6248" t="s">
        <v>178</v>
      </c>
      <c r="C6248">
        <v>600</v>
      </c>
      <c r="D6248">
        <v>60</v>
      </c>
      <c r="E6248" s="80">
        <v>35569</v>
      </c>
    </row>
    <row r="6249" spans="1:5">
      <c r="A6249">
        <v>10540</v>
      </c>
      <c r="B6249" t="s">
        <v>179</v>
      </c>
      <c r="C6249">
        <v>600</v>
      </c>
      <c r="D6249">
        <v>60</v>
      </c>
      <c r="E6249" s="80">
        <v>35569</v>
      </c>
    </row>
    <row r="6250" spans="1:5">
      <c r="A6250">
        <v>10540</v>
      </c>
      <c r="B6250" t="s">
        <v>172</v>
      </c>
      <c r="C6250">
        <v>1249.2</v>
      </c>
      <c r="D6250">
        <v>40</v>
      </c>
      <c r="E6250" s="80">
        <v>35569</v>
      </c>
    </row>
    <row r="6251" spans="1:5">
      <c r="A6251">
        <v>10540</v>
      </c>
      <c r="B6251" t="s">
        <v>173</v>
      </c>
      <c r="C6251">
        <v>1249.2</v>
      </c>
      <c r="D6251">
        <v>40</v>
      </c>
      <c r="E6251" s="80">
        <v>35569</v>
      </c>
    </row>
    <row r="6252" spans="1:5">
      <c r="A6252">
        <v>10540</v>
      </c>
      <c r="B6252" t="s">
        <v>174</v>
      </c>
      <c r="C6252">
        <v>1249.2</v>
      </c>
      <c r="D6252">
        <v>40</v>
      </c>
      <c r="E6252" s="80">
        <v>35569</v>
      </c>
    </row>
    <row r="6253" spans="1:5">
      <c r="A6253">
        <v>10540</v>
      </c>
      <c r="B6253" t="s">
        <v>175</v>
      </c>
      <c r="C6253">
        <v>1249.2</v>
      </c>
      <c r="D6253">
        <v>40</v>
      </c>
      <c r="E6253" s="80">
        <v>35569</v>
      </c>
    </row>
    <row r="6254" spans="1:5">
      <c r="A6254">
        <v>10540</v>
      </c>
      <c r="B6254" t="s">
        <v>176</v>
      </c>
      <c r="C6254">
        <v>1249.2</v>
      </c>
      <c r="D6254">
        <v>40</v>
      </c>
      <c r="E6254" s="80">
        <v>35569</v>
      </c>
    </row>
    <row r="6255" spans="1:5">
      <c r="A6255">
        <v>10540</v>
      </c>
      <c r="B6255" t="s">
        <v>177</v>
      </c>
      <c r="C6255">
        <v>1249.2</v>
      </c>
      <c r="D6255">
        <v>40</v>
      </c>
      <c r="E6255" s="80">
        <v>35569</v>
      </c>
    </row>
    <row r="6256" spans="1:5">
      <c r="A6256">
        <v>10540</v>
      </c>
      <c r="B6256" t="s">
        <v>178</v>
      </c>
      <c r="C6256">
        <v>1249.2</v>
      </c>
      <c r="D6256">
        <v>40</v>
      </c>
      <c r="E6256" s="80">
        <v>35569</v>
      </c>
    </row>
    <row r="6257" spans="1:5">
      <c r="A6257">
        <v>10540</v>
      </c>
      <c r="B6257" t="s">
        <v>179</v>
      </c>
      <c r="C6257">
        <v>1249.2</v>
      </c>
      <c r="D6257">
        <v>40</v>
      </c>
      <c r="E6257" s="80">
        <v>35569</v>
      </c>
    </row>
    <row r="6258" spans="1:5">
      <c r="A6258">
        <v>10540</v>
      </c>
      <c r="B6258" t="s">
        <v>172</v>
      </c>
      <c r="C6258">
        <v>7905</v>
      </c>
      <c r="D6258">
        <v>30</v>
      </c>
      <c r="E6258" s="80">
        <v>35569</v>
      </c>
    </row>
    <row r="6259" spans="1:5">
      <c r="A6259">
        <v>10540</v>
      </c>
      <c r="B6259" t="s">
        <v>173</v>
      </c>
      <c r="C6259">
        <v>7905</v>
      </c>
      <c r="D6259">
        <v>30</v>
      </c>
      <c r="E6259" s="80">
        <v>35569</v>
      </c>
    </row>
    <row r="6260" spans="1:5">
      <c r="A6260">
        <v>10540</v>
      </c>
      <c r="B6260" t="s">
        <v>174</v>
      </c>
      <c r="C6260">
        <v>7905</v>
      </c>
      <c r="D6260">
        <v>30</v>
      </c>
      <c r="E6260" s="80">
        <v>35569</v>
      </c>
    </row>
    <row r="6261" spans="1:5">
      <c r="A6261">
        <v>10540</v>
      </c>
      <c r="B6261" t="s">
        <v>175</v>
      </c>
      <c r="C6261">
        <v>7905</v>
      </c>
      <c r="D6261">
        <v>30</v>
      </c>
      <c r="E6261" s="80">
        <v>35569</v>
      </c>
    </row>
    <row r="6262" spans="1:5">
      <c r="A6262">
        <v>10540</v>
      </c>
      <c r="B6262" t="s">
        <v>176</v>
      </c>
      <c r="C6262">
        <v>7905</v>
      </c>
      <c r="D6262">
        <v>30</v>
      </c>
      <c r="E6262" s="80">
        <v>35569</v>
      </c>
    </row>
    <row r="6263" spans="1:5">
      <c r="A6263">
        <v>10540</v>
      </c>
      <c r="B6263" t="s">
        <v>177</v>
      </c>
      <c r="C6263">
        <v>7905</v>
      </c>
      <c r="D6263">
        <v>30</v>
      </c>
      <c r="E6263" s="80">
        <v>35569</v>
      </c>
    </row>
    <row r="6264" spans="1:5">
      <c r="A6264">
        <v>10540</v>
      </c>
      <c r="B6264" t="s">
        <v>178</v>
      </c>
      <c r="C6264">
        <v>7905</v>
      </c>
      <c r="D6264">
        <v>30</v>
      </c>
      <c r="E6264" s="80">
        <v>35569</v>
      </c>
    </row>
    <row r="6265" spans="1:5">
      <c r="A6265">
        <v>10540</v>
      </c>
      <c r="B6265" t="s">
        <v>179</v>
      </c>
      <c r="C6265">
        <v>7905</v>
      </c>
      <c r="D6265">
        <v>30</v>
      </c>
      <c r="E6265" s="80">
        <v>35569</v>
      </c>
    </row>
    <row r="6266" spans="1:5">
      <c r="A6266">
        <v>10540</v>
      </c>
      <c r="B6266" t="s">
        <v>172</v>
      </c>
      <c r="C6266">
        <v>437.5</v>
      </c>
      <c r="D6266">
        <v>35</v>
      </c>
      <c r="E6266" s="80">
        <v>35569</v>
      </c>
    </row>
    <row r="6267" spans="1:5">
      <c r="A6267">
        <v>10540</v>
      </c>
      <c r="B6267" t="s">
        <v>173</v>
      </c>
      <c r="C6267">
        <v>437.5</v>
      </c>
      <c r="D6267">
        <v>35</v>
      </c>
      <c r="E6267" s="80">
        <v>35569</v>
      </c>
    </row>
    <row r="6268" spans="1:5">
      <c r="A6268">
        <v>10540</v>
      </c>
      <c r="B6268" t="s">
        <v>174</v>
      </c>
      <c r="C6268">
        <v>437.5</v>
      </c>
      <c r="D6268">
        <v>35</v>
      </c>
      <c r="E6268" s="80">
        <v>35569</v>
      </c>
    </row>
    <row r="6269" spans="1:5">
      <c r="A6269">
        <v>10540</v>
      </c>
      <c r="B6269" t="s">
        <v>175</v>
      </c>
      <c r="C6269">
        <v>437.5</v>
      </c>
      <c r="D6269">
        <v>35</v>
      </c>
      <c r="E6269" s="80">
        <v>35569</v>
      </c>
    </row>
    <row r="6270" spans="1:5">
      <c r="A6270">
        <v>10540</v>
      </c>
      <c r="B6270" t="s">
        <v>176</v>
      </c>
      <c r="C6270">
        <v>437.5</v>
      </c>
      <c r="D6270">
        <v>35</v>
      </c>
      <c r="E6270" s="80">
        <v>35569</v>
      </c>
    </row>
    <row r="6271" spans="1:5">
      <c r="A6271">
        <v>10540</v>
      </c>
      <c r="B6271" t="s">
        <v>177</v>
      </c>
      <c r="C6271">
        <v>437.5</v>
      </c>
      <c r="D6271">
        <v>35</v>
      </c>
      <c r="E6271" s="80">
        <v>35569</v>
      </c>
    </row>
    <row r="6272" spans="1:5">
      <c r="A6272">
        <v>10540</v>
      </c>
      <c r="B6272" t="s">
        <v>178</v>
      </c>
      <c r="C6272">
        <v>437.5</v>
      </c>
      <c r="D6272">
        <v>35</v>
      </c>
      <c r="E6272" s="80">
        <v>35569</v>
      </c>
    </row>
    <row r="6273" spans="1:5">
      <c r="A6273">
        <v>10540</v>
      </c>
      <c r="B6273" t="s">
        <v>179</v>
      </c>
      <c r="C6273">
        <v>437.5</v>
      </c>
      <c r="D6273">
        <v>35</v>
      </c>
      <c r="E6273" s="80">
        <v>35569</v>
      </c>
    </row>
    <row r="6274" spans="1:5">
      <c r="A6274">
        <v>10541</v>
      </c>
      <c r="B6274" t="s">
        <v>172</v>
      </c>
      <c r="C6274">
        <v>141.74999976530671</v>
      </c>
      <c r="D6274">
        <v>35</v>
      </c>
      <c r="E6274" s="80">
        <v>35569</v>
      </c>
    </row>
    <row r="6275" spans="1:5">
      <c r="A6275">
        <v>10541</v>
      </c>
      <c r="B6275" t="s">
        <v>173</v>
      </c>
      <c r="C6275">
        <v>141.74999976530671</v>
      </c>
      <c r="D6275">
        <v>35</v>
      </c>
      <c r="E6275" s="80">
        <v>35569</v>
      </c>
    </row>
    <row r="6276" spans="1:5">
      <c r="A6276">
        <v>10541</v>
      </c>
      <c r="B6276" t="s">
        <v>174</v>
      </c>
      <c r="C6276">
        <v>141.74999976530671</v>
      </c>
      <c r="D6276">
        <v>35</v>
      </c>
      <c r="E6276" s="80">
        <v>35569</v>
      </c>
    </row>
    <row r="6277" spans="1:5">
      <c r="A6277">
        <v>10541</v>
      </c>
      <c r="B6277" t="s">
        <v>175</v>
      </c>
      <c r="C6277">
        <v>141.74999976530671</v>
      </c>
      <c r="D6277">
        <v>35</v>
      </c>
      <c r="E6277" s="80">
        <v>35569</v>
      </c>
    </row>
    <row r="6278" spans="1:5">
      <c r="A6278">
        <v>10541</v>
      </c>
      <c r="B6278" t="s">
        <v>176</v>
      </c>
      <c r="C6278">
        <v>141.74999976530671</v>
      </c>
      <c r="D6278">
        <v>35</v>
      </c>
      <c r="E6278" s="80">
        <v>35569</v>
      </c>
    </row>
    <row r="6279" spans="1:5">
      <c r="A6279">
        <v>10541</v>
      </c>
      <c r="B6279" t="s">
        <v>177</v>
      </c>
      <c r="C6279">
        <v>141.74999976530671</v>
      </c>
      <c r="D6279">
        <v>35</v>
      </c>
      <c r="E6279" s="80">
        <v>35569</v>
      </c>
    </row>
    <row r="6280" spans="1:5">
      <c r="A6280">
        <v>10541</v>
      </c>
      <c r="B6280" t="s">
        <v>178</v>
      </c>
      <c r="C6280">
        <v>141.74999976530671</v>
      </c>
      <c r="D6280">
        <v>35</v>
      </c>
      <c r="E6280" s="80">
        <v>35569</v>
      </c>
    </row>
    <row r="6281" spans="1:5">
      <c r="A6281">
        <v>10541</v>
      </c>
      <c r="B6281" t="s">
        <v>179</v>
      </c>
      <c r="C6281">
        <v>141.74999976530671</v>
      </c>
      <c r="D6281">
        <v>35</v>
      </c>
      <c r="E6281" s="80">
        <v>35569</v>
      </c>
    </row>
    <row r="6282" spans="1:5">
      <c r="A6282">
        <v>10541</v>
      </c>
      <c r="B6282" t="s">
        <v>172</v>
      </c>
      <c r="C6282">
        <v>948.59999842941761</v>
      </c>
      <c r="D6282">
        <v>4</v>
      </c>
      <c r="E6282" s="80">
        <v>35569</v>
      </c>
    </row>
    <row r="6283" spans="1:5">
      <c r="A6283">
        <v>10541</v>
      </c>
      <c r="B6283" t="s">
        <v>173</v>
      </c>
      <c r="C6283">
        <v>948.59999842941761</v>
      </c>
      <c r="D6283">
        <v>4</v>
      </c>
      <c r="E6283" s="80">
        <v>35569</v>
      </c>
    </row>
    <row r="6284" spans="1:5">
      <c r="A6284">
        <v>10541</v>
      </c>
      <c r="B6284" t="s">
        <v>174</v>
      </c>
      <c r="C6284">
        <v>948.59999842941761</v>
      </c>
      <c r="D6284">
        <v>4</v>
      </c>
      <c r="E6284" s="80">
        <v>35569</v>
      </c>
    </row>
    <row r="6285" spans="1:5">
      <c r="A6285">
        <v>10541</v>
      </c>
      <c r="B6285" t="s">
        <v>175</v>
      </c>
      <c r="C6285">
        <v>948.59999842941761</v>
      </c>
      <c r="D6285">
        <v>4</v>
      </c>
      <c r="E6285" s="80">
        <v>35569</v>
      </c>
    </row>
    <row r="6286" spans="1:5">
      <c r="A6286">
        <v>10541</v>
      </c>
      <c r="B6286" t="s">
        <v>176</v>
      </c>
      <c r="C6286">
        <v>948.59999842941761</v>
      </c>
      <c r="D6286">
        <v>4</v>
      </c>
      <c r="E6286" s="80">
        <v>35569</v>
      </c>
    </row>
    <row r="6287" spans="1:5">
      <c r="A6287">
        <v>10541</v>
      </c>
      <c r="B6287" t="s">
        <v>177</v>
      </c>
      <c r="C6287">
        <v>948.59999842941761</v>
      </c>
      <c r="D6287">
        <v>4</v>
      </c>
      <c r="E6287" s="80">
        <v>35569</v>
      </c>
    </row>
    <row r="6288" spans="1:5">
      <c r="A6288">
        <v>10541</v>
      </c>
      <c r="B6288" t="s">
        <v>178</v>
      </c>
      <c r="C6288">
        <v>948.59999842941761</v>
      </c>
      <c r="D6288">
        <v>4</v>
      </c>
      <c r="E6288" s="80">
        <v>35569</v>
      </c>
    </row>
    <row r="6289" spans="1:5">
      <c r="A6289">
        <v>10541</v>
      </c>
      <c r="B6289" t="s">
        <v>179</v>
      </c>
      <c r="C6289">
        <v>948.59999842941761</v>
      </c>
      <c r="D6289">
        <v>4</v>
      </c>
      <c r="E6289" s="80">
        <v>35569</v>
      </c>
    </row>
    <row r="6290" spans="1:5">
      <c r="A6290">
        <v>10541</v>
      </c>
      <c r="B6290" t="s">
        <v>172</v>
      </c>
      <c r="C6290">
        <v>682.01999887079</v>
      </c>
      <c r="D6290">
        <v>36</v>
      </c>
      <c r="E6290" s="80">
        <v>35569</v>
      </c>
    </row>
    <row r="6291" spans="1:5">
      <c r="A6291">
        <v>10541</v>
      </c>
      <c r="B6291" t="s">
        <v>173</v>
      </c>
      <c r="C6291">
        <v>682.01999887079</v>
      </c>
      <c r="D6291">
        <v>36</v>
      </c>
      <c r="E6291" s="80">
        <v>35569</v>
      </c>
    </row>
    <row r="6292" spans="1:5">
      <c r="A6292">
        <v>10541</v>
      </c>
      <c r="B6292" t="s">
        <v>174</v>
      </c>
      <c r="C6292">
        <v>682.01999887079</v>
      </c>
      <c r="D6292">
        <v>36</v>
      </c>
      <c r="E6292" s="80">
        <v>35569</v>
      </c>
    </row>
    <row r="6293" spans="1:5">
      <c r="A6293">
        <v>10541</v>
      </c>
      <c r="B6293" t="s">
        <v>175</v>
      </c>
      <c r="C6293">
        <v>682.01999887079</v>
      </c>
      <c r="D6293">
        <v>36</v>
      </c>
      <c r="E6293" s="80">
        <v>35569</v>
      </c>
    </row>
    <row r="6294" spans="1:5">
      <c r="A6294">
        <v>10541</v>
      </c>
      <c r="B6294" t="s">
        <v>176</v>
      </c>
      <c r="C6294">
        <v>682.01999887079</v>
      </c>
      <c r="D6294">
        <v>36</v>
      </c>
      <c r="E6294" s="80">
        <v>35569</v>
      </c>
    </row>
    <row r="6295" spans="1:5">
      <c r="A6295">
        <v>10541</v>
      </c>
      <c r="B6295" t="s">
        <v>177</v>
      </c>
      <c r="C6295">
        <v>682.01999887079</v>
      </c>
      <c r="D6295">
        <v>36</v>
      </c>
      <c r="E6295" s="80">
        <v>35569</v>
      </c>
    </row>
    <row r="6296" spans="1:5">
      <c r="A6296">
        <v>10541</v>
      </c>
      <c r="B6296" t="s">
        <v>178</v>
      </c>
      <c r="C6296">
        <v>682.01999887079</v>
      </c>
      <c r="D6296">
        <v>36</v>
      </c>
      <c r="E6296" s="80">
        <v>35569</v>
      </c>
    </row>
    <row r="6297" spans="1:5">
      <c r="A6297">
        <v>10541</v>
      </c>
      <c r="B6297" t="s">
        <v>179</v>
      </c>
      <c r="C6297">
        <v>682.01999887079</v>
      </c>
      <c r="D6297">
        <v>36</v>
      </c>
      <c r="E6297" s="80">
        <v>35569</v>
      </c>
    </row>
    <row r="6298" spans="1:5">
      <c r="A6298">
        <v>10541</v>
      </c>
      <c r="B6298" t="s">
        <v>172</v>
      </c>
      <c r="C6298">
        <v>174.14999971166253</v>
      </c>
      <c r="D6298">
        <v>9</v>
      </c>
      <c r="E6298" s="80">
        <v>35569</v>
      </c>
    </row>
    <row r="6299" spans="1:5">
      <c r="A6299">
        <v>10541</v>
      </c>
      <c r="B6299" t="s">
        <v>173</v>
      </c>
      <c r="C6299">
        <v>174.14999971166253</v>
      </c>
      <c r="D6299">
        <v>9</v>
      </c>
      <c r="E6299" s="80">
        <v>35569</v>
      </c>
    </row>
    <row r="6300" spans="1:5">
      <c r="A6300">
        <v>10541</v>
      </c>
      <c r="B6300" t="s">
        <v>174</v>
      </c>
      <c r="C6300">
        <v>174.14999971166253</v>
      </c>
      <c r="D6300">
        <v>9</v>
      </c>
      <c r="E6300" s="80">
        <v>35569</v>
      </c>
    </row>
    <row r="6301" spans="1:5">
      <c r="A6301">
        <v>10541</v>
      </c>
      <c r="B6301" t="s">
        <v>175</v>
      </c>
      <c r="C6301">
        <v>174.14999971166253</v>
      </c>
      <c r="D6301">
        <v>9</v>
      </c>
      <c r="E6301" s="80">
        <v>35569</v>
      </c>
    </row>
    <row r="6302" spans="1:5">
      <c r="A6302">
        <v>10541</v>
      </c>
      <c r="B6302" t="s">
        <v>176</v>
      </c>
      <c r="C6302">
        <v>174.14999971166253</v>
      </c>
      <c r="D6302">
        <v>9</v>
      </c>
      <c r="E6302" s="80">
        <v>35569</v>
      </c>
    </row>
    <row r="6303" spans="1:5">
      <c r="A6303">
        <v>10541</v>
      </c>
      <c r="B6303" t="s">
        <v>177</v>
      </c>
      <c r="C6303">
        <v>174.14999971166253</v>
      </c>
      <c r="D6303">
        <v>9</v>
      </c>
      <c r="E6303" s="80">
        <v>35569</v>
      </c>
    </row>
    <row r="6304" spans="1:5">
      <c r="A6304">
        <v>10541</v>
      </c>
      <c r="B6304" t="s">
        <v>178</v>
      </c>
      <c r="C6304">
        <v>174.14999971166253</v>
      </c>
      <c r="D6304">
        <v>9</v>
      </c>
      <c r="E6304" s="80">
        <v>35569</v>
      </c>
    </row>
    <row r="6305" spans="1:5">
      <c r="A6305">
        <v>10541</v>
      </c>
      <c r="B6305" t="s">
        <v>179</v>
      </c>
      <c r="C6305">
        <v>174.14999971166253</v>
      </c>
      <c r="D6305">
        <v>9</v>
      </c>
      <c r="E6305" s="80">
        <v>35569</v>
      </c>
    </row>
    <row r="6306" spans="1:5">
      <c r="A6306">
        <v>10542</v>
      </c>
      <c r="B6306" t="s">
        <v>172</v>
      </c>
      <c r="C6306">
        <v>299.24999976530671</v>
      </c>
      <c r="D6306">
        <v>15</v>
      </c>
      <c r="E6306" s="80">
        <v>35570</v>
      </c>
    </row>
    <row r="6307" spans="1:5">
      <c r="A6307">
        <v>10542</v>
      </c>
      <c r="B6307" t="s">
        <v>173</v>
      </c>
      <c r="C6307">
        <v>299.24999976530671</v>
      </c>
      <c r="D6307">
        <v>15</v>
      </c>
      <c r="E6307" s="80">
        <v>35570</v>
      </c>
    </row>
    <row r="6308" spans="1:5">
      <c r="A6308">
        <v>10542</v>
      </c>
      <c r="B6308" t="s">
        <v>174</v>
      </c>
      <c r="C6308">
        <v>299.24999976530671</v>
      </c>
      <c r="D6308">
        <v>15</v>
      </c>
      <c r="E6308" s="80">
        <v>35570</v>
      </c>
    </row>
    <row r="6309" spans="1:5">
      <c r="A6309">
        <v>10542</v>
      </c>
      <c r="B6309" t="s">
        <v>175</v>
      </c>
      <c r="C6309">
        <v>299.24999976530671</v>
      </c>
      <c r="D6309">
        <v>15</v>
      </c>
      <c r="E6309" s="80">
        <v>35570</v>
      </c>
    </row>
    <row r="6310" spans="1:5">
      <c r="A6310">
        <v>10542</v>
      </c>
      <c r="B6310" t="s">
        <v>176</v>
      </c>
      <c r="C6310">
        <v>299.24999976530671</v>
      </c>
      <c r="D6310">
        <v>15</v>
      </c>
      <c r="E6310" s="80">
        <v>35570</v>
      </c>
    </row>
    <row r="6311" spans="1:5">
      <c r="A6311">
        <v>10542</v>
      </c>
      <c r="B6311" t="s">
        <v>177</v>
      </c>
      <c r="C6311">
        <v>299.24999976530671</v>
      </c>
      <c r="D6311">
        <v>15</v>
      </c>
      <c r="E6311" s="80">
        <v>35570</v>
      </c>
    </row>
    <row r="6312" spans="1:5">
      <c r="A6312">
        <v>10542</v>
      </c>
      <c r="B6312" t="s">
        <v>178</v>
      </c>
      <c r="C6312">
        <v>299.24999976530671</v>
      </c>
      <c r="D6312">
        <v>15</v>
      </c>
      <c r="E6312" s="80">
        <v>35570</v>
      </c>
    </row>
    <row r="6313" spans="1:5">
      <c r="A6313">
        <v>10542</v>
      </c>
      <c r="B6313" t="s">
        <v>179</v>
      </c>
      <c r="C6313">
        <v>299.24999976530671</v>
      </c>
      <c r="D6313">
        <v>15</v>
      </c>
      <c r="E6313" s="80">
        <v>35570</v>
      </c>
    </row>
    <row r="6314" spans="1:5">
      <c r="A6314">
        <v>10542</v>
      </c>
      <c r="B6314" t="s">
        <v>172</v>
      </c>
      <c r="C6314">
        <v>169.85999986678362</v>
      </c>
      <c r="D6314">
        <v>24</v>
      </c>
      <c r="E6314" s="80">
        <v>35570</v>
      </c>
    </row>
    <row r="6315" spans="1:5">
      <c r="A6315">
        <v>10542</v>
      </c>
      <c r="B6315" t="s">
        <v>173</v>
      </c>
      <c r="C6315">
        <v>169.85999986678362</v>
      </c>
      <c r="D6315">
        <v>24</v>
      </c>
      <c r="E6315" s="80">
        <v>35570</v>
      </c>
    </row>
    <row r="6316" spans="1:5">
      <c r="A6316">
        <v>10542</v>
      </c>
      <c r="B6316" t="s">
        <v>174</v>
      </c>
      <c r="C6316">
        <v>169.85999986678362</v>
      </c>
      <c r="D6316">
        <v>24</v>
      </c>
      <c r="E6316" s="80">
        <v>35570</v>
      </c>
    </row>
    <row r="6317" spans="1:5">
      <c r="A6317">
        <v>10542</v>
      </c>
      <c r="B6317" t="s">
        <v>175</v>
      </c>
      <c r="C6317">
        <v>169.85999986678362</v>
      </c>
      <c r="D6317">
        <v>24</v>
      </c>
      <c r="E6317" s="80">
        <v>35570</v>
      </c>
    </row>
    <row r="6318" spans="1:5">
      <c r="A6318">
        <v>10542</v>
      </c>
      <c r="B6318" t="s">
        <v>176</v>
      </c>
      <c r="C6318">
        <v>169.85999986678362</v>
      </c>
      <c r="D6318">
        <v>24</v>
      </c>
      <c r="E6318" s="80">
        <v>35570</v>
      </c>
    </row>
    <row r="6319" spans="1:5">
      <c r="A6319">
        <v>10542</v>
      </c>
      <c r="B6319" t="s">
        <v>177</v>
      </c>
      <c r="C6319">
        <v>169.85999986678362</v>
      </c>
      <c r="D6319">
        <v>24</v>
      </c>
      <c r="E6319" s="80">
        <v>35570</v>
      </c>
    </row>
    <row r="6320" spans="1:5">
      <c r="A6320">
        <v>10542</v>
      </c>
      <c r="B6320" t="s">
        <v>178</v>
      </c>
      <c r="C6320">
        <v>169.85999986678362</v>
      </c>
      <c r="D6320">
        <v>24</v>
      </c>
      <c r="E6320" s="80">
        <v>35570</v>
      </c>
    </row>
    <row r="6321" spans="1:5">
      <c r="A6321">
        <v>10542</v>
      </c>
      <c r="B6321" t="s">
        <v>179</v>
      </c>
      <c r="C6321">
        <v>169.85999986678362</v>
      </c>
      <c r="D6321">
        <v>24</v>
      </c>
      <c r="E6321" s="80">
        <v>35570</v>
      </c>
    </row>
    <row r="6322" spans="1:5">
      <c r="A6322">
        <v>10543</v>
      </c>
      <c r="B6322" t="s">
        <v>172</v>
      </c>
      <c r="C6322">
        <v>968.9999932050705</v>
      </c>
      <c r="D6322">
        <v>30</v>
      </c>
      <c r="E6322" s="80">
        <v>35571</v>
      </c>
    </row>
    <row r="6323" spans="1:5">
      <c r="A6323">
        <v>10543</v>
      </c>
      <c r="B6323" t="s">
        <v>173</v>
      </c>
      <c r="C6323">
        <v>968.9999932050705</v>
      </c>
      <c r="D6323">
        <v>30</v>
      </c>
      <c r="E6323" s="80">
        <v>35571</v>
      </c>
    </row>
    <row r="6324" spans="1:5">
      <c r="A6324">
        <v>10543</v>
      </c>
      <c r="B6324" t="s">
        <v>174</v>
      </c>
      <c r="C6324">
        <v>968.9999932050705</v>
      </c>
      <c r="D6324">
        <v>30</v>
      </c>
      <c r="E6324" s="80">
        <v>35571</v>
      </c>
    </row>
    <row r="6325" spans="1:5">
      <c r="A6325">
        <v>10543</v>
      </c>
      <c r="B6325" t="s">
        <v>175</v>
      </c>
      <c r="C6325">
        <v>968.9999932050705</v>
      </c>
      <c r="D6325">
        <v>30</v>
      </c>
      <c r="E6325" s="80">
        <v>35571</v>
      </c>
    </row>
    <row r="6326" spans="1:5">
      <c r="A6326">
        <v>10543</v>
      </c>
      <c r="B6326" t="s">
        <v>176</v>
      </c>
      <c r="C6326">
        <v>968.9999932050705</v>
      </c>
      <c r="D6326">
        <v>30</v>
      </c>
      <c r="E6326" s="80">
        <v>35571</v>
      </c>
    </row>
    <row r="6327" spans="1:5">
      <c r="A6327">
        <v>10543</v>
      </c>
      <c r="B6327" t="s">
        <v>177</v>
      </c>
      <c r="C6327">
        <v>968.9999932050705</v>
      </c>
      <c r="D6327">
        <v>30</v>
      </c>
      <c r="E6327" s="80">
        <v>35571</v>
      </c>
    </row>
    <row r="6328" spans="1:5">
      <c r="A6328">
        <v>10543</v>
      </c>
      <c r="B6328" t="s">
        <v>178</v>
      </c>
      <c r="C6328">
        <v>968.9999932050705</v>
      </c>
      <c r="D6328">
        <v>30</v>
      </c>
      <c r="E6328" s="80">
        <v>35571</v>
      </c>
    </row>
    <row r="6329" spans="1:5">
      <c r="A6329">
        <v>10543</v>
      </c>
      <c r="B6329" t="s">
        <v>179</v>
      </c>
      <c r="C6329">
        <v>968.9999932050705</v>
      </c>
      <c r="D6329">
        <v>30</v>
      </c>
      <c r="E6329" s="80">
        <v>35571</v>
      </c>
    </row>
    <row r="6330" spans="1:5">
      <c r="A6330">
        <v>10543</v>
      </c>
      <c r="B6330" t="s">
        <v>172</v>
      </c>
      <c r="C6330">
        <v>535.49999624490738</v>
      </c>
      <c r="D6330">
        <v>70</v>
      </c>
      <c r="E6330" s="80">
        <v>35571</v>
      </c>
    </row>
    <row r="6331" spans="1:5">
      <c r="A6331">
        <v>10543</v>
      </c>
      <c r="B6331" t="s">
        <v>173</v>
      </c>
      <c r="C6331">
        <v>535.49999624490738</v>
      </c>
      <c r="D6331">
        <v>70</v>
      </c>
      <c r="E6331" s="80">
        <v>35571</v>
      </c>
    </row>
    <row r="6332" spans="1:5">
      <c r="A6332">
        <v>10543</v>
      </c>
      <c r="B6332" t="s">
        <v>174</v>
      </c>
      <c r="C6332">
        <v>535.49999624490738</v>
      </c>
      <c r="D6332">
        <v>70</v>
      </c>
      <c r="E6332" s="80">
        <v>35571</v>
      </c>
    </row>
    <row r="6333" spans="1:5">
      <c r="A6333">
        <v>10543</v>
      </c>
      <c r="B6333" t="s">
        <v>175</v>
      </c>
      <c r="C6333">
        <v>535.49999624490738</v>
      </c>
      <c r="D6333">
        <v>70</v>
      </c>
      <c r="E6333" s="80">
        <v>35571</v>
      </c>
    </row>
    <row r="6334" spans="1:5">
      <c r="A6334">
        <v>10543</v>
      </c>
      <c r="B6334" t="s">
        <v>176</v>
      </c>
      <c r="C6334">
        <v>535.49999624490738</v>
      </c>
      <c r="D6334">
        <v>70</v>
      </c>
      <c r="E6334" s="80">
        <v>35571</v>
      </c>
    </row>
    <row r="6335" spans="1:5">
      <c r="A6335">
        <v>10543</v>
      </c>
      <c r="B6335" t="s">
        <v>177</v>
      </c>
      <c r="C6335">
        <v>535.49999624490738</v>
      </c>
      <c r="D6335">
        <v>70</v>
      </c>
      <c r="E6335" s="80">
        <v>35571</v>
      </c>
    </row>
    <row r="6336" spans="1:5">
      <c r="A6336">
        <v>10543</v>
      </c>
      <c r="B6336" t="s">
        <v>178</v>
      </c>
      <c r="C6336">
        <v>535.49999624490738</v>
      </c>
      <c r="D6336">
        <v>70</v>
      </c>
      <c r="E6336" s="80">
        <v>35571</v>
      </c>
    </row>
    <row r="6337" spans="1:5">
      <c r="A6337">
        <v>10543</v>
      </c>
      <c r="B6337" t="s">
        <v>179</v>
      </c>
      <c r="C6337">
        <v>535.49999624490738</v>
      </c>
      <c r="D6337">
        <v>70</v>
      </c>
      <c r="E6337" s="80">
        <v>35571</v>
      </c>
    </row>
    <row r="6338" spans="1:5">
      <c r="A6338">
        <v>10544</v>
      </c>
      <c r="B6338" t="s">
        <v>172</v>
      </c>
      <c r="C6338">
        <v>319.2</v>
      </c>
      <c r="D6338">
        <v>7</v>
      </c>
      <c r="E6338" s="80">
        <v>35571</v>
      </c>
    </row>
    <row r="6339" spans="1:5">
      <c r="A6339">
        <v>10544</v>
      </c>
      <c r="B6339" t="s">
        <v>173</v>
      </c>
      <c r="C6339">
        <v>319.2</v>
      </c>
      <c r="D6339">
        <v>7</v>
      </c>
      <c r="E6339" s="80">
        <v>35571</v>
      </c>
    </row>
    <row r="6340" spans="1:5">
      <c r="A6340">
        <v>10544</v>
      </c>
      <c r="B6340" t="s">
        <v>174</v>
      </c>
      <c r="C6340">
        <v>319.2</v>
      </c>
      <c r="D6340">
        <v>7</v>
      </c>
      <c r="E6340" s="80">
        <v>35571</v>
      </c>
    </row>
    <row r="6341" spans="1:5">
      <c r="A6341">
        <v>10544</v>
      </c>
      <c r="B6341" t="s">
        <v>175</v>
      </c>
      <c r="C6341">
        <v>319.2</v>
      </c>
      <c r="D6341">
        <v>7</v>
      </c>
      <c r="E6341" s="80">
        <v>35571</v>
      </c>
    </row>
    <row r="6342" spans="1:5">
      <c r="A6342">
        <v>10544</v>
      </c>
      <c r="B6342" t="s">
        <v>176</v>
      </c>
      <c r="C6342">
        <v>319.2</v>
      </c>
      <c r="D6342">
        <v>7</v>
      </c>
      <c r="E6342" s="80">
        <v>35571</v>
      </c>
    </row>
    <row r="6343" spans="1:5">
      <c r="A6343">
        <v>10544</v>
      </c>
      <c r="B6343" t="s">
        <v>177</v>
      </c>
      <c r="C6343">
        <v>319.2</v>
      </c>
      <c r="D6343">
        <v>7</v>
      </c>
      <c r="E6343" s="80">
        <v>35571</v>
      </c>
    </row>
    <row r="6344" spans="1:5">
      <c r="A6344">
        <v>10544</v>
      </c>
      <c r="B6344" t="s">
        <v>178</v>
      </c>
      <c r="C6344">
        <v>319.2</v>
      </c>
      <c r="D6344">
        <v>7</v>
      </c>
      <c r="E6344" s="80">
        <v>35571</v>
      </c>
    </row>
    <row r="6345" spans="1:5">
      <c r="A6345">
        <v>10544</v>
      </c>
      <c r="B6345" t="s">
        <v>179</v>
      </c>
      <c r="C6345">
        <v>319.2</v>
      </c>
      <c r="D6345">
        <v>7</v>
      </c>
      <c r="E6345" s="80">
        <v>35571</v>
      </c>
    </row>
    <row r="6346" spans="1:5">
      <c r="A6346">
        <v>10544</v>
      </c>
      <c r="B6346" t="s">
        <v>172</v>
      </c>
      <c r="C6346">
        <v>98</v>
      </c>
      <c r="D6346">
        <v>7</v>
      </c>
      <c r="E6346" s="80">
        <v>35571</v>
      </c>
    </row>
    <row r="6347" spans="1:5">
      <c r="A6347">
        <v>10544</v>
      </c>
      <c r="B6347" t="s">
        <v>173</v>
      </c>
      <c r="C6347">
        <v>98</v>
      </c>
      <c r="D6347">
        <v>7</v>
      </c>
      <c r="E6347" s="80">
        <v>35571</v>
      </c>
    </row>
    <row r="6348" spans="1:5">
      <c r="A6348">
        <v>10544</v>
      </c>
      <c r="B6348" t="s">
        <v>174</v>
      </c>
      <c r="C6348">
        <v>98</v>
      </c>
      <c r="D6348">
        <v>7</v>
      </c>
      <c r="E6348" s="80">
        <v>35571</v>
      </c>
    </row>
    <row r="6349" spans="1:5">
      <c r="A6349">
        <v>10544</v>
      </c>
      <c r="B6349" t="s">
        <v>175</v>
      </c>
      <c r="C6349">
        <v>98</v>
      </c>
      <c r="D6349">
        <v>7</v>
      </c>
      <c r="E6349" s="80">
        <v>35571</v>
      </c>
    </row>
    <row r="6350" spans="1:5">
      <c r="A6350">
        <v>10544</v>
      </c>
      <c r="B6350" t="s">
        <v>176</v>
      </c>
      <c r="C6350">
        <v>98</v>
      </c>
      <c r="D6350">
        <v>7</v>
      </c>
      <c r="E6350" s="80">
        <v>35571</v>
      </c>
    </row>
    <row r="6351" spans="1:5">
      <c r="A6351">
        <v>10544</v>
      </c>
      <c r="B6351" t="s">
        <v>177</v>
      </c>
      <c r="C6351">
        <v>98</v>
      </c>
      <c r="D6351">
        <v>7</v>
      </c>
      <c r="E6351" s="80">
        <v>35571</v>
      </c>
    </row>
    <row r="6352" spans="1:5">
      <c r="A6352">
        <v>10544</v>
      </c>
      <c r="B6352" t="s">
        <v>178</v>
      </c>
      <c r="C6352">
        <v>98</v>
      </c>
      <c r="D6352">
        <v>7</v>
      </c>
      <c r="E6352" s="80">
        <v>35571</v>
      </c>
    </row>
    <row r="6353" spans="1:5">
      <c r="A6353">
        <v>10544</v>
      </c>
      <c r="B6353" t="s">
        <v>179</v>
      </c>
      <c r="C6353">
        <v>98</v>
      </c>
      <c r="D6353">
        <v>7</v>
      </c>
      <c r="E6353" s="80">
        <v>35571</v>
      </c>
    </row>
    <row r="6354" spans="1:5">
      <c r="A6354">
        <v>10545</v>
      </c>
      <c r="B6354" t="s">
        <v>172</v>
      </c>
      <c r="C6354">
        <v>210</v>
      </c>
      <c r="D6354">
        <v>10</v>
      </c>
      <c r="E6354" s="80">
        <v>35572</v>
      </c>
    </row>
    <row r="6355" spans="1:5">
      <c r="A6355">
        <v>10545</v>
      </c>
      <c r="B6355" t="s">
        <v>173</v>
      </c>
      <c r="C6355">
        <v>210</v>
      </c>
      <c r="D6355">
        <v>10</v>
      </c>
      <c r="E6355" s="80">
        <v>35572</v>
      </c>
    </row>
    <row r="6356" spans="1:5">
      <c r="A6356">
        <v>10545</v>
      </c>
      <c r="B6356" t="s">
        <v>174</v>
      </c>
      <c r="C6356">
        <v>210</v>
      </c>
      <c r="D6356">
        <v>10</v>
      </c>
      <c r="E6356" s="80">
        <v>35572</v>
      </c>
    </row>
    <row r="6357" spans="1:5">
      <c r="A6357">
        <v>10545</v>
      </c>
      <c r="B6357" t="s">
        <v>175</v>
      </c>
      <c r="C6357">
        <v>210</v>
      </c>
      <c r="D6357">
        <v>10</v>
      </c>
      <c r="E6357" s="80">
        <v>35572</v>
      </c>
    </row>
    <row r="6358" spans="1:5">
      <c r="A6358">
        <v>10545</v>
      </c>
      <c r="B6358" t="s">
        <v>176</v>
      </c>
      <c r="C6358">
        <v>210</v>
      </c>
      <c r="D6358">
        <v>10</v>
      </c>
      <c r="E6358" s="80">
        <v>35572</v>
      </c>
    </row>
    <row r="6359" spans="1:5">
      <c r="A6359">
        <v>10545</v>
      </c>
      <c r="B6359" t="s">
        <v>177</v>
      </c>
      <c r="C6359">
        <v>210</v>
      </c>
      <c r="D6359">
        <v>10</v>
      </c>
      <c r="E6359" s="80">
        <v>35572</v>
      </c>
    </row>
    <row r="6360" spans="1:5">
      <c r="A6360">
        <v>10545</v>
      </c>
      <c r="B6360" t="s">
        <v>178</v>
      </c>
      <c r="C6360">
        <v>210</v>
      </c>
      <c r="D6360">
        <v>10</v>
      </c>
      <c r="E6360" s="80">
        <v>35572</v>
      </c>
    </row>
    <row r="6361" spans="1:5">
      <c r="A6361">
        <v>10545</v>
      </c>
      <c r="B6361" t="s">
        <v>179</v>
      </c>
      <c r="C6361">
        <v>210</v>
      </c>
      <c r="D6361">
        <v>10</v>
      </c>
      <c r="E6361" s="80">
        <v>35572</v>
      </c>
    </row>
    <row r="6362" spans="1:5">
      <c r="A6362">
        <v>10546</v>
      </c>
      <c r="B6362" t="s">
        <v>172</v>
      </c>
      <c r="C6362">
        <v>300</v>
      </c>
      <c r="D6362">
        <v>10</v>
      </c>
      <c r="E6362" s="80">
        <v>35573</v>
      </c>
    </row>
    <row r="6363" spans="1:5">
      <c r="A6363">
        <v>10546</v>
      </c>
      <c r="B6363" t="s">
        <v>173</v>
      </c>
      <c r="C6363">
        <v>300</v>
      </c>
      <c r="D6363">
        <v>10</v>
      </c>
      <c r="E6363" s="80">
        <v>35573</v>
      </c>
    </row>
    <row r="6364" spans="1:5">
      <c r="A6364">
        <v>10546</v>
      </c>
      <c r="B6364" t="s">
        <v>174</v>
      </c>
      <c r="C6364">
        <v>300</v>
      </c>
      <c r="D6364">
        <v>10</v>
      </c>
      <c r="E6364" s="80">
        <v>35573</v>
      </c>
    </row>
    <row r="6365" spans="1:5">
      <c r="A6365">
        <v>10546</v>
      </c>
      <c r="B6365" t="s">
        <v>175</v>
      </c>
      <c r="C6365">
        <v>300</v>
      </c>
      <c r="D6365">
        <v>10</v>
      </c>
      <c r="E6365" s="80">
        <v>35573</v>
      </c>
    </row>
    <row r="6366" spans="1:5">
      <c r="A6366">
        <v>10546</v>
      </c>
      <c r="B6366" t="s">
        <v>176</v>
      </c>
      <c r="C6366">
        <v>300</v>
      </c>
      <c r="D6366">
        <v>10</v>
      </c>
      <c r="E6366" s="80">
        <v>35573</v>
      </c>
    </row>
    <row r="6367" spans="1:5">
      <c r="A6367">
        <v>10546</v>
      </c>
      <c r="B6367" t="s">
        <v>177</v>
      </c>
      <c r="C6367">
        <v>300</v>
      </c>
      <c r="D6367">
        <v>10</v>
      </c>
      <c r="E6367" s="80">
        <v>35573</v>
      </c>
    </row>
    <row r="6368" spans="1:5">
      <c r="A6368">
        <v>10546</v>
      </c>
      <c r="B6368" t="s">
        <v>178</v>
      </c>
      <c r="C6368">
        <v>300</v>
      </c>
      <c r="D6368">
        <v>10</v>
      </c>
      <c r="E6368" s="80">
        <v>35573</v>
      </c>
    </row>
    <row r="6369" spans="1:5">
      <c r="A6369">
        <v>10546</v>
      </c>
      <c r="B6369" t="s">
        <v>179</v>
      </c>
      <c r="C6369">
        <v>300</v>
      </c>
      <c r="D6369">
        <v>10</v>
      </c>
      <c r="E6369" s="80">
        <v>35573</v>
      </c>
    </row>
    <row r="6370" spans="1:5">
      <c r="A6370">
        <v>10546</v>
      </c>
      <c r="B6370" t="s">
        <v>172</v>
      </c>
      <c r="C6370">
        <v>540</v>
      </c>
      <c r="D6370">
        <v>30</v>
      </c>
      <c r="E6370" s="80">
        <v>35573</v>
      </c>
    </row>
    <row r="6371" spans="1:5">
      <c r="A6371">
        <v>10546</v>
      </c>
      <c r="B6371" t="s">
        <v>173</v>
      </c>
      <c r="C6371">
        <v>540</v>
      </c>
      <c r="D6371">
        <v>30</v>
      </c>
      <c r="E6371" s="80">
        <v>35573</v>
      </c>
    </row>
    <row r="6372" spans="1:5">
      <c r="A6372">
        <v>10546</v>
      </c>
      <c r="B6372" t="s">
        <v>174</v>
      </c>
      <c r="C6372">
        <v>540</v>
      </c>
      <c r="D6372">
        <v>30</v>
      </c>
      <c r="E6372" s="80">
        <v>35573</v>
      </c>
    </row>
    <row r="6373" spans="1:5">
      <c r="A6373">
        <v>10546</v>
      </c>
      <c r="B6373" t="s">
        <v>175</v>
      </c>
      <c r="C6373">
        <v>540</v>
      </c>
      <c r="D6373">
        <v>30</v>
      </c>
      <c r="E6373" s="80">
        <v>35573</v>
      </c>
    </row>
    <row r="6374" spans="1:5">
      <c r="A6374">
        <v>10546</v>
      </c>
      <c r="B6374" t="s">
        <v>176</v>
      </c>
      <c r="C6374">
        <v>540</v>
      </c>
      <c r="D6374">
        <v>30</v>
      </c>
      <c r="E6374" s="80">
        <v>35573</v>
      </c>
    </row>
    <row r="6375" spans="1:5">
      <c r="A6375">
        <v>10546</v>
      </c>
      <c r="B6375" t="s">
        <v>177</v>
      </c>
      <c r="C6375">
        <v>540</v>
      </c>
      <c r="D6375">
        <v>30</v>
      </c>
      <c r="E6375" s="80">
        <v>35573</v>
      </c>
    </row>
    <row r="6376" spans="1:5">
      <c r="A6376">
        <v>10546</v>
      </c>
      <c r="B6376" t="s">
        <v>178</v>
      </c>
      <c r="C6376">
        <v>540</v>
      </c>
      <c r="D6376">
        <v>30</v>
      </c>
      <c r="E6376" s="80">
        <v>35573</v>
      </c>
    </row>
    <row r="6377" spans="1:5">
      <c r="A6377">
        <v>10546</v>
      </c>
      <c r="B6377" t="s">
        <v>179</v>
      </c>
      <c r="C6377">
        <v>540</v>
      </c>
      <c r="D6377">
        <v>30</v>
      </c>
      <c r="E6377" s="80">
        <v>35573</v>
      </c>
    </row>
    <row r="6378" spans="1:5">
      <c r="A6378">
        <v>10546</v>
      </c>
      <c r="B6378" t="s">
        <v>172</v>
      </c>
      <c r="C6378">
        <v>1972</v>
      </c>
      <c r="D6378">
        <v>40</v>
      </c>
      <c r="E6378" s="80">
        <v>35573</v>
      </c>
    </row>
    <row r="6379" spans="1:5">
      <c r="A6379">
        <v>10546</v>
      </c>
      <c r="B6379" t="s">
        <v>173</v>
      </c>
      <c r="C6379">
        <v>1972</v>
      </c>
      <c r="D6379">
        <v>40</v>
      </c>
      <c r="E6379" s="80">
        <v>35573</v>
      </c>
    </row>
    <row r="6380" spans="1:5">
      <c r="A6380">
        <v>10546</v>
      </c>
      <c r="B6380" t="s">
        <v>174</v>
      </c>
      <c r="C6380">
        <v>1972</v>
      </c>
      <c r="D6380">
        <v>40</v>
      </c>
      <c r="E6380" s="80">
        <v>35573</v>
      </c>
    </row>
    <row r="6381" spans="1:5">
      <c r="A6381">
        <v>10546</v>
      </c>
      <c r="B6381" t="s">
        <v>175</v>
      </c>
      <c r="C6381">
        <v>1972</v>
      </c>
      <c r="D6381">
        <v>40</v>
      </c>
      <c r="E6381" s="80">
        <v>35573</v>
      </c>
    </row>
    <row r="6382" spans="1:5">
      <c r="A6382">
        <v>10546</v>
      </c>
      <c r="B6382" t="s">
        <v>176</v>
      </c>
      <c r="C6382">
        <v>1972</v>
      </c>
      <c r="D6382">
        <v>40</v>
      </c>
      <c r="E6382" s="80">
        <v>35573</v>
      </c>
    </row>
    <row r="6383" spans="1:5">
      <c r="A6383">
        <v>10546</v>
      </c>
      <c r="B6383" t="s">
        <v>177</v>
      </c>
      <c r="C6383">
        <v>1972</v>
      </c>
      <c r="D6383">
        <v>40</v>
      </c>
      <c r="E6383" s="80">
        <v>35573</v>
      </c>
    </row>
    <row r="6384" spans="1:5">
      <c r="A6384">
        <v>10546</v>
      </c>
      <c r="B6384" t="s">
        <v>178</v>
      </c>
      <c r="C6384">
        <v>1972</v>
      </c>
      <c r="D6384">
        <v>40</v>
      </c>
      <c r="E6384" s="80">
        <v>35573</v>
      </c>
    </row>
    <row r="6385" spans="1:5">
      <c r="A6385">
        <v>10546</v>
      </c>
      <c r="B6385" t="s">
        <v>179</v>
      </c>
      <c r="C6385">
        <v>1972</v>
      </c>
      <c r="D6385">
        <v>40</v>
      </c>
      <c r="E6385" s="80">
        <v>35573</v>
      </c>
    </row>
    <row r="6386" spans="1:5">
      <c r="A6386">
        <v>10547</v>
      </c>
      <c r="B6386" t="s">
        <v>172</v>
      </c>
      <c r="C6386">
        <v>652.79999542236328</v>
      </c>
      <c r="D6386">
        <v>24</v>
      </c>
      <c r="E6386" s="80">
        <v>35573</v>
      </c>
    </row>
    <row r="6387" spans="1:5">
      <c r="A6387">
        <v>10547</v>
      </c>
      <c r="B6387" t="s">
        <v>173</v>
      </c>
      <c r="C6387">
        <v>652.79999542236328</v>
      </c>
      <c r="D6387">
        <v>24</v>
      </c>
      <c r="E6387" s="80">
        <v>35573</v>
      </c>
    </row>
    <row r="6388" spans="1:5">
      <c r="A6388">
        <v>10547</v>
      </c>
      <c r="B6388" t="s">
        <v>174</v>
      </c>
      <c r="C6388">
        <v>652.79999542236328</v>
      </c>
      <c r="D6388">
        <v>24</v>
      </c>
      <c r="E6388" s="80">
        <v>35573</v>
      </c>
    </row>
    <row r="6389" spans="1:5">
      <c r="A6389">
        <v>10547</v>
      </c>
      <c r="B6389" t="s">
        <v>175</v>
      </c>
      <c r="C6389">
        <v>652.79999542236328</v>
      </c>
      <c r="D6389">
        <v>24</v>
      </c>
      <c r="E6389" s="80">
        <v>35573</v>
      </c>
    </row>
    <row r="6390" spans="1:5">
      <c r="A6390">
        <v>10547</v>
      </c>
      <c r="B6390" t="s">
        <v>176</v>
      </c>
      <c r="C6390">
        <v>652.79999542236328</v>
      </c>
      <c r="D6390">
        <v>24</v>
      </c>
      <c r="E6390" s="80">
        <v>35573</v>
      </c>
    </row>
    <row r="6391" spans="1:5">
      <c r="A6391">
        <v>10547</v>
      </c>
      <c r="B6391" t="s">
        <v>177</v>
      </c>
      <c r="C6391">
        <v>652.79999542236328</v>
      </c>
      <c r="D6391">
        <v>24</v>
      </c>
      <c r="E6391" s="80">
        <v>35573</v>
      </c>
    </row>
    <row r="6392" spans="1:5">
      <c r="A6392">
        <v>10547</v>
      </c>
      <c r="B6392" t="s">
        <v>178</v>
      </c>
      <c r="C6392">
        <v>652.79999542236328</v>
      </c>
      <c r="D6392">
        <v>24</v>
      </c>
      <c r="E6392" s="80">
        <v>35573</v>
      </c>
    </row>
    <row r="6393" spans="1:5">
      <c r="A6393">
        <v>10547</v>
      </c>
      <c r="B6393" t="s">
        <v>179</v>
      </c>
      <c r="C6393">
        <v>652.79999542236328</v>
      </c>
      <c r="D6393">
        <v>24</v>
      </c>
      <c r="E6393" s="80">
        <v>35573</v>
      </c>
    </row>
    <row r="6394" spans="1:5">
      <c r="A6394">
        <v>10547</v>
      </c>
      <c r="B6394" t="s">
        <v>172</v>
      </c>
      <c r="C6394">
        <v>1140</v>
      </c>
      <c r="D6394">
        <v>60</v>
      </c>
      <c r="E6394" s="80">
        <v>35573</v>
      </c>
    </row>
    <row r="6395" spans="1:5">
      <c r="A6395">
        <v>10547</v>
      </c>
      <c r="B6395" t="s">
        <v>173</v>
      </c>
      <c r="C6395">
        <v>1140</v>
      </c>
      <c r="D6395">
        <v>60</v>
      </c>
      <c r="E6395" s="80">
        <v>35573</v>
      </c>
    </row>
    <row r="6396" spans="1:5">
      <c r="A6396">
        <v>10547</v>
      </c>
      <c r="B6396" t="s">
        <v>174</v>
      </c>
      <c r="C6396">
        <v>1140</v>
      </c>
      <c r="D6396">
        <v>60</v>
      </c>
      <c r="E6396" s="80">
        <v>35573</v>
      </c>
    </row>
    <row r="6397" spans="1:5">
      <c r="A6397">
        <v>10547</v>
      </c>
      <c r="B6397" t="s">
        <v>175</v>
      </c>
      <c r="C6397">
        <v>1140</v>
      </c>
      <c r="D6397">
        <v>60</v>
      </c>
      <c r="E6397" s="80">
        <v>35573</v>
      </c>
    </row>
    <row r="6398" spans="1:5">
      <c r="A6398">
        <v>10547</v>
      </c>
      <c r="B6398" t="s">
        <v>176</v>
      </c>
      <c r="C6398">
        <v>1140</v>
      </c>
      <c r="D6398">
        <v>60</v>
      </c>
      <c r="E6398" s="80">
        <v>35573</v>
      </c>
    </row>
    <row r="6399" spans="1:5">
      <c r="A6399">
        <v>10547</v>
      </c>
      <c r="B6399" t="s">
        <v>177</v>
      </c>
      <c r="C6399">
        <v>1140</v>
      </c>
      <c r="D6399">
        <v>60</v>
      </c>
      <c r="E6399" s="80">
        <v>35573</v>
      </c>
    </row>
    <row r="6400" spans="1:5">
      <c r="A6400">
        <v>10547</v>
      </c>
      <c r="B6400" t="s">
        <v>178</v>
      </c>
      <c r="C6400">
        <v>1140</v>
      </c>
      <c r="D6400">
        <v>60</v>
      </c>
      <c r="E6400" s="80">
        <v>35573</v>
      </c>
    </row>
    <row r="6401" spans="1:5">
      <c r="A6401">
        <v>10547</v>
      </c>
      <c r="B6401" t="s">
        <v>179</v>
      </c>
      <c r="C6401">
        <v>1140</v>
      </c>
      <c r="D6401">
        <v>60</v>
      </c>
      <c r="E6401" s="80">
        <v>35573</v>
      </c>
    </row>
    <row r="6402" spans="1:5">
      <c r="A6402">
        <v>10548</v>
      </c>
      <c r="B6402" t="s">
        <v>172</v>
      </c>
      <c r="C6402">
        <v>105</v>
      </c>
      <c r="D6402">
        <v>10</v>
      </c>
      <c r="E6402" s="80">
        <v>35576</v>
      </c>
    </row>
    <row r="6403" spans="1:5">
      <c r="A6403">
        <v>10548</v>
      </c>
      <c r="B6403" t="s">
        <v>173</v>
      </c>
      <c r="C6403">
        <v>105</v>
      </c>
      <c r="D6403">
        <v>10</v>
      </c>
      <c r="E6403" s="80">
        <v>35576</v>
      </c>
    </row>
    <row r="6404" spans="1:5">
      <c r="A6404">
        <v>10548</v>
      </c>
      <c r="B6404" t="s">
        <v>174</v>
      </c>
      <c r="C6404">
        <v>105</v>
      </c>
      <c r="D6404">
        <v>10</v>
      </c>
      <c r="E6404" s="80">
        <v>35576</v>
      </c>
    </row>
    <row r="6405" spans="1:5">
      <c r="A6405">
        <v>10548</v>
      </c>
      <c r="B6405" t="s">
        <v>175</v>
      </c>
      <c r="C6405">
        <v>105</v>
      </c>
      <c r="D6405">
        <v>10</v>
      </c>
      <c r="E6405" s="80">
        <v>35576</v>
      </c>
    </row>
    <row r="6406" spans="1:5">
      <c r="A6406">
        <v>10548</v>
      </c>
      <c r="B6406" t="s">
        <v>176</v>
      </c>
      <c r="C6406">
        <v>105</v>
      </c>
      <c r="D6406">
        <v>10</v>
      </c>
      <c r="E6406" s="80">
        <v>35576</v>
      </c>
    </row>
    <row r="6407" spans="1:5">
      <c r="A6407">
        <v>10548</v>
      </c>
      <c r="B6407" t="s">
        <v>177</v>
      </c>
      <c r="C6407">
        <v>105</v>
      </c>
      <c r="D6407">
        <v>10</v>
      </c>
      <c r="E6407" s="80">
        <v>35576</v>
      </c>
    </row>
    <row r="6408" spans="1:5">
      <c r="A6408">
        <v>10548</v>
      </c>
      <c r="B6408" t="s">
        <v>178</v>
      </c>
      <c r="C6408">
        <v>105</v>
      </c>
      <c r="D6408">
        <v>10</v>
      </c>
      <c r="E6408" s="80">
        <v>35576</v>
      </c>
    </row>
    <row r="6409" spans="1:5">
      <c r="A6409">
        <v>10548</v>
      </c>
      <c r="B6409" t="s">
        <v>179</v>
      </c>
      <c r="C6409">
        <v>105</v>
      </c>
      <c r="D6409">
        <v>10</v>
      </c>
      <c r="E6409" s="80">
        <v>35576</v>
      </c>
    </row>
    <row r="6410" spans="1:5">
      <c r="A6410">
        <v>10548</v>
      </c>
      <c r="B6410" t="s">
        <v>172</v>
      </c>
      <c r="C6410">
        <v>135.1</v>
      </c>
      <c r="D6410">
        <v>14</v>
      </c>
      <c r="E6410" s="80">
        <v>35576</v>
      </c>
    </row>
    <row r="6411" spans="1:5">
      <c r="A6411">
        <v>10548</v>
      </c>
      <c r="B6411" t="s">
        <v>173</v>
      </c>
      <c r="C6411">
        <v>135.1</v>
      </c>
      <c r="D6411">
        <v>14</v>
      </c>
      <c r="E6411" s="80">
        <v>35576</v>
      </c>
    </row>
    <row r="6412" spans="1:5">
      <c r="A6412">
        <v>10548</v>
      </c>
      <c r="B6412" t="s">
        <v>174</v>
      </c>
      <c r="C6412">
        <v>135.1</v>
      </c>
      <c r="D6412">
        <v>14</v>
      </c>
      <c r="E6412" s="80">
        <v>35576</v>
      </c>
    </row>
    <row r="6413" spans="1:5">
      <c r="A6413">
        <v>10548</v>
      </c>
      <c r="B6413" t="s">
        <v>175</v>
      </c>
      <c r="C6413">
        <v>135.1</v>
      </c>
      <c r="D6413">
        <v>14</v>
      </c>
      <c r="E6413" s="80">
        <v>35576</v>
      </c>
    </row>
    <row r="6414" spans="1:5">
      <c r="A6414">
        <v>10548</v>
      </c>
      <c r="B6414" t="s">
        <v>176</v>
      </c>
      <c r="C6414">
        <v>135.1</v>
      </c>
      <c r="D6414">
        <v>14</v>
      </c>
      <c r="E6414" s="80">
        <v>35576</v>
      </c>
    </row>
    <row r="6415" spans="1:5">
      <c r="A6415">
        <v>10548</v>
      </c>
      <c r="B6415" t="s">
        <v>177</v>
      </c>
      <c r="C6415">
        <v>135.1</v>
      </c>
      <c r="D6415">
        <v>14</v>
      </c>
      <c r="E6415" s="80">
        <v>35576</v>
      </c>
    </row>
    <row r="6416" spans="1:5">
      <c r="A6416">
        <v>10548</v>
      </c>
      <c r="B6416" t="s">
        <v>178</v>
      </c>
      <c r="C6416">
        <v>135.1</v>
      </c>
      <c r="D6416">
        <v>14</v>
      </c>
      <c r="E6416" s="80">
        <v>35576</v>
      </c>
    </row>
    <row r="6417" spans="1:5">
      <c r="A6417">
        <v>10548</v>
      </c>
      <c r="B6417" t="s">
        <v>179</v>
      </c>
      <c r="C6417">
        <v>135.1</v>
      </c>
      <c r="D6417">
        <v>14</v>
      </c>
      <c r="E6417" s="80">
        <v>35576</v>
      </c>
    </row>
    <row r="6418" spans="1:5">
      <c r="A6418">
        <v>10549</v>
      </c>
      <c r="B6418" t="s">
        <v>172</v>
      </c>
      <c r="C6418">
        <v>584.37499590218067</v>
      </c>
      <c r="D6418">
        <v>55</v>
      </c>
      <c r="E6418" s="80">
        <v>35577</v>
      </c>
    </row>
    <row r="6419" spans="1:5">
      <c r="A6419">
        <v>10549</v>
      </c>
      <c r="B6419" t="s">
        <v>173</v>
      </c>
      <c r="C6419">
        <v>584.37499590218067</v>
      </c>
      <c r="D6419">
        <v>55</v>
      </c>
      <c r="E6419" s="80">
        <v>35577</v>
      </c>
    </row>
    <row r="6420" spans="1:5">
      <c r="A6420">
        <v>10549</v>
      </c>
      <c r="B6420" t="s">
        <v>174</v>
      </c>
      <c r="C6420">
        <v>584.37499590218067</v>
      </c>
      <c r="D6420">
        <v>55</v>
      </c>
      <c r="E6420" s="80">
        <v>35577</v>
      </c>
    </row>
    <row r="6421" spans="1:5">
      <c r="A6421">
        <v>10549</v>
      </c>
      <c r="B6421" t="s">
        <v>175</v>
      </c>
      <c r="C6421">
        <v>584.37499590218067</v>
      </c>
      <c r="D6421">
        <v>55</v>
      </c>
      <c r="E6421" s="80">
        <v>35577</v>
      </c>
    </row>
    <row r="6422" spans="1:5">
      <c r="A6422">
        <v>10549</v>
      </c>
      <c r="B6422" t="s">
        <v>176</v>
      </c>
      <c r="C6422">
        <v>584.37499590218067</v>
      </c>
      <c r="D6422">
        <v>55</v>
      </c>
      <c r="E6422" s="80">
        <v>35577</v>
      </c>
    </row>
    <row r="6423" spans="1:5">
      <c r="A6423">
        <v>10549</v>
      </c>
      <c r="B6423" t="s">
        <v>177</v>
      </c>
      <c r="C6423">
        <v>584.37499590218067</v>
      </c>
      <c r="D6423">
        <v>55</v>
      </c>
      <c r="E6423" s="80">
        <v>35577</v>
      </c>
    </row>
    <row r="6424" spans="1:5">
      <c r="A6424">
        <v>10549</v>
      </c>
      <c r="B6424" t="s">
        <v>178</v>
      </c>
      <c r="C6424">
        <v>584.37499590218067</v>
      </c>
      <c r="D6424">
        <v>55</v>
      </c>
      <c r="E6424" s="80">
        <v>35577</v>
      </c>
    </row>
    <row r="6425" spans="1:5">
      <c r="A6425">
        <v>10549</v>
      </c>
      <c r="B6425" t="s">
        <v>179</v>
      </c>
      <c r="C6425">
        <v>584.37499590218067</v>
      </c>
      <c r="D6425">
        <v>55</v>
      </c>
      <c r="E6425" s="80">
        <v>35577</v>
      </c>
    </row>
    <row r="6426" spans="1:5">
      <c r="A6426">
        <v>10549</v>
      </c>
      <c r="B6426" t="s">
        <v>172</v>
      </c>
      <c r="C6426">
        <v>807.49999433755875</v>
      </c>
      <c r="D6426">
        <v>100</v>
      </c>
      <c r="E6426" s="80">
        <v>35577</v>
      </c>
    </row>
    <row r="6427" spans="1:5">
      <c r="A6427">
        <v>10549</v>
      </c>
      <c r="B6427" t="s">
        <v>173</v>
      </c>
      <c r="C6427">
        <v>807.49999433755875</v>
      </c>
      <c r="D6427">
        <v>100</v>
      </c>
      <c r="E6427" s="80">
        <v>35577</v>
      </c>
    </row>
    <row r="6428" spans="1:5">
      <c r="A6428">
        <v>10549</v>
      </c>
      <c r="B6428" t="s">
        <v>174</v>
      </c>
      <c r="C6428">
        <v>807.49999433755875</v>
      </c>
      <c r="D6428">
        <v>100</v>
      </c>
      <c r="E6428" s="80">
        <v>35577</v>
      </c>
    </row>
    <row r="6429" spans="1:5">
      <c r="A6429">
        <v>10549</v>
      </c>
      <c r="B6429" t="s">
        <v>175</v>
      </c>
      <c r="C6429">
        <v>807.49999433755875</v>
      </c>
      <c r="D6429">
        <v>100</v>
      </c>
      <c r="E6429" s="80">
        <v>35577</v>
      </c>
    </row>
    <row r="6430" spans="1:5">
      <c r="A6430">
        <v>10549</v>
      </c>
      <c r="B6430" t="s">
        <v>176</v>
      </c>
      <c r="C6430">
        <v>807.49999433755875</v>
      </c>
      <c r="D6430">
        <v>100</v>
      </c>
      <c r="E6430" s="80">
        <v>35577</v>
      </c>
    </row>
    <row r="6431" spans="1:5">
      <c r="A6431">
        <v>10549</v>
      </c>
      <c r="B6431" t="s">
        <v>177</v>
      </c>
      <c r="C6431">
        <v>807.49999433755875</v>
      </c>
      <c r="D6431">
        <v>100</v>
      </c>
      <c r="E6431" s="80">
        <v>35577</v>
      </c>
    </row>
    <row r="6432" spans="1:5">
      <c r="A6432">
        <v>10549</v>
      </c>
      <c r="B6432" t="s">
        <v>178</v>
      </c>
      <c r="C6432">
        <v>807.49999433755875</v>
      </c>
      <c r="D6432">
        <v>100</v>
      </c>
      <c r="E6432" s="80">
        <v>35577</v>
      </c>
    </row>
    <row r="6433" spans="1:5">
      <c r="A6433">
        <v>10549</v>
      </c>
      <c r="B6433" t="s">
        <v>179</v>
      </c>
      <c r="C6433">
        <v>807.49999433755875</v>
      </c>
      <c r="D6433">
        <v>100</v>
      </c>
      <c r="E6433" s="80">
        <v>35577</v>
      </c>
    </row>
    <row r="6434" spans="1:5">
      <c r="A6434">
        <v>10549</v>
      </c>
      <c r="B6434" t="s">
        <v>172</v>
      </c>
      <c r="C6434">
        <v>2162.3999848365784</v>
      </c>
      <c r="D6434">
        <v>48</v>
      </c>
      <c r="E6434" s="80">
        <v>35577</v>
      </c>
    </row>
    <row r="6435" spans="1:5">
      <c r="A6435">
        <v>10549</v>
      </c>
      <c r="B6435" t="s">
        <v>173</v>
      </c>
      <c r="C6435">
        <v>2162.3999848365784</v>
      </c>
      <c r="D6435">
        <v>48</v>
      </c>
      <c r="E6435" s="80">
        <v>35577</v>
      </c>
    </row>
    <row r="6436" spans="1:5">
      <c r="A6436">
        <v>10549</v>
      </c>
      <c r="B6436" t="s">
        <v>174</v>
      </c>
      <c r="C6436">
        <v>2162.3999848365784</v>
      </c>
      <c r="D6436">
        <v>48</v>
      </c>
      <c r="E6436" s="80">
        <v>35577</v>
      </c>
    </row>
    <row r="6437" spans="1:5">
      <c r="A6437">
        <v>10549</v>
      </c>
      <c r="B6437" t="s">
        <v>175</v>
      </c>
      <c r="C6437">
        <v>2162.3999848365784</v>
      </c>
      <c r="D6437">
        <v>48</v>
      </c>
      <c r="E6437" s="80">
        <v>35577</v>
      </c>
    </row>
    <row r="6438" spans="1:5">
      <c r="A6438">
        <v>10549</v>
      </c>
      <c r="B6438" t="s">
        <v>176</v>
      </c>
      <c r="C6438">
        <v>2162.3999848365784</v>
      </c>
      <c r="D6438">
        <v>48</v>
      </c>
      <c r="E6438" s="80">
        <v>35577</v>
      </c>
    </row>
    <row r="6439" spans="1:5">
      <c r="A6439">
        <v>10549</v>
      </c>
      <c r="B6439" t="s">
        <v>177</v>
      </c>
      <c r="C6439">
        <v>2162.3999848365784</v>
      </c>
      <c r="D6439">
        <v>48</v>
      </c>
      <c r="E6439" s="80">
        <v>35577</v>
      </c>
    </row>
    <row r="6440" spans="1:5">
      <c r="A6440">
        <v>10549</v>
      </c>
      <c r="B6440" t="s">
        <v>178</v>
      </c>
      <c r="C6440">
        <v>2162.3999848365784</v>
      </c>
      <c r="D6440">
        <v>48</v>
      </c>
      <c r="E6440" s="80">
        <v>35577</v>
      </c>
    </row>
    <row r="6441" spans="1:5">
      <c r="A6441">
        <v>10549</v>
      </c>
      <c r="B6441" t="s">
        <v>179</v>
      </c>
      <c r="C6441">
        <v>2162.3999848365784</v>
      </c>
      <c r="D6441">
        <v>48</v>
      </c>
      <c r="E6441" s="80">
        <v>35577</v>
      </c>
    </row>
    <row r="6442" spans="1:5">
      <c r="A6442">
        <v>10550</v>
      </c>
      <c r="B6442" t="s">
        <v>172</v>
      </c>
      <c r="C6442">
        <v>280.79999953508377</v>
      </c>
      <c r="D6442">
        <v>8</v>
      </c>
      <c r="E6442" s="80">
        <v>35578</v>
      </c>
    </row>
    <row r="6443" spans="1:5">
      <c r="A6443">
        <v>10550</v>
      </c>
      <c r="B6443" t="s">
        <v>173</v>
      </c>
      <c r="C6443">
        <v>280.79999953508377</v>
      </c>
      <c r="D6443">
        <v>8</v>
      </c>
      <c r="E6443" s="80">
        <v>35578</v>
      </c>
    </row>
    <row r="6444" spans="1:5">
      <c r="A6444">
        <v>10550</v>
      </c>
      <c r="B6444" t="s">
        <v>174</v>
      </c>
      <c r="C6444">
        <v>280.79999953508377</v>
      </c>
      <c r="D6444">
        <v>8</v>
      </c>
      <c r="E6444" s="80">
        <v>35578</v>
      </c>
    </row>
    <row r="6445" spans="1:5">
      <c r="A6445">
        <v>10550</v>
      </c>
      <c r="B6445" t="s">
        <v>175</v>
      </c>
      <c r="C6445">
        <v>280.79999953508377</v>
      </c>
      <c r="D6445">
        <v>8</v>
      </c>
      <c r="E6445" s="80">
        <v>35578</v>
      </c>
    </row>
    <row r="6446" spans="1:5">
      <c r="A6446">
        <v>10550</v>
      </c>
      <c r="B6446" t="s">
        <v>176</v>
      </c>
      <c r="C6446">
        <v>280.79999953508377</v>
      </c>
      <c r="D6446">
        <v>8</v>
      </c>
      <c r="E6446" s="80">
        <v>35578</v>
      </c>
    </row>
    <row r="6447" spans="1:5">
      <c r="A6447">
        <v>10550</v>
      </c>
      <c r="B6447" t="s">
        <v>177</v>
      </c>
      <c r="C6447">
        <v>280.79999953508377</v>
      </c>
      <c r="D6447">
        <v>8</v>
      </c>
      <c r="E6447" s="80">
        <v>35578</v>
      </c>
    </row>
    <row r="6448" spans="1:5">
      <c r="A6448">
        <v>10550</v>
      </c>
      <c r="B6448" t="s">
        <v>178</v>
      </c>
      <c r="C6448">
        <v>280.79999953508377</v>
      </c>
      <c r="D6448">
        <v>8</v>
      </c>
      <c r="E6448" s="80">
        <v>35578</v>
      </c>
    </row>
    <row r="6449" spans="1:5">
      <c r="A6449">
        <v>10550</v>
      </c>
      <c r="B6449" t="s">
        <v>179</v>
      </c>
      <c r="C6449">
        <v>280.79999953508377</v>
      </c>
      <c r="D6449">
        <v>8</v>
      </c>
      <c r="E6449" s="80">
        <v>35578</v>
      </c>
    </row>
    <row r="6450" spans="1:5">
      <c r="A6450">
        <v>10550</v>
      </c>
      <c r="B6450" t="s">
        <v>172</v>
      </c>
      <c r="C6450">
        <v>92</v>
      </c>
      <c r="D6450">
        <v>10</v>
      </c>
      <c r="E6450" s="80">
        <v>35578</v>
      </c>
    </row>
    <row r="6451" spans="1:5">
      <c r="A6451">
        <v>10550</v>
      </c>
      <c r="B6451" t="s">
        <v>173</v>
      </c>
      <c r="C6451">
        <v>92</v>
      </c>
      <c r="D6451">
        <v>10</v>
      </c>
      <c r="E6451" s="80">
        <v>35578</v>
      </c>
    </row>
    <row r="6452" spans="1:5">
      <c r="A6452">
        <v>10550</v>
      </c>
      <c r="B6452" t="s">
        <v>174</v>
      </c>
      <c r="C6452">
        <v>92</v>
      </c>
      <c r="D6452">
        <v>10</v>
      </c>
      <c r="E6452" s="80">
        <v>35578</v>
      </c>
    </row>
    <row r="6453" spans="1:5">
      <c r="A6453">
        <v>10550</v>
      </c>
      <c r="B6453" t="s">
        <v>175</v>
      </c>
      <c r="C6453">
        <v>92</v>
      </c>
      <c r="D6453">
        <v>10</v>
      </c>
      <c r="E6453" s="80">
        <v>35578</v>
      </c>
    </row>
    <row r="6454" spans="1:5">
      <c r="A6454">
        <v>10550</v>
      </c>
      <c r="B6454" t="s">
        <v>176</v>
      </c>
      <c r="C6454">
        <v>92</v>
      </c>
      <c r="D6454">
        <v>10</v>
      </c>
      <c r="E6454" s="80">
        <v>35578</v>
      </c>
    </row>
    <row r="6455" spans="1:5">
      <c r="A6455">
        <v>10550</v>
      </c>
      <c r="B6455" t="s">
        <v>177</v>
      </c>
      <c r="C6455">
        <v>92</v>
      </c>
      <c r="D6455">
        <v>10</v>
      </c>
      <c r="E6455" s="80">
        <v>35578</v>
      </c>
    </row>
    <row r="6456" spans="1:5">
      <c r="A6456">
        <v>10550</v>
      </c>
      <c r="B6456" t="s">
        <v>178</v>
      </c>
      <c r="C6456">
        <v>92</v>
      </c>
      <c r="D6456">
        <v>10</v>
      </c>
      <c r="E6456" s="80">
        <v>35578</v>
      </c>
    </row>
    <row r="6457" spans="1:5">
      <c r="A6457">
        <v>10550</v>
      </c>
      <c r="B6457" t="s">
        <v>179</v>
      </c>
      <c r="C6457">
        <v>92</v>
      </c>
      <c r="D6457">
        <v>10</v>
      </c>
      <c r="E6457" s="80">
        <v>35578</v>
      </c>
    </row>
    <row r="6458" spans="1:5">
      <c r="A6458">
        <v>10550</v>
      </c>
      <c r="B6458" t="s">
        <v>172</v>
      </c>
      <c r="C6458">
        <v>53.999999910593033</v>
      </c>
      <c r="D6458">
        <v>6</v>
      </c>
      <c r="E6458" s="80">
        <v>35578</v>
      </c>
    </row>
    <row r="6459" spans="1:5">
      <c r="A6459">
        <v>10550</v>
      </c>
      <c r="B6459" t="s">
        <v>173</v>
      </c>
      <c r="C6459">
        <v>53.999999910593033</v>
      </c>
      <c r="D6459">
        <v>6</v>
      </c>
      <c r="E6459" s="80">
        <v>35578</v>
      </c>
    </row>
    <row r="6460" spans="1:5">
      <c r="A6460">
        <v>10550</v>
      </c>
      <c r="B6460" t="s">
        <v>174</v>
      </c>
      <c r="C6460">
        <v>53.999999910593033</v>
      </c>
      <c r="D6460">
        <v>6</v>
      </c>
      <c r="E6460" s="80">
        <v>35578</v>
      </c>
    </row>
    <row r="6461" spans="1:5">
      <c r="A6461">
        <v>10550</v>
      </c>
      <c r="B6461" t="s">
        <v>175</v>
      </c>
      <c r="C6461">
        <v>53.999999910593033</v>
      </c>
      <c r="D6461">
        <v>6</v>
      </c>
      <c r="E6461" s="80">
        <v>35578</v>
      </c>
    </row>
    <row r="6462" spans="1:5">
      <c r="A6462">
        <v>10550</v>
      </c>
      <c r="B6462" t="s">
        <v>176</v>
      </c>
      <c r="C6462">
        <v>53.999999910593033</v>
      </c>
      <c r="D6462">
        <v>6</v>
      </c>
      <c r="E6462" s="80">
        <v>35578</v>
      </c>
    </row>
    <row r="6463" spans="1:5">
      <c r="A6463">
        <v>10550</v>
      </c>
      <c r="B6463" t="s">
        <v>177</v>
      </c>
      <c r="C6463">
        <v>53.999999910593033</v>
      </c>
      <c r="D6463">
        <v>6</v>
      </c>
      <c r="E6463" s="80">
        <v>35578</v>
      </c>
    </row>
    <row r="6464" spans="1:5">
      <c r="A6464">
        <v>10550</v>
      </c>
      <c r="B6464" t="s">
        <v>178</v>
      </c>
      <c r="C6464">
        <v>53.999999910593033</v>
      </c>
      <c r="D6464">
        <v>6</v>
      </c>
      <c r="E6464" s="80">
        <v>35578</v>
      </c>
    </row>
    <row r="6465" spans="1:5">
      <c r="A6465">
        <v>10550</v>
      </c>
      <c r="B6465" t="s">
        <v>179</v>
      </c>
      <c r="C6465">
        <v>53.999999910593033</v>
      </c>
      <c r="D6465">
        <v>6</v>
      </c>
      <c r="E6465" s="80">
        <v>35578</v>
      </c>
    </row>
    <row r="6466" spans="1:5">
      <c r="A6466">
        <v>10550</v>
      </c>
      <c r="B6466" t="s">
        <v>172</v>
      </c>
      <c r="C6466">
        <v>256.49999957531691</v>
      </c>
      <c r="D6466">
        <v>10</v>
      </c>
      <c r="E6466" s="80">
        <v>35578</v>
      </c>
    </row>
    <row r="6467" spans="1:5">
      <c r="A6467">
        <v>10550</v>
      </c>
      <c r="B6467" t="s">
        <v>173</v>
      </c>
      <c r="C6467">
        <v>256.49999957531691</v>
      </c>
      <c r="D6467">
        <v>10</v>
      </c>
      <c r="E6467" s="80">
        <v>35578</v>
      </c>
    </row>
    <row r="6468" spans="1:5">
      <c r="A6468">
        <v>10550</v>
      </c>
      <c r="B6468" t="s">
        <v>174</v>
      </c>
      <c r="C6468">
        <v>256.49999957531691</v>
      </c>
      <c r="D6468">
        <v>10</v>
      </c>
      <c r="E6468" s="80">
        <v>35578</v>
      </c>
    </row>
    <row r="6469" spans="1:5">
      <c r="A6469">
        <v>10550</v>
      </c>
      <c r="B6469" t="s">
        <v>175</v>
      </c>
      <c r="C6469">
        <v>256.49999957531691</v>
      </c>
      <c r="D6469">
        <v>10</v>
      </c>
      <c r="E6469" s="80">
        <v>35578</v>
      </c>
    </row>
    <row r="6470" spans="1:5">
      <c r="A6470">
        <v>10550</v>
      </c>
      <c r="B6470" t="s">
        <v>176</v>
      </c>
      <c r="C6470">
        <v>256.49999957531691</v>
      </c>
      <c r="D6470">
        <v>10</v>
      </c>
      <c r="E6470" s="80">
        <v>35578</v>
      </c>
    </row>
    <row r="6471" spans="1:5">
      <c r="A6471">
        <v>10550</v>
      </c>
      <c r="B6471" t="s">
        <v>177</v>
      </c>
      <c r="C6471">
        <v>256.49999957531691</v>
      </c>
      <c r="D6471">
        <v>10</v>
      </c>
      <c r="E6471" s="80">
        <v>35578</v>
      </c>
    </row>
    <row r="6472" spans="1:5">
      <c r="A6472">
        <v>10550</v>
      </c>
      <c r="B6472" t="s">
        <v>178</v>
      </c>
      <c r="C6472">
        <v>256.49999957531691</v>
      </c>
      <c r="D6472">
        <v>10</v>
      </c>
      <c r="E6472" s="80">
        <v>35578</v>
      </c>
    </row>
    <row r="6473" spans="1:5">
      <c r="A6473">
        <v>10550</v>
      </c>
      <c r="B6473" t="s">
        <v>179</v>
      </c>
      <c r="C6473">
        <v>256.49999957531691</v>
      </c>
      <c r="D6473">
        <v>10</v>
      </c>
      <c r="E6473" s="80">
        <v>35578</v>
      </c>
    </row>
    <row r="6474" spans="1:5">
      <c r="A6474">
        <v>10551</v>
      </c>
      <c r="B6474" t="s">
        <v>172</v>
      </c>
      <c r="C6474">
        <v>593.29999583959579</v>
      </c>
      <c r="D6474">
        <v>40</v>
      </c>
      <c r="E6474" s="80">
        <v>35578</v>
      </c>
    </row>
    <row r="6475" spans="1:5">
      <c r="A6475">
        <v>10551</v>
      </c>
      <c r="B6475" t="s">
        <v>173</v>
      </c>
      <c r="C6475">
        <v>593.29999583959579</v>
      </c>
      <c r="D6475">
        <v>40</v>
      </c>
      <c r="E6475" s="80">
        <v>35578</v>
      </c>
    </row>
    <row r="6476" spans="1:5">
      <c r="A6476">
        <v>10551</v>
      </c>
      <c r="B6476" t="s">
        <v>174</v>
      </c>
      <c r="C6476">
        <v>593.29999583959579</v>
      </c>
      <c r="D6476">
        <v>40</v>
      </c>
      <c r="E6476" s="80">
        <v>35578</v>
      </c>
    </row>
    <row r="6477" spans="1:5">
      <c r="A6477">
        <v>10551</v>
      </c>
      <c r="B6477" t="s">
        <v>175</v>
      </c>
      <c r="C6477">
        <v>593.29999583959579</v>
      </c>
      <c r="D6477">
        <v>40</v>
      </c>
      <c r="E6477" s="80">
        <v>35578</v>
      </c>
    </row>
    <row r="6478" spans="1:5">
      <c r="A6478">
        <v>10551</v>
      </c>
      <c r="B6478" t="s">
        <v>176</v>
      </c>
      <c r="C6478">
        <v>593.29999583959579</v>
      </c>
      <c r="D6478">
        <v>40</v>
      </c>
      <c r="E6478" s="80">
        <v>35578</v>
      </c>
    </row>
    <row r="6479" spans="1:5">
      <c r="A6479">
        <v>10551</v>
      </c>
      <c r="B6479" t="s">
        <v>177</v>
      </c>
      <c r="C6479">
        <v>593.29999583959579</v>
      </c>
      <c r="D6479">
        <v>40</v>
      </c>
      <c r="E6479" s="80">
        <v>35578</v>
      </c>
    </row>
    <row r="6480" spans="1:5">
      <c r="A6480">
        <v>10551</v>
      </c>
      <c r="B6480" t="s">
        <v>178</v>
      </c>
      <c r="C6480">
        <v>593.29999583959579</v>
      </c>
      <c r="D6480">
        <v>40</v>
      </c>
      <c r="E6480" s="80">
        <v>35578</v>
      </c>
    </row>
    <row r="6481" spans="1:5">
      <c r="A6481">
        <v>10551</v>
      </c>
      <c r="B6481" t="s">
        <v>179</v>
      </c>
      <c r="C6481">
        <v>593.29999583959579</v>
      </c>
      <c r="D6481">
        <v>40</v>
      </c>
      <c r="E6481" s="80">
        <v>35578</v>
      </c>
    </row>
    <row r="6482" spans="1:5">
      <c r="A6482">
        <v>10551</v>
      </c>
      <c r="B6482" t="s">
        <v>172</v>
      </c>
      <c r="C6482">
        <v>305.99999785423279</v>
      </c>
      <c r="D6482">
        <v>20</v>
      </c>
      <c r="E6482" s="80">
        <v>35578</v>
      </c>
    </row>
    <row r="6483" spans="1:5">
      <c r="A6483">
        <v>10551</v>
      </c>
      <c r="B6483" t="s">
        <v>173</v>
      </c>
      <c r="C6483">
        <v>305.99999785423279</v>
      </c>
      <c r="D6483">
        <v>20</v>
      </c>
      <c r="E6483" s="80">
        <v>35578</v>
      </c>
    </row>
    <row r="6484" spans="1:5">
      <c r="A6484">
        <v>10551</v>
      </c>
      <c r="B6484" t="s">
        <v>174</v>
      </c>
      <c r="C6484">
        <v>305.99999785423279</v>
      </c>
      <c r="D6484">
        <v>20</v>
      </c>
      <c r="E6484" s="80">
        <v>35578</v>
      </c>
    </row>
    <row r="6485" spans="1:5">
      <c r="A6485">
        <v>10551</v>
      </c>
      <c r="B6485" t="s">
        <v>175</v>
      </c>
      <c r="C6485">
        <v>305.99999785423279</v>
      </c>
      <c r="D6485">
        <v>20</v>
      </c>
      <c r="E6485" s="80">
        <v>35578</v>
      </c>
    </row>
    <row r="6486" spans="1:5">
      <c r="A6486">
        <v>10551</v>
      </c>
      <c r="B6486" t="s">
        <v>176</v>
      </c>
      <c r="C6486">
        <v>305.99999785423279</v>
      </c>
      <c r="D6486">
        <v>20</v>
      </c>
      <c r="E6486" s="80">
        <v>35578</v>
      </c>
    </row>
    <row r="6487" spans="1:5">
      <c r="A6487">
        <v>10551</v>
      </c>
      <c r="B6487" t="s">
        <v>177</v>
      </c>
      <c r="C6487">
        <v>305.99999785423279</v>
      </c>
      <c r="D6487">
        <v>20</v>
      </c>
      <c r="E6487" s="80">
        <v>35578</v>
      </c>
    </row>
    <row r="6488" spans="1:5">
      <c r="A6488">
        <v>10551</v>
      </c>
      <c r="B6488" t="s">
        <v>178</v>
      </c>
      <c r="C6488">
        <v>305.99999785423279</v>
      </c>
      <c r="D6488">
        <v>20</v>
      </c>
      <c r="E6488" s="80">
        <v>35578</v>
      </c>
    </row>
    <row r="6489" spans="1:5">
      <c r="A6489">
        <v>10551</v>
      </c>
      <c r="B6489" t="s">
        <v>179</v>
      </c>
      <c r="C6489">
        <v>305.99999785423279</v>
      </c>
      <c r="D6489">
        <v>20</v>
      </c>
      <c r="E6489" s="80">
        <v>35578</v>
      </c>
    </row>
    <row r="6490" spans="1:5">
      <c r="A6490">
        <v>10551</v>
      </c>
      <c r="B6490" t="s">
        <v>172</v>
      </c>
      <c r="C6490">
        <v>778</v>
      </c>
      <c r="D6490">
        <v>40</v>
      </c>
      <c r="E6490" s="80">
        <v>35578</v>
      </c>
    </row>
    <row r="6491" spans="1:5">
      <c r="A6491">
        <v>10551</v>
      </c>
      <c r="B6491" t="s">
        <v>173</v>
      </c>
      <c r="C6491">
        <v>778</v>
      </c>
      <c r="D6491">
        <v>40</v>
      </c>
      <c r="E6491" s="80">
        <v>35578</v>
      </c>
    </row>
    <row r="6492" spans="1:5">
      <c r="A6492">
        <v>10551</v>
      </c>
      <c r="B6492" t="s">
        <v>174</v>
      </c>
      <c r="C6492">
        <v>778</v>
      </c>
      <c r="D6492">
        <v>40</v>
      </c>
      <c r="E6492" s="80">
        <v>35578</v>
      </c>
    </row>
    <row r="6493" spans="1:5">
      <c r="A6493">
        <v>10551</v>
      </c>
      <c r="B6493" t="s">
        <v>175</v>
      </c>
      <c r="C6493">
        <v>778</v>
      </c>
      <c r="D6493">
        <v>40</v>
      </c>
      <c r="E6493" s="80">
        <v>35578</v>
      </c>
    </row>
    <row r="6494" spans="1:5">
      <c r="A6494">
        <v>10551</v>
      </c>
      <c r="B6494" t="s">
        <v>176</v>
      </c>
      <c r="C6494">
        <v>778</v>
      </c>
      <c r="D6494">
        <v>40</v>
      </c>
      <c r="E6494" s="80">
        <v>35578</v>
      </c>
    </row>
    <row r="6495" spans="1:5">
      <c r="A6495">
        <v>10551</v>
      </c>
      <c r="B6495" t="s">
        <v>177</v>
      </c>
      <c r="C6495">
        <v>778</v>
      </c>
      <c r="D6495">
        <v>40</v>
      </c>
      <c r="E6495" s="80">
        <v>35578</v>
      </c>
    </row>
    <row r="6496" spans="1:5">
      <c r="A6496">
        <v>10551</v>
      </c>
      <c r="B6496" t="s">
        <v>178</v>
      </c>
      <c r="C6496">
        <v>778</v>
      </c>
      <c r="D6496">
        <v>40</v>
      </c>
      <c r="E6496" s="80">
        <v>35578</v>
      </c>
    </row>
    <row r="6497" spans="1:5">
      <c r="A6497">
        <v>10551</v>
      </c>
      <c r="B6497" t="s">
        <v>179</v>
      </c>
      <c r="C6497">
        <v>778</v>
      </c>
      <c r="D6497">
        <v>40</v>
      </c>
      <c r="E6497" s="80">
        <v>35578</v>
      </c>
    </row>
    <row r="6498" spans="1:5">
      <c r="A6498">
        <v>10552</v>
      </c>
      <c r="B6498" t="s">
        <v>172</v>
      </c>
      <c r="C6498">
        <v>648</v>
      </c>
      <c r="D6498">
        <v>18</v>
      </c>
      <c r="E6498" s="80">
        <v>35579</v>
      </c>
    </row>
    <row r="6499" spans="1:5">
      <c r="A6499">
        <v>10552</v>
      </c>
      <c r="B6499" t="s">
        <v>173</v>
      </c>
      <c r="C6499">
        <v>648</v>
      </c>
      <c r="D6499">
        <v>18</v>
      </c>
      <c r="E6499" s="80">
        <v>35579</v>
      </c>
    </row>
    <row r="6500" spans="1:5">
      <c r="A6500">
        <v>10552</v>
      </c>
      <c r="B6500" t="s">
        <v>174</v>
      </c>
      <c r="C6500">
        <v>648</v>
      </c>
      <c r="D6500">
        <v>18</v>
      </c>
      <c r="E6500" s="80">
        <v>35579</v>
      </c>
    </row>
    <row r="6501" spans="1:5">
      <c r="A6501">
        <v>10552</v>
      </c>
      <c r="B6501" t="s">
        <v>175</v>
      </c>
      <c r="C6501">
        <v>648</v>
      </c>
      <c r="D6501">
        <v>18</v>
      </c>
      <c r="E6501" s="80">
        <v>35579</v>
      </c>
    </row>
    <row r="6502" spans="1:5">
      <c r="A6502">
        <v>10552</v>
      </c>
      <c r="B6502" t="s">
        <v>176</v>
      </c>
      <c r="C6502">
        <v>648</v>
      </c>
      <c r="D6502">
        <v>18</v>
      </c>
      <c r="E6502" s="80">
        <v>35579</v>
      </c>
    </row>
    <row r="6503" spans="1:5">
      <c r="A6503">
        <v>10552</v>
      </c>
      <c r="B6503" t="s">
        <v>177</v>
      </c>
      <c r="C6503">
        <v>648</v>
      </c>
      <c r="D6503">
        <v>18</v>
      </c>
      <c r="E6503" s="80">
        <v>35579</v>
      </c>
    </row>
    <row r="6504" spans="1:5">
      <c r="A6504">
        <v>10552</v>
      </c>
      <c r="B6504" t="s">
        <v>178</v>
      </c>
      <c r="C6504">
        <v>648</v>
      </c>
      <c r="D6504">
        <v>18</v>
      </c>
      <c r="E6504" s="80">
        <v>35579</v>
      </c>
    </row>
    <row r="6505" spans="1:5">
      <c r="A6505">
        <v>10552</v>
      </c>
      <c r="B6505" t="s">
        <v>179</v>
      </c>
      <c r="C6505">
        <v>648</v>
      </c>
      <c r="D6505">
        <v>18</v>
      </c>
      <c r="E6505" s="80">
        <v>35579</v>
      </c>
    </row>
    <row r="6506" spans="1:5">
      <c r="A6506">
        <v>10552</v>
      </c>
      <c r="B6506" t="s">
        <v>172</v>
      </c>
      <c r="C6506">
        <v>232.5</v>
      </c>
      <c r="D6506">
        <v>30</v>
      </c>
      <c r="E6506" s="80">
        <v>35579</v>
      </c>
    </row>
    <row r="6507" spans="1:5">
      <c r="A6507">
        <v>10552</v>
      </c>
      <c r="B6507" t="s">
        <v>173</v>
      </c>
      <c r="C6507">
        <v>232.5</v>
      </c>
      <c r="D6507">
        <v>30</v>
      </c>
      <c r="E6507" s="80">
        <v>35579</v>
      </c>
    </row>
    <row r="6508" spans="1:5">
      <c r="A6508">
        <v>10552</v>
      </c>
      <c r="B6508" t="s">
        <v>174</v>
      </c>
      <c r="C6508">
        <v>232.5</v>
      </c>
      <c r="D6508">
        <v>30</v>
      </c>
      <c r="E6508" s="80">
        <v>35579</v>
      </c>
    </row>
    <row r="6509" spans="1:5">
      <c r="A6509">
        <v>10552</v>
      </c>
      <c r="B6509" t="s">
        <v>175</v>
      </c>
      <c r="C6509">
        <v>232.5</v>
      </c>
      <c r="D6509">
        <v>30</v>
      </c>
      <c r="E6509" s="80">
        <v>35579</v>
      </c>
    </row>
    <row r="6510" spans="1:5">
      <c r="A6510">
        <v>10552</v>
      </c>
      <c r="B6510" t="s">
        <v>176</v>
      </c>
      <c r="C6510">
        <v>232.5</v>
      </c>
      <c r="D6510">
        <v>30</v>
      </c>
      <c r="E6510" s="80">
        <v>35579</v>
      </c>
    </row>
    <row r="6511" spans="1:5">
      <c r="A6511">
        <v>10552</v>
      </c>
      <c r="B6511" t="s">
        <v>177</v>
      </c>
      <c r="C6511">
        <v>232.5</v>
      </c>
      <c r="D6511">
        <v>30</v>
      </c>
      <c r="E6511" s="80">
        <v>35579</v>
      </c>
    </row>
    <row r="6512" spans="1:5">
      <c r="A6512">
        <v>10552</v>
      </c>
      <c r="B6512" t="s">
        <v>178</v>
      </c>
      <c r="C6512">
        <v>232.5</v>
      </c>
      <c r="D6512">
        <v>30</v>
      </c>
      <c r="E6512" s="80">
        <v>35579</v>
      </c>
    </row>
    <row r="6513" spans="1:5">
      <c r="A6513">
        <v>10552</v>
      </c>
      <c r="B6513" t="s">
        <v>179</v>
      </c>
      <c r="C6513">
        <v>232.5</v>
      </c>
      <c r="D6513">
        <v>30</v>
      </c>
      <c r="E6513" s="80">
        <v>35579</v>
      </c>
    </row>
    <row r="6514" spans="1:5">
      <c r="A6514">
        <v>10553</v>
      </c>
      <c r="B6514" t="s">
        <v>172</v>
      </c>
      <c r="C6514">
        <v>315</v>
      </c>
      <c r="D6514">
        <v>15</v>
      </c>
      <c r="E6514" s="80">
        <v>35580</v>
      </c>
    </row>
    <row r="6515" spans="1:5">
      <c r="A6515">
        <v>10553</v>
      </c>
      <c r="B6515" t="s">
        <v>173</v>
      </c>
      <c r="C6515">
        <v>315</v>
      </c>
      <c r="D6515">
        <v>15</v>
      </c>
      <c r="E6515" s="80">
        <v>35580</v>
      </c>
    </row>
    <row r="6516" spans="1:5">
      <c r="A6516">
        <v>10553</v>
      </c>
      <c r="B6516" t="s">
        <v>174</v>
      </c>
      <c r="C6516">
        <v>315</v>
      </c>
      <c r="D6516">
        <v>15</v>
      </c>
      <c r="E6516" s="80">
        <v>35580</v>
      </c>
    </row>
    <row r="6517" spans="1:5">
      <c r="A6517">
        <v>10553</v>
      </c>
      <c r="B6517" t="s">
        <v>175</v>
      </c>
      <c r="C6517">
        <v>315</v>
      </c>
      <c r="D6517">
        <v>15</v>
      </c>
      <c r="E6517" s="80">
        <v>35580</v>
      </c>
    </row>
    <row r="6518" spans="1:5">
      <c r="A6518">
        <v>10553</v>
      </c>
      <c r="B6518" t="s">
        <v>176</v>
      </c>
      <c r="C6518">
        <v>315</v>
      </c>
      <c r="D6518">
        <v>15</v>
      </c>
      <c r="E6518" s="80">
        <v>35580</v>
      </c>
    </row>
    <row r="6519" spans="1:5">
      <c r="A6519">
        <v>10553</v>
      </c>
      <c r="B6519" t="s">
        <v>177</v>
      </c>
      <c r="C6519">
        <v>315</v>
      </c>
      <c r="D6519">
        <v>15</v>
      </c>
      <c r="E6519" s="80">
        <v>35580</v>
      </c>
    </row>
    <row r="6520" spans="1:5">
      <c r="A6520">
        <v>10553</v>
      </c>
      <c r="B6520" t="s">
        <v>178</v>
      </c>
      <c r="C6520">
        <v>315</v>
      </c>
      <c r="D6520">
        <v>15</v>
      </c>
      <c r="E6520" s="80">
        <v>35580</v>
      </c>
    </row>
    <row r="6521" spans="1:5">
      <c r="A6521">
        <v>10553</v>
      </c>
      <c r="B6521" t="s">
        <v>179</v>
      </c>
      <c r="C6521">
        <v>315</v>
      </c>
      <c r="D6521">
        <v>15</v>
      </c>
      <c r="E6521" s="80">
        <v>35580</v>
      </c>
    </row>
    <row r="6522" spans="1:5">
      <c r="A6522">
        <v>10553</v>
      </c>
      <c r="B6522" t="s">
        <v>172</v>
      </c>
      <c r="C6522">
        <v>244.3</v>
      </c>
      <c r="D6522">
        <v>14</v>
      </c>
      <c r="E6522" s="80">
        <v>35580</v>
      </c>
    </row>
    <row r="6523" spans="1:5">
      <c r="A6523">
        <v>10553</v>
      </c>
      <c r="B6523" t="s">
        <v>173</v>
      </c>
      <c r="C6523">
        <v>244.3</v>
      </c>
      <c r="D6523">
        <v>14</v>
      </c>
      <c r="E6523" s="80">
        <v>35580</v>
      </c>
    </row>
    <row r="6524" spans="1:5">
      <c r="A6524">
        <v>10553</v>
      </c>
      <c r="B6524" t="s">
        <v>174</v>
      </c>
      <c r="C6524">
        <v>244.3</v>
      </c>
      <c r="D6524">
        <v>14</v>
      </c>
      <c r="E6524" s="80">
        <v>35580</v>
      </c>
    </row>
    <row r="6525" spans="1:5">
      <c r="A6525">
        <v>10553</v>
      </c>
      <c r="B6525" t="s">
        <v>175</v>
      </c>
      <c r="C6525">
        <v>244.3</v>
      </c>
      <c r="D6525">
        <v>14</v>
      </c>
      <c r="E6525" s="80">
        <v>35580</v>
      </c>
    </row>
    <row r="6526" spans="1:5">
      <c r="A6526">
        <v>10553</v>
      </c>
      <c r="B6526" t="s">
        <v>176</v>
      </c>
      <c r="C6526">
        <v>244.3</v>
      </c>
      <c r="D6526">
        <v>14</v>
      </c>
      <c r="E6526" s="80">
        <v>35580</v>
      </c>
    </row>
    <row r="6527" spans="1:5">
      <c r="A6527">
        <v>10553</v>
      </c>
      <c r="B6527" t="s">
        <v>177</v>
      </c>
      <c r="C6527">
        <v>244.3</v>
      </c>
      <c r="D6527">
        <v>14</v>
      </c>
      <c r="E6527" s="80">
        <v>35580</v>
      </c>
    </row>
    <row r="6528" spans="1:5">
      <c r="A6528">
        <v>10553</v>
      </c>
      <c r="B6528" t="s">
        <v>178</v>
      </c>
      <c r="C6528">
        <v>244.3</v>
      </c>
      <c r="D6528">
        <v>14</v>
      </c>
      <c r="E6528" s="80">
        <v>35580</v>
      </c>
    </row>
    <row r="6529" spans="1:5">
      <c r="A6529">
        <v>10553</v>
      </c>
      <c r="B6529" t="s">
        <v>179</v>
      </c>
      <c r="C6529">
        <v>244.3</v>
      </c>
      <c r="D6529">
        <v>14</v>
      </c>
      <c r="E6529" s="80">
        <v>35580</v>
      </c>
    </row>
    <row r="6530" spans="1:5">
      <c r="A6530">
        <v>10553</v>
      </c>
      <c r="B6530" t="s">
        <v>172</v>
      </c>
      <c r="C6530">
        <v>504</v>
      </c>
      <c r="D6530">
        <v>24</v>
      </c>
      <c r="E6530" s="80">
        <v>35580</v>
      </c>
    </row>
    <row r="6531" spans="1:5">
      <c r="A6531">
        <v>10553</v>
      </c>
      <c r="B6531" t="s">
        <v>173</v>
      </c>
      <c r="C6531">
        <v>504</v>
      </c>
      <c r="D6531">
        <v>24</v>
      </c>
      <c r="E6531" s="80">
        <v>35580</v>
      </c>
    </row>
    <row r="6532" spans="1:5">
      <c r="A6532">
        <v>10553</v>
      </c>
      <c r="B6532" t="s">
        <v>174</v>
      </c>
      <c r="C6532">
        <v>504</v>
      </c>
      <c r="D6532">
        <v>24</v>
      </c>
      <c r="E6532" s="80">
        <v>35580</v>
      </c>
    </row>
    <row r="6533" spans="1:5">
      <c r="A6533">
        <v>10553</v>
      </c>
      <c r="B6533" t="s">
        <v>175</v>
      </c>
      <c r="C6533">
        <v>504</v>
      </c>
      <c r="D6533">
        <v>24</v>
      </c>
      <c r="E6533" s="80">
        <v>35580</v>
      </c>
    </row>
    <row r="6534" spans="1:5">
      <c r="A6534">
        <v>10553</v>
      </c>
      <c r="B6534" t="s">
        <v>176</v>
      </c>
      <c r="C6534">
        <v>504</v>
      </c>
      <c r="D6534">
        <v>24</v>
      </c>
      <c r="E6534" s="80">
        <v>35580</v>
      </c>
    </row>
    <row r="6535" spans="1:5">
      <c r="A6535">
        <v>10553</v>
      </c>
      <c r="B6535" t="s">
        <v>177</v>
      </c>
      <c r="C6535">
        <v>504</v>
      </c>
      <c r="D6535">
        <v>24</v>
      </c>
      <c r="E6535" s="80">
        <v>35580</v>
      </c>
    </row>
    <row r="6536" spans="1:5">
      <c r="A6536">
        <v>10553</v>
      </c>
      <c r="B6536" t="s">
        <v>178</v>
      </c>
      <c r="C6536">
        <v>504</v>
      </c>
      <c r="D6536">
        <v>24</v>
      </c>
      <c r="E6536" s="80">
        <v>35580</v>
      </c>
    </row>
    <row r="6537" spans="1:5">
      <c r="A6537">
        <v>10553</v>
      </c>
      <c r="B6537" t="s">
        <v>179</v>
      </c>
      <c r="C6537">
        <v>504</v>
      </c>
      <c r="D6537">
        <v>24</v>
      </c>
      <c r="E6537" s="80">
        <v>35580</v>
      </c>
    </row>
    <row r="6538" spans="1:5">
      <c r="A6538">
        <v>10553</v>
      </c>
      <c r="B6538" t="s">
        <v>172</v>
      </c>
      <c r="C6538">
        <v>375</v>
      </c>
      <c r="D6538">
        <v>30</v>
      </c>
      <c r="E6538" s="80">
        <v>35580</v>
      </c>
    </row>
    <row r="6539" spans="1:5">
      <c r="A6539">
        <v>10553</v>
      </c>
      <c r="B6539" t="s">
        <v>173</v>
      </c>
      <c r="C6539">
        <v>375</v>
      </c>
      <c r="D6539">
        <v>30</v>
      </c>
      <c r="E6539" s="80">
        <v>35580</v>
      </c>
    </row>
    <row r="6540" spans="1:5">
      <c r="A6540">
        <v>10553</v>
      </c>
      <c r="B6540" t="s">
        <v>174</v>
      </c>
      <c r="C6540">
        <v>375</v>
      </c>
      <c r="D6540">
        <v>30</v>
      </c>
      <c r="E6540" s="80">
        <v>35580</v>
      </c>
    </row>
    <row r="6541" spans="1:5">
      <c r="A6541">
        <v>10553</v>
      </c>
      <c r="B6541" t="s">
        <v>175</v>
      </c>
      <c r="C6541">
        <v>375</v>
      </c>
      <c r="D6541">
        <v>30</v>
      </c>
      <c r="E6541" s="80">
        <v>35580</v>
      </c>
    </row>
    <row r="6542" spans="1:5">
      <c r="A6542">
        <v>10553</v>
      </c>
      <c r="B6542" t="s">
        <v>176</v>
      </c>
      <c r="C6542">
        <v>375</v>
      </c>
      <c r="D6542">
        <v>30</v>
      </c>
      <c r="E6542" s="80">
        <v>35580</v>
      </c>
    </row>
    <row r="6543" spans="1:5">
      <c r="A6543">
        <v>10553</v>
      </c>
      <c r="B6543" t="s">
        <v>177</v>
      </c>
      <c r="C6543">
        <v>375</v>
      </c>
      <c r="D6543">
        <v>30</v>
      </c>
      <c r="E6543" s="80">
        <v>35580</v>
      </c>
    </row>
    <row r="6544" spans="1:5">
      <c r="A6544">
        <v>10553</v>
      </c>
      <c r="B6544" t="s">
        <v>178</v>
      </c>
      <c r="C6544">
        <v>375</v>
      </c>
      <c r="D6544">
        <v>30</v>
      </c>
      <c r="E6544" s="80">
        <v>35580</v>
      </c>
    </row>
    <row r="6545" spans="1:5">
      <c r="A6545">
        <v>10553</v>
      </c>
      <c r="B6545" t="s">
        <v>179</v>
      </c>
      <c r="C6545">
        <v>375</v>
      </c>
      <c r="D6545">
        <v>30</v>
      </c>
      <c r="E6545" s="80">
        <v>35580</v>
      </c>
    </row>
    <row r="6546" spans="1:5">
      <c r="A6546">
        <v>10553</v>
      </c>
      <c r="B6546" t="s">
        <v>172</v>
      </c>
      <c r="C6546">
        <v>108</v>
      </c>
      <c r="D6546">
        <v>6</v>
      </c>
      <c r="E6546" s="80">
        <v>35580</v>
      </c>
    </row>
    <row r="6547" spans="1:5">
      <c r="A6547">
        <v>10553</v>
      </c>
      <c r="B6547" t="s">
        <v>173</v>
      </c>
      <c r="C6547">
        <v>108</v>
      </c>
      <c r="D6547">
        <v>6</v>
      </c>
      <c r="E6547" s="80">
        <v>35580</v>
      </c>
    </row>
    <row r="6548" spans="1:5">
      <c r="A6548">
        <v>10553</v>
      </c>
      <c r="B6548" t="s">
        <v>174</v>
      </c>
      <c r="C6548">
        <v>108</v>
      </c>
      <c r="D6548">
        <v>6</v>
      </c>
      <c r="E6548" s="80">
        <v>35580</v>
      </c>
    </row>
    <row r="6549" spans="1:5">
      <c r="A6549">
        <v>10553</v>
      </c>
      <c r="B6549" t="s">
        <v>175</v>
      </c>
      <c r="C6549">
        <v>108</v>
      </c>
      <c r="D6549">
        <v>6</v>
      </c>
      <c r="E6549" s="80">
        <v>35580</v>
      </c>
    </row>
    <row r="6550" spans="1:5">
      <c r="A6550">
        <v>10553</v>
      </c>
      <c r="B6550" t="s">
        <v>176</v>
      </c>
      <c r="C6550">
        <v>108</v>
      </c>
      <c r="D6550">
        <v>6</v>
      </c>
      <c r="E6550" s="80">
        <v>35580</v>
      </c>
    </row>
    <row r="6551" spans="1:5">
      <c r="A6551">
        <v>10553</v>
      </c>
      <c r="B6551" t="s">
        <v>177</v>
      </c>
      <c r="C6551">
        <v>108</v>
      </c>
      <c r="D6551">
        <v>6</v>
      </c>
      <c r="E6551" s="80">
        <v>35580</v>
      </c>
    </row>
    <row r="6552" spans="1:5">
      <c r="A6552">
        <v>10553</v>
      </c>
      <c r="B6552" t="s">
        <v>178</v>
      </c>
      <c r="C6552">
        <v>108</v>
      </c>
      <c r="D6552">
        <v>6</v>
      </c>
      <c r="E6552" s="80">
        <v>35580</v>
      </c>
    </row>
    <row r="6553" spans="1:5">
      <c r="A6553">
        <v>10553</v>
      </c>
      <c r="B6553" t="s">
        <v>179</v>
      </c>
      <c r="C6553">
        <v>108</v>
      </c>
      <c r="D6553">
        <v>6</v>
      </c>
      <c r="E6553" s="80">
        <v>35580</v>
      </c>
    </row>
    <row r="6554" spans="1:5">
      <c r="A6554">
        <v>10554</v>
      </c>
      <c r="B6554" t="s">
        <v>172</v>
      </c>
      <c r="C6554">
        <v>497.32499960996211</v>
      </c>
      <c r="D6554">
        <v>30</v>
      </c>
      <c r="E6554" s="80">
        <v>35580</v>
      </c>
    </row>
    <row r="6555" spans="1:5">
      <c r="A6555">
        <v>10554</v>
      </c>
      <c r="B6555" t="s">
        <v>173</v>
      </c>
      <c r="C6555">
        <v>497.32499960996211</v>
      </c>
      <c r="D6555">
        <v>30</v>
      </c>
      <c r="E6555" s="80">
        <v>35580</v>
      </c>
    </row>
    <row r="6556" spans="1:5">
      <c r="A6556">
        <v>10554</v>
      </c>
      <c r="B6556" t="s">
        <v>174</v>
      </c>
      <c r="C6556">
        <v>497.32499960996211</v>
      </c>
      <c r="D6556">
        <v>30</v>
      </c>
      <c r="E6556" s="80">
        <v>35580</v>
      </c>
    </row>
    <row r="6557" spans="1:5">
      <c r="A6557">
        <v>10554</v>
      </c>
      <c r="B6557" t="s">
        <v>175</v>
      </c>
      <c r="C6557">
        <v>497.32499960996211</v>
      </c>
      <c r="D6557">
        <v>30</v>
      </c>
      <c r="E6557" s="80">
        <v>35580</v>
      </c>
    </row>
    <row r="6558" spans="1:5">
      <c r="A6558">
        <v>10554</v>
      </c>
      <c r="B6558" t="s">
        <v>176</v>
      </c>
      <c r="C6558">
        <v>497.32499960996211</v>
      </c>
      <c r="D6558">
        <v>30</v>
      </c>
      <c r="E6558" s="80">
        <v>35580</v>
      </c>
    </row>
    <row r="6559" spans="1:5">
      <c r="A6559">
        <v>10554</v>
      </c>
      <c r="B6559" t="s">
        <v>177</v>
      </c>
      <c r="C6559">
        <v>497.32499960996211</v>
      </c>
      <c r="D6559">
        <v>30</v>
      </c>
      <c r="E6559" s="80">
        <v>35580</v>
      </c>
    </row>
    <row r="6560" spans="1:5">
      <c r="A6560">
        <v>10554</v>
      </c>
      <c r="B6560" t="s">
        <v>178</v>
      </c>
      <c r="C6560">
        <v>497.32499960996211</v>
      </c>
      <c r="D6560">
        <v>30</v>
      </c>
      <c r="E6560" s="80">
        <v>35580</v>
      </c>
    </row>
    <row r="6561" spans="1:5">
      <c r="A6561">
        <v>10554</v>
      </c>
      <c r="B6561" t="s">
        <v>179</v>
      </c>
      <c r="C6561">
        <v>497.32499960996211</v>
      </c>
      <c r="D6561">
        <v>30</v>
      </c>
      <c r="E6561" s="80">
        <v>35580</v>
      </c>
    </row>
    <row r="6562" spans="1:5">
      <c r="A6562">
        <v>10554</v>
      </c>
      <c r="B6562" t="s">
        <v>172</v>
      </c>
      <c r="C6562">
        <v>170.99999986588955</v>
      </c>
      <c r="D6562">
        <v>20</v>
      </c>
      <c r="E6562" s="80">
        <v>35580</v>
      </c>
    </row>
    <row r="6563" spans="1:5">
      <c r="A6563">
        <v>10554</v>
      </c>
      <c r="B6563" t="s">
        <v>173</v>
      </c>
      <c r="C6563">
        <v>170.99999986588955</v>
      </c>
      <c r="D6563">
        <v>20</v>
      </c>
      <c r="E6563" s="80">
        <v>35580</v>
      </c>
    </row>
    <row r="6564" spans="1:5">
      <c r="A6564">
        <v>10554</v>
      </c>
      <c r="B6564" t="s">
        <v>174</v>
      </c>
      <c r="C6564">
        <v>170.99999986588955</v>
      </c>
      <c r="D6564">
        <v>20</v>
      </c>
      <c r="E6564" s="80">
        <v>35580</v>
      </c>
    </row>
    <row r="6565" spans="1:5">
      <c r="A6565">
        <v>10554</v>
      </c>
      <c r="B6565" t="s">
        <v>175</v>
      </c>
      <c r="C6565">
        <v>170.99999986588955</v>
      </c>
      <c r="D6565">
        <v>20</v>
      </c>
      <c r="E6565" s="80">
        <v>35580</v>
      </c>
    </row>
    <row r="6566" spans="1:5">
      <c r="A6566">
        <v>10554</v>
      </c>
      <c r="B6566" t="s">
        <v>176</v>
      </c>
      <c r="C6566">
        <v>170.99999986588955</v>
      </c>
      <c r="D6566">
        <v>20</v>
      </c>
      <c r="E6566" s="80">
        <v>35580</v>
      </c>
    </row>
    <row r="6567" spans="1:5">
      <c r="A6567">
        <v>10554</v>
      </c>
      <c r="B6567" t="s">
        <v>177</v>
      </c>
      <c r="C6567">
        <v>170.99999986588955</v>
      </c>
      <c r="D6567">
        <v>20</v>
      </c>
      <c r="E6567" s="80">
        <v>35580</v>
      </c>
    </row>
    <row r="6568" spans="1:5">
      <c r="A6568">
        <v>10554</v>
      </c>
      <c r="B6568" t="s">
        <v>178</v>
      </c>
      <c r="C6568">
        <v>170.99999986588955</v>
      </c>
      <c r="D6568">
        <v>20</v>
      </c>
      <c r="E6568" s="80">
        <v>35580</v>
      </c>
    </row>
    <row r="6569" spans="1:5">
      <c r="A6569">
        <v>10554</v>
      </c>
      <c r="B6569" t="s">
        <v>179</v>
      </c>
      <c r="C6569">
        <v>170.99999986588955</v>
      </c>
      <c r="D6569">
        <v>20</v>
      </c>
      <c r="E6569" s="80">
        <v>35580</v>
      </c>
    </row>
    <row r="6570" spans="1:5">
      <c r="A6570">
        <v>10554</v>
      </c>
      <c r="B6570" t="s">
        <v>172</v>
      </c>
      <c r="C6570">
        <v>936.69999926537275</v>
      </c>
      <c r="D6570">
        <v>20</v>
      </c>
      <c r="E6570" s="80">
        <v>35580</v>
      </c>
    </row>
    <row r="6571" spans="1:5">
      <c r="A6571">
        <v>10554</v>
      </c>
      <c r="B6571" t="s">
        <v>173</v>
      </c>
      <c r="C6571">
        <v>936.69999926537275</v>
      </c>
      <c r="D6571">
        <v>20</v>
      </c>
      <c r="E6571" s="80">
        <v>35580</v>
      </c>
    </row>
    <row r="6572" spans="1:5">
      <c r="A6572">
        <v>10554</v>
      </c>
      <c r="B6572" t="s">
        <v>174</v>
      </c>
      <c r="C6572">
        <v>936.69999926537275</v>
      </c>
      <c r="D6572">
        <v>20</v>
      </c>
      <c r="E6572" s="80">
        <v>35580</v>
      </c>
    </row>
    <row r="6573" spans="1:5">
      <c r="A6573">
        <v>10554</v>
      </c>
      <c r="B6573" t="s">
        <v>175</v>
      </c>
      <c r="C6573">
        <v>936.69999926537275</v>
      </c>
      <c r="D6573">
        <v>20</v>
      </c>
      <c r="E6573" s="80">
        <v>35580</v>
      </c>
    </row>
    <row r="6574" spans="1:5">
      <c r="A6574">
        <v>10554</v>
      </c>
      <c r="B6574" t="s">
        <v>176</v>
      </c>
      <c r="C6574">
        <v>936.69999926537275</v>
      </c>
      <c r="D6574">
        <v>20</v>
      </c>
      <c r="E6574" s="80">
        <v>35580</v>
      </c>
    </row>
    <row r="6575" spans="1:5">
      <c r="A6575">
        <v>10554</v>
      </c>
      <c r="B6575" t="s">
        <v>177</v>
      </c>
      <c r="C6575">
        <v>936.69999926537275</v>
      </c>
      <c r="D6575">
        <v>20</v>
      </c>
      <c r="E6575" s="80">
        <v>35580</v>
      </c>
    </row>
    <row r="6576" spans="1:5">
      <c r="A6576">
        <v>10554</v>
      </c>
      <c r="B6576" t="s">
        <v>178</v>
      </c>
      <c r="C6576">
        <v>936.69999926537275</v>
      </c>
      <c r="D6576">
        <v>20</v>
      </c>
      <c r="E6576" s="80">
        <v>35580</v>
      </c>
    </row>
    <row r="6577" spans="1:5">
      <c r="A6577">
        <v>10554</v>
      </c>
      <c r="B6577" t="s">
        <v>179</v>
      </c>
      <c r="C6577">
        <v>936.69999926537275</v>
      </c>
      <c r="D6577">
        <v>20</v>
      </c>
      <c r="E6577" s="80">
        <v>35580</v>
      </c>
    </row>
    <row r="6578" spans="1:5">
      <c r="A6578">
        <v>10554</v>
      </c>
      <c r="B6578" t="s">
        <v>172</v>
      </c>
      <c r="C6578">
        <v>123.49999990314245</v>
      </c>
      <c r="D6578">
        <v>10</v>
      </c>
      <c r="E6578" s="80">
        <v>35580</v>
      </c>
    </row>
    <row r="6579" spans="1:5">
      <c r="A6579">
        <v>10554</v>
      </c>
      <c r="B6579" t="s">
        <v>173</v>
      </c>
      <c r="C6579">
        <v>123.49999990314245</v>
      </c>
      <c r="D6579">
        <v>10</v>
      </c>
      <c r="E6579" s="80">
        <v>35580</v>
      </c>
    </row>
    <row r="6580" spans="1:5">
      <c r="A6580">
        <v>10554</v>
      </c>
      <c r="B6580" t="s">
        <v>174</v>
      </c>
      <c r="C6580">
        <v>123.49999990314245</v>
      </c>
      <c r="D6580">
        <v>10</v>
      </c>
      <c r="E6580" s="80">
        <v>35580</v>
      </c>
    </row>
    <row r="6581" spans="1:5">
      <c r="A6581">
        <v>10554</v>
      </c>
      <c r="B6581" t="s">
        <v>175</v>
      </c>
      <c r="C6581">
        <v>123.49999990314245</v>
      </c>
      <c r="D6581">
        <v>10</v>
      </c>
      <c r="E6581" s="80">
        <v>35580</v>
      </c>
    </row>
    <row r="6582" spans="1:5">
      <c r="A6582">
        <v>10554</v>
      </c>
      <c r="B6582" t="s">
        <v>176</v>
      </c>
      <c r="C6582">
        <v>123.49999990314245</v>
      </c>
      <c r="D6582">
        <v>10</v>
      </c>
      <c r="E6582" s="80">
        <v>35580</v>
      </c>
    </row>
    <row r="6583" spans="1:5">
      <c r="A6583">
        <v>10554</v>
      </c>
      <c r="B6583" t="s">
        <v>177</v>
      </c>
      <c r="C6583">
        <v>123.49999990314245</v>
      </c>
      <c r="D6583">
        <v>10</v>
      </c>
      <c r="E6583" s="80">
        <v>35580</v>
      </c>
    </row>
    <row r="6584" spans="1:5">
      <c r="A6584">
        <v>10554</v>
      </c>
      <c r="B6584" t="s">
        <v>178</v>
      </c>
      <c r="C6584">
        <v>123.49999990314245</v>
      </c>
      <c r="D6584">
        <v>10</v>
      </c>
      <c r="E6584" s="80">
        <v>35580</v>
      </c>
    </row>
    <row r="6585" spans="1:5">
      <c r="A6585">
        <v>10554</v>
      </c>
      <c r="B6585" t="s">
        <v>179</v>
      </c>
      <c r="C6585">
        <v>123.49999990314245</v>
      </c>
      <c r="D6585">
        <v>10</v>
      </c>
      <c r="E6585" s="80">
        <v>35580</v>
      </c>
    </row>
    <row r="6586" spans="1:5">
      <c r="A6586">
        <v>10555</v>
      </c>
      <c r="B6586" t="s">
        <v>172</v>
      </c>
      <c r="C6586">
        <v>557.99999792128801</v>
      </c>
      <c r="D6586">
        <v>30</v>
      </c>
      <c r="E6586" s="80">
        <v>35583</v>
      </c>
    </row>
    <row r="6587" spans="1:5">
      <c r="A6587">
        <v>10555</v>
      </c>
      <c r="B6587" t="s">
        <v>173</v>
      </c>
      <c r="C6587">
        <v>557.99999792128801</v>
      </c>
      <c r="D6587">
        <v>30</v>
      </c>
      <c r="E6587" s="80">
        <v>35583</v>
      </c>
    </row>
    <row r="6588" spans="1:5">
      <c r="A6588">
        <v>10555</v>
      </c>
      <c r="B6588" t="s">
        <v>174</v>
      </c>
      <c r="C6588">
        <v>557.99999792128801</v>
      </c>
      <c r="D6588">
        <v>30</v>
      </c>
      <c r="E6588" s="80">
        <v>35583</v>
      </c>
    </row>
    <row r="6589" spans="1:5">
      <c r="A6589">
        <v>10555</v>
      </c>
      <c r="B6589" t="s">
        <v>175</v>
      </c>
      <c r="C6589">
        <v>557.99999792128801</v>
      </c>
      <c r="D6589">
        <v>30</v>
      </c>
      <c r="E6589" s="80">
        <v>35583</v>
      </c>
    </row>
    <row r="6590" spans="1:5">
      <c r="A6590">
        <v>10555</v>
      </c>
      <c r="B6590" t="s">
        <v>176</v>
      </c>
      <c r="C6590">
        <v>557.99999792128801</v>
      </c>
      <c r="D6590">
        <v>30</v>
      </c>
      <c r="E6590" s="80">
        <v>35583</v>
      </c>
    </row>
    <row r="6591" spans="1:5">
      <c r="A6591">
        <v>10555</v>
      </c>
      <c r="B6591" t="s">
        <v>177</v>
      </c>
      <c r="C6591">
        <v>557.99999792128801</v>
      </c>
      <c r="D6591">
        <v>30</v>
      </c>
      <c r="E6591" s="80">
        <v>35583</v>
      </c>
    </row>
    <row r="6592" spans="1:5">
      <c r="A6592">
        <v>10555</v>
      </c>
      <c r="B6592" t="s">
        <v>178</v>
      </c>
      <c r="C6592">
        <v>557.99999792128801</v>
      </c>
      <c r="D6592">
        <v>30</v>
      </c>
      <c r="E6592" s="80">
        <v>35583</v>
      </c>
    </row>
    <row r="6593" spans="1:5">
      <c r="A6593">
        <v>10555</v>
      </c>
      <c r="B6593" t="s">
        <v>179</v>
      </c>
      <c r="C6593">
        <v>557.99999792128801</v>
      </c>
      <c r="D6593">
        <v>30</v>
      </c>
      <c r="E6593" s="80">
        <v>35583</v>
      </c>
    </row>
    <row r="6594" spans="1:5">
      <c r="A6594">
        <v>10555</v>
      </c>
      <c r="B6594" t="s">
        <v>172</v>
      </c>
      <c r="C6594">
        <v>257.59999904036522</v>
      </c>
      <c r="D6594">
        <v>35</v>
      </c>
      <c r="E6594" s="80">
        <v>35583</v>
      </c>
    </row>
    <row r="6595" spans="1:5">
      <c r="A6595">
        <v>10555</v>
      </c>
      <c r="B6595" t="s">
        <v>173</v>
      </c>
      <c r="C6595">
        <v>257.59999904036522</v>
      </c>
      <c r="D6595">
        <v>35</v>
      </c>
      <c r="E6595" s="80">
        <v>35583</v>
      </c>
    </row>
    <row r="6596" spans="1:5">
      <c r="A6596">
        <v>10555</v>
      </c>
      <c r="B6596" t="s">
        <v>174</v>
      </c>
      <c r="C6596">
        <v>257.59999904036522</v>
      </c>
      <c r="D6596">
        <v>35</v>
      </c>
      <c r="E6596" s="80">
        <v>35583</v>
      </c>
    </row>
    <row r="6597" spans="1:5">
      <c r="A6597">
        <v>10555</v>
      </c>
      <c r="B6597" t="s">
        <v>175</v>
      </c>
      <c r="C6597">
        <v>257.59999904036522</v>
      </c>
      <c r="D6597">
        <v>35</v>
      </c>
      <c r="E6597" s="80">
        <v>35583</v>
      </c>
    </row>
    <row r="6598" spans="1:5">
      <c r="A6598">
        <v>10555</v>
      </c>
      <c r="B6598" t="s">
        <v>176</v>
      </c>
      <c r="C6598">
        <v>257.59999904036522</v>
      </c>
      <c r="D6598">
        <v>35</v>
      </c>
      <c r="E6598" s="80">
        <v>35583</v>
      </c>
    </row>
    <row r="6599" spans="1:5">
      <c r="A6599">
        <v>10555</v>
      </c>
      <c r="B6599" t="s">
        <v>177</v>
      </c>
      <c r="C6599">
        <v>257.59999904036522</v>
      </c>
      <c r="D6599">
        <v>35</v>
      </c>
      <c r="E6599" s="80">
        <v>35583</v>
      </c>
    </row>
    <row r="6600" spans="1:5">
      <c r="A6600">
        <v>10555</v>
      </c>
      <c r="B6600" t="s">
        <v>178</v>
      </c>
      <c r="C6600">
        <v>257.59999904036522</v>
      </c>
      <c r="D6600">
        <v>35</v>
      </c>
      <c r="E6600" s="80">
        <v>35583</v>
      </c>
    </row>
    <row r="6601" spans="1:5">
      <c r="A6601">
        <v>10555</v>
      </c>
      <c r="B6601" t="s">
        <v>179</v>
      </c>
      <c r="C6601">
        <v>257.59999904036522</v>
      </c>
      <c r="D6601">
        <v>35</v>
      </c>
      <c r="E6601" s="80">
        <v>35583</v>
      </c>
    </row>
    <row r="6602" spans="1:5">
      <c r="A6602">
        <v>10555</v>
      </c>
      <c r="B6602" t="s">
        <v>172</v>
      </c>
      <c r="C6602">
        <v>64.799999758601189</v>
      </c>
      <c r="D6602">
        <v>18</v>
      </c>
      <c r="E6602" s="80">
        <v>35583</v>
      </c>
    </row>
    <row r="6603" spans="1:5">
      <c r="A6603">
        <v>10555</v>
      </c>
      <c r="B6603" t="s">
        <v>173</v>
      </c>
      <c r="C6603">
        <v>64.799999758601189</v>
      </c>
      <c r="D6603">
        <v>18</v>
      </c>
      <c r="E6603" s="80">
        <v>35583</v>
      </c>
    </row>
    <row r="6604" spans="1:5">
      <c r="A6604">
        <v>10555</v>
      </c>
      <c r="B6604" t="s">
        <v>174</v>
      </c>
      <c r="C6604">
        <v>64.799999758601189</v>
      </c>
      <c r="D6604">
        <v>18</v>
      </c>
      <c r="E6604" s="80">
        <v>35583</v>
      </c>
    </row>
    <row r="6605" spans="1:5">
      <c r="A6605">
        <v>10555</v>
      </c>
      <c r="B6605" t="s">
        <v>175</v>
      </c>
      <c r="C6605">
        <v>64.799999758601189</v>
      </c>
      <c r="D6605">
        <v>18</v>
      </c>
      <c r="E6605" s="80">
        <v>35583</v>
      </c>
    </row>
    <row r="6606" spans="1:5">
      <c r="A6606">
        <v>10555</v>
      </c>
      <c r="B6606" t="s">
        <v>176</v>
      </c>
      <c r="C6606">
        <v>64.799999758601189</v>
      </c>
      <c r="D6606">
        <v>18</v>
      </c>
      <c r="E6606" s="80">
        <v>35583</v>
      </c>
    </row>
    <row r="6607" spans="1:5">
      <c r="A6607">
        <v>10555</v>
      </c>
      <c r="B6607" t="s">
        <v>177</v>
      </c>
      <c r="C6607">
        <v>64.799999758601189</v>
      </c>
      <c r="D6607">
        <v>18</v>
      </c>
      <c r="E6607" s="80">
        <v>35583</v>
      </c>
    </row>
    <row r="6608" spans="1:5">
      <c r="A6608">
        <v>10555</v>
      </c>
      <c r="B6608" t="s">
        <v>178</v>
      </c>
      <c r="C6608">
        <v>64.799999758601189</v>
      </c>
      <c r="D6608">
        <v>18</v>
      </c>
      <c r="E6608" s="80">
        <v>35583</v>
      </c>
    </row>
    <row r="6609" spans="1:5">
      <c r="A6609">
        <v>10555</v>
      </c>
      <c r="B6609" t="s">
        <v>179</v>
      </c>
      <c r="C6609">
        <v>64.799999758601189</v>
      </c>
      <c r="D6609">
        <v>18</v>
      </c>
      <c r="E6609" s="80">
        <v>35583</v>
      </c>
    </row>
    <row r="6610" spans="1:5">
      <c r="A6610">
        <v>10555</v>
      </c>
      <c r="B6610" t="s">
        <v>172</v>
      </c>
      <c r="C6610">
        <v>847.99999684095383</v>
      </c>
      <c r="D6610">
        <v>20</v>
      </c>
      <c r="E6610" s="80">
        <v>35583</v>
      </c>
    </row>
    <row r="6611" spans="1:5">
      <c r="A6611">
        <v>10555</v>
      </c>
      <c r="B6611" t="s">
        <v>173</v>
      </c>
      <c r="C6611">
        <v>847.99999684095383</v>
      </c>
      <c r="D6611">
        <v>20</v>
      </c>
      <c r="E6611" s="80">
        <v>35583</v>
      </c>
    </row>
    <row r="6612" spans="1:5">
      <c r="A6612">
        <v>10555</v>
      </c>
      <c r="B6612" t="s">
        <v>174</v>
      </c>
      <c r="C6612">
        <v>847.99999684095383</v>
      </c>
      <c r="D6612">
        <v>20</v>
      </c>
      <c r="E6612" s="80">
        <v>35583</v>
      </c>
    </row>
    <row r="6613" spans="1:5">
      <c r="A6613">
        <v>10555</v>
      </c>
      <c r="B6613" t="s">
        <v>175</v>
      </c>
      <c r="C6613">
        <v>847.99999684095383</v>
      </c>
      <c r="D6613">
        <v>20</v>
      </c>
      <c r="E6613" s="80">
        <v>35583</v>
      </c>
    </row>
    <row r="6614" spans="1:5">
      <c r="A6614">
        <v>10555</v>
      </c>
      <c r="B6614" t="s">
        <v>176</v>
      </c>
      <c r="C6614">
        <v>847.99999684095383</v>
      </c>
      <c r="D6614">
        <v>20</v>
      </c>
      <c r="E6614" s="80">
        <v>35583</v>
      </c>
    </row>
    <row r="6615" spans="1:5">
      <c r="A6615">
        <v>10555</v>
      </c>
      <c r="B6615" t="s">
        <v>177</v>
      </c>
      <c r="C6615">
        <v>847.99999684095383</v>
      </c>
      <c r="D6615">
        <v>20</v>
      </c>
      <c r="E6615" s="80">
        <v>35583</v>
      </c>
    </row>
    <row r="6616" spans="1:5">
      <c r="A6616">
        <v>10555</v>
      </c>
      <c r="B6616" t="s">
        <v>178</v>
      </c>
      <c r="C6616">
        <v>847.99999684095383</v>
      </c>
      <c r="D6616">
        <v>20</v>
      </c>
      <c r="E6616" s="80">
        <v>35583</v>
      </c>
    </row>
    <row r="6617" spans="1:5">
      <c r="A6617">
        <v>10555</v>
      </c>
      <c r="B6617" t="s">
        <v>179</v>
      </c>
      <c r="C6617">
        <v>847.99999684095383</v>
      </c>
      <c r="D6617">
        <v>20</v>
      </c>
      <c r="E6617" s="80">
        <v>35583</v>
      </c>
    </row>
    <row r="6618" spans="1:5">
      <c r="A6618">
        <v>10555</v>
      </c>
      <c r="B6618" t="s">
        <v>172</v>
      </c>
      <c r="C6618">
        <v>1215.999995470047</v>
      </c>
      <c r="D6618">
        <v>40</v>
      </c>
      <c r="E6618" s="80">
        <v>35583</v>
      </c>
    </row>
    <row r="6619" spans="1:5">
      <c r="A6619">
        <v>10555</v>
      </c>
      <c r="B6619" t="s">
        <v>173</v>
      </c>
      <c r="C6619">
        <v>1215.999995470047</v>
      </c>
      <c r="D6619">
        <v>40</v>
      </c>
      <c r="E6619" s="80">
        <v>35583</v>
      </c>
    </row>
    <row r="6620" spans="1:5">
      <c r="A6620">
        <v>10555</v>
      </c>
      <c r="B6620" t="s">
        <v>174</v>
      </c>
      <c r="C6620">
        <v>1215.999995470047</v>
      </c>
      <c r="D6620">
        <v>40</v>
      </c>
      <c r="E6620" s="80">
        <v>35583</v>
      </c>
    </row>
    <row r="6621" spans="1:5">
      <c r="A6621">
        <v>10555</v>
      </c>
      <c r="B6621" t="s">
        <v>175</v>
      </c>
      <c r="C6621">
        <v>1215.999995470047</v>
      </c>
      <c r="D6621">
        <v>40</v>
      </c>
      <c r="E6621" s="80">
        <v>35583</v>
      </c>
    </row>
    <row r="6622" spans="1:5">
      <c r="A6622">
        <v>10555</v>
      </c>
      <c r="B6622" t="s">
        <v>176</v>
      </c>
      <c r="C6622">
        <v>1215.999995470047</v>
      </c>
      <c r="D6622">
        <v>40</v>
      </c>
      <c r="E6622" s="80">
        <v>35583</v>
      </c>
    </row>
    <row r="6623" spans="1:5">
      <c r="A6623">
        <v>10555</v>
      </c>
      <c r="B6623" t="s">
        <v>177</v>
      </c>
      <c r="C6623">
        <v>1215.999995470047</v>
      </c>
      <c r="D6623">
        <v>40</v>
      </c>
      <c r="E6623" s="80">
        <v>35583</v>
      </c>
    </row>
    <row r="6624" spans="1:5">
      <c r="A6624">
        <v>10555</v>
      </c>
      <c r="B6624" t="s">
        <v>178</v>
      </c>
      <c r="C6624">
        <v>1215.999995470047</v>
      </c>
      <c r="D6624">
        <v>40</v>
      </c>
      <c r="E6624" s="80">
        <v>35583</v>
      </c>
    </row>
    <row r="6625" spans="1:5">
      <c r="A6625">
        <v>10555</v>
      </c>
      <c r="B6625" t="s">
        <v>179</v>
      </c>
      <c r="C6625">
        <v>1215.999995470047</v>
      </c>
      <c r="D6625">
        <v>40</v>
      </c>
      <c r="E6625" s="80">
        <v>35583</v>
      </c>
    </row>
    <row r="6626" spans="1:5">
      <c r="A6626">
        <v>10556</v>
      </c>
      <c r="B6626" t="s">
        <v>172</v>
      </c>
      <c r="C6626">
        <v>835.2</v>
      </c>
      <c r="D6626">
        <v>24</v>
      </c>
      <c r="E6626" s="80">
        <v>35584</v>
      </c>
    </row>
    <row r="6627" spans="1:5">
      <c r="A6627">
        <v>10556</v>
      </c>
      <c r="B6627" t="s">
        <v>173</v>
      </c>
      <c r="C6627">
        <v>835.2</v>
      </c>
      <c r="D6627">
        <v>24</v>
      </c>
      <c r="E6627" s="80">
        <v>35584</v>
      </c>
    </row>
    <row r="6628" spans="1:5">
      <c r="A6628">
        <v>10556</v>
      </c>
      <c r="B6628" t="s">
        <v>174</v>
      </c>
      <c r="C6628">
        <v>835.2</v>
      </c>
      <c r="D6628">
        <v>24</v>
      </c>
      <c r="E6628" s="80">
        <v>35584</v>
      </c>
    </row>
    <row r="6629" spans="1:5">
      <c r="A6629">
        <v>10556</v>
      </c>
      <c r="B6629" t="s">
        <v>175</v>
      </c>
      <c r="C6629">
        <v>835.2</v>
      </c>
      <c r="D6629">
        <v>24</v>
      </c>
      <c r="E6629" s="80">
        <v>35584</v>
      </c>
    </row>
    <row r="6630" spans="1:5">
      <c r="A6630">
        <v>10556</v>
      </c>
      <c r="B6630" t="s">
        <v>176</v>
      </c>
      <c r="C6630">
        <v>835.2</v>
      </c>
      <c r="D6630">
        <v>24</v>
      </c>
      <c r="E6630" s="80">
        <v>35584</v>
      </c>
    </row>
    <row r="6631" spans="1:5">
      <c r="A6631">
        <v>10556</v>
      </c>
      <c r="B6631" t="s">
        <v>177</v>
      </c>
      <c r="C6631">
        <v>835.2</v>
      </c>
      <c r="D6631">
        <v>24</v>
      </c>
      <c r="E6631" s="80">
        <v>35584</v>
      </c>
    </row>
    <row r="6632" spans="1:5">
      <c r="A6632">
        <v>10556</v>
      </c>
      <c r="B6632" t="s">
        <v>178</v>
      </c>
      <c r="C6632">
        <v>835.2</v>
      </c>
      <c r="D6632">
        <v>24</v>
      </c>
      <c r="E6632" s="80">
        <v>35584</v>
      </c>
    </row>
    <row r="6633" spans="1:5">
      <c r="A6633">
        <v>10556</v>
      </c>
      <c r="B6633" t="s">
        <v>179</v>
      </c>
      <c r="C6633">
        <v>835.2</v>
      </c>
      <c r="D6633">
        <v>24</v>
      </c>
      <c r="E6633" s="80">
        <v>35584</v>
      </c>
    </row>
    <row r="6634" spans="1:5">
      <c r="A6634">
        <v>10557</v>
      </c>
      <c r="B6634" t="s">
        <v>172</v>
      </c>
      <c r="C6634">
        <v>997.5</v>
      </c>
      <c r="D6634">
        <v>30</v>
      </c>
      <c r="E6634" s="80">
        <v>35584</v>
      </c>
    </row>
    <row r="6635" spans="1:5">
      <c r="A6635">
        <v>10557</v>
      </c>
      <c r="B6635" t="s">
        <v>173</v>
      </c>
      <c r="C6635">
        <v>997.5</v>
      </c>
      <c r="D6635">
        <v>30</v>
      </c>
      <c r="E6635" s="80">
        <v>35584</v>
      </c>
    </row>
    <row r="6636" spans="1:5">
      <c r="A6636">
        <v>10557</v>
      </c>
      <c r="B6636" t="s">
        <v>174</v>
      </c>
      <c r="C6636">
        <v>997.5</v>
      </c>
      <c r="D6636">
        <v>30</v>
      </c>
      <c r="E6636" s="80">
        <v>35584</v>
      </c>
    </row>
    <row r="6637" spans="1:5">
      <c r="A6637">
        <v>10557</v>
      </c>
      <c r="B6637" t="s">
        <v>175</v>
      </c>
      <c r="C6637">
        <v>997.5</v>
      </c>
      <c r="D6637">
        <v>30</v>
      </c>
      <c r="E6637" s="80">
        <v>35584</v>
      </c>
    </row>
    <row r="6638" spans="1:5">
      <c r="A6638">
        <v>10557</v>
      </c>
      <c r="B6638" t="s">
        <v>176</v>
      </c>
      <c r="C6638">
        <v>997.5</v>
      </c>
      <c r="D6638">
        <v>30</v>
      </c>
      <c r="E6638" s="80">
        <v>35584</v>
      </c>
    </row>
    <row r="6639" spans="1:5">
      <c r="A6639">
        <v>10557</v>
      </c>
      <c r="B6639" t="s">
        <v>177</v>
      </c>
      <c r="C6639">
        <v>997.5</v>
      </c>
      <c r="D6639">
        <v>30</v>
      </c>
      <c r="E6639" s="80">
        <v>35584</v>
      </c>
    </row>
    <row r="6640" spans="1:5">
      <c r="A6640">
        <v>10557</v>
      </c>
      <c r="B6640" t="s">
        <v>178</v>
      </c>
      <c r="C6640">
        <v>997.5</v>
      </c>
      <c r="D6640">
        <v>30</v>
      </c>
      <c r="E6640" s="80">
        <v>35584</v>
      </c>
    </row>
    <row r="6641" spans="1:5">
      <c r="A6641">
        <v>10557</v>
      </c>
      <c r="B6641" t="s">
        <v>179</v>
      </c>
      <c r="C6641">
        <v>997.5</v>
      </c>
      <c r="D6641">
        <v>30</v>
      </c>
      <c r="E6641" s="80">
        <v>35584</v>
      </c>
    </row>
    <row r="6642" spans="1:5">
      <c r="A6642">
        <v>10557</v>
      </c>
      <c r="B6642" t="s">
        <v>172</v>
      </c>
      <c r="C6642">
        <v>155</v>
      </c>
      <c r="D6642">
        <v>20</v>
      </c>
      <c r="E6642" s="80">
        <v>35584</v>
      </c>
    </row>
    <row r="6643" spans="1:5">
      <c r="A6643">
        <v>10557</v>
      </c>
      <c r="B6643" t="s">
        <v>173</v>
      </c>
      <c r="C6643">
        <v>155</v>
      </c>
      <c r="D6643">
        <v>20</v>
      </c>
      <c r="E6643" s="80">
        <v>35584</v>
      </c>
    </row>
    <row r="6644" spans="1:5">
      <c r="A6644">
        <v>10557</v>
      </c>
      <c r="B6644" t="s">
        <v>174</v>
      </c>
      <c r="C6644">
        <v>155</v>
      </c>
      <c r="D6644">
        <v>20</v>
      </c>
      <c r="E6644" s="80">
        <v>35584</v>
      </c>
    </row>
    <row r="6645" spans="1:5">
      <c r="A6645">
        <v>10557</v>
      </c>
      <c r="B6645" t="s">
        <v>175</v>
      </c>
      <c r="C6645">
        <v>155</v>
      </c>
      <c r="D6645">
        <v>20</v>
      </c>
      <c r="E6645" s="80">
        <v>35584</v>
      </c>
    </row>
    <row r="6646" spans="1:5">
      <c r="A6646">
        <v>10557</v>
      </c>
      <c r="B6646" t="s">
        <v>176</v>
      </c>
      <c r="C6646">
        <v>155</v>
      </c>
      <c r="D6646">
        <v>20</v>
      </c>
      <c r="E6646" s="80">
        <v>35584</v>
      </c>
    </row>
    <row r="6647" spans="1:5">
      <c r="A6647">
        <v>10557</v>
      </c>
      <c r="B6647" t="s">
        <v>177</v>
      </c>
      <c r="C6647">
        <v>155</v>
      </c>
      <c r="D6647">
        <v>20</v>
      </c>
      <c r="E6647" s="80">
        <v>35584</v>
      </c>
    </row>
    <row r="6648" spans="1:5">
      <c r="A6648">
        <v>10557</v>
      </c>
      <c r="B6648" t="s">
        <v>178</v>
      </c>
      <c r="C6648">
        <v>155</v>
      </c>
      <c r="D6648">
        <v>20</v>
      </c>
      <c r="E6648" s="80">
        <v>35584</v>
      </c>
    </row>
    <row r="6649" spans="1:5">
      <c r="A6649">
        <v>10557</v>
      </c>
      <c r="B6649" t="s">
        <v>179</v>
      </c>
      <c r="C6649">
        <v>155</v>
      </c>
      <c r="D6649">
        <v>20</v>
      </c>
      <c r="E6649" s="80">
        <v>35584</v>
      </c>
    </row>
    <row r="6650" spans="1:5">
      <c r="A6650">
        <v>10558</v>
      </c>
      <c r="B6650" t="s">
        <v>172</v>
      </c>
      <c r="C6650">
        <v>237.5</v>
      </c>
      <c r="D6650">
        <v>25</v>
      </c>
      <c r="E6650" s="80">
        <v>35585</v>
      </c>
    </row>
    <row r="6651" spans="1:5">
      <c r="A6651">
        <v>10558</v>
      </c>
      <c r="B6651" t="s">
        <v>173</v>
      </c>
      <c r="C6651">
        <v>237.5</v>
      </c>
      <c r="D6651">
        <v>25</v>
      </c>
      <c r="E6651" s="80">
        <v>35585</v>
      </c>
    </row>
    <row r="6652" spans="1:5">
      <c r="A6652">
        <v>10558</v>
      </c>
      <c r="B6652" t="s">
        <v>174</v>
      </c>
      <c r="C6652">
        <v>237.5</v>
      </c>
      <c r="D6652">
        <v>25</v>
      </c>
      <c r="E6652" s="80">
        <v>35585</v>
      </c>
    </row>
    <row r="6653" spans="1:5">
      <c r="A6653">
        <v>10558</v>
      </c>
      <c r="B6653" t="s">
        <v>175</v>
      </c>
      <c r="C6653">
        <v>237.5</v>
      </c>
      <c r="D6653">
        <v>25</v>
      </c>
      <c r="E6653" s="80">
        <v>35585</v>
      </c>
    </row>
    <row r="6654" spans="1:5">
      <c r="A6654">
        <v>10558</v>
      </c>
      <c r="B6654" t="s">
        <v>176</v>
      </c>
      <c r="C6654">
        <v>237.5</v>
      </c>
      <c r="D6654">
        <v>25</v>
      </c>
      <c r="E6654" s="80">
        <v>35585</v>
      </c>
    </row>
    <row r="6655" spans="1:5">
      <c r="A6655">
        <v>10558</v>
      </c>
      <c r="B6655" t="s">
        <v>177</v>
      </c>
      <c r="C6655">
        <v>237.5</v>
      </c>
      <c r="D6655">
        <v>25</v>
      </c>
      <c r="E6655" s="80">
        <v>35585</v>
      </c>
    </row>
    <row r="6656" spans="1:5">
      <c r="A6656">
        <v>10558</v>
      </c>
      <c r="B6656" t="s">
        <v>178</v>
      </c>
      <c r="C6656">
        <v>237.5</v>
      </c>
      <c r="D6656">
        <v>25</v>
      </c>
      <c r="E6656" s="80">
        <v>35585</v>
      </c>
    </row>
    <row r="6657" spans="1:5">
      <c r="A6657">
        <v>10558</v>
      </c>
      <c r="B6657" t="s">
        <v>179</v>
      </c>
      <c r="C6657">
        <v>237.5</v>
      </c>
      <c r="D6657">
        <v>25</v>
      </c>
      <c r="E6657" s="80">
        <v>35585</v>
      </c>
    </row>
    <row r="6658" spans="1:5">
      <c r="A6658">
        <v>10558</v>
      </c>
      <c r="B6658" t="s">
        <v>172</v>
      </c>
      <c r="C6658">
        <v>1060</v>
      </c>
      <c r="D6658">
        <v>20</v>
      </c>
      <c r="E6658" s="80">
        <v>35585</v>
      </c>
    </row>
    <row r="6659" spans="1:5">
      <c r="A6659">
        <v>10558</v>
      </c>
      <c r="B6659" t="s">
        <v>173</v>
      </c>
      <c r="C6659">
        <v>1060</v>
      </c>
      <c r="D6659">
        <v>20</v>
      </c>
      <c r="E6659" s="80">
        <v>35585</v>
      </c>
    </row>
    <row r="6660" spans="1:5">
      <c r="A6660">
        <v>10558</v>
      </c>
      <c r="B6660" t="s">
        <v>174</v>
      </c>
      <c r="C6660">
        <v>1060</v>
      </c>
      <c r="D6660">
        <v>20</v>
      </c>
      <c r="E6660" s="80">
        <v>35585</v>
      </c>
    </row>
    <row r="6661" spans="1:5">
      <c r="A6661">
        <v>10558</v>
      </c>
      <c r="B6661" t="s">
        <v>175</v>
      </c>
      <c r="C6661">
        <v>1060</v>
      </c>
      <c r="D6661">
        <v>20</v>
      </c>
      <c r="E6661" s="80">
        <v>35585</v>
      </c>
    </row>
    <row r="6662" spans="1:5">
      <c r="A6662">
        <v>10558</v>
      </c>
      <c r="B6662" t="s">
        <v>176</v>
      </c>
      <c r="C6662">
        <v>1060</v>
      </c>
      <c r="D6662">
        <v>20</v>
      </c>
      <c r="E6662" s="80">
        <v>35585</v>
      </c>
    </row>
    <row r="6663" spans="1:5">
      <c r="A6663">
        <v>10558</v>
      </c>
      <c r="B6663" t="s">
        <v>177</v>
      </c>
      <c r="C6663">
        <v>1060</v>
      </c>
      <c r="D6663">
        <v>20</v>
      </c>
      <c r="E6663" s="80">
        <v>35585</v>
      </c>
    </row>
    <row r="6664" spans="1:5">
      <c r="A6664">
        <v>10558</v>
      </c>
      <c r="B6664" t="s">
        <v>178</v>
      </c>
      <c r="C6664">
        <v>1060</v>
      </c>
      <c r="D6664">
        <v>20</v>
      </c>
      <c r="E6664" s="80">
        <v>35585</v>
      </c>
    </row>
    <row r="6665" spans="1:5">
      <c r="A6665">
        <v>10558</v>
      </c>
      <c r="B6665" t="s">
        <v>179</v>
      </c>
      <c r="C6665">
        <v>1060</v>
      </c>
      <c r="D6665">
        <v>20</v>
      </c>
      <c r="E6665" s="80">
        <v>35585</v>
      </c>
    </row>
    <row r="6666" spans="1:5">
      <c r="A6666">
        <v>10558</v>
      </c>
      <c r="B6666" t="s">
        <v>172</v>
      </c>
      <c r="C6666">
        <v>210</v>
      </c>
      <c r="D6666">
        <v>30</v>
      </c>
      <c r="E6666" s="80">
        <v>35585</v>
      </c>
    </row>
    <row r="6667" spans="1:5">
      <c r="A6667">
        <v>10558</v>
      </c>
      <c r="B6667" t="s">
        <v>173</v>
      </c>
      <c r="C6667">
        <v>210</v>
      </c>
      <c r="D6667">
        <v>30</v>
      </c>
      <c r="E6667" s="80">
        <v>35585</v>
      </c>
    </row>
    <row r="6668" spans="1:5">
      <c r="A6668">
        <v>10558</v>
      </c>
      <c r="B6668" t="s">
        <v>174</v>
      </c>
      <c r="C6668">
        <v>210</v>
      </c>
      <c r="D6668">
        <v>30</v>
      </c>
      <c r="E6668" s="80">
        <v>35585</v>
      </c>
    </row>
    <row r="6669" spans="1:5">
      <c r="A6669">
        <v>10558</v>
      </c>
      <c r="B6669" t="s">
        <v>175</v>
      </c>
      <c r="C6669">
        <v>210</v>
      </c>
      <c r="D6669">
        <v>30</v>
      </c>
      <c r="E6669" s="80">
        <v>35585</v>
      </c>
    </row>
    <row r="6670" spans="1:5">
      <c r="A6670">
        <v>10558</v>
      </c>
      <c r="B6670" t="s">
        <v>176</v>
      </c>
      <c r="C6670">
        <v>210</v>
      </c>
      <c r="D6670">
        <v>30</v>
      </c>
      <c r="E6670" s="80">
        <v>35585</v>
      </c>
    </row>
    <row r="6671" spans="1:5">
      <c r="A6671">
        <v>10558</v>
      </c>
      <c r="B6671" t="s">
        <v>177</v>
      </c>
      <c r="C6671">
        <v>210</v>
      </c>
      <c r="D6671">
        <v>30</v>
      </c>
      <c r="E6671" s="80">
        <v>35585</v>
      </c>
    </row>
    <row r="6672" spans="1:5">
      <c r="A6672">
        <v>10558</v>
      </c>
      <c r="B6672" t="s">
        <v>178</v>
      </c>
      <c r="C6672">
        <v>210</v>
      </c>
      <c r="D6672">
        <v>30</v>
      </c>
      <c r="E6672" s="80">
        <v>35585</v>
      </c>
    </row>
    <row r="6673" spans="1:5">
      <c r="A6673">
        <v>10558</v>
      </c>
      <c r="B6673" t="s">
        <v>179</v>
      </c>
      <c r="C6673">
        <v>210</v>
      </c>
      <c r="D6673">
        <v>30</v>
      </c>
      <c r="E6673" s="80">
        <v>35585</v>
      </c>
    </row>
    <row r="6674" spans="1:5">
      <c r="A6674">
        <v>10558</v>
      </c>
      <c r="B6674" t="s">
        <v>172</v>
      </c>
      <c r="C6674">
        <v>590.4</v>
      </c>
      <c r="D6674">
        <v>18</v>
      </c>
      <c r="E6674" s="80">
        <v>35585</v>
      </c>
    </row>
    <row r="6675" spans="1:5">
      <c r="A6675">
        <v>10558</v>
      </c>
      <c r="B6675" t="s">
        <v>173</v>
      </c>
      <c r="C6675">
        <v>590.4</v>
      </c>
      <c r="D6675">
        <v>18</v>
      </c>
      <c r="E6675" s="80">
        <v>35585</v>
      </c>
    </row>
    <row r="6676" spans="1:5">
      <c r="A6676">
        <v>10558</v>
      </c>
      <c r="B6676" t="s">
        <v>174</v>
      </c>
      <c r="C6676">
        <v>590.4</v>
      </c>
      <c r="D6676">
        <v>18</v>
      </c>
      <c r="E6676" s="80">
        <v>35585</v>
      </c>
    </row>
    <row r="6677" spans="1:5">
      <c r="A6677">
        <v>10558</v>
      </c>
      <c r="B6677" t="s">
        <v>175</v>
      </c>
      <c r="C6677">
        <v>590.4</v>
      </c>
      <c r="D6677">
        <v>18</v>
      </c>
      <c r="E6677" s="80">
        <v>35585</v>
      </c>
    </row>
    <row r="6678" spans="1:5">
      <c r="A6678">
        <v>10558</v>
      </c>
      <c r="B6678" t="s">
        <v>176</v>
      </c>
      <c r="C6678">
        <v>590.4</v>
      </c>
      <c r="D6678">
        <v>18</v>
      </c>
      <c r="E6678" s="80">
        <v>35585</v>
      </c>
    </row>
    <row r="6679" spans="1:5">
      <c r="A6679">
        <v>10558</v>
      </c>
      <c r="B6679" t="s">
        <v>177</v>
      </c>
      <c r="C6679">
        <v>590.4</v>
      </c>
      <c r="D6679">
        <v>18</v>
      </c>
      <c r="E6679" s="80">
        <v>35585</v>
      </c>
    </row>
    <row r="6680" spans="1:5">
      <c r="A6680">
        <v>10558</v>
      </c>
      <c r="B6680" t="s">
        <v>178</v>
      </c>
      <c r="C6680">
        <v>590.4</v>
      </c>
      <c r="D6680">
        <v>18</v>
      </c>
      <c r="E6680" s="80">
        <v>35585</v>
      </c>
    </row>
    <row r="6681" spans="1:5">
      <c r="A6681">
        <v>10558</v>
      </c>
      <c r="B6681" t="s">
        <v>179</v>
      </c>
      <c r="C6681">
        <v>590.4</v>
      </c>
      <c r="D6681">
        <v>18</v>
      </c>
      <c r="E6681" s="80">
        <v>35585</v>
      </c>
    </row>
    <row r="6682" spans="1:5">
      <c r="A6682">
        <v>10558</v>
      </c>
      <c r="B6682" t="s">
        <v>172</v>
      </c>
      <c r="C6682">
        <v>45</v>
      </c>
      <c r="D6682">
        <v>3</v>
      </c>
      <c r="E6682" s="80">
        <v>35585</v>
      </c>
    </row>
    <row r="6683" spans="1:5">
      <c r="A6683">
        <v>10558</v>
      </c>
      <c r="B6683" t="s">
        <v>173</v>
      </c>
      <c r="C6683">
        <v>45</v>
      </c>
      <c r="D6683">
        <v>3</v>
      </c>
      <c r="E6683" s="80">
        <v>35585</v>
      </c>
    </row>
    <row r="6684" spans="1:5">
      <c r="A6684">
        <v>10558</v>
      </c>
      <c r="B6684" t="s">
        <v>174</v>
      </c>
      <c r="C6684">
        <v>45</v>
      </c>
      <c r="D6684">
        <v>3</v>
      </c>
      <c r="E6684" s="80">
        <v>35585</v>
      </c>
    </row>
    <row r="6685" spans="1:5">
      <c r="A6685">
        <v>10558</v>
      </c>
      <c r="B6685" t="s">
        <v>175</v>
      </c>
      <c r="C6685">
        <v>45</v>
      </c>
      <c r="D6685">
        <v>3</v>
      </c>
      <c r="E6685" s="80">
        <v>35585</v>
      </c>
    </row>
    <row r="6686" spans="1:5">
      <c r="A6686">
        <v>10558</v>
      </c>
      <c r="B6686" t="s">
        <v>176</v>
      </c>
      <c r="C6686">
        <v>45</v>
      </c>
      <c r="D6686">
        <v>3</v>
      </c>
      <c r="E6686" s="80">
        <v>35585</v>
      </c>
    </row>
    <row r="6687" spans="1:5">
      <c r="A6687">
        <v>10558</v>
      </c>
      <c r="B6687" t="s">
        <v>177</v>
      </c>
      <c r="C6687">
        <v>45</v>
      </c>
      <c r="D6687">
        <v>3</v>
      </c>
      <c r="E6687" s="80">
        <v>35585</v>
      </c>
    </row>
    <row r="6688" spans="1:5">
      <c r="A6688">
        <v>10558</v>
      </c>
      <c r="B6688" t="s">
        <v>178</v>
      </c>
      <c r="C6688">
        <v>45</v>
      </c>
      <c r="D6688">
        <v>3</v>
      </c>
      <c r="E6688" s="80">
        <v>35585</v>
      </c>
    </row>
    <row r="6689" spans="1:5">
      <c r="A6689">
        <v>10558</v>
      </c>
      <c r="B6689" t="s">
        <v>179</v>
      </c>
      <c r="C6689">
        <v>45</v>
      </c>
      <c r="D6689">
        <v>3</v>
      </c>
      <c r="E6689" s="80">
        <v>35585</v>
      </c>
    </row>
    <row r="6690" spans="1:5">
      <c r="A6690">
        <v>10559</v>
      </c>
      <c r="B6690" t="s">
        <v>172</v>
      </c>
      <c r="C6690">
        <v>110.00999991372227</v>
      </c>
      <c r="D6690">
        <v>12</v>
      </c>
      <c r="E6690" s="80">
        <v>35586</v>
      </c>
    </row>
    <row r="6691" spans="1:5">
      <c r="A6691">
        <v>10559</v>
      </c>
      <c r="B6691" t="s">
        <v>173</v>
      </c>
      <c r="C6691">
        <v>110.00999991372227</v>
      </c>
      <c r="D6691">
        <v>12</v>
      </c>
      <c r="E6691" s="80">
        <v>35586</v>
      </c>
    </row>
    <row r="6692" spans="1:5">
      <c r="A6692">
        <v>10559</v>
      </c>
      <c r="B6692" t="s">
        <v>174</v>
      </c>
      <c r="C6692">
        <v>110.00999991372227</v>
      </c>
      <c r="D6692">
        <v>12</v>
      </c>
      <c r="E6692" s="80">
        <v>35586</v>
      </c>
    </row>
    <row r="6693" spans="1:5">
      <c r="A6693">
        <v>10559</v>
      </c>
      <c r="B6693" t="s">
        <v>175</v>
      </c>
      <c r="C6693">
        <v>110.00999991372227</v>
      </c>
      <c r="D6693">
        <v>12</v>
      </c>
      <c r="E6693" s="80">
        <v>35586</v>
      </c>
    </row>
    <row r="6694" spans="1:5">
      <c r="A6694">
        <v>10559</v>
      </c>
      <c r="B6694" t="s">
        <v>176</v>
      </c>
      <c r="C6694">
        <v>110.00999991372227</v>
      </c>
      <c r="D6694">
        <v>12</v>
      </c>
      <c r="E6694" s="80">
        <v>35586</v>
      </c>
    </row>
    <row r="6695" spans="1:5">
      <c r="A6695">
        <v>10559</v>
      </c>
      <c r="B6695" t="s">
        <v>177</v>
      </c>
      <c r="C6695">
        <v>110.00999991372227</v>
      </c>
      <c r="D6695">
        <v>12</v>
      </c>
      <c r="E6695" s="80">
        <v>35586</v>
      </c>
    </row>
    <row r="6696" spans="1:5">
      <c r="A6696">
        <v>10559</v>
      </c>
      <c r="B6696" t="s">
        <v>178</v>
      </c>
      <c r="C6696">
        <v>110.00999991372227</v>
      </c>
      <c r="D6696">
        <v>12</v>
      </c>
      <c r="E6696" s="80">
        <v>35586</v>
      </c>
    </row>
    <row r="6697" spans="1:5">
      <c r="A6697">
        <v>10559</v>
      </c>
      <c r="B6697" t="s">
        <v>179</v>
      </c>
      <c r="C6697">
        <v>110.00999991372227</v>
      </c>
      <c r="D6697">
        <v>12</v>
      </c>
      <c r="E6697" s="80">
        <v>35586</v>
      </c>
    </row>
    <row r="6698" spans="1:5">
      <c r="A6698">
        <v>10559</v>
      </c>
      <c r="B6698" t="s">
        <v>172</v>
      </c>
      <c r="C6698">
        <v>410.39999967813492</v>
      </c>
      <c r="D6698">
        <v>18</v>
      </c>
      <c r="E6698" s="80">
        <v>35586</v>
      </c>
    </row>
    <row r="6699" spans="1:5">
      <c r="A6699">
        <v>10559</v>
      </c>
      <c r="B6699" t="s">
        <v>173</v>
      </c>
      <c r="C6699">
        <v>410.39999967813492</v>
      </c>
      <c r="D6699">
        <v>18</v>
      </c>
      <c r="E6699" s="80">
        <v>35586</v>
      </c>
    </row>
    <row r="6700" spans="1:5">
      <c r="A6700">
        <v>10559</v>
      </c>
      <c r="B6700" t="s">
        <v>174</v>
      </c>
      <c r="C6700">
        <v>410.39999967813492</v>
      </c>
      <c r="D6700">
        <v>18</v>
      </c>
      <c r="E6700" s="80">
        <v>35586</v>
      </c>
    </row>
    <row r="6701" spans="1:5">
      <c r="A6701">
        <v>10559</v>
      </c>
      <c r="B6701" t="s">
        <v>175</v>
      </c>
      <c r="C6701">
        <v>410.39999967813492</v>
      </c>
      <c r="D6701">
        <v>18</v>
      </c>
      <c r="E6701" s="80">
        <v>35586</v>
      </c>
    </row>
    <row r="6702" spans="1:5">
      <c r="A6702">
        <v>10559</v>
      </c>
      <c r="B6702" t="s">
        <v>176</v>
      </c>
      <c r="C6702">
        <v>410.39999967813492</v>
      </c>
      <c r="D6702">
        <v>18</v>
      </c>
      <c r="E6702" s="80">
        <v>35586</v>
      </c>
    </row>
    <row r="6703" spans="1:5">
      <c r="A6703">
        <v>10559</v>
      </c>
      <c r="B6703" t="s">
        <v>177</v>
      </c>
      <c r="C6703">
        <v>410.39999967813492</v>
      </c>
      <c r="D6703">
        <v>18</v>
      </c>
      <c r="E6703" s="80">
        <v>35586</v>
      </c>
    </row>
    <row r="6704" spans="1:5">
      <c r="A6704">
        <v>10559</v>
      </c>
      <c r="B6704" t="s">
        <v>178</v>
      </c>
      <c r="C6704">
        <v>410.39999967813492</v>
      </c>
      <c r="D6704">
        <v>18</v>
      </c>
      <c r="E6704" s="80">
        <v>35586</v>
      </c>
    </row>
    <row r="6705" spans="1:5">
      <c r="A6705">
        <v>10559</v>
      </c>
      <c r="B6705" t="s">
        <v>179</v>
      </c>
      <c r="C6705">
        <v>410.39999967813492</v>
      </c>
      <c r="D6705">
        <v>18</v>
      </c>
      <c r="E6705" s="80">
        <v>35586</v>
      </c>
    </row>
    <row r="6706" spans="1:5">
      <c r="A6706">
        <v>10560</v>
      </c>
      <c r="B6706" t="s">
        <v>172</v>
      </c>
      <c r="C6706">
        <v>517.79999999999995</v>
      </c>
      <c r="D6706">
        <v>20</v>
      </c>
      <c r="E6706" s="80">
        <v>35587</v>
      </c>
    </row>
    <row r="6707" spans="1:5">
      <c r="A6707">
        <v>10560</v>
      </c>
      <c r="B6707" t="s">
        <v>173</v>
      </c>
      <c r="C6707">
        <v>517.79999999999995</v>
      </c>
      <c r="D6707">
        <v>20</v>
      </c>
      <c r="E6707" s="80">
        <v>35587</v>
      </c>
    </row>
    <row r="6708" spans="1:5">
      <c r="A6708">
        <v>10560</v>
      </c>
      <c r="B6708" t="s">
        <v>174</v>
      </c>
      <c r="C6708">
        <v>517.79999999999995</v>
      </c>
      <c r="D6708">
        <v>20</v>
      </c>
      <c r="E6708" s="80">
        <v>35587</v>
      </c>
    </row>
    <row r="6709" spans="1:5">
      <c r="A6709">
        <v>10560</v>
      </c>
      <c r="B6709" t="s">
        <v>175</v>
      </c>
      <c r="C6709">
        <v>517.79999999999995</v>
      </c>
      <c r="D6709">
        <v>20</v>
      </c>
      <c r="E6709" s="80">
        <v>35587</v>
      </c>
    </row>
    <row r="6710" spans="1:5">
      <c r="A6710">
        <v>10560</v>
      </c>
      <c r="B6710" t="s">
        <v>176</v>
      </c>
      <c r="C6710">
        <v>517.79999999999995</v>
      </c>
      <c r="D6710">
        <v>20</v>
      </c>
      <c r="E6710" s="80">
        <v>35587</v>
      </c>
    </row>
    <row r="6711" spans="1:5">
      <c r="A6711">
        <v>10560</v>
      </c>
      <c r="B6711" t="s">
        <v>177</v>
      </c>
      <c r="C6711">
        <v>517.79999999999995</v>
      </c>
      <c r="D6711">
        <v>20</v>
      </c>
      <c r="E6711" s="80">
        <v>35587</v>
      </c>
    </row>
    <row r="6712" spans="1:5">
      <c r="A6712">
        <v>10560</v>
      </c>
      <c r="B6712" t="s">
        <v>178</v>
      </c>
      <c r="C6712">
        <v>517.79999999999995</v>
      </c>
      <c r="D6712">
        <v>20</v>
      </c>
      <c r="E6712" s="80">
        <v>35587</v>
      </c>
    </row>
    <row r="6713" spans="1:5">
      <c r="A6713">
        <v>10560</v>
      </c>
      <c r="B6713" t="s">
        <v>179</v>
      </c>
      <c r="C6713">
        <v>517.79999999999995</v>
      </c>
      <c r="D6713">
        <v>20</v>
      </c>
      <c r="E6713" s="80">
        <v>35587</v>
      </c>
    </row>
    <row r="6714" spans="1:5">
      <c r="A6714">
        <v>10560</v>
      </c>
      <c r="B6714" t="s">
        <v>172</v>
      </c>
      <c r="C6714">
        <v>554.625</v>
      </c>
      <c r="D6714">
        <v>15</v>
      </c>
      <c r="E6714" s="80">
        <v>35587</v>
      </c>
    </row>
    <row r="6715" spans="1:5">
      <c r="A6715">
        <v>10560</v>
      </c>
      <c r="B6715" t="s">
        <v>173</v>
      </c>
      <c r="C6715">
        <v>554.625</v>
      </c>
      <c r="D6715">
        <v>15</v>
      </c>
      <c r="E6715" s="80">
        <v>35587</v>
      </c>
    </row>
    <row r="6716" spans="1:5">
      <c r="A6716">
        <v>10560</v>
      </c>
      <c r="B6716" t="s">
        <v>174</v>
      </c>
      <c r="C6716">
        <v>554.625</v>
      </c>
      <c r="D6716">
        <v>15</v>
      </c>
      <c r="E6716" s="80">
        <v>35587</v>
      </c>
    </row>
    <row r="6717" spans="1:5">
      <c r="A6717">
        <v>10560</v>
      </c>
      <c r="B6717" t="s">
        <v>175</v>
      </c>
      <c r="C6717">
        <v>554.625</v>
      </c>
      <c r="D6717">
        <v>15</v>
      </c>
      <c r="E6717" s="80">
        <v>35587</v>
      </c>
    </row>
    <row r="6718" spans="1:5">
      <c r="A6718">
        <v>10560</v>
      </c>
      <c r="B6718" t="s">
        <v>176</v>
      </c>
      <c r="C6718">
        <v>554.625</v>
      </c>
      <c r="D6718">
        <v>15</v>
      </c>
      <c r="E6718" s="80">
        <v>35587</v>
      </c>
    </row>
    <row r="6719" spans="1:5">
      <c r="A6719">
        <v>10560</v>
      </c>
      <c r="B6719" t="s">
        <v>177</v>
      </c>
      <c r="C6719">
        <v>554.625</v>
      </c>
      <c r="D6719">
        <v>15</v>
      </c>
      <c r="E6719" s="80">
        <v>35587</v>
      </c>
    </row>
    <row r="6720" spans="1:5">
      <c r="A6720">
        <v>10560</v>
      </c>
      <c r="B6720" t="s">
        <v>178</v>
      </c>
      <c r="C6720">
        <v>554.625</v>
      </c>
      <c r="D6720">
        <v>15</v>
      </c>
      <c r="E6720" s="80">
        <v>35587</v>
      </c>
    </row>
    <row r="6721" spans="1:5">
      <c r="A6721">
        <v>10560</v>
      </c>
      <c r="B6721" t="s">
        <v>179</v>
      </c>
      <c r="C6721">
        <v>554.625</v>
      </c>
      <c r="D6721">
        <v>15</v>
      </c>
      <c r="E6721" s="80">
        <v>35587</v>
      </c>
    </row>
    <row r="6722" spans="1:5">
      <c r="A6722">
        <v>10561</v>
      </c>
      <c r="B6722" t="s">
        <v>172</v>
      </c>
      <c r="C6722">
        <v>194.5</v>
      </c>
      <c r="D6722">
        <v>10</v>
      </c>
      <c r="E6722" s="80">
        <v>35587</v>
      </c>
    </row>
    <row r="6723" spans="1:5">
      <c r="A6723">
        <v>10561</v>
      </c>
      <c r="B6723" t="s">
        <v>173</v>
      </c>
      <c r="C6723">
        <v>194.5</v>
      </c>
      <c r="D6723">
        <v>10</v>
      </c>
      <c r="E6723" s="80">
        <v>35587</v>
      </c>
    </row>
    <row r="6724" spans="1:5">
      <c r="A6724">
        <v>10561</v>
      </c>
      <c r="B6724" t="s">
        <v>174</v>
      </c>
      <c r="C6724">
        <v>194.5</v>
      </c>
      <c r="D6724">
        <v>10</v>
      </c>
      <c r="E6724" s="80">
        <v>35587</v>
      </c>
    </row>
    <row r="6725" spans="1:5">
      <c r="A6725">
        <v>10561</v>
      </c>
      <c r="B6725" t="s">
        <v>175</v>
      </c>
      <c r="C6725">
        <v>194.5</v>
      </c>
      <c r="D6725">
        <v>10</v>
      </c>
      <c r="E6725" s="80">
        <v>35587</v>
      </c>
    </row>
    <row r="6726" spans="1:5">
      <c r="A6726">
        <v>10561</v>
      </c>
      <c r="B6726" t="s">
        <v>176</v>
      </c>
      <c r="C6726">
        <v>194.5</v>
      </c>
      <c r="D6726">
        <v>10</v>
      </c>
      <c r="E6726" s="80">
        <v>35587</v>
      </c>
    </row>
    <row r="6727" spans="1:5">
      <c r="A6727">
        <v>10561</v>
      </c>
      <c r="B6727" t="s">
        <v>177</v>
      </c>
      <c r="C6727">
        <v>194.5</v>
      </c>
      <c r="D6727">
        <v>10</v>
      </c>
      <c r="E6727" s="80">
        <v>35587</v>
      </c>
    </row>
    <row r="6728" spans="1:5">
      <c r="A6728">
        <v>10561</v>
      </c>
      <c r="B6728" t="s">
        <v>178</v>
      </c>
      <c r="C6728">
        <v>194.5</v>
      </c>
      <c r="D6728">
        <v>10</v>
      </c>
      <c r="E6728" s="80">
        <v>35587</v>
      </c>
    </row>
    <row r="6729" spans="1:5">
      <c r="A6729">
        <v>10561</v>
      </c>
      <c r="B6729" t="s">
        <v>179</v>
      </c>
      <c r="C6729">
        <v>194.5</v>
      </c>
      <c r="D6729">
        <v>10</v>
      </c>
      <c r="E6729" s="80">
        <v>35587</v>
      </c>
    </row>
    <row r="6730" spans="1:5">
      <c r="A6730">
        <v>10561</v>
      </c>
      <c r="B6730" t="s">
        <v>172</v>
      </c>
      <c r="C6730">
        <v>2650</v>
      </c>
      <c r="D6730">
        <v>50</v>
      </c>
      <c r="E6730" s="80">
        <v>35587</v>
      </c>
    </row>
    <row r="6731" spans="1:5">
      <c r="A6731">
        <v>10561</v>
      </c>
      <c r="B6731" t="s">
        <v>173</v>
      </c>
      <c r="C6731">
        <v>2650</v>
      </c>
      <c r="D6731">
        <v>50</v>
      </c>
      <c r="E6731" s="80">
        <v>35587</v>
      </c>
    </row>
    <row r="6732" spans="1:5">
      <c r="A6732">
        <v>10561</v>
      </c>
      <c r="B6732" t="s">
        <v>174</v>
      </c>
      <c r="C6732">
        <v>2650</v>
      </c>
      <c r="D6732">
        <v>50</v>
      </c>
      <c r="E6732" s="80">
        <v>35587</v>
      </c>
    </row>
    <row r="6733" spans="1:5">
      <c r="A6733">
        <v>10561</v>
      </c>
      <c r="B6733" t="s">
        <v>175</v>
      </c>
      <c r="C6733">
        <v>2650</v>
      </c>
      <c r="D6733">
        <v>50</v>
      </c>
      <c r="E6733" s="80">
        <v>35587</v>
      </c>
    </row>
    <row r="6734" spans="1:5">
      <c r="A6734">
        <v>10561</v>
      </c>
      <c r="B6734" t="s">
        <v>176</v>
      </c>
      <c r="C6734">
        <v>2650</v>
      </c>
      <c r="D6734">
        <v>50</v>
      </c>
      <c r="E6734" s="80">
        <v>35587</v>
      </c>
    </row>
    <row r="6735" spans="1:5">
      <c r="A6735">
        <v>10561</v>
      </c>
      <c r="B6735" t="s">
        <v>177</v>
      </c>
      <c r="C6735">
        <v>2650</v>
      </c>
      <c r="D6735">
        <v>50</v>
      </c>
      <c r="E6735" s="80">
        <v>35587</v>
      </c>
    </row>
    <row r="6736" spans="1:5">
      <c r="A6736">
        <v>10561</v>
      </c>
      <c r="B6736" t="s">
        <v>178</v>
      </c>
      <c r="C6736">
        <v>2650</v>
      </c>
      <c r="D6736">
        <v>50</v>
      </c>
      <c r="E6736" s="80">
        <v>35587</v>
      </c>
    </row>
    <row r="6737" spans="1:5">
      <c r="A6737">
        <v>10561</v>
      </c>
      <c r="B6737" t="s">
        <v>179</v>
      </c>
      <c r="C6737">
        <v>2650</v>
      </c>
      <c r="D6737">
        <v>50</v>
      </c>
      <c r="E6737" s="80">
        <v>35587</v>
      </c>
    </row>
    <row r="6738" spans="1:5">
      <c r="A6738">
        <v>10562</v>
      </c>
      <c r="B6738" t="s">
        <v>172</v>
      </c>
      <c r="C6738">
        <v>44.999999925494194</v>
      </c>
      <c r="D6738">
        <v>20</v>
      </c>
      <c r="E6738" s="80">
        <v>35590</v>
      </c>
    </row>
    <row r="6739" spans="1:5">
      <c r="A6739">
        <v>10562</v>
      </c>
      <c r="B6739" t="s">
        <v>173</v>
      </c>
      <c r="C6739">
        <v>44.999999925494194</v>
      </c>
      <c r="D6739">
        <v>20</v>
      </c>
      <c r="E6739" s="80">
        <v>35590</v>
      </c>
    </row>
    <row r="6740" spans="1:5">
      <c r="A6740">
        <v>10562</v>
      </c>
      <c r="B6740" t="s">
        <v>174</v>
      </c>
      <c r="C6740">
        <v>44.999999925494194</v>
      </c>
      <c r="D6740">
        <v>20</v>
      </c>
      <c r="E6740" s="80">
        <v>35590</v>
      </c>
    </row>
    <row r="6741" spans="1:5">
      <c r="A6741">
        <v>10562</v>
      </c>
      <c r="B6741" t="s">
        <v>175</v>
      </c>
      <c r="C6741">
        <v>44.999999925494194</v>
      </c>
      <c r="D6741">
        <v>20</v>
      </c>
      <c r="E6741" s="80">
        <v>35590</v>
      </c>
    </row>
    <row r="6742" spans="1:5">
      <c r="A6742">
        <v>10562</v>
      </c>
      <c r="B6742" t="s">
        <v>176</v>
      </c>
      <c r="C6742">
        <v>44.999999925494194</v>
      </c>
      <c r="D6742">
        <v>20</v>
      </c>
      <c r="E6742" s="80">
        <v>35590</v>
      </c>
    </row>
    <row r="6743" spans="1:5">
      <c r="A6743">
        <v>10562</v>
      </c>
      <c r="B6743" t="s">
        <v>177</v>
      </c>
      <c r="C6743">
        <v>44.999999925494194</v>
      </c>
      <c r="D6743">
        <v>20</v>
      </c>
      <c r="E6743" s="80">
        <v>35590</v>
      </c>
    </row>
    <row r="6744" spans="1:5">
      <c r="A6744">
        <v>10562</v>
      </c>
      <c r="B6744" t="s">
        <v>178</v>
      </c>
      <c r="C6744">
        <v>44.999999925494194</v>
      </c>
      <c r="D6744">
        <v>20</v>
      </c>
      <c r="E6744" s="80">
        <v>35590</v>
      </c>
    </row>
    <row r="6745" spans="1:5">
      <c r="A6745">
        <v>10562</v>
      </c>
      <c r="B6745" t="s">
        <v>179</v>
      </c>
      <c r="C6745">
        <v>44.999999925494194</v>
      </c>
      <c r="D6745">
        <v>20</v>
      </c>
      <c r="E6745" s="80">
        <v>35590</v>
      </c>
    </row>
    <row r="6746" spans="1:5">
      <c r="A6746">
        <v>10562</v>
      </c>
      <c r="B6746" t="s">
        <v>172</v>
      </c>
      <c r="C6746">
        <v>443.69999926537275</v>
      </c>
      <c r="D6746">
        <v>10</v>
      </c>
      <c r="E6746" s="80">
        <v>35590</v>
      </c>
    </row>
    <row r="6747" spans="1:5">
      <c r="A6747">
        <v>10562</v>
      </c>
      <c r="B6747" t="s">
        <v>173</v>
      </c>
      <c r="C6747">
        <v>443.69999926537275</v>
      </c>
      <c r="D6747">
        <v>10</v>
      </c>
      <c r="E6747" s="80">
        <v>35590</v>
      </c>
    </row>
    <row r="6748" spans="1:5">
      <c r="A6748">
        <v>10562</v>
      </c>
      <c r="B6748" t="s">
        <v>174</v>
      </c>
      <c r="C6748">
        <v>443.69999926537275</v>
      </c>
      <c r="D6748">
        <v>10</v>
      </c>
      <c r="E6748" s="80">
        <v>35590</v>
      </c>
    </row>
    <row r="6749" spans="1:5">
      <c r="A6749">
        <v>10562</v>
      </c>
      <c r="B6749" t="s">
        <v>175</v>
      </c>
      <c r="C6749">
        <v>443.69999926537275</v>
      </c>
      <c r="D6749">
        <v>10</v>
      </c>
      <c r="E6749" s="80">
        <v>35590</v>
      </c>
    </row>
    <row r="6750" spans="1:5">
      <c r="A6750">
        <v>10562</v>
      </c>
      <c r="B6750" t="s">
        <v>176</v>
      </c>
      <c r="C6750">
        <v>443.69999926537275</v>
      </c>
      <c r="D6750">
        <v>10</v>
      </c>
      <c r="E6750" s="80">
        <v>35590</v>
      </c>
    </row>
    <row r="6751" spans="1:5">
      <c r="A6751">
        <v>10562</v>
      </c>
      <c r="B6751" t="s">
        <v>177</v>
      </c>
      <c r="C6751">
        <v>443.69999926537275</v>
      </c>
      <c r="D6751">
        <v>10</v>
      </c>
      <c r="E6751" s="80">
        <v>35590</v>
      </c>
    </row>
    <row r="6752" spans="1:5">
      <c r="A6752">
        <v>10562</v>
      </c>
      <c r="B6752" t="s">
        <v>178</v>
      </c>
      <c r="C6752">
        <v>443.69999926537275</v>
      </c>
      <c r="D6752">
        <v>10</v>
      </c>
      <c r="E6752" s="80">
        <v>35590</v>
      </c>
    </row>
    <row r="6753" spans="1:5">
      <c r="A6753">
        <v>10562</v>
      </c>
      <c r="B6753" t="s">
        <v>179</v>
      </c>
      <c r="C6753">
        <v>443.69999926537275</v>
      </c>
      <c r="D6753">
        <v>10</v>
      </c>
      <c r="E6753" s="80">
        <v>35590</v>
      </c>
    </row>
    <row r="6754" spans="1:5">
      <c r="A6754">
        <v>10563</v>
      </c>
      <c r="B6754" t="s">
        <v>172</v>
      </c>
      <c r="C6754">
        <v>475</v>
      </c>
      <c r="D6754">
        <v>25</v>
      </c>
      <c r="E6754" s="80">
        <v>35591</v>
      </c>
    </row>
    <row r="6755" spans="1:5">
      <c r="A6755">
        <v>10563</v>
      </c>
      <c r="B6755" t="s">
        <v>173</v>
      </c>
      <c r="C6755">
        <v>475</v>
      </c>
      <c r="D6755">
        <v>25</v>
      </c>
      <c r="E6755" s="80">
        <v>35591</v>
      </c>
    </row>
    <row r="6756" spans="1:5">
      <c r="A6756">
        <v>10563</v>
      </c>
      <c r="B6756" t="s">
        <v>174</v>
      </c>
      <c r="C6756">
        <v>475</v>
      </c>
      <c r="D6756">
        <v>25</v>
      </c>
      <c r="E6756" s="80">
        <v>35591</v>
      </c>
    </row>
    <row r="6757" spans="1:5">
      <c r="A6757">
        <v>10563</v>
      </c>
      <c r="B6757" t="s">
        <v>175</v>
      </c>
      <c r="C6757">
        <v>475</v>
      </c>
      <c r="D6757">
        <v>25</v>
      </c>
      <c r="E6757" s="80">
        <v>35591</v>
      </c>
    </row>
    <row r="6758" spans="1:5">
      <c r="A6758">
        <v>10563</v>
      </c>
      <c r="B6758" t="s">
        <v>176</v>
      </c>
      <c r="C6758">
        <v>475</v>
      </c>
      <c r="D6758">
        <v>25</v>
      </c>
      <c r="E6758" s="80">
        <v>35591</v>
      </c>
    </row>
    <row r="6759" spans="1:5">
      <c r="A6759">
        <v>10563</v>
      </c>
      <c r="B6759" t="s">
        <v>177</v>
      </c>
      <c r="C6759">
        <v>475</v>
      </c>
      <c r="D6759">
        <v>25</v>
      </c>
      <c r="E6759" s="80">
        <v>35591</v>
      </c>
    </row>
    <row r="6760" spans="1:5">
      <c r="A6760">
        <v>10563</v>
      </c>
      <c r="B6760" t="s">
        <v>178</v>
      </c>
      <c r="C6760">
        <v>475</v>
      </c>
      <c r="D6760">
        <v>25</v>
      </c>
      <c r="E6760" s="80">
        <v>35591</v>
      </c>
    </row>
    <row r="6761" spans="1:5">
      <c r="A6761">
        <v>10563</v>
      </c>
      <c r="B6761" t="s">
        <v>179</v>
      </c>
      <c r="C6761">
        <v>475</v>
      </c>
      <c r="D6761">
        <v>25</v>
      </c>
      <c r="E6761" s="80">
        <v>35591</v>
      </c>
    </row>
    <row r="6762" spans="1:5">
      <c r="A6762">
        <v>10563</v>
      </c>
      <c r="B6762" t="s">
        <v>172</v>
      </c>
      <c r="C6762">
        <v>490</v>
      </c>
      <c r="D6762">
        <v>70</v>
      </c>
      <c r="E6762" s="80">
        <v>35591</v>
      </c>
    </row>
    <row r="6763" spans="1:5">
      <c r="A6763">
        <v>10563</v>
      </c>
      <c r="B6763" t="s">
        <v>173</v>
      </c>
      <c r="C6763">
        <v>490</v>
      </c>
      <c r="D6763">
        <v>70</v>
      </c>
      <c r="E6763" s="80">
        <v>35591</v>
      </c>
    </row>
    <row r="6764" spans="1:5">
      <c r="A6764">
        <v>10563</v>
      </c>
      <c r="B6764" t="s">
        <v>174</v>
      </c>
      <c r="C6764">
        <v>490</v>
      </c>
      <c r="D6764">
        <v>70</v>
      </c>
      <c r="E6764" s="80">
        <v>35591</v>
      </c>
    </row>
    <row r="6765" spans="1:5">
      <c r="A6765">
        <v>10563</v>
      </c>
      <c r="B6765" t="s">
        <v>175</v>
      </c>
      <c r="C6765">
        <v>490</v>
      </c>
      <c r="D6765">
        <v>70</v>
      </c>
      <c r="E6765" s="80">
        <v>35591</v>
      </c>
    </row>
    <row r="6766" spans="1:5">
      <c r="A6766">
        <v>10563</v>
      </c>
      <c r="B6766" t="s">
        <v>176</v>
      </c>
      <c r="C6766">
        <v>490</v>
      </c>
      <c r="D6766">
        <v>70</v>
      </c>
      <c r="E6766" s="80">
        <v>35591</v>
      </c>
    </row>
    <row r="6767" spans="1:5">
      <c r="A6767">
        <v>10563</v>
      </c>
      <c r="B6767" t="s">
        <v>177</v>
      </c>
      <c r="C6767">
        <v>490</v>
      </c>
      <c r="D6767">
        <v>70</v>
      </c>
      <c r="E6767" s="80">
        <v>35591</v>
      </c>
    </row>
    <row r="6768" spans="1:5">
      <c r="A6768">
        <v>10563</v>
      </c>
      <c r="B6768" t="s">
        <v>178</v>
      </c>
      <c r="C6768">
        <v>490</v>
      </c>
      <c r="D6768">
        <v>70</v>
      </c>
      <c r="E6768" s="80">
        <v>35591</v>
      </c>
    </row>
    <row r="6769" spans="1:5">
      <c r="A6769">
        <v>10563</v>
      </c>
      <c r="B6769" t="s">
        <v>179</v>
      </c>
      <c r="C6769">
        <v>490</v>
      </c>
      <c r="D6769">
        <v>70</v>
      </c>
      <c r="E6769" s="80">
        <v>35591</v>
      </c>
    </row>
    <row r="6770" spans="1:5">
      <c r="A6770">
        <v>10564</v>
      </c>
      <c r="B6770" t="s">
        <v>172</v>
      </c>
      <c r="C6770">
        <v>592.79999953508377</v>
      </c>
      <c r="D6770">
        <v>16</v>
      </c>
      <c r="E6770" s="80">
        <v>35591</v>
      </c>
    </row>
    <row r="6771" spans="1:5">
      <c r="A6771">
        <v>10564</v>
      </c>
      <c r="B6771" t="s">
        <v>173</v>
      </c>
      <c r="C6771">
        <v>592.79999953508377</v>
      </c>
      <c r="D6771">
        <v>16</v>
      </c>
      <c r="E6771" s="80">
        <v>35591</v>
      </c>
    </row>
    <row r="6772" spans="1:5">
      <c r="A6772">
        <v>10564</v>
      </c>
      <c r="B6772" t="s">
        <v>174</v>
      </c>
      <c r="C6772">
        <v>592.79999953508377</v>
      </c>
      <c r="D6772">
        <v>16</v>
      </c>
      <c r="E6772" s="80">
        <v>35591</v>
      </c>
    </row>
    <row r="6773" spans="1:5">
      <c r="A6773">
        <v>10564</v>
      </c>
      <c r="B6773" t="s">
        <v>175</v>
      </c>
      <c r="C6773">
        <v>592.79999953508377</v>
      </c>
      <c r="D6773">
        <v>16</v>
      </c>
      <c r="E6773" s="80">
        <v>35591</v>
      </c>
    </row>
    <row r="6774" spans="1:5">
      <c r="A6774">
        <v>10564</v>
      </c>
      <c r="B6774" t="s">
        <v>176</v>
      </c>
      <c r="C6774">
        <v>592.79999953508377</v>
      </c>
      <c r="D6774">
        <v>16</v>
      </c>
      <c r="E6774" s="80">
        <v>35591</v>
      </c>
    </row>
    <row r="6775" spans="1:5">
      <c r="A6775">
        <v>10564</v>
      </c>
      <c r="B6775" t="s">
        <v>177</v>
      </c>
      <c r="C6775">
        <v>592.79999953508377</v>
      </c>
      <c r="D6775">
        <v>16</v>
      </c>
      <c r="E6775" s="80">
        <v>35591</v>
      </c>
    </row>
    <row r="6776" spans="1:5">
      <c r="A6776">
        <v>10564</v>
      </c>
      <c r="B6776" t="s">
        <v>178</v>
      </c>
      <c r="C6776">
        <v>592.79999953508377</v>
      </c>
      <c r="D6776">
        <v>16</v>
      </c>
      <c r="E6776" s="80">
        <v>35591</v>
      </c>
    </row>
    <row r="6777" spans="1:5">
      <c r="A6777">
        <v>10564</v>
      </c>
      <c r="B6777" t="s">
        <v>179</v>
      </c>
      <c r="C6777">
        <v>592.79999953508377</v>
      </c>
      <c r="D6777">
        <v>16</v>
      </c>
      <c r="E6777" s="80">
        <v>35591</v>
      </c>
    </row>
    <row r="6778" spans="1:5">
      <c r="A6778">
        <v>10564</v>
      </c>
      <c r="B6778" t="s">
        <v>172</v>
      </c>
      <c r="C6778">
        <v>71.249999944120646</v>
      </c>
      <c r="D6778">
        <v>6</v>
      </c>
      <c r="E6778" s="80">
        <v>35591</v>
      </c>
    </row>
    <row r="6779" spans="1:5">
      <c r="A6779">
        <v>10564</v>
      </c>
      <c r="B6779" t="s">
        <v>173</v>
      </c>
      <c r="C6779">
        <v>71.249999944120646</v>
      </c>
      <c r="D6779">
        <v>6</v>
      </c>
      <c r="E6779" s="80">
        <v>35591</v>
      </c>
    </row>
    <row r="6780" spans="1:5">
      <c r="A6780">
        <v>10564</v>
      </c>
      <c r="B6780" t="s">
        <v>174</v>
      </c>
      <c r="C6780">
        <v>71.249999944120646</v>
      </c>
      <c r="D6780">
        <v>6</v>
      </c>
      <c r="E6780" s="80">
        <v>35591</v>
      </c>
    </row>
    <row r="6781" spans="1:5">
      <c r="A6781">
        <v>10564</v>
      </c>
      <c r="B6781" t="s">
        <v>175</v>
      </c>
      <c r="C6781">
        <v>71.249999944120646</v>
      </c>
      <c r="D6781">
        <v>6</v>
      </c>
      <c r="E6781" s="80">
        <v>35591</v>
      </c>
    </row>
    <row r="6782" spans="1:5">
      <c r="A6782">
        <v>10564</v>
      </c>
      <c r="B6782" t="s">
        <v>176</v>
      </c>
      <c r="C6782">
        <v>71.249999944120646</v>
      </c>
      <c r="D6782">
        <v>6</v>
      </c>
      <c r="E6782" s="80">
        <v>35591</v>
      </c>
    </row>
    <row r="6783" spans="1:5">
      <c r="A6783">
        <v>10564</v>
      </c>
      <c r="B6783" t="s">
        <v>177</v>
      </c>
      <c r="C6783">
        <v>71.249999944120646</v>
      </c>
      <c r="D6783">
        <v>6</v>
      </c>
      <c r="E6783" s="80">
        <v>35591</v>
      </c>
    </row>
    <row r="6784" spans="1:5">
      <c r="A6784">
        <v>10564</v>
      </c>
      <c r="B6784" t="s">
        <v>178</v>
      </c>
      <c r="C6784">
        <v>71.249999944120646</v>
      </c>
      <c r="D6784">
        <v>6</v>
      </c>
      <c r="E6784" s="80">
        <v>35591</v>
      </c>
    </row>
    <row r="6785" spans="1:5">
      <c r="A6785">
        <v>10564</v>
      </c>
      <c r="B6785" t="s">
        <v>179</v>
      </c>
      <c r="C6785">
        <v>71.249999944120646</v>
      </c>
      <c r="D6785">
        <v>6</v>
      </c>
      <c r="E6785" s="80">
        <v>35591</v>
      </c>
    </row>
    <row r="6786" spans="1:5">
      <c r="A6786">
        <v>10564</v>
      </c>
      <c r="B6786" t="s">
        <v>172</v>
      </c>
      <c r="C6786">
        <v>569.99999955296516</v>
      </c>
      <c r="D6786">
        <v>25</v>
      </c>
      <c r="E6786" s="80">
        <v>35591</v>
      </c>
    </row>
    <row r="6787" spans="1:5">
      <c r="A6787">
        <v>10564</v>
      </c>
      <c r="B6787" t="s">
        <v>173</v>
      </c>
      <c r="C6787">
        <v>569.99999955296516</v>
      </c>
      <c r="D6787">
        <v>25</v>
      </c>
      <c r="E6787" s="80">
        <v>35591</v>
      </c>
    </row>
    <row r="6788" spans="1:5">
      <c r="A6788">
        <v>10564</v>
      </c>
      <c r="B6788" t="s">
        <v>174</v>
      </c>
      <c r="C6788">
        <v>569.99999955296516</v>
      </c>
      <c r="D6788">
        <v>25</v>
      </c>
      <c r="E6788" s="80">
        <v>35591</v>
      </c>
    </row>
    <row r="6789" spans="1:5">
      <c r="A6789">
        <v>10564</v>
      </c>
      <c r="B6789" t="s">
        <v>175</v>
      </c>
      <c r="C6789">
        <v>569.99999955296516</v>
      </c>
      <c r="D6789">
        <v>25</v>
      </c>
      <c r="E6789" s="80">
        <v>35591</v>
      </c>
    </row>
    <row r="6790" spans="1:5">
      <c r="A6790">
        <v>10564</v>
      </c>
      <c r="B6790" t="s">
        <v>176</v>
      </c>
      <c r="C6790">
        <v>569.99999955296516</v>
      </c>
      <c r="D6790">
        <v>25</v>
      </c>
      <c r="E6790" s="80">
        <v>35591</v>
      </c>
    </row>
    <row r="6791" spans="1:5">
      <c r="A6791">
        <v>10564</v>
      </c>
      <c r="B6791" t="s">
        <v>177</v>
      </c>
      <c r="C6791">
        <v>569.99999955296516</v>
      </c>
      <c r="D6791">
        <v>25</v>
      </c>
      <c r="E6791" s="80">
        <v>35591</v>
      </c>
    </row>
    <row r="6792" spans="1:5">
      <c r="A6792">
        <v>10564</v>
      </c>
      <c r="B6792" t="s">
        <v>178</v>
      </c>
      <c r="C6792">
        <v>569.99999955296516</v>
      </c>
      <c r="D6792">
        <v>25</v>
      </c>
      <c r="E6792" s="80">
        <v>35591</v>
      </c>
    </row>
    <row r="6793" spans="1:5">
      <c r="A6793">
        <v>10564</v>
      </c>
      <c r="B6793" t="s">
        <v>179</v>
      </c>
      <c r="C6793">
        <v>569.99999955296516</v>
      </c>
      <c r="D6793">
        <v>25</v>
      </c>
      <c r="E6793" s="80">
        <v>35591</v>
      </c>
    </row>
    <row r="6794" spans="1:5">
      <c r="A6794">
        <v>10565</v>
      </c>
      <c r="B6794" t="s">
        <v>172</v>
      </c>
      <c r="C6794">
        <v>101.24999983236194</v>
      </c>
      <c r="D6794">
        <v>25</v>
      </c>
      <c r="E6794" s="80">
        <v>35592</v>
      </c>
    </row>
    <row r="6795" spans="1:5">
      <c r="A6795">
        <v>10565</v>
      </c>
      <c r="B6795" t="s">
        <v>173</v>
      </c>
      <c r="C6795">
        <v>101.24999983236194</v>
      </c>
      <c r="D6795">
        <v>25</v>
      </c>
      <c r="E6795" s="80">
        <v>35592</v>
      </c>
    </row>
    <row r="6796" spans="1:5">
      <c r="A6796">
        <v>10565</v>
      </c>
      <c r="B6796" t="s">
        <v>174</v>
      </c>
      <c r="C6796">
        <v>101.24999983236194</v>
      </c>
      <c r="D6796">
        <v>25</v>
      </c>
      <c r="E6796" s="80">
        <v>35592</v>
      </c>
    </row>
    <row r="6797" spans="1:5">
      <c r="A6797">
        <v>10565</v>
      </c>
      <c r="B6797" t="s">
        <v>175</v>
      </c>
      <c r="C6797">
        <v>101.24999983236194</v>
      </c>
      <c r="D6797">
        <v>25</v>
      </c>
      <c r="E6797" s="80">
        <v>35592</v>
      </c>
    </row>
    <row r="6798" spans="1:5">
      <c r="A6798">
        <v>10565</v>
      </c>
      <c r="B6798" t="s">
        <v>176</v>
      </c>
      <c r="C6798">
        <v>101.24999983236194</v>
      </c>
      <c r="D6798">
        <v>25</v>
      </c>
      <c r="E6798" s="80">
        <v>35592</v>
      </c>
    </row>
    <row r="6799" spans="1:5">
      <c r="A6799">
        <v>10565</v>
      </c>
      <c r="B6799" t="s">
        <v>177</v>
      </c>
      <c r="C6799">
        <v>101.24999983236194</v>
      </c>
      <c r="D6799">
        <v>25</v>
      </c>
      <c r="E6799" s="80">
        <v>35592</v>
      </c>
    </row>
    <row r="6800" spans="1:5">
      <c r="A6800">
        <v>10565</v>
      </c>
      <c r="B6800" t="s">
        <v>178</v>
      </c>
      <c r="C6800">
        <v>101.24999983236194</v>
      </c>
      <c r="D6800">
        <v>25</v>
      </c>
      <c r="E6800" s="80">
        <v>35592</v>
      </c>
    </row>
    <row r="6801" spans="1:5">
      <c r="A6801">
        <v>10565</v>
      </c>
      <c r="B6801" t="s">
        <v>179</v>
      </c>
      <c r="C6801">
        <v>101.24999983236194</v>
      </c>
      <c r="D6801">
        <v>25</v>
      </c>
      <c r="E6801" s="80">
        <v>35592</v>
      </c>
    </row>
    <row r="6802" spans="1:5">
      <c r="A6802">
        <v>10565</v>
      </c>
      <c r="B6802" t="s">
        <v>172</v>
      </c>
      <c r="C6802">
        <v>538.6499991081655</v>
      </c>
      <c r="D6802">
        <v>18</v>
      </c>
      <c r="E6802" s="80">
        <v>35592</v>
      </c>
    </row>
    <row r="6803" spans="1:5">
      <c r="A6803">
        <v>10565</v>
      </c>
      <c r="B6803" t="s">
        <v>173</v>
      </c>
      <c r="C6803">
        <v>538.6499991081655</v>
      </c>
      <c r="D6803">
        <v>18</v>
      </c>
      <c r="E6803" s="80">
        <v>35592</v>
      </c>
    </row>
    <row r="6804" spans="1:5">
      <c r="A6804">
        <v>10565</v>
      </c>
      <c r="B6804" t="s">
        <v>174</v>
      </c>
      <c r="C6804">
        <v>538.6499991081655</v>
      </c>
      <c r="D6804">
        <v>18</v>
      </c>
      <c r="E6804" s="80">
        <v>35592</v>
      </c>
    </row>
    <row r="6805" spans="1:5">
      <c r="A6805">
        <v>10565</v>
      </c>
      <c r="B6805" t="s">
        <v>175</v>
      </c>
      <c r="C6805">
        <v>538.6499991081655</v>
      </c>
      <c r="D6805">
        <v>18</v>
      </c>
      <c r="E6805" s="80">
        <v>35592</v>
      </c>
    </row>
    <row r="6806" spans="1:5">
      <c r="A6806">
        <v>10565</v>
      </c>
      <c r="B6806" t="s">
        <v>176</v>
      </c>
      <c r="C6806">
        <v>538.6499991081655</v>
      </c>
      <c r="D6806">
        <v>18</v>
      </c>
      <c r="E6806" s="80">
        <v>35592</v>
      </c>
    </row>
    <row r="6807" spans="1:5">
      <c r="A6807">
        <v>10565</v>
      </c>
      <c r="B6807" t="s">
        <v>177</v>
      </c>
      <c r="C6807">
        <v>538.6499991081655</v>
      </c>
      <c r="D6807">
        <v>18</v>
      </c>
      <c r="E6807" s="80">
        <v>35592</v>
      </c>
    </row>
    <row r="6808" spans="1:5">
      <c r="A6808">
        <v>10565</v>
      </c>
      <c r="B6808" t="s">
        <v>178</v>
      </c>
      <c r="C6808">
        <v>538.6499991081655</v>
      </c>
      <c r="D6808">
        <v>18</v>
      </c>
      <c r="E6808" s="80">
        <v>35592</v>
      </c>
    </row>
    <row r="6809" spans="1:5">
      <c r="A6809">
        <v>10565</v>
      </c>
      <c r="B6809" t="s">
        <v>179</v>
      </c>
      <c r="C6809">
        <v>538.6499991081655</v>
      </c>
      <c r="D6809">
        <v>18</v>
      </c>
      <c r="E6809" s="80">
        <v>35592</v>
      </c>
    </row>
    <row r="6810" spans="1:5">
      <c r="A6810">
        <v>10566</v>
      </c>
      <c r="B6810" t="s">
        <v>172</v>
      </c>
      <c r="C6810">
        <v>624.74999561905861</v>
      </c>
      <c r="D6810">
        <v>35</v>
      </c>
      <c r="E6810" s="80">
        <v>35593</v>
      </c>
    </row>
    <row r="6811" spans="1:5">
      <c r="A6811">
        <v>10566</v>
      </c>
      <c r="B6811" t="s">
        <v>173</v>
      </c>
      <c r="C6811">
        <v>624.74999561905861</v>
      </c>
      <c r="D6811">
        <v>35</v>
      </c>
      <c r="E6811" s="80">
        <v>35593</v>
      </c>
    </row>
    <row r="6812" spans="1:5">
      <c r="A6812">
        <v>10566</v>
      </c>
      <c r="B6812" t="s">
        <v>174</v>
      </c>
      <c r="C6812">
        <v>624.74999561905861</v>
      </c>
      <c r="D6812">
        <v>35</v>
      </c>
      <c r="E6812" s="80">
        <v>35593</v>
      </c>
    </row>
    <row r="6813" spans="1:5">
      <c r="A6813">
        <v>10566</v>
      </c>
      <c r="B6813" t="s">
        <v>175</v>
      </c>
      <c r="C6813">
        <v>624.74999561905861</v>
      </c>
      <c r="D6813">
        <v>35</v>
      </c>
      <c r="E6813" s="80">
        <v>35593</v>
      </c>
    </row>
    <row r="6814" spans="1:5">
      <c r="A6814">
        <v>10566</v>
      </c>
      <c r="B6814" t="s">
        <v>176</v>
      </c>
      <c r="C6814">
        <v>624.74999561905861</v>
      </c>
      <c r="D6814">
        <v>35</v>
      </c>
      <c r="E6814" s="80">
        <v>35593</v>
      </c>
    </row>
    <row r="6815" spans="1:5">
      <c r="A6815">
        <v>10566</v>
      </c>
      <c r="B6815" t="s">
        <v>177</v>
      </c>
      <c r="C6815">
        <v>624.74999561905861</v>
      </c>
      <c r="D6815">
        <v>35</v>
      </c>
      <c r="E6815" s="80">
        <v>35593</v>
      </c>
    </row>
    <row r="6816" spans="1:5">
      <c r="A6816">
        <v>10566</v>
      </c>
      <c r="B6816" t="s">
        <v>178</v>
      </c>
      <c r="C6816">
        <v>624.74999561905861</v>
      </c>
      <c r="D6816">
        <v>35</v>
      </c>
      <c r="E6816" s="80">
        <v>35593</v>
      </c>
    </row>
    <row r="6817" spans="1:5">
      <c r="A6817">
        <v>10566</v>
      </c>
      <c r="B6817" t="s">
        <v>179</v>
      </c>
      <c r="C6817">
        <v>624.74999561905861</v>
      </c>
      <c r="D6817">
        <v>35</v>
      </c>
      <c r="E6817" s="80">
        <v>35593</v>
      </c>
    </row>
    <row r="6818" spans="1:5">
      <c r="A6818">
        <v>10566</v>
      </c>
      <c r="B6818" t="s">
        <v>172</v>
      </c>
      <c r="C6818">
        <v>956.24999329447746</v>
      </c>
      <c r="D6818">
        <v>18</v>
      </c>
      <c r="E6818" s="80">
        <v>35593</v>
      </c>
    </row>
    <row r="6819" spans="1:5">
      <c r="A6819">
        <v>10566</v>
      </c>
      <c r="B6819" t="s">
        <v>173</v>
      </c>
      <c r="C6819">
        <v>956.24999329447746</v>
      </c>
      <c r="D6819">
        <v>18</v>
      </c>
      <c r="E6819" s="80">
        <v>35593</v>
      </c>
    </row>
    <row r="6820" spans="1:5">
      <c r="A6820">
        <v>10566</v>
      </c>
      <c r="B6820" t="s">
        <v>174</v>
      </c>
      <c r="C6820">
        <v>956.24999329447746</v>
      </c>
      <c r="D6820">
        <v>18</v>
      </c>
      <c r="E6820" s="80">
        <v>35593</v>
      </c>
    </row>
    <row r="6821" spans="1:5">
      <c r="A6821">
        <v>10566</v>
      </c>
      <c r="B6821" t="s">
        <v>175</v>
      </c>
      <c r="C6821">
        <v>956.24999329447746</v>
      </c>
      <c r="D6821">
        <v>18</v>
      </c>
      <c r="E6821" s="80">
        <v>35593</v>
      </c>
    </row>
    <row r="6822" spans="1:5">
      <c r="A6822">
        <v>10566</v>
      </c>
      <c r="B6822" t="s">
        <v>176</v>
      </c>
      <c r="C6822">
        <v>956.24999329447746</v>
      </c>
      <c r="D6822">
        <v>18</v>
      </c>
      <c r="E6822" s="80">
        <v>35593</v>
      </c>
    </row>
    <row r="6823" spans="1:5">
      <c r="A6823">
        <v>10566</v>
      </c>
      <c r="B6823" t="s">
        <v>177</v>
      </c>
      <c r="C6823">
        <v>956.24999329447746</v>
      </c>
      <c r="D6823">
        <v>18</v>
      </c>
      <c r="E6823" s="80">
        <v>35593</v>
      </c>
    </row>
    <row r="6824" spans="1:5">
      <c r="A6824">
        <v>10566</v>
      </c>
      <c r="B6824" t="s">
        <v>178</v>
      </c>
      <c r="C6824">
        <v>956.24999329447746</v>
      </c>
      <c r="D6824">
        <v>18</v>
      </c>
      <c r="E6824" s="80">
        <v>35593</v>
      </c>
    </row>
    <row r="6825" spans="1:5">
      <c r="A6825">
        <v>10566</v>
      </c>
      <c r="B6825" t="s">
        <v>179</v>
      </c>
      <c r="C6825">
        <v>956.24999329447746</v>
      </c>
      <c r="D6825">
        <v>18</v>
      </c>
      <c r="E6825" s="80">
        <v>35593</v>
      </c>
    </row>
    <row r="6826" spans="1:5">
      <c r="A6826">
        <v>10566</v>
      </c>
      <c r="B6826" t="s">
        <v>172</v>
      </c>
      <c r="C6826">
        <v>180</v>
      </c>
      <c r="D6826">
        <v>10</v>
      </c>
      <c r="E6826" s="80">
        <v>35593</v>
      </c>
    </row>
    <row r="6827" spans="1:5">
      <c r="A6827">
        <v>10566</v>
      </c>
      <c r="B6827" t="s">
        <v>173</v>
      </c>
      <c r="C6827">
        <v>180</v>
      </c>
      <c r="D6827">
        <v>10</v>
      </c>
      <c r="E6827" s="80">
        <v>35593</v>
      </c>
    </row>
    <row r="6828" spans="1:5">
      <c r="A6828">
        <v>10566</v>
      </c>
      <c r="B6828" t="s">
        <v>174</v>
      </c>
      <c r="C6828">
        <v>180</v>
      </c>
      <c r="D6828">
        <v>10</v>
      </c>
      <c r="E6828" s="80">
        <v>35593</v>
      </c>
    </row>
    <row r="6829" spans="1:5">
      <c r="A6829">
        <v>10566</v>
      </c>
      <c r="B6829" t="s">
        <v>175</v>
      </c>
      <c r="C6829">
        <v>180</v>
      </c>
      <c r="D6829">
        <v>10</v>
      </c>
      <c r="E6829" s="80">
        <v>35593</v>
      </c>
    </row>
    <row r="6830" spans="1:5">
      <c r="A6830">
        <v>10566</v>
      </c>
      <c r="B6830" t="s">
        <v>176</v>
      </c>
      <c r="C6830">
        <v>180</v>
      </c>
      <c r="D6830">
        <v>10</v>
      </c>
      <c r="E6830" s="80">
        <v>35593</v>
      </c>
    </row>
    <row r="6831" spans="1:5">
      <c r="A6831">
        <v>10566</v>
      </c>
      <c r="B6831" t="s">
        <v>177</v>
      </c>
      <c r="C6831">
        <v>180</v>
      </c>
      <c r="D6831">
        <v>10</v>
      </c>
      <c r="E6831" s="80">
        <v>35593</v>
      </c>
    </row>
    <row r="6832" spans="1:5">
      <c r="A6832">
        <v>10566</v>
      </c>
      <c r="B6832" t="s">
        <v>178</v>
      </c>
      <c r="C6832">
        <v>180</v>
      </c>
      <c r="D6832">
        <v>10</v>
      </c>
      <c r="E6832" s="80">
        <v>35593</v>
      </c>
    </row>
    <row r="6833" spans="1:5">
      <c r="A6833">
        <v>10566</v>
      </c>
      <c r="B6833" t="s">
        <v>179</v>
      </c>
      <c r="C6833">
        <v>180</v>
      </c>
      <c r="D6833">
        <v>10</v>
      </c>
      <c r="E6833" s="80">
        <v>35593</v>
      </c>
    </row>
    <row r="6834" spans="1:5">
      <c r="A6834">
        <v>10567</v>
      </c>
      <c r="B6834" t="s">
        <v>172</v>
      </c>
      <c r="C6834">
        <v>599.99999776482582</v>
      </c>
      <c r="D6834">
        <v>60</v>
      </c>
      <c r="E6834" s="80">
        <v>35593</v>
      </c>
    </row>
    <row r="6835" spans="1:5">
      <c r="A6835">
        <v>10567</v>
      </c>
      <c r="B6835" t="s">
        <v>173</v>
      </c>
      <c r="C6835">
        <v>599.99999776482582</v>
      </c>
      <c r="D6835">
        <v>60</v>
      </c>
      <c r="E6835" s="80">
        <v>35593</v>
      </c>
    </row>
    <row r="6836" spans="1:5">
      <c r="A6836">
        <v>10567</v>
      </c>
      <c r="B6836" t="s">
        <v>174</v>
      </c>
      <c r="C6836">
        <v>599.99999776482582</v>
      </c>
      <c r="D6836">
        <v>60</v>
      </c>
      <c r="E6836" s="80">
        <v>35593</v>
      </c>
    </row>
    <row r="6837" spans="1:5">
      <c r="A6837">
        <v>10567</v>
      </c>
      <c r="B6837" t="s">
        <v>175</v>
      </c>
      <c r="C6837">
        <v>599.99999776482582</v>
      </c>
      <c r="D6837">
        <v>60</v>
      </c>
      <c r="E6837" s="80">
        <v>35593</v>
      </c>
    </row>
    <row r="6838" spans="1:5">
      <c r="A6838">
        <v>10567</v>
      </c>
      <c r="B6838" t="s">
        <v>176</v>
      </c>
      <c r="C6838">
        <v>599.99999776482582</v>
      </c>
      <c r="D6838">
        <v>60</v>
      </c>
      <c r="E6838" s="80">
        <v>35593</v>
      </c>
    </row>
    <row r="6839" spans="1:5">
      <c r="A6839">
        <v>10567</v>
      </c>
      <c r="B6839" t="s">
        <v>177</v>
      </c>
      <c r="C6839">
        <v>599.99999776482582</v>
      </c>
      <c r="D6839">
        <v>60</v>
      </c>
      <c r="E6839" s="80">
        <v>35593</v>
      </c>
    </row>
    <row r="6840" spans="1:5">
      <c r="A6840">
        <v>10567</v>
      </c>
      <c r="B6840" t="s">
        <v>178</v>
      </c>
      <c r="C6840">
        <v>599.99999776482582</v>
      </c>
      <c r="D6840">
        <v>60</v>
      </c>
      <c r="E6840" s="80">
        <v>35593</v>
      </c>
    </row>
    <row r="6841" spans="1:5">
      <c r="A6841">
        <v>10567</v>
      </c>
      <c r="B6841" t="s">
        <v>179</v>
      </c>
      <c r="C6841">
        <v>599.99999776482582</v>
      </c>
      <c r="D6841">
        <v>60</v>
      </c>
      <c r="E6841" s="80">
        <v>35593</v>
      </c>
    </row>
    <row r="6842" spans="1:5">
      <c r="A6842">
        <v>10567</v>
      </c>
      <c r="B6842" t="s">
        <v>172</v>
      </c>
      <c r="C6842">
        <v>159</v>
      </c>
      <c r="D6842">
        <v>3</v>
      </c>
      <c r="E6842" s="80">
        <v>35593</v>
      </c>
    </row>
    <row r="6843" spans="1:5">
      <c r="A6843">
        <v>10567</v>
      </c>
      <c r="B6843" t="s">
        <v>173</v>
      </c>
      <c r="C6843">
        <v>159</v>
      </c>
      <c r="D6843">
        <v>3</v>
      </c>
      <c r="E6843" s="80">
        <v>35593</v>
      </c>
    </row>
    <row r="6844" spans="1:5">
      <c r="A6844">
        <v>10567</v>
      </c>
      <c r="B6844" t="s">
        <v>174</v>
      </c>
      <c r="C6844">
        <v>159</v>
      </c>
      <c r="D6844">
        <v>3</v>
      </c>
      <c r="E6844" s="80">
        <v>35593</v>
      </c>
    </row>
    <row r="6845" spans="1:5">
      <c r="A6845">
        <v>10567</v>
      </c>
      <c r="B6845" t="s">
        <v>175</v>
      </c>
      <c r="C6845">
        <v>159</v>
      </c>
      <c r="D6845">
        <v>3</v>
      </c>
      <c r="E6845" s="80">
        <v>35593</v>
      </c>
    </row>
    <row r="6846" spans="1:5">
      <c r="A6846">
        <v>10567</v>
      </c>
      <c r="B6846" t="s">
        <v>176</v>
      </c>
      <c r="C6846">
        <v>159</v>
      </c>
      <c r="D6846">
        <v>3</v>
      </c>
      <c r="E6846" s="80">
        <v>35593</v>
      </c>
    </row>
    <row r="6847" spans="1:5">
      <c r="A6847">
        <v>10567</v>
      </c>
      <c r="B6847" t="s">
        <v>177</v>
      </c>
      <c r="C6847">
        <v>159</v>
      </c>
      <c r="D6847">
        <v>3</v>
      </c>
      <c r="E6847" s="80">
        <v>35593</v>
      </c>
    </row>
    <row r="6848" spans="1:5">
      <c r="A6848">
        <v>10567</v>
      </c>
      <c r="B6848" t="s">
        <v>178</v>
      </c>
      <c r="C6848">
        <v>159</v>
      </c>
      <c r="D6848">
        <v>3</v>
      </c>
      <c r="E6848" s="80">
        <v>35593</v>
      </c>
    </row>
    <row r="6849" spans="1:5">
      <c r="A6849">
        <v>10567</v>
      </c>
      <c r="B6849" t="s">
        <v>179</v>
      </c>
      <c r="C6849">
        <v>159</v>
      </c>
      <c r="D6849">
        <v>3</v>
      </c>
      <c r="E6849" s="80">
        <v>35593</v>
      </c>
    </row>
    <row r="6850" spans="1:5">
      <c r="A6850">
        <v>10567</v>
      </c>
      <c r="B6850" t="s">
        <v>172</v>
      </c>
      <c r="C6850">
        <v>1759.9999934434891</v>
      </c>
      <c r="D6850">
        <v>40</v>
      </c>
      <c r="E6850" s="80">
        <v>35593</v>
      </c>
    </row>
    <row r="6851" spans="1:5">
      <c r="A6851">
        <v>10567</v>
      </c>
      <c r="B6851" t="s">
        <v>173</v>
      </c>
      <c r="C6851">
        <v>1759.9999934434891</v>
      </c>
      <c r="D6851">
        <v>40</v>
      </c>
      <c r="E6851" s="80">
        <v>35593</v>
      </c>
    </row>
    <row r="6852" spans="1:5">
      <c r="A6852">
        <v>10567</v>
      </c>
      <c r="B6852" t="s">
        <v>174</v>
      </c>
      <c r="C6852">
        <v>1759.9999934434891</v>
      </c>
      <c r="D6852">
        <v>40</v>
      </c>
      <c r="E6852" s="80">
        <v>35593</v>
      </c>
    </row>
    <row r="6853" spans="1:5">
      <c r="A6853">
        <v>10567</v>
      </c>
      <c r="B6853" t="s">
        <v>175</v>
      </c>
      <c r="C6853">
        <v>1759.9999934434891</v>
      </c>
      <c r="D6853">
        <v>40</v>
      </c>
      <c r="E6853" s="80">
        <v>35593</v>
      </c>
    </row>
    <row r="6854" spans="1:5">
      <c r="A6854">
        <v>10567</v>
      </c>
      <c r="B6854" t="s">
        <v>176</v>
      </c>
      <c r="C6854">
        <v>1759.9999934434891</v>
      </c>
      <c r="D6854">
        <v>40</v>
      </c>
      <c r="E6854" s="80">
        <v>35593</v>
      </c>
    </row>
    <row r="6855" spans="1:5">
      <c r="A6855">
        <v>10567</v>
      </c>
      <c r="B6855" t="s">
        <v>177</v>
      </c>
      <c r="C6855">
        <v>1759.9999934434891</v>
      </c>
      <c r="D6855">
        <v>40</v>
      </c>
      <c r="E6855" s="80">
        <v>35593</v>
      </c>
    </row>
    <row r="6856" spans="1:5">
      <c r="A6856">
        <v>10567</v>
      </c>
      <c r="B6856" t="s">
        <v>178</v>
      </c>
      <c r="C6856">
        <v>1759.9999934434891</v>
      </c>
      <c r="D6856">
        <v>40</v>
      </c>
      <c r="E6856" s="80">
        <v>35593</v>
      </c>
    </row>
    <row r="6857" spans="1:5">
      <c r="A6857">
        <v>10567</v>
      </c>
      <c r="B6857" t="s">
        <v>179</v>
      </c>
      <c r="C6857">
        <v>1759.9999934434891</v>
      </c>
      <c r="D6857">
        <v>40</v>
      </c>
      <c r="E6857" s="80">
        <v>35593</v>
      </c>
    </row>
    <row r="6858" spans="1:5">
      <c r="A6858">
        <v>10568</v>
      </c>
      <c r="B6858" t="s">
        <v>172</v>
      </c>
      <c r="C6858">
        <v>155</v>
      </c>
      <c r="D6858">
        <v>5</v>
      </c>
      <c r="E6858" s="80">
        <v>35594</v>
      </c>
    </row>
    <row r="6859" spans="1:5">
      <c r="A6859">
        <v>10568</v>
      </c>
      <c r="B6859" t="s">
        <v>173</v>
      </c>
      <c r="C6859">
        <v>155</v>
      </c>
      <c r="D6859">
        <v>5</v>
      </c>
      <c r="E6859" s="80">
        <v>35594</v>
      </c>
    </row>
    <row r="6860" spans="1:5">
      <c r="A6860">
        <v>10568</v>
      </c>
      <c r="B6860" t="s">
        <v>174</v>
      </c>
      <c r="C6860">
        <v>155</v>
      </c>
      <c r="D6860">
        <v>5</v>
      </c>
      <c r="E6860" s="80">
        <v>35594</v>
      </c>
    </row>
    <row r="6861" spans="1:5">
      <c r="A6861">
        <v>10568</v>
      </c>
      <c r="B6861" t="s">
        <v>175</v>
      </c>
      <c r="C6861">
        <v>155</v>
      </c>
      <c r="D6861">
        <v>5</v>
      </c>
      <c r="E6861" s="80">
        <v>35594</v>
      </c>
    </row>
    <row r="6862" spans="1:5">
      <c r="A6862">
        <v>10568</v>
      </c>
      <c r="B6862" t="s">
        <v>176</v>
      </c>
      <c r="C6862">
        <v>155</v>
      </c>
      <c r="D6862">
        <v>5</v>
      </c>
      <c r="E6862" s="80">
        <v>35594</v>
      </c>
    </row>
    <row r="6863" spans="1:5">
      <c r="A6863">
        <v>10568</v>
      </c>
      <c r="B6863" t="s">
        <v>177</v>
      </c>
      <c r="C6863">
        <v>155</v>
      </c>
      <c r="D6863">
        <v>5</v>
      </c>
      <c r="E6863" s="80">
        <v>35594</v>
      </c>
    </row>
    <row r="6864" spans="1:5">
      <c r="A6864">
        <v>10568</v>
      </c>
      <c r="B6864" t="s">
        <v>178</v>
      </c>
      <c r="C6864">
        <v>155</v>
      </c>
      <c r="D6864">
        <v>5</v>
      </c>
      <c r="E6864" s="80">
        <v>35594</v>
      </c>
    </row>
    <row r="6865" spans="1:5">
      <c r="A6865">
        <v>10568</v>
      </c>
      <c r="B6865" t="s">
        <v>179</v>
      </c>
      <c r="C6865">
        <v>155</v>
      </c>
      <c r="D6865">
        <v>5</v>
      </c>
      <c r="E6865" s="80">
        <v>35594</v>
      </c>
    </row>
    <row r="6866" spans="1:5">
      <c r="A6866">
        <v>10569</v>
      </c>
      <c r="B6866" t="s">
        <v>172</v>
      </c>
      <c r="C6866">
        <v>349.9999986961484</v>
      </c>
      <c r="D6866">
        <v>35</v>
      </c>
      <c r="E6866" s="80">
        <v>35597</v>
      </c>
    </row>
    <row r="6867" spans="1:5">
      <c r="A6867">
        <v>10569</v>
      </c>
      <c r="B6867" t="s">
        <v>173</v>
      </c>
      <c r="C6867">
        <v>349.9999986961484</v>
      </c>
      <c r="D6867">
        <v>35</v>
      </c>
      <c r="E6867" s="80">
        <v>35597</v>
      </c>
    </row>
    <row r="6868" spans="1:5">
      <c r="A6868">
        <v>10569</v>
      </c>
      <c r="B6868" t="s">
        <v>174</v>
      </c>
      <c r="C6868">
        <v>349.9999986961484</v>
      </c>
      <c r="D6868">
        <v>35</v>
      </c>
      <c r="E6868" s="80">
        <v>35597</v>
      </c>
    </row>
    <row r="6869" spans="1:5">
      <c r="A6869">
        <v>10569</v>
      </c>
      <c r="B6869" t="s">
        <v>175</v>
      </c>
      <c r="C6869">
        <v>349.9999986961484</v>
      </c>
      <c r="D6869">
        <v>35</v>
      </c>
      <c r="E6869" s="80">
        <v>35597</v>
      </c>
    </row>
    <row r="6870" spans="1:5">
      <c r="A6870">
        <v>10569</v>
      </c>
      <c r="B6870" t="s">
        <v>176</v>
      </c>
      <c r="C6870">
        <v>349.9999986961484</v>
      </c>
      <c r="D6870">
        <v>35</v>
      </c>
      <c r="E6870" s="80">
        <v>35597</v>
      </c>
    </row>
    <row r="6871" spans="1:5">
      <c r="A6871">
        <v>10569</v>
      </c>
      <c r="B6871" t="s">
        <v>177</v>
      </c>
      <c r="C6871">
        <v>349.9999986961484</v>
      </c>
      <c r="D6871">
        <v>35</v>
      </c>
      <c r="E6871" s="80">
        <v>35597</v>
      </c>
    </row>
    <row r="6872" spans="1:5">
      <c r="A6872">
        <v>10569</v>
      </c>
      <c r="B6872" t="s">
        <v>178</v>
      </c>
      <c r="C6872">
        <v>349.9999986961484</v>
      </c>
      <c r="D6872">
        <v>35</v>
      </c>
      <c r="E6872" s="80">
        <v>35597</v>
      </c>
    </row>
    <row r="6873" spans="1:5">
      <c r="A6873">
        <v>10569</v>
      </c>
      <c r="B6873" t="s">
        <v>179</v>
      </c>
      <c r="C6873">
        <v>349.9999986961484</v>
      </c>
      <c r="D6873">
        <v>35</v>
      </c>
      <c r="E6873" s="80">
        <v>35597</v>
      </c>
    </row>
    <row r="6874" spans="1:5">
      <c r="A6874">
        <v>10569</v>
      </c>
      <c r="B6874" t="s">
        <v>172</v>
      </c>
      <c r="C6874">
        <v>540</v>
      </c>
      <c r="D6874">
        <v>30</v>
      </c>
      <c r="E6874" s="80">
        <v>35597</v>
      </c>
    </row>
    <row r="6875" spans="1:5">
      <c r="A6875">
        <v>10569</v>
      </c>
      <c r="B6875" t="s">
        <v>173</v>
      </c>
      <c r="C6875">
        <v>540</v>
      </c>
      <c r="D6875">
        <v>30</v>
      </c>
      <c r="E6875" s="80">
        <v>35597</v>
      </c>
    </row>
    <row r="6876" spans="1:5">
      <c r="A6876">
        <v>10569</v>
      </c>
      <c r="B6876" t="s">
        <v>174</v>
      </c>
      <c r="C6876">
        <v>540</v>
      </c>
      <c r="D6876">
        <v>30</v>
      </c>
      <c r="E6876" s="80">
        <v>35597</v>
      </c>
    </row>
    <row r="6877" spans="1:5">
      <c r="A6877">
        <v>10569</v>
      </c>
      <c r="B6877" t="s">
        <v>175</v>
      </c>
      <c r="C6877">
        <v>540</v>
      </c>
      <c r="D6877">
        <v>30</v>
      </c>
      <c r="E6877" s="80">
        <v>35597</v>
      </c>
    </row>
    <row r="6878" spans="1:5">
      <c r="A6878">
        <v>10569</v>
      </c>
      <c r="B6878" t="s">
        <v>176</v>
      </c>
      <c r="C6878">
        <v>540</v>
      </c>
      <c r="D6878">
        <v>30</v>
      </c>
      <c r="E6878" s="80">
        <v>35597</v>
      </c>
    </row>
    <row r="6879" spans="1:5">
      <c r="A6879">
        <v>10569</v>
      </c>
      <c r="B6879" t="s">
        <v>177</v>
      </c>
      <c r="C6879">
        <v>540</v>
      </c>
      <c r="D6879">
        <v>30</v>
      </c>
      <c r="E6879" s="80">
        <v>35597</v>
      </c>
    </row>
    <row r="6880" spans="1:5">
      <c r="A6880">
        <v>10569</v>
      </c>
      <c r="B6880" t="s">
        <v>178</v>
      </c>
      <c r="C6880">
        <v>540</v>
      </c>
      <c r="D6880">
        <v>30</v>
      </c>
      <c r="E6880" s="80">
        <v>35597</v>
      </c>
    </row>
    <row r="6881" spans="1:5">
      <c r="A6881">
        <v>10569</v>
      </c>
      <c r="B6881" t="s">
        <v>179</v>
      </c>
      <c r="C6881">
        <v>540</v>
      </c>
      <c r="D6881">
        <v>30</v>
      </c>
      <c r="E6881" s="80">
        <v>35597</v>
      </c>
    </row>
    <row r="6882" spans="1:5">
      <c r="A6882">
        <v>10570</v>
      </c>
      <c r="B6882" t="s">
        <v>172</v>
      </c>
      <c r="C6882">
        <v>299.24999976530671</v>
      </c>
      <c r="D6882">
        <v>15</v>
      </c>
      <c r="E6882" s="80">
        <v>35598</v>
      </c>
    </row>
    <row r="6883" spans="1:5">
      <c r="A6883">
        <v>10570</v>
      </c>
      <c r="B6883" t="s">
        <v>173</v>
      </c>
      <c r="C6883">
        <v>299.24999976530671</v>
      </c>
      <c r="D6883">
        <v>15</v>
      </c>
      <c r="E6883" s="80">
        <v>35598</v>
      </c>
    </row>
    <row r="6884" spans="1:5">
      <c r="A6884">
        <v>10570</v>
      </c>
      <c r="B6884" t="s">
        <v>174</v>
      </c>
      <c r="C6884">
        <v>299.24999976530671</v>
      </c>
      <c r="D6884">
        <v>15</v>
      </c>
      <c r="E6884" s="80">
        <v>35598</v>
      </c>
    </row>
    <row r="6885" spans="1:5">
      <c r="A6885">
        <v>10570</v>
      </c>
      <c r="B6885" t="s">
        <v>175</v>
      </c>
      <c r="C6885">
        <v>299.24999976530671</v>
      </c>
      <c r="D6885">
        <v>15</v>
      </c>
      <c r="E6885" s="80">
        <v>35598</v>
      </c>
    </row>
    <row r="6886" spans="1:5">
      <c r="A6886">
        <v>10570</v>
      </c>
      <c r="B6886" t="s">
        <v>176</v>
      </c>
      <c r="C6886">
        <v>299.24999976530671</v>
      </c>
      <c r="D6886">
        <v>15</v>
      </c>
      <c r="E6886" s="80">
        <v>35598</v>
      </c>
    </row>
    <row r="6887" spans="1:5">
      <c r="A6887">
        <v>10570</v>
      </c>
      <c r="B6887" t="s">
        <v>177</v>
      </c>
      <c r="C6887">
        <v>299.24999976530671</v>
      </c>
      <c r="D6887">
        <v>15</v>
      </c>
      <c r="E6887" s="80">
        <v>35598</v>
      </c>
    </row>
    <row r="6888" spans="1:5">
      <c r="A6888">
        <v>10570</v>
      </c>
      <c r="B6888" t="s">
        <v>178</v>
      </c>
      <c r="C6888">
        <v>299.24999976530671</v>
      </c>
      <c r="D6888">
        <v>15</v>
      </c>
      <c r="E6888" s="80">
        <v>35598</v>
      </c>
    </row>
    <row r="6889" spans="1:5">
      <c r="A6889">
        <v>10570</v>
      </c>
      <c r="B6889" t="s">
        <v>179</v>
      </c>
      <c r="C6889">
        <v>299.24999976530671</v>
      </c>
      <c r="D6889">
        <v>15</v>
      </c>
      <c r="E6889" s="80">
        <v>35598</v>
      </c>
    </row>
    <row r="6890" spans="1:5">
      <c r="A6890">
        <v>10570</v>
      </c>
      <c r="B6890" t="s">
        <v>172</v>
      </c>
      <c r="C6890">
        <v>2165.9999983012676</v>
      </c>
      <c r="D6890">
        <v>60</v>
      </c>
      <c r="E6890" s="80">
        <v>35598</v>
      </c>
    </row>
    <row r="6891" spans="1:5">
      <c r="A6891">
        <v>10570</v>
      </c>
      <c r="B6891" t="s">
        <v>173</v>
      </c>
      <c r="C6891">
        <v>2165.9999983012676</v>
      </c>
      <c r="D6891">
        <v>60</v>
      </c>
      <c r="E6891" s="80">
        <v>35598</v>
      </c>
    </row>
    <row r="6892" spans="1:5">
      <c r="A6892">
        <v>10570</v>
      </c>
      <c r="B6892" t="s">
        <v>174</v>
      </c>
      <c r="C6892">
        <v>2165.9999983012676</v>
      </c>
      <c r="D6892">
        <v>60</v>
      </c>
      <c r="E6892" s="80">
        <v>35598</v>
      </c>
    </row>
    <row r="6893" spans="1:5">
      <c r="A6893">
        <v>10570</v>
      </c>
      <c r="B6893" t="s">
        <v>175</v>
      </c>
      <c r="C6893">
        <v>2165.9999983012676</v>
      </c>
      <c r="D6893">
        <v>60</v>
      </c>
      <c r="E6893" s="80">
        <v>35598</v>
      </c>
    </row>
    <row r="6894" spans="1:5">
      <c r="A6894">
        <v>10570</v>
      </c>
      <c r="B6894" t="s">
        <v>176</v>
      </c>
      <c r="C6894">
        <v>2165.9999983012676</v>
      </c>
      <c r="D6894">
        <v>60</v>
      </c>
      <c r="E6894" s="80">
        <v>35598</v>
      </c>
    </row>
    <row r="6895" spans="1:5">
      <c r="A6895">
        <v>10570</v>
      </c>
      <c r="B6895" t="s">
        <v>177</v>
      </c>
      <c r="C6895">
        <v>2165.9999983012676</v>
      </c>
      <c r="D6895">
        <v>60</v>
      </c>
      <c r="E6895" s="80">
        <v>35598</v>
      </c>
    </row>
    <row r="6896" spans="1:5">
      <c r="A6896">
        <v>10570</v>
      </c>
      <c r="B6896" t="s">
        <v>178</v>
      </c>
      <c r="C6896">
        <v>2165.9999983012676</v>
      </c>
      <c r="D6896">
        <v>60</v>
      </c>
      <c r="E6896" s="80">
        <v>35598</v>
      </c>
    </row>
    <row r="6897" spans="1:5">
      <c r="A6897">
        <v>10570</v>
      </c>
      <c r="B6897" t="s">
        <v>179</v>
      </c>
      <c r="C6897">
        <v>2165.9999983012676</v>
      </c>
      <c r="D6897">
        <v>60</v>
      </c>
      <c r="E6897" s="80">
        <v>35598</v>
      </c>
    </row>
    <row r="6898" spans="1:5">
      <c r="A6898">
        <v>10571</v>
      </c>
      <c r="B6898" t="s">
        <v>172</v>
      </c>
      <c r="C6898">
        <v>217.38749847561121</v>
      </c>
      <c r="D6898">
        <v>11</v>
      </c>
      <c r="E6898" s="80">
        <v>35598</v>
      </c>
    </row>
    <row r="6899" spans="1:5">
      <c r="A6899">
        <v>10571</v>
      </c>
      <c r="B6899" t="s">
        <v>173</v>
      </c>
      <c r="C6899">
        <v>217.38749847561121</v>
      </c>
      <c r="D6899">
        <v>11</v>
      </c>
      <c r="E6899" s="80">
        <v>35598</v>
      </c>
    </row>
    <row r="6900" spans="1:5">
      <c r="A6900">
        <v>10571</v>
      </c>
      <c r="B6900" t="s">
        <v>174</v>
      </c>
      <c r="C6900">
        <v>217.38749847561121</v>
      </c>
      <c r="D6900">
        <v>11</v>
      </c>
      <c r="E6900" s="80">
        <v>35598</v>
      </c>
    </row>
    <row r="6901" spans="1:5">
      <c r="A6901">
        <v>10571</v>
      </c>
      <c r="B6901" t="s">
        <v>175</v>
      </c>
      <c r="C6901">
        <v>217.38749847561121</v>
      </c>
      <c r="D6901">
        <v>11</v>
      </c>
      <c r="E6901" s="80">
        <v>35598</v>
      </c>
    </row>
    <row r="6902" spans="1:5">
      <c r="A6902">
        <v>10571</v>
      </c>
      <c r="B6902" t="s">
        <v>176</v>
      </c>
      <c r="C6902">
        <v>217.38749847561121</v>
      </c>
      <c r="D6902">
        <v>11</v>
      </c>
      <c r="E6902" s="80">
        <v>35598</v>
      </c>
    </row>
    <row r="6903" spans="1:5">
      <c r="A6903">
        <v>10571</v>
      </c>
      <c r="B6903" t="s">
        <v>177</v>
      </c>
      <c r="C6903">
        <v>217.38749847561121</v>
      </c>
      <c r="D6903">
        <v>11</v>
      </c>
      <c r="E6903" s="80">
        <v>35598</v>
      </c>
    </row>
    <row r="6904" spans="1:5">
      <c r="A6904">
        <v>10571</v>
      </c>
      <c r="B6904" t="s">
        <v>178</v>
      </c>
      <c r="C6904">
        <v>217.38749847561121</v>
      </c>
      <c r="D6904">
        <v>11</v>
      </c>
      <c r="E6904" s="80">
        <v>35598</v>
      </c>
    </row>
    <row r="6905" spans="1:5">
      <c r="A6905">
        <v>10571</v>
      </c>
      <c r="B6905" t="s">
        <v>179</v>
      </c>
      <c r="C6905">
        <v>217.38749847561121</v>
      </c>
      <c r="D6905">
        <v>11</v>
      </c>
      <c r="E6905" s="80">
        <v>35598</v>
      </c>
    </row>
    <row r="6906" spans="1:5">
      <c r="A6906">
        <v>10571</v>
      </c>
      <c r="B6906" t="s">
        <v>172</v>
      </c>
      <c r="C6906">
        <v>333.19999766349792</v>
      </c>
      <c r="D6906">
        <v>28</v>
      </c>
      <c r="E6906" s="80">
        <v>35598</v>
      </c>
    </row>
    <row r="6907" spans="1:5">
      <c r="A6907">
        <v>10571</v>
      </c>
      <c r="B6907" t="s">
        <v>173</v>
      </c>
      <c r="C6907">
        <v>333.19999766349792</v>
      </c>
      <c r="D6907">
        <v>28</v>
      </c>
      <c r="E6907" s="80">
        <v>35598</v>
      </c>
    </row>
    <row r="6908" spans="1:5">
      <c r="A6908">
        <v>10571</v>
      </c>
      <c r="B6908" t="s">
        <v>174</v>
      </c>
      <c r="C6908">
        <v>333.19999766349792</v>
      </c>
      <c r="D6908">
        <v>28</v>
      </c>
      <c r="E6908" s="80">
        <v>35598</v>
      </c>
    </row>
    <row r="6909" spans="1:5">
      <c r="A6909">
        <v>10571</v>
      </c>
      <c r="B6909" t="s">
        <v>175</v>
      </c>
      <c r="C6909">
        <v>333.19999766349792</v>
      </c>
      <c r="D6909">
        <v>28</v>
      </c>
      <c r="E6909" s="80">
        <v>35598</v>
      </c>
    </row>
    <row r="6910" spans="1:5">
      <c r="A6910">
        <v>10571</v>
      </c>
      <c r="B6910" t="s">
        <v>176</v>
      </c>
      <c r="C6910">
        <v>333.19999766349792</v>
      </c>
      <c r="D6910">
        <v>28</v>
      </c>
      <c r="E6910" s="80">
        <v>35598</v>
      </c>
    </row>
    <row r="6911" spans="1:5">
      <c r="A6911">
        <v>10571</v>
      </c>
      <c r="B6911" t="s">
        <v>177</v>
      </c>
      <c r="C6911">
        <v>333.19999766349792</v>
      </c>
      <c r="D6911">
        <v>28</v>
      </c>
      <c r="E6911" s="80">
        <v>35598</v>
      </c>
    </row>
    <row r="6912" spans="1:5">
      <c r="A6912">
        <v>10571</v>
      </c>
      <c r="B6912" t="s">
        <v>178</v>
      </c>
      <c r="C6912">
        <v>333.19999766349792</v>
      </c>
      <c r="D6912">
        <v>28</v>
      </c>
      <c r="E6912" s="80">
        <v>35598</v>
      </c>
    </row>
    <row r="6913" spans="1:5">
      <c r="A6913">
        <v>10571</v>
      </c>
      <c r="B6913" t="s">
        <v>179</v>
      </c>
      <c r="C6913">
        <v>333.19999766349792</v>
      </c>
      <c r="D6913">
        <v>28</v>
      </c>
      <c r="E6913" s="80">
        <v>35598</v>
      </c>
    </row>
    <row r="6914" spans="1:5">
      <c r="A6914">
        <v>10572</v>
      </c>
      <c r="B6914" t="s">
        <v>172</v>
      </c>
      <c r="C6914">
        <v>188.45999968796968</v>
      </c>
      <c r="D6914">
        <v>12</v>
      </c>
      <c r="E6914" s="80">
        <v>35599</v>
      </c>
    </row>
    <row r="6915" spans="1:5">
      <c r="A6915">
        <v>10572</v>
      </c>
      <c r="B6915" t="s">
        <v>173</v>
      </c>
      <c r="C6915">
        <v>188.45999968796968</v>
      </c>
      <c r="D6915">
        <v>12</v>
      </c>
      <c r="E6915" s="80">
        <v>35599</v>
      </c>
    </row>
    <row r="6916" spans="1:5">
      <c r="A6916">
        <v>10572</v>
      </c>
      <c r="B6916" t="s">
        <v>174</v>
      </c>
      <c r="C6916">
        <v>188.45999968796968</v>
      </c>
      <c r="D6916">
        <v>12</v>
      </c>
      <c r="E6916" s="80">
        <v>35599</v>
      </c>
    </row>
    <row r="6917" spans="1:5">
      <c r="A6917">
        <v>10572</v>
      </c>
      <c r="B6917" t="s">
        <v>175</v>
      </c>
      <c r="C6917">
        <v>188.45999968796968</v>
      </c>
      <c r="D6917">
        <v>12</v>
      </c>
      <c r="E6917" s="80">
        <v>35599</v>
      </c>
    </row>
    <row r="6918" spans="1:5">
      <c r="A6918">
        <v>10572</v>
      </c>
      <c r="B6918" t="s">
        <v>176</v>
      </c>
      <c r="C6918">
        <v>188.45999968796968</v>
      </c>
      <c r="D6918">
        <v>12</v>
      </c>
      <c r="E6918" s="80">
        <v>35599</v>
      </c>
    </row>
    <row r="6919" spans="1:5">
      <c r="A6919">
        <v>10572</v>
      </c>
      <c r="B6919" t="s">
        <v>177</v>
      </c>
      <c r="C6919">
        <v>188.45999968796968</v>
      </c>
      <c r="D6919">
        <v>12</v>
      </c>
      <c r="E6919" s="80">
        <v>35599</v>
      </c>
    </row>
    <row r="6920" spans="1:5">
      <c r="A6920">
        <v>10572</v>
      </c>
      <c r="B6920" t="s">
        <v>178</v>
      </c>
      <c r="C6920">
        <v>188.45999968796968</v>
      </c>
      <c r="D6920">
        <v>12</v>
      </c>
      <c r="E6920" s="80">
        <v>35599</v>
      </c>
    </row>
    <row r="6921" spans="1:5">
      <c r="A6921">
        <v>10572</v>
      </c>
      <c r="B6921" t="s">
        <v>179</v>
      </c>
      <c r="C6921">
        <v>188.45999968796968</v>
      </c>
      <c r="D6921">
        <v>12</v>
      </c>
      <c r="E6921" s="80">
        <v>35599</v>
      </c>
    </row>
    <row r="6922" spans="1:5">
      <c r="A6922">
        <v>10572</v>
      </c>
      <c r="B6922" t="s">
        <v>172</v>
      </c>
      <c r="C6922">
        <v>287.99999952316284</v>
      </c>
      <c r="D6922">
        <v>10</v>
      </c>
      <c r="E6922" s="80">
        <v>35599</v>
      </c>
    </row>
    <row r="6923" spans="1:5">
      <c r="A6923">
        <v>10572</v>
      </c>
      <c r="B6923" t="s">
        <v>173</v>
      </c>
      <c r="C6923">
        <v>287.99999952316284</v>
      </c>
      <c r="D6923">
        <v>10</v>
      </c>
      <c r="E6923" s="80">
        <v>35599</v>
      </c>
    </row>
    <row r="6924" spans="1:5">
      <c r="A6924">
        <v>10572</v>
      </c>
      <c r="B6924" t="s">
        <v>174</v>
      </c>
      <c r="C6924">
        <v>287.99999952316284</v>
      </c>
      <c r="D6924">
        <v>10</v>
      </c>
      <c r="E6924" s="80">
        <v>35599</v>
      </c>
    </row>
    <row r="6925" spans="1:5">
      <c r="A6925">
        <v>10572</v>
      </c>
      <c r="B6925" t="s">
        <v>175</v>
      </c>
      <c r="C6925">
        <v>287.99999952316284</v>
      </c>
      <c r="D6925">
        <v>10</v>
      </c>
      <c r="E6925" s="80">
        <v>35599</v>
      </c>
    </row>
    <row r="6926" spans="1:5">
      <c r="A6926">
        <v>10572</v>
      </c>
      <c r="B6926" t="s">
        <v>176</v>
      </c>
      <c r="C6926">
        <v>287.99999952316284</v>
      </c>
      <c r="D6926">
        <v>10</v>
      </c>
      <c r="E6926" s="80">
        <v>35599</v>
      </c>
    </row>
    <row r="6927" spans="1:5">
      <c r="A6927">
        <v>10572</v>
      </c>
      <c r="B6927" t="s">
        <v>177</v>
      </c>
      <c r="C6927">
        <v>287.99999952316284</v>
      </c>
      <c r="D6927">
        <v>10</v>
      </c>
      <c r="E6927" s="80">
        <v>35599</v>
      </c>
    </row>
    <row r="6928" spans="1:5">
      <c r="A6928">
        <v>10572</v>
      </c>
      <c r="B6928" t="s">
        <v>178</v>
      </c>
      <c r="C6928">
        <v>287.99999952316284</v>
      </c>
      <c r="D6928">
        <v>10</v>
      </c>
      <c r="E6928" s="80">
        <v>35599</v>
      </c>
    </row>
    <row r="6929" spans="1:5">
      <c r="A6929">
        <v>10572</v>
      </c>
      <c r="B6929" t="s">
        <v>179</v>
      </c>
      <c r="C6929">
        <v>287.99999952316284</v>
      </c>
      <c r="D6929">
        <v>10</v>
      </c>
      <c r="E6929" s="80">
        <v>35599</v>
      </c>
    </row>
    <row r="6930" spans="1:5">
      <c r="A6930">
        <v>10572</v>
      </c>
      <c r="B6930" t="s">
        <v>172</v>
      </c>
      <c r="C6930">
        <v>920</v>
      </c>
      <c r="D6930">
        <v>50</v>
      </c>
      <c r="E6930" s="80">
        <v>35599</v>
      </c>
    </row>
    <row r="6931" spans="1:5">
      <c r="A6931">
        <v>10572</v>
      </c>
      <c r="B6931" t="s">
        <v>173</v>
      </c>
      <c r="C6931">
        <v>920</v>
      </c>
      <c r="D6931">
        <v>50</v>
      </c>
      <c r="E6931" s="80">
        <v>35599</v>
      </c>
    </row>
    <row r="6932" spans="1:5">
      <c r="A6932">
        <v>10572</v>
      </c>
      <c r="B6932" t="s">
        <v>174</v>
      </c>
      <c r="C6932">
        <v>920</v>
      </c>
      <c r="D6932">
        <v>50</v>
      </c>
      <c r="E6932" s="80">
        <v>35599</v>
      </c>
    </row>
    <row r="6933" spans="1:5">
      <c r="A6933">
        <v>10572</v>
      </c>
      <c r="B6933" t="s">
        <v>175</v>
      </c>
      <c r="C6933">
        <v>920</v>
      </c>
      <c r="D6933">
        <v>50</v>
      </c>
      <c r="E6933" s="80">
        <v>35599</v>
      </c>
    </row>
    <row r="6934" spans="1:5">
      <c r="A6934">
        <v>10572</v>
      </c>
      <c r="B6934" t="s">
        <v>176</v>
      </c>
      <c r="C6934">
        <v>920</v>
      </c>
      <c r="D6934">
        <v>50</v>
      </c>
      <c r="E6934" s="80">
        <v>35599</v>
      </c>
    </row>
    <row r="6935" spans="1:5">
      <c r="A6935">
        <v>10572</v>
      </c>
      <c r="B6935" t="s">
        <v>177</v>
      </c>
      <c r="C6935">
        <v>920</v>
      </c>
      <c r="D6935">
        <v>50</v>
      </c>
      <c r="E6935" s="80">
        <v>35599</v>
      </c>
    </row>
    <row r="6936" spans="1:5">
      <c r="A6936">
        <v>10572</v>
      </c>
      <c r="B6936" t="s">
        <v>178</v>
      </c>
      <c r="C6936">
        <v>920</v>
      </c>
      <c r="D6936">
        <v>50</v>
      </c>
      <c r="E6936" s="80">
        <v>35599</v>
      </c>
    </row>
    <row r="6937" spans="1:5">
      <c r="A6937">
        <v>10572</v>
      </c>
      <c r="B6937" t="s">
        <v>179</v>
      </c>
      <c r="C6937">
        <v>920</v>
      </c>
      <c r="D6937">
        <v>50</v>
      </c>
      <c r="E6937" s="80">
        <v>35599</v>
      </c>
    </row>
    <row r="6938" spans="1:5">
      <c r="A6938">
        <v>10572</v>
      </c>
      <c r="B6938" t="s">
        <v>172</v>
      </c>
      <c r="C6938">
        <v>104.624999826774</v>
      </c>
      <c r="D6938">
        <v>15</v>
      </c>
      <c r="E6938" s="80">
        <v>35599</v>
      </c>
    </row>
    <row r="6939" spans="1:5">
      <c r="A6939">
        <v>10572</v>
      </c>
      <c r="B6939" t="s">
        <v>173</v>
      </c>
      <c r="C6939">
        <v>104.624999826774</v>
      </c>
      <c r="D6939">
        <v>15</v>
      </c>
      <c r="E6939" s="80">
        <v>35599</v>
      </c>
    </row>
    <row r="6940" spans="1:5">
      <c r="A6940">
        <v>10572</v>
      </c>
      <c r="B6940" t="s">
        <v>174</v>
      </c>
      <c r="C6940">
        <v>104.624999826774</v>
      </c>
      <c r="D6940">
        <v>15</v>
      </c>
      <c r="E6940" s="80">
        <v>35599</v>
      </c>
    </row>
    <row r="6941" spans="1:5">
      <c r="A6941">
        <v>10572</v>
      </c>
      <c r="B6941" t="s">
        <v>175</v>
      </c>
      <c r="C6941">
        <v>104.624999826774</v>
      </c>
      <c r="D6941">
        <v>15</v>
      </c>
      <c r="E6941" s="80">
        <v>35599</v>
      </c>
    </row>
    <row r="6942" spans="1:5">
      <c r="A6942">
        <v>10572</v>
      </c>
      <c r="B6942" t="s">
        <v>176</v>
      </c>
      <c r="C6942">
        <v>104.624999826774</v>
      </c>
      <c r="D6942">
        <v>15</v>
      </c>
      <c r="E6942" s="80">
        <v>35599</v>
      </c>
    </row>
    <row r="6943" spans="1:5">
      <c r="A6943">
        <v>10572</v>
      </c>
      <c r="B6943" t="s">
        <v>177</v>
      </c>
      <c r="C6943">
        <v>104.624999826774</v>
      </c>
      <c r="D6943">
        <v>15</v>
      </c>
      <c r="E6943" s="80">
        <v>35599</v>
      </c>
    </row>
    <row r="6944" spans="1:5">
      <c r="A6944">
        <v>10572</v>
      </c>
      <c r="B6944" t="s">
        <v>178</v>
      </c>
      <c r="C6944">
        <v>104.624999826774</v>
      </c>
      <c r="D6944">
        <v>15</v>
      </c>
      <c r="E6944" s="80">
        <v>35599</v>
      </c>
    </row>
    <row r="6945" spans="1:5">
      <c r="A6945">
        <v>10572</v>
      </c>
      <c r="B6945" t="s">
        <v>179</v>
      </c>
      <c r="C6945">
        <v>104.624999826774</v>
      </c>
      <c r="D6945">
        <v>15</v>
      </c>
      <c r="E6945" s="80">
        <v>35599</v>
      </c>
    </row>
    <row r="6946" spans="1:5">
      <c r="A6946">
        <v>10573</v>
      </c>
      <c r="B6946" t="s">
        <v>172</v>
      </c>
      <c r="C6946">
        <v>702</v>
      </c>
      <c r="D6946">
        <v>18</v>
      </c>
      <c r="E6946" s="80">
        <v>35600</v>
      </c>
    </row>
    <row r="6947" spans="1:5">
      <c r="A6947">
        <v>10573</v>
      </c>
      <c r="B6947" t="s">
        <v>173</v>
      </c>
      <c r="C6947">
        <v>702</v>
      </c>
      <c r="D6947">
        <v>18</v>
      </c>
      <c r="E6947" s="80">
        <v>35600</v>
      </c>
    </row>
    <row r="6948" spans="1:5">
      <c r="A6948">
        <v>10573</v>
      </c>
      <c r="B6948" t="s">
        <v>174</v>
      </c>
      <c r="C6948">
        <v>702</v>
      </c>
      <c r="D6948">
        <v>18</v>
      </c>
      <c r="E6948" s="80">
        <v>35600</v>
      </c>
    </row>
    <row r="6949" spans="1:5">
      <c r="A6949">
        <v>10573</v>
      </c>
      <c r="B6949" t="s">
        <v>175</v>
      </c>
      <c r="C6949">
        <v>702</v>
      </c>
      <c r="D6949">
        <v>18</v>
      </c>
      <c r="E6949" s="80">
        <v>35600</v>
      </c>
    </row>
    <row r="6950" spans="1:5">
      <c r="A6950">
        <v>10573</v>
      </c>
      <c r="B6950" t="s">
        <v>176</v>
      </c>
      <c r="C6950">
        <v>702</v>
      </c>
      <c r="D6950">
        <v>18</v>
      </c>
      <c r="E6950" s="80">
        <v>35600</v>
      </c>
    </row>
    <row r="6951" spans="1:5">
      <c r="A6951">
        <v>10573</v>
      </c>
      <c r="B6951" t="s">
        <v>177</v>
      </c>
      <c r="C6951">
        <v>702</v>
      </c>
      <c r="D6951">
        <v>18</v>
      </c>
      <c r="E6951" s="80">
        <v>35600</v>
      </c>
    </row>
    <row r="6952" spans="1:5">
      <c r="A6952">
        <v>10573</v>
      </c>
      <c r="B6952" t="s">
        <v>178</v>
      </c>
      <c r="C6952">
        <v>702</v>
      </c>
      <c r="D6952">
        <v>18</v>
      </c>
      <c r="E6952" s="80">
        <v>35600</v>
      </c>
    </row>
    <row r="6953" spans="1:5">
      <c r="A6953">
        <v>10573</v>
      </c>
      <c r="B6953" t="s">
        <v>179</v>
      </c>
      <c r="C6953">
        <v>702</v>
      </c>
      <c r="D6953">
        <v>18</v>
      </c>
      <c r="E6953" s="80">
        <v>35600</v>
      </c>
    </row>
    <row r="6954" spans="1:5">
      <c r="A6954">
        <v>10573</v>
      </c>
      <c r="B6954" t="s">
        <v>172</v>
      </c>
      <c r="C6954">
        <v>560</v>
      </c>
      <c r="D6954">
        <v>40</v>
      </c>
      <c r="E6954" s="80">
        <v>35600</v>
      </c>
    </row>
    <row r="6955" spans="1:5">
      <c r="A6955">
        <v>10573</v>
      </c>
      <c r="B6955" t="s">
        <v>173</v>
      </c>
      <c r="C6955">
        <v>560</v>
      </c>
      <c r="D6955">
        <v>40</v>
      </c>
      <c r="E6955" s="80">
        <v>35600</v>
      </c>
    </row>
    <row r="6956" spans="1:5">
      <c r="A6956">
        <v>10573</v>
      </c>
      <c r="B6956" t="s">
        <v>174</v>
      </c>
      <c r="C6956">
        <v>560</v>
      </c>
      <c r="D6956">
        <v>40</v>
      </c>
      <c r="E6956" s="80">
        <v>35600</v>
      </c>
    </row>
    <row r="6957" spans="1:5">
      <c r="A6957">
        <v>10573</v>
      </c>
      <c r="B6957" t="s">
        <v>175</v>
      </c>
      <c r="C6957">
        <v>560</v>
      </c>
      <c r="D6957">
        <v>40</v>
      </c>
      <c r="E6957" s="80">
        <v>35600</v>
      </c>
    </row>
    <row r="6958" spans="1:5">
      <c r="A6958">
        <v>10573</v>
      </c>
      <c r="B6958" t="s">
        <v>176</v>
      </c>
      <c r="C6958">
        <v>560</v>
      </c>
      <c r="D6958">
        <v>40</v>
      </c>
      <c r="E6958" s="80">
        <v>35600</v>
      </c>
    </row>
    <row r="6959" spans="1:5">
      <c r="A6959">
        <v>10573</v>
      </c>
      <c r="B6959" t="s">
        <v>177</v>
      </c>
      <c r="C6959">
        <v>560</v>
      </c>
      <c r="D6959">
        <v>40</v>
      </c>
      <c r="E6959" s="80">
        <v>35600</v>
      </c>
    </row>
    <row r="6960" spans="1:5">
      <c r="A6960">
        <v>10573</v>
      </c>
      <c r="B6960" t="s">
        <v>178</v>
      </c>
      <c r="C6960">
        <v>560</v>
      </c>
      <c r="D6960">
        <v>40</v>
      </c>
      <c r="E6960" s="80">
        <v>35600</v>
      </c>
    </row>
    <row r="6961" spans="1:5">
      <c r="A6961">
        <v>10573</v>
      </c>
      <c r="B6961" t="s">
        <v>179</v>
      </c>
      <c r="C6961">
        <v>560</v>
      </c>
      <c r="D6961">
        <v>40</v>
      </c>
      <c r="E6961" s="80">
        <v>35600</v>
      </c>
    </row>
    <row r="6962" spans="1:5">
      <c r="A6962">
        <v>10573</v>
      </c>
      <c r="B6962" t="s">
        <v>172</v>
      </c>
      <c r="C6962">
        <v>820</v>
      </c>
      <c r="D6962">
        <v>25</v>
      </c>
      <c r="E6962" s="80">
        <v>35600</v>
      </c>
    </row>
    <row r="6963" spans="1:5">
      <c r="A6963">
        <v>10573</v>
      </c>
      <c r="B6963" t="s">
        <v>173</v>
      </c>
      <c r="C6963">
        <v>820</v>
      </c>
      <c r="D6963">
        <v>25</v>
      </c>
      <c r="E6963" s="80">
        <v>35600</v>
      </c>
    </row>
    <row r="6964" spans="1:5">
      <c r="A6964">
        <v>10573</v>
      </c>
      <c r="B6964" t="s">
        <v>174</v>
      </c>
      <c r="C6964">
        <v>820</v>
      </c>
      <c r="D6964">
        <v>25</v>
      </c>
      <c r="E6964" s="80">
        <v>35600</v>
      </c>
    </row>
    <row r="6965" spans="1:5">
      <c r="A6965">
        <v>10573</v>
      </c>
      <c r="B6965" t="s">
        <v>175</v>
      </c>
      <c r="C6965">
        <v>820</v>
      </c>
      <c r="D6965">
        <v>25</v>
      </c>
      <c r="E6965" s="80">
        <v>35600</v>
      </c>
    </row>
    <row r="6966" spans="1:5">
      <c r="A6966">
        <v>10573</v>
      </c>
      <c r="B6966" t="s">
        <v>176</v>
      </c>
      <c r="C6966">
        <v>820</v>
      </c>
      <c r="D6966">
        <v>25</v>
      </c>
      <c r="E6966" s="80">
        <v>35600</v>
      </c>
    </row>
    <row r="6967" spans="1:5">
      <c r="A6967">
        <v>10573</v>
      </c>
      <c r="B6967" t="s">
        <v>177</v>
      </c>
      <c r="C6967">
        <v>820</v>
      </c>
      <c r="D6967">
        <v>25</v>
      </c>
      <c r="E6967" s="80">
        <v>35600</v>
      </c>
    </row>
    <row r="6968" spans="1:5">
      <c r="A6968">
        <v>10573</v>
      </c>
      <c r="B6968" t="s">
        <v>178</v>
      </c>
      <c r="C6968">
        <v>820</v>
      </c>
      <c r="D6968">
        <v>25</v>
      </c>
      <c r="E6968" s="80">
        <v>35600</v>
      </c>
    </row>
    <row r="6969" spans="1:5">
      <c r="A6969">
        <v>10573</v>
      </c>
      <c r="B6969" t="s">
        <v>179</v>
      </c>
      <c r="C6969">
        <v>820</v>
      </c>
      <c r="D6969">
        <v>25</v>
      </c>
      <c r="E6969" s="80">
        <v>35600</v>
      </c>
    </row>
    <row r="6970" spans="1:5">
      <c r="A6970">
        <v>10574</v>
      </c>
      <c r="B6970" t="s">
        <v>172</v>
      </c>
      <c r="C6970">
        <v>35</v>
      </c>
      <c r="D6970">
        <v>14</v>
      </c>
      <c r="E6970" s="80">
        <v>35600</v>
      </c>
    </row>
    <row r="6971" spans="1:5">
      <c r="A6971">
        <v>10574</v>
      </c>
      <c r="B6971" t="s">
        <v>173</v>
      </c>
      <c r="C6971">
        <v>35</v>
      </c>
      <c r="D6971">
        <v>14</v>
      </c>
      <c r="E6971" s="80">
        <v>35600</v>
      </c>
    </row>
    <row r="6972" spans="1:5">
      <c r="A6972">
        <v>10574</v>
      </c>
      <c r="B6972" t="s">
        <v>174</v>
      </c>
      <c r="C6972">
        <v>35</v>
      </c>
      <c r="D6972">
        <v>14</v>
      </c>
      <c r="E6972" s="80">
        <v>35600</v>
      </c>
    </row>
    <row r="6973" spans="1:5">
      <c r="A6973">
        <v>10574</v>
      </c>
      <c r="B6973" t="s">
        <v>175</v>
      </c>
      <c r="C6973">
        <v>35</v>
      </c>
      <c r="D6973">
        <v>14</v>
      </c>
      <c r="E6973" s="80">
        <v>35600</v>
      </c>
    </row>
    <row r="6974" spans="1:5">
      <c r="A6974">
        <v>10574</v>
      </c>
      <c r="B6974" t="s">
        <v>176</v>
      </c>
      <c r="C6974">
        <v>35</v>
      </c>
      <c r="D6974">
        <v>14</v>
      </c>
      <c r="E6974" s="80">
        <v>35600</v>
      </c>
    </row>
    <row r="6975" spans="1:5">
      <c r="A6975">
        <v>10574</v>
      </c>
      <c r="B6975" t="s">
        <v>177</v>
      </c>
      <c r="C6975">
        <v>35</v>
      </c>
      <c r="D6975">
        <v>14</v>
      </c>
      <c r="E6975" s="80">
        <v>35600</v>
      </c>
    </row>
    <row r="6976" spans="1:5">
      <c r="A6976">
        <v>10574</v>
      </c>
      <c r="B6976" t="s">
        <v>178</v>
      </c>
      <c r="C6976">
        <v>35</v>
      </c>
      <c r="D6976">
        <v>14</v>
      </c>
      <c r="E6976" s="80">
        <v>35600</v>
      </c>
    </row>
    <row r="6977" spans="1:5">
      <c r="A6977">
        <v>10574</v>
      </c>
      <c r="B6977" t="s">
        <v>179</v>
      </c>
      <c r="C6977">
        <v>35</v>
      </c>
      <c r="D6977">
        <v>14</v>
      </c>
      <c r="E6977" s="80">
        <v>35600</v>
      </c>
    </row>
    <row r="6978" spans="1:5">
      <c r="A6978">
        <v>10574</v>
      </c>
      <c r="B6978" t="s">
        <v>172</v>
      </c>
      <c r="C6978">
        <v>36.799999999999997</v>
      </c>
      <c r="D6978">
        <v>2</v>
      </c>
      <c r="E6978" s="80">
        <v>35600</v>
      </c>
    </row>
    <row r="6979" spans="1:5">
      <c r="A6979">
        <v>10574</v>
      </c>
      <c r="B6979" t="s">
        <v>173</v>
      </c>
      <c r="C6979">
        <v>36.799999999999997</v>
      </c>
      <c r="D6979">
        <v>2</v>
      </c>
      <c r="E6979" s="80">
        <v>35600</v>
      </c>
    </row>
    <row r="6980" spans="1:5">
      <c r="A6980">
        <v>10574</v>
      </c>
      <c r="B6980" t="s">
        <v>174</v>
      </c>
      <c r="C6980">
        <v>36.799999999999997</v>
      </c>
      <c r="D6980">
        <v>2</v>
      </c>
      <c r="E6980" s="80">
        <v>35600</v>
      </c>
    </row>
    <row r="6981" spans="1:5">
      <c r="A6981">
        <v>10574</v>
      </c>
      <c r="B6981" t="s">
        <v>175</v>
      </c>
      <c r="C6981">
        <v>36.799999999999997</v>
      </c>
      <c r="D6981">
        <v>2</v>
      </c>
      <c r="E6981" s="80">
        <v>35600</v>
      </c>
    </row>
    <row r="6982" spans="1:5">
      <c r="A6982">
        <v>10574</v>
      </c>
      <c r="B6982" t="s">
        <v>176</v>
      </c>
      <c r="C6982">
        <v>36.799999999999997</v>
      </c>
      <c r="D6982">
        <v>2</v>
      </c>
      <c r="E6982" s="80">
        <v>35600</v>
      </c>
    </row>
    <row r="6983" spans="1:5">
      <c r="A6983">
        <v>10574</v>
      </c>
      <c r="B6983" t="s">
        <v>177</v>
      </c>
      <c r="C6983">
        <v>36.799999999999997</v>
      </c>
      <c r="D6983">
        <v>2</v>
      </c>
      <c r="E6983" s="80">
        <v>35600</v>
      </c>
    </row>
    <row r="6984" spans="1:5">
      <c r="A6984">
        <v>10574</v>
      </c>
      <c r="B6984" t="s">
        <v>178</v>
      </c>
      <c r="C6984">
        <v>36.799999999999997</v>
      </c>
      <c r="D6984">
        <v>2</v>
      </c>
      <c r="E6984" s="80">
        <v>35600</v>
      </c>
    </row>
    <row r="6985" spans="1:5">
      <c r="A6985">
        <v>10574</v>
      </c>
      <c r="B6985" t="s">
        <v>179</v>
      </c>
      <c r="C6985">
        <v>36.799999999999997</v>
      </c>
      <c r="D6985">
        <v>2</v>
      </c>
      <c r="E6985" s="80">
        <v>35600</v>
      </c>
    </row>
    <row r="6986" spans="1:5">
      <c r="A6986">
        <v>10574</v>
      </c>
      <c r="B6986" t="s">
        <v>172</v>
      </c>
      <c r="C6986">
        <v>493</v>
      </c>
      <c r="D6986">
        <v>10</v>
      </c>
      <c r="E6986" s="80">
        <v>35600</v>
      </c>
    </row>
    <row r="6987" spans="1:5">
      <c r="A6987">
        <v>10574</v>
      </c>
      <c r="B6987" t="s">
        <v>173</v>
      </c>
      <c r="C6987">
        <v>493</v>
      </c>
      <c r="D6987">
        <v>10</v>
      </c>
      <c r="E6987" s="80">
        <v>35600</v>
      </c>
    </row>
    <row r="6988" spans="1:5">
      <c r="A6988">
        <v>10574</v>
      </c>
      <c r="B6988" t="s">
        <v>174</v>
      </c>
      <c r="C6988">
        <v>493</v>
      </c>
      <c r="D6988">
        <v>10</v>
      </c>
      <c r="E6988" s="80">
        <v>35600</v>
      </c>
    </row>
    <row r="6989" spans="1:5">
      <c r="A6989">
        <v>10574</v>
      </c>
      <c r="B6989" t="s">
        <v>175</v>
      </c>
      <c r="C6989">
        <v>493</v>
      </c>
      <c r="D6989">
        <v>10</v>
      </c>
      <c r="E6989" s="80">
        <v>35600</v>
      </c>
    </row>
    <row r="6990" spans="1:5">
      <c r="A6990">
        <v>10574</v>
      </c>
      <c r="B6990" t="s">
        <v>176</v>
      </c>
      <c r="C6990">
        <v>493</v>
      </c>
      <c r="D6990">
        <v>10</v>
      </c>
      <c r="E6990" s="80">
        <v>35600</v>
      </c>
    </row>
    <row r="6991" spans="1:5">
      <c r="A6991">
        <v>10574</v>
      </c>
      <c r="B6991" t="s">
        <v>177</v>
      </c>
      <c r="C6991">
        <v>493</v>
      </c>
      <c r="D6991">
        <v>10</v>
      </c>
      <c r="E6991" s="80">
        <v>35600</v>
      </c>
    </row>
    <row r="6992" spans="1:5">
      <c r="A6992">
        <v>10574</v>
      </c>
      <c r="B6992" t="s">
        <v>178</v>
      </c>
      <c r="C6992">
        <v>493</v>
      </c>
      <c r="D6992">
        <v>10</v>
      </c>
      <c r="E6992" s="80">
        <v>35600</v>
      </c>
    </row>
    <row r="6993" spans="1:5">
      <c r="A6993">
        <v>10574</v>
      </c>
      <c r="B6993" t="s">
        <v>179</v>
      </c>
      <c r="C6993">
        <v>493</v>
      </c>
      <c r="D6993">
        <v>10</v>
      </c>
      <c r="E6993" s="80">
        <v>35600</v>
      </c>
    </row>
    <row r="6994" spans="1:5">
      <c r="A6994">
        <v>10574</v>
      </c>
      <c r="B6994" t="s">
        <v>172</v>
      </c>
      <c r="C6994">
        <v>199.5</v>
      </c>
      <c r="D6994">
        <v>6</v>
      </c>
      <c r="E6994" s="80">
        <v>35600</v>
      </c>
    </row>
    <row r="6995" spans="1:5">
      <c r="A6995">
        <v>10574</v>
      </c>
      <c r="B6995" t="s">
        <v>173</v>
      </c>
      <c r="C6995">
        <v>199.5</v>
      </c>
      <c r="D6995">
        <v>6</v>
      </c>
      <c r="E6995" s="80">
        <v>35600</v>
      </c>
    </row>
    <row r="6996" spans="1:5">
      <c r="A6996">
        <v>10574</v>
      </c>
      <c r="B6996" t="s">
        <v>174</v>
      </c>
      <c r="C6996">
        <v>199.5</v>
      </c>
      <c r="D6996">
        <v>6</v>
      </c>
      <c r="E6996" s="80">
        <v>35600</v>
      </c>
    </row>
    <row r="6997" spans="1:5">
      <c r="A6997">
        <v>10574</v>
      </c>
      <c r="B6997" t="s">
        <v>175</v>
      </c>
      <c r="C6997">
        <v>199.5</v>
      </c>
      <c r="D6997">
        <v>6</v>
      </c>
      <c r="E6997" s="80">
        <v>35600</v>
      </c>
    </row>
    <row r="6998" spans="1:5">
      <c r="A6998">
        <v>10574</v>
      </c>
      <c r="B6998" t="s">
        <v>176</v>
      </c>
      <c r="C6998">
        <v>199.5</v>
      </c>
      <c r="D6998">
        <v>6</v>
      </c>
      <c r="E6998" s="80">
        <v>35600</v>
      </c>
    </row>
    <row r="6999" spans="1:5">
      <c r="A6999">
        <v>10574</v>
      </c>
      <c r="B6999" t="s">
        <v>177</v>
      </c>
      <c r="C6999">
        <v>199.5</v>
      </c>
      <c r="D6999">
        <v>6</v>
      </c>
      <c r="E6999" s="80">
        <v>35600</v>
      </c>
    </row>
    <row r="7000" spans="1:5">
      <c r="A7000">
        <v>10574</v>
      </c>
      <c r="B7000" t="s">
        <v>178</v>
      </c>
      <c r="C7000">
        <v>199.5</v>
      </c>
      <c r="D7000">
        <v>6</v>
      </c>
      <c r="E7000" s="80">
        <v>35600</v>
      </c>
    </row>
    <row r="7001" spans="1:5">
      <c r="A7001">
        <v>10574</v>
      </c>
      <c r="B7001" t="s">
        <v>179</v>
      </c>
      <c r="C7001">
        <v>199.5</v>
      </c>
      <c r="D7001">
        <v>6</v>
      </c>
      <c r="E7001" s="80">
        <v>35600</v>
      </c>
    </row>
    <row r="7002" spans="1:5">
      <c r="A7002">
        <v>10575</v>
      </c>
      <c r="B7002" t="s">
        <v>172</v>
      </c>
      <c r="C7002">
        <v>660</v>
      </c>
      <c r="D7002">
        <v>12</v>
      </c>
      <c r="E7002" s="80">
        <v>35601</v>
      </c>
    </row>
    <row r="7003" spans="1:5">
      <c r="A7003">
        <v>10575</v>
      </c>
      <c r="B7003" t="s">
        <v>173</v>
      </c>
      <c r="C7003">
        <v>660</v>
      </c>
      <c r="D7003">
        <v>12</v>
      </c>
      <c r="E7003" s="80">
        <v>35601</v>
      </c>
    </row>
    <row r="7004" spans="1:5">
      <c r="A7004">
        <v>10575</v>
      </c>
      <c r="B7004" t="s">
        <v>174</v>
      </c>
      <c r="C7004">
        <v>660</v>
      </c>
      <c r="D7004">
        <v>12</v>
      </c>
      <c r="E7004" s="80">
        <v>35601</v>
      </c>
    </row>
    <row r="7005" spans="1:5">
      <c r="A7005">
        <v>10575</v>
      </c>
      <c r="B7005" t="s">
        <v>175</v>
      </c>
      <c r="C7005">
        <v>660</v>
      </c>
      <c r="D7005">
        <v>12</v>
      </c>
      <c r="E7005" s="80">
        <v>35601</v>
      </c>
    </row>
    <row r="7006" spans="1:5">
      <c r="A7006">
        <v>10575</v>
      </c>
      <c r="B7006" t="s">
        <v>176</v>
      </c>
      <c r="C7006">
        <v>660</v>
      </c>
      <c r="D7006">
        <v>12</v>
      </c>
      <c r="E7006" s="80">
        <v>35601</v>
      </c>
    </row>
    <row r="7007" spans="1:5">
      <c r="A7007">
        <v>10575</v>
      </c>
      <c r="B7007" t="s">
        <v>177</v>
      </c>
      <c r="C7007">
        <v>660</v>
      </c>
      <c r="D7007">
        <v>12</v>
      </c>
      <c r="E7007" s="80">
        <v>35601</v>
      </c>
    </row>
    <row r="7008" spans="1:5">
      <c r="A7008">
        <v>10575</v>
      </c>
      <c r="B7008" t="s">
        <v>178</v>
      </c>
      <c r="C7008">
        <v>660</v>
      </c>
      <c r="D7008">
        <v>12</v>
      </c>
      <c r="E7008" s="80">
        <v>35601</v>
      </c>
    </row>
    <row r="7009" spans="1:5">
      <c r="A7009">
        <v>10575</v>
      </c>
      <c r="B7009" t="s">
        <v>179</v>
      </c>
      <c r="C7009">
        <v>660</v>
      </c>
      <c r="D7009">
        <v>12</v>
      </c>
      <c r="E7009" s="80">
        <v>35601</v>
      </c>
    </row>
    <row r="7010" spans="1:5">
      <c r="A7010">
        <v>10575</v>
      </c>
      <c r="B7010" t="s">
        <v>172</v>
      </c>
      <c r="C7010">
        <v>263.39999999999998</v>
      </c>
      <c r="D7010">
        <v>6</v>
      </c>
      <c r="E7010" s="80">
        <v>35601</v>
      </c>
    </row>
    <row r="7011" spans="1:5">
      <c r="A7011">
        <v>10575</v>
      </c>
      <c r="B7011" t="s">
        <v>173</v>
      </c>
      <c r="C7011">
        <v>263.39999999999998</v>
      </c>
      <c r="D7011">
        <v>6</v>
      </c>
      <c r="E7011" s="80">
        <v>35601</v>
      </c>
    </row>
    <row r="7012" spans="1:5">
      <c r="A7012">
        <v>10575</v>
      </c>
      <c r="B7012" t="s">
        <v>174</v>
      </c>
      <c r="C7012">
        <v>263.39999999999998</v>
      </c>
      <c r="D7012">
        <v>6</v>
      </c>
      <c r="E7012" s="80">
        <v>35601</v>
      </c>
    </row>
    <row r="7013" spans="1:5">
      <c r="A7013">
        <v>10575</v>
      </c>
      <c r="B7013" t="s">
        <v>175</v>
      </c>
      <c r="C7013">
        <v>263.39999999999998</v>
      </c>
      <c r="D7013">
        <v>6</v>
      </c>
      <c r="E7013" s="80">
        <v>35601</v>
      </c>
    </row>
    <row r="7014" spans="1:5">
      <c r="A7014">
        <v>10575</v>
      </c>
      <c r="B7014" t="s">
        <v>176</v>
      </c>
      <c r="C7014">
        <v>263.39999999999998</v>
      </c>
      <c r="D7014">
        <v>6</v>
      </c>
      <c r="E7014" s="80">
        <v>35601</v>
      </c>
    </row>
    <row r="7015" spans="1:5">
      <c r="A7015">
        <v>10575</v>
      </c>
      <c r="B7015" t="s">
        <v>177</v>
      </c>
      <c r="C7015">
        <v>263.39999999999998</v>
      </c>
      <c r="D7015">
        <v>6</v>
      </c>
      <c r="E7015" s="80">
        <v>35601</v>
      </c>
    </row>
    <row r="7016" spans="1:5">
      <c r="A7016">
        <v>10575</v>
      </c>
      <c r="B7016" t="s">
        <v>178</v>
      </c>
      <c r="C7016">
        <v>263.39999999999998</v>
      </c>
      <c r="D7016">
        <v>6</v>
      </c>
      <c r="E7016" s="80">
        <v>35601</v>
      </c>
    </row>
    <row r="7017" spans="1:5">
      <c r="A7017">
        <v>10575</v>
      </c>
      <c r="B7017" t="s">
        <v>179</v>
      </c>
      <c r="C7017">
        <v>263.39999999999998</v>
      </c>
      <c r="D7017">
        <v>6</v>
      </c>
      <c r="E7017" s="80">
        <v>35601</v>
      </c>
    </row>
    <row r="7018" spans="1:5">
      <c r="A7018">
        <v>10575</v>
      </c>
      <c r="B7018" t="s">
        <v>172</v>
      </c>
      <c r="C7018">
        <v>1044</v>
      </c>
      <c r="D7018">
        <v>30</v>
      </c>
      <c r="E7018" s="80">
        <v>35601</v>
      </c>
    </row>
    <row r="7019" spans="1:5">
      <c r="A7019">
        <v>10575</v>
      </c>
      <c r="B7019" t="s">
        <v>173</v>
      </c>
      <c r="C7019">
        <v>1044</v>
      </c>
      <c r="D7019">
        <v>30</v>
      </c>
      <c r="E7019" s="80">
        <v>35601</v>
      </c>
    </row>
    <row r="7020" spans="1:5">
      <c r="A7020">
        <v>10575</v>
      </c>
      <c r="B7020" t="s">
        <v>174</v>
      </c>
      <c r="C7020">
        <v>1044</v>
      </c>
      <c r="D7020">
        <v>30</v>
      </c>
      <c r="E7020" s="80">
        <v>35601</v>
      </c>
    </row>
    <row r="7021" spans="1:5">
      <c r="A7021">
        <v>10575</v>
      </c>
      <c r="B7021" t="s">
        <v>175</v>
      </c>
      <c r="C7021">
        <v>1044</v>
      </c>
      <c r="D7021">
        <v>30</v>
      </c>
      <c r="E7021" s="80">
        <v>35601</v>
      </c>
    </row>
    <row r="7022" spans="1:5">
      <c r="A7022">
        <v>10575</v>
      </c>
      <c r="B7022" t="s">
        <v>176</v>
      </c>
      <c r="C7022">
        <v>1044</v>
      </c>
      <c r="D7022">
        <v>30</v>
      </c>
      <c r="E7022" s="80">
        <v>35601</v>
      </c>
    </row>
    <row r="7023" spans="1:5">
      <c r="A7023">
        <v>10575</v>
      </c>
      <c r="B7023" t="s">
        <v>177</v>
      </c>
      <c r="C7023">
        <v>1044</v>
      </c>
      <c r="D7023">
        <v>30</v>
      </c>
      <c r="E7023" s="80">
        <v>35601</v>
      </c>
    </row>
    <row r="7024" spans="1:5">
      <c r="A7024">
        <v>10575</v>
      </c>
      <c r="B7024" t="s">
        <v>178</v>
      </c>
      <c r="C7024">
        <v>1044</v>
      </c>
      <c r="D7024">
        <v>30</v>
      </c>
      <c r="E7024" s="80">
        <v>35601</v>
      </c>
    </row>
    <row r="7025" spans="1:5">
      <c r="A7025">
        <v>10575</v>
      </c>
      <c r="B7025" t="s">
        <v>179</v>
      </c>
      <c r="C7025">
        <v>1044</v>
      </c>
      <c r="D7025">
        <v>30</v>
      </c>
      <c r="E7025" s="80">
        <v>35601</v>
      </c>
    </row>
    <row r="7026" spans="1:5">
      <c r="A7026">
        <v>10575</v>
      </c>
      <c r="B7026" t="s">
        <v>172</v>
      </c>
      <c r="C7026">
        <v>180</v>
      </c>
      <c r="D7026">
        <v>10</v>
      </c>
      <c r="E7026" s="80">
        <v>35601</v>
      </c>
    </row>
    <row r="7027" spans="1:5">
      <c r="A7027">
        <v>10575</v>
      </c>
      <c r="B7027" t="s">
        <v>173</v>
      </c>
      <c r="C7027">
        <v>180</v>
      </c>
      <c r="D7027">
        <v>10</v>
      </c>
      <c r="E7027" s="80">
        <v>35601</v>
      </c>
    </row>
    <row r="7028" spans="1:5">
      <c r="A7028">
        <v>10575</v>
      </c>
      <c r="B7028" t="s">
        <v>174</v>
      </c>
      <c r="C7028">
        <v>180</v>
      </c>
      <c r="D7028">
        <v>10</v>
      </c>
      <c r="E7028" s="80">
        <v>35601</v>
      </c>
    </row>
    <row r="7029" spans="1:5">
      <c r="A7029">
        <v>10575</v>
      </c>
      <c r="B7029" t="s">
        <v>175</v>
      </c>
      <c r="C7029">
        <v>180</v>
      </c>
      <c r="D7029">
        <v>10</v>
      </c>
      <c r="E7029" s="80">
        <v>35601</v>
      </c>
    </row>
    <row r="7030" spans="1:5">
      <c r="A7030">
        <v>10575</v>
      </c>
      <c r="B7030" t="s">
        <v>176</v>
      </c>
      <c r="C7030">
        <v>180</v>
      </c>
      <c r="D7030">
        <v>10</v>
      </c>
      <c r="E7030" s="80">
        <v>35601</v>
      </c>
    </row>
    <row r="7031" spans="1:5">
      <c r="A7031">
        <v>10575</v>
      </c>
      <c r="B7031" t="s">
        <v>177</v>
      </c>
      <c r="C7031">
        <v>180</v>
      </c>
      <c r="D7031">
        <v>10</v>
      </c>
      <c r="E7031" s="80">
        <v>35601</v>
      </c>
    </row>
    <row r="7032" spans="1:5">
      <c r="A7032">
        <v>10575</v>
      </c>
      <c r="B7032" t="s">
        <v>178</v>
      </c>
      <c r="C7032">
        <v>180</v>
      </c>
      <c r="D7032">
        <v>10</v>
      </c>
      <c r="E7032" s="80">
        <v>35601</v>
      </c>
    </row>
    <row r="7033" spans="1:5">
      <c r="A7033">
        <v>10575</v>
      </c>
      <c r="B7033" t="s">
        <v>179</v>
      </c>
      <c r="C7033">
        <v>180</v>
      </c>
      <c r="D7033">
        <v>10</v>
      </c>
      <c r="E7033" s="80">
        <v>35601</v>
      </c>
    </row>
    <row r="7034" spans="1:5">
      <c r="A7034">
        <v>10576</v>
      </c>
      <c r="B7034" t="s">
        <v>172</v>
      </c>
      <c r="C7034">
        <v>180</v>
      </c>
      <c r="D7034">
        <v>10</v>
      </c>
      <c r="E7034" s="80">
        <v>35604</v>
      </c>
    </row>
    <row r="7035" spans="1:5">
      <c r="A7035">
        <v>10576</v>
      </c>
      <c r="B7035" t="s">
        <v>173</v>
      </c>
      <c r="C7035">
        <v>180</v>
      </c>
      <c r="D7035">
        <v>10</v>
      </c>
      <c r="E7035" s="80">
        <v>35604</v>
      </c>
    </row>
    <row r="7036" spans="1:5">
      <c r="A7036">
        <v>10576</v>
      </c>
      <c r="B7036" t="s">
        <v>174</v>
      </c>
      <c r="C7036">
        <v>180</v>
      </c>
      <c r="D7036">
        <v>10</v>
      </c>
      <c r="E7036" s="80">
        <v>35604</v>
      </c>
    </row>
    <row r="7037" spans="1:5">
      <c r="A7037">
        <v>10576</v>
      </c>
      <c r="B7037" t="s">
        <v>175</v>
      </c>
      <c r="C7037">
        <v>180</v>
      </c>
      <c r="D7037">
        <v>10</v>
      </c>
      <c r="E7037" s="80">
        <v>35604</v>
      </c>
    </row>
    <row r="7038" spans="1:5">
      <c r="A7038">
        <v>10576</v>
      </c>
      <c r="B7038" t="s">
        <v>176</v>
      </c>
      <c r="C7038">
        <v>180</v>
      </c>
      <c r="D7038">
        <v>10</v>
      </c>
      <c r="E7038" s="80">
        <v>35604</v>
      </c>
    </row>
    <row r="7039" spans="1:5">
      <c r="A7039">
        <v>10576</v>
      </c>
      <c r="B7039" t="s">
        <v>177</v>
      </c>
      <c r="C7039">
        <v>180</v>
      </c>
      <c r="D7039">
        <v>10</v>
      </c>
      <c r="E7039" s="80">
        <v>35604</v>
      </c>
    </row>
    <row r="7040" spans="1:5">
      <c r="A7040">
        <v>10576</v>
      </c>
      <c r="B7040" t="s">
        <v>178</v>
      </c>
      <c r="C7040">
        <v>180</v>
      </c>
      <c r="D7040">
        <v>10</v>
      </c>
      <c r="E7040" s="80">
        <v>35604</v>
      </c>
    </row>
    <row r="7041" spans="1:5">
      <c r="A7041">
        <v>10576</v>
      </c>
      <c r="B7041" t="s">
        <v>179</v>
      </c>
      <c r="C7041">
        <v>180</v>
      </c>
      <c r="D7041">
        <v>10</v>
      </c>
      <c r="E7041" s="80">
        <v>35604</v>
      </c>
    </row>
    <row r="7042" spans="1:5">
      <c r="A7042">
        <v>10576</v>
      </c>
      <c r="B7042" t="s">
        <v>172</v>
      </c>
      <c r="C7042">
        <v>250</v>
      </c>
      <c r="D7042">
        <v>20</v>
      </c>
      <c r="E7042" s="80">
        <v>35604</v>
      </c>
    </row>
    <row r="7043" spans="1:5">
      <c r="A7043">
        <v>10576</v>
      </c>
      <c r="B7043" t="s">
        <v>173</v>
      </c>
      <c r="C7043">
        <v>250</v>
      </c>
      <c r="D7043">
        <v>20</v>
      </c>
      <c r="E7043" s="80">
        <v>35604</v>
      </c>
    </row>
    <row r="7044" spans="1:5">
      <c r="A7044">
        <v>10576</v>
      </c>
      <c r="B7044" t="s">
        <v>174</v>
      </c>
      <c r="C7044">
        <v>250</v>
      </c>
      <c r="D7044">
        <v>20</v>
      </c>
      <c r="E7044" s="80">
        <v>35604</v>
      </c>
    </row>
    <row r="7045" spans="1:5">
      <c r="A7045">
        <v>10576</v>
      </c>
      <c r="B7045" t="s">
        <v>175</v>
      </c>
      <c r="C7045">
        <v>250</v>
      </c>
      <c r="D7045">
        <v>20</v>
      </c>
      <c r="E7045" s="80">
        <v>35604</v>
      </c>
    </row>
    <row r="7046" spans="1:5">
      <c r="A7046">
        <v>10576</v>
      </c>
      <c r="B7046" t="s">
        <v>176</v>
      </c>
      <c r="C7046">
        <v>250</v>
      </c>
      <c r="D7046">
        <v>20</v>
      </c>
      <c r="E7046" s="80">
        <v>35604</v>
      </c>
    </row>
    <row r="7047" spans="1:5">
      <c r="A7047">
        <v>10576</v>
      </c>
      <c r="B7047" t="s">
        <v>177</v>
      </c>
      <c r="C7047">
        <v>250</v>
      </c>
      <c r="D7047">
        <v>20</v>
      </c>
      <c r="E7047" s="80">
        <v>35604</v>
      </c>
    </row>
    <row r="7048" spans="1:5">
      <c r="A7048">
        <v>10576</v>
      </c>
      <c r="B7048" t="s">
        <v>178</v>
      </c>
      <c r="C7048">
        <v>250</v>
      </c>
      <c r="D7048">
        <v>20</v>
      </c>
      <c r="E7048" s="80">
        <v>35604</v>
      </c>
    </row>
    <row r="7049" spans="1:5">
      <c r="A7049">
        <v>10576</v>
      </c>
      <c r="B7049" t="s">
        <v>179</v>
      </c>
      <c r="C7049">
        <v>250</v>
      </c>
      <c r="D7049">
        <v>20</v>
      </c>
      <c r="E7049" s="80">
        <v>35604</v>
      </c>
    </row>
    <row r="7050" spans="1:5">
      <c r="A7050">
        <v>10576</v>
      </c>
      <c r="B7050" t="s">
        <v>172</v>
      </c>
      <c r="C7050">
        <v>408.45</v>
      </c>
      <c r="D7050">
        <v>21</v>
      </c>
      <c r="E7050" s="80">
        <v>35604</v>
      </c>
    </row>
    <row r="7051" spans="1:5">
      <c r="A7051">
        <v>10576</v>
      </c>
      <c r="B7051" t="s">
        <v>173</v>
      </c>
      <c r="C7051">
        <v>408.45</v>
      </c>
      <c r="D7051">
        <v>21</v>
      </c>
      <c r="E7051" s="80">
        <v>35604</v>
      </c>
    </row>
    <row r="7052" spans="1:5">
      <c r="A7052">
        <v>10576</v>
      </c>
      <c r="B7052" t="s">
        <v>174</v>
      </c>
      <c r="C7052">
        <v>408.45</v>
      </c>
      <c r="D7052">
        <v>21</v>
      </c>
      <c r="E7052" s="80">
        <v>35604</v>
      </c>
    </row>
    <row r="7053" spans="1:5">
      <c r="A7053">
        <v>10576</v>
      </c>
      <c r="B7053" t="s">
        <v>175</v>
      </c>
      <c r="C7053">
        <v>408.45</v>
      </c>
      <c r="D7053">
        <v>21</v>
      </c>
      <c r="E7053" s="80">
        <v>35604</v>
      </c>
    </row>
    <row r="7054" spans="1:5">
      <c r="A7054">
        <v>10576</v>
      </c>
      <c r="B7054" t="s">
        <v>176</v>
      </c>
      <c r="C7054">
        <v>408.45</v>
      </c>
      <c r="D7054">
        <v>21</v>
      </c>
      <c r="E7054" s="80">
        <v>35604</v>
      </c>
    </row>
    <row r="7055" spans="1:5">
      <c r="A7055">
        <v>10576</v>
      </c>
      <c r="B7055" t="s">
        <v>177</v>
      </c>
      <c r="C7055">
        <v>408.45</v>
      </c>
      <c r="D7055">
        <v>21</v>
      </c>
      <c r="E7055" s="80">
        <v>35604</v>
      </c>
    </row>
    <row r="7056" spans="1:5">
      <c r="A7056">
        <v>10576</v>
      </c>
      <c r="B7056" t="s">
        <v>178</v>
      </c>
      <c r="C7056">
        <v>408.45</v>
      </c>
      <c r="D7056">
        <v>21</v>
      </c>
      <c r="E7056" s="80">
        <v>35604</v>
      </c>
    </row>
    <row r="7057" spans="1:5">
      <c r="A7057">
        <v>10576</v>
      </c>
      <c r="B7057" t="s">
        <v>179</v>
      </c>
      <c r="C7057">
        <v>408.45</v>
      </c>
      <c r="D7057">
        <v>21</v>
      </c>
      <c r="E7057" s="80">
        <v>35604</v>
      </c>
    </row>
    <row r="7058" spans="1:5">
      <c r="A7058">
        <v>10577</v>
      </c>
      <c r="B7058" t="s">
        <v>172</v>
      </c>
      <c r="C7058">
        <v>180</v>
      </c>
      <c r="D7058">
        <v>10</v>
      </c>
      <c r="E7058" s="80">
        <v>35604</v>
      </c>
    </row>
    <row r="7059" spans="1:5">
      <c r="A7059">
        <v>10577</v>
      </c>
      <c r="B7059" t="s">
        <v>173</v>
      </c>
      <c r="C7059">
        <v>180</v>
      </c>
      <c r="D7059">
        <v>10</v>
      </c>
      <c r="E7059" s="80">
        <v>35604</v>
      </c>
    </row>
    <row r="7060" spans="1:5">
      <c r="A7060">
        <v>10577</v>
      </c>
      <c r="B7060" t="s">
        <v>174</v>
      </c>
      <c r="C7060">
        <v>180</v>
      </c>
      <c r="D7060">
        <v>10</v>
      </c>
      <c r="E7060" s="80">
        <v>35604</v>
      </c>
    </row>
    <row r="7061" spans="1:5">
      <c r="A7061">
        <v>10577</v>
      </c>
      <c r="B7061" t="s">
        <v>175</v>
      </c>
      <c r="C7061">
        <v>180</v>
      </c>
      <c r="D7061">
        <v>10</v>
      </c>
      <c r="E7061" s="80">
        <v>35604</v>
      </c>
    </row>
    <row r="7062" spans="1:5">
      <c r="A7062">
        <v>10577</v>
      </c>
      <c r="B7062" t="s">
        <v>176</v>
      </c>
      <c r="C7062">
        <v>180</v>
      </c>
      <c r="D7062">
        <v>10</v>
      </c>
      <c r="E7062" s="80">
        <v>35604</v>
      </c>
    </row>
    <row r="7063" spans="1:5">
      <c r="A7063">
        <v>10577</v>
      </c>
      <c r="B7063" t="s">
        <v>177</v>
      </c>
      <c r="C7063">
        <v>180</v>
      </c>
      <c r="D7063">
        <v>10</v>
      </c>
      <c r="E7063" s="80">
        <v>35604</v>
      </c>
    </row>
    <row r="7064" spans="1:5">
      <c r="A7064">
        <v>10577</v>
      </c>
      <c r="B7064" t="s">
        <v>178</v>
      </c>
      <c r="C7064">
        <v>180</v>
      </c>
      <c r="D7064">
        <v>10</v>
      </c>
      <c r="E7064" s="80">
        <v>35604</v>
      </c>
    </row>
    <row r="7065" spans="1:5">
      <c r="A7065">
        <v>10577</v>
      </c>
      <c r="B7065" t="s">
        <v>179</v>
      </c>
      <c r="C7065">
        <v>180</v>
      </c>
      <c r="D7065">
        <v>10</v>
      </c>
      <c r="E7065" s="80">
        <v>35604</v>
      </c>
    </row>
    <row r="7066" spans="1:5">
      <c r="A7066">
        <v>10577</v>
      </c>
      <c r="B7066" t="s">
        <v>172</v>
      </c>
      <c r="C7066">
        <v>155</v>
      </c>
      <c r="D7066">
        <v>20</v>
      </c>
      <c r="E7066" s="80">
        <v>35604</v>
      </c>
    </row>
    <row r="7067" spans="1:5">
      <c r="A7067">
        <v>10577</v>
      </c>
      <c r="B7067" t="s">
        <v>173</v>
      </c>
      <c r="C7067">
        <v>155</v>
      </c>
      <c r="D7067">
        <v>20</v>
      </c>
      <c r="E7067" s="80">
        <v>35604</v>
      </c>
    </row>
    <row r="7068" spans="1:5">
      <c r="A7068">
        <v>10577</v>
      </c>
      <c r="B7068" t="s">
        <v>174</v>
      </c>
      <c r="C7068">
        <v>155</v>
      </c>
      <c r="D7068">
        <v>20</v>
      </c>
      <c r="E7068" s="80">
        <v>35604</v>
      </c>
    </row>
    <row r="7069" spans="1:5">
      <c r="A7069">
        <v>10577</v>
      </c>
      <c r="B7069" t="s">
        <v>175</v>
      </c>
      <c r="C7069">
        <v>155</v>
      </c>
      <c r="D7069">
        <v>20</v>
      </c>
      <c r="E7069" s="80">
        <v>35604</v>
      </c>
    </row>
    <row r="7070" spans="1:5">
      <c r="A7070">
        <v>10577</v>
      </c>
      <c r="B7070" t="s">
        <v>176</v>
      </c>
      <c r="C7070">
        <v>155</v>
      </c>
      <c r="D7070">
        <v>20</v>
      </c>
      <c r="E7070" s="80">
        <v>35604</v>
      </c>
    </row>
    <row r="7071" spans="1:5">
      <c r="A7071">
        <v>10577</v>
      </c>
      <c r="B7071" t="s">
        <v>177</v>
      </c>
      <c r="C7071">
        <v>155</v>
      </c>
      <c r="D7071">
        <v>20</v>
      </c>
      <c r="E7071" s="80">
        <v>35604</v>
      </c>
    </row>
    <row r="7072" spans="1:5">
      <c r="A7072">
        <v>10577</v>
      </c>
      <c r="B7072" t="s">
        <v>178</v>
      </c>
      <c r="C7072">
        <v>155</v>
      </c>
      <c r="D7072">
        <v>20</v>
      </c>
      <c r="E7072" s="80">
        <v>35604</v>
      </c>
    </row>
    <row r="7073" spans="1:5">
      <c r="A7073">
        <v>10577</v>
      </c>
      <c r="B7073" t="s">
        <v>179</v>
      </c>
      <c r="C7073">
        <v>155</v>
      </c>
      <c r="D7073">
        <v>20</v>
      </c>
      <c r="E7073" s="80">
        <v>35604</v>
      </c>
    </row>
    <row r="7074" spans="1:5">
      <c r="A7074">
        <v>10577</v>
      </c>
      <c r="B7074" t="s">
        <v>172</v>
      </c>
      <c r="C7074">
        <v>234</v>
      </c>
      <c r="D7074">
        <v>18</v>
      </c>
      <c r="E7074" s="80">
        <v>35604</v>
      </c>
    </row>
    <row r="7075" spans="1:5">
      <c r="A7075">
        <v>10577</v>
      </c>
      <c r="B7075" t="s">
        <v>173</v>
      </c>
      <c r="C7075">
        <v>234</v>
      </c>
      <c r="D7075">
        <v>18</v>
      </c>
      <c r="E7075" s="80">
        <v>35604</v>
      </c>
    </row>
    <row r="7076" spans="1:5">
      <c r="A7076">
        <v>10577</v>
      </c>
      <c r="B7076" t="s">
        <v>174</v>
      </c>
      <c r="C7076">
        <v>234</v>
      </c>
      <c r="D7076">
        <v>18</v>
      </c>
      <c r="E7076" s="80">
        <v>35604</v>
      </c>
    </row>
    <row r="7077" spans="1:5">
      <c r="A7077">
        <v>10577</v>
      </c>
      <c r="B7077" t="s">
        <v>175</v>
      </c>
      <c r="C7077">
        <v>234</v>
      </c>
      <c r="D7077">
        <v>18</v>
      </c>
      <c r="E7077" s="80">
        <v>35604</v>
      </c>
    </row>
    <row r="7078" spans="1:5">
      <c r="A7078">
        <v>10577</v>
      </c>
      <c r="B7078" t="s">
        <v>176</v>
      </c>
      <c r="C7078">
        <v>234</v>
      </c>
      <c r="D7078">
        <v>18</v>
      </c>
      <c r="E7078" s="80">
        <v>35604</v>
      </c>
    </row>
    <row r="7079" spans="1:5">
      <c r="A7079">
        <v>10577</v>
      </c>
      <c r="B7079" t="s">
        <v>177</v>
      </c>
      <c r="C7079">
        <v>234</v>
      </c>
      <c r="D7079">
        <v>18</v>
      </c>
      <c r="E7079" s="80">
        <v>35604</v>
      </c>
    </row>
    <row r="7080" spans="1:5">
      <c r="A7080">
        <v>10577</v>
      </c>
      <c r="B7080" t="s">
        <v>178</v>
      </c>
      <c r="C7080">
        <v>234</v>
      </c>
      <c r="D7080">
        <v>18</v>
      </c>
      <c r="E7080" s="80">
        <v>35604</v>
      </c>
    </row>
    <row r="7081" spans="1:5">
      <c r="A7081">
        <v>10577</v>
      </c>
      <c r="B7081" t="s">
        <v>179</v>
      </c>
      <c r="C7081">
        <v>234</v>
      </c>
      <c r="D7081">
        <v>18</v>
      </c>
      <c r="E7081" s="80">
        <v>35604</v>
      </c>
    </row>
    <row r="7082" spans="1:5">
      <c r="A7082">
        <v>10578</v>
      </c>
      <c r="B7082" t="s">
        <v>172</v>
      </c>
      <c r="C7082">
        <v>360</v>
      </c>
      <c r="D7082">
        <v>20</v>
      </c>
      <c r="E7082" s="80">
        <v>35605</v>
      </c>
    </row>
    <row r="7083" spans="1:5">
      <c r="A7083">
        <v>10578</v>
      </c>
      <c r="B7083" t="s">
        <v>173</v>
      </c>
      <c r="C7083">
        <v>360</v>
      </c>
      <c r="D7083">
        <v>20</v>
      </c>
      <c r="E7083" s="80">
        <v>35605</v>
      </c>
    </row>
    <row r="7084" spans="1:5">
      <c r="A7084">
        <v>10578</v>
      </c>
      <c r="B7084" t="s">
        <v>174</v>
      </c>
      <c r="C7084">
        <v>360</v>
      </c>
      <c r="D7084">
        <v>20</v>
      </c>
      <c r="E7084" s="80">
        <v>35605</v>
      </c>
    </row>
    <row r="7085" spans="1:5">
      <c r="A7085">
        <v>10578</v>
      </c>
      <c r="B7085" t="s">
        <v>175</v>
      </c>
      <c r="C7085">
        <v>360</v>
      </c>
      <c r="D7085">
        <v>20</v>
      </c>
      <c r="E7085" s="80">
        <v>35605</v>
      </c>
    </row>
    <row r="7086" spans="1:5">
      <c r="A7086">
        <v>10578</v>
      </c>
      <c r="B7086" t="s">
        <v>176</v>
      </c>
      <c r="C7086">
        <v>360</v>
      </c>
      <c r="D7086">
        <v>20</v>
      </c>
      <c r="E7086" s="80">
        <v>35605</v>
      </c>
    </row>
    <row r="7087" spans="1:5">
      <c r="A7087">
        <v>10578</v>
      </c>
      <c r="B7087" t="s">
        <v>177</v>
      </c>
      <c r="C7087">
        <v>360</v>
      </c>
      <c r="D7087">
        <v>20</v>
      </c>
      <c r="E7087" s="80">
        <v>35605</v>
      </c>
    </row>
    <row r="7088" spans="1:5">
      <c r="A7088">
        <v>10578</v>
      </c>
      <c r="B7088" t="s">
        <v>178</v>
      </c>
      <c r="C7088">
        <v>360</v>
      </c>
      <c r="D7088">
        <v>20</v>
      </c>
      <c r="E7088" s="80">
        <v>35605</v>
      </c>
    </row>
    <row r="7089" spans="1:5">
      <c r="A7089">
        <v>10578</v>
      </c>
      <c r="B7089" t="s">
        <v>179</v>
      </c>
      <c r="C7089">
        <v>360</v>
      </c>
      <c r="D7089">
        <v>20</v>
      </c>
      <c r="E7089" s="80">
        <v>35605</v>
      </c>
    </row>
    <row r="7090" spans="1:5">
      <c r="A7090">
        <v>10578</v>
      </c>
      <c r="B7090" t="s">
        <v>172</v>
      </c>
      <c r="C7090">
        <v>117</v>
      </c>
      <c r="D7090">
        <v>6</v>
      </c>
      <c r="E7090" s="80">
        <v>35605</v>
      </c>
    </row>
    <row r="7091" spans="1:5">
      <c r="A7091">
        <v>10578</v>
      </c>
      <c r="B7091" t="s">
        <v>173</v>
      </c>
      <c r="C7091">
        <v>117</v>
      </c>
      <c r="D7091">
        <v>6</v>
      </c>
      <c r="E7091" s="80">
        <v>35605</v>
      </c>
    </row>
    <row r="7092" spans="1:5">
      <c r="A7092">
        <v>10578</v>
      </c>
      <c r="B7092" t="s">
        <v>174</v>
      </c>
      <c r="C7092">
        <v>117</v>
      </c>
      <c r="D7092">
        <v>6</v>
      </c>
      <c r="E7092" s="80">
        <v>35605</v>
      </c>
    </row>
    <row r="7093" spans="1:5">
      <c r="A7093">
        <v>10578</v>
      </c>
      <c r="B7093" t="s">
        <v>175</v>
      </c>
      <c r="C7093">
        <v>117</v>
      </c>
      <c r="D7093">
        <v>6</v>
      </c>
      <c r="E7093" s="80">
        <v>35605</v>
      </c>
    </row>
    <row r="7094" spans="1:5">
      <c r="A7094">
        <v>10578</v>
      </c>
      <c r="B7094" t="s">
        <v>176</v>
      </c>
      <c r="C7094">
        <v>117</v>
      </c>
      <c r="D7094">
        <v>6</v>
      </c>
      <c r="E7094" s="80">
        <v>35605</v>
      </c>
    </row>
    <row r="7095" spans="1:5">
      <c r="A7095">
        <v>10578</v>
      </c>
      <c r="B7095" t="s">
        <v>177</v>
      </c>
      <c r="C7095">
        <v>117</v>
      </c>
      <c r="D7095">
        <v>6</v>
      </c>
      <c r="E7095" s="80">
        <v>35605</v>
      </c>
    </row>
    <row r="7096" spans="1:5">
      <c r="A7096">
        <v>10578</v>
      </c>
      <c r="B7096" t="s">
        <v>178</v>
      </c>
      <c r="C7096">
        <v>117</v>
      </c>
      <c r="D7096">
        <v>6</v>
      </c>
      <c r="E7096" s="80">
        <v>35605</v>
      </c>
    </row>
    <row r="7097" spans="1:5">
      <c r="A7097">
        <v>10578</v>
      </c>
      <c r="B7097" t="s">
        <v>179</v>
      </c>
      <c r="C7097">
        <v>117</v>
      </c>
      <c r="D7097">
        <v>6</v>
      </c>
      <c r="E7097" s="80">
        <v>35605</v>
      </c>
    </row>
    <row r="7098" spans="1:5">
      <c r="A7098">
        <v>10579</v>
      </c>
      <c r="B7098" t="s">
        <v>172</v>
      </c>
      <c r="C7098">
        <v>155</v>
      </c>
      <c r="D7098">
        <v>10</v>
      </c>
      <c r="E7098" s="80">
        <v>35606</v>
      </c>
    </row>
    <row r="7099" spans="1:5">
      <c r="A7099">
        <v>10579</v>
      </c>
      <c r="B7099" t="s">
        <v>173</v>
      </c>
      <c r="C7099">
        <v>155</v>
      </c>
      <c r="D7099">
        <v>10</v>
      </c>
      <c r="E7099" s="80">
        <v>35606</v>
      </c>
    </row>
    <row r="7100" spans="1:5">
      <c r="A7100">
        <v>10579</v>
      </c>
      <c r="B7100" t="s">
        <v>174</v>
      </c>
      <c r="C7100">
        <v>155</v>
      </c>
      <c r="D7100">
        <v>10</v>
      </c>
      <c r="E7100" s="80">
        <v>35606</v>
      </c>
    </row>
    <row r="7101" spans="1:5">
      <c r="A7101">
        <v>10579</v>
      </c>
      <c r="B7101" t="s">
        <v>175</v>
      </c>
      <c r="C7101">
        <v>155</v>
      </c>
      <c r="D7101">
        <v>10</v>
      </c>
      <c r="E7101" s="80">
        <v>35606</v>
      </c>
    </row>
    <row r="7102" spans="1:5">
      <c r="A7102">
        <v>10579</v>
      </c>
      <c r="B7102" t="s">
        <v>176</v>
      </c>
      <c r="C7102">
        <v>155</v>
      </c>
      <c r="D7102">
        <v>10</v>
      </c>
      <c r="E7102" s="80">
        <v>35606</v>
      </c>
    </row>
    <row r="7103" spans="1:5">
      <c r="A7103">
        <v>10579</v>
      </c>
      <c r="B7103" t="s">
        <v>177</v>
      </c>
      <c r="C7103">
        <v>155</v>
      </c>
      <c r="D7103">
        <v>10</v>
      </c>
      <c r="E7103" s="80">
        <v>35606</v>
      </c>
    </row>
    <row r="7104" spans="1:5">
      <c r="A7104">
        <v>10579</v>
      </c>
      <c r="B7104" t="s">
        <v>178</v>
      </c>
      <c r="C7104">
        <v>155</v>
      </c>
      <c r="D7104">
        <v>10</v>
      </c>
      <c r="E7104" s="80">
        <v>35606</v>
      </c>
    </row>
    <row r="7105" spans="1:5">
      <c r="A7105">
        <v>10579</v>
      </c>
      <c r="B7105" t="s">
        <v>179</v>
      </c>
      <c r="C7105">
        <v>155</v>
      </c>
      <c r="D7105">
        <v>10</v>
      </c>
      <c r="E7105" s="80">
        <v>35606</v>
      </c>
    </row>
    <row r="7106" spans="1:5">
      <c r="A7106">
        <v>10579</v>
      </c>
      <c r="B7106" t="s">
        <v>172</v>
      </c>
      <c r="C7106">
        <v>162.75</v>
      </c>
      <c r="D7106">
        <v>21</v>
      </c>
      <c r="E7106" s="80">
        <v>35606</v>
      </c>
    </row>
    <row r="7107" spans="1:5">
      <c r="A7107">
        <v>10579</v>
      </c>
      <c r="B7107" t="s">
        <v>173</v>
      </c>
      <c r="C7107">
        <v>162.75</v>
      </c>
      <c r="D7107">
        <v>21</v>
      </c>
      <c r="E7107" s="80">
        <v>35606</v>
      </c>
    </row>
    <row r="7108" spans="1:5">
      <c r="A7108">
        <v>10579</v>
      </c>
      <c r="B7108" t="s">
        <v>174</v>
      </c>
      <c r="C7108">
        <v>162.75</v>
      </c>
      <c r="D7108">
        <v>21</v>
      </c>
      <c r="E7108" s="80">
        <v>35606</v>
      </c>
    </row>
    <row r="7109" spans="1:5">
      <c r="A7109">
        <v>10579</v>
      </c>
      <c r="B7109" t="s">
        <v>175</v>
      </c>
      <c r="C7109">
        <v>162.75</v>
      </c>
      <c r="D7109">
        <v>21</v>
      </c>
      <c r="E7109" s="80">
        <v>35606</v>
      </c>
    </row>
    <row r="7110" spans="1:5">
      <c r="A7110">
        <v>10579</v>
      </c>
      <c r="B7110" t="s">
        <v>176</v>
      </c>
      <c r="C7110">
        <v>162.75</v>
      </c>
      <c r="D7110">
        <v>21</v>
      </c>
      <c r="E7110" s="80">
        <v>35606</v>
      </c>
    </row>
    <row r="7111" spans="1:5">
      <c r="A7111">
        <v>10579</v>
      </c>
      <c r="B7111" t="s">
        <v>177</v>
      </c>
      <c r="C7111">
        <v>162.75</v>
      </c>
      <c r="D7111">
        <v>21</v>
      </c>
      <c r="E7111" s="80">
        <v>35606</v>
      </c>
    </row>
    <row r="7112" spans="1:5">
      <c r="A7112">
        <v>10579</v>
      </c>
      <c r="B7112" t="s">
        <v>178</v>
      </c>
      <c r="C7112">
        <v>162.75</v>
      </c>
      <c r="D7112">
        <v>21</v>
      </c>
      <c r="E7112" s="80">
        <v>35606</v>
      </c>
    </row>
    <row r="7113" spans="1:5">
      <c r="A7113">
        <v>10579</v>
      </c>
      <c r="B7113" t="s">
        <v>179</v>
      </c>
      <c r="C7113">
        <v>162.75</v>
      </c>
      <c r="D7113">
        <v>21</v>
      </c>
      <c r="E7113" s="80">
        <v>35606</v>
      </c>
    </row>
    <row r="7114" spans="1:5">
      <c r="A7114">
        <v>10580</v>
      </c>
      <c r="B7114" t="s">
        <v>172</v>
      </c>
      <c r="C7114">
        <v>331.312499740161</v>
      </c>
      <c r="D7114">
        <v>15</v>
      </c>
      <c r="E7114" s="80">
        <v>35607</v>
      </c>
    </row>
    <row r="7115" spans="1:5">
      <c r="A7115">
        <v>10580</v>
      </c>
      <c r="B7115" t="s">
        <v>173</v>
      </c>
      <c r="C7115">
        <v>331.312499740161</v>
      </c>
      <c r="D7115">
        <v>15</v>
      </c>
      <c r="E7115" s="80">
        <v>35607</v>
      </c>
    </row>
    <row r="7116" spans="1:5">
      <c r="A7116">
        <v>10580</v>
      </c>
      <c r="B7116" t="s">
        <v>174</v>
      </c>
      <c r="C7116">
        <v>331.312499740161</v>
      </c>
      <c r="D7116">
        <v>15</v>
      </c>
      <c r="E7116" s="80">
        <v>35607</v>
      </c>
    </row>
    <row r="7117" spans="1:5">
      <c r="A7117">
        <v>10580</v>
      </c>
      <c r="B7117" t="s">
        <v>175</v>
      </c>
      <c r="C7117">
        <v>331.312499740161</v>
      </c>
      <c r="D7117">
        <v>15</v>
      </c>
      <c r="E7117" s="80">
        <v>35607</v>
      </c>
    </row>
    <row r="7118" spans="1:5">
      <c r="A7118">
        <v>10580</v>
      </c>
      <c r="B7118" t="s">
        <v>176</v>
      </c>
      <c r="C7118">
        <v>331.312499740161</v>
      </c>
      <c r="D7118">
        <v>15</v>
      </c>
      <c r="E7118" s="80">
        <v>35607</v>
      </c>
    </row>
    <row r="7119" spans="1:5">
      <c r="A7119">
        <v>10580</v>
      </c>
      <c r="B7119" t="s">
        <v>177</v>
      </c>
      <c r="C7119">
        <v>331.312499740161</v>
      </c>
      <c r="D7119">
        <v>15</v>
      </c>
      <c r="E7119" s="80">
        <v>35607</v>
      </c>
    </row>
    <row r="7120" spans="1:5">
      <c r="A7120">
        <v>10580</v>
      </c>
      <c r="B7120" t="s">
        <v>178</v>
      </c>
      <c r="C7120">
        <v>331.312499740161</v>
      </c>
      <c r="D7120">
        <v>15</v>
      </c>
      <c r="E7120" s="80">
        <v>35607</v>
      </c>
    </row>
    <row r="7121" spans="1:5">
      <c r="A7121">
        <v>10580</v>
      </c>
      <c r="B7121" t="s">
        <v>179</v>
      </c>
      <c r="C7121">
        <v>331.312499740161</v>
      </c>
      <c r="D7121">
        <v>15</v>
      </c>
      <c r="E7121" s="80">
        <v>35607</v>
      </c>
    </row>
    <row r="7122" spans="1:5">
      <c r="A7122">
        <v>10580</v>
      </c>
      <c r="B7122" t="s">
        <v>172</v>
      </c>
      <c r="C7122">
        <v>82.507499935291705</v>
      </c>
      <c r="D7122">
        <v>9</v>
      </c>
      <c r="E7122" s="80">
        <v>35607</v>
      </c>
    </row>
    <row r="7123" spans="1:5">
      <c r="A7123">
        <v>10580</v>
      </c>
      <c r="B7123" t="s">
        <v>173</v>
      </c>
      <c r="C7123">
        <v>82.507499935291705</v>
      </c>
      <c r="D7123">
        <v>9</v>
      </c>
      <c r="E7123" s="80">
        <v>35607</v>
      </c>
    </row>
    <row r="7124" spans="1:5">
      <c r="A7124">
        <v>10580</v>
      </c>
      <c r="B7124" t="s">
        <v>174</v>
      </c>
      <c r="C7124">
        <v>82.507499935291705</v>
      </c>
      <c r="D7124">
        <v>9</v>
      </c>
      <c r="E7124" s="80">
        <v>35607</v>
      </c>
    </row>
    <row r="7125" spans="1:5">
      <c r="A7125">
        <v>10580</v>
      </c>
      <c r="B7125" t="s">
        <v>175</v>
      </c>
      <c r="C7125">
        <v>82.507499935291705</v>
      </c>
      <c r="D7125">
        <v>9</v>
      </c>
      <c r="E7125" s="80">
        <v>35607</v>
      </c>
    </row>
    <row r="7126" spans="1:5">
      <c r="A7126">
        <v>10580</v>
      </c>
      <c r="B7126" t="s">
        <v>176</v>
      </c>
      <c r="C7126">
        <v>82.507499935291705</v>
      </c>
      <c r="D7126">
        <v>9</v>
      </c>
      <c r="E7126" s="80">
        <v>35607</v>
      </c>
    </row>
    <row r="7127" spans="1:5">
      <c r="A7127">
        <v>10580</v>
      </c>
      <c r="B7127" t="s">
        <v>177</v>
      </c>
      <c r="C7127">
        <v>82.507499935291705</v>
      </c>
      <c r="D7127">
        <v>9</v>
      </c>
      <c r="E7127" s="80">
        <v>35607</v>
      </c>
    </row>
    <row r="7128" spans="1:5">
      <c r="A7128">
        <v>10580</v>
      </c>
      <c r="B7128" t="s">
        <v>178</v>
      </c>
      <c r="C7128">
        <v>82.507499935291705</v>
      </c>
      <c r="D7128">
        <v>9</v>
      </c>
      <c r="E7128" s="80">
        <v>35607</v>
      </c>
    </row>
    <row r="7129" spans="1:5">
      <c r="A7129">
        <v>10580</v>
      </c>
      <c r="B7129" t="s">
        <v>179</v>
      </c>
      <c r="C7129">
        <v>82.507499935291705</v>
      </c>
      <c r="D7129">
        <v>9</v>
      </c>
      <c r="E7129" s="80">
        <v>35607</v>
      </c>
    </row>
    <row r="7130" spans="1:5">
      <c r="A7130">
        <v>10580</v>
      </c>
      <c r="B7130" t="s">
        <v>172</v>
      </c>
      <c r="C7130">
        <v>599.92499952949584</v>
      </c>
      <c r="D7130">
        <v>30</v>
      </c>
      <c r="E7130" s="80">
        <v>35607</v>
      </c>
    </row>
    <row r="7131" spans="1:5">
      <c r="A7131">
        <v>10580</v>
      </c>
      <c r="B7131" t="s">
        <v>173</v>
      </c>
      <c r="C7131">
        <v>599.92499952949584</v>
      </c>
      <c r="D7131">
        <v>30</v>
      </c>
      <c r="E7131" s="80">
        <v>35607</v>
      </c>
    </row>
    <row r="7132" spans="1:5">
      <c r="A7132">
        <v>10580</v>
      </c>
      <c r="B7132" t="s">
        <v>174</v>
      </c>
      <c r="C7132">
        <v>599.92499952949584</v>
      </c>
      <c r="D7132">
        <v>30</v>
      </c>
      <c r="E7132" s="80">
        <v>35607</v>
      </c>
    </row>
    <row r="7133" spans="1:5">
      <c r="A7133">
        <v>10580</v>
      </c>
      <c r="B7133" t="s">
        <v>175</v>
      </c>
      <c r="C7133">
        <v>599.92499952949584</v>
      </c>
      <c r="D7133">
        <v>30</v>
      </c>
      <c r="E7133" s="80">
        <v>35607</v>
      </c>
    </row>
    <row r="7134" spans="1:5">
      <c r="A7134">
        <v>10580</v>
      </c>
      <c r="B7134" t="s">
        <v>176</v>
      </c>
      <c r="C7134">
        <v>599.92499952949584</v>
      </c>
      <c r="D7134">
        <v>30</v>
      </c>
      <c r="E7134" s="80">
        <v>35607</v>
      </c>
    </row>
    <row r="7135" spans="1:5">
      <c r="A7135">
        <v>10580</v>
      </c>
      <c r="B7135" t="s">
        <v>177</v>
      </c>
      <c r="C7135">
        <v>599.92499952949584</v>
      </c>
      <c r="D7135">
        <v>30</v>
      </c>
      <c r="E7135" s="80">
        <v>35607</v>
      </c>
    </row>
    <row r="7136" spans="1:5">
      <c r="A7136">
        <v>10580</v>
      </c>
      <c r="B7136" t="s">
        <v>178</v>
      </c>
      <c r="C7136">
        <v>599.92499952949584</v>
      </c>
      <c r="D7136">
        <v>30</v>
      </c>
      <c r="E7136" s="80">
        <v>35607</v>
      </c>
    </row>
    <row r="7137" spans="1:5">
      <c r="A7137">
        <v>10580</v>
      </c>
      <c r="B7137" t="s">
        <v>179</v>
      </c>
      <c r="C7137">
        <v>599.92499952949584</v>
      </c>
      <c r="D7137">
        <v>30</v>
      </c>
      <c r="E7137" s="80">
        <v>35607</v>
      </c>
    </row>
    <row r="7138" spans="1:5">
      <c r="A7138">
        <v>10581</v>
      </c>
      <c r="B7138" t="s">
        <v>172</v>
      </c>
      <c r="C7138">
        <v>309.99999884516001</v>
      </c>
      <c r="D7138">
        <v>50</v>
      </c>
      <c r="E7138" s="80">
        <v>35607</v>
      </c>
    </row>
    <row r="7139" spans="1:5">
      <c r="A7139">
        <v>10581</v>
      </c>
      <c r="B7139" t="s">
        <v>173</v>
      </c>
      <c r="C7139">
        <v>309.99999884516001</v>
      </c>
      <c r="D7139">
        <v>50</v>
      </c>
      <c r="E7139" s="80">
        <v>35607</v>
      </c>
    </row>
    <row r="7140" spans="1:5">
      <c r="A7140">
        <v>10581</v>
      </c>
      <c r="B7140" t="s">
        <v>174</v>
      </c>
      <c r="C7140">
        <v>309.99999884516001</v>
      </c>
      <c r="D7140">
        <v>50</v>
      </c>
      <c r="E7140" s="80">
        <v>35607</v>
      </c>
    </row>
    <row r="7141" spans="1:5">
      <c r="A7141">
        <v>10581</v>
      </c>
      <c r="B7141" t="s">
        <v>175</v>
      </c>
      <c r="C7141">
        <v>309.99999884516001</v>
      </c>
      <c r="D7141">
        <v>50</v>
      </c>
      <c r="E7141" s="80">
        <v>35607</v>
      </c>
    </row>
    <row r="7142" spans="1:5">
      <c r="A7142">
        <v>10581</v>
      </c>
      <c r="B7142" t="s">
        <v>176</v>
      </c>
      <c r="C7142">
        <v>309.99999884516001</v>
      </c>
      <c r="D7142">
        <v>50</v>
      </c>
      <c r="E7142" s="80">
        <v>35607</v>
      </c>
    </row>
    <row r="7143" spans="1:5">
      <c r="A7143">
        <v>10581</v>
      </c>
      <c r="B7143" t="s">
        <v>177</v>
      </c>
      <c r="C7143">
        <v>309.99999884516001</v>
      </c>
      <c r="D7143">
        <v>50</v>
      </c>
      <c r="E7143" s="80">
        <v>35607</v>
      </c>
    </row>
    <row r="7144" spans="1:5">
      <c r="A7144">
        <v>10581</v>
      </c>
      <c r="B7144" t="s">
        <v>178</v>
      </c>
      <c r="C7144">
        <v>309.99999884516001</v>
      </c>
      <c r="D7144">
        <v>50</v>
      </c>
      <c r="E7144" s="80">
        <v>35607</v>
      </c>
    </row>
    <row r="7145" spans="1:5">
      <c r="A7145">
        <v>10581</v>
      </c>
      <c r="B7145" t="s">
        <v>179</v>
      </c>
      <c r="C7145">
        <v>309.99999884516001</v>
      </c>
      <c r="D7145">
        <v>50</v>
      </c>
      <c r="E7145" s="80">
        <v>35607</v>
      </c>
    </row>
    <row r="7146" spans="1:5">
      <c r="A7146">
        <v>10582</v>
      </c>
      <c r="B7146" t="s">
        <v>172</v>
      </c>
      <c r="C7146">
        <v>78</v>
      </c>
      <c r="D7146">
        <v>4</v>
      </c>
      <c r="E7146" s="80">
        <v>35608</v>
      </c>
    </row>
    <row r="7147" spans="1:5">
      <c r="A7147">
        <v>10582</v>
      </c>
      <c r="B7147" t="s">
        <v>173</v>
      </c>
      <c r="C7147">
        <v>78</v>
      </c>
      <c r="D7147">
        <v>4</v>
      </c>
      <c r="E7147" s="80">
        <v>35608</v>
      </c>
    </row>
    <row r="7148" spans="1:5">
      <c r="A7148">
        <v>10582</v>
      </c>
      <c r="B7148" t="s">
        <v>174</v>
      </c>
      <c r="C7148">
        <v>78</v>
      </c>
      <c r="D7148">
        <v>4</v>
      </c>
      <c r="E7148" s="80">
        <v>35608</v>
      </c>
    </row>
    <row r="7149" spans="1:5">
      <c r="A7149">
        <v>10582</v>
      </c>
      <c r="B7149" t="s">
        <v>175</v>
      </c>
      <c r="C7149">
        <v>78</v>
      </c>
      <c r="D7149">
        <v>4</v>
      </c>
      <c r="E7149" s="80">
        <v>35608</v>
      </c>
    </row>
    <row r="7150" spans="1:5">
      <c r="A7150">
        <v>10582</v>
      </c>
      <c r="B7150" t="s">
        <v>176</v>
      </c>
      <c r="C7150">
        <v>78</v>
      </c>
      <c r="D7150">
        <v>4</v>
      </c>
      <c r="E7150" s="80">
        <v>35608</v>
      </c>
    </row>
    <row r="7151" spans="1:5">
      <c r="A7151">
        <v>10582</v>
      </c>
      <c r="B7151" t="s">
        <v>177</v>
      </c>
      <c r="C7151">
        <v>78</v>
      </c>
      <c r="D7151">
        <v>4</v>
      </c>
      <c r="E7151" s="80">
        <v>35608</v>
      </c>
    </row>
    <row r="7152" spans="1:5">
      <c r="A7152">
        <v>10582</v>
      </c>
      <c r="B7152" t="s">
        <v>178</v>
      </c>
      <c r="C7152">
        <v>78</v>
      </c>
      <c r="D7152">
        <v>4</v>
      </c>
      <c r="E7152" s="80">
        <v>35608</v>
      </c>
    </row>
    <row r="7153" spans="1:5">
      <c r="A7153">
        <v>10582</v>
      </c>
      <c r="B7153" t="s">
        <v>179</v>
      </c>
      <c r="C7153">
        <v>78</v>
      </c>
      <c r="D7153">
        <v>4</v>
      </c>
      <c r="E7153" s="80">
        <v>35608</v>
      </c>
    </row>
    <row r="7154" spans="1:5">
      <c r="A7154">
        <v>10582</v>
      </c>
      <c r="B7154" t="s">
        <v>172</v>
      </c>
      <c r="C7154">
        <v>252</v>
      </c>
      <c r="D7154">
        <v>14</v>
      </c>
      <c r="E7154" s="80">
        <v>35608</v>
      </c>
    </row>
    <row r="7155" spans="1:5">
      <c r="A7155">
        <v>10582</v>
      </c>
      <c r="B7155" t="s">
        <v>173</v>
      </c>
      <c r="C7155">
        <v>252</v>
      </c>
      <c r="D7155">
        <v>14</v>
      </c>
      <c r="E7155" s="80">
        <v>35608</v>
      </c>
    </row>
    <row r="7156" spans="1:5">
      <c r="A7156">
        <v>10582</v>
      </c>
      <c r="B7156" t="s">
        <v>174</v>
      </c>
      <c r="C7156">
        <v>252</v>
      </c>
      <c r="D7156">
        <v>14</v>
      </c>
      <c r="E7156" s="80">
        <v>35608</v>
      </c>
    </row>
    <row r="7157" spans="1:5">
      <c r="A7157">
        <v>10582</v>
      </c>
      <c r="B7157" t="s">
        <v>175</v>
      </c>
      <c r="C7157">
        <v>252</v>
      </c>
      <c r="D7157">
        <v>14</v>
      </c>
      <c r="E7157" s="80">
        <v>35608</v>
      </c>
    </row>
    <row r="7158" spans="1:5">
      <c r="A7158">
        <v>10582</v>
      </c>
      <c r="B7158" t="s">
        <v>176</v>
      </c>
      <c r="C7158">
        <v>252</v>
      </c>
      <c r="D7158">
        <v>14</v>
      </c>
      <c r="E7158" s="80">
        <v>35608</v>
      </c>
    </row>
    <row r="7159" spans="1:5">
      <c r="A7159">
        <v>10582</v>
      </c>
      <c r="B7159" t="s">
        <v>177</v>
      </c>
      <c r="C7159">
        <v>252</v>
      </c>
      <c r="D7159">
        <v>14</v>
      </c>
      <c r="E7159" s="80">
        <v>35608</v>
      </c>
    </row>
    <row r="7160" spans="1:5">
      <c r="A7160">
        <v>10582</v>
      </c>
      <c r="B7160" t="s">
        <v>178</v>
      </c>
      <c r="C7160">
        <v>252</v>
      </c>
      <c r="D7160">
        <v>14</v>
      </c>
      <c r="E7160" s="80">
        <v>35608</v>
      </c>
    </row>
    <row r="7161" spans="1:5">
      <c r="A7161">
        <v>10582</v>
      </c>
      <c r="B7161" t="s">
        <v>179</v>
      </c>
      <c r="C7161">
        <v>252</v>
      </c>
      <c r="D7161">
        <v>14</v>
      </c>
      <c r="E7161" s="80">
        <v>35608</v>
      </c>
    </row>
    <row r="7162" spans="1:5">
      <c r="A7162">
        <v>10583</v>
      </c>
      <c r="B7162" t="s">
        <v>172</v>
      </c>
      <c r="C7162">
        <v>1237.9000000000001</v>
      </c>
      <c r="D7162">
        <v>10</v>
      </c>
      <c r="E7162" s="80">
        <v>35611</v>
      </c>
    </row>
    <row r="7163" spans="1:5">
      <c r="A7163">
        <v>10583</v>
      </c>
      <c r="B7163" t="s">
        <v>173</v>
      </c>
      <c r="C7163">
        <v>1237.9000000000001</v>
      </c>
      <c r="D7163">
        <v>10</v>
      </c>
      <c r="E7163" s="80">
        <v>35611</v>
      </c>
    </row>
    <row r="7164" spans="1:5">
      <c r="A7164">
        <v>10583</v>
      </c>
      <c r="B7164" t="s">
        <v>174</v>
      </c>
      <c r="C7164">
        <v>1237.9000000000001</v>
      </c>
      <c r="D7164">
        <v>10</v>
      </c>
      <c r="E7164" s="80">
        <v>35611</v>
      </c>
    </row>
    <row r="7165" spans="1:5">
      <c r="A7165">
        <v>10583</v>
      </c>
      <c r="B7165" t="s">
        <v>175</v>
      </c>
      <c r="C7165">
        <v>1237.9000000000001</v>
      </c>
      <c r="D7165">
        <v>10</v>
      </c>
      <c r="E7165" s="80">
        <v>35611</v>
      </c>
    </row>
    <row r="7166" spans="1:5">
      <c r="A7166">
        <v>10583</v>
      </c>
      <c r="B7166" t="s">
        <v>176</v>
      </c>
      <c r="C7166">
        <v>1237.9000000000001</v>
      </c>
      <c r="D7166">
        <v>10</v>
      </c>
      <c r="E7166" s="80">
        <v>35611</v>
      </c>
    </row>
    <row r="7167" spans="1:5">
      <c r="A7167">
        <v>10583</v>
      </c>
      <c r="B7167" t="s">
        <v>177</v>
      </c>
      <c r="C7167">
        <v>1237.9000000000001</v>
      </c>
      <c r="D7167">
        <v>10</v>
      </c>
      <c r="E7167" s="80">
        <v>35611</v>
      </c>
    </row>
    <row r="7168" spans="1:5">
      <c r="A7168">
        <v>10583</v>
      </c>
      <c r="B7168" t="s">
        <v>178</v>
      </c>
      <c r="C7168">
        <v>1237.9000000000001</v>
      </c>
      <c r="D7168">
        <v>10</v>
      </c>
      <c r="E7168" s="80">
        <v>35611</v>
      </c>
    </row>
    <row r="7169" spans="1:5">
      <c r="A7169">
        <v>10583</v>
      </c>
      <c r="B7169" t="s">
        <v>179</v>
      </c>
      <c r="C7169">
        <v>1237.9000000000001</v>
      </c>
      <c r="D7169">
        <v>10</v>
      </c>
      <c r="E7169" s="80">
        <v>35611</v>
      </c>
    </row>
    <row r="7170" spans="1:5">
      <c r="A7170">
        <v>10583</v>
      </c>
      <c r="B7170" t="s">
        <v>172</v>
      </c>
      <c r="C7170">
        <v>693.59999513626099</v>
      </c>
      <c r="D7170">
        <v>24</v>
      </c>
      <c r="E7170" s="80">
        <v>35611</v>
      </c>
    </row>
    <row r="7171" spans="1:5">
      <c r="A7171">
        <v>10583</v>
      </c>
      <c r="B7171" t="s">
        <v>173</v>
      </c>
      <c r="C7171">
        <v>693.59999513626099</v>
      </c>
      <c r="D7171">
        <v>24</v>
      </c>
      <c r="E7171" s="80">
        <v>35611</v>
      </c>
    </row>
    <row r="7172" spans="1:5">
      <c r="A7172">
        <v>10583</v>
      </c>
      <c r="B7172" t="s">
        <v>174</v>
      </c>
      <c r="C7172">
        <v>693.59999513626099</v>
      </c>
      <c r="D7172">
        <v>24</v>
      </c>
      <c r="E7172" s="80">
        <v>35611</v>
      </c>
    </row>
    <row r="7173" spans="1:5">
      <c r="A7173">
        <v>10583</v>
      </c>
      <c r="B7173" t="s">
        <v>175</v>
      </c>
      <c r="C7173">
        <v>693.59999513626099</v>
      </c>
      <c r="D7173">
        <v>24</v>
      </c>
      <c r="E7173" s="80">
        <v>35611</v>
      </c>
    </row>
    <row r="7174" spans="1:5">
      <c r="A7174">
        <v>10583</v>
      </c>
      <c r="B7174" t="s">
        <v>176</v>
      </c>
      <c r="C7174">
        <v>693.59999513626099</v>
      </c>
      <c r="D7174">
        <v>24</v>
      </c>
      <c r="E7174" s="80">
        <v>35611</v>
      </c>
    </row>
    <row r="7175" spans="1:5">
      <c r="A7175">
        <v>10583</v>
      </c>
      <c r="B7175" t="s">
        <v>177</v>
      </c>
      <c r="C7175">
        <v>693.59999513626099</v>
      </c>
      <c r="D7175">
        <v>24</v>
      </c>
      <c r="E7175" s="80">
        <v>35611</v>
      </c>
    </row>
    <row r="7176" spans="1:5">
      <c r="A7176">
        <v>10583</v>
      </c>
      <c r="B7176" t="s">
        <v>178</v>
      </c>
      <c r="C7176">
        <v>693.59999513626099</v>
      </c>
      <c r="D7176">
        <v>24</v>
      </c>
      <c r="E7176" s="80">
        <v>35611</v>
      </c>
    </row>
    <row r="7177" spans="1:5">
      <c r="A7177">
        <v>10583</v>
      </c>
      <c r="B7177" t="s">
        <v>179</v>
      </c>
      <c r="C7177">
        <v>693.59999513626099</v>
      </c>
      <c r="D7177">
        <v>24</v>
      </c>
      <c r="E7177" s="80">
        <v>35611</v>
      </c>
    </row>
    <row r="7178" spans="1:5">
      <c r="A7178">
        <v>10583</v>
      </c>
      <c r="B7178" t="s">
        <v>172</v>
      </c>
      <c r="C7178">
        <v>305.99999785423279</v>
      </c>
      <c r="D7178">
        <v>10</v>
      </c>
      <c r="E7178" s="80">
        <v>35611</v>
      </c>
    </row>
    <row r="7179" spans="1:5">
      <c r="A7179">
        <v>10583</v>
      </c>
      <c r="B7179" t="s">
        <v>173</v>
      </c>
      <c r="C7179">
        <v>305.99999785423279</v>
      </c>
      <c r="D7179">
        <v>10</v>
      </c>
      <c r="E7179" s="80">
        <v>35611</v>
      </c>
    </row>
    <row r="7180" spans="1:5">
      <c r="A7180">
        <v>10583</v>
      </c>
      <c r="B7180" t="s">
        <v>174</v>
      </c>
      <c r="C7180">
        <v>305.99999785423279</v>
      </c>
      <c r="D7180">
        <v>10</v>
      </c>
      <c r="E7180" s="80">
        <v>35611</v>
      </c>
    </row>
    <row r="7181" spans="1:5">
      <c r="A7181">
        <v>10583</v>
      </c>
      <c r="B7181" t="s">
        <v>175</v>
      </c>
      <c r="C7181">
        <v>305.99999785423279</v>
      </c>
      <c r="D7181">
        <v>10</v>
      </c>
      <c r="E7181" s="80">
        <v>35611</v>
      </c>
    </row>
    <row r="7182" spans="1:5">
      <c r="A7182">
        <v>10583</v>
      </c>
      <c r="B7182" t="s">
        <v>176</v>
      </c>
      <c r="C7182">
        <v>305.99999785423279</v>
      </c>
      <c r="D7182">
        <v>10</v>
      </c>
      <c r="E7182" s="80">
        <v>35611</v>
      </c>
    </row>
    <row r="7183" spans="1:5">
      <c r="A7183">
        <v>10583</v>
      </c>
      <c r="B7183" t="s">
        <v>177</v>
      </c>
      <c r="C7183">
        <v>305.99999785423279</v>
      </c>
      <c r="D7183">
        <v>10</v>
      </c>
      <c r="E7183" s="80">
        <v>35611</v>
      </c>
    </row>
    <row r="7184" spans="1:5">
      <c r="A7184">
        <v>10583</v>
      </c>
      <c r="B7184" t="s">
        <v>178</v>
      </c>
      <c r="C7184">
        <v>305.99999785423279</v>
      </c>
      <c r="D7184">
        <v>10</v>
      </c>
      <c r="E7184" s="80">
        <v>35611</v>
      </c>
    </row>
    <row r="7185" spans="1:5">
      <c r="A7185">
        <v>10583</v>
      </c>
      <c r="B7185" t="s">
        <v>179</v>
      </c>
      <c r="C7185">
        <v>305.99999785423279</v>
      </c>
      <c r="D7185">
        <v>10</v>
      </c>
      <c r="E7185" s="80">
        <v>35611</v>
      </c>
    </row>
    <row r="7186" spans="1:5">
      <c r="A7186">
        <v>10584</v>
      </c>
      <c r="B7186" t="s">
        <v>172</v>
      </c>
      <c r="C7186">
        <v>593.74999953433871</v>
      </c>
      <c r="D7186">
        <v>50</v>
      </c>
      <c r="E7186" s="80">
        <v>35611</v>
      </c>
    </row>
    <row r="7187" spans="1:5">
      <c r="A7187">
        <v>10584</v>
      </c>
      <c r="B7187" t="s">
        <v>173</v>
      </c>
      <c r="C7187">
        <v>593.74999953433871</v>
      </c>
      <c r="D7187">
        <v>50</v>
      </c>
      <c r="E7187" s="80">
        <v>35611</v>
      </c>
    </row>
    <row r="7188" spans="1:5">
      <c r="A7188">
        <v>10584</v>
      </c>
      <c r="B7188" t="s">
        <v>174</v>
      </c>
      <c r="C7188">
        <v>593.74999953433871</v>
      </c>
      <c r="D7188">
        <v>50</v>
      </c>
      <c r="E7188" s="80">
        <v>35611</v>
      </c>
    </row>
    <row r="7189" spans="1:5">
      <c r="A7189">
        <v>10584</v>
      </c>
      <c r="B7189" t="s">
        <v>175</v>
      </c>
      <c r="C7189">
        <v>593.74999953433871</v>
      </c>
      <c r="D7189">
        <v>50</v>
      </c>
      <c r="E7189" s="80">
        <v>35611</v>
      </c>
    </row>
    <row r="7190" spans="1:5">
      <c r="A7190">
        <v>10584</v>
      </c>
      <c r="B7190" t="s">
        <v>176</v>
      </c>
      <c r="C7190">
        <v>593.74999953433871</v>
      </c>
      <c r="D7190">
        <v>50</v>
      </c>
      <c r="E7190" s="80">
        <v>35611</v>
      </c>
    </row>
    <row r="7191" spans="1:5">
      <c r="A7191">
        <v>10584</v>
      </c>
      <c r="B7191" t="s">
        <v>177</v>
      </c>
      <c r="C7191">
        <v>593.74999953433871</v>
      </c>
      <c r="D7191">
        <v>50</v>
      </c>
      <c r="E7191" s="80">
        <v>35611</v>
      </c>
    </row>
    <row r="7192" spans="1:5">
      <c r="A7192">
        <v>10584</v>
      </c>
      <c r="B7192" t="s">
        <v>178</v>
      </c>
      <c r="C7192">
        <v>593.74999953433871</v>
      </c>
      <c r="D7192">
        <v>50</v>
      </c>
      <c r="E7192" s="80">
        <v>35611</v>
      </c>
    </row>
    <row r="7193" spans="1:5">
      <c r="A7193">
        <v>10584</v>
      </c>
      <c r="B7193" t="s">
        <v>179</v>
      </c>
      <c r="C7193">
        <v>593.74999953433871</v>
      </c>
      <c r="D7193">
        <v>50</v>
      </c>
      <c r="E7193" s="80">
        <v>35611</v>
      </c>
    </row>
    <row r="7194" spans="1:5">
      <c r="A7194">
        <v>10585</v>
      </c>
      <c r="B7194" t="s">
        <v>172</v>
      </c>
      <c r="C7194">
        <v>142.5</v>
      </c>
      <c r="D7194">
        <v>15</v>
      </c>
      <c r="E7194" s="80">
        <v>35612</v>
      </c>
    </row>
    <row r="7195" spans="1:5">
      <c r="A7195">
        <v>10585</v>
      </c>
      <c r="B7195" t="s">
        <v>173</v>
      </c>
      <c r="C7195">
        <v>142.5</v>
      </c>
      <c r="D7195">
        <v>15</v>
      </c>
      <c r="E7195" s="80">
        <v>35612</v>
      </c>
    </row>
    <row r="7196" spans="1:5">
      <c r="A7196">
        <v>10585</v>
      </c>
      <c r="B7196" t="s">
        <v>174</v>
      </c>
      <c r="C7196">
        <v>142.5</v>
      </c>
      <c r="D7196">
        <v>15</v>
      </c>
      <c r="E7196" s="80">
        <v>35612</v>
      </c>
    </row>
    <row r="7197" spans="1:5">
      <c r="A7197">
        <v>10585</v>
      </c>
      <c r="B7197" t="s">
        <v>175</v>
      </c>
      <c r="C7197">
        <v>142.5</v>
      </c>
      <c r="D7197">
        <v>15</v>
      </c>
      <c r="E7197" s="80">
        <v>35612</v>
      </c>
    </row>
    <row r="7198" spans="1:5">
      <c r="A7198">
        <v>10585</v>
      </c>
      <c r="B7198" t="s">
        <v>176</v>
      </c>
      <c r="C7198">
        <v>142.5</v>
      </c>
      <c r="D7198">
        <v>15</v>
      </c>
      <c r="E7198" s="80">
        <v>35612</v>
      </c>
    </row>
    <row r="7199" spans="1:5">
      <c r="A7199">
        <v>10585</v>
      </c>
      <c r="B7199" t="s">
        <v>177</v>
      </c>
      <c r="C7199">
        <v>142.5</v>
      </c>
      <c r="D7199">
        <v>15</v>
      </c>
      <c r="E7199" s="80">
        <v>35612</v>
      </c>
    </row>
    <row r="7200" spans="1:5">
      <c r="A7200">
        <v>10585</v>
      </c>
      <c r="B7200" t="s">
        <v>178</v>
      </c>
      <c r="C7200">
        <v>142.5</v>
      </c>
      <c r="D7200">
        <v>15</v>
      </c>
      <c r="E7200" s="80">
        <v>35612</v>
      </c>
    </row>
    <row r="7201" spans="1:5">
      <c r="A7201">
        <v>10585</v>
      </c>
      <c r="B7201" t="s">
        <v>179</v>
      </c>
      <c r="C7201">
        <v>142.5</v>
      </c>
      <c r="D7201">
        <v>15</v>
      </c>
      <c r="E7201" s="80">
        <v>35612</v>
      </c>
    </row>
    <row r="7202" spans="1:5">
      <c r="A7202">
        <v>10586</v>
      </c>
      <c r="B7202" t="s">
        <v>172</v>
      </c>
      <c r="C7202">
        <v>23.799999833106995</v>
      </c>
      <c r="D7202">
        <v>4</v>
      </c>
      <c r="E7202" s="80">
        <v>35613</v>
      </c>
    </row>
    <row r="7203" spans="1:5">
      <c r="A7203">
        <v>10586</v>
      </c>
      <c r="B7203" t="s">
        <v>173</v>
      </c>
      <c r="C7203">
        <v>23.799999833106995</v>
      </c>
      <c r="D7203">
        <v>4</v>
      </c>
      <c r="E7203" s="80">
        <v>35613</v>
      </c>
    </row>
    <row r="7204" spans="1:5">
      <c r="A7204">
        <v>10586</v>
      </c>
      <c r="B7204" t="s">
        <v>174</v>
      </c>
      <c r="C7204">
        <v>23.799999833106995</v>
      </c>
      <c r="D7204">
        <v>4</v>
      </c>
      <c r="E7204" s="80">
        <v>35613</v>
      </c>
    </row>
    <row r="7205" spans="1:5">
      <c r="A7205">
        <v>10586</v>
      </c>
      <c r="B7205" t="s">
        <v>175</v>
      </c>
      <c r="C7205">
        <v>23.799999833106995</v>
      </c>
      <c r="D7205">
        <v>4</v>
      </c>
      <c r="E7205" s="80">
        <v>35613</v>
      </c>
    </row>
    <row r="7206" spans="1:5">
      <c r="A7206">
        <v>10586</v>
      </c>
      <c r="B7206" t="s">
        <v>176</v>
      </c>
      <c r="C7206">
        <v>23.799999833106995</v>
      </c>
      <c r="D7206">
        <v>4</v>
      </c>
      <c r="E7206" s="80">
        <v>35613</v>
      </c>
    </row>
    <row r="7207" spans="1:5">
      <c r="A7207">
        <v>10586</v>
      </c>
      <c r="B7207" t="s">
        <v>177</v>
      </c>
      <c r="C7207">
        <v>23.799999833106995</v>
      </c>
      <c r="D7207">
        <v>4</v>
      </c>
      <c r="E7207" s="80">
        <v>35613</v>
      </c>
    </row>
    <row r="7208" spans="1:5">
      <c r="A7208">
        <v>10586</v>
      </c>
      <c r="B7208" t="s">
        <v>178</v>
      </c>
      <c r="C7208">
        <v>23.799999833106995</v>
      </c>
      <c r="D7208">
        <v>4</v>
      </c>
      <c r="E7208" s="80">
        <v>35613</v>
      </c>
    </row>
    <row r="7209" spans="1:5">
      <c r="A7209">
        <v>10586</v>
      </c>
      <c r="B7209" t="s">
        <v>179</v>
      </c>
      <c r="C7209">
        <v>23.799999833106995</v>
      </c>
      <c r="D7209">
        <v>4</v>
      </c>
      <c r="E7209" s="80">
        <v>35613</v>
      </c>
    </row>
    <row r="7210" spans="1:5">
      <c r="A7210">
        <v>10587</v>
      </c>
      <c r="B7210" t="s">
        <v>172</v>
      </c>
      <c r="C7210">
        <v>187.38</v>
      </c>
      <c r="D7210">
        <v>6</v>
      </c>
      <c r="E7210" s="80">
        <v>35613</v>
      </c>
    </row>
    <row r="7211" spans="1:5">
      <c r="A7211">
        <v>10587</v>
      </c>
      <c r="B7211" t="s">
        <v>173</v>
      </c>
      <c r="C7211">
        <v>187.38</v>
      </c>
      <c r="D7211">
        <v>6</v>
      </c>
      <c r="E7211" s="80">
        <v>35613</v>
      </c>
    </row>
    <row r="7212" spans="1:5">
      <c r="A7212">
        <v>10587</v>
      </c>
      <c r="B7212" t="s">
        <v>174</v>
      </c>
      <c r="C7212">
        <v>187.38</v>
      </c>
      <c r="D7212">
        <v>6</v>
      </c>
      <c r="E7212" s="80">
        <v>35613</v>
      </c>
    </row>
    <row r="7213" spans="1:5">
      <c r="A7213">
        <v>10587</v>
      </c>
      <c r="B7213" t="s">
        <v>175</v>
      </c>
      <c r="C7213">
        <v>187.38</v>
      </c>
      <c r="D7213">
        <v>6</v>
      </c>
      <c r="E7213" s="80">
        <v>35613</v>
      </c>
    </row>
    <row r="7214" spans="1:5">
      <c r="A7214">
        <v>10587</v>
      </c>
      <c r="B7214" t="s">
        <v>176</v>
      </c>
      <c r="C7214">
        <v>187.38</v>
      </c>
      <c r="D7214">
        <v>6</v>
      </c>
      <c r="E7214" s="80">
        <v>35613</v>
      </c>
    </row>
    <row r="7215" spans="1:5">
      <c r="A7215">
        <v>10587</v>
      </c>
      <c r="B7215" t="s">
        <v>177</v>
      </c>
      <c r="C7215">
        <v>187.38</v>
      </c>
      <c r="D7215">
        <v>6</v>
      </c>
      <c r="E7215" s="80">
        <v>35613</v>
      </c>
    </row>
    <row r="7216" spans="1:5">
      <c r="A7216">
        <v>10587</v>
      </c>
      <c r="B7216" t="s">
        <v>178</v>
      </c>
      <c r="C7216">
        <v>187.38</v>
      </c>
      <c r="D7216">
        <v>6</v>
      </c>
      <c r="E7216" s="80">
        <v>35613</v>
      </c>
    </row>
    <row r="7217" spans="1:5">
      <c r="A7217">
        <v>10587</v>
      </c>
      <c r="B7217" t="s">
        <v>179</v>
      </c>
      <c r="C7217">
        <v>187.38</v>
      </c>
      <c r="D7217">
        <v>6</v>
      </c>
      <c r="E7217" s="80">
        <v>35613</v>
      </c>
    </row>
    <row r="7218" spans="1:5">
      <c r="A7218">
        <v>10587</v>
      </c>
      <c r="B7218" t="s">
        <v>172</v>
      </c>
      <c r="C7218">
        <v>360</v>
      </c>
      <c r="D7218">
        <v>20</v>
      </c>
      <c r="E7218" s="80">
        <v>35613</v>
      </c>
    </row>
    <row r="7219" spans="1:5">
      <c r="A7219">
        <v>10587</v>
      </c>
      <c r="B7219" t="s">
        <v>173</v>
      </c>
      <c r="C7219">
        <v>360</v>
      </c>
      <c r="D7219">
        <v>20</v>
      </c>
      <c r="E7219" s="80">
        <v>35613</v>
      </c>
    </row>
    <row r="7220" spans="1:5">
      <c r="A7220">
        <v>10587</v>
      </c>
      <c r="B7220" t="s">
        <v>174</v>
      </c>
      <c r="C7220">
        <v>360</v>
      </c>
      <c r="D7220">
        <v>20</v>
      </c>
      <c r="E7220" s="80">
        <v>35613</v>
      </c>
    </row>
    <row r="7221" spans="1:5">
      <c r="A7221">
        <v>10587</v>
      </c>
      <c r="B7221" t="s">
        <v>175</v>
      </c>
      <c r="C7221">
        <v>360</v>
      </c>
      <c r="D7221">
        <v>20</v>
      </c>
      <c r="E7221" s="80">
        <v>35613</v>
      </c>
    </row>
    <row r="7222" spans="1:5">
      <c r="A7222">
        <v>10587</v>
      </c>
      <c r="B7222" t="s">
        <v>176</v>
      </c>
      <c r="C7222">
        <v>360</v>
      </c>
      <c r="D7222">
        <v>20</v>
      </c>
      <c r="E7222" s="80">
        <v>35613</v>
      </c>
    </row>
    <row r="7223" spans="1:5">
      <c r="A7223">
        <v>10587</v>
      </c>
      <c r="B7223" t="s">
        <v>177</v>
      </c>
      <c r="C7223">
        <v>360</v>
      </c>
      <c r="D7223">
        <v>20</v>
      </c>
      <c r="E7223" s="80">
        <v>35613</v>
      </c>
    </row>
    <row r="7224" spans="1:5">
      <c r="A7224">
        <v>10587</v>
      </c>
      <c r="B7224" t="s">
        <v>178</v>
      </c>
      <c r="C7224">
        <v>360</v>
      </c>
      <c r="D7224">
        <v>20</v>
      </c>
      <c r="E7224" s="80">
        <v>35613</v>
      </c>
    </row>
    <row r="7225" spans="1:5">
      <c r="A7225">
        <v>10587</v>
      </c>
      <c r="B7225" t="s">
        <v>179</v>
      </c>
      <c r="C7225">
        <v>360</v>
      </c>
      <c r="D7225">
        <v>20</v>
      </c>
      <c r="E7225" s="80">
        <v>35613</v>
      </c>
    </row>
    <row r="7226" spans="1:5">
      <c r="A7226">
        <v>10587</v>
      </c>
      <c r="B7226" t="s">
        <v>172</v>
      </c>
      <c r="C7226">
        <v>260</v>
      </c>
      <c r="D7226">
        <v>20</v>
      </c>
      <c r="E7226" s="80">
        <v>35613</v>
      </c>
    </row>
    <row r="7227" spans="1:5">
      <c r="A7227">
        <v>10587</v>
      </c>
      <c r="B7227" t="s">
        <v>173</v>
      </c>
      <c r="C7227">
        <v>260</v>
      </c>
      <c r="D7227">
        <v>20</v>
      </c>
      <c r="E7227" s="80">
        <v>35613</v>
      </c>
    </row>
    <row r="7228" spans="1:5">
      <c r="A7228">
        <v>10587</v>
      </c>
      <c r="B7228" t="s">
        <v>174</v>
      </c>
      <c r="C7228">
        <v>260</v>
      </c>
      <c r="D7228">
        <v>20</v>
      </c>
      <c r="E7228" s="80">
        <v>35613</v>
      </c>
    </row>
    <row r="7229" spans="1:5">
      <c r="A7229">
        <v>10587</v>
      </c>
      <c r="B7229" t="s">
        <v>175</v>
      </c>
      <c r="C7229">
        <v>260</v>
      </c>
      <c r="D7229">
        <v>20</v>
      </c>
      <c r="E7229" s="80">
        <v>35613</v>
      </c>
    </row>
    <row r="7230" spans="1:5">
      <c r="A7230">
        <v>10587</v>
      </c>
      <c r="B7230" t="s">
        <v>176</v>
      </c>
      <c r="C7230">
        <v>260</v>
      </c>
      <c r="D7230">
        <v>20</v>
      </c>
      <c r="E7230" s="80">
        <v>35613</v>
      </c>
    </row>
    <row r="7231" spans="1:5">
      <c r="A7231">
        <v>10587</v>
      </c>
      <c r="B7231" t="s">
        <v>177</v>
      </c>
      <c r="C7231">
        <v>260</v>
      </c>
      <c r="D7231">
        <v>20</v>
      </c>
      <c r="E7231" s="80">
        <v>35613</v>
      </c>
    </row>
    <row r="7232" spans="1:5">
      <c r="A7232">
        <v>10587</v>
      </c>
      <c r="B7232" t="s">
        <v>178</v>
      </c>
      <c r="C7232">
        <v>260</v>
      </c>
      <c r="D7232">
        <v>20</v>
      </c>
      <c r="E7232" s="80">
        <v>35613</v>
      </c>
    </row>
    <row r="7233" spans="1:5">
      <c r="A7233">
        <v>10587</v>
      </c>
      <c r="B7233" t="s">
        <v>179</v>
      </c>
      <c r="C7233">
        <v>260</v>
      </c>
      <c r="D7233">
        <v>20</v>
      </c>
      <c r="E7233" s="80">
        <v>35613</v>
      </c>
    </row>
    <row r="7234" spans="1:5">
      <c r="A7234">
        <v>10588</v>
      </c>
      <c r="B7234" t="s">
        <v>172</v>
      </c>
      <c r="C7234">
        <v>1999.9999925494194</v>
      </c>
      <c r="D7234">
        <v>40</v>
      </c>
      <c r="E7234" s="80">
        <v>35614</v>
      </c>
    </row>
    <row r="7235" spans="1:5">
      <c r="A7235">
        <v>10588</v>
      </c>
      <c r="B7235" t="s">
        <v>173</v>
      </c>
      <c r="C7235">
        <v>1999.9999925494194</v>
      </c>
      <c r="D7235">
        <v>40</v>
      </c>
      <c r="E7235" s="80">
        <v>35614</v>
      </c>
    </row>
    <row r="7236" spans="1:5">
      <c r="A7236">
        <v>10588</v>
      </c>
      <c r="B7236" t="s">
        <v>174</v>
      </c>
      <c r="C7236">
        <v>1999.9999925494194</v>
      </c>
      <c r="D7236">
        <v>40</v>
      </c>
      <c r="E7236" s="80">
        <v>35614</v>
      </c>
    </row>
    <row r="7237" spans="1:5">
      <c r="A7237">
        <v>10588</v>
      </c>
      <c r="B7237" t="s">
        <v>175</v>
      </c>
      <c r="C7237">
        <v>1999.9999925494194</v>
      </c>
      <c r="D7237">
        <v>40</v>
      </c>
      <c r="E7237" s="80">
        <v>35614</v>
      </c>
    </row>
    <row r="7238" spans="1:5">
      <c r="A7238">
        <v>10588</v>
      </c>
      <c r="B7238" t="s">
        <v>176</v>
      </c>
      <c r="C7238">
        <v>1999.9999925494194</v>
      </c>
      <c r="D7238">
        <v>40</v>
      </c>
      <c r="E7238" s="80">
        <v>35614</v>
      </c>
    </row>
    <row r="7239" spans="1:5">
      <c r="A7239">
        <v>10588</v>
      </c>
      <c r="B7239" t="s">
        <v>177</v>
      </c>
      <c r="C7239">
        <v>1999.9999925494194</v>
      </c>
      <c r="D7239">
        <v>40</v>
      </c>
      <c r="E7239" s="80">
        <v>35614</v>
      </c>
    </row>
    <row r="7240" spans="1:5">
      <c r="A7240">
        <v>10588</v>
      </c>
      <c r="B7240" t="s">
        <v>178</v>
      </c>
      <c r="C7240">
        <v>1999.9999925494194</v>
      </c>
      <c r="D7240">
        <v>40</v>
      </c>
      <c r="E7240" s="80">
        <v>35614</v>
      </c>
    </row>
    <row r="7241" spans="1:5">
      <c r="A7241">
        <v>10588</v>
      </c>
      <c r="B7241" t="s">
        <v>179</v>
      </c>
      <c r="C7241">
        <v>1999.9999925494194</v>
      </c>
      <c r="D7241">
        <v>40</v>
      </c>
      <c r="E7241" s="80">
        <v>35614</v>
      </c>
    </row>
    <row r="7242" spans="1:5">
      <c r="A7242">
        <v>10588</v>
      </c>
      <c r="B7242" t="s">
        <v>172</v>
      </c>
      <c r="C7242">
        <v>1119.9999958276749</v>
      </c>
      <c r="D7242">
        <v>100</v>
      </c>
      <c r="E7242" s="80">
        <v>35614</v>
      </c>
    </row>
    <row r="7243" spans="1:5">
      <c r="A7243">
        <v>10588</v>
      </c>
      <c r="B7243" t="s">
        <v>173</v>
      </c>
      <c r="C7243">
        <v>1119.9999958276749</v>
      </c>
      <c r="D7243">
        <v>100</v>
      </c>
      <c r="E7243" s="80">
        <v>35614</v>
      </c>
    </row>
    <row r="7244" spans="1:5">
      <c r="A7244">
        <v>10588</v>
      </c>
      <c r="B7244" t="s">
        <v>174</v>
      </c>
      <c r="C7244">
        <v>1119.9999958276749</v>
      </c>
      <c r="D7244">
        <v>100</v>
      </c>
      <c r="E7244" s="80">
        <v>35614</v>
      </c>
    </row>
    <row r="7245" spans="1:5">
      <c r="A7245">
        <v>10588</v>
      </c>
      <c r="B7245" t="s">
        <v>175</v>
      </c>
      <c r="C7245">
        <v>1119.9999958276749</v>
      </c>
      <c r="D7245">
        <v>100</v>
      </c>
      <c r="E7245" s="80">
        <v>35614</v>
      </c>
    </row>
    <row r="7246" spans="1:5">
      <c r="A7246">
        <v>10588</v>
      </c>
      <c r="B7246" t="s">
        <v>176</v>
      </c>
      <c r="C7246">
        <v>1119.9999958276749</v>
      </c>
      <c r="D7246">
        <v>100</v>
      </c>
      <c r="E7246" s="80">
        <v>35614</v>
      </c>
    </row>
    <row r="7247" spans="1:5">
      <c r="A7247">
        <v>10588</v>
      </c>
      <c r="B7247" t="s">
        <v>177</v>
      </c>
      <c r="C7247">
        <v>1119.9999958276749</v>
      </c>
      <c r="D7247">
        <v>100</v>
      </c>
      <c r="E7247" s="80">
        <v>35614</v>
      </c>
    </row>
    <row r="7248" spans="1:5">
      <c r="A7248">
        <v>10588</v>
      </c>
      <c r="B7248" t="s">
        <v>178</v>
      </c>
      <c r="C7248">
        <v>1119.9999958276749</v>
      </c>
      <c r="D7248">
        <v>100</v>
      </c>
      <c r="E7248" s="80">
        <v>35614</v>
      </c>
    </row>
    <row r="7249" spans="1:5">
      <c r="A7249">
        <v>10588</v>
      </c>
      <c r="B7249" t="s">
        <v>179</v>
      </c>
      <c r="C7249">
        <v>1119.9999958276749</v>
      </c>
      <c r="D7249">
        <v>100</v>
      </c>
      <c r="E7249" s="80">
        <v>35614</v>
      </c>
    </row>
    <row r="7250" spans="1:5">
      <c r="A7250">
        <v>10589</v>
      </c>
      <c r="B7250" t="s">
        <v>172</v>
      </c>
      <c r="C7250">
        <v>72</v>
      </c>
      <c r="D7250">
        <v>4</v>
      </c>
      <c r="E7250" s="80">
        <v>35615</v>
      </c>
    </row>
    <row r="7251" spans="1:5">
      <c r="A7251">
        <v>10589</v>
      </c>
      <c r="B7251" t="s">
        <v>173</v>
      </c>
      <c r="C7251">
        <v>72</v>
      </c>
      <c r="D7251">
        <v>4</v>
      </c>
      <c r="E7251" s="80">
        <v>35615</v>
      </c>
    </row>
    <row r="7252" spans="1:5">
      <c r="A7252">
        <v>10589</v>
      </c>
      <c r="B7252" t="s">
        <v>174</v>
      </c>
      <c r="C7252">
        <v>72</v>
      </c>
      <c r="D7252">
        <v>4</v>
      </c>
      <c r="E7252" s="80">
        <v>35615</v>
      </c>
    </row>
    <row r="7253" spans="1:5">
      <c r="A7253">
        <v>10589</v>
      </c>
      <c r="B7253" t="s">
        <v>175</v>
      </c>
      <c r="C7253">
        <v>72</v>
      </c>
      <c r="D7253">
        <v>4</v>
      </c>
      <c r="E7253" s="80">
        <v>35615</v>
      </c>
    </row>
    <row r="7254" spans="1:5">
      <c r="A7254">
        <v>10589</v>
      </c>
      <c r="B7254" t="s">
        <v>176</v>
      </c>
      <c r="C7254">
        <v>72</v>
      </c>
      <c r="D7254">
        <v>4</v>
      </c>
      <c r="E7254" s="80">
        <v>35615</v>
      </c>
    </row>
    <row r="7255" spans="1:5">
      <c r="A7255">
        <v>10589</v>
      </c>
      <c r="B7255" t="s">
        <v>177</v>
      </c>
      <c r="C7255">
        <v>72</v>
      </c>
      <c r="D7255">
        <v>4</v>
      </c>
      <c r="E7255" s="80">
        <v>35615</v>
      </c>
    </row>
    <row r="7256" spans="1:5">
      <c r="A7256">
        <v>10589</v>
      </c>
      <c r="B7256" t="s">
        <v>178</v>
      </c>
      <c r="C7256">
        <v>72</v>
      </c>
      <c r="D7256">
        <v>4</v>
      </c>
      <c r="E7256" s="80">
        <v>35615</v>
      </c>
    </row>
    <row r="7257" spans="1:5">
      <c r="A7257">
        <v>10589</v>
      </c>
      <c r="B7257" t="s">
        <v>179</v>
      </c>
      <c r="C7257">
        <v>72</v>
      </c>
      <c r="D7257">
        <v>4</v>
      </c>
      <c r="E7257" s="80">
        <v>35615</v>
      </c>
    </row>
    <row r="7258" spans="1:5">
      <c r="A7258">
        <v>10590</v>
      </c>
      <c r="B7258" t="s">
        <v>172</v>
      </c>
      <c r="C7258">
        <v>360</v>
      </c>
      <c r="D7258">
        <v>20</v>
      </c>
      <c r="E7258" s="80">
        <v>35618</v>
      </c>
    </row>
    <row r="7259" spans="1:5">
      <c r="A7259">
        <v>10590</v>
      </c>
      <c r="B7259" t="s">
        <v>173</v>
      </c>
      <c r="C7259">
        <v>360</v>
      </c>
      <c r="D7259">
        <v>20</v>
      </c>
      <c r="E7259" s="80">
        <v>35618</v>
      </c>
    </row>
    <row r="7260" spans="1:5">
      <c r="A7260">
        <v>10590</v>
      </c>
      <c r="B7260" t="s">
        <v>174</v>
      </c>
      <c r="C7260">
        <v>360</v>
      </c>
      <c r="D7260">
        <v>20</v>
      </c>
      <c r="E7260" s="80">
        <v>35618</v>
      </c>
    </row>
    <row r="7261" spans="1:5">
      <c r="A7261">
        <v>10590</v>
      </c>
      <c r="B7261" t="s">
        <v>175</v>
      </c>
      <c r="C7261">
        <v>360</v>
      </c>
      <c r="D7261">
        <v>20</v>
      </c>
      <c r="E7261" s="80">
        <v>35618</v>
      </c>
    </row>
    <row r="7262" spans="1:5">
      <c r="A7262">
        <v>10590</v>
      </c>
      <c r="B7262" t="s">
        <v>176</v>
      </c>
      <c r="C7262">
        <v>360</v>
      </c>
      <c r="D7262">
        <v>20</v>
      </c>
      <c r="E7262" s="80">
        <v>35618</v>
      </c>
    </row>
    <row r="7263" spans="1:5">
      <c r="A7263">
        <v>10590</v>
      </c>
      <c r="B7263" t="s">
        <v>177</v>
      </c>
      <c r="C7263">
        <v>360</v>
      </c>
      <c r="D7263">
        <v>20</v>
      </c>
      <c r="E7263" s="80">
        <v>35618</v>
      </c>
    </row>
    <row r="7264" spans="1:5">
      <c r="A7264">
        <v>10590</v>
      </c>
      <c r="B7264" t="s">
        <v>178</v>
      </c>
      <c r="C7264">
        <v>360</v>
      </c>
      <c r="D7264">
        <v>20</v>
      </c>
      <c r="E7264" s="80">
        <v>35618</v>
      </c>
    </row>
    <row r="7265" spans="1:5">
      <c r="A7265">
        <v>10590</v>
      </c>
      <c r="B7265" t="s">
        <v>179</v>
      </c>
      <c r="C7265">
        <v>360</v>
      </c>
      <c r="D7265">
        <v>20</v>
      </c>
      <c r="E7265" s="80">
        <v>35618</v>
      </c>
    </row>
    <row r="7266" spans="1:5">
      <c r="A7266">
        <v>10590</v>
      </c>
      <c r="B7266" t="s">
        <v>172</v>
      </c>
      <c r="C7266">
        <v>740.99999941885471</v>
      </c>
      <c r="D7266">
        <v>60</v>
      </c>
      <c r="E7266" s="80">
        <v>35618</v>
      </c>
    </row>
    <row r="7267" spans="1:5">
      <c r="A7267">
        <v>10590</v>
      </c>
      <c r="B7267" t="s">
        <v>173</v>
      </c>
      <c r="C7267">
        <v>740.99999941885471</v>
      </c>
      <c r="D7267">
        <v>60</v>
      </c>
      <c r="E7267" s="80">
        <v>35618</v>
      </c>
    </row>
    <row r="7268" spans="1:5">
      <c r="A7268">
        <v>10590</v>
      </c>
      <c r="B7268" t="s">
        <v>174</v>
      </c>
      <c r="C7268">
        <v>740.99999941885471</v>
      </c>
      <c r="D7268">
        <v>60</v>
      </c>
      <c r="E7268" s="80">
        <v>35618</v>
      </c>
    </row>
    <row r="7269" spans="1:5">
      <c r="A7269">
        <v>10590</v>
      </c>
      <c r="B7269" t="s">
        <v>175</v>
      </c>
      <c r="C7269">
        <v>740.99999941885471</v>
      </c>
      <c r="D7269">
        <v>60</v>
      </c>
      <c r="E7269" s="80">
        <v>35618</v>
      </c>
    </row>
    <row r="7270" spans="1:5">
      <c r="A7270">
        <v>10590</v>
      </c>
      <c r="B7270" t="s">
        <v>176</v>
      </c>
      <c r="C7270">
        <v>740.99999941885471</v>
      </c>
      <c r="D7270">
        <v>60</v>
      </c>
      <c r="E7270" s="80">
        <v>35618</v>
      </c>
    </row>
    <row r="7271" spans="1:5">
      <c r="A7271">
        <v>10590</v>
      </c>
      <c r="B7271" t="s">
        <v>177</v>
      </c>
      <c r="C7271">
        <v>740.99999941885471</v>
      </c>
      <c r="D7271">
        <v>60</v>
      </c>
      <c r="E7271" s="80">
        <v>35618</v>
      </c>
    </row>
    <row r="7272" spans="1:5">
      <c r="A7272">
        <v>10590</v>
      </c>
      <c r="B7272" t="s">
        <v>178</v>
      </c>
      <c r="C7272">
        <v>740.99999941885471</v>
      </c>
      <c r="D7272">
        <v>60</v>
      </c>
      <c r="E7272" s="80">
        <v>35618</v>
      </c>
    </row>
    <row r="7273" spans="1:5">
      <c r="A7273">
        <v>10590</v>
      </c>
      <c r="B7273" t="s">
        <v>179</v>
      </c>
      <c r="C7273">
        <v>740.99999941885471</v>
      </c>
      <c r="D7273">
        <v>60</v>
      </c>
      <c r="E7273" s="80">
        <v>35618</v>
      </c>
    </row>
    <row r="7274" spans="1:5">
      <c r="A7274">
        <v>10591</v>
      </c>
      <c r="B7274" t="s">
        <v>172</v>
      </c>
      <c r="C7274">
        <v>140</v>
      </c>
      <c r="D7274">
        <v>14</v>
      </c>
      <c r="E7274" s="80">
        <v>35618</v>
      </c>
    </row>
    <row r="7275" spans="1:5">
      <c r="A7275">
        <v>10591</v>
      </c>
      <c r="B7275" t="s">
        <v>173</v>
      </c>
      <c r="C7275">
        <v>140</v>
      </c>
      <c r="D7275">
        <v>14</v>
      </c>
      <c r="E7275" s="80">
        <v>35618</v>
      </c>
    </row>
    <row r="7276" spans="1:5">
      <c r="A7276">
        <v>10591</v>
      </c>
      <c r="B7276" t="s">
        <v>174</v>
      </c>
      <c r="C7276">
        <v>140</v>
      </c>
      <c r="D7276">
        <v>14</v>
      </c>
      <c r="E7276" s="80">
        <v>35618</v>
      </c>
    </row>
    <row r="7277" spans="1:5">
      <c r="A7277">
        <v>10591</v>
      </c>
      <c r="B7277" t="s">
        <v>175</v>
      </c>
      <c r="C7277">
        <v>140</v>
      </c>
      <c r="D7277">
        <v>14</v>
      </c>
      <c r="E7277" s="80">
        <v>35618</v>
      </c>
    </row>
    <row r="7278" spans="1:5">
      <c r="A7278">
        <v>10591</v>
      </c>
      <c r="B7278" t="s">
        <v>176</v>
      </c>
      <c r="C7278">
        <v>140</v>
      </c>
      <c r="D7278">
        <v>14</v>
      </c>
      <c r="E7278" s="80">
        <v>35618</v>
      </c>
    </row>
    <row r="7279" spans="1:5">
      <c r="A7279">
        <v>10591</v>
      </c>
      <c r="B7279" t="s">
        <v>177</v>
      </c>
      <c r="C7279">
        <v>140</v>
      </c>
      <c r="D7279">
        <v>14</v>
      </c>
      <c r="E7279" s="80">
        <v>35618</v>
      </c>
    </row>
    <row r="7280" spans="1:5">
      <c r="A7280">
        <v>10591</v>
      </c>
      <c r="B7280" t="s">
        <v>178</v>
      </c>
      <c r="C7280">
        <v>140</v>
      </c>
      <c r="D7280">
        <v>14</v>
      </c>
      <c r="E7280" s="80">
        <v>35618</v>
      </c>
    </row>
    <row r="7281" spans="1:5">
      <c r="A7281">
        <v>10591</v>
      </c>
      <c r="B7281" t="s">
        <v>179</v>
      </c>
      <c r="C7281">
        <v>140</v>
      </c>
      <c r="D7281">
        <v>14</v>
      </c>
      <c r="E7281" s="80">
        <v>35618</v>
      </c>
    </row>
    <row r="7282" spans="1:5">
      <c r="A7282">
        <v>10591</v>
      </c>
      <c r="B7282" t="s">
        <v>172</v>
      </c>
      <c r="C7282">
        <v>300</v>
      </c>
      <c r="D7282">
        <v>10</v>
      </c>
      <c r="E7282" s="80">
        <v>35618</v>
      </c>
    </row>
    <row r="7283" spans="1:5">
      <c r="A7283">
        <v>10591</v>
      </c>
      <c r="B7283" t="s">
        <v>173</v>
      </c>
      <c r="C7283">
        <v>300</v>
      </c>
      <c r="D7283">
        <v>10</v>
      </c>
      <c r="E7283" s="80">
        <v>35618</v>
      </c>
    </row>
    <row r="7284" spans="1:5">
      <c r="A7284">
        <v>10591</v>
      </c>
      <c r="B7284" t="s">
        <v>174</v>
      </c>
      <c r="C7284">
        <v>300</v>
      </c>
      <c r="D7284">
        <v>10</v>
      </c>
      <c r="E7284" s="80">
        <v>35618</v>
      </c>
    </row>
    <row r="7285" spans="1:5">
      <c r="A7285">
        <v>10591</v>
      </c>
      <c r="B7285" t="s">
        <v>175</v>
      </c>
      <c r="C7285">
        <v>300</v>
      </c>
      <c r="D7285">
        <v>10</v>
      </c>
      <c r="E7285" s="80">
        <v>35618</v>
      </c>
    </row>
    <row r="7286" spans="1:5">
      <c r="A7286">
        <v>10591</v>
      </c>
      <c r="B7286" t="s">
        <v>176</v>
      </c>
      <c r="C7286">
        <v>300</v>
      </c>
      <c r="D7286">
        <v>10</v>
      </c>
      <c r="E7286" s="80">
        <v>35618</v>
      </c>
    </row>
    <row r="7287" spans="1:5">
      <c r="A7287">
        <v>10591</v>
      </c>
      <c r="B7287" t="s">
        <v>177</v>
      </c>
      <c r="C7287">
        <v>300</v>
      </c>
      <c r="D7287">
        <v>10</v>
      </c>
      <c r="E7287" s="80">
        <v>35618</v>
      </c>
    </row>
    <row r="7288" spans="1:5">
      <c r="A7288">
        <v>10591</v>
      </c>
      <c r="B7288" t="s">
        <v>178</v>
      </c>
      <c r="C7288">
        <v>300</v>
      </c>
      <c r="D7288">
        <v>10</v>
      </c>
      <c r="E7288" s="80">
        <v>35618</v>
      </c>
    </row>
    <row r="7289" spans="1:5">
      <c r="A7289">
        <v>10591</v>
      </c>
      <c r="B7289" t="s">
        <v>179</v>
      </c>
      <c r="C7289">
        <v>300</v>
      </c>
      <c r="D7289">
        <v>10</v>
      </c>
      <c r="E7289" s="80">
        <v>35618</v>
      </c>
    </row>
    <row r="7290" spans="1:5">
      <c r="A7290">
        <v>10591</v>
      </c>
      <c r="B7290" t="s">
        <v>172</v>
      </c>
      <c r="C7290">
        <v>372.5</v>
      </c>
      <c r="D7290">
        <v>50</v>
      </c>
      <c r="E7290" s="80">
        <v>35618</v>
      </c>
    </row>
    <row r="7291" spans="1:5">
      <c r="A7291">
        <v>10591</v>
      </c>
      <c r="B7291" t="s">
        <v>173</v>
      </c>
      <c r="C7291">
        <v>372.5</v>
      </c>
      <c r="D7291">
        <v>50</v>
      </c>
      <c r="E7291" s="80">
        <v>35618</v>
      </c>
    </row>
    <row r="7292" spans="1:5">
      <c r="A7292">
        <v>10591</v>
      </c>
      <c r="B7292" t="s">
        <v>174</v>
      </c>
      <c r="C7292">
        <v>372.5</v>
      </c>
      <c r="D7292">
        <v>50</v>
      </c>
      <c r="E7292" s="80">
        <v>35618</v>
      </c>
    </row>
    <row r="7293" spans="1:5">
      <c r="A7293">
        <v>10591</v>
      </c>
      <c r="B7293" t="s">
        <v>175</v>
      </c>
      <c r="C7293">
        <v>372.5</v>
      </c>
      <c r="D7293">
        <v>50</v>
      </c>
      <c r="E7293" s="80">
        <v>35618</v>
      </c>
    </row>
    <row r="7294" spans="1:5">
      <c r="A7294">
        <v>10591</v>
      </c>
      <c r="B7294" t="s">
        <v>176</v>
      </c>
      <c r="C7294">
        <v>372.5</v>
      </c>
      <c r="D7294">
        <v>50</v>
      </c>
      <c r="E7294" s="80">
        <v>35618</v>
      </c>
    </row>
    <row r="7295" spans="1:5">
      <c r="A7295">
        <v>10591</v>
      </c>
      <c r="B7295" t="s">
        <v>177</v>
      </c>
      <c r="C7295">
        <v>372.5</v>
      </c>
      <c r="D7295">
        <v>50</v>
      </c>
      <c r="E7295" s="80">
        <v>35618</v>
      </c>
    </row>
    <row r="7296" spans="1:5">
      <c r="A7296">
        <v>10591</v>
      </c>
      <c r="B7296" t="s">
        <v>178</v>
      </c>
      <c r="C7296">
        <v>372.5</v>
      </c>
      <c r="D7296">
        <v>50</v>
      </c>
      <c r="E7296" s="80">
        <v>35618</v>
      </c>
    </row>
    <row r="7297" spans="1:5">
      <c r="A7297">
        <v>10591</v>
      </c>
      <c r="B7297" t="s">
        <v>179</v>
      </c>
      <c r="C7297">
        <v>372.5</v>
      </c>
      <c r="D7297">
        <v>50</v>
      </c>
      <c r="E7297" s="80">
        <v>35618</v>
      </c>
    </row>
    <row r="7298" spans="1:5">
      <c r="A7298">
        <v>10592</v>
      </c>
      <c r="B7298" t="s">
        <v>172</v>
      </c>
      <c r="C7298">
        <v>368.12499971129</v>
      </c>
      <c r="D7298">
        <v>25</v>
      </c>
      <c r="E7298" s="80">
        <v>35619</v>
      </c>
    </row>
    <row r="7299" spans="1:5">
      <c r="A7299">
        <v>10592</v>
      </c>
      <c r="B7299" t="s">
        <v>173</v>
      </c>
      <c r="C7299">
        <v>368.12499971129</v>
      </c>
      <c r="D7299">
        <v>25</v>
      </c>
      <c r="E7299" s="80">
        <v>35619</v>
      </c>
    </row>
    <row r="7300" spans="1:5">
      <c r="A7300">
        <v>10592</v>
      </c>
      <c r="B7300" t="s">
        <v>174</v>
      </c>
      <c r="C7300">
        <v>368.12499971129</v>
      </c>
      <c r="D7300">
        <v>25</v>
      </c>
      <c r="E7300" s="80">
        <v>35619</v>
      </c>
    </row>
    <row r="7301" spans="1:5">
      <c r="A7301">
        <v>10592</v>
      </c>
      <c r="B7301" t="s">
        <v>175</v>
      </c>
      <c r="C7301">
        <v>368.12499971129</v>
      </c>
      <c r="D7301">
        <v>25</v>
      </c>
      <c r="E7301" s="80">
        <v>35619</v>
      </c>
    </row>
    <row r="7302" spans="1:5">
      <c r="A7302">
        <v>10592</v>
      </c>
      <c r="B7302" t="s">
        <v>176</v>
      </c>
      <c r="C7302">
        <v>368.12499971129</v>
      </c>
      <c r="D7302">
        <v>25</v>
      </c>
      <c r="E7302" s="80">
        <v>35619</v>
      </c>
    </row>
    <row r="7303" spans="1:5">
      <c r="A7303">
        <v>10592</v>
      </c>
      <c r="B7303" t="s">
        <v>177</v>
      </c>
      <c r="C7303">
        <v>368.12499971129</v>
      </c>
      <c r="D7303">
        <v>25</v>
      </c>
      <c r="E7303" s="80">
        <v>35619</v>
      </c>
    </row>
    <row r="7304" spans="1:5">
      <c r="A7304">
        <v>10592</v>
      </c>
      <c r="B7304" t="s">
        <v>178</v>
      </c>
      <c r="C7304">
        <v>368.12499971129</v>
      </c>
      <c r="D7304">
        <v>25</v>
      </c>
      <c r="E7304" s="80">
        <v>35619</v>
      </c>
    </row>
    <row r="7305" spans="1:5">
      <c r="A7305">
        <v>10592</v>
      </c>
      <c r="B7305" t="s">
        <v>179</v>
      </c>
      <c r="C7305">
        <v>368.12499971129</v>
      </c>
      <c r="D7305">
        <v>25</v>
      </c>
      <c r="E7305" s="80">
        <v>35619</v>
      </c>
    </row>
    <row r="7306" spans="1:5">
      <c r="A7306">
        <v>10592</v>
      </c>
      <c r="B7306" t="s">
        <v>172</v>
      </c>
      <c r="C7306">
        <v>148.3424998836592</v>
      </c>
      <c r="D7306">
        <v>5</v>
      </c>
      <c r="E7306" s="80">
        <v>35619</v>
      </c>
    </row>
    <row r="7307" spans="1:5">
      <c r="A7307">
        <v>10592</v>
      </c>
      <c r="B7307" t="s">
        <v>173</v>
      </c>
      <c r="C7307">
        <v>148.3424998836592</v>
      </c>
      <c r="D7307">
        <v>5</v>
      </c>
      <c r="E7307" s="80">
        <v>35619</v>
      </c>
    </row>
    <row r="7308" spans="1:5">
      <c r="A7308">
        <v>10592</v>
      </c>
      <c r="B7308" t="s">
        <v>174</v>
      </c>
      <c r="C7308">
        <v>148.3424998836592</v>
      </c>
      <c r="D7308">
        <v>5</v>
      </c>
      <c r="E7308" s="80">
        <v>35619</v>
      </c>
    </row>
    <row r="7309" spans="1:5">
      <c r="A7309">
        <v>10592</v>
      </c>
      <c r="B7309" t="s">
        <v>175</v>
      </c>
      <c r="C7309">
        <v>148.3424998836592</v>
      </c>
      <c r="D7309">
        <v>5</v>
      </c>
      <c r="E7309" s="80">
        <v>35619</v>
      </c>
    </row>
    <row r="7310" spans="1:5">
      <c r="A7310">
        <v>10592</v>
      </c>
      <c r="B7310" t="s">
        <v>176</v>
      </c>
      <c r="C7310">
        <v>148.3424998836592</v>
      </c>
      <c r="D7310">
        <v>5</v>
      </c>
      <c r="E7310" s="80">
        <v>35619</v>
      </c>
    </row>
    <row r="7311" spans="1:5">
      <c r="A7311">
        <v>10592</v>
      </c>
      <c r="B7311" t="s">
        <v>177</v>
      </c>
      <c r="C7311">
        <v>148.3424998836592</v>
      </c>
      <c r="D7311">
        <v>5</v>
      </c>
      <c r="E7311" s="80">
        <v>35619</v>
      </c>
    </row>
    <row r="7312" spans="1:5">
      <c r="A7312">
        <v>10592</v>
      </c>
      <c r="B7312" t="s">
        <v>178</v>
      </c>
      <c r="C7312">
        <v>148.3424998836592</v>
      </c>
      <c r="D7312">
        <v>5</v>
      </c>
      <c r="E7312" s="80">
        <v>35619</v>
      </c>
    </row>
    <row r="7313" spans="1:5">
      <c r="A7313">
        <v>10592</v>
      </c>
      <c r="B7313" t="s">
        <v>179</v>
      </c>
      <c r="C7313">
        <v>148.3424998836592</v>
      </c>
      <c r="D7313">
        <v>5</v>
      </c>
      <c r="E7313" s="80">
        <v>35619</v>
      </c>
    </row>
    <row r="7314" spans="1:5">
      <c r="A7314">
        <v>10593</v>
      </c>
      <c r="B7314" t="s">
        <v>172</v>
      </c>
      <c r="C7314">
        <v>1360.799994930625</v>
      </c>
      <c r="D7314">
        <v>21</v>
      </c>
      <c r="E7314" s="80">
        <v>35620</v>
      </c>
    </row>
    <row r="7315" spans="1:5">
      <c r="A7315">
        <v>10593</v>
      </c>
      <c r="B7315" t="s">
        <v>173</v>
      </c>
      <c r="C7315">
        <v>1360.799994930625</v>
      </c>
      <c r="D7315">
        <v>21</v>
      </c>
      <c r="E7315" s="80">
        <v>35620</v>
      </c>
    </row>
    <row r="7316" spans="1:5">
      <c r="A7316">
        <v>10593</v>
      </c>
      <c r="B7316" t="s">
        <v>174</v>
      </c>
      <c r="C7316">
        <v>1360.799994930625</v>
      </c>
      <c r="D7316">
        <v>21</v>
      </c>
      <c r="E7316" s="80">
        <v>35620</v>
      </c>
    </row>
    <row r="7317" spans="1:5">
      <c r="A7317">
        <v>10593</v>
      </c>
      <c r="B7317" t="s">
        <v>175</v>
      </c>
      <c r="C7317">
        <v>1360.799994930625</v>
      </c>
      <c r="D7317">
        <v>21</v>
      </c>
      <c r="E7317" s="80">
        <v>35620</v>
      </c>
    </row>
    <row r="7318" spans="1:5">
      <c r="A7318">
        <v>10593</v>
      </c>
      <c r="B7318" t="s">
        <v>176</v>
      </c>
      <c r="C7318">
        <v>1360.799994930625</v>
      </c>
      <c r="D7318">
        <v>21</v>
      </c>
      <c r="E7318" s="80">
        <v>35620</v>
      </c>
    </row>
    <row r="7319" spans="1:5">
      <c r="A7319">
        <v>10593</v>
      </c>
      <c r="B7319" t="s">
        <v>177</v>
      </c>
      <c r="C7319">
        <v>1360.799994930625</v>
      </c>
      <c r="D7319">
        <v>21</v>
      </c>
      <c r="E7319" s="80">
        <v>35620</v>
      </c>
    </row>
    <row r="7320" spans="1:5">
      <c r="A7320">
        <v>10593</v>
      </c>
      <c r="B7320" t="s">
        <v>178</v>
      </c>
      <c r="C7320">
        <v>1360.799994930625</v>
      </c>
      <c r="D7320">
        <v>21</v>
      </c>
      <c r="E7320" s="80">
        <v>35620</v>
      </c>
    </row>
    <row r="7321" spans="1:5">
      <c r="A7321">
        <v>10593</v>
      </c>
      <c r="B7321" t="s">
        <v>179</v>
      </c>
      <c r="C7321">
        <v>1360.799994930625</v>
      </c>
      <c r="D7321">
        <v>21</v>
      </c>
      <c r="E7321" s="80">
        <v>35620</v>
      </c>
    </row>
    <row r="7322" spans="1:5">
      <c r="A7322">
        <v>10593</v>
      </c>
      <c r="B7322" t="s">
        <v>172</v>
      </c>
      <c r="C7322">
        <v>575.99999785423279</v>
      </c>
      <c r="D7322">
        <v>20</v>
      </c>
      <c r="E7322" s="80">
        <v>35620</v>
      </c>
    </row>
    <row r="7323" spans="1:5">
      <c r="A7323">
        <v>10593</v>
      </c>
      <c r="B7323" t="s">
        <v>173</v>
      </c>
      <c r="C7323">
        <v>575.99999785423279</v>
      </c>
      <c r="D7323">
        <v>20</v>
      </c>
      <c r="E7323" s="80">
        <v>35620</v>
      </c>
    </row>
    <row r="7324" spans="1:5">
      <c r="A7324">
        <v>10593</v>
      </c>
      <c r="B7324" t="s">
        <v>174</v>
      </c>
      <c r="C7324">
        <v>575.99999785423279</v>
      </c>
      <c r="D7324">
        <v>20</v>
      </c>
      <c r="E7324" s="80">
        <v>35620</v>
      </c>
    </row>
    <row r="7325" spans="1:5">
      <c r="A7325">
        <v>10593</v>
      </c>
      <c r="B7325" t="s">
        <v>175</v>
      </c>
      <c r="C7325">
        <v>575.99999785423279</v>
      </c>
      <c r="D7325">
        <v>20</v>
      </c>
      <c r="E7325" s="80">
        <v>35620</v>
      </c>
    </row>
    <row r="7326" spans="1:5">
      <c r="A7326">
        <v>10593</v>
      </c>
      <c r="B7326" t="s">
        <v>176</v>
      </c>
      <c r="C7326">
        <v>575.99999785423279</v>
      </c>
      <c r="D7326">
        <v>20</v>
      </c>
      <c r="E7326" s="80">
        <v>35620</v>
      </c>
    </row>
    <row r="7327" spans="1:5">
      <c r="A7327">
        <v>10593</v>
      </c>
      <c r="B7327" t="s">
        <v>177</v>
      </c>
      <c r="C7327">
        <v>575.99999785423279</v>
      </c>
      <c r="D7327">
        <v>20</v>
      </c>
      <c r="E7327" s="80">
        <v>35620</v>
      </c>
    </row>
    <row r="7328" spans="1:5">
      <c r="A7328">
        <v>10593</v>
      </c>
      <c r="B7328" t="s">
        <v>178</v>
      </c>
      <c r="C7328">
        <v>575.99999785423279</v>
      </c>
      <c r="D7328">
        <v>20</v>
      </c>
      <c r="E7328" s="80">
        <v>35620</v>
      </c>
    </row>
    <row r="7329" spans="1:5">
      <c r="A7329">
        <v>10593</v>
      </c>
      <c r="B7329" t="s">
        <v>179</v>
      </c>
      <c r="C7329">
        <v>575.99999785423279</v>
      </c>
      <c r="D7329">
        <v>20</v>
      </c>
      <c r="E7329" s="80">
        <v>35620</v>
      </c>
    </row>
    <row r="7330" spans="1:5">
      <c r="A7330">
        <v>10593</v>
      </c>
      <c r="B7330" t="s">
        <v>172</v>
      </c>
      <c r="C7330">
        <v>57.599999785423279</v>
      </c>
      <c r="D7330">
        <v>4</v>
      </c>
      <c r="E7330" s="80">
        <v>35620</v>
      </c>
    </row>
    <row r="7331" spans="1:5">
      <c r="A7331">
        <v>10593</v>
      </c>
      <c r="B7331" t="s">
        <v>173</v>
      </c>
      <c r="C7331">
        <v>57.599999785423279</v>
      </c>
      <c r="D7331">
        <v>4</v>
      </c>
      <c r="E7331" s="80">
        <v>35620</v>
      </c>
    </row>
    <row r="7332" spans="1:5">
      <c r="A7332">
        <v>10593</v>
      </c>
      <c r="B7332" t="s">
        <v>174</v>
      </c>
      <c r="C7332">
        <v>57.599999785423279</v>
      </c>
      <c r="D7332">
        <v>4</v>
      </c>
      <c r="E7332" s="80">
        <v>35620</v>
      </c>
    </row>
    <row r="7333" spans="1:5">
      <c r="A7333">
        <v>10593</v>
      </c>
      <c r="B7333" t="s">
        <v>175</v>
      </c>
      <c r="C7333">
        <v>57.599999785423279</v>
      </c>
      <c r="D7333">
        <v>4</v>
      </c>
      <c r="E7333" s="80">
        <v>35620</v>
      </c>
    </row>
    <row r="7334" spans="1:5">
      <c r="A7334">
        <v>10593</v>
      </c>
      <c r="B7334" t="s">
        <v>176</v>
      </c>
      <c r="C7334">
        <v>57.599999785423279</v>
      </c>
      <c r="D7334">
        <v>4</v>
      </c>
      <c r="E7334" s="80">
        <v>35620</v>
      </c>
    </row>
    <row r="7335" spans="1:5">
      <c r="A7335">
        <v>10593</v>
      </c>
      <c r="B7335" t="s">
        <v>177</v>
      </c>
      <c r="C7335">
        <v>57.599999785423279</v>
      </c>
      <c r="D7335">
        <v>4</v>
      </c>
      <c r="E7335" s="80">
        <v>35620</v>
      </c>
    </row>
    <row r="7336" spans="1:5">
      <c r="A7336">
        <v>10593</v>
      </c>
      <c r="B7336" t="s">
        <v>178</v>
      </c>
      <c r="C7336">
        <v>57.599999785423279</v>
      </c>
      <c r="D7336">
        <v>4</v>
      </c>
      <c r="E7336" s="80">
        <v>35620</v>
      </c>
    </row>
    <row r="7337" spans="1:5">
      <c r="A7337">
        <v>10593</v>
      </c>
      <c r="B7337" t="s">
        <v>179</v>
      </c>
      <c r="C7337">
        <v>57.599999785423279</v>
      </c>
      <c r="D7337">
        <v>4</v>
      </c>
      <c r="E7337" s="80">
        <v>35620</v>
      </c>
    </row>
    <row r="7338" spans="1:5">
      <c r="A7338">
        <v>10594</v>
      </c>
      <c r="B7338" t="s">
        <v>172</v>
      </c>
      <c r="C7338">
        <v>168</v>
      </c>
      <c r="D7338">
        <v>24</v>
      </c>
      <c r="E7338" s="80">
        <v>35620</v>
      </c>
    </row>
    <row r="7339" spans="1:5">
      <c r="A7339">
        <v>10594</v>
      </c>
      <c r="B7339" t="s">
        <v>173</v>
      </c>
      <c r="C7339">
        <v>168</v>
      </c>
      <c r="D7339">
        <v>24</v>
      </c>
      <c r="E7339" s="80">
        <v>35620</v>
      </c>
    </row>
    <row r="7340" spans="1:5">
      <c r="A7340">
        <v>10594</v>
      </c>
      <c r="B7340" t="s">
        <v>174</v>
      </c>
      <c r="C7340">
        <v>168</v>
      </c>
      <c r="D7340">
        <v>24</v>
      </c>
      <c r="E7340" s="80">
        <v>35620</v>
      </c>
    </row>
    <row r="7341" spans="1:5">
      <c r="A7341">
        <v>10594</v>
      </c>
      <c r="B7341" t="s">
        <v>175</v>
      </c>
      <c r="C7341">
        <v>168</v>
      </c>
      <c r="D7341">
        <v>24</v>
      </c>
      <c r="E7341" s="80">
        <v>35620</v>
      </c>
    </row>
    <row r="7342" spans="1:5">
      <c r="A7342">
        <v>10594</v>
      </c>
      <c r="B7342" t="s">
        <v>176</v>
      </c>
      <c r="C7342">
        <v>168</v>
      </c>
      <c r="D7342">
        <v>24</v>
      </c>
      <c r="E7342" s="80">
        <v>35620</v>
      </c>
    </row>
    <row r="7343" spans="1:5">
      <c r="A7343">
        <v>10594</v>
      </c>
      <c r="B7343" t="s">
        <v>177</v>
      </c>
      <c r="C7343">
        <v>168</v>
      </c>
      <c r="D7343">
        <v>24</v>
      </c>
      <c r="E7343" s="80">
        <v>35620</v>
      </c>
    </row>
    <row r="7344" spans="1:5">
      <c r="A7344">
        <v>10594</v>
      </c>
      <c r="B7344" t="s">
        <v>178</v>
      </c>
      <c r="C7344">
        <v>168</v>
      </c>
      <c r="D7344">
        <v>24</v>
      </c>
      <c r="E7344" s="80">
        <v>35620</v>
      </c>
    </row>
    <row r="7345" spans="1:5">
      <c r="A7345">
        <v>10594</v>
      </c>
      <c r="B7345" t="s">
        <v>179</v>
      </c>
      <c r="C7345">
        <v>168</v>
      </c>
      <c r="D7345">
        <v>24</v>
      </c>
      <c r="E7345" s="80">
        <v>35620</v>
      </c>
    </row>
    <row r="7346" spans="1:5">
      <c r="A7346">
        <v>10594</v>
      </c>
      <c r="B7346" t="s">
        <v>172</v>
      </c>
      <c r="C7346">
        <v>397.5</v>
      </c>
      <c r="D7346">
        <v>30</v>
      </c>
      <c r="E7346" s="80">
        <v>35620</v>
      </c>
    </row>
    <row r="7347" spans="1:5">
      <c r="A7347">
        <v>10594</v>
      </c>
      <c r="B7347" t="s">
        <v>173</v>
      </c>
      <c r="C7347">
        <v>397.5</v>
      </c>
      <c r="D7347">
        <v>30</v>
      </c>
      <c r="E7347" s="80">
        <v>35620</v>
      </c>
    </row>
    <row r="7348" spans="1:5">
      <c r="A7348">
        <v>10594</v>
      </c>
      <c r="B7348" t="s">
        <v>174</v>
      </c>
      <c r="C7348">
        <v>397.5</v>
      </c>
      <c r="D7348">
        <v>30</v>
      </c>
      <c r="E7348" s="80">
        <v>35620</v>
      </c>
    </row>
    <row r="7349" spans="1:5">
      <c r="A7349">
        <v>10594</v>
      </c>
      <c r="B7349" t="s">
        <v>175</v>
      </c>
      <c r="C7349">
        <v>397.5</v>
      </c>
      <c r="D7349">
        <v>30</v>
      </c>
      <c r="E7349" s="80">
        <v>35620</v>
      </c>
    </row>
    <row r="7350" spans="1:5">
      <c r="A7350">
        <v>10594</v>
      </c>
      <c r="B7350" t="s">
        <v>176</v>
      </c>
      <c r="C7350">
        <v>397.5</v>
      </c>
      <c r="D7350">
        <v>30</v>
      </c>
      <c r="E7350" s="80">
        <v>35620</v>
      </c>
    </row>
    <row r="7351" spans="1:5">
      <c r="A7351">
        <v>10594</v>
      </c>
      <c r="B7351" t="s">
        <v>177</v>
      </c>
      <c r="C7351">
        <v>397.5</v>
      </c>
      <c r="D7351">
        <v>30</v>
      </c>
      <c r="E7351" s="80">
        <v>35620</v>
      </c>
    </row>
    <row r="7352" spans="1:5">
      <c r="A7352">
        <v>10594</v>
      </c>
      <c r="B7352" t="s">
        <v>178</v>
      </c>
      <c r="C7352">
        <v>397.5</v>
      </c>
      <c r="D7352">
        <v>30</v>
      </c>
      <c r="E7352" s="80">
        <v>35620</v>
      </c>
    </row>
    <row r="7353" spans="1:5">
      <c r="A7353">
        <v>10594</v>
      </c>
      <c r="B7353" t="s">
        <v>179</v>
      </c>
      <c r="C7353">
        <v>397.5</v>
      </c>
      <c r="D7353">
        <v>30</v>
      </c>
      <c r="E7353" s="80">
        <v>35620</v>
      </c>
    </row>
    <row r="7354" spans="1:5">
      <c r="A7354">
        <v>10595</v>
      </c>
      <c r="B7354" t="s">
        <v>172</v>
      </c>
      <c r="C7354">
        <v>405</v>
      </c>
      <c r="D7354">
        <v>30</v>
      </c>
      <c r="E7354" s="80">
        <v>35621</v>
      </c>
    </row>
    <row r="7355" spans="1:5">
      <c r="A7355">
        <v>10595</v>
      </c>
      <c r="B7355" t="s">
        <v>173</v>
      </c>
      <c r="C7355">
        <v>405</v>
      </c>
      <c r="D7355">
        <v>30</v>
      </c>
      <c r="E7355" s="80">
        <v>35621</v>
      </c>
    </row>
    <row r="7356" spans="1:5">
      <c r="A7356">
        <v>10595</v>
      </c>
      <c r="B7356" t="s">
        <v>174</v>
      </c>
      <c r="C7356">
        <v>405</v>
      </c>
      <c r="D7356">
        <v>30</v>
      </c>
      <c r="E7356" s="80">
        <v>35621</v>
      </c>
    </row>
    <row r="7357" spans="1:5">
      <c r="A7357">
        <v>10595</v>
      </c>
      <c r="B7357" t="s">
        <v>175</v>
      </c>
      <c r="C7357">
        <v>405</v>
      </c>
      <c r="D7357">
        <v>30</v>
      </c>
      <c r="E7357" s="80">
        <v>35621</v>
      </c>
    </row>
    <row r="7358" spans="1:5">
      <c r="A7358">
        <v>10595</v>
      </c>
      <c r="B7358" t="s">
        <v>176</v>
      </c>
      <c r="C7358">
        <v>405</v>
      </c>
      <c r="D7358">
        <v>30</v>
      </c>
      <c r="E7358" s="80">
        <v>35621</v>
      </c>
    </row>
    <row r="7359" spans="1:5">
      <c r="A7359">
        <v>10595</v>
      </c>
      <c r="B7359" t="s">
        <v>177</v>
      </c>
      <c r="C7359">
        <v>405</v>
      </c>
      <c r="D7359">
        <v>30</v>
      </c>
      <c r="E7359" s="80">
        <v>35621</v>
      </c>
    </row>
    <row r="7360" spans="1:5">
      <c r="A7360">
        <v>10595</v>
      </c>
      <c r="B7360" t="s">
        <v>178</v>
      </c>
      <c r="C7360">
        <v>405</v>
      </c>
      <c r="D7360">
        <v>30</v>
      </c>
      <c r="E7360" s="80">
        <v>35621</v>
      </c>
    </row>
    <row r="7361" spans="1:5">
      <c r="A7361">
        <v>10595</v>
      </c>
      <c r="B7361" t="s">
        <v>179</v>
      </c>
      <c r="C7361">
        <v>405</v>
      </c>
      <c r="D7361">
        <v>30</v>
      </c>
      <c r="E7361" s="80">
        <v>35621</v>
      </c>
    </row>
    <row r="7362" spans="1:5">
      <c r="A7362">
        <v>10595</v>
      </c>
      <c r="B7362" t="s">
        <v>172</v>
      </c>
      <c r="C7362">
        <v>2565</v>
      </c>
      <c r="D7362">
        <v>120</v>
      </c>
      <c r="E7362" s="80">
        <v>35621</v>
      </c>
    </row>
    <row r="7363" spans="1:5">
      <c r="A7363">
        <v>10595</v>
      </c>
      <c r="B7363" t="s">
        <v>173</v>
      </c>
      <c r="C7363">
        <v>2565</v>
      </c>
      <c r="D7363">
        <v>120</v>
      </c>
      <c r="E7363" s="80">
        <v>35621</v>
      </c>
    </row>
    <row r="7364" spans="1:5">
      <c r="A7364">
        <v>10595</v>
      </c>
      <c r="B7364" t="s">
        <v>174</v>
      </c>
      <c r="C7364">
        <v>2565</v>
      </c>
      <c r="D7364">
        <v>120</v>
      </c>
      <c r="E7364" s="80">
        <v>35621</v>
      </c>
    </row>
    <row r="7365" spans="1:5">
      <c r="A7365">
        <v>10595</v>
      </c>
      <c r="B7365" t="s">
        <v>175</v>
      </c>
      <c r="C7365">
        <v>2565</v>
      </c>
      <c r="D7365">
        <v>120</v>
      </c>
      <c r="E7365" s="80">
        <v>35621</v>
      </c>
    </row>
    <row r="7366" spans="1:5">
      <c r="A7366">
        <v>10595</v>
      </c>
      <c r="B7366" t="s">
        <v>176</v>
      </c>
      <c r="C7366">
        <v>2565</v>
      </c>
      <c r="D7366">
        <v>120</v>
      </c>
      <c r="E7366" s="80">
        <v>35621</v>
      </c>
    </row>
    <row r="7367" spans="1:5">
      <c r="A7367">
        <v>10595</v>
      </c>
      <c r="B7367" t="s">
        <v>177</v>
      </c>
      <c r="C7367">
        <v>2565</v>
      </c>
      <c r="D7367">
        <v>120</v>
      </c>
      <c r="E7367" s="80">
        <v>35621</v>
      </c>
    </row>
    <row r="7368" spans="1:5">
      <c r="A7368">
        <v>10595</v>
      </c>
      <c r="B7368" t="s">
        <v>178</v>
      </c>
      <c r="C7368">
        <v>2565</v>
      </c>
      <c r="D7368">
        <v>120</v>
      </c>
      <c r="E7368" s="80">
        <v>35621</v>
      </c>
    </row>
    <row r="7369" spans="1:5">
      <c r="A7369">
        <v>10595</v>
      </c>
      <c r="B7369" t="s">
        <v>179</v>
      </c>
      <c r="C7369">
        <v>2565</v>
      </c>
      <c r="D7369">
        <v>120</v>
      </c>
      <c r="E7369" s="80">
        <v>35621</v>
      </c>
    </row>
    <row r="7370" spans="1:5">
      <c r="A7370">
        <v>10595</v>
      </c>
      <c r="B7370" t="s">
        <v>172</v>
      </c>
      <c r="C7370">
        <v>1755</v>
      </c>
      <c r="D7370">
        <v>65</v>
      </c>
      <c r="E7370" s="80">
        <v>35621</v>
      </c>
    </row>
    <row r="7371" spans="1:5">
      <c r="A7371">
        <v>10595</v>
      </c>
      <c r="B7371" t="s">
        <v>173</v>
      </c>
      <c r="C7371">
        <v>1755</v>
      </c>
      <c r="D7371">
        <v>65</v>
      </c>
      <c r="E7371" s="80">
        <v>35621</v>
      </c>
    </row>
    <row r="7372" spans="1:5">
      <c r="A7372">
        <v>10595</v>
      </c>
      <c r="B7372" t="s">
        <v>174</v>
      </c>
      <c r="C7372">
        <v>1755</v>
      </c>
      <c r="D7372">
        <v>65</v>
      </c>
      <c r="E7372" s="80">
        <v>35621</v>
      </c>
    </row>
    <row r="7373" spans="1:5">
      <c r="A7373">
        <v>10595</v>
      </c>
      <c r="B7373" t="s">
        <v>175</v>
      </c>
      <c r="C7373">
        <v>1755</v>
      </c>
      <c r="D7373">
        <v>65</v>
      </c>
      <c r="E7373" s="80">
        <v>35621</v>
      </c>
    </row>
    <row r="7374" spans="1:5">
      <c r="A7374">
        <v>10595</v>
      </c>
      <c r="B7374" t="s">
        <v>176</v>
      </c>
      <c r="C7374">
        <v>1755</v>
      </c>
      <c r="D7374">
        <v>65</v>
      </c>
      <c r="E7374" s="80">
        <v>35621</v>
      </c>
    </row>
    <row r="7375" spans="1:5">
      <c r="A7375">
        <v>10595</v>
      </c>
      <c r="B7375" t="s">
        <v>177</v>
      </c>
      <c r="C7375">
        <v>1755</v>
      </c>
      <c r="D7375">
        <v>65</v>
      </c>
      <c r="E7375" s="80">
        <v>35621</v>
      </c>
    </row>
    <row r="7376" spans="1:5">
      <c r="A7376">
        <v>10595</v>
      </c>
      <c r="B7376" t="s">
        <v>178</v>
      </c>
      <c r="C7376">
        <v>1755</v>
      </c>
      <c r="D7376">
        <v>65</v>
      </c>
      <c r="E7376" s="80">
        <v>35621</v>
      </c>
    </row>
    <row r="7377" spans="1:5">
      <c r="A7377">
        <v>10595</v>
      </c>
      <c r="B7377" t="s">
        <v>179</v>
      </c>
      <c r="C7377">
        <v>1755</v>
      </c>
      <c r="D7377">
        <v>65</v>
      </c>
      <c r="E7377" s="80">
        <v>35621</v>
      </c>
    </row>
    <row r="7378" spans="1:5">
      <c r="A7378">
        <v>10596</v>
      </c>
      <c r="B7378" t="s">
        <v>172</v>
      </c>
      <c r="C7378">
        <v>151.99999943375587</v>
      </c>
      <c r="D7378">
        <v>5</v>
      </c>
      <c r="E7378" s="80">
        <v>35622</v>
      </c>
    </row>
    <row r="7379" spans="1:5">
      <c r="A7379">
        <v>10596</v>
      </c>
      <c r="B7379" t="s">
        <v>173</v>
      </c>
      <c r="C7379">
        <v>151.99999943375587</v>
      </c>
      <c r="D7379">
        <v>5</v>
      </c>
      <c r="E7379" s="80">
        <v>35622</v>
      </c>
    </row>
    <row r="7380" spans="1:5">
      <c r="A7380">
        <v>10596</v>
      </c>
      <c r="B7380" t="s">
        <v>174</v>
      </c>
      <c r="C7380">
        <v>151.99999943375587</v>
      </c>
      <c r="D7380">
        <v>5</v>
      </c>
      <c r="E7380" s="80">
        <v>35622</v>
      </c>
    </row>
    <row r="7381" spans="1:5">
      <c r="A7381">
        <v>10596</v>
      </c>
      <c r="B7381" t="s">
        <v>175</v>
      </c>
      <c r="C7381">
        <v>151.99999943375587</v>
      </c>
      <c r="D7381">
        <v>5</v>
      </c>
      <c r="E7381" s="80">
        <v>35622</v>
      </c>
    </row>
    <row r="7382" spans="1:5">
      <c r="A7382">
        <v>10596</v>
      </c>
      <c r="B7382" t="s">
        <v>176</v>
      </c>
      <c r="C7382">
        <v>151.99999943375587</v>
      </c>
      <c r="D7382">
        <v>5</v>
      </c>
      <c r="E7382" s="80">
        <v>35622</v>
      </c>
    </row>
    <row r="7383" spans="1:5">
      <c r="A7383">
        <v>10596</v>
      </c>
      <c r="B7383" t="s">
        <v>177</v>
      </c>
      <c r="C7383">
        <v>151.99999943375587</v>
      </c>
      <c r="D7383">
        <v>5</v>
      </c>
      <c r="E7383" s="80">
        <v>35622</v>
      </c>
    </row>
    <row r="7384" spans="1:5">
      <c r="A7384">
        <v>10596</v>
      </c>
      <c r="B7384" t="s">
        <v>178</v>
      </c>
      <c r="C7384">
        <v>151.99999943375587</v>
      </c>
      <c r="D7384">
        <v>5</v>
      </c>
      <c r="E7384" s="80">
        <v>35622</v>
      </c>
    </row>
    <row r="7385" spans="1:5">
      <c r="A7385">
        <v>10596</v>
      </c>
      <c r="B7385" t="s">
        <v>179</v>
      </c>
      <c r="C7385">
        <v>151.99999943375587</v>
      </c>
      <c r="D7385">
        <v>5</v>
      </c>
      <c r="E7385" s="80">
        <v>35622</v>
      </c>
    </row>
    <row r="7386" spans="1:5">
      <c r="A7386">
        <v>10596</v>
      </c>
      <c r="B7386" t="s">
        <v>172</v>
      </c>
      <c r="C7386">
        <v>842.87999686002729</v>
      </c>
      <c r="D7386">
        <v>24</v>
      </c>
      <c r="E7386" s="80">
        <v>35622</v>
      </c>
    </row>
    <row r="7387" spans="1:5">
      <c r="A7387">
        <v>10596</v>
      </c>
      <c r="B7387" t="s">
        <v>173</v>
      </c>
      <c r="C7387">
        <v>842.87999686002729</v>
      </c>
      <c r="D7387">
        <v>24</v>
      </c>
      <c r="E7387" s="80">
        <v>35622</v>
      </c>
    </row>
    <row r="7388" spans="1:5">
      <c r="A7388">
        <v>10596</v>
      </c>
      <c r="B7388" t="s">
        <v>174</v>
      </c>
      <c r="C7388">
        <v>842.87999686002729</v>
      </c>
      <c r="D7388">
        <v>24</v>
      </c>
      <c r="E7388" s="80">
        <v>35622</v>
      </c>
    </row>
    <row r="7389" spans="1:5">
      <c r="A7389">
        <v>10596</v>
      </c>
      <c r="B7389" t="s">
        <v>175</v>
      </c>
      <c r="C7389">
        <v>842.87999686002729</v>
      </c>
      <c r="D7389">
        <v>24</v>
      </c>
      <c r="E7389" s="80">
        <v>35622</v>
      </c>
    </row>
    <row r="7390" spans="1:5">
      <c r="A7390">
        <v>10596</v>
      </c>
      <c r="B7390" t="s">
        <v>176</v>
      </c>
      <c r="C7390">
        <v>842.87999686002729</v>
      </c>
      <c r="D7390">
        <v>24</v>
      </c>
      <c r="E7390" s="80">
        <v>35622</v>
      </c>
    </row>
    <row r="7391" spans="1:5">
      <c r="A7391">
        <v>10596</v>
      </c>
      <c r="B7391" t="s">
        <v>177</v>
      </c>
      <c r="C7391">
        <v>842.87999686002729</v>
      </c>
      <c r="D7391">
        <v>24</v>
      </c>
      <c r="E7391" s="80">
        <v>35622</v>
      </c>
    </row>
    <row r="7392" spans="1:5">
      <c r="A7392">
        <v>10596</v>
      </c>
      <c r="B7392" t="s">
        <v>178</v>
      </c>
      <c r="C7392">
        <v>842.87999686002729</v>
      </c>
      <c r="D7392">
        <v>24</v>
      </c>
      <c r="E7392" s="80">
        <v>35622</v>
      </c>
    </row>
    <row r="7393" spans="1:5">
      <c r="A7393">
        <v>10596</v>
      </c>
      <c r="B7393" t="s">
        <v>179</v>
      </c>
      <c r="C7393">
        <v>842.87999686002729</v>
      </c>
      <c r="D7393">
        <v>24</v>
      </c>
      <c r="E7393" s="80">
        <v>35622</v>
      </c>
    </row>
    <row r="7394" spans="1:5">
      <c r="A7394">
        <v>10596</v>
      </c>
      <c r="B7394" t="s">
        <v>172</v>
      </c>
      <c r="C7394">
        <v>185.999999307096</v>
      </c>
      <c r="D7394">
        <v>30</v>
      </c>
      <c r="E7394" s="80">
        <v>35622</v>
      </c>
    </row>
    <row r="7395" spans="1:5">
      <c r="A7395">
        <v>10596</v>
      </c>
      <c r="B7395" t="s">
        <v>173</v>
      </c>
      <c r="C7395">
        <v>185.999999307096</v>
      </c>
      <c r="D7395">
        <v>30</v>
      </c>
      <c r="E7395" s="80">
        <v>35622</v>
      </c>
    </row>
    <row r="7396" spans="1:5">
      <c r="A7396">
        <v>10596</v>
      </c>
      <c r="B7396" t="s">
        <v>174</v>
      </c>
      <c r="C7396">
        <v>185.999999307096</v>
      </c>
      <c r="D7396">
        <v>30</v>
      </c>
      <c r="E7396" s="80">
        <v>35622</v>
      </c>
    </row>
    <row r="7397" spans="1:5">
      <c r="A7397">
        <v>10596</v>
      </c>
      <c r="B7397" t="s">
        <v>175</v>
      </c>
      <c r="C7397">
        <v>185.999999307096</v>
      </c>
      <c r="D7397">
        <v>30</v>
      </c>
      <c r="E7397" s="80">
        <v>35622</v>
      </c>
    </row>
    <row r="7398" spans="1:5">
      <c r="A7398">
        <v>10596</v>
      </c>
      <c r="B7398" t="s">
        <v>176</v>
      </c>
      <c r="C7398">
        <v>185.999999307096</v>
      </c>
      <c r="D7398">
        <v>30</v>
      </c>
      <c r="E7398" s="80">
        <v>35622</v>
      </c>
    </row>
    <row r="7399" spans="1:5">
      <c r="A7399">
        <v>10596</v>
      </c>
      <c r="B7399" t="s">
        <v>177</v>
      </c>
      <c r="C7399">
        <v>185.999999307096</v>
      </c>
      <c r="D7399">
        <v>30</v>
      </c>
      <c r="E7399" s="80">
        <v>35622</v>
      </c>
    </row>
    <row r="7400" spans="1:5">
      <c r="A7400">
        <v>10596</v>
      </c>
      <c r="B7400" t="s">
        <v>178</v>
      </c>
      <c r="C7400">
        <v>185.999999307096</v>
      </c>
      <c r="D7400">
        <v>30</v>
      </c>
      <c r="E7400" s="80">
        <v>35622</v>
      </c>
    </row>
    <row r="7401" spans="1:5">
      <c r="A7401">
        <v>10596</v>
      </c>
      <c r="B7401" t="s">
        <v>179</v>
      </c>
      <c r="C7401">
        <v>185.999999307096</v>
      </c>
      <c r="D7401">
        <v>30</v>
      </c>
      <c r="E7401" s="80">
        <v>35622</v>
      </c>
    </row>
    <row r="7402" spans="1:5">
      <c r="A7402">
        <v>10597</v>
      </c>
      <c r="B7402" t="s">
        <v>172</v>
      </c>
      <c r="C7402">
        <v>125.99999953061342</v>
      </c>
      <c r="D7402">
        <v>35</v>
      </c>
      <c r="E7402" s="80">
        <v>35622</v>
      </c>
    </row>
    <row r="7403" spans="1:5">
      <c r="A7403">
        <v>10597</v>
      </c>
      <c r="B7403" t="s">
        <v>173</v>
      </c>
      <c r="C7403">
        <v>125.99999953061342</v>
      </c>
      <c r="D7403">
        <v>35</v>
      </c>
      <c r="E7403" s="80">
        <v>35622</v>
      </c>
    </row>
    <row r="7404" spans="1:5">
      <c r="A7404">
        <v>10597</v>
      </c>
      <c r="B7404" t="s">
        <v>174</v>
      </c>
      <c r="C7404">
        <v>125.99999953061342</v>
      </c>
      <c r="D7404">
        <v>35</v>
      </c>
      <c r="E7404" s="80">
        <v>35622</v>
      </c>
    </row>
    <row r="7405" spans="1:5">
      <c r="A7405">
        <v>10597</v>
      </c>
      <c r="B7405" t="s">
        <v>175</v>
      </c>
      <c r="C7405">
        <v>125.99999953061342</v>
      </c>
      <c r="D7405">
        <v>35</v>
      </c>
      <c r="E7405" s="80">
        <v>35622</v>
      </c>
    </row>
    <row r="7406" spans="1:5">
      <c r="A7406">
        <v>10597</v>
      </c>
      <c r="B7406" t="s">
        <v>176</v>
      </c>
      <c r="C7406">
        <v>125.99999953061342</v>
      </c>
      <c r="D7406">
        <v>35</v>
      </c>
      <c r="E7406" s="80">
        <v>35622</v>
      </c>
    </row>
    <row r="7407" spans="1:5">
      <c r="A7407">
        <v>10597</v>
      </c>
      <c r="B7407" t="s">
        <v>177</v>
      </c>
      <c r="C7407">
        <v>125.99999953061342</v>
      </c>
      <c r="D7407">
        <v>35</v>
      </c>
      <c r="E7407" s="80">
        <v>35622</v>
      </c>
    </row>
    <row r="7408" spans="1:5">
      <c r="A7408">
        <v>10597</v>
      </c>
      <c r="B7408" t="s">
        <v>178</v>
      </c>
      <c r="C7408">
        <v>125.99999953061342</v>
      </c>
      <c r="D7408">
        <v>35</v>
      </c>
      <c r="E7408" s="80">
        <v>35622</v>
      </c>
    </row>
    <row r="7409" spans="1:5">
      <c r="A7409">
        <v>10597</v>
      </c>
      <c r="B7409" t="s">
        <v>179</v>
      </c>
      <c r="C7409">
        <v>125.99999953061342</v>
      </c>
      <c r="D7409">
        <v>35</v>
      </c>
      <c r="E7409" s="80">
        <v>35622</v>
      </c>
    </row>
    <row r="7410" spans="1:5">
      <c r="A7410">
        <v>10597</v>
      </c>
      <c r="B7410" t="s">
        <v>172</v>
      </c>
      <c r="C7410">
        <v>390</v>
      </c>
      <c r="D7410">
        <v>20</v>
      </c>
      <c r="E7410" s="80">
        <v>35622</v>
      </c>
    </row>
    <row r="7411" spans="1:5">
      <c r="A7411">
        <v>10597</v>
      </c>
      <c r="B7411" t="s">
        <v>173</v>
      </c>
      <c r="C7411">
        <v>390</v>
      </c>
      <c r="D7411">
        <v>20</v>
      </c>
      <c r="E7411" s="80">
        <v>35622</v>
      </c>
    </row>
    <row r="7412" spans="1:5">
      <c r="A7412">
        <v>10597</v>
      </c>
      <c r="B7412" t="s">
        <v>174</v>
      </c>
      <c r="C7412">
        <v>390</v>
      </c>
      <c r="D7412">
        <v>20</v>
      </c>
      <c r="E7412" s="80">
        <v>35622</v>
      </c>
    </row>
    <row r="7413" spans="1:5">
      <c r="A7413">
        <v>10597</v>
      </c>
      <c r="B7413" t="s">
        <v>175</v>
      </c>
      <c r="C7413">
        <v>390</v>
      </c>
      <c r="D7413">
        <v>20</v>
      </c>
      <c r="E7413" s="80">
        <v>35622</v>
      </c>
    </row>
    <row r="7414" spans="1:5">
      <c r="A7414">
        <v>10597</v>
      </c>
      <c r="B7414" t="s">
        <v>176</v>
      </c>
      <c r="C7414">
        <v>390</v>
      </c>
      <c r="D7414">
        <v>20</v>
      </c>
      <c r="E7414" s="80">
        <v>35622</v>
      </c>
    </row>
    <row r="7415" spans="1:5">
      <c r="A7415">
        <v>10597</v>
      </c>
      <c r="B7415" t="s">
        <v>177</v>
      </c>
      <c r="C7415">
        <v>390</v>
      </c>
      <c r="D7415">
        <v>20</v>
      </c>
      <c r="E7415" s="80">
        <v>35622</v>
      </c>
    </row>
    <row r="7416" spans="1:5">
      <c r="A7416">
        <v>10597</v>
      </c>
      <c r="B7416" t="s">
        <v>178</v>
      </c>
      <c r="C7416">
        <v>390</v>
      </c>
      <c r="D7416">
        <v>20</v>
      </c>
      <c r="E7416" s="80">
        <v>35622</v>
      </c>
    </row>
    <row r="7417" spans="1:5">
      <c r="A7417">
        <v>10597</v>
      </c>
      <c r="B7417" t="s">
        <v>179</v>
      </c>
      <c r="C7417">
        <v>390</v>
      </c>
      <c r="D7417">
        <v>20</v>
      </c>
      <c r="E7417" s="80">
        <v>35622</v>
      </c>
    </row>
    <row r="7418" spans="1:5">
      <c r="A7418">
        <v>10597</v>
      </c>
      <c r="B7418" t="s">
        <v>172</v>
      </c>
      <c r="C7418">
        <v>202.07999924719334</v>
      </c>
      <c r="D7418">
        <v>12</v>
      </c>
      <c r="E7418" s="80">
        <v>35622</v>
      </c>
    </row>
    <row r="7419" spans="1:5">
      <c r="A7419">
        <v>10597</v>
      </c>
      <c r="B7419" t="s">
        <v>173</v>
      </c>
      <c r="C7419">
        <v>202.07999924719334</v>
      </c>
      <c r="D7419">
        <v>12</v>
      </c>
      <c r="E7419" s="80">
        <v>35622</v>
      </c>
    </row>
    <row r="7420" spans="1:5">
      <c r="A7420">
        <v>10597</v>
      </c>
      <c r="B7420" t="s">
        <v>174</v>
      </c>
      <c r="C7420">
        <v>202.07999924719334</v>
      </c>
      <c r="D7420">
        <v>12</v>
      </c>
      <c r="E7420" s="80">
        <v>35622</v>
      </c>
    </row>
    <row r="7421" spans="1:5">
      <c r="A7421">
        <v>10597</v>
      </c>
      <c r="B7421" t="s">
        <v>175</v>
      </c>
      <c r="C7421">
        <v>202.07999924719334</v>
      </c>
      <c r="D7421">
        <v>12</v>
      </c>
      <c r="E7421" s="80">
        <v>35622</v>
      </c>
    </row>
    <row r="7422" spans="1:5">
      <c r="A7422">
        <v>10597</v>
      </c>
      <c r="B7422" t="s">
        <v>176</v>
      </c>
      <c r="C7422">
        <v>202.07999924719334</v>
      </c>
      <c r="D7422">
        <v>12</v>
      </c>
      <c r="E7422" s="80">
        <v>35622</v>
      </c>
    </row>
    <row r="7423" spans="1:5">
      <c r="A7423">
        <v>10597</v>
      </c>
      <c r="B7423" t="s">
        <v>177</v>
      </c>
      <c r="C7423">
        <v>202.07999924719334</v>
      </c>
      <c r="D7423">
        <v>12</v>
      </c>
      <c r="E7423" s="80">
        <v>35622</v>
      </c>
    </row>
    <row r="7424" spans="1:5">
      <c r="A7424">
        <v>10597</v>
      </c>
      <c r="B7424" t="s">
        <v>178</v>
      </c>
      <c r="C7424">
        <v>202.07999924719334</v>
      </c>
      <c r="D7424">
        <v>12</v>
      </c>
      <c r="E7424" s="80">
        <v>35622</v>
      </c>
    </row>
    <row r="7425" spans="1:5">
      <c r="A7425">
        <v>10597</v>
      </c>
      <c r="B7425" t="s">
        <v>179</v>
      </c>
      <c r="C7425">
        <v>202.07999924719334</v>
      </c>
      <c r="D7425">
        <v>12</v>
      </c>
      <c r="E7425" s="80">
        <v>35622</v>
      </c>
    </row>
    <row r="7426" spans="1:5">
      <c r="A7426">
        <v>10598</v>
      </c>
      <c r="B7426" t="s">
        <v>172</v>
      </c>
      <c r="C7426">
        <v>2195</v>
      </c>
      <c r="D7426">
        <v>50</v>
      </c>
      <c r="E7426" s="80">
        <v>35625</v>
      </c>
    </row>
    <row r="7427" spans="1:5">
      <c r="A7427">
        <v>10598</v>
      </c>
      <c r="B7427" t="s">
        <v>173</v>
      </c>
      <c r="C7427">
        <v>2195</v>
      </c>
      <c r="D7427">
        <v>50</v>
      </c>
      <c r="E7427" s="80">
        <v>35625</v>
      </c>
    </row>
    <row r="7428" spans="1:5">
      <c r="A7428">
        <v>10598</v>
      </c>
      <c r="B7428" t="s">
        <v>174</v>
      </c>
      <c r="C7428">
        <v>2195</v>
      </c>
      <c r="D7428">
        <v>50</v>
      </c>
      <c r="E7428" s="80">
        <v>35625</v>
      </c>
    </row>
    <row r="7429" spans="1:5">
      <c r="A7429">
        <v>10598</v>
      </c>
      <c r="B7429" t="s">
        <v>175</v>
      </c>
      <c r="C7429">
        <v>2195</v>
      </c>
      <c r="D7429">
        <v>50</v>
      </c>
      <c r="E7429" s="80">
        <v>35625</v>
      </c>
    </row>
    <row r="7430" spans="1:5">
      <c r="A7430">
        <v>10598</v>
      </c>
      <c r="B7430" t="s">
        <v>176</v>
      </c>
      <c r="C7430">
        <v>2195</v>
      </c>
      <c r="D7430">
        <v>50</v>
      </c>
      <c r="E7430" s="80">
        <v>35625</v>
      </c>
    </row>
    <row r="7431" spans="1:5">
      <c r="A7431">
        <v>10598</v>
      </c>
      <c r="B7431" t="s">
        <v>177</v>
      </c>
      <c r="C7431">
        <v>2195</v>
      </c>
      <c r="D7431">
        <v>50</v>
      </c>
      <c r="E7431" s="80">
        <v>35625</v>
      </c>
    </row>
    <row r="7432" spans="1:5">
      <c r="A7432">
        <v>10598</v>
      </c>
      <c r="B7432" t="s">
        <v>178</v>
      </c>
      <c r="C7432">
        <v>2195</v>
      </c>
      <c r="D7432">
        <v>50</v>
      </c>
      <c r="E7432" s="80">
        <v>35625</v>
      </c>
    </row>
    <row r="7433" spans="1:5">
      <c r="A7433">
        <v>10598</v>
      </c>
      <c r="B7433" t="s">
        <v>179</v>
      </c>
      <c r="C7433">
        <v>2195</v>
      </c>
      <c r="D7433">
        <v>50</v>
      </c>
      <c r="E7433" s="80">
        <v>35625</v>
      </c>
    </row>
    <row r="7434" spans="1:5">
      <c r="A7434">
        <v>10598</v>
      </c>
      <c r="B7434" t="s">
        <v>172</v>
      </c>
      <c r="C7434">
        <v>193.5</v>
      </c>
      <c r="D7434">
        <v>9</v>
      </c>
      <c r="E7434" s="80">
        <v>35625</v>
      </c>
    </row>
    <row r="7435" spans="1:5">
      <c r="A7435">
        <v>10598</v>
      </c>
      <c r="B7435" t="s">
        <v>173</v>
      </c>
      <c r="C7435">
        <v>193.5</v>
      </c>
      <c r="D7435">
        <v>9</v>
      </c>
      <c r="E7435" s="80">
        <v>35625</v>
      </c>
    </row>
    <row r="7436" spans="1:5">
      <c r="A7436">
        <v>10598</v>
      </c>
      <c r="B7436" t="s">
        <v>174</v>
      </c>
      <c r="C7436">
        <v>193.5</v>
      </c>
      <c r="D7436">
        <v>9</v>
      </c>
      <c r="E7436" s="80">
        <v>35625</v>
      </c>
    </row>
    <row r="7437" spans="1:5">
      <c r="A7437">
        <v>10598</v>
      </c>
      <c r="B7437" t="s">
        <v>175</v>
      </c>
      <c r="C7437">
        <v>193.5</v>
      </c>
      <c r="D7437">
        <v>9</v>
      </c>
      <c r="E7437" s="80">
        <v>35625</v>
      </c>
    </row>
    <row r="7438" spans="1:5">
      <c r="A7438">
        <v>10598</v>
      </c>
      <c r="B7438" t="s">
        <v>176</v>
      </c>
      <c r="C7438">
        <v>193.5</v>
      </c>
      <c r="D7438">
        <v>9</v>
      </c>
      <c r="E7438" s="80">
        <v>35625</v>
      </c>
    </row>
    <row r="7439" spans="1:5">
      <c r="A7439">
        <v>10598</v>
      </c>
      <c r="B7439" t="s">
        <v>177</v>
      </c>
      <c r="C7439">
        <v>193.5</v>
      </c>
      <c r="D7439">
        <v>9</v>
      </c>
      <c r="E7439" s="80">
        <v>35625</v>
      </c>
    </row>
    <row r="7440" spans="1:5">
      <c r="A7440">
        <v>10598</v>
      </c>
      <c r="B7440" t="s">
        <v>178</v>
      </c>
      <c r="C7440">
        <v>193.5</v>
      </c>
      <c r="D7440">
        <v>9</v>
      </c>
      <c r="E7440" s="80">
        <v>35625</v>
      </c>
    </row>
    <row r="7441" spans="1:5">
      <c r="A7441">
        <v>10598</v>
      </c>
      <c r="B7441" t="s">
        <v>179</v>
      </c>
      <c r="C7441">
        <v>193.5</v>
      </c>
      <c r="D7441">
        <v>9</v>
      </c>
      <c r="E7441" s="80">
        <v>35625</v>
      </c>
    </row>
    <row r="7442" spans="1:5">
      <c r="A7442">
        <v>10599</v>
      </c>
      <c r="B7442" t="s">
        <v>172</v>
      </c>
      <c r="C7442">
        <v>493</v>
      </c>
      <c r="D7442">
        <v>10</v>
      </c>
      <c r="E7442" s="80">
        <v>35626</v>
      </c>
    </row>
    <row r="7443" spans="1:5">
      <c r="A7443">
        <v>10599</v>
      </c>
      <c r="B7443" t="s">
        <v>173</v>
      </c>
      <c r="C7443">
        <v>493</v>
      </c>
      <c r="D7443">
        <v>10</v>
      </c>
      <c r="E7443" s="80">
        <v>35626</v>
      </c>
    </row>
    <row r="7444" spans="1:5">
      <c r="A7444">
        <v>10599</v>
      </c>
      <c r="B7444" t="s">
        <v>174</v>
      </c>
      <c r="C7444">
        <v>493</v>
      </c>
      <c r="D7444">
        <v>10</v>
      </c>
      <c r="E7444" s="80">
        <v>35626</v>
      </c>
    </row>
    <row r="7445" spans="1:5">
      <c r="A7445">
        <v>10599</v>
      </c>
      <c r="B7445" t="s">
        <v>175</v>
      </c>
      <c r="C7445">
        <v>493</v>
      </c>
      <c r="D7445">
        <v>10</v>
      </c>
      <c r="E7445" s="80">
        <v>35626</v>
      </c>
    </row>
    <row r="7446" spans="1:5">
      <c r="A7446">
        <v>10599</v>
      </c>
      <c r="B7446" t="s">
        <v>176</v>
      </c>
      <c r="C7446">
        <v>493</v>
      </c>
      <c r="D7446">
        <v>10</v>
      </c>
      <c r="E7446" s="80">
        <v>35626</v>
      </c>
    </row>
    <row r="7447" spans="1:5">
      <c r="A7447">
        <v>10599</v>
      </c>
      <c r="B7447" t="s">
        <v>177</v>
      </c>
      <c r="C7447">
        <v>493</v>
      </c>
      <c r="D7447">
        <v>10</v>
      </c>
      <c r="E7447" s="80">
        <v>35626</v>
      </c>
    </row>
    <row r="7448" spans="1:5">
      <c r="A7448">
        <v>10599</v>
      </c>
      <c r="B7448" t="s">
        <v>178</v>
      </c>
      <c r="C7448">
        <v>493</v>
      </c>
      <c r="D7448">
        <v>10</v>
      </c>
      <c r="E7448" s="80">
        <v>35626</v>
      </c>
    </row>
    <row r="7449" spans="1:5">
      <c r="A7449">
        <v>10599</v>
      </c>
      <c r="B7449" t="s">
        <v>179</v>
      </c>
      <c r="C7449">
        <v>493</v>
      </c>
      <c r="D7449">
        <v>10</v>
      </c>
      <c r="E7449" s="80">
        <v>35626</v>
      </c>
    </row>
    <row r="7450" spans="1:5">
      <c r="A7450">
        <v>10600</v>
      </c>
      <c r="B7450" t="s">
        <v>172</v>
      </c>
      <c r="C7450">
        <v>29.8</v>
      </c>
      <c r="D7450">
        <v>4</v>
      </c>
      <c r="E7450" s="80">
        <v>35627</v>
      </c>
    </row>
    <row r="7451" spans="1:5">
      <c r="A7451">
        <v>10600</v>
      </c>
      <c r="B7451" t="s">
        <v>173</v>
      </c>
      <c r="C7451">
        <v>29.8</v>
      </c>
      <c r="D7451">
        <v>4</v>
      </c>
      <c r="E7451" s="80">
        <v>35627</v>
      </c>
    </row>
    <row r="7452" spans="1:5">
      <c r="A7452">
        <v>10600</v>
      </c>
      <c r="B7452" t="s">
        <v>174</v>
      </c>
      <c r="C7452">
        <v>29.8</v>
      </c>
      <c r="D7452">
        <v>4</v>
      </c>
      <c r="E7452" s="80">
        <v>35627</v>
      </c>
    </row>
    <row r="7453" spans="1:5">
      <c r="A7453">
        <v>10600</v>
      </c>
      <c r="B7453" t="s">
        <v>175</v>
      </c>
      <c r="C7453">
        <v>29.8</v>
      </c>
      <c r="D7453">
        <v>4</v>
      </c>
      <c r="E7453" s="80">
        <v>35627</v>
      </c>
    </row>
    <row r="7454" spans="1:5">
      <c r="A7454">
        <v>10600</v>
      </c>
      <c r="B7454" t="s">
        <v>176</v>
      </c>
      <c r="C7454">
        <v>29.8</v>
      </c>
      <c r="D7454">
        <v>4</v>
      </c>
      <c r="E7454" s="80">
        <v>35627</v>
      </c>
    </row>
    <row r="7455" spans="1:5">
      <c r="A7455">
        <v>10600</v>
      </c>
      <c r="B7455" t="s">
        <v>177</v>
      </c>
      <c r="C7455">
        <v>29.8</v>
      </c>
      <c r="D7455">
        <v>4</v>
      </c>
      <c r="E7455" s="80">
        <v>35627</v>
      </c>
    </row>
    <row r="7456" spans="1:5">
      <c r="A7456">
        <v>10600</v>
      </c>
      <c r="B7456" t="s">
        <v>178</v>
      </c>
      <c r="C7456">
        <v>29.8</v>
      </c>
      <c r="D7456">
        <v>4</v>
      </c>
      <c r="E7456" s="80">
        <v>35627</v>
      </c>
    </row>
    <row r="7457" spans="1:5">
      <c r="A7457">
        <v>10600</v>
      </c>
      <c r="B7457" t="s">
        <v>179</v>
      </c>
      <c r="C7457">
        <v>29.8</v>
      </c>
      <c r="D7457">
        <v>4</v>
      </c>
      <c r="E7457" s="80">
        <v>35627</v>
      </c>
    </row>
    <row r="7458" spans="1:5">
      <c r="A7458">
        <v>10600</v>
      </c>
      <c r="B7458" t="s">
        <v>172</v>
      </c>
      <c r="C7458">
        <v>450</v>
      </c>
      <c r="D7458">
        <v>30</v>
      </c>
      <c r="E7458" s="80">
        <v>35627</v>
      </c>
    </row>
    <row r="7459" spans="1:5">
      <c r="A7459">
        <v>10600</v>
      </c>
      <c r="B7459" t="s">
        <v>173</v>
      </c>
      <c r="C7459">
        <v>450</v>
      </c>
      <c r="D7459">
        <v>30</v>
      </c>
      <c r="E7459" s="80">
        <v>35627</v>
      </c>
    </row>
    <row r="7460" spans="1:5">
      <c r="A7460">
        <v>10600</v>
      </c>
      <c r="B7460" t="s">
        <v>174</v>
      </c>
      <c r="C7460">
        <v>450</v>
      </c>
      <c r="D7460">
        <v>30</v>
      </c>
      <c r="E7460" s="80">
        <v>35627</v>
      </c>
    </row>
    <row r="7461" spans="1:5">
      <c r="A7461">
        <v>10600</v>
      </c>
      <c r="B7461" t="s">
        <v>175</v>
      </c>
      <c r="C7461">
        <v>450</v>
      </c>
      <c r="D7461">
        <v>30</v>
      </c>
      <c r="E7461" s="80">
        <v>35627</v>
      </c>
    </row>
    <row r="7462" spans="1:5">
      <c r="A7462">
        <v>10600</v>
      </c>
      <c r="B7462" t="s">
        <v>176</v>
      </c>
      <c r="C7462">
        <v>450</v>
      </c>
      <c r="D7462">
        <v>30</v>
      </c>
      <c r="E7462" s="80">
        <v>35627</v>
      </c>
    </row>
    <row r="7463" spans="1:5">
      <c r="A7463">
        <v>10600</v>
      </c>
      <c r="B7463" t="s">
        <v>177</v>
      </c>
      <c r="C7463">
        <v>450</v>
      </c>
      <c r="D7463">
        <v>30</v>
      </c>
      <c r="E7463" s="80">
        <v>35627</v>
      </c>
    </row>
    <row r="7464" spans="1:5">
      <c r="A7464">
        <v>10600</v>
      </c>
      <c r="B7464" t="s">
        <v>178</v>
      </c>
      <c r="C7464">
        <v>450</v>
      </c>
      <c r="D7464">
        <v>30</v>
      </c>
      <c r="E7464" s="80">
        <v>35627</v>
      </c>
    </row>
    <row r="7465" spans="1:5">
      <c r="A7465">
        <v>10600</v>
      </c>
      <c r="B7465" t="s">
        <v>179</v>
      </c>
      <c r="C7465">
        <v>450</v>
      </c>
      <c r="D7465">
        <v>30</v>
      </c>
      <c r="E7465" s="80">
        <v>35627</v>
      </c>
    </row>
    <row r="7466" spans="1:5">
      <c r="A7466">
        <v>10601</v>
      </c>
      <c r="B7466" t="s">
        <v>172</v>
      </c>
      <c r="C7466">
        <v>360</v>
      </c>
      <c r="D7466">
        <v>60</v>
      </c>
      <c r="E7466" s="80">
        <v>35627</v>
      </c>
    </row>
    <row r="7467" spans="1:5">
      <c r="A7467">
        <v>10601</v>
      </c>
      <c r="B7467" t="s">
        <v>173</v>
      </c>
      <c r="C7467">
        <v>360</v>
      </c>
      <c r="D7467">
        <v>60</v>
      </c>
      <c r="E7467" s="80">
        <v>35627</v>
      </c>
    </row>
    <row r="7468" spans="1:5">
      <c r="A7468">
        <v>10601</v>
      </c>
      <c r="B7468" t="s">
        <v>174</v>
      </c>
      <c r="C7468">
        <v>360</v>
      </c>
      <c r="D7468">
        <v>60</v>
      </c>
      <c r="E7468" s="80">
        <v>35627</v>
      </c>
    </row>
    <row r="7469" spans="1:5">
      <c r="A7469">
        <v>10601</v>
      </c>
      <c r="B7469" t="s">
        <v>175</v>
      </c>
      <c r="C7469">
        <v>360</v>
      </c>
      <c r="D7469">
        <v>60</v>
      </c>
      <c r="E7469" s="80">
        <v>35627</v>
      </c>
    </row>
    <row r="7470" spans="1:5">
      <c r="A7470">
        <v>10601</v>
      </c>
      <c r="B7470" t="s">
        <v>176</v>
      </c>
      <c r="C7470">
        <v>360</v>
      </c>
      <c r="D7470">
        <v>60</v>
      </c>
      <c r="E7470" s="80">
        <v>35627</v>
      </c>
    </row>
    <row r="7471" spans="1:5">
      <c r="A7471">
        <v>10601</v>
      </c>
      <c r="B7471" t="s">
        <v>177</v>
      </c>
      <c r="C7471">
        <v>360</v>
      </c>
      <c r="D7471">
        <v>60</v>
      </c>
      <c r="E7471" s="80">
        <v>35627</v>
      </c>
    </row>
    <row r="7472" spans="1:5">
      <c r="A7472">
        <v>10601</v>
      </c>
      <c r="B7472" t="s">
        <v>178</v>
      </c>
      <c r="C7472">
        <v>360</v>
      </c>
      <c r="D7472">
        <v>60</v>
      </c>
      <c r="E7472" s="80">
        <v>35627</v>
      </c>
    </row>
    <row r="7473" spans="1:5">
      <c r="A7473">
        <v>10601</v>
      </c>
      <c r="B7473" t="s">
        <v>179</v>
      </c>
      <c r="C7473">
        <v>360</v>
      </c>
      <c r="D7473">
        <v>60</v>
      </c>
      <c r="E7473" s="80">
        <v>35627</v>
      </c>
    </row>
    <row r="7474" spans="1:5">
      <c r="A7474">
        <v>10601</v>
      </c>
      <c r="B7474" t="s">
        <v>172</v>
      </c>
      <c r="C7474">
        <v>1925</v>
      </c>
      <c r="D7474">
        <v>35</v>
      </c>
      <c r="E7474" s="80">
        <v>35627</v>
      </c>
    </row>
    <row r="7475" spans="1:5">
      <c r="A7475">
        <v>10601</v>
      </c>
      <c r="B7475" t="s">
        <v>173</v>
      </c>
      <c r="C7475">
        <v>1925</v>
      </c>
      <c r="D7475">
        <v>35</v>
      </c>
      <c r="E7475" s="80">
        <v>35627</v>
      </c>
    </row>
    <row r="7476" spans="1:5">
      <c r="A7476">
        <v>10601</v>
      </c>
      <c r="B7476" t="s">
        <v>174</v>
      </c>
      <c r="C7476">
        <v>1925</v>
      </c>
      <c r="D7476">
        <v>35</v>
      </c>
      <c r="E7476" s="80">
        <v>35627</v>
      </c>
    </row>
    <row r="7477" spans="1:5">
      <c r="A7477">
        <v>10601</v>
      </c>
      <c r="B7477" t="s">
        <v>175</v>
      </c>
      <c r="C7477">
        <v>1925</v>
      </c>
      <c r="D7477">
        <v>35</v>
      </c>
      <c r="E7477" s="80">
        <v>35627</v>
      </c>
    </row>
    <row r="7478" spans="1:5">
      <c r="A7478">
        <v>10601</v>
      </c>
      <c r="B7478" t="s">
        <v>176</v>
      </c>
      <c r="C7478">
        <v>1925</v>
      </c>
      <c r="D7478">
        <v>35</v>
      </c>
      <c r="E7478" s="80">
        <v>35627</v>
      </c>
    </row>
    <row r="7479" spans="1:5">
      <c r="A7479">
        <v>10601</v>
      </c>
      <c r="B7479" t="s">
        <v>177</v>
      </c>
      <c r="C7479">
        <v>1925</v>
      </c>
      <c r="D7479">
        <v>35</v>
      </c>
      <c r="E7479" s="80">
        <v>35627</v>
      </c>
    </row>
    <row r="7480" spans="1:5">
      <c r="A7480">
        <v>10601</v>
      </c>
      <c r="B7480" t="s">
        <v>178</v>
      </c>
      <c r="C7480">
        <v>1925</v>
      </c>
      <c r="D7480">
        <v>35</v>
      </c>
      <c r="E7480" s="80">
        <v>35627</v>
      </c>
    </row>
    <row r="7481" spans="1:5">
      <c r="A7481">
        <v>10601</v>
      </c>
      <c r="B7481" t="s">
        <v>179</v>
      </c>
      <c r="C7481">
        <v>1925</v>
      </c>
      <c r="D7481">
        <v>35</v>
      </c>
      <c r="E7481" s="80">
        <v>35627</v>
      </c>
    </row>
    <row r="7482" spans="1:5">
      <c r="A7482">
        <v>10602</v>
      </c>
      <c r="B7482" t="s">
        <v>172</v>
      </c>
      <c r="C7482">
        <v>48.75</v>
      </c>
      <c r="D7482">
        <v>5</v>
      </c>
      <c r="E7482" s="80">
        <v>35628</v>
      </c>
    </row>
    <row r="7483" spans="1:5">
      <c r="A7483">
        <v>10602</v>
      </c>
      <c r="B7483" t="s">
        <v>173</v>
      </c>
      <c r="C7483">
        <v>48.75</v>
      </c>
      <c r="D7483">
        <v>5</v>
      </c>
      <c r="E7483" s="80">
        <v>35628</v>
      </c>
    </row>
    <row r="7484" spans="1:5">
      <c r="A7484">
        <v>10602</v>
      </c>
      <c r="B7484" t="s">
        <v>174</v>
      </c>
      <c r="C7484">
        <v>48.75</v>
      </c>
      <c r="D7484">
        <v>5</v>
      </c>
      <c r="E7484" s="80">
        <v>35628</v>
      </c>
    </row>
    <row r="7485" spans="1:5">
      <c r="A7485">
        <v>10602</v>
      </c>
      <c r="B7485" t="s">
        <v>175</v>
      </c>
      <c r="C7485">
        <v>48.75</v>
      </c>
      <c r="D7485">
        <v>5</v>
      </c>
      <c r="E7485" s="80">
        <v>35628</v>
      </c>
    </row>
    <row r="7486" spans="1:5">
      <c r="A7486">
        <v>10602</v>
      </c>
      <c r="B7486" t="s">
        <v>176</v>
      </c>
      <c r="C7486">
        <v>48.75</v>
      </c>
      <c r="D7486">
        <v>5</v>
      </c>
      <c r="E7486" s="80">
        <v>35628</v>
      </c>
    </row>
    <row r="7487" spans="1:5">
      <c r="A7487">
        <v>10602</v>
      </c>
      <c r="B7487" t="s">
        <v>177</v>
      </c>
      <c r="C7487">
        <v>48.75</v>
      </c>
      <c r="D7487">
        <v>5</v>
      </c>
      <c r="E7487" s="80">
        <v>35628</v>
      </c>
    </row>
    <row r="7488" spans="1:5">
      <c r="A7488">
        <v>10602</v>
      </c>
      <c r="B7488" t="s">
        <v>178</v>
      </c>
      <c r="C7488">
        <v>48.75</v>
      </c>
      <c r="D7488">
        <v>5</v>
      </c>
      <c r="E7488" s="80">
        <v>35628</v>
      </c>
    </row>
    <row r="7489" spans="1:5">
      <c r="A7489">
        <v>10602</v>
      </c>
      <c r="B7489" t="s">
        <v>179</v>
      </c>
      <c r="C7489">
        <v>48.75</v>
      </c>
      <c r="D7489">
        <v>5</v>
      </c>
      <c r="E7489" s="80">
        <v>35628</v>
      </c>
    </row>
    <row r="7490" spans="1:5">
      <c r="A7490">
        <v>10603</v>
      </c>
      <c r="B7490" t="s">
        <v>172</v>
      </c>
      <c r="C7490">
        <v>1008</v>
      </c>
      <c r="D7490">
        <v>48</v>
      </c>
      <c r="E7490" s="80">
        <v>35629</v>
      </c>
    </row>
    <row r="7491" spans="1:5">
      <c r="A7491">
        <v>10603</v>
      </c>
      <c r="B7491" t="s">
        <v>173</v>
      </c>
      <c r="C7491">
        <v>1008</v>
      </c>
      <c r="D7491">
        <v>48</v>
      </c>
      <c r="E7491" s="80">
        <v>35629</v>
      </c>
    </row>
    <row r="7492" spans="1:5">
      <c r="A7492">
        <v>10603</v>
      </c>
      <c r="B7492" t="s">
        <v>174</v>
      </c>
      <c r="C7492">
        <v>1008</v>
      </c>
      <c r="D7492">
        <v>48</v>
      </c>
      <c r="E7492" s="80">
        <v>35629</v>
      </c>
    </row>
    <row r="7493" spans="1:5">
      <c r="A7493">
        <v>10603</v>
      </c>
      <c r="B7493" t="s">
        <v>175</v>
      </c>
      <c r="C7493">
        <v>1008</v>
      </c>
      <c r="D7493">
        <v>48</v>
      </c>
      <c r="E7493" s="80">
        <v>35629</v>
      </c>
    </row>
    <row r="7494" spans="1:5">
      <c r="A7494">
        <v>10603</v>
      </c>
      <c r="B7494" t="s">
        <v>176</v>
      </c>
      <c r="C7494">
        <v>1008</v>
      </c>
      <c r="D7494">
        <v>48</v>
      </c>
      <c r="E7494" s="80">
        <v>35629</v>
      </c>
    </row>
    <row r="7495" spans="1:5">
      <c r="A7495">
        <v>10603</v>
      </c>
      <c r="B7495" t="s">
        <v>177</v>
      </c>
      <c r="C7495">
        <v>1008</v>
      </c>
      <c r="D7495">
        <v>48</v>
      </c>
      <c r="E7495" s="80">
        <v>35629</v>
      </c>
    </row>
    <row r="7496" spans="1:5">
      <c r="A7496">
        <v>10603</v>
      </c>
      <c r="B7496" t="s">
        <v>178</v>
      </c>
      <c r="C7496">
        <v>1008</v>
      </c>
      <c r="D7496">
        <v>48</v>
      </c>
      <c r="E7496" s="80">
        <v>35629</v>
      </c>
    </row>
    <row r="7497" spans="1:5">
      <c r="A7497">
        <v>10603</v>
      </c>
      <c r="B7497" t="s">
        <v>179</v>
      </c>
      <c r="C7497">
        <v>1008</v>
      </c>
      <c r="D7497">
        <v>48</v>
      </c>
      <c r="E7497" s="80">
        <v>35629</v>
      </c>
    </row>
    <row r="7498" spans="1:5">
      <c r="A7498">
        <v>10603</v>
      </c>
      <c r="B7498" t="s">
        <v>172</v>
      </c>
      <c r="C7498">
        <v>474.99999962747097</v>
      </c>
      <c r="D7498">
        <v>25</v>
      </c>
      <c r="E7498" s="80">
        <v>35629</v>
      </c>
    </row>
    <row r="7499" spans="1:5">
      <c r="A7499">
        <v>10603</v>
      </c>
      <c r="B7499" t="s">
        <v>173</v>
      </c>
      <c r="C7499">
        <v>474.99999962747097</v>
      </c>
      <c r="D7499">
        <v>25</v>
      </c>
      <c r="E7499" s="80">
        <v>35629</v>
      </c>
    </row>
    <row r="7500" spans="1:5">
      <c r="A7500">
        <v>10603</v>
      </c>
      <c r="B7500" t="s">
        <v>174</v>
      </c>
      <c r="C7500">
        <v>474.99999962747097</v>
      </c>
      <c r="D7500">
        <v>25</v>
      </c>
      <c r="E7500" s="80">
        <v>35629</v>
      </c>
    </row>
    <row r="7501" spans="1:5">
      <c r="A7501">
        <v>10603</v>
      </c>
      <c r="B7501" t="s">
        <v>175</v>
      </c>
      <c r="C7501">
        <v>474.99999962747097</v>
      </c>
      <c r="D7501">
        <v>25</v>
      </c>
      <c r="E7501" s="80">
        <v>35629</v>
      </c>
    </row>
    <row r="7502" spans="1:5">
      <c r="A7502">
        <v>10603</v>
      </c>
      <c r="B7502" t="s">
        <v>176</v>
      </c>
      <c r="C7502">
        <v>474.99999962747097</v>
      </c>
      <c r="D7502">
        <v>25</v>
      </c>
      <c r="E7502" s="80">
        <v>35629</v>
      </c>
    </row>
    <row r="7503" spans="1:5">
      <c r="A7503">
        <v>10603</v>
      </c>
      <c r="B7503" t="s">
        <v>177</v>
      </c>
      <c r="C7503">
        <v>474.99999962747097</v>
      </c>
      <c r="D7503">
        <v>25</v>
      </c>
      <c r="E7503" s="80">
        <v>35629</v>
      </c>
    </row>
    <row r="7504" spans="1:5">
      <c r="A7504">
        <v>10603</v>
      </c>
      <c r="B7504" t="s">
        <v>178</v>
      </c>
      <c r="C7504">
        <v>474.99999962747097</v>
      </c>
      <c r="D7504">
        <v>25</v>
      </c>
      <c r="E7504" s="80">
        <v>35629</v>
      </c>
    </row>
    <row r="7505" spans="1:5">
      <c r="A7505">
        <v>10603</v>
      </c>
      <c r="B7505" t="s">
        <v>179</v>
      </c>
      <c r="C7505">
        <v>474.99999962747097</v>
      </c>
      <c r="D7505">
        <v>25</v>
      </c>
      <c r="E7505" s="80">
        <v>35629</v>
      </c>
    </row>
    <row r="7506" spans="1:5">
      <c r="A7506">
        <v>10604</v>
      </c>
      <c r="B7506" t="s">
        <v>172</v>
      </c>
      <c r="C7506">
        <v>68.849999886006117</v>
      </c>
      <c r="D7506">
        <v>6</v>
      </c>
      <c r="E7506" s="80">
        <v>35629</v>
      </c>
    </row>
    <row r="7507" spans="1:5">
      <c r="A7507">
        <v>10604</v>
      </c>
      <c r="B7507" t="s">
        <v>173</v>
      </c>
      <c r="C7507">
        <v>68.849999886006117</v>
      </c>
      <c r="D7507">
        <v>6</v>
      </c>
      <c r="E7507" s="80">
        <v>35629</v>
      </c>
    </row>
    <row r="7508" spans="1:5">
      <c r="A7508">
        <v>10604</v>
      </c>
      <c r="B7508" t="s">
        <v>174</v>
      </c>
      <c r="C7508">
        <v>68.849999886006117</v>
      </c>
      <c r="D7508">
        <v>6</v>
      </c>
      <c r="E7508" s="80">
        <v>35629</v>
      </c>
    </row>
    <row r="7509" spans="1:5">
      <c r="A7509">
        <v>10604</v>
      </c>
      <c r="B7509" t="s">
        <v>175</v>
      </c>
      <c r="C7509">
        <v>68.849999886006117</v>
      </c>
      <c r="D7509">
        <v>6</v>
      </c>
      <c r="E7509" s="80">
        <v>35629</v>
      </c>
    </row>
    <row r="7510" spans="1:5">
      <c r="A7510">
        <v>10604</v>
      </c>
      <c r="B7510" t="s">
        <v>176</v>
      </c>
      <c r="C7510">
        <v>68.849999886006117</v>
      </c>
      <c r="D7510">
        <v>6</v>
      </c>
      <c r="E7510" s="80">
        <v>35629</v>
      </c>
    </row>
    <row r="7511" spans="1:5">
      <c r="A7511">
        <v>10604</v>
      </c>
      <c r="B7511" t="s">
        <v>177</v>
      </c>
      <c r="C7511">
        <v>68.849999886006117</v>
      </c>
      <c r="D7511">
        <v>6</v>
      </c>
      <c r="E7511" s="80">
        <v>35629</v>
      </c>
    </row>
    <row r="7512" spans="1:5">
      <c r="A7512">
        <v>10604</v>
      </c>
      <c r="B7512" t="s">
        <v>178</v>
      </c>
      <c r="C7512">
        <v>68.849999886006117</v>
      </c>
      <c r="D7512">
        <v>6</v>
      </c>
      <c r="E7512" s="80">
        <v>35629</v>
      </c>
    </row>
    <row r="7513" spans="1:5">
      <c r="A7513">
        <v>10604</v>
      </c>
      <c r="B7513" t="s">
        <v>179</v>
      </c>
      <c r="C7513">
        <v>68.849999886006117</v>
      </c>
      <c r="D7513">
        <v>6</v>
      </c>
      <c r="E7513" s="80">
        <v>35629</v>
      </c>
    </row>
    <row r="7514" spans="1:5">
      <c r="A7514">
        <v>10604</v>
      </c>
      <c r="B7514" t="s">
        <v>172</v>
      </c>
      <c r="C7514">
        <v>161.9999997317791</v>
      </c>
      <c r="D7514">
        <v>10</v>
      </c>
      <c r="E7514" s="80">
        <v>35629</v>
      </c>
    </row>
    <row r="7515" spans="1:5">
      <c r="A7515">
        <v>10604</v>
      </c>
      <c r="B7515" t="s">
        <v>173</v>
      </c>
      <c r="C7515">
        <v>161.9999997317791</v>
      </c>
      <c r="D7515">
        <v>10</v>
      </c>
      <c r="E7515" s="80">
        <v>35629</v>
      </c>
    </row>
    <row r="7516" spans="1:5">
      <c r="A7516">
        <v>10604</v>
      </c>
      <c r="B7516" t="s">
        <v>174</v>
      </c>
      <c r="C7516">
        <v>161.9999997317791</v>
      </c>
      <c r="D7516">
        <v>10</v>
      </c>
      <c r="E7516" s="80">
        <v>35629</v>
      </c>
    </row>
    <row r="7517" spans="1:5">
      <c r="A7517">
        <v>10604</v>
      </c>
      <c r="B7517" t="s">
        <v>175</v>
      </c>
      <c r="C7517">
        <v>161.9999997317791</v>
      </c>
      <c r="D7517">
        <v>10</v>
      </c>
      <c r="E7517" s="80">
        <v>35629</v>
      </c>
    </row>
    <row r="7518" spans="1:5">
      <c r="A7518">
        <v>10604</v>
      </c>
      <c r="B7518" t="s">
        <v>176</v>
      </c>
      <c r="C7518">
        <v>161.9999997317791</v>
      </c>
      <c r="D7518">
        <v>10</v>
      </c>
      <c r="E7518" s="80">
        <v>35629</v>
      </c>
    </row>
    <row r="7519" spans="1:5">
      <c r="A7519">
        <v>10604</v>
      </c>
      <c r="B7519" t="s">
        <v>177</v>
      </c>
      <c r="C7519">
        <v>161.9999997317791</v>
      </c>
      <c r="D7519">
        <v>10</v>
      </c>
      <c r="E7519" s="80">
        <v>35629</v>
      </c>
    </row>
    <row r="7520" spans="1:5">
      <c r="A7520">
        <v>10604</v>
      </c>
      <c r="B7520" t="s">
        <v>178</v>
      </c>
      <c r="C7520">
        <v>161.9999997317791</v>
      </c>
      <c r="D7520">
        <v>10</v>
      </c>
      <c r="E7520" s="80">
        <v>35629</v>
      </c>
    </row>
    <row r="7521" spans="1:5">
      <c r="A7521">
        <v>10604</v>
      </c>
      <c r="B7521" t="s">
        <v>179</v>
      </c>
      <c r="C7521">
        <v>161.9999997317791</v>
      </c>
      <c r="D7521">
        <v>10</v>
      </c>
      <c r="E7521" s="80">
        <v>35629</v>
      </c>
    </row>
    <row r="7522" spans="1:5">
      <c r="A7522">
        <v>10605</v>
      </c>
      <c r="B7522" t="s">
        <v>172</v>
      </c>
      <c r="C7522">
        <v>497.32499960996211</v>
      </c>
      <c r="D7522">
        <v>30</v>
      </c>
      <c r="E7522" s="80">
        <v>35632</v>
      </c>
    </row>
    <row r="7523" spans="1:5">
      <c r="A7523">
        <v>10605</v>
      </c>
      <c r="B7523" t="s">
        <v>173</v>
      </c>
      <c r="C7523">
        <v>497.32499960996211</v>
      </c>
      <c r="D7523">
        <v>30</v>
      </c>
      <c r="E7523" s="80">
        <v>35632</v>
      </c>
    </row>
    <row r="7524" spans="1:5">
      <c r="A7524">
        <v>10605</v>
      </c>
      <c r="B7524" t="s">
        <v>174</v>
      </c>
      <c r="C7524">
        <v>497.32499960996211</v>
      </c>
      <c r="D7524">
        <v>30</v>
      </c>
      <c r="E7524" s="80">
        <v>35632</v>
      </c>
    </row>
    <row r="7525" spans="1:5">
      <c r="A7525">
        <v>10605</v>
      </c>
      <c r="B7525" t="s">
        <v>175</v>
      </c>
      <c r="C7525">
        <v>497.32499960996211</v>
      </c>
      <c r="D7525">
        <v>30</v>
      </c>
      <c r="E7525" s="80">
        <v>35632</v>
      </c>
    </row>
    <row r="7526" spans="1:5">
      <c r="A7526">
        <v>10605</v>
      </c>
      <c r="B7526" t="s">
        <v>176</v>
      </c>
      <c r="C7526">
        <v>497.32499960996211</v>
      </c>
      <c r="D7526">
        <v>30</v>
      </c>
      <c r="E7526" s="80">
        <v>35632</v>
      </c>
    </row>
    <row r="7527" spans="1:5">
      <c r="A7527">
        <v>10605</v>
      </c>
      <c r="B7527" t="s">
        <v>177</v>
      </c>
      <c r="C7527">
        <v>497.32499960996211</v>
      </c>
      <c r="D7527">
        <v>30</v>
      </c>
      <c r="E7527" s="80">
        <v>35632</v>
      </c>
    </row>
    <row r="7528" spans="1:5">
      <c r="A7528">
        <v>10605</v>
      </c>
      <c r="B7528" t="s">
        <v>178</v>
      </c>
      <c r="C7528">
        <v>497.32499960996211</v>
      </c>
      <c r="D7528">
        <v>30</v>
      </c>
      <c r="E7528" s="80">
        <v>35632</v>
      </c>
    </row>
    <row r="7529" spans="1:5">
      <c r="A7529">
        <v>10605</v>
      </c>
      <c r="B7529" t="s">
        <v>179</v>
      </c>
      <c r="C7529">
        <v>497.32499960996211</v>
      </c>
      <c r="D7529">
        <v>30</v>
      </c>
      <c r="E7529" s="80">
        <v>35632</v>
      </c>
    </row>
    <row r="7530" spans="1:5">
      <c r="A7530">
        <v>10605</v>
      </c>
      <c r="B7530" t="s">
        <v>172</v>
      </c>
      <c r="C7530">
        <v>1044.9999991804361</v>
      </c>
      <c r="D7530">
        <v>20</v>
      </c>
      <c r="E7530" s="80">
        <v>35632</v>
      </c>
    </row>
    <row r="7531" spans="1:5">
      <c r="A7531">
        <v>10605</v>
      </c>
      <c r="B7531" t="s">
        <v>173</v>
      </c>
      <c r="C7531">
        <v>1044.9999991804361</v>
      </c>
      <c r="D7531">
        <v>20</v>
      </c>
      <c r="E7531" s="80">
        <v>35632</v>
      </c>
    </row>
    <row r="7532" spans="1:5">
      <c r="A7532">
        <v>10605</v>
      </c>
      <c r="B7532" t="s">
        <v>174</v>
      </c>
      <c r="C7532">
        <v>1044.9999991804361</v>
      </c>
      <c r="D7532">
        <v>20</v>
      </c>
      <c r="E7532" s="80">
        <v>35632</v>
      </c>
    </row>
    <row r="7533" spans="1:5">
      <c r="A7533">
        <v>10605</v>
      </c>
      <c r="B7533" t="s">
        <v>175</v>
      </c>
      <c r="C7533">
        <v>1044.9999991804361</v>
      </c>
      <c r="D7533">
        <v>20</v>
      </c>
      <c r="E7533" s="80">
        <v>35632</v>
      </c>
    </row>
    <row r="7534" spans="1:5">
      <c r="A7534">
        <v>10605</v>
      </c>
      <c r="B7534" t="s">
        <v>176</v>
      </c>
      <c r="C7534">
        <v>1044.9999991804361</v>
      </c>
      <c r="D7534">
        <v>20</v>
      </c>
      <c r="E7534" s="80">
        <v>35632</v>
      </c>
    </row>
    <row r="7535" spans="1:5">
      <c r="A7535">
        <v>10605</v>
      </c>
      <c r="B7535" t="s">
        <v>177</v>
      </c>
      <c r="C7535">
        <v>1044.9999991804361</v>
      </c>
      <c r="D7535">
        <v>20</v>
      </c>
      <c r="E7535" s="80">
        <v>35632</v>
      </c>
    </row>
    <row r="7536" spans="1:5">
      <c r="A7536">
        <v>10605</v>
      </c>
      <c r="B7536" t="s">
        <v>178</v>
      </c>
      <c r="C7536">
        <v>1044.9999991804361</v>
      </c>
      <c r="D7536">
        <v>20</v>
      </c>
      <c r="E7536" s="80">
        <v>35632</v>
      </c>
    </row>
    <row r="7537" spans="1:5">
      <c r="A7537">
        <v>10605</v>
      </c>
      <c r="B7537" t="s">
        <v>179</v>
      </c>
      <c r="C7537">
        <v>1044.9999991804361</v>
      </c>
      <c r="D7537">
        <v>20</v>
      </c>
      <c r="E7537" s="80">
        <v>35632</v>
      </c>
    </row>
    <row r="7538" spans="1:5">
      <c r="A7538">
        <v>10605</v>
      </c>
      <c r="B7538" t="s">
        <v>172</v>
      </c>
      <c r="C7538">
        <v>2260.9999982267618</v>
      </c>
      <c r="D7538">
        <v>70</v>
      </c>
      <c r="E7538" s="80">
        <v>35632</v>
      </c>
    </row>
    <row r="7539" spans="1:5">
      <c r="A7539">
        <v>10605</v>
      </c>
      <c r="B7539" t="s">
        <v>173</v>
      </c>
      <c r="C7539">
        <v>2260.9999982267618</v>
      </c>
      <c r="D7539">
        <v>70</v>
      </c>
      <c r="E7539" s="80">
        <v>35632</v>
      </c>
    </row>
    <row r="7540" spans="1:5">
      <c r="A7540">
        <v>10605</v>
      </c>
      <c r="B7540" t="s">
        <v>174</v>
      </c>
      <c r="C7540">
        <v>2260.9999982267618</v>
      </c>
      <c r="D7540">
        <v>70</v>
      </c>
      <c r="E7540" s="80">
        <v>35632</v>
      </c>
    </row>
    <row r="7541" spans="1:5">
      <c r="A7541">
        <v>10605</v>
      </c>
      <c r="B7541" t="s">
        <v>175</v>
      </c>
      <c r="C7541">
        <v>2260.9999982267618</v>
      </c>
      <c r="D7541">
        <v>70</v>
      </c>
      <c r="E7541" s="80">
        <v>35632</v>
      </c>
    </row>
    <row r="7542" spans="1:5">
      <c r="A7542">
        <v>10605</v>
      </c>
      <c r="B7542" t="s">
        <v>176</v>
      </c>
      <c r="C7542">
        <v>2260.9999982267618</v>
      </c>
      <c r="D7542">
        <v>70</v>
      </c>
      <c r="E7542" s="80">
        <v>35632</v>
      </c>
    </row>
    <row r="7543" spans="1:5">
      <c r="A7543">
        <v>10605</v>
      </c>
      <c r="B7543" t="s">
        <v>177</v>
      </c>
      <c r="C7543">
        <v>2260.9999982267618</v>
      </c>
      <c r="D7543">
        <v>70</v>
      </c>
      <c r="E7543" s="80">
        <v>35632</v>
      </c>
    </row>
    <row r="7544" spans="1:5">
      <c r="A7544">
        <v>10605</v>
      </c>
      <c r="B7544" t="s">
        <v>178</v>
      </c>
      <c r="C7544">
        <v>2260.9999982267618</v>
      </c>
      <c r="D7544">
        <v>70</v>
      </c>
      <c r="E7544" s="80">
        <v>35632</v>
      </c>
    </row>
    <row r="7545" spans="1:5">
      <c r="A7545">
        <v>10605</v>
      </c>
      <c r="B7545" t="s">
        <v>179</v>
      </c>
      <c r="C7545">
        <v>2260.9999982267618</v>
      </c>
      <c r="D7545">
        <v>70</v>
      </c>
      <c r="E7545" s="80">
        <v>35632</v>
      </c>
    </row>
    <row r="7546" spans="1:5">
      <c r="A7546">
        <v>10605</v>
      </c>
      <c r="B7546" t="s">
        <v>172</v>
      </c>
      <c r="C7546">
        <v>306.37499975971878</v>
      </c>
      <c r="D7546">
        <v>15</v>
      </c>
      <c r="E7546" s="80">
        <v>35632</v>
      </c>
    </row>
    <row r="7547" spans="1:5">
      <c r="A7547">
        <v>10605</v>
      </c>
      <c r="B7547" t="s">
        <v>173</v>
      </c>
      <c r="C7547">
        <v>306.37499975971878</v>
      </c>
      <c r="D7547">
        <v>15</v>
      </c>
      <c r="E7547" s="80">
        <v>35632</v>
      </c>
    </row>
    <row r="7548" spans="1:5">
      <c r="A7548">
        <v>10605</v>
      </c>
      <c r="B7548" t="s">
        <v>174</v>
      </c>
      <c r="C7548">
        <v>306.37499975971878</v>
      </c>
      <c r="D7548">
        <v>15</v>
      </c>
      <c r="E7548" s="80">
        <v>35632</v>
      </c>
    </row>
    <row r="7549" spans="1:5">
      <c r="A7549">
        <v>10605</v>
      </c>
      <c r="B7549" t="s">
        <v>175</v>
      </c>
      <c r="C7549">
        <v>306.37499975971878</v>
      </c>
      <c r="D7549">
        <v>15</v>
      </c>
      <c r="E7549" s="80">
        <v>35632</v>
      </c>
    </row>
    <row r="7550" spans="1:5">
      <c r="A7550">
        <v>10605</v>
      </c>
      <c r="B7550" t="s">
        <v>176</v>
      </c>
      <c r="C7550">
        <v>306.37499975971878</v>
      </c>
      <c r="D7550">
        <v>15</v>
      </c>
      <c r="E7550" s="80">
        <v>35632</v>
      </c>
    </row>
    <row r="7551" spans="1:5">
      <c r="A7551">
        <v>10605</v>
      </c>
      <c r="B7551" t="s">
        <v>177</v>
      </c>
      <c r="C7551">
        <v>306.37499975971878</v>
      </c>
      <c r="D7551">
        <v>15</v>
      </c>
      <c r="E7551" s="80">
        <v>35632</v>
      </c>
    </row>
    <row r="7552" spans="1:5">
      <c r="A7552">
        <v>10605</v>
      </c>
      <c r="B7552" t="s">
        <v>178</v>
      </c>
      <c r="C7552">
        <v>306.37499975971878</v>
      </c>
      <c r="D7552">
        <v>15</v>
      </c>
      <c r="E7552" s="80">
        <v>35632</v>
      </c>
    </row>
    <row r="7553" spans="1:5">
      <c r="A7553">
        <v>10605</v>
      </c>
      <c r="B7553" t="s">
        <v>179</v>
      </c>
      <c r="C7553">
        <v>306.37499975971878</v>
      </c>
      <c r="D7553">
        <v>15</v>
      </c>
      <c r="E7553" s="80">
        <v>35632</v>
      </c>
    </row>
    <row r="7554" spans="1:5">
      <c r="A7554">
        <v>10606</v>
      </c>
      <c r="B7554" t="s">
        <v>172</v>
      </c>
      <c r="C7554">
        <v>351.99999868869781</v>
      </c>
      <c r="D7554">
        <v>20</v>
      </c>
      <c r="E7554" s="80">
        <v>35633</v>
      </c>
    </row>
    <row r="7555" spans="1:5">
      <c r="A7555">
        <v>10606</v>
      </c>
      <c r="B7555" t="s">
        <v>173</v>
      </c>
      <c r="C7555">
        <v>351.99999868869781</v>
      </c>
      <c r="D7555">
        <v>20</v>
      </c>
      <c r="E7555" s="80">
        <v>35633</v>
      </c>
    </row>
    <row r="7556" spans="1:5">
      <c r="A7556">
        <v>10606</v>
      </c>
      <c r="B7556" t="s">
        <v>174</v>
      </c>
      <c r="C7556">
        <v>351.99999868869781</v>
      </c>
      <c r="D7556">
        <v>20</v>
      </c>
      <c r="E7556" s="80">
        <v>35633</v>
      </c>
    </row>
    <row r="7557" spans="1:5">
      <c r="A7557">
        <v>10606</v>
      </c>
      <c r="B7557" t="s">
        <v>175</v>
      </c>
      <c r="C7557">
        <v>351.99999868869781</v>
      </c>
      <c r="D7557">
        <v>20</v>
      </c>
      <c r="E7557" s="80">
        <v>35633</v>
      </c>
    </row>
    <row r="7558" spans="1:5">
      <c r="A7558">
        <v>10606</v>
      </c>
      <c r="B7558" t="s">
        <v>176</v>
      </c>
      <c r="C7558">
        <v>351.99999868869781</v>
      </c>
      <c r="D7558">
        <v>20</v>
      </c>
      <c r="E7558" s="80">
        <v>35633</v>
      </c>
    </row>
    <row r="7559" spans="1:5">
      <c r="A7559">
        <v>10606</v>
      </c>
      <c r="B7559" t="s">
        <v>177</v>
      </c>
      <c r="C7559">
        <v>351.99999868869781</v>
      </c>
      <c r="D7559">
        <v>20</v>
      </c>
      <c r="E7559" s="80">
        <v>35633</v>
      </c>
    </row>
    <row r="7560" spans="1:5">
      <c r="A7560">
        <v>10606</v>
      </c>
      <c r="B7560" t="s">
        <v>178</v>
      </c>
      <c r="C7560">
        <v>351.99999868869781</v>
      </c>
      <c r="D7560">
        <v>20</v>
      </c>
      <c r="E7560" s="80">
        <v>35633</v>
      </c>
    </row>
    <row r="7561" spans="1:5">
      <c r="A7561">
        <v>10606</v>
      </c>
      <c r="B7561" t="s">
        <v>179</v>
      </c>
      <c r="C7561">
        <v>351.99999868869781</v>
      </c>
      <c r="D7561">
        <v>20</v>
      </c>
      <c r="E7561" s="80">
        <v>35633</v>
      </c>
    </row>
    <row r="7562" spans="1:5">
      <c r="A7562">
        <v>10606</v>
      </c>
      <c r="B7562" t="s">
        <v>172</v>
      </c>
      <c r="C7562">
        <v>383.99999856948853</v>
      </c>
      <c r="D7562">
        <v>20</v>
      </c>
      <c r="E7562" s="80">
        <v>35633</v>
      </c>
    </row>
    <row r="7563" spans="1:5">
      <c r="A7563">
        <v>10606</v>
      </c>
      <c r="B7563" t="s">
        <v>173</v>
      </c>
      <c r="C7563">
        <v>383.99999856948853</v>
      </c>
      <c r="D7563">
        <v>20</v>
      </c>
      <c r="E7563" s="80">
        <v>35633</v>
      </c>
    </row>
    <row r="7564" spans="1:5">
      <c r="A7564">
        <v>10606</v>
      </c>
      <c r="B7564" t="s">
        <v>174</v>
      </c>
      <c r="C7564">
        <v>383.99999856948853</v>
      </c>
      <c r="D7564">
        <v>20</v>
      </c>
      <c r="E7564" s="80">
        <v>35633</v>
      </c>
    </row>
    <row r="7565" spans="1:5">
      <c r="A7565">
        <v>10606</v>
      </c>
      <c r="B7565" t="s">
        <v>175</v>
      </c>
      <c r="C7565">
        <v>383.99999856948853</v>
      </c>
      <c r="D7565">
        <v>20</v>
      </c>
      <c r="E7565" s="80">
        <v>35633</v>
      </c>
    </row>
    <row r="7566" spans="1:5">
      <c r="A7566">
        <v>10606</v>
      </c>
      <c r="B7566" t="s">
        <v>176</v>
      </c>
      <c r="C7566">
        <v>383.99999856948853</v>
      </c>
      <c r="D7566">
        <v>20</v>
      </c>
      <c r="E7566" s="80">
        <v>35633</v>
      </c>
    </row>
    <row r="7567" spans="1:5">
      <c r="A7567">
        <v>10606</v>
      </c>
      <c r="B7567" t="s">
        <v>177</v>
      </c>
      <c r="C7567">
        <v>383.99999856948853</v>
      </c>
      <c r="D7567">
        <v>20</v>
      </c>
      <c r="E7567" s="80">
        <v>35633</v>
      </c>
    </row>
    <row r="7568" spans="1:5">
      <c r="A7568">
        <v>10606</v>
      </c>
      <c r="B7568" t="s">
        <v>178</v>
      </c>
      <c r="C7568">
        <v>383.99999856948853</v>
      </c>
      <c r="D7568">
        <v>20</v>
      </c>
      <c r="E7568" s="80">
        <v>35633</v>
      </c>
    </row>
    <row r="7569" spans="1:5">
      <c r="A7569">
        <v>10606</v>
      </c>
      <c r="B7569" t="s">
        <v>179</v>
      </c>
      <c r="C7569">
        <v>383.99999856948853</v>
      </c>
      <c r="D7569">
        <v>20</v>
      </c>
      <c r="E7569" s="80">
        <v>35633</v>
      </c>
    </row>
    <row r="7570" spans="1:5">
      <c r="A7570">
        <v>10606</v>
      </c>
      <c r="B7570" t="s">
        <v>172</v>
      </c>
      <c r="C7570">
        <v>394.39999853074551</v>
      </c>
      <c r="D7570">
        <v>10</v>
      </c>
      <c r="E7570" s="80">
        <v>35633</v>
      </c>
    </row>
    <row r="7571" spans="1:5">
      <c r="A7571">
        <v>10606</v>
      </c>
      <c r="B7571" t="s">
        <v>173</v>
      </c>
      <c r="C7571">
        <v>394.39999853074551</v>
      </c>
      <c r="D7571">
        <v>10</v>
      </c>
      <c r="E7571" s="80">
        <v>35633</v>
      </c>
    </row>
    <row r="7572" spans="1:5">
      <c r="A7572">
        <v>10606</v>
      </c>
      <c r="B7572" t="s">
        <v>174</v>
      </c>
      <c r="C7572">
        <v>394.39999853074551</v>
      </c>
      <c r="D7572">
        <v>10</v>
      </c>
      <c r="E7572" s="80">
        <v>35633</v>
      </c>
    </row>
    <row r="7573" spans="1:5">
      <c r="A7573">
        <v>10606</v>
      </c>
      <c r="B7573" t="s">
        <v>175</v>
      </c>
      <c r="C7573">
        <v>394.39999853074551</v>
      </c>
      <c r="D7573">
        <v>10</v>
      </c>
      <c r="E7573" s="80">
        <v>35633</v>
      </c>
    </row>
    <row r="7574" spans="1:5">
      <c r="A7574">
        <v>10606</v>
      </c>
      <c r="B7574" t="s">
        <v>176</v>
      </c>
      <c r="C7574">
        <v>394.39999853074551</v>
      </c>
      <c r="D7574">
        <v>10</v>
      </c>
      <c r="E7574" s="80">
        <v>35633</v>
      </c>
    </row>
    <row r="7575" spans="1:5">
      <c r="A7575">
        <v>10606</v>
      </c>
      <c r="B7575" t="s">
        <v>177</v>
      </c>
      <c r="C7575">
        <v>394.39999853074551</v>
      </c>
      <c r="D7575">
        <v>10</v>
      </c>
      <c r="E7575" s="80">
        <v>35633</v>
      </c>
    </row>
    <row r="7576" spans="1:5">
      <c r="A7576">
        <v>10606</v>
      </c>
      <c r="B7576" t="s">
        <v>178</v>
      </c>
      <c r="C7576">
        <v>394.39999853074551</v>
      </c>
      <c r="D7576">
        <v>10</v>
      </c>
      <c r="E7576" s="80">
        <v>35633</v>
      </c>
    </row>
    <row r="7577" spans="1:5">
      <c r="A7577">
        <v>10606</v>
      </c>
      <c r="B7577" t="s">
        <v>179</v>
      </c>
      <c r="C7577">
        <v>394.39999853074551</v>
      </c>
      <c r="D7577">
        <v>10</v>
      </c>
      <c r="E7577" s="80">
        <v>35633</v>
      </c>
    </row>
    <row r="7578" spans="1:5">
      <c r="A7578">
        <v>10607</v>
      </c>
      <c r="B7578" t="s">
        <v>172</v>
      </c>
      <c r="C7578">
        <v>1350</v>
      </c>
      <c r="D7578">
        <v>45</v>
      </c>
      <c r="E7578" s="80">
        <v>35633</v>
      </c>
    </row>
    <row r="7579" spans="1:5">
      <c r="A7579">
        <v>10607</v>
      </c>
      <c r="B7579" t="s">
        <v>173</v>
      </c>
      <c r="C7579">
        <v>1350</v>
      </c>
      <c r="D7579">
        <v>45</v>
      </c>
      <c r="E7579" s="80">
        <v>35633</v>
      </c>
    </row>
    <row r="7580" spans="1:5">
      <c r="A7580">
        <v>10607</v>
      </c>
      <c r="B7580" t="s">
        <v>174</v>
      </c>
      <c r="C7580">
        <v>1350</v>
      </c>
      <c r="D7580">
        <v>45</v>
      </c>
      <c r="E7580" s="80">
        <v>35633</v>
      </c>
    </row>
    <row r="7581" spans="1:5">
      <c r="A7581">
        <v>10607</v>
      </c>
      <c r="B7581" t="s">
        <v>175</v>
      </c>
      <c r="C7581">
        <v>1350</v>
      </c>
      <c r="D7581">
        <v>45</v>
      </c>
      <c r="E7581" s="80">
        <v>35633</v>
      </c>
    </row>
    <row r="7582" spans="1:5">
      <c r="A7582">
        <v>10607</v>
      </c>
      <c r="B7582" t="s">
        <v>176</v>
      </c>
      <c r="C7582">
        <v>1350</v>
      </c>
      <c r="D7582">
        <v>45</v>
      </c>
      <c r="E7582" s="80">
        <v>35633</v>
      </c>
    </row>
    <row r="7583" spans="1:5">
      <c r="A7583">
        <v>10607</v>
      </c>
      <c r="B7583" t="s">
        <v>177</v>
      </c>
      <c r="C7583">
        <v>1350</v>
      </c>
      <c r="D7583">
        <v>45</v>
      </c>
      <c r="E7583" s="80">
        <v>35633</v>
      </c>
    </row>
    <row r="7584" spans="1:5">
      <c r="A7584">
        <v>10607</v>
      </c>
      <c r="B7584" t="s">
        <v>178</v>
      </c>
      <c r="C7584">
        <v>1350</v>
      </c>
      <c r="D7584">
        <v>45</v>
      </c>
      <c r="E7584" s="80">
        <v>35633</v>
      </c>
    </row>
    <row r="7585" spans="1:5">
      <c r="A7585">
        <v>10607</v>
      </c>
      <c r="B7585" t="s">
        <v>179</v>
      </c>
      <c r="C7585">
        <v>1350</v>
      </c>
      <c r="D7585">
        <v>45</v>
      </c>
      <c r="E7585" s="80">
        <v>35633</v>
      </c>
    </row>
    <row r="7586" spans="1:5">
      <c r="A7586">
        <v>10607</v>
      </c>
      <c r="B7586" t="s">
        <v>172</v>
      </c>
      <c r="C7586">
        <v>3900</v>
      </c>
      <c r="D7586">
        <v>100</v>
      </c>
      <c r="E7586" s="80">
        <v>35633</v>
      </c>
    </row>
    <row r="7587" spans="1:5">
      <c r="A7587">
        <v>10607</v>
      </c>
      <c r="B7587" t="s">
        <v>173</v>
      </c>
      <c r="C7587">
        <v>3900</v>
      </c>
      <c r="D7587">
        <v>100</v>
      </c>
      <c r="E7587" s="80">
        <v>35633</v>
      </c>
    </row>
    <row r="7588" spans="1:5">
      <c r="A7588">
        <v>10607</v>
      </c>
      <c r="B7588" t="s">
        <v>174</v>
      </c>
      <c r="C7588">
        <v>3900</v>
      </c>
      <c r="D7588">
        <v>100</v>
      </c>
      <c r="E7588" s="80">
        <v>35633</v>
      </c>
    </row>
    <row r="7589" spans="1:5">
      <c r="A7589">
        <v>10607</v>
      </c>
      <c r="B7589" t="s">
        <v>175</v>
      </c>
      <c r="C7589">
        <v>3900</v>
      </c>
      <c r="D7589">
        <v>100</v>
      </c>
      <c r="E7589" s="80">
        <v>35633</v>
      </c>
    </row>
    <row r="7590" spans="1:5">
      <c r="A7590">
        <v>10607</v>
      </c>
      <c r="B7590" t="s">
        <v>176</v>
      </c>
      <c r="C7590">
        <v>3900</v>
      </c>
      <c r="D7590">
        <v>100</v>
      </c>
      <c r="E7590" s="80">
        <v>35633</v>
      </c>
    </row>
    <row r="7591" spans="1:5">
      <c r="A7591">
        <v>10607</v>
      </c>
      <c r="B7591" t="s">
        <v>177</v>
      </c>
      <c r="C7591">
        <v>3900</v>
      </c>
      <c r="D7591">
        <v>100</v>
      </c>
      <c r="E7591" s="80">
        <v>35633</v>
      </c>
    </row>
    <row r="7592" spans="1:5">
      <c r="A7592">
        <v>10607</v>
      </c>
      <c r="B7592" t="s">
        <v>178</v>
      </c>
      <c r="C7592">
        <v>3900</v>
      </c>
      <c r="D7592">
        <v>100</v>
      </c>
      <c r="E7592" s="80">
        <v>35633</v>
      </c>
    </row>
    <row r="7593" spans="1:5">
      <c r="A7593">
        <v>10607</v>
      </c>
      <c r="B7593" t="s">
        <v>179</v>
      </c>
      <c r="C7593">
        <v>3900</v>
      </c>
      <c r="D7593">
        <v>100</v>
      </c>
      <c r="E7593" s="80">
        <v>35633</v>
      </c>
    </row>
    <row r="7594" spans="1:5">
      <c r="A7594">
        <v>10607</v>
      </c>
      <c r="B7594" t="s">
        <v>172</v>
      </c>
      <c r="C7594">
        <v>35</v>
      </c>
      <c r="D7594">
        <v>14</v>
      </c>
      <c r="E7594" s="80">
        <v>35633</v>
      </c>
    </row>
    <row r="7595" spans="1:5">
      <c r="A7595">
        <v>10607</v>
      </c>
      <c r="B7595" t="s">
        <v>173</v>
      </c>
      <c r="C7595">
        <v>35</v>
      </c>
      <c r="D7595">
        <v>14</v>
      </c>
      <c r="E7595" s="80">
        <v>35633</v>
      </c>
    </row>
    <row r="7596" spans="1:5">
      <c r="A7596">
        <v>10607</v>
      </c>
      <c r="B7596" t="s">
        <v>174</v>
      </c>
      <c r="C7596">
        <v>35</v>
      </c>
      <c r="D7596">
        <v>14</v>
      </c>
      <c r="E7596" s="80">
        <v>35633</v>
      </c>
    </row>
    <row r="7597" spans="1:5">
      <c r="A7597">
        <v>10607</v>
      </c>
      <c r="B7597" t="s">
        <v>175</v>
      </c>
      <c r="C7597">
        <v>35</v>
      </c>
      <c r="D7597">
        <v>14</v>
      </c>
      <c r="E7597" s="80">
        <v>35633</v>
      </c>
    </row>
    <row r="7598" spans="1:5">
      <c r="A7598">
        <v>10607</v>
      </c>
      <c r="B7598" t="s">
        <v>176</v>
      </c>
      <c r="C7598">
        <v>35</v>
      </c>
      <c r="D7598">
        <v>14</v>
      </c>
      <c r="E7598" s="80">
        <v>35633</v>
      </c>
    </row>
    <row r="7599" spans="1:5">
      <c r="A7599">
        <v>10607</v>
      </c>
      <c r="B7599" t="s">
        <v>177</v>
      </c>
      <c r="C7599">
        <v>35</v>
      </c>
      <c r="D7599">
        <v>14</v>
      </c>
      <c r="E7599" s="80">
        <v>35633</v>
      </c>
    </row>
    <row r="7600" spans="1:5">
      <c r="A7600">
        <v>10607</v>
      </c>
      <c r="B7600" t="s">
        <v>178</v>
      </c>
      <c r="C7600">
        <v>35</v>
      </c>
      <c r="D7600">
        <v>14</v>
      </c>
      <c r="E7600" s="80">
        <v>35633</v>
      </c>
    </row>
    <row r="7601" spans="1:5">
      <c r="A7601">
        <v>10607</v>
      </c>
      <c r="B7601" t="s">
        <v>179</v>
      </c>
      <c r="C7601">
        <v>35</v>
      </c>
      <c r="D7601">
        <v>14</v>
      </c>
      <c r="E7601" s="80">
        <v>35633</v>
      </c>
    </row>
    <row r="7602" spans="1:5">
      <c r="A7602">
        <v>10607</v>
      </c>
      <c r="B7602" t="s">
        <v>172</v>
      </c>
      <c r="C7602">
        <v>772.8</v>
      </c>
      <c r="D7602">
        <v>42</v>
      </c>
      <c r="E7602" s="80">
        <v>35633</v>
      </c>
    </row>
    <row r="7603" spans="1:5">
      <c r="A7603">
        <v>10607</v>
      </c>
      <c r="B7603" t="s">
        <v>173</v>
      </c>
      <c r="C7603">
        <v>772.8</v>
      </c>
      <c r="D7603">
        <v>42</v>
      </c>
      <c r="E7603" s="80">
        <v>35633</v>
      </c>
    </row>
    <row r="7604" spans="1:5">
      <c r="A7604">
        <v>10607</v>
      </c>
      <c r="B7604" t="s">
        <v>174</v>
      </c>
      <c r="C7604">
        <v>772.8</v>
      </c>
      <c r="D7604">
        <v>42</v>
      </c>
      <c r="E7604" s="80">
        <v>35633</v>
      </c>
    </row>
    <row r="7605" spans="1:5">
      <c r="A7605">
        <v>10607</v>
      </c>
      <c r="B7605" t="s">
        <v>175</v>
      </c>
      <c r="C7605">
        <v>772.8</v>
      </c>
      <c r="D7605">
        <v>42</v>
      </c>
      <c r="E7605" s="80">
        <v>35633</v>
      </c>
    </row>
    <row r="7606" spans="1:5">
      <c r="A7606">
        <v>10607</v>
      </c>
      <c r="B7606" t="s">
        <v>176</v>
      </c>
      <c r="C7606">
        <v>772.8</v>
      </c>
      <c r="D7606">
        <v>42</v>
      </c>
      <c r="E7606" s="80">
        <v>35633</v>
      </c>
    </row>
    <row r="7607" spans="1:5">
      <c r="A7607">
        <v>10607</v>
      </c>
      <c r="B7607" t="s">
        <v>177</v>
      </c>
      <c r="C7607">
        <v>772.8</v>
      </c>
      <c r="D7607">
        <v>42</v>
      </c>
      <c r="E7607" s="80">
        <v>35633</v>
      </c>
    </row>
    <row r="7608" spans="1:5">
      <c r="A7608">
        <v>10607</v>
      </c>
      <c r="B7608" t="s">
        <v>178</v>
      </c>
      <c r="C7608">
        <v>772.8</v>
      </c>
      <c r="D7608">
        <v>42</v>
      </c>
      <c r="E7608" s="80">
        <v>35633</v>
      </c>
    </row>
    <row r="7609" spans="1:5">
      <c r="A7609">
        <v>10607</v>
      </c>
      <c r="B7609" t="s">
        <v>179</v>
      </c>
      <c r="C7609">
        <v>772.8</v>
      </c>
      <c r="D7609">
        <v>42</v>
      </c>
      <c r="E7609" s="80">
        <v>35633</v>
      </c>
    </row>
    <row r="7610" spans="1:5">
      <c r="A7610">
        <v>10607</v>
      </c>
      <c r="B7610" t="s">
        <v>172</v>
      </c>
      <c r="C7610">
        <v>417.6</v>
      </c>
      <c r="D7610">
        <v>12</v>
      </c>
      <c r="E7610" s="80">
        <v>35633</v>
      </c>
    </row>
    <row r="7611" spans="1:5">
      <c r="A7611">
        <v>10607</v>
      </c>
      <c r="B7611" t="s">
        <v>173</v>
      </c>
      <c r="C7611">
        <v>417.6</v>
      </c>
      <c r="D7611">
        <v>12</v>
      </c>
      <c r="E7611" s="80">
        <v>35633</v>
      </c>
    </row>
    <row r="7612" spans="1:5">
      <c r="A7612">
        <v>10607</v>
      </c>
      <c r="B7612" t="s">
        <v>174</v>
      </c>
      <c r="C7612">
        <v>417.6</v>
      </c>
      <c r="D7612">
        <v>12</v>
      </c>
      <c r="E7612" s="80">
        <v>35633</v>
      </c>
    </row>
    <row r="7613" spans="1:5">
      <c r="A7613">
        <v>10607</v>
      </c>
      <c r="B7613" t="s">
        <v>175</v>
      </c>
      <c r="C7613">
        <v>417.6</v>
      </c>
      <c r="D7613">
        <v>12</v>
      </c>
      <c r="E7613" s="80">
        <v>35633</v>
      </c>
    </row>
    <row r="7614" spans="1:5">
      <c r="A7614">
        <v>10607</v>
      </c>
      <c r="B7614" t="s">
        <v>176</v>
      </c>
      <c r="C7614">
        <v>417.6</v>
      </c>
      <c r="D7614">
        <v>12</v>
      </c>
      <c r="E7614" s="80">
        <v>35633</v>
      </c>
    </row>
    <row r="7615" spans="1:5">
      <c r="A7615">
        <v>10607</v>
      </c>
      <c r="B7615" t="s">
        <v>177</v>
      </c>
      <c r="C7615">
        <v>417.6</v>
      </c>
      <c r="D7615">
        <v>12</v>
      </c>
      <c r="E7615" s="80">
        <v>35633</v>
      </c>
    </row>
    <row r="7616" spans="1:5">
      <c r="A7616">
        <v>10607</v>
      </c>
      <c r="B7616" t="s">
        <v>178</v>
      </c>
      <c r="C7616">
        <v>417.6</v>
      </c>
      <c r="D7616">
        <v>12</v>
      </c>
      <c r="E7616" s="80">
        <v>35633</v>
      </c>
    </row>
    <row r="7617" spans="1:5">
      <c r="A7617">
        <v>10607</v>
      </c>
      <c r="B7617" t="s">
        <v>179</v>
      </c>
      <c r="C7617">
        <v>417.6</v>
      </c>
      <c r="D7617">
        <v>12</v>
      </c>
      <c r="E7617" s="80">
        <v>35633</v>
      </c>
    </row>
    <row r="7618" spans="1:5">
      <c r="A7618">
        <v>10608</v>
      </c>
      <c r="B7618" t="s">
        <v>172</v>
      </c>
      <c r="C7618">
        <v>1064</v>
      </c>
      <c r="D7618">
        <v>28</v>
      </c>
      <c r="E7618" s="80">
        <v>35634</v>
      </c>
    </row>
    <row r="7619" spans="1:5">
      <c r="A7619">
        <v>10608</v>
      </c>
      <c r="B7619" t="s">
        <v>173</v>
      </c>
      <c r="C7619">
        <v>1064</v>
      </c>
      <c r="D7619">
        <v>28</v>
      </c>
      <c r="E7619" s="80">
        <v>35634</v>
      </c>
    </row>
    <row r="7620" spans="1:5">
      <c r="A7620">
        <v>10608</v>
      </c>
      <c r="B7620" t="s">
        <v>174</v>
      </c>
      <c r="C7620">
        <v>1064</v>
      </c>
      <c r="D7620">
        <v>28</v>
      </c>
      <c r="E7620" s="80">
        <v>35634</v>
      </c>
    </row>
    <row r="7621" spans="1:5">
      <c r="A7621">
        <v>10608</v>
      </c>
      <c r="B7621" t="s">
        <v>175</v>
      </c>
      <c r="C7621">
        <v>1064</v>
      </c>
      <c r="D7621">
        <v>28</v>
      </c>
      <c r="E7621" s="80">
        <v>35634</v>
      </c>
    </row>
    <row r="7622" spans="1:5">
      <c r="A7622">
        <v>10608</v>
      </c>
      <c r="B7622" t="s">
        <v>176</v>
      </c>
      <c r="C7622">
        <v>1064</v>
      </c>
      <c r="D7622">
        <v>28</v>
      </c>
      <c r="E7622" s="80">
        <v>35634</v>
      </c>
    </row>
    <row r="7623" spans="1:5">
      <c r="A7623">
        <v>10608</v>
      </c>
      <c r="B7623" t="s">
        <v>177</v>
      </c>
      <c r="C7623">
        <v>1064</v>
      </c>
      <c r="D7623">
        <v>28</v>
      </c>
      <c r="E7623" s="80">
        <v>35634</v>
      </c>
    </row>
    <row r="7624" spans="1:5">
      <c r="A7624">
        <v>10608</v>
      </c>
      <c r="B7624" t="s">
        <v>178</v>
      </c>
      <c r="C7624">
        <v>1064</v>
      </c>
      <c r="D7624">
        <v>28</v>
      </c>
      <c r="E7624" s="80">
        <v>35634</v>
      </c>
    </row>
    <row r="7625" spans="1:5">
      <c r="A7625">
        <v>10608</v>
      </c>
      <c r="B7625" t="s">
        <v>179</v>
      </c>
      <c r="C7625">
        <v>1064</v>
      </c>
      <c r="D7625">
        <v>28</v>
      </c>
      <c r="E7625" s="80">
        <v>35634</v>
      </c>
    </row>
    <row r="7626" spans="1:5">
      <c r="A7626">
        <v>10609</v>
      </c>
      <c r="B7626" t="s">
        <v>172</v>
      </c>
      <c r="C7626">
        <v>54</v>
      </c>
      <c r="D7626">
        <v>3</v>
      </c>
      <c r="E7626" s="80">
        <v>35635</v>
      </c>
    </row>
    <row r="7627" spans="1:5">
      <c r="A7627">
        <v>10609</v>
      </c>
      <c r="B7627" t="s">
        <v>173</v>
      </c>
      <c r="C7627">
        <v>54</v>
      </c>
      <c r="D7627">
        <v>3</v>
      </c>
      <c r="E7627" s="80">
        <v>35635</v>
      </c>
    </row>
    <row r="7628" spans="1:5">
      <c r="A7628">
        <v>10609</v>
      </c>
      <c r="B7628" t="s">
        <v>174</v>
      </c>
      <c r="C7628">
        <v>54</v>
      </c>
      <c r="D7628">
        <v>3</v>
      </c>
      <c r="E7628" s="80">
        <v>35635</v>
      </c>
    </row>
    <row r="7629" spans="1:5">
      <c r="A7629">
        <v>10609</v>
      </c>
      <c r="B7629" t="s">
        <v>175</v>
      </c>
      <c r="C7629">
        <v>54</v>
      </c>
      <c r="D7629">
        <v>3</v>
      </c>
      <c r="E7629" s="80">
        <v>35635</v>
      </c>
    </row>
    <row r="7630" spans="1:5">
      <c r="A7630">
        <v>10609</v>
      </c>
      <c r="B7630" t="s">
        <v>176</v>
      </c>
      <c r="C7630">
        <v>54</v>
      </c>
      <c r="D7630">
        <v>3</v>
      </c>
      <c r="E7630" s="80">
        <v>35635</v>
      </c>
    </row>
    <row r="7631" spans="1:5">
      <c r="A7631">
        <v>10609</v>
      </c>
      <c r="B7631" t="s">
        <v>177</v>
      </c>
      <c r="C7631">
        <v>54</v>
      </c>
      <c r="D7631">
        <v>3</v>
      </c>
      <c r="E7631" s="80">
        <v>35635</v>
      </c>
    </row>
    <row r="7632" spans="1:5">
      <c r="A7632">
        <v>10609</v>
      </c>
      <c r="B7632" t="s">
        <v>178</v>
      </c>
      <c r="C7632">
        <v>54</v>
      </c>
      <c r="D7632">
        <v>3</v>
      </c>
      <c r="E7632" s="80">
        <v>35635</v>
      </c>
    </row>
    <row r="7633" spans="1:5">
      <c r="A7633">
        <v>10609</v>
      </c>
      <c r="B7633" t="s">
        <v>179</v>
      </c>
      <c r="C7633">
        <v>54</v>
      </c>
      <c r="D7633">
        <v>3</v>
      </c>
      <c r="E7633" s="80">
        <v>35635</v>
      </c>
    </row>
    <row r="7634" spans="1:5">
      <c r="A7634">
        <v>10609</v>
      </c>
      <c r="B7634" t="s">
        <v>172</v>
      </c>
      <c r="C7634">
        <v>310</v>
      </c>
      <c r="D7634">
        <v>10</v>
      </c>
      <c r="E7634" s="80">
        <v>35635</v>
      </c>
    </row>
    <row r="7635" spans="1:5">
      <c r="A7635">
        <v>10609</v>
      </c>
      <c r="B7635" t="s">
        <v>173</v>
      </c>
      <c r="C7635">
        <v>310</v>
      </c>
      <c r="D7635">
        <v>10</v>
      </c>
      <c r="E7635" s="80">
        <v>35635</v>
      </c>
    </row>
    <row r="7636" spans="1:5">
      <c r="A7636">
        <v>10609</v>
      </c>
      <c r="B7636" t="s">
        <v>174</v>
      </c>
      <c r="C7636">
        <v>310</v>
      </c>
      <c r="D7636">
        <v>10</v>
      </c>
      <c r="E7636" s="80">
        <v>35635</v>
      </c>
    </row>
    <row r="7637" spans="1:5">
      <c r="A7637">
        <v>10609</v>
      </c>
      <c r="B7637" t="s">
        <v>175</v>
      </c>
      <c r="C7637">
        <v>310</v>
      </c>
      <c r="D7637">
        <v>10</v>
      </c>
      <c r="E7637" s="80">
        <v>35635</v>
      </c>
    </row>
    <row r="7638" spans="1:5">
      <c r="A7638">
        <v>10609</v>
      </c>
      <c r="B7638" t="s">
        <v>176</v>
      </c>
      <c r="C7638">
        <v>310</v>
      </c>
      <c r="D7638">
        <v>10</v>
      </c>
      <c r="E7638" s="80">
        <v>35635</v>
      </c>
    </row>
    <row r="7639" spans="1:5">
      <c r="A7639">
        <v>10609</v>
      </c>
      <c r="B7639" t="s">
        <v>177</v>
      </c>
      <c r="C7639">
        <v>310</v>
      </c>
      <c r="D7639">
        <v>10</v>
      </c>
      <c r="E7639" s="80">
        <v>35635</v>
      </c>
    </row>
    <row r="7640" spans="1:5">
      <c r="A7640">
        <v>10609</v>
      </c>
      <c r="B7640" t="s">
        <v>178</v>
      </c>
      <c r="C7640">
        <v>310</v>
      </c>
      <c r="D7640">
        <v>10</v>
      </c>
      <c r="E7640" s="80">
        <v>35635</v>
      </c>
    </row>
    <row r="7641" spans="1:5">
      <c r="A7641">
        <v>10609</v>
      </c>
      <c r="B7641" t="s">
        <v>179</v>
      </c>
      <c r="C7641">
        <v>310</v>
      </c>
      <c r="D7641">
        <v>10</v>
      </c>
      <c r="E7641" s="80">
        <v>35635</v>
      </c>
    </row>
    <row r="7642" spans="1:5">
      <c r="A7642">
        <v>10609</v>
      </c>
      <c r="B7642" t="s">
        <v>172</v>
      </c>
      <c r="C7642">
        <v>60</v>
      </c>
      <c r="D7642">
        <v>6</v>
      </c>
      <c r="E7642" s="80">
        <v>35635</v>
      </c>
    </row>
    <row r="7643" spans="1:5">
      <c r="A7643">
        <v>10609</v>
      </c>
      <c r="B7643" t="s">
        <v>173</v>
      </c>
      <c r="C7643">
        <v>60</v>
      </c>
      <c r="D7643">
        <v>6</v>
      </c>
      <c r="E7643" s="80">
        <v>35635</v>
      </c>
    </row>
    <row r="7644" spans="1:5">
      <c r="A7644">
        <v>10609</v>
      </c>
      <c r="B7644" t="s">
        <v>174</v>
      </c>
      <c r="C7644">
        <v>60</v>
      </c>
      <c r="D7644">
        <v>6</v>
      </c>
      <c r="E7644" s="80">
        <v>35635</v>
      </c>
    </row>
    <row r="7645" spans="1:5">
      <c r="A7645">
        <v>10609</v>
      </c>
      <c r="B7645" t="s">
        <v>175</v>
      </c>
      <c r="C7645">
        <v>60</v>
      </c>
      <c r="D7645">
        <v>6</v>
      </c>
      <c r="E7645" s="80">
        <v>35635</v>
      </c>
    </row>
    <row r="7646" spans="1:5">
      <c r="A7646">
        <v>10609</v>
      </c>
      <c r="B7646" t="s">
        <v>176</v>
      </c>
      <c r="C7646">
        <v>60</v>
      </c>
      <c r="D7646">
        <v>6</v>
      </c>
      <c r="E7646" s="80">
        <v>35635</v>
      </c>
    </row>
    <row r="7647" spans="1:5">
      <c r="A7647">
        <v>10609</v>
      </c>
      <c r="B7647" t="s">
        <v>177</v>
      </c>
      <c r="C7647">
        <v>60</v>
      </c>
      <c r="D7647">
        <v>6</v>
      </c>
      <c r="E7647" s="80">
        <v>35635</v>
      </c>
    </row>
    <row r="7648" spans="1:5">
      <c r="A7648">
        <v>10609</v>
      </c>
      <c r="B7648" t="s">
        <v>178</v>
      </c>
      <c r="C7648">
        <v>60</v>
      </c>
      <c r="D7648">
        <v>6</v>
      </c>
      <c r="E7648" s="80">
        <v>35635</v>
      </c>
    </row>
    <row r="7649" spans="1:5">
      <c r="A7649">
        <v>10609</v>
      </c>
      <c r="B7649" t="s">
        <v>179</v>
      </c>
      <c r="C7649">
        <v>60</v>
      </c>
      <c r="D7649">
        <v>6</v>
      </c>
      <c r="E7649" s="80">
        <v>35635</v>
      </c>
    </row>
    <row r="7650" spans="1:5">
      <c r="A7650">
        <v>10610</v>
      </c>
      <c r="B7650" t="s">
        <v>172</v>
      </c>
      <c r="C7650">
        <v>299.25</v>
      </c>
      <c r="D7650">
        <v>21</v>
      </c>
      <c r="E7650" s="80">
        <v>35636</v>
      </c>
    </row>
    <row r="7651" spans="1:5">
      <c r="A7651">
        <v>10610</v>
      </c>
      <c r="B7651" t="s">
        <v>173</v>
      </c>
      <c r="C7651">
        <v>299.25</v>
      </c>
      <c r="D7651">
        <v>21</v>
      </c>
      <c r="E7651" s="80">
        <v>35636</v>
      </c>
    </row>
    <row r="7652" spans="1:5">
      <c r="A7652">
        <v>10610</v>
      </c>
      <c r="B7652" t="s">
        <v>174</v>
      </c>
      <c r="C7652">
        <v>299.25</v>
      </c>
      <c r="D7652">
        <v>21</v>
      </c>
      <c r="E7652" s="80">
        <v>35636</v>
      </c>
    </row>
    <row r="7653" spans="1:5">
      <c r="A7653">
        <v>10610</v>
      </c>
      <c r="B7653" t="s">
        <v>175</v>
      </c>
      <c r="C7653">
        <v>299.25</v>
      </c>
      <c r="D7653">
        <v>21</v>
      </c>
      <c r="E7653" s="80">
        <v>35636</v>
      </c>
    </row>
    <row r="7654" spans="1:5">
      <c r="A7654">
        <v>10610</v>
      </c>
      <c r="B7654" t="s">
        <v>176</v>
      </c>
      <c r="C7654">
        <v>299.25</v>
      </c>
      <c r="D7654">
        <v>21</v>
      </c>
      <c r="E7654" s="80">
        <v>35636</v>
      </c>
    </row>
    <row r="7655" spans="1:5">
      <c r="A7655">
        <v>10610</v>
      </c>
      <c r="B7655" t="s">
        <v>177</v>
      </c>
      <c r="C7655">
        <v>299.25</v>
      </c>
      <c r="D7655">
        <v>21</v>
      </c>
      <c r="E7655" s="80">
        <v>35636</v>
      </c>
    </row>
    <row r="7656" spans="1:5">
      <c r="A7656">
        <v>10610</v>
      </c>
      <c r="B7656" t="s">
        <v>178</v>
      </c>
      <c r="C7656">
        <v>299.25</v>
      </c>
      <c r="D7656">
        <v>21</v>
      </c>
      <c r="E7656" s="80">
        <v>35636</v>
      </c>
    </row>
    <row r="7657" spans="1:5">
      <c r="A7657">
        <v>10610</v>
      </c>
      <c r="B7657" t="s">
        <v>179</v>
      </c>
      <c r="C7657">
        <v>299.25</v>
      </c>
      <c r="D7657">
        <v>21</v>
      </c>
      <c r="E7657" s="80">
        <v>35636</v>
      </c>
    </row>
    <row r="7658" spans="1:5">
      <c r="A7658">
        <v>10611</v>
      </c>
      <c r="B7658" t="s">
        <v>172</v>
      </c>
      <c r="C7658">
        <v>108</v>
      </c>
      <c r="D7658">
        <v>6</v>
      </c>
      <c r="E7658" s="80">
        <v>35636</v>
      </c>
    </row>
    <row r="7659" spans="1:5">
      <c r="A7659">
        <v>10611</v>
      </c>
      <c r="B7659" t="s">
        <v>173</v>
      </c>
      <c r="C7659">
        <v>108</v>
      </c>
      <c r="D7659">
        <v>6</v>
      </c>
      <c r="E7659" s="80">
        <v>35636</v>
      </c>
    </row>
    <row r="7660" spans="1:5">
      <c r="A7660">
        <v>10611</v>
      </c>
      <c r="B7660" t="s">
        <v>174</v>
      </c>
      <c r="C7660">
        <v>108</v>
      </c>
      <c r="D7660">
        <v>6</v>
      </c>
      <c r="E7660" s="80">
        <v>35636</v>
      </c>
    </row>
    <row r="7661" spans="1:5">
      <c r="A7661">
        <v>10611</v>
      </c>
      <c r="B7661" t="s">
        <v>175</v>
      </c>
      <c r="C7661">
        <v>108</v>
      </c>
      <c r="D7661">
        <v>6</v>
      </c>
      <c r="E7661" s="80">
        <v>35636</v>
      </c>
    </row>
    <row r="7662" spans="1:5">
      <c r="A7662">
        <v>10611</v>
      </c>
      <c r="B7662" t="s">
        <v>176</v>
      </c>
      <c r="C7662">
        <v>108</v>
      </c>
      <c r="D7662">
        <v>6</v>
      </c>
      <c r="E7662" s="80">
        <v>35636</v>
      </c>
    </row>
    <row r="7663" spans="1:5">
      <c r="A7663">
        <v>10611</v>
      </c>
      <c r="B7663" t="s">
        <v>177</v>
      </c>
      <c r="C7663">
        <v>108</v>
      </c>
      <c r="D7663">
        <v>6</v>
      </c>
      <c r="E7663" s="80">
        <v>35636</v>
      </c>
    </row>
    <row r="7664" spans="1:5">
      <c r="A7664">
        <v>10611</v>
      </c>
      <c r="B7664" t="s">
        <v>178</v>
      </c>
      <c r="C7664">
        <v>108</v>
      </c>
      <c r="D7664">
        <v>6</v>
      </c>
      <c r="E7664" s="80">
        <v>35636</v>
      </c>
    </row>
    <row r="7665" spans="1:5">
      <c r="A7665">
        <v>10611</v>
      </c>
      <c r="B7665" t="s">
        <v>179</v>
      </c>
      <c r="C7665">
        <v>108</v>
      </c>
      <c r="D7665">
        <v>6</v>
      </c>
      <c r="E7665" s="80">
        <v>35636</v>
      </c>
    </row>
    <row r="7666" spans="1:5">
      <c r="A7666">
        <v>10611</v>
      </c>
      <c r="B7666" t="s">
        <v>172</v>
      </c>
      <c r="C7666">
        <v>190</v>
      </c>
      <c r="D7666">
        <v>10</v>
      </c>
      <c r="E7666" s="80">
        <v>35636</v>
      </c>
    </row>
    <row r="7667" spans="1:5">
      <c r="A7667">
        <v>10611</v>
      </c>
      <c r="B7667" t="s">
        <v>173</v>
      </c>
      <c r="C7667">
        <v>190</v>
      </c>
      <c r="D7667">
        <v>10</v>
      </c>
      <c r="E7667" s="80">
        <v>35636</v>
      </c>
    </row>
    <row r="7668" spans="1:5">
      <c r="A7668">
        <v>10611</v>
      </c>
      <c r="B7668" t="s">
        <v>174</v>
      </c>
      <c r="C7668">
        <v>190</v>
      </c>
      <c r="D7668">
        <v>10</v>
      </c>
      <c r="E7668" s="80">
        <v>35636</v>
      </c>
    </row>
    <row r="7669" spans="1:5">
      <c r="A7669">
        <v>10611</v>
      </c>
      <c r="B7669" t="s">
        <v>175</v>
      </c>
      <c r="C7669">
        <v>190</v>
      </c>
      <c r="D7669">
        <v>10</v>
      </c>
      <c r="E7669" s="80">
        <v>35636</v>
      </c>
    </row>
    <row r="7670" spans="1:5">
      <c r="A7670">
        <v>10611</v>
      </c>
      <c r="B7670" t="s">
        <v>176</v>
      </c>
      <c r="C7670">
        <v>190</v>
      </c>
      <c r="D7670">
        <v>10</v>
      </c>
      <c r="E7670" s="80">
        <v>35636</v>
      </c>
    </row>
    <row r="7671" spans="1:5">
      <c r="A7671">
        <v>10611</v>
      </c>
      <c r="B7671" t="s">
        <v>177</v>
      </c>
      <c r="C7671">
        <v>190</v>
      </c>
      <c r="D7671">
        <v>10</v>
      </c>
      <c r="E7671" s="80">
        <v>35636</v>
      </c>
    </row>
    <row r="7672" spans="1:5">
      <c r="A7672">
        <v>10611</v>
      </c>
      <c r="B7672" t="s">
        <v>178</v>
      </c>
      <c r="C7672">
        <v>190</v>
      </c>
      <c r="D7672">
        <v>10</v>
      </c>
      <c r="E7672" s="80">
        <v>35636</v>
      </c>
    </row>
    <row r="7673" spans="1:5">
      <c r="A7673">
        <v>10611</v>
      </c>
      <c r="B7673" t="s">
        <v>179</v>
      </c>
      <c r="C7673">
        <v>190</v>
      </c>
      <c r="D7673">
        <v>10</v>
      </c>
      <c r="E7673" s="80">
        <v>35636</v>
      </c>
    </row>
    <row r="7674" spans="1:5">
      <c r="A7674">
        <v>10611</v>
      </c>
      <c r="B7674" t="s">
        <v>172</v>
      </c>
      <c r="C7674">
        <v>510</v>
      </c>
      <c r="D7674">
        <v>15</v>
      </c>
      <c r="E7674" s="80">
        <v>35636</v>
      </c>
    </row>
    <row r="7675" spans="1:5">
      <c r="A7675">
        <v>10611</v>
      </c>
      <c r="B7675" t="s">
        <v>173</v>
      </c>
      <c r="C7675">
        <v>510</v>
      </c>
      <c r="D7675">
        <v>15</v>
      </c>
      <c r="E7675" s="80">
        <v>35636</v>
      </c>
    </row>
    <row r="7676" spans="1:5">
      <c r="A7676">
        <v>10611</v>
      </c>
      <c r="B7676" t="s">
        <v>174</v>
      </c>
      <c r="C7676">
        <v>510</v>
      </c>
      <c r="D7676">
        <v>15</v>
      </c>
      <c r="E7676" s="80">
        <v>35636</v>
      </c>
    </row>
    <row r="7677" spans="1:5">
      <c r="A7677">
        <v>10611</v>
      </c>
      <c r="B7677" t="s">
        <v>175</v>
      </c>
      <c r="C7677">
        <v>510</v>
      </c>
      <c r="D7677">
        <v>15</v>
      </c>
      <c r="E7677" s="80">
        <v>35636</v>
      </c>
    </row>
    <row r="7678" spans="1:5">
      <c r="A7678">
        <v>10611</v>
      </c>
      <c r="B7678" t="s">
        <v>176</v>
      </c>
      <c r="C7678">
        <v>510</v>
      </c>
      <c r="D7678">
        <v>15</v>
      </c>
      <c r="E7678" s="80">
        <v>35636</v>
      </c>
    </row>
    <row r="7679" spans="1:5">
      <c r="A7679">
        <v>10611</v>
      </c>
      <c r="B7679" t="s">
        <v>177</v>
      </c>
      <c r="C7679">
        <v>510</v>
      </c>
      <c r="D7679">
        <v>15</v>
      </c>
      <c r="E7679" s="80">
        <v>35636</v>
      </c>
    </row>
    <row r="7680" spans="1:5">
      <c r="A7680">
        <v>10611</v>
      </c>
      <c r="B7680" t="s">
        <v>178</v>
      </c>
      <c r="C7680">
        <v>510</v>
      </c>
      <c r="D7680">
        <v>15</v>
      </c>
      <c r="E7680" s="80">
        <v>35636</v>
      </c>
    </row>
    <row r="7681" spans="1:5">
      <c r="A7681">
        <v>10611</v>
      </c>
      <c r="B7681" t="s">
        <v>179</v>
      </c>
      <c r="C7681">
        <v>510</v>
      </c>
      <c r="D7681">
        <v>15</v>
      </c>
      <c r="E7681" s="80">
        <v>35636</v>
      </c>
    </row>
    <row r="7682" spans="1:5">
      <c r="A7682">
        <v>10612</v>
      </c>
      <c r="B7682" t="s">
        <v>172</v>
      </c>
      <c r="C7682">
        <v>2170</v>
      </c>
      <c r="D7682">
        <v>70</v>
      </c>
      <c r="E7682" s="80">
        <v>35639</v>
      </c>
    </row>
    <row r="7683" spans="1:5">
      <c r="A7683">
        <v>10612</v>
      </c>
      <c r="B7683" t="s">
        <v>173</v>
      </c>
      <c r="C7683">
        <v>2170</v>
      </c>
      <c r="D7683">
        <v>70</v>
      </c>
      <c r="E7683" s="80">
        <v>35639</v>
      </c>
    </row>
    <row r="7684" spans="1:5">
      <c r="A7684">
        <v>10612</v>
      </c>
      <c r="B7684" t="s">
        <v>174</v>
      </c>
      <c r="C7684">
        <v>2170</v>
      </c>
      <c r="D7684">
        <v>70</v>
      </c>
      <c r="E7684" s="80">
        <v>35639</v>
      </c>
    </row>
    <row r="7685" spans="1:5">
      <c r="A7685">
        <v>10612</v>
      </c>
      <c r="B7685" t="s">
        <v>175</v>
      </c>
      <c r="C7685">
        <v>2170</v>
      </c>
      <c r="D7685">
        <v>70</v>
      </c>
      <c r="E7685" s="80">
        <v>35639</v>
      </c>
    </row>
    <row r="7686" spans="1:5">
      <c r="A7686">
        <v>10612</v>
      </c>
      <c r="B7686" t="s">
        <v>176</v>
      </c>
      <c r="C7686">
        <v>2170</v>
      </c>
      <c r="D7686">
        <v>70</v>
      </c>
      <c r="E7686" s="80">
        <v>35639</v>
      </c>
    </row>
    <row r="7687" spans="1:5">
      <c r="A7687">
        <v>10612</v>
      </c>
      <c r="B7687" t="s">
        <v>177</v>
      </c>
      <c r="C7687">
        <v>2170</v>
      </c>
      <c r="D7687">
        <v>70</v>
      </c>
      <c r="E7687" s="80">
        <v>35639</v>
      </c>
    </row>
    <row r="7688" spans="1:5">
      <c r="A7688">
        <v>10612</v>
      </c>
      <c r="B7688" t="s">
        <v>178</v>
      </c>
      <c r="C7688">
        <v>2170</v>
      </c>
      <c r="D7688">
        <v>70</v>
      </c>
      <c r="E7688" s="80">
        <v>35639</v>
      </c>
    </row>
    <row r="7689" spans="1:5">
      <c r="A7689">
        <v>10612</v>
      </c>
      <c r="B7689" t="s">
        <v>179</v>
      </c>
      <c r="C7689">
        <v>2170</v>
      </c>
      <c r="D7689">
        <v>70</v>
      </c>
      <c r="E7689" s="80">
        <v>35639</v>
      </c>
    </row>
    <row r="7690" spans="1:5">
      <c r="A7690">
        <v>10612</v>
      </c>
      <c r="B7690" t="s">
        <v>172</v>
      </c>
      <c r="C7690">
        <v>1045</v>
      </c>
      <c r="D7690">
        <v>55</v>
      </c>
      <c r="E7690" s="80">
        <v>35639</v>
      </c>
    </row>
    <row r="7691" spans="1:5">
      <c r="A7691">
        <v>10612</v>
      </c>
      <c r="B7691" t="s">
        <v>173</v>
      </c>
      <c r="C7691">
        <v>1045</v>
      </c>
      <c r="D7691">
        <v>55</v>
      </c>
      <c r="E7691" s="80">
        <v>35639</v>
      </c>
    </row>
    <row r="7692" spans="1:5">
      <c r="A7692">
        <v>10612</v>
      </c>
      <c r="B7692" t="s">
        <v>174</v>
      </c>
      <c r="C7692">
        <v>1045</v>
      </c>
      <c r="D7692">
        <v>55</v>
      </c>
      <c r="E7692" s="80">
        <v>35639</v>
      </c>
    </row>
    <row r="7693" spans="1:5">
      <c r="A7693">
        <v>10612</v>
      </c>
      <c r="B7693" t="s">
        <v>175</v>
      </c>
      <c r="C7693">
        <v>1045</v>
      </c>
      <c r="D7693">
        <v>55</v>
      </c>
      <c r="E7693" s="80">
        <v>35639</v>
      </c>
    </row>
    <row r="7694" spans="1:5">
      <c r="A7694">
        <v>10612</v>
      </c>
      <c r="B7694" t="s">
        <v>176</v>
      </c>
      <c r="C7694">
        <v>1045</v>
      </c>
      <c r="D7694">
        <v>55</v>
      </c>
      <c r="E7694" s="80">
        <v>35639</v>
      </c>
    </row>
    <row r="7695" spans="1:5">
      <c r="A7695">
        <v>10612</v>
      </c>
      <c r="B7695" t="s">
        <v>177</v>
      </c>
      <c r="C7695">
        <v>1045</v>
      </c>
      <c r="D7695">
        <v>55</v>
      </c>
      <c r="E7695" s="80">
        <v>35639</v>
      </c>
    </row>
    <row r="7696" spans="1:5">
      <c r="A7696">
        <v>10612</v>
      </c>
      <c r="B7696" t="s">
        <v>178</v>
      </c>
      <c r="C7696">
        <v>1045</v>
      </c>
      <c r="D7696">
        <v>55</v>
      </c>
      <c r="E7696" s="80">
        <v>35639</v>
      </c>
    </row>
    <row r="7697" spans="1:5">
      <c r="A7697">
        <v>10612</v>
      </c>
      <c r="B7697" t="s">
        <v>179</v>
      </c>
      <c r="C7697">
        <v>1045</v>
      </c>
      <c r="D7697">
        <v>55</v>
      </c>
      <c r="E7697" s="80">
        <v>35639</v>
      </c>
    </row>
    <row r="7698" spans="1:5">
      <c r="A7698">
        <v>10612</v>
      </c>
      <c r="B7698" t="s">
        <v>172</v>
      </c>
      <c r="C7698">
        <v>360</v>
      </c>
      <c r="D7698">
        <v>18</v>
      </c>
      <c r="E7698" s="80">
        <v>35639</v>
      </c>
    </row>
    <row r="7699" spans="1:5">
      <c r="A7699">
        <v>10612</v>
      </c>
      <c r="B7699" t="s">
        <v>173</v>
      </c>
      <c r="C7699">
        <v>360</v>
      </c>
      <c r="D7699">
        <v>18</v>
      </c>
      <c r="E7699" s="80">
        <v>35639</v>
      </c>
    </row>
    <row r="7700" spans="1:5">
      <c r="A7700">
        <v>10612</v>
      </c>
      <c r="B7700" t="s">
        <v>174</v>
      </c>
      <c r="C7700">
        <v>360</v>
      </c>
      <c r="D7700">
        <v>18</v>
      </c>
      <c r="E7700" s="80">
        <v>35639</v>
      </c>
    </row>
    <row r="7701" spans="1:5">
      <c r="A7701">
        <v>10612</v>
      </c>
      <c r="B7701" t="s">
        <v>175</v>
      </c>
      <c r="C7701">
        <v>360</v>
      </c>
      <c r="D7701">
        <v>18</v>
      </c>
      <c r="E7701" s="80">
        <v>35639</v>
      </c>
    </row>
    <row r="7702" spans="1:5">
      <c r="A7702">
        <v>10612</v>
      </c>
      <c r="B7702" t="s">
        <v>176</v>
      </c>
      <c r="C7702">
        <v>360</v>
      </c>
      <c r="D7702">
        <v>18</v>
      </c>
      <c r="E7702" s="80">
        <v>35639</v>
      </c>
    </row>
    <row r="7703" spans="1:5">
      <c r="A7703">
        <v>10612</v>
      </c>
      <c r="B7703" t="s">
        <v>177</v>
      </c>
      <c r="C7703">
        <v>360</v>
      </c>
      <c r="D7703">
        <v>18</v>
      </c>
      <c r="E7703" s="80">
        <v>35639</v>
      </c>
    </row>
    <row r="7704" spans="1:5">
      <c r="A7704">
        <v>10612</v>
      </c>
      <c r="B7704" t="s">
        <v>178</v>
      </c>
      <c r="C7704">
        <v>360</v>
      </c>
      <c r="D7704">
        <v>18</v>
      </c>
      <c r="E7704" s="80">
        <v>35639</v>
      </c>
    </row>
    <row r="7705" spans="1:5">
      <c r="A7705">
        <v>10612</v>
      </c>
      <c r="B7705" t="s">
        <v>179</v>
      </c>
      <c r="C7705">
        <v>360</v>
      </c>
      <c r="D7705">
        <v>18</v>
      </c>
      <c r="E7705" s="80">
        <v>35639</v>
      </c>
    </row>
    <row r="7706" spans="1:5">
      <c r="A7706">
        <v>10612</v>
      </c>
      <c r="B7706" t="s">
        <v>172</v>
      </c>
      <c r="C7706">
        <v>1360</v>
      </c>
      <c r="D7706">
        <v>40</v>
      </c>
      <c r="E7706" s="80">
        <v>35639</v>
      </c>
    </row>
    <row r="7707" spans="1:5">
      <c r="A7707">
        <v>10612</v>
      </c>
      <c r="B7707" t="s">
        <v>173</v>
      </c>
      <c r="C7707">
        <v>1360</v>
      </c>
      <c r="D7707">
        <v>40</v>
      </c>
      <c r="E7707" s="80">
        <v>35639</v>
      </c>
    </row>
    <row r="7708" spans="1:5">
      <c r="A7708">
        <v>10612</v>
      </c>
      <c r="B7708" t="s">
        <v>174</v>
      </c>
      <c r="C7708">
        <v>1360</v>
      </c>
      <c r="D7708">
        <v>40</v>
      </c>
      <c r="E7708" s="80">
        <v>35639</v>
      </c>
    </row>
    <row r="7709" spans="1:5">
      <c r="A7709">
        <v>10612</v>
      </c>
      <c r="B7709" t="s">
        <v>175</v>
      </c>
      <c r="C7709">
        <v>1360</v>
      </c>
      <c r="D7709">
        <v>40</v>
      </c>
      <c r="E7709" s="80">
        <v>35639</v>
      </c>
    </row>
    <row r="7710" spans="1:5">
      <c r="A7710">
        <v>10612</v>
      </c>
      <c r="B7710" t="s">
        <v>176</v>
      </c>
      <c r="C7710">
        <v>1360</v>
      </c>
      <c r="D7710">
        <v>40</v>
      </c>
      <c r="E7710" s="80">
        <v>35639</v>
      </c>
    </row>
    <row r="7711" spans="1:5">
      <c r="A7711">
        <v>10612</v>
      </c>
      <c r="B7711" t="s">
        <v>177</v>
      </c>
      <c r="C7711">
        <v>1360</v>
      </c>
      <c r="D7711">
        <v>40</v>
      </c>
      <c r="E7711" s="80">
        <v>35639</v>
      </c>
    </row>
    <row r="7712" spans="1:5">
      <c r="A7712">
        <v>10612</v>
      </c>
      <c r="B7712" t="s">
        <v>178</v>
      </c>
      <c r="C7712">
        <v>1360</v>
      </c>
      <c r="D7712">
        <v>40</v>
      </c>
      <c r="E7712" s="80">
        <v>35639</v>
      </c>
    </row>
    <row r="7713" spans="1:5">
      <c r="A7713">
        <v>10612</v>
      </c>
      <c r="B7713" t="s">
        <v>179</v>
      </c>
      <c r="C7713">
        <v>1360</v>
      </c>
      <c r="D7713">
        <v>40</v>
      </c>
      <c r="E7713" s="80">
        <v>35639</v>
      </c>
    </row>
    <row r="7714" spans="1:5">
      <c r="A7714">
        <v>10612</v>
      </c>
      <c r="B7714" t="s">
        <v>172</v>
      </c>
      <c r="C7714">
        <v>1440</v>
      </c>
      <c r="D7714">
        <v>80</v>
      </c>
      <c r="E7714" s="80">
        <v>35639</v>
      </c>
    </row>
    <row r="7715" spans="1:5">
      <c r="A7715">
        <v>10612</v>
      </c>
      <c r="B7715" t="s">
        <v>173</v>
      </c>
      <c r="C7715">
        <v>1440</v>
      </c>
      <c r="D7715">
        <v>80</v>
      </c>
      <c r="E7715" s="80">
        <v>35639</v>
      </c>
    </row>
    <row r="7716" spans="1:5">
      <c r="A7716">
        <v>10612</v>
      </c>
      <c r="B7716" t="s">
        <v>174</v>
      </c>
      <c r="C7716">
        <v>1440</v>
      </c>
      <c r="D7716">
        <v>80</v>
      </c>
      <c r="E7716" s="80">
        <v>35639</v>
      </c>
    </row>
    <row r="7717" spans="1:5">
      <c r="A7717">
        <v>10612</v>
      </c>
      <c r="B7717" t="s">
        <v>175</v>
      </c>
      <c r="C7717">
        <v>1440</v>
      </c>
      <c r="D7717">
        <v>80</v>
      </c>
      <c r="E7717" s="80">
        <v>35639</v>
      </c>
    </row>
    <row r="7718" spans="1:5">
      <c r="A7718">
        <v>10612</v>
      </c>
      <c r="B7718" t="s">
        <v>176</v>
      </c>
      <c r="C7718">
        <v>1440</v>
      </c>
      <c r="D7718">
        <v>80</v>
      </c>
      <c r="E7718" s="80">
        <v>35639</v>
      </c>
    </row>
    <row r="7719" spans="1:5">
      <c r="A7719">
        <v>10612</v>
      </c>
      <c r="B7719" t="s">
        <v>177</v>
      </c>
      <c r="C7719">
        <v>1440</v>
      </c>
      <c r="D7719">
        <v>80</v>
      </c>
      <c r="E7719" s="80">
        <v>35639</v>
      </c>
    </row>
    <row r="7720" spans="1:5">
      <c r="A7720">
        <v>10612</v>
      </c>
      <c r="B7720" t="s">
        <v>178</v>
      </c>
      <c r="C7720">
        <v>1440</v>
      </c>
      <c r="D7720">
        <v>80</v>
      </c>
      <c r="E7720" s="80">
        <v>35639</v>
      </c>
    </row>
    <row r="7721" spans="1:5">
      <c r="A7721">
        <v>10612</v>
      </c>
      <c r="B7721" t="s">
        <v>179</v>
      </c>
      <c r="C7721">
        <v>1440</v>
      </c>
      <c r="D7721">
        <v>80</v>
      </c>
      <c r="E7721" s="80">
        <v>35639</v>
      </c>
    </row>
    <row r="7722" spans="1:5">
      <c r="A7722">
        <v>10613</v>
      </c>
      <c r="B7722" t="s">
        <v>172</v>
      </c>
      <c r="C7722">
        <v>43.199999928474426</v>
      </c>
      <c r="D7722">
        <v>8</v>
      </c>
      <c r="E7722" s="80">
        <v>35640</v>
      </c>
    </row>
    <row r="7723" spans="1:5">
      <c r="A7723">
        <v>10613</v>
      </c>
      <c r="B7723" t="s">
        <v>173</v>
      </c>
      <c r="C7723">
        <v>43.199999928474426</v>
      </c>
      <c r="D7723">
        <v>8</v>
      </c>
      <c r="E7723" s="80">
        <v>35640</v>
      </c>
    </row>
    <row r="7724" spans="1:5">
      <c r="A7724">
        <v>10613</v>
      </c>
      <c r="B7724" t="s">
        <v>174</v>
      </c>
      <c r="C7724">
        <v>43.199999928474426</v>
      </c>
      <c r="D7724">
        <v>8</v>
      </c>
      <c r="E7724" s="80">
        <v>35640</v>
      </c>
    </row>
    <row r="7725" spans="1:5">
      <c r="A7725">
        <v>10613</v>
      </c>
      <c r="B7725" t="s">
        <v>175</v>
      </c>
      <c r="C7725">
        <v>43.199999928474426</v>
      </c>
      <c r="D7725">
        <v>8</v>
      </c>
      <c r="E7725" s="80">
        <v>35640</v>
      </c>
    </row>
    <row r="7726" spans="1:5">
      <c r="A7726">
        <v>10613</v>
      </c>
      <c r="B7726" t="s">
        <v>176</v>
      </c>
      <c r="C7726">
        <v>43.199999928474426</v>
      </c>
      <c r="D7726">
        <v>8</v>
      </c>
      <c r="E7726" s="80">
        <v>35640</v>
      </c>
    </row>
    <row r="7727" spans="1:5">
      <c r="A7727">
        <v>10613</v>
      </c>
      <c r="B7727" t="s">
        <v>177</v>
      </c>
      <c r="C7727">
        <v>43.199999928474426</v>
      </c>
      <c r="D7727">
        <v>8</v>
      </c>
      <c r="E7727" s="80">
        <v>35640</v>
      </c>
    </row>
    <row r="7728" spans="1:5">
      <c r="A7728">
        <v>10613</v>
      </c>
      <c r="B7728" t="s">
        <v>178</v>
      </c>
      <c r="C7728">
        <v>43.199999928474426</v>
      </c>
      <c r="D7728">
        <v>8</v>
      </c>
      <c r="E7728" s="80">
        <v>35640</v>
      </c>
    </row>
    <row r="7729" spans="1:5">
      <c r="A7729">
        <v>10613</v>
      </c>
      <c r="B7729" t="s">
        <v>179</v>
      </c>
      <c r="C7729">
        <v>43.199999928474426</v>
      </c>
      <c r="D7729">
        <v>8</v>
      </c>
      <c r="E7729" s="80">
        <v>35640</v>
      </c>
    </row>
    <row r="7730" spans="1:5">
      <c r="A7730">
        <v>10613</v>
      </c>
      <c r="B7730" t="s">
        <v>172</v>
      </c>
      <c r="C7730">
        <v>310</v>
      </c>
      <c r="D7730">
        <v>40</v>
      </c>
      <c r="E7730" s="80">
        <v>35640</v>
      </c>
    </row>
    <row r="7731" spans="1:5">
      <c r="A7731">
        <v>10613</v>
      </c>
      <c r="B7731" t="s">
        <v>173</v>
      </c>
      <c r="C7731">
        <v>310</v>
      </c>
      <c r="D7731">
        <v>40</v>
      </c>
      <c r="E7731" s="80">
        <v>35640</v>
      </c>
    </row>
    <row r="7732" spans="1:5">
      <c r="A7732">
        <v>10613</v>
      </c>
      <c r="B7732" t="s">
        <v>174</v>
      </c>
      <c r="C7732">
        <v>310</v>
      </c>
      <c r="D7732">
        <v>40</v>
      </c>
      <c r="E7732" s="80">
        <v>35640</v>
      </c>
    </row>
    <row r="7733" spans="1:5">
      <c r="A7733">
        <v>10613</v>
      </c>
      <c r="B7733" t="s">
        <v>175</v>
      </c>
      <c r="C7733">
        <v>310</v>
      </c>
      <c r="D7733">
        <v>40</v>
      </c>
      <c r="E7733" s="80">
        <v>35640</v>
      </c>
    </row>
    <row r="7734" spans="1:5">
      <c r="A7734">
        <v>10613</v>
      </c>
      <c r="B7734" t="s">
        <v>176</v>
      </c>
      <c r="C7734">
        <v>310</v>
      </c>
      <c r="D7734">
        <v>40</v>
      </c>
      <c r="E7734" s="80">
        <v>35640</v>
      </c>
    </row>
    <row r="7735" spans="1:5">
      <c r="A7735">
        <v>10613</v>
      </c>
      <c r="B7735" t="s">
        <v>177</v>
      </c>
      <c r="C7735">
        <v>310</v>
      </c>
      <c r="D7735">
        <v>40</v>
      </c>
      <c r="E7735" s="80">
        <v>35640</v>
      </c>
    </row>
    <row r="7736" spans="1:5">
      <c r="A7736">
        <v>10613</v>
      </c>
      <c r="B7736" t="s">
        <v>178</v>
      </c>
      <c r="C7736">
        <v>310</v>
      </c>
      <c r="D7736">
        <v>40</v>
      </c>
      <c r="E7736" s="80">
        <v>35640</v>
      </c>
    </row>
    <row r="7737" spans="1:5">
      <c r="A7737">
        <v>10613</v>
      </c>
      <c r="B7737" t="s">
        <v>179</v>
      </c>
      <c r="C7737">
        <v>310</v>
      </c>
      <c r="D7737">
        <v>40</v>
      </c>
      <c r="E7737" s="80">
        <v>35640</v>
      </c>
    </row>
    <row r="7738" spans="1:5">
      <c r="A7738">
        <v>10614</v>
      </c>
      <c r="B7738" t="s">
        <v>172</v>
      </c>
      <c r="C7738">
        <v>294</v>
      </c>
      <c r="D7738">
        <v>14</v>
      </c>
      <c r="E7738" s="80">
        <v>35640</v>
      </c>
    </row>
    <row r="7739" spans="1:5">
      <c r="A7739">
        <v>10614</v>
      </c>
      <c r="B7739" t="s">
        <v>173</v>
      </c>
      <c r="C7739">
        <v>294</v>
      </c>
      <c r="D7739">
        <v>14</v>
      </c>
      <c r="E7739" s="80">
        <v>35640</v>
      </c>
    </row>
    <row r="7740" spans="1:5">
      <c r="A7740">
        <v>10614</v>
      </c>
      <c r="B7740" t="s">
        <v>174</v>
      </c>
      <c r="C7740">
        <v>294</v>
      </c>
      <c r="D7740">
        <v>14</v>
      </c>
      <c r="E7740" s="80">
        <v>35640</v>
      </c>
    </row>
    <row r="7741" spans="1:5">
      <c r="A7741">
        <v>10614</v>
      </c>
      <c r="B7741" t="s">
        <v>175</v>
      </c>
      <c r="C7741">
        <v>294</v>
      </c>
      <c r="D7741">
        <v>14</v>
      </c>
      <c r="E7741" s="80">
        <v>35640</v>
      </c>
    </row>
    <row r="7742" spans="1:5">
      <c r="A7742">
        <v>10614</v>
      </c>
      <c r="B7742" t="s">
        <v>176</v>
      </c>
      <c r="C7742">
        <v>294</v>
      </c>
      <c r="D7742">
        <v>14</v>
      </c>
      <c r="E7742" s="80">
        <v>35640</v>
      </c>
    </row>
    <row r="7743" spans="1:5">
      <c r="A7743">
        <v>10614</v>
      </c>
      <c r="B7743" t="s">
        <v>177</v>
      </c>
      <c r="C7743">
        <v>294</v>
      </c>
      <c r="D7743">
        <v>14</v>
      </c>
      <c r="E7743" s="80">
        <v>35640</v>
      </c>
    </row>
    <row r="7744" spans="1:5">
      <c r="A7744">
        <v>10614</v>
      </c>
      <c r="B7744" t="s">
        <v>178</v>
      </c>
      <c r="C7744">
        <v>294</v>
      </c>
      <c r="D7744">
        <v>14</v>
      </c>
      <c r="E7744" s="80">
        <v>35640</v>
      </c>
    </row>
    <row r="7745" spans="1:5">
      <c r="A7745">
        <v>10614</v>
      </c>
      <c r="B7745" t="s">
        <v>179</v>
      </c>
      <c r="C7745">
        <v>294</v>
      </c>
      <c r="D7745">
        <v>14</v>
      </c>
      <c r="E7745" s="80">
        <v>35640</v>
      </c>
    </row>
    <row r="7746" spans="1:5">
      <c r="A7746">
        <v>10614</v>
      </c>
      <c r="B7746" t="s">
        <v>172</v>
      </c>
      <c r="C7746">
        <v>80</v>
      </c>
      <c r="D7746">
        <v>8</v>
      </c>
      <c r="E7746" s="80">
        <v>35640</v>
      </c>
    </row>
    <row r="7747" spans="1:5">
      <c r="A7747">
        <v>10614</v>
      </c>
      <c r="B7747" t="s">
        <v>173</v>
      </c>
      <c r="C7747">
        <v>80</v>
      </c>
      <c r="D7747">
        <v>8</v>
      </c>
      <c r="E7747" s="80">
        <v>35640</v>
      </c>
    </row>
    <row r="7748" spans="1:5">
      <c r="A7748">
        <v>10614</v>
      </c>
      <c r="B7748" t="s">
        <v>174</v>
      </c>
      <c r="C7748">
        <v>80</v>
      </c>
      <c r="D7748">
        <v>8</v>
      </c>
      <c r="E7748" s="80">
        <v>35640</v>
      </c>
    </row>
    <row r="7749" spans="1:5">
      <c r="A7749">
        <v>10614</v>
      </c>
      <c r="B7749" t="s">
        <v>175</v>
      </c>
      <c r="C7749">
        <v>80</v>
      </c>
      <c r="D7749">
        <v>8</v>
      </c>
      <c r="E7749" s="80">
        <v>35640</v>
      </c>
    </row>
    <row r="7750" spans="1:5">
      <c r="A7750">
        <v>10614</v>
      </c>
      <c r="B7750" t="s">
        <v>176</v>
      </c>
      <c r="C7750">
        <v>80</v>
      </c>
      <c r="D7750">
        <v>8</v>
      </c>
      <c r="E7750" s="80">
        <v>35640</v>
      </c>
    </row>
    <row r="7751" spans="1:5">
      <c r="A7751">
        <v>10614</v>
      </c>
      <c r="B7751" t="s">
        <v>177</v>
      </c>
      <c r="C7751">
        <v>80</v>
      </c>
      <c r="D7751">
        <v>8</v>
      </c>
      <c r="E7751" s="80">
        <v>35640</v>
      </c>
    </row>
    <row r="7752" spans="1:5">
      <c r="A7752">
        <v>10614</v>
      </c>
      <c r="B7752" t="s">
        <v>178</v>
      </c>
      <c r="C7752">
        <v>80</v>
      </c>
      <c r="D7752">
        <v>8</v>
      </c>
      <c r="E7752" s="80">
        <v>35640</v>
      </c>
    </row>
    <row r="7753" spans="1:5">
      <c r="A7753">
        <v>10614</v>
      </c>
      <c r="B7753" t="s">
        <v>179</v>
      </c>
      <c r="C7753">
        <v>80</v>
      </c>
      <c r="D7753">
        <v>8</v>
      </c>
      <c r="E7753" s="80">
        <v>35640</v>
      </c>
    </row>
    <row r="7754" spans="1:5">
      <c r="A7754">
        <v>10614</v>
      </c>
      <c r="B7754" t="s">
        <v>172</v>
      </c>
      <c r="C7754">
        <v>90</v>
      </c>
      <c r="D7754">
        <v>5</v>
      </c>
      <c r="E7754" s="80">
        <v>35640</v>
      </c>
    </row>
    <row r="7755" spans="1:5">
      <c r="A7755">
        <v>10614</v>
      </c>
      <c r="B7755" t="s">
        <v>173</v>
      </c>
      <c r="C7755">
        <v>90</v>
      </c>
      <c r="D7755">
        <v>5</v>
      </c>
      <c r="E7755" s="80">
        <v>35640</v>
      </c>
    </row>
    <row r="7756" spans="1:5">
      <c r="A7756">
        <v>10614</v>
      </c>
      <c r="B7756" t="s">
        <v>174</v>
      </c>
      <c r="C7756">
        <v>90</v>
      </c>
      <c r="D7756">
        <v>5</v>
      </c>
      <c r="E7756" s="80">
        <v>35640</v>
      </c>
    </row>
    <row r="7757" spans="1:5">
      <c r="A7757">
        <v>10614</v>
      </c>
      <c r="B7757" t="s">
        <v>175</v>
      </c>
      <c r="C7757">
        <v>90</v>
      </c>
      <c r="D7757">
        <v>5</v>
      </c>
      <c r="E7757" s="80">
        <v>35640</v>
      </c>
    </row>
    <row r="7758" spans="1:5">
      <c r="A7758">
        <v>10614</v>
      </c>
      <c r="B7758" t="s">
        <v>176</v>
      </c>
      <c r="C7758">
        <v>90</v>
      </c>
      <c r="D7758">
        <v>5</v>
      </c>
      <c r="E7758" s="80">
        <v>35640</v>
      </c>
    </row>
    <row r="7759" spans="1:5">
      <c r="A7759">
        <v>10614</v>
      </c>
      <c r="B7759" t="s">
        <v>177</v>
      </c>
      <c r="C7759">
        <v>90</v>
      </c>
      <c r="D7759">
        <v>5</v>
      </c>
      <c r="E7759" s="80">
        <v>35640</v>
      </c>
    </row>
    <row r="7760" spans="1:5">
      <c r="A7760">
        <v>10614</v>
      </c>
      <c r="B7760" t="s">
        <v>178</v>
      </c>
      <c r="C7760">
        <v>90</v>
      </c>
      <c r="D7760">
        <v>5</v>
      </c>
      <c r="E7760" s="80">
        <v>35640</v>
      </c>
    </row>
    <row r="7761" spans="1:5">
      <c r="A7761">
        <v>10614</v>
      </c>
      <c r="B7761" t="s">
        <v>179</v>
      </c>
      <c r="C7761">
        <v>90</v>
      </c>
      <c r="D7761">
        <v>5</v>
      </c>
      <c r="E7761" s="80">
        <v>35640</v>
      </c>
    </row>
    <row r="7762" spans="1:5">
      <c r="A7762">
        <v>10615</v>
      </c>
      <c r="B7762" t="s">
        <v>172</v>
      </c>
      <c r="C7762">
        <v>120</v>
      </c>
      <c r="D7762">
        <v>5</v>
      </c>
      <c r="E7762" s="80">
        <v>35641</v>
      </c>
    </row>
    <row r="7763" spans="1:5">
      <c r="A7763">
        <v>10615</v>
      </c>
      <c r="B7763" t="s">
        <v>173</v>
      </c>
      <c r="C7763">
        <v>120</v>
      </c>
      <c r="D7763">
        <v>5</v>
      </c>
      <c r="E7763" s="80">
        <v>35641</v>
      </c>
    </row>
    <row r="7764" spans="1:5">
      <c r="A7764">
        <v>10615</v>
      </c>
      <c r="B7764" t="s">
        <v>174</v>
      </c>
      <c r="C7764">
        <v>120</v>
      </c>
      <c r="D7764">
        <v>5</v>
      </c>
      <c r="E7764" s="80">
        <v>35641</v>
      </c>
    </row>
    <row r="7765" spans="1:5">
      <c r="A7765">
        <v>10615</v>
      </c>
      <c r="B7765" t="s">
        <v>175</v>
      </c>
      <c r="C7765">
        <v>120</v>
      </c>
      <c r="D7765">
        <v>5</v>
      </c>
      <c r="E7765" s="80">
        <v>35641</v>
      </c>
    </row>
    <row r="7766" spans="1:5">
      <c r="A7766">
        <v>10615</v>
      </c>
      <c r="B7766" t="s">
        <v>176</v>
      </c>
      <c r="C7766">
        <v>120</v>
      </c>
      <c r="D7766">
        <v>5</v>
      </c>
      <c r="E7766" s="80">
        <v>35641</v>
      </c>
    </row>
    <row r="7767" spans="1:5">
      <c r="A7767">
        <v>10615</v>
      </c>
      <c r="B7767" t="s">
        <v>177</v>
      </c>
      <c r="C7767">
        <v>120</v>
      </c>
      <c r="D7767">
        <v>5</v>
      </c>
      <c r="E7767" s="80">
        <v>35641</v>
      </c>
    </row>
    <row r="7768" spans="1:5">
      <c r="A7768">
        <v>10615</v>
      </c>
      <c r="B7768" t="s">
        <v>178</v>
      </c>
      <c r="C7768">
        <v>120</v>
      </c>
      <c r="D7768">
        <v>5</v>
      </c>
      <c r="E7768" s="80">
        <v>35641</v>
      </c>
    </row>
    <row r="7769" spans="1:5">
      <c r="A7769">
        <v>10615</v>
      </c>
      <c r="B7769" t="s">
        <v>179</v>
      </c>
      <c r="C7769">
        <v>120</v>
      </c>
      <c r="D7769">
        <v>5</v>
      </c>
      <c r="E7769" s="80">
        <v>35641</v>
      </c>
    </row>
    <row r="7770" spans="1:5">
      <c r="A7770">
        <v>10616</v>
      </c>
      <c r="B7770" t="s">
        <v>172</v>
      </c>
      <c r="C7770">
        <v>3754.874997055158</v>
      </c>
      <c r="D7770">
        <v>15</v>
      </c>
      <c r="E7770" s="80">
        <v>35642</v>
      </c>
    </row>
    <row r="7771" spans="1:5">
      <c r="A7771">
        <v>10616</v>
      </c>
      <c r="B7771" t="s">
        <v>173</v>
      </c>
      <c r="C7771">
        <v>3754.874997055158</v>
      </c>
      <c r="D7771">
        <v>15</v>
      </c>
      <c r="E7771" s="80">
        <v>35642</v>
      </c>
    </row>
    <row r="7772" spans="1:5">
      <c r="A7772">
        <v>10616</v>
      </c>
      <c r="B7772" t="s">
        <v>174</v>
      </c>
      <c r="C7772">
        <v>3754.874997055158</v>
      </c>
      <c r="D7772">
        <v>15</v>
      </c>
      <c r="E7772" s="80">
        <v>35642</v>
      </c>
    </row>
    <row r="7773" spans="1:5">
      <c r="A7773">
        <v>10616</v>
      </c>
      <c r="B7773" t="s">
        <v>175</v>
      </c>
      <c r="C7773">
        <v>3754.874997055158</v>
      </c>
      <c r="D7773">
        <v>15</v>
      </c>
      <c r="E7773" s="80">
        <v>35642</v>
      </c>
    </row>
    <row r="7774" spans="1:5">
      <c r="A7774">
        <v>10616</v>
      </c>
      <c r="B7774" t="s">
        <v>176</v>
      </c>
      <c r="C7774">
        <v>3754.874997055158</v>
      </c>
      <c r="D7774">
        <v>15</v>
      </c>
      <c r="E7774" s="80">
        <v>35642</v>
      </c>
    </row>
    <row r="7775" spans="1:5">
      <c r="A7775">
        <v>10616</v>
      </c>
      <c r="B7775" t="s">
        <v>177</v>
      </c>
      <c r="C7775">
        <v>3754.874997055158</v>
      </c>
      <c r="D7775">
        <v>15</v>
      </c>
      <c r="E7775" s="80">
        <v>35642</v>
      </c>
    </row>
    <row r="7776" spans="1:5">
      <c r="A7776">
        <v>10616</v>
      </c>
      <c r="B7776" t="s">
        <v>178</v>
      </c>
      <c r="C7776">
        <v>3754.874997055158</v>
      </c>
      <c r="D7776">
        <v>15</v>
      </c>
      <c r="E7776" s="80">
        <v>35642</v>
      </c>
    </row>
    <row r="7777" spans="1:5">
      <c r="A7777">
        <v>10616</v>
      </c>
      <c r="B7777" t="s">
        <v>179</v>
      </c>
      <c r="C7777">
        <v>3754.874997055158</v>
      </c>
      <c r="D7777">
        <v>15</v>
      </c>
      <c r="E7777" s="80">
        <v>35642</v>
      </c>
    </row>
    <row r="7778" spans="1:5">
      <c r="A7778">
        <v>10616</v>
      </c>
      <c r="B7778" t="s">
        <v>172</v>
      </c>
      <c r="C7778">
        <v>532</v>
      </c>
      <c r="D7778">
        <v>14</v>
      </c>
      <c r="E7778" s="80">
        <v>35642</v>
      </c>
    </row>
    <row r="7779" spans="1:5">
      <c r="A7779">
        <v>10616</v>
      </c>
      <c r="B7779" t="s">
        <v>173</v>
      </c>
      <c r="C7779">
        <v>532</v>
      </c>
      <c r="D7779">
        <v>14</v>
      </c>
      <c r="E7779" s="80">
        <v>35642</v>
      </c>
    </row>
    <row r="7780" spans="1:5">
      <c r="A7780">
        <v>10616</v>
      </c>
      <c r="B7780" t="s">
        <v>174</v>
      </c>
      <c r="C7780">
        <v>532</v>
      </c>
      <c r="D7780">
        <v>14</v>
      </c>
      <c r="E7780" s="80">
        <v>35642</v>
      </c>
    </row>
    <row r="7781" spans="1:5">
      <c r="A7781">
        <v>10616</v>
      </c>
      <c r="B7781" t="s">
        <v>175</v>
      </c>
      <c r="C7781">
        <v>532</v>
      </c>
      <c r="D7781">
        <v>14</v>
      </c>
      <c r="E7781" s="80">
        <v>35642</v>
      </c>
    </row>
    <row r="7782" spans="1:5">
      <c r="A7782">
        <v>10616</v>
      </c>
      <c r="B7782" t="s">
        <v>176</v>
      </c>
      <c r="C7782">
        <v>532</v>
      </c>
      <c r="D7782">
        <v>14</v>
      </c>
      <c r="E7782" s="80">
        <v>35642</v>
      </c>
    </row>
    <row r="7783" spans="1:5">
      <c r="A7783">
        <v>10616</v>
      </c>
      <c r="B7783" t="s">
        <v>177</v>
      </c>
      <c r="C7783">
        <v>532</v>
      </c>
      <c r="D7783">
        <v>14</v>
      </c>
      <c r="E7783" s="80">
        <v>35642</v>
      </c>
    </row>
    <row r="7784" spans="1:5">
      <c r="A7784">
        <v>10616</v>
      </c>
      <c r="B7784" t="s">
        <v>178</v>
      </c>
      <c r="C7784">
        <v>532</v>
      </c>
      <c r="D7784">
        <v>14</v>
      </c>
      <c r="E7784" s="80">
        <v>35642</v>
      </c>
    </row>
    <row r="7785" spans="1:5">
      <c r="A7785">
        <v>10616</v>
      </c>
      <c r="B7785" t="s">
        <v>179</v>
      </c>
      <c r="C7785">
        <v>532</v>
      </c>
      <c r="D7785">
        <v>14</v>
      </c>
      <c r="E7785" s="80">
        <v>35642</v>
      </c>
    </row>
    <row r="7786" spans="1:5">
      <c r="A7786">
        <v>10616</v>
      </c>
      <c r="B7786" t="s">
        <v>172</v>
      </c>
      <c r="C7786">
        <v>213.74999983236194</v>
      </c>
      <c r="D7786">
        <v>15</v>
      </c>
      <c r="E7786" s="80">
        <v>35642</v>
      </c>
    </row>
    <row r="7787" spans="1:5">
      <c r="A7787">
        <v>10616</v>
      </c>
      <c r="B7787" t="s">
        <v>173</v>
      </c>
      <c r="C7787">
        <v>213.74999983236194</v>
      </c>
      <c r="D7787">
        <v>15</v>
      </c>
      <c r="E7787" s="80">
        <v>35642</v>
      </c>
    </row>
    <row r="7788" spans="1:5">
      <c r="A7788">
        <v>10616</v>
      </c>
      <c r="B7788" t="s">
        <v>174</v>
      </c>
      <c r="C7788">
        <v>213.74999983236194</v>
      </c>
      <c r="D7788">
        <v>15</v>
      </c>
      <c r="E7788" s="80">
        <v>35642</v>
      </c>
    </row>
    <row r="7789" spans="1:5">
      <c r="A7789">
        <v>10616</v>
      </c>
      <c r="B7789" t="s">
        <v>175</v>
      </c>
      <c r="C7789">
        <v>213.74999983236194</v>
      </c>
      <c r="D7789">
        <v>15</v>
      </c>
      <c r="E7789" s="80">
        <v>35642</v>
      </c>
    </row>
    <row r="7790" spans="1:5">
      <c r="A7790">
        <v>10616</v>
      </c>
      <c r="B7790" t="s">
        <v>176</v>
      </c>
      <c r="C7790">
        <v>213.74999983236194</v>
      </c>
      <c r="D7790">
        <v>15</v>
      </c>
      <c r="E7790" s="80">
        <v>35642</v>
      </c>
    </row>
    <row r="7791" spans="1:5">
      <c r="A7791">
        <v>10616</v>
      </c>
      <c r="B7791" t="s">
        <v>177</v>
      </c>
      <c r="C7791">
        <v>213.74999983236194</v>
      </c>
      <c r="D7791">
        <v>15</v>
      </c>
      <c r="E7791" s="80">
        <v>35642</v>
      </c>
    </row>
    <row r="7792" spans="1:5">
      <c r="A7792">
        <v>10616</v>
      </c>
      <c r="B7792" t="s">
        <v>178</v>
      </c>
      <c r="C7792">
        <v>213.74999983236194</v>
      </c>
      <c r="D7792">
        <v>15</v>
      </c>
      <c r="E7792" s="80">
        <v>35642</v>
      </c>
    </row>
    <row r="7793" spans="1:5">
      <c r="A7793">
        <v>10616</v>
      </c>
      <c r="B7793" t="s">
        <v>179</v>
      </c>
      <c r="C7793">
        <v>213.74999983236194</v>
      </c>
      <c r="D7793">
        <v>15</v>
      </c>
      <c r="E7793" s="80">
        <v>35642</v>
      </c>
    </row>
    <row r="7794" spans="1:5">
      <c r="A7794">
        <v>10616</v>
      </c>
      <c r="B7794" t="s">
        <v>172</v>
      </c>
      <c r="C7794">
        <v>306.37499975971878</v>
      </c>
      <c r="D7794">
        <v>15</v>
      </c>
      <c r="E7794" s="80">
        <v>35642</v>
      </c>
    </row>
    <row r="7795" spans="1:5">
      <c r="A7795">
        <v>10616</v>
      </c>
      <c r="B7795" t="s">
        <v>173</v>
      </c>
      <c r="C7795">
        <v>306.37499975971878</v>
      </c>
      <c r="D7795">
        <v>15</v>
      </c>
      <c r="E7795" s="80">
        <v>35642</v>
      </c>
    </row>
    <row r="7796" spans="1:5">
      <c r="A7796">
        <v>10616</v>
      </c>
      <c r="B7796" t="s">
        <v>174</v>
      </c>
      <c r="C7796">
        <v>306.37499975971878</v>
      </c>
      <c r="D7796">
        <v>15</v>
      </c>
      <c r="E7796" s="80">
        <v>35642</v>
      </c>
    </row>
    <row r="7797" spans="1:5">
      <c r="A7797">
        <v>10616</v>
      </c>
      <c r="B7797" t="s">
        <v>175</v>
      </c>
      <c r="C7797">
        <v>306.37499975971878</v>
      </c>
      <c r="D7797">
        <v>15</v>
      </c>
      <c r="E7797" s="80">
        <v>35642</v>
      </c>
    </row>
    <row r="7798" spans="1:5">
      <c r="A7798">
        <v>10616</v>
      </c>
      <c r="B7798" t="s">
        <v>176</v>
      </c>
      <c r="C7798">
        <v>306.37499975971878</v>
      </c>
      <c r="D7798">
        <v>15</v>
      </c>
      <c r="E7798" s="80">
        <v>35642</v>
      </c>
    </row>
    <row r="7799" spans="1:5">
      <c r="A7799">
        <v>10616</v>
      </c>
      <c r="B7799" t="s">
        <v>177</v>
      </c>
      <c r="C7799">
        <v>306.37499975971878</v>
      </c>
      <c r="D7799">
        <v>15</v>
      </c>
      <c r="E7799" s="80">
        <v>35642</v>
      </c>
    </row>
    <row r="7800" spans="1:5">
      <c r="A7800">
        <v>10616</v>
      </c>
      <c r="B7800" t="s">
        <v>178</v>
      </c>
      <c r="C7800">
        <v>306.37499975971878</v>
      </c>
      <c r="D7800">
        <v>15</v>
      </c>
      <c r="E7800" s="80">
        <v>35642</v>
      </c>
    </row>
    <row r="7801" spans="1:5">
      <c r="A7801">
        <v>10616</v>
      </c>
      <c r="B7801" t="s">
        <v>179</v>
      </c>
      <c r="C7801">
        <v>306.37499975971878</v>
      </c>
      <c r="D7801">
        <v>15</v>
      </c>
      <c r="E7801" s="80">
        <v>35642</v>
      </c>
    </row>
    <row r="7802" spans="1:5">
      <c r="A7802">
        <v>10617</v>
      </c>
      <c r="B7802" t="s">
        <v>172</v>
      </c>
      <c r="C7802">
        <v>1402.4999901652336</v>
      </c>
      <c r="D7802">
        <v>30</v>
      </c>
      <c r="E7802" s="80">
        <v>35642</v>
      </c>
    </row>
    <row r="7803" spans="1:5">
      <c r="A7803">
        <v>10617</v>
      </c>
      <c r="B7803" t="s">
        <v>173</v>
      </c>
      <c r="C7803">
        <v>1402.4999901652336</v>
      </c>
      <c r="D7803">
        <v>30</v>
      </c>
      <c r="E7803" s="80">
        <v>35642</v>
      </c>
    </row>
    <row r="7804" spans="1:5">
      <c r="A7804">
        <v>10617</v>
      </c>
      <c r="B7804" t="s">
        <v>174</v>
      </c>
      <c r="C7804">
        <v>1402.4999901652336</v>
      </c>
      <c r="D7804">
        <v>30</v>
      </c>
      <c r="E7804" s="80">
        <v>35642</v>
      </c>
    </row>
    <row r="7805" spans="1:5">
      <c r="A7805">
        <v>10617</v>
      </c>
      <c r="B7805" t="s">
        <v>175</v>
      </c>
      <c r="C7805">
        <v>1402.4999901652336</v>
      </c>
      <c r="D7805">
        <v>30</v>
      </c>
      <c r="E7805" s="80">
        <v>35642</v>
      </c>
    </row>
    <row r="7806" spans="1:5">
      <c r="A7806">
        <v>10617</v>
      </c>
      <c r="B7806" t="s">
        <v>176</v>
      </c>
      <c r="C7806">
        <v>1402.4999901652336</v>
      </c>
      <c r="D7806">
        <v>30</v>
      </c>
      <c r="E7806" s="80">
        <v>35642</v>
      </c>
    </row>
    <row r="7807" spans="1:5">
      <c r="A7807">
        <v>10617</v>
      </c>
      <c r="B7807" t="s">
        <v>177</v>
      </c>
      <c r="C7807">
        <v>1402.4999901652336</v>
      </c>
      <c r="D7807">
        <v>30</v>
      </c>
      <c r="E7807" s="80">
        <v>35642</v>
      </c>
    </row>
    <row r="7808" spans="1:5">
      <c r="A7808">
        <v>10617</v>
      </c>
      <c r="B7808" t="s">
        <v>178</v>
      </c>
      <c r="C7808">
        <v>1402.4999901652336</v>
      </c>
      <c r="D7808">
        <v>30</v>
      </c>
      <c r="E7808" s="80">
        <v>35642</v>
      </c>
    </row>
    <row r="7809" spans="1:5">
      <c r="A7809">
        <v>10617</v>
      </c>
      <c r="B7809" t="s">
        <v>179</v>
      </c>
      <c r="C7809">
        <v>1402.4999901652336</v>
      </c>
      <c r="D7809">
        <v>30</v>
      </c>
      <c r="E7809" s="80">
        <v>35642</v>
      </c>
    </row>
    <row r="7810" spans="1:5">
      <c r="A7810">
        <v>10618</v>
      </c>
      <c r="B7810" t="s">
        <v>172</v>
      </c>
      <c r="C7810">
        <v>1750</v>
      </c>
      <c r="D7810">
        <v>70</v>
      </c>
      <c r="E7810" s="80">
        <v>35643</v>
      </c>
    </row>
    <row r="7811" spans="1:5">
      <c r="A7811">
        <v>10618</v>
      </c>
      <c r="B7811" t="s">
        <v>173</v>
      </c>
      <c r="C7811">
        <v>1750</v>
      </c>
      <c r="D7811">
        <v>70</v>
      </c>
      <c r="E7811" s="80">
        <v>35643</v>
      </c>
    </row>
    <row r="7812" spans="1:5">
      <c r="A7812">
        <v>10618</v>
      </c>
      <c r="B7812" t="s">
        <v>174</v>
      </c>
      <c r="C7812">
        <v>1750</v>
      </c>
      <c r="D7812">
        <v>70</v>
      </c>
      <c r="E7812" s="80">
        <v>35643</v>
      </c>
    </row>
    <row r="7813" spans="1:5">
      <c r="A7813">
        <v>10618</v>
      </c>
      <c r="B7813" t="s">
        <v>175</v>
      </c>
      <c r="C7813">
        <v>1750</v>
      </c>
      <c r="D7813">
        <v>70</v>
      </c>
      <c r="E7813" s="80">
        <v>35643</v>
      </c>
    </row>
    <row r="7814" spans="1:5">
      <c r="A7814">
        <v>10618</v>
      </c>
      <c r="B7814" t="s">
        <v>176</v>
      </c>
      <c r="C7814">
        <v>1750</v>
      </c>
      <c r="D7814">
        <v>70</v>
      </c>
      <c r="E7814" s="80">
        <v>35643</v>
      </c>
    </row>
    <row r="7815" spans="1:5">
      <c r="A7815">
        <v>10618</v>
      </c>
      <c r="B7815" t="s">
        <v>177</v>
      </c>
      <c r="C7815">
        <v>1750</v>
      </c>
      <c r="D7815">
        <v>70</v>
      </c>
      <c r="E7815" s="80">
        <v>35643</v>
      </c>
    </row>
    <row r="7816" spans="1:5">
      <c r="A7816">
        <v>10618</v>
      </c>
      <c r="B7816" t="s">
        <v>178</v>
      </c>
      <c r="C7816">
        <v>1750</v>
      </c>
      <c r="D7816">
        <v>70</v>
      </c>
      <c r="E7816" s="80">
        <v>35643</v>
      </c>
    </row>
    <row r="7817" spans="1:5">
      <c r="A7817">
        <v>10618</v>
      </c>
      <c r="B7817" t="s">
        <v>179</v>
      </c>
      <c r="C7817">
        <v>1750</v>
      </c>
      <c r="D7817">
        <v>70</v>
      </c>
      <c r="E7817" s="80">
        <v>35643</v>
      </c>
    </row>
    <row r="7818" spans="1:5">
      <c r="A7818">
        <v>10618</v>
      </c>
      <c r="B7818" t="s">
        <v>172</v>
      </c>
      <c r="C7818">
        <v>760</v>
      </c>
      <c r="D7818">
        <v>20</v>
      </c>
      <c r="E7818" s="80">
        <v>35643</v>
      </c>
    </row>
    <row r="7819" spans="1:5">
      <c r="A7819">
        <v>10618</v>
      </c>
      <c r="B7819" t="s">
        <v>173</v>
      </c>
      <c r="C7819">
        <v>760</v>
      </c>
      <c r="D7819">
        <v>20</v>
      </c>
      <c r="E7819" s="80">
        <v>35643</v>
      </c>
    </row>
    <row r="7820" spans="1:5">
      <c r="A7820">
        <v>10618</v>
      </c>
      <c r="B7820" t="s">
        <v>174</v>
      </c>
      <c r="C7820">
        <v>760</v>
      </c>
      <c r="D7820">
        <v>20</v>
      </c>
      <c r="E7820" s="80">
        <v>35643</v>
      </c>
    </row>
    <row r="7821" spans="1:5">
      <c r="A7821">
        <v>10618</v>
      </c>
      <c r="B7821" t="s">
        <v>175</v>
      </c>
      <c r="C7821">
        <v>760</v>
      </c>
      <c r="D7821">
        <v>20</v>
      </c>
      <c r="E7821" s="80">
        <v>35643</v>
      </c>
    </row>
    <row r="7822" spans="1:5">
      <c r="A7822">
        <v>10618</v>
      </c>
      <c r="B7822" t="s">
        <v>176</v>
      </c>
      <c r="C7822">
        <v>760</v>
      </c>
      <c r="D7822">
        <v>20</v>
      </c>
      <c r="E7822" s="80">
        <v>35643</v>
      </c>
    </row>
    <row r="7823" spans="1:5">
      <c r="A7823">
        <v>10618</v>
      </c>
      <c r="B7823" t="s">
        <v>177</v>
      </c>
      <c r="C7823">
        <v>760</v>
      </c>
      <c r="D7823">
        <v>20</v>
      </c>
      <c r="E7823" s="80">
        <v>35643</v>
      </c>
    </row>
    <row r="7824" spans="1:5">
      <c r="A7824">
        <v>10618</v>
      </c>
      <c r="B7824" t="s">
        <v>178</v>
      </c>
      <c r="C7824">
        <v>760</v>
      </c>
      <c r="D7824">
        <v>20</v>
      </c>
      <c r="E7824" s="80">
        <v>35643</v>
      </c>
    </row>
    <row r="7825" spans="1:5">
      <c r="A7825">
        <v>10618</v>
      </c>
      <c r="B7825" t="s">
        <v>179</v>
      </c>
      <c r="C7825">
        <v>760</v>
      </c>
      <c r="D7825">
        <v>20</v>
      </c>
      <c r="E7825" s="80">
        <v>35643</v>
      </c>
    </row>
    <row r="7826" spans="1:5">
      <c r="A7826">
        <v>10618</v>
      </c>
      <c r="B7826" t="s">
        <v>172</v>
      </c>
      <c r="C7826">
        <v>187.5</v>
      </c>
      <c r="D7826">
        <v>15</v>
      </c>
      <c r="E7826" s="80">
        <v>35643</v>
      </c>
    </row>
    <row r="7827" spans="1:5">
      <c r="A7827">
        <v>10618</v>
      </c>
      <c r="B7827" t="s">
        <v>173</v>
      </c>
      <c r="C7827">
        <v>187.5</v>
      </c>
      <c r="D7827">
        <v>15</v>
      </c>
      <c r="E7827" s="80">
        <v>35643</v>
      </c>
    </row>
    <row r="7828" spans="1:5">
      <c r="A7828">
        <v>10618</v>
      </c>
      <c r="B7828" t="s">
        <v>174</v>
      </c>
      <c r="C7828">
        <v>187.5</v>
      </c>
      <c r="D7828">
        <v>15</v>
      </c>
      <c r="E7828" s="80">
        <v>35643</v>
      </c>
    </row>
    <row r="7829" spans="1:5">
      <c r="A7829">
        <v>10618</v>
      </c>
      <c r="B7829" t="s">
        <v>175</v>
      </c>
      <c r="C7829">
        <v>187.5</v>
      </c>
      <c r="D7829">
        <v>15</v>
      </c>
      <c r="E7829" s="80">
        <v>35643</v>
      </c>
    </row>
    <row r="7830" spans="1:5">
      <c r="A7830">
        <v>10618</v>
      </c>
      <c r="B7830" t="s">
        <v>176</v>
      </c>
      <c r="C7830">
        <v>187.5</v>
      </c>
      <c r="D7830">
        <v>15</v>
      </c>
      <c r="E7830" s="80">
        <v>35643</v>
      </c>
    </row>
    <row r="7831" spans="1:5">
      <c r="A7831">
        <v>10618</v>
      </c>
      <c r="B7831" t="s">
        <v>177</v>
      </c>
      <c r="C7831">
        <v>187.5</v>
      </c>
      <c r="D7831">
        <v>15</v>
      </c>
      <c r="E7831" s="80">
        <v>35643</v>
      </c>
    </row>
    <row r="7832" spans="1:5">
      <c r="A7832">
        <v>10618</v>
      </c>
      <c r="B7832" t="s">
        <v>178</v>
      </c>
      <c r="C7832">
        <v>187.5</v>
      </c>
      <c r="D7832">
        <v>15</v>
      </c>
      <c r="E7832" s="80">
        <v>35643</v>
      </c>
    </row>
    <row r="7833" spans="1:5">
      <c r="A7833">
        <v>10618</v>
      </c>
      <c r="B7833" t="s">
        <v>179</v>
      </c>
      <c r="C7833">
        <v>187.5</v>
      </c>
      <c r="D7833">
        <v>15</v>
      </c>
      <c r="E7833" s="80">
        <v>35643</v>
      </c>
    </row>
    <row r="7834" spans="1:5">
      <c r="A7834">
        <v>10619</v>
      </c>
      <c r="B7834" t="s">
        <v>172</v>
      </c>
      <c r="C7834">
        <v>420</v>
      </c>
      <c r="D7834">
        <v>42</v>
      </c>
      <c r="E7834" s="80">
        <v>35646</v>
      </c>
    </row>
    <row r="7835" spans="1:5">
      <c r="A7835">
        <v>10619</v>
      </c>
      <c r="B7835" t="s">
        <v>173</v>
      </c>
      <c r="C7835">
        <v>420</v>
      </c>
      <c r="D7835">
        <v>42</v>
      </c>
      <c r="E7835" s="80">
        <v>35646</v>
      </c>
    </row>
    <row r="7836" spans="1:5">
      <c r="A7836">
        <v>10619</v>
      </c>
      <c r="B7836" t="s">
        <v>174</v>
      </c>
      <c r="C7836">
        <v>420</v>
      </c>
      <c r="D7836">
        <v>42</v>
      </c>
      <c r="E7836" s="80">
        <v>35646</v>
      </c>
    </row>
    <row r="7837" spans="1:5">
      <c r="A7837">
        <v>10619</v>
      </c>
      <c r="B7837" t="s">
        <v>175</v>
      </c>
      <c r="C7837">
        <v>420</v>
      </c>
      <c r="D7837">
        <v>42</v>
      </c>
      <c r="E7837" s="80">
        <v>35646</v>
      </c>
    </row>
    <row r="7838" spans="1:5">
      <c r="A7838">
        <v>10619</v>
      </c>
      <c r="B7838" t="s">
        <v>176</v>
      </c>
      <c r="C7838">
        <v>420</v>
      </c>
      <c r="D7838">
        <v>42</v>
      </c>
      <c r="E7838" s="80">
        <v>35646</v>
      </c>
    </row>
    <row r="7839" spans="1:5">
      <c r="A7839">
        <v>10619</v>
      </c>
      <c r="B7839" t="s">
        <v>177</v>
      </c>
      <c r="C7839">
        <v>420</v>
      </c>
      <c r="D7839">
        <v>42</v>
      </c>
      <c r="E7839" s="80">
        <v>35646</v>
      </c>
    </row>
    <row r="7840" spans="1:5">
      <c r="A7840">
        <v>10619</v>
      </c>
      <c r="B7840" t="s">
        <v>178</v>
      </c>
      <c r="C7840">
        <v>420</v>
      </c>
      <c r="D7840">
        <v>42</v>
      </c>
      <c r="E7840" s="80">
        <v>35646</v>
      </c>
    </row>
    <row r="7841" spans="1:5">
      <c r="A7841">
        <v>10619</v>
      </c>
      <c r="B7841" t="s">
        <v>179</v>
      </c>
      <c r="C7841">
        <v>420</v>
      </c>
      <c r="D7841">
        <v>42</v>
      </c>
      <c r="E7841" s="80">
        <v>35646</v>
      </c>
    </row>
    <row r="7842" spans="1:5">
      <c r="A7842">
        <v>10619</v>
      </c>
      <c r="B7842" t="s">
        <v>172</v>
      </c>
      <c r="C7842">
        <v>840</v>
      </c>
      <c r="D7842">
        <v>40</v>
      </c>
      <c r="E7842" s="80">
        <v>35646</v>
      </c>
    </row>
    <row r="7843" spans="1:5">
      <c r="A7843">
        <v>10619</v>
      </c>
      <c r="B7843" t="s">
        <v>173</v>
      </c>
      <c r="C7843">
        <v>840</v>
      </c>
      <c r="D7843">
        <v>40</v>
      </c>
      <c r="E7843" s="80">
        <v>35646</v>
      </c>
    </row>
    <row r="7844" spans="1:5">
      <c r="A7844">
        <v>10619</v>
      </c>
      <c r="B7844" t="s">
        <v>174</v>
      </c>
      <c r="C7844">
        <v>840</v>
      </c>
      <c r="D7844">
        <v>40</v>
      </c>
      <c r="E7844" s="80">
        <v>35646</v>
      </c>
    </row>
    <row r="7845" spans="1:5">
      <c r="A7845">
        <v>10619</v>
      </c>
      <c r="B7845" t="s">
        <v>175</v>
      </c>
      <c r="C7845">
        <v>840</v>
      </c>
      <c r="D7845">
        <v>40</v>
      </c>
      <c r="E7845" s="80">
        <v>35646</v>
      </c>
    </row>
    <row r="7846" spans="1:5">
      <c r="A7846">
        <v>10619</v>
      </c>
      <c r="B7846" t="s">
        <v>176</v>
      </c>
      <c r="C7846">
        <v>840</v>
      </c>
      <c r="D7846">
        <v>40</v>
      </c>
      <c r="E7846" s="80">
        <v>35646</v>
      </c>
    </row>
    <row r="7847" spans="1:5">
      <c r="A7847">
        <v>10619</v>
      </c>
      <c r="B7847" t="s">
        <v>177</v>
      </c>
      <c r="C7847">
        <v>840</v>
      </c>
      <c r="D7847">
        <v>40</v>
      </c>
      <c r="E7847" s="80">
        <v>35646</v>
      </c>
    </row>
    <row r="7848" spans="1:5">
      <c r="A7848">
        <v>10619</v>
      </c>
      <c r="B7848" t="s">
        <v>178</v>
      </c>
      <c r="C7848">
        <v>840</v>
      </c>
      <c r="D7848">
        <v>40</v>
      </c>
      <c r="E7848" s="80">
        <v>35646</v>
      </c>
    </row>
    <row r="7849" spans="1:5">
      <c r="A7849">
        <v>10619</v>
      </c>
      <c r="B7849" t="s">
        <v>179</v>
      </c>
      <c r="C7849">
        <v>840</v>
      </c>
      <c r="D7849">
        <v>40</v>
      </c>
      <c r="E7849" s="80">
        <v>35646</v>
      </c>
    </row>
    <row r="7850" spans="1:5">
      <c r="A7850">
        <v>10620</v>
      </c>
      <c r="B7850" t="s">
        <v>172</v>
      </c>
      <c r="C7850">
        <v>22.5</v>
      </c>
      <c r="D7850">
        <v>5</v>
      </c>
      <c r="E7850" s="80">
        <v>35647</v>
      </c>
    </row>
    <row r="7851" spans="1:5">
      <c r="A7851">
        <v>10620</v>
      </c>
      <c r="B7851" t="s">
        <v>173</v>
      </c>
      <c r="C7851">
        <v>22.5</v>
      </c>
      <c r="D7851">
        <v>5</v>
      </c>
      <c r="E7851" s="80">
        <v>35647</v>
      </c>
    </row>
    <row r="7852" spans="1:5">
      <c r="A7852">
        <v>10620</v>
      </c>
      <c r="B7852" t="s">
        <v>174</v>
      </c>
      <c r="C7852">
        <v>22.5</v>
      </c>
      <c r="D7852">
        <v>5</v>
      </c>
      <c r="E7852" s="80">
        <v>35647</v>
      </c>
    </row>
    <row r="7853" spans="1:5">
      <c r="A7853">
        <v>10620</v>
      </c>
      <c r="B7853" t="s">
        <v>175</v>
      </c>
      <c r="C7853">
        <v>22.5</v>
      </c>
      <c r="D7853">
        <v>5</v>
      </c>
      <c r="E7853" s="80">
        <v>35647</v>
      </c>
    </row>
    <row r="7854" spans="1:5">
      <c r="A7854">
        <v>10620</v>
      </c>
      <c r="B7854" t="s">
        <v>176</v>
      </c>
      <c r="C7854">
        <v>22.5</v>
      </c>
      <c r="D7854">
        <v>5</v>
      </c>
      <c r="E7854" s="80">
        <v>35647</v>
      </c>
    </row>
    <row r="7855" spans="1:5">
      <c r="A7855">
        <v>10620</v>
      </c>
      <c r="B7855" t="s">
        <v>177</v>
      </c>
      <c r="C7855">
        <v>22.5</v>
      </c>
      <c r="D7855">
        <v>5</v>
      </c>
      <c r="E7855" s="80">
        <v>35647</v>
      </c>
    </row>
    <row r="7856" spans="1:5">
      <c r="A7856">
        <v>10620</v>
      </c>
      <c r="B7856" t="s">
        <v>178</v>
      </c>
      <c r="C7856">
        <v>22.5</v>
      </c>
      <c r="D7856">
        <v>5</v>
      </c>
      <c r="E7856" s="80">
        <v>35647</v>
      </c>
    </row>
    <row r="7857" spans="1:5">
      <c r="A7857">
        <v>10620</v>
      </c>
      <c r="B7857" t="s">
        <v>179</v>
      </c>
      <c r="C7857">
        <v>22.5</v>
      </c>
      <c r="D7857">
        <v>5</v>
      </c>
      <c r="E7857" s="80">
        <v>35647</v>
      </c>
    </row>
    <row r="7858" spans="1:5">
      <c r="A7858">
        <v>10620</v>
      </c>
      <c r="B7858" t="s">
        <v>172</v>
      </c>
      <c r="C7858">
        <v>35</v>
      </c>
      <c r="D7858">
        <v>5</v>
      </c>
      <c r="E7858" s="80">
        <v>35647</v>
      </c>
    </row>
    <row r="7859" spans="1:5">
      <c r="A7859">
        <v>10620</v>
      </c>
      <c r="B7859" t="s">
        <v>173</v>
      </c>
      <c r="C7859">
        <v>35</v>
      </c>
      <c r="D7859">
        <v>5</v>
      </c>
      <c r="E7859" s="80">
        <v>35647</v>
      </c>
    </row>
    <row r="7860" spans="1:5">
      <c r="A7860">
        <v>10620</v>
      </c>
      <c r="B7860" t="s">
        <v>174</v>
      </c>
      <c r="C7860">
        <v>35</v>
      </c>
      <c r="D7860">
        <v>5</v>
      </c>
      <c r="E7860" s="80">
        <v>35647</v>
      </c>
    </row>
    <row r="7861" spans="1:5">
      <c r="A7861">
        <v>10620</v>
      </c>
      <c r="B7861" t="s">
        <v>175</v>
      </c>
      <c r="C7861">
        <v>35</v>
      </c>
      <c r="D7861">
        <v>5</v>
      </c>
      <c r="E7861" s="80">
        <v>35647</v>
      </c>
    </row>
    <row r="7862" spans="1:5">
      <c r="A7862">
        <v>10620</v>
      </c>
      <c r="B7862" t="s">
        <v>176</v>
      </c>
      <c r="C7862">
        <v>35</v>
      </c>
      <c r="D7862">
        <v>5</v>
      </c>
      <c r="E7862" s="80">
        <v>35647</v>
      </c>
    </row>
    <row r="7863" spans="1:5">
      <c r="A7863">
        <v>10620</v>
      </c>
      <c r="B7863" t="s">
        <v>177</v>
      </c>
      <c r="C7863">
        <v>35</v>
      </c>
      <c r="D7863">
        <v>5</v>
      </c>
      <c r="E7863" s="80">
        <v>35647</v>
      </c>
    </row>
    <row r="7864" spans="1:5">
      <c r="A7864">
        <v>10620</v>
      </c>
      <c r="B7864" t="s">
        <v>178</v>
      </c>
      <c r="C7864">
        <v>35</v>
      </c>
      <c r="D7864">
        <v>5</v>
      </c>
      <c r="E7864" s="80">
        <v>35647</v>
      </c>
    </row>
    <row r="7865" spans="1:5">
      <c r="A7865">
        <v>10620</v>
      </c>
      <c r="B7865" t="s">
        <v>179</v>
      </c>
      <c r="C7865">
        <v>35</v>
      </c>
      <c r="D7865">
        <v>5</v>
      </c>
      <c r="E7865" s="80">
        <v>35647</v>
      </c>
    </row>
    <row r="7866" spans="1:5">
      <c r="A7866">
        <v>10621</v>
      </c>
      <c r="B7866" t="s">
        <v>172</v>
      </c>
      <c r="C7866">
        <v>46</v>
      </c>
      <c r="D7866">
        <v>5</v>
      </c>
      <c r="E7866" s="80">
        <v>35647</v>
      </c>
    </row>
    <row r="7867" spans="1:5">
      <c r="A7867">
        <v>10621</v>
      </c>
      <c r="B7867" t="s">
        <v>173</v>
      </c>
      <c r="C7867">
        <v>46</v>
      </c>
      <c r="D7867">
        <v>5</v>
      </c>
      <c r="E7867" s="80">
        <v>35647</v>
      </c>
    </row>
    <row r="7868" spans="1:5">
      <c r="A7868">
        <v>10621</v>
      </c>
      <c r="B7868" t="s">
        <v>174</v>
      </c>
      <c r="C7868">
        <v>46</v>
      </c>
      <c r="D7868">
        <v>5</v>
      </c>
      <c r="E7868" s="80">
        <v>35647</v>
      </c>
    </row>
    <row r="7869" spans="1:5">
      <c r="A7869">
        <v>10621</v>
      </c>
      <c r="B7869" t="s">
        <v>175</v>
      </c>
      <c r="C7869">
        <v>46</v>
      </c>
      <c r="D7869">
        <v>5</v>
      </c>
      <c r="E7869" s="80">
        <v>35647</v>
      </c>
    </row>
    <row r="7870" spans="1:5">
      <c r="A7870">
        <v>10621</v>
      </c>
      <c r="B7870" t="s">
        <v>176</v>
      </c>
      <c r="C7870">
        <v>46</v>
      </c>
      <c r="D7870">
        <v>5</v>
      </c>
      <c r="E7870" s="80">
        <v>35647</v>
      </c>
    </row>
    <row r="7871" spans="1:5">
      <c r="A7871">
        <v>10621</v>
      </c>
      <c r="B7871" t="s">
        <v>177</v>
      </c>
      <c r="C7871">
        <v>46</v>
      </c>
      <c r="D7871">
        <v>5</v>
      </c>
      <c r="E7871" s="80">
        <v>35647</v>
      </c>
    </row>
    <row r="7872" spans="1:5">
      <c r="A7872">
        <v>10621</v>
      </c>
      <c r="B7872" t="s">
        <v>178</v>
      </c>
      <c r="C7872">
        <v>46</v>
      </c>
      <c r="D7872">
        <v>5</v>
      </c>
      <c r="E7872" s="80">
        <v>35647</v>
      </c>
    </row>
    <row r="7873" spans="1:5">
      <c r="A7873">
        <v>10621</v>
      </c>
      <c r="B7873" t="s">
        <v>179</v>
      </c>
      <c r="C7873">
        <v>46</v>
      </c>
      <c r="D7873">
        <v>5</v>
      </c>
      <c r="E7873" s="80">
        <v>35647</v>
      </c>
    </row>
    <row r="7874" spans="1:5">
      <c r="A7874">
        <v>10621</v>
      </c>
      <c r="B7874" t="s">
        <v>172</v>
      </c>
      <c r="C7874">
        <v>90</v>
      </c>
      <c r="D7874">
        <v>10</v>
      </c>
      <c r="E7874" s="80">
        <v>35647</v>
      </c>
    </row>
    <row r="7875" spans="1:5">
      <c r="A7875">
        <v>10621</v>
      </c>
      <c r="B7875" t="s">
        <v>173</v>
      </c>
      <c r="C7875">
        <v>90</v>
      </c>
      <c r="D7875">
        <v>10</v>
      </c>
      <c r="E7875" s="80">
        <v>35647</v>
      </c>
    </row>
    <row r="7876" spans="1:5">
      <c r="A7876">
        <v>10621</v>
      </c>
      <c r="B7876" t="s">
        <v>174</v>
      </c>
      <c r="C7876">
        <v>90</v>
      </c>
      <c r="D7876">
        <v>10</v>
      </c>
      <c r="E7876" s="80">
        <v>35647</v>
      </c>
    </row>
    <row r="7877" spans="1:5">
      <c r="A7877">
        <v>10621</v>
      </c>
      <c r="B7877" t="s">
        <v>175</v>
      </c>
      <c r="C7877">
        <v>90</v>
      </c>
      <c r="D7877">
        <v>10</v>
      </c>
      <c r="E7877" s="80">
        <v>35647</v>
      </c>
    </row>
    <row r="7878" spans="1:5">
      <c r="A7878">
        <v>10621</v>
      </c>
      <c r="B7878" t="s">
        <v>176</v>
      </c>
      <c r="C7878">
        <v>90</v>
      </c>
      <c r="D7878">
        <v>10</v>
      </c>
      <c r="E7878" s="80">
        <v>35647</v>
      </c>
    </row>
    <row r="7879" spans="1:5">
      <c r="A7879">
        <v>10621</v>
      </c>
      <c r="B7879" t="s">
        <v>177</v>
      </c>
      <c r="C7879">
        <v>90</v>
      </c>
      <c r="D7879">
        <v>10</v>
      </c>
      <c r="E7879" s="80">
        <v>35647</v>
      </c>
    </row>
    <row r="7880" spans="1:5">
      <c r="A7880">
        <v>10621</v>
      </c>
      <c r="B7880" t="s">
        <v>178</v>
      </c>
      <c r="C7880">
        <v>90</v>
      </c>
      <c r="D7880">
        <v>10</v>
      </c>
      <c r="E7880" s="80">
        <v>35647</v>
      </c>
    </row>
    <row r="7881" spans="1:5">
      <c r="A7881">
        <v>10621</v>
      </c>
      <c r="B7881" t="s">
        <v>179</v>
      </c>
      <c r="C7881">
        <v>90</v>
      </c>
      <c r="D7881">
        <v>10</v>
      </c>
      <c r="E7881" s="80">
        <v>35647</v>
      </c>
    </row>
    <row r="7882" spans="1:5">
      <c r="A7882">
        <v>10621</v>
      </c>
      <c r="B7882" t="s">
        <v>172</v>
      </c>
      <c r="C7882">
        <v>300</v>
      </c>
      <c r="D7882">
        <v>20</v>
      </c>
      <c r="E7882" s="80">
        <v>35647</v>
      </c>
    </row>
    <row r="7883" spans="1:5">
      <c r="A7883">
        <v>10621</v>
      </c>
      <c r="B7883" t="s">
        <v>173</v>
      </c>
      <c r="C7883">
        <v>300</v>
      </c>
      <c r="D7883">
        <v>20</v>
      </c>
      <c r="E7883" s="80">
        <v>35647</v>
      </c>
    </row>
    <row r="7884" spans="1:5">
      <c r="A7884">
        <v>10621</v>
      </c>
      <c r="B7884" t="s">
        <v>174</v>
      </c>
      <c r="C7884">
        <v>300</v>
      </c>
      <c r="D7884">
        <v>20</v>
      </c>
      <c r="E7884" s="80">
        <v>35647</v>
      </c>
    </row>
    <row r="7885" spans="1:5">
      <c r="A7885">
        <v>10621</v>
      </c>
      <c r="B7885" t="s">
        <v>175</v>
      </c>
      <c r="C7885">
        <v>300</v>
      </c>
      <c r="D7885">
        <v>20</v>
      </c>
      <c r="E7885" s="80">
        <v>35647</v>
      </c>
    </row>
    <row r="7886" spans="1:5">
      <c r="A7886">
        <v>10621</v>
      </c>
      <c r="B7886" t="s">
        <v>176</v>
      </c>
      <c r="C7886">
        <v>300</v>
      </c>
      <c r="D7886">
        <v>20</v>
      </c>
      <c r="E7886" s="80">
        <v>35647</v>
      </c>
    </row>
    <row r="7887" spans="1:5">
      <c r="A7887">
        <v>10621</v>
      </c>
      <c r="B7887" t="s">
        <v>177</v>
      </c>
      <c r="C7887">
        <v>300</v>
      </c>
      <c r="D7887">
        <v>20</v>
      </c>
      <c r="E7887" s="80">
        <v>35647</v>
      </c>
    </row>
    <row r="7888" spans="1:5">
      <c r="A7888">
        <v>10621</v>
      </c>
      <c r="B7888" t="s">
        <v>178</v>
      </c>
      <c r="C7888">
        <v>300</v>
      </c>
      <c r="D7888">
        <v>20</v>
      </c>
      <c r="E7888" s="80">
        <v>35647</v>
      </c>
    </row>
    <row r="7889" spans="1:5">
      <c r="A7889">
        <v>10621</v>
      </c>
      <c r="B7889" t="s">
        <v>179</v>
      </c>
      <c r="C7889">
        <v>300</v>
      </c>
      <c r="D7889">
        <v>20</v>
      </c>
      <c r="E7889" s="80">
        <v>35647</v>
      </c>
    </row>
    <row r="7890" spans="1:5">
      <c r="A7890">
        <v>10621</v>
      </c>
      <c r="B7890" t="s">
        <v>172</v>
      </c>
      <c r="C7890">
        <v>322.5</v>
      </c>
      <c r="D7890">
        <v>15</v>
      </c>
      <c r="E7890" s="80">
        <v>35647</v>
      </c>
    </row>
    <row r="7891" spans="1:5">
      <c r="A7891">
        <v>10621</v>
      </c>
      <c r="B7891" t="s">
        <v>173</v>
      </c>
      <c r="C7891">
        <v>322.5</v>
      </c>
      <c r="D7891">
        <v>15</v>
      </c>
      <c r="E7891" s="80">
        <v>35647</v>
      </c>
    </row>
    <row r="7892" spans="1:5">
      <c r="A7892">
        <v>10621</v>
      </c>
      <c r="B7892" t="s">
        <v>174</v>
      </c>
      <c r="C7892">
        <v>322.5</v>
      </c>
      <c r="D7892">
        <v>15</v>
      </c>
      <c r="E7892" s="80">
        <v>35647</v>
      </c>
    </row>
    <row r="7893" spans="1:5">
      <c r="A7893">
        <v>10621</v>
      </c>
      <c r="B7893" t="s">
        <v>175</v>
      </c>
      <c r="C7893">
        <v>322.5</v>
      </c>
      <c r="D7893">
        <v>15</v>
      </c>
      <c r="E7893" s="80">
        <v>35647</v>
      </c>
    </row>
    <row r="7894" spans="1:5">
      <c r="A7894">
        <v>10621</v>
      </c>
      <c r="B7894" t="s">
        <v>176</v>
      </c>
      <c r="C7894">
        <v>322.5</v>
      </c>
      <c r="D7894">
        <v>15</v>
      </c>
      <c r="E7894" s="80">
        <v>35647</v>
      </c>
    </row>
    <row r="7895" spans="1:5">
      <c r="A7895">
        <v>10621</v>
      </c>
      <c r="B7895" t="s">
        <v>177</v>
      </c>
      <c r="C7895">
        <v>322.5</v>
      </c>
      <c r="D7895">
        <v>15</v>
      </c>
      <c r="E7895" s="80">
        <v>35647</v>
      </c>
    </row>
    <row r="7896" spans="1:5">
      <c r="A7896">
        <v>10621</v>
      </c>
      <c r="B7896" t="s">
        <v>178</v>
      </c>
      <c r="C7896">
        <v>322.5</v>
      </c>
      <c r="D7896">
        <v>15</v>
      </c>
      <c r="E7896" s="80">
        <v>35647</v>
      </c>
    </row>
    <row r="7897" spans="1:5">
      <c r="A7897">
        <v>10621</v>
      </c>
      <c r="B7897" t="s">
        <v>179</v>
      </c>
      <c r="C7897">
        <v>322.5</v>
      </c>
      <c r="D7897">
        <v>15</v>
      </c>
      <c r="E7897" s="80">
        <v>35647</v>
      </c>
    </row>
    <row r="7898" spans="1:5">
      <c r="A7898">
        <v>10622</v>
      </c>
      <c r="B7898" t="s">
        <v>172</v>
      </c>
      <c r="C7898">
        <v>380</v>
      </c>
      <c r="D7898">
        <v>20</v>
      </c>
      <c r="E7898" s="80">
        <v>35648</v>
      </c>
    </row>
    <row r="7899" spans="1:5">
      <c r="A7899">
        <v>10622</v>
      </c>
      <c r="B7899" t="s">
        <v>173</v>
      </c>
      <c r="C7899">
        <v>380</v>
      </c>
      <c r="D7899">
        <v>20</v>
      </c>
      <c r="E7899" s="80">
        <v>35648</v>
      </c>
    </row>
    <row r="7900" spans="1:5">
      <c r="A7900">
        <v>10622</v>
      </c>
      <c r="B7900" t="s">
        <v>174</v>
      </c>
      <c r="C7900">
        <v>380</v>
      </c>
      <c r="D7900">
        <v>20</v>
      </c>
      <c r="E7900" s="80">
        <v>35648</v>
      </c>
    </row>
    <row r="7901" spans="1:5">
      <c r="A7901">
        <v>10622</v>
      </c>
      <c r="B7901" t="s">
        <v>175</v>
      </c>
      <c r="C7901">
        <v>380</v>
      </c>
      <c r="D7901">
        <v>20</v>
      </c>
      <c r="E7901" s="80">
        <v>35648</v>
      </c>
    </row>
    <row r="7902" spans="1:5">
      <c r="A7902">
        <v>10622</v>
      </c>
      <c r="B7902" t="s">
        <v>176</v>
      </c>
      <c r="C7902">
        <v>380</v>
      </c>
      <c r="D7902">
        <v>20</v>
      </c>
      <c r="E7902" s="80">
        <v>35648</v>
      </c>
    </row>
    <row r="7903" spans="1:5">
      <c r="A7903">
        <v>10622</v>
      </c>
      <c r="B7903" t="s">
        <v>177</v>
      </c>
      <c r="C7903">
        <v>380</v>
      </c>
      <c r="D7903">
        <v>20</v>
      </c>
      <c r="E7903" s="80">
        <v>35648</v>
      </c>
    </row>
    <row r="7904" spans="1:5">
      <c r="A7904">
        <v>10622</v>
      </c>
      <c r="B7904" t="s">
        <v>178</v>
      </c>
      <c r="C7904">
        <v>380</v>
      </c>
      <c r="D7904">
        <v>20</v>
      </c>
      <c r="E7904" s="80">
        <v>35648</v>
      </c>
    </row>
    <row r="7905" spans="1:5">
      <c r="A7905">
        <v>10622</v>
      </c>
      <c r="B7905" t="s">
        <v>179</v>
      </c>
      <c r="C7905">
        <v>380</v>
      </c>
      <c r="D7905">
        <v>20</v>
      </c>
      <c r="E7905" s="80">
        <v>35648</v>
      </c>
    </row>
    <row r="7906" spans="1:5">
      <c r="A7906">
        <v>10622</v>
      </c>
      <c r="B7906" t="s">
        <v>172</v>
      </c>
      <c r="C7906">
        <v>179.99999932944775</v>
      </c>
      <c r="D7906">
        <v>18</v>
      </c>
      <c r="E7906" s="80">
        <v>35648</v>
      </c>
    </row>
    <row r="7907" spans="1:5">
      <c r="A7907">
        <v>10622</v>
      </c>
      <c r="B7907" t="s">
        <v>173</v>
      </c>
      <c r="C7907">
        <v>179.99999932944775</v>
      </c>
      <c r="D7907">
        <v>18</v>
      </c>
      <c r="E7907" s="80">
        <v>35648</v>
      </c>
    </row>
    <row r="7908" spans="1:5">
      <c r="A7908">
        <v>10622</v>
      </c>
      <c r="B7908" t="s">
        <v>174</v>
      </c>
      <c r="C7908">
        <v>179.99999932944775</v>
      </c>
      <c r="D7908">
        <v>18</v>
      </c>
      <c r="E7908" s="80">
        <v>35648</v>
      </c>
    </row>
    <row r="7909" spans="1:5">
      <c r="A7909">
        <v>10622</v>
      </c>
      <c r="B7909" t="s">
        <v>175</v>
      </c>
      <c r="C7909">
        <v>179.99999932944775</v>
      </c>
      <c r="D7909">
        <v>18</v>
      </c>
      <c r="E7909" s="80">
        <v>35648</v>
      </c>
    </row>
    <row r="7910" spans="1:5">
      <c r="A7910">
        <v>10622</v>
      </c>
      <c r="B7910" t="s">
        <v>176</v>
      </c>
      <c r="C7910">
        <v>179.99999932944775</v>
      </c>
      <c r="D7910">
        <v>18</v>
      </c>
      <c r="E7910" s="80">
        <v>35648</v>
      </c>
    </row>
    <row r="7911" spans="1:5">
      <c r="A7911">
        <v>10622</v>
      </c>
      <c r="B7911" t="s">
        <v>177</v>
      </c>
      <c r="C7911">
        <v>179.99999932944775</v>
      </c>
      <c r="D7911">
        <v>18</v>
      </c>
      <c r="E7911" s="80">
        <v>35648</v>
      </c>
    </row>
    <row r="7912" spans="1:5">
      <c r="A7912">
        <v>10622</v>
      </c>
      <c r="B7912" t="s">
        <v>178</v>
      </c>
      <c r="C7912">
        <v>179.99999932944775</v>
      </c>
      <c r="D7912">
        <v>18</v>
      </c>
      <c r="E7912" s="80">
        <v>35648</v>
      </c>
    </row>
    <row r="7913" spans="1:5">
      <c r="A7913">
        <v>10622</v>
      </c>
      <c r="B7913" t="s">
        <v>179</v>
      </c>
      <c r="C7913">
        <v>179.99999932944775</v>
      </c>
      <c r="D7913">
        <v>18</v>
      </c>
      <c r="E7913" s="80">
        <v>35648</v>
      </c>
    </row>
    <row r="7914" spans="1:5">
      <c r="A7914">
        <v>10623</v>
      </c>
      <c r="B7914" t="s">
        <v>172</v>
      </c>
      <c r="C7914">
        <v>488.25</v>
      </c>
      <c r="D7914">
        <v>21</v>
      </c>
      <c r="E7914" s="80">
        <v>35649</v>
      </c>
    </row>
    <row r="7915" spans="1:5">
      <c r="A7915">
        <v>10623</v>
      </c>
      <c r="B7915" t="s">
        <v>173</v>
      </c>
      <c r="C7915">
        <v>488.25</v>
      </c>
      <c r="D7915">
        <v>21</v>
      </c>
      <c r="E7915" s="80">
        <v>35649</v>
      </c>
    </row>
    <row r="7916" spans="1:5">
      <c r="A7916">
        <v>10623</v>
      </c>
      <c r="B7916" t="s">
        <v>174</v>
      </c>
      <c r="C7916">
        <v>488.25</v>
      </c>
      <c r="D7916">
        <v>21</v>
      </c>
      <c r="E7916" s="80">
        <v>35649</v>
      </c>
    </row>
    <row r="7917" spans="1:5">
      <c r="A7917">
        <v>10623</v>
      </c>
      <c r="B7917" t="s">
        <v>175</v>
      </c>
      <c r="C7917">
        <v>488.25</v>
      </c>
      <c r="D7917">
        <v>21</v>
      </c>
      <c r="E7917" s="80">
        <v>35649</v>
      </c>
    </row>
    <row r="7918" spans="1:5">
      <c r="A7918">
        <v>10623</v>
      </c>
      <c r="B7918" t="s">
        <v>176</v>
      </c>
      <c r="C7918">
        <v>488.25</v>
      </c>
      <c r="D7918">
        <v>21</v>
      </c>
      <c r="E7918" s="80">
        <v>35649</v>
      </c>
    </row>
    <row r="7919" spans="1:5">
      <c r="A7919">
        <v>10623</v>
      </c>
      <c r="B7919" t="s">
        <v>177</v>
      </c>
      <c r="C7919">
        <v>488.25</v>
      </c>
      <c r="D7919">
        <v>21</v>
      </c>
      <c r="E7919" s="80">
        <v>35649</v>
      </c>
    </row>
    <row r="7920" spans="1:5">
      <c r="A7920">
        <v>10623</v>
      </c>
      <c r="B7920" t="s">
        <v>178</v>
      </c>
      <c r="C7920">
        <v>488.25</v>
      </c>
      <c r="D7920">
        <v>21</v>
      </c>
      <c r="E7920" s="80">
        <v>35649</v>
      </c>
    </row>
    <row r="7921" spans="1:5">
      <c r="A7921">
        <v>10623</v>
      </c>
      <c r="B7921" t="s">
        <v>179</v>
      </c>
      <c r="C7921">
        <v>488.25</v>
      </c>
      <c r="D7921">
        <v>21</v>
      </c>
      <c r="E7921" s="80">
        <v>35649</v>
      </c>
    </row>
    <row r="7922" spans="1:5">
      <c r="A7922">
        <v>10623</v>
      </c>
      <c r="B7922" t="s">
        <v>172</v>
      </c>
      <c r="C7922">
        <v>124.19999979436398</v>
      </c>
      <c r="D7922">
        <v>15</v>
      </c>
      <c r="E7922" s="80">
        <v>35649</v>
      </c>
    </row>
    <row r="7923" spans="1:5">
      <c r="A7923">
        <v>10623</v>
      </c>
      <c r="B7923" t="s">
        <v>173</v>
      </c>
      <c r="C7923">
        <v>124.19999979436398</v>
      </c>
      <c r="D7923">
        <v>15</v>
      </c>
      <c r="E7923" s="80">
        <v>35649</v>
      </c>
    </row>
    <row r="7924" spans="1:5">
      <c r="A7924">
        <v>10623</v>
      </c>
      <c r="B7924" t="s">
        <v>174</v>
      </c>
      <c r="C7924">
        <v>124.19999979436398</v>
      </c>
      <c r="D7924">
        <v>15</v>
      </c>
      <c r="E7924" s="80">
        <v>35649</v>
      </c>
    </row>
    <row r="7925" spans="1:5">
      <c r="A7925">
        <v>10623</v>
      </c>
      <c r="B7925" t="s">
        <v>175</v>
      </c>
      <c r="C7925">
        <v>124.19999979436398</v>
      </c>
      <c r="D7925">
        <v>15</v>
      </c>
      <c r="E7925" s="80">
        <v>35649</v>
      </c>
    </row>
    <row r="7926" spans="1:5">
      <c r="A7926">
        <v>10623</v>
      </c>
      <c r="B7926" t="s">
        <v>176</v>
      </c>
      <c r="C7926">
        <v>124.19999979436398</v>
      </c>
      <c r="D7926">
        <v>15</v>
      </c>
      <c r="E7926" s="80">
        <v>35649</v>
      </c>
    </row>
    <row r="7927" spans="1:5">
      <c r="A7927">
        <v>10623</v>
      </c>
      <c r="B7927" t="s">
        <v>177</v>
      </c>
      <c r="C7927">
        <v>124.19999979436398</v>
      </c>
      <c r="D7927">
        <v>15</v>
      </c>
      <c r="E7927" s="80">
        <v>35649</v>
      </c>
    </row>
    <row r="7928" spans="1:5">
      <c r="A7928">
        <v>10623</v>
      </c>
      <c r="B7928" t="s">
        <v>178</v>
      </c>
      <c r="C7928">
        <v>124.19999979436398</v>
      </c>
      <c r="D7928">
        <v>15</v>
      </c>
      <c r="E7928" s="80">
        <v>35649</v>
      </c>
    </row>
    <row r="7929" spans="1:5">
      <c r="A7929">
        <v>10623</v>
      </c>
      <c r="B7929" t="s">
        <v>179</v>
      </c>
      <c r="C7929">
        <v>124.19999979436398</v>
      </c>
      <c r="D7929">
        <v>15</v>
      </c>
      <c r="E7929" s="80">
        <v>35649</v>
      </c>
    </row>
    <row r="7930" spans="1:5">
      <c r="A7930">
        <v>10623</v>
      </c>
      <c r="B7930" t="s">
        <v>172</v>
      </c>
      <c r="C7930">
        <v>224.99999962747097</v>
      </c>
      <c r="D7930">
        <v>25</v>
      </c>
      <c r="E7930" s="80">
        <v>35649</v>
      </c>
    </row>
    <row r="7931" spans="1:5">
      <c r="A7931">
        <v>10623</v>
      </c>
      <c r="B7931" t="s">
        <v>173</v>
      </c>
      <c r="C7931">
        <v>224.99999962747097</v>
      </c>
      <c r="D7931">
        <v>25</v>
      </c>
      <c r="E7931" s="80">
        <v>35649</v>
      </c>
    </row>
    <row r="7932" spans="1:5">
      <c r="A7932">
        <v>10623</v>
      </c>
      <c r="B7932" t="s">
        <v>174</v>
      </c>
      <c r="C7932">
        <v>224.99999962747097</v>
      </c>
      <c r="D7932">
        <v>25</v>
      </c>
      <c r="E7932" s="80">
        <v>35649</v>
      </c>
    </row>
    <row r="7933" spans="1:5">
      <c r="A7933">
        <v>10623</v>
      </c>
      <c r="B7933" t="s">
        <v>175</v>
      </c>
      <c r="C7933">
        <v>224.99999962747097</v>
      </c>
      <c r="D7933">
        <v>25</v>
      </c>
      <c r="E7933" s="80">
        <v>35649</v>
      </c>
    </row>
    <row r="7934" spans="1:5">
      <c r="A7934">
        <v>10623</v>
      </c>
      <c r="B7934" t="s">
        <v>176</v>
      </c>
      <c r="C7934">
        <v>224.99999962747097</v>
      </c>
      <c r="D7934">
        <v>25</v>
      </c>
      <c r="E7934" s="80">
        <v>35649</v>
      </c>
    </row>
    <row r="7935" spans="1:5">
      <c r="A7935">
        <v>10623</v>
      </c>
      <c r="B7935" t="s">
        <v>177</v>
      </c>
      <c r="C7935">
        <v>224.99999962747097</v>
      </c>
      <c r="D7935">
        <v>25</v>
      </c>
      <c r="E7935" s="80">
        <v>35649</v>
      </c>
    </row>
    <row r="7936" spans="1:5">
      <c r="A7936">
        <v>10623</v>
      </c>
      <c r="B7936" t="s">
        <v>178</v>
      </c>
      <c r="C7936">
        <v>224.99999962747097</v>
      </c>
      <c r="D7936">
        <v>25</v>
      </c>
      <c r="E7936" s="80">
        <v>35649</v>
      </c>
    </row>
    <row r="7937" spans="1:5">
      <c r="A7937">
        <v>10623</v>
      </c>
      <c r="B7937" t="s">
        <v>179</v>
      </c>
      <c r="C7937">
        <v>224.99999962747097</v>
      </c>
      <c r="D7937">
        <v>25</v>
      </c>
      <c r="E7937" s="80">
        <v>35649</v>
      </c>
    </row>
    <row r="7938" spans="1:5">
      <c r="A7938">
        <v>10623</v>
      </c>
      <c r="B7938" t="s">
        <v>172</v>
      </c>
      <c r="C7938">
        <v>13.5</v>
      </c>
      <c r="D7938">
        <v>3</v>
      </c>
      <c r="E7938" s="80">
        <v>35649</v>
      </c>
    </row>
    <row r="7939" spans="1:5">
      <c r="A7939">
        <v>10623</v>
      </c>
      <c r="B7939" t="s">
        <v>173</v>
      </c>
      <c r="C7939">
        <v>13.5</v>
      </c>
      <c r="D7939">
        <v>3</v>
      </c>
      <c r="E7939" s="80">
        <v>35649</v>
      </c>
    </row>
    <row r="7940" spans="1:5">
      <c r="A7940">
        <v>10623</v>
      </c>
      <c r="B7940" t="s">
        <v>174</v>
      </c>
      <c r="C7940">
        <v>13.5</v>
      </c>
      <c r="D7940">
        <v>3</v>
      </c>
      <c r="E7940" s="80">
        <v>35649</v>
      </c>
    </row>
    <row r="7941" spans="1:5">
      <c r="A7941">
        <v>10623</v>
      </c>
      <c r="B7941" t="s">
        <v>175</v>
      </c>
      <c r="C7941">
        <v>13.5</v>
      </c>
      <c r="D7941">
        <v>3</v>
      </c>
      <c r="E7941" s="80">
        <v>35649</v>
      </c>
    </row>
    <row r="7942" spans="1:5">
      <c r="A7942">
        <v>10623</v>
      </c>
      <c r="B7942" t="s">
        <v>176</v>
      </c>
      <c r="C7942">
        <v>13.5</v>
      </c>
      <c r="D7942">
        <v>3</v>
      </c>
      <c r="E7942" s="80">
        <v>35649</v>
      </c>
    </row>
    <row r="7943" spans="1:5">
      <c r="A7943">
        <v>10623</v>
      </c>
      <c r="B7943" t="s">
        <v>177</v>
      </c>
      <c r="C7943">
        <v>13.5</v>
      </c>
      <c r="D7943">
        <v>3</v>
      </c>
      <c r="E7943" s="80">
        <v>35649</v>
      </c>
    </row>
    <row r="7944" spans="1:5">
      <c r="A7944">
        <v>10623</v>
      </c>
      <c r="B7944" t="s">
        <v>178</v>
      </c>
      <c r="C7944">
        <v>13.5</v>
      </c>
      <c r="D7944">
        <v>3</v>
      </c>
      <c r="E7944" s="80">
        <v>35649</v>
      </c>
    </row>
    <row r="7945" spans="1:5">
      <c r="A7945">
        <v>10623</v>
      </c>
      <c r="B7945" t="s">
        <v>179</v>
      </c>
      <c r="C7945">
        <v>13.5</v>
      </c>
      <c r="D7945">
        <v>3</v>
      </c>
      <c r="E7945" s="80">
        <v>35649</v>
      </c>
    </row>
    <row r="7946" spans="1:5">
      <c r="A7946">
        <v>10623</v>
      </c>
      <c r="B7946" t="s">
        <v>172</v>
      </c>
      <c r="C7946">
        <v>485.9999991953373</v>
      </c>
      <c r="D7946">
        <v>30</v>
      </c>
      <c r="E7946" s="80">
        <v>35649</v>
      </c>
    </row>
    <row r="7947" spans="1:5">
      <c r="A7947">
        <v>10623</v>
      </c>
      <c r="B7947" t="s">
        <v>173</v>
      </c>
      <c r="C7947">
        <v>485.9999991953373</v>
      </c>
      <c r="D7947">
        <v>30</v>
      </c>
      <c r="E7947" s="80">
        <v>35649</v>
      </c>
    </row>
    <row r="7948" spans="1:5">
      <c r="A7948">
        <v>10623</v>
      </c>
      <c r="B7948" t="s">
        <v>174</v>
      </c>
      <c r="C7948">
        <v>485.9999991953373</v>
      </c>
      <c r="D7948">
        <v>30</v>
      </c>
      <c r="E7948" s="80">
        <v>35649</v>
      </c>
    </row>
    <row r="7949" spans="1:5">
      <c r="A7949">
        <v>10623</v>
      </c>
      <c r="B7949" t="s">
        <v>175</v>
      </c>
      <c r="C7949">
        <v>485.9999991953373</v>
      </c>
      <c r="D7949">
        <v>30</v>
      </c>
      <c r="E7949" s="80">
        <v>35649</v>
      </c>
    </row>
    <row r="7950" spans="1:5">
      <c r="A7950">
        <v>10623</v>
      </c>
      <c r="B7950" t="s">
        <v>176</v>
      </c>
      <c r="C7950">
        <v>485.9999991953373</v>
      </c>
      <c r="D7950">
        <v>30</v>
      </c>
      <c r="E7950" s="80">
        <v>35649</v>
      </c>
    </row>
    <row r="7951" spans="1:5">
      <c r="A7951">
        <v>10623</v>
      </c>
      <c r="B7951" t="s">
        <v>177</v>
      </c>
      <c r="C7951">
        <v>485.9999991953373</v>
      </c>
      <c r="D7951">
        <v>30</v>
      </c>
      <c r="E7951" s="80">
        <v>35649</v>
      </c>
    </row>
    <row r="7952" spans="1:5">
      <c r="A7952">
        <v>10623</v>
      </c>
      <c r="B7952" t="s">
        <v>178</v>
      </c>
      <c r="C7952">
        <v>485.9999991953373</v>
      </c>
      <c r="D7952">
        <v>30</v>
      </c>
      <c r="E7952" s="80">
        <v>35649</v>
      </c>
    </row>
    <row r="7953" spans="1:5">
      <c r="A7953">
        <v>10623</v>
      </c>
      <c r="B7953" t="s">
        <v>179</v>
      </c>
      <c r="C7953">
        <v>485.9999991953373</v>
      </c>
      <c r="D7953">
        <v>30</v>
      </c>
      <c r="E7953" s="80">
        <v>35649</v>
      </c>
    </row>
    <row r="7954" spans="1:5">
      <c r="A7954">
        <v>10624</v>
      </c>
      <c r="B7954" t="s">
        <v>172</v>
      </c>
      <c r="C7954">
        <v>456</v>
      </c>
      <c r="D7954">
        <v>10</v>
      </c>
      <c r="E7954" s="80">
        <v>35649</v>
      </c>
    </row>
    <row r="7955" spans="1:5">
      <c r="A7955">
        <v>10624</v>
      </c>
      <c r="B7955" t="s">
        <v>173</v>
      </c>
      <c r="C7955">
        <v>456</v>
      </c>
      <c r="D7955">
        <v>10</v>
      </c>
      <c r="E7955" s="80">
        <v>35649</v>
      </c>
    </row>
    <row r="7956" spans="1:5">
      <c r="A7956">
        <v>10624</v>
      </c>
      <c r="B7956" t="s">
        <v>174</v>
      </c>
      <c r="C7956">
        <v>456</v>
      </c>
      <c r="D7956">
        <v>10</v>
      </c>
      <c r="E7956" s="80">
        <v>35649</v>
      </c>
    </row>
    <row r="7957" spans="1:5">
      <c r="A7957">
        <v>10624</v>
      </c>
      <c r="B7957" t="s">
        <v>175</v>
      </c>
      <c r="C7957">
        <v>456</v>
      </c>
      <c r="D7957">
        <v>10</v>
      </c>
      <c r="E7957" s="80">
        <v>35649</v>
      </c>
    </row>
    <row r="7958" spans="1:5">
      <c r="A7958">
        <v>10624</v>
      </c>
      <c r="B7958" t="s">
        <v>176</v>
      </c>
      <c r="C7958">
        <v>456</v>
      </c>
      <c r="D7958">
        <v>10</v>
      </c>
      <c r="E7958" s="80">
        <v>35649</v>
      </c>
    </row>
    <row r="7959" spans="1:5">
      <c r="A7959">
        <v>10624</v>
      </c>
      <c r="B7959" t="s">
        <v>177</v>
      </c>
      <c r="C7959">
        <v>456</v>
      </c>
      <c r="D7959">
        <v>10</v>
      </c>
      <c r="E7959" s="80">
        <v>35649</v>
      </c>
    </row>
    <row r="7960" spans="1:5">
      <c r="A7960">
        <v>10624</v>
      </c>
      <c r="B7960" t="s">
        <v>178</v>
      </c>
      <c r="C7960">
        <v>456</v>
      </c>
      <c r="D7960">
        <v>10</v>
      </c>
      <c r="E7960" s="80">
        <v>35649</v>
      </c>
    </row>
    <row r="7961" spans="1:5">
      <c r="A7961">
        <v>10624</v>
      </c>
      <c r="B7961" t="s">
        <v>179</v>
      </c>
      <c r="C7961">
        <v>456</v>
      </c>
      <c r="D7961">
        <v>10</v>
      </c>
      <c r="E7961" s="80">
        <v>35649</v>
      </c>
    </row>
    <row r="7962" spans="1:5">
      <c r="A7962">
        <v>10624</v>
      </c>
      <c r="B7962" t="s">
        <v>172</v>
      </c>
      <c r="C7962">
        <v>742.74</v>
      </c>
      <c r="D7962">
        <v>6</v>
      </c>
      <c r="E7962" s="80">
        <v>35649</v>
      </c>
    </row>
    <row r="7963" spans="1:5">
      <c r="A7963">
        <v>10624</v>
      </c>
      <c r="B7963" t="s">
        <v>173</v>
      </c>
      <c r="C7963">
        <v>742.74</v>
      </c>
      <c r="D7963">
        <v>6</v>
      </c>
      <c r="E7963" s="80">
        <v>35649</v>
      </c>
    </row>
    <row r="7964" spans="1:5">
      <c r="A7964">
        <v>10624</v>
      </c>
      <c r="B7964" t="s">
        <v>174</v>
      </c>
      <c r="C7964">
        <v>742.74</v>
      </c>
      <c r="D7964">
        <v>6</v>
      </c>
      <c r="E7964" s="80">
        <v>35649</v>
      </c>
    </row>
    <row r="7965" spans="1:5">
      <c r="A7965">
        <v>10624</v>
      </c>
      <c r="B7965" t="s">
        <v>175</v>
      </c>
      <c r="C7965">
        <v>742.74</v>
      </c>
      <c r="D7965">
        <v>6</v>
      </c>
      <c r="E7965" s="80">
        <v>35649</v>
      </c>
    </row>
    <row r="7966" spans="1:5">
      <c r="A7966">
        <v>10624</v>
      </c>
      <c r="B7966" t="s">
        <v>176</v>
      </c>
      <c r="C7966">
        <v>742.74</v>
      </c>
      <c r="D7966">
        <v>6</v>
      </c>
      <c r="E7966" s="80">
        <v>35649</v>
      </c>
    </row>
    <row r="7967" spans="1:5">
      <c r="A7967">
        <v>10624</v>
      </c>
      <c r="B7967" t="s">
        <v>177</v>
      </c>
      <c r="C7967">
        <v>742.74</v>
      </c>
      <c r="D7967">
        <v>6</v>
      </c>
      <c r="E7967" s="80">
        <v>35649</v>
      </c>
    </row>
    <row r="7968" spans="1:5">
      <c r="A7968">
        <v>10624</v>
      </c>
      <c r="B7968" t="s">
        <v>178</v>
      </c>
      <c r="C7968">
        <v>742.74</v>
      </c>
      <c r="D7968">
        <v>6</v>
      </c>
      <c r="E7968" s="80">
        <v>35649</v>
      </c>
    </row>
    <row r="7969" spans="1:5">
      <c r="A7969">
        <v>10624</v>
      </c>
      <c r="B7969" t="s">
        <v>179</v>
      </c>
      <c r="C7969">
        <v>742.74</v>
      </c>
      <c r="D7969">
        <v>6</v>
      </c>
      <c r="E7969" s="80">
        <v>35649</v>
      </c>
    </row>
    <row r="7970" spans="1:5">
      <c r="A7970">
        <v>10624</v>
      </c>
      <c r="B7970" t="s">
        <v>172</v>
      </c>
      <c r="C7970">
        <v>194.5</v>
      </c>
      <c r="D7970">
        <v>10</v>
      </c>
      <c r="E7970" s="80">
        <v>35649</v>
      </c>
    </row>
    <row r="7971" spans="1:5">
      <c r="A7971">
        <v>10624</v>
      </c>
      <c r="B7971" t="s">
        <v>173</v>
      </c>
      <c r="C7971">
        <v>194.5</v>
      </c>
      <c r="D7971">
        <v>10</v>
      </c>
      <c r="E7971" s="80">
        <v>35649</v>
      </c>
    </row>
    <row r="7972" spans="1:5">
      <c r="A7972">
        <v>10624</v>
      </c>
      <c r="B7972" t="s">
        <v>174</v>
      </c>
      <c r="C7972">
        <v>194.5</v>
      </c>
      <c r="D7972">
        <v>10</v>
      </c>
      <c r="E7972" s="80">
        <v>35649</v>
      </c>
    </row>
    <row r="7973" spans="1:5">
      <c r="A7973">
        <v>10624</v>
      </c>
      <c r="B7973" t="s">
        <v>175</v>
      </c>
      <c r="C7973">
        <v>194.5</v>
      </c>
      <c r="D7973">
        <v>10</v>
      </c>
      <c r="E7973" s="80">
        <v>35649</v>
      </c>
    </row>
    <row r="7974" spans="1:5">
      <c r="A7974">
        <v>10624</v>
      </c>
      <c r="B7974" t="s">
        <v>176</v>
      </c>
      <c r="C7974">
        <v>194.5</v>
      </c>
      <c r="D7974">
        <v>10</v>
      </c>
      <c r="E7974" s="80">
        <v>35649</v>
      </c>
    </row>
    <row r="7975" spans="1:5">
      <c r="A7975">
        <v>10624</v>
      </c>
      <c r="B7975" t="s">
        <v>177</v>
      </c>
      <c r="C7975">
        <v>194.5</v>
      </c>
      <c r="D7975">
        <v>10</v>
      </c>
      <c r="E7975" s="80">
        <v>35649</v>
      </c>
    </row>
    <row r="7976" spans="1:5">
      <c r="A7976">
        <v>10624</v>
      </c>
      <c r="B7976" t="s">
        <v>178</v>
      </c>
      <c r="C7976">
        <v>194.5</v>
      </c>
      <c r="D7976">
        <v>10</v>
      </c>
      <c r="E7976" s="80">
        <v>35649</v>
      </c>
    </row>
    <row r="7977" spans="1:5">
      <c r="A7977">
        <v>10624</v>
      </c>
      <c r="B7977" t="s">
        <v>179</v>
      </c>
      <c r="C7977">
        <v>194.5</v>
      </c>
      <c r="D7977">
        <v>10</v>
      </c>
      <c r="E7977" s="80">
        <v>35649</v>
      </c>
    </row>
    <row r="7978" spans="1:5">
      <c r="A7978">
        <v>10625</v>
      </c>
      <c r="B7978" t="s">
        <v>172</v>
      </c>
      <c r="C7978">
        <v>69.75</v>
      </c>
      <c r="D7978">
        <v>3</v>
      </c>
      <c r="E7978" s="80">
        <v>35650</v>
      </c>
    </row>
    <row r="7979" spans="1:5">
      <c r="A7979">
        <v>10625</v>
      </c>
      <c r="B7979" t="s">
        <v>173</v>
      </c>
      <c r="C7979">
        <v>69.75</v>
      </c>
      <c r="D7979">
        <v>3</v>
      </c>
      <c r="E7979" s="80">
        <v>35650</v>
      </c>
    </row>
    <row r="7980" spans="1:5">
      <c r="A7980">
        <v>10625</v>
      </c>
      <c r="B7980" t="s">
        <v>174</v>
      </c>
      <c r="C7980">
        <v>69.75</v>
      </c>
      <c r="D7980">
        <v>3</v>
      </c>
      <c r="E7980" s="80">
        <v>35650</v>
      </c>
    </row>
    <row r="7981" spans="1:5">
      <c r="A7981">
        <v>10625</v>
      </c>
      <c r="B7981" t="s">
        <v>175</v>
      </c>
      <c r="C7981">
        <v>69.75</v>
      </c>
      <c r="D7981">
        <v>3</v>
      </c>
      <c r="E7981" s="80">
        <v>35650</v>
      </c>
    </row>
    <row r="7982" spans="1:5">
      <c r="A7982">
        <v>10625</v>
      </c>
      <c r="B7982" t="s">
        <v>176</v>
      </c>
      <c r="C7982">
        <v>69.75</v>
      </c>
      <c r="D7982">
        <v>3</v>
      </c>
      <c r="E7982" s="80">
        <v>35650</v>
      </c>
    </row>
    <row r="7983" spans="1:5">
      <c r="A7983">
        <v>10625</v>
      </c>
      <c r="B7983" t="s">
        <v>177</v>
      </c>
      <c r="C7983">
        <v>69.75</v>
      </c>
      <c r="D7983">
        <v>3</v>
      </c>
      <c r="E7983" s="80">
        <v>35650</v>
      </c>
    </row>
    <row r="7984" spans="1:5">
      <c r="A7984">
        <v>10625</v>
      </c>
      <c r="B7984" t="s">
        <v>178</v>
      </c>
      <c r="C7984">
        <v>69.75</v>
      </c>
      <c r="D7984">
        <v>3</v>
      </c>
      <c r="E7984" s="80">
        <v>35650</v>
      </c>
    </row>
    <row r="7985" spans="1:5">
      <c r="A7985">
        <v>10625</v>
      </c>
      <c r="B7985" t="s">
        <v>179</v>
      </c>
      <c r="C7985">
        <v>69.75</v>
      </c>
      <c r="D7985">
        <v>3</v>
      </c>
      <c r="E7985" s="80">
        <v>35650</v>
      </c>
    </row>
    <row r="7986" spans="1:5">
      <c r="A7986">
        <v>10625</v>
      </c>
      <c r="B7986" t="s">
        <v>172</v>
      </c>
      <c r="C7986">
        <v>70</v>
      </c>
      <c r="D7986">
        <v>5</v>
      </c>
      <c r="E7986" s="80">
        <v>35650</v>
      </c>
    </row>
    <row r="7987" spans="1:5">
      <c r="A7987">
        <v>10625</v>
      </c>
      <c r="B7987" t="s">
        <v>173</v>
      </c>
      <c r="C7987">
        <v>70</v>
      </c>
      <c r="D7987">
        <v>5</v>
      </c>
      <c r="E7987" s="80">
        <v>35650</v>
      </c>
    </row>
    <row r="7988" spans="1:5">
      <c r="A7988">
        <v>10625</v>
      </c>
      <c r="B7988" t="s">
        <v>174</v>
      </c>
      <c r="C7988">
        <v>70</v>
      </c>
      <c r="D7988">
        <v>5</v>
      </c>
      <c r="E7988" s="80">
        <v>35650</v>
      </c>
    </row>
    <row r="7989" spans="1:5">
      <c r="A7989">
        <v>10625</v>
      </c>
      <c r="B7989" t="s">
        <v>175</v>
      </c>
      <c r="C7989">
        <v>70</v>
      </c>
      <c r="D7989">
        <v>5</v>
      </c>
      <c r="E7989" s="80">
        <v>35650</v>
      </c>
    </row>
    <row r="7990" spans="1:5">
      <c r="A7990">
        <v>10625</v>
      </c>
      <c r="B7990" t="s">
        <v>176</v>
      </c>
      <c r="C7990">
        <v>70</v>
      </c>
      <c r="D7990">
        <v>5</v>
      </c>
      <c r="E7990" s="80">
        <v>35650</v>
      </c>
    </row>
    <row r="7991" spans="1:5">
      <c r="A7991">
        <v>10625</v>
      </c>
      <c r="B7991" t="s">
        <v>177</v>
      </c>
      <c r="C7991">
        <v>70</v>
      </c>
      <c r="D7991">
        <v>5</v>
      </c>
      <c r="E7991" s="80">
        <v>35650</v>
      </c>
    </row>
    <row r="7992" spans="1:5">
      <c r="A7992">
        <v>10625</v>
      </c>
      <c r="B7992" t="s">
        <v>178</v>
      </c>
      <c r="C7992">
        <v>70</v>
      </c>
      <c r="D7992">
        <v>5</v>
      </c>
      <c r="E7992" s="80">
        <v>35650</v>
      </c>
    </row>
    <row r="7993" spans="1:5">
      <c r="A7993">
        <v>10625</v>
      </c>
      <c r="B7993" t="s">
        <v>179</v>
      </c>
      <c r="C7993">
        <v>70</v>
      </c>
      <c r="D7993">
        <v>5</v>
      </c>
      <c r="E7993" s="80">
        <v>35650</v>
      </c>
    </row>
    <row r="7994" spans="1:5">
      <c r="A7994">
        <v>10625</v>
      </c>
      <c r="B7994" t="s">
        <v>172</v>
      </c>
      <c r="C7994">
        <v>340</v>
      </c>
      <c r="D7994">
        <v>10</v>
      </c>
      <c r="E7994" s="80">
        <v>35650</v>
      </c>
    </row>
    <row r="7995" spans="1:5">
      <c r="A7995">
        <v>10625</v>
      </c>
      <c r="B7995" t="s">
        <v>173</v>
      </c>
      <c r="C7995">
        <v>340</v>
      </c>
      <c r="D7995">
        <v>10</v>
      </c>
      <c r="E7995" s="80">
        <v>35650</v>
      </c>
    </row>
    <row r="7996" spans="1:5">
      <c r="A7996">
        <v>10625</v>
      </c>
      <c r="B7996" t="s">
        <v>174</v>
      </c>
      <c r="C7996">
        <v>340</v>
      </c>
      <c r="D7996">
        <v>10</v>
      </c>
      <c r="E7996" s="80">
        <v>35650</v>
      </c>
    </row>
    <row r="7997" spans="1:5">
      <c r="A7997">
        <v>10625</v>
      </c>
      <c r="B7997" t="s">
        <v>175</v>
      </c>
      <c r="C7997">
        <v>340</v>
      </c>
      <c r="D7997">
        <v>10</v>
      </c>
      <c r="E7997" s="80">
        <v>35650</v>
      </c>
    </row>
    <row r="7998" spans="1:5">
      <c r="A7998">
        <v>10625</v>
      </c>
      <c r="B7998" t="s">
        <v>176</v>
      </c>
      <c r="C7998">
        <v>340</v>
      </c>
      <c r="D7998">
        <v>10</v>
      </c>
      <c r="E7998" s="80">
        <v>35650</v>
      </c>
    </row>
    <row r="7999" spans="1:5">
      <c r="A7999">
        <v>10625</v>
      </c>
      <c r="B7999" t="s">
        <v>177</v>
      </c>
      <c r="C7999">
        <v>340</v>
      </c>
      <c r="D7999">
        <v>10</v>
      </c>
      <c r="E7999" s="80">
        <v>35650</v>
      </c>
    </row>
    <row r="8000" spans="1:5">
      <c r="A8000">
        <v>10625</v>
      </c>
      <c r="B8000" t="s">
        <v>178</v>
      </c>
      <c r="C8000">
        <v>340</v>
      </c>
      <c r="D8000">
        <v>10</v>
      </c>
      <c r="E8000" s="80">
        <v>35650</v>
      </c>
    </row>
    <row r="8001" spans="1:5">
      <c r="A8001">
        <v>10625</v>
      </c>
      <c r="B8001" t="s">
        <v>179</v>
      </c>
      <c r="C8001">
        <v>340</v>
      </c>
      <c r="D8001">
        <v>10</v>
      </c>
      <c r="E8001" s="80">
        <v>35650</v>
      </c>
    </row>
    <row r="8002" spans="1:5">
      <c r="A8002">
        <v>10626</v>
      </c>
      <c r="B8002" t="s">
        <v>172</v>
      </c>
      <c r="C8002">
        <v>393.6</v>
      </c>
      <c r="D8002">
        <v>12</v>
      </c>
      <c r="E8002" s="80">
        <v>35653</v>
      </c>
    </row>
    <row r="8003" spans="1:5">
      <c r="A8003">
        <v>10626</v>
      </c>
      <c r="B8003" t="s">
        <v>173</v>
      </c>
      <c r="C8003">
        <v>393.6</v>
      </c>
      <c r="D8003">
        <v>12</v>
      </c>
      <c r="E8003" s="80">
        <v>35653</v>
      </c>
    </row>
    <row r="8004" spans="1:5">
      <c r="A8004">
        <v>10626</v>
      </c>
      <c r="B8004" t="s">
        <v>174</v>
      </c>
      <c r="C8004">
        <v>393.6</v>
      </c>
      <c r="D8004">
        <v>12</v>
      </c>
      <c r="E8004" s="80">
        <v>35653</v>
      </c>
    </row>
    <row r="8005" spans="1:5">
      <c r="A8005">
        <v>10626</v>
      </c>
      <c r="B8005" t="s">
        <v>175</v>
      </c>
      <c r="C8005">
        <v>393.6</v>
      </c>
      <c r="D8005">
        <v>12</v>
      </c>
      <c r="E8005" s="80">
        <v>35653</v>
      </c>
    </row>
    <row r="8006" spans="1:5">
      <c r="A8006">
        <v>10626</v>
      </c>
      <c r="B8006" t="s">
        <v>176</v>
      </c>
      <c r="C8006">
        <v>393.6</v>
      </c>
      <c r="D8006">
        <v>12</v>
      </c>
      <c r="E8006" s="80">
        <v>35653</v>
      </c>
    </row>
    <row r="8007" spans="1:5">
      <c r="A8007">
        <v>10626</v>
      </c>
      <c r="B8007" t="s">
        <v>177</v>
      </c>
      <c r="C8007">
        <v>393.6</v>
      </c>
      <c r="D8007">
        <v>12</v>
      </c>
      <c r="E8007" s="80">
        <v>35653</v>
      </c>
    </row>
    <row r="8008" spans="1:5">
      <c r="A8008">
        <v>10626</v>
      </c>
      <c r="B8008" t="s">
        <v>178</v>
      </c>
      <c r="C8008">
        <v>393.6</v>
      </c>
      <c r="D8008">
        <v>12</v>
      </c>
      <c r="E8008" s="80">
        <v>35653</v>
      </c>
    </row>
    <row r="8009" spans="1:5">
      <c r="A8009">
        <v>10626</v>
      </c>
      <c r="B8009" t="s">
        <v>179</v>
      </c>
      <c r="C8009">
        <v>393.6</v>
      </c>
      <c r="D8009">
        <v>12</v>
      </c>
      <c r="E8009" s="80">
        <v>35653</v>
      </c>
    </row>
    <row r="8010" spans="1:5">
      <c r="A8010">
        <v>10626</v>
      </c>
      <c r="B8010" t="s">
        <v>172</v>
      </c>
      <c r="C8010">
        <v>680</v>
      </c>
      <c r="D8010">
        <v>20</v>
      </c>
      <c r="E8010" s="80">
        <v>35653</v>
      </c>
    </row>
    <row r="8011" spans="1:5">
      <c r="A8011">
        <v>10626</v>
      </c>
      <c r="B8011" t="s">
        <v>173</v>
      </c>
      <c r="C8011">
        <v>680</v>
      </c>
      <c r="D8011">
        <v>20</v>
      </c>
      <c r="E8011" s="80">
        <v>35653</v>
      </c>
    </row>
    <row r="8012" spans="1:5">
      <c r="A8012">
        <v>10626</v>
      </c>
      <c r="B8012" t="s">
        <v>174</v>
      </c>
      <c r="C8012">
        <v>680</v>
      </c>
      <c r="D8012">
        <v>20</v>
      </c>
      <c r="E8012" s="80">
        <v>35653</v>
      </c>
    </row>
    <row r="8013" spans="1:5">
      <c r="A8013">
        <v>10626</v>
      </c>
      <c r="B8013" t="s">
        <v>175</v>
      </c>
      <c r="C8013">
        <v>680</v>
      </c>
      <c r="D8013">
        <v>20</v>
      </c>
      <c r="E8013" s="80">
        <v>35653</v>
      </c>
    </row>
    <row r="8014" spans="1:5">
      <c r="A8014">
        <v>10626</v>
      </c>
      <c r="B8014" t="s">
        <v>176</v>
      </c>
      <c r="C8014">
        <v>680</v>
      </c>
      <c r="D8014">
        <v>20</v>
      </c>
      <c r="E8014" s="80">
        <v>35653</v>
      </c>
    </row>
    <row r="8015" spans="1:5">
      <c r="A8015">
        <v>10626</v>
      </c>
      <c r="B8015" t="s">
        <v>177</v>
      </c>
      <c r="C8015">
        <v>680</v>
      </c>
      <c r="D8015">
        <v>20</v>
      </c>
      <c r="E8015" s="80">
        <v>35653</v>
      </c>
    </row>
    <row r="8016" spans="1:5">
      <c r="A8016">
        <v>10626</v>
      </c>
      <c r="B8016" t="s">
        <v>178</v>
      </c>
      <c r="C8016">
        <v>680</v>
      </c>
      <c r="D8016">
        <v>20</v>
      </c>
      <c r="E8016" s="80">
        <v>35653</v>
      </c>
    </row>
    <row r="8017" spans="1:5">
      <c r="A8017">
        <v>10626</v>
      </c>
      <c r="B8017" t="s">
        <v>179</v>
      </c>
      <c r="C8017">
        <v>680</v>
      </c>
      <c r="D8017">
        <v>20</v>
      </c>
      <c r="E8017" s="80">
        <v>35653</v>
      </c>
    </row>
    <row r="8018" spans="1:5">
      <c r="A8018">
        <v>10626</v>
      </c>
      <c r="B8018" t="s">
        <v>172</v>
      </c>
      <c r="C8018">
        <v>430</v>
      </c>
      <c r="D8018">
        <v>20</v>
      </c>
      <c r="E8018" s="80">
        <v>35653</v>
      </c>
    </row>
    <row r="8019" spans="1:5">
      <c r="A8019">
        <v>10626</v>
      </c>
      <c r="B8019" t="s">
        <v>173</v>
      </c>
      <c r="C8019">
        <v>430</v>
      </c>
      <c r="D8019">
        <v>20</v>
      </c>
      <c r="E8019" s="80">
        <v>35653</v>
      </c>
    </row>
    <row r="8020" spans="1:5">
      <c r="A8020">
        <v>10626</v>
      </c>
      <c r="B8020" t="s">
        <v>174</v>
      </c>
      <c r="C8020">
        <v>430</v>
      </c>
      <c r="D8020">
        <v>20</v>
      </c>
      <c r="E8020" s="80">
        <v>35653</v>
      </c>
    </row>
    <row r="8021" spans="1:5">
      <c r="A8021">
        <v>10626</v>
      </c>
      <c r="B8021" t="s">
        <v>175</v>
      </c>
      <c r="C8021">
        <v>430</v>
      </c>
      <c r="D8021">
        <v>20</v>
      </c>
      <c r="E8021" s="80">
        <v>35653</v>
      </c>
    </row>
    <row r="8022" spans="1:5">
      <c r="A8022">
        <v>10626</v>
      </c>
      <c r="B8022" t="s">
        <v>176</v>
      </c>
      <c r="C8022">
        <v>430</v>
      </c>
      <c r="D8022">
        <v>20</v>
      </c>
      <c r="E8022" s="80">
        <v>35653</v>
      </c>
    </row>
    <row r="8023" spans="1:5">
      <c r="A8023">
        <v>10626</v>
      </c>
      <c r="B8023" t="s">
        <v>177</v>
      </c>
      <c r="C8023">
        <v>430</v>
      </c>
      <c r="D8023">
        <v>20</v>
      </c>
      <c r="E8023" s="80">
        <v>35653</v>
      </c>
    </row>
    <row r="8024" spans="1:5">
      <c r="A8024">
        <v>10626</v>
      </c>
      <c r="B8024" t="s">
        <v>178</v>
      </c>
      <c r="C8024">
        <v>430</v>
      </c>
      <c r="D8024">
        <v>20</v>
      </c>
      <c r="E8024" s="80">
        <v>35653</v>
      </c>
    </row>
    <row r="8025" spans="1:5">
      <c r="A8025">
        <v>10626</v>
      </c>
      <c r="B8025" t="s">
        <v>179</v>
      </c>
      <c r="C8025">
        <v>430</v>
      </c>
      <c r="D8025">
        <v>20</v>
      </c>
      <c r="E8025" s="80">
        <v>35653</v>
      </c>
    </row>
    <row r="8026" spans="1:5">
      <c r="A8026">
        <v>10627</v>
      </c>
      <c r="B8026" t="s">
        <v>172</v>
      </c>
      <c r="C8026">
        <v>739.5</v>
      </c>
      <c r="D8026">
        <v>15</v>
      </c>
      <c r="E8026" s="80">
        <v>35653</v>
      </c>
    </row>
    <row r="8027" spans="1:5">
      <c r="A8027">
        <v>10627</v>
      </c>
      <c r="B8027" t="s">
        <v>173</v>
      </c>
      <c r="C8027">
        <v>739.5</v>
      </c>
      <c r="D8027">
        <v>15</v>
      </c>
      <c r="E8027" s="80">
        <v>35653</v>
      </c>
    </row>
    <row r="8028" spans="1:5">
      <c r="A8028">
        <v>10627</v>
      </c>
      <c r="B8028" t="s">
        <v>174</v>
      </c>
      <c r="C8028">
        <v>739.5</v>
      </c>
      <c r="D8028">
        <v>15</v>
      </c>
      <c r="E8028" s="80">
        <v>35653</v>
      </c>
    </row>
    <row r="8029" spans="1:5">
      <c r="A8029">
        <v>10627</v>
      </c>
      <c r="B8029" t="s">
        <v>175</v>
      </c>
      <c r="C8029">
        <v>739.5</v>
      </c>
      <c r="D8029">
        <v>15</v>
      </c>
      <c r="E8029" s="80">
        <v>35653</v>
      </c>
    </row>
    <row r="8030" spans="1:5">
      <c r="A8030">
        <v>10627</v>
      </c>
      <c r="B8030" t="s">
        <v>176</v>
      </c>
      <c r="C8030">
        <v>739.5</v>
      </c>
      <c r="D8030">
        <v>15</v>
      </c>
      <c r="E8030" s="80">
        <v>35653</v>
      </c>
    </row>
    <row r="8031" spans="1:5">
      <c r="A8031">
        <v>10627</v>
      </c>
      <c r="B8031" t="s">
        <v>177</v>
      </c>
      <c r="C8031">
        <v>739.5</v>
      </c>
      <c r="D8031">
        <v>15</v>
      </c>
      <c r="E8031" s="80">
        <v>35653</v>
      </c>
    </row>
    <row r="8032" spans="1:5">
      <c r="A8032">
        <v>10627</v>
      </c>
      <c r="B8032" t="s">
        <v>178</v>
      </c>
      <c r="C8032">
        <v>739.5</v>
      </c>
      <c r="D8032">
        <v>15</v>
      </c>
      <c r="E8032" s="80">
        <v>35653</v>
      </c>
    </row>
    <row r="8033" spans="1:5">
      <c r="A8033">
        <v>10627</v>
      </c>
      <c r="B8033" t="s">
        <v>179</v>
      </c>
      <c r="C8033">
        <v>739.5</v>
      </c>
      <c r="D8033">
        <v>15</v>
      </c>
      <c r="E8033" s="80">
        <v>35653</v>
      </c>
    </row>
    <row r="8034" spans="1:5">
      <c r="A8034">
        <v>10627</v>
      </c>
      <c r="B8034" t="s">
        <v>172</v>
      </c>
      <c r="C8034">
        <v>446.24999687075615</v>
      </c>
      <c r="D8034">
        <v>35</v>
      </c>
      <c r="E8034" s="80">
        <v>35653</v>
      </c>
    </row>
    <row r="8035" spans="1:5">
      <c r="A8035">
        <v>10627</v>
      </c>
      <c r="B8035" t="s">
        <v>173</v>
      </c>
      <c r="C8035">
        <v>446.24999687075615</v>
      </c>
      <c r="D8035">
        <v>35</v>
      </c>
      <c r="E8035" s="80">
        <v>35653</v>
      </c>
    </row>
    <row r="8036" spans="1:5">
      <c r="A8036">
        <v>10627</v>
      </c>
      <c r="B8036" t="s">
        <v>174</v>
      </c>
      <c r="C8036">
        <v>446.24999687075615</v>
      </c>
      <c r="D8036">
        <v>35</v>
      </c>
      <c r="E8036" s="80">
        <v>35653</v>
      </c>
    </row>
    <row r="8037" spans="1:5">
      <c r="A8037">
        <v>10627</v>
      </c>
      <c r="B8037" t="s">
        <v>175</v>
      </c>
      <c r="C8037">
        <v>446.24999687075615</v>
      </c>
      <c r="D8037">
        <v>35</v>
      </c>
      <c r="E8037" s="80">
        <v>35653</v>
      </c>
    </row>
    <row r="8038" spans="1:5">
      <c r="A8038">
        <v>10627</v>
      </c>
      <c r="B8038" t="s">
        <v>176</v>
      </c>
      <c r="C8038">
        <v>446.24999687075615</v>
      </c>
      <c r="D8038">
        <v>35</v>
      </c>
      <c r="E8038" s="80">
        <v>35653</v>
      </c>
    </row>
    <row r="8039" spans="1:5">
      <c r="A8039">
        <v>10627</v>
      </c>
      <c r="B8039" t="s">
        <v>177</v>
      </c>
      <c r="C8039">
        <v>446.24999687075615</v>
      </c>
      <c r="D8039">
        <v>35</v>
      </c>
      <c r="E8039" s="80">
        <v>35653</v>
      </c>
    </row>
    <row r="8040" spans="1:5">
      <c r="A8040">
        <v>10627</v>
      </c>
      <c r="B8040" t="s">
        <v>178</v>
      </c>
      <c r="C8040">
        <v>446.24999687075615</v>
      </c>
      <c r="D8040">
        <v>35</v>
      </c>
      <c r="E8040" s="80">
        <v>35653</v>
      </c>
    </row>
    <row r="8041" spans="1:5">
      <c r="A8041">
        <v>10627</v>
      </c>
      <c r="B8041" t="s">
        <v>179</v>
      </c>
      <c r="C8041">
        <v>446.24999687075615</v>
      </c>
      <c r="D8041">
        <v>35</v>
      </c>
      <c r="E8041" s="80">
        <v>35653</v>
      </c>
    </row>
    <row r="8042" spans="1:5">
      <c r="A8042">
        <v>10628</v>
      </c>
      <c r="B8042" t="s">
        <v>172</v>
      </c>
      <c r="C8042">
        <v>450</v>
      </c>
      <c r="D8042">
        <v>25</v>
      </c>
      <c r="E8042" s="80">
        <v>35654</v>
      </c>
    </row>
    <row r="8043" spans="1:5">
      <c r="A8043">
        <v>10628</v>
      </c>
      <c r="B8043" t="s">
        <v>173</v>
      </c>
      <c r="C8043">
        <v>450</v>
      </c>
      <c r="D8043">
        <v>25</v>
      </c>
      <c r="E8043" s="80">
        <v>35654</v>
      </c>
    </row>
    <row r="8044" spans="1:5">
      <c r="A8044">
        <v>10628</v>
      </c>
      <c r="B8044" t="s">
        <v>174</v>
      </c>
      <c r="C8044">
        <v>450</v>
      </c>
      <c r="D8044">
        <v>25</v>
      </c>
      <c r="E8044" s="80">
        <v>35654</v>
      </c>
    </row>
    <row r="8045" spans="1:5">
      <c r="A8045">
        <v>10628</v>
      </c>
      <c r="B8045" t="s">
        <v>175</v>
      </c>
      <c r="C8045">
        <v>450</v>
      </c>
      <c r="D8045">
        <v>25</v>
      </c>
      <c r="E8045" s="80">
        <v>35654</v>
      </c>
    </row>
    <row r="8046" spans="1:5">
      <c r="A8046">
        <v>10628</v>
      </c>
      <c r="B8046" t="s">
        <v>176</v>
      </c>
      <c r="C8046">
        <v>450</v>
      </c>
      <c r="D8046">
        <v>25</v>
      </c>
      <c r="E8046" s="80">
        <v>35654</v>
      </c>
    </row>
    <row r="8047" spans="1:5">
      <c r="A8047">
        <v>10628</v>
      </c>
      <c r="B8047" t="s">
        <v>177</v>
      </c>
      <c r="C8047">
        <v>450</v>
      </c>
      <c r="D8047">
        <v>25</v>
      </c>
      <c r="E8047" s="80">
        <v>35654</v>
      </c>
    </row>
    <row r="8048" spans="1:5">
      <c r="A8048">
        <v>10628</v>
      </c>
      <c r="B8048" t="s">
        <v>178</v>
      </c>
      <c r="C8048">
        <v>450</v>
      </c>
      <c r="D8048">
        <v>25</v>
      </c>
      <c r="E8048" s="80">
        <v>35654</v>
      </c>
    </row>
    <row r="8049" spans="1:5">
      <c r="A8049">
        <v>10628</v>
      </c>
      <c r="B8049" t="s">
        <v>179</v>
      </c>
      <c r="C8049">
        <v>450</v>
      </c>
      <c r="D8049">
        <v>25</v>
      </c>
      <c r="E8049" s="80">
        <v>35654</v>
      </c>
    </row>
    <row r="8050" spans="1:5">
      <c r="A8050">
        <v>10629</v>
      </c>
      <c r="B8050" t="s">
        <v>172</v>
      </c>
      <c r="C8050">
        <v>2475.8000000000002</v>
      </c>
      <c r="D8050">
        <v>20</v>
      </c>
      <c r="E8050" s="80">
        <v>35654</v>
      </c>
    </row>
    <row r="8051" spans="1:5">
      <c r="A8051">
        <v>10629</v>
      </c>
      <c r="B8051" t="s">
        <v>173</v>
      </c>
      <c r="C8051">
        <v>2475.8000000000002</v>
      </c>
      <c r="D8051">
        <v>20</v>
      </c>
      <c r="E8051" s="80">
        <v>35654</v>
      </c>
    </row>
    <row r="8052" spans="1:5">
      <c r="A8052">
        <v>10629</v>
      </c>
      <c r="B8052" t="s">
        <v>174</v>
      </c>
      <c r="C8052">
        <v>2475.8000000000002</v>
      </c>
      <c r="D8052">
        <v>20</v>
      </c>
      <c r="E8052" s="80">
        <v>35654</v>
      </c>
    </row>
    <row r="8053" spans="1:5">
      <c r="A8053">
        <v>10629</v>
      </c>
      <c r="B8053" t="s">
        <v>175</v>
      </c>
      <c r="C8053">
        <v>2475.8000000000002</v>
      </c>
      <c r="D8053">
        <v>20</v>
      </c>
      <c r="E8053" s="80">
        <v>35654</v>
      </c>
    </row>
    <row r="8054" spans="1:5">
      <c r="A8054">
        <v>10629</v>
      </c>
      <c r="B8054" t="s">
        <v>176</v>
      </c>
      <c r="C8054">
        <v>2475.8000000000002</v>
      </c>
      <c r="D8054">
        <v>20</v>
      </c>
      <c r="E8054" s="80">
        <v>35654</v>
      </c>
    </row>
    <row r="8055" spans="1:5">
      <c r="A8055">
        <v>10629</v>
      </c>
      <c r="B8055" t="s">
        <v>177</v>
      </c>
      <c r="C8055">
        <v>2475.8000000000002</v>
      </c>
      <c r="D8055">
        <v>20</v>
      </c>
      <c r="E8055" s="80">
        <v>35654</v>
      </c>
    </row>
    <row r="8056" spans="1:5">
      <c r="A8056">
        <v>10629</v>
      </c>
      <c r="B8056" t="s">
        <v>178</v>
      </c>
      <c r="C8056">
        <v>2475.8000000000002</v>
      </c>
      <c r="D8056">
        <v>20</v>
      </c>
      <c r="E8056" s="80">
        <v>35654</v>
      </c>
    </row>
    <row r="8057" spans="1:5">
      <c r="A8057">
        <v>10629</v>
      </c>
      <c r="B8057" t="s">
        <v>179</v>
      </c>
      <c r="C8057">
        <v>2475.8000000000002</v>
      </c>
      <c r="D8057">
        <v>20</v>
      </c>
      <c r="E8057" s="80">
        <v>35654</v>
      </c>
    </row>
    <row r="8058" spans="1:5">
      <c r="A8058">
        <v>10629</v>
      </c>
      <c r="B8058" t="s">
        <v>172</v>
      </c>
      <c r="C8058">
        <v>299.25</v>
      </c>
      <c r="D8058">
        <v>9</v>
      </c>
      <c r="E8058" s="80">
        <v>35654</v>
      </c>
    </row>
    <row r="8059" spans="1:5">
      <c r="A8059">
        <v>10629</v>
      </c>
      <c r="B8059" t="s">
        <v>173</v>
      </c>
      <c r="C8059">
        <v>299.25</v>
      </c>
      <c r="D8059">
        <v>9</v>
      </c>
      <c r="E8059" s="80">
        <v>35654</v>
      </c>
    </row>
    <row r="8060" spans="1:5">
      <c r="A8060">
        <v>10629</v>
      </c>
      <c r="B8060" t="s">
        <v>174</v>
      </c>
      <c r="C8060">
        <v>299.25</v>
      </c>
      <c r="D8060">
        <v>9</v>
      </c>
      <c r="E8060" s="80">
        <v>35654</v>
      </c>
    </row>
    <row r="8061" spans="1:5">
      <c r="A8061">
        <v>10629</v>
      </c>
      <c r="B8061" t="s">
        <v>175</v>
      </c>
      <c r="C8061">
        <v>299.25</v>
      </c>
      <c r="D8061">
        <v>9</v>
      </c>
      <c r="E8061" s="80">
        <v>35654</v>
      </c>
    </row>
    <row r="8062" spans="1:5">
      <c r="A8062">
        <v>10629</v>
      </c>
      <c r="B8062" t="s">
        <v>176</v>
      </c>
      <c r="C8062">
        <v>299.25</v>
      </c>
      <c r="D8062">
        <v>9</v>
      </c>
      <c r="E8062" s="80">
        <v>35654</v>
      </c>
    </row>
    <row r="8063" spans="1:5">
      <c r="A8063">
        <v>10629</v>
      </c>
      <c r="B8063" t="s">
        <v>177</v>
      </c>
      <c r="C8063">
        <v>299.25</v>
      </c>
      <c r="D8063">
        <v>9</v>
      </c>
      <c r="E8063" s="80">
        <v>35654</v>
      </c>
    </row>
    <row r="8064" spans="1:5">
      <c r="A8064">
        <v>10629</v>
      </c>
      <c r="B8064" t="s">
        <v>178</v>
      </c>
      <c r="C8064">
        <v>299.25</v>
      </c>
      <c r="D8064">
        <v>9</v>
      </c>
      <c r="E8064" s="80">
        <v>35654</v>
      </c>
    </row>
    <row r="8065" spans="1:5">
      <c r="A8065">
        <v>10629</v>
      </c>
      <c r="B8065" t="s">
        <v>179</v>
      </c>
      <c r="C8065">
        <v>299.25</v>
      </c>
      <c r="D8065">
        <v>9</v>
      </c>
      <c r="E8065" s="80">
        <v>35654</v>
      </c>
    </row>
    <row r="8066" spans="1:5">
      <c r="A8066">
        <v>10630</v>
      </c>
      <c r="B8066" t="s">
        <v>172</v>
      </c>
      <c r="C8066">
        <v>273.59999978542328</v>
      </c>
      <c r="D8066">
        <v>12</v>
      </c>
      <c r="E8066" s="80">
        <v>35655</v>
      </c>
    </row>
    <row r="8067" spans="1:5">
      <c r="A8067">
        <v>10630</v>
      </c>
      <c r="B8067" t="s">
        <v>173</v>
      </c>
      <c r="C8067">
        <v>273.59999978542328</v>
      </c>
      <c r="D8067">
        <v>12</v>
      </c>
      <c r="E8067" s="80">
        <v>35655</v>
      </c>
    </row>
    <row r="8068" spans="1:5">
      <c r="A8068">
        <v>10630</v>
      </c>
      <c r="B8068" t="s">
        <v>174</v>
      </c>
      <c r="C8068">
        <v>273.59999978542328</v>
      </c>
      <c r="D8068">
        <v>12</v>
      </c>
      <c r="E8068" s="80">
        <v>35655</v>
      </c>
    </row>
    <row r="8069" spans="1:5">
      <c r="A8069">
        <v>10630</v>
      </c>
      <c r="B8069" t="s">
        <v>175</v>
      </c>
      <c r="C8069">
        <v>273.59999978542328</v>
      </c>
      <c r="D8069">
        <v>12</v>
      </c>
      <c r="E8069" s="80">
        <v>35655</v>
      </c>
    </row>
    <row r="8070" spans="1:5">
      <c r="A8070">
        <v>10630</v>
      </c>
      <c r="B8070" t="s">
        <v>176</v>
      </c>
      <c r="C8070">
        <v>273.59999978542328</v>
      </c>
      <c r="D8070">
        <v>12</v>
      </c>
      <c r="E8070" s="80">
        <v>35655</v>
      </c>
    </row>
    <row r="8071" spans="1:5">
      <c r="A8071">
        <v>10630</v>
      </c>
      <c r="B8071" t="s">
        <v>177</v>
      </c>
      <c r="C8071">
        <v>273.59999978542328</v>
      </c>
      <c r="D8071">
        <v>12</v>
      </c>
      <c r="E8071" s="80">
        <v>35655</v>
      </c>
    </row>
    <row r="8072" spans="1:5">
      <c r="A8072">
        <v>10630</v>
      </c>
      <c r="B8072" t="s">
        <v>178</v>
      </c>
      <c r="C8072">
        <v>273.59999978542328</v>
      </c>
      <c r="D8072">
        <v>12</v>
      </c>
      <c r="E8072" s="80">
        <v>35655</v>
      </c>
    </row>
    <row r="8073" spans="1:5">
      <c r="A8073">
        <v>10630</v>
      </c>
      <c r="B8073" t="s">
        <v>179</v>
      </c>
      <c r="C8073">
        <v>273.59999978542328</v>
      </c>
      <c r="D8073">
        <v>12</v>
      </c>
      <c r="E8073" s="80">
        <v>35655</v>
      </c>
    </row>
    <row r="8074" spans="1:5">
      <c r="A8074">
        <v>10630</v>
      </c>
      <c r="B8074" t="s">
        <v>172</v>
      </c>
      <c r="C8074">
        <v>630</v>
      </c>
      <c r="D8074">
        <v>35</v>
      </c>
      <c r="E8074" s="80">
        <v>35655</v>
      </c>
    </row>
    <row r="8075" spans="1:5">
      <c r="A8075">
        <v>10630</v>
      </c>
      <c r="B8075" t="s">
        <v>173</v>
      </c>
      <c r="C8075">
        <v>630</v>
      </c>
      <c r="D8075">
        <v>35</v>
      </c>
      <c r="E8075" s="80">
        <v>35655</v>
      </c>
    </row>
    <row r="8076" spans="1:5">
      <c r="A8076">
        <v>10630</v>
      </c>
      <c r="B8076" t="s">
        <v>174</v>
      </c>
      <c r="C8076">
        <v>630</v>
      </c>
      <c r="D8076">
        <v>35</v>
      </c>
      <c r="E8076" s="80">
        <v>35655</v>
      </c>
    </row>
    <row r="8077" spans="1:5">
      <c r="A8077">
        <v>10630</v>
      </c>
      <c r="B8077" t="s">
        <v>175</v>
      </c>
      <c r="C8077">
        <v>630</v>
      </c>
      <c r="D8077">
        <v>35</v>
      </c>
      <c r="E8077" s="80">
        <v>35655</v>
      </c>
    </row>
    <row r="8078" spans="1:5">
      <c r="A8078">
        <v>10630</v>
      </c>
      <c r="B8078" t="s">
        <v>176</v>
      </c>
      <c r="C8078">
        <v>630</v>
      </c>
      <c r="D8078">
        <v>35</v>
      </c>
      <c r="E8078" s="80">
        <v>35655</v>
      </c>
    </row>
    <row r="8079" spans="1:5">
      <c r="A8079">
        <v>10630</v>
      </c>
      <c r="B8079" t="s">
        <v>177</v>
      </c>
      <c r="C8079">
        <v>630</v>
      </c>
      <c r="D8079">
        <v>35</v>
      </c>
      <c r="E8079" s="80">
        <v>35655</v>
      </c>
    </row>
    <row r="8080" spans="1:5">
      <c r="A8080">
        <v>10630</v>
      </c>
      <c r="B8080" t="s">
        <v>178</v>
      </c>
      <c r="C8080">
        <v>630</v>
      </c>
      <c r="D8080">
        <v>35</v>
      </c>
      <c r="E8080" s="80">
        <v>35655</v>
      </c>
    </row>
    <row r="8081" spans="1:5">
      <c r="A8081">
        <v>10630</v>
      </c>
      <c r="B8081" t="s">
        <v>179</v>
      </c>
      <c r="C8081">
        <v>630</v>
      </c>
      <c r="D8081">
        <v>35</v>
      </c>
      <c r="E8081" s="80">
        <v>35655</v>
      </c>
    </row>
    <row r="8082" spans="1:5">
      <c r="A8082">
        <v>10631</v>
      </c>
      <c r="B8082" t="s">
        <v>172</v>
      </c>
      <c r="C8082">
        <v>55.799999907612801</v>
      </c>
      <c r="D8082">
        <v>8</v>
      </c>
      <c r="E8082" s="80">
        <v>35656</v>
      </c>
    </row>
    <row r="8083" spans="1:5">
      <c r="A8083">
        <v>10631</v>
      </c>
      <c r="B8083" t="s">
        <v>173</v>
      </c>
      <c r="C8083">
        <v>55.799999907612801</v>
      </c>
      <c r="D8083">
        <v>8</v>
      </c>
      <c r="E8083" s="80">
        <v>35656</v>
      </c>
    </row>
    <row r="8084" spans="1:5">
      <c r="A8084">
        <v>10631</v>
      </c>
      <c r="B8084" t="s">
        <v>174</v>
      </c>
      <c r="C8084">
        <v>55.799999907612801</v>
      </c>
      <c r="D8084">
        <v>8</v>
      </c>
      <c r="E8084" s="80">
        <v>35656</v>
      </c>
    </row>
    <row r="8085" spans="1:5">
      <c r="A8085">
        <v>10631</v>
      </c>
      <c r="B8085" t="s">
        <v>175</v>
      </c>
      <c r="C8085">
        <v>55.799999907612801</v>
      </c>
      <c r="D8085">
        <v>8</v>
      </c>
      <c r="E8085" s="80">
        <v>35656</v>
      </c>
    </row>
    <row r="8086" spans="1:5">
      <c r="A8086">
        <v>10631</v>
      </c>
      <c r="B8086" t="s">
        <v>176</v>
      </c>
      <c r="C8086">
        <v>55.799999907612801</v>
      </c>
      <c r="D8086">
        <v>8</v>
      </c>
      <c r="E8086" s="80">
        <v>35656</v>
      </c>
    </row>
    <row r="8087" spans="1:5">
      <c r="A8087">
        <v>10631</v>
      </c>
      <c r="B8087" t="s">
        <v>177</v>
      </c>
      <c r="C8087">
        <v>55.799999907612801</v>
      </c>
      <c r="D8087">
        <v>8</v>
      </c>
      <c r="E8087" s="80">
        <v>35656</v>
      </c>
    </row>
    <row r="8088" spans="1:5">
      <c r="A8088">
        <v>10631</v>
      </c>
      <c r="B8088" t="s">
        <v>178</v>
      </c>
      <c r="C8088">
        <v>55.799999907612801</v>
      </c>
      <c r="D8088">
        <v>8</v>
      </c>
      <c r="E8088" s="80">
        <v>35656</v>
      </c>
    </row>
    <row r="8089" spans="1:5">
      <c r="A8089">
        <v>10631</v>
      </c>
      <c r="B8089" t="s">
        <v>179</v>
      </c>
      <c r="C8089">
        <v>55.799999907612801</v>
      </c>
      <c r="D8089">
        <v>8</v>
      </c>
      <c r="E8089" s="80">
        <v>35656</v>
      </c>
    </row>
    <row r="8090" spans="1:5">
      <c r="A8090">
        <v>10632</v>
      </c>
      <c r="B8090" t="s">
        <v>172</v>
      </c>
      <c r="C8090">
        <v>541.49999957531691</v>
      </c>
      <c r="D8090">
        <v>30</v>
      </c>
      <c r="E8090" s="80">
        <v>35656</v>
      </c>
    </row>
    <row r="8091" spans="1:5">
      <c r="A8091">
        <v>10632</v>
      </c>
      <c r="B8091" t="s">
        <v>173</v>
      </c>
      <c r="C8091">
        <v>541.49999957531691</v>
      </c>
      <c r="D8091">
        <v>30</v>
      </c>
      <c r="E8091" s="80">
        <v>35656</v>
      </c>
    </row>
    <row r="8092" spans="1:5">
      <c r="A8092">
        <v>10632</v>
      </c>
      <c r="B8092" t="s">
        <v>174</v>
      </c>
      <c r="C8092">
        <v>541.49999957531691</v>
      </c>
      <c r="D8092">
        <v>30</v>
      </c>
      <c r="E8092" s="80">
        <v>35656</v>
      </c>
    </row>
    <row r="8093" spans="1:5">
      <c r="A8093">
        <v>10632</v>
      </c>
      <c r="B8093" t="s">
        <v>175</v>
      </c>
      <c r="C8093">
        <v>541.49999957531691</v>
      </c>
      <c r="D8093">
        <v>30</v>
      </c>
      <c r="E8093" s="80">
        <v>35656</v>
      </c>
    </row>
    <row r="8094" spans="1:5">
      <c r="A8094">
        <v>10632</v>
      </c>
      <c r="B8094" t="s">
        <v>176</v>
      </c>
      <c r="C8094">
        <v>541.49999957531691</v>
      </c>
      <c r="D8094">
        <v>30</v>
      </c>
      <c r="E8094" s="80">
        <v>35656</v>
      </c>
    </row>
    <row r="8095" spans="1:5">
      <c r="A8095">
        <v>10632</v>
      </c>
      <c r="B8095" t="s">
        <v>177</v>
      </c>
      <c r="C8095">
        <v>541.49999957531691</v>
      </c>
      <c r="D8095">
        <v>30</v>
      </c>
      <c r="E8095" s="80">
        <v>35656</v>
      </c>
    </row>
    <row r="8096" spans="1:5">
      <c r="A8096">
        <v>10632</v>
      </c>
      <c r="B8096" t="s">
        <v>178</v>
      </c>
      <c r="C8096">
        <v>541.49999957531691</v>
      </c>
      <c r="D8096">
        <v>30</v>
      </c>
      <c r="E8096" s="80">
        <v>35656</v>
      </c>
    </row>
    <row r="8097" spans="1:5">
      <c r="A8097">
        <v>10632</v>
      </c>
      <c r="B8097" t="s">
        <v>179</v>
      </c>
      <c r="C8097">
        <v>541.49999957531691</v>
      </c>
      <c r="D8097">
        <v>30</v>
      </c>
      <c r="E8097" s="80">
        <v>35656</v>
      </c>
    </row>
    <row r="8098" spans="1:5">
      <c r="A8098">
        <v>10632</v>
      </c>
      <c r="B8098" t="s">
        <v>172</v>
      </c>
      <c r="C8098">
        <v>47.499999962747097</v>
      </c>
      <c r="D8098">
        <v>20</v>
      </c>
      <c r="E8098" s="80">
        <v>35656</v>
      </c>
    </row>
    <row r="8099" spans="1:5">
      <c r="A8099">
        <v>10632</v>
      </c>
      <c r="B8099" t="s">
        <v>173</v>
      </c>
      <c r="C8099">
        <v>47.499999962747097</v>
      </c>
      <c r="D8099">
        <v>20</v>
      </c>
      <c r="E8099" s="80">
        <v>35656</v>
      </c>
    </row>
    <row r="8100" spans="1:5">
      <c r="A8100">
        <v>10632</v>
      </c>
      <c r="B8100" t="s">
        <v>174</v>
      </c>
      <c r="C8100">
        <v>47.499999962747097</v>
      </c>
      <c r="D8100">
        <v>20</v>
      </c>
      <c r="E8100" s="80">
        <v>35656</v>
      </c>
    </row>
    <row r="8101" spans="1:5">
      <c r="A8101">
        <v>10632</v>
      </c>
      <c r="B8101" t="s">
        <v>175</v>
      </c>
      <c r="C8101">
        <v>47.499999962747097</v>
      </c>
      <c r="D8101">
        <v>20</v>
      </c>
      <c r="E8101" s="80">
        <v>35656</v>
      </c>
    </row>
    <row r="8102" spans="1:5">
      <c r="A8102">
        <v>10632</v>
      </c>
      <c r="B8102" t="s">
        <v>176</v>
      </c>
      <c r="C8102">
        <v>47.499999962747097</v>
      </c>
      <c r="D8102">
        <v>20</v>
      </c>
      <c r="E8102" s="80">
        <v>35656</v>
      </c>
    </row>
    <row r="8103" spans="1:5">
      <c r="A8103">
        <v>10632</v>
      </c>
      <c r="B8103" t="s">
        <v>177</v>
      </c>
      <c r="C8103">
        <v>47.499999962747097</v>
      </c>
      <c r="D8103">
        <v>20</v>
      </c>
      <c r="E8103" s="80">
        <v>35656</v>
      </c>
    </row>
    <row r="8104" spans="1:5">
      <c r="A8104">
        <v>10632</v>
      </c>
      <c r="B8104" t="s">
        <v>178</v>
      </c>
      <c r="C8104">
        <v>47.499999962747097</v>
      </c>
      <c r="D8104">
        <v>20</v>
      </c>
      <c r="E8104" s="80">
        <v>35656</v>
      </c>
    </row>
    <row r="8105" spans="1:5">
      <c r="A8105">
        <v>10632</v>
      </c>
      <c r="B8105" t="s">
        <v>179</v>
      </c>
      <c r="C8105">
        <v>47.499999962747097</v>
      </c>
      <c r="D8105">
        <v>20</v>
      </c>
      <c r="E8105" s="80">
        <v>35656</v>
      </c>
    </row>
    <row r="8106" spans="1:5">
      <c r="A8106">
        <v>10633</v>
      </c>
      <c r="B8106" t="s">
        <v>172</v>
      </c>
      <c r="C8106">
        <v>1162.7999918460846</v>
      </c>
      <c r="D8106">
        <v>36</v>
      </c>
      <c r="E8106" s="80">
        <v>35657</v>
      </c>
    </row>
    <row r="8107" spans="1:5">
      <c r="A8107">
        <v>10633</v>
      </c>
      <c r="B8107" t="s">
        <v>173</v>
      </c>
      <c r="C8107">
        <v>1162.7999918460846</v>
      </c>
      <c r="D8107">
        <v>36</v>
      </c>
      <c r="E8107" s="80">
        <v>35657</v>
      </c>
    </row>
    <row r="8108" spans="1:5">
      <c r="A8108">
        <v>10633</v>
      </c>
      <c r="B8108" t="s">
        <v>174</v>
      </c>
      <c r="C8108">
        <v>1162.7999918460846</v>
      </c>
      <c r="D8108">
        <v>36</v>
      </c>
      <c r="E8108" s="80">
        <v>35657</v>
      </c>
    </row>
    <row r="8109" spans="1:5">
      <c r="A8109">
        <v>10633</v>
      </c>
      <c r="B8109" t="s">
        <v>175</v>
      </c>
      <c r="C8109">
        <v>1162.7999918460846</v>
      </c>
      <c r="D8109">
        <v>36</v>
      </c>
      <c r="E8109" s="80">
        <v>35657</v>
      </c>
    </row>
    <row r="8110" spans="1:5">
      <c r="A8110">
        <v>10633</v>
      </c>
      <c r="B8110" t="s">
        <v>176</v>
      </c>
      <c r="C8110">
        <v>1162.7999918460846</v>
      </c>
      <c r="D8110">
        <v>36</v>
      </c>
      <c r="E8110" s="80">
        <v>35657</v>
      </c>
    </row>
    <row r="8111" spans="1:5">
      <c r="A8111">
        <v>10633</v>
      </c>
      <c r="B8111" t="s">
        <v>177</v>
      </c>
      <c r="C8111">
        <v>1162.7999918460846</v>
      </c>
      <c r="D8111">
        <v>36</v>
      </c>
      <c r="E8111" s="80">
        <v>35657</v>
      </c>
    </row>
    <row r="8112" spans="1:5">
      <c r="A8112">
        <v>10633</v>
      </c>
      <c r="B8112" t="s">
        <v>178</v>
      </c>
      <c r="C8112">
        <v>1162.7999918460846</v>
      </c>
      <c r="D8112">
        <v>36</v>
      </c>
      <c r="E8112" s="80">
        <v>35657</v>
      </c>
    </row>
    <row r="8113" spans="1:5">
      <c r="A8113">
        <v>10633</v>
      </c>
      <c r="B8113" t="s">
        <v>179</v>
      </c>
      <c r="C8113">
        <v>1162.7999918460846</v>
      </c>
      <c r="D8113">
        <v>36</v>
      </c>
      <c r="E8113" s="80">
        <v>35657</v>
      </c>
    </row>
    <row r="8114" spans="1:5">
      <c r="A8114">
        <v>10633</v>
      </c>
      <c r="B8114" t="s">
        <v>172</v>
      </c>
      <c r="C8114">
        <v>66.299999535083771</v>
      </c>
      <c r="D8114">
        <v>13</v>
      </c>
      <c r="E8114" s="80">
        <v>35657</v>
      </c>
    </row>
    <row r="8115" spans="1:5">
      <c r="A8115">
        <v>10633</v>
      </c>
      <c r="B8115" t="s">
        <v>173</v>
      </c>
      <c r="C8115">
        <v>66.299999535083771</v>
      </c>
      <c r="D8115">
        <v>13</v>
      </c>
      <c r="E8115" s="80">
        <v>35657</v>
      </c>
    </row>
    <row r="8116" spans="1:5">
      <c r="A8116">
        <v>10633</v>
      </c>
      <c r="B8116" t="s">
        <v>174</v>
      </c>
      <c r="C8116">
        <v>66.299999535083771</v>
      </c>
      <c r="D8116">
        <v>13</v>
      </c>
      <c r="E8116" s="80">
        <v>35657</v>
      </c>
    </row>
    <row r="8117" spans="1:5">
      <c r="A8117">
        <v>10633</v>
      </c>
      <c r="B8117" t="s">
        <v>175</v>
      </c>
      <c r="C8117">
        <v>66.299999535083771</v>
      </c>
      <c r="D8117">
        <v>13</v>
      </c>
      <c r="E8117" s="80">
        <v>35657</v>
      </c>
    </row>
    <row r="8118" spans="1:5">
      <c r="A8118">
        <v>10633</v>
      </c>
      <c r="B8118" t="s">
        <v>176</v>
      </c>
      <c r="C8118">
        <v>66.299999535083771</v>
      </c>
      <c r="D8118">
        <v>13</v>
      </c>
      <c r="E8118" s="80">
        <v>35657</v>
      </c>
    </row>
    <row r="8119" spans="1:5">
      <c r="A8119">
        <v>10633</v>
      </c>
      <c r="B8119" t="s">
        <v>177</v>
      </c>
      <c r="C8119">
        <v>66.299999535083771</v>
      </c>
      <c r="D8119">
        <v>13</v>
      </c>
      <c r="E8119" s="80">
        <v>35657</v>
      </c>
    </row>
    <row r="8120" spans="1:5">
      <c r="A8120">
        <v>10633</v>
      </c>
      <c r="B8120" t="s">
        <v>178</v>
      </c>
      <c r="C8120">
        <v>66.299999535083771</v>
      </c>
      <c r="D8120">
        <v>13</v>
      </c>
      <c r="E8120" s="80">
        <v>35657</v>
      </c>
    </row>
    <row r="8121" spans="1:5">
      <c r="A8121">
        <v>10633</v>
      </c>
      <c r="B8121" t="s">
        <v>179</v>
      </c>
      <c r="C8121">
        <v>66.299999535083771</v>
      </c>
      <c r="D8121">
        <v>13</v>
      </c>
      <c r="E8121" s="80">
        <v>35657</v>
      </c>
    </row>
    <row r="8122" spans="1:5">
      <c r="A8122">
        <v>10633</v>
      </c>
      <c r="B8122" t="s">
        <v>172</v>
      </c>
      <c r="C8122">
        <v>929.09249348491426</v>
      </c>
      <c r="D8122">
        <v>35</v>
      </c>
      <c r="E8122" s="80">
        <v>35657</v>
      </c>
    </row>
    <row r="8123" spans="1:5">
      <c r="A8123">
        <v>10633</v>
      </c>
      <c r="B8123" t="s">
        <v>173</v>
      </c>
      <c r="C8123">
        <v>929.09249348491426</v>
      </c>
      <c r="D8123">
        <v>35</v>
      </c>
      <c r="E8123" s="80">
        <v>35657</v>
      </c>
    </row>
    <row r="8124" spans="1:5">
      <c r="A8124">
        <v>10633</v>
      </c>
      <c r="B8124" t="s">
        <v>174</v>
      </c>
      <c r="C8124">
        <v>929.09249348491426</v>
      </c>
      <c r="D8124">
        <v>35</v>
      </c>
      <c r="E8124" s="80">
        <v>35657</v>
      </c>
    </row>
    <row r="8125" spans="1:5">
      <c r="A8125">
        <v>10633</v>
      </c>
      <c r="B8125" t="s">
        <v>175</v>
      </c>
      <c r="C8125">
        <v>929.09249348491426</v>
      </c>
      <c r="D8125">
        <v>35</v>
      </c>
      <c r="E8125" s="80">
        <v>35657</v>
      </c>
    </row>
    <row r="8126" spans="1:5">
      <c r="A8126">
        <v>10633</v>
      </c>
      <c r="B8126" t="s">
        <v>176</v>
      </c>
      <c r="C8126">
        <v>929.09249348491426</v>
      </c>
      <c r="D8126">
        <v>35</v>
      </c>
      <c r="E8126" s="80">
        <v>35657</v>
      </c>
    </row>
    <row r="8127" spans="1:5">
      <c r="A8127">
        <v>10633</v>
      </c>
      <c r="B8127" t="s">
        <v>177</v>
      </c>
      <c r="C8127">
        <v>929.09249348491426</v>
      </c>
      <c r="D8127">
        <v>35</v>
      </c>
      <c r="E8127" s="80">
        <v>35657</v>
      </c>
    </row>
    <row r="8128" spans="1:5">
      <c r="A8128">
        <v>10633</v>
      </c>
      <c r="B8128" t="s">
        <v>178</v>
      </c>
      <c r="C8128">
        <v>929.09249348491426</v>
      </c>
      <c r="D8128">
        <v>35</v>
      </c>
      <c r="E8128" s="80">
        <v>35657</v>
      </c>
    </row>
    <row r="8129" spans="1:5">
      <c r="A8129">
        <v>10633</v>
      </c>
      <c r="B8129" t="s">
        <v>179</v>
      </c>
      <c r="C8129">
        <v>929.09249348491426</v>
      </c>
      <c r="D8129">
        <v>35</v>
      </c>
      <c r="E8129" s="80">
        <v>35657</v>
      </c>
    </row>
    <row r="8130" spans="1:5">
      <c r="A8130">
        <v>10633</v>
      </c>
      <c r="B8130" t="s">
        <v>172</v>
      </c>
      <c r="C8130">
        <v>3352.3999764919281</v>
      </c>
      <c r="D8130">
        <v>80</v>
      </c>
      <c r="E8130" s="80">
        <v>35657</v>
      </c>
    </row>
    <row r="8131" spans="1:5">
      <c r="A8131">
        <v>10633</v>
      </c>
      <c r="B8131" t="s">
        <v>173</v>
      </c>
      <c r="C8131">
        <v>3352.3999764919281</v>
      </c>
      <c r="D8131">
        <v>80</v>
      </c>
      <c r="E8131" s="80">
        <v>35657</v>
      </c>
    </row>
    <row r="8132" spans="1:5">
      <c r="A8132">
        <v>10633</v>
      </c>
      <c r="B8132" t="s">
        <v>174</v>
      </c>
      <c r="C8132">
        <v>3352.3999764919281</v>
      </c>
      <c r="D8132">
        <v>80</v>
      </c>
      <c r="E8132" s="80">
        <v>35657</v>
      </c>
    </row>
    <row r="8133" spans="1:5">
      <c r="A8133">
        <v>10633</v>
      </c>
      <c r="B8133" t="s">
        <v>175</v>
      </c>
      <c r="C8133">
        <v>3352.3999764919281</v>
      </c>
      <c r="D8133">
        <v>80</v>
      </c>
      <c r="E8133" s="80">
        <v>35657</v>
      </c>
    </row>
    <row r="8134" spans="1:5">
      <c r="A8134">
        <v>10633</v>
      </c>
      <c r="B8134" t="s">
        <v>176</v>
      </c>
      <c r="C8134">
        <v>3352.3999764919281</v>
      </c>
      <c r="D8134">
        <v>80</v>
      </c>
      <c r="E8134" s="80">
        <v>35657</v>
      </c>
    </row>
    <row r="8135" spans="1:5">
      <c r="A8135">
        <v>10633</v>
      </c>
      <c r="B8135" t="s">
        <v>177</v>
      </c>
      <c r="C8135">
        <v>3352.3999764919281</v>
      </c>
      <c r="D8135">
        <v>80</v>
      </c>
      <c r="E8135" s="80">
        <v>35657</v>
      </c>
    </row>
    <row r="8136" spans="1:5">
      <c r="A8136">
        <v>10633</v>
      </c>
      <c r="B8136" t="s">
        <v>178</v>
      </c>
      <c r="C8136">
        <v>3352.3999764919281</v>
      </c>
      <c r="D8136">
        <v>80</v>
      </c>
      <c r="E8136" s="80">
        <v>35657</v>
      </c>
    </row>
    <row r="8137" spans="1:5">
      <c r="A8137">
        <v>10633</v>
      </c>
      <c r="B8137" t="s">
        <v>179</v>
      </c>
      <c r="C8137">
        <v>3352.3999764919281</v>
      </c>
      <c r="D8137">
        <v>80</v>
      </c>
      <c r="E8137" s="80">
        <v>35657</v>
      </c>
    </row>
    <row r="8138" spans="1:5">
      <c r="A8138">
        <v>10634</v>
      </c>
      <c r="B8138" t="s">
        <v>172</v>
      </c>
      <c r="C8138">
        <v>1050</v>
      </c>
      <c r="D8138">
        <v>35</v>
      </c>
      <c r="E8138" s="80">
        <v>35657</v>
      </c>
    </row>
    <row r="8139" spans="1:5">
      <c r="A8139">
        <v>10634</v>
      </c>
      <c r="B8139" t="s">
        <v>173</v>
      </c>
      <c r="C8139">
        <v>1050</v>
      </c>
      <c r="D8139">
        <v>35</v>
      </c>
      <c r="E8139" s="80">
        <v>35657</v>
      </c>
    </row>
    <row r="8140" spans="1:5">
      <c r="A8140">
        <v>10634</v>
      </c>
      <c r="B8140" t="s">
        <v>174</v>
      </c>
      <c r="C8140">
        <v>1050</v>
      </c>
      <c r="D8140">
        <v>35</v>
      </c>
      <c r="E8140" s="80">
        <v>35657</v>
      </c>
    </row>
    <row r="8141" spans="1:5">
      <c r="A8141">
        <v>10634</v>
      </c>
      <c r="B8141" t="s">
        <v>175</v>
      </c>
      <c r="C8141">
        <v>1050</v>
      </c>
      <c r="D8141">
        <v>35</v>
      </c>
      <c r="E8141" s="80">
        <v>35657</v>
      </c>
    </row>
    <row r="8142" spans="1:5">
      <c r="A8142">
        <v>10634</v>
      </c>
      <c r="B8142" t="s">
        <v>176</v>
      </c>
      <c r="C8142">
        <v>1050</v>
      </c>
      <c r="D8142">
        <v>35</v>
      </c>
      <c r="E8142" s="80">
        <v>35657</v>
      </c>
    </row>
    <row r="8143" spans="1:5">
      <c r="A8143">
        <v>10634</v>
      </c>
      <c r="B8143" t="s">
        <v>177</v>
      </c>
      <c r="C8143">
        <v>1050</v>
      </c>
      <c r="D8143">
        <v>35</v>
      </c>
      <c r="E8143" s="80">
        <v>35657</v>
      </c>
    </row>
    <row r="8144" spans="1:5">
      <c r="A8144">
        <v>10634</v>
      </c>
      <c r="B8144" t="s">
        <v>178</v>
      </c>
      <c r="C8144">
        <v>1050</v>
      </c>
      <c r="D8144">
        <v>35</v>
      </c>
      <c r="E8144" s="80">
        <v>35657</v>
      </c>
    </row>
    <row r="8145" spans="1:5">
      <c r="A8145">
        <v>10634</v>
      </c>
      <c r="B8145" t="s">
        <v>179</v>
      </c>
      <c r="C8145">
        <v>1050</v>
      </c>
      <c r="D8145">
        <v>35</v>
      </c>
      <c r="E8145" s="80">
        <v>35657</v>
      </c>
    </row>
    <row r="8146" spans="1:5">
      <c r="A8146">
        <v>10634</v>
      </c>
      <c r="B8146" t="s">
        <v>172</v>
      </c>
      <c r="C8146">
        <v>3125</v>
      </c>
      <c r="D8146">
        <v>50</v>
      </c>
      <c r="E8146" s="80">
        <v>35657</v>
      </c>
    </row>
    <row r="8147" spans="1:5">
      <c r="A8147">
        <v>10634</v>
      </c>
      <c r="B8147" t="s">
        <v>173</v>
      </c>
      <c r="C8147">
        <v>3125</v>
      </c>
      <c r="D8147">
        <v>50</v>
      </c>
      <c r="E8147" s="80">
        <v>35657</v>
      </c>
    </row>
    <row r="8148" spans="1:5">
      <c r="A8148">
        <v>10634</v>
      </c>
      <c r="B8148" t="s">
        <v>174</v>
      </c>
      <c r="C8148">
        <v>3125</v>
      </c>
      <c r="D8148">
        <v>50</v>
      </c>
      <c r="E8148" s="80">
        <v>35657</v>
      </c>
    </row>
    <row r="8149" spans="1:5">
      <c r="A8149">
        <v>10634</v>
      </c>
      <c r="B8149" t="s">
        <v>175</v>
      </c>
      <c r="C8149">
        <v>3125</v>
      </c>
      <c r="D8149">
        <v>50</v>
      </c>
      <c r="E8149" s="80">
        <v>35657</v>
      </c>
    </row>
    <row r="8150" spans="1:5">
      <c r="A8150">
        <v>10634</v>
      </c>
      <c r="B8150" t="s">
        <v>176</v>
      </c>
      <c r="C8150">
        <v>3125</v>
      </c>
      <c r="D8150">
        <v>50</v>
      </c>
      <c r="E8150" s="80">
        <v>35657</v>
      </c>
    </row>
    <row r="8151" spans="1:5">
      <c r="A8151">
        <v>10634</v>
      </c>
      <c r="B8151" t="s">
        <v>177</v>
      </c>
      <c r="C8151">
        <v>3125</v>
      </c>
      <c r="D8151">
        <v>50</v>
      </c>
      <c r="E8151" s="80">
        <v>35657</v>
      </c>
    </row>
    <row r="8152" spans="1:5">
      <c r="A8152">
        <v>10634</v>
      </c>
      <c r="B8152" t="s">
        <v>178</v>
      </c>
      <c r="C8152">
        <v>3125</v>
      </c>
      <c r="D8152">
        <v>50</v>
      </c>
      <c r="E8152" s="80">
        <v>35657</v>
      </c>
    </row>
    <row r="8153" spans="1:5">
      <c r="A8153">
        <v>10634</v>
      </c>
      <c r="B8153" t="s">
        <v>179</v>
      </c>
      <c r="C8153">
        <v>3125</v>
      </c>
      <c r="D8153">
        <v>50</v>
      </c>
      <c r="E8153" s="80">
        <v>35657</v>
      </c>
    </row>
    <row r="8154" spans="1:5">
      <c r="A8154">
        <v>10634</v>
      </c>
      <c r="B8154" t="s">
        <v>172</v>
      </c>
      <c r="C8154">
        <v>795</v>
      </c>
      <c r="D8154">
        <v>15</v>
      </c>
      <c r="E8154" s="80">
        <v>35657</v>
      </c>
    </row>
    <row r="8155" spans="1:5">
      <c r="A8155">
        <v>10634</v>
      </c>
      <c r="B8155" t="s">
        <v>173</v>
      </c>
      <c r="C8155">
        <v>795</v>
      </c>
      <c r="D8155">
        <v>15</v>
      </c>
      <c r="E8155" s="80">
        <v>35657</v>
      </c>
    </row>
    <row r="8156" spans="1:5">
      <c r="A8156">
        <v>10634</v>
      </c>
      <c r="B8156" t="s">
        <v>174</v>
      </c>
      <c r="C8156">
        <v>795</v>
      </c>
      <c r="D8156">
        <v>15</v>
      </c>
      <c r="E8156" s="80">
        <v>35657</v>
      </c>
    </row>
    <row r="8157" spans="1:5">
      <c r="A8157">
        <v>10634</v>
      </c>
      <c r="B8157" t="s">
        <v>175</v>
      </c>
      <c r="C8157">
        <v>795</v>
      </c>
      <c r="D8157">
        <v>15</v>
      </c>
      <c r="E8157" s="80">
        <v>35657</v>
      </c>
    </row>
    <row r="8158" spans="1:5">
      <c r="A8158">
        <v>10634</v>
      </c>
      <c r="B8158" t="s">
        <v>176</v>
      </c>
      <c r="C8158">
        <v>795</v>
      </c>
      <c r="D8158">
        <v>15</v>
      </c>
      <c r="E8158" s="80">
        <v>35657</v>
      </c>
    </row>
    <row r="8159" spans="1:5">
      <c r="A8159">
        <v>10634</v>
      </c>
      <c r="B8159" t="s">
        <v>177</v>
      </c>
      <c r="C8159">
        <v>795</v>
      </c>
      <c r="D8159">
        <v>15</v>
      </c>
      <c r="E8159" s="80">
        <v>35657</v>
      </c>
    </row>
    <row r="8160" spans="1:5">
      <c r="A8160">
        <v>10634</v>
      </c>
      <c r="B8160" t="s">
        <v>178</v>
      </c>
      <c r="C8160">
        <v>795</v>
      </c>
      <c r="D8160">
        <v>15</v>
      </c>
      <c r="E8160" s="80">
        <v>35657</v>
      </c>
    </row>
    <row r="8161" spans="1:5">
      <c r="A8161">
        <v>10634</v>
      </c>
      <c r="B8161" t="s">
        <v>179</v>
      </c>
      <c r="C8161">
        <v>795</v>
      </c>
      <c r="D8161">
        <v>15</v>
      </c>
      <c r="E8161" s="80">
        <v>35657</v>
      </c>
    </row>
    <row r="8162" spans="1:5">
      <c r="A8162">
        <v>10634</v>
      </c>
      <c r="B8162" t="s">
        <v>172</v>
      </c>
      <c r="C8162">
        <v>15.5</v>
      </c>
      <c r="D8162">
        <v>2</v>
      </c>
      <c r="E8162" s="80">
        <v>35657</v>
      </c>
    </row>
    <row r="8163" spans="1:5">
      <c r="A8163">
        <v>10634</v>
      </c>
      <c r="B8163" t="s">
        <v>173</v>
      </c>
      <c r="C8163">
        <v>15.5</v>
      </c>
      <c r="D8163">
        <v>2</v>
      </c>
      <c r="E8163" s="80">
        <v>35657</v>
      </c>
    </row>
    <row r="8164" spans="1:5">
      <c r="A8164">
        <v>10634</v>
      </c>
      <c r="B8164" t="s">
        <v>174</v>
      </c>
      <c r="C8164">
        <v>15.5</v>
      </c>
      <c r="D8164">
        <v>2</v>
      </c>
      <c r="E8164" s="80">
        <v>35657</v>
      </c>
    </row>
    <row r="8165" spans="1:5">
      <c r="A8165">
        <v>10634</v>
      </c>
      <c r="B8165" t="s">
        <v>175</v>
      </c>
      <c r="C8165">
        <v>15.5</v>
      </c>
      <c r="D8165">
        <v>2</v>
      </c>
      <c r="E8165" s="80">
        <v>35657</v>
      </c>
    </row>
    <row r="8166" spans="1:5">
      <c r="A8166">
        <v>10634</v>
      </c>
      <c r="B8166" t="s">
        <v>176</v>
      </c>
      <c r="C8166">
        <v>15.5</v>
      </c>
      <c r="D8166">
        <v>2</v>
      </c>
      <c r="E8166" s="80">
        <v>35657</v>
      </c>
    </row>
    <row r="8167" spans="1:5">
      <c r="A8167">
        <v>10634</v>
      </c>
      <c r="B8167" t="s">
        <v>177</v>
      </c>
      <c r="C8167">
        <v>15.5</v>
      </c>
      <c r="D8167">
        <v>2</v>
      </c>
      <c r="E8167" s="80">
        <v>35657</v>
      </c>
    </row>
    <row r="8168" spans="1:5">
      <c r="A8168">
        <v>10634</v>
      </c>
      <c r="B8168" t="s">
        <v>178</v>
      </c>
      <c r="C8168">
        <v>15.5</v>
      </c>
      <c r="D8168">
        <v>2</v>
      </c>
      <c r="E8168" s="80">
        <v>35657</v>
      </c>
    </row>
    <row r="8169" spans="1:5">
      <c r="A8169">
        <v>10634</v>
      </c>
      <c r="B8169" t="s">
        <v>179</v>
      </c>
      <c r="C8169">
        <v>15.5</v>
      </c>
      <c r="D8169">
        <v>2</v>
      </c>
      <c r="E8169" s="80">
        <v>35657</v>
      </c>
    </row>
    <row r="8170" spans="1:5">
      <c r="A8170">
        <v>10635</v>
      </c>
      <c r="B8170" t="s">
        <v>172</v>
      </c>
      <c r="C8170">
        <v>197.99999967217445</v>
      </c>
      <c r="D8170">
        <v>10</v>
      </c>
      <c r="E8170" s="80">
        <v>35660</v>
      </c>
    </row>
    <row r="8171" spans="1:5">
      <c r="A8171">
        <v>10635</v>
      </c>
      <c r="B8171" t="s">
        <v>173</v>
      </c>
      <c r="C8171">
        <v>197.99999967217445</v>
      </c>
      <c r="D8171">
        <v>10</v>
      </c>
      <c r="E8171" s="80">
        <v>35660</v>
      </c>
    </row>
    <row r="8172" spans="1:5">
      <c r="A8172">
        <v>10635</v>
      </c>
      <c r="B8172" t="s">
        <v>174</v>
      </c>
      <c r="C8172">
        <v>197.99999967217445</v>
      </c>
      <c r="D8172">
        <v>10</v>
      </c>
      <c r="E8172" s="80">
        <v>35660</v>
      </c>
    </row>
    <row r="8173" spans="1:5">
      <c r="A8173">
        <v>10635</v>
      </c>
      <c r="B8173" t="s">
        <v>175</v>
      </c>
      <c r="C8173">
        <v>197.99999967217445</v>
      </c>
      <c r="D8173">
        <v>10</v>
      </c>
      <c r="E8173" s="80">
        <v>35660</v>
      </c>
    </row>
    <row r="8174" spans="1:5">
      <c r="A8174">
        <v>10635</v>
      </c>
      <c r="B8174" t="s">
        <v>176</v>
      </c>
      <c r="C8174">
        <v>197.99999967217445</v>
      </c>
      <c r="D8174">
        <v>10</v>
      </c>
      <c r="E8174" s="80">
        <v>35660</v>
      </c>
    </row>
    <row r="8175" spans="1:5">
      <c r="A8175">
        <v>10635</v>
      </c>
      <c r="B8175" t="s">
        <v>177</v>
      </c>
      <c r="C8175">
        <v>197.99999967217445</v>
      </c>
      <c r="D8175">
        <v>10</v>
      </c>
      <c r="E8175" s="80">
        <v>35660</v>
      </c>
    </row>
    <row r="8176" spans="1:5">
      <c r="A8176">
        <v>10635</v>
      </c>
      <c r="B8176" t="s">
        <v>178</v>
      </c>
      <c r="C8176">
        <v>197.99999967217445</v>
      </c>
      <c r="D8176">
        <v>10</v>
      </c>
      <c r="E8176" s="80">
        <v>35660</v>
      </c>
    </row>
    <row r="8177" spans="1:5">
      <c r="A8177">
        <v>10635</v>
      </c>
      <c r="B8177" t="s">
        <v>179</v>
      </c>
      <c r="C8177">
        <v>197.99999967217445</v>
      </c>
      <c r="D8177">
        <v>10</v>
      </c>
      <c r="E8177" s="80">
        <v>35660</v>
      </c>
    </row>
    <row r="8178" spans="1:5">
      <c r="A8178">
        <v>10635</v>
      </c>
      <c r="B8178" t="s">
        <v>172</v>
      </c>
      <c r="C8178">
        <v>288.22499952279031</v>
      </c>
      <c r="D8178">
        <v>15</v>
      </c>
      <c r="E8178" s="80">
        <v>35660</v>
      </c>
    </row>
    <row r="8179" spans="1:5">
      <c r="A8179">
        <v>10635</v>
      </c>
      <c r="B8179" t="s">
        <v>173</v>
      </c>
      <c r="C8179">
        <v>288.22499952279031</v>
      </c>
      <c r="D8179">
        <v>15</v>
      </c>
      <c r="E8179" s="80">
        <v>35660</v>
      </c>
    </row>
    <row r="8180" spans="1:5">
      <c r="A8180">
        <v>10635</v>
      </c>
      <c r="B8180" t="s">
        <v>174</v>
      </c>
      <c r="C8180">
        <v>288.22499952279031</v>
      </c>
      <c r="D8180">
        <v>15</v>
      </c>
      <c r="E8180" s="80">
        <v>35660</v>
      </c>
    </row>
    <row r="8181" spans="1:5">
      <c r="A8181">
        <v>10635</v>
      </c>
      <c r="B8181" t="s">
        <v>175</v>
      </c>
      <c r="C8181">
        <v>288.22499952279031</v>
      </c>
      <c r="D8181">
        <v>15</v>
      </c>
      <c r="E8181" s="80">
        <v>35660</v>
      </c>
    </row>
    <row r="8182" spans="1:5">
      <c r="A8182">
        <v>10635</v>
      </c>
      <c r="B8182" t="s">
        <v>176</v>
      </c>
      <c r="C8182">
        <v>288.22499952279031</v>
      </c>
      <c r="D8182">
        <v>15</v>
      </c>
      <c r="E8182" s="80">
        <v>35660</v>
      </c>
    </row>
    <row r="8183" spans="1:5">
      <c r="A8183">
        <v>10635</v>
      </c>
      <c r="B8183" t="s">
        <v>177</v>
      </c>
      <c r="C8183">
        <v>288.22499952279031</v>
      </c>
      <c r="D8183">
        <v>15</v>
      </c>
      <c r="E8183" s="80">
        <v>35660</v>
      </c>
    </row>
    <row r="8184" spans="1:5">
      <c r="A8184">
        <v>10635</v>
      </c>
      <c r="B8184" t="s">
        <v>178</v>
      </c>
      <c r="C8184">
        <v>288.22499952279031</v>
      </c>
      <c r="D8184">
        <v>15</v>
      </c>
      <c r="E8184" s="80">
        <v>35660</v>
      </c>
    </row>
    <row r="8185" spans="1:5">
      <c r="A8185">
        <v>10635</v>
      </c>
      <c r="B8185" t="s">
        <v>179</v>
      </c>
      <c r="C8185">
        <v>288.22499952279031</v>
      </c>
      <c r="D8185">
        <v>15</v>
      </c>
      <c r="E8185" s="80">
        <v>35660</v>
      </c>
    </row>
    <row r="8186" spans="1:5">
      <c r="A8186">
        <v>10635</v>
      </c>
      <c r="B8186" t="s">
        <v>172</v>
      </c>
      <c r="C8186">
        <v>840</v>
      </c>
      <c r="D8186">
        <v>40</v>
      </c>
      <c r="E8186" s="80">
        <v>35660</v>
      </c>
    </row>
    <row r="8187" spans="1:5">
      <c r="A8187">
        <v>10635</v>
      </c>
      <c r="B8187" t="s">
        <v>173</v>
      </c>
      <c r="C8187">
        <v>840</v>
      </c>
      <c r="D8187">
        <v>40</v>
      </c>
      <c r="E8187" s="80">
        <v>35660</v>
      </c>
    </row>
    <row r="8188" spans="1:5">
      <c r="A8188">
        <v>10635</v>
      </c>
      <c r="B8188" t="s">
        <v>174</v>
      </c>
      <c r="C8188">
        <v>840</v>
      </c>
      <c r="D8188">
        <v>40</v>
      </c>
      <c r="E8188" s="80">
        <v>35660</v>
      </c>
    </row>
    <row r="8189" spans="1:5">
      <c r="A8189">
        <v>10635</v>
      </c>
      <c r="B8189" t="s">
        <v>175</v>
      </c>
      <c r="C8189">
        <v>840</v>
      </c>
      <c r="D8189">
        <v>40</v>
      </c>
      <c r="E8189" s="80">
        <v>35660</v>
      </c>
    </row>
    <row r="8190" spans="1:5">
      <c r="A8190">
        <v>10635</v>
      </c>
      <c r="B8190" t="s">
        <v>176</v>
      </c>
      <c r="C8190">
        <v>840</v>
      </c>
      <c r="D8190">
        <v>40</v>
      </c>
      <c r="E8190" s="80">
        <v>35660</v>
      </c>
    </row>
    <row r="8191" spans="1:5">
      <c r="A8191">
        <v>10635</v>
      </c>
      <c r="B8191" t="s">
        <v>177</v>
      </c>
      <c r="C8191">
        <v>840</v>
      </c>
      <c r="D8191">
        <v>40</v>
      </c>
      <c r="E8191" s="80">
        <v>35660</v>
      </c>
    </row>
    <row r="8192" spans="1:5">
      <c r="A8192">
        <v>10635</v>
      </c>
      <c r="B8192" t="s">
        <v>178</v>
      </c>
      <c r="C8192">
        <v>840</v>
      </c>
      <c r="D8192">
        <v>40</v>
      </c>
      <c r="E8192" s="80">
        <v>35660</v>
      </c>
    </row>
    <row r="8193" spans="1:5">
      <c r="A8193">
        <v>10635</v>
      </c>
      <c r="B8193" t="s">
        <v>179</v>
      </c>
      <c r="C8193">
        <v>840</v>
      </c>
      <c r="D8193">
        <v>40</v>
      </c>
      <c r="E8193" s="80">
        <v>35660</v>
      </c>
    </row>
    <row r="8194" spans="1:5">
      <c r="A8194">
        <v>10636</v>
      </c>
      <c r="B8194" t="s">
        <v>172</v>
      </c>
      <c r="C8194">
        <v>550</v>
      </c>
      <c r="D8194">
        <v>25</v>
      </c>
      <c r="E8194" s="80">
        <v>35661</v>
      </c>
    </row>
    <row r="8195" spans="1:5">
      <c r="A8195">
        <v>10636</v>
      </c>
      <c r="B8195" t="s">
        <v>173</v>
      </c>
      <c r="C8195">
        <v>550</v>
      </c>
      <c r="D8195">
        <v>25</v>
      </c>
      <c r="E8195" s="80">
        <v>35661</v>
      </c>
    </row>
    <row r="8196" spans="1:5">
      <c r="A8196">
        <v>10636</v>
      </c>
      <c r="B8196" t="s">
        <v>174</v>
      </c>
      <c r="C8196">
        <v>550</v>
      </c>
      <c r="D8196">
        <v>25</v>
      </c>
      <c r="E8196" s="80">
        <v>35661</v>
      </c>
    </row>
    <row r="8197" spans="1:5">
      <c r="A8197">
        <v>10636</v>
      </c>
      <c r="B8197" t="s">
        <v>175</v>
      </c>
      <c r="C8197">
        <v>550</v>
      </c>
      <c r="D8197">
        <v>25</v>
      </c>
      <c r="E8197" s="80">
        <v>35661</v>
      </c>
    </row>
    <row r="8198" spans="1:5">
      <c r="A8198">
        <v>10636</v>
      </c>
      <c r="B8198" t="s">
        <v>176</v>
      </c>
      <c r="C8198">
        <v>550</v>
      </c>
      <c r="D8198">
        <v>25</v>
      </c>
      <c r="E8198" s="80">
        <v>35661</v>
      </c>
    </row>
    <row r="8199" spans="1:5">
      <c r="A8199">
        <v>10636</v>
      </c>
      <c r="B8199" t="s">
        <v>177</v>
      </c>
      <c r="C8199">
        <v>550</v>
      </c>
      <c r="D8199">
        <v>25</v>
      </c>
      <c r="E8199" s="80">
        <v>35661</v>
      </c>
    </row>
    <row r="8200" spans="1:5">
      <c r="A8200">
        <v>10636</v>
      </c>
      <c r="B8200" t="s">
        <v>178</v>
      </c>
      <c r="C8200">
        <v>550</v>
      </c>
      <c r="D8200">
        <v>25</v>
      </c>
      <c r="E8200" s="80">
        <v>35661</v>
      </c>
    </row>
    <row r="8201" spans="1:5">
      <c r="A8201">
        <v>10636</v>
      </c>
      <c r="B8201" t="s">
        <v>179</v>
      </c>
      <c r="C8201">
        <v>550</v>
      </c>
      <c r="D8201">
        <v>25</v>
      </c>
      <c r="E8201" s="80">
        <v>35661</v>
      </c>
    </row>
    <row r="8202" spans="1:5">
      <c r="A8202">
        <v>10636</v>
      </c>
      <c r="B8202" t="s">
        <v>172</v>
      </c>
      <c r="C8202">
        <v>79.5</v>
      </c>
      <c r="D8202">
        <v>6</v>
      </c>
      <c r="E8202" s="80">
        <v>35661</v>
      </c>
    </row>
    <row r="8203" spans="1:5">
      <c r="A8203">
        <v>10636</v>
      </c>
      <c r="B8203" t="s">
        <v>173</v>
      </c>
      <c r="C8203">
        <v>79.5</v>
      </c>
      <c r="D8203">
        <v>6</v>
      </c>
      <c r="E8203" s="80">
        <v>35661</v>
      </c>
    </row>
    <row r="8204" spans="1:5">
      <c r="A8204">
        <v>10636</v>
      </c>
      <c r="B8204" t="s">
        <v>174</v>
      </c>
      <c r="C8204">
        <v>79.5</v>
      </c>
      <c r="D8204">
        <v>6</v>
      </c>
      <c r="E8204" s="80">
        <v>35661</v>
      </c>
    </row>
    <row r="8205" spans="1:5">
      <c r="A8205">
        <v>10636</v>
      </c>
      <c r="B8205" t="s">
        <v>175</v>
      </c>
      <c r="C8205">
        <v>79.5</v>
      </c>
      <c r="D8205">
        <v>6</v>
      </c>
      <c r="E8205" s="80">
        <v>35661</v>
      </c>
    </row>
    <row r="8206" spans="1:5">
      <c r="A8206">
        <v>10636</v>
      </c>
      <c r="B8206" t="s">
        <v>176</v>
      </c>
      <c r="C8206">
        <v>79.5</v>
      </c>
      <c r="D8206">
        <v>6</v>
      </c>
      <c r="E8206" s="80">
        <v>35661</v>
      </c>
    </row>
    <row r="8207" spans="1:5">
      <c r="A8207">
        <v>10636</v>
      </c>
      <c r="B8207" t="s">
        <v>177</v>
      </c>
      <c r="C8207">
        <v>79.5</v>
      </c>
      <c r="D8207">
        <v>6</v>
      </c>
      <c r="E8207" s="80">
        <v>35661</v>
      </c>
    </row>
    <row r="8208" spans="1:5">
      <c r="A8208">
        <v>10636</v>
      </c>
      <c r="B8208" t="s">
        <v>178</v>
      </c>
      <c r="C8208">
        <v>79.5</v>
      </c>
      <c r="D8208">
        <v>6</v>
      </c>
      <c r="E8208" s="80">
        <v>35661</v>
      </c>
    </row>
    <row r="8209" spans="1:5">
      <c r="A8209">
        <v>10636</v>
      </c>
      <c r="B8209" t="s">
        <v>179</v>
      </c>
      <c r="C8209">
        <v>79.5</v>
      </c>
      <c r="D8209">
        <v>6</v>
      </c>
      <c r="E8209" s="80">
        <v>35661</v>
      </c>
    </row>
    <row r="8210" spans="1:5">
      <c r="A8210">
        <v>10637</v>
      </c>
      <c r="B8210" t="s">
        <v>172</v>
      </c>
      <c r="C8210">
        <v>210</v>
      </c>
      <c r="D8210">
        <v>10</v>
      </c>
      <c r="E8210" s="80">
        <v>35661</v>
      </c>
    </row>
    <row r="8211" spans="1:5">
      <c r="A8211">
        <v>10637</v>
      </c>
      <c r="B8211" t="s">
        <v>173</v>
      </c>
      <c r="C8211">
        <v>210</v>
      </c>
      <c r="D8211">
        <v>10</v>
      </c>
      <c r="E8211" s="80">
        <v>35661</v>
      </c>
    </row>
    <row r="8212" spans="1:5">
      <c r="A8212">
        <v>10637</v>
      </c>
      <c r="B8212" t="s">
        <v>174</v>
      </c>
      <c r="C8212">
        <v>210</v>
      </c>
      <c r="D8212">
        <v>10</v>
      </c>
      <c r="E8212" s="80">
        <v>35661</v>
      </c>
    </row>
    <row r="8213" spans="1:5">
      <c r="A8213">
        <v>10637</v>
      </c>
      <c r="B8213" t="s">
        <v>175</v>
      </c>
      <c r="C8213">
        <v>210</v>
      </c>
      <c r="D8213">
        <v>10</v>
      </c>
      <c r="E8213" s="80">
        <v>35661</v>
      </c>
    </row>
    <row r="8214" spans="1:5">
      <c r="A8214">
        <v>10637</v>
      </c>
      <c r="B8214" t="s">
        <v>176</v>
      </c>
      <c r="C8214">
        <v>210</v>
      </c>
      <c r="D8214">
        <v>10</v>
      </c>
      <c r="E8214" s="80">
        <v>35661</v>
      </c>
    </row>
    <row r="8215" spans="1:5">
      <c r="A8215">
        <v>10637</v>
      </c>
      <c r="B8215" t="s">
        <v>177</v>
      </c>
      <c r="C8215">
        <v>210</v>
      </c>
      <c r="D8215">
        <v>10</v>
      </c>
      <c r="E8215" s="80">
        <v>35661</v>
      </c>
    </row>
    <row r="8216" spans="1:5">
      <c r="A8216">
        <v>10637</v>
      </c>
      <c r="B8216" t="s">
        <v>178</v>
      </c>
      <c r="C8216">
        <v>210</v>
      </c>
      <c r="D8216">
        <v>10</v>
      </c>
      <c r="E8216" s="80">
        <v>35661</v>
      </c>
    </row>
    <row r="8217" spans="1:5">
      <c r="A8217">
        <v>10637</v>
      </c>
      <c r="B8217" t="s">
        <v>179</v>
      </c>
      <c r="C8217">
        <v>210</v>
      </c>
      <c r="D8217">
        <v>10</v>
      </c>
      <c r="E8217" s="80">
        <v>35661</v>
      </c>
    </row>
    <row r="8218" spans="1:5">
      <c r="A8218">
        <v>10637</v>
      </c>
      <c r="B8218" t="s">
        <v>172</v>
      </c>
      <c r="C8218">
        <v>385.93749969732016</v>
      </c>
      <c r="D8218">
        <v>25</v>
      </c>
      <c r="E8218" s="80">
        <v>35661</v>
      </c>
    </row>
    <row r="8219" spans="1:5">
      <c r="A8219">
        <v>10637</v>
      </c>
      <c r="B8219" t="s">
        <v>173</v>
      </c>
      <c r="C8219">
        <v>385.93749969732016</v>
      </c>
      <c r="D8219">
        <v>25</v>
      </c>
      <c r="E8219" s="80">
        <v>35661</v>
      </c>
    </row>
    <row r="8220" spans="1:5">
      <c r="A8220">
        <v>10637</v>
      </c>
      <c r="B8220" t="s">
        <v>174</v>
      </c>
      <c r="C8220">
        <v>385.93749969732016</v>
      </c>
      <c r="D8220">
        <v>25</v>
      </c>
      <c r="E8220" s="80">
        <v>35661</v>
      </c>
    </row>
    <row r="8221" spans="1:5">
      <c r="A8221">
        <v>10637</v>
      </c>
      <c r="B8221" t="s">
        <v>175</v>
      </c>
      <c r="C8221">
        <v>385.93749969732016</v>
      </c>
      <c r="D8221">
        <v>25</v>
      </c>
      <c r="E8221" s="80">
        <v>35661</v>
      </c>
    </row>
    <row r="8222" spans="1:5">
      <c r="A8222">
        <v>10637</v>
      </c>
      <c r="B8222" t="s">
        <v>176</v>
      </c>
      <c r="C8222">
        <v>385.93749969732016</v>
      </c>
      <c r="D8222">
        <v>25</v>
      </c>
      <c r="E8222" s="80">
        <v>35661</v>
      </c>
    </row>
    <row r="8223" spans="1:5">
      <c r="A8223">
        <v>10637</v>
      </c>
      <c r="B8223" t="s">
        <v>177</v>
      </c>
      <c r="C8223">
        <v>385.93749969732016</v>
      </c>
      <c r="D8223">
        <v>25</v>
      </c>
      <c r="E8223" s="80">
        <v>35661</v>
      </c>
    </row>
    <row r="8224" spans="1:5">
      <c r="A8224">
        <v>10637</v>
      </c>
      <c r="B8224" t="s">
        <v>178</v>
      </c>
      <c r="C8224">
        <v>385.93749969732016</v>
      </c>
      <c r="D8224">
        <v>25</v>
      </c>
      <c r="E8224" s="80">
        <v>35661</v>
      </c>
    </row>
    <row r="8225" spans="1:5">
      <c r="A8225">
        <v>10637</v>
      </c>
      <c r="B8225" t="s">
        <v>179</v>
      </c>
      <c r="C8225">
        <v>385.93749969732016</v>
      </c>
      <c r="D8225">
        <v>25</v>
      </c>
      <c r="E8225" s="80">
        <v>35661</v>
      </c>
    </row>
    <row r="8226" spans="1:5">
      <c r="A8226">
        <v>10637</v>
      </c>
      <c r="B8226" t="s">
        <v>172</v>
      </c>
      <c r="C8226">
        <v>2165.9999983012676</v>
      </c>
      <c r="D8226">
        <v>60</v>
      </c>
      <c r="E8226" s="80">
        <v>35661</v>
      </c>
    </row>
    <row r="8227" spans="1:5">
      <c r="A8227">
        <v>10637</v>
      </c>
      <c r="B8227" t="s">
        <v>173</v>
      </c>
      <c r="C8227">
        <v>2165.9999983012676</v>
      </c>
      <c r="D8227">
        <v>60</v>
      </c>
      <c r="E8227" s="80">
        <v>35661</v>
      </c>
    </row>
    <row r="8228" spans="1:5">
      <c r="A8228">
        <v>10637</v>
      </c>
      <c r="B8228" t="s">
        <v>174</v>
      </c>
      <c r="C8228">
        <v>2165.9999983012676</v>
      </c>
      <c r="D8228">
        <v>60</v>
      </c>
      <c r="E8228" s="80">
        <v>35661</v>
      </c>
    </row>
    <row r="8229" spans="1:5">
      <c r="A8229">
        <v>10637</v>
      </c>
      <c r="B8229" t="s">
        <v>175</v>
      </c>
      <c r="C8229">
        <v>2165.9999983012676</v>
      </c>
      <c r="D8229">
        <v>60</v>
      </c>
      <c r="E8229" s="80">
        <v>35661</v>
      </c>
    </row>
    <row r="8230" spans="1:5">
      <c r="A8230">
        <v>10637</v>
      </c>
      <c r="B8230" t="s">
        <v>176</v>
      </c>
      <c r="C8230">
        <v>2165.9999983012676</v>
      </c>
      <c r="D8230">
        <v>60</v>
      </c>
      <c r="E8230" s="80">
        <v>35661</v>
      </c>
    </row>
    <row r="8231" spans="1:5">
      <c r="A8231">
        <v>10637</v>
      </c>
      <c r="B8231" t="s">
        <v>177</v>
      </c>
      <c r="C8231">
        <v>2165.9999983012676</v>
      </c>
      <c r="D8231">
        <v>60</v>
      </c>
      <c r="E8231" s="80">
        <v>35661</v>
      </c>
    </row>
    <row r="8232" spans="1:5">
      <c r="A8232">
        <v>10637</v>
      </c>
      <c r="B8232" t="s">
        <v>178</v>
      </c>
      <c r="C8232">
        <v>2165.9999983012676</v>
      </c>
      <c r="D8232">
        <v>60</v>
      </c>
      <c r="E8232" s="80">
        <v>35661</v>
      </c>
    </row>
    <row r="8233" spans="1:5">
      <c r="A8233">
        <v>10637</v>
      </c>
      <c r="B8233" t="s">
        <v>179</v>
      </c>
      <c r="C8233">
        <v>2165.9999983012676</v>
      </c>
      <c r="D8233">
        <v>60</v>
      </c>
      <c r="E8233" s="80">
        <v>35661</v>
      </c>
    </row>
    <row r="8234" spans="1:5">
      <c r="A8234">
        <v>10638</v>
      </c>
      <c r="B8234" t="s">
        <v>172</v>
      </c>
      <c r="C8234">
        <v>190</v>
      </c>
      <c r="D8234">
        <v>20</v>
      </c>
      <c r="E8234" s="80">
        <v>35662</v>
      </c>
    </row>
    <row r="8235" spans="1:5">
      <c r="A8235">
        <v>10638</v>
      </c>
      <c r="B8235" t="s">
        <v>173</v>
      </c>
      <c r="C8235">
        <v>190</v>
      </c>
      <c r="D8235">
        <v>20</v>
      </c>
      <c r="E8235" s="80">
        <v>35662</v>
      </c>
    </row>
    <row r="8236" spans="1:5">
      <c r="A8236">
        <v>10638</v>
      </c>
      <c r="B8236" t="s">
        <v>174</v>
      </c>
      <c r="C8236">
        <v>190</v>
      </c>
      <c r="D8236">
        <v>20</v>
      </c>
      <c r="E8236" s="80">
        <v>35662</v>
      </c>
    </row>
    <row r="8237" spans="1:5">
      <c r="A8237">
        <v>10638</v>
      </c>
      <c r="B8237" t="s">
        <v>175</v>
      </c>
      <c r="C8237">
        <v>190</v>
      </c>
      <c r="D8237">
        <v>20</v>
      </c>
      <c r="E8237" s="80">
        <v>35662</v>
      </c>
    </row>
    <row r="8238" spans="1:5">
      <c r="A8238">
        <v>10638</v>
      </c>
      <c r="B8238" t="s">
        <v>176</v>
      </c>
      <c r="C8238">
        <v>190</v>
      </c>
      <c r="D8238">
        <v>20</v>
      </c>
      <c r="E8238" s="80">
        <v>35662</v>
      </c>
    </row>
    <row r="8239" spans="1:5">
      <c r="A8239">
        <v>10638</v>
      </c>
      <c r="B8239" t="s">
        <v>177</v>
      </c>
      <c r="C8239">
        <v>190</v>
      </c>
      <c r="D8239">
        <v>20</v>
      </c>
      <c r="E8239" s="80">
        <v>35662</v>
      </c>
    </row>
    <row r="8240" spans="1:5">
      <c r="A8240">
        <v>10638</v>
      </c>
      <c r="B8240" t="s">
        <v>178</v>
      </c>
      <c r="C8240">
        <v>190</v>
      </c>
      <c r="D8240">
        <v>20</v>
      </c>
      <c r="E8240" s="80">
        <v>35662</v>
      </c>
    </row>
    <row r="8241" spans="1:5">
      <c r="A8241">
        <v>10638</v>
      </c>
      <c r="B8241" t="s">
        <v>179</v>
      </c>
      <c r="C8241">
        <v>190</v>
      </c>
      <c r="D8241">
        <v>20</v>
      </c>
      <c r="E8241" s="80">
        <v>35662</v>
      </c>
    </row>
    <row r="8242" spans="1:5">
      <c r="A8242">
        <v>10638</v>
      </c>
      <c r="B8242" t="s">
        <v>172</v>
      </c>
      <c r="C8242">
        <v>442.05</v>
      </c>
      <c r="D8242">
        <v>21</v>
      </c>
      <c r="E8242" s="80">
        <v>35662</v>
      </c>
    </row>
    <row r="8243" spans="1:5">
      <c r="A8243">
        <v>10638</v>
      </c>
      <c r="B8243" t="s">
        <v>173</v>
      </c>
      <c r="C8243">
        <v>442.05</v>
      </c>
      <c r="D8243">
        <v>21</v>
      </c>
      <c r="E8243" s="80">
        <v>35662</v>
      </c>
    </row>
    <row r="8244" spans="1:5">
      <c r="A8244">
        <v>10638</v>
      </c>
      <c r="B8244" t="s">
        <v>174</v>
      </c>
      <c r="C8244">
        <v>442.05</v>
      </c>
      <c r="D8244">
        <v>21</v>
      </c>
      <c r="E8244" s="80">
        <v>35662</v>
      </c>
    </row>
    <row r="8245" spans="1:5">
      <c r="A8245">
        <v>10638</v>
      </c>
      <c r="B8245" t="s">
        <v>175</v>
      </c>
      <c r="C8245">
        <v>442.05</v>
      </c>
      <c r="D8245">
        <v>21</v>
      </c>
      <c r="E8245" s="80">
        <v>35662</v>
      </c>
    </row>
    <row r="8246" spans="1:5">
      <c r="A8246">
        <v>10638</v>
      </c>
      <c r="B8246" t="s">
        <v>176</v>
      </c>
      <c r="C8246">
        <v>442.05</v>
      </c>
      <c r="D8246">
        <v>21</v>
      </c>
      <c r="E8246" s="80">
        <v>35662</v>
      </c>
    </row>
    <row r="8247" spans="1:5">
      <c r="A8247">
        <v>10638</v>
      </c>
      <c r="B8247" t="s">
        <v>177</v>
      </c>
      <c r="C8247">
        <v>442.05</v>
      </c>
      <c r="D8247">
        <v>21</v>
      </c>
      <c r="E8247" s="80">
        <v>35662</v>
      </c>
    </row>
    <row r="8248" spans="1:5">
      <c r="A8248">
        <v>10638</v>
      </c>
      <c r="B8248" t="s">
        <v>178</v>
      </c>
      <c r="C8248">
        <v>442.05</v>
      </c>
      <c r="D8248">
        <v>21</v>
      </c>
      <c r="E8248" s="80">
        <v>35662</v>
      </c>
    </row>
    <row r="8249" spans="1:5">
      <c r="A8249">
        <v>10638</v>
      </c>
      <c r="B8249" t="s">
        <v>179</v>
      </c>
      <c r="C8249">
        <v>442.05</v>
      </c>
      <c r="D8249">
        <v>21</v>
      </c>
      <c r="E8249" s="80">
        <v>35662</v>
      </c>
    </row>
    <row r="8250" spans="1:5">
      <c r="A8250">
        <v>10638</v>
      </c>
      <c r="B8250" t="s">
        <v>172</v>
      </c>
      <c r="C8250">
        <v>2088</v>
      </c>
      <c r="D8250">
        <v>60</v>
      </c>
      <c r="E8250" s="80">
        <v>35662</v>
      </c>
    </row>
    <row r="8251" spans="1:5">
      <c r="A8251">
        <v>10638</v>
      </c>
      <c r="B8251" t="s">
        <v>173</v>
      </c>
      <c r="C8251">
        <v>2088</v>
      </c>
      <c r="D8251">
        <v>60</v>
      </c>
      <c r="E8251" s="80">
        <v>35662</v>
      </c>
    </row>
    <row r="8252" spans="1:5">
      <c r="A8252">
        <v>10638</v>
      </c>
      <c r="B8252" t="s">
        <v>174</v>
      </c>
      <c r="C8252">
        <v>2088</v>
      </c>
      <c r="D8252">
        <v>60</v>
      </c>
      <c r="E8252" s="80">
        <v>35662</v>
      </c>
    </row>
    <row r="8253" spans="1:5">
      <c r="A8253">
        <v>10638</v>
      </c>
      <c r="B8253" t="s">
        <v>175</v>
      </c>
      <c r="C8253">
        <v>2088</v>
      </c>
      <c r="D8253">
        <v>60</v>
      </c>
      <c r="E8253" s="80">
        <v>35662</v>
      </c>
    </row>
    <row r="8254" spans="1:5">
      <c r="A8254">
        <v>10638</v>
      </c>
      <c r="B8254" t="s">
        <v>176</v>
      </c>
      <c r="C8254">
        <v>2088</v>
      </c>
      <c r="D8254">
        <v>60</v>
      </c>
      <c r="E8254" s="80">
        <v>35662</v>
      </c>
    </row>
    <row r="8255" spans="1:5">
      <c r="A8255">
        <v>10638</v>
      </c>
      <c r="B8255" t="s">
        <v>177</v>
      </c>
      <c r="C8255">
        <v>2088</v>
      </c>
      <c r="D8255">
        <v>60</v>
      </c>
      <c r="E8255" s="80">
        <v>35662</v>
      </c>
    </row>
    <row r="8256" spans="1:5">
      <c r="A8256">
        <v>10638</v>
      </c>
      <c r="B8256" t="s">
        <v>178</v>
      </c>
      <c r="C8256">
        <v>2088</v>
      </c>
      <c r="D8256">
        <v>60</v>
      </c>
      <c r="E8256" s="80">
        <v>35662</v>
      </c>
    </row>
    <row r="8257" spans="1:5">
      <c r="A8257">
        <v>10638</v>
      </c>
      <c r="B8257" t="s">
        <v>179</v>
      </c>
      <c r="C8257">
        <v>2088</v>
      </c>
      <c r="D8257">
        <v>60</v>
      </c>
      <c r="E8257" s="80">
        <v>35662</v>
      </c>
    </row>
    <row r="8258" spans="1:5">
      <c r="A8258">
        <v>10639</v>
      </c>
      <c r="B8258" t="s">
        <v>172</v>
      </c>
      <c r="C8258">
        <v>500</v>
      </c>
      <c r="D8258">
        <v>8</v>
      </c>
      <c r="E8258" s="80">
        <v>35662</v>
      </c>
    </row>
    <row r="8259" spans="1:5">
      <c r="A8259">
        <v>10639</v>
      </c>
      <c r="B8259" t="s">
        <v>173</v>
      </c>
      <c r="C8259">
        <v>500</v>
      </c>
      <c r="D8259">
        <v>8</v>
      </c>
      <c r="E8259" s="80">
        <v>35662</v>
      </c>
    </row>
    <row r="8260" spans="1:5">
      <c r="A8260">
        <v>10639</v>
      </c>
      <c r="B8260" t="s">
        <v>174</v>
      </c>
      <c r="C8260">
        <v>500</v>
      </c>
      <c r="D8260">
        <v>8</v>
      </c>
      <c r="E8260" s="80">
        <v>35662</v>
      </c>
    </row>
    <row r="8261" spans="1:5">
      <c r="A8261">
        <v>10639</v>
      </c>
      <c r="B8261" t="s">
        <v>175</v>
      </c>
      <c r="C8261">
        <v>500</v>
      </c>
      <c r="D8261">
        <v>8</v>
      </c>
      <c r="E8261" s="80">
        <v>35662</v>
      </c>
    </row>
    <row r="8262" spans="1:5">
      <c r="A8262">
        <v>10639</v>
      </c>
      <c r="B8262" t="s">
        <v>176</v>
      </c>
      <c r="C8262">
        <v>500</v>
      </c>
      <c r="D8262">
        <v>8</v>
      </c>
      <c r="E8262" s="80">
        <v>35662</v>
      </c>
    </row>
    <row r="8263" spans="1:5">
      <c r="A8263">
        <v>10639</v>
      </c>
      <c r="B8263" t="s">
        <v>177</v>
      </c>
      <c r="C8263">
        <v>500</v>
      </c>
      <c r="D8263">
        <v>8</v>
      </c>
      <c r="E8263" s="80">
        <v>35662</v>
      </c>
    </row>
    <row r="8264" spans="1:5">
      <c r="A8264">
        <v>10639</v>
      </c>
      <c r="B8264" t="s">
        <v>178</v>
      </c>
      <c r="C8264">
        <v>500</v>
      </c>
      <c r="D8264">
        <v>8</v>
      </c>
      <c r="E8264" s="80">
        <v>35662</v>
      </c>
    </row>
    <row r="8265" spans="1:5">
      <c r="A8265">
        <v>10639</v>
      </c>
      <c r="B8265" t="s">
        <v>179</v>
      </c>
      <c r="C8265">
        <v>500</v>
      </c>
      <c r="D8265">
        <v>8</v>
      </c>
      <c r="E8265" s="80">
        <v>35662</v>
      </c>
    </row>
    <row r="8266" spans="1:5">
      <c r="A8266">
        <v>10640</v>
      </c>
      <c r="B8266" t="s">
        <v>172</v>
      </c>
      <c r="C8266">
        <v>540</v>
      </c>
      <c r="D8266">
        <v>20</v>
      </c>
      <c r="E8266" s="80">
        <v>35663</v>
      </c>
    </row>
    <row r="8267" spans="1:5">
      <c r="A8267">
        <v>10640</v>
      </c>
      <c r="B8267" t="s">
        <v>173</v>
      </c>
      <c r="C8267">
        <v>540</v>
      </c>
      <c r="D8267">
        <v>20</v>
      </c>
      <c r="E8267" s="80">
        <v>35663</v>
      </c>
    </row>
    <row r="8268" spans="1:5">
      <c r="A8268">
        <v>10640</v>
      </c>
      <c r="B8268" t="s">
        <v>174</v>
      </c>
      <c r="C8268">
        <v>540</v>
      </c>
      <c r="D8268">
        <v>20</v>
      </c>
      <c r="E8268" s="80">
        <v>35663</v>
      </c>
    </row>
    <row r="8269" spans="1:5">
      <c r="A8269">
        <v>10640</v>
      </c>
      <c r="B8269" t="s">
        <v>175</v>
      </c>
      <c r="C8269">
        <v>540</v>
      </c>
      <c r="D8269">
        <v>20</v>
      </c>
      <c r="E8269" s="80">
        <v>35663</v>
      </c>
    </row>
    <row r="8270" spans="1:5">
      <c r="A8270">
        <v>10640</v>
      </c>
      <c r="B8270" t="s">
        <v>176</v>
      </c>
      <c r="C8270">
        <v>540</v>
      </c>
      <c r="D8270">
        <v>20</v>
      </c>
      <c r="E8270" s="80">
        <v>35663</v>
      </c>
    </row>
    <row r="8271" spans="1:5">
      <c r="A8271">
        <v>10640</v>
      </c>
      <c r="B8271" t="s">
        <v>177</v>
      </c>
      <c r="C8271">
        <v>540</v>
      </c>
      <c r="D8271">
        <v>20</v>
      </c>
      <c r="E8271" s="80">
        <v>35663</v>
      </c>
    </row>
    <row r="8272" spans="1:5">
      <c r="A8272">
        <v>10640</v>
      </c>
      <c r="B8272" t="s">
        <v>178</v>
      </c>
      <c r="C8272">
        <v>540</v>
      </c>
      <c r="D8272">
        <v>20</v>
      </c>
      <c r="E8272" s="80">
        <v>35663</v>
      </c>
    </row>
    <row r="8273" spans="1:5">
      <c r="A8273">
        <v>10640</v>
      </c>
      <c r="B8273" t="s">
        <v>179</v>
      </c>
      <c r="C8273">
        <v>540</v>
      </c>
      <c r="D8273">
        <v>20</v>
      </c>
      <c r="E8273" s="80">
        <v>35663</v>
      </c>
    </row>
    <row r="8274" spans="1:5">
      <c r="A8274">
        <v>10640</v>
      </c>
      <c r="B8274" t="s">
        <v>172</v>
      </c>
      <c r="C8274">
        <v>168.75</v>
      </c>
      <c r="D8274">
        <v>15</v>
      </c>
      <c r="E8274" s="80">
        <v>35663</v>
      </c>
    </row>
    <row r="8275" spans="1:5">
      <c r="A8275">
        <v>10640</v>
      </c>
      <c r="B8275" t="s">
        <v>173</v>
      </c>
      <c r="C8275">
        <v>168.75</v>
      </c>
      <c r="D8275">
        <v>15</v>
      </c>
      <c r="E8275" s="80">
        <v>35663</v>
      </c>
    </row>
    <row r="8276" spans="1:5">
      <c r="A8276">
        <v>10640</v>
      </c>
      <c r="B8276" t="s">
        <v>174</v>
      </c>
      <c r="C8276">
        <v>168.75</v>
      </c>
      <c r="D8276">
        <v>15</v>
      </c>
      <c r="E8276" s="80">
        <v>35663</v>
      </c>
    </row>
    <row r="8277" spans="1:5">
      <c r="A8277">
        <v>10640</v>
      </c>
      <c r="B8277" t="s">
        <v>175</v>
      </c>
      <c r="C8277">
        <v>168.75</v>
      </c>
      <c r="D8277">
        <v>15</v>
      </c>
      <c r="E8277" s="80">
        <v>35663</v>
      </c>
    </row>
    <row r="8278" spans="1:5">
      <c r="A8278">
        <v>10640</v>
      </c>
      <c r="B8278" t="s">
        <v>176</v>
      </c>
      <c r="C8278">
        <v>168.75</v>
      </c>
      <c r="D8278">
        <v>15</v>
      </c>
      <c r="E8278" s="80">
        <v>35663</v>
      </c>
    </row>
    <row r="8279" spans="1:5">
      <c r="A8279">
        <v>10640</v>
      </c>
      <c r="B8279" t="s">
        <v>177</v>
      </c>
      <c r="C8279">
        <v>168.75</v>
      </c>
      <c r="D8279">
        <v>15</v>
      </c>
      <c r="E8279" s="80">
        <v>35663</v>
      </c>
    </row>
    <row r="8280" spans="1:5">
      <c r="A8280">
        <v>10640</v>
      </c>
      <c r="B8280" t="s">
        <v>178</v>
      </c>
      <c r="C8280">
        <v>168.75</v>
      </c>
      <c r="D8280">
        <v>15</v>
      </c>
      <c r="E8280" s="80">
        <v>35663</v>
      </c>
    </row>
    <row r="8281" spans="1:5">
      <c r="A8281">
        <v>10640</v>
      </c>
      <c r="B8281" t="s">
        <v>179</v>
      </c>
      <c r="C8281">
        <v>168.75</v>
      </c>
      <c r="D8281">
        <v>15</v>
      </c>
      <c r="E8281" s="80">
        <v>35663</v>
      </c>
    </row>
    <row r="8282" spans="1:5">
      <c r="A8282">
        <v>10641</v>
      </c>
      <c r="B8282" t="s">
        <v>172</v>
      </c>
      <c r="C8282">
        <v>950</v>
      </c>
      <c r="D8282">
        <v>50</v>
      </c>
      <c r="E8282" s="80">
        <v>35664</v>
      </c>
    </row>
    <row r="8283" spans="1:5">
      <c r="A8283">
        <v>10641</v>
      </c>
      <c r="B8283" t="s">
        <v>173</v>
      </c>
      <c r="C8283">
        <v>950</v>
      </c>
      <c r="D8283">
        <v>50</v>
      </c>
      <c r="E8283" s="80">
        <v>35664</v>
      </c>
    </row>
    <row r="8284" spans="1:5">
      <c r="A8284">
        <v>10641</v>
      </c>
      <c r="B8284" t="s">
        <v>174</v>
      </c>
      <c r="C8284">
        <v>950</v>
      </c>
      <c r="D8284">
        <v>50</v>
      </c>
      <c r="E8284" s="80">
        <v>35664</v>
      </c>
    </row>
    <row r="8285" spans="1:5">
      <c r="A8285">
        <v>10641</v>
      </c>
      <c r="B8285" t="s">
        <v>175</v>
      </c>
      <c r="C8285">
        <v>950</v>
      </c>
      <c r="D8285">
        <v>50</v>
      </c>
      <c r="E8285" s="80">
        <v>35664</v>
      </c>
    </row>
    <row r="8286" spans="1:5">
      <c r="A8286">
        <v>10641</v>
      </c>
      <c r="B8286" t="s">
        <v>176</v>
      </c>
      <c r="C8286">
        <v>950</v>
      </c>
      <c r="D8286">
        <v>50</v>
      </c>
      <c r="E8286" s="80">
        <v>35664</v>
      </c>
    </row>
    <row r="8287" spans="1:5">
      <c r="A8287">
        <v>10641</v>
      </c>
      <c r="B8287" t="s">
        <v>177</v>
      </c>
      <c r="C8287">
        <v>950</v>
      </c>
      <c r="D8287">
        <v>50</v>
      </c>
      <c r="E8287" s="80">
        <v>35664</v>
      </c>
    </row>
    <row r="8288" spans="1:5">
      <c r="A8288">
        <v>10641</v>
      </c>
      <c r="B8288" t="s">
        <v>178</v>
      </c>
      <c r="C8288">
        <v>950</v>
      </c>
      <c r="D8288">
        <v>50</v>
      </c>
      <c r="E8288" s="80">
        <v>35664</v>
      </c>
    </row>
    <row r="8289" spans="1:5">
      <c r="A8289">
        <v>10641</v>
      </c>
      <c r="B8289" t="s">
        <v>179</v>
      </c>
      <c r="C8289">
        <v>950</v>
      </c>
      <c r="D8289">
        <v>50</v>
      </c>
      <c r="E8289" s="80">
        <v>35664</v>
      </c>
    </row>
    <row r="8290" spans="1:5">
      <c r="A8290">
        <v>10641</v>
      </c>
      <c r="B8290" t="s">
        <v>172</v>
      </c>
      <c r="C8290">
        <v>1104</v>
      </c>
      <c r="D8290">
        <v>60</v>
      </c>
      <c r="E8290" s="80">
        <v>35664</v>
      </c>
    </row>
    <row r="8291" spans="1:5">
      <c r="A8291">
        <v>10641</v>
      </c>
      <c r="B8291" t="s">
        <v>173</v>
      </c>
      <c r="C8291">
        <v>1104</v>
      </c>
      <c r="D8291">
        <v>60</v>
      </c>
      <c r="E8291" s="80">
        <v>35664</v>
      </c>
    </row>
    <row r="8292" spans="1:5">
      <c r="A8292">
        <v>10641</v>
      </c>
      <c r="B8292" t="s">
        <v>174</v>
      </c>
      <c r="C8292">
        <v>1104</v>
      </c>
      <c r="D8292">
        <v>60</v>
      </c>
      <c r="E8292" s="80">
        <v>35664</v>
      </c>
    </row>
    <row r="8293" spans="1:5">
      <c r="A8293">
        <v>10641</v>
      </c>
      <c r="B8293" t="s">
        <v>175</v>
      </c>
      <c r="C8293">
        <v>1104</v>
      </c>
      <c r="D8293">
        <v>60</v>
      </c>
      <c r="E8293" s="80">
        <v>35664</v>
      </c>
    </row>
    <row r="8294" spans="1:5">
      <c r="A8294">
        <v>10641</v>
      </c>
      <c r="B8294" t="s">
        <v>176</v>
      </c>
      <c r="C8294">
        <v>1104</v>
      </c>
      <c r="D8294">
        <v>60</v>
      </c>
      <c r="E8294" s="80">
        <v>35664</v>
      </c>
    </row>
    <row r="8295" spans="1:5">
      <c r="A8295">
        <v>10641</v>
      </c>
      <c r="B8295" t="s">
        <v>177</v>
      </c>
      <c r="C8295">
        <v>1104</v>
      </c>
      <c r="D8295">
        <v>60</v>
      </c>
      <c r="E8295" s="80">
        <v>35664</v>
      </c>
    </row>
    <row r="8296" spans="1:5">
      <c r="A8296">
        <v>10641</v>
      </c>
      <c r="B8296" t="s">
        <v>178</v>
      </c>
      <c r="C8296">
        <v>1104</v>
      </c>
      <c r="D8296">
        <v>60</v>
      </c>
      <c r="E8296" s="80">
        <v>35664</v>
      </c>
    </row>
    <row r="8297" spans="1:5">
      <c r="A8297">
        <v>10641</v>
      </c>
      <c r="B8297" t="s">
        <v>179</v>
      </c>
      <c r="C8297">
        <v>1104</v>
      </c>
      <c r="D8297">
        <v>60</v>
      </c>
      <c r="E8297" s="80">
        <v>35664</v>
      </c>
    </row>
    <row r="8298" spans="1:5">
      <c r="A8298">
        <v>10642</v>
      </c>
      <c r="B8298" t="s">
        <v>172</v>
      </c>
      <c r="C8298">
        <v>239.99999910593033</v>
      </c>
      <c r="D8298">
        <v>30</v>
      </c>
      <c r="E8298" s="80">
        <v>35664</v>
      </c>
    </row>
    <row r="8299" spans="1:5">
      <c r="A8299">
        <v>10642</v>
      </c>
      <c r="B8299" t="s">
        <v>173</v>
      </c>
      <c r="C8299">
        <v>239.99999910593033</v>
      </c>
      <c r="D8299">
        <v>30</v>
      </c>
      <c r="E8299" s="80">
        <v>35664</v>
      </c>
    </row>
    <row r="8300" spans="1:5">
      <c r="A8300">
        <v>10642</v>
      </c>
      <c r="B8300" t="s">
        <v>174</v>
      </c>
      <c r="C8300">
        <v>239.99999910593033</v>
      </c>
      <c r="D8300">
        <v>30</v>
      </c>
      <c r="E8300" s="80">
        <v>35664</v>
      </c>
    </row>
    <row r="8301" spans="1:5">
      <c r="A8301">
        <v>10642</v>
      </c>
      <c r="B8301" t="s">
        <v>175</v>
      </c>
      <c r="C8301">
        <v>239.99999910593033</v>
      </c>
      <c r="D8301">
        <v>30</v>
      </c>
      <c r="E8301" s="80">
        <v>35664</v>
      </c>
    </row>
    <row r="8302" spans="1:5">
      <c r="A8302">
        <v>10642</v>
      </c>
      <c r="B8302" t="s">
        <v>176</v>
      </c>
      <c r="C8302">
        <v>239.99999910593033</v>
      </c>
      <c r="D8302">
        <v>30</v>
      </c>
      <c r="E8302" s="80">
        <v>35664</v>
      </c>
    </row>
    <row r="8303" spans="1:5">
      <c r="A8303">
        <v>10642</v>
      </c>
      <c r="B8303" t="s">
        <v>177</v>
      </c>
      <c r="C8303">
        <v>239.99999910593033</v>
      </c>
      <c r="D8303">
        <v>30</v>
      </c>
      <c r="E8303" s="80">
        <v>35664</v>
      </c>
    </row>
    <row r="8304" spans="1:5">
      <c r="A8304">
        <v>10642</v>
      </c>
      <c r="B8304" t="s">
        <v>178</v>
      </c>
      <c r="C8304">
        <v>239.99999910593033</v>
      </c>
      <c r="D8304">
        <v>30</v>
      </c>
      <c r="E8304" s="80">
        <v>35664</v>
      </c>
    </row>
    <row r="8305" spans="1:5">
      <c r="A8305">
        <v>10642</v>
      </c>
      <c r="B8305" t="s">
        <v>179</v>
      </c>
      <c r="C8305">
        <v>239.99999910593033</v>
      </c>
      <c r="D8305">
        <v>30</v>
      </c>
      <c r="E8305" s="80">
        <v>35664</v>
      </c>
    </row>
    <row r="8306" spans="1:5">
      <c r="A8306">
        <v>10642</v>
      </c>
      <c r="B8306" t="s">
        <v>172</v>
      </c>
      <c r="C8306">
        <v>455.99999830126762</v>
      </c>
      <c r="D8306">
        <v>20</v>
      </c>
      <c r="E8306" s="80">
        <v>35664</v>
      </c>
    </row>
    <row r="8307" spans="1:5">
      <c r="A8307">
        <v>10642</v>
      </c>
      <c r="B8307" t="s">
        <v>173</v>
      </c>
      <c r="C8307">
        <v>455.99999830126762</v>
      </c>
      <c r="D8307">
        <v>20</v>
      </c>
      <c r="E8307" s="80">
        <v>35664</v>
      </c>
    </row>
    <row r="8308" spans="1:5">
      <c r="A8308">
        <v>10642</v>
      </c>
      <c r="B8308" t="s">
        <v>174</v>
      </c>
      <c r="C8308">
        <v>455.99999830126762</v>
      </c>
      <c r="D8308">
        <v>20</v>
      </c>
      <c r="E8308" s="80">
        <v>35664</v>
      </c>
    </row>
    <row r="8309" spans="1:5">
      <c r="A8309">
        <v>10642</v>
      </c>
      <c r="B8309" t="s">
        <v>175</v>
      </c>
      <c r="C8309">
        <v>455.99999830126762</v>
      </c>
      <c r="D8309">
        <v>20</v>
      </c>
      <c r="E8309" s="80">
        <v>35664</v>
      </c>
    </row>
    <row r="8310" spans="1:5">
      <c r="A8310">
        <v>10642</v>
      </c>
      <c r="B8310" t="s">
        <v>176</v>
      </c>
      <c r="C8310">
        <v>455.99999830126762</v>
      </c>
      <c r="D8310">
        <v>20</v>
      </c>
      <c r="E8310" s="80">
        <v>35664</v>
      </c>
    </row>
    <row r="8311" spans="1:5">
      <c r="A8311">
        <v>10642</v>
      </c>
      <c r="B8311" t="s">
        <v>177</v>
      </c>
      <c r="C8311">
        <v>455.99999830126762</v>
      </c>
      <c r="D8311">
        <v>20</v>
      </c>
      <c r="E8311" s="80">
        <v>35664</v>
      </c>
    </row>
    <row r="8312" spans="1:5">
      <c r="A8312">
        <v>10642</v>
      </c>
      <c r="B8312" t="s">
        <v>178</v>
      </c>
      <c r="C8312">
        <v>455.99999830126762</v>
      </c>
      <c r="D8312">
        <v>20</v>
      </c>
      <c r="E8312" s="80">
        <v>35664</v>
      </c>
    </row>
    <row r="8313" spans="1:5">
      <c r="A8313">
        <v>10642</v>
      </c>
      <c r="B8313" t="s">
        <v>179</v>
      </c>
      <c r="C8313">
        <v>455.99999830126762</v>
      </c>
      <c r="D8313">
        <v>20</v>
      </c>
      <c r="E8313" s="80">
        <v>35664</v>
      </c>
    </row>
    <row r="8314" spans="1:5">
      <c r="A8314">
        <v>10643</v>
      </c>
      <c r="B8314" t="s">
        <v>172</v>
      </c>
      <c r="C8314">
        <v>513</v>
      </c>
      <c r="D8314">
        <v>15</v>
      </c>
      <c r="E8314" s="80">
        <v>35667</v>
      </c>
    </row>
    <row r="8315" spans="1:5">
      <c r="A8315">
        <v>10643</v>
      </c>
      <c r="B8315" t="s">
        <v>173</v>
      </c>
      <c r="C8315">
        <v>513</v>
      </c>
      <c r="D8315">
        <v>15</v>
      </c>
      <c r="E8315" s="80">
        <v>35667</v>
      </c>
    </row>
    <row r="8316" spans="1:5">
      <c r="A8316">
        <v>10643</v>
      </c>
      <c r="B8316" t="s">
        <v>174</v>
      </c>
      <c r="C8316">
        <v>513</v>
      </c>
      <c r="D8316">
        <v>15</v>
      </c>
      <c r="E8316" s="80">
        <v>35667</v>
      </c>
    </row>
    <row r="8317" spans="1:5">
      <c r="A8317">
        <v>10643</v>
      </c>
      <c r="B8317" t="s">
        <v>175</v>
      </c>
      <c r="C8317">
        <v>513</v>
      </c>
      <c r="D8317">
        <v>15</v>
      </c>
      <c r="E8317" s="80">
        <v>35667</v>
      </c>
    </row>
    <row r="8318" spans="1:5">
      <c r="A8318">
        <v>10643</v>
      </c>
      <c r="B8318" t="s">
        <v>176</v>
      </c>
      <c r="C8318">
        <v>513</v>
      </c>
      <c r="D8318">
        <v>15</v>
      </c>
      <c r="E8318" s="80">
        <v>35667</v>
      </c>
    </row>
    <row r="8319" spans="1:5">
      <c r="A8319">
        <v>10643</v>
      </c>
      <c r="B8319" t="s">
        <v>177</v>
      </c>
      <c r="C8319">
        <v>513</v>
      </c>
      <c r="D8319">
        <v>15</v>
      </c>
      <c r="E8319" s="80">
        <v>35667</v>
      </c>
    </row>
    <row r="8320" spans="1:5">
      <c r="A8320">
        <v>10643</v>
      </c>
      <c r="B8320" t="s">
        <v>178</v>
      </c>
      <c r="C8320">
        <v>513</v>
      </c>
      <c r="D8320">
        <v>15</v>
      </c>
      <c r="E8320" s="80">
        <v>35667</v>
      </c>
    </row>
    <row r="8321" spans="1:5">
      <c r="A8321">
        <v>10643</v>
      </c>
      <c r="B8321" t="s">
        <v>179</v>
      </c>
      <c r="C8321">
        <v>513</v>
      </c>
      <c r="D8321">
        <v>15</v>
      </c>
      <c r="E8321" s="80">
        <v>35667</v>
      </c>
    </row>
    <row r="8322" spans="1:5">
      <c r="A8322">
        <v>10643</v>
      </c>
      <c r="B8322" t="s">
        <v>172</v>
      </c>
      <c r="C8322">
        <v>283.5</v>
      </c>
      <c r="D8322">
        <v>21</v>
      </c>
      <c r="E8322" s="80">
        <v>35667</v>
      </c>
    </row>
    <row r="8323" spans="1:5">
      <c r="A8323">
        <v>10643</v>
      </c>
      <c r="B8323" t="s">
        <v>173</v>
      </c>
      <c r="C8323">
        <v>283.5</v>
      </c>
      <c r="D8323">
        <v>21</v>
      </c>
      <c r="E8323" s="80">
        <v>35667</v>
      </c>
    </row>
    <row r="8324" spans="1:5">
      <c r="A8324">
        <v>10643</v>
      </c>
      <c r="B8324" t="s">
        <v>174</v>
      </c>
      <c r="C8324">
        <v>283.5</v>
      </c>
      <c r="D8324">
        <v>21</v>
      </c>
      <c r="E8324" s="80">
        <v>35667</v>
      </c>
    </row>
    <row r="8325" spans="1:5">
      <c r="A8325">
        <v>10643</v>
      </c>
      <c r="B8325" t="s">
        <v>175</v>
      </c>
      <c r="C8325">
        <v>283.5</v>
      </c>
      <c r="D8325">
        <v>21</v>
      </c>
      <c r="E8325" s="80">
        <v>35667</v>
      </c>
    </row>
    <row r="8326" spans="1:5">
      <c r="A8326">
        <v>10643</v>
      </c>
      <c r="B8326" t="s">
        <v>176</v>
      </c>
      <c r="C8326">
        <v>283.5</v>
      </c>
      <c r="D8326">
        <v>21</v>
      </c>
      <c r="E8326" s="80">
        <v>35667</v>
      </c>
    </row>
    <row r="8327" spans="1:5">
      <c r="A8327">
        <v>10643</v>
      </c>
      <c r="B8327" t="s">
        <v>177</v>
      </c>
      <c r="C8327">
        <v>283.5</v>
      </c>
      <c r="D8327">
        <v>21</v>
      </c>
      <c r="E8327" s="80">
        <v>35667</v>
      </c>
    </row>
    <row r="8328" spans="1:5">
      <c r="A8328">
        <v>10643</v>
      </c>
      <c r="B8328" t="s">
        <v>178</v>
      </c>
      <c r="C8328">
        <v>283.5</v>
      </c>
      <c r="D8328">
        <v>21</v>
      </c>
      <c r="E8328" s="80">
        <v>35667</v>
      </c>
    </row>
    <row r="8329" spans="1:5">
      <c r="A8329">
        <v>10643</v>
      </c>
      <c r="B8329" t="s">
        <v>179</v>
      </c>
      <c r="C8329">
        <v>283.5</v>
      </c>
      <c r="D8329">
        <v>21</v>
      </c>
      <c r="E8329" s="80">
        <v>35667</v>
      </c>
    </row>
    <row r="8330" spans="1:5">
      <c r="A8330">
        <v>10643</v>
      </c>
      <c r="B8330" t="s">
        <v>172</v>
      </c>
      <c r="C8330">
        <v>18</v>
      </c>
      <c r="D8330">
        <v>2</v>
      </c>
      <c r="E8330" s="80">
        <v>35667</v>
      </c>
    </row>
    <row r="8331" spans="1:5">
      <c r="A8331">
        <v>10643</v>
      </c>
      <c r="B8331" t="s">
        <v>173</v>
      </c>
      <c r="C8331">
        <v>18</v>
      </c>
      <c r="D8331">
        <v>2</v>
      </c>
      <c r="E8331" s="80">
        <v>35667</v>
      </c>
    </row>
    <row r="8332" spans="1:5">
      <c r="A8332">
        <v>10643</v>
      </c>
      <c r="B8332" t="s">
        <v>174</v>
      </c>
      <c r="C8332">
        <v>18</v>
      </c>
      <c r="D8332">
        <v>2</v>
      </c>
      <c r="E8332" s="80">
        <v>35667</v>
      </c>
    </row>
    <row r="8333" spans="1:5">
      <c r="A8333">
        <v>10643</v>
      </c>
      <c r="B8333" t="s">
        <v>175</v>
      </c>
      <c r="C8333">
        <v>18</v>
      </c>
      <c r="D8333">
        <v>2</v>
      </c>
      <c r="E8333" s="80">
        <v>35667</v>
      </c>
    </row>
    <row r="8334" spans="1:5">
      <c r="A8334">
        <v>10643</v>
      </c>
      <c r="B8334" t="s">
        <v>176</v>
      </c>
      <c r="C8334">
        <v>18</v>
      </c>
      <c r="D8334">
        <v>2</v>
      </c>
      <c r="E8334" s="80">
        <v>35667</v>
      </c>
    </row>
    <row r="8335" spans="1:5">
      <c r="A8335">
        <v>10643</v>
      </c>
      <c r="B8335" t="s">
        <v>177</v>
      </c>
      <c r="C8335">
        <v>18</v>
      </c>
      <c r="D8335">
        <v>2</v>
      </c>
      <c r="E8335" s="80">
        <v>35667</v>
      </c>
    </row>
    <row r="8336" spans="1:5">
      <c r="A8336">
        <v>10643</v>
      </c>
      <c r="B8336" t="s">
        <v>178</v>
      </c>
      <c r="C8336">
        <v>18</v>
      </c>
      <c r="D8336">
        <v>2</v>
      </c>
      <c r="E8336" s="80">
        <v>35667</v>
      </c>
    </row>
    <row r="8337" spans="1:5">
      <c r="A8337">
        <v>10643</v>
      </c>
      <c r="B8337" t="s">
        <v>179</v>
      </c>
      <c r="C8337">
        <v>18</v>
      </c>
      <c r="D8337">
        <v>2</v>
      </c>
      <c r="E8337" s="80">
        <v>35667</v>
      </c>
    </row>
    <row r="8338" spans="1:5">
      <c r="A8338">
        <v>10644</v>
      </c>
      <c r="B8338" t="s">
        <v>172</v>
      </c>
      <c r="C8338">
        <v>224.99999962747097</v>
      </c>
      <c r="D8338">
        <v>4</v>
      </c>
      <c r="E8338" s="80">
        <v>35667</v>
      </c>
    </row>
    <row r="8339" spans="1:5">
      <c r="A8339">
        <v>10644</v>
      </c>
      <c r="B8339" t="s">
        <v>173</v>
      </c>
      <c r="C8339">
        <v>224.99999962747097</v>
      </c>
      <c r="D8339">
        <v>4</v>
      </c>
      <c r="E8339" s="80">
        <v>35667</v>
      </c>
    </row>
    <row r="8340" spans="1:5">
      <c r="A8340">
        <v>10644</v>
      </c>
      <c r="B8340" t="s">
        <v>174</v>
      </c>
      <c r="C8340">
        <v>224.99999962747097</v>
      </c>
      <c r="D8340">
        <v>4</v>
      </c>
      <c r="E8340" s="80">
        <v>35667</v>
      </c>
    </row>
    <row r="8341" spans="1:5">
      <c r="A8341">
        <v>10644</v>
      </c>
      <c r="B8341" t="s">
        <v>175</v>
      </c>
      <c r="C8341">
        <v>224.99999962747097</v>
      </c>
      <c r="D8341">
        <v>4</v>
      </c>
      <c r="E8341" s="80">
        <v>35667</v>
      </c>
    </row>
    <row r="8342" spans="1:5">
      <c r="A8342">
        <v>10644</v>
      </c>
      <c r="B8342" t="s">
        <v>176</v>
      </c>
      <c r="C8342">
        <v>224.99999962747097</v>
      </c>
      <c r="D8342">
        <v>4</v>
      </c>
      <c r="E8342" s="80">
        <v>35667</v>
      </c>
    </row>
    <row r="8343" spans="1:5">
      <c r="A8343">
        <v>10644</v>
      </c>
      <c r="B8343" t="s">
        <v>177</v>
      </c>
      <c r="C8343">
        <v>224.99999962747097</v>
      </c>
      <c r="D8343">
        <v>4</v>
      </c>
      <c r="E8343" s="80">
        <v>35667</v>
      </c>
    </row>
    <row r="8344" spans="1:5">
      <c r="A8344">
        <v>10644</v>
      </c>
      <c r="B8344" t="s">
        <v>178</v>
      </c>
      <c r="C8344">
        <v>224.99999962747097</v>
      </c>
      <c r="D8344">
        <v>4</v>
      </c>
      <c r="E8344" s="80">
        <v>35667</v>
      </c>
    </row>
    <row r="8345" spans="1:5">
      <c r="A8345">
        <v>10644</v>
      </c>
      <c r="B8345" t="s">
        <v>179</v>
      </c>
      <c r="C8345">
        <v>224.99999962747097</v>
      </c>
      <c r="D8345">
        <v>4</v>
      </c>
      <c r="E8345" s="80">
        <v>35667</v>
      </c>
    </row>
    <row r="8346" spans="1:5">
      <c r="A8346">
        <v>10644</v>
      </c>
      <c r="B8346" t="s">
        <v>172</v>
      </c>
      <c r="C8346">
        <v>920</v>
      </c>
      <c r="D8346">
        <v>20</v>
      </c>
      <c r="E8346" s="80">
        <v>35667</v>
      </c>
    </row>
    <row r="8347" spans="1:5">
      <c r="A8347">
        <v>10644</v>
      </c>
      <c r="B8347" t="s">
        <v>173</v>
      </c>
      <c r="C8347">
        <v>920</v>
      </c>
      <c r="D8347">
        <v>20</v>
      </c>
      <c r="E8347" s="80">
        <v>35667</v>
      </c>
    </row>
    <row r="8348" spans="1:5">
      <c r="A8348">
        <v>10644</v>
      </c>
      <c r="B8348" t="s">
        <v>174</v>
      </c>
      <c r="C8348">
        <v>920</v>
      </c>
      <c r="D8348">
        <v>20</v>
      </c>
      <c r="E8348" s="80">
        <v>35667</v>
      </c>
    </row>
    <row r="8349" spans="1:5">
      <c r="A8349">
        <v>10644</v>
      </c>
      <c r="B8349" t="s">
        <v>175</v>
      </c>
      <c r="C8349">
        <v>920</v>
      </c>
      <c r="D8349">
        <v>20</v>
      </c>
      <c r="E8349" s="80">
        <v>35667</v>
      </c>
    </row>
    <row r="8350" spans="1:5">
      <c r="A8350">
        <v>10644</v>
      </c>
      <c r="B8350" t="s">
        <v>176</v>
      </c>
      <c r="C8350">
        <v>920</v>
      </c>
      <c r="D8350">
        <v>20</v>
      </c>
      <c r="E8350" s="80">
        <v>35667</v>
      </c>
    </row>
    <row r="8351" spans="1:5">
      <c r="A8351">
        <v>10644</v>
      </c>
      <c r="B8351" t="s">
        <v>177</v>
      </c>
      <c r="C8351">
        <v>920</v>
      </c>
      <c r="D8351">
        <v>20</v>
      </c>
      <c r="E8351" s="80">
        <v>35667</v>
      </c>
    </row>
    <row r="8352" spans="1:5">
      <c r="A8352">
        <v>10644</v>
      </c>
      <c r="B8352" t="s">
        <v>178</v>
      </c>
      <c r="C8352">
        <v>920</v>
      </c>
      <c r="D8352">
        <v>20</v>
      </c>
      <c r="E8352" s="80">
        <v>35667</v>
      </c>
    </row>
    <row r="8353" spans="1:5">
      <c r="A8353">
        <v>10644</v>
      </c>
      <c r="B8353" t="s">
        <v>179</v>
      </c>
      <c r="C8353">
        <v>920</v>
      </c>
      <c r="D8353">
        <v>20</v>
      </c>
      <c r="E8353" s="80">
        <v>35667</v>
      </c>
    </row>
    <row r="8354" spans="1:5">
      <c r="A8354">
        <v>10644</v>
      </c>
      <c r="B8354" t="s">
        <v>172</v>
      </c>
      <c r="C8354">
        <v>226.79999962449074</v>
      </c>
      <c r="D8354">
        <v>21</v>
      </c>
      <c r="E8354" s="80">
        <v>35667</v>
      </c>
    </row>
    <row r="8355" spans="1:5">
      <c r="A8355">
        <v>10644</v>
      </c>
      <c r="B8355" t="s">
        <v>173</v>
      </c>
      <c r="C8355">
        <v>226.79999962449074</v>
      </c>
      <c r="D8355">
        <v>21</v>
      </c>
      <c r="E8355" s="80">
        <v>35667</v>
      </c>
    </row>
    <row r="8356" spans="1:5">
      <c r="A8356">
        <v>10644</v>
      </c>
      <c r="B8356" t="s">
        <v>174</v>
      </c>
      <c r="C8356">
        <v>226.79999962449074</v>
      </c>
      <c r="D8356">
        <v>21</v>
      </c>
      <c r="E8356" s="80">
        <v>35667</v>
      </c>
    </row>
    <row r="8357" spans="1:5">
      <c r="A8357">
        <v>10644</v>
      </c>
      <c r="B8357" t="s">
        <v>175</v>
      </c>
      <c r="C8357">
        <v>226.79999962449074</v>
      </c>
      <c r="D8357">
        <v>21</v>
      </c>
      <c r="E8357" s="80">
        <v>35667</v>
      </c>
    </row>
    <row r="8358" spans="1:5">
      <c r="A8358">
        <v>10644</v>
      </c>
      <c r="B8358" t="s">
        <v>176</v>
      </c>
      <c r="C8358">
        <v>226.79999962449074</v>
      </c>
      <c r="D8358">
        <v>21</v>
      </c>
      <c r="E8358" s="80">
        <v>35667</v>
      </c>
    </row>
    <row r="8359" spans="1:5">
      <c r="A8359">
        <v>10644</v>
      </c>
      <c r="B8359" t="s">
        <v>177</v>
      </c>
      <c r="C8359">
        <v>226.79999962449074</v>
      </c>
      <c r="D8359">
        <v>21</v>
      </c>
      <c r="E8359" s="80">
        <v>35667</v>
      </c>
    </row>
    <row r="8360" spans="1:5">
      <c r="A8360">
        <v>10644</v>
      </c>
      <c r="B8360" t="s">
        <v>178</v>
      </c>
      <c r="C8360">
        <v>226.79999962449074</v>
      </c>
      <c r="D8360">
        <v>21</v>
      </c>
      <c r="E8360" s="80">
        <v>35667</v>
      </c>
    </row>
    <row r="8361" spans="1:5">
      <c r="A8361">
        <v>10644</v>
      </c>
      <c r="B8361" t="s">
        <v>179</v>
      </c>
      <c r="C8361">
        <v>226.79999962449074</v>
      </c>
      <c r="D8361">
        <v>21</v>
      </c>
      <c r="E8361" s="80">
        <v>35667</v>
      </c>
    </row>
    <row r="8362" spans="1:5">
      <c r="A8362">
        <v>10645</v>
      </c>
      <c r="B8362" t="s">
        <v>172</v>
      </c>
      <c r="C8362">
        <v>1250</v>
      </c>
      <c r="D8362">
        <v>20</v>
      </c>
      <c r="E8362" s="80">
        <v>35668</v>
      </c>
    </row>
    <row r="8363" spans="1:5">
      <c r="A8363">
        <v>10645</v>
      </c>
      <c r="B8363" t="s">
        <v>173</v>
      </c>
      <c r="C8363">
        <v>1250</v>
      </c>
      <c r="D8363">
        <v>20</v>
      </c>
      <c r="E8363" s="80">
        <v>35668</v>
      </c>
    </row>
    <row r="8364" spans="1:5">
      <c r="A8364">
        <v>10645</v>
      </c>
      <c r="B8364" t="s">
        <v>174</v>
      </c>
      <c r="C8364">
        <v>1250</v>
      </c>
      <c r="D8364">
        <v>20</v>
      </c>
      <c r="E8364" s="80">
        <v>35668</v>
      </c>
    </row>
    <row r="8365" spans="1:5">
      <c r="A8365">
        <v>10645</v>
      </c>
      <c r="B8365" t="s">
        <v>175</v>
      </c>
      <c r="C8365">
        <v>1250</v>
      </c>
      <c r="D8365">
        <v>20</v>
      </c>
      <c r="E8365" s="80">
        <v>35668</v>
      </c>
    </row>
    <row r="8366" spans="1:5">
      <c r="A8366">
        <v>10645</v>
      </c>
      <c r="B8366" t="s">
        <v>176</v>
      </c>
      <c r="C8366">
        <v>1250</v>
      </c>
      <c r="D8366">
        <v>20</v>
      </c>
      <c r="E8366" s="80">
        <v>35668</v>
      </c>
    </row>
    <row r="8367" spans="1:5">
      <c r="A8367">
        <v>10645</v>
      </c>
      <c r="B8367" t="s">
        <v>177</v>
      </c>
      <c r="C8367">
        <v>1250</v>
      </c>
      <c r="D8367">
        <v>20</v>
      </c>
      <c r="E8367" s="80">
        <v>35668</v>
      </c>
    </row>
    <row r="8368" spans="1:5">
      <c r="A8368">
        <v>10645</v>
      </c>
      <c r="B8368" t="s">
        <v>178</v>
      </c>
      <c r="C8368">
        <v>1250</v>
      </c>
      <c r="D8368">
        <v>20</v>
      </c>
      <c r="E8368" s="80">
        <v>35668</v>
      </c>
    </row>
    <row r="8369" spans="1:5">
      <c r="A8369">
        <v>10645</v>
      </c>
      <c r="B8369" t="s">
        <v>179</v>
      </c>
      <c r="C8369">
        <v>1250</v>
      </c>
      <c r="D8369">
        <v>20</v>
      </c>
      <c r="E8369" s="80">
        <v>35668</v>
      </c>
    </row>
    <row r="8370" spans="1:5">
      <c r="A8370">
        <v>10645</v>
      </c>
      <c r="B8370" t="s">
        <v>172</v>
      </c>
      <c r="C8370">
        <v>285</v>
      </c>
      <c r="D8370">
        <v>15</v>
      </c>
      <c r="E8370" s="80">
        <v>35668</v>
      </c>
    </row>
    <row r="8371" spans="1:5">
      <c r="A8371">
        <v>10645</v>
      </c>
      <c r="B8371" t="s">
        <v>173</v>
      </c>
      <c r="C8371">
        <v>285</v>
      </c>
      <c r="D8371">
        <v>15</v>
      </c>
      <c r="E8371" s="80">
        <v>35668</v>
      </c>
    </row>
    <row r="8372" spans="1:5">
      <c r="A8372">
        <v>10645</v>
      </c>
      <c r="B8372" t="s">
        <v>174</v>
      </c>
      <c r="C8372">
        <v>285</v>
      </c>
      <c r="D8372">
        <v>15</v>
      </c>
      <c r="E8372" s="80">
        <v>35668</v>
      </c>
    </row>
    <row r="8373" spans="1:5">
      <c r="A8373">
        <v>10645</v>
      </c>
      <c r="B8373" t="s">
        <v>175</v>
      </c>
      <c r="C8373">
        <v>285</v>
      </c>
      <c r="D8373">
        <v>15</v>
      </c>
      <c r="E8373" s="80">
        <v>35668</v>
      </c>
    </row>
    <row r="8374" spans="1:5">
      <c r="A8374">
        <v>10645</v>
      </c>
      <c r="B8374" t="s">
        <v>176</v>
      </c>
      <c r="C8374">
        <v>285</v>
      </c>
      <c r="D8374">
        <v>15</v>
      </c>
      <c r="E8374" s="80">
        <v>35668</v>
      </c>
    </row>
    <row r="8375" spans="1:5">
      <c r="A8375">
        <v>10645</v>
      </c>
      <c r="B8375" t="s">
        <v>177</v>
      </c>
      <c r="C8375">
        <v>285</v>
      </c>
      <c r="D8375">
        <v>15</v>
      </c>
      <c r="E8375" s="80">
        <v>35668</v>
      </c>
    </row>
    <row r="8376" spans="1:5">
      <c r="A8376">
        <v>10645</v>
      </c>
      <c r="B8376" t="s">
        <v>178</v>
      </c>
      <c r="C8376">
        <v>285</v>
      </c>
      <c r="D8376">
        <v>15</v>
      </c>
      <c r="E8376" s="80">
        <v>35668</v>
      </c>
    </row>
    <row r="8377" spans="1:5">
      <c r="A8377">
        <v>10645</v>
      </c>
      <c r="B8377" t="s">
        <v>179</v>
      </c>
      <c r="C8377">
        <v>285</v>
      </c>
      <c r="D8377">
        <v>15</v>
      </c>
      <c r="E8377" s="80">
        <v>35668</v>
      </c>
    </row>
    <row r="8378" spans="1:5">
      <c r="A8378">
        <v>10646</v>
      </c>
      <c r="B8378" t="s">
        <v>172</v>
      </c>
      <c r="C8378">
        <v>202.5</v>
      </c>
      <c r="D8378">
        <v>15</v>
      </c>
      <c r="E8378" s="80">
        <v>35669</v>
      </c>
    </row>
    <row r="8379" spans="1:5">
      <c r="A8379">
        <v>10646</v>
      </c>
      <c r="B8379" t="s">
        <v>173</v>
      </c>
      <c r="C8379">
        <v>202.5</v>
      </c>
      <c r="D8379">
        <v>15</v>
      </c>
      <c r="E8379" s="80">
        <v>35669</v>
      </c>
    </row>
    <row r="8380" spans="1:5">
      <c r="A8380">
        <v>10646</v>
      </c>
      <c r="B8380" t="s">
        <v>174</v>
      </c>
      <c r="C8380">
        <v>202.5</v>
      </c>
      <c r="D8380">
        <v>15</v>
      </c>
      <c r="E8380" s="80">
        <v>35669</v>
      </c>
    </row>
    <row r="8381" spans="1:5">
      <c r="A8381">
        <v>10646</v>
      </c>
      <c r="B8381" t="s">
        <v>175</v>
      </c>
      <c r="C8381">
        <v>202.5</v>
      </c>
      <c r="D8381">
        <v>15</v>
      </c>
      <c r="E8381" s="80">
        <v>35669</v>
      </c>
    </row>
    <row r="8382" spans="1:5">
      <c r="A8382">
        <v>10646</v>
      </c>
      <c r="B8382" t="s">
        <v>176</v>
      </c>
      <c r="C8382">
        <v>202.5</v>
      </c>
      <c r="D8382">
        <v>15</v>
      </c>
      <c r="E8382" s="80">
        <v>35669</v>
      </c>
    </row>
    <row r="8383" spans="1:5">
      <c r="A8383">
        <v>10646</v>
      </c>
      <c r="B8383" t="s">
        <v>177</v>
      </c>
      <c r="C8383">
        <v>202.5</v>
      </c>
      <c r="D8383">
        <v>15</v>
      </c>
      <c r="E8383" s="80">
        <v>35669</v>
      </c>
    </row>
    <row r="8384" spans="1:5">
      <c r="A8384">
        <v>10646</v>
      </c>
      <c r="B8384" t="s">
        <v>178</v>
      </c>
      <c r="C8384">
        <v>202.5</v>
      </c>
      <c r="D8384">
        <v>15</v>
      </c>
      <c r="E8384" s="80">
        <v>35669</v>
      </c>
    </row>
    <row r="8385" spans="1:5">
      <c r="A8385">
        <v>10646</v>
      </c>
      <c r="B8385" t="s">
        <v>179</v>
      </c>
      <c r="C8385">
        <v>202.5</v>
      </c>
      <c r="D8385">
        <v>15</v>
      </c>
      <c r="E8385" s="80">
        <v>35669</v>
      </c>
    </row>
    <row r="8386" spans="1:5">
      <c r="A8386">
        <v>10646</v>
      </c>
      <c r="B8386" t="s">
        <v>172</v>
      </c>
      <c r="C8386">
        <v>418.5</v>
      </c>
      <c r="D8386">
        <v>18</v>
      </c>
      <c r="E8386" s="80">
        <v>35669</v>
      </c>
    </row>
    <row r="8387" spans="1:5">
      <c r="A8387">
        <v>10646</v>
      </c>
      <c r="B8387" t="s">
        <v>173</v>
      </c>
      <c r="C8387">
        <v>418.5</v>
      </c>
      <c r="D8387">
        <v>18</v>
      </c>
      <c r="E8387" s="80">
        <v>35669</v>
      </c>
    </row>
    <row r="8388" spans="1:5">
      <c r="A8388">
        <v>10646</v>
      </c>
      <c r="B8388" t="s">
        <v>174</v>
      </c>
      <c r="C8388">
        <v>418.5</v>
      </c>
      <c r="D8388">
        <v>18</v>
      </c>
      <c r="E8388" s="80">
        <v>35669</v>
      </c>
    </row>
    <row r="8389" spans="1:5">
      <c r="A8389">
        <v>10646</v>
      </c>
      <c r="B8389" t="s">
        <v>175</v>
      </c>
      <c r="C8389">
        <v>418.5</v>
      </c>
      <c r="D8389">
        <v>18</v>
      </c>
      <c r="E8389" s="80">
        <v>35669</v>
      </c>
    </row>
    <row r="8390" spans="1:5">
      <c r="A8390">
        <v>10646</v>
      </c>
      <c r="B8390" t="s">
        <v>176</v>
      </c>
      <c r="C8390">
        <v>418.5</v>
      </c>
      <c r="D8390">
        <v>18</v>
      </c>
      <c r="E8390" s="80">
        <v>35669</v>
      </c>
    </row>
    <row r="8391" spans="1:5">
      <c r="A8391">
        <v>10646</v>
      </c>
      <c r="B8391" t="s">
        <v>177</v>
      </c>
      <c r="C8391">
        <v>418.5</v>
      </c>
      <c r="D8391">
        <v>18</v>
      </c>
      <c r="E8391" s="80">
        <v>35669</v>
      </c>
    </row>
    <row r="8392" spans="1:5">
      <c r="A8392">
        <v>10646</v>
      </c>
      <c r="B8392" t="s">
        <v>178</v>
      </c>
      <c r="C8392">
        <v>418.5</v>
      </c>
      <c r="D8392">
        <v>18</v>
      </c>
      <c r="E8392" s="80">
        <v>35669</v>
      </c>
    </row>
    <row r="8393" spans="1:5">
      <c r="A8393">
        <v>10646</v>
      </c>
      <c r="B8393" t="s">
        <v>179</v>
      </c>
      <c r="C8393">
        <v>418.5</v>
      </c>
      <c r="D8393">
        <v>18</v>
      </c>
      <c r="E8393" s="80">
        <v>35669</v>
      </c>
    </row>
    <row r="8394" spans="1:5">
      <c r="A8394">
        <v>10646</v>
      </c>
      <c r="B8394" t="s">
        <v>172</v>
      </c>
      <c r="C8394">
        <v>483.75</v>
      </c>
      <c r="D8394">
        <v>30</v>
      </c>
      <c r="E8394" s="80">
        <v>35669</v>
      </c>
    </row>
    <row r="8395" spans="1:5">
      <c r="A8395">
        <v>10646</v>
      </c>
      <c r="B8395" t="s">
        <v>173</v>
      </c>
      <c r="C8395">
        <v>483.75</v>
      </c>
      <c r="D8395">
        <v>30</v>
      </c>
      <c r="E8395" s="80">
        <v>35669</v>
      </c>
    </row>
    <row r="8396" spans="1:5">
      <c r="A8396">
        <v>10646</v>
      </c>
      <c r="B8396" t="s">
        <v>174</v>
      </c>
      <c r="C8396">
        <v>483.75</v>
      </c>
      <c r="D8396">
        <v>30</v>
      </c>
      <c r="E8396" s="80">
        <v>35669</v>
      </c>
    </row>
    <row r="8397" spans="1:5">
      <c r="A8397">
        <v>10646</v>
      </c>
      <c r="B8397" t="s">
        <v>175</v>
      </c>
      <c r="C8397">
        <v>483.75</v>
      </c>
      <c r="D8397">
        <v>30</v>
      </c>
      <c r="E8397" s="80">
        <v>35669</v>
      </c>
    </row>
    <row r="8398" spans="1:5">
      <c r="A8398">
        <v>10646</v>
      </c>
      <c r="B8398" t="s">
        <v>176</v>
      </c>
      <c r="C8398">
        <v>483.75</v>
      </c>
      <c r="D8398">
        <v>30</v>
      </c>
      <c r="E8398" s="80">
        <v>35669</v>
      </c>
    </row>
    <row r="8399" spans="1:5">
      <c r="A8399">
        <v>10646</v>
      </c>
      <c r="B8399" t="s">
        <v>177</v>
      </c>
      <c r="C8399">
        <v>483.75</v>
      </c>
      <c r="D8399">
        <v>30</v>
      </c>
      <c r="E8399" s="80">
        <v>35669</v>
      </c>
    </row>
    <row r="8400" spans="1:5">
      <c r="A8400">
        <v>10646</v>
      </c>
      <c r="B8400" t="s">
        <v>178</v>
      </c>
      <c r="C8400">
        <v>483.75</v>
      </c>
      <c r="D8400">
        <v>30</v>
      </c>
      <c r="E8400" s="80">
        <v>35669</v>
      </c>
    </row>
    <row r="8401" spans="1:5">
      <c r="A8401">
        <v>10646</v>
      </c>
      <c r="B8401" t="s">
        <v>179</v>
      </c>
      <c r="C8401">
        <v>483.75</v>
      </c>
      <c r="D8401">
        <v>30</v>
      </c>
      <c r="E8401" s="80">
        <v>35669</v>
      </c>
    </row>
    <row r="8402" spans="1:5">
      <c r="A8402">
        <v>10646</v>
      </c>
      <c r="B8402" t="s">
        <v>172</v>
      </c>
      <c r="C8402">
        <v>341.25</v>
      </c>
      <c r="D8402">
        <v>35</v>
      </c>
      <c r="E8402" s="80">
        <v>35669</v>
      </c>
    </row>
    <row r="8403" spans="1:5">
      <c r="A8403">
        <v>10646</v>
      </c>
      <c r="B8403" t="s">
        <v>173</v>
      </c>
      <c r="C8403">
        <v>341.25</v>
      </c>
      <c r="D8403">
        <v>35</v>
      </c>
      <c r="E8403" s="80">
        <v>35669</v>
      </c>
    </row>
    <row r="8404" spans="1:5">
      <c r="A8404">
        <v>10646</v>
      </c>
      <c r="B8404" t="s">
        <v>174</v>
      </c>
      <c r="C8404">
        <v>341.25</v>
      </c>
      <c r="D8404">
        <v>35</v>
      </c>
      <c r="E8404" s="80">
        <v>35669</v>
      </c>
    </row>
    <row r="8405" spans="1:5">
      <c r="A8405">
        <v>10646</v>
      </c>
      <c r="B8405" t="s">
        <v>175</v>
      </c>
      <c r="C8405">
        <v>341.25</v>
      </c>
      <c r="D8405">
        <v>35</v>
      </c>
      <c r="E8405" s="80">
        <v>35669</v>
      </c>
    </row>
    <row r="8406" spans="1:5">
      <c r="A8406">
        <v>10646</v>
      </c>
      <c r="B8406" t="s">
        <v>176</v>
      </c>
      <c r="C8406">
        <v>341.25</v>
      </c>
      <c r="D8406">
        <v>35</v>
      </c>
      <c r="E8406" s="80">
        <v>35669</v>
      </c>
    </row>
    <row r="8407" spans="1:5">
      <c r="A8407">
        <v>10646</v>
      </c>
      <c r="B8407" t="s">
        <v>177</v>
      </c>
      <c r="C8407">
        <v>341.25</v>
      </c>
      <c r="D8407">
        <v>35</v>
      </c>
      <c r="E8407" s="80">
        <v>35669</v>
      </c>
    </row>
    <row r="8408" spans="1:5">
      <c r="A8408">
        <v>10646</v>
      </c>
      <c r="B8408" t="s">
        <v>178</v>
      </c>
      <c r="C8408">
        <v>341.25</v>
      </c>
      <c r="D8408">
        <v>35</v>
      </c>
      <c r="E8408" s="80">
        <v>35669</v>
      </c>
    </row>
    <row r="8409" spans="1:5">
      <c r="A8409">
        <v>10646</v>
      </c>
      <c r="B8409" t="s">
        <v>179</v>
      </c>
      <c r="C8409">
        <v>341.25</v>
      </c>
      <c r="D8409">
        <v>35</v>
      </c>
      <c r="E8409" s="80">
        <v>35669</v>
      </c>
    </row>
    <row r="8410" spans="1:5">
      <c r="A8410">
        <v>10647</v>
      </c>
      <c r="B8410" t="s">
        <v>172</v>
      </c>
      <c r="C8410">
        <v>276</v>
      </c>
      <c r="D8410">
        <v>30</v>
      </c>
      <c r="E8410" s="80">
        <v>35669</v>
      </c>
    </row>
    <row r="8411" spans="1:5">
      <c r="A8411">
        <v>10647</v>
      </c>
      <c r="B8411" t="s">
        <v>173</v>
      </c>
      <c r="C8411">
        <v>276</v>
      </c>
      <c r="D8411">
        <v>30</v>
      </c>
      <c r="E8411" s="80">
        <v>35669</v>
      </c>
    </row>
    <row r="8412" spans="1:5">
      <c r="A8412">
        <v>10647</v>
      </c>
      <c r="B8412" t="s">
        <v>174</v>
      </c>
      <c r="C8412">
        <v>276</v>
      </c>
      <c r="D8412">
        <v>30</v>
      </c>
      <c r="E8412" s="80">
        <v>35669</v>
      </c>
    </row>
    <row r="8413" spans="1:5">
      <c r="A8413">
        <v>10647</v>
      </c>
      <c r="B8413" t="s">
        <v>175</v>
      </c>
      <c r="C8413">
        <v>276</v>
      </c>
      <c r="D8413">
        <v>30</v>
      </c>
      <c r="E8413" s="80">
        <v>35669</v>
      </c>
    </row>
    <row r="8414" spans="1:5">
      <c r="A8414">
        <v>10647</v>
      </c>
      <c r="B8414" t="s">
        <v>176</v>
      </c>
      <c r="C8414">
        <v>276</v>
      </c>
      <c r="D8414">
        <v>30</v>
      </c>
      <c r="E8414" s="80">
        <v>35669</v>
      </c>
    </row>
    <row r="8415" spans="1:5">
      <c r="A8415">
        <v>10647</v>
      </c>
      <c r="B8415" t="s">
        <v>177</v>
      </c>
      <c r="C8415">
        <v>276</v>
      </c>
      <c r="D8415">
        <v>30</v>
      </c>
      <c r="E8415" s="80">
        <v>35669</v>
      </c>
    </row>
    <row r="8416" spans="1:5">
      <c r="A8416">
        <v>10647</v>
      </c>
      <c r="B8416" t="s">
        <v>178</v>
      </c>
      <c r="C8416">
        <v>276</v>
      </c>
      <c r="D8416">
        <v>30</v>
      </c>
      <c r="E8416" s="80">
        <v>35669</v>
      </c>
    </row>
    <row r="8417" spans="1:5">
      <c r="A8417">
        <v>10647</v>
      </c>
      <c r="B8417" t="s">
        <v>179</v>
      </c>
      <c r="C8417">
        <v>276</v>
      </c>
      <c r="D8417">
        <v>30</v>
      </c>
      <c r="E8417" s="80">
        <v>35669</v>
      </c>
    </row>
    <row r="8418" spans="1:5">
      <c r="A8418">
        <v>10647</v>
      </c>
      <c r="B8418" t="s">
        <v>172</v>
      </c>
      <c r="C8418">
        <v>360</v>
      </c>
      <c r="D8418">
        <v>20</v>
      </c>
      <c r="E8418" s="80">
        <v>35669</v>
      </c>
    </row>
    <row r="8419" spans="1:5">
      <c r="A8419">
        <v>10647</v>
      </c>
      <c r="B8419" t="s">
        <v>173</v>
      </c>
      <c r="C8419">
        <v>360</v>
      </c>
      <c r="D8419">
        <v>20</v>
      </c>
      <c r="E8419" s="80">
        <v>35669</v>
      </c>
    </row>
    <row r="8420" spans="1:5">
      <c r="A8420">
        <v>10647</v>
      </c>
      <c r="B8420" t="s">
        <v>174</v>
      </c>
      <c r="C8420">
        <v>360</v>
      </c>
      <c r="D8420">
        <v>20</v>
      </c>
      <c r="E8420" s="80">
        <v>35669</v>
      </c>
    </row>
    <row r="8421" spans="1:5">
      <c r="A8421">
        <v>10647</v>
      </c>
      <c r="B8421" t="s">
        <v>175</v>
      </c>
      <c r="C8421">
        <v>360</v>
      </c>
      <c r="D8421">
        <v>20</v>
      </c>
      <c r="E8421" s="80">
        <v>35669</v>
      </c>
    </row>
    <row r="8422" spans="1:5">
      <c r="A8422">
        <v>10647</v>
      </c>
      <c r="B8422" t="s">
        <v>176</v>
      </c>
      <c r="C8422">
        <v>360</v>
      </c>
      <c r="D8422">
        <v>20</v>
      </c>
      <c r="E8422" s="80">
        <v>35669</v>
      </c>
    </row>
    <row r="8423" spans="1:5">
      <c r="A8423">
        <v>10647</v>
      </c>
      <c r="B8423" t="s">
        <v>177</v>
      </c>
      <c r="C8423">
        <v>360</v>
      </c>
      <c r="D8423">
        <v>20</v>
      </c>
      <c r="E8423" s="80">
        <v>35669</v>
      </c>
    </row>
    <row r="8424" spans="1:5">
      <c r="A8424">
        <v>10647</v>
      </c>
      <c r="B8424" t="s">
        <v>178</v>
      </c>
      <c r="C8424">
        <v>360</v>
      </c>
      <c r="D8424">
        <v>20</v>
      </c>
      <c r="E8424" s="80">
        <v>35669</v>
      </c>
    </row>
    <row r="8425" spans="1:5">
      <c r="A8425">
        <v>10647</v>
      </c>
      <c r="B8425" t="s">
        <v>179</v>
      </c>
      <c r="C8425">
        <v>360</v>
      </c>
      <c r="D8425">
        <v>20</v>
      </c>
      <c r="E8425" s="80">
        <v>35669</v>
      </c>
    </row>
    <row r="8426" spans="1:5">
      <c r="A8426">
        <v>10648</v>
      </c>
      <c r="B8426" t="s">
        <v>172</v>
      </c>
      <c r="C8426">
        <v>315</v>
      </c>
      <c r="D8426">
        <v>15</v>
      </c>
      <c r="E8426" s="80">
        <v>35670</v>
      </c>
    </row>
    <row r="8427" spans="1:5">
      <c r="A8427">
        <v>10648</v>
      </c>
      <c r="B8427" t="s">
        <v>173</v>
      </c>
      <c r="C8427">
        <v>315</v>
      </c>
      <c r="D8427">
        <v>15</v>
      </c>
      <c r="E8427" s="80">
        <v>35670</v>
      </c>
    </row>
    <row r="8428" spans="1:5">
      <c r="A8428">
        <v>10648</v>
      </c>
      <c r="B8428" t="s">
        <v>174</v>
      </c>
      <c r="C8428">
        <v>315</v>
      </c>
      <c r="D8428">
        <v>15</v>
      </c>
      <c r="E8428" s="80">
        <v>35670</v>
      </c>
    </row>
    <row r="8429" spans="1:5">
      <c r="A8429">
        <v>10648</v>
      </c>
      <c r="B8429" t="s">
        <v>175</v>
      </c>
      <c r="C8429">
        <v>315</v>
      </c>
      <c r="D8429">
        <v>15</v>
      </c>
      <c r="E8429" s="80">
        <v>35670</v>
      </c>
    </row>
    <row r="8430" spans="1:5">
      <c r="A8430">
        <v>10648</v>
      </c>
      <c r="B8430" t="s">
        <v>176</v>
      </c>
      <c r="C8430">
        <v>315</v>
      </c>
      <c r="D8430">
        <v>15</v>
      </c>
      <c r="E8430" s="80">
        <v>35670</v>
      </c>
    </row>
    <row r="8431" spans="1:5">
      <c r="A8431">
        <v>10648</v>
      </c>
      <c r="B8431" t="s">
        <v>177</v>
      </c>
      <c r="C8431">
        <v>315</v>
      </c>
      <c r="D8431">
        <v>15</v>
      </c>
      <c r="E8431" s="80">
        <v>35670</v>
      </c>
    </row>
    <row r="8432" spans="1:5">
      <c r="A8432">
        <v>10648</v>
      </c>
      <c r="B8432" t="s">
        <v>178</v>
      </c>
      <c r="C8432">
        <v>315</v>
      </c>
      <c r="D8432">
        <v>15</v>
      </c>
      <c r="E8432" s="80">
        <v>35670</v>
      </c>
    </row>
    <row r="8433" spans="1:5">
      <c r="A8433">
        <v>10648</v>
      </c>
      <c r="B8433" t="s">
        <v>179</v>
      </c>
      <c r="C8433">
        <v>315</v>
      </c>
      <c r="D8433">
        <v>15</v>
      </c>
      <c r="E8433" s="80">
        <v>35670</v>
      </c>
    </row>
    <row r="8434" spans="1:5">
      <c r="A8434">
        <v>10648</v>
      </c>
      <c r="B8434" t="s">
        <v>172</v>
      </c>
      <c r="C8434">
        <v>57.374999597668648</v>
      </c>
      <c r="D8434">
        <v>15</v>
      </c>
      <c r="E8434" s="80">
        <v>35670</v>
      </c>
    </row>
    <row r="8435" spans="1:5">
      <c r="A8435">
        <v>10648</v>
      </c>
      <c r="B8435" t="s">
        <v>173</v>
      </c>
      <c r="C8435">
        <v>57.374999597668648</v>
      </c>
      <c r="D8435">
        <v>15</v>
      </c>
      <c r="E8435" s="80">
        <v>35670</v>
      </c>
    </row>
    <row r="8436" spans="1:5">
      <c r="A8436">
        <v>10648</v>
      </c>
      <c r="B8436" t="s">
        <v>174</v>
      </c>
      <c r="C8436">
        <v>57.374999597668648</v>
      </c>
      <c r="D8436">
        <v>15</v>
      </c>
      <c r="E8436" s="80">
        <v>35670</v>
      </c>
    </row>
    <row r="8437" spans="1:5">
      <c r="A8437">
        <v>10648</v>
      </c>
      <c r="B8437" t="s">
        <v>175</v>
      </c>
      <c r="C8437">
        <v>57.374999597668648</v>
      </c>
      <c r="D8437">
        <v>15</v>
      </c>
      <c r="E8437" s="80">
        <v>35670</v>
      </c>
    </row>
    <row r="8438" spans="1:5">
      <c r="A8438">
        <v>10648</v>
      </c>
      <c r="B8438" t="s">
        <v>176</v>
      </c>
      <c r="C8438">
        <v>57.374999597668648</v>
      </c>
      <c r="D8438">
        <v>15</v>
      </c>
      <c r="E8438" s="80">
        <v>35670</v>
      </c>
    </row>
    <row r="8439" spans="1:5">
      <c r="A8439">
        <v>10648</v>
      </c>
      <c r="B8439" t="s">
        <v>177</v>
      </c>
      <c r="C8439">
        <v>57.374999597668648</v>
      </c>
      <c r="D8439">
        <v>15</v>
      </c>
      <c r="E8439" s="80">
        <v>35670</v>
      </c>
    </row>
    <row r="8440" spans="1:5">
      <c r="A8440">
        <v>10648</v>
      </c>
      <c r="B8440" t="s">
        <v>178</v>
      </c>
      <c r="C8440">
        <v>57.374999597668648</v>
      </c>
      <c r="D8440">
        <v>15</v>
      </c>
      <c r="E8440" s="80">
        <v>35670</v>
      </c>
    </row>
    <row r="8441" spans="1:5">
      <c r="A8441">
        <v>10648</v>
      </c>
      <c r="B8441" t="s">
        <v>179</v>
      </c>
      <c r="C8441">
        <v>57.374999597668648</v>
      </c>
      <c r="D8441">
        <v>15</v>
      </c>
      <c r="E8441" s="80">
        <v>35670</v>
      </c>
    </row>
    <row r="8442" spans="1:5">
      <c r="A8442">
        <v>10649</v>
      </c>
      <c r="B8442" t="s">
        <v>172</v>
      </c>
      <c r="C8442">
        <v>912</v>
      </c>
      <c r="D8442">
        <v>20</v>
      </c>
      <c r="E8442" s="80">
        <v>35670</v>
      </c>
    </row>
    <row r="8443" spans="1:5">
      <c r="A8443">
        <v>10649</v>
      </c>
      <c r="B8443" t="s">
        <v>173</v>
      </c>
      <c r="C8443">
        <v>912</v>
      </c>
      <c r="D8443">
        <v>20</v>
      </c>
      <c r="E8443" s="80">
        <v>35670</v>
      </c>
    </row>
    <row r="8444" spans="1:5">
      <c r="A8444">
        <v>10649</v>
      </c>
      <c r="B8444" t="s">
        <v>174</v>
      </c>
      <c r="C8444">
        <v>912</v>
      </c>
      <c r="D8444">
        <v>20</v>
      </c>
      <c r="E8444" s="80">
        <v>35670</v>
      </c>
    </row>
    <row r="8445" spans="1:5">
      <c r="A8445">
        <v>10649</v>
      </c>
      <c r="B8445" t="s">
        <v>175</v>
      </c>
      <c r="C8445">
        <v>912</v>
      </c>
      <c r="D8445">
        <v>20</v>
      </c>
      <c r="E8445" s="80">
        <v>35670</v>
      </c>
    </row>
    <row r="8446" spans="1:5">
      <c r="A8446">
        <v>10649</v>
      </c>
      <c r="B8446" t="s">
        <v>176</v>
      </c>
      <c r="C8446">
        <v>912</v>
      </c>
      <c r="D8446">
        <v>20</v>
      </c>
      <c r="E8446" s="80">
        <v>35670</v>
      </c>
    </row>
    <row r="8447" spans="1:5">
      <c r="A8447">
        <v>10649</v>
      </c>
      <c r="B8447" t="s">
        <v>177</v>
      </c>
      <c r="C8447">
        <v>912</v>
      </c>
      <c r="D8447">
        <v>20</v>
      </c>
      <c r="E8447" s="80">
        <v>35670</v>
      </c>
    </row>
    <row r="8448" spans="1:5">
      <c r="A8448">
        <v>10649</v>
      </c>
      <c r="B8448" t="s">
        <v>178</v>
      </c>
      <c r="C8448">
        <v>912</v>
      </c>
      <c r="D8448">
        <v>20</v>
      </c>
      <c r="E8448" s="80">
        <v>35670</v>
      </c>
    </row>
    <row r="8449" spans="1:5">
      <c r="A8449">
        <v>10649</v>
      </c>
      <c r="B8449" t="s">
        <v>179</v>
      </c>
      <c r="C8449">
        <v>912</v>
      </c>
      <c r="D8449">
        <v>20</v>
      </c>
      <c r="E8449" s="80">
        <v>35670</v>
      </c>
    </row>
    <row r="8450" spans="1:5">
      <c r="A8450">
        <v>10649</v>
      </c>
      <c r="B8450" t="s">
        <v>172</v>
      </c>
      <c r="C8450">
        <v>522</v>
      </c>
      <c r="D8450">
        <v>15</v>
      </c>
      <c r="E8450" s="80">
        <v>35670</v>
      </c>
    </row>
    <row r="8451" spans="1:5">
      <c r="A8451">
        <v>10649</v>
      </c>
      <c r="B8451" t="s">
        <v>173</v>
      </c>
      <c r="C8451">
        <v>522</v>
      </c>
      <c r="D8451">
        <v>15</v>
      </c>
      <c r="E8451" s="80">
        <v>35670</v>
      </c>
    </row>
    <row r="8452" spans="1:5">
      <c r="A8452">
        <v>10649</v>
      </c>
      <c r="B8452" t="s">
        <v>174</v>
      </c>
      <c r="C8452">
        <v>522</v>
      </c>
      <c r="D8452">
        <v>15</v>
      </c>
      <c r="E8452" s="80">
        <v>35670</v>
      </c>
    </row>
    <row r="8453" spans="1:5">
      <c r="A8453">
        <v>10649</v>
      </c>
      <c r="B8453" t="s">
        <v>175</v>
      </c>
      <c r="C8453">
        <v>522</v>
      </c>
      <c r="D8453">
        <v>15</v>
      </c>
      <c r="E8453" s="80">
        <v>35670</v>
      </c>
    </row>
    <row r="8454" spans="1:5">
      <c r="A8454">
        <v>10649</v>
      </c>
      <c r="B8454" t="s">
        <v>176</v>
      </c>
      <c r="C8454">
        <v>522</v>
      </c>
      <c r="D8454">
        <v>15</v>
      </c>
      <c r="E8454" s="80">
        <v>35670</v>
      </c>
    </row>
    <row r="8455" spans="1:5">
      <c r="A8455">
        <v>10649</v>
      </c>
      <c r="B8455" t="s">
        <v>177</v>
      </c>
      <c r="C8455">
        <v>522</v>
      </c>
      <c r="D8455">
        <v>15</v>
      </c>
      <c r="E8455" s="80">
        <v>35670</v>
      </c>
    </row>
    <row r="8456" spans="1:5">
      <c r="A8456">
        <v>10649</v>
      </c>
      <c r="B8456" t="s">
        <v>178</v>
      </c>
      <c r="C8456">
        <v>522</v>
      </c>
      <c r="D8456">
        <v>15</v>
      </c>
      <c r="E8456" s="80">
        <v>35670</v>
      </c>
    </row>
    <row r="8457" spans="1:5">
      <c r="A8457">
        <v>10649</v>
      </c>
      <c r="B8457" t="s">
        <v>179</v>
      </c>
      <c r="C8457">
        <v>522</v>
      </c>
      <c r="D8457">
        <v>15</v>
      </c>
      <c r="E8457" s="80">
        <v>35670</v>
      </c>
    </row>
    <row r="8458" spans="1:5">
      <c r="A8458">
        <v>10650</v>
      </c>
      <c r="B8458" t="s">
        <v>172</v>
      </c>
      <c r="C8458">
        <v>776.7</v>
      </c>
      <c r="D8458">
        <v>30</v>
      </c>
      <c r="E8458" s="80">
        <v>35671</v>
      </c>
    </row>
    <row r="8459" spans="1:5">
      <c r="A8459">
        <v>10650</v>
      </c>
      <c r="B8459" t="s">
        <v>173</v>
      </c>
      <c r="C8459">
        <v>776.7</v>
      </c>
      <c r="D8459">
        <v>30</v>
      </c>
      <c r="E8459" s="80">
        <v>35671</v>
      </c>
    </row>
    <row r="8460" spans="1:5">
      <c r="A8460">
        <v>10650</v>
      </c>
      <c r="B8460" t="s">
        <v>174</v>
      </c>
      <c r="C8460">
        <v>776.7</v>
      </c>
      <c r="D8460">
        <v>30</v>
      </c>
      <c r="E8460" s="80">
        <v>35671</v>
      </c>
    </row>
    <row r="8461" spans="1:5">
      <c r="A8461">
        <v>10650</v>
      </c>
      <c r="B8461" t="s">
        <v>175</v>
      </c>
      <c r="C8461">
        <v>776.7</v>
      </c>
      <c r="D8461">
        <v>30</v>
      </c>
      <c r="E8461" s="80">
        <v>35671</v>
      </c>
    </row>
    <row r="8462" spans="1:5">
      <c r="A8462">
        <v>10650</v>
      </c>
      <c r="B8462" t="s">
        <v>176</v>
      </c>
      <c r="C8462">
        <v>776.7</v>
      </c>
      <c r="D8462">
        <v>30</v>
      </c>
      <c r="E8462" s="80">
        <v>35671</v>
      </c>
    </row>
    <row r="8463" spans="1:5">
      <c r="A8463">
        <v>10650</v>
      </c>
      <c r="B8463" t="s">
        <v>177</v>
      </c>
      <c r="C8463">
        <v>776.7</v>
      </c>
      <c r="D8463">
        <v>30</v>
      </c>
      <c r="E8463" s="80">
        <v>35671</v>
      </c>
    </row>
    <row r="8464" spans="1:5">
      <c r="A8464">
        <v>10650</v>
      </c>
      <c r="B8464" t="s">
        <v>178</v>
      </c>
      <c r="C8464">
        <v>776.7</v>
      </c>
      <c r="D8464">
        <v>30</v>
      </c>
      <c r="E8464" s="80">
        <v>35671</v>
      </c>
    </row>
    <row r="8465" spans="1:5">
      <c r="A8465">
        <v>10650</v>
      </c>
      <c r="B8465" t="s">
        <v>179</v>
      </c>
      <c r="C8465">
        <v>776.7</v>
      </c>
      <c r="D8465">
        <v>30</v>
      </c>
      <c r="E8465" s="80">
        <v>35671</v>
      </c>
    </row>
    <row r="8466" spans="1:5">
      <c r="A8466">
        <v>10650</v>
      </c>
      <c r="B8466" t="s">
        <v>172</v>
      </c>
      <c r="C8466">
        <v>778.99999938905239</v>
      </c>
      <c r="D8466">
        <v>25</v>
      </c>
      <c r="E8466" s="80">
        <v>35671</v>
      </c>
    </row>
    <row r="8467" spans="1:5">
      <c r="A8467">
        <v>10650</v>
      </c>
      <c r="B8467" t="s">
        <v>173</v>
      </c>
      <c r="C8467">
        <v>778.99999938905239</v>
      </c>
      <c r="D8467">
        <v>25</v>
      </c>
      <c r="E8467" s="80">
        <v>35671</v>
      </c>
    </row>
    <row r="8468" spans="1:5">
      <c r="A8468">
        <v>10650</v>
      </c>
      <c r="B8468" t="s">
        <v>174</v>
      </c>
      <c r="C8468">
        <v>778.99999938905239</v>
      </c>
      <c r="D8468">
        <v>25</v>
      </c>
      <c r="E8468" s="80">
        <v>35671</v>
      </c>
    </row>
    <row r="8469" spans="1:5">
      <c r="A8469">
        <v>10650</v>
      </c>
      <c r="B8469" t="s">
        <v>175</v>
      </c>
      <c r="C8469">
        <v>778.99999938905239</v>
      </c>
      <c r="D8469">
        <v>25</v>
      </c>
      <c r="E8469" s="80">
        <v>35671</v>
      </c>
    </row>
    <row r="8470" spans="1:5">
      <c r="A8470">
        <v>10650</v>
      </c>
      <c r="B8470" t="s">
        <v>176</v>
      </c>
      <c r="C8470">
        <v>778.99999938905239</v>
      </c>
      <c r="D8470">
        <v>25</v>
      </c>
      <c r="E8470" s="80">
        <v>35671</v>
      </c>
    </row>
    <row r="8471" spans="1:5">
      <c r="A8471">
        <v>10650</v>
      </c>
      <c r="B8471" t="s">
        <v>177</v>
      </c>
      <c r="C8471">
        <v>778.99999938905239</v>
      </c>
      <c r="D8471">
        <v>25</v>
      </c>
      <c r="E8471" s="80">
        <v>35671</v>
      </c>
    </row>
    <row r="8472" spans="1:5">
      <c r="A8472">
        <v>10650</v>
      </c>
      <c r="B8472" t="s">
        <v>178</v>
      </c>
      <c r="C8472">
        <v>778.99999938905239</v>
      </c>
      <c r="D8472">
        <v>25</v>
      </c>
      <c r="E8472" s="80">
        <v>35671</v>
      </c>
    </row>
    <row r="8473" spans="1:5">
      <c r="A8473">
        <v>10650</v>
      </c>
      <c r="B8473" t="s">
        <v>179</v>
      </c>
      <c r="C8473">
        <v>778.99999938905239</v>
      </c>
      <c r="D8473">
        <v>25</v>
      </c>
      <c r="E8473" s="80">
        <v>35671</v>
      </c>
    </row>
    <row r="8474" spans="1:5">
      <c r="A8474">
        <v>10650</v>
      </c>
      <c r="B8474" t="s">
        <v>172</v>
      </c>
      <c r="C8474">
        <v>223.5</v>
      </c>
      <c r="D8474">
        <v>30</v>
      </c>
      <c r="E8474" s="80">
        <v>35671</v>
      </c>
    </row>
    <row r="8475" spans="1:5">
      <c r="A8475">
        <v>10650</v>
      </c>
      <c r="B8475" t="s">
        <v>173</v>
      </c>
      <c r="C8475">
        <v>223.5</v>
      </c>
      <c r="D8475">
        <v>30</v>
      </c>
      <c r="E8475" s="80">
        <v>35671</v>
      </c>
    </row>
    <row r="8476" spans="1:5">
      <c r="A8476">
        <v>10650</v>
      </c>
      <c r="B8476" t="s">
        <v>174</v>
      </c>
      <c r="C8476">
        <v>223.5</v>
      </c>
      <c r="D8476">
        <v>30</v>
      </c>
      <c r="E8476" s="80">
        <v>35671</v>
      </c>
    </row>
    <row r="8477" spans="1:5">
      <c r="A8477">
        <v>10650</v>
      </c>
      <c r="B8477" t="s">
        <v>175</v>
      </c>
      <c r="C8477">
        <v>223.5</v>
      </c>
      <c r="D8477">
        <v>30</v>
      </c>
      <c r="E8477" s="80">
        <v>35671</v>
      </c>
    </row>
    <row r="8478" spans="1:5">
      <c r="A8478">
        <v>10650</v>
      </c>
      <c r="B8478" t="s">
        <v>176</v>
      </c>
      <c r="C8478">
        <v>223.5</v>
      </c>
      <c r="D8478">
        <v>30</v>
      </c>
      <c r="E8478" s="80">
        <v>35671</v>
      </c>
    </row>
    <row r="8479" spans="1:5">
      <c r="A8479">
        <v>10650</v>
      </c>
      <c r="B8479" t="s">
        <v>177</v>
      </c>
      <c r="C8479">
        <v>223.5</v>
      </c>
      <c r="D8479">
        <v>30</v>
      </c>
      <c r="E8479" s="80">
        <v>35671</v>
      </c>
    </row>
    <row r="8480" spans="1:5">
      <c r="A8480">
        <v>10650</v>
      </c>
      <c r="B8480" t="s">
        <v>178</v>
      </c>
      <c r="C8480">
        <v>223.5</v>
      </c>
      <c r="D8480">
        <v>30</v>
      </c>
      <c r="E8480" s="80">
        <v>35671</v>
      </c>
    </row>
    <row r="8481" spans="1:5">
      <c r="A8481">
        <v>10650</v>
      </c>
      <c r="B8481" t="s">
        <v>179</v>
      </c>
      <c r="C8481">
        <v>223.5</v>
      </c>
      <c r="D8481">
        <v>30</v>
      </c>
      <c r="E8481" s="80">
        <v>35671</v>
      </c>
    </row>
    <row r="8482" spans="1:5">
      <c r="A8482">
        <v>10651</v>
      </c>
      <c r="B8482" t="s">
        <v>172</v>
      </c>
      <c r="C8482">
        <v>82.800000000000011</v>
      </c>
      <c r="D8482">
        <v>12</v>
      </c>
      <c r="E8482" s="80">
        <v>35674</v>
      </c>
    </row>
    <row r="8483" spans="1:5">
      <c r="A8483">
        <v>10651</v>
      </c>
      <c r="B8483" t="s">
        <v>173</v>
      </c>
      <c r="C8483">
        <v>82.800000000000011</v>
      </c>
      <c r="D8483">
        <v>12</v>
      </c>
      <c r="E8483" s="80">
        <v>35674</v>
      </c>
    </row>
    <row r="8484" spans="1:5">
      <c r="A8484">
        <v>10651</v>
      </c>
      <c r="B8484" t="s">
        <v>174</v>
      </c>
      <c r="C8484">
        <v>82.800000000000011</v>
      </c>
      <c r="D8484">
        <v>12</v>
      </c>
      <c r="E8484" s="80">
        <v>35674</v>
      </c>
    </row>
    <row r="8485" spans="1:5">
      <c r="A8485">
        <v>10651</v>
      </c>
      <c r="B8485" t="s">
        <v>175</v>
      </c>
      <c r="C8485">
        <v>82.800000000000011</v>
      </c>
      <c r="D8485">
        <v>12</v>
      </c>
      <c r="E8485" s="80">
        <v>35674</v>
      </c>
    </row>
    <row r="8486" spans="1:5">
      <c r="A8486">
        <v>10651</v>
      </c>
      <c r="B8486" t="s">
        <v>176</v>
      </c>
      <c r="C8486">
        <v>82.800000000000011</v>
      </c>
      <c r="D8486">
        <v>12</v>
      </c>
      <c r="E8486" s="80">
        <v>35674</v>
      </c>
    </row>
    <row r="8487" spans="1:5">
      <c r="A8487">
        <v>10651</v>
      </c>
      <c r="B8487" t="s">
        <v>177</v>
      </c>
      <c r="C8487">
        <v>82.800000000000011</v>
      </c>
      <c r="D8487">
        <v>12</v>
      </c>
      <c r="E8487" s="80">
        <v>35674</v>
      </c>
    </row>
    <row r="8488" spans="1:5">
      <c r="A8488">
        <v>10651</v>
      </c>
      <c r="B8488" t="s">
        <v>178</v>
      </c>
      <c r="C8488">
        <v>82.800000000000011</v>
      </c>
      <c r="D8488">
        <v>12</v>
      </c>
      <c r="E8488" s="80">
        <v>35674</v>
      </c>
    </row>
    <row r="8489" spans="1:5">
      <c r="A8489">
        <v>10651</v>
      </c>
      <c r="B8489" t="s">
        <v>179</v>
      </c>
      <c r="C8489">
        <v>82.800000000000011</v>
      </c>
      <c r="D8489">
        <v>12</v>
      </c>
      <c r="E8489" s="80">
        <v>35674</v>
      </c>
    </row>
    <row r="8490" spans="1:5">
      <c r="A8490">
        <v>10651</v>
      </c>
      <c r="B8490" t="s">
        <v>172</v>
      </c>
      <c r="C8490">
        <v>315</v>
      </c>
      <c r="D8490">
        <v>20</v>
      </c>
      <c r="E8490" s="80">
        <v>35674</v>
      </c>
    </row>
    <row r="8491" spans="1:5">
      <c r="A8491">
        <v>10651</v>
      </c>
      <c r="B8491" t="s">
        <v>173</v>
      </c>
      <c r="C8491">
        <v>315</v>
      </c>
      <c r="D8491">
        <v>20</v>
      </c>
      <c r="E8491" s="80">
        <v>35674</v>
      </c>
    </row>
    <row r="8492" spans="1:5">
      <c r="A8492">
        <v>10651</v>
      </c>
      <c r="B8492" t="s">
        <v>174</v>
      </c>
      <c r="C8492">
        <v>315</v>
      </c>
      <c r="D8492">
        <v>20</v>
      </c>
      <c r="E8492" s="80">
        <v>35674</v>
      </c>
    </row>
    <row r="8493" spans="1:5">
      <c r="A8493">
        <v>10651</v>
      </c>
      <c r="B8493" t="s">
        <v>175</v>
      </c>
      <c r="C8493">
        <v>315</v>
      </c>
      <c r="D8493">
        <v>20</v>
      </c>
      <c r="E8493" s="80">
        <v>35674</v>
      </c>
    </row>
    <row r="8494" spans="1:5">
      <c r="A8494">
        <v>10651</v>
      </c>
      <c r="B8494" t="s">
        <v>176</v>
      </c>
      <c r="C8494">
        <v>315</v>
      </c>
      <c r="D8494">
        <v>20</v>
      </c>
      <c r="E8494" s="80">
        <v>35674</v>
      </c>
    </row>
    <row r="8495" spans="1:5">
      <c r="A8495">
        <v>10651</v>
      </c>
      <c r="B8495" t="s">
        <v>177</v>
      </c>
      <c r="C8495">
        <v>315</v>
      </c>
      <c r="D8495">
        <v>20</v>
      </c>
      <c r="E8495" s="80">
        <v>35674</v>
      </c>
    </row>
    <row r="8496" spans="1:5">
      <c r="A8496">
        <v>10651</v>
      </c>
      <c r="B8496" t="s">
        <v>178</v>
      </c>
      <c r="C8496">
        <v>315</v>
      </c>
      <c r="D8496">
        <v>20</v>
      </c>
      <c r="E8496" s="80">
        <v>35674</v>
      </c>
    </row>
    <row r="8497" spans="1:5">
      <c r="A8497">
        <v>10651</v>
      </c>
      <c r="B8497" t="s">
        <v>179</v>
      </c>
      <c r="C8497">
        <v>315</v>
      </c>
      <c r="D8497">
        <v>20</v>
      </c>
      <c r="E8497" s="80">
        <v>35674</v>
      </c>
    </row>
    <row r="8498" spans="1:5">
      <c r="A8498">
        <v>10652</v>
      </c>
      <c r="B8498" t="s">
        <v>172</v>
      </c>
      <c r="C8498">
        <v>38.835000000000001</v>
      </c>
      <c r="D8498">
        <v>2</v>
      </c>
      <c r="E8498" s="80">
        <v>35674</v>
      </c>
    </row>
    <row r="8499" spans="1:5">
      <c r="A8499">
        <v>10652</v>
      </c>
      <c r="B8499" t="s">
        <v>173</v>
      </c>
      <c r="C8499">
        <v>38.835000000000001</v>
      </c>
      <c r="D8499">
        <v>2</v>
      </c>
      <c r="E8499" s="80">
        <v>35674</v>
      </c>
    </row>
    <row r="8500" spans="1:5">
      <c r="A8500">
        <v>10652</v>
      </c>
      <c r="B8500" t="s">
        <v>174</v>
      </c>
      <c r="C8500">
        <v>38.835000000000001</v>
      </c>
      <c r="D8500">
        <v>2</v>
      </c>
      <c r="E8500" s="80">
        <v>35674</v>
      </c>
    </row>
    <row r="8501" spans="1:5">
      <c r="A8501">
        <v>10652</v>
      </c>
      <c r="B8501" t="s">
        <v>175</v>
      </c>
      <c r="C8501">
        <v>38.835000000000001</v>
      </c>
      <c r="D8501">
        <v>2</v>
      </c>
      <c r="E8501" s="80">
        <v>35674</v>
      </c>
    </row>
    <row r="8502" spans="1:5">
      <c r="A8502">
        <v>10652</v>
      </c>
      <c r="B8502" t="s">
        <v>176</v>
      </c>
      <c r="C8502">
        <v>38.835000000000001</v>
      </c>
      <c r="D8502">
        <v>2</v>
      </c>
      <c r="E8502" s="80">
        <v>35674</v>
      </c>
    </row>
    <row r="8503" spans="1:5">
      <c r="A8503">
        <v>10652</v>
      </c>
      <c r="B8503" t="s">
        <v>177</v>
      </c>
      <c r="C8503">
        <v>38.835000000000001</v>
      </c>
      <c r="D8503">
        <v>2</v>
      </c>
      <c r="E8503" s="80">
        <v>35674</v>
      </c>
    </row>
    <row r="8504" spans="1:5">
      <c r="A8504">
        <v>10652</v>
      </c>
      <c r="B8504" t="s">
        <v>178</v>
      </c>
      <c r="C8504">
        <v>38.835000000000001</v>
      </c>
      <c r="D8504">
        <v>2</v>
      </c>
      <c r="E8504" s="80">
        <v>35674</v>
      </c>
    </row>
    <row r="8505" spans="1:5">
      <c r="A8505">
        <v>10652</v>
      </c>
      <c r="B8505" t="s">
        <v>179</v>
      </c>
      <c r="C8505">
        <v>38.835000000000001</v>
      </c>
      <c r="D8505">
        <v>2</v>
      </c>
      <c r="E8505" s="80">
        <v>35674</v>
      </c>
    </row>
    <row r="8506" spans="1:5">
      <c r="A8506">
        <v>10652</v>
      </c>
      <c r="B8506" t="s">
        <v>172</v>
      </c>
      <c r="C8506">
        <v>280</v>
      </c>
      <c r="D8506">
        <v>20</v>
      </c>
      <c r="E8506" s="80">
        <v>35674</v>
      </c>
    </row>
    <row r="8507" spans="1:5">
      <c r="A8507">
        <v>10652</v>
      </c>
      <c r="B8507" t="s">
        <v>173</v>
      </c>
      <c r="C8507">
        <v>280</v>
      </c>
      <c r="D8507">
        <v>20</v>
      </c>
      <c r="E8507" s="80">
        <v>35674</v>
      </c>
    </row>
    <row r="8508" spans="1:5">
      <c r="A8508">
        <v>10652</v>
      </c>
      <c r="B8508" t="s">
        <v>174</v>
      </c>
      <c r="C8508">
        <v>280</v>
      </c>
      <c r="D8508">
        <v>20</v>
      </c>
      <c r="E8508" s="80">
        <v>35674</v>
      </c>
    </row>
    <row r="8509" spans="1:5">
      <c r="A8509">
        <v>10652</v>
      </c>
      <c r="B8509" t="s">
        <v>175</v>
      </c>
      <c r="C8509">
        <v>280</v>
      </c>
      <c r="D8509">
        <v>20</v>
      </c>
      <c r="E8509" s="80">
        <v>35674</v>
      </c>
    </row>
    <row r="8510" spans="1:5">
      <c r="A8510">
        <v>10652</v>
      </c>
      <c r="B8510" t="s">
        <v>176</v>
      </c>
      <c r="C8510">
        <v>280</v>
      </c>
      <c r="D8510">
        <v>20</v>
      </c>
      <c r="E8510" s="80">
        <v>35674</v>
      </c>
    </row>
    <row r="8511" spans="1:5">
      <c r="A8511">
        <v>10652</v>
      </c>
      <c r="B8511" t="s">
        <v>177</v>
      </c>
      <c r="C8511">
        <v>280</v>
      </c>
      <c r="D8511">
        <v>20</v>
      </c>
      <c r="E8511" s="80">
        <v>35674</v>
      </c>
    </row>
    <row r="8512" spans="1:5">
      <c r="A8512">
        <v>10652</v>
      </c>
      <c r="B8512" t="s">
        <v>178</v>
      </c>
      <c r="C8512">
        <v>280</v>
      </c>
      <c r="D8512">
        <v>20</v>
      </c>
      <c r="E8512" s="80">
        <v>35674</v>
      </c>
    </row>
    <row r="8513" spans="1:5">
      <c r="A8513">
        <v>10652</v>
      </c>
      <c r="B8513" t="s">
        <v>179</v>
      </c>
      <c r="C8513">
        <v>280</v>
      </c>
      <c r="D8513">
        <v>20</v>
      </c>
      <c r="E8513" s="80">
        <v>35674</v>
      </c>
    </row>
    <row r="8514" spans="1:5">
      <c r="A8514">
        <v>10653</v>
      </c>
      <c r="B8514" t="s">
        <v>172</v>
      </c>
      <c r="C8514">
        <v>471.14999921992421</v>
      </c>
      <c r="D8514">
        <v>30</v>
      </c>
      <c r="E8514" s="80">
        <v>35675</v>
      </c>
    </row>
    <row r="8515" spans="1:5">
      <c r="A8515">
        <v>10653</v>
      </c>
      <c r="B8515" t="s">
        <v>173</v>
      </c>
      <c r="C8515">
        <v>471.14999921992421</v>
      </c>
      <c r="D8515">
        <v>30</v>
      </c>
      <c r="E8515" s="80">
        <v>35675</v>
      </c>
    </row>
    <row r="8516" spans="1:5">
      <c r="A8516">
        <v>10653</v>
      </c>
      <c r="B8516" t="s">
        <v>174</v>
      </c>
      <c r="C8516">
        <v>471.14999921992421</v>
      </c>
      <c r="D8516">
        <v>30</v>
      </c>
      <c r="E8516" s="80">
        <v>35675</v>
      </c>
    </row>
    <row r="8517" spans="1:5">
      <c r="A8517">
        <v>10653</v>
      </c>
      <c r="B8517" t="s">
        <v>175</v>
      </c>
      <c r="C8517">
        <v>471.14999921992421</v>
      </c>
      <c r="D8517">
        <v>30</v>
      </c>
      <c r="E8517" s="80">
        <v>35675</v>
      </c>
    </row>
    <row r="8518" spans="1:5">
      <c r="A8518">
        <v>10653</v>
      </c>
      <c r="B8518" t="s">
        <v>176</v>
      </c>
      <c r="C8518">
        <v>471.14999921992421</v>
      </c>
      <c r="D8518">
        <v>30</v>
      </c>
      <c r="E8518" s="80">
        <v>35675</v>
      </c>
    </row>
    <row r="8519" spans="1:5">
      <c r="A8519">
        <v>10653</v>
      </c>
      <c r="B8519" t="s">
        <v>177</v>
      </c>
      <c r="C8519">
        <v>471.14999921992421</v>
      </c>
      <c r="D8519">
        <v>30</v>
      </c>
      <c r="E8519" s="80">
        <v>35675</v>
      </c>
    </row>
    <row r="8520" spans="1:5">
      <c r="A8520">
        <v>10653</v>
      </c>
      <c r="B8520" t="s">
        <v>178</v>
      </c>
      <c r="C8520">
        <v>471.14999921992421</v>
      </c>
      <c r="D8520">
        <v>30</v>
      </c>
      <c r="E8520" s="80">
        <v>35675</v>
      </c>
    </row>
    <row r="8521" spans="1:5">
      <c r="A8521">
        <v>10653</v>
      </c>
      <c r="B8521" t="s">
        <v>179</v>
      </c>
      <c r="C8521">
        <v>471.14999921992421</v>
      </c>
      <c r="D8521">
        <v>30</v>
      </c>
      <c r="E8521" s="80">
        <v>35675</v>
      </c>
    </row>
    <row r="8522" spans="1:5">
      <c r="A8522">
        <v>10653</v>
      </c>
      <c r="B8522" t="s">
        <v>172</v>
      </c>
      <c r="C8522">
        <v>611.99999898672104</v>
      </c>
      <c r="D8522">
        <v>20</v>
      </c>
      <c r="E8522" s="80">
        <v>35675</v>
      </c>
    </row>
    <row r="8523" spans="1:5">
      <c r="A8523">
        <v>10653</v>
      </c>
      <c r="B8523" t="s">
        <v>173</v>
      </c>
      <c r="C8523">
        <v>611.99999898672104</v>
      </c>
      <c r="D8523">
        <v>20</v>
      </c>
      <c r="E8523" s="80">
        <v>35675</v>
      </c>
    </row>
    <row r="8524" spans="1:5">
      <c r="A8524">
        <v>10653</v>
      </c>
      <c r="B8524" t="s">
        <v>174</v>
      </c>
      <c r="C8524">
        <v>611.99999898672104</v>
      </c>
      <c r="D8524">
        <v>20</v>
      </c>
      <c r="E8524" s="80">
        <v>35675</v>
      </c>
    </row>
    <row r="8525" spans="1:5">
      <c r="A8525">
        <v>10653</v>
      </c>
      <c r="B8525" t="s">
        <v>175</v>
      </c>
      <c r="C8525">
        <v>611.99999898672104</v>
      </c>
      <c r="D8525">
        <v>20</v>
      </c>
      <c r="E8525" s="80">
        <v>35675</v>
      </c>
    </row>
    <row r="8526" spans="1:5">
      <c r="A8526">
        <v>10653</v>
      </c>
      <c r="B8526" t="s">
        <v>176</v>
      </c>
      <c r="C8526">
        <v>611.99999898672104</v>
      </c>
      <c r="D8526">
        <v>20</v>
      </c>
      <c r="E8526" s="80">
        <v>35675</v>
      </c>
    </row>
    <row r="8527" spans="1:5">
      <c r="A8527">
        <v>10653</v>
      </c>
      <c r="B8527" t="s">
        <v>177</v>
      </c>
      <c r="C8527">
        <v>611.99999898672104</v>
      </c>
      <c r="D8527">
        <v>20</v>
      </c>
      <c r="E8527" s="80">
        <v>35675</v>
      </c>
    </row>
    <row r="8528" spans="1:5">
      <c r="A8528">
        <v>10653</v>
      </c>
      <c r="B8528" t="s">
        <v>178</v>
      </c>
      <c r="C8528">
        <v>611.99999898672104</v>
      </c>
      <c r="D8528">
        <v>20</v>
      </c>
      <c r="E8528" s="80">
        <v>35675</v>
      </c>
    </row>
    <row r="8529" spans="1:5">
      <c r="A8529">
        <v>10653</v>
      </c>
      <c r="B8529" t="s">
        <v>179</v>
      </c>
      <c r="C8529">
        <v>611.99999898672104</v>
      </c>
      <c r="D8529">
        <v>20</v>
      </c>
      <c r="E8529" s="80">
        <v>35675</v>
      </c>
    </row>
    <row r="8530" spans="1:5">
      <c r="A8530">
        <v>10654</v>
      </c>
      <c r="B8530" t="s">
        <v>172</v>
      </c>
      <c r="C8530">
        <v>237.59999960660934</v>
      </c>
      <c r="D8530">
        <v>12</v>
      </c>
      <c r="E8530" s="80">
        <v>35675</v>
      </c>
    </row>
    <row r="8531" spans="1:5">
      <c r="A8531">
        <v>10654</v>
      </c>
      <c r="B8531" t="s">
        <v>173</v>
      </c>
      <c r="C8531">
        <v>237.59999960660934</v>
      </c>
      <c r="D8531">
        <v>12</v>
      </c>
      <c r="E8531" s="80">
        <v>35675</v>
      </c>
    </row>
    <row r="8532" spans="1:5">
      <c r="A8532">
        <v>10654</v>
      </c>
      <c r="B8532" t="s">
        <v>174</v>
      </c>
      <c r="C8532">
        <v>237.59999960660934</v>
      </c>
      <c r="D8532">
        <v>12</v>
      </c>
      <c r="E8532" s="80">
        <v>35675</v>
      </c>
    </row>
    <row r="8533" spans="1:5">
      <c r="A8533">
        <v>10654</v>
      </c>
      <c r="B8533" t="s">
        <v>175</v>
      </c>
      <c r="C8533">
        <v>237.59999960660934</v>
      </c>
      <c r="D8533">
        <v>12</v>
      </c>
      <c r="E8533" s="80">
        <v>35675</v>
      </c>
    </row>
    <row r="8534" spans="1:5">
      <c r="A8534">
        <v>10654</v>
      </c>
      <c r="B8534" t="s">
        <v>176</v>
      </c>
      <c r="C8534">
        <v>237.59999960660934</v>
      </c>
      <c r="D8534">
        <v>12</v>
      </c>
      <c r="E8534" s="80">
        <v>35675</v>
      </c>
    </row>
    <row r="8535" spans="1:5">
      <c r="A8535">
        <v>10654</v>
      </c>
      <c r="B8535" t="s">
        <v>177</v>
      </c>
      <c r="C8535">
        <v>237.59999960660934</v>
      </c>
      <c r="D8535">
        <v>12</v>
      </c>
      <c r="E8535" s="80">
        <v>35675</v>
      </c>
    </row>
    <row r="8536" spans="1:5">
      <c r="A8536">
        <v>10654</v>
      </c>
      <c r="B8536" t="s">
        <v>178</v>
      </c>
      <c r="C8536">
        <v>237.59999960660934</v>
      </c>
      <c r="D8536">
        <v>12</v>
      </c>
      <c r="E8536" s="80">
        <v>35675</v>
      </c>
    </row>
    <row r="8537" spans="1:5">
      <c r="A8537">
        <v>10654</v>
      </c>
      <c r="B8537" t="s">
        <v>179</v>
      </c>
      <c r="C8537">
        <v>237.59999960660934</v>
      </c>
      <c r="D8537">
        <v>12</v>
      </c>
      <c r="E8537" s="80">
        <v>35675</v>
      </c>
    </row>
    <row r="8538" spans="1:5">
      <c r="A8538">
        <v>10654</v>
      </c>
      <c r="B8538" t="s">
        <v>172</v>
      </c>
      <c r="C8538">
        <v>323.9999994635582</v>
      </c>
      <c r="D8538">
        <v>20</v>
      </c>
      <c r="E8538" s="80">
        <v>35675</v>
      </c>
    </row>
    <row r="8539" spans="1:5">
      <c r="A8539">
        <v>10654</v>
      </c>
      <c r="B8539" t="s">
        <v>173</v>
      </c>
      <c r="C8539">
        <v>323.9999994635582</v>
      </c>
      <c r="D8539">
        <v>20</v>
      </c>
      <c r="E8539" s="80">
        <v>35675</v>
      </c>
    </row>
    <row r="8540" spans="1:5">
      <c r="A8540">
        <v>10654</v>
      </c>
      <c r="B8540" t="s">
        <v>174</v>
      </c>
      <c r="C8540">
        <v>323.9999994635582</v>
      </c>
      <c r="D8540">
        <v>20</v>
      </c>
      <c r="E8540" s="80">
        <v>35675</v>
      </c>
    </row>
    <row r="8541" spans="1:5">
      <c r="A8541">
        <v>10654</v>
      </c>
      <c r="B8541" t="s">
        <v>175</v>
      </c>
      <c r="C8541">
        <v>323.9999994635582</v>
      </c>
      <c r="D8541">
        <v>20</v>
      </c>
      <c r="E8541" s="80">
        <v>35675</v>
      </c>
    </row>
    <row r="8542" spans="1:5">
      <c r="A8542">
        <v>10654</v>
      </c>
      <c r="B8542" t="s">
        <v>176</v>
      </c>
      <c r="C8542">
        <v>323.9999994635582</v>
      </c>
      <c r="D8542">
        <v>20</v>
      </c>
      <c r="E8542" s="80">
        <v>35675</v>
      </c>
    </row>
    <row r="8543" spans="1:5">
      <c r="A8543">
        <v>10654</v>
      </c>
      <c r="B8543" t="s">
        <v>177</v>
      </c>
      <c r="C8543">
        <v>323.9999994635582</v>
      </c>
      <c r="D8543">
        <v>20</v>
      </c>
      <c r="E8543" s="80">
        <v>35675</v>
      </c>
    </row>
    <row r="8544" spans="1:5">
      <c r="A8544">
        <v>10654</v>
      </c>
      <c r="B8544" t="s">
        <v>178</v>
      </c>
      <c r="C8544">
        <v>323.9999994635582</v>
      </c>
      <c r="D8544">
        <v>20</v>
      </c>
      <c r="E8544" s="80">
        <v>35675</v>
      </c>
    </row>
    <row r="8545" spans="1:5">
      <c r="A8545">
        <v>10654</v>
      </c>
      <c r="B8545" t="s">
        <v>179</v>
      </c>
      <c r="C8545">
        <v>323.9999994635582</v>
      </c>
      <c r="D8545">
        <v>20</v>
      </c>
      <c r="E8545" s="80">
        <v>35675</v>
      </c>
    </row>
    <row r="8546" spans="1:5">
      <c r="A8546">
        <v>10654</v>
      </c>
      <c r="B8546" t="s">
        <v>172</v>
      </c>
      <c r="C8546">
        <v>40.229999933391809</v>
      </c>
      <c r="D8546">
        <v>6</v>
      </c>
      <c r="E8546" s="80">
        <v>35675</v>
      </c>
    </row>
    <row r="8547" spans="1:5">
      <c r="A8547">
        <v>10654</v>
      </c>
      <c r="B8547" t="s">
        <v>173</v>
      </c>
      <c r="C8547">
        <v>40.229999933391809</v>
      </c>
      <c r="D8547">
        <v>6</v>
      </c>
      <c r="E8547" s="80">
        <v>35675</v>
      </c>
    </row>
    <row r="8548" spans="1:5">
      <c r="A8548">
        <v>10654</v>
      </c>
      <c r="B8548" t="s">
        <v>174</v>
      </c>
      <c r="C8548">
        <v>40.229999933391809</v>
      </c>
      <c r="D8548">
        <v>6</v>
      </c>
      <c r="E8548" s="80">
        <v>35675</v>
      </c>
    </row>
    <row r="8549" spans="1:5">
      <c r="A8549">
        <v>10654</v>
      </c>
      <c r="B8549" t="s">
        <v>175</v>
      </c>
      <c r="C8549">
        <v>40.229999933391809</v>
      </c>
      <c r="D8549">
        <v>6</v>
      </c>
      <c r="E8549" s="80">
        <v>35675</v>
      </c>
    </row>
    <row r="8550" spans="1:5">
      <c r="A8550">
        <v>10654</v>
      </c>
      <c r="B8550" t="s">
        <v>176</v>
      </c>
      <c r="C8550">
        <v>40.229999933391809</v>
      </c>
      <c r="D8550">
        <v>6</v>
      </c>
      <c r="E8550" s="80">
        <v>35675</v>
      </c>
    </row>
    <row r="8551" spans="1:5">
      <c r="A8551">
        <v>10654</v>
      </c>
      <c r="B8551" t="s">
        <v>177</v>
      </c>
      <c r="C8551">
        <v>40.229999933391809</v>
      </c>
      <c r="D8551">
        <v>6</v>
      </c>
      <c r="E8551" s="80">
        <v>35675</v>
      </c>
    </row>
    <row r="8552" spans="1:5">
      <c r="A8552">
        <v>10654</v>
      </c>
      <c r="B8552" t="s">
        <v>178</v>
      </c>
      <c r="C8552">
        <v>40.229999933391809</v>
      </c>
      <c r="D8552">
        <v>6</v>
      </c>
      <c r="E8552" s="80">
        <v>35675</v>
      </c>
    </row>
    <row r="8553" spans="1:5">
      <c r="A8553">
        <v>10654</v>
      </c>
      <c r="B8553" t="s">
        <v>179</v>
      </c>
      <c r="C8553">
        <v>40.229999933391809</v>
      </c>
      <c r="D8553">
        <v>6</v>
      </c>
      <c r="E8553" s="80">
        <v>35675</v>
      </c>
    </row>
    <row r="8554" spans="1:5">
      <c r="A8554">
        <v>10655</v>
      </c>
      <c r="B8554" t="s">
        <v>172</v>
      </c>
      <c r="C8554">
        <v>154.39999942481518</v>
      </c>
      <c r="D8554">
        <v>20</v>
      </c>
      <c r="E8554" s="80">
        <v>35676</v>
      </c>
    </row>
    <row r="8555" spans="1:5">
      <c r="A8555">
        <v>10655</v>
      </c>
      <c r="B8555" t="s">
        <v>173</v>
      </c>
      <c r="C8555">
        <v>154.39999942481518</v>
      </c>
      <c r="D8555">
        <v>20</v>
      </c>
      <c r="E8555" s="80">
        <v>35676</v>
      </c>
    </row>
    <row r="8556" spans="1:5">
      <c r="A8556">
        <v>10655</v>
      </c>
      <c r="B8556" t="s">
        <v>174</v>
      </c>
      <c r="C8556">
        <v>154.39999942481518</v>
      </c>
      <c r="D8556">
        <v>20</v>
      </c>
      <c r="E8556" s="80">
        <v>35676</v>
      </c>
    </row>
    <row r="8557" spans="1:5">
      <c r="A8557">
        <v>10655</v>
      </c>
      <c r="B8557" t="s">
        <v>175</v>
      </c>
      <c r="C8557">
        <v>154.39999942481518</v>
      </c>
      <c r="D8557">
        <v>20</v>
      </c>
      <c r="E8557" s="80">
        <v>35676</v>
      </c>
    </row>
    <row r="8558" spans="1:5">
      <c r="A8558">
        <v>10655</v>
      </c>
      <c r="B8558" t="s">
        <v>176</v>
      </c>
      <c r="C8558">
        <v>154.39999942481518</v>
      </c>
      <c r="D8558">
        <v>20</v>
      </c>
      <c r="E8558" s="80">
        <v>35676</v>
      </c>
    </row>
    <row r="8559" spans="1:5">
      <c r="A8559">
        <v>10655</v>
      </c>
      <c r="B8559" t="s">
        <v>177</v>
      </c>
      <c r="C8559">
        <v>154.39999942481518</v>
      </c>
      <c r="D8559">
        <v>20</v>
      </c>
      <c r="E8559" s="80">
        <v>35676</v>
      </c>
    </row>
    <row r="8560" spans="1:5">
      <c r="A8560">
        <v>10655</v>
      </c>
      <c r="B8560" t="s">
        <v>178</v>
      </c>
      <c r="C8560">
        <v>154.39999942481518</v>
      </c>
      <c r="D8560">
        <v>20</v>
      </c>
      <c r="E8560" s="80">
        <v>35676</v>
      </c>
    </row>
    <row r="8561" spans="1:5">
      <c r="A8561">
        <v>10655</v>
      </c>
      <c r="B8561" t="s">
        <v>179</v>
      </c>
      <c r="C8561">
        <v>154.39999942481518</v>
      </c>
      <c r="D8561">
        <v>20</v>
      </c>
      <c r="E8561" s="80">
        <v>35676</v>
      </c>
    </row>
    <row r="8562" spans="1:5">
      <c r="A8562">
        <v>10656</v>
      </c>
      <c r="B8562" t="s">
        <v>172</v>
      </c>
      <c r="C8562">
        <v>62.774999896064401</v>
      </c>
      <c r="D8562">
        <v>3</v>
      </c>
      <c r="E8562" s="80">
        <v>35677</v>
      </c>
    </row>
    <row r="8563" spans="1:5">
      <c r="A8563">
        <v>10656</v>
      </c>
      <c r="B8563" t="s">
        <v>173</v>
      </c>
      <c r="C8563">
        <v>62.774999896064401</v>
      </c>
      <c r="D8563">
        <v>3</v>
      </c>
      <c r="E8563" s="80">
        <v>35677</v>
      </c>
    </row>
    <row r="8564" spans="1:5">
      <c r="A8564">
        <v>10656</v>
      </c>
      <c r="B8564" t="s">
        <v>174</v>
      </c>
      <c r="C8564">
        <v>62.774999896064401</v>
      </c>
      <c r="D8564">
        <v>3</v>
      </c>
      <c r="E8564" s="80">
        <v>35677</v>
      </c>
    </row>
    <row r="8565" spans="1:5">
      <c r="A8565">
        <v>10656</v>
      </c>
      <c r="B8565" t="s">
        <v>175</v>
      </c>
      <c r="C8565">
        <v>62.774999896064401</v>
      </c>
      <c r="D8565">
        <v>3</v>
      </c>
      <c r="E8565" s="80">
        <v>35677</v>
      </c>
    </row>
    <row r="8566" spans="1:5">
      <c r="A8566">
        <v>10656</v>
      </c>
      <c r="B8566" t="s">
        <v>176</v>
      </c>
      <c r="C8566">
        <v>62.774999896064401</v>
      </c>
      <c r="D8566">
        <v>3</v>
      </c>
      <c r="E8566" s="80">
        <v>35677</v>
      </c>
    </row>
    <row r="8567" spans="1:5">
      <c r="A8567">
        <v>10656</v>
      </c>
      <c r="B8567" t="s">
        <v>177</v>
      </c>
      <c r="C8567">
        <v>62.774999896064401</v>
      </c>
      <c r="D8567">
        <v>3</v>
      </c>
      <c r="E8567" s="80">
        <v>35677</v>
      </c>
    </row>
    <row r="8568" spans="1:5">
      <c r="A8568">
        <v>10656</v>
      </c>
      <c r="B8568" t="s">
        <v>178</v>
      </c>
      <c r="C8568">
        <v>62.774999896064401</v>
      </c>
      <c r="D8568">
        <v>3</v>
      </c>
      <c r="E8568" s="80">
        <v>35677</v>
      </c>
    </row>
    <row r="8569" spans="1:5">
      <c r="A8569">
        <v>10656</v>
      </c>
      <c r="B8569" t="s">
        <v>179</v>
      </c>
      <c r="C8569">
        <v>62.774999896064401</v>
      </c>
      <c r="D8569">
        <v>3</v>
      </c>
      <c r="E8569" s="80">
        <v>35677</v>
      </c>
    </row>
    <row r="8570" spans="1:5">
      <c r="A8570">
        <v>10656</v>
      </c>
      <c r="B8570" t="s">
        <v>172</v>
      </c>
      <c r="C8570">
        <v>490.13999918848276</v>
      </c>
      <c r="D8570">
        <v>28</v>
      </c>
      <c r="E8570" s="80">
        <v>35677</v>
      </c>
    </row>
    <row r="8571" spans="1:5">
      <c r="A8571">
        <v>10656</v>
      </c>
      <c r="B8571" t="s">
        <v>173</v>
      </c>
      <c r="C8571">
        <v>490.13999918848276</v>
      </c>
      <c r="D8571">
        <v>28</v>
      </c>
      <c r="E8571" s="80">
        <v>35677</v>
      </c>
    </row>
    <row r="8572" spans="1:5">
      <c r="A8572">
        <v>10656</v>
      </c>
      <c r="B8572" t="s">
        <v>174</v>
      </c>
      <c r="C8572">
        <v>490.13999918848276</v>
      </c>
      <c r="D8572">
        <v>28</v>
      </c>
      <c r="E8572" s="80">
        <v>35677</v>
      </c>
    </row>
    <row r="8573" spans="1:5">
      <c r="A8573">
        <v>10656</v>
      </c>
      <c r="B8573" t="s">
        <v>175</v>
      </c>
      <c r="C8573">
        <v>490.13999918848276</v>
      </c>
      <c r="D8573">
        <v>28</v>
      </c>
      <c r="E8573" s="80">
        <v>35677</v>
      </c>
    </row>
    <row r="8574" spans="1:5">
      <c r="A8574">
        <v>10656</v>
      </c>
      <c r="B8574" t="s">
        <v>176</v>
      </c>
      <c r="C8574">
        <v>490.13999918848276</v>
      </c>
      <c r="D8574">
        <v>28</v>
      </c>
      <c r="E8574" s="80">
        <v>35677</v>
      </c>
    </row>
    <row r="8575" spans="1:5">
      <c r="A8575">
        <v>10656</v>
      </c>
      <c r="B8575" t="s">
        <v>177</v>
      </c>
      <c r="C8575">
        <v>490.13999918848276</v>
      </c>
      <c r="D8575">
        <v>28</v>
      </c>
      <c r="E8575" s="80">
        <v>35677</v>
      </c>
    </row>
    <row r="8576" spans="1:5">
      <c r="A8576">
        <v>10656</v>
      </c>
      <c r="B8576" t="s">
        <v>178</v>
      </c>
      <c r="C8576">
        <v>490.13999918848276</v>
      </c>
      <c r="D8576">
        <v>28</v>
      </c>
      <c r="E8576" s="80">
        <v>35677</v>
      </c>
    </row>
    <row r="8577" spans="1:5">
      <c r="A8577">
        <v>10656</v>
      </c>
      <c r="B8577" t="s">
        <v>179</v>
      </c>
      <c r="C8577">
        <v>490.13999918848276</v>
      </c>
      <c r="D8577">
        <v>28</v>
      </c>
      <c r="E8577" s="80">
        <v>35677</v>
      </c>
    </row>
    <row r="8578" spans="1:5">
      <c r="A8578">
        <v>10656</v>
      </c>
      <c r="B8578" t="s">
        <v>172</v>
      </c>
      <c r="C8578">
        <v>51.299999915063381</v>
      </c>
      <c r="D8578">
        <v>6</v>
      </c>
      <c r="E8578" s="80">
        <v>35677</v>
      </c>
    </row>
    <row r="8579" spans="1:5">
      <c r="A8579">
        <v>10656</v>
      </c>
      <c r="B8579" t="s">
        <v>173</v>
      </c>
      <c r="C8579">
        <v>51.299999915063381</v>
      </c>
      <c r="D8579">
        <v>6</v>
      </c>
      <c r="E8579" s="80">
        <v>35677</v>
      </c>
    </row>
    <row r="8580" spans="1:5">
      <c r="A8580">
        <v>10656</v>
      </c>
      <c r="B8580" t="s">
        <v>174</v>
      </c>
      <c r="C8580">
        <v>51.299999915063381</v>
      </c>
      <c r="D8580">
        <v>6</v>
      </c>
      <c r="E8580" s="80">
        <v>35677</v>
      </c>
    </row>
    <row r="8581" spans="1:5">
      <c r="A8581">
        <v>10656</v>
      </c>
      <c r="B8581" t="s">
        <v>175</v>
      </c>
      <c r="C8581">
        <v>51.299999915063381</v>
      </c>
      <c r="D8581">
        <v>6</v>
      </c>
      <c r="E8581" s="80">
        <v>35677</v>
      </c>
    </row>
    <row r="8582" spans="1:5">
      <c r="A8582">
        <v>10656</v>
      </c>
      <c r="B8582" t="s">
        <v>176</v>
      </c>
      <c r="C8582">
        <v>51.299999915063381</v>
      </c>
      <c r="D8582">
        <v>6</v>
      </c>
      <c r="E8582" s="80">
        <v>35677</v>
      </c>
    </row>
    <row r="8583" spans="1:5">
      <c r="A8583">
        <v>10656</v>
      </c>
      <c r="B8583" t="s">
        <v>177</v>
      </c>
      <c r="C8583">
        <v>51.299999915063381</v>
      </c>
      <c r="D8583">
        <v>6</v>
      </c>
      <c r="E8583" s="80">
        <v>35677</v>
      </c>
    </row>
    <row r="8584" spans="1:5">
      <c r="A8584">
        <v>10656</v>
      </c>
      <c r="B8584" t="s">
        <v>178</v>
      </c>
      <c r="C8584">
        <v>51.299999915063381</v>
      </c>
      <c r="D8584">
        <v>6</v>
      </c>
      <c r="E8584" s="80">
        <v>35677</v>
      </c>
    </row>
    <row r="8585" spans="1:5">
      <c r="A8585">
        <v>10656</v>
      </c>
      <c r="B8585" t="s">
        <v>179</v>
      </c>
      <c r="C8585">
        <v>51.299999915063381</v>
      </c>
      <c r="D8585">
        <v>6</v>
      </c>
      <c r="E8585" s="80">
        <v>35677</v>
      </c>
    </row>
    <row r="8586" spans="1:5">
      <c r="A8586">
        <v>10657</v>
      </c>
      <c r="B8586" t="s">
        <v>172</v>
      </c>
      <c r="C8586">
        <v>775</v>
      </c>
      <c r="D8586">
        <v>50</v>
      </c>
      <c r="E8586" s="80">
        <v>35677</v>
      </c>
    </row>
    <row r="8587" spans="1:5">
      <c r="A8587">
        <v>10657</v>
      </c>
      <c r="B8587" t="s">
        <v>173</v>
      </c>
      <c r="C8587">
        <v>775</v>
      </c>
      <c r="D8587">
        <v>50</v>
      </c>
      <c r="E8587" s="80">
        <v>35677</v>
      </c>
    </row>
    <row r="8588" spans="1:5">
      <c r="A8588">
        <v>10657</v>
      </c>
      <c r="B8588" t="s">
        <v>174</v>
      </c>
      <c r="C8588">
        <v>775</v>
      </c>
      <c r="D8588">
        <v>50</v>
      </c>
      <c r="E8588" s="80">
        <v>35677</v>
      </c>
    </row>
    <row r="8589" spans="1:5">
      <c r="A8589">
        <v>10657</v>
      </c>
      <c r="B8589" t="s">
        <v>175</v>
      </c>
      <c r="C8589">
        <v>775</v>
      </c>
      <c r="D8589">
        <v>50</v>
      </c>
      <c r="E8589" s="80">
        <v>35677</v>
      </c>
    </row>
    <row r="8590" spans="1:5">
      <c r="A8590">
        <v>10657</v>
      </c>
      <c r="B8590" t="s">
        <v>176</v>
      </c>
      <c r="C8590">
        <v>775</v>
      </c>
      <c r="D8590">
        <v>50</v>
      </c>
      <c r="E8590" s="80">
        <v>35677</v>
      </c>
    </row>
    <row r="8591" spans="1:5">
      <c r="A8591">
        <v>10657</v>
      </c>
      <c r="B8591" t="s">
        <v>177</v>
      </c>
      <c r="C8591">
        <v>775</v>
      </c>
      <c r="D8591">
        <v>50</v>
      </c>
      <c r="E8591" s="80">
        <v>35677</v>
      </c>
    </row>
    <row r="8592" spans="1:5">
      <c r="A8592">
        <v>10657</v>
      </c>
      <c r="B8592" t="s">
        <v>178</v>
      </c>
      <c r="C8592">
        <v>775</v>
      </c>
      <c r="D8592">
        <v>50</v>
      </c>
      <c r="E8592" s="80">
        <v>35677</v>
      </c>
    </row>
    <row r="8593" spans="1:5">
      <c r="A8593">
        <v>10657</v>
      </c>
      <c r="B8593" t="s">
        <v>179</v>
      </c>
      <c r="C8593">
        <v>775</v>
      </c>
      <c r="D8593">
        <v>50</v>
      </c>
      <c r="E8593" s="80">
        <v>35677</v>
      </c>
    </row>
    <row r="8594" spans="1:5">
      <c r="A8594">
        <v>10657</v>
      </c>
      <c r="B8594" t="s">
        <v>172</v>
      </c>
      <c r="C8594">
        <v>231.6</v>
      </c>
      <c r="D8594">
        <v>24</v>
      </c>
      <c r="E8594" s="80">
        <v>35677</v>
      </c>
    </row>
    <row r="8595" spans="1:5">
      <c r="A8595">
        <v>10657</v>
      </c>
      <c r="B8595" t="s">
        <v>173</v>
      </c>
      <c r="C8595">
        <v>231.6</v>
      </c>
      <c r="D8595">
        <v>24</v>
      </c>
      <c r="E8595" s="80">
        <v>35677</v>
      </c>
    </row>
    <row r="8596" spans="1:5">
      <c r="A8596">
        <v>10657</v>
      </c>
      <c r="B8596" t="s">
        <v>174</v>
      </c>
      <c r="C8596">
        <v>231.6</v>
      </c>
      <c r="D8596">
        <v>24</v>
      </c>
      <c r="E8596" s="80">
        <v>35677</v>
      </c>
    </row>
    <row r="8597" spans="1:5">
      <c r="A8597">
        <v>10657</v>
      </c>
      <c r="B8597" t="s">
        <v>175</v>
      </c>
      <c r="C8597">
        <v>231.6</v>
      </c>
      <c r="D8597">
        <v>24</v>
      </c>
      <c r="E8597" s="80">
        <v>35677</v>
      </c>
    </row>
    <row r="8598" spans="1:5">
      <c r="A8598">
        <v>10657</v>
      </c>
      <c r="B8598" t="s">
        <v>176</v>
      </c>
      <c r="C8598">
        <v>231.6</v>
      </c>
      <c r="D8598">
        <v>24</v>
      </c>
      <c r="E8598" s="80">
        <v>35677</v>
      </c>
    </row>
    <row r="8599" spans="1:5">
      <c r="A8599">
        <v>10657</v>
      </c>
      <c r="B8599" t="s">
        <v>177</v>
      </c>
      <c r="C8599">
        <v>231.6</v>
      </c>
      <c r="D8599">
        <v>24</v>
      </c>
      <c r="E8599" s="80">
        <v>35677</v>
      </c>
    </row>
    <row r="8600" spans="1:5">
      <c r="A8600">
        <v>10657</v>
      </c>
      <c r="B8600" t="s">
        <v>178</v>
      </c>
      <c r="C8600">
        <v>231.6</v>
      </c>
      <c r="D8600">
        <v>24</v>
      </c>
      <c r="E8600" s="80">
        <v>35677</v>
      </c>
    </row>
    <row r="8601" spans="1:5">
      <c r="A8601">
        <v>10657</v>
      </c>
      <c r="B8601" t="s">
        <v>179</v>
      </c>
      <c r="C8601">
        <v>231.6</v>
      </c>
      <c r="D8601">
        <v>24</v>
      </c>
      <c r="E8601" s="80">
        <v>35677</v>
      </c>
    </row>
    <row r="8602" spans="1:5">
      <c r="A8602">
        <v>10657</v>
      </c>
      <c r="B8602" t="s">
        <v>172</v>
      </c>
      <c r="C8602">
        <v>540</v>
      </c>
      <c r="D8602">
        <v>45</v>
      </c>
      <c r="E8602" s="80">
        <v>35677</v>
      </c>
    </row>
    <row r="8603" spans="1:5">
      <c r="A8603">
        <v>10657</v>
      </c>
      <c r="B8603" t="s">
        <v>173</v>
      </c>
      <c r="C8603">
        <v>540</v>
      </c>
      <c r="D8603">
        <v>45</v>
      </c>
      <c r="E8603" s="80">
        <v>35677</v>
      </c>
    </row>
    <row r="8604" spans="1:5">
      <c r="A8604">
        <v>10657</v>
      </c>
      <c r="B8604" t="s">
        <v>174</v>
      </c>
      <c r="C8604">
        <v>540</v>
      </c>
      <c r="D8604">
        <v>45</v>
      </c>
      <c r="E8604" s="80">
        <v>35677</v>
      </c>
    </row>
    <row r="8605" spans="1:5">
      <c r="A8605">
        <v>10657</v>
      </c>
      <c r="B8605" t="s">
        <v>175</v>
      </c>
      <c r="C8605">
        <v>540</v>
      </c>
      <c r="D8605">
        <v>45</v>
      </c>
      <c r="E8605" s="80">
        <v>35677</v>
      </c>
    </row>
    <row r="8606" spans="1:5">
      <c r="A8606">
        <v>10657</v>
      </c>
      <c r="B8606" t="s">
        <v>176</v>
      </c>
      <c r="C8606">
        <v>540</v>
      </c>
      <c r="D8606">
        <v>45</v>
      </c>
      <c r="E8606" s="80">
        <v>35677</v>
      </c>
    </row>
    <row r="8607" spans="1:5">
      <c r="A8607">
        <v>10657</v>
      </c>
      <c r="B8607" t="s">
        <v>177</v>
      </c>
      <c r="C8607">
        <v>540</v>
      </c>
      <c r="D8607">
        <v>45</v>
      </c>
      <c r="E8607" s="80">
        <v>35677</v>
      </c>
    </row>
    <row r="8608" spans="1:5">
      <c r="A8608">
        <v>10657</v>
      </c>
      <c r="B8608" t="s">
        <v>178</v>
      </c>
      <c r="C8608">
        <v>540</v>
      </c>
      <c r="D8608">
        <v>45</v>
      </c>
      <c r="E8608" s="80">
        <v>35677</v>
      </c>
    </row>
    <row r="8609" spans="1:5">
      <c r="A8609">
        <v>10657</v>
      </c>
      <c r="B8609" t="s">
        <v>179</v>
      </c>
      <c r="C8609">
        <v>540</v>
      </c>
      <c r="D8609">
        <v>45</v>
      </c>
      <c r="E8609" s="80">
        <v>35677</v>
      </c>
    </row>
    <row r="8610" spans="1:5">
      <c r="A8610">
        <v>10657</v>
      </c>
      <c r="B8610" t="s">
        <v>172</v>
      </c>
      <c r="C8610">
        <v>95</v>
      </c>
      <c r="D8610">
        <v>10</v>
      </c>
      <c r="E8610" s="80">
        <v>35677</v>
      </c>
    </row>
    <row r="8611" spans="1:5">
      <c r="A8611">
        <v>10657</v>
      </c>
      <c r="B8611" t="s">
        <v>173</v>
      </c>
      <c r="C8611">
        <v>95</v>
      </c>
      <c r="D8611">
        <v>10</v>
      </c>
      <c r="E8611" s="80">
        <v>35677</v>
      </c>
    </row>
    <row r="8612" spans="1:5">
      <c r="A8612">
        <v>10657</v>
      </c>
      <c r="B8612" t="s">
        <v>174</v>
      </c>
      <c r="C8612">
        <v>95</v>
      </c>
      <c r="D8612">
        <v>10</v>
      </c>
      <c r="E8612" s="80">
        <v>35677</v>
      </c>
    </row>
    <row r="8613" spans="1:5">
      <c r="A8613">
        <v>10657</v>
      </c>
      <c r="B8613" t="s">
        <v>175</v>
      </c>
      <c r="C8613">
        <v>95</v>
      </c>
      <c r="D8613">
        <v>10</v>
      </c>
      <c r="E8613" s="80">
        <v>35677</v>
      </c>
    </row>
    <row r="8614" spans="1:5">
      <c r="A8614">
        <v>10657</v>
      </c>
      <c r="B8614" t="s">
        <v>176</v>
      </c>
      <c r="C8614">
        <v>95</v>
      </c>
      <c r="D8614">
        <v>10</v>
      </c>
      <c r="E8614" s="80">
        <v>35677</v>
      </c>
    </row>
    <row r="8615" spans="1:5">
      <c r="A8615">
        <v>10657</v>
      </c>
      <c r="B8615" t="s">
        <v>177</v>
      </c>
      <c r="C8615">
        <v>95</v>
      </c>
      <c r="D8615">
        <v>10</v>
      </c>
      <c r="E8615" s="80">
        <v>35677</v>
      </c>
    </row>
    <row r="8616" spans="1:5">
      <c r="A8616">
        <v>10657</v>
      </c>
      <c r="B8616" t="s">
        <v>178</v>
      </c>
      <c r="C8616">
        <v>95</v>
      </c>
      <c r="D8616">
        <v>10</v>
      </c>
      <c r="E8616" s="80">
        <v>35677</v>
      </c>
    </row>
    <row r="8617" spans="1:5">
      <c r="A8617">
        <v>10657</v>
      </c>
      <c r="B8617" t="s">
        <v>179</v>
      </c>
      <c r="C8617">
        <v>95</v>
      </c>
      <c r="D8617">
        <v>10</v>
      </c>
      <c r="E8617" s="80">
        <v>35677</v>
      </c>
    </row>
    <row r="8618" spans="1:5">
      <c r="A8618">
        <v>10657</v>
      </c>
      <c r="B8618" t="s">
        <v>172</v>
      </c>
      <c r="C8618">
        <v>1710</v>
      </c>
      <c r="D8618">
        <v>45</v>
      </c>
      <c r="E8618" s="80">
        <v>35677</v>
      </c>
    </row>
    <row r="8619" spans="1:5">
      <c r="A8619">
        <v>10657</v>
      </c>
      <c r="B8619" t="s">
        <v>173</v>
      </c>
      <c r="C8619">
        <v>1710</v>
      </c>
      <c r="D8619">
        <v>45</v>
      </c>
      <c r="E8619" s="80">
        <v>35677</v>
      </c>
    </row>
    <row r="8620" spans="1:5">
      <c r="A8620">
        <v>10657</v>
      </c>
      <c r="B8620" t="s">
        <v>174</v>
      </c>
      <c r="C8620">
        <v>1710</v>
      </c>
      <c r="D8620">
        <v>45</v>
      </c>
      <c r="E8620" s="80">
        <v>35677</v>
      </c>
    </row>
    <row r="8621" spans="1:5">
      <c r="A8621">
        <v>10657</v>
      </c>
      <c r="B8621" t="s">
        <v>175</v>
      </c>
      <c r="C8621">
        <v>1710</v>
      </c>
      <c r="D8621">
        <v>45</v>
      </c>
      <c r="E8621" s="80">
        <v>35677</v>
      </c>
    </row>
    <row r="8622" spans="1:5">
      <c r="A8622">
        <v>10657</v>
      </c>
      <c r="B8622" t="s">
        <v>176</v>
      </c>
      <c r="C8622">
        <v>1710</v>
      </c>
      <c r="D8622">
        <v>45</v>
      </c>
      <c r="E8622" s="80">
        <v>35677</v>
      </c>
    </row>
    <row r="8623" spans="1:5">
      <c r="A8623">
        <v>10657</v>
      </c>
      <c r="B8623" t="s">
        <v>177</v>
      </c>
      <c r="C8623">
        <v>1710</v>
      </c>
      <c r="D8623">
        <v>45</v>
      </c>
      <c r="E8623" s="80">
        <v>35677</v>
      </c>
    </row>
    <row r="8624" spans="1:5">
      <c r="A8624">
        <v>10657</v>
      </c>
      <c r="B8624" t="s">
        <v>178</v>
      </c>
      <c r="C8624">
        <v>1710</v>
      </c>
      <c r="D8624">
        <v>45</v>
      </c>
      <c r="E8624" s="80">
        <v>35677</v>
      </c>
    </row>
    <row r="8625" spans="1:5">
      <c r="A8625">
        <v>10657</v>
      </c>
      <c r="B8625" t="s">
        <v>179</v>
      </c>
      <c r="C8625">
        <v>1710</v>
      </c>
      <c r="D8625">
        <v>45</v>
      </c>
      <c r="E8625" s="80">
        <v>35677</v>
      </c>
    </row>
    <row r="8626" spans="1:5">
      <c r="A8626">
        <v>10657</v>
      </c>
      <c r="B8626" t="s">
        <v>172</v>
      </c>
      <c r="C8626">
        <v>1020</v>
      </c>
      <c r="D8626">
        <v>30</v>
      </c>
      <c r="E8626" s="80">
        <v>35677</v>
      </c>
    </row>
    <row r="8627" spans="1:5">
      <c r="A8627">
        <v>10657</v>
      </c>
      <c r="B8627" t="s">
        <v>173</v>
      </c>
      <c r="C8627">
        <v>1020</v>
      </c>
      <c r="D8627">
        <v>30</v>
      </c>
      <c r="E8627" s="80">
        <v>35677</v>
      </c>
    </row>
    <row r="8628" spans="1:5">
      <c r="A8628">
        <v>10657</v>
      </c>
      <c r="B8628" t="s">
        <v>174</v>
      </c>
      <c r="C8628">
        <v>1020</v>
      </c>
      <c r="D8628">
        <v>30</v>
      </c>
      <c r="E8628" s="80">
        <v>35677</v>
      </c>
    </row>
    <row r="8629" spans="1:5">
      <c r="A8629">
        <v>10657</v>
      </c>
      <c r="B8629" t="s">
        <v>175</v>
      </c>
      <c r="C8629">
        <v>1020</v>
      </c>
      <c r="D8629">
        <v>30</v>
      </c>
      <c r="E8629" s="80">
        <v>35677</v>
      </c>
    </row>
    <row r="8630" spans="1:5">
      <c r="A8630">
        <v>10657</v>
      </c>
      <c r="B8630" t="s">
        <v>176</v>
      </c>
      <c r="C8630">
        <v>1020</v>
      </c>
      <c r="D8630">
        <v>30</v>
      </c>
      <c r="E8630" s="80">
        <v>35677</v>
      </c>
    </row>
    <row r="8631" spans="1:5">
      <c r="A8631">
        <v>10657</v>
      </c>
      <c r="B8631" t="s">
        <v>177</v>
      </c>
      <c r="C8631">
        <v>1020</v>
      </c>
      <c r="D8631">
        <v>30</v>
      </c>
      <c r="E8631" s="80">
        <v>35677</v>
      </c>
    </row>
    <row r="8632" spans="1:5">
      <c r="A8632">
        <v>10657</v>
      </c>
      <c r="B8632" t="s">
        <v>178</v>
      </c>
      <c r="C8632">
        <v>1020</v>
      </c>
      <c r="D8632">
        <v>30</v>
      </c>
      <c r="E8632" s="80">
        <v>35677</v>
      </c>
    </row>
    <row r="8633" spans="1:5">
      <c r="A8633">
        <v>10657</v>
      </c>
      <c r="B8633" t="s">
        <v>179</v>
      </c>
      <c r="C8633">
        <v>1020</v>
      </c>
      <c r="D8633">
        <v>30</v>
      </c>
      <c r="E8633" s="80">
        <v>35677</v>
      </c>
    </row>
    <row r="8634" spans="1:5">
      <c r="A8634">
        <v>10658</v>
      </c>
      <c r="B8634" t="s">
        <v>172</v>
      </c>
      <c r="C8634">
        <v>600</v>
      </c>
      <c r="D8634">
        <v>60</v>
      </c>
      <c r="E8634" s="80">
        <v>35678</v>
      </c>
    </row>
    <row r="8635" spans="1:5">
      <c r="A8635">
        <v>10658</v>
      </c>
      <c r="B8635" t="s">
        <v>173</v>
      </c>
      <c r="C8635">
        <v>600</v>
      </c>
      <c r="D8635">
        <v>60</v>
      </c>
      <c r="E8635" s="80">
        <v>35678</v>
      </c>
    </row>
    <row r="8636" spans="1:5">
      <c r="A8636">
        <v>10658</v>
      </c>
      <c r="B8636" t="s">
        <v>174</v>
      </c>
      <c r="C8636">
        <v>600</v>
      </c>
      <c r="D8636">
        <v>60</v>
      </c>
      <c r="E8636" s="80">
        <v>35678</v>
      </c>
    </row>
    <row r="8637" spans="1:5">
      <c r="A8637">
        <v>10658</v>
      </c>
      <c r="B8637" t="s">
        <v>175</v>
      </c>
      <c r="C8637">
        <v>600</v>
      </c>
      <c r="D8637">
        <v>60</v>
      </c>
      <c r="E8637" s="80">
        <v>35678</v>
      </c>
    </row>
    <row r="8638" spans="1:5">
      <c r="A8638">
        <v>10658</v>
      </c>
      <c r="B8638" t="s">
        <v>176</v>
      </c>
      <c r="C8638">
        <v>600</v>
      </c>
      <c r="D8638">
        <v>60</v>
      </c>
      <c r="E8638" s="80">
        <v>35678</v>
      </c>
    </row>
    <row r="8639" spans="1:5">
      <c r="A8639">
        <v>10658</v>
      </c>
      <c r="B8639" t="s">
        <v>177</v>
      </c>
      <c r="C8639">
        <v>600</v>
      </c>
      <c r="D8639">
        <v>60</v>
      </c>
      <c r="E8639" s="80">
        <v>35678</v>
      </c>
    </row>
    <row r="8640" spans="1:5">
      <c r="A8640">
        <v>10658</v>
      </c>
      <c r="B8640" t="s">
        <v>178</v>
      </c>
      <c r="C8640">
        <v>600</v>
      </c>
      <c r="D8640">
        <v>60</v>
      </c>
      <c r="E8640" s="80">
        <v>35678</v>
      </c>
    </row>
    <row r="8641" spans="1:5">
      <c r="A8641">
        <v>10658</v>
      </c>
      <c r="B8641" t="s">
        <v>179</v>
      </c>
      <c r="C8641">
        <v>600</v>
      </c>
      <c r="D8641">
        <v>60</v>
      </c>
      <c r="E8641" s="80">
        <v>35678</v>
      </c>
    </row>
    <row r="8642" spans="1:5">
      <c r="A8642">
        <v>10658</v>
      </c>
      <c r="B8642" t="s">
        <v>172</v>
      </c>
      <c r="C8642">
        <v>1223.5999990403652</v>
      </c>
      <c r="D8642">
        <v>70</v>
      </c>
      <c r="E8642" s="80">
        <v>35678</v>
      </c>
    </row>
    <row r="8643" spans="1:5">
      <c r="A8643">
        <v>10658</v>
      </c>
      <c r="B8643" t="s">
        <v>173</v>
      </c>
      <c r="C8643">
        <v>1223.5999990403652</v>
      </c>
      <c r="D8643">
        <v>70</v>
      </c>
      <c r="E8643" s="80">
        <v>35678</v>
      </c>
    </row>
    <row r="8644" spans="1:5">
      <c r="A8644">
        <v>10658</v>
      </c>
      <c r="B8644" t="s">
        <v>174</v>
      </c>
      <c r="C8644">
        <v>1223.5999990403652</v>
      </c>
      <c r="D8644">
        <v>70</v>
      </c>
      <c r="E8644" s="80">
        <v>35678</v>
      </c>
    </row>
    <row r="8645" spans="1:5">
      <c r="A8645">
        <v>10658</v>
      </c>
      <c r="B8645" t="s">
        <v>175</v>
      </c>
      <c r="C8645">
        <v>1223.5999990403652</v>
      </c>
      <c r="D8645">
        <v>70</v>
      </c>
      <c r="E8645" s="80">
        <v>35678</v>
      </c>
    </row>
    <row r="8646" spans="1:5">
      <c r="A8646">
        <v>10658</v>
      </c>
      <c r="B8646" t="s">
        <v>176</v>
      </c>
      <c r="C8646">
        <v>1223.5999990403652</v>
      </c>
      <c r="D8646">
        <v>70</v>
      </c>
      <c r="E8646" s="80">
        <v>35678</v>
      </c>
    </row>
    <row r="8647" spans="1:5">
      <c r="A8647">
        <v>10658</v>
      </c>
      <c r="B8647" t="s">
        <v>177</v>
      </c>
      <c r="C8647">
        <v>1223.5999990403652</v>
      </c>
      <c r="D8647">
        <v>70</v>
      </c>
      <c r="E8647" s="80">
        <v>35678</v>
      </c>
    </row>
    <row r="8648" spans="1:5">
      <c r="A8648">
        <v>10658</v>
      </c>
      <c r="B8648" t="s">
        <v>178</v>
      </c>
      <c r="C8648">
        <v>1223.5999990403652</v>
      </c>
      <c r="D8648">
        <v>70</v>
      </c>
      <c r="E8648" s="80">
        <v>35678</v>
      </c>
    </row>
    <row r="8649" spans="1:5">
      <c r="A8649">
        <v>10658</v>
      </c>
      <c r="B8649" t="s">
        <v>179</v>
      </c>
      <c r="C8649">
        <v>1223.5999990403652</v>
      </c>
      <c r="D8649">
        <v>70</v>
      </c>
      <c r="E8649" s="80">
        <v>35678</v>
      </c>
    </row>
    <row r="8650" spans="1:5">
      <c r="A8650">
        <v>10658</v>
      </c>
      <c r="B8650" t="s">
        <v>172</v>
      </c>
      <c r="C8650">
        <v>1776.4999986067414</v>
      </c>
      <c r="D8650">
        <v>55</v>
      </c>
      <c r="E8650" s="80">
        <v>35678</v>
      </c>
    </row>
    <row r="8651" spans="1:5">
      <c r="A8651">
        <v>10658</v>
      </c>
      <c r="B8651" t="s">
        <v>173</v>
      </c>
      <c r="C8651">
        <v>1776.4999986067414</v>
      </c>
      <c r="D8651">
        <v>55</v>
      </c>
      <c r="E8651" s="80">
        <v>35678</v>
      </c>
    </row>
    <row r="8652" spans="1:5">
      <c r="A8652">
        <v>10658</v>
      </c>
      <c r="B8652" t="s">
        <v>174</v>
      </c>
      <c r="C8652">
        <v>1776.4999986067414</v>
      </c>
      <c r="D8652">
        <v>55</v>
      </c>
      <c r="E8652" s="80">
        <v>35678</v>
      </c>
    </row>
    <row r="8653" spans="1:5">
      <c r="A8653">
        <v>10658</v>
      </c>
      <c r="B8653" t="s">
        <v>175</v>
      </c>
      <c r="C8653">
        <v>1776.4999986067414</v>
      </c>
      <c r="D8653">
        <v>55</v>
      </c>
      <c r="E8653" s="80">
        <v>35678</v>
      </c>
    </row>
    <row r="8654" spans="1:5">
      <c r="A8654">
        <v>10658</v>
      </c>
      <c r="B8654" t="s">
        <v>176</v>
      </c>
      <c r="C8654">
        <v>1776.4999986067414</v>
      </c>
      <c r="D8654">
        <v>55</v>
      </c>
      <c r="E8654" s="80">
        <v>35678</v>
      </c>
    </row>
    <row r="8655" spans="1:5">
      <c r="A8655">
        <v>10658</v>
      </c>
      <c r="B8655" t="s">
        <v>177</v>
      </c>
      <c r="C8655">
        <v>1776.4999986067414</v>
      </c>
      <c r="D8655">
        <v>55</v>
      </c>
      <c r="E8655" s="80">
        <v>35678</v>
      </c>
    </row>
    <row r="8656" spans="1:5">
      <c r="A8656">
        <v>10658</v>
      </c>
      <c r="B8656" t="s">
        <v>178</v>
      </c>
      <c r="C8656">
        <v>1776.4999986067414</v>
      </c>
      <c r="D8656">
        <v>55</v>
      </c>
      <c r="E8656" s="80">
        <v>35678</v>
      </c>
    </row>
    <row r="8657" spans="1:5">
      <c r="A8657">
        <v>10658</v>
      </c>
      <c r="B8657" t="s">
        <v>179</v>
      </c>
      <c r="C8657">
        <v>1776.4999986067414</v>
      </c>
      <c r="D8657">
        <v>55</v>
      </c>
      <c r="E8657" s="80">
        <v>35678</v>
      </c>
    </row>
    <row r="8658" spans="1:5">
      <c r="A8658">
        <v>10658</v>
      </c>
      <c r="B8658" t="s">
        <v>172</v>
      </c>
      <c r="C8658">
        <v>864.49999932199717</v>
      </c>
      <c r="D8658">
        <v>70</v>
      </c>
      <c r="E8658" s="80">
        <v>35678</v>
      </c>
    </row>
    <row r="8659" spans="1:5">
      <c r="A8659">
        <v>10658</v>
      </c>
      <c r="B8659" t="s">
        <v>173</v>
      </c>
      <c r="C8659">
        <v>864.49999932199717</v>
      </c>
      <c r="D8659">
        <v>70</v>
      </c>
      <c r="E8659" s="80">
        <v>35678</v>
      </c>
    </row>
    <row r="8660" spans="1:5">
      <c r="A8660">
        <v>10658</v>
      </c>
      <c r="B8660" t="s">
        <v>174</v>
      </c>
      <c r="C8660">
        <v>864.49999932199717</v>
      </c>
      <c r="D8660">
        <v>70</v>
      </c>
      <c r="E8660" s="80">
        <v>35678</v>
      </c>
    </row>
    <row r="8661" spans="1:5">
      <c r="A8661">
        <v>10658</v>
      </c>
      <c r="B8661" t="s">
        <v>175</v>
      </c>
      <c r="C8661">
        <v>864.49999932199717</v>
      </c>
      <c r="D8661">
        <v>70</v>
      </c>
      <c r="E8661" s="80">
        <v>35678</v>
      </c>
    </row>
    <row r="8662" spans="1:5">
      <c r="A8662">
        <v>10658</v>
      </c>
      <c r="B8662" t="s">
        <v>176</v>
      </c>
      <c r="C8662">
        <v>864.49999932199717</v>
      </c>
      <c r="D8662">
        <v>70</v>
      </c>
      <c r="E8662" s="80">
        <v>35678</v>
      </c>
    </row>
    <row r="8663" spans="1:5">
      <c r="A8663">
        <v>10658</v>
      </c>
      <c r="B8663" t="s">
        <v>177</v>
      </c>
      <c r="C8663">
        <v>864.49999932199717</v>
      </c>
      <c r="D8663">
        <v>70</v>
      </c>
      <c r="E8663" s="80">
        <v>35678</v>
      </c>
    </row>
    <row r="8664" spans="1:5">
      <c r="A8664">
        <v>10658</v>
      </c>
      <c r="B8664" t="s">
        <v>178</v>
      </c>
      <c r="C8664">
        <v>864.49999932199717</v>
      </c>
      <c r="D8664">
        <v>70</v>
      </c>
      <c r="E8664" s="80">
        <v>35678</v>
      </c>
    </row>
    <row r="8665" spans="1:5">
      <c r="A8665">
        <v>10658</v>
      </c>
      <c r="B8665" t="s">
        <v>179</v>
      </c>
      <c r="C8665">
        <v>864.49999932199717</v>
      </c>
      <c r="D8665">
        <v>70</v>
      </c>
      <c r="E8665" s="80">
        <v>35678</v>
      </c>
    </row>
    <row r="8666" spans="1:5">
      <c r="A8666">
        <v>10659</v>
      </c>
      <c r="B8666" t="s">
        <v>172</v>
      </c>
      <c r="C8666">
        <v>237.49999981373549</v>
      </c>
      <c r="D8666">
        <v>20</v>
      </c>
      <c r="E8666" s="80">
        <v>35678</v>
      </c>
    </row>
    <row r="8667" spans="1:5">
      <c r="A8667">
        <v>10659</v>
      </c>
      <c r="B8667" t="s">
        <v>173</v>
      </c>
      <c r="C8667">
        <v>237.49999981373549</v>
      </c>
      <c r="D8667">
        <v>20</v>
      </c>
      <c r="E8667" s="80">
        <v>35678</v>
      </c>
    </row>
    <row r="8668" spans="1:5">
      <c r="A8668">
        <v>10659</v>
      </c>
      <c r="B8668" t="s">
        <v>174</v>
      </c>
      <c r="C8668">
        <v>237.49999981373549</v>
      </c>
      <c r="D8668">
        <v>20</v>
      </c>
      <c r="E8668" s="80">
        <v>35678</v>
      </c>
    </row>
    <row r="8669" spans="1:5">
      <c r="A8669">
        <v>10659</v>
      </c>
      <c r="B8669" t="s">
        <v>175</v>
      </c>
      <c r="C8669">
        <v>237.49999981373549</v>
      </c>
      <c r="D8669">
        <v>20</v>
      </c>
      <c r="E8669" s="80">
        <v>35678</v>
      </c>
    </row>
    <row r="8670" spans="1:5">
      <c r="A8670">
        <v>10659</v>
      </c>
      <c r="B8670" t="s">
        <v>176</v>
      </c>
      <c r="C8670">
        <v>237.49999981373549</v>
      </c>
      <c r="D8670">
        <v>20</v>
      </c>
      <c r="E8670" s="80">
        <v>35678</v>
      </c>
    </row>
    <row r="8671" spans="1:5">
      <c r="A8671">
        <v>10659</v>
      </c>
      <c r="B8671" t="s">
        <v>177</v>
      </c>
      <c r="C8671">
        <v>237.49999981373549</v>
      </c>
      <c r="D8671">
        <v>20</v>
      </c>
      <c r="E8671" s="80">
        <v>35678</v>
      </c>
    </row>
    <row r="8672" spans="1:5">
      <c r="A8672">
        <v>10659</v>
      </c>
      <c r="B8672" t="s">
        <v>178</v>
      </c>
      <c r="C8672">
        <v>237.49999981373549</v>
      </c>
      <c r="D8672">
        <v>20</v>
      </c>
      <c r="E8672" s="80">
        <v>35678</v>
      </c>
    </row>
    <row r="8673" spans="1:5">
      <c r="A8673">
        <v>10659</v>
      </c>
      <c r="B8673" t="s">
        <v>179</v>
      </c>
      <c r="C8673">
        <v>237.49999981373549</v>
      </c>
      <c r="D8673">
        <v>20</v>
      </c>
      <c r="E8673" s="80">
        <v>35678</v>
      </c>
    </row>
    <row r="8674" spans="1:5">
      <c r="A8674">
        <v>10659</v>
      </c>
      <c r="B8674" t="s">
        <v>172</v>
      </c>
      <c r="C8674">
        <v>419.51999967098237</v>
      </c>
      <c r="D8674">
        <v>24</v>
      </c>
      <c r="E8674" s="80">
        <v>35678</v>
      </c>
    </row>
    <row r="8675" spans="1:5">
      <c r="A8675">
        <v>10659</v>
      </c>
      <c r="B8675" t="s">
        <v>173</v>
      </c>
      <c r="C8675">
        <v>419.51999967098237</v>
      </c>
      <c r="D8675">
        <v>24</v>
      </c>
      <c r="E8675" s="80">
        <v>35678</v>
      </c>
    </row>
    <row r="8676" spans="1:5">
      <c r="A8676">
        <v>10659</v>
      </c>
      <c r="B8676" t="s">
        <v>174</v>
      </c>
      <c r="C8676">
        <v>419.51999967098237</v>
      </c>
      <c r="D8676">
        <v>24</v>
      </c>
      <c r="E8676" s="80">
        <v>35678</v>
      </c>
    </row>
    <row r="8677" spans="1:5">
      <c r="A8677">
        <v>10659</v>
      </c>
      <c r="B8677" t="s">
        <v>175</v>
      </c>
      <c r="C8677">
        <v>419.51999967098237</v>
      </c>
      <c r="D8677">
        <v>24</v>
      </c>
      <c r="E8677" s="80">
        <v>35678</v>
      </c>
    </row>
    <row r="8678" spans="1:5">
      <c r="A8678">
        <v>10659</v>
      </c>
      <c r="B8678" t="s">
        <v>176</v>
      </c>
      <c r="C8678">
        <v>419.51999967098237</v>
      </c>
      <c r="D8678">
        <v>24</v>
      </c>
      <c r="E8678" s="80">
        <v>35678</v>
      </c>
    </row>
    <row r="8679" spans="1:5">
      <c r="A8679">
        <v>10659</v>
      </c>
      <c r="B8679" t="s">
        <v>177</v>
      </c>
      <c r="C8679">
        <v>419.51999967098237</v>
      </c>
      <c r="D8679">
        <v>24</v>
      </c>
      <c r="E8679" s="80">
        <v>35678</v>
      </c>
    </row>
    <row r="8680" spans="1:5">
      <c r="A8680">
        <v>10659</v>
      </c>
      <c r="B8680" t="s">
        <v>178</v>
      </c>
      <c r="C8680">
        <v>419.51999967098237</v>
      </c>
      <c r="D8680">
        <v>24</v>
      </c>
      <c r="E8680" s="80">
        <v>35678</v>
      </c>
    </row>
    <row r="8681" spans="1:5">
      <c r="A8681">
        <v>10659</v>
      </c>
      <c r="B8681" t="s">
        <v>179</v>
      </c>
      <c r="C8681">
        <v>419.51999967098237</v>
      </c>
      <c r="D8681">
        <v>24</v>
      </c>
      <c r="E8681" s="80">
        <v>35678</v>
      </c>
    </row>
    <row r="8682" spans="1:5">
      <c r="A8682">
        <v>10659</v>
      </c>
      <c r="B8682" t="s">
        <v>172</v>
      </c>
      <c r="C8682">
        <v>569.99999955296516</v>
      </c>
      <c r="D8682">
        <v>40</v>
      </c>
      <c r="E8682" s="80">
        <v>35678</v>
      </c>
    </row>
    <row r="8683" spans="1:5">
      <c r="A8683">
        <v>10659</v>
      </c>
      <c r="B8683" t="s">
        <v>173</v>
      </c>
      <c r="C8683">
        <v>569.99999955296516</v>
      </c>
      <c r="D8683">
        <v>40</v>
      </c>
      <c r="E8683" s="80">
        <v>35678</v>
      </c>
    </row>
    <row r="8684" spans="1:5">
      <c r="A8684">
        <v>10659</v>
      </c>
      <c r="B8684" t="s">
        <v>174</v>
      </c>
      <c r="C8684">
        <v>569.99999955296516</v>
      </c>
      <c r="D8684">
        <v>40</v>
      </c>
      <c r="E8684" s="80">
        <v>35678</v>
      </c>
    </row>
    <row r="8685" spans="1:5">
      <c r="A8685">
        <v>10659</v>
      </c>
      <c r="B8685" t="s">
        <v>175</v>
      </c>
      <c r="C8685">
        <v>569.99999955296516</v>
      </c>
      <c r="D8685">
        <v>40</v>
      </c>
      <c r="E8685" s="80">
        <v>35678</v>
      </c>
    </row>
    <row r="8686" spans="1:5">
      <c r="A8686">
        <v>10659</v>
      </c>
      <c r="B8686" t="s">
        <v>176</v>
      </c>
      <c r="C8686">
        <v>569.99999955296516</v>
      </c>
      <c r="D8686">
        <v>40</v>
      </c>
      <c r="E8686" s="80">
        <v>35678</v>
      </c>
    </row>
    <row r="8687" spans="1:5">
      <c r="A8687">
        <v>10659</v>
      </c>
      <c r="B8687" t="s">
        <v>177</v>
      </c>
      <c r="C8687">
        <v>569.99999955296516</v>
      </c>
      <c r="D8687">
        <v>40</v>
      </c>
      <c r="E8687" s="80">
        <v>35678</v>
      </c>
    </row>
    <row r="8688" spans="1:5">
      <c r="A8688">
        <v>10659</v>
      </c>
      <c r="B8688" t="s">
        <v>178</v>
      </c>
      <c r="C8688">
        <v>569.99999955296516</v>
      </c>
      <c r="D8688">
        <v>40</v>
      </c>
      <c r="E8688" s="80">
        <v>35678</v>
      </c>
    </row>
    <row r="8689" spans="1:5">
      <c r="A8689">
        <v>10659</v>
      </c>
      <c r="B8689" t="s">
        <v>179</v>
      </c>
      <c r="C8689">
        <v>569.99999955296516</v>
      </c>
      <c r="D8689">
        <v>40</v>
      </c>
      <c r="E8689" s="80">
        <v>35678</v>
      </c>
    </row>
    <row r="8690" spans="1:5">
      <c r="A8690">
        <v>10660</v>
      </c>
      <c r="B8690" t="s">
        <v>172</v>
      </c>
      <c r="C8690">
        <v>1701</v>
      </c>
      <c r="D8690">
        <v>21</v>
      </c>
      <c r="E8690" s="80">
        <v>35681</v>
      </c>
    </row>
    <row r="8691" spans="1:5">
      <c r="A8691">
        <v>10660</v>
      </c>
      <c r="B8691" t="s">
        <v>173</v>
      </c>
      <c r="C8691">
        <v>1701</v>
      </c>
      <c r="D8691">
        <v>21</v>
      </c>
      <c r="E8691" s="80">
        <v>35681</v>
      </c>
    </row>
    <row r="8692" spans="1:5">
      <c r="A8692">
        <v>10660</v>
      </c>
      <c r="B8692" t="s">
        <v>174</v>
      </c>
      <c r="C8692">
        <v>1701</v>
      </c>
      <c r="D8692">
        <v>21</v>
      </c>
      <c r="E8692" s="80">
        <v>35681</v>
      </c>
    </row>
    <row r="8693" spans="1:5">
      <c r="A8693">
        <v>10660</v>
      </c>
      <c r="B8693" t="s">
        <v>175</v>
      </c>
      <c r="C8693">
        <v>1701</v>
      </c>
      <c r="D8693">
        <v>21</v>
      </c>
      <c r="E8693" s="80">
        <v>35681</v>
      </c>
    </row>
    <row r="8694" spans="1:5">
      <c r="A8694">
        <v>10660</v>
      </c>
      <c r="B8694" t="s">
        <v>176</v>
      </c>
      <c r="C8694">
        <v>1701</v>
      </c>
      <c r="D8694">
        <v>21</v>
      </c>
      <c r="E8694" s="80">
        <v>35681</v>
      </c>
    </row>
    <row r="8695" spans="1:5">
      <c r="A8695">
        <v>10660</v>
      </c>
      <c r="B8695" t="s">
        <v>177</v>
      </c>
      <c r="C8695">
        <v>1701</v>
      </c>
      <c r="D8695">
        <v>21</v>
      </c>
      <c r="E8695" s="80">
        <v>35681</v>
      </c>
    </row>
    <row r="8696" spans="1:5">
      <c r="A8696">
        <v>10660</v>
      </c>
      <c r="B8696" t="s">
        <v>178</v>
      </c>
      <c r="C8696">
        <v>1701</v>
      </c>
      <c r="D8696">
        <v>21</v>
      </c>
      <c r="E8696" s="80">
        <v>35681</v>
      </c>
    </row>
    <row r="8697" spans="1:5">
      <c r="A8697">
        <v>10660</v>
      </c>
      <c r="B8697" t="s">
        <v>179</v>
      </c>
      <c r="C8697">
        <v>1701</v>
      </c>
      <c r="D8697">
        <v>21</v>
      </c>
      <c r="E8697" s="80">
        <v>35681</v>
      </c>
    </row>
    <row r="8698" spans="1:5">
      <c r="A8698">
        <v>10661</v>
      </c>
      <c r="B8698" t="s">
        <v>172</v>
      </c>
      <c r="C8698">
        <v>43.199999839067459</v>
      </c>
      <c r="D8698">
        <v>3</v>
      </c>
      <c r="E8698" s="80">
        <v>35682</v>
      </c>
    </row>
    <row r="8699" spans="1:5">
      <c r="A8699">
        <v>10661</v>
      </c>
      <c r="B8699" t="s">
        <v>173</v>
      </c>
      <c r="C8699">
        <v>43.199999839067459</v>
      </c>
      <c r="D8699">
        <v>3</v>
      </c>
      <c r="E8699" s="80">
        <v>35682</v>
      </c>
    </row>
    <row r="8700" spans="1:5">
      <c r="A8700">
        <v>10661</v>
      </c>
      <c r="B8700" t="s">
        <v>174</v>
      </c>
      <c r="C8700">
        <v>43.199999839067459</v>
      </c>
      <c r="D8700">
        <v>3</v>
      </c>
      <c r="E8700" s="80">
        <v>35682</v>
      </c>
    </row>
    <row r="8701" spans="1:5">
      <c r="A8701">
        <v>10661</v>
      </c>
      <c r="B8701" t="s">
        <v>175</v>
      </c>
      <c r="C8701">
        <v>43.199999839067459</v>
      </c>
      <c r="D8701">
        <v>3</v>
      </c>
      <c r="E8701" s="80">
        <v>35682</v>
      </c>
    </row>
    <row r="8702" spans="1:5">
      <c r="A8702">
        <v>10661</v>
      </c>
      <c r="B8702" t="s">
        <v>176</v>
      </c>
      <c r="C8702">
        <v>43.199999839067459</v>
      </c>
      <c r="D8702">
        <v>3</v>
      </c>
      <c r="E8702" s="80">
        <v>35682</v>
      </c>
    </row>
    <row r="8703" spans="1:5">
      <c r="A8703">
        <v>10661</v>
      </c>
      <c r="B8703" t="s">
        <v>177</v>
      </c>
      <c r="C8703">
        <v>43.199999839067459</v>
      </c>
      <c r="D8703">
        <v>3</v>
      </c>
      <c r="E8703" s="80">
        <v>35682</v>
      </c>
    </row>
    <row r="8704" spans="1:5">
      <c r="A8704">
        <v>10661</v>
      </c>
      <c r="B8704" t="s">
        <v>178</v>
      </c>
      <c r="C8704">
        <v>43.199999839067459</v>
      </c>
      <c r="D8704">
        <v>3</v>
      </c>
      <c r="E8704" s="80">
        <v>35682</v>
      </c>
    </row>
    <row r="8705" spans="1:5">
      <c r="A8705">
        <v>10661</v>
      </c>
      <c r="B8705" t="s">
        <v>179</v>
      </c>
      <c r="C8705">
        <v>43.199999839067459</v>
      </c>
      <c r="D8705">
        <v>3</v>
      </c>
      <c r="E8705" s="80">
        <v>35682</v>
      </c>
    </row>
    <row r="8706" spans="1:5">
      <c r="A8706">
        <v>10661</v>
      </c>
      <c r="B8706" t="s">
        <v>172</v>
      </c>
      <c r="C8706">
        <v>519.39999806508422</v>
      </c>
      <c r="D8706">
        <v>49</v>
      </c>
      <c r="E8706" s="80">
        <v>35682</v>
      </c>
    </row>
    <row r="8707" spans="1:5">
      <c r="A8707">
        <v>10661</v>
      </c>
      <c r="B8707" t="s">
        <v>173</v>
      </c>
      <c r="C8707">
        <v>519.39999806508422</v>
      </c>
      <c r="D8707">
        <v>49</v>
      </c>
      <c r="E8707" s="80">
        <v>35682</v>
      </c>
    </row>
    <row r="8708" spans="1:5">
      <c r="A8708">
        <v>10661</v>
      </c>
      <c r="B8708" t="s">
        <v>174</v>
      </c>
      <c r="C8708">
        <v>519.39999806508422</v>
      </c>
      <c r="D8708">
        <v>49</v>
      </c>
      <c r="E8708" s="80">
        <v>35682</v>
      </c>
    </row>
    <row r="8709" spans="1:5">
      <c r="A8709">
        <v>10661</v>
      </c>
      <c r="B8709" t="s">
        <v>175</v>
      </c>
      <c r="C8709">
        <v>519.39999806508422</v>
      </c>
      <c r="D8709">
        <v>49</v>
      </c>
      <c r="E8709" s="80">
        <v>35682</v>
      </c>
    </row>
    <row r="8710" spans="1:5">
      <c r="A8710">
        <v>10661</v>
      </c>
      <c r="B8710" t="s">
        <v>176</v>
      </c>
      <c r="C8710">
        <v>519.39999806508422</v>
      </c>
      <c r="D8710">
        <v>49</v>
      </c>
      <c r="E8710" s="80">
        <v>35682</v>
      </c>
    </row>
    <row r="8711" spans="1:5">
      <c r="A8711">
        <v>10661</v>
      </c>
      <c r="B8711" t="s">
        <v>177</v>
      </c>
      <c r="C8711">
        <v>519.39999806508422</v>
      </c>
      <c r="D8711">
        <v>49</v>
      </c>
      <c r="E8711" s="80">
        <v>35682</v>
      </c>
    </row>
    <row r="8712" spans="1:5">
      <c r="A8712">
        <v>10661</v>
      </c>
      <c r="B8712" t="s">
        <v>178</v>
      </c>
      <c r="C8712">
        <v>519.39999806508422</v>
      </c>
      <c r="D8712">
        <v>49</v>
      </c>
      <c r="E8712" s="80">
        <v>35682</v>
      </c>
    </row>
    <row r="8713" spans="1:5">
      <c r="A8713">
        <v>10661</v>
      </c>
      <c r="B8713" t="s">
        <v>179</v>
      </c>
      <c r="C8713">
        <v>519.39999806508422</v>
      </c>
      <c r="D8713">
        <v>49</v>
      </c>
      <c r="E8713" s="80">
        <v>35682</v>
      </c>
    </row>
    <row r="8714" spans="1:5">
      <c r="A8714">
        <v>10662</v>
      </c>
      <c r="B8714" t="s">
        <v>172</v>
      </c>
      <c r="C8714">
        <v>125</v>
      </c>
      <c r="D8714">
        <v>10</v>
      </c>
      <c r="E8714" s="80">
        <v>35682</v>
      </c>
    </row>
    <row r="8715" spans="1:5">
      <c r="A8715">
        <v>10662</v>
      </c>
      <c r="B8715" t="s">
        <v>173</v>
      </c>
      <c r="C8715">
        <v>125</v>
      </c>
      <c r="D8715">
        <v>10</v>
      </c>
      <c r="E8715" s="80">
        <v>35682</v>
      </c>
    </row>
    <row r="8716" spans="1:5">
      <c r="A8716">
        <v>10662</v>
      </c>
      <c r="B8716" t="s">
        <v>174</v>
      </c>
      <c r="C8716">
        <v>125</v>
      </c>
      <c r="D8716">
        <v>10</v>
      </c>
      <c r="E8716" s="80">
        <v>35682</v>
      </c>
    </row>
    <row r="8717" spans="1:5">
      <c r="A8717">
        <v>10662</v>
      </c>
      <c r="B8717" t="s">
        <v>175</v>
      </c>
      <c r="C8717">
        <v>125</v>
      </c>
      <c r="D8717">
        <v>10</v>
      </c>
      <c r="E8717" s="80">
        <v>35682</v>
      </c>
    </row>
    <row r="8718" spans="1:5">
      <c r="A8718">
        <v>10662</v>
      </c>
      <c r="B8718" t="s">
        <v>176</v>
      </c>
      <c r="C8718">
        <v>125</v>
      </c>
      <c r="D8718">
        <v>10</v>
      </c>
      <c r="E8718" s="80">
        <v>35682</v>
      </c>
    </row>
    <row r="8719" spans="1:5">
      <c r="A8719">
        <v>10662</v>
      </c>
      <c r="B8719" t="s">
        <v>177</v>
      </c>
      <c r="C8719">
        <v>125</v>
      </c>
      <c r="D8719">
        <v>10</v>
      </c>
      <c r="E8719" s="80">
        <v>35682</v>
      </c>
    </row>
    <row r="8720" spans="1:5">
      <c r="A8720">
        <v>10662</v>
      </c>
      <c r="B8720" t="s">
        <v>178</v>
      </c>
      <c r="C8720">
        <v>125</v>
      </c>
      <c r="D8720">
        <v>10</v>
      </c>
      <c r="E8720" s="80">
        <v>35682</v>
      </c>
    </row>
    <row r="8721" spans="1:5">
      <c r="A8721">
        <v>10662</v>
      </c>
      <c r="B8721" t="s">
        <v>179</v>
      </c>
      <c r="C8721">
        <v>125</v>
      </c>
      <c r="D8721">
        <v>10</v>
      </c>
      <c r="E8721" s="80">
        <v>35682</v>
      </c>
    </row>
    <row r="8722" spans="1:5">
      <c r="A8722">
        <v>10663</v>
      </c>
      <c r="B8722" t="s">
        <v>172</v>
      </c>
      <c r="C8722">
        <v>524.39999958872795</v>
      </c>
      <c r="D8722">
        <v>30</v>
      </c>
      <c r="E8722" s="80">
        <v>35683</v>
      </c>
    </row>
    <row r="8723" spans="1:5">
      <c r="A8723">
        <v>10663</v>
      </c>
      <c r="B8723" t="s">
        <v>173</v>
      </c>
      <c r="C8723">
        <v>524.39999958872795</v>
      </c>
      <c r="D8723">
        <v>30</v>
      </c>
      <c r="E8723" s="80">
        <v>35683</v>
      </c>
    </row>
    <row r="8724" spans="1:5">
      <c r="A8724">
        <v>10663</v>
      </c>
      <c r="B8724" t="s">
        <v>174</v>
      </c>
      <c r="C8724">
        <v>524.39999958872795</v>
      </c>
      <c r="D8724">
        <v>30</v>
      </c>
      <c r="E8724" s="80">
        <v>35683</v>
      </c>
    </row>
    <row r="8725" spans="1:5">
      <c r="A8725">
        <v>10663</v>
      </c>
      <c r="B8725" t="s">
        <v>175</v>
      </c>
      <c r="C8725">
        <v>524.39999958872795</v>
      </c>
      <c r="D8725">
        <v>30</v>
      </c>
      <c r="E8725" s="80">
        <v>35683</v>
      </c>
    </row>
    <row r="8726" spans="1:5">
      <c r="A8726">
        <v>10663</v>
      </c>
      <c r="B8726" t="s">
        <v>176</v>
      </c>
      <c r="C8726">
        <v>524.39999958872795</v>
      </c>
      <c r="D8726">
        <v>30</v>
      </c>
      <c r="E8726" s="80">
        <v>35683</v>
      </c>
    </row>
    <row r="8727" spans="1:5">
      <c r="A8727">
        <v>10663</v>
      </c>
      <c r="B8727" t="s">
        <v>177</v>
      </c>
      <c r="C8727">
        <v>524.39999958872795</v>
      </c>
      <c r="D8727">
        <v>30</v>
      </c>
      <c r="E8727" s="80">
        <v>35683</v>
      </c>
    </row>
    <row r="8728" spans="1:5">
      <c r="A8728">
        <v>10663</v>
      </c>
      <c r="B8728" t="s">
        <v>178</v>
      </c>
      <c r="C8728">
        <v>524.39999958872795</v>
      </c>
      <c r="D8728">
        <v>30</v>
      </c>
      <c r="E8728" s="80">
        <v>35683</v>
      </c>
    </row>
    <row r="8729" spans="1:5">
      <c r="A8729">
        <v>10663</v>
      </c>
      <c r="B8729" t="s">
        <v>179</v>
      </c>
      <c r="C8729">
        <v>524.39999958872795</v>
      </c>
      <c r="D8729">
        <v>30</v>
      </c>
      <c r="E8729" s="80">
        <v>35683</v>
      </c>
    </row>
    <row r="8730" spans="1:5">
      <c r="A8730">
        <v>10663</v>
      </c>
      <c r="B8730" t="s">
        <v>172</v>
      </c>
      <c r="C8730">
        <v>398.99999968707561</v>
      </c>
      <c r="D8730">
        <v>30</v>
      </c>
      <c r="E8730" s="80">
        <v>35683</v>
      </c>
    </row>
    <row r="8731" spans="1:5">
      <c r="A8731">
        <v>10663</v>
      </c>
      <c r="B8731" t="s">
        <v>173</v>
      </c>
      <c r="C8731">
        <v>398.99999968707561</v>
      </c>
      <c r="D8731">
        <v>30</v>
      </c>
      <c r="E8731" s="80">
        <v>35683</v>
      </c>
    </row>
    <row r="8732" spans="1:5">
      <c r="A8732">
        <v>10663</v>
      </c>
      <c r="B8732" t="s">
        <v>174</v>
      </c>
      <c r="C8732">
        <v>398.99999968707561</v>
      </c>
      <c r="D8732">
        <v>30</v>
      </c>
      <c r="E8732" s="80">
        <v>35683</v>
      </c>
    </row>
    <row r="8733" spans="1:5">
      <c r="A8733">
        <v>10663</v>
      </c>
      <c r="B8733" t="s">
        <v>175</v>
      </c>
      <c r="C8733">
        <v>398.99999968707561</v>
      </c>
      <c r="D8733">
        <v>30</v>
      </c>
      <c r="E8733" s="80">
        <v>35683</v>
      </c>
    </row>
    <row r="8734" spans="1:5">
      <c r="A8734">
        <v>10663</v>
      </c>
      <c r="B8734" t="s">
        <v>176</v>
      </c>
      <c r="C8734">
        <v>398.99999968707561</v>
      </c>
      <c r="D8734">
        <v>30</v>
      </c>
      <c r="E8734" s="80">
        <v>35683</v>
      </c>
    </row>
    <row r="8735" spans="1:5">
      <c r="A8735">
        <v>10663</v>
      </c>
      <c r="B8735" t="s">
        <v>177</v>
      </c>
      <c r="C8735">
        <v>398.99999968707561</v>
      </c>
      <c r="D8735">
        <v>30</v>
      </c>
      <c r="E8735" s="80">
        <v>35683</v>
      </c>
    </row>
    <row r="8736" spans="1:5">
      <c r="A8736">
        <v>10663</v>
      </c>
      <c r="B8736" t="s">
        <v>178</v>
      </c>
      <c r="C8736">
        <v>398.99999968707561</v>
      </c>
      <c r="D8736">
        <v>30</v>
      </c>
      <c r="E8736" s="80">
        <v>35683</v>
      </c>
    </row>
    <row r="8737" spans="1:5">
      <c r="A8737">
        <v>10663</v>
      </c>
      <c r="B8737" t="s">
        <v>179</v>
      </c>
      <c r="C8737">
        <v>398.99999968707561</v>
      </c>
      <c r="D8737">
        <v>30</v>
      </c>
      <c r="E8737" s="80">
        <v>35683</v>
      </c>
    </row>
    <row r="8738" spans="1:5">
      <c r="A8738">
        <v>10663</v>
      </c>
      <c r="B8738" t="s">
        <v>172</v>
      </c>
      <c r="C8738">
        <v>1006.9999992102385</v>
      </c>
      <c r="D8738">
        <v>20</v>
      </c>
      <c r="E8738" s="80">
        <v>35683</v>
      </c>
    </row>
    <row r="8739" spans="1:5">
      <c r="A8739">
        <v>10663</v>
      </c>
      <c r="B8739" t="s">
        <v>173</v>
      </c>
      <c r="C8739">
        <v>1006.9999992102385</v>
      </c>
      <c r="D8739">
        <v>20</v>
      </c>
      <c r="E8739" s="80">
        <v>35683</v>
      </c>
    </row>
    <row r="8740" spans="1:5">
      <c r="A8740">
        <v>10663</v>
      </c>
      <c r="B8740" t="s">
        <v>174</v>
      </c>
      <c r="C8740">
        <v>1006.9999992102385</v>
      </c>
      <c r="D8740">
        <v>20</v>
      </c>
      <c r="E8740" s="80">
        <v>35683</v>
      </c>
    </row>
    <row r="8741" spans="1:5">
      <c r="A8741">
        <v>10663</v>
      </c>
      <c r="B8741" t="s">
        <v>175</v>
      </c>
      <c r="C8741">
        <v>1006.9999992102385</v>
      </c>
      <c r="D8741">
        <v>20</v>
      </c>
      <c r="E8741" s="80">
        <v>35683</v>
      </c>
    </row>
    <row r="8742" spans="1:5">
      <c r="A8742">
        <v>10663</v>
      </c>
      <c r="B8742" t="s">
        <v>176</v>
      </c>
      <c r="C8742">
        <v>1006.9999992102385</v>
      </c>
      <c r="D8742">
        <v>20</v>
      </c>
      <c r="E8742" s="80">
        <v>35683</v>
      </c>
    </row>
    <row r="8743" spans="1:5">
      <c r="A8743">
        <v>10663</v>
      </c>
      <c r="B8743" t="s">
        <v>177</v>
      </c>
      <c r="C8743">
        <v>1006.9999992102385</v>
      </c>
      <c r="D8743">
        <v>20</v>
      </c>
      <c r="E8743" s="80">
        <v>35683</v>
      </c>
    </row>
    <row r="8744" spans="1:5">
      <c r="A8744">
        <v>10663</v>
      </c>
      <c r="B8744" t="s">
        <v>178</v>
      </c>
      <c r="C8744">
        <v>1006.9999992102385</v>
      </c>
      <c r="D8744">
        <v>20</v>
      </c>
      <c r="E8744" s="80">
        <v>35683</v>
      </c>
    </row>
    <row r="8745" spans="1:5">
      <c r="A8745">
        <v>10663</v>
      </c>
      <c r="B8745" t="s">
        <v>179</v>
      </c>
      <c r="C8745">
        <v>1006.9999992102385</v>
      </c>
      <c r="D8745">
        <v>20</v>
      </c>
      <c r="E8745" s="80">
        <v>35683</v>
      </c>
    </row>
    <row r="8746" spans="1:5">
      <c r="A8746">
        <v>10664</v>
      </c>
      <c r="B8746" t="s">
        <v>172</v>
      </c>
      <c r="C8746">
        <v>632.39999556541443</v>
      </c>
      <c r="D8746">
        <v>24</v>
      </c>
      <c r="E8746" s="80">
        <v>35683</v>
      </c>
    </row>
    <row r="8747" spans="1:5">
      <c r="A8747">
        <v>10664</v>
      </c>
      <c r="B8747" t="s">
        <v>173</v>
      </c>
      <c r="C8747">
        <v>632.39999556541443</v>
      </c>
      <c r="D8747">
        <v>24</v>
      </c>
      <c r="E8747" s="80">
        <v>35683</v>
      </c>
    </row>
    <row r="8748" spans="1:5">
      <c r="A8748">
        <v>10664</v>
      </c>
      <c r="B8748" t="s">
        <v>174</v>
      </c>
      <c r="C8748">
        <v>632.39999556541443</v>
      </c>
      <c r="D8748">
        <v>24</v>
      </c>
      <c r="E8748" s="80">
        <v>35683</v>
      </c>
    </row>
    <row r="8749" spans="1:5">
      <c r="A8749">
        <v>10664</v>
      </c>
      <c r="B8749" t="s">
        <v>175</v>
      </c>
      <c r="C8749">
        <v>632.39999556541443</v>
      </c>
      <c r="D8749">
        <v>24</v>
      </c>
      <c r="E8749" s="80">
        <v>35683</v>
      </c>
    </row>
    <row r="8750" spans="1:5">
      <c r="A8750">
        <v>10664</v>
      </c>
      <c r="B8750" t="s">
        <v>176</v>
      </c>
      <c r="C8750">
        <v>632.39999556541443</v>
      </c>
      <c r="D8750">
        <v>24</v>
      </c>
      <c r="E8750" s="80">
        <v>35683</v>
      </c>
    </row>
    <row r="8751" spans="1:5">
      <c r="A8751">
        <v>10664</v>
      </c>
      <c r="B8751" t="s">
        <v>177</v>
      </c>
      <c r="C8751">
        <v>632.39999556541443</v>
      </c>
      <c r="D8751">
        <v>24</v>
      </c>
      <c r="E8751" s="80">
        <v>35683</v>
      </c>
    </row>
    <row r="8752" spans="1:5">
      <c r="A8752">
        <v>10664</v>
      </c>
      <c r="B8752" t="s">
        <v>178</v>
      </c>
      <c r="C8752">
        <v>632.39999556541443</v>
      </c>
      <c r="D8752">
        <v>24</v>
      </c>
      <c r="E8752" s="80">
        <v>35683</v>
      </c>
    </row>
    <row r="8753" spans="1:5">
      <c r="A8753">
        <v>10664</v>
      </c>
      <c r="B8753" t="s">
        <v>179</v>
      </c>
      <c r="C8753">
        <v>632.39999556541443</v>
      </c>
      <c r="D8753">
        <v>24</v>
      </c>
      <c r="E8753" s="80">
        <v>35683</v>
      </c>
    </row>
    <row r="8754" spans="1:5">
      <c r="A8754">
        <v>10664</v>
      </c>
      <c r="B8754" t="s">
        <v>172</v>
      </c>
      <c r="C8754">
        <v>387.5999972820282</v>
      </c>
      <c r="D8754">
        <v>12</v>
      </c>
      <c r="E8754" s="80">
        <v>35683</v>
      </c>
    </row>
    <row r="8755" spans="1:5">
      <c r="A8755">
        <v>10664</v>
      </c>
      <c r="B8755" t="s">
        <v>173</v>
      </c>
      <c r="C8755">
        <v>387.5999972820282</v>
      </c>
      <c r="D8755">
        <v>12</v>
      </c>
      <c r="E8755" s="80">
        <v>35683</v>
      </c>
    </row>
    <row r="8756" spans="1:5">
      <c r="A8756">
        <v>10664</v>
      </c>
      <c r="B8756" t="s">
        <v>174</v>
      </c>
      <c r="C8756">
        <v>387.5999972820282</v>
      </c>
      <c r="D8756">
        <v>12</v>
      </c>
      <c r="E8756" s="80">
        <v>35683</v>
      </c>
    </row>
    <row r="8757" spans="1:5">
      <c r="A8757">
        <v>10664</v>
      </c>
      <c r="B8757" t="s">
        <v>175</v>
      </c>
      <c r="C8757">
        <v>387.5999972820282</v>
      </c>
      <c r="D8757">
        <v>12</v>
      </c>
      <c r="E8757" s="80">
        <v>35683</v>
      </c>
    </row>
    <row r="8758" spans="1:5">
      <c r="A8758">
        <v>10664</v>
      </c>
      <c r="B8758" t="s">
        <v>176</v>
      </c>
      <c r="C8758">
        <v>387.5999972820282</v>
      </c>
      <c r="D8758">
        <v>12</v>
      </c>
      <c r="E8758" s="80">
        <v>35683</v>
      </c>
    </row>
    <row r="8759" spans="1:5">
      <c r="A8759">
        <v>10664</v>
      </c>
      <c r="B8759" t="s">
        <v>177</v>
      </c>
      <c r="C8759">
        <v>387.5999972820282</v>
      </c>
      <c r="D8759">
        <v>12</v>
      </c>
      <c r="E8759" s="80">
        <v>35683</v>
      </c>
    </row>
    <row r="8760" spans="1:5">
      <c r="A8760">
        <v>10664</v>
      </c>
      <c r="B8760" t="s">
        <v>178</v>
      </c>
      <c r="C8760">
        <v>387.5999972820282</v>
      </c>
      <c r="D8760">
        <v>12</v>
      </c>
      <c r="E8760" s="80">
        <v>35683</v>
      </c>
    </row>
    <row r="8761" spans="1:5">
      <c r="A8761">
        <v>10664</v>
      </c>
      <c r="B8761" t="s">
        <v>179</v>
      </c>
      <c r="C8761">
        <v>387.5999972820282</v>
      </c>
      <c r="D8761">
        <v>12</v>
      </c>
      <c r="E8761" s="80">
        <v>35683</v>
      </c>
    </row>
    <row r="8762" spans="1:5">
      <c r="A8762">
        <v>10664</v>
      </c>
      <c r="B8762" t="s">
        <v>172</v>
      </c>
      <c r="C8762">
        <v>268.38749811798334</v>
      </c>
      <c r="D8762">
        <v>15</v>
      </c>
      <c r="E8762" s="80">
        <v>35683</v>
      </c>
    </row>
    <row r="8763" spans="1:5">
      <c r="A8763">
        <v>10664</v>
      </c>
      <c r="B8763" t="s">
        <v>173</v>
      </c>
      <c r="C8763">
        <v>268.38749811798334</v>
      </c>
      <c r="D8763">
        <v>15</v>
      </c>
      <c r="E8763" s="80">
        <v>35683</v>
      </c>
    </row>
    <row r="8764" spans="1:5">
      <c r="A8764">
        <v>10664</v>
      </c>
      <c r="B8764" t="s">
        <v>174</v>
      </c>
      <c r="C8764">
        <v>268.38749811798334</v>
      </c>
      <c r="D8764">
        <v>15</v>
      </c>
      <c r="E8764" s="80">
        <v>35683</v>
      </c>
    </row>
    <row r="8765" spans="1:5">
      <c r="A8765">
        <v>10664</v>
      </c>
      <c r="B8765" t="s">
        <v>175</v>
      </c>
      <c r="C8765">
        <v>268.38749811798334</v>
      </c>
      <c r="D8765">
        <v>15</v>
      </c>
      <c r="E8765" s="80">
        <v>35683</v>
      </c>
    </row>
    <row r="8766" spans="1:5">
      <c r="A8766">
        <v>10664</v>
      </c>
      <c r="B8766" t="s">
        <v>176</v>
      </c>
      <c r="C8766">
        <v>268.38749811798334</v>
      </c>
      <c r="D8766">
        <v>15</v>
      </c>
      <c r="E8766" s="80">
        <v>35683</v>
      </c>
    </row>
    <row r="8767" spans="1:5">
      <c r="A8767">
        <v>10664</v>
      </c>
      <c r="B8767" t="s">
        <v>177</v>
      </c>
      <c r="C8767">
        <v>268.38749811798334</v>
      </c>
      <c r="D8767">
        <v>15</v>
      </c>
      <c r="E8767" s="80">
        <v>35683</v>
      </c>
    </row>
    <row r="8768" spans="1:5">
      <c r="A8768">
        <v>10664</v>
      </c>
      <c r="B8768" t="s">
        <v>178</v>
      </c>
      <c r="C8768">
        <v>268.38749811798334</v>
      </c>
      <c r="D8768">
        <v>15</v>
      </c>
      <c r="E8768" s="80">
        <v>35683</v>
      </c>
    </row>
    <row r="8769" spans="1:5">
      <c r="A8769">
        <v>10664</v>
      </c>
      <c r="B8769" t="s">
        <v>179</v>
      </c>
      <c r="C8769">
        <v>268.38749811798334</v>
      </c>
      <c r="D8769">
        <v>15</v>
      </c>
      <c r="E8769" s="80">
        <v>35683</v>
      </c>
    </row>
    <row r="8770" spans="1:5">
      <c r="A8770">
        <v>10665</v>
      </c>
      <c r="B8770" t="s">
        <v>172</v>
      </c>
      <c r="C8770">
        <v>1060</v>
      </c>
      <c r="D8770">
        <v>20</v>
      </c>
      <c r="E8770" s="80">
        <v>35684</v>
      </c>
    </row>
    <row r="8771" spans="1:5">
      <c r="A8771">
        <v>10665</v>
      </c>
      <c r="B8771" t="s">
        <v>173</v>
      </c>
      <c r="C8771">
        <v>1060</v>
      </c>
      <c r="D8771">
        <v>20</v>
      </c>
      <c r="E8771" s="80">
        <v>35684</v>
      </c>
    </row>
    <row r="8772" spans="1:5">
      <c r="A8772">
        <v>10665</v>
      </c>
      <c r="B8772" t="s">
        <v>174</v>
      </c>
      <c r="C8772">
        <v>1060</v>
      </c>
      <c r="D8772">
        <v>20</v>
      </c>
      <c r="E8772" s="80">
        <v>35684</v>
      </c>
    </row>
    <row r="8773" spans="1:5">
      <c r="A8773">
        <v>10665</v>
      </c>
      <c r="B8773" t="s">
        <v>175</v>
      </c>
      <c r="C8773">
        <v>1060</v>
      </c>
      <c r="D8773">
        <v>20</v>
      </c>
      <c r="E8773" s="80">
        <v>35684</v>
      </c>
    </row>
    <row r="8774" spans="1:5">
      <c r="A8774">
        <v>10665</v>
      </c>
      <c r="B8774" t="s">
        <v>176</v>
      </c>
      <c r="C8774">
        <v>1060</v>
      </c>
      <c r="D8774">
        <v>20</v>
      </c>
      <c r="E8774" s="80">
        <v>35684</v>
      </c>
    </row>
    <row r="8775" spans="1:5">
      <c r="A8775">
        <v>10665</v>
      </c>
      <c r="B8775" t="s">
        <v>177</v>
      </c>
      <c r="C8775">
        <v>1060</v>
      </c>
      <c r="D8775">
        <v>20</v>
      </c>
      <c r="E8775" s="80">
        <v>35684</v>
      </c>
    </row>
    <row r="8776" spans="1:5">
      <c r="A8776">
        <v>10665</v>
      </c>
      <c r="B8776" t="s">
        <v>178</v>
      </c>
      <c r="C8776">
        <v>1060</v>
      </c>
      <c r="D8776">
        <v>20</v>
      </c>
      <c r="E8776" s="80">
        <v>35684</v>
      </c>
    </row>
    <row r="8777" spans="1:5">
      <c r="A8777">
        <v>10665</v>
      </c>
      <c r="B8777" t="s">
        <v>179</v>
      </c>
      <c r="C8777">
        <v>1060</v>
      </c>
      <c r="D8777">
        <v>20</v>
      </c>
      <c r="E8777" s="80">
        <v>35684</v>
      </c>
    </row>
    <row r="8778" spans="1:5">
      <c r="A8778">
        <v>10665</v>
      </c>
      <c r="B8778" t="s">
        <v>172</v>
      </c>
      <c r="C8778">
        <v>55</v>
      </c>
      <c r="D8778">
        <v>1</v>
      </c>
      <c r="E8778" s="80">
        <v>35684</v>
      </c>
    </row>
    <row r="8779" spans="1:5">
      <c r="A8779">
        <v>10665</v>
      </c>
      <c r="B8779" t="s">
        <v>173</v>
      </c>
      <c r="C8779">
        <v>55</v>
      </c>
      <c r="D8779">
        <v>1</v>
      </c>
      <c r="E8779" s="80">
        <v>35684</v>
      </c>
    </row>
    <row r="8780" spans="1:5">
      <c r="A8780">
        <v>10665</v>
      </c>
      <c r="B8780" t="s">
        <v>174</v>
      </c>
      <c r="C8780">
        <v>55</v>
      </c>
      <c r="D8780">
        <v>1</v>
      </c>
      <c r="E8780" s="80">
        <v>35684</v>
      </c>
    </row>
    <row r="8781" spans="1:5">
      <c r="A8781">
        <v>10665</v>
      </c>
      <c r="B8781" t="s">
        <v>175</v>
      </c>
      <c r="C8781">
        <v>55</v>
      </c>
      <c r="D8781">
        <v>1</v>
      </c>
      <c r="E8781" s="80">
        <v>35684</v>
      </c>
    </row>
    <row r="8782" spans="1:5">
      <c r="A8782">
        <v>10665</v>
      </c>
      <c r="B8782" t="s">
        <v>176</v>
      </c>
      <c r="C8782">
        <v>55</v>
      </c>
      <c r="D8782">
        <v>1</v>
      </c>
      <c r="E8782" s="80">
        <v>35684</v>
      </c>
    </row>
    <row r="8783" spans="1:5">
      <c r="A8783">
        <v>10665</v>
      </c>
      <c r="B8783" t="s">
        <v>177</v>
      </c>
      <c r="C8783">
        <v>55</v>
      </c>
      <c r="D8783">
        <v>1</v>
      </c>
      <c r="E8783" s="80">
        <v>35684</v>
      </c>
    </row>
    <row r="8784" spans="1:5">
      <c r="A8784">
        <v>10665</v>
      </c>
      <c r="B8784" t="s">
        <v>178</v>
      </c>
      <c r="C8784">
        <v>55</v>
      </c>
      <c r="D8784">
        <v>1</v>
      </c>
      <c r="E8784" s="80">
        <v>35684</v>
      </c>
    </row>
    <row r="8785" spans="1:5">
      <c r="A8785">
        <v>10665</v>
      </c>
      <c r="B8785" t="s">
        <v>179</v>
      </c>
      <c r="C8785">
        <v>55</v>
      </c>
      <c r="D8785">
        <v>1</v>
      </c>
      <c r="E8785" s="80">
        <v>35684</v>
      </c>
    </row>
    <row r="8786" spans="1:5">
      <c r="A8786">
        <v>10665</v>
      </c>
      <c r="B8786" t="s">
        <v>172</v>
      </c>
      <c r="C8786">
        <v>180</v>
      </c>
      <c r="D8786">
        <v>10</v>
      </c>
      <c r="E8786" s="80">
        <v>35684</v>
      </c>
    </row>
    <row r="8787" spans="1:5">
      <c r="A8787">
        <v>10665</v>
      </c>
      <c r="B8787" t="s">
        <v>173</v>
      </c>
      <c r="C8787">
        <v>180</v>
      </c>
      <c r="D8787">
        <v>10</v>
      </c>
      <c r="E8787" s="80">
        <v>35684</v>
      </c>
    </row>
    <row r="8788" spans="1:5">
      <c r="A8788">
        <v>10665</v>
      </c>
      <c r="B8788" t="s">
        <v>174</v>
      </c>
      <c r="C8788">
        <v>180</v>
      </c>
      <c r="D8788">
        <v>10</v>
      </c>
      <c r="E8788" s="80">
        <v>35684</v>
      </c>
    </row>
    <row r="8789" spans="1:5">
      <c r="A8789">
        <v>10665</v>
      </c>
      <c r="B8789" t="s">
        <v>175</v>
      </c>
      <c r="C8789">
        <v>180</v>
      </c>
      <c r="D8789">
        <v>10</v>
      </c>
      <c r="E8789" s="80">
        <v>35684</v>
      </c>
    </row>
    <row r="8790" spans="1:5">
      <c r="A8790">
        <v>10665</v>
      </c>
      <c r="B8790" t="s">
        <v>176</v>
      </c>
      <c r="C8790">
        <v>180</v>
      </c>
      <c r="D8790">
        <v>10</v>
      </c>
      <c r="E8790" s="80">
        <v>35684</v>
      </c>
    </row>
    <row r="8791" spans="1:5">
      <c r="A8791">
        <v>10665</v>
      </c>
      <c r="B8791" t="s">
        <v>177</v>
      </c>
      <c r="C8791">
        <v>180</v>
      </c>
      <c r="D8791">
        <v>10</v>
      </c>
      <c r="E8791" s="80">
        <v>35684</v>
      </c>
    </row>
    <row r="8792" spans="1:5">
      <c r="A8792">
        <v>10665</v>
      </c>
      <c r="B8792" t="s">
        <v>178</v>
      </c>
      <c r="C8792">
        <v>180</v>
      </c>
      <c r="D8792">
        <v>10</v>
      </c>
      <c r="E8792" s="80">
        <v>35684</v>
      </c>
    </row>
    <row r="8793" spans="1:5">
      <c r="A8793">
        <v>10665</v>
      </c>
      <c r="B8793" t="s">
        <v>179</v>
      </c>
      <c r="C8793">
        <v>180</v>
      </c>
      <c r="D8793">
        <v>10</v>
      </c>
      <c r="E8793" s="80">
        <v>35684</v>
      </c>
    </row>
    <row r="8794" spans="1:5">
      <c r="A8794">
        <v>10666</v>
      </c>
      <c r="B8794" t="s">
        <v>172</v>
      </c>
      <c r="C8794">
        <v>4456.4399999999996</v>
      </c>
      <c r="D8794">
        <v>36</v>
      </c>
      <c r="E8794" s="80">
        <v>35685</v>
      </c>
    </row>
    <row r="8795" spans="1:5">
      <c r="A8795">
        <v>10666</v>
      </c>
      <c r="B8795" t="s">
        <v>173</v>
      </c>
      <c r="C8795">
        <v>4456.4399999999996</v>
      </c>
      <c r="D8795">
        <v>36</v>
      </c>
      <c r="E8795" s="80">
        <v>35685</v>
      </c>
    </row>
    <row r="8796" spans="1:5">
      <c r="A8796">
        <v>10666</v>
      </c>
      <c r="B8796" t="s">
        <v>174</v>
      </c>
      <c r="C8796">
        <v>4456.4399999999996</v>
      </c>
      <c r="D8796">
        <v>36</v>
      </c>
      <c r="E8796" s="80">
        <v>35685</v>
      </c>
    </row>
    <row r="8797" spans="1:5">
      <c r="A8797">
        <v>10666</v>
      </c>
      <c r="B8797" t="s">
        <v>175</v>
      </c>
      <c r="C8797">
        <v>4456.4399999999996</v>
      </c>
      <c r="D8797">
        <v>36</v>
      </c>
      <c r="E8797" s="80">
        <v>35685</v>
      </c>
    </row>
    <row r="8798" spans="1:5">
      <c r="A8798">
        <v>10666</v>
      </c>
      <c r="B8798" t="s">
        <v>176</v>
      </c>
      <c r="C8798">
        <v>4456.4399999999996</v>
      </c>
      <c r="D8798">
        <v>36</v>
      </c>
      <c r="E8798" s="80">
        <v>35685</v>
      </c>
    </row>
    <row r="8799" spans="1:5">
      <c r="A8799">
        <v>10666</v>
      </c>
      <c r="B8799" t="s">
        <v>177</v>
      </c>
      <c r="C8799">
        <v>4456.4399999999996</v>
      </c>
      <c r="D8799">
        <v>36</v>
      </c>
      <c r="E8799" s="80">
        <v>35685</v>
      </c>
    </row>
    <row r="8800" spans="1:5">
      <c r="A8800">
        <v>10666</v>
      </c>
      <c r="B8800" t="s">
        <v>178</v>
      </c>
      <c r="C8800">
        <v>4456.4399999999996</v>
      </c>
      <c r="D8800">
        <v>36</v>
      </c>
      <c r="E8800" s="80">
        <v>35685</v>
      </c>
    </row>
    <row r="8801" spans="1:5">
      <c r="A8801">
        <v>10666</v>
      </c>
      <c r="B8801" t="s">
        <v>179</v>
      </c>
      <c r="C8801">
        <v>4456.4399999999996</v>
      </c>
      <c r="D8801">
        <v>36</v>
      </c>
      <c r="E8801" s="80">
        <v>35685</v>
      </c>
    </row>
    <row r="8802" spans="1:5">
      <c r="A8802">
        <v>10666</v>
      </c>
      <c r="B8802" t="s">
        <v>172</v>
      </c>
      <c r="C8802">
        <v>210.5</v>
      </c>
      <c r="D8802">
        <v>10</v>
      </c>
      <c r="E8802" s="80">
        <v>35685</v>
      </c>
    </row>
    <row r="8803" spans="1:5">
      <c r="A8803">
        <v>10666</v>
      </c>
      <c r="B8803" t="s">
        <v>173</v>
      </c>
      <c r="C8803">
        <v>210.5</v>
      </c>
      <c r="D8803">
        <v>10</v>
      </c>
      <c r="E8803" s="80">
        <v>35685</v>
      </c>
    </row>
    <row r="8804" spans="1:5">
      <c r="A8804">
        <v>10666</v>
      </c>
      <c r="B8804" t="s">
        <v>174</v>
      </c>
      <c r="C8804">
        <v>210.5</v>
      </c>
      <c r="D8804">
        <v>10</v>
      </c>
      <c r="E8804" s="80">
        <v>35685</v>
      </c>
    </row>
    <row r="8805" spans="1:5">
      <c r="A8805">
        <v>10666</v>
      </c>
      <c r="B8805" t="s">
        <v>175</v>
      </c>
      <c r="C8805">
        <v>210.5</v>
      </c>
      <c r="D8805">
        <v>10</v>
      </c>
      <c r="E8805" s="80">
        <v>35685</v>
      </c>
    </row>
    <row r="8806" spans="1:5">
      <c r="A8806">
        <v>10666</v>
      </c>
      <c r="B8806" t="s">
        <v>176</v>
      </c>
      <c r="C8806">
        <v>210.5</v>
      </c>
      <c r="D8806">
        <v>10</v>
      </c>
      <c r="E8806" s="80">
        <v>35685</v>
      </c>
    </row>
    <row r="8807" spans="1:5">
      <c r="A8807">
        <v>10666</v>
      </c>
      <c r="B8807" t="s">
        <v>177</v>
      </c>
      <c r="C8807">
        <v>210.5</v>
      </c>
      <c r="D8807">
        <v>10</v>
      </c>
      <c r="E8807" s="80">
        <v>35685</v>
      </c>
    </row>
    <row r="8808" spans="1:5">
      <c r="A8808">
        <v>10666</v>
      </c>
      <c r="B8808" t="s">
        <v>178</v>
      </c>
      <c r="C8808">
        <v>210.5</v>
      </c>
      <c r="D8808">
        <v>10</v>
      </c>
      <c r="E8808" s="80">
        <v>35685</v>
      </c>
    </row>
    <row r="8809" spans="1:5">
      <c r="A8809">
        <v>10666</v>
      </c>
      <c r="B8809" t="s">
        <v>179</v>
      </c>
      <c r="C8809">
        <v>210.5</v>
      </c>
      <c r="D8809">
        <v>10</v>
      </c>
      <c r="E8809" s="80">
        <v>35685</v>
      </c>
    </row>
    <row r="8810" spans="1:5">
      <c r="A8810">
        <v>10667</v>
      </c>
      <c r="B8810" t="s">
        <v>172</v>
      </c>
      <c r="C8810">
        <v>1295.9999951720238</v>
      </c>
      <c r="D8810">
        <v>45</v>
      </c>
      <c r="E8810" s="80">
        <v>35685</v>
      </c>
    </row>
    <row r="8811" spans="1:5">
      <c r="A8811">
        <v>10667</v>
      </c>
      <c r="B8811" t="s">
        <v>173</v>
      </c>
      <c r="C8811">
        <v>1295.9999951720238</v>
      </c>
      <c r="D8811">
        <v>45</v>
      </c>
      <c r="E8811" s="80">
        <v>35685</v>
      </c>
    </row>
    <row r="8812" spans="1:5">
      <c r="A8812">
        <v>10667</v>
      </c>
      <c r="B8812" t="s">
        <v>174</v>
      </c>
      <c r="C8812">
        <v>1295.9999951720238</v>
      </c>
      <c r="D8812">
        <v>45</v>
      </c>
      <c r="E8812" s="80">
        <v>35685</v>
      </c>
    </row>
    <row r="8813" spans="1:5">
      <c r="A8813">
        <v>10667</v>
      </c>
      <c r="B8813" t="s">
        <v>175</v>
      </c>
      <c r="C8813">
        <v>1295.9999951720238</v>
      </c>
      <c r="D8813">
        <v>45</v>
      </c>
      <c r="E8813" s="80">
        <v>35685</v>
      </c>
    </row>
    <row r="8814" spans="1:5">
      <c r="A8814">
        <v>10667</v>
      </c>
      <c r="B8814" t="s">
        <v>176</v>
      </c>
      <c r="C8814">
        <v>1295.9999951720238</v>
      </c>
      <c r="D8814">
        <v>45</v>
      </c>
      <c r="E8814" s="80">
        <v>35685</v>
      </c>
    </row>
    <row r="8815" spans="1:5">
      <c r="A8815">
        <v>10667</v>
      </c>
      <c r="B8815" t="s">
        <v>177</v>
      </c>
      <c r="C8815">
        <v>1295.9999951720238</v>
      </c>
      <c r="D8815">
        <v>45</v>
      </c>
      <c r="E8815" s="80">
        <v>35685</v>
      </c>
    </row>
    <row r="8816" spans="1:5">
      <c r="A8816">
        <v>10667</v>
      </c>
      <c r="B8816" t="s">
        <v>178</v>
      </c>
      <c r="C8816">
        <v>1295.9999951720238</v>
      </c>
      <c r="D8816">
        <v>45</v>
      </c>
      <c r="E8816" s="80">
        <v>35685</v>
      </c>
    </row>
    <row r="8817" spans="1:5">
      <c r="A8817">
        <v>10667</v>
      </c>
      <c r="B8817" t="s">
        <v>179</v>
      </c>
      <c r="C8817">
        <v>1295.9999951720238</v>
      </c>
      <c r="D8817">
        <v>45</v>
      </c>
      <c r="E8817" s="80">
        <v>35685</v>
      </c>
    </row>
    <row r="8818" spans="1:5">
      <c r="A8818">
        <v>10667</v>
      </c>
      <c r="B8818" t="s">
        <v>172</v>
      </c>
      <c r="C8818">
        <v>240.7999991029501</v>
      </c>
      <c r="D8818">
        <v>14</v>
      </c>
      <c r="E8818" s="80">
        <v>35685</v>
      </c>
    </row>
    <row r="8819" spans="1:5">
      <c r="A8819">
        <v>10667</v>
      </c>
      <c r="B8819" t="s">
        <v>173</v>
      </c>
      <c r="C8819">
        <v>240.7999991029501</v>
      </c>
      <c r="D8819">
        <v>14</v>
      </c>
      <c r="E8819" s="80">
        <v>35685</v>
      </c>
    </row>
    <row r="8820" spans="1:5">
      <c r="A8820">
        <v>10667</v>
      </c>
      <c r="B8820" t="s">
        <v>174</v>
      </c>
      <c r="C8820">
        <v>240.7999991029501</v>
      </c>
      <c r="D8820">
        <v>14</v>
      </c>
      <c r="E8820" s="80">
        <v>35685</v>
      </c>
    </row>
    <row r="8821" spans="1:5">
      <c r="A8821">
        <v>10667</v>
      </c>
      <c r="B8821" t="s">
        <v>175</v>
      </c>
      <c r="C8821">
        <v>240.7999991029501</v>
      </c>
      <c r="D8821">
        <v>14</v>
      </c>
      <c r="E8821" s="80">
        <v>35685</v>
      </c>
    </row>
    <row r="8822" spans="1:5">
      <c r="A8822">
        <v>10667</v>
      </c>
      <c r="B8822" t="s">
        <v>176</v>
      </c>
      <c r="C8822">
        <v>240.7999991029501</v>
      </c>
      <c r="D8822">
        <v>14</v>
      </c>
      <c r="E8822" s="80">
        <v>35685</v>
      </c>
    </row>
    <row r="8823" spans="1:5">
      <c r="A8823">
        <v>10667</v>
      </c>
      <c r="B8823" t="s">
        <v>177</v>
      </c>
      <c r="C8823">
        <v>240.7999991029501</v>
      </c>
      <c r="D8823">
        <v>14</v>
      </c>
      <c r="E8823" s="80">
        <v>35685</v>
      </c>
    </row>
    <row r="8824" spans="1:5">
      <c r="A8824">
        <v>10667</v>
      </c>
      <c r="B8824" t="s">
        <v>178</v>
      </c>
      <c r="C8824">
        <v>240.7999991029501</v>
      </c>
      <c r="D8824">
        <v>14</v>
      </c>
      <c r="E8824" s="80">
        <v>35685</v>
      </c>
    </row>
    <row r="8825" spans="1:5">
      <c r="A8825">
        <v>10667</v>
      </c>
      <c r="B8825" t="s">
        <v>179</v>
      </c>
      <c r="C8825">
        <v>240.7999991029501</v>
      </c>
      <c r="D8825">
        <v>14</v>
      </c>
      <c r="E8825" s="80">
        <v>35685</v>
      </c>
    </row>
    <row r="8826" spans="1:5">
      <c r="A8826">
        <v>10668</v>
      </c>
      <c r="B8826" t="s">
        <v>172</v>
      </c>
      <c r="C8826">
        <v>89.999999850988388</v>
      </c>
      <c r="D8826">
        <v>8</v>
      </c>
      <c r="E8826" s="80">
        <v>35688</v>
      </c>
    </row>
    <row r="8827" spans="1:5">
      <c r="A8827">
        <v>10668</v>
      </c>
      <c r="B8827" t="s">
        <v>173</v>
      </c>
      <c r="C8827">
        <v>89.999999850988388</v>
      </c>
      <c r="D8827">
        <v>8</v>
      </c>
      <c r="E8827" s="80">
        <v>35688</v>
      </c>
    </row>
    <row r="8828" spans="1:5">
      <c r="A8828">
        <v>10668</v>
      </c>
      <c r="B8828" t="s">
        <v>174</v>
      </c>
      <c r="C8828">
        <v>89.999999850988388</v>
      </c>
      <c r="D8828">
        <v>8</v>
      </c>
      <c r="E8828" s="80">
        <v>35688</v>
      </c>
    </row>
    <row r="8829" spans="1:5">
      <c r="A8829">
        <v>10668</v>
      </c>
      <c r="B8829" t="s">
        <v>175</v>
      </c>
      <c r="C8829">
        <v>89.999999850988388</v>
      </c>
      <c r="D8829">
        <v>8</v>
      </c>
      <c r="E8829" s="80">
        <v>35688</v>
      </c>
    </row>
    <row r="8830" spans="1:5">
      <c r="A8830">
        <v>10668</v>
      </c>
      <c r="B8830" t="s">
        <v>176</v>
      </c>
      <c r="C8830">
        <v>89.999999850988388</v>
      </c>
      <c r="D8830">
        <v>8</v>
      </c>
      <c r="E8830" s="80">
        <v>35688</v>
      </c>
    </row>
    <row r="8831" spans="1:5">
      <c r="A8831">
        <v>10668</v>
      </c>
      <c r="B8831" t="s">
        <v>177</v>
      </c>
      <c r="C8831">
        <v>89.999999850988388</v>
      </c>
      <c r="D8831">
        <v>8</v>
      </c>
      <c r="E8831" s="80">
        <v>35688</v>
      </c>
    </row>
    <row r="8832" spans="1:5">
      <c r="A8832">
        <v>10668</v>
      </c>
      <c r="B8832" t="s">
        <v>178</v>
      </c>
      <c r="C8832">
        <v>89.999999850988388</v>
      </c>
      <c r="D8832">
        <v>8</v>
      </c>
      <c r="E8832" s="80">
        <v>35688</v>
      </c>
    </row>
    <row r="8833" spans="1:5">
      <c r="A8833">
        <v>10668</v>
      </c>
      <c r="B8833" t="s">
        <v>179</v>
      </c>
      <c r="C8833">
        <v>89.999999850988388</v>
      </c>
      <c r="D8833">
        <v>8</v>
      </c>
      <c r="E8833" s="80">
        <v>35688</v>
      </c>
    </row>
    <row r="8834" spans="1:5">
      <c r="A8834">
        <v>10668</v>
      </c>
      <c r="B8834" t="s">
        <v>172</v>
      </c>
      <c r="C8834">
        <v>86.399999856948853</v>
      </c>
      <c r="D8834">
        <v>4</v>
      </c>
      <c r="E8834" s="80">
        <v>35688</v>
      </c>
    </row>
    <row r="8835" spans="1:5">
      <c r="A8835">
        <v>10668</v>
      </c>
      <c r="B8835" t="s">
        <v>173</v>
      </c>
      <c r="C8835">
        <v>86.399999856948853</v>
      </c>
      <c r="D8835">
        <v>4</v>
      </c>
      <c r="E8835" s="80">
        <v>35688</v>
      </c>
    </row>
    <row r="8836" spans="1:5">
      <c r="A8836">
        <v>10668</v>
      </c>
      <c r="B8836" t="s">
        <v>174</v>
      </c>
      <c r="C8836">
        <v>86.399999856948853</v>
      </c>
      <c r="D8836">
        <v>4</v>
      </c>
      <c r="E8836" s="80">
        <v>35688</v>
      </c>
    </row>
    <row r="8837" spans="1:5">
      <c r="A8837">
        <v>10668</v>
      </c>
      <c r="B8837" t="s">
        <v>175</v>
      </c>
      <c r="C8837">
        <v>86.399999856948853</v>
      </c>
      <c r="D8837">
        <v>4</v>
      </c>
      <c r="E8837" s="80">
        <v>35688</v>
      </c>
    </row>
    <row r="8838" spans="1:5">
      <c r="A8838">
        <v>10668</v>
      </c>
      <c r="B8838" t="s">
        <v>176</v>
      </c>
      <c r="C8838">
        <v>86.399999856948853</v>
      </c>
      <c r="D8838">
        <v>4</v>
      </c>
      <c r="E8838" s="80">
        <v>35688</v>
      </c>
    </row>
    <row r="8839" spans="1:5">
      <c r="A8839">
        <v>10668</v>
      </c>
      <c r="B8839" t="s">
        <v>177</v>
      </c>
      <c r="C8839">
        <v>86.399999856948853</v>
      </c>
      <c r="D8839">
        <v>4</v>
      </c>
      <c r="E8839" s="80">
        <v>35688</v>
      </c>
    </row>
    <row r="8840" spans="1:5">
      <c r="A8840">
        <v>10668</v>
      </c>
      <c r="B8840" t="s">
        <v>178</v>
      </c>
      <c r="C8840">
        <v>86.399999856948853</v>
      </c>
      <c r="D8840">
        <v>4</v>
      </c>
      <c r="E8840" s="80">
        <v>35688</v>
      </c>
    </row>
    <row r="8841" spans="1:5">
      <c r="A8841">
        <v>10668</v>
      </c>
      <c r="B8841" t="s">
        <v>179</v>
      </c>
      <c r="C8841">
        <v>86.399999856948853</v>
      </c>
      <c r="D8841">
        <v>4</v>
      </c>
      <c r="E8841" s="80">
        <v>35688</v>
      </c>
    </row>
    <row r="8842" spans="1:5">
      <c r="A8842">
        <v>10668</v>
      </c>
      <c r="B8842" t="s">
        <v>172</v>
      </c>
      <c r="C8842">
        <v>448.87499925680459</v>
      </c>
      <c r="D8842">
        <v>15</v>
      </c>
      <c r="E8842" s="80">
        <v>35688</v>
      </c>
    </row>
    <row r="8843" spans="1:5">
      <c r="A8843">
        <v>10668</v>
      </c>
      <c r="B8843" t="s">
        <v>173</v>
      </c>
      <c r="C8843">
        <v>448.87499925680459</v>
      </c>
      <c r="D8843">
        <v>15</v>
      </c>
      <c r="E8843" s="80">
        <v>35688</v>
      </c>
    </row>
    <row r="8844" spans="1:5">
      <c r="A8844">
        <v>10668</v>
      </c>
      <c r="B8844" t="s">
        <v>174</v>
      </c>
      <c r="C8844">
        <v>448.87499925680459</v>
      </c>
      <c r="D8844">
        <v>15</v>
      </c>
      <c r="E8844" s="80">
        <v>35688</v>
      </c>
    </row>
    <row r="8845" spans="1:5">
      <c r="A8845">
        <v>10668</v>
      </c>
      <c r="B8845" t="s">
        <v>175</v>
      </c>
      <c r="C8845">
        <v>448.87499925680459</v>
      </c>
      <c r="D8845">
        <v>15</v>
      </c>
      <c r="E8845" s="80">
        <v>35688</v>
      </c>
    </row>
    <row r="8846" spans="1:5">
      <c r="A8846">
        <v>10668</v>
      </c>
      <c r="B8846" t="s">
        <v>176</v>
      </c>
      <c r="C8846">
        <v>448.87499925680459</v>
      </c>
      <c r="D8846">
        <v>15</v>
      </c>
      <c r="E8846" s="80">
        <v>35688</v>
      </c>
    </row>
    <row r="8847" spans="1:5">
      <c r="A8847">
        <v>10668</v>
      </c>
      <c r="B8847" t="s">
        <v>177</v>
      </c>
      <c r="C8847">
        <v>448.87499925680459</v>
      </c>
      <c r="D8847">
        <v>15</v>
      </c>
      <c r="E8847" s="80">
        <v>35688</v>
      </c>
    </row>
    <row r="8848" spans="1:5">
      <c r="A8848">
        <v>10668</v>
      </c>
      <c r="B8848" t="s">
        <v>178</v>
      </c>
      <c r="C8848">
        <v>448.87499925680459</v>
      </c>
      <c r="D8848">
        <v>15</v>
      </c>
      <c r="E8848" s="80">
        <v>35688</v>
      </c>
    </row>
    <row r="8849" spans="1:5">
      <c r="A8849">
        <v>10668</v>
      </c>
      <c r="B8849" t="s">
        <v>179</v>
      </c>
      <c r="C8849">
        <v>448.87499925680459</v>
      </c>
      <c r="D8849">
        <v>15</v>
      </c>
      <c r="E8849" s="80">
        <v>35688</v>
      </c>
    </row>
    <row r="8850" spans="1:5">
      <c r="A8850">
        <v>10669</v>
      </c>
      <c r="B8850" t="s">
        <v>172</v>
      </c>
      <c r="C8850">
        <v>570</v>
      </c>
      <c r="D8850">
        <v>30</v>
      </c>
      <c r="E8850" s="80">
        <v>35688</v>
      </c>
    </row>
    <row r="8851" spans="1:5">
      <c r="A8851">
        <v>10669</v>
      </c>
      <c r="B8851" t="s">
        <v>173</v>
      </c>
      <c r="C8851">
        <v>570</v>
      </c>
      <c r="D8851">
        <v>30</v>
      </c>
      <c r="E8851" s="80">
        <v>35688</v>
      </c>
    </row>
    <row r="8852" spans="1:5">
      <c r="A8852">
        <v>10669</v>
      </c>
      <c r="B8852" t="s">
        <v>174</v>
      </c>
      <c r="C8852">
        <v>570</v>
      </c>
      <c r="D8852">
        <v>30</v>
      </c>
      <c r="E8852" s="80">
        <v>35688</v>
      </c>
    </row>
    <row r="8853" spans="1:5">
      <c r="A8853">
        <v>10669</v>
      </c>
      <c r="B8853" t="s">
        <v>175</v>
      </c>
      <c r="C8853">
        <v>570</v>
      </c>
      <c r="D8853">
        <v>30</v>
      </c>
      <c r="E8853" s="80">
        <v>35688</v>
      </c>
    </row>
    <row r="8854" spans="1:5">
      <c r="A8854">
        <v>10669</v>
      </c>
      <c r="B8854" t="s">
        <v>176</v>
      </c>
      <c r="C8854">
        <v>570</v>
      </c>
      <c r="D8854">
        <v>30</v>
      </c>
      <c r="E8854" s="80">
        <v>35688</v>
      </c>
    </row>
    <row r="8855" spans="1:5">
      <c r="A8855">
        <v>10669</v>
      </c>
      <c r="B8855" t="s">
        <v>177</v>
      </c>
      <c r="C8855">
        <v>570</v>
      </c>
      <c r="D8855">
        <v>30</v>
      </c>
      <c r="E8855" s="80">
        <v>35688</v>
      </c>
    </row>
    <row r="8856" spans="1:5">
      <c r="A8856">
        <v>10669</v>
      </c>
      <c r="B8856" t="s">
        <v>178</v>
      </c>
      <c r="C8856">
        <v>570</v>
      </c>
      <c r="D8856">
        <v>30</v>
      </c>
      <c r="E8856" s="80">
        <v>35688</v>
      </c>
    </row>
    <row r="8857" spans="1:5">
      <c r="A8857">
        <v>10669</v>
      </c>
      <c r="B8857" t="s">
        <v>179</v>
      </c>
      <c r="C8857">
        <v>570</v>
      </c>
      <c r="D8857">
        <v>30</v>
      </c>
      <c r="E8857" s="80">
        <v>35688</v>
      </c>
    </row>
    <row r="8858" spans="1:5">
      <c r="A8858">
        <v>10670</v>
      </c>
      <c r="B8858" t="s">
        <v>172</v>
      </c>
      <c r="C8858">
        <v>288</v>
      </c>
      <c r="D8858">
        <v>32</v>
      </c>
      <c r="E8858" s="80">
        <v>35689</v>
      </c>
    </row>
    <row r="8859" spans="1:5">
      <c r="A8859">
        <v>10670</v>
      </c>
      <c r="B8859" t="s">
        <v>173</v>
      </c>
      <c r="C8859">
        <v>288</v>
      </c>
      <c r="D8859">
        <v>32</v>
      </c>
      <c r="E8859" s="80">
        <v>35689</v>
      </c>
    </row>
    <row r="8860" spans="1:5">
      <c r="A8860">
        <v>10670</v>
      </c>
      <c r="B8860" t="s">
        <v>174</v>
      </c>
      <c r="C8860">
        <v>288</v>
      </c>
      <c r="D8860">
        <v>32</v>
      </c>
      <c r="E8860" s="80">
        <v>35689</v>
      </c>
    </row>
    <row r="8861" spans="1:5">
      <c r="A8861">
        <v>10670</v>
      </c>
      <c r="B8861" t="s">
        <v>175</v>
      </c>
      <c r="C8861">
        <v>288</v>
      </c>
      <c r="D8861">
        <v>32</v>
      </c>
      <c r="E8861" s="80">
        <v>35689</v>
      </c>
    </row>
    <row r="8862" spans="1:5">
      <c r="A8862">
        <v>10670</v>
      </c>
      <c r="B8862" t="s">
        <v>176</v>
      </c>
      <c r="C8862">
        <v>288</v>
      </c>
      <c r="D8862">
        <v>32</v>
      </c>
      <c r="E8862" s="80">
        <v>35689</v>
      </c>
    </row>
    <row r="8863" spans="1:5">
      <c r="A8863">
        <v>10670</v>
      </c>
      <c r="B8863" t="s">
        <v>177</v>
      </c>
      <c r="C8863">
        <v>288</v>
      </c>
      <c r="D8863">
        <v>32</v>
      </c>
      <c r="E8863" s="80">
        <v>35689</v>
      </c>
    </row>
    <row r="8864" spans="1:5">
      <c r="A8864">
        <v>10670</v>
      </c>
      <c r="B8864" t="s">
        <v>178</v>
      </c>
      <c r="C8864">
        <v>288</v>
      </c>
      <c r="D8864">
        <v>32</v>
      </c>
      <c r="E8864" s="80">
        <v>35689</v>
      </c>
    </row>
    <row r="8865" spans="1:5">
      <c r="A8865">
        <v>10670</v>
      </c>
      <c r="B8865" t="s">
        <v>179</v>
      </c>
      <c r="C8865">
        <v>288</v>
      </c>
      <c r="D8865">
        <v>32</v>
      </c>
      <c r="E8865" s="80">
        <v>35689</v>
      </c>
    </row>
    <row r="8866" spans="1:5">
      <c r="A8866">
        <v>10670</v>
      </c>
      <c r="B8866" t="s">
        <v>172</v>
      </c>
      <c r="C8866">
        <v>720</v>
      </c>
      <c r="D8866">
        <v>60</v>
      </c>
      <c r="E8866" s="80">
        <v>35689</v>
      </c>
    </row>
    <row r="8867" spans="1:5">
      <c r="A8867">
        <v>10670</v>
      </c>
      <c r="B8867" t="s">
        <v>173</v>
      </c>
      <c r="C8867">
        <v>720</v>
      </c>
      <c r="D8867">
        <v>60</v>
      </c>
      <c r="E8867" s="80">
        <v>35689</v>
      </c>
    </row>
    <row r="8868" spans="1:5">
      <c r="A8868">
        <v>10670</v>
      </c>
      <c r="B8868" t="s">
        <v>174</v>
      </c>
      <c r="C8868">
        <v>720</v>
      </c>
      <c r="D8868">
        <v>60</v>
      </c>
      <c r="E8868" s="80">
        <v>35689</v>
      </c>
    </row>
    <row r="8869" spans="1:5">
      <c r="A8869">
        <v>10670</v>
      </c>
      <c r="B8869" t="s">
        <v>175</v>
      </c>
      <c r="C8869">
        <v>720</v>
      </c>
      <c r="D8869">
        <v>60</v>
      </c>
      <c r="E8869" s="80">
        <v>35689</v>
      </c>
    </row>
    <row r="8870" spans="1:5">
      <c r="A8870">
        <v>10670</v>
      </c>
      <c r="B8870" t="s">
        <v>176</v>
      </c>
      <c r="C8870">
        <v>720</v>
      </c>
      <c r="D8870">
        <v>60</v>
      </c>
      <c r="E8870" s="80">
        <v>35689</v>
      </c>
    </row>
    <row r="8871" spans="1:5">
      <c r="A8871">
        <v>10670</v>
      </c>
      <c r="B8871" t="s">
        <v>177</v>
      </c>
      <c r="C8871">
        <v>720</v>
      </c>
      <c r="D8871">
        <v>60</v>
      </c>
      <c r="E8871" s="80">
        <v>35689</v>
      </c>
    </row>
    <row r="8872" spans="1:5">
      <c r="A8872">
        <v>10670</v>
      </c>
      <c r="B8872" t="s">
        <v>178</v>
      </c>
      <c r="C8872">
        <v>720</v>
      </c>
      <c r="D8872">
        <v>60</v>
      </c>
      <c r="E8872" s="80">
        <v>35689</v>
      </c>
    </row>
    <row r="8873" spans="1:5">
      <c r="A8873">
        <v>10670</v>
      </c>
      <c r="B8873" t="s">
        <v>179</v>
      </c>
      <c r="C8873">
        <v>720</v>
      </c>
      <c r="D8873">
        <v>60</v>
      </c>
      <c r="E8873" s="80">
        <v>35689</v>
      </c>
    </row>
    <row r="8874" spans="1:5">
      <c r="A8874">
        <v>10670</v>
      </c>
      <c r="B8874" t="s">
        <v>172</v>
      </c>
      <c r="C8874">
        <v>350</v>
      </c>
      <c r="D8874">
        <v>25</v>
      </c>
      <c r="E8874" s="80">
        <v>35689</v>
      </c>
    </row>
    <row r="8875" spans="1:5">
      <c r="A8875">
        <v>10670</v>
      </c>
      <c r="B8875" t="s">
        <v>173</v>
      </c>
      <c r="C8875">
        <v>350</v>
      </c>
      <c r="D8875">
        <v>25</v>
      </c>
      <c r="E8875" s="80">
        <v>35689</v>
      </c>
    </row>
    <row r="8876" spans="1:5">
      <c r="A8876">
        <v>10670</v>
      </c>
      <c r="B8876" t="s">
        <v>174</v>
      </c>
      <c r="C8876">
        <v>350</v>
      </c>
      <c r="D8876">
        <v>25</v>
      </c>
      <c r="E8876" s="80">
        <v>35689</v>
      </c>
    </row>
    <row r="8877" spans="1:5">
      <c r="A8877">
        <v>10670</v>
      </c>
      <c r="B8877" t="s">
        <v>175</v>
      </c>
      <c r="C8877">
        <v>350</v>
      </c>
      <c r="D8877">
        <v>25</v>
      </c>
      <c r="E8877" s="80">
        <v>35689</v>
      </c>
    </row>
    <row r="8878" spans="1:5">
      <c r="A8878">
        <v>10670</v>
      </c>
      <c r="B8878" t="s">
        <v>176</v>
      </c>
      <c r="C8878">
        <v>350</v>
      </c>
      <c r="D8878">
        <v>25</v>
      </c>
      <c r="E8878" s="80">
        <v>35689</v>
      </c>
    </row>
    <row r="8879" spans="1:5">
      <c r="A8879">
        <v>10670</v>
      </c>
      <c r="B8879" t="s">
        <v>177</v>
      </c>
      <c r="C8879">
        <v>350</v>
      </c>
      <c r="D8879">
        <v>25</v>
      </c>
      <c r="E8879" s="80">
        <v>35689</v>
      </c>
    </row>
    <row r="8880" spans="1:5">
      <c r="A8880">
        <v>10670</v>
      </c>
      <c r="B8880" t="s">
        <v>178</v>
      </c>
      <c r="C8880">
        <v>350</v>
      </c>
      <c r="D8880">
        <v>25</v>
      </c>
      <c r="E8880" s="80">
        <v>35689</v>
      </c>
    </row>
    <row r="8881" spans="1:5">
      <c r="A8881">
        <v>10670</v>
      </c>
      <c r="B8881" t="s">
        <v>179</v>
      </c>
      <c r="C8881">
        <v>350</v>
      </c>
      <c r="D8881">
        <v>25</v>
      </c>
      <c r="E8881" s="80">
        <v>35689</v>
      </c>
    </row>
    <row r="8882" spans="1:5">
      <c r="A8882">
        <v>10670</v>
      </c>
      <c r="B8882" t="s">
        <v>172</v>
      </c>
      <c r="C8882">
        <v>750</v>
      </c>
      <c r="D8882">
        <v>50</v>
      </c>
      <c r="E8882" s="80">
        <v>35689</v>
      </c>
    </row>
    <row r="8883" spans="1:5">
      <c r="A8883">
        <v>10670</v>
      </c>
      <c r="B8883" t="s">
        <v>173</v>
      </c>
      <c r="C8883">
        <v>750</v>
      </c>
      <c r="D8883">
        <v>50</v>
      </c>
      <c r="E8883" s="80">
        <v>35689</v>
      </c>
    </row>
    <row r="8884" spans="1:5">
      <c r="A8884">
        <v>10670</v>
      </c>
      <c r="B8884" t="s">
        <v>174</v>
      </c>
      <c r="C8884">
        <v>750</v>
      </c>
      <c r="D8884">
        <v>50</v>
      </c>
      <c r="E8884" s="80">
        <v>35689</v>
      </c>
    </row>
    <row r="8885" spans="1:5">
      <c r="A8885">
        <v>10670</v>
      </c>
      <c r="B8885" t="s">
        <v>175</v>
      </c>
      <c r="C8885">
        <v>750</v>
      </c>
      <c r="D8885">
        <v>50</v>
      </c>
      <c r="E8885" s="80">
        <v>35689</v>
      </c>
    </row>
    <row r="8886" spans="1:5">
      <c r="A8886">
        <v>10670</v>
      </c>
      <c r="B8886" t="s">
        <v>176</v>
      </c>
      <c r="C8886">
        <v>750</v>
      </c>
      <c r="D8886">
        <v>50</v>
      </c>
      <c r="E8886" s="80">
        <v>35689</v>
      </c>
    </row>
    <row r="8887" spans="1:5">
      <c r="A8887">
        <v>10670</v>
      </c>
      <c r="B8887" t="s">
        <v>177</v>
      </c>
      <c r="C8887">
        <v>750</v>
      </c>
      <c r="D8887">
        <v>50</v>
      </c>
      <c r="E8887" s="80">
        <v>35689</v>
      </c>
    </row>
    <row r="8888" spans="1:5">
      <c r="A8888">
        <v>10670</v>
      </c>
      <c r="B8888" t="s">
        <v>178</v>
      </c>
      <c r="C8888">
        <v>750</v>
      </c>
      <c r="D8888">
        <v>50</v>
      </c>
      <c r="E8888" s="80">
        <v>35689</v>
      </c>
    </row>
    <row r="8889" spans="1:5">
      <c r="A8889">
        <v>10670</v>
      </c>
      <c r="B8889" t="s">
        <v>179</v>
      </c>
      <c r="C8889">
        <v>750</v>
      </c>
      <c r="D8889">
        <v>50</v>
      </c>
      <c r="E8889" s="80">
        <v>35689</v>
      </c>
    </row>
    <row r="8890" spans="1:5">
      <c r="A8890">
        <v>10670</v>
      </c>
      <c r="B8890" t="s">
        <v>172</v>
      </c>
      <c r="C8890">
        <v>193.75</v>
      </c>
      <c r="D8890">
        <v>25</v>
      </c>
      <c r="E8890" s="80">
        <v>35689</v>
      </c>
    </row>
    <row r="8891" spans="1:5">
      <c r="A8891">
        <v>10670</v>
      </c>
      <c r="B8891" t="s">
        <v>173</v>
      </c>
      <c r="C8891">
        <v>193.75</v>
      </c>
      <c r="D8891">
        <v>25</v>
      </c>
      <c r="E8891" s="80">
        <v>35689</v>
      </c>
    </row>
    <row r="8892" spans="1:5">
      <c r="A8892">
        <v>10670</v>
      </c>
      <c r="B8892" t="s">
        <v>174</v>
      </c>
      <c r="C8892">
        <v>193.75</v>
      </c>
      <c r="D8892">
        <v>25</v>
      </c>
      <c r="E8892" s="80">
        <v>35689</v>
      </c>
    </row>
    <row r="8893" spans="1:5">
      <c r="A8893">
        <v>10670</v>
      </c>
      <c r="B8893" t="s">
        <v>175</v>
      </c>
      <c r="C8893">
        <v>193.75</v>
      </c>
      <c r="D8893">
        <v>25</v>
      </c>
      <c r="E8893" s="80">
        <v>35689</v>
      </c>
    </row>
    <row r="8894" spans="1:5">
      <c r="A8894">
        <v>10670</v>
      </c>
      <c r="B8894" t="s">
        <v>176</v>
      </c>
      <c r="C8894">
        <v>193.75</v>
      </c>
      <c r="D8894">
        <v>25</v>
      </c>
      <c r="E8894" s="80">
        <v>35689</v>
      </c>
    </row>
    <row r="8895" spans="1:5">
      <c r="A8895">
        <v>10670</v>
      </c>
      <c r="B8895" t="s">
        <v>177</v>
      </c>
      <c r="C8895">
        <v>193.75</v>
      </c>
      <c r="D8895">
        <v>25</v>
      </c>
      <c r="E8895" s="80">
        <v>35689</v>
      </c>
    </row>
    <row r="8896" spans="1:5">
      <c r="A8896">
        <v>10670</v>
      </c>
      <c r="B8896" t="s">
        <v>178</v>
      </c>
      <c r="C8896">
        <v>193.75</v>
      </c>
      <c r="D8896">
        <v>25</v>
      </c>
      <c r="E8896" s="80">
        <v>35689</v>
      </c>
    </row>
    <row r="8897" spans="1:5">
      <c r="A8897">
        <v>10670</v>
      </c>
      <c r="B8897" t="s">
        <v>179</v>
      </c>
      <c r="C8897">
        <v>193.75</v>
      </c>
      <c r="D8897">
        <v>25</v>
      </c>
      <c r="E8897" s="80">
        <v>35689</v>
      </c>
    </row>
    <row r="8898" spans="1:5">
      <c r="A8898">
        <v>10671</v>
      </c>
      <c r="B8898" t="s">
        <v>172</v>
      </c>
      <c r="C8898">
        <v>174.5</v>
      </c>
      <c r="D8898">
        <v>10</v>
      </c>
      <c r="E8898" s="80">
        <v>35690</v>
      </c>
    </row>
    <row r="8899" spans="1:5">
      <c r="A8899">
        <v>10671</v>
      </c>
      <c r="B8899" t="s">
        <v>173</v>
      </c>
      <c r="C8899">
        <v>174.5</v>
      </c>
      <c r="D8899">
        <v>10</v>
      </c>
      <c r="E8899" s="80">
        <v>35690</v>
      </c>
    </row>
    <row r="8900" spans="1:5">
      <c r="A8900">
        <v>10671</v>
      </c>
      <c r="B8900" t="s">
        <v>174</v>
      </c>
      <c r="C8900">
        <v>174.5</v>
      </c>
      <c r="D8900">
        <v>10</v>
      </c>
      <c r="E8900" s="80">
        <v>35690</v>
      </c>
    </row>
    <row r="8901" spans="1:5">
      <c r="A8901">
        <v>10671</v>
      </c>
      <c r="B8901" t="s">
        <v>175</v>
      </c>
      <c r="C8901">
        <v>174.5</v>
      </c>
      <c r="D8901">
        <v>10</v>
      </c>
      <c r="E8901" s="80">
        <v>35690</v>
      </c>
    </row>
    <row r="8902" spans="1:5">
      <c r="A8902">
        <v>10671</v>
      </c>
      <c r="B8902" t="s">
        <v>176</v>
      </c>
      <c r="C8902">
        <v>174.5</v>
      </c>
      <c r="D8902">
        <v>10</v>
      </c>
      <c r="E8902" s="80">
        <v>35690</v>
      </c>
    </row>
    <row r="8903" spans="1:5">
      <c r="A8903">
        <v>10671</v>
      </c>
      <c r="B8903" t="s">
        <v>177</v>
      </c>
      <c r="C8903">
        <v>174.5</v>
      </c>
      <c r="D8903">
        <v>10</v>
      </c>
      <c r="E8903" s="80">
        <v>35690</v>
      </c>
    </row>
    <row r="8904" spans="1:5">
      <c r="A8904">
        <v>10671</v>
      </c>
      <c r="B8904" t="s">
        <v>178</v>
      </c>
      <c r="C8904">
        <v>174.5</v>
      </c>
      <c r="D8904">
        <v>10</v>
      </c>
      <c r="E8904" s="80">
        <v>35690</v>
      </c>
    </row>
    <row r="8905" spans="1:5">
      <c r="A8905">
        <v>10671</v>
      </c>
      <c r="B8905" t="s">
        <v>179</v>
      </c>
      <c r="C8905">
        <v>174.5</v>
      </c>
      <c r="D8905">
        <v>10</v>
      </c>
      <c r="E8905" s="80">
        <v>35690</v>
      </c>
    </row>
    <row r="8906" spans="1:5">
      <c r="A8906">
        <v>10671</v>
      </c>
      <c r="B8906" t="s">
        <v>172</v>
      </c>
      <c r="C8906">
        <v>493</v>
      </c>
      <c r="D8906">
        <v>10</v>
      </c>
      <c r="E8906" s="80">
        <v>35690</v>
      </c>
    </row>
    <row r="8907" spans="1:5">
      <c r="A8907">
        <v>10671</v>
      </c>
      <c r="B8907" t="s">
        <v>173</v>
      </c>
      <c r="C8907">
        <v>493</v>
      </c>
      <c r="D8907">
        <v>10</v>
      </c>
      <c r="E8907" s="80">
        <v>35690</v>
      </c>
    </row>
    <row r="8908" spans="1:5">
      <c r="A8908">
        <v>10671</v>
      </c>
      <c r="B8908" t="s">
        <v>174</v>
      </c>
      <c r="C8908">
        <v>493</v>
      </c>
      <c r="D8908">
        <v>10</v>
      </c>
      <c r="E8908" s="80">
        <v>35690</v>
      </c>
    </row>
    <row r="8909" spans="1:5">
      <c r="A8909">
        <v>10671</v>
      </c>
      <c r="B8909" t="s">
        <v>175</v>
      </c>
      <c r="C8909">
        <v>493</v>
      </c>
      <c r="D8909">
        <v>10</v>
      </c>
      <c r="E8909" s="80">
        <v>35690</v>
      </c>
    </row>
    <row r="8910" spans="1:5">
      <c r="A8910">
        <v>10671</v>
      </c>
      <c r="B8910" t="s">
        <v>176</v>
      </c>
      <c r="C8910">
        <v>493</v>
      </c>
      <c r="D8910">
        <v>10</v>
      </c>
      <c r="E8910" s="80">
        <v>35690</v>
      </c>
    </row>
    <row r="8911" spans="1:5">
      <c r="A8911">
        <v>10671</v>
      </c>
      <c r="B8911" t="s">
        <v>177</v>
      </c>
      <c r="C8911">
        <v>493</v>
      </c>
      <c r="D8911">
        <v>10</v>
      </c>
      <c r="E8911" s="80">
        <v>35690</v>
      </c>
    </row>
    <row r="8912" spans="1:5">
      <c r="A8912">
        <v>10671</v>
      </c>
      <c r="B8912" t="s">
        <v>178</v>
      </c>
      <c r="C8912">
        <v>493</v>
      </c>
      <c r="D8912">
        <v>10</v>
      </c>
      <c r="E8912" s="80">
        <v>35690</v>
      </c>
    </row>
    <row r="8913" spans="1:5">
      <c r="A8913">
        <v>10671</v>
      </c>
      <c r="B8913" t="s">
        <v>179</v>
      </c>
      <c r="C8913">
        <v>493</v>
      </c>
      <c r="D8913">
        <v>10</v>
      </c>
      <c r="E8913" s="80">
        <v>35690</v>
      </c>
    </row>
    <row r="8914" spans="1:5">
      <c r="A8914">
        <v>10671</v>
      </c>
      <c r="B8914" t="s">
        <v>172</v>
      </c>
      <c r="C8914">
        <v>252.6</v>
      </c>
      <c r="D8914">
        <v>12</v>
      </c>
      <c r="E8914" s="80">
        <v>35690</v>
      </c>
    </row>
    <row r="8915" spans="1:5">
      <c r="A8915">
        <v>10671</v>
      </c>
      <c r="B8915" t="s">
        <v>173</v>
      </c>
      <c r="C8915">
        <v>252.6</v>
      </c>
      <c r="D8915">
        <v>12</v>
      </c>
      <c r="E8915" s="80">
        <v>35690</v>
      </c>
    </row>
    <row r="8916" spans="1:5">
      <c r="A8916">
        <v>10671</v>
      </c>
      <c r="B8916" t="s">
        <v>174</v>
      </c>
      <c r="C8916">
        <v>252.6</v>
      </c>
      <c r="D8916">
        <v>12</v>
      </c>
      <c r="E8916" s="80">
        <v>35690</v>
      </c>
    </row>
    <row r="8917" spans="1:5">
      <c r="A8917">
        <v>10671</v>
      </c>
      <c r="B8917" t="s">
        <v>175</v>
      </c>
      <c r="C8917">
        <v>252.6</v>
      </c>
      <c r="D8917">
        <v>12</v>
      </c>
      <c r="E8917" s="80">
        <v>35690</v>
      </c>
    </row>
    <row r="8918" spans="1:5">
      <c r="A8918">
        <v>10671</v>
      </c>
      <c r="B8918" t="s">
        <v>176</v>
      </c>
      <c r="C8918">
        <v>252.6</v>
      </c>
      <c r="D8918">
        <v>12</v>
      </c>
      <c r="E8918" s="80">
        <v>35690</v>
      </c>
    </row>
    <row r="8919" spans="1:5">
      <c r="A8919">
        <v>10671</v>
      </c>
      <c r="B8919" t="s">
        <v>177</v>
      </c>
      <c r="C8919">
        <v>252.6</v>
      </c>
      <c r="D8919">
        <v>12</v>
      </c>
      <c r="E8919" s="80">
        <v>35690</v>
      </c>
    </row>
    <row r="8920" spans="1:5">
      <c r="A8920">
        <v>10671</v>
      </c>
      <c r="B8920" t="s">
        <v>178</v>
      </c>
      <c r="C8920">
        <v>252.6</v>
      </c>
      <c r="D8920">
        <v>12</v>
      </c>
      <c r="E8920" s="80">
        <v>35690</v>
      </c>
    </row>
    <row r="8921" spans="1:5">
      <c r="A8921">
        <v>10671</v>
      </c>
      <c r="B8921" t="s">
        <v>179</v>
      </c>
      <c r="C8921">
        <v>252.6</v>
      </c>
      <c r="D8921">
        <v>12</v>
      </c>
      <c r="E8921" s="80">
        <v>35690</v>
      </c>
    </row>
    <row r="8922" spans="1:5">
      <c r="A8922">
        <v>10672</v>
      </c>
      <c r="B8922" t="s">
        <v>172</v>
      </c>
      <c r="C8922">
        <v>3557.249994110316</v>
      </c>
      <c r="D8922">
        <v>15</v>
      </c>
      <c r="E8922" s="80">
        <v>35690</v>
      </c>
    </row>
    <row r="8923" spans="1:5">
      <c r="A8923">
        <v>10672</v>
      </c>
      <c r="B8923" t="s">
        <v>173</v>
      </c>
      <c r="C8923">
        <v>3557.249994110316</v>
      </c>
      <c r="D8923">
        <v>15</v>
      </c>
      <c r="E8923" s="80">
        <v>35690</v>
      </c>
    </row>
    <row r="8924" spans="1:5">
      <c r="A8924">
        <v>10672</v>
      </c>
      <c r="B8924" t="s">
        <v>174</v>
      </c>
      <c r="C8924">
        <v>3557.249994110316</v>
      </c>
      <c r="D8924">
        <v>15</v>
      </c>
      <c r="E8924" s="80">
        <v>35690</v>
      </c>
    </row>
    <row r="8925" spans="1:5">
      <c r="A8925">
        <v>10672</v>
      </c>
      <c r="B8925" t="s">
        <v>175</v>
      </c>
      <c r="C8925">
        <v>3557.249994110316</v>
      </c>
      <c r="D8925">
        <v>15</v>
      </c>
      <c r="E8925" s="80">
        <v>35690</v>
      </c>
    </row>
    <row r="8926" spans="1:5">
      <c r="A8926">
        <v>10672</v>
      </c>
      <c r="B8926" t="s">
        <v>176</v>
      </c>
      <c r="C8926">
        <v>3557.249994110316</v>
      </c>
      <c r="D8926">
        <v>15</v>
      </c>
      <c r="E8926" s="80">
        <v>35690</v>
      </c>
    </row>
    <row r="8927" spans="1:5">
      <c r="A8927">
        <v>10672</v>
      </c>
      <c r="B8927" t="s">
        <v>177</v>
      </c>
      <c r="C8927">
        <v>3557.249994110316</v>
      </c>
      <c r="D8927">
        <v>15</v>
      </c>
      <c r="E8927" s="80">
        <v>35690</v>
      </c>
    </row>
    <row r="8928" spans="1:5">
      <c r="A8928">
        <v>10672</v>
      </c>
      <c r="B8928" t="s">
        <v>178</v>
      </c>
      <c r="C8928">
        <v>3557.249994110316</v>
      </c>
      <c r="D8928">
        <v>15</v>
      </c>
      <c r="E8928" s="80">
        <v>35690</v>
      </c>
    </row>
    <row r="8929" spans="1:5">
      <c r="A8929">
        <v>10672</v>
      </c>
      <c r="B8929" t="s">
        <v>179</v>
      </c>
      <c r="C8929">
        <v>3557.249994110316</v>
      </c>
      <c r="D8929">
        <v>15</v>
      </c>
      <c r="E8929" s="80">
        <v>35690</v>
      </c>
    </row>
    <row r="8930" spans="1:5">
      <c r="A8930">
        <v>10672</v>
      </c>
      <c r="B8930" t="s">
        <v>172</v>
      </c>
      <c r="C8930">
        <v>258</v>
      </c>
      <c r="D8930">
        <v>12</v>
      </c>
      <c r="E8930" s="80">
        <v>35690</v>
      </c>
    </row>
    <row r="8931" spans="1:5">
      <c r="A8931">
        <v>10672</v>
      </c>
      <c r="B8931" t="s">
        <v>173</v>
      </c>
      <c r="C8931">
        <v>258</v>
      </c>
      <c r="D8931">
        <v>12</v>
      </c>
      <c r="E8931" s="80">
        <v>35690</v>
      </c>
    </row>
    <row r="8932" spans="1:5">
      <c r="A8932">
        <v>10672</v>
      </c>
      <c r="B8932" t="s">
        <v>174</v>
      </c>
      <c r="C8932">
        <v>258</v>
      </c>
      <c r="D8932">
        <v>12</v>
      </c>
      <c r="E8932" s="80">
        <v>35690</v>
      </c>
    </row>
    <row r="8933" spans="1:5">
      <c r="A8933">
        <v>10672</v>
      </c>
      <c r="B8933" t="s">
        <v>175</v>
      </c>
      <c r="C8933">
        <v>258</v>
      </c>
      <c r="D8933">
        <v>12</v>
      </c>
      <c r="E8933" s="80">
        <v>35690</v>
      </c>
    </row>
    <row r="8934" spans="1:5">
      <c r="A8934">
        <v>10672</v>
      </c>
      <c r="B8934" t="s">
        <v>176</v>
      </c>
      <c r="C8934">
        <v>258</v>
      </c>
      <c r="D8934">
        <v>12</v>
      </c>
      <c r="E8934" s="80">
        <v>35690</v>
      </c>
    </row>
    <row r="8935" spans="1:5">
      <c r="A8935">
        <v>10672</v>
      </c>
      <c r="B8935" t="s">
        <v>177</v>
      </c>
      <c r="C8935">
        <v>258</v>
      </c>
      <c r="D8935">
        <v>12</v>
      </c>
      <c r="E8935" s="80">
        <v>35690</v>
      </c>
    </row>
    <row r="8936" spans="1:5">
      <c r="A8936">
        <v>10672</v>
      </c>
      <c r="B8936" t="s">
        <v>178</v>
      </c>
      <c r="C8936">
        <v>258</v>
      </c>
      <c r="D8936">
        <v>12</v>
      </c>
      <c r="E8936" s="80">
        <v>35690</v>
      </c>
    </row>
    <row r="8937" spans="1:5">
      <c r="A8937">
        <v>10672</v>
      </c>
      <c r="B8937" t="s">
        <v>179</v>
      </c>
      <c r="C8937">
        <v>258</v>
      </c>
      <c r="D8937">
        <v>12</v>
      </c>
      <c r="E8937" s="80">
        <v>35690</v>
      </c>
    </row>
    <row r="8938" spans="1:5">
      <c r="A8938">
        <v>10673</v>
      </c>
      <c r="B8938" t="s">
        <v>172</v>
      </c>
      <c r="C8938">
        <v>52.35</v>
      </c>
      <c r="D8938">
        <v>3</v>
      </c>
      <c r="E8938" s="80">
        <v>35691</v>
      </c>
    </row>
    <row r="8939" spans="1:5">
      <c r="A8939">
        <v>10673</v>
      </c>
      <c r="B8939" t="s">
        <v>173</v>
      </c>
      <c r="C8939">
        <v>52.35</v>
      </c>
      <c r="D8939">
        <v>3</v>
      </c>
      <c r="E8939" s="80">
        <v>35691</v>
      </c>
    </row>
    <row r="8940" spans="1:5">
      <c r="A8940">
        <v>10673</v>
      </c>
      <c r="B8940" t="s">
        <v>174</v>
      </c>
      <c r="C8940">
        <v>52.35</v>
      </c>
      <c r="D8940">
        <v>3</v>
      </c>
      <c r="E8940" s="80">
        <v>35691</v>
      </c>
    </row>
    <row r="8941" spans="1:5">
      <c r="A8941">
        <v>10673</v>
      </c>
      <c r="B8941" t="s">
        <v>175</v>
      </c>
      <c r="C8941">
        <v>52.35</v>
      </c>
      <c r="D8941">
        <v>3</v>
      </c>
      <c r="E8941" s="80">
        <v>35691</v>
      </c>
    </row>
    <row r="8942" spans="1:5">
      <c r="A8942">
        <v>10673</v>
      </c>
      <c r="B8942" t="s">
        <v>176</v>
      </c>
      <c r="C8942">
        <v>52.35</v>
      </c>
      <c r="D8942">
        <v>3</v>
      </c>
      <c r="E8942" s="80">
        <v>35691</v>
      </c>
    </row>
    <row r="8943" spans="1:5">
      <c r="A8943">
        <v>10673</v>
      </c>
      <c r="B8943" t="s">
        <v>177</v>
      </c>
      <c r="C8943">
        <v>52.35</v>
      </c>
      <c r="D8943">
        <v>3</v>
      </c>
      <c r="E8943" s="80">
        <v>35691</v>
      </c>
    </row>
    <row r="8944" spans="1:5">
      <c r="A8944">
        <v>10673</v>
      </c>
      <c r="B8944" t="s">
        <v>178</v>
      </c>
      <c r="C8944">
        <v>52.35</v>
      </c>
      <c r="D8944">
        <v>3</v>
      </c>
      <c r="E8944" s="80">
        <v>35691</v>
      </c>
    </row>
    <row r="8945" spans="1:5">
      <c r="A8945">
        <v>10673</v>
      </c>
      <c r="B8945" t="s">
        <v>179</v>
      </c>
      <c r="C8945">
        <v>52.35</v>
      </c>
      <c r="D8945">
        <v>3</v>
      </c>
      <c r="E8945" s="80">
        <v>35691</v>
      </c>
    </row>
    <row r="8946" spans="1:5">
      <c r="A8946">
        <v>10673</v>
      </c>
      <c r="B8946" t="s">
        <v>172</v>
      </c>
      <c r="C8946">
        <v>84</v>
      </c>
      <c r="D8946">
        <v>6</v>
      </c>
      <c r="E8946" s="80">
        <v>35691</v>
      </c>
    </row>
    <row r="8947" spans="1:5">
      <c r="A8947">
        <v>10673</v>
      </c>
      <c r="B8947" t="s">
        <v>173</v>
      </c>
      <c r="C8947">
        <v>84</v>
      </c>
      <c r="D8947">
        <v>6</v>
      </c>
      <c r="E8947" s="80">
        <v>35691</v>
      </c>
    </row>
    <row r="8948" spans="1:5">
      <c r="A8948">
        <v>10673</v>
      </c>
      <c r="B8948" t="s">
        <v>174</v>
      </c>
      <c r="C8948">
        <v>84</v>
      </c>
      <c r="D8948">
        <v>6</v>
      </c>
      <c r="E8948" s="80">
        <v>35691</v>
      </c>
    </row>
    <row r="8949" spans="1:5">
      <c r="A8949">
        <v>10673</v>
      </c>
      <c r="B8949" t="s">
        <v>175</v>
      </c>
      <c r="C8949">
        <v>84</v>
      </c>
      <c r="D8949">
        <v>6</v>
      </c>
      <c r="E8949" s="80">
        <v>35691</v>
      </c>
    </row>
    <row r="8950" spans="1:5">
      <c r="A8950">
        <v>10673</v>
      </c>
      <c r="B8950" t="s">
        <v>176</v>
      </c>
      <c r="C8950">
        <v>84</v>
      </c>
      <c r="D8950">
        <v>6</v>
      </c>
      <c r="E8950" s="80">
        <v>35691</v>
      </c>
    </row>
    <row r="8951" spans="1:5">
      <c r="A8951">
        <v>10673</v>
      </c>
      <c r="B8951" t="s">
        <v>177</v>
      </c>
      <c r="C8951">
        <v>84</v>
      </c>
      <c r="D8951">
        <v>6</v>
      </c>
      <c r="E8951" s="80">
        <v>35691</v>
      </c>
    </row>
    <row r="8952" spans="1:5">
      <c r="A8952">
        <v>10673</v>
      </c>
      <c r="B8952" t="s">
        <v>178</v>
      </c>
      <c r="C8952">
        <v>84</v>
      </c>
      <c r="D8952">
        <v>6</v>
      </c>
      <c r="E8952" s="80">
        <v>35691</v>
      </c>
    </row>
    <row r="8953" spans="1:5">
      <c r="A8953">
        <v>10673</v>
      </c>
      <c r="B8953" t="s">
        <v>179</v>
      </c>
      <c r="C8953">
        <v>84</v>
      </c>
      <c r="D8953">
        <v>6</v>
      </c>
      <c r="E8953" s="80">
        <v>35691</v>
      </c>
    </row>
    <row r="8954" spans="1:5">
      <c r="A8954">
        <v>10673</v>
      </c>
      <c r="B8954" t="s">
        <v>172</v>
      </c>
      <c r="C8954">
        <v>276</v>
      </c>
      <c r="D8954">
        <v>6</v>
      </c>
      <c r="E8954" s="80">
        <v>35691</v>
      </c>
    </row>
    <row r="8955" spans="1:5">
      <c r="A8955">
        <v>10673</v>
      </c>
      <c r="B8955" t="s">
        <v>173</v>
      </c>
      <c r="C8955">
        <v>276</v>
      </c>
      <c r="D8955">
        <v>6</v>
      </c>
      <c r="E8955" s="80">
        <v>35691</v>
      </c>
    </row>
    <row r="8956" spans="1:5">
      <c r="A8956">
        <v>10673</v>
      </c>
      <c r="B8956" t="s">
        <v>174</v>
      </c>
      <c r="C8956">
        <v>276</v>
      </c>
      <c r="D8956">
        <v>6</v>
      </c>
      <c r="E8956" s="80">
        <v>35691</v>
      </c>
    </row>
    <row r="8957" spans="1:5">
      <c r="A8957">
        <v>10673</v>
      </c>
      <c r="B8957" t="s">
        <v>175</v>
      </c>
      <c r="C8957">
        <v>276</v>
      </c>
      <c r="D8957">
        <v>6</v>
      </c>
      <c r="E8957" s="80">
        <v>35691</v>
      </c>
    </row>
    <row r="8958" spans="1:5">
      <c r="A8958">
        <v>10673</v>
      </c>
      <c r="B8958" t="s">
        <v>176</v>
      </c>
      <c r="C8958">
        <v>276</v>
      </c>
      <c r="D8958">
        <v>6</v>
      </c>
      <c r="E8958" s="80">
        <v>35691</v>
      </c>
    </row>
    <row r="8959" spans="1:5">
      <c r="A8959">
        <v>10673</v>
      </c>
      <c r="B8959" t="s">
        <v>177</v>
      </c>
      <c r="C8959">
        <v>276</v>
      </c>
      <c r="D8959">
        <v>6</v>
      </c>
      <c r="E8959" s="80">
        <v>35691</v>
      </c>
    </row>
    <row r="8960" spans="1:5">
      <c r="A8960">
        <v>10673</v>
      </c>
      <c r="B8960" t="s">
        <v>178</v>
      </c>
      <c r="C8960">
        <v>276</v>
      </c>
      <c r="D8960">
        <v>6</v>
      </c>
      <c r="E8960" s="80">
        <v>35691</v>
      </c>
    </row>
    <row r="8961" spans="1:5">
      <c r="A8961">
        <v>10673</v>
      </c>
      <c r="B8961" t="s">
        <v>179</v>
      </c>
      <c r="C8961">
        <v>276</v>
      </c>
      <c r="D8961">
        <v>6</v>
      </c>
      <c r="E8961" s="80">
        <v>35691</v>
      </c>
    </row>
    <row r="8962" spans="1:5">
      <c r="A8962">
        <v>10674</v>
      </c>
      <c r="B8962" t="s">
        <v>172</v>
      </c>
      <c r="C8962">
        <v>45</v>
      </c>
      <c r="D8962">
        <v>5</v>
      </c>
      <c r="E8962" s="80">
        <v>35691</v>
      </c>
    </row>
    <row r="8963" spans="1:5">
      <c r="A8963">
        <v>10674</v>
      </c>
      <c r="B8963" t="s">
        <v>173</v>
      </c>
      <c r="C8963">
        <v>45</v>
      </c>
      <c r="D8963">
        <v>5</v>
      </c>
      <c r="E8963" s="80">
        <v>35691</v>
      </c>
    </row>
    <row r="8964" spans="1:5">
      <c r="A8964">
        <v>10674</v>
      </c>
      <c r="B8964" t="s">
        <v>174</v>
      </c>
      <c r="C8964">
        <v>45</v>
      </c>
      <c r="D8964">
        <v>5</v>
      </c>
      <c r="E8964" s="80">
        <v>35691</v>
      </c>
    </row>
    <row r="8965" spans="1:5">
      <c r="A8965">
        <v>10674</v>
      </c>
      <c r="B8965" t="s">
        <v>175</v>
      </c>
      <c r="C8965">
        <v>45</v>
      </c>
      <c r="D8965">
        <v>5</v>
      </c>
      <c r="E8965" s="80">
        <v>35691</v>
      </c>
    </row>
    <row r="8966" spans="1:5">
      <c r="A8966">
        <v>10674</v>
      </c>
      <c r="B8966" t="s">
        <v>176</v>
      </c>
      <c r="C8966">
        <v>45</v>
      </c>
      <c r="D8966">
        <v>5</v>
      </c>
      <c r="E8966" s="80">
        <v>35691</v>
      </c>
    </row>
    <row r="8967" spans="1:5">
      <c r="A8967">
        <v>10674</v>
      </c>
      <c r="B8967" t="s">
        <v>177</v>
      </c>
      <c r="C8967">
        <v>45</v>
      </c>
      <c r="D8967">
        <v>5</v>
      </c>
      <c r="E8967" s="80">
        <v>35691</v>
      </c>
    </row>
    <row r="8968" spans="1:5">
      <c r="A8968">
        <v>10674</v>
      </c>
      <c r="B8968" t="s">
        <v>178</v>
      </c>
      <c r="C8968">
        <v>45</v>
      </c>
      <c r="D8968">
        <v>5</v>
      </c>
      <c r="E8968" s="80">
        <v>35691</v>
      </c>
    </row>
    <row r="8969" spans="1:5">
      <c r="A8969">
        <v>10674</v>
      </c>
      <c r="B8969" t="s">
        <v>179</v>
      </c>
      <c r="C8969">
        <v>45</v>
      </c>
      <c r="D8969">
        <v>5</v>
      </c>
      <c r="E8969" s="80">
        <v>35691</v>
      </c>
    </row>
    <row r="8970" spans="1:5">
      <c r="A8970">
        <v>10675</v>
      </c>
      <c r="B8970" t="s">
        <v>172</v>
      </c>
      <c r="C8970">
        <v>697.5</v>
      </c>
      <c r="D8970">
        <v>30</v>
      </c>
      <c r="E8970" s="80">
        <v>35692</v>
      </c>
    </row>
    <row r="8971" spans="1:5">
      <c r="A8971">
        <v>10675</v>
      </c>
      <c r="B8971" t="s">
        <v>173</v>
      </c>
      <c r="C8971">
        <v>697.5</v>
      </c>
      <c r="D8971">
        <v>30</v>
      </c>
      <c r="E8971" s="80">
        <v>35692</v>
      </c>
    </row>
    <row r="8972" spans="1:5">
      <c r="A8972">
        <v>10675</v>
      </c>
      <c r="B8972" t="s">
        <v>174</v>
      </c>
      <c r="C8972">
        <v>697.5</v>
      </c>
      <c r="D8972">
        <v>30</v>
      </c>
      <c r="E8972" s="80">
        <v>35692</v>
      </c>
    </row>
    <row r="8973" spans="1:5">
      <c r="A8973">
        <v>10675</v>
      </c>
      <c r="B8973" t="s">
        <v>175</v>
      </c>
      <c r="C8973">
        <v>697.5</v>
      </c>
      <c r="D8973">
        <v>30</v>
      </c>
      <c r="E8973" s="80">
        <v>35692</v>
      </c>
    </row>
    <row r="8974" spans="1:5">
      <c r="A8974">
        <v>10675</v>
      </c>
      <c r="B8974" t="s">
        <v>176</v>
      </c>
      <c r="C8974">
        <v>697.5</v>
      </c>
      <c r="D8974">
        <v>30</v>
      </c>
      <c r="E8974" s="80">
        <v>35692</v>
      </c>
    </row>
    <row r="8975" spans="1:5">
      <c r="A8975">
        <v>10675</v>
      </c>
      <c r="B8975" t="s">
        <v>177</v>
      </c>
      <c r="C8975">
        <v>697.5</v>
      </c>
      <c r="D8975">
        <v>30</v>
      </c>
      <c r="E8975" s="80">
        <v>35692</v>
      </c>
    </row>
    <row r="8976" spans="1:5">
      <c r="A8976">
        <v>10675</v>
      </c>
      <c r="B8976" t="s">
        <v>178</v>
      </c>
      <c r="C8976">
        <v>697.5</v>
      </c>
      <c r="D8976">
        <v>30</v>
      </c>
      <c r="E8976" s="80">
        <v>35692</v>
      </c>
    </row>
    <row r="8977" spans="1:5">
      <c r="A8977">
        <v>10675</v>
      </c>
      <c r="B8977" t="s">
        <v>179</v>
      </c>
      <c r="C8977">
        <v>697.5</v>
      </c>
      <c r="D8977">
        <v>30</v>
      </c>
      <c r="E8977" s="80">
        <v>35692</v>
      </c>
    </row>
    <row r="8978" spans="1:5">
      <c r="A8978">
        <v>10675</v>
      </c>
      <c r="B8978" t="s">
        <v>172</v>
      </c>
      <c r="C8978">
        <v>328</v>
      </c>
      <c r="D8978">
        <v>10</v>
      </c>
      <c r="E8978" s="80">
        <v>35692</v>
      </c>
    </row>
    <row r="8979" spans="1:5">
      <c r="A8979">
        <v>10675</v>
      </c>
      <c r="B8979" t="s">
        <v>173</v>
      </c>
      <c r="C8979">
        <v>328</v>
      </c>
      <c r="D8979">
        <v>10</v>
      </c>
      <c r="E8979" s="80">
        <v>35692</v>
      </c>
    </row>
    <row r="8980" spans="1:5">
      <c r="A8980">
        <v>10675</v>
      </c>
      <c r="B8980" t="s">
        <v>174</v>
      </c>
      <c r="C8980">
        <v>328</v>
      </c>
      <c r="D8980">
        <v>10</v>
      </c>
      <c r="E8980" s="80">
        <v>35692</v>
      </c>
    </row>
    <row r="8981" spans="1:5">
      <c r="A8981">
        <v>10675</v>
      </c>
      <c r="B8981" t="s">
        <v>175</v>
      </c>
      <c r="C8981">
        <v>328</v>
      </c>
      <c r="D8981">
        <v>10</v>
      </c>
      <c r="E8981" s="80">
        <v>35692</v>
      </c>
    </row>
    <row r="8982" spans="1:5">
      <c r="A8982">
        <v>10675</v>
      </c>
      <c r="B8982" t="s">
        <v>176</v>
      </c>
      <c r="C8982">
        <v>328</v>
      </c>
      <c r="D8982">
        <v>10</v>
      </c>
      <c r="E8982" s="80">
        <v>35692</v>
      </c>
    </row>
    <row r="8983" spans="1:5">
      <c r="A8983">
        <v>10675</v>
      </c>
      <c r="B8983" t="s">
        <v>177</v>
      </c>
      <c r="C8983">
        <v>328</v>
      </c>
      <c r="D8983">
        <v>10</v>
      </c>
      <c r="E8983" s="80">
        <v>35692</v>
      </c>
    </row>
    <row r="8984" spans="1:5">
      <c r="A8984">
        <v>10675</v>
      </c>
      <c r="B8984" t="s">
        <v>178</v>
      </c>
      <c r="C8984">
        <v>328</v>
      </c>
      <c r="D8984">
        <v>10</v>
      </c>
      <c r="E8984" s="80">
        <v>35692</v>
      </c>
    </row>
    <row r="8985" spans="1:5">
      <c r="A8985">
        <v>10675</v>
      </c>
      <c r="B8985" t="s">
        <v>179</v>
      </c>
      <c r="C8985">
        <v>328</v>
      </c>
      <c r="D8985">
        <v>10</v>
      </c>
      <c r="E8985" s="80">
        <v>35692</v>
      </c>
    </row>
    <row r="8986" spans="1:5">
      <c r="A8986">
        <v>10675</v>
      </c>
      <c r="B8986" t="s">
        <v>172</v>
      </c>
      <c r="C8986">
        <v>397.5</v>
      </c>
      <c r="D8986">
        <v>30</v>
      </c>
      <c r="E8986" s="80">
        <v>35692</v>
      </c>
    </row>
    <row r="8987" spans="1:5">
      <c r="A8987">
        <v>10675</v>
      </c>
      <c r="B8987" t="s">
        <v>173</v>
      </c>
      <c r="C8987">
        <v>397.5</v>
      </c>
      <c r="D8987">
        <v>30</v>
      </c>
      <c r="E8987" s="80">
        <v>35692</v>
      </c>
    </row>
    <row r="8988" spans="1:5">
      <c r="A8988">
        <v>10675</v>
      </c>
      <c r="B8988" t="s">
        <v>174</v>
      </c>
      <c r="C8988">
        <v>397.5</v>
      </c>
      <c r="D8988">
        <v>30</v>
      </c>
      <c r="E8988" s="80">
        <v>35692</v>
      </c>
    </row>
    <row r="8989" spans="1:5">
      <c r="A8989">
        <v>10675</v>
      </c>
      <c r="B8989" t="s">
        <v>175</v>
      </c>
      <c r="C8989">
        <v>397.5</v>
      </c>
      <c r="D8989">
        <v>30</v>
      </c>
      <c r="E8989" s="80">
        <v>35692</v>
      </c>
    </row>
    <row r="8990" spans="1:5">
      <c r="A8990">
        <v>10675</v>
      </c>
      <c r="B8990" t="s">
        <v>176</v>
      </c>
      <c r="C8990">
        <v>397.5</v>
      </c>
      <c r="D8990">
        <v>30</v>
      </c>
      <c r="E8990" s="80">
        <v>35692</v>
      </c>
    </row>
    <row r="8991" spans="1:5">
      <c r="A8991">
        <v>10675</v>
      </c>
      <c r="B8991" t="s">
        <v>177</v>
      </c>
      <c r="C8991">
        <v>397.5</v>
      </c>
      <c r="D8991">
        <v>30</v>
      </c>
      <c r="E8991" s="80">
        <v>35692</v>
      </c>
    </row>
    <row r="8992" spans="1:5">
      <c r="A8992">
        <v>10675</v>
      </c>
      <c r="B8992" t="s">
        <v>178</v>
      </c>
      <c r="C8992">
        <v>397.5</v>
      </c>
      <c r="D8992">
        <v>30</v>
      </c>
      <c r="E8992" s="80">
        <v>35692</v>
      </c>
    </row>
    <row r="8993" spans="1:5">
      <c r="A8993">
        <v>10675</v>
      </c>
      <c r="B8993" t="s">
        <v>179</v>
      </c>
      <c r="C8993">
        <v>397.5</v>
      </c>
      <c r="D8993">
        <v>30</v>
      </c>
      <c r="E8993" s="80">
        <v>35692</v>
      </c>
    </row>
    <row r="8994" spans="1:5">
      <c r="A8994">
        <v>10676</v>
      </c>
      <c r="B8994" t="s">
        <v>172</v>
      </c>
      <c r="C8994">
        <v>62</v>
      </c>
      <c r="D8994">
        <v>2</v>
      </c>
      <c r="E8994" s="80">
        <v>35695</v>
      </c>
    </row>
    <row r="8995" spans="1:5">
      <c r="A8995">
        <v>10676</v>
      </c>
      <c r="B8995" t="s">
        <v>173</v>
      </c>
      <c r="C8995">
        <v>62</v>
      </c>
      <c r="D8995">
        <v>2</v>
      </c>
      <c r="E8995" s="80">
        <v>35695</v>
      </c>
    </row>
    <row r="8996" spans="1:5">
      <c r="A8996">
        <v>10676</v>
      </c>
      <c r="B8996" t="s">
        <v>174</v>
      </c>
      <c r="C8996">
        <v>62</v>
      </c>
      <c r="D8996">
        <v>2</v>
      </c>
      <c r="E8996" s="80">
        <v>35695</v>
      </c>
    </row>
    <row r="8997" spans="1:5">
      <c r="A8997">
        <v>10676</v>
      </c>
      <c r="B8997" t="s">
        <v>175</v>
      </c>
      <c r="C8997">
        <v>62</v>
      </c>
      <c r="D8997">
        <v>2</v>
      </c>
      <c r="E8997" s="80">
        <v>35695</v>
      </c>
    </row>
    <row r="8998" spans="1:5">
      <c r="A8998">
        <v>10676</v>
      </c>
      <c r="B8998" t="s">
        <v>176</v>
      </c>
      <c r="C8998">
        <v>62</v>
      </c>
      <c r="D8998">
        <v>2</v>
      </c>
      <c r="E8998" s="80">
        <v>35695</v>
      </c>
    </row>
    <row r="8999" spans="1:5">
      <c r="A8999">
        <v>10676</v>
      </c>
      <c r="B8999" t="s">
        <v>177</v>
      </c>
      <c r="C8999">
        <v>62</v>
      </c>
      <c r="D8999">
        <v>2</v>
      </c>
      <c r="E8999" s="80">
        <v>35695</v>
      </c>
    </row>
    <row r="9000" spans="1:5">
      <c r="A9000">
        <v>10676</v>
      </c>
      <c r="B9000" t="s">
        <v>178</v>
      </c>
      <c r="C9000">
        <v>62</v>
      </c>
      <c r="D9000">
        <v>2</v>
      </c>
      <c r="E9000" s="80">
        <v>35695</v>
      </c>
    </row>
    <row r="9001" spans="1:5">
      <c r="A9001">
        <v>10676</v>
      </c>
      <c r="B9001" t="s">
        <v>179</v>
      </c>
      <c r="C9001">
        <v>62</v>
      </c>
      <c r="D9001">
        <v>2</v>
      </c>
      <c r="E9001" s="80">
        <v>35695</v>
      </c>
    </row>
    <row r="9002" spans="1:5">
      <c r="A9002">
        <v>10676</v>
      </c>
      <c r="B9002" t="s">
        <v>172</v>
      </c>
      <c r="C9002">
        <v>64.400000000000006</v>
      </c>
      <c r="D9002">
        <v>7</v>
      </c>
      <c r="E9002" s="80">
        <v>35695</v>
      </c>
    </row>
    <row r="9003" spans="1:5">
      <c r="A9003">
        <v>10676</v>
      </c>
      <c r="B9003" t="s">
        <v>173</v>
      </c>
      <c r="C9003">
        <v>64.400000000000006</v>
      </c>
      <c r="D9003">
        <v>7</v>
      </c>
      <c r="E9003" s="80">
        <v>35695</v>
      </c>
    </row>
    <row r="9004" spans="1:5">
      <c r="A9004">
        <v>10676</v>
      </c>
      <c r="B9004" t="s">
        <v>174</v>
      </c>
      <c r="C9004">
        <v>64.400000000000006</v>
      </c>
      <c r="D9004">
        <v>7</v>
      </c>
      <c r="E9004" s="80">
        <v>35695</v>
      </c>
    </row>
    <row r="9005" spans="1:5">
      <c r="A9005">
        <v>10676</v>
      </c>
      <c r="B9005" t="s">
        <v>175</v>
      </c>
      <c r="C9005">
        <v>64.400000000000006</v>
      </c>
      <c r="D9005">
        <v>7</v>
      </c>
      <c r="E9005" s="80">
        <v>35695</v>
      </c>
    </row>
    <row r="9006" spans="1:5">
      <c r="A9006">
        <v>10676</v>
      </c>
      <c r="B9006" t="s">
        <v>176</v>
      </c>
      <c r="C9006">
        <v>64.400000000000006</v>
      </c>
      <c r="D9006">
        <v>7</v>
      </c>
      <c r="E9006" s="80">
        <v>35695</v>
      </c>
    </row>
    <row r="9007" spans="1:5">
      <c r="A9007">
        <v>10676</v>
      </c>
      <c r="B9007" t="s">
        <v>177</v>
      </c>
      <c r="C9007">
        <v>64.400000000000006</v>
      </c>
      <c r="D9007">
        <v>7</v>
      </c>
      <c r="E9007" s="80">
        <v>35695</v>
      </c>
    </row>
    <row r="9008" spans="1:5">
      <c r="A9008">
        <v>10676</v>
      </c>
      <c r="B9008" t="s">
        <v>178</v>
      </c>
      <c r="C9008">
        <v>64.400000000000006</v>
      </c>
      <c r="D9008">
        <v>7</v>
      </c>
      <c r="E9008" s="80">
        <v>35695</v>
      </c>
    </row>
    <row r="9009" spans="1:5">
      <c r="A9009">
        <v>10676</v>
      </c>
      <c r="B9009" t="s">
        <v>179</v>
      </c>
      <c r="C9009">
        <v>64.400000000000006</v>
      </c>
      <c r="D9009">
        <v>7</v>
      </c>
      <c r="E9009" s="80">
        <v>35695</v>
      </c>
    </row>
    <row r="9010" spans="1:5">
      <c r="A9010">
        <v>10676</v>
      </c>
      <c r="B9010" t="s">
        <v>172</v>
      </c>
      <c r="C9010">
        <v>408.45</v>
      </c>
      <c r="D9010">
        <v>21</v>
      </c>
      <c r="E9010" s="80">
        <v>35695</v>
      </c>
    </row>
    <row r="9011" spans="1:5">
      <c r="A9011">
        <v>10676</v>
      </c>
      <c r="B9011" t="s">
        <v>173</v>
      </c>
      <c r="C9011">
        <v>408.45</v>
      </c>
      <c r="D9011">
        <v>21</v>
      </c>
      <c r="E9011" s="80">
        <v>35695</v>
      </c>
    </row>
    <row r="9012" spans="1:5">
      <c r="A9012">
        <v>10676</v>
      </c>
      <c r="B9012" t="s">
        <v>174</v>
      </c>
      <c r="C9012">
        <v>408.45</v>
      </c>
      <c r="D9012">
        <v>21</v>
      </c>
      <c r="E9012" s="80">
        <v>35695</v>
      </c>
    </row>
    <row r="9013" spans="1:5">
      <c r="A9013">
        <v>10676</v>
      </c>
      <c r="B9013" t="s">
        <v>175</v>
      </c>
      <c r="C9013">
        <v>408.45</v>
      </c>
      <c r="D9013">
        <v>21</v>
      </c>
      <c r="E9013" s="80">
        <v>35695</v>
      </c>
    </row>
    <row r="9014" spans="1:5">
      <c r="A9014">
        <v>10676</v>
      </c>
      <c r="B9014" t="s">
        <v>176</v>
      </c>
      <c r="C9014">
        <v>408.45</v>
      </c>
      <c r="D9014">
        <v>21</v>
      </c>
      <c r="E9014" s="80">
        <v>35695</v>
      </c>
    </row>
    <row r="9015" spans="1:5">
      <c r="A9015">
        <v>10676</v>
      </c>
      <c r="B9015" t="s">
        <v>177</v>
      </c>
      <c r="C9015">
        <v>408.45</v>
      </c>
      <c r="D9015">
        <v>21</v>
      </c>
      <c r="E9015" s="80">
        <v>35695</v>
      </c>
    </row>
    <row r="9016" spans="1:5">
      <c r="A9016">
        <v>10676</v>
      </c>
      <c r="B9016" t="s">
        <v>178</v>
      </c>
      <c r="C9016">
        <v>408.45</v>
      </c>
      <c r="D9016">
        <v>21</v>
      </c>
      <c r="E9016" s="80">
        <v>35695</v>
      </c>
    </row>
    <row r="9017" spans="1:5">
      <c r="A9017">
        <v>10676</v>
      </c>
      <c r="B9017" t="s">
        <v>179</v>
      </c>
      <c r="C9017">
        <v>408.45</v>
      </c>
      <c r="D9017">
        <v>21</v>
      </c>
      <c r="E9017" s="80">
        <v>35695</v>
      </c>
    </row>
    <row r="9018" spans="1:5">
      <c r="A9018">
        <v>10677</v>
      </c>
      <c r="B9018" t="s">
        <v>172</v>
      </c>
      <c r="C9018">
        <v>796.36499441564081</v>
      </c>
      <c r="D9018">
        <v>30</v>
      </c>
      <c r="E9018" s="80">
        <v>35695</v>
      </c>
    </row>
    <row r="9019" spans="1:5">
      <c r="A9019">
        <v>10677</v>
      </c>
      <c r="B9019" t="s">
        <v>173</v>
      </c>
      <c r="C9019">
        <v>796.36499441564081</v>
      </c>
      <c r="D9019">
        <v>30</v>
      </c>
      <c r="E9019" s="80">
        <v>35695</v>
      </c>
    </row>
    <row r="9020" spans="1:5">
      <c r="A9020">
        <v>10677</v>
      </c>
      <c r="B9020" t="s">
        <v>174</v>
      </c>
      <c r="C9020">
        <v>796.36499441564081</v>
      </c>
      <c r="D9020">
        <v>30</v>
      </c>
      <c r="E9020" s="80">
        <v>35695</v>
      </c>
    </row>
    <row r="9021" spans="1:5">
      <c r="A9021">
        <v>10677</v>
      </c>
      <c r="B9021" t="s">
        <v>175</v>
      </c>
      <c r="C9021">
        <v>796.36499441564081</v>
      </c>
      <c r="D9021">
        <v>30</v>
      </c>
      <c r="E9021" s="80">
        <v>35695</v>
      </c>
    </row>
    <row r="9022" spans="1:5">
      <c r="A9022">
        <v>10677</v>
      </c>
      <c r="B9022" t="s">
        <v>176</v>
      </c>
      <c r="C9022">
        <v>796.36499441564081</v>
      </c>
      <c r="D9022">
        <v>30</v>
      </c>
      <c r="E9022" s="80">
        <v>35695</v>
      </c>
    </row>
    <row r="9023" spans="1:5">
      <c r="A9023">
        <v>10677</v>
      </c>
      <c r="B9023" t="s">
        <v>177</v>
      </c>
      <c r="C9023">
        <v>796.36499441564081</v>
      </c>
      <c r="D9023">
        <v>30</v>
      </c>
      <c r="E9023" s="80">
        <v>35695</v>
      </c>
    </row>
    <row r="9024" spans="1:5">
      <c r="A9024">
        <v>10677</v>
      </c>
      <c r="B9024" t="s">
        <v>178</v>
      </c>
      <c r="C9024">
        <v>796.36499441564081</v>
      </c>
      <c r="D9024">
        <v>30</v>
      </c>
      <c r="E9024" s="80">
        <v>35695</v>
      </c>
    </row>
    <row r="9025" spans="1:5">
      <c r="A9025">
        <v>10677</v>
      </c>
      <c r="B9025" t="s">
        <v>179</v>
      </c>
      <c r="C9025">
        <v>796.36499441564081</v>
      </c>
      <c r="D9025">
        <v>30</v>
      </c>
      <c r="E9025" s="80">
        <v>35695</v>
      </c>
    </row>
    <row r="9026" spans="1:5">
      <c r="A9026">
        <v>10677</v>
      </c>
      <c r="B9026" t="s">
        <v>172</v>
      </c>
      <c r="C9026">
        <v>16.99999988079071</v>
      </c>
      <c r="D9026">
        <v>8</v>
      </c>
      <c r="E9026" s="80">
        <v>35695</v>
      </c>
    </row>
    <row r="9027" spans="1:5">
      <c r="A9027">
        <v>10677</v>
      </c>
      <c r="B9027" t="s">
        <v>173</v>
      </c>
      <c r="C9027">
        <v>16.99999988079071</v>
      </c>
      <c r="D9027">
        <v>8</v>
      </c>
      <c r="E9027" s="80">
        <v>35695</v>
      </c>
    </row>
    <row r="9028" spans="1:5">
      <c r="A9028">
        <v>10677</v>
      </c>
      <c r="B9028" t="s">
        <v>174</v>
      </c>
      <c r="C9028">
        <v>16.99999988079071</v>
      </c>
      <c r="D9028">
        <v>8</v>
      </c>
      <c r="E9028" s="80">
        <v>35695</v>
      </c>
    </row>
    <row r="9029" spans="1:5">
      <c r="A9029">
        <v>10677</v>
      </c>
      <c r="B9029" t="s">
        <v>175</v>
      </c>
      <c r="C9029">
        <v>16.99999988079071</v>
      </c>
      <c r="D9029">
        <v>8</v>
      </c>
      <c r="E9029" s="80">
        <v>35695</v>
      </c>
    </row>
    <row r="9030" spans="1:5">
      <c r="A9030">
        <v>10677</v>
      </c>
      <c r="B9030" t="s">
        <v>176</v>
      </c>
      <c r="C9030">
        <v>16.99999988079071</v>
      </c>
      <c r="D9030">
        <v>8</v>
      </c>
      <c r="E9030" s="80">
        <v>35695</v>
      </c>
    </row>
    <row r="9031" spans="1:5">
      <c r="A9031">
        <v>10677</v>
      </c>
      <c r="B9031" t="s">
        <v>177</v>
      </c>
      <c r="C9031">
        <v>16.99999988079071</v>
      </c>
      <c r="D9031">
        <v>8</v>
      </c>
      <c r="E9031" s="80">
        <v>35695</v>
      </c>
    </row>
    <row r="9032" spans="1:5">
      <c r="A9032">
        <v>10677</v>
      </c>
      <c r="B9032" t="s">
        <v>178</v>
      </c>
      <c r="C9032">
        <v>16.99999988079071</v>
      </c>
      <c r="D9032">
        <v>8</v>
      </c>
      <c r="E9032" s="80">
        <v>35695</v>
      </c>
    </row>
    <row r="9033" spans="1:5">
      <c r="A9033">
        <v>10677</v>
      </c>
      <c r="B9033" t="s">
        <v>179</v>
      </c>
      <c r="C9033">
        <v>16.99999988079071</v>
      </c>
      <c r="D9033">
        <v>8</v>
      </c>
      <c r="E9033" s="80">
        <v>35695</v>
      </c>
    </row>
    <row r="9034" spans="1:5">
      <c r="A9034">
        <v>10678</v>
      </c>
      <c r="B9034" t="s">
        <v>172</v>
      </c>
      <c r="C9034">
        <v>3800</v>
      </c>
      <c r="D9034">
        <v>100</v>
      </c>
      <c r="E9034" s="80">
        <v>35696</v>
      </c>
    </row>
    <row r="9035" spans="1:5">
      <c r="A9035">
        <v>10678</v>
      </c>
      <c r="B9035" t="s">
        <v>173</v>
      </c>
      <c r="C9035">
        <v>3800</v>
      </c>
      <c r="D9035">
        <v>100</v>
      </c>
      <c r="E9035" s="80">
        <v>35696</v>
      </c>
    </row>
    <row r="9036" spans="1:5">
      <c r="A9036">
        <v>10678</v>
      </c>
      <c r="B9036" t="s">
        <v>174</v>
      </c>
      <c r="C9036">
        <v>3800</v>
      </c>
      <c r="D9036">
        <v>100</v>
      </c>
      <c r="E9036" s="80">
        <v>35696</v>
      </c>
    </row>
    <row r="9037" spans="1:5">
      <c r="A9037">
        <v>10678</v>
      </c>
      <c r="B9037" t="s">
        <v>175</v>
      </c>
      <c r="C9037">
        <v>3800</v>
      </c>
      <c r="D9037">
        <v>100</v>
      </c>
      <c r="E9037" s="80">
        <v>35696</v>
      </c>
    </row>
    <row r="9038" spans="1:5">
      <c r="A9038">
        <v>10678</v>
      </c>
      <c r="B9038" t="s">
        <v>176</v>
      </c>
      <c r="C9038">
        <v>3800</v>
      </c>
      <c r="D9038">
        <v>100</v>
      </c>
      <c r="E9038" s="80">
        <v>35696</v>
      </c>
    </row>
    <row r="9039" spans="1:5">
      <c r="A9039">
        <v>10678</v>
      </c>
      <c r="B9039" t="s">
        <v>177</v>
      </c>
      <c r="C9039">
        <v>3800</v>
      </c>
      <c r="D9039">
        <v>100</v>
      </c>
      <c r="E9039" s="80">
        <v>35696</v>
      </c>
    </row>
    <row r="9040" spans="1:5">
      <c r="A9040">
        <v>10678</v>
      </c>
      <c r="B9040" t="s">
        <v>178</v>
      </c>
      <c r="C9040">
        <v>3800</v>
      </c>
      <c r="D9040">
        <v>100</v>
      </c>
      <c r="E9040" s="80">
        <v>35696</v>
      </c>
    </row>
    <row r="9041" spans="1:5">
      <c r="A9041">
        <v>10678</v>
      </c>
      <c r="B9041" t="s">
        <v>179</v>
      </c>
      <c r="C9041">
        <v>3800</v>
      </c>
      <c r="D9041">
        <v>100</v>
      </c>
      <c r="E9041" s="80">
        <v>35696</v>
      </c>
    </row>
    <row r="9042" spans="1:5">
      <c r="A9042">
        <v>10678</v>
      </c>
      <c r="B9042" t="s">
        <v>172</v>
      </c>
      <c r="C9042">
        <v>75</v>
      </c>
      <c r="D9042">
        <v>30</v>
      </c>
      <c r="E9042" s="80">
        <v>35696</v>
      </c>
    </row>
    <row r="9043" spans="1:5">
      <c r="A9043">
        <v>10678</v>
      </c>
      <c r="B9043" t="s">
        <v>173</v>
      </c>
      <c r="C9043">
        <v>75</v>
      </c>
      <c r="D9043">
        <v>30</v>
      </c>
      <c r="E9043" s="80">
        <v>35696</v>
      </c>
    </row>
    <row r="9044" spans="1:5">
      <c r="A9044">
        <v>10678</v>
      </c>
      <c r="B9044" t="s">
        <v>174</v>
      </c>
      <c r="C9044">
        <v>75</v>
      </c>
      <c r="D9044">
        <v>30</v>
      </c>
      <c r="E9044" s="80">
        <v>35696</v>
      </c>
    </row>
    <row r="9045" spans="1:5">
      <c r="A9045">
        <v>10678</v>
      </c>
      <c r="B9045" t="s">
        <v>175</v>
      </c>
      <c r="C9045">
        <v>75</v>
      </c>
      <c r="D9045">
        <v>30</v>
      </c>
      <c r="E9045" s="80">
        <v>35696</v>
      </c>
    </row>
    <row r="9046" spans="1:5">
      <c r="A9046">
        <v>10678</v>
      </c>
      <c r="B9046" t="s">
        <v>176</v>
      </c>
      <c r="C9046">
        <v>75</v>
      </c>
      <c r="D9046">
        <v>30</v>
      </c>
      <c r="E9046" s="80">
        <v>35696</v>
      </c>
    </row>
    <row r="9047" spans="1:5">
      <c r="A9047">
        <v>10678</v>
      </c>
      <c r="B9047" t="s">
        <v>177</v>
      </c>
      <c r="C9047">
        <v>75</v>
      </c>
      <c r="D9047">
        <v>30</v>
      </c>
      <c r="E9047" s="80">
        <v>35696</v>
      </c>
    </row>
    <row r="9048" spans="1:5">
      <c r="A9048">
        <v>10678</v>
      </c>
      <c r="B9048" t="s">
        <v>178</v>
      </c>
      <c r="C9048">
        <v>75</v>
      </c>
      <c r="D9048">
        <v>30</v>
      </c>
      <c r="E9048" s="80">
        <v>35696</v>
      </c>
    </row>
    <row r="9049" spans="1:5">
      <c r="A9049">
        <v>10678</v>
      </c>
      <c r="B9049" t="s">
        <v>179</v>
      </c>
      <c r="C9049">
        <v>75</v>
      </c>
      <c r="D9049">
        <v>30</v>
      </c>
      <c r="E9049" s="80">
        <v>35696</v>
      </c>
    </row>
    <row r="9050" spans="1:5">
      <c r="A9050">
        <v>10678</v>
      </c>
      <c r="B9050" t="s">
        <v>172</v>
      </c>
      <c r="C9050">
        <v>1158</v>
      </c>
      <c r="D9050">
        <v>120</v>
      </c>
      <c r="E9050" s="80">
        <v>35696</v>
      </c>
    </row>
    <row r="9051" spans="1:5">
      <c r="A9051">
        <v>10678</v>
      </c>
      <c r="B9051" t="s">
        <v>173</v>
      </c>
      <c r="C9051">
        <v>1158</v>
      </c>
      <c r="D9051">
        <v>120</v>
      </c>
      <c r="E9051" s="80">
        <v>35696</v>
      </c>
    </row>
    <row r="9052" spans="1:5">
      <c r="A9052">
        <v>10678</v>
      </c>
      <c r="B9052" t="s">
        <v>174</v>
      </c>
      <c r="C9052">
        <v>1158</v>
      </c>
      <c r="D9052">
        <v>120</v>
      </c>
      <c r="E9052" s="80">
        <v>35696</v>
      </c>
    </row>
    <row r="9053" spans="1:5">
      <c r="A9053">
        <v>10678</v>
      </c>
      <c r="B9053" t="s">
        <v>175</v>
      </c>
      <c r="C9053">
        <v>1158</v>
      </c>
      <c r="D9053">
        <v>120</v>
      </c>
      <c r="E9053" s="80">
        <v>35696</v>
      </c>
    </row>
    <row r="9054" spans="1:5">
      <c r="A9054">
        <v>10678</v>
      </c>
      <c r="B9054" t="s">
        <v>176</v>
      </c>
      <c r="C9054">
        <v>1158</v>
      </c>
      <c r="D9054">
        <v>120</v>
      </c>
      <c r="E9054" s="80">
        <v>35696</v>
      </c>
    </row>
    <row r="9055" spans="1:5">
      <c r="A9055">
        <v>10678</v>
      </c>
      <c r="B9055" t="s">
        <v>177</v>
      </c>
      <c r="C9055">
        <v>1158</v>
      </c>
      <c r="D9055">
        <v>120</v>
      </c>
      <c r="E9055" s="80">
        <v>35696</v>
      </c>
    </row>
    <row r="9056" spans="1:5">
      <c r="A9056">
        <v>10678</v>
      </c>
      <c r="B9056" t="s">
        <v>178</v>
      </c>
      <c r="C9056">
        <v>1158</v>
      </c>
      <c r="D9056">
        <v>120</v>
      </c>
      <c r="E9056" s="80">
        <v>35696</v>
      </c>
    </row>
    <row r="9057" spans="1:5">
      <c r="A9057">
        <v>10678</v>
      </c>
      <c r="B9057" t="s">
        <v>179</v>
      </c>
      <c r="C9057">
        <v>1158</v>
      </c>
      <c r="D9057">
        <v>120</v>
      </c>
      <c r="E9057" s="80">
        <v>35696</v>
      </c>
    </row>
    <row r="9058" spans="1:5">
      <c r="A9058">
        <v>10678</v>
      </c>
      <c r="B9058" t="s">
        <v>172</v>
      </c>
      <c r="C9058">
        <v>223.5</v>
      </c>
      <c r="D9058">
        <v>30</v>
      </c>
      <c r="E9058" s="80">
        <v>35696</v>
      </c>
    </row>
    <row r="9059" spans="1:5">
      <c r="A9059">
        <v>10678</v>
      </c>
      <c r="B9059" t="s">
        <v>173</v>
      </c>
      <c r="C9059">
        <v>223.5</v>
      </c>
      <c r="D9059">
        <v>30</v>
      </c>
      <c r="E9059" s="80">
        <v>35696</v>
      </c>
    </row>
    <row r="9060" spans="1:5">
      <c r="A9060">
        <v>10678</v>
      </c>
      <c r="B9060" t="s">
        <v>174</v>
      </c>
      <c r="C9060">
        <v>223.5</v>
      </c>
      <c r="D9060">
        <v>30</v>
      </c>
      <c r="E9060" s="80">
        <v>35696</v>
      </c>
    </row>
    <row r="9061" spans="1:5">
      <c r="A9061">
        <v>10678</v>
      </c>
      <c r="B9061" t="s">
        <v>175</v>
      </c>
      <c r="C9061">
        <v>223.5</v>
      </c>
      <c r="D9061">
        <v>30</v>
      </c>
      <c r="E9061" s="80">
        <v>35696</v>
      </c>
    </row>
    <row r="9062" spans="1:5">
      <c r="A9062">
        <v>10678</v>
      </c>
      <c r="B9062" t="s">
        <v>176</v>
      </c>
      <c r="C9062">
        <v>223.5</v>
      </c>
      <c r="D9062">
        <v>30</v>
      </c>
      <c r="E9062" s="80">
        <v>35696</v>
      </c>
    </row>
    <row r="9063" spans="1:5">
      <c r="A9063">
        <v>10678</v>
      </c>
      <c r="B9063" t="s">
        <v>177</v>
      </c>
      <c r="C9063">
        <v>223.5</v>
      </c>
      <c r="D9063">
        <v>30</v>
      </c>
      <c r="E9063" s="80">
        <v>35696</v>
      </c>
    </row>
    <row r="9064" spans="1:5">
      <c r="A9064">
        <v>10678</v>
      </c>
      <c r="B9064" t="s">
        <v>178</v>
      </c>
      <c r="C9064">
        <v>223.5</v>
      </c>
      <c r="D9064">
        <v>30</v>
      </c>
      <c r="E9064" s="80">
        <v>35696</v>
      </c>
    </row>
    <row r="9065" spans="1:5">
      <c r="A9065">
        <v>10678</v>
      </c>
      <c r="B9065" t="s">
        <v>179</v>
      </c>
      <c r="C9065">
        <v>223.5</v>
      </c>
      <c r="D9065">
        <v>30</v>
      </c>
      <c r="E9065" s="80">
        <v>35696</v>
      </c>
    </row>
    <row r="9066" spans="1:5">
      <c r="A9066">
        <v>10679</v>
      </c>
      <c r="B9066" t="s">
        <v>172</v>
      </c>
      <c r="C9066">
        <v>660</v>
      </c>
      <c r="D9066">
        <v>12</v>
      </c>
      <c r="E9066" s="80">
        <v>35696</v>
      </c>
    </row>
    <row r="9067" spans="1:5">
      <c r="A9067">
        <v>10679</v>
      </c>
      <c r="B9067" t="s">
        <v>173</v>
      </c>
      <c r="C9067">
        <v>660</v>
      </c>
      <c r="D9067">
        <v>12</v>
      </c>
      <c r="E9067" s="80">
        <v>35696</v>
      </c>
    </row>
    <row r="9068" spans="1:5">
      <c r="A9068">
        <v>10679</v>
      </c>
      <c r="B9068" t="s">
        <v>174</v>
      </c>
      <c r="C9068">
        <v>660</v>
      </c>
      <c r="D9068">
        <v>12</v>
      </c>
      <c r="E9068" s="80">
        <v>35696</v>
      </c>
    </row>
    <row r="9069" spans="1:5">
      <c r="A9069">
        <v>10679</v>
      </c>
      <c r="B9069" t="s">
        <v>175</v>
      </c>
      <c r="C9069">
        <v>660</v>
      </c>
      <c r="D9069">
        <v>12</v>
      </c>
      <c r="E9069" s="80">
        <v>35696</v>
      </c>
    </row>
    <row r="9070" spans="1:5">
      <c r="A9070">
        <v>10679</v>
      </c>
      <c r="B9070" t="s">
        <v>176</v>
      </c>
      <c r="C9070">
        <v>660</v>
      </c>
      <c r="D9070">
        <v>12</v>
      </c>
      <c r="E9070" s="80">
        <v>35696</v>
      </c>
    </row>
    <row r="9071" spans="1:5">
      <c r="A9071">
        <v>10679</v>
      </c>
      <c r="B9071" t="s">
        <v>177</v>
      </c>
      <c r="C9071">
        <v>660</v>
      </c>
      <c r="D9071">
        <v>12</v>
      </c>
      <c r="E9071" s="80">
        <v>35696</v>
      </c>
    </row>
    <row r="9072" spans="1:5">
      <c r="A9072">
        <v>10679</v>
      </c>
      <c r="B9072" t="s">
        <v>178</v>
      </c>
      <c r="C9072">
        <v>660</v>
      </c>
      <c r="D9072">
        <v>12</v>
      </c>
      <c r="E9072" s="80">
        <v>35696</v>
      </c>
    </row>
    <row r="9073" spans="1:5">
      <c r="A9073">
        <v>10679</v>
      </c>
      <c r="B9073" t="s">
        <v>179</v>
      </c>
      <c r="C9073">
        <v>660</v>
      </c>
      <c r="D9073">
        <v>12</v>
      </c>
      <c r="E9073" s="80">
        <v>35696</v>
      </c>
    </row>
    <row r="9074" spans="1:5">
      <c r="A9074">
        <v>10680</v>
      </c>
      <c r="B9074" t="s">
        <v>172</v>
      </c>
      <c r="C9074">
        <v>654.375</v>
      </c>
      <c r="D9074">
        <v>50</v>
      </c>
      <c r="E9074" s="80">
        <v>35697</v>
      </c>
    </row>
    <row r="9075" spans="1:5">
      <c r="A9075">
        <v>10680</v>
      </c>
      <c r="B9075" t="s">
        <v>173</v>
      </c>
      <c r="C9075">
        <v>654.375</v>
      </c>
      <c r="D9075">
        <v>50</v>
      </c>
      <c r="E9075" s="80">
        <v>35697</v>
      </c>
    </row>
    <row r="9076" spans="1:5">
      <c r="A9076">
        <v>10680</v>
      </c>
      <c r="B9076" t="s">
        <v>174</v>
      </c>
      <c r="C9076">
        <v>654.375</v>
      </c>
      <c r="D9076">
        <v>50</v>
      </c>
      <c r="E9076" s="80">
        <v>35697</v>
      </c>
    </row>
    <row r="9077" spans="1:5">
      <c r="A9077">
        <v>10680</v>
      </c>
      <c r="B9077" t="s">
        <v>175</v>
      </c>
      <c r="C9077">
        <v>654.375</v>
      </c>
      <c r="D9077">
        <v>50</v>
      </c>
      <c r="E9077" s="80">
        <v>35697</v>
      </c>
    </row>
    <row r="9078" spans="1:5">
      <c r="A9078">
        <v>10680</v>
      </c>
      <c r="B9078" t="s">
        <v>176</v>
      </c>
      <c r="C9078">
        <v>654.375</v>
      </c>
      <c r="D9078">
        <v>50</v>
      </c>
      <c r="E9078" s="80">
        <v>35697</v>
      </c>
    </row>
    <row r="9079" spans="1:5">
      <c r="A9079">
        <v>10680</v>
      </c>
      <c r="B9079" t="s">
        <v>177</v>
      </c>
      <c r="C9079">
        <v>654.375</v>
      </c>
      <c r="D9079">
        <v>50</v>
      </c>
      <c r="E9079" s="80">
        <v>35697</v>
      </c>
    </row>
    <row r="9080" spans="1:5">
      <c r="A9080">
        <v>10680</v>
      </c>
      <c r="B9080" t="s">
        <v>178</v>
      </c>
      <c r="C9080">
        <v>654.375</v>
      </c>
      <c r="D9080">
        <v>50</v>
      </c>
      <c r="E9080" s="80">
        <v>35697</v>
      </c>
    </row>
    <row r="9081" spans="1:5">
      <c r="A9081">
        <v>10680</v>
      </c>
      <c r="B9081" t="s">
        <v>179</v>
      </c>
      <c r="C9081">
        <v>654.375</v>
      </c>
      <c r="D9081">
        <v>50</v>
      </c>
      <c r="E9081" s="80">
        <v>35697</v>
      </c>
    </row>
    <row r="9082" spans="1:5">
      <c r="A9082">
        <v>10680</v>
      </c>
      <c r="B9082" t="s">
        <v>172</v>
      </c>
      <c r="C9082">
        <v>187.5</v>
      </c>
      <c r="D9082">
        <v>20</v>
      </c>
      <c r="E9082" s="80">
        <v>35697</v>
      </c>
    </row>
    <row r="9083" spans="1:5">
      <c r="A9083">
        <v>10680</v>
      </c>
      <c r="B9083" t="s">
        <v>173</v>
      </c>
      <c r="C9083">
        <v>187.5</v>
      </c>
      <c r="D9083">
        <v>20</v>
      </c>
      <c r="E9083" s="80">
        <v>35697</v>
      </c>
    </row>
    <row r="9084" spans="1:5">
      <c r="A9084">
        <v>10680</v>
      </c>
      <c r="B9084" t="s">
        <v>174</v>
      </c>
      <c r="C9084">
        <v>187.5</v>
      </c>
      <c r="D9084">
        <v>20</v>
      </c>
      <c r="E9084" s="80">
        <v>35697</v>
      </c>
    </row>
    <row r="9085" spans="1:5">
      <c r="A9085">
        <v>10680</v>
      </c>
      <c r="B9085" t="s">
        <v>175</v>
      </c>
      <c r="C9085">
        <v>187.5</v>
      </c>
      <c r="D9085">
        <v>20</v>
      </c>
      <c r="E9085" s="80">
        <v>35697</v>
      </c>
    </row>
    <row r="9086" spans="1:5">
      <c r="A9086">
        <v>10680</v>
      </c>
      <c r="B9086" t="s">
        <v>176</v>
      </c>
      <c r="C9086">
        <v>187.5</v>
      </c>
      <c r="D9086">
        <v>20</v>
      </c>
      <c r="E9086" s="80">
        <v>35697</v>
      </c>
    </row>
    <row r="9087" spans="1:5">
      <c r="A9087">
        <v>10680</v>
      </c>
      <c r="B9087" t="s">
        <v>177</v>
      </c>
      <c r="C9087">
        <v>187.5</v>
      </c>
      <c r="D9087">
        <v>20</v>
      </c>
      <c r="E9087" s="80">
        <v>35697</v>
      </c>
    </row>
    <row r="9088" spans="1:5">
      <c r="A9088">
        <v>10680</v>
      </c>
      <c r="B9088" t="s">
        <v>178</v>
      </c>
      <c r="C9088">
        <v>187.5</v>
      </c>
      <c r="D9088">
        <v>20</v>
      </c>
      <c r="E9088" s="80">
        <v>35697</v>
      </c>
    </row>
    <row r="9089" spans="1:5">
      <c r="A9089">
        <v>10680</v>
      </c>
      <c r="B9089" t="s">
        <v>179</v>
      </c>
      <c r="C9089">
        <v>187.5</v>
      </c>
      <c r="D9089">
        <v>20</v>
      </c>
      <c r="E9089" s="80">
        <v>35697</v>
      </c>
    </row>
    <row r="9090" spans="1:5">
      <c r="A9090">
        <v>10680</v>
      </c>
      <c r="B9090" t="s">
        <v>172</v>
      </c>
      <c r="C9090">
        <v>420</v>
      </c>
      <c r="D9090">
        <v>40</v>
      </c>
      <c r="E9090" s="80">
        <v>35697</v>
      </c>
    </row>
    <row r="9091" spans="1:5">
      <c r="A9091">
        <v>10680</v>
      </c>
      <c r="B9091" t="s">
        <v>173</v>
      </c>
      <c r="C9091">
        <v>420</v>
      </c>
      <c r="D9091">
        <v>40</v>
      </c>
      <c r="E9091" s="80">
        <v>35697</v>
      </c>
    </row>
    <row r="9092" spans="1:5">
      <c r="A9092">
        <v>10680</v>
      </c>
      <c r="B9092" t="s">
        <v>174</v>
      </c>
      <c r="C9092">
        <v>420</v>
      </c>
      <c r="D9092">
        <v>40</v>
      </c>
      <c r="E9092" s="80">
        <v>35697</v>
      </c>
    </row>
    <row r="9093" spans="1:5">
      <c r="A9093">
        <v>10680</v>
      </c>
      <c r="B9093" t="s">
        <v>175</v>
      </c>
      <c r="C9093">
        <v>420</v>
      </c>
      <c r="D9093">
        <v>40</v>
      </c>
      <c r="E9093" s="80">
        <v>35697</v>
      </c>
    </row>
    <row r="9094" spans="1:5">
      <c r="A9094">
        <v>10680</v>
      </c>
      <c r="B9094" t="s">
        <v>176</v>
      </c>
      <c r="C9094">
        <v>420</v>
      </c>
      <c r="D9094">
        <v>40</v>
      </c>
      <c r="E9094" s="80">
        <v>35697</v>
      </c>
    </row>
    <row r="9095" spans="1:5">
      <c r="A9095">
        <v>10680</v>
      </c>
      <c r="B9095" t="s">
        <v>177</v>
      </c>
      <c r="C9095">
        <v>420</v>
      </c>
      <c r="D9095">
        <v>40</v>
      </c>
      <c r="E9095" s="80">
        <v>35697</v>
      </c>
    </row>
    <row r="9096" spans="1:5">
      <c r="A9096">
        <v>10680</v>
      </c>
      <c r="B9096" t="s">
        <v>178</v>
      </c>
      <c r="C9096">
        <v>420</v>
      </c>
      <c r="D9096">
        <v>40</v>
      </c>
      <c r="E9096" s="80">
        <v>35697</v>
      </c>
    </row>
    <row r="9097" spans="1:5">
      <c r="A9097">
        <v>10680</v>
      </c>
      <c r="B9097" t="s">
        <v>179</v>
      </c>
      <c r="C9097">
        <v>420</v>
      </c>
      <c r="D9097">
        <v>40</v>
      </c>
      <c r="E9097" s="80">
        <v>35697</v>
      </c>
    </row>
    <row r="9098" spans="1:5">
      <c r="A9098">
        <v>10681</v>
      </c>
      <c r="B9098" t="s">
        <v>172</v>
      </c>
      <c r="C9098">
        <v>248.39999958872795</v>
      </c>
      <c r="D9098">
        <v>30</v>
      </c>
      <c r="E9098" s="80">
        <v>35698</v>
      </c>
    </row>
    <row r="9099" spans="1:5">
      <c r="A9099">
        <v>10681</v>
      </c>
      <c r="B9099" t="s">
        <v>173</v>
      </c>
      <c r="C9099">
        <v>248.39999958872795</v>
      </c>
      <c r="D9099">
        <v>30</v>
      </c>
      <c r="E9099" s="80">
        <v>35698</v>
      </c>
    </row>
    <row r="9100" spans="1:5">
      <c r="A9100">
        <v>10681</v>
      </c>
      <c r="B9100" t="s">
        <v>174</v>
      </c>
      <c r="C9100">
        <v>248.39999958872795</v>
      </c>
      <c r="D9100">
        <v>30</v>
      </c>
      <c r="E9100" s="80">
        <v>35698</v>
      </c>
    </row>
    <row r="9101" spans="1:5">
      <c r="A9101">
        <v>10681</v>
      </c>
      <c r="B9101" t="s">
        <v>175</v>
      </c>
      <c r="C9101">
        <v>248.39999958872795</v>
      </c>
      <c r="D9101">
        <v>30</v>
      </c>
      <c r="E9101" s="80">
        <v>35698</v>
      </c>
    </row>
    <row r="9102" spans="1:5">
      <c r="A9102">
        <v>10681</v>
      </c>
      <c r="B9102" t="s">
        <v>176</v>
      </c>
      <c r="C9102">
        <v>248.39999958872795</v>
      </c>
      <c r="D9102">
        <v>30</v>
      </c>
      <c r="E9102" s="80">
        <v>35698</v>
      </c>
    </row>
    <row r="9103" spans="1:5">
      <c r="A9103">
        <v>10681</v>
      </c>
      <c r="B9103" t="s">
        <v>177</v>
      </c>
      <c r="C9103">
        <v>248.39999958872795</v>
      </c>
      <c r="D9103">
        <v>30</v>
      </c>
      <c r="E9103" s="80">
        <v>35698</v>
      </c>
    </row>
    <row r="9104" spans="1:5">
      <c r="A9104">
        <v>10681</v>
      </c>
      <c r="B9104" t="s">
        <v>178</v>
      </c>
      <c r="C9104">
        <v>248.39999958872795</v>
      </c>
      <c r="D9104">
        <v>30</v>
      </c>
      <c r="E9104" s="80">
        <v>35698</v>
      </c>
    </row>
    <row r="9105" spans="1:5">
      <c r="A9105">
        <v>10681</v>
      </c>
      <c r="B9105" t="s">
        <v>179</v>
      </c>
      <c r="C9105">
        <v>248.39999958872795</v>
      </c>
      <c r="D9105">
        <v>30</v>
      </c>
      <c r="E9105" s="80">
        <v>35698</v>
      </c>
    </row>
    <row r="9106" spans="1:5">
      <c r="A9106">
        <v>10681</v>
      </c>
      <c r="B9106" t="s">
        <v>172</v>
      </c>
      <c r="C9106">
        <v>107.99999982118607</v>
      </c>
      <c r="D9106">
        <v>12</v>
      </c>
      <c r="E9106" s="80">
        <v>35698</v>
      </c>
    </row>
    <row r="9107" spans="1:5">
      <c r="A9107">
        <v>10681</v>
      </c>
      <c r="B9107" t="s">
        <v>173</v>
      </c>
      <c r="C9107">
        <v>107.99999982118607</v>
      </c>
      <c r="D9107">
        <v>12</v>
      </c>
      <c r="E9107" s="80">
        <v>35698</v>
      </c>
    </row>
    <row r="9108" spans="1:5">
      <c r="A9108">
        <v>10681</v>
      </c>
      <c r="B9108" t="s">
        <v>174</v>
      </c>
      <c r="C9108">
        <v>107.99999982118607</v>
      </c>
      <c r="D9108">
        <v>12</v>
      </c>
      <c r="E9108" s="80">
        <v>35698</v>
      </c>
    </row>
    <row r="9109" spans="1:5">
      <c r="A9109">
        <v>10681</v>
      </c>
      <c r="B9109" t="s">
        <v>175</v>
      </c>
      <c r="C9109">
        <v>107.99999982118607</v>
      </c>
      <c r="D9109">
        <v>12</v>
      </c>
      <c r="E9109" s="80">
        <v>35698</v>
      </c>
    </row>
    <row r="9110" spans="1:5">
      <c r="A9110">
        <v>10681</v>
      </c>
      <c r="B9110" t="s">
        <v>176</v>
      </c>
      <c r="C9110">
        <v>107.99999982118607</v>
      </c>
      <c r="D9110">
        <v>12</v>
      </c>
      <c r="E9110" s="80">
        <v>35698</v>
      </c>
    </row>
    <row r="9111" spans="1:5">
      <c r="A9111">
        <v>10681</v>
      </c>
      <c r="B9111" t="s">
        <v>177</v>
      </c>
      <c r="C9111">
        <v>107.99999982118607</v>
      </c>
      <c r="D9111">
        <v>12</v>
      </c>
      <c r="E9111" s="80">
        <v>35698</v>
      </c>
    </row>
    <row r="9112" spans="1:5">
      <c r="A9112">
        <v>10681</v>
      </c>
      <c r="B9112" t="s">
        <v>178</v>
      </c>
      <c r="C9112">
        <v>107.99999982118607</v>
      </c>
      <c r="D9112">
        <v>12</v>
      </c>
      <c r="E9112" s="80">
        <v>35698</v>
      </c>
    </row>
    <row r="9113" spans="1:5">
      <c r="A9113">
        <v>10681</v>
      </c>
      <c r="B9113" t="s">
        <v>179</v>
      </c>
      <c r="C9113">
        <v>107.99999982118607</v>
      </c>
      <c r="D9113">
        <v>12</v>
      </c>
      <c r="E9113" s="80">
        <v>35698</v>
      </c>
    </row>
    <row r="9114" spans="1:5">
      <c r="A9114">
        <v>10681</v>
      </c>
      <c r="B9114" t="s">
        <v>172</v>
      </c>
      <c r="C9114">
        <v>931</v>
      </c>
      <c r="D9114">
        <v>28</v>
      </c>
      <c r="E9114" s="80">
        <v>35698</v>
      </c>
    </row>
    <row r="9115" spans="1:5">
      <c r="A9115">
        <v>10681</v>
      </c>
      <c r="B9115" t="s">
        <v>173</v>
      </c>
      <c r="C9115">
        <v>931</v>
      </c>
      <c r="D9115">
        <v>28</v>
      </c>
      <c r="E9115" s="80">
        <v>35698</v>
      </c>
    </row>
    <row r="9116" spans="1:5">
      <c r="A9116">
        <v>10681</v>
      </c>
      <c r="B9116" t="s">
        <v>174</v>
      </c>
      <c r="C9116">
        <v>931</v>
      </c>
      <c r="D9116">
        <v>28</v>
      </c>
      <c r="E9116" s="80">
        <v>35698</v>
      </c>
    </row>
    <row r="9117" spans="1:5">
      <c r="A9117">
        <v>10681</v>
      </c>
      <c r="B9117" t="s">
        <v>175</v>
      </c>
      <c r="C9117">
        <v>931</v>
      </c>
      <c r="D9117">
        <v>28</v>
      </c>
      <c r="E9117" s="80">
        <v>35698</v>
      </c>
    </row>
    <row r="9118" spans="1:5">
      <c r="A9118">
        <v>10681</v>
      </c>
      <c r="B9118" t="s">
        <v>176</v>
      </c>
      <c r="C9118">
        <v>931</v>
      </c>
      <c r="D9118">
        <v>28</v>
      </c>
      <c r="E9118" s="80">
        <v>35698</v>
      </c>
    </row>
    <row r="9119" spans="1:5">
      <c r="A9119">
        <v>10681</v>
      </c>
      <c r="B9119" t="s">
        <v>177</v>
      </c>
      <c r="C9119">
        <v>931</v>
      </c>
      <c r="D9119">
        <v>28</v>
      </c>
      <c r="E9119" s="80">
        <v>35698</v>
      </c>
    </row>
    <row r="9120" spans="1:5">
      <c r="A9120">
        <v>10681</v>
      </c>
      <c r="B9120" t="s">
        <v>178</v>
      </c>
      <c r="C9120">
        <v>931</v>
      </c>
      <c r="D9120">
        <v>28</v>
      </c>
      <c r="E9120" s="80">
        <v>35698</v>
      </c>
    </row>
    <row r="9121" spans="1:5">
      <c r="A9121">
        <v>10681</v>
      </c>
      <c r="B9121" t="s">
        <v>179</v>
      </c>
      <c r="C9121">
        <v>931</v>
      </c>
      <c r="D9121">
        <v>28</v>
      </c>
      <c r="E9121" s="80">
        <v>35698</v>
      </c>
    </row>
    <row r="9122" spans="1:5">
      <c r="A9122">
        <v>10682</v>
      </c>
      <c r="B9122" t="s">
        <v>172</v>
      </c>
      <c r="C9122">
        <v>75</v>
      </c>
      <c r="D9122">
        <v>30</v>
      </c>
      <c r="E9122" s="80">
        <v>35698</v>
      </c>
    </row>
    <row r="9123" spans="1:5">
      <c r="A9123">
        <v>10682</v>
      </c>
      <c r="B9123" t="s">
        <v>173</v>
      </c>
      <c r="C9123">
        <v>75</v>
      </c>
      <c r="D9123">
        <v>30</v>
      </c>
      <c r="E9123" s="80">
        <v>35698</v>
      </c>
    </row>
    <row r="9124" spans="1:5">
      <c r="A9124">
        <v>10682</v>
      </c>
      <c r="B9124" t="s">
        <v>174</v>
      </c>
      <c r="C9124">
        <v>75</v>
      </c>
      <c r="D9124">
        <v>30</v>
      </c>
      <c r="E9124" s="80">
        <v>35698</v>
      </c>
    </row>
    <row r="9125" spans="1:5">
      <c r="A9125">
        <v>10682</v>
      </c>
      <c r="B9125" t="s">
        <v>175</v>
      </c>
      <c r="C9125">
        <v>75</v>
      </c>
      <c r="D9125">
        <v>30</v>
      </c>
      <c r="E9125" s="80">
        <v>35698</v>
      </c>
    </row>
    <row r="9126" spans="1:5">
      <c r="A9126">
        <v>10682</v>
      </c>
      <c r="B9126" t="s">
        <v>176</v>
      </c>
      <c r="C9126">
        <v>75</v>
      </c>
      <c r="D9126">
        <v>30</v>
      </c>
      <c r="E9126" s="80">
        <v>35698</v>
      </c>
    </row>
    <row r="9127" spans="1:5">
      <c r="A9127">
        <v>10682</v>
      </c>
      <c r="B9127" t="s">
        <v>177</v>
      </c>
      <c r="C9127">
        <v>75</v>
      </c>
      <c r="D9127">
        <v>30</v>
      </c>
      <c r="E9127" s="80">
        <v>35698</v>
      </c>
    </row>
    <row r="9128" spans="1:5">
      <c r="A9128">
        <v>10682</v>
      </c>
      <c r="B9128" t="s">
        <v>178</v>
      </c>
      <c r="C9128">
        <v>75</v>
      </c>
      <c r="D9128">
        <v>30</v>
      </c>
      <c r="E9128" s="80">
        <v>35698</v>
      </c>
    </row>
    <row r="9129" spans="1:5">
      <c r="A9129">
        <v>10682</v>
      </c>
      <c r="B9129" t="s">
        <v>179</v>
      </c>
      <c r="C9129">
        <v>75</v>
      </c>
      <c r="D9129">
        <v>30</v>
      </c>
      <c r="E9129" s="80">
        <v>35698</v>
      </c>
    </row>
    <row r="9130" spans="1:5">
      <c r="A9130">
        <v>10682</v>
      </c>
      <c r="B9130" t="s">
        <v>172</v>
      </c>
      <c r="C9130">
        <v>68</v>
      </c>
      <c r="D9130">
        <v>4</v>
      </c>
      <c r="E9130" s="80">
        <v>35698</v>
      </c>
    </row>
    <row r="9131" spans="1:5">
      <c r="A9131">
        <v>10682</v>
      </c>
      <c r="B9131" t="s">
        <v>173</v>
      </c>
      <c r="C9131">
        <v>68</v>
      </c>
      <c r="D9131">
        <v>4</v>
      </c>
      <c r="E9131" s="80">
        <v>35698</v>
      </c>
    </row>
    <row r="9132" spans="1:5">
      <c r="A9132">
        <v>10682</v>
      </c>
      <c r="B9132" t="s">
        <v>174</v>
      </c>
      <c r="C9132">
        <v>68</v>
      </c>
      <c r="D9132">
        <v>4</v>
      </c>
      <c r="E9132" s="80">
        <v>35698</v>
      </c>
    </row>
    <row r="9133" spans="1:5">
      <c r="A9133">
        <v>10682</v>
      </c>
      <c r="B9133" t="s">
        <v>175</v>
      </c>
      <c r="C9133">
        <v>68</v>
      </c>
      <c r="D9133">
        <v>4</v>
      </c>
      <c r="E9133" s="80">
        <v>35698</v>
      </c>
    </row>
    <row r="9134" spans="1:5">
      <c r="A9134">
        <v>10682</v>
      </c>
      <c r="B9134" t="s">
        <v>176</v>
      </c>
      <c r="C9134">
        <v>68</v>
      </c>
      <c r="D9134">
        <v>4</v>
      </c>
      <c r="E9134" s="80">
        <v>35698</v>
      </c>
    </row>
    <row r="9135" spans="1:5">
      <c r="A9135">
        <v>10682</v>
      </c>
      <c r="B9135" t="s">
        <v>177</v>
      </c>
      <c r="C9135">
        <v>68</v>
      </c>
      <c r="D9135">
        <v>4</v>
      </c>
      <c r="E9135" s="80">
        <v>35698</v>
      </c>
    </row>
    <row r="9136" spans="1:5">
      <c r="A9136">
        <v>10682</v>
      </c>
      <c r="B9136" t="s">
        <v>178</v>
      </c>
      <c r="C9136">
        <v>68</v>
      </c>
      <c r="D9136">
        <v>4</v>
      </c>
      <c r="E9136" s="80">
        <v>35698</v>
      </c>
    </row>
    <row r="9137" spans="1:5">
      <c r="A9137">
        <v>10682</v>
      </c>
      <c r="B9137" t="s">
        <v>179</v>
      </c>
      <c r="C9137">
        <v>68</v>
      </c>
      <c r="D9137">
        <v>4</v>
      </c>
      <c r="E9137" s="80">
        <v>35698</v>
      </c>
    </row>
    <row r="9138" spans="1:5">
      <c r="A9138">
        <v>10682</v>
      </c>
      <c r="B9138" t="s">
        <v>172</v>
      </c>
      <c r="C9138">
        <v>232.5</v>
      </c>
      <c r="D9138">
        <v>30</v>
      </c>
      <c r="E9138" s="80">
        <v>35698</v>
      </c>
    </row>
    <row r="9139" spans="1:5">
      <c r="A9139">
        <v>10682</v>
      </c>
      <c r="B9139" t="s">
        <v>173</v>
      </c>
      <c r="C9139">
        <v>232.5</v>
      </c>
      <c r="D9139">
        <v>30</v>
      </c>
      <c r="E9139" s="80">
        <v>35698</v>
      </c>
    </row>
    <row r="9140" spans="1:5">
      <c r="A9140">
        <v>10682</v>
      </c>
      <c r="B9140" t="s">
        <v>174</v>
      </c>
      <c r="C9140">
        <v>232.5</v>
      </c>
      <c r="D9140">
        <v>30</v>
      </c>
      <c r="E9140" s="80">
        <v>35698</v>
      </c>
    </row>
    <row r="9141" spans="1:5">
      <c r="A9141">
        <v>10682</v>
      </c>
      <c r="B9141" t="s">
        <v>175</v>
      </c>
      <c r="C9141">
        <v>232.5</v>
      </c>
      <c r="D9141">
        <v>30</v>
      </c>
      <c r="E9141" s="80">
        <v>35698</v>
      </c>
    </row>
    <row r="9142" spans="1:5">
      <c r="A9142">
        <v>10682</v>
      </c>
      <c r="B9142" t="s">
        <v>176</v>
      </c>
      <c r="C9142">
        <v>232.5</v>
      </c>
      <c r="D9142">
        <v>30</v>
      </c>
      <c r="E9142" s="80">
        <v>35698</v>
      </c>
    </row>
    <row r="9143" spans="1:5">
      <c r="A9143">
        <v>10682</v>
      </c>
      <c r="B9143" t="s">
        <v>177</v>
      </c>
      <c r="C9143">
        <v>232.5</v>
      </c>
      <c r="D9143">
        <v>30</v>
      </c>
      <c r="E9143" s="80">
        <v>35698</v>
      </c>
    </row>
    <row r="9144" spans="1:5">
      <c r="A9144">
        <v>10682</v>
      </c>
      <c r="B9144" t="s">
        <v>178</v>
      </c>
      <c r="C9144">
        <v>232.5</v>
      </c>
      <c r="D9144">
        <v>30</v>
      </c>
      <c r="E9144" s="80">
        <v>35698</v>
      </c>
    </row>
    <row r="9145" spans="1:5">
      <c r="A9145">
        <v>10682</v>
      </c>
      <c r="B9145" t="s">
        <v>179</v>
      </c>
      <c r="C9145">
        <v>232.5</v>
      </c>
      <c r="D9145">
        <v>30</v>
      </c>
      <c r="E9145" s="80">
        <v>35698</v>
      </c>
    </row>
    <row r="9146" spans="1:5">
      <c r="A9146">
        <v>10683</v>
      </c>
      <c r="B9146" t="s">
        <v>172</v>
      </c>
      <c r="C9146">
        <v>63</v>
      </c>
      <c r="D9146">
        <v>9</v>
      </c>
      <c r="E9146" s="80">
        <v>35699</v>
      </c>
    </row>
    <row r="9147" spans="1:5">
      <c r="A9147">
        <v>10683</v>
      </c>
      <c r="B9147" t="s">
        <v>173</v>
      </c>
      <c r="C9147">
        <v>63</v>
      </c>
      <c r="D9147">
        <v>9</v>
      </c>
      <c r="E9147" s="80">
        <v>35699</v>
      </c>
    </row>
    <row r="9148" spans="1:5">
      <c r="A9148">
        <v>10683</v>
      </c>
      <c r="B9148" t="s">
        <v>174</v>
      </c>
      <c r="C9148">
        <v>63</v>
      </c>
      <c r="D9148">
        <v>9</v>
      </c>
      <c r="E9148" s="80">
        <v>35699</v>
      </c>
    </row>
    <row r="9149" spans="1:5">
      <c r="A9149">
        <v>10683</v>
      </c>
      <c r="B9149" t="s">
        <v>175</v>
      </c>
      <c r="C9149">
        <v>63</v>
      </c>
      <c r="D9149">
        <v>9</v>
      </c>
      <c r="E9149" s="80">
        <v>35699</v>
      </c>
    </row>
    <row r="9150" spans="1:5">
      <c r="A9150">
        <v>10683</v>
      </c>
      <c r="B9150" t="s">
        <v>176</v>
      </c>
      <c r="C9150">
        <v>63</v>
      </c>
      <c r="D9150">
        <v>9</v>
      </c>
      <c r="E9150" s="80">
        <v>35699</v>
      </c>
    </row>
    <row r="9151" spans="1:5">
      <c r="A9151">
        <v>10683</v>
      </c>
      <c r="B9151" t="s">
        <v>177</v>
      </c>
      <c r="C9151">
        <v>63</v>
      </c>
      <c r="D9151">
        <v>9</v>
      </c>
      <c r="E9151" s="80">
        <v>35699</v>
      </c>
    </row>
    <row r="9152" spans="1:5">
      <c r="A9152">
        <v>10683</v>
      </c>
      <c r="B9152" t="s">
        <v>178</v>
      </c>
      <c r="C9152">
        <v>63</v>
      </c>
      <c r="D9152">
        <v>9</v>
      </c>
      <c r="E9152" s="80">
        <v>35699</v>
      </c>
    </row>
    <row r="9153" spans="1:5">
      <c r="A9153">
        <v>10683</v>
      </c>
      <c r="B9153" t="s">
        <v>179</v>
      </c>
      <c r="C9153">
        <v>63</v>
      </c>
      <c r="D9153">
        <v>9</v>
      </c>
      <c r="E9153" s="80">
        <v>35699</v>
      </c>
    </row>
    <row r="9154" spans="1:5">
      <c r="A9154">
        <v>10684</v>
      </c>
      <c r="B9154" t="s">
        <v>172</v>
      </c>
      <c r="C9154">
        <v>368</v>
      </c>
      <c r="D9154">
        <v>20</v>
      </c>
      <c r="E9154" s="80">
        <v>35699</v>
      </c>
    </row>
    <row r="9155" spans="1:5">
      <c r="A9155">
        <v>10684</v>
      </c>
      <c r="B9155" t="s">
        <v>173</v>
      </c>
      <c r="C9155">
        <v>368</v>
      </c>
      <c r="D9155">
        <v>20</v>
      </c>
      <c r="E9155" s="80">
        <v>35699</v>
      </c>
    </row>
    <row r="9156" spans="1:5">
      <c r="A9156">
        <v>10684</v>
      </c>
      <c r="B9156" t="s">
        <v>174</v>
      </c>
      <c r="C9156">
        <v>368</v>
      </c>
      <c r="D9156">
        <v>20</v>
      </c>
      <c r="E9156" s="80">
        <v>35699</v>
      </c>
    </row>
    <row r="9157" spans="1:5">
      <c r="A9157">
        <v>10684</v>
      </c>
      <c r="B9157" t="s">
        <v>175</v>
      </c>
      <c r="C9157">
        <v>368</v>
      </c>
      <c r="D9157">
        <v>20</v>
      </c>
      <c r="E9157" s="80">
        <v>35699</v>
      </c>
    </row>
    <row r="9158" spans="1:5">
      <c r="A9158">
        <v>10684</v>
      </c>
      <c r="B9158" t="s">
        <v>176</v>
      </c>
      <c r="C9158">
        <v>368</v>
      </c>
      <c r="D9158">
        <v>20</v>
      </c>
      <c r="E9158" s="80">
        <v>35699</v>
      </c>
    </row>
    <row r="9159" spans="1:5">
      <c r="A9159">
        <v>10684</v>
      </c>
      <c r="B9159" t="s">
        <v>177</v>
      </c>
      <c r="C9159">
        <v>368</v>
      </c>
      <c r="D9159">
        <v>20</v>
      </c>
      <c r="E9159" s="80">
        <v>35699</v>
      </c>
    </row>
    <row r="9160" spans="1:5">
      <c r="A9160">
        <v>10684</v>
      </c>
      <c r="B9160" t="s">
        <v>178</v>
      </c>
      <c r="C9160">
        <v>368</v>
      </c>
      <c r="D9160">
        <v>20</v>
      </c>
      <c r="E9160" s="80">
        <v>35699</v>
      </c>
    </row>
    <row r="9161" spans="1:5">
      <c r="A9161">
        <v>10684</v>
      </c>
      <c r="B9161" t="s">
        <v>179</v>
      </c>
      <c r="C9161">
        <v>368</v>
      </c>
      <c r="D9161">
        <v>20</v>
      </c>
      <c r="E9161" s="80">
        <v>35699</v>
      </c>
    </row>
    <row r="9162" spans="1:5">
      <c r="A9162">
        <v>10684</v>
      </c>
      <c r="B9162" t="s">
        <v>172</v>
      </c>
      <c r="C9162">
        <v>380</v>
      </c>
      <c r="D9162">
        <v>40</v>
      </c>
      <c r="E9162" s="80">
        <v>35699</v>
      </c>
    </row>
    <row r="9163" spans="1:5">
      <c r="A9163">
        <v>10684</v>
      </c>
      <c r="B9163" t="s">
        <v>173</v>
      </c>
      <c r="C9163">
        <v>380</v>
      </c>
      <c r="D9163">
        <v>40</v>
      </c>
      <c r="E9163" s="80">
        <v>35699</v>
      </c>
    </row>
    <row r="9164" spans="1:5">
      <c r="A9164">
        <v>10684</v>
      </c>
      <c r="B9164" t="s">
        <v>174</v>
      </c>
      <c r="C9164">
        <v>380</v>
      </c>
      <c r="D9164">
        <v>40</v>
      </c>
      <c r="E9164" s="80">
        <v>35699</v>
      </c>
    </row>
    <row r="9165" spans="1:5">
      <c r="A9165">
        <v>10684</v>
      </c>
      <c r="B9165" t="s">
        <v>175</v>
      </c>
      <c r="C9165">
        <v>380</v>
      </c>
      <c r="D9165">
        <v>40</v>
      </c>
      <c r="E9165" s="80">
        <v>35699</v>
      </c>
    </row>
    <row r="9166" spans="1:5">
      <c r="A9166">
        <v>10684</v>
      </c>
      <c r="B9166" t="s">
        <v>176</v>
      </c>
      <c r="C9166">
        <v>380</v>
      </c>
      <c r="D9166">
        <v>40</v>
      </c>
      <c r="E9166" s="80">
        <v>35699</v>
      </c>
    </row>
    <row r="9167" spans="1:5">
      <c r="A9167">
        <v>10684</v>
      </c>
      <c r="B9167" t="s">
        <v>177</v>
      </c>
      <c r="C9167">
        <v>380</v>
      </c>
      <c r="D9167">
        <v>40</v>
      </c>
      <c r="E9167" s="80">
        <v>35699</v>
      </c>
    </row>
    <row r="9168" spans="1:5">
      <c r="A9168">
        <v>10684</v>
      </c>
      <c r="B9168" t="s">
        <v>178</v>
      </c>
      <c r="C9168">
        <v>380</v>
      </c>
      <c r="D9168">
        <v>40</v>
      </c>
      <c r="E9168" s="80">
        <v>35699</v>
      </c>
    </row>
    <row r="9169" spans="1:5">
      <c r="A9169">
        <v>10684</v>
      </c>
      <c r="B9169" t="s">
        <v>179</v>
      </c>
      <c r="C9169">
        <v>380</v>
      </c>
      <c r="D9169">
        <v>40</v>
      </c>
      <c r="E9169" s="80">
        <v>35699</v>
      </c>
    </row>
    <row r="9170" spans="1:5">
      <c r="A9170">
        <v>10684</v>
      </c>
      <c r="B9170" t="s">
        <v>172</v>
      </c>
      <c r="C9170">
        <v>1020</v>
      </c>
      <c r="D9170">
        <v>30</v>
      </c>
      <c r="E9170" s="80">
        <v>35699</v>
      </c>
    </row>
    <row r="9171" spans="1:5">
      <c r="A9171">
        <v>10684</v>
      </c>
      <c r="B9171" t="s">
        <v>173</v>
      </c>
      <c r="C9171">
        <v>1020</v>
      </c>
      <c r="D9171">
        <v>30</v>
      </c>
      <c r="E9171" s="80">
        <v>35699</v>
      </c>
    </row>
    <row r="9172" spans="1:5">
      <c r="A9172">
        <v>10684</v>
      </c>
      <c r="B9172" t="s">
        <v>174</v>
      </c>
      <c r="C9172">
        <v>1020</v>
      </c>
      <c r="D9172">
        <v>30</v>
      </c>
      <c r="E9172" s="80">
        <v>35699</v>
      </c>
    </row>
    <row r="9173" spans="1:5">
      <c r="A9173">
        <v>10684</v>
      </c>
      <c r="B9173" t="s">
        <v>175</v>
      </c>
      <c r="C9173">
        <v>1020</v>
      </c>
      <c r="D9173">
        <v>30</v>
      </c>
      <c r="E9173" s="80">
        <v>35699</v>
      </c>
    </row>
    <row r="9174" spans="1:5">
      <c r="A9174">
        <v>10684</v>
      </c>
      <c r="B9174" t="s">
        <v>176</v>
      </c>
      <c r="C9174">
        <v>1020</v>
      </c>
      <c r="D9174">
        <v>30</v>
      </c>
      <c r="E9174" s="80">
        <v>35699</v>
      </c>
    </row>
    <row r="9175" spans="1:5">
      <c r="A9175">
        <v>10684</v>
      </c>
      <c r="B9175" t="s">
        <v>177</v>
      </c>
      <c r="C9175">
        <v>1020</v>
      </c>
      <c r="D9175">
        <v>30</v>
      </c>
      <c r="E9175" s="80">
        <v>35699</v>
      </c>
    </row>
    <row r="9176" spans="1:5">
      <c r="A9176">
        <v>10684</v>
      </c>
      <c r="B9176" t="s">
        <v>178</v>
      </c>
      <c r="C9176">
        <v>1020</v>
      </c>
      <c r="D9176">
        <v>30</v>
      </c>
      <c r="E9176" s="80">
        <v>35699</v>
      </c>
    </row>
    <row r="9177" spans="1:5">
      <c r="A9177">
        <v>10684</v>
      </c>
      <c r="B9177" t="s">
        <v>179</v>
      </c>
      <c r="C9177">
        <v>1020</v>
      </c>
      <c r="D9177">
        <v>30</v>
      </c>
      <c r="E9177" s="80">
        <v>35699</v>
      </c>
    </row>
    <row r="9178" spans="1:5">
      <c r="A9178">
        <v>10685</v>
      </c>
      <c r="B9178" t="s">
        <v>172</v>
      </c>
      <c r="C9178">
        <v>620</v>
      </c>
      <c r="D9178">
        <v>20</v>
      </c>
      <c r="E9178" s="80">
        <v>35702</v>
      </c>
    </row>
    <row r="9179" spans="1:5">
      <c r="A9179">
        <v>10685</v>
      </c>
      <c r="B9179" t="s">
        <v>173</v>
      </c>
      <c r="C9179">
        <v>620</v>
      </c>
      <c r="D9179">
        <v>20</v>
      </c>
      <c r="E9179" s="80">
        <v>35702</v>
      </c>
    </row>
    <row r="9180" spans="1:5">
      <c r="A9180">
        <v>10685</v>
      </c>
      <c r="B9180" t="s">
        <v>174</v>
      </c>
      <c r="C9180">
        <v>620</v>
      </c>
      <c r="D9180">
        <v>20</v>
      </c>
      <c r="E9180" s="80">
        <v>35702</v>
      </c>
    </row>
    <row r="9181" spans="1:5">
      <c r="A9181">
        <v>10685</v>
      </c>
      <c r="B9181" t="s">
        <v>175</v>
      </c>
      <c r="C9181">
        <v>620</v>
      </c>
      <c r="D9181">
        <v>20</v>
      </c>
      <c r="E9181" s="80">
        <v>35702</v>
      </c>
    </row>
    <row r="9182" spans="1:5">
      <c r="A9182">
        <v>10685</v>
      </c>
      <c r="B9182" t="s">
        <v>176</v>
      </c>
      <c r="C9182">
        <v>620</v>
      </c>
      <c r="D9182">
        <v>20</v>
      </c>
      <c r="E9182" s="80">
        <v>35702</v>
      </c>
    </row>
    <row r="9183" spans="1:5">
      <c r="A9183">
        <v>10685</v>
      </c>
      <c r="B9183" t="s">
        <v>177</v>
      </c>
      <c r="C9183">
        <v>620</v>
      </c>
      <c r="D9183">
        <v>20</v>
      </c>
      <c r="E9183" s="80">
        <v>35702</v>
      </c>
    </row>
    <row r="9184" spans="1:5">
      <c r="A9184">
        <v>10685</v>
      </c>
      <c r="B9184" t="s">
        <v>178</v>
      </c>
      <c r="C9184">
        <v>620</v>
      </c>
      <c r="D9184">
        <v>20</v>
      </c>
      <c r="E9184" s="80">
        <v>35702</v>
      </c>
    </row>
    <row r="9185" spans="1:5">
      <c r="A9185">
        <v>10685</v>
      </c>
      <c r="B9185" t="s">
        <v>179</v>
      </c>
      <c r="C9185">
        <v>620</v>
      </c>
      <c r="D9185">
        <v>20</v>
      </c>
      <c r="E9185" s="80">
        <v>35702</v>
      </c>
    </row>
    <row r="9186" spans="1:5">
      <c r="A9186">
        <v>10685</v>
      </c>
      <c r="B9186" t="s">
        <v>172</v>
      </c>
      <c r="C9186">
        <v>38.6</v>
      </c>
      <c r="D9186">
        <v>4</v>
      </c>
      <c r="E9186" s="80">
        <v>35702</v>
      </c>
    </row>
    <row r="9187" spans="1:5">
      <c r="A9187">
        <v>10685</v>
      </c>
      <c r="B9187" t="s">
        <v>173</v>
      </c>
      <c r="C9187">
        <v>38.6</v>
      </c>
      <c r="D9187">
        <v>4</v>
      </c>
      <c r="E9187" s="80">
        <v>35702</v>
      </c>
    </row>
    <row r="9188" spans="1:5">
      <c r="A9188">
        <v>10685</v>
      </c>
      <c r="B9188" t="s">
        <v>174</v>
      </c>
      <c r="C9188">
        <v>38.6</v>
      </c>
      <c r="D9188">
        <v>4</v>
      </c>
      <c r="E9188" s="80">
        <v>35702</v>
      </c>
    </row>
    <row r="9189" spans="1:5">
      <c r="A9189">
        <v>10685</v>
      </c>
      <c r="B9189" t="s">
        <v>175</v>
      </c>
      <c r="C9189">
        <v>38.6</v>
      </c>
      <c r="D9189">
        <v>4</v>
      </c>
      <c r="E9189" s="80">
        <v>35702</v>
      </c>
    </row>
    <row r="9190" spans="1:5">
      <c r="A9190">
        <v>10685</v>
      </c>
      <c r="B9190" t="s">
        <v>176</v>
      </c>
      <c r="C9190">
        <v>38.6</v>
      </c>
      <c r="D9190">
        <v>4</v>
      </c>
      <c r="E9190" s="80">
        <v>35702</v>
      </c>
    </row>
    <row r="9191" spans="1:5">
      <c r="A9191">
        <v>10685</v>
      </c>
      <c r="B9191" t="s">
        <v>177</v>
      </c>
      <c r="C9191">
        <v>38.6</v>
      </c>
      <c r="D9191">
        <v>4</v>
      </c>
      <c r="E9191" s="80">
        <v>35702</v>
      </c>
    </row>
    <row r="9192" spans="1:5">
      <c r="A9192">
        <v>10685</v>
      </c>
      <c r="B9192" t="s">
        <v>178</v>
      </c>
      <c r="C9192">
        <v>38.6</v>
      </c>
      <c r="D9192">
        <v>4</v>
      </c>
      <c r="E9192" s="80">
        <v>35702</v>
      </c>
    </row>
    <row r="9193" spans="1:5">
      <c r="A9193">
        <v>10685</v>
      </c>
      <c r="B9193" t="s">
        <v>179</v>
      </c>
      <c r="C9193">
        <v>38.6</v>
      </c>
      <c r="D9193">
        <v>4</v>
      </c>
      <c r="E9193" s="80">
        <v>35702</v>
      </c>
    </row>
    <row r="9194" spans="1:5">
      <c r="A9194">
        <v>10685</v>
      </c>
      <c r="B9194" t="s">
        <v>172</v>
      </c>
      <c r="C9194">
        <v>142.5</v>
      </c>
      <c r="D9194">
        <v>15</v>
      </c>
      <c r="E9194" s="80">
        <v>35702</v>
      </c>
    </row>
    <row r="9195" spans="1:5">
      <c r="A9195">
        <v>10685</v>
      </c>
      <c r="B9195" t="s">
        <v>173</v>
      </c>
      <c r="C9195">
        <v>142.5</v>
      </c>
      <c r="D9195">
        <v>15</v>
      </c>
      <c r="E9195" s="80">
        <v>35702</v>
      </c>
    </row>
    <row r="9196" spans="1:5">
      <c r="A9196">
        <v>10685</v>
      </c>
      <c r="B9196" t="s">
        <v>174</v>
      </c>
      <c r="C9196">
        <v>142.5</v>
      </c>
      <c r="D9196">
        <v>15</v>
      </c>
      <c r="E9196" s="80">
        <v>35702</v>
      </c>
    </row>
    <row r="9197" spans="1:5">
      <c r="A9197">
        <v>10685</v>
      </c>
      <c r="B9197" t="s">
        <v>175</v>
      </c>
      <c r="C9197">
        <v>142.5</v>
      </c>
      <c r="D9197">
        <v>15</v>
      </c>
      <c r="E9197" s="80">
        <v>35702</v>
      </c>
    </row>
    <row r="9198" spans="1:5">
      <c r="A9198">
        <v>10685</v>
      </c>
      <c r="B9198" t="s">
        <v>176</v>
      </c>
      <c r="C9198">
        <v>142.5</v>
      </c>
      <c r="D9198">
        <v>15</v>
      </c>
      <c r="E9198" s="80">
        <v>35702</v>
      </c>
    </row>
    <row r="9199" spans="1:5">
      <c r="A9199">
        <v>10685</v>
      </c>
      <c r="B9199" t="s">
        <v>177</v>
      </c>
      <c r="C9199">
        <v>142.5</v>
      </c>
      <c r="D9199">
        <v>15</v>
      </c>
      <c r="E9199" s="80">
        <v>35702</v>
      </c>
    </row>
    <row r="9200" spans="1:5">
      <c r="A9200">
        <v>10685</v>
      </c>
      <c r="B9200" t="s">
        <v>178</v>
      </c>
      <c r="C9200">
        <v>142.5</v>
      </c>
      <c r="D9200">
        <v>15</v>
      </c>
      <c r="E9200" s="80">
        <v>35702</v>
      </c>
    </row>
    <row r="9201" spans="1:5">
      <c r="A9201">
        <v>10685</v>
      </c>
      <c r="B9201" t="s">
        <v>179</v>
      </c>
      <c r="C9201">
        <v>142.5</v>
      </c>
      <c r="D9201">
        <v>15</v>
      </c>
      <c r="E9201" s="80">
        <v>35702</v>
      </c>
    </row>
    <row r="9202" spans="1:5">
      <c r="A9202">
        <v>10686</v>
      </c>
      <c r="B9202" t="s">
        <v>172</v>
      </c>
      <c r="C9202">
        <v>935.99999651312828</v>
      </c>
      <c r="D9202">
        <v>30</v>
      </c>
      <c r="E9202" s="80">
        <v>35703</v>
      </c>
    </row>
    <row r="9203" spans="1:5">
      <c r="A9203">
        <v>10686</v>
      </c>
      <c r="B9203" t="s">
        <v>173</v>
      </c>
      <c r="C9203">
        <v>935.99999651312828</v>
      </c>
      <c r="D9203">
        <v>30</v>
      </c>
      <c r="E9203" s="80">
        <v>35703</v>
      </c>
    </row>
    <row r="9204" spans="1:5">
      <c r="A9204">
        <v>10686</v>
      </c>
      <c r="B9204" t="s">
        <v>174</v>
      </c>
      <c r="C9204">
        <v>935.99999651312828</v>
      </c>
      <c r="D9204">
        <v>30</v>
      </c>
      <c r="E9204" s="80">
        <v>35703</v>
      </c>
    </row>
    <row r="9205" spans="1:5">
      <c r="A9205">
        <v>10686</v>
      </c>
      <c r="B9205" t="s">
        <v>175</v>
      </c>
      <c r="C9205">
        <v>935.99999651312828</v>
      </c>
      <c r="D9205">
        <v>30</v>
      </c>
      <c r="E9205" s="80">
        <v>35703</v>
      </c>
    </row>
    <row r="9206" spans="1:5">
      <c r="A9206">
        <v>10686</v>
      </c>
      <c r="B9206" t="s">
        <v>176</v>
      </c>
      <c r="C9206">
        <v>935.99999651312828</v>
      </c>
      <c r="D9206">
        <v>30</v>
      </c>
      <c r="E9206" s="80">
        <v>35703</v>
      </c>
    </row>
    <row r="9207" spans="1:5">
      <c r="A9207">
        <v>10686</v>
      </c>
      <c r="B9207" t="s">
        <v>177</v>
      </c>
      <c r="C9207">
        <v>935.99999651312828</v>
      </c>
      <c r="D9207">
        <v>30</v>
      </c>
      <c r="E9207" s="80">
        <v>35703</v>
      </c>
    </row>
    <row r="9208" spans="1:5">
      <c r="A9208">
        <v>10686</v>
      </c>
      <c r="B9208" t="s">
        <v>178</v>
      </c>
      <c r="C9208">
        <v>935.99999651312828</v>
      </c>
      <c r="D9208">
        <v>30</v>
      </c>
      <c r="E9208" s="80">
        <v>35703</v>
      </c>
    </row>
    <row r="9209" spans="1:5">
      <c r="A9209">
        <v>10686</v>
      </c>
      <c r="B9209" t="s">
        <v>179</v>
      </c>
      <c r="C9209">
        <v>935.99999651312828</v>
      </c>
      <c r="D9209">
        <v>30</v>
      </c>
      <c r="E9209" s="80">
        <v>35703</v>
      </c>
    </row>
    <row r="9210" spans="1:5">
      <c r="A9210">
        <v>10686</v>
      </c>
      <c r="B9210" t="s">
        <v>172</v>
      </c>
      <c r="C9210">
        <v>468.45</v>
      </c>
      <c r="D9210">
        <v>15</v>
      </c>
      <c r="E9210" s="80">
        <v>35703</v>
      </c>
    </row>
    <row r="9211" spans="1:5">
      <c r="A9211">
        <v>10686</v>
      </c>
      <c r="B9211" t="s">
        <v>173</v>
      </c>
      <c r="C9211">
        <v>468.45</v>
      </c>
      <c r="D9211">
        <v>15</v>
      </c>
      <c r="E9211" s="80">
        <v>35703</v>
      </c>
    </row>
    <row r="9212" spans="1:5">
      <c r="A9212">
        <v>10686</v>
      </c>
      <c r="B9212" t="s">
        <v>174</v>
      </c>
      <c r="C9212">
        <v>468.45</v>
      </c>
      <c r="D9212">
        <v>15</v>
      </c>
      <c r="E9212" s="80">
        <v>35703</v>
      </c>
    </row>
    <row r="9213" spans="1:5">
      <c r="A9213">
        <v>10686</v>
      </c>
      <c r="B9213" t="s">
        <v>175</v>
      </c>
      <c r="C9213">
        <v>468.45</v>
      </c>
      <c r="D9213">
        <v>15</v>
      </c>
      <c r="E9213" s="80">
        <v>35703</v>
      </c>
    </row>
    <row r="9214" spans="1:5">
      <c r="A9214">
        <v>10686</v>
      </c>
      <c r="B9214" t="s">
        <v>176</v>
      </c>
      <c r="C9214">
        <v>468.45</v>
      </c>
      <c r="D9214">
        <v>15</v>
      </c>
      <c r="E9214" s="80">
        <v>35703</v>
      </c>
    </row>
    <row r="9215" spans="1:5">
      <c r="A9215">
        <v>10686</v>
      </c>
      <c r="B9215" t="s">
        <v>177</v>
      </c>
      <c r="C9215">
        <v>468.45</v>
      </c>
      <c r="D9215">
        <v>15</v>
      </c>
      <c r="E9215" s="80">
        <v>35703</v>
      </c>
    </row>
    <row r="9216" spans="1:5">
      <c r="A9216">
        <v>10686</v>
      </c>
      <c r="B9216" t="s">
        <v>178</v>
      </c>
      <c r="C9216">
        <v>468.45</v>
      </c>
      <c r="D9216">
        <v>15</v>
      </c>
      <c r="E9216" s="80">
        <v>35703</v>
      </c>
    </row>
    <row r="9217" spans="1:5">
      <c r="A9217">
        <v>10686</v>
      </c>
      <c r="B9217" t="s">
        <v>179</v>
      </c>
      <c r="C9217">
        <v>468.45</v>
      </c>
      <c r="D9217">
        <v>15</v>
      </c>
      <c r="E9217" s="80">
        <v>35703</v>
      </c>
    </row>
    <row r="9218" spans="1:5">
      <c r="A9218">
        <v>10687</v>
      </c>
      <c r="B9218" t="s">
        <v>172</v>
      </c>
      <c r="C9218">
        <v>3637.5</v>
      </c>
      <c r="D9218">
        <v>50</v>
      </c>
      <c r="E9218" s="80">
        <v>35703</v>
      </c>
    </row>
    <row r="9219" spans="1:5">
      <c r="A9219">
        <v>10687</v>
      </c>
      <c r="B9219" t="s">
        <v>173</v>
      </c>
      <c r="C9219">
        <v>3637.5</v>
      </c>
      <c r="D9219">
        <v>50</v>
      </c>
      <c r="E9219" s="80">
        <v>35703</v>
      </c>
    </row>
    <row r="9220" spans="1:5">
      <c r="A9220">
        <v>10687</v>
      </c>
      <c r="B9220" t="s">
        <v>174</v>
      </c>
      <c r="C9220">
        <v>3637.5</v>
      </c>
      <c r="D9220">
        <v>50</v>
      </c>
      <c r="E9220" s="80">
        <v>35703</v>
      </c>
    </row>
    <row r="9221" spans="1:5">
      <c r="A9221">
        <v>10687</v>
      </c>
      <c r="B9221" t="s">
        <v>175</v>
      </c>
      <c r="C9221">
        <v>3637.5</v>
      </c>
      <c r="D9221">
        <v>50</v>
      </c>
      <c r="E9221" s="80">
        <v>35703</v>
      </c>
    </row>
    <row r="9222" spans="1:5">
      <c r="A9222">
        <v>10687</v>
      </c>
      <c r="B9222" t="s">
        <v>176</v>
      </c>
      <c r="C9222">
        <v>3637.5</v>
      </c>
      <c r="D9222">
        <v>50</v>
      </c>
      <c r="E9222" s="80">
        <v>35703</v>
      </c>
    </row>
    <row r="9223" spans="1:5">
      <c r="A9223">
        <v>10687</v>
      </c>
      <c r="B9223" t="s">
        <v>177</v>
      </c>
      <c r="C9223">
        <v>3637.5</v>
      </c>
      <c r="D9223">
        <v>50</v>
      </c>
      <c r="E9223" s="80">
        <v>35703</v>
      </c>
    </row>
    <row r="9224" spans="1:5">
      <c r="A9224">
        <v>10687</v>
      </c>
      <c r="B9224" t="s">
        <v>178</v>
      </c>
      <c r="C9224">
        <v>3637.5</v>
      </c>
      <c r="D9224">
        <v>50</v>
      </c>
      <c r="E9224" s="80">
        <v>35703</v>
      </c>
    </row>
    <row r="9225" spans="1:5">
      <c r="A9225">
        <v>10687</v>
      </c>
      <c r="B9225" t="s">
        <v>179</v>
      </c>
      <c r="C9225">
        <v>3637.5</v>
      </c>
      <c r="D9225">
        <v>50</v>
      </c>
      <c r="E9225" s="80">
        <v>35703</v>
      </c>
    </row>
    <row r="9226" spans="1:5">
      <c r="A9226">
        <v>10687</v>
      </c>
      <c r="B9226" t="s">
        <v>172</v>
      </c>
      <c r="C9226">
        <v>1237.9000000000001</v>
      </c>
      <c r="D9226">
        <v>10</v>
      </c>
      <c r="E9226" s="80">
        <v>35703</v>
      </c>
    </row>
    <row r="9227" spans="1:5">
      <c r="A9227">
        <v>10687</v>
      </c>
      <c r="B9227" t="s">
        <v>173</v>
      </c>
      <c r="C9227">
        <v>1237.9000000000001</v>
      </c>
      <c r="D9227">
        <v>10</v>
      </c>
      <c r="E9227" s="80">
        <v>35703</v>
      </c>
    </row>
    <row r="9228" spans="1:5">
      <c r="A9228">
        <v>10687</v>
      </c>
      <c r="B9228" t="s">
        <v>174</v>
      </c>
      <c r="C9228">
        <v>1237.9000000000001</v>
      </c>
      <c r="D9228">
        <v>10</v>
      </c>
      <c r="E9228" s="80">
        <v>35703</v>
      </c>
    </row>
    <row r="9229" spans="1:5">
      <c r="A9229">
        <v>10687</v>
      </c>
      <c r="B9229" t="s">
        <v>175</v>
      </c>
      <c r="C9229">
        <v>1237.9000000000001</v>
      </c>
      <c r="D9229">
        <v>10</v>
      </c>
      <c r="E9229" s="80">
        <v>35703</v>
      </c>
    </row>
    <row r="9230" spans="1:5">
      <c r="A9230">
        <v>10687</v>
      </c>
      <c r="B9230" t="s">
        <v>176</v>
      </c>
      <c r="C9230">
        <v>1237.9000000000001</v>
      </c>
      <c r="D9230">
        <v>10</v>
      </c>
      <c r="E9230" s="80">
        <v>35703</v>
      </c>
    </row>
    <row r="9231" spans="1:5">
      <c r="A9231">
        <v>10687</v>
      </c>
      <c r="B9231" t="s">
        <v>177</v>
      </c>
      <c r="C9231">
        <v>1237.9000000000001</v>
      </c>
      <c r="D9231">
        <v>10</v>
      </c>
      <c r="E9231" s="80">
        <v>35703</v>
      </c>
    </row>
    <row r="9232" spans="1:5">
      <c r="A9232">
        <v>10687</v>
      </c>
      <c r="B9232" t="s">
        <v>178</v>
      </c>
      <c r="C9232">
        <v>1237.9000000000001</v>
      </c>
      <c r="D9232">
        <v>10</v>
      </c>
      <c r="E9232" s="80">
        <v>35703</v>
      </c>
    </row>
    <row r="9233" spans="1:5">
      <c r="A9233">
        <v>10687</v>
      </c>
      <c r="B9233" t="s">
        <v>179</v>
      </c>
      <c r="C9233">
        <v>1237.9000000000001</v>
      </c>
      <c r="D9233">
        <v>10</v>
      </c>
      <c r="E9233" s="80">
        <v>35703</v>
      </c>
    </row>
    <row r="9234" spans="1:5">
      <c r="A9234">
        <v>10687</v>
      </c>
      <c r="B9234" t="s">
        <v>172</v>
      </c>
      <c r="C9234">
        <v>85.5</v>
      </c>
      <c r="D9234">
        <v>6</v>
      </c>
      <c r="E9234" s="80">
        <v>35703</v>
      </c>
    </row>
    <row r="9235" spans="1:5">
      <c r="A9235">
        <v>10687</v>
      </c>
      <c r="B9235" t="s">
        <v>173</v>
      </c>
      <c r="C9235">
        <v>85.5</v>
      </c>
      <c r="D9235">
        <v>6</v>
      </c>
      <c r="E9235" s="80">
        <v>35703</v>
      </c>
    </row>
    <row r="9236" spans="1:5">
      <c r="A9236">
        <v>10687</v>
      </c>
      <c r="B9236" t="s">
        <v>174</v>
      </c>
      <c r="C9236">
        <v>85.5</v>
      </c>
      <c r="D9236">
        <v>6</v>
      </c>
      <c r="E9236" s="80">
        <v>35703</v>
      </c>
    </row>
    <row r="9237" spans="1:5">
      <c r="A9237">
        <v>10687</v>
      </c>
      <c r="B9237" t="s">
        <v>175</v>
      </c>
      <c r="C9237">
        <v>85.5</v>
      </c>
      <c r="D9237">
        <v>6</v>
      </c>
      <c r="E9237" s="80">
        <v>35703</v>
      </c>
    </row>
    <row r="9238" spans="1:5">
      <c r="A9238">
        <v>10687</v>
      </c>
      <c r="B9238" t="s">
        <v>176</v>
      </c>
      <c r="C9238">
        <v>85.5</v>
      </c>
      <c r="D9238">
        <v>6</v>
      </c>
      <c r="E9238" s="80">
        <v>35703</v>
      </c>
    </row>
    <row r="9239" spans="1:5">
      <c r="A9239">
        <v>10687</v>
      </c>
      <c r="B9239" t="s">
        <v>177</v>
      </c>
      <c r="C9239">
        <v>85.5</v>
      </c>
      <c r="D9239">
        <v>6</v>
      </c>
      <c r="E9239" s="80">
        <v>35703</v>
      </c>
    </row>
    <row r="9240" spans="1:5">
      <c r="A9240">
        <v>10687</v>
      </c>
      <c r="B9240" t="s">
        <v>178</v>
      </c>
      <c r="C9240">
        <v>85.5</v>
      </c>
      <c r="D9240">
        <v>6</v>
      </c>
      <c r="E9240" s="80">
        <v>35703</v>
      </c>
    </row>
    <row r="9241" spans="1:5">
      <c r="A9241">
        <v>10687</v>
      </c>
      <c r="B9241" t="s">
        <v>179</v>
      </c>
      <c r="C9241">
        <v>85.5</v>
      </c>
      <c r="D9241">
        <v>6</v>
      </c>
      <c r="E9241" s="80">
        <v>35703</v>
      </c>
    </row>
    <row r="9242" spans="1:5">
      <c r="A9242">
        <v>10688</v>
      </c>
      <c r="B9242" t="s">
        <v>172</v>
      </c>
      <c r="C9242">
        <v>502.19999916851521</v>
      </c>
      <c r="D9242">
        <v>18</v>
      </c>
      <c r="E9242" s="80">
        <v>35704</v>
      </c>
    </row>
    <row r="9243" spans="1:5">
      <c r="A9243">
        <v>10688</v>
      </c>
      <c r="B9243" t="s">
        <v>173</v>
      </c>
      <c r="C9243">
        <v>502.19999916851521</v>
      </c>
      <c r="D9243">
        <v>18</v>
      </c>
      <c r="E9243" s="80">
        <v>35704</v>
      </c>
    </row>
    <row r="9244" spans="1:5">
      <c r="A9244">
        <v>10688</v>
      </c>
      <c r="B9244" t="s">
        <v>174</v>
      </c>
      <c r="C9244">
        <v>502.19999916851521</v>
      </c>
      <c r="D9244">
        <v>18</v>
      </c>
      <c r="E9244" s="80">
        <v>35704</v>
      </c>
    </row>
    <row r="9245" spans="1:5">
      <c r="A9245">
        <v>10688</v>
      </c>
      <c r="B9245" t="s">
        <v>175</v>
      </c>
      <c r="C9245">
        <v>502.19999916851521</v>
      </c>
      <c r="D9245">
        <v>18</v>
      </c>
      <c r="E9245" s="80">
        <v>35704</v>
      </c>
    </row>
    <row r="9246" spans="1:5">
      <c r="A9246">
        <v>10688</v>
      </c>
      <c r="B9246" t="s">
        <v>176</v>
      </c>
      <c r="C9246">
        <v>502.19999916851521</v>
      </c>
      <c r="D9246">
        <v>18</v>
      </c>
      <c r="E9246" s="80">
        <v>35704</v>
      </c>
    </row>
    <row r="9247" spans="1:5">
      <c r="A9247">
        <v>10688</v>
      </c>
      <c r="B9247" t="s">
        <v>177</v>
      </c>
      <c r="C9247">
        <v>502.19999916851521</v>
      </c>
      <c r="D9247">
        <v>18</v>
      </c>
      <c r="E9247" s="80">
        <v>35704</v>
      </c>
    </row>
    <row r="9248" spans="1:5">
      <c r="A9248">
        <v>10688</v>
      </c>
      <c r="B9248" t="s">
        <v>178</v>
      </c>
      <c r="C9248">
        <v>502.19999916851521</v>
      </c>
      <c r="D9248">
        <v>18</v>
      </c>
      <c r="E9248" s="80">
        <v>35704</v>
      </c>
    </row>
    <row r="9249" spans="1:5">
      <c r="A9249">
        <v>10688</v>
      </c>
      <c r="B9249" t="s">
        <v>179</v>
      </c>
      <c r="C9249">
        <v>502.19999916851521</v>
      </c>
      <c r="D9249">
        <v>18</v>
      </c>
      <c r="E9249" s="80">
        <v>35704</v>
      </c>
    </row>
    <row r="9250" spans="1:5">
      <c r="A9250">
        <v>10688</v>
      </c>
      <c r="B9250" t="s">
        <v>172</v>
      </c>
      <c r="C9250">
        <v>2462.3999959230423</v>
      </c>
      <c r="D9250">
        <v>60</v>
      </c>
      <c r="E9250" s="80">
        <v>35704</v>
      </c>
    </row>
    <row r="9251" spans="1:5">
      <c r="A9251">
        <v>10688</v>
      </c>
      <c r="B9251" t="s">
        <v>173</v>
      </c>
      <c r="C9251">
        <v>2462.3999959230423</v>
      </c>
      <c r="D9251">
        <v>60</v>
      </c>
      <c r="E9251" s="80">
        <v>35704</v>
      </c>
    </row>
    <row r="9252" spans="1:5">
      <c r="A9252">
        <v>10688</v>
      </c>
      <c r="B9252" t="s">
        <v>174</v>
      </c>
      <c r="C9252">
        <v>2462.3999959230423</v>
      </c>
      <c r="D9252">
        <v>60</v>
      </c>
      <c r="E9252" s="80">
        <v>35704</v>
      </c>
    </row>
    <row r="9253" spans="1:5">
      <c r="A9253">
        <v>10688</v>
      </c>
      <c r="B9253" t="s">
        <v>175</v>
      </c>
      <c r="C9253">
        <v>2462.3999959230423</v>
      </c>
      <c r="D9253">
        <v>60</v>
      </c>
      <c r="E9253" s="80">
        <v>35704</v>
      </c>
    </row>
    <row r="9254" spans="1:5">
      <c r="A9254">
        <v>10688</v>
      </c>
      <c r="B9254" t="s">
        <v>176</v>
      </c>
      <c r="C9254">
        <v>2462.3999959230423</v>
      </c>
      <c r="D9254">
        <v>60</v>
      </c>
      <c r="E9254" s="80">
        <v>35704</v>
      </c>
    </row>
    <row r="9255" spans="1:5">
      <c r="A9255">
        <v>10688</v>
      </c>
      <c r="B9255" t="s">
        <v>177</v>
      </c>
      <c r="C9255">
        <v>2462.3999959230423</v>
      </c>
      <c r="D9255">
        <v>60</v>
      </c>
      <c r="E9255" s="80">
        <v>35704</v>
      </c>
    </row>
    <row r="9256" spans="1:5">
      <c r="A9256">
        <v>10688</v>
      </c>
      <c r="B9256" t="s">
        <v>178</v>
      </c>
      <c r="C9256">
        <v>2462.3999959230423</v>
      </c>
      <c r="D9256">
        <v>60</v>
      </c>
      <c r="E9256" s="80">
        <v>35704</v>
      </c>
    </row>
    <row r="9257" spans="1:5">
      <c r="A9257">
        <v>10688</v>
      </c>
      <c r="B9257" t="s">
        <v>179</v>
      </c>
      <c r="C9257">
        <v>2462.3999959230423</v>
      </c>
      <c r="D9257">
        <v>60</v>
      </c>
      <c r="E9257" s="80">
        <v>35704</v>
      </c>
    </row>
    <row r="9258" spans="1:5">
      <c r="A9258">
        <v>10688</v>
      </c>
      <c r="B9258" t="s">
        <v>172</v>
      </c>
      <c r="C9258">
        <v>196</v>
      </c>
      <c r="D9258">
        <v>14</v>
      </c>
      <c r="E9258" s="80">
        <v>35704</v>
      </c>
    </row>
    <row r="9259" spans="1:5">
      <c r="A9259">
        <v>10688</v>
      </c>
      <c r="B9259" t="s">
        <v>173</v>
      </c>
      <c r="C9259">
        <v>196</v>
      </c>
      <c r="D9259">
        <v>14</v>
      </c>
      <c r="E9259" s="80">
        <v>35704</v>
      </c>
    </row>
    <row r="9260" spans="1:5">
      <c r="A9260">
        <v>10688</v>
      </c>
      <c r="B9260" t="s">
        <v>174</v>
      </c>
      <c r="C9260">
        <v>196</v>
      </c>
      <c r="D9260">
        <v>14</v>
      </c>
      <c r="E9260" s="80">
        <v>35704</v>
      </c>
    </row>
    <row r="9261" spans="1:5">
      <c r="A9261">
        <v>10688</v>
      </c>
      <c r="B9261" t="s">
        <v>175</v>
      </c>
      <c r="C9261">
        <v>196</v>
      </c>
      <c r="D9261">
        <v>14</v>
      </c>
      <c r="E9261" s="80">
        <v>35704</v>
      </c>
    </row>
    <row r="9262" spans="1:5">
      <c r="A9262">
        <v>10688</v>
      </c>
      <c r="B9262" t="s">
        <v>176</v>
      </c>
      <c r="C9262">
        <v>196</v>
      </c>
      <c r="D9262">
        <v>14</v>
      </c>
      <c r="E9262" s="80">
        <v>35704</v>
      </c>
    </row>
    <row r="9263" spans="1:5">
      <c r="A9263">
        <v>10688</v>
      </c>
      <c r="B9263" t="s">
        <v>177</v>
      </c>
      <c r="C9263">
        <v>196</v>
      </c>
      <c r="D9263">
        <v>14</v>
      </c>
      <c r="E9263" s="80">
        <v>35704</v>
      </c>
    </row>
    <row r="9264" spans="1:5">
      <c r="A9264">
        <v>10688</v>
      </c>
      <c r="B9264" t="s">
        <v>178</v>
      </c>
      <c r="C9264">
        <v>196</v>
      </c>
      <c r="D9264">
        <v>14</v>
      </c>
      <c r="E9264" s="80">
        <v>35704</v>
      </c>
    </row>
    <row r="9265" spans="1:5">
      <c r="A9265">
        <v>10688</v>
      </c>
      <c r="B9265" t="s">
        <v>179</v>
      </c>
      <c r="C9265">
        <v>196</v>
      </c>
      <c r="D9265">
        <v>14</v>
      </c>
      <c r="E9265" s="80">
        <v>35704</v>
      </c>
    </row>
    <row r="9266" spans="1:5">
      <c r="A9266">
        <v>10689</v>
      </c>
      <c r="B9266" t="s">
        <v>172</v>
      </c>
      <c r="C9266">
        <v>472.5</v>
      </c>
      <c r="D9266">
        <v>35</v>
      </c>
      <c r="E9266" s="80">
        <v>35704</v>
      </c>
    </row>
    <row r="9267" spans="1:5">
      <c r="A9267">
        <v>10689</v>
      </c>
      <c r="B9267" t="s">
        <v>173</v>
      </c>
      <c r="C9267">
        <v>472.5</v>
      </c>
      <c r="D9267">
        <v>35</v>
      </c>
      <c r="E9267" s="80">
        <v>35704</v>
      </c>
    </row>
    <row r="9268" spans="1:5">
      <c r="A9268">
        <v>10689</v>
      </c>
      <c r="B9268" t="s">
        <v>174</v>
      </c>
      <c r="C9268">
        <v>472.5</v>
      </c>
      <c r="D9268">
        <v>35</v>
      </c>
      <c r="E9268" s="80">
        <v>35704</v>
      </c>
    </row>
    <row r="9269" spans="1:5">
      <c r="A9269">
        <v>10689</v>
      </c>
      <c r="B9269" t="s">
        <v>175</v>
      </c>
      <c r="C9269">
        <v>472.5</v>
      </c>
      <c r="D9269">
        <v>35</v>
      </c>
      <c r="E9269" s="80">
        <v>35704</v>
      </c>
    </row>
    <row r="9270" spans="1:5">
      <c r="A9270">
        <v>10689</v>
      </c>
      <c r="B9270" t="s">
        <v>176</v>
      </c>
      <c r="C9270">
        <v>472.5</v>
      </c>
      <c r="D9270">
        <v>35</v>
      </c>
      <c r="E9270" s="80">
        <v>35704</v>
      </c>
    </row>
    <row r="9271" spans="1:5">
      <c r="A9271">
        <v>10689</v>
      </c>
      <c r="B9271" t="s">
        <v>177</v>
      </c>
      <c r="C9271">
        <v>472.5</v>
      </c>
      <c r="D9271">
        <v>35</v>
      </c>
      <c r="E9271" s="80">
        <v>35704</v>
      </c>
    </row>
    <row r="9272" spans="1:5">
      <c r="A9272">
        <v>10689</v>
      </c>
      <c r="B9272" t="s">
        <v>178</v>
      </c>
      <c r="C9272">
        <v>472.5</v>
      </c>
      <c r="D9272">
        <v>35</v>
      </c>
      <c r="E9272" s="80">
        <v>35704</v>
      </c>
    </row>
    <row r="9273" spans="1:5">
      <c r="A9273">
        <v>10689</v>
      </c>
      <c r="B9273" t="s">
        <v>179</v>
      </c>
      <c r="C9273">
        <v>472.5</v>
      </c>
      <c r="D9273">
        <v>35</v>
      </c>
      <c r="E9273" s="80">
        <v>35704</v>
      </c>
    </row>
    <row r="9274" spans="1:5">
      <c r="A9274">
        <v>10690</v>
      </c>
      <c r="B9274" t="s">
        <v>172</v>
      </c>
      <c r="C9274">
        <v>570</v>
      </c>
      <c r="D9274">
        <v>20</v>
      </c>
      <c r="E9274" s="80">
        <v>35705</v>
      </c>
    </row>
    <row r="9275" spans="1:5">
      <c r="A9275">
        <v>10690</v>
      </c>
      <c r="B9275" t="s">
        <v>173</v>
      </c>
      <c r="C9275">
        <v>570</v>
      </c>
      <c r="D9275">
        <v>20</v>
      </c>
      <c r="E9275" s="80">
        <v>35705</v>
      </c>
    </row>
    <row r="9276" spans="1:5">
      <c r="A9276">
        <v>10690</v>
      </c>
      <c r="B9276" t="s">
        <v>174</v>
      </c>
      <c r="C9276">
        <v>570</v>
      </c>
      <c r="D9276">
        <v>20</v>
      </c>
      <c r="E9276" s="80">
        <v>35705</v>
      </c>
    </row>
    <row r="9277" spans="1:5">
      <c r="A9277">
        <v>10690</v>
      </c>
      <c r="B9277" t="s">
        <v>175</v>
      </c>
      <c r="C9277">
        <v>570</v>
      </c>
      <c r="D9277">
        <v>20</v>
      </c>
      <c r="E9277" s="80">
        <v>35705</v>
      </c>
    </row>
    <row r="9278" spans="1:5">
      <c r="A9278">
        <v>10690</v>
      </c>
      <c r="B9278" t="s">
        <v>176</v>
      </c>
      <c r="C9278">
        <v>570</v>
      </c>
      <c r="D9278">
        <v>20</v>
      </c>
      <c r="E9278" s="80">
        <v>35705</v>
      </c>
    </row>
    <row r="9279" spans="1:5">
      <c r="A9279">
        <v>10690</v>
      </c>
      <c r="B9279" t="s">
        <v>177</v>
      </c>
      <c r="C9279">
        <v>570</v>
      </c>
      <c r="D9279">
        <v>20</v>
      </c>
      <c r="E9279" s="80">
        <v>35705</v>
      </c>
    </row>
    <row r="9280" spans="1:5">
      <c r="A9280">
        <v>10690</v>
      </c>
      <c r="B9280" t="s">
        <v>178</v>
      </c>
      <c r="C9280">
        <v>570</v>
      </c>
      <c r="D9280">
        <v>20</v>
      </c>
      <c r="E9280" s="80">
        <v>35705</v>
      </c>
    </row>
    <row r="9281" spans="1:5">
      <c r="A9281">
        <v>10690</v>
      </c>
      <c r="B9281" t="s">
        <v>179</v>
      </c>
      <c r="C9281">
        <v>570</v>
      </c>
      <c r="D9281">
        <v>20</v>
      </c>
      <c r="E9281" s="80">
        <v>35705</v>
      </c>
    </row>
    <row r="9282" spans="1:5">
      <c r="A9282">
        <v>10690</v>
      </c>
      <c r="B9282" t="s">
        <v>172</v>
      </c>
      <c r="C9282">
        <v>292.5</v>
      </c>
      <c r="D9282">
        <v>30</v>
      </c>
      <c r="E9282" s="80">
        <v>35705</v>
      </c>
    </row>
    <row r="9283" spans="1:5">
      <c r="A9283">
        <v>10690</v>
      </c>
      <c r="B9283" t="s">
        <v>173</v>
      </c>
      <c r="C9283">
        <v>292.5</v>
      </c>
      <c r="D9283">
        <v>30</v>
      </c>
      <c r="E9283" s="80">
        <v>35705</v>
      </c>
    </row>
    <row r="9284" spans="1:5">
      <c r="A9284">
        <v>10690</v>
      </c>
      <c r="B9284" t="s">
        <v>174</v>
      </c>
      <c r="C9284">
        <v>292.5</v>
      </c>
      <c r="D9284">
        <v>30</v>
      </c>
      <c r="E9284" s="80">
        <v>35705</v>
      </c>
    </row>
    <row r="9285" spans="1:5">
      <c r="A9285">
        <v>10690</v>
      </c>
      <c r="B9285" t="s">
        <v>175</v>
      </c>
      <c r="C9285">
        <v>292.5</v>
      </c>
      <c r="D9285">
        <v>30</v>
      </c>
      <c r="E9285" s="80">
        <v>35705</v>
      </c>
    </row>
    <row r="9286" spans="1:5">
      <c r="A9286">
        <v>10690</v>
      </c>
      <c r="B9286" t="s">
        <v>176</v>
      </c>
      <c r="C9286">
        <v>292.5</v>
      </c>
      <c r="D9286">
        <v>30</v>
      </c>
      <c r="E9286" s="80">
        <v>35705</v>
      </c>
    </row>
    <row r="9287" spans="1:5">
      <c r="A9287">
        <v>10690</v>
      </c>
      <c r="B9287" t="s">
        <v>177</v>
      </c>
      <c r="C9287">
        <v>292.5</v>
      </c>
      <c r="D9287">
        <v>30</v>
      </c>
      <c r="E9287" s="80">
        <v>35705</v>
      </c>
    </row>
    <row r="9288" spans="1:5">
      <c r="A9288">
        <v>10690</v>
      </c>
      <c r="B9288" t="s">
        <v>178</v>
      </c>
      <c r="C9288">
        <v>292.5</v>
      </c>
      <c r="D9288">
        <v>30</v>
      </c>
      <c r="E9288" s="80">
        <v>35705</v>
      </c>
    </row>
    <row r="9289" spans="1:5">
      <c r="A9289">
        <v>10690</v>
      </c>
      <c r="B9289" t="s">
        <v>179</v>
      </c>
      <c r="C9289">
        <v>292.5</v>
      </c>
      <c r="D9289">
        <v>30</v>
      </c>
      <c r="E9289" s="80">
        <v>35705</v>
      </c>
    </row>
    <row r="9290" spans="1:5">
      <c r="A9290">
        <v>10691</v>
      </c>
      <c r="B9290" t="s">
        <v>172</v>
      </c>
      <c r="C9290">
        <v>540</v>
      </c>
      <c r="D9290">
        <v>30</v>
      </c>
      <c r="E9290" s="80">
        <v>35706</v>
      </c>
    </row>
    <row r="9291" spans="1:5">
      <c r="A9291">
        <v>10691</v>
      </c>
      <c r="B9291" t="s">
        <v>173</v>
      </c>
      <c r="C9291">
        <v>540</v>
      </c>
      <c r="D9291">
        <v>30</v>
      </c>
      <c r="E9291" s="80">
        <v>35706</v>
      </c>
    </row>
    <row r="9292" spans="1:5">
      <c r="A9292">
        <v>10691</v>
      </c>
      <c r="B9292" t="s">
        <v>174</v>
      </c>
      <c r="C9292">
        <v>540</v>
      </c>
      <c r="D9292">
        <v>30</v>
      </c>
      <c r="E9292" s="80">
        <v>35706</v>
      </c>
    </row>
    <row r="9293" spans="1:5">
      <c r="A9293">
        <v>10691</v>
      </c>
      <c r="B9293" t="s">
        <v>175</v>
      </c>
      <c r="C9293">
        <v>540</v>
      </c>
      <c r="D9293">
        <v>30</v>
      </c>
      <c r="E9293" s="80">
        <v>35706</v>
      </c>
    </row>
    <row r="9294" spans="1:5">
      <c r="A9294">
        <v>10691</v>
      </c>
      <c r="B9294" t="s">
        <v>176</v>
      </c>
      <c r="C9294">
        <v>540</v>
      </c>
      <c r="D9294">
        <v>30</v>
      </c>
      <c r="E9294" s="80">
        <v>35706</v>
      </c>
    </row>
    <row r="9295" spans="1:5">
      <c r="A9295">
        <v>10691</v>
      </c>
      <c r="B9295" t="s">
        <v>177</v>
      </c>
      <c r="C9295">
        <v>540</v>
      </c>
      <c r="D9295">
        <v>30</v>
      </c>
      <c r="E9295" s="80">
        <v>35706</v>
      </c>
    </row>
    <row r="9296" spans="1:5">
      <c r="A9296">
        <v>10691</v>
      </c>
      <c r="B9296" t="s">
        <v>178</v>
      </c>
      <c r="C9296">
        <v>540</v>
      </c>
      <c r="D9296">
        <v>30</v>
      </c>
      <c r="E9296" s="80">
        <v>35706</v>
      </c>
    </row>
    <row r="9297" spans="1:5">
      <c r="A9297">
        <v>10691</v>
      </c>
      <c r="B9297" t="s">
        <v>179</v>
      </c>
      <c r="C9297">
        <v>540</v>
      </c>
      <c r="D9297">
        <v>30</v>
      </c>
      <c r="E9297" s="80">
        <v>35706</v>
      </c>
    </row>
    <row r="9298" spans="1:5">
      <c r="A9298">
        <v>10691</v>
      </c>
      <c r="B9298" t="s">
        <v>172</v>
      </c>
      <c r="C9298">
        <v>4951.6000000000004</v>
      </c>
      <c r="D9298">
        <v>40</v>
      </c>
      <c r="E9298" s="80">
        <v>35706</v>
      </c>
    </row>
    <row r="9299" spans="1:5">
      <c r="A9299">
        <v>10691</v>
      </c>
      <c r="B9299" t="s">
        <v>173</v>
      </c>
      <c r="C9299">
        <v>4951.6000000000004</v>
      </c>
      <c r="D9299">
        <v>40</v>
      </c>
      <c r="E9299" s="80">
        <v>35706</v>
      </c>
    </row>
    <row r="9300" spans="1:5">
      <c r="A9300">
        <v>10691</v>
      </c>
      <c r="B9300" t="s">
        <v>174</v>
      </c>
      <c r="C9300">
        <v>4951.6000000000004</v>
      </c>
      <c r="D9300">
        <v>40</v>
      </c>
      <c r="E9300" s="80">
        <v>35706</v>
      </c>
    </row>
    <row r="9301" spans="1:5">
      <c r="A9301">
        <v>10691</v>
      </c>
      <c r="B9301" t="s">
        <v>175</v>
      </c>
      <c r="C9301">
        <v>4951.6000000000004</v>
      </c>
      <c r="D9301">
        <v>40</v>
      </c>
      <c r="E9301" s="80">
        <v>35706</v>
      </c>
    </row>
    <row r="9302" spans="1:5">
      <c r="A9302">
        <v>10691</v>
      </c>
      <c r="B9302" t="s">
        <v>176</v>
      </c>
      <c r="C9302">
        <v>4951.6000000000004</v>
      </c>
      <c r="D9302">
        <v>40</v>
      </c>
      <c r="E9302" s="80">
        <v>35706</v>
      </c>
    </row>
    <row r="9303" spans="1:5">
      <c r="A9303">
        <v>10691</v>
      </c>
      <c r="B9303" t="s">
        <v>177</v>
      </c>
      <c r="C9303">
        <v>4951.6000000000004</v>
      </c>
      <c r="D9303">
        <v>40</v>
      </c>
      <c r="E9303" s="80">
        <v>35706</v>
      </c>
    </row>
    <row r="9304" spans="1:5">
      <c r="A9304">
        <v>10691</v>
      </c>
      <c r="B9304" t="s">
        <v>178</v>
      </c>
      <c r="C9304">
        <v>4951.6000000000004</v>
      </c>
      <c r="D9304">
        <v>40</v>
      </c>
      <c r="E9304" s="80">
        <v>35706</v>
      </c>
    </row>
    <row r="9305" spans="1:5">
      <c r="A9305">
        <v>10691</v>
      </c>
      <c r="B9305" t="s">
        <v>179</v>
      </c>
      <c r="C9305">
        <v>4951.6000000000004</v>
      </c>
      <c r="D9305">
        <v>40</v>
      </c>
      <c r="E9305" s="80">
        <v>35706</v>
      </c>
    </row>
    <row r="9306" spans="1:5">
      <c r="A9306">
        <v>10691</v>
      </c>
      <c r="B9306" t="s">
        <v>172</v>
      </c>
      <c r="C9306">
        <v>1840</v>
      </c>
      <c r="D9306">
        <v>40</v>
      </c>
      <c r="E9306" s="80">
        <v>35706</v>
      </c>
    </row>
    <row r="9307" spans="1:5">
      <c r="A9307">
        <v>10691</v>
      </c>
      <c r="B9307" t="s">
        <v>173</v>
      </c>
      <c r="C9307">
        <v>1840</v>
      </c>
      <c r="D9307">
        <v>40</v>
      </c>
      <c r="E9307" s="80">
        <v>35706</v>
      </c>
    </row>
    <row r="9308" spans="1:5">
      <c r="A9308">
        <v>10691</v>
      </c>
      <c r="B9308" t="s">
        <v>174</v>
      </c>
      <c r="C9308">
        <v>1840</v>
      </c>
      <c r="D9308">
        <v>40</v>
      </c>
      <c r="E9308" s="80">
        <v>35706</v>
      </c>
    </row>
    <row r="9309" spans="1:5">
      <c r="A9309">
        <v>10691</v>
      </c>
      <c r="B9309" t="s">
        <v>175</v>
      </c>
      <c r="C9309">
        <v>1840</v>
      </c>
      <c r="D9309">
        <v>40</v>
      </c>
      <c r="E9309" s="80">
        <v>35706</v>
      </c>
    </row>
    <row r="9310" spans="1:5">
      <c r="A9310">
        <v>10691</v>
      </c>
      <c r="B9310" t="s">
        <v>176</v>
      </c>
      <c r="C9310">
        <v>1840</v>
      </c>
      <c r="D9310">
        <v>40</v>
      </c>
      <c r="E9310" s="80">
        <v>35706</v>
      </c>
    </row>
    <row r="9311" spans="1:5">
      <c r="A9311">
        <v>10691</v>
      </c>
      <c r="B9311" t="s">
        <v>177</v>
      </c>
      <c r="C9311">
        <v>1840</v>
      </c>
      <c r="D9311">
        <v>40</v>
      </c>
      <c r="E9311" s="80">
        <v>35706</v>
      </c>
    </row>
    <row r="9312" spans="1:5">
      <c r="A9312">
        <v>10691</v>
      </c>
      <c r="B9312" t="s">
        <v>178</v>
      </c>
      <c r="C9312">
        <v>1840</v>
      </c>
      <c r="D9312">
        <v>40</v>
      </c>
      <c r="E9312" s="80">
        <v>35706</v>
      </c>
    </row>
    <row r="9313" spans="1:5">
      <c r="A9313">
        <v>10691</v>
      </c>
      <c r="B9313" t="s">
        <v>179</v>
      </c>
      <c r="C9313">
        <v>1840</v>
      </c>
      <c r="D9313">
        <v>40</v>
      </c>
      <c r="E9313" s="80">
        <v>35706</v>
      </c>
    </row>
    <row r="9314" spans="1:5">
      <c r="A9314">
        <v>10691</v>
      </c>
      <c r="B9314" t="s">
        <v>172</v>
      </c>
      <c r="C9314">
        <v>466.8</v>
      </c>
      <c r="D9314">
        <v>24</v>
      </c>
      <c r="E9314" s="80">
        <v>35706</v>
      </c>
    </row>
    <row r="9315" spans="1:5">
      <c r="A9315">
        <v>10691</v>
      </c>
      <c r="B9315" t="s">
        <v>173</v>
      </c>
      <c r="C9315">
        <v>466.8</v>
      </c>
      <c r="D9315">
        <v>24</v>
      </c>
      <c r="E9315" s="80">
        <v>35706</v>
      </c>
    </row>
    <row r="9316" spans="1:5">
      <c r="A9316">
        <v>10691</v>
      </c>
      <c r="B9316" t="s">
        <v>174</v>
      </c>
      <c r="C9316">
        <v>466.8</v>
      </c>
      <c r="D9316">
        <v>24</v>
      </c>
      <c r="E9316" s="80">
        <v>35706</v>
      </c>
    </row>
    <row r="9317" spans="1:5">
      <c r="A9317">
        <v>10691</v>
      </c>
      <c r="B9317" t="s">
        <v>175</v>
      </c>
      <c r="C9317">
        <v>466.8</v>
      </c>
      <c r="D9317">
        <v>24</v>
      </c>
      <c r="E9317" s="80">
        <v>35706</v>
      </c>
    </row>
    <row r="9318" spans="1:5">
      <c r="A9318">
        <v>10691</v>
      </c>
      <c r="B9318" t="s">
        <v>176</v>
      </c>
      <c r="C9318">
        <v>466.8</v>
      </c>
      <c r="D9318">
        <v>24</v>
      </c>
      <c r="E9318" s="80">
        <v>35706</v>
      </c>
    </row>
    <row r="9319" spans="1:5">
      <c r="A9319">
        <v>10691</v>
      </c>
      <c r="B9319" t="s">
        <v>177</v>
      </c>
      <c r="C9319">
        <v>466.8</v>
      </c>
      <c r="D9319">
        <v>24</v>
      </c>
      <c r="E9319" s="80">
        <v>35706</v>
      </c>
    </row>
    <row r="9320" spans="1:5">
      <c r="A9320">
        <v>10691</v>
      </c>
      <c r="B9320" t="s">
        <v>178</v>
      </c>
      <c r="C9320">
        <v>466.8</v>
      </c>
      <c r="D9320">
        <v>24</v>
      </c>
      <c r="E9320" s="80">
        <v>35706</v>
      </c>
    </row>
    <row r="9321" spans="1:5">
      <c r="A9321">
        <v>10691</v>
      </c>
      <c r="B9321" t="s">
        <v>179</v>
      </c>
      <c r="C9321">
        <v>466.8</v>
      </c>
      <c r="D9321">
        <v>24</v>
      </c>
      <c r="E9321" s="80">
        <v>35706</v>
      </c>
    </row>
    <row r="9322" spans="1:5">
      <c r="A9322">
        <v>10691</v>
      </c>
      <c r="B9322" t="s">
        <v>172</v>
      </c>
      <c r="C9322">
        <v>2366.4</v>
      </c>
      <c r="D9322">
        <v>48</v>
      </c>
      <c r="E9322" s="80">
        <v>35706</v>
      </c>
    </row>
    <row r="9323" spans="1:5">
      <c r="A9323">
        <v>10691</v>
      </c>
      <c r="B9323" t="s">
        <v>173</v>
      </c>
      <c r="C9323">
        <v>2366.4</v>
      </c>
      <c r="D9323">
        <v>48</v>
      </c>
      <c r="E9323" s="80">
        <v>35706</v>
      </c>
    </row>
    <row r="9324" spans="1:5">
      <c r="A9324">
        <v>10691</v>
      </c>
      <c r="B9324" t="s">
        <v>174</v>
      </c>
      <c r="C9324">
        <v>2366.4</v>
      </c>
      <c r="D9324">
        <v>48</v>
      </c>
      <c r="E9324" s="80">
        <v>35706</v>
      </c>
    </row>
    <row r="9325" spans="1:5">
      <c r="A9325">
        <v>10691</v>
      </c>
      <c r="B9325" t="s">
        <v>175</v>
      </c>
      <c r="C9325">
        <v>2366.4</v>
      </c>
      <c r="D9325">
        <v>48</v>
      </c>
      <c r="E9325" s="80">
        <v>35706</v>
      </c>
    </row>
    <row r="9326" spans="1:5">
      <c r="A9326">
        <v>10691</v>
      </c>
      <c r="B9326" t="s">
        <v>176</v>
      </c>
      <c r="C9326">
        <v>2366.4</v>
      </c>
      <c r="D9326">
        <v>48</v>
      </c>
      <c r="E9326" s="80">
        <v>35706</v>
      </c>
    </row>
    <row r="9327" spans="1:5">
      <c r="A9327">
        <v>10691</v>
      </c>
      <c r="B9327" t="s">
        <v>177</v>
      </c>
      <c r="C9327">
        <v>2366.4</v>
      </c>
      <c r="D9327">
        <v>48</v>
      </c>
      <c r="E9327" s="80">
        <v>35706</v>
      </c>
    </row>
    <row r="9328" spans="1:5">
      <c r="A9328">
        <v>10691</v>
      </c>
      <c r="B9328" t="s">
        <v>178</v>
      </c>
      <c r="C9328">
        <v>2366.4</v>
      </c>
      <c r="D9328">
        <v>48</v>
      </c>
      <c r="E9328" s="80">
        <v>35706</v>
      </c>
    </row>
    <row r="9329" spans="1:5">
      <c r="A9329">
        <v>10691</v>
      </c>
      <c r="B9329" t="s">
        <v>179</v>
      </c>
      <c r="C9329">
        <v>2366.4</v>
      </c>
      <c r="D9329">
        <v>48</v>
      </c>
      <c r="E9329" s="80">
        <v>35706</v>
      </c>
    </row>
    <row r="9330" spans="1:5">
      <c r="A9330">
        <v>10692</v>
      </c>
      <c r="B9330" t="s">
        <v>172</v>
      </c>
      <c r="C9330">
        <v>878</v>
      </c>
      <c r="D9330">
        <v>20</v>
      </c>
      <c r="E9330" s="80">
        <v>35706</v>
      </c>
    </row>
    <row r="9331" spans="1:5">
      <c r="A9331">
        <v>10692</v>
      </c>
      <c r="B9331" t="s">
        <v>173</v>
      </c>
      <c r="C9331">
        <v>878</v>
      </c>
      <c r="D9331">
        <v>20</v>
      </c>
      <c r="E9331" s="80">
        <v>35706</v>
      </c>
    </row>
    <row r="9332" spans="1:5">
      <c r="A9332">
        <v>10692</v>
      </c>
      <c r="B9332" t="s">
        <v>174</v>
      </c>
      <c r="C9332">
        <v>878</v>
      </c>
      <c r="D9332">
        <v>20</v>
      </c>
      <c r="E9332" s="80">
        <v>35706</v>
      </c>
    </row>
    <row r="9333" spans="1:5">
      <c r="A9333">
        <v>10692</v>
      </c>
      <c r="B9333" t="s">
        <v>175</v>
      </c>
      <c r="C9333">
        <v>878</v>
      </c>
      <c r="D9333">
        <v>20</v>
      </c>
      <c r="E9333" s="80">
        <v>35706</v>
      </c>
    </row>
    <row r="9334" spans="1:5">
      <c r="A9334">
        <v>10692</v>
      </c>
      <c r="B9334" t="s">
        <v>176</v>
      </c>
      <c r="C9334">
        <v>878</v>
      </c>
      <c r="D9334">
        <v>20</v>
      </c>
      <c r="E9334" s="80">
        <v>35706</v>
      </c>
    </row>
    <row r="9335" spans="1:5">
      <c r="A9335">
        <v>10692</v>
      </c>
      <c r="B9335" t="s">
        <v>177</v>
      </c>
      <c r="C9335">
        <v>878</v>
      </c>
      <c r="D9335">
        <v>20</v>
      </c>
      <c r="E9335" s="80">
        <v>35706</v>
      </c>
    </row>
    <row r="9336" spans="1:5">
      <c r="A9336">
        <v>10692</v>
      </c>
      <c r="B9336" t="s">
        <v>178</v>
      </c>
      <c r="C9336">
        <v>878</v>
      </c>
      <c r="D9336">
        <v>20</v>
      </c>
      <c r="E9336" s="80">
        <v>35706</v>
      </c>
    </row>
    <row r="9337" spans="1:5">
      <c r="A9337">
        <v>10692</v>
      </c>
      <c r="B9337" t="s">
        <v>179</v>
      </c>
      <c r="C9337">
        <v>878</v>
      </c>
      <c r="D9337">
        <v>20</v>
      </c>
      <c r="E9337" s="80">
        <v>35706</v>
      </c>
    </row>
    <row r="9338" spans="1:5">
      <c r="A9338">
        <v>10693</v>
      </c>
      <c r="B9338" t="s">
        <v>172</v>
      </c>
      <c r="C9338">
        <v>582</v>
      </c>
      <c r="D9338">
        <v>6</v>
      </c>
      <c r="E9338" s="80">
        <v>35709</v>
      </c>
    </row>
    <row r="9339" spans="1:5">
      <c r="A9339">
        <v>10693</v>
      </c>
      <c r="B9339" t="s">
        <v>173</v>
      </c>
      <c r="C9339">
        <v>582</v>
      </c>
      <c r="D9339">
        <v>6</v>
      </c>
      <c r="E9339" s="80">
        <v>35709</v>
      </c>
    </row>
    <row r="9340" spans="1:5">
      <c r="A9340">
        <v>10693</v>
      </c>
      <c r="B9340" t="s">
        <v>174</v>
      </c>
      <c r="C9340">
        <v>582</v>
      </c>
      <c r="D9340">
        <v>6</v>
      </c>
      <c r="E9340" s="80">
        <v>35709</v>
      </c>
    </row>
    <row r="9341" spans="1:5">
      <c r="A9341">
        <v>10693</v>
      </c>
      <c r="B9341" t="s">
        <v>175</v>
      </c>
      <c r="C9341">
        <v>582</v>
      </c>
      <c r="D9341">
        <v>6</v>
      </c>
      <c r="E9341" s="80">
        <v>35709</v>
      </c>
    </row>
    <row r="9342" spans="1:5">
      <c r="A9342">
        <v>10693</v>
      </c>
      <c r="B9342" t="s">
        <v>176</v>
      </c>
      <c r="C9342">
        <v>582</v>
      </c>
      <c r="D9342">
        <v>6</v>
      </c>
      <c r="E9342" s="80">
        <v>35709</v>
      </c>
    </row>
    <row r="9343" spans="1:5">
      <c r="A9343">
        <v>10693</v>
      </c>
      <c r="B9343" t="s">
        <v>177</v>
      </c>
      <c r="C9343">
        <v>582</v>
      </c>
      <c r="D9343">
        <v>6</v>
      </c>
      <c r="E9343" s="80">
        <v>35709</v>
      </c>
    </row>
    <row r="9344" spans="1:5">
      <c r="A9344">
        <v>10693</v>
      </c>
      <c r="B9344" t="s">
        <v>178</v>
      </c>
      <c r="C9344">
        <v>582</v>
      </c>
      <c r="D9344">
        <v>6</v>
      </c>
      <c r="E9344" s="80">
        <v>35709</v>
      </c>
    </row>
    <row r="9345" spans="1:5">
      <c r="A9345">
        <v>10693</v>
      </c>
      <c r="B9345" t="s">
        <v>179</v>
      </c>
      <c r="C9345">
        <v>582</v>
      </c>
      <c r="D9345">
        <v>6</v>
      </c>
      <c r="E9345" s="80">
        <v>35709</v>
      </c>
    </row>
    <row r="9346" spans="1:5">
      <c r="A9346">
        <v>10693</v>
      </c>
      <c r="B9346" t="s">
        <v>172</v>
      </c>
      <c r="C9346">
        <v>379.94999733567238</v>
      </c>
      <c r="D9346">
        <v>60</v>
      </c>
      <c r="E9346" s="80">
        <v>35709</v>
      </c>
    </row>
    <row r="9347" spans="1:5">
      <c r="A9347">
        <v>10693</v>
      </c>
      <c r="B9347" t="s">
        <v>173</v>
      </c>
      <c r="C9347">
        <v>379.94999733567238</v>
      </c>
      <c r="D9347">
        <v>60</v>
      </c>
      <c r="E9347" s="80">
        <v>35709</v>
      </c>
    </row>
    <row r="9348" spans="1:5">
      <c r="A9348">
        <v>10693</v>
      </c>
      <c r="B9348" t="s">
        <v>174</v>
      </c>
      <c r="C9348">
        <v>379.94999733567238</v>
      </c>
      <c r="D9348">
        <v>60</v>
      </c>
      <c r="E9348" s="80">
        <v>35709</v>
      </c>
    </row>
    <row r="9349" spans="1:5">
      <c r="A9349">
        <v>10693</v>
      </c>
      <c r="B9349" t="s">
        <v>175</v>
      </c>
      <c r="C9349">
        <v>379.94999733567238</v>
      </c>
      <c r="D9349">
        <v>60</v>
      </c>
      <c r="E9349" s="80">
        <v>35709</v>
      </c>
    </row>
    <row r="9350" spans="1:5">
      <c r="A9350">
        <v>10693</v>
      </c>
      <c r="B9350" t="s">
        <v>176</v>
      </c>
      <c r="C9350">
        <v>379.94999733567238</v>
      </c>
      <c r="D9350">
        <v>60</v>
      </c>
      <c r="E9350" s="80">
        <v>35709</v>
      </c>
    </row>
    <row r="9351" spans="1:5">
      <c r="A9351">
        <v>10693</v>
      </c>
      <c r="B9351" t="s">
        <v>177</v>
      </c>
      <c r="C9351">
        <v>379.94999733567238</v>
      </c>
      <c r="D9351">
        <v>60</v>
      </c>
      <c r="E9351" s="80">
        <v>35709</v>
      </c>
    </row>
    <row r="9352" spans="1:5">
      <c r="A9352">
        <v>10693</v>
      </c>
      <c r="B9352" t="s">
        <v>178</v>
      </c>
      <c r="C9352">
        <v>379.94999733567238</v>
      </c>
      <c r="D9352">
        <v>60</v>
      </c>
      <c r="E9352" s="80">
        <v>35709</v>
      </c>
    </row>
    <row r="9353" spans="1:5">
      <c r="A9353">
        <v>10693</v>
      </c>
      <c r="B9353" t="s">
        <v>179</v>
      </c>
      <c r="C9353">
        <v>379.94999733567238</v>
      </c>
      <c r="D9353">
        <v>60</v>
      </c>
      <c r="E9353" s="80">
        <v>35709</v>
      </c>
    </row>
    <row r="9354" spans="1:5">
      <c r="A9354">
        <v>10693</v>
      </c>
      <c r="B9354" t="s">
        <v>172</v>
      </c>
      <c r="C9354">
        <v>917.99999356269836</v>
      </c>
      <c r="D9354">
        <v>30</v>
      </c>
      <c r="E9354" s="80">
        <v>35709</v>
      </c>
    </row>
    <row r="9355" spans="1:5">
      <c r="A9355">
        <v>10693</v>
      </c>
      <c r="B9355" t="s">
        <v>173</v>
      </c>
      <c r="C9355">
        <v>917.99999356269836</v>
      </c>
      <c r="D9355">
        <v>30</v>
      </c>
      <c r="E9355" s="80">
        <v>35709</v>
      </c>
    </row>
    <row r="9356" spans="1:5">
      <c r="A9356">
        <v>10693</v>
      </c>
      <c r="B9356" t="s">
        <v>174</v>
      </c>
      <c r="C9356">
        <v>917.99999356269836</v>
      </c>
      <c r="D9356">
        <v>30</v>
      </c>
      <c r="E9356" s="80">
        <v>35709</v>
      </c>
    </row>
    <row r="9357" spans="1:5">
      <c r="A9357">
        <v>10693</v>
      </c>
      <c r="B9357" t="s">
        <v>175</v>
      </c>
      <c r="C9357">
        <v>917.99999356269836</v>
      </c>
      <c r="D9357">
        <v>30</v>
      </c>
      <c r="E9357" s="80">
        <v>35709</v>
      </c>
    </row>
    <row r="9358" spans="1:5">
      <c r="A9358">
        <v>10693</v>
      </c>
      <c r="B9358" t="s">
        <v>176</v>
      </c>
      <c r="C9358">
        <v>917.99999356269836</v>
      </c>
      <c r="D9358">
        <v>30</v>
      </c>
      <c r="E9358" s="80">
        <v>35709</v>
      </c>
    </row>
    <row r="9359" spans="1:5">
      <c r="A9359">
        <v>10693</v>
      </c>
      <c r="B9359" t="s">
        <v>177</v>
      </c>
      <c r="C9359">
        <v>917.99999356269836</v>
      </c>
      <c r="D9359">
        <v>30</v>
      </c>
      <c r="E9359" s="80">
        <v>35709</v>
      </c>
    </row>
    <row r="9360" spans="1:5">
      <c r="A9360">
        <v>10693</v>
      </c>
      <c r="B9360" t="s">
        <v>178</v>
      </c>
      <c r="C9360">
        <v>917.99999356269836</v>
      </c>
      <c r="D9360">
        <v>30</v>
      </c>
      <c r="E9360" s="80">
        <v>35709</v>
      </c>
    </row>
    <row r="9361" spans="1:5">
      <c r="A9361">
        <v>10693</v>
      </c>
      <c r="B9361" t="s">
        <v>179</v>
      </c>
      <c r="C9361">
        <v>917.99999356269836</v>
      </c>
      <c r="D9361">
        <v>30</v>
      </c>
      <c r="E9361" s="80">
        <v>35709</v>
      </c>
    </row>
    <row r="9362" spans="1:5">
      <c r="A9362">
        <v>10693</v>
      </c>
      <c r="B9362" t="s">
        <v>172</v>
      </c>
      <c r="C9362">
        <v>191.24999865889549</v>
      </c>
      <c r="D9362">
        <v>15</v>
      </c>
      <c r="E9362" s="80">
        <v>35709</v>
      </c>
    </row>
    <row r="9363" spans="1:5">
      <c r="A9363">
        <v>10693</v>
      </c>
      <c r="B9363" t="s">
        <v>173</v>
      </c>
      <c r="C9363">
        <v>191.24999865889549</v>
      </c>
      <c r="D9363">
        <v>15</v>
      </c>
      <c r="E9363" s="80">
        <v>35709</v>
      </c>
    </row>
    <row r="9364" spans="1:5">
      <c r="A9364">
        <v>10693</v>
      </c>
      <c r="B9364" t="s">
        <v>174</v>
      </c>
      <c r="C9364">
        <v>191.24999865889549</v>
      </c>
      <c r="D9364">
        <v>15</v>
      </c>
      <c r="E9364" s="80">
        <v>35709</v>
      </c>
    </row>
    <row r="9365" spans="1:5">
      <c r="A9365">
        <v>10693</v>
      </c>
      <c r="B9365" t="s">
        <v>175</v>
      </c>
      <c r="C9365">
        <v>191.24999865889549</v>
      </c>
      <c r="D9365">
        <v>15</v>
      </c>
      <c r="E9365" s="80">
        <v>35709</v>
      </c>
    </row>
    <row r="9366" spans="1:5">
      <c r="A9366">
        <v>10693</v>
      </c>
      <c r="B9366" t="s">
        <v>176</v>
      </c>
      <c r="C9366">
        <v>191.24999865889549</v>
      </c>
      <c r="D9366">
        <v>15</v>
      </c>
      <c r="E9366" s="80">
        <v>35709</v>
      </c>
    </row>
    <row r="9367" spans="1:5">
      <c r="A9367">
        <v>10693</v>
      </c>
      <c r="B9367" t="s">
        <v>177</v>
      </c>
      <c r="C9367">
        <v>191.24999865889549</v>
      </c>
      <c r="D9367">
        <v>15</v>
      </c>
      <c r="E9367" s="80">
        <v>35709</v>
      </c>
    </row>
    <row r="9368" spans="1:5">
      <c r="A9368">
        <v>10693</v>
      </c>
      <c r="B9368" t="s">
        <v>178</v>
      </c>
      <c r="C9368">
        <v>191.24999865889549</v>
      </c>
      <c r="D9368">
        <v>15</v>
      </c>
      <c r="E9368" s="80">
        <v>35709</v>
      </c>
    </row>
    <row r="9369" spans="1:5">
      <c r="A9369">
        <v>10693</v>
      </c>
      <c r="B9369" t="s">
        <v>179</v>
      </c>
      <c r="C9369">
        <v>191.24999865889549</v>
      </c>
      <c r="D9369">
        <v>15</v>
      </c>
      <c r="E9369" s="80">
        <v>35709</v>
      </c>
    </row>
    <row r="9370" spans="1:5">
      <c r="A9370">
        <v>10694</v>
      </c>
      <c r="B9370" t="s">
        <v>172</v>
      </c>
      <c r="C9370">
        <v>2700</v>
      </c>
      <c r="D9370">
        <v>90</v>
      </c>
      <c r="E9370" s="80">
        <v>35709</v>
      </c>
    </row>
    <row r="9371" spans="1:5">
      <c r="A9371">
        <v>10694</v>
      </c>
      <c r="B9371" t="s">
        <v>173</v>
      </c>
      <c r="C9371">
        <v>2700</v>
      </c>
      <c r="D9371">
        <v>90</v>
      </c>
      <c r="E9371" s="80">
        <v>35709</v>
      </c>
    </row>
    <row r="9372" spans="1:5">
      <c r="A9372">
        <v>10694</v>
      </c>
      <c r="B9372" t="s">
        <v>174</v>
      </c>
      <c r="C9372">
        <v>2700</v>
      </c>
      <c r="D9372">
        <v>90</v>
      </c>
      <c r="E9372" s="80">
        <v>35709</v>
      </c>
    </row>
    <row r="9373" spans="1:5">
      <c r="A9373">
        <v>10694</v>
      </c>
      <c r="B9373" t="s">
        <v>175</v>
      </c>
      <c r="C9373">
        <v>2700</v>
      </c>
      <c r="D9373">
        <v>90</v>
      </c>
      <c r="E9373" s="80">
        <v>35709</v>
      </c>
    </row>
    <row r="9374" spans="1:5">
      <c r="A9374">
        <v>10694</v>
      </c>
      <c r="B9374" t="s">
        <v>176</v>
      </c>
      <c r="C9374">
        <v>2700</v>
      </c>
      <c r="D9374">
        <v>90</v>
      </c>
      <c r="E9374" s="80">
        <v>35709</v>
      </c>
    </row>
    <row r="9375" spans="1:5">
      <c r="A9375">
        <v>10694</v>
      </c>
      <c r="B9375" t="s">
        <v>177</v>
      </c>
      <c r="C9375">
        <v>2700</v>
      </c>
      <c r="D9375">
        <v>90</v>
      </c>
      <c r="E9375" s="80">
        <v>35709</v>
      </c>
    </row>
    <row r="9376" spans="1:5">
      <c r="A9376">
        <v>10694</v>
      </c>
      <c r="B9376" t="s">
        <v>178</v>
      </c>
      <c r="C9376">
        <v>2700</v>
      </c>
      <c r="D9376">
        <v>90</v>
      </c>
      <c r="E9376" s="80">
        <v>35709</v>
      </c>
    </row>
    <row r="9377" spans="1:5">
      <c r="A9377">
        <v>10694</v>
      </c>
      <c r="B9377" t="s">
        <v>179</v>
      </c>
      <c r="C9377">
        <v>2700</v>
      </c>
      <c r="D9377">
        <v>90</v>
      </c>
      <c r="E9377" s="80">
        <v>35709</v>
      </c>
    </row>
    <row r="9378" spans="1:5">
      <c r="A9378">
        <v>10694</v>
      </c>
      <c r="B9378" t="s">
        <v>172</v>
      </c>
      <c r="C9378">
        <v>1375</v>
      </c>
      <c r="D9378">
        <v>25</v>
      </c>
      <c r="E9378" s="80">
        <v>35709</v>
      </c>
    </row>
    <row r="9379" spans="1:5">
      <c r="A9379">
        <v>10694</v>
      </c>
      <c r="B9379" t="s">
        <v>173</v>
      </c>
      <c r="C9379">
        <v>1375</v>
      </c>
      <c r="D9379">
        <v>25</v>
      </c>
      <c r="E9379" s="80">
        <v>35709</v>
      </c>
    </row>
    <row r="9380" spans="1:5">
      <c r="A9380">
        <v>10694</v>
      </c>
      <c r="B9380" t="s">
        <v>174</v>
      </c>
      <c r="C9380">
        <v>1375</v>
      </c>
      <c r="D9380">
        <v>25</v>
      </c>
      <c r="E9380" s="80">
        <v>35709</v>
      </c>
    </row>
    <row r="9381" spans="1:5">
      <c r="A9381">
        <v>10694</v>
      </c>
      <c r="B9381" t="s">
        <v>175</v>
      </c>
      <c r="C9381">
        <v>1375</v>
      </c>
      <c r="D9381">
        <v>25</v>
      </c>
      <c r="E9381" s="80">
        <v>35709</v>
      </c>
    </row>
    <row r="9382" spans="1:5">
      <c r="A9382">
        <v>10694</v>
      </c>
      <c r="B9382" t="s">
        <v>176</v>
      </c>
      <c r="C9382">
        <v>1375</v>
      </c>
      <c r="D9382">
        <v>25</v>
      </c>
      <c r="E9382" s="80">
        <v>35709</v>
      </c>
    </row>
    <row r="9383" spans="1:5">
      <c r="A9383">
        <v>10694</v>
      </c>
      <c r="B9383" t="s">
        <v>177</v>
      </c>
      <c r="C9383">
        <v>1375</v>
      </c>
      <c r="D9383">
        <v>25</v>
      </c>
      <c r="E9383" s="80">
        <v>35709</v>
      </c>
    </row>
    <row r="9384" spans="1:5">
      <c r="A9384">
        <v>10694</v>
      </c>
      <c r="B9384" t="s">
        <v>178</v>
      </c>
      <c r="C9384">
        <v>1375</v>
      </c>
      <c r="D9384">
        <v>25</v>
      </c>
      <c r="E9384" s="80">
        <v>35709</v>
      </c>
    </row>
    <row r="9385" spans="1:5">
      <c r="A9385">
        <v>10694</v>
      </c>
      <c r="B9385" t="s">
        <v>179</v>
      </c>
      <c r="C9385">
        <v>1375</v>
      </c>
      <c r="D9385">
        <v>25</v>
      </c>
      <c r="E9385" s="80">
        <v>35709</v>
      </c>
    </row>
    <row r="9386" spans="1:5">
      <c r="A9386">
        <v>10694</v>
      </c>
      <c r="B9386" t="s">
        <v>172</v>
      </c>
      <c r="C9386">
        <v>750</v>
      </c>
      <c r="D9386">
        <v>50</v>
      </c>
      <c r="E9386" s="80">
        <v>35709</v>
      </c>
    </row>
    <row r="9387" spans="1:5">
      <c r="A9387">
        <v>10694</v>
      </c>
      <c r="B9387" t="s">
        <v>173</v>
      </c>
      <c r="C9387">
        <v>750</v>
      </c>
      <c r="D9387">
        <v>50</v>
      </c>
      <c r="E9387" s="80">
        <v>35709</v>
      </c>
    </row>
    <row r="9388" spans="1:5">
      <c r="A9388">
        <v>10694</v>
      </c>
      <c r="B9388" t="s">
        <v>174</v>
      </c>
      <c r="C9388">
        <v>750</v>
      </c>
      <c r="D9388">
        <v>50</v>
      </c>
      <c r="E9388" s="80">
        <v>35709</v>
      </c>
    </row>
    <row r="9389" spans="1:5">
      <c r="A9389">
        <v>10694</v>
      </c>
      <c r="B9389" t="s">
        <v>175</v>
      </c>
      <c r="C9389">
        <v>750</v>
      </c>
      <c r="D9389">
        <v>50</v>
      </c>
      <c r="E9389" s="80">
        <v>35709</v>
      </c>
    </row>
    <row r="9390" spans="1:5">
      <c r="A9390">
        <v>10694</v>
      </c>
      <c r="B9390" t="s">
        <v>176</v>
      </c>
      <c r="C9390">
        <v>750</v>
      </c>
      <c r="D9390">
        <v>50</v>
      </c>
      <c r="E9390" s="80">
        <v>35709</v>
      </c>
    </row>
    <row r="9391" spans="1:5">
      <c r="A9391">
        <v>10694</v>
      </c>
      <c r="B9391" t="s">
        <v>177</v>
      </c>
      <c r="C9391">
        <v>750</v>
      </c>
      <c r="D9391">
        <v>50</v>
      </c>
      <c r="E9391" s="80">
        <v>35709</v>
      </c>
    </row>
    <row r="9392" spans="1:5">
      <c r="A9392">
        <v>10694</v>
      </c>
      <c r="B9392" t="s">
        <v>178</v>
      </c>
      <c r="C9392">
        <v>750</v>
      </c>
      <c r="D9392">
        <v>50</v>
      </c>
      <c r="E9392" s="80">
        <v>35709</v>
      </c>
    </row>
    <row r="9393" spans="1:5">
      <c r="A9393">
        <v>10694</v>
      </c>
      <c r="B9393" t="s">
        <v>179</v>
      </c>
      <c r="C9393">
        <v>750</v>
      </c>
      <c r="D9393">
        <v>50</v>
      </c>
      <c r="E9393" s="80">
        <v>35709</v>
      </c>
    </row>
    <row r="9394" spans="1:5">
      <c r="A9394">
        <v>10695</v>
      </c>
      <c r="B9394" t="s">
        <v>172</v>
      </c>
      <c r="C9394">
        <v>400</v>
      </c>
      <c r="D9394">
        <v>10</v>
      </c>
      <c r="E9394" s="80">
        <v>35710</v>
      </c>
    </row>
    <row r="9395" spans="1:5">
      <c r="A9395">
        <v>10695</v>
      </c>
      <c r="B9395" t="s">
        <v>173</v>
      </c>
      <c r="C9395">
        <v>400</v>
      </c>
      <c r="D9395">
        <v>10</v>
      </c>
      <c r="E9395" s="80">
        <v>35710</v>
      </c>
    </row>
    <row r="9396" spans="1:5">
      <c r="A9396">
        <v>10695</v>
      </c>
      <c r="B9396" t="s">
        <v>174</v>
      </c>
      <c r="C9396">
        <v>400</v>
      </c>
      <c r="D9396">
        <v>10</v>
      </c>
      <c r="E9396" s="80">
        <v>35710</v>
      </c>
    </row>
    <row r="9397" spans="1:5">
      <c r="A9397">
        <v>10695</v>
      </c>
      <c r="B9397" t="s">
        <v>175</v>
      </c>
      <c r="C9397">
        <v>400</v>
      </c>
      <c r="D9397">
        <v>10</v>
      </c>
      <c r="E9397" s="80">
        <v>35710</v>
      </c>
    </row>
    <row r="9398" spans="1:5">
      <c r="A9398">
        <v>10695</v>
      </c>
      <c r="B9398" t="s">
        <v>176</v>
      </c>
      <c r="C9398">
        <v>400</v>
      </c>
      <c r="D9398">
        <v>10</v>
      </c>
      <c r="E9398" s="80">
        <v>35710</v>
      </c>
    </row>
    <row r="9399" spans="1:5">
      <c r="A9399">
        <v>10695</v>
      </c>
      <c r="B9399" t="s">
        <v>177</v>
      </c>
      <c r="C9399">
        <v>400</v>
      </c>
      <c r="D9399">
        <v>10</v>
      </c>
      <c r="E9399" s="80">
        <v>35710</v>
      </c>
    </row>
    <row r="9400" spans="1:5">
      <c r="A9400">
        <v>10695</v>
      </c>
      <c r="B9400" t="s">
        <v>178</v>
      </c>
      <c r="C9400">
        <v>400</v>
      </c>
      <c r="D9400">
        <v>10</v>
      </c>
      <c r="E9400" s="80">
        <v>35710</v>
      </c>
    </row>
    <row r="9401" spans="1:5">
      <c r="A9401">
        <v>10695</v>
      </c>
      <c r="B9401" t="s">
        <v>179</v>
      </c>
      <c r="C9401">
        <v>400</v>
      </c>
      <c r="D9401">
        <v>10</v>
      </c>
      <c r="E9401" s="80">
        <v>35710</v>
      </c>
    </row>
    <row r="9402" spans="1:5">
      <c r="A9402">
        <v>10695</v>
      </c>
      <c r="B9402" t="s">
        <v>172</v>
      </c>
      <c r="C9402">
        <v>152</v>
      </c>
      <c r="D9402">
        <v>4</v>
      </c>
      <c r="E9402" s="80">
        <v>35710</v>
      </c>
    </row>
    <row r="9403" spans="1:5">
      <c r="A9403">
        <v>10695</v>
      </c>
      <c r="B9403" t="s">
        <v>173</v>
      </c>
      <c r="C9403">
        <v>152</v>
      </c>
      <c r="D9403">
        <v>4</v>
      </c>
      <c r="E9403" s="80">
        <v>35710</v>
      </c>
    </row>
    <row r="9404" spans="1:5">
      <c r="A9404">
        <v>10695</v>
      </c>
      <c r="B9404" t="s">
        <v>174</v>
      </c>
      <c r="C9404">
        <v>152</v>
      </c>
      <c r="D9404">
        <v>4</v>
      </c>
      <c r="E9404" s="80">
        <v>35710</v>
      </c>
    </row>
    <row r="9405" spans="1:5">
      <c r="A9405">
        <v>10695</v>
      </c>
      <c r="B9405" t="s">
        <v>175</v>
      </c>
      <c r="C9405">
        <v>152</v>
      </c>
      <c r="D9405">
        <v>4</v>
      </c>
      <c r="E9405" s="80">
        <v>35710</v>
      </c>
    </row>
    <row r="9406" spans="1:5">
      <c r="A9406">
        <v>10695</v>
      </c>
      <c r="B9406" t="s">
        <v>176</v>
      </c>
      <c r="C9406">
        <v>152</v>
      </c>
      <c r="D9406">
        <v>4</v>
      </c>
      <c r="E9406" s="80">
        <v>35710</v>
      </c>
    </row>
    <row r="9407" spans="1:5">
      <c r="A9407">
        <v>10695</v>
      </c>
      <c r="B9407" t="s">
        <v>177</v>
      </c>
      <c r="C9407">
        <v>152</v>
      </c>
      <c r="D9407">
        <v>4</v>
      </c>
      <c r="E9407" s="80">
        <v>35710</v>
      </c>
    </row>
    <row r="9408" spans="1:5">
      <c r="A9408">
        <v>10695</v>
      </c>
      <c r="B9408" t="s">
        <v>178</v>
      </c>
      <c r="C9408">
        <v>152</v>
      </c>
      <c r="D9408">
        <v>4</v>
      </c>
      <c r="E9408" s="80">
        <v>35710</v>
      </c>
    </row>
    <row r="9409" spans="1:5">
      <c r="A9409">
        <v>10695</v>
      </c>
      <c r="B9409" t="s">
        <v>179</v>
      </c>
      <c r="C9409">
        <v>152</v>
      </c>
      <c r="D9409">
        <v>4</v>
      </c>
      <c r="E9409" s="80">
        <v>35710</v>
      </c>
    </row>
    <row r="9410" spans="1:5">
      <c r="A9410">
        <v>10695</v>
      </c>
      <c r="B9410" t="s">
        <v>172</v>
      </c>
      <c r="C9410">
        <v>90</v>
      </c>
      <c r="D9410">
        <v>20</v>
      </c>
      <c r="E9410" s="80">
        <v>35710</v>
      </c>
    </row>
    <row r="9411" spans="1:5">
      <c r="A9411">
        <v>10695</v>
      </c>
      <c r="B9411" t="s">
        <v>173</v>
      </c>
      <c r="C9411">
        <v>90</v>
      </c>
      <c r="D9411">
        <v>20</v>
      </c>
      <c r="E9411" s="80">
        <v>35710</v>
      </c>
    </row>
    <row r="9412" spans="1:5">
      <c r="A9412">
        <v>10695</v>
      </c>
      <c r="B9412" t="s">
        <v>174</v>
      </c>
      <c r="C9412">
        <v>90</v>
      </c>
      <c r="D9412">
        <v>20</v>
      </c>
      <c r="E9412" s="80">
        <v>35710</v>
      </c>
    </row>
    <row r="9413" spans="1:5">
      <c r="A9413">
        <v>10695</v>
      </c>
      <c r="B9413" t="s">
        <v>175</v>
      </c>
      <c r="C9413">
        <v>90</v>
      </c>
      <c r="D9413">
        <v>20</v>
      </c>
      <c r="E9413" s="80">
        <v>35710</v>
      </c>
    </row>
    <row r="9414" spans="1:5">
      <c r="A9414">
        <v>10695</v>
      </c>
      <c r="B9414" t="s">
        <v>176</v>
      </c>
      <c r="C9414">
        <v>90</v>
      </c>
      <c r="D9414">
        <v>20</v>
      </c>
      <c r="E9414" s="80">
        <v>35710</v>
      </c>
    </row>
    <row r="9415" spans="1:5">
      <c r="A9415">
        <v>10695</v>
      </c>
      <c r="B9415" t="s">
        <v>177</v>
      </c>
      <c r="C9415">
        <v>90</v>
      </c>
      <c r="D9415">
        <v>20</v>
      </c>
      <c r="E9415" s="80">
        <v>35710</v>
      </c>
    </row>
    <row r="9416" spans="1:5">
      <c r="A9416">
        <v>10695</v>
      </c>
      <c r="B9416" t="s">
        <v>178</v>
      </c>
      <c r="C9416">
        <v>90</v>
      </c>
      <c r="D9416">
        <v>20</v>
      </c>
      <c r="E9416" s="80">
        <v>35710</v>
      </c>
    </row>
    <row r="9417" spans="1:5">
      <c r="A9417">
        <v>10695</v>
      </c>
      <c r="B9417" t="s">
        <v>179</v>
      </c>
      <c r="C9417">
        <v>90</v>
      </c>
      <c r="D9417">
        <v>20</v>
      </c>
      <c r="E9417" s="80">
        <v>35710</v>
      </c>
    </row>
    <row r="9418" spans="1:5">
      <c r="A9418">
        <v>10696</v>
      </c>
      <c r="B9418" t="s">
        <v>172</v>
      </c>
      <c r="C9418">
        <v>780</v>
      </c>
      <c r="D9418">
        <v>20</v>
      </c>
      <c r="E9418" s="80">
        <v>35711</v>
      </c>
    </row>
    <row r="9419" spans="1:5">
      <c r="A9419">
        <v>10696</v>
      </c>
      <c r="B9419" t="s">
        <v>173</v>
      </c>
      <c r="C9419">
        <v>780</v>
      </c>
      <c r="D9419">
        <v>20</v>
      </c>
      <c r="E9419" s="80">
        <v>35711</v>
      </c>
    </row>
    <row r="9420" spans="1:5">
      <c r="A9420">
        <v>10696</v>
      </c>
      <c r="B9420" t="s">
        <v>174</v>
      </c>
      <c r="C9420">
        <v>780</v>
      </c>
      <c r="D9420">
        <v>20</v>
      </c>
      <c r="E9420" s="80">
        <v>35711</v>
      </c>
    </row>
    <row r="9421" spans="1:5">
      <c r="A9421">
        <v>10696</v>
      </c>
      <c r="B9421" t="s">
        <v>175</v>
      </c>
      <c r="C9421">
        <v>780</v>
      </c>
      <c r="D9421">
        <v>20</v>
      </c>
      <c r="E9421" s="80">
        <v>35711</v>
      </c>
    </row>
    <row r="9422" spans="1:5">
      <c r="A9422">
        <v>10696</v>
      </c>
      <c r="B9422" t="s">
        <v>176</v>
      </c>
      <c r="C9422">
        <v>780</v>
      </c>
      <c r="D9422">
        <v>20</v>
      </c>
      <c r="E9422" s="80">
        <v>35711</v>
      </c>
    </row>
    <row r="9423" spans="1:5">
      <c r="A9423">
        <v>10696</v>
      </c>
      <c r="B9423" t="s">
        <v>177</v>
      </c>
      <c r="C9423">
        <v>780</v>
      </c>
      <c r="D9423">
        <v>20</v>
      </c>
      <c r="E9423" s="80">
        <v>35711</v>
      </c>
    </row>
    <row r="9424" spans="1:5">
      <c r="A9424">
        <v>10696</v>
      </c>
      <c r="B9424" t="s">
        <v>178</v>
      </c>
      <c r="C9424">
        <v>780</v>
      </c>
      <c r="D9424">
        <v>20</v>
      </c>
      <c r="E9424" s="80">
        <v>35711</v>
      </c>
    </row>
    <row r="9425" spans="1:5">
      <c r="A9425">
        <v>10696</v>
      </c>
      <c r="B9425" t="s">
        <v>179</v>
      </c>
      <c r="C9425">
        <v>780</v>
      </c>
      <c r="D9425">
        <v>20</v>
      </c>
      <c r="E9425" s="80">
        <v>35711</v>
      </c>
    </row>
    <row r="9426" spans="1:5">
      <c r="A9426">
        <v>10696</v>
      </c>
      <c r="B9426" t="s">
        <v>172</v>
      </c>
      <c r="C9426">
        <v>216</v>
      </c>
      <c r="D9426">
        <v>18</v>
      </c>
      <c r="E9426" s="80">
        <v>35711</v>
      </c>
    </row>
    <row r="9427" spans="1:5">
      <c r="A9427">
        <v>10696</v>
      </c>
      <c r="B9427" t="s">
        <v>173</v>
      </c>
      <c r="C9427">
        <v>216</v>
      </c>
      <c r="D9427">
        <v>18</v>
      </c>
      <c r="E9427" s="80">
        <v>35711</v>
      </c>
    </row>
    <row r="9428" spans="1:5">
      <c r="A9428">
        <v>10696</v>
      </c>
      <c r="B9428" t="s">
        <v>174</v>
      </c>
      <c r="C9428">
        <v>216</v>
      </c>
      <c r="D9428">
        <v>18</v>
      </c>
      <c r="E9428" s="80">
        <v>35711</v>
      </c>
    </row>
    <row r="9429" spans="1:5">
      <c r="A9429">
        <v>10696</v>
      </c>
      <c r="B9429" t="s">
        <v>175</v>
      </c>
      <c r="C9429">
        <v>216</v>
      </c>
      <c r="D9429">
        <v>18</v>
      </c>
      <c r="E9429" s="80">
        <v>35711</v>
      </c>
    </row>
    <row r="9430" spans="1:5">
      <c r="A9430">
        <v>10696</v>
      </c>
      <c r="B9430" t="s">
        <v>176</v>
      </c>
      <c r="C9430">
        <v>216</v>
      </c>
      <c r="D9430">
        <v>18</v>
      </c>
      <c r="E9430" s="80">
        <v>35711</v>
      </c>
    </row>
    <row r="9431" spans="1:5">
      <c r="A9431">
        <v>10696</v>
      </c>
      <c r="B9431" t="s">
        <v>177</v>
      </c>
      <c r="C9431">
        <v>216</v>
      </c>
      <c r="D9431">
        <v>18</v>
      </c>
      <c r="E9431" s="80">
        <v>35711</v>
      </c>
    </row>
    <row r="9432" spans="1:5">
      <c r="A9432">
        <v>10696</v>
      </c>
      <c r="B9432" t="s">
        <v>178</v>
      </c>
      <c r="C9432">
        <v>216</v>
      </c>
      <c r="D9432">
        <v>18</v>
      </c>
      <c r="E9432" s="80">
        <v>35711</v>
      </c>
    </row>
    <row r="9433" spans="1:5">
      <c r="A9433">
        <v>10696</v>
      </c>
      <c r="B9433" t="s">
        <v>179</v>
      </c>
      <c r="C9433">
        <v>216</v>
      </c>
      <c r="D9433">
        <v>18</v>
      </c>
      <c r="E9433" s="80">
        <v>35711</v>
      </c>
    </row>
    <row r="9434" spans="1:5">
      <c r="A9434">
        <v>10697</v>
      </c>
      <c r="B9434" t="s">
        <v>172</v>
      </c>
      <c r="C9434">
        <v>48.300000000000004</v>
      </c>
      <c r="D9434">
        <v>7</v>
      </c>
      <c r="E9434" s="80">
        <v>35711</v>
      </c>
    </row>
    <row r="9435" spans="1:5">
      <c r="A9435">
        <v>10697</v>
      </c>
      <c r="B9435" t="s">
        <v>173</v>
      </c>
      <c r="C9435">
        <v>48.300000000000004</v>
      </c>
      <c r="D9435">
        <v>7</v>
      </c>
      <c r="E9435" s="80">
        <v>35711</v>
      </c>
    </row>
    <row r="9436" spans="1:5">
      <c r="A9436">
        <v>10697</v>
      </c>
      <c r="B9436" t="s">
        <v>174</v>
      </c>
      <c r="C9436">
        <v>48.300000000000004</v>
      </c>
      <c r="D9436">
        <v>7</v>
      </c>
      <c r="E9436" s="80">
        <v>35711</v>
      </c>
    </row>
    <row r="9437" spans="1:5">
      <c r="A9437">
        <v>10697</v>
      </c>
      <c r="B9437" t="s">
        <v>175</v>
      </c>
      <c r="C9437">
        <v>48.300000000000004</v>
      </c>
      <c r="D9437">
        <v>7</v>
      </c>
      <c r="E9437" s="80">
        <v>35711</v>
      </c>
    </row>
    <row r="9438" spans="1:5">
      <c r="A9438">
        <v>10697</v>
      </c>
      <c r="B9438" t="s">
        <v>176</v>
      </c>
      <c r="C9438">
        <v>48.300000000000004</v>
      </c>
      <c r="D9438">
        <v>7</v>
      </c>
      <c r="E9438" s="80">
        <v>35711</v>
      </c>
    </row>
    <row r="9439" spans="1:5">
      <c r="A9439">
        <v>10697</v>
      </c>
      <c r="B9439" t="s">
        <v>177</v>
      </c>
      <c r="C9439">
        <v>48.300000000000004</v>
      </c>
      <c r="D9439">
        <v>7</v>
      </c>
      <c r="E9439" s="80">
        <v>35711</v>
      </c>
    </row>
    <row r="9440" spans="1:5">
      <c r="A9440">
        <v>10697</v>
      </c>
      <c r="B9440" t="s">
        <v>178</v>
      </c>
      <c r="C9440">
        <v>48.300000000000004</v>
      </c>
      <c r="D9440">
        <v>7</v>
      </c>
      <c r="E9440" s="80">
        <v>35711</v>
      </c>
    </row>
    <row r="9441" spans="1:5">
      <c r="A9441">
        <v>10697</v>
      </c>
      <c r="B9441" t="s">
        <v>179</v>
      </c>
      <c r="C9441">
        <v>48.300000000000004</v>
      </c>
      <c r="D9441">
        <v>7</v>
      </c>
      <c r="E9441" s="80">
        <v>35711</v>
      </c>
    </row>
    <row r="9442" spans="1:5">
      <c r="A9442">
        <v>10697</v>
      </c>
      <c r="B9442" t="s">
        <v>172</v>
      </c>
      <c r="C9442">
        <v>121.5</v>
      </c>
      <c r="D9442">
        <v>9</v>
      </c>
      <c r="E9442" s="80">
        <v>35711</v>
      </c>
    </row>
    <row r="9443" spans="1:5">
      <c r="A9443">
        <v>10697</v>
      </c>
      <c r="B9443" t="s">
        <v>173</v>
      </c>
      <c r="C9443">
        <v>121.5</v>
      </c>
      <c r="D9443">
        <v>9</v>
      </c>
      <c r="E9443" s="80">
        <v>35711</v>
      </c>
    </row>
    <row r="9444" spans="1:5">
      <c r="A9444">
        <v>10697</v>
      </c>
      <c r="B9444" t="s">
        <v>174</v>
      </c>
      <c r="C9444">
        <v>121.5</v>
      </c>
      <c r="D9444">
        <v>9</v>
      </c>
      <c r="E9444" s="80">
        <v>35711</v>
      </c>
    </row>
    <row r="9445" spans="1:5">
      <c r="A9445">
        <v>10697</v>
      </c>
      <c r="B9445" t="s">
        <v>175</v>
      </c>
      <c r="C9445">
        <v>121.5</v>
      </c>
      <c r="D9445">
        <v>9</v>
      </c>
      <c r="E9445" s="80">
        <v>35711</v>
      </c>
    </row>
    <row r="9446" spans="1:5">
      <c r="A9446">
        <v>10697</v>
      </c>
      <c r="B9446" t="s">
        <v>176</v>
      </c>
      <c r="C9446">
        <v>121.5</v>
      </c>
      <c r="D9446">
        <v>9</v>
      </c>
      <c r="E9446" s="80">
        <v>35711</v>
      </c>
    </row>
    <row r="9447" spans="1:5">
      <c r="A9447">
        <v>10697</v>
      </c>
      <c r="B9447" t="s">
        <v>177</v>
      </c>
      <c r="C9447">
        <v>121.5</v>
      </c>
      <c r="D9447">
        <v>9</v>
      </c>
      <c r="E9447" s="80">
        <v>35711</v>
      </c>
    </row>
    <row r="9448" spans="1:5">
      <c r="A9448">
        <v>10697</v>
      </c>
      <c r="B9448" t="s">
        <v>178</v>
      </c>
      <c r="C9448">
        <v>121.5</v>
      </c>
      <c r="D9448">
        <v>9</v>
      </c>
      <c r="E9448" s="80">
        <v>35711</v>
      </c>
    </row>
    <row r="9449" spans="1:5">
      <c r="A9449">
        <v>10697</v>
      </c>
      <c r="B9449" t="s">
        <v>179</v>
      </c>
      <c r="C9449">
        <v>121.5</v>
      </c>
      <c r="D9449">
        <v>9</v>
      </c>
      <c r="E9449" s="80">
        <v>35711</v>
      </c>
    </row>
    <row r="9450" spans="1:5">
      <c r="A9450">
        <v>10697</v>
      </c>
      <c r="B9450" t="s">
        <v>172</v>
      </c>
      <c r="C9450">
        <v>298.125</v>
      </c>
      <c r="D9450">
        <v>30</v>
      </c>
      <c r="E9450" s="80">
        <v>35711</v>
      </c>
    </row>
    <row r="9451" spans="1:5">
      <c r="A9451">
        <v>10697</v>
      </c>
      <c r="B9451" t="s">
        <v>173</v>
      </c>
      <c r="C9451">
        <v>298.125</v>
      </c>
      <c r="D9451">
        <v>30</v>
      </c>
      <c r="E9451" s="80">
        <v>35711</v>
      </c>
    </row>
    <row r="9452" spans="1:5">
      <c r="A9452">
        <v>10697</v>
      </c>
      <c r="B9452" t="s">
        <v>174</v>
      </c>
      <c r="C9452">
        <v>298.125</v>
      </c>
      <c r="D9452">
        <v>30</v>
      </c>
      <c r="E9452" s="80">
        <v>35711</v>
      </c>
    </row>
    <row r="9453" spans="1:5">
      <c r="A9453">
        <v>10697</v>
      </c>
      <c r="B9453" t="s">
        <v>175</v>
      </c>
      <c r="C9453">
        <v>298.125</v>
      </c>
      <c r="D9453">
        <v>30</v>
      </c>
      <c r="E9453" s="80">
        <v>35711</v>
      </c>
    </row>
    <row r="9454" spans="1:5">
      <c r="A9454">
        <v>10697</v>
      </c>
      <c r="B9454" t="s">
        <v>176</v>
      </c>
      <c r="C9454">
        <v>298.125</v>
      </c>
      <c r="D9454">
        <v>30</v>
      </c>
      <c r="E9454" s="80">
        <v>35711</v>
      </c>
    </row>
    <row r="9455" spans="1:5">
      <c r="A9455">
        <v>10697</v>
      </c>
      <c r="B9455" t="s">
        <v>177</v>
      </c>
      <c r="C9455">
        <v>298.125</v>
      </c>
      <c r="D9455">
        <v>30</v>
      </c>
      <c r="E9455" s="80">
        <v>35711</v>
      </c>
    </row>
    <row r="9456" spans="1:5">
      <c r="A9456">
        <v>10697</v>
      </c>
      <c r="B9456" t="s">
        <v>178</v>
      </c>
      <c r="C9456">
        <v>298.125</v>
      </c>
      <c r="D9456">
        <v>30</v>
      </c>
      <c r="E9456" s="80">
        <v>35711</v>
      </c>
    </row>
    <row r="9457" spans="1:5">
      <c r="A9457">
        <v>10697</v>
      </c>
      <c r="B9457" t="s">
        <v>179</v>
      </c>
      <c r="C9457">
        <v>298.125</v>
      </c>
      <c r="D9457">
        <v>30</v>
      </c>
      <c r="E9457" s="80">
        <v>35711</v>
      </c>
    </row>
    <row r="9458" spans="1:5">
      <c r="A9458">
        <v>10697</v>
      </c>
      <c r="B9458" t="s">
        <v>172</v>
      </c>
      <c r="C9458">
        <v>337.5</v>
      </c>
      <c r="D9458">
        <v>30</v>
      </c>
      <c r="E9458" s="80">
        <v>35711</v>
      </c>
    </row>
    <row r="9459" spans="1:5">
      <c r="A9459">
        <v>10697</v>
      </c>
      <c r="B9459" t="s">
        <v>173</v>
      </c>
      <c r="C9459">
        <v>337.5</v>
      </c>
      <c r="D9459">
        <v>30</v>
      </c>
      <c r="E9459" s="80">
        <v>35711</v>
      </c>
    </row>
    <row r="9460" spans="1:5">
      <c r="A9460">
        <v>10697</v>
      </c>
      <c r="B9460" t="s">
        <v>174</v>
      </c>
      <c r="C9460">
        <v>337.5</v>
      </c>
      <c r="D9460">
        <v>30</v>
      </c>
      <c r="E9460" s="80">
        <v>35711</v>
      </c>
    </row>
    <row r="9461" spans="1:5">
      <c r="A9461">
        <v>10697</v>
      </c>
      <c r="B9461" t="s">
        <v>175</v>
      </c>
      <c r="C9461">
        <v>337.5</v>
      </c>
      <c r="D9461">
        <v>30</v>
      </c>
      <c r="E9461" s="80">
        <v>35711</v>
      </c>
    </row>
    <row r="9462" spans="1:5">
      <c r="A9462">
        <v>10697</v>
      </c>
      <c r="B9462" t="s">
        <v>176</v>
      </c>
      <c r="C9462">
        <v>337.5</v>
      </c>
      <c r="D9462">
        <v>30</v>
      </c>
      <c r="E9462" s="80">
        <v>35711</v>
      </c>
    </row>
    <row r="9463" spans="1:5">
      <c r="A9463">
        <v>10697</v>
      </c>
      <c r="B9463" t="s">
        <v>177</v>
      </c>
      <c r="C9463">
        <v>337.5</v>
      </c>
      <c r="D9463">
        <v>30</v>
      </c>
      <c r="E9463" s="80">
        <v>35711</v>
      </c>
    </row>
    <row r="9464" spans="1:5">
      <c r="A9464">
        <v>10697</v>
      </c>
      <c r="B9464" t="s">
        <v>178</v>
      </c>
      <c r="C9464">
        <v>337.5</v>
      </c>
      <c r="D9464">
        <v>30</v>
      </c>
      <c r="E9464" s="80">
        <v>35711</v>
      </c>
    </row>
    <row r="9465" spans="1:5">
      <c r="A9465">
        <v>10697</v>
      </c>
      <c r="B9465" t="s">
        <v>179</v>
      </c>
      <c r="C9465">
        <v>337.5</v>
      </c>
      <c r="D9465">
        <v>30</v>
      </c>
      <c r="E9465" s="80">
        <v>35711</v>
      </c>
    </row>
    <row r="9466" spans="1:5">
      <c r="A9466">
        <v>10698</v>
      </c>
      <c r="B9466" t="s">
        <v>172</v>
      </c>
      <c r="C9466">
        <v>315</v>
      </c>
      <c r="D9466">
        <v>15</v>
      </c>
      <c r="E9466" s="80">
        <v>35712</v>
      </c>
    </row>
    <row r="9467" spans="1:5">
      <c r="A9467">
        <v>10698</v>
      </c>
      <c r="B9467" t="s">
        <v>173</v>
      </c>
      <c r="C9467">
        <v>315</v>
      </c>
      <c r="D9467">
        <v>15</v>
      </c>
      <c r="E9467" s="80">
        <v>35712</v>
      </c>
    </row>
    <row r="9468" spans="1:5">
      <c r="A9468">
        <v>10698</v>
      </c>
      <c r="B9468" t="s">
        <v>174</v>
      </c>
      <c r="C9468">
        <v>315</v>
      </c>
      <c r="D9468">
        <v>15</v>
      </c>
      <c r="E9468" s="80">
        <v>35712</v>
      </c>
    </row>
    <row r="9469" spans="1:5">
      <c r="A9469">
        <v>10698</v>
      </c>
      <c r="B9469" t="s">
        <v>175</v>
      </c>
      <c r="C9469">
        <v>315</v>
      </c>
      <c r="D9469">
        <v>15</v>
      </c>
      <c r="E9469" s="80">
        <v>35712</v>
      </c>
    </row>
    <row r="9470" spans="1:5">
      <c r="A9470">
        <v>10698</v>
      </c>
      <c r="B9470" t="s">
        <v>176</v>
      </c>
      <c r="C9470">
        <v>315</v>
      </c>
      <c r="D9470">
        <v>15</v>
      </c>
      <c r="E9470" s="80">
        <v>35712</v>
      </c>
    </row>
    <row r="9471" spans="1:5">
      <c r="A9471">
        <v>10698</v>
      </c>
      <c r="B9471" t="s">
        <v>177</v>
      </c>
      <c r="C9471">
        <v>315</v>
      </c>
      <c r="D9471">
        <v>15</v>
      </c>
      <c r="E9471" s="80">
        <v>35712</v>
      </c>
    </row>
    <row r="9472" spans="1:5">
      <c r="A9472">
        <v>10698</v>
      </c>
      <c r="B9472" t="s">
        <v>178</v>
      </c>
      <c r="C9472">
        <v>315</v>
      </c>
      <c r="D9472">
        <v>15</v>
      </c>
      <c r="E9472" s="80">
        <v>35712</v>
      </c>
    </row>
    <row r="9473" spans="1:5">
      <c r="A9473">
        <v>10698</v>
      </c>
      <c r="B9473" t="s">
        <v>179</v>
      </c>
      <c r="C9473">
        <v>315</v>
      </c>
      <c r="D9473">
        <v>15</v>
      </c>
      <c r="E9473" s="80">
        <v>35712</v>
      </c>
    </row>
    <row r="9474" spans="1:5">
      <c r="A9474">
        <v>10698</v>
      </c>
      <c r="B9474" t="s">
        <v>172</v>
      </c>
      <c r="C9474">
        <v>296.39999976754189</v>
      </c>
      <c r="D9474">
        <v>8</v>
      </c>
      <c r="E9474" s="80">
        <v>35712</v>
      </c>
    </row>
    <row r="9475" spans="1:5">
      <c r="A9475">
        <v>10698</v>
      </c>
      <c r="B9475" t="s">
        <v>173</v>
      </c>
      <c r="C9475">
        <v>296.39999976754189</v>
      </c>
      <c r="D9475">
        <v>8</v>
      </c>
      <c r="E9475" s="80">
        <v>35712</v>
      </c>
    </row>
    <row r="9476" spans="1:5">
      <c r="A9476">
        <v>10698</v>
      </c>
      <c r="B9476" t="s">
        <v>174</v>
      </c>
      <c r="C9476">
        <v>296.39999976754189</v>
      </c>
      <c r="D9476">
        <v>8</v>
      </c>
      <c r="E9476" s="80">
        <v>35712</v>
      </c>
    </row>
    <row r="9477" spans="1:5">
      <c r="A9477">
        <v>10698</v>
      </c>
      <c r="B9477" t="s">
        <v>175</v>
      </c>
      <c r="C9477">
        <v>296.39999976754189</v>
      </c>
      <c r="D9477">
        <v>8</v>
      </c>
      <c r="E9477" s="80">
        <v>35712</v>
      </c>
    </row>
    <row r="9478" spans="1:5">
      <c r="A9478">
        <v>10698</v>
      </c>
      <c r="B9478" t="s">
        <v>176</v>
      </c>
      <c r="C9478">
        <v>296.39999976754189</v>
      </c>
      <c r="D9478">
        <v>8</v>
      </c>
      <c r="E9478" s="80">
        <v>35712</v>
      </c>
    </row>
    <row r="9479" spans="1:5">
      <c r="A9479">
        <v>10698</v>
      </c>
      <c r="B9479" t="s">
        <v>177</v>
      </c>
      <c r="C9479">
        <v>296.39999976754189</v>
      </c>
      <c r="D9479">
        <v>8</v>
      </c>
      <c r="E9479" s="80">
        <v>35712</v>
      </c>
    </row>
    <row r="9480" spans="1:5">
      <c r="A9480">
        <v>10698</v>
      </c>
      <c r="B9480" t="s">
        <v>178</v>
      </c>
      <c r="C9480">
        <v>296.39999976754189</v>
      </c>
      <c r="D9480">
        <v>8</v>
      </c>
      <c r="E9480" s="80">
        <v>35712</v>
      </c>
    </row>
    <row r="9481" spans="1:5">
      <c r="A9481">
        <v>10698</v>
      </c>
      <c r="B9481" t="s">
        <v>179</v>
      </c>
      <c r="C9481">
        <v>296.39999976754189</v>
      </c>
      <c r="D9481">
        <v>8</v>
      </c>
      <c r="E9481" s="80">
        <v>35712</v>
      </c>
    </row>
    <row r="9482" spans="1:5">
      <c r="A9482">
        <v>10698</v>
      </c>
      <c r="B9482" t="s">
        <v>172</v>
      </c>
      <c r="C9482">
        <v>1411.2059988932313</v>
      </c>
      <c r="D9482">
        <v>12</v>
      </c>
      <c r="E9482" s="80">
        <v>35712</v>
      </c>
    </row>
    <row r="9483" spans="1:5">
      <c r="A9483">
        <v>10698</v>
      </c>
      <c r="B9483" t="s">
        <v>173</v>
      </c>
      <c r="C9483">
        <v>1411.2059988932313</v>
      </c>
      <c r="D9483">
        <v>12</v>
      </c>
      <c r="E9483" s="80">
        <v>35712</v>
      </c>
    </row>
    <row r="9484" spans="1:5">
      <c r="A9484">
        <v>10698</v>
      </c>
      <c r="B9484" t="s">
        <v>174</v>
      </c>
      <c r="C9484">
        <v>1411.2059988932313</v>
      </c>
      <c r="D9484">
        <v>12</v>
      </c>
      <c r="E9484" s="80">
        <v>35712</v>
      </c>
    </row>
    <row r="9485" spans="1:5">
      <c r="A9485">
        <v>10698</v>
      </c>
      <c r="B9485" t="s">
        <v>175</v>
      </c>
      <c r="C9485">
        <v>1411.2059988932313</v>
      </c>
      <c r="D9485">
        <v>12</v>
      </c>
      <c r="E9485" s="80">
        <v>35712</v>
      </c>
    </row>
    <row r="9486" spans="1:5">
      <c r="A9486">
        <v>10698</v>
      </c>
      <c r="B9486" t="s">
        <v>176</v>
      </c>
      <c r="C9486">
        <v>1411.2059988932313</v>
      </c>
      <c r="D9486">
        <v>12</v>
      </c>
      <c r="E9486" s="80">
        <v>35712</v>
      </c>
    </row>
    <row r="9487" spans="1:5">
      <c r="A9487">
        <v>10698</v>
      </c>
      <c r="B9487" t="s">
        <v>177</v>
      </c>
      <c r="C9487">
        <v>1411.2059988932313</v>
      </c>
      <c r="D9487">
        <v>12</v>
      </c>
      <c r="E9487" s="80">
        <v>35712</v>
      </c>
    </row>
    <row r="9488" spans="1:5">
      <c r="A9488">
        <v>10698</v>
      </c>
      <c r="B9488" t="s">
        <v>178</v>
      </c>
      <c r="C9488">
        <v>1411.2059988932313</v>
      </c>
      <c r="D9488">
        <v>12</v>
      </c>
      <c r="E9488" s="80">
        <v>35712</v>
      </c>
    </row>
    <row r="9489" spans="1:5">
      <c r="A9489">
        <v>10698</v>
      </c>
      <c r="B9489" t="s">
        <v>179</v>
      </c>
      <c r="C9489">
        <v>1411.2059988932313</v>
      </c>
      <c r="D9489">
        <v>12</v>
      </c>
      <c r="E9489" s="80">
        <v>35712</v>
      </c>
    </row>
    <row r="9490" spans="1:5">
      <c r="A9490">
        <v>10698</v>
      </c>
      <c r="B9490" t="s">
        <v>172</v>
      </c>
      <c r="C9490">
        <v>1299.8374989805743</v>
      </c>
      <c r="D9490">
        <v>65</v>
      </c>
      <c r="E9490" s="80">
        <v>35712</v>
      </c>
    </row>
    <row r="9491" spans="1:5">
      <c r="A9491">
        <v>10698</v>
      </c>
      <c r="B9491" t="s">
        <v>173</v>
      </c>
      <c r="C9491">
        <v>1299.8374989805743</v>
      </c>
      <c r="D9491">
        <v>65</v>
      </c>
      <c r="E9491" s="80">
        <v>35712</v>
      </c>
    </row>
    <row r="9492" spans="1:5">
      <c r="A9492">
        <v>10698</v>
      </c>
      <c r="B9492" t="s">
        <v>174</v>
      </c>
      <c r="C9492">
        <v>1299.8374989805743</v>
      </c>
      <c r="D9492">
        <v>65</v>
      </c>
      <c r="E9492" s="80">
        <v>35712</v>
      </c>
    </row>
    <row r="9493" spans="1:5">
      <c r="A9493">
        <v>10698</v>
      </c>
      <c r="B9493" t="s">
        <v>175</v>
      </c>
      <c r="C9493">
        <v>1299.8374989805743</v>
      </c>
      <c r="D9493">
        <v>65</v>
      </c>
      <c r="E9493" s="80">
        <v>35712</v>
      </c>
    </row>
    <row r="9494" spans="1:5">
      <c r="A9494">
        <v>10698</v>
      </c>
      <c r="B9494" t="s">
        <v>176</v>
      </c>
      <c r="C9494">
        <v>1299.8374989805743</v>
      </c>
      <c r="D9494">
        <v>65</v>
      </c>
      <c r="E9494" s="80">
        <v>35712</v>
      </c>
    </row>
    <row r="9495" spans="1:5">
      <c r="A9495">
        <v>10698</v>
      </c>
      <c r="B9495" t="s">
        <v>177</v>
      </c>
      <c r="C9495">
        <v>1299.8374989805743</v>
      </c>
      <c r="D9495">
        <v>65</v>
      </c>
      <c r="E9495" s="80">
        <v>35712</v>
      </c>
    </row>
    <row r="9496" spans="1:5">
      <c r="A9496">
        <v>10698</v>
      </c>
      <c r="B9496" t="s">
        <v>178</v>
      </c>
      <c r="C9496">
        <v>1299.8374989805743</v>
      </c>
      <c r="D9496">
        <v>65</v>
      </c>
      <c r="E9496" s="80">
        <v>35712</v>
      </c>
    </row>
    <row r="9497" spans="1:5">
      <c r="A9497">
        <v>10698</v>
      </c>
      <c r="B9497" t="s">
        <v>179</v>
      </c>
      <c r="C9497">
        <v>1299.8374989805743</v>
      </c>
      <c r="D9497">
        <v>65</v>
      </c>
      <c r="E9497" s="80">
        <v>35712</v>
      </c>
    </row>
    <row r="9498" spans="1:5">
      <c r="A9498">
        <v>10698</v>
      </c>
      <c r="B9498" t="s">
        <v>172</v>
      </c>
      <c r="C9498">
        <v>113.99999991059303</v>
      </c>
      <c r="D9498">
        <v>8</v>
      </c>
      <c r="E9498" s="80">
        <v>35712</v>
      </c>
    </row>
    <row r="9499" spans="1:5">
      <c r="A9499">
        <v>10698</v>
      </c>
      <c r="B9499" t="s">
        <v>173</v>
      </c>
      <c r="C9499">
        <v>113.99999991059303</v>
      </c>
      <c r="D9499">
        <v>8</v>
      </c>
      <c r="E9499" s="80">
        <v>35712</v>
      </c>
    </row>
    <row r="9500" spans="1:5">
      <c r="A9500">
        <v>10698</v>
      </c>
      <c r="B9500" t="s">
        <v>174</v>
      </c>
      <c r="C9500">
        <v>113.99999991059303</v>
      </c>
      <c r="D9500">
        <v>8</v>
      </c>
      <c r="E9500" s="80">
        <v>35712</v>
      </c>
    </row>
    <row r="9501" spans="1:5">
      <c r="A9501">
        <v>10698</v>
      </c>
      <c r="B9501" t="s">
        <v>175</v>
      </c>
      <c r="C9501">
        <v>113.99999991059303</v>
      </c>
      <c r="D9501">
        <v>8</v>
      </c>
      <c r="E9501" s="80">
        <v>35712</v>
      </c>
    </row>
    <row r="9502" spans="1:5">
      <c r="A9502">
        <v>10698</v>
      </c>
      <c r="B9502" t="s">
        <v>176</v>
      </c>
      <c r="C9502">
        <v>113.99999991059303</v>
      </c>
      <c r="D9502">
        <v>8</v>
      </c>
      <c r="E9502" s="80">
        <v>35712</v>
      </c>
    </row>
    <row r="9503" spans="1:5">
      <c r="A9503">
        <v>10698</v>
      </c>
      <c r="B9503" t="s">
        <v>177</v>
      </c>
      <c r="C9503">
        <v>113.99999991059303</v>
      </c>
      <c r="D9503">
        <v>8</v>
      </c>
      <c r="E9503" s="80">
        <v>35712</v>
      </c>
    </row>
    <row r="9504" spans="1:5">
      <c r="A9504">
        <v>10698</v>
      </c>
      <c r="B9504" t="s">
        <v>178</v>
      </c>
      <c r="C9504">
        <v>113.99999991059303</v>
      </c>
      <c r="D9504">
        <v>8</v>
      </c>
      <c r="E9504" s="80">
        <v>35712</v>
      </c>
    </row>
    <row r="9505" spans="1:5">
      <c r="A9505">
        <v>10698</v>
      </c>
      <c r="B9505" t="s">
        <v>179</v>
      </c>
      <c r="C9505">
        <v>113.99999991059303</v>
      </c>
      <c r="D9505">
        <v>8</v>
      </c>
      <c r="E9505" s="80">
        <v>35712</v>
      </c>
    </row>
    <row r="9506" spans="1:5">
      <c r="A9506">
        <v>10699</v>
      </c>
      <c r="B9506" t="s">
        <v>172</v>
      </c>
      <c r="C9506">
        <v>114</v>
      </c>
      <c r="D9506">
        <v>12</v>
      </c>
      <c r="E9506" s="80">
        <v>35712</v>
      </c>
    </row>
    <row r="9507" spans="1:5">
      <c r="A9507">
        <v>10699</v>
      </c>
      <c r="B9507" t="s">
        <v>173</v>
      </c>
      <c r="C9507">
        <v>114</v>
      </c>
      <c r="D9507">
        <v>12</v>
      </c>
      <c r="E9507" s="80">
        <v>35712</v>
      </c>
    </row>
    <row r="9508" spans="1:5">
      <c r="A9508">
        <v>10699</v>
      </c>
      <c r="B9508" t="s">
        <v>174</v>
      </c>
      <c r="C9508">
        <v>114</v>
      </c>
      <c r="D9508">
        <v>12</v>
      </c>
      <c r="E9508" s="80">
        <v>35712</v>
      </c>
    </row>
    <row r="9509" spans="1:5">
      <c r="A9509">
        <v>10699</v>
      </c>
      <c r="B9509" t="s">
        <v>175</v>
      </c>
      <c r="C9509">
        <v>114</v>
      </c>
      <c r="D9509">
        <v>12</v>
      </c>
      <c r="E9509" s="80">
        <v>35712</v>
      </c>
    </row>
    <row r="9510" spans="1:5">
      <c r="A9510">
        <v>10699</v>
      </c>
      <c r="B9510" t="s">
        <v>176</v>
      </c>
      <c r="C9510">
        <v>114</v>
      </c>
      <c r="D9510">
        <v>12</v>
      </c>
      <c r="E9510" s="80">
        <v>35712</v>
      </c>
    </row>
    <row r="9511" spans="1:5">
      <c r="A9511">
        <v>10699</v>
      </c>
      <c r="B9511" t="s">
        <v>177</v>
      </c>
      <c r="C9511">
        <v>114</v>
      </c>
      <c r="D9511">
        <v>12</v>
      </c>
      <c r="E9511" s="80">
        <v>35712</v>
      </c>
    </row>
    <row r="9512" spans="1:5">
      <c r="A9512">
        <v>10699</v>
      </c>
      <c r="B9512" t="s">
        <v>178</v>
      </c>
      <c r="C9512">
        <v>114</v>
      </c>
      <c r="D9512">
        <v>12</v>
      </c>
      <c r="E9512" s="80">
        <v>35712</v>
      </c>
    </row>
    <row r="9513" spans="1:5">
      <c r="A9513">
        <v>10699</v>
      </c>
      <c r="B9513" t="s">
        <v>179</v>
      </c>
      <c r="C9513">
        <v>114</v>
      </c>
      <c r="D9513">
        <v>12</v>
      </c>
      <c r="E9513" s="80">
        <v>35712</v>
      </c>
    </row>
    <row r="9514" spans="1:5">
      <c r="A9514">
        <v>10700</v>
      </c>
      <c r="B9514" t="s">
        <v>172</v>
      </c>
      <c r="C9514">
        <v>71.999999731779099</v>
      </c>
      <c r="D9514">
        <v>5</v>
      </c>
      <c r="E9514" s="80">
        <v>35713</v>
      </c>
    </row>
    <row r="9515" spans="1:5">
      <c r="A9515">
        <v>10700</v>
      </c>
      <c r="B9515" t="s">
        <v>173</v>
      </c>
      <c r="C9515">
        <v>71.999999731779099</v>
      </c>
      <c r="D9515">
        <v>5</v>
      </c>
      <c r="E9515" s="80">
        <v>35713</v>
      </c>
    </row>
    <row r="9516" spans="1:5">
      <c r="A9516">
        <v>10700</v>
      </c>
      <c r="B9516" t="s">
        <v>174</v>
      </c>
      <c r="C9516">
        <v>71.999999731779099</v>
      </c>
      <c r="D9516">
        <v>5</v>
      </c>
      <c r="E9516" s="80">
        <v>35713</v>
      </c>
    </row>
    <row r="9517" spans="1:5">
      <c r="A9517">
        <v>10700</v>
      </c>
      <c r="B9517" t="s">
        <v>175</v>
      </c>
      <c r="C9517">
        <v>71.999999731779099</v>
      </c>
      <c r="D9517">
        <v>5</v>
      </c>
      <c r="E9517" s="80">
        <v>35713</v>
      </c>
    </row>
    <row r="9518" spans="1:5">
      <c r="A9518">
        <v>10700</v>
      </c>
      <c r="B9518" t="s">
        <v>176</v>
      </c>
      <c r="C9518">
        <v>71.999999731779099</v>
      </c>
      <c r="D9518">
        <v>5</v>
      </c>
      <c r="E9518" s="80">
        <v>35713</v>
      </c>
    </row>
    <row r="9519" spans="1:5">
      <c r="A9519">
        <v>10700</v>
      </c>
      <c r="B9519" t="s">
        <v>177</v>
      </c>
      <c r="C9519">
        <v>71.999999731779099</v>
      </c>
      <c r="D9519">
        <v>5</v>
      </c>
      <c r="E9519" s="80">
        <v>35713</v>
      </c>
    </row>
    <row r="9520" spans="1:5">
      <c r="A9520">
        <v>10700</v>
      </c>
      <c r="B9520" t="s">
        <v>178</v>
      </c>
      <c r="C9520">
        <v>71.999999731779099</v>
      </c>
      <c r="D9520">
        <v>5</v>
      </c>
      <c r="E9520" s="80">
        <v>35713</v>
      </c>
    </row>
    <row r="9521" spans="1:5">
      <c r="A9521">
        <v>10700</v>
      </c>
      <c r="B9521" t="s">
        <v>179</v>
      </c>
      <c r="C9521">
        <v>71.999999731779099</v>
      </c>
      <c r="D9521">
        <v>5</v>
      </c>
      <c r="E9521" s="80">
        <v>35713</v>
      </c>
    </row>
    <row r="9522" spans="1:5">
      <c r="A9522">
        <v>10700</v>
      </c>
      <c r="B9522" t="s">
        <v>172</v>
      </c>
      <c r="C9522">
        <v>134.39999949932098</v>
      </c>
      <c r="D9522">
        <v>12</v>
      </c>
      <c r="E9522" s="80">
        <v>35713</v>
      </c>
    </row>
    <row r="9523" spans="1:5">
      <c r="A9523">
        <v>10700</v>
      </c>
      <c r="B9523" t="s">
        <v>173</v>
      </c>
      <c r="C9523">
        <v>134.39999949932098</v>
      </c>
      <c r="D9523">
        <v>12</v>
      </c>
      <c r="E9523" s="80">
        <v>35713</v>
      </c>
    </row>
    <row r="9524" spans="1:5">
      <c r="A9524">
        <v>10700</v>
      </c>
      <c r="B9524" t="s">
        <v>174</v>
      </c>
      <c r="C9524">
        <v>134.39999949932098</v>
      </c>
      <c r="D9524">
        <v>12</v>
      </c>
      <c r="E9524" s="80">
        <v>35713</v>
      </c>
    </row>
    <row r="9525" spans="1:5">
      <c r="A9525">
        <v>10700</v>
      </c>
      <c r="B9525" t="s">
        <v>175</v>
      </c>
      <c r="C9525">
        <v>134.39999949932098</v>
      </c>
      <c r="D9525">
        <v>12</v>
      </c>
      <c r="E9525" s="80">
        <v>35713</v>
      </c>
    </row>
    <row r="9526" spans="1:5">
      <c r="A9526">
        <v>10700</v>
      </c>
      <c r="B9526" t="s">
        <v>176</v>
      </c>
      <c r="C9526">
        <v>134.39999949932098</v>
      </c>
      <c r="D9526">
        <v>12</v>
      </c>
      <c r="E9526" s="80">
        <v>35713</v>
      </c>
    </row>
    <row r="9527" spans="1:5">
      <c r="A9527">
        <v>10700</v>
      </c>
      <c r="B9527" t="s">
        <v>177</v>
      </c>
      <c r="C9527">
        <v>134.39999949932098</v>
      </c>
      <c r="D9527">
        <v>12</v>
      </c>
      <c r="E9527" s="80">
        <v>35713</v>
      </c>
    </row>
    <row r="9528" spans="1:5">
      <c r="A9528">
        <v>10700</v>
      </c>
      <c r="B9528" t="s">
        <v>178</v>
      </c>
      <c r="C9528">
        <v>134.39999949932098</v>
      </c>
      <c r="D9528">
        <v>12</v>
      </c>
      <c r="E9528" s="80">
        <v>35713</v>
      </c>
    </row>
    <row r="9529" spans="1:5">
      <c r="A9529">
        <v>10700</v>
      </c>
      <c r="B9529" t="s">
        <v>179</v>
      </c>
      <c r="C9529">
        <v>134.39999949932098</v>
      </c>
      <c r="D9529">
        <v>12</v>
      </c>
      <c r="E9529" s="80">
        <v>35713</v>
      </c>
    </row>
    <row r="9530" spans="1:5">
      <c r="A9530">
        <v>10700</v>
      </c>
      <c r="B9530" t="s">
        <v>172</v>
      </c>
      <c r="C9530">
        <v>399.99999850988388</v>
      </c>
      <c r="D9530">
        <v>40</v>
      </c>
      <c r="E9530" s="80">
        <v>35713</v>
      </c>
    </row>
    <row r="9531" spans="1:5">
      <c r="A9531">
        <v>10700</v>
      </c>
      <c r="B9531" t="s">
        <v>173</v>
      </c>
      <c r="C9531">
        <v>399.99999850988388</v>
      </c>
      <c r="D9531">
        <v>40</v>
      </c>
      <c r="E9531" s="80">
        <v>35713</v>
      </c>
    </row>
    <row r="9532" spans="1:5">
      <c r="A9532">
        <v>10700</v>
      </c>
      <c r="B9532" t="s">
        <v>174</v>
      </c>
      <c r="C9532">
        <v>399.99999850988388</v>
      </c>
      <c r="D9532">
        <v>40</v>
      </c>
      <c r="E9532" s="80">
        <v>35713</v>
      </c>
    </row>
    <row r="9533" spans="1:5">
      <c r="A9533">
        <v>10700</v>
      </c>
      <c r="B9533" t="s">
        <v>175</v>
      </c>
      <c r="C9533">
        <v>399.99999850988388</v>
      </c>
      <c r="D9533">
        <v>40</v>
      </c>
      <c r="E9533" s="80">
        <v>35713</v>
      </c>
    </row>
    <row r="9534" spans="1:5">
      <c r="A9534">
        <v>10700</v>
      </c>
      <c r="B9534" t="s">
        <v>176</v>
      </c>
      <c r="C9534">
        <v>399.99999850988388</v>
      </c>
      <c r="D9534">
        <v>40</v>
      </c>
      <c r="E9534" s="80">
        <v>35713</v>
      </c>
    </row>
    <row r="9535" spans="1:5">
      <c r="A9535">
        <v>10700</v>
      </c>
      <c r="B9535" t="s">
        <v>177</v>
      </c>
      <c r="C9535">
        <v>399.99999850988388</v>
      </c>
      <c r="D9535">
        <v>40</v>
      </c>
      <c r="E9535" s="80">
        <v>35713</v>
      </c>
    </row>
    <row r="9536" spans="1:5">
      <c r="A9536">
        <v>10700</v>
      </c>
      <c r="B9536" t="s">
        <v>178</v>
      </c>
      <c r="C9536">
        <v>399.99999850988388</v>
      </c>
      <c r="D9536">
        <v>40</v>
      </c>
      <c r="E9536" s="80">
        <v>35713</v>
      </c>
    </row>
    <row r="9537" spans="1:5">
      <c r="A9537">
        <v>10700</v>
      </c>
      <c r="B9537" t="s">
        <v>179</v>
      </c>
      <c r="C9537">
        <v>399.99999850988388</v>
      </c>
      <c r="D9537">
        <v>40</v>
      </c>
      <c r="E9537" s="80">
        <v>35713</v>
      </c>
    </row>
    <row r="9538" spans="1:5">
      <c r="A9538">
        <v>10700</v>
      </c>
      <c r="B9538" t="s">
        <v>172</v>
      </c>
      <c r="C9538">
        <v>1031.9999961555004</v>
      </c>
      <c r="D9538">
        <v>60</v>
      </c>
      <c r="E9538" s="80">
        <v>35713</v>
      </c>
    </row>
    <row r="9539" spans="1:5">
      <c r="A9539">
        <v>10700</v>
      </c>
      <c r="B9539" t="s">
        <v>173</v>
      </c>
      <c r="C9539">
        <v>1031.9999961555004</v>
      </c>
      <c r="D9539">
        <v>60</v>
      </c>
      <c r="E9539" s="80">
        <v>35713</v>
      </c>
    </row>
    <row r="9540" spans="1:5">
      <c r="A9540">
        <v>10700</v>
      </c>
      <c r="B9540" t="s">
        <v>174</v>
      </c>
      <c r="C9540">
        <v>1031.9999961555004</v>
      </c>
      <c r="D9540">
        <v>60</v>
      </c>
      <c r="E9540" s="80">
        <v>35713</v>
      </c>
    </row>
    <row r="9541" spans="1:5">
      <c r="A9541">
        <v>10700</v>
      </c>
      <c r="B9541" t="s">
        <v>175</v>
      </c>
      <c r="C9541">
        <v>1031.9999961555004</v>
      </c>
      <c r="D9541">
        <v>60</v>
      </c>
      <c r="E9541" s="80">
        <v>35713</v>
      </c>
    </row>
    <row r="9542" spans="1:5">
      <c r="A9542">
        <v>10700</v>
      </c>
      <c r="B9542" t="s">
        <v>176</v>
      </c>
      <c r="C9542">
        <v>1031.9999961555004</v>
      </c>
      <c r="D9542">
        <v>60</v>
      </c>
      <c r="E9542" s="80">
        <v>35713</v>
      </c>
    </row>
    <row r="9543" spans="1:5">
      <c r="A9543">
        <v>10700</v>
      </c>
      <c r="B9543" t="s">
        <v>177</v>
      </c>
      <c r="C9543">
        <v>1031.9999961555004</v>
      </c>
      <c r="D9543">
        <v>60</v>
      </c>
      <c r="E9543" s="80">
        <v>35713</v>
      </c>
    </row>
    <row r="9544" spans="1:5">
      <c r="A9544">
        <v>10700</v>
      </c>
      <c r="B9544" t="s">
        <v>178</v>
      </c>
      <c r="C9544">
        <v>1031.9999961555004</v>
      </c>
      <c r="D9544">
        <v>60</v>
      </c>
      <c r="E9544" s="80">
        <v>35713</v>
      </c>
    </row>
    <row r="9545" spans="1:5">
      <c r="A9545">
        <v>10700</v>
      </c>
      <c r="B9545" t="s">
        <v>179</v>
      </c>
      <c r="C9545">
        <v>1031.9999961555004</v>
      </c>
      <c r="D9545">
        <v>60</v>
      </c>
      <c r="E9545" s="80">
        <v>35713</v>
      </c>
    </row>
    <row r="9546" spans="1:5">
      <c r="A9546">
        <v>10701</v>
      </c>
      <c r="B9546" t="s">
        <v>172</v>
      </c>
      <c r="C9546">
        <v>1963.4999862313271</v>
      </c>
      <c r="D9546">
        <v>42</v>
      </c>
      <c r="E9546" s="80">
        <v>35716</v>
      </c>
    </row>
    <row r="9547" spans="1:5">
      <c r="A9547">
        <v>10701</v>
      </c>
      <c r="B9547" t="s">
        <v>173</v>
      </c>
      <c r="C9547">
        <v>1963.4999862313271</v>
      </c>
      <c r="D9547">
        <v>42</v>
      </c>
      <c r="E9547" s="80">
        <v>35716</v>
      </c>
    </row>
    <row r="9548" spans="1:5">
      <c r="A9548">
        <v>10701</v>
      </c>
      <c r="B9548" t="s">
        <v>174</v>
      </c>
      <c r="C9548">
        <v>1963.4999862313271</v>
      </c>
      <c r="D9548">
        <v>42</v>
      </c>
      <c r="E9548" s="80">
        <v>35716</v>
      </c>
    </row>
    <row r="9549" spans="1:5">
      <c r="A9549">
        <v>10701</v>
      </c>
      <c r="B9549" t="s">
        <v>175</v>
      </c>
      <c r="C9549">
        <v>1963.4999862313271</v>
      </c>
      <c r="D9549">
        <v>42</v>
      </c>
      <c r="E9549" s="80">
        <v>35716</v>
      </c>
    </row>
    <row r="9550" spans="1:5">
      <c r="A9550">
        <v>10701</v>
      </c>
      <c r="B9550" t="s">
        <v>176</v>
      </c>
      <c r="C9550">
        <v>1963.4999862313271</v>
      </c>
      <c r="D9550">
        <v>42</v>
      </c>
      <c r="E9550" s="80">
        <v>35716</v>
      </c>
    </row>
    <row r="9551" spans="1:5">
      <c r="A9551">
        <v>10701</v>
      </c>
      <c r="B9551" t="s">
        <v>177</v>
      </c>
      <c r="C9551">
        <v>1963.4999862313271</v>
      </c>
      <c r="D9551">
        <v>42</v>
      </c>
      <c r="E9551" s="80">
        <v>35716</v>
      </c>
    </row>
    <row r="9552" spans="1:5">
      <c r="A9552">
        <v>10701</v>
      </c>
      <c r="B9552" t="s">
        <v>178</v>
      </c>
      <c r="C9552">
        <v>1963.4999862313271</v>
      </c>
      <c r="D9552">
        <v>42</v>
      </c>
      <c r="E9552" s="80">
        <v>35716</v>
      </c>
    </row>
    <row r="9553" spans="1:5">
      <c r="A9553">
        <v>10701</v>
      </c>
      <c r="B9553" t="s">
        <v>179</v>
      </c>
      <c r="C9553">
        <v>1963.4999862313271</v>
      </c>
      <c r="D9553">
        <v>42</v>
      </c>
      <c r="E9553" s="80">
        <v>35716</v>
      </c>
    </row>
    <row r="9554" spans="1:5">
      <c r="A9554">
        <v>10701</v>
      </c>
      <c r="B9554" t="s">
        <v>172</v>
      </c>
      <c r="C9554">
        <v>365.49999743700027</v>
      </c>
      <c r="D9554">
        <v>20</v>
      </c>
      <c r="E9554" s="80">
        <v>35716</v>
      </c>
    </row>
    <row r="9555" spans="1:5">
      <c r="A9555">
        <v>10701</v>
      </c>
      <c r="B9555" t="s">
        <v>173</v>
      </c>
      <c r="C9555">
        <v>365.49999743700027</v>
      </c>
      <c r="D9555">
        <v>20</v>
      </c>
      <c r="E9555" s="80">
        <v>35716</v>
      </c>
    </row>
    <row r="9556" spans="1:5">
      <c r="A9556">
        <v>10701</v>
      </c>
      <c r="B9556" t="s">
        <v>174</v>
      </c>
      <c r="C9556">
        <v>365.49999743700027</v>
      </c>
      <c r="D9556">
        <v>20</v>
      </c>
      <c r="E9556" s="80">
        <v>35716</v>
      </c>
    </row>
    <row r="9557" spans="1:5">
      <c r="A9557">
        <v>10701</v>
      </c>
      <c r="B9557" t="s">
        <v>175</v>
      </c>
      <c r="C9557">
        <v>365.49999743700027</v>
      </c>
      <c r="D9557">
        <v>20</v>
      </c>
      <c r="E9557" s="80">
        <v>35716</v>
      </c>
    </row>
    <row r="9558" spans="1:5">
      <c r="A9558">
        <v>10701</v>
      </c>
      <c r="B9558" t="s">
        <v>176</v>
      </c>
      <c r="C9558">
        <v>365.49999743700027</v>
      </c>
      <c r="D9558">
        <v>20</v>
      </c>
      <c r="E9558" s="80">
        <v>35716</v>
      </c>
    </row>
    <row r="9559" spans="1:5">
      <c r="A9559">
        <v>10701</v>
      </c>
      <c r="B9559" t="s">
        <v>177</v>
      </c>
      <c r="C9559">
        <v>365.49999743700027</v>
      </c>
      <c r="D9559">
        <v>20</v>
      </c>
      <c r="E9559" s="80">
        <v>35716</v>
      </c>
    </row>
    <row r="9560" spans="1:5">
      <c r="A9560">
        <v>10701</v>
      </c>
      <c r="B9560" t="s">
        <v>178</v>
      </c>
      <c r="C9560">
        <v>365.49999743700027</v>
      </c>
      <c r="D9560">
        <v>20</v>
      </c>
      <c r="E9560" s="80">
        <v>35716</v>
      </c>
    </row>
    <row r="9561" spans="1:5">
      <c r="A9561">
        <v>10701</v>
      </c>
      <c r="B9561" t="s">
        <v>179</v>
      </c>
      <c r="C9561">
        <v>365.49999743700027</v>
      </c>
      <c r="D9561">
        <v>20</v>
      </c>
      <c r="E9561" s="80">
        <v>35716</v>
      </c>
    </row>
    <row r="9562" spans="1:5">
      <c r="A9562">
        <v>10701</v>
      </c>
      <c r="B9562" t="s">
        <v>172</v>
      </c>
      <c r="C9562">
        <v>535.49999624490738</v>
      </c>
      <c r="D9562">
        <v>35</v>
      </c>
      <c r="E9562" s="80">
        <v>35716</v>
      </c>
    </row>
    <row r="9563" spans="1:5">
      <c r="A9563">
        <v>10701</v>
      </c>
      <c r="B9563" t="s">
        <v>173</v>
      </c>
      <c r="C9563">
        <v>535.49999624490738</v>
      </c>
      <c r="D9563">
        <v>35</v>
      </c>
      <c r="E9563" s="80">
        <v>35716</v>
      </c>
    </row>
    <row r="9564" spans="1:5">
      <c r="A9564">
        <v>10701</v>
      </c>
      <c r="B9564" t="s">
        <v>174</v>
      </c>
      <c r="C9564">
        <v>535.49999624490738</v>
      </c>
      <c r="D9564">
        <v>35</v>
      </c>
      <c r="E9564" s="80">
        <v>35716</v>
      </c>
    </row>
    <row r="9565" spans="1:5">
      <c r="A9565">
        <v>10701</v>
      </c>
      <c r="B9565" t="s">
        <v>175</v>
      </c>
      <c r="C9565">
        <v>535.49999624490738</v>
      </c>
      <c r="D9565">
        <v>35</v>
      </c>
      <c r="E9565" s="80">
        <v>35716</v>
      </c>
    </row>
    <row r="9566" spans="1:5">
      <c r="A9566">
        <v>10701</v>
      </c>
      <c r="B9566" t="s">
        <v>176</v>
      </c>
      <c r="C9566">
        <v>535.49999624490738</v>
      </c>
      <c r="D9566">
        <v>35</v>
      </c>
      <c r="E9566" s="80">
        <v>35716</v>
      </c>
    </row>
    <row r="9567" spans="1:5">
      <c r="A9567">
        <v>10701</v>
      </c>
      <c r="B9567" t="s">
        <v>177</v>
      </c>
      <c r="C9567">
        <v>535.49999624490738</v>
      </c>
      <c r="D9567">
        <v>35</v>
      </c>
      <c r="E9567" s="80">
        <v>35716</v>
      </c>
    </row>
    <row r="9568" spans="1:5">
      <c r="A9568">
        <v>10701</v>
      </c>
      <c r="B9568" t="s">
        <v>178</v>
      </c>
      <c r="C9568">
        <v>535.49999624490738</v>
      </c>
      <c r="D9568">
        <v>35</v>
      </c>
      <c r="E9568" s="80">
        <v>35716</v>
      </c>
    </row>
    <row r="9569" spans="1:5">
      <c r="A9569">
        <v>10701</v>
      </c>
      <c r="B9569" t="s">
        <v>179</v>
      </c>
      <c r="C9569">
        <v>535.49999624490738</v>
      </c>
      <c r="D9569">
        <v>35</v>
      </c>
      <c r="E9569" s="80">
        <v>35716</v>
      </c>
    </row>
    <row r="9570" spans="1:5">
      <c r="A9570">
        <v>10702</v>
      </c>
      <c r="B9570" t="s">
        <v>172</v>
      </c>
      <c r="C9570">
        <v>60</v>
      </c>
      <c r="D9570">
        <v>6</v>
      </c>
      <c r="E9570" s="80">
        <v>35716</v>
      </c>
    </row>
    <row r="9571" spans="1:5">
      <c r="A9571">
        <v>10702</v>
      </c>
      <c r="B9571" t="s">
        <v>173</v>
      </c>
      <c r="C9571">
        <v>60</v>
      </c>
      <c r="D9571">
        <v>6</v>
      </c>
      <c r="E9571" s="80">
        <v>35716</v>
      </c>
    </row>
    <row r="9572" spans="1:5">
      <c r="A9572">
        <v>10702</v>
      </c>
      <c r="B9572" t="s">
        <v>174</v>
      </c>
      <c r="C9572">
        <v>60</v>
      </c>
      <c r="D9572">
        <v>6</v>
      </c>
      <c r="E9572" s="80">
        <v>35716</v>
      </c>
    </row>
    <row r="9573" spans="1:5">
      <c r="A9573">
        <v>10702</v>
      </c>
      <c r="B9573" t="s">
        <v>175</v>
      </c>
      <c r="C9573">
        <v>60</v>
      </c>
      <c r="D9573">
        <v>6</v>
      </c>
      <c r="E9573" s="80">
        <v>35716</v>
      </c>
    </row>
    <row r="9574" spans="1:5">
      <c r="A9574">
        <v>10702</v>
      </c>
      <c r="B9574" t="s">
        <v>176</v>
      </c>
      <c r="C9574">
        <v>60</v>
      </c>
      <c r="D9574">
        <v>6</v>
      </c>
      <c r="E9574" s="80">
        <v>35716</v>
      </c>
    </row>
    <row r="9575" spans="1:5">
      <c r="A9575">
        <v>10702</v>
      </c>
      <c r="B9575" t="s">
        <v>177</v>
      </c>
      <c r="C9575">
        <v>60</v>
      </c>
      <c r="D9575">
        <v>6</v>
      </c>
      <c r="E9575" s="80">
        <v>35716</v>
      </c>
    </row>
    <row r="9576" spans="1:5">
      <c r="A9576">
        <v>10702</v>
      </c>
      <c r="B9576" t="s">
        <v>178</v>
      </c>
      <c r="C9576">
        <v>60</v>
      </c>
      <c r="D9576">
        <v>6</v>
      </c>
      <c r="E9576" s="80">
        <v>35716</v>
      </c>
    </row>
    <row r="9577" spans="1:5">
      <c r="A9577">
        <v>10702</v>
      </c>
      <c r="B9577" t="s">
        <v>179</v>
      </c>
      <c r="C9577">
        <v>60</v>
      </c>
      <c r="D9577">
        <v>6</v>
      </c>
      <c r="E9577" s="80">
        <v>35716</v>
      </c>
    </row>
    <row r="9578" spans="1:5">
      <c r="A9578">
        <v>10702</v>
      </c>
      <c r="B9578" t="s">
        <v>172</v>
      </c>
      <c r="C9578">
        <v>270</v>
      </c>
      <c r="D9578">
        <v>15</v>
      </c>
      <c r="E9578" s="80">
        <v>35716</v>
      </c>
    </row>
    <row r="9579" spans="1:5">
      <c r="A9579">
        <v>10702</v>
      </c>
      <c r="B9579" t="s">
        <v>173</v>
      </c>
      <c r="C9579">
        <v>270</v>
      </c>
      <c r="D9579">
        <v>15</v>
      </c>
      <c r="E9579" s="80">
        <v>35716</v>
      </c>
    </row>
    <row r="9580" spans="1:5">
      <c r="A9580">
        <v>10702</v>
      </c>
      <c r="B9580" t="s">
        <v>174</v>
      </c>
      <c r="C9580">
        <v>270</v>
      </c>
      <c r="D9580">
        <v>15</v>
      </c>
      <c r="E9580" s="80">
        <v>35716</v>
      </c>
    </row>
    <row r="9581" spans="1:5">
      <c r="A9581">
        <v>10702</v>
      </c>
      <c r="B9581" t="s">
        <v>175</v>
      </c>
      <c r="C9581">
        <v>270</v>
      </c>
      <c r="D9581">
        <v>15</v>
      </c>
      <c r="E9581" s="80">
        <v>35716</v>
      </c>
    </row>
    <row r="9582" spans="1:5">
      <c r="A9582">
        <v>10702</v>
      </c>
      <c r="B9582" t="s">
        <v>176</v>
      </c>
      <c r="C9582">
        <v>270</v>
      </c>
      <c r="D9582">
        <v>15</v>
      </c>
      <c r="E9582" s="80">
        <v>35716</v>
      </c>
    </row>
    <row r="9583" spans="1:5">
      <c r="A9583">
        <v>10702</v>
      </c>
      <c r="B9583" t="s">
        <v>177</v>
      </c>
      <c r="C9583">
        <v>270</v>
      </c>
      <c r="D9583">
        <v>15</v>
      </c>
      <c r="E9583" s="80">
        <v>35716</v>
      </c>
    </row>
    <row r="9584" spans="1:5">
      <c r="A9584">
        <v>10702</v>
      </c>
      <c r="B9584" t="s">
        <v>178</v>
      </c>
      <c r="C9584">
        <v>270</v>
      </c>
      <c r="D9584">
        <v>15</v>
      </c>
      <c r="E9584" s="80">
        <v>35716</v>
      </c>
    </row>
    <row r="9585" spans="1:5">
      <c r="A9585">
        <v>10702</v>
      </c>
      <c r="B9585" t="s">
        <v>179</v>
      </c>
      <c r="C9585">
        <v>270</v>
      </c>
      <c r="D9585">
        <v>15</v>
      </c>
      <c r="E9585" s="80">
        <v>35716</v>
      </c>
    </row>
    <row r="9586" spans="1:5">
      <c r="A9586">
        <v>10703</v>
      </c>
      <c r="B9586" t="s">
        <v>172</v>
      </c>
      <c r="C9586">
        <v>95</v>
      </c>
      <c r="D9586">
        <v>5</v>
      </c>
      <c r="E9586" s="80">
        <v>35717</v>
      </c>
    </row>
    <row r="9587" spans="1:5">
      <c r="A9587">
        <v>10703</v>
      </c>
      <c r="B9587" t="s">
        <v>173</v>
      </c>
      <c r="C9587">
        <v>95</v>
      </c>
      <c r="D9587">
        <v>5</v>
      </c>
      <c r="E9587" s="80">
        <v>35717</v>
      </c>
    </row>
    <row r="9588" spans="1:5">
      <c r="A9588">
        <v>10703</v>
      </c>
      <c r="B9588" t="s">
        <v>174</v>
      </c>
      <c r="C9588">
        <v>95</v>
      </c>
      <c r="D9588">
        <v>5</v>
      </c>
      <c r="E9588" s="80">
        <v>35717</v>
      </c>
    </row>
    <row r="9589" spans="1:5">
      <c r="A9589">
        <v>10703</v>
      </c>
      <c r="B9589" t="s">
        <v>175</v>
      </c>
      <c r="C9589">
        <v>95</v>
      </c>
      <c r="D9589">
        <v>5</v>
      </c>
      <c r="E9589" s="80">
        <v>35717</v>
      </c>
    </row>
    <row r="9590" spans="1:5">
      <c r="A9590">
        <v>10703</v>
      </c>
      <c r="B9590" t="s">
        <v>176</v>
      </c>
      <c r="C9590">
        <v>95</v>
      </c>
      <c r="D9590">
        <v>5</v>
      </c>
      <c r="E9590" s="80">
        <v>35717</v>
      </c>
    </row>
    <row r="9591" spans="1:5">
      <c r="A9591">
        <v>10703</v>
      </c>
      <c r="B9591" t="s">
        <v>177</v>
      </c>
      <c r="C9591">
        <v>95</v>
      </c>
      <c r="D9591">
        <v>5</v>
      </c>
      <c r="E9591" s="80">
        <v>35717</v>
      </c>
    </row>
    <row r="9592" spans="1:5">
      <c r="A9592">
        <v>10703</v>
      </c>
      <c r="B9592" t="s">
        <v>178</v>
      </c>
      <c r="C9592">
        <v>95</v>
      </c>
      <c r="D9592">
        <v>5</v>
      </c>
      <c r="E9592" s="80">
        <v>35717</v>
      </c>
    </row>
    <row r="9593" spans="1:5">
      <c r="A9593">
        <v>10703</v>
      </c>
      <c r="B9593" t="s">
        <v>179</v>
      </c>
      <c r="C9593">
        <v>95</v>
      </c>
      <c r="D9593">
        <v>5</v>
      </c>
      <c r="E9593" s="80">
        <v>35717</v>
      </c>
    </row>
    <row r="9594" spans="1:5">
      <c r="A9594">
        <v>10703</v>
      </c>
      <c r="B9594" t="s">
        <v>172</v>
      </c>
      <c r="C9594">
        <v>1925</v>
      </c>
      <c r="D9594">
        <v>35</v>
      </c>
      <c r="E9594" s="80">
        <v>35717</v>
      </c>
    </row>
    <row r="9595" spans="1:5">
      <c r="A9595">
        <v>10703</v>
      </c>
      <c r="B9595" t="s">
        <v>173</v>
      </c>
      <c r="C9595">
        <v>1925</v>
      </c>
      <c r="D9595">
        <v>35</v>
      </c>
      <c r="E9595" s="80">
        <v>35717</v>
      </c>
    </row>
    <row r="9596" spans="1:5">
      <c r="A9596">
        <v>10703</v>
      </c>
      <c r="B9596" t="s">
        <v>174</v>
      </c>
      <c r="C9596">
        <v>1925</v>
      </c>
      <c r="D9596">
        <v>35</v>
      </c>
      <c r="E9596" s="80">
        <v>35717</v>
      </c>
    </row>
    <row r="9597" spans="1:5">
      <c r="A9597">
        <v>10703</v>
      </c>
      <c r="B9597" t="s">
        <v>175</v>
      </c>
      <c r="C9597">
        <v>1925</v>
      </c>
      <c r="D9597">
        <v>35</v>
      </c>
      <c r="E9597" s="80">
        <v>35717</v>
      </c>
    </row>
    <row r="9598" spans="1:5">
      <c r="A9598">
        <v>10703</v>
      </c>
      <c r="B9598" t="s">
        <v>176</v>
      </c>
      <c r="C9598">
        <v>1925</v>
      </c>
      <c r="D9598">
        <v>35</v>
      </c>
      <c r="E9598" s="80">
        <v>35717</v>
      </c>
    </row>
    <row r="9599" spans="1:5">
      <c r="A9599">
        <v>10703</v>
      </c>
      <c r="B9599" t="s">
        <v>177</v>
      </c>
      <c r="C9599">
        <v>1925</v>
      </c>
      <c r="D9599">
        <v>35</v>
      </c>
      <c r="E9599" s="80">
        <v>35717</v>
      </c>
    </row>
    <row r="9600" spans="1:5">
      <c r="A9600">
        <v>10703</v>
      </c>
      <c r="B9600" t="s">
        <v>178</v>
      </c>
      <c r="C9600">
        <v>1925</v>
      </c>
      <c r="D9600">
        <v>35</v>
      </c>
      <c r="E9600" s="80">
        <v>35717</v>
      </c>
    </row>
    <row r="9601" spans="1:5">
      <c r="A9601">
        <v>10703</v>
      </c>
      <c r="B9601" t="s">
        <v>179</v>
      </c>
      <c r="C9601">
        <v>1925</v>
      </c>
      <c r="D9601">
        <v>35</v>
      </c>
      <c r="E9601" s="80">
        <v>35717</v>
      </c>
    </row>
    <row r="9602" spans="1:5">
      <c r="A9602">
        <v>10703</v>
      </c>
      <c r="B9602" t="s">
        <v>172</v>
      </c>
      <c r="C9602">
        <v>525</v>
      </c>
      <c r="D9602">
        <v>35</v>
      </c>
      <c r="E9602" s="80">
        <v>35717</v>
      </c>
    </row>
    <row r="9603" spans="1:5">
      <c r="A9603">
        <v>10703</v>
      </c>
      <c r="B9603" t="s">
        <v>173</v>
      </c>
      <c r="C9603">
        <v>525</v>
      </c>
      <c r="D9603">
        <v>35</v>
      </c>
      <c r="E9603" s="80">
        <v>35717</v>
      </c>
    </row>
    <row r="9604" spans="1:5">
      <c r="A9604">
        <v>10703</v>
      </c>
      <c r="B9604" t="s">
        <v>174</v>
      </c>
      <c r="C9604">
        <v>525</v>
      </c>
      <c r="D9604">
        <v>35</v>
      </c>
      <c r="E9604" s="80">
        <v>35717</v>
      </c>
    </row>
    <row r="9605" spans="1:5">
      <c r="A9605">
        <v>10703</v>
      </c>
      <c r="B9605" t="s">
        <v>175</v>
      </c>
      <c r="C9605">
        <v>525</v>
      </c>
      <c r="D9605">
        <v>35</v>
      </c>
      <c r="E9605" s="80">
        <v>35717</v>
      </c>
    </row>
    <row r="9606" spans="1:5">
      <c r="A9606">
        <v>10703</v>
      </c>
      <c r="B9606" t="s">
        <v>176</v>
      </c>
      <c r="C9606">
        <v>525</v>
      </c>
      <c r="D9606">
        <v>35</v>
      </c>
      <c r="E9606" s="80">
        <v>35717</v>
      </c>
    </row>
    <row r="9607" spans="1:5">
      <c r="A9607">
        <v>10703</v>
      </c>
      <c r="B9607" t="s">
        <v>177</v>
      </c>
      <c r="C9607">
        <v>525</v>
      </c>
      <c r="D9607">
        <v>35</v>
      </c>
      <c r="E9607" s="80">
        <v>35717</v>
      </c>
    </row>
    <row r="9608" spans="1:5">
      <c r="A9608">
        <v>10703</v>
      </c>
      <c r="B9608" t="s">
        <v>178</v>
      </c>
      <c r="C9608">
        <v>525</v>
      </c>
      <c r="D9608">
        <v>35</v>
      </c>
      <c r="E9608" s="80">
        <v>35717</v>
      </c>
    </row>
    <row r="9609" spans="1:5">
      <c r="A9609">
        <v>10703</v>
      </c>
      <c r="B9609" t="s">
        <v>179</v>
      </c>
      <c r="C9609">
        <v>525</v>
      </c>
      <c r="D9609">
        <v>35</v>
      </c>
      <c r="E9609" s="80">
        <v>35717</v>
      </c>
    </row>
    <row r="9610" spans="1:5">
      <c r="A9610">
        <v>10704</v>
      </c>
      <c r="B9610" t="s">
        <v>172</v>
      </c>
      <c r="C9610">
        <v>132</v>
      </c>
      <c r="D9610">
        <v>6</v>
      </c>
      <c r="E9610" s="80">
        <v>35717</v>
      </c>
    </row>
    <row r="9611" spans="1:5">
      <c r="A9611">
        <v>10704</v>
      </c>
      <c r="B9611" t="s">
        <v>173</v>
      </c>
      <c r="C9611">
        <v>132</v>
      </c>
      <c r="D9611">
        <v>6</v>
      </c>
      <c r="E9611" s="80">
        <v>35717</v>
      </c>
    </row>
    <row r="9612" spans="1:5">
      <c r="A9612">
        <v>10704</v>
      </c>
      <c r="B9612" t="s">
        <v>174</v>
      </c>
      <c r="C9612">
        <v>132</v>
      </c>
      <c r="D9612">
        <v>6</v>
      </c>
      <c r="E9612" s="80">
        <v>35717</v>
      </c>
    </row>
    <row r="9613" spans="1:5">
      <c r="A9613">
        <v>10704</v>
      </c>
      <c r="B9613" t="s">
        <v>175</v>
      </c>
      <c r="C9613">
        <v>132</v>
      </c>
      <c r="D9613">
        <v>6</v>
      </c>
      <c r="E9613" s="80">
        <v>35717</v>
      </c>
    </row>
    <row r="9614" spans="1:5">
      <c r="A9614">
        <v>10704</v>
      </c>
      <c r="B9614" t="s">
        <v>176</v>
      </c>
      <c r="C9614">
        <v>132</v>
      </c>
      <c r="D9614">
        <v>6</v>
      </c>
      <c r="E9614" s="80">
        <v>35717</v>
      </c>
    </row>
    <row r="9615" spans="1:5">
      <c r="A9615">
        <v>10704</v>
      </c>
      <c r="B9615" t="s">
        <v>177</v>
      </c>
      <c r="C9615">
        <v>132</v>
      </c>
      <c r="D9615">
        <v>6</v>
      </c>
      <c r="E9615" s="80">
        <v>35717</v>
      </c>
    </row>
    <row r="9616" spans="1:5">
      <c r="A9616">
        <v>10704</v>
      </c>
      <c r="B9616" t="s">
        <v>178</v>
      </c>
      <c r="C9616">
        <v>132</v>
      </c>
      <c r="D9616">
        <v>6</v>
      </c>
      <c r="E9616" s="80">
        <v>35717</v>
      </c>
    </row>
    <row r="9617" spans="1:5">
      <c r="A9617">
        <v>10704</v>
      </c>
      <c r="B9617" t="s">
        <v>179</v>
      </c>
      <c r="C9617">
        <v>132</v>
      </c>
      <c r="D9617">
        <v>6</v>
      </c>
      <c r="E9617" s="80">
        <v>35717</v>
      </c>
    </row>
    <row r="9618" spans="1:5">
      <c r="A9618">
        <v>10704</v>
      </c>
      <c r="B9618" t="s">
        <v>172</v>
      </c>
      <c r="C9618">
        <v>157.5</v>
      </c>
      <c r="D9618">
        <v>35</v>
      </c>
      <c r="E9618" s="80">
        <v>35717</v>
      </c>
    </row>
    <row r="9619" spans="1:5">
      <c r="A9619">
        <v>10704</v>
      </c>
      <c r="B9619" t="s">
        <v>173</v>
      </c>
      <c r="C9619">
        <v>157.5</v>
      </c>
      <c r="D9619">
        <v>35</v>
      </c>
      <c r="E9619" s="80">
        <v>35717</v>
      </c>
    </row>
    <row r="9620" spans="1:5">
      <c r="A9620">
        <v>10704</v>
      </c>
      <c r="B9620" t="s">
        <v>174</v>
      </c>
      <c r="C9620">
        <v>157.5</v>
      </c>
      <c r="D9620">
        <v>35</v>
      </c>
      <c r="E9620" s="80">
        <v>35717</v>
      </c>
    </row>
    <row r="9621" spans="1:5">
      <c r="A9621">
        <v>10704</v>
      </c>
      <c r="B9621" t="s">
        <v>175</v>
      </c>
      <c r="C9621">
        <v>157.5</v>
      </c>
      <c r="D9621">
        <v>35</v>
      </c>
      <c r="E9621" s="80">
        <v>35717</v>
      </c>
    </row>
    <row r="9622" spans="1:5">
      <c r="A9622">
        <v>10704</v>
      </c>
      <c r="B9622" t="s">
        <v>176</v>
      </c>
      <c r="C9622">
        <v>157.5</v>
      </c>
      <c r="D9622">
        <v>35</v>
      </c>
      <c r="E9622" s="80">
        <v>35717</v>
      </c>
    </row>
    <row r="9623" spans="1:5">
      <c r="A9623">
        <v>10704</v>
      </c>
      <c r="B9623" t="s">
        <v>177</v>
      </c>
      <c r="C9623">
        <v>157.5</v>
      </c>
      <c r="D9623">
        <v>35</v>
      </c>
      <c r="E9623" s="80">
        <v>35717</v>
      </c>
    </row>
    <row r="9624" spans="1:5">
      <c r="A9624">
        <v>10704</v>
      </c>
      <c r="B9624" t="s">
        <v>178</v>
      </c>
      <c r="C9624">
        <v>157.5</v>
      </c>
      <c r="D9624">
        <v>35</v>
      </c>
      <c r="E9624" s="80">
        <v>35717</v>
      </c>
    </row>
    <row r="9625" spans="1:5">
      <c r="A9625">
        <v>10704</v>
      </c>
      <c r="B9625" t="s">
        <v>179</v>
      </c>
      <c r="C9625">
        <v>157.5</v>
      </c>
      <c r="D9625">
        <v>35</v>
      </c>
      <c r="E9625" s="80">
        <v>35717</v>
      </c>
    </row>
    <row r="9626" spans="1:5">
      <c r="A9626">
        <v>10704</v>
      </c>
      <c r="B9626" t="s">
        <v>172</v>
      </c>
      <c r="C9626">
        <v>306</v>
      </c>
      <c r="D9626">
        <v>24</v>
      </c>
      <c r="E9626" s="80">
        <v>35717</v>
      </c>
    </row>
    <row r="9627" spans="1:5">
      <c r="A9627">
        <v>10704</v>
      </c>
      <c r="B9627" t="s">
        <v>173</v>
      </c>
      <c r="C9627">
        <v>306</v>
      </c>
      <c r="D9627">
        <v>24</v>
      </c>
      <c r="E9627" s="80">
        <v>35717</v>
      </c>
    </row>
    <row r="9628" spans="1:5">
      <c r="A9628">
        <v>10704</v>
      </c>
      <c r="B9628" t="s">
        <v>174</v>
      </c>
      <c r="C9628">
        <v>306</v>
      </c>
      <c r="D9628">
        <v>24</v>
      </c>
      <c r="E9628" s="80">
        <v>35717</v>
      </c>
    </row>
    <row r="9629" spans="1:5">
      <c r="A9629">
        <v>10704</v>
      </c>
      <c r="B9629" t="s">
        <v>175</v>
      </c>
      <c r="C9629">
        <v>306</v>
      </c>
      <c r="D9629">
        <v>24</v>
      </c>
      <c r="E9629" s="80">
        <v>35717</v>
      </c>
    </row>
    <row r="9630" spans="1:5">
      <c r="A9630">
        <v>10704</v>
      </c>
      <c r="B9630" t="s">
        <v>176</v>
      </c>
      <c r="C9630">
        <v>306</v>
      </c>
      <c r="D9630">
        <v>24</v>
      </c>
      <c r="E9630" s="80">
        <v>35717</v>
      </c>
    </row>
    <row r="9631" spans="1:5">
      <c r="A9631">
        <v>10704</v>
      </c>
      <c r="B9631" t="s">
        <v>177</v>
      </c>
      <c r="C9631">
        <v>306</v>
      </c>
      <c r="D9631">
        <v>24</v>
      </c>
      <c r="E9631" s="80">
        <v>35717</v>
      </c>
    </row>
    <row r="9632" spans="1:5">
      <c r="A9632">
        <v>10704</v>
      </c>
      <c r="B9632" t="s">
        <v>178</v>
      </c>
      <c r="C9632">
        <v>306</v>
      </c>
      <c r="D9632">
        <v>24</v>
      </c>
      <c r="E9632" s="80">
        <v>35717</v>
      </c>
    </row>
    <row r="9633" spans="1:5">
      <c r="A9633">
        <v>10704</v>
      </c>
      <c r="B9633" t="s">
        <v>179</v>
      </c>
      <c r="C9633">
        <v>306</v>
      </c>
      <c r="D9633">
        <v>24</v>
      </c>
      <c r="E9633" s="80">
        <v>35717</v>
      </c>
    </row>
    <row r="9634" spans="1:5">
      <c r="A9634">
        <v>10705</v>
      </c>
      <c r="B9634" t="s">
        <v>172</v>
      </c>
      <c r="C9634">
        <v>250</v>
      </c>
      <c r="D9634">
        <v>20</v>
      </c>
      <c r="E9634" s="80">
        <v>35718</v>
      </c>
    </row>
    <row r="9635" spans="1:5">
      <c r="A9635">
        <v>10705</v>
      </c>
      <c r="B9635" t="s">
        <v>173</v>
      </c>
      <c r="C9635">
        <v>250</v>
      </c>
      <c r="D9635">
        <v>20</v>
      </c>
      <c r="E9635" s="80">
        <v>35718</v>
      </c>
    </row>
    <row r="9636" spans="1:5">
      <c r="A9636">
        <v>10705</v>
      </c>
      <c r="B9636" t="s">
        <v>174</v>
      </c>
      <c r="C9636">
        <v>250</v>
      </c>
      <c r="D9636">
        <v>20</v>
      </c>
      <c r="E9636" s="80">
        <v>35718</v>
      </c>
    </row>
    <row r="9637" spans="1:5">
      <c r="A9637">
        <v>10705</v>
      </c>
      <c r="B9637" t="s">
        <v>175</v>
      </c>
      <c r="C9637">
        <v>250</v>
      </c>
      <c r="D9637">
        <v>20</v>
      </c>
      <c r="E9637" s="80">
        <v>35718</v>
      </c>
    </row>
    <row r="9638" spans="1:5">
      <c r="A9638">
        <v>10705</v>
      </c>
      <c r="B9638" t="s">
        <v>176</v>
      </c>
      <c r="C9638">
        <v>250</v>
      </c>
      <c r="D9638">
        <v>20</v>
      </c>
      <c r="E9638" s="80">
        <v>35718</v>
      </c>
    </row>
    <row r="9639" spans="1:5">
      <c r="A9639">
        <v>10705</v>
      </c>
      <c r="B9639" t="s">
        <v>177</v>
      </c>
      <c r="C9639">
        <v>250</v>
      </c>
      <c r="D9639">
        <v>20</v>
      </c>
      <c r="E9639" s="80">
        <v>35718</v>
      </c>
    </row>
    <row r="9640" spans="1:5">
      <c r="A9640">
        <v>10705</v>
      </c>
      <c r="B9640" t="s">
        <v>178</v>
      </c>
      <c r="C9640">
        <v>250</v>
      </c>
      <c r="D9640">
        <v>20</v>
      </c>
      <c r="E9640" s="80">
        <v>35718</v>
      </c>
    </row>
    <row r="9641" spans="1:5">
      <c r="A9641">
        <v>10705</v>
      </c>
      <c r="B9641" t="s">
        <v>179</v>
      </c>
      <c r="C9641">
        <v>250</v>
      </c>
      <c r="D9641">
        <v>20</v>
      </c>
      <c r="E9641" s="80">
        <v>35718</v>
      </c>
    </row>
    <row r="9642" spans="1:5">
      <c r="A9642">
        <v>10705</v>
      </c>
      <c r="B9642" t="s">
        <v>172</v>
      </c>
      <c r="C9642">
        <v>128</v>
      </c>
      <c r="D9642">
        <v>4</v>
      </c>
      <c r="E9642" s="80">
        <v>35718</v>
      </c>
    </row>
    <row r="9643" spans="1:5">
      <c r="A9643">
        <v>10705</v>
      </c>
      <c r="B9643" t="s">
        <v>173</v>
      </c>
      <c r="C9643">
        <v>128</v>
      </c>
      <c r="D9643">
        <v>4</v>
      </c>
      <c r="E9643" s="80">
        <v>35718</v>
      </c>
    </row>
    <row r="9644" spans="1:5">
      <c r="A9644">
        <v>10705</v>
      </c>
      <c r="B9644" t="s">
        <v>174</v>
      </c>
      <c r="C9644">
        <v>128</v>
      </c>
      <c r="D9644">
        <v>4</v>
      </c>
      <c r="E9644" s="80">
        <v>35718</v>
      </c>
    </row>
    <row r="9645" spans="1:5">
      <c r="A9645">
        <v>10705</v>
      </c>
      <c r="B9645" t="s">
        <v>175</v>
      </c>
      <c r="C9645">
        <v>128</v>
      </c>
      <c r="D9645">
        <v>4</v>
      </c>
      <c r="E9645" s="80">
        <v>35718</v>
      </c>
    </row>
    <row r="9646" spans="1:5">
      <c r="A9646">
        <v>10705</v>
      </c>
      <c r="B9646" t="s">
        <v>176</v>
      </c>
      <c r="C9646">
        <v>128</v>
      </c>
      <c r="D9646">
        <v>4</v>
      </c>
      <c r="E9646" s="80">
        <v>35718</v>
      </c>
    </row>
    <row r="9647" spans="1:5">
      <c r="A9647">
        <v>10705</v>
      </c>
      <c r="B9647" t="s">
        <v>177</v>
      </c>
      <c r="C9647">
        <v>128</v>
      </c>
      <c r="D9647">
        <v>4</v>
      </c>
      <c r="E9647" s="80">
        <v>35718</v>
      </c>
    </row>
    <row r="9648" spans="1:5">
      <c r="A9648">
        <v>10705</v>
      </c>
      <c r="B9648" t="s">
        <v>178</v>
      </c>
      <c r="C9648">
        <v>128</v>
      </c>
      <c r="D9648">
        <v>4</v>
      </c>
      <c r="E9648" s="80">
        <v>35718</v>
      </c>
    </row>
    <row r="9649" spans="1:5">
      <c r="A9649">
        <v>10705</v>
      </c>
      <c r="B9649" t="s">
        <v>179</v>
      </c>
      <c r="C9649">
        <v>128</v>
      </c>
      <c r="D9649">
        <v>4</v>
      </c>
      <c r="E9649" s="80">
        <v>35718</v>
      </c>
    </row>
    <row r="9650" spans="1:5">
      <c r="A9650">
        <v>10706</v>
      </c>
      <c r="B9650" t="s">
        <v>172</v>
      </c>
      <c r="C9650">
        <v>349</v>
      </c>
      <c r="D9650">
        <v>20</v>
      </c>
      <c r="E9650" s="80">
        <v>35719</v>
      </c>
    </row>
    <row r="9651" spans="1:5">
      <c r="A9651">
        <v>10706</v>
      </c>
      <c r="B9651" t="s">
        <v>173</v>
      </c>
      <c r="C9651">
        <v>349</v>
      </c>
      <c r="D9651">
        <v>20</v>
      </c>
      <c r="E9651" s="80">
        <v>35719</v>
      </c>
    </row>
    <row r="9652" spans="1:5">
      <c r="A9652">
        <v>10706</v>
      </c>
      <c r="B9652" t="s">
        <v>174</v>
      </c>
      <c r="C9652">
        <v>349</v>
      </c>
      <c r="D9652">
        <v>20</v>
      </c>
      <c r="E9652" s="80">
        <v>35719</v>
      </c>
    </row>
    <row r="9653" spans="1:5">
      <c r="A9653">
        <v>10706</v>
      </c>
      <c r="B9653" t="s">
        <v>175</v>
      </c>
      <c r="C9653">
        <v>349</v>
      </c>
      <c r="D9653">
        <v>20</v>
      </c>
      <c r="E9653" s="80">
        <v>35719</v>
      </c>
    </row>
    <row r="9654" spans="1:5">
      <c r="A9654">
        <v>10706</v>
      </c>
      <c r="B9654" t="s">
        <v>176</v>
      </c>
      <c r="C9654">
        <v>349</v>
      </c>
      <c r="D9654">
        <v>20</v>
      </c>
      <c r="E9654" s="80">
        <v>35719</v>
      </c>
    </row>
    <row r="9655" spans="1:5">
      <c r="A9655">
        <v>10706</v>
      </c>
      <c r="B9655" t="s">
        <v>177</v>
      </c>
      <c r="C9655">
        <v>349</v>
      </c>
      <c r="D9655">
        <v>20</v>
      </c>
      <c r="E9655" s="80">
        <v>35719</v>
      </c>
    </row>
    <row r="9656" spans="1:5">
      <c r="A9656">
        <v>10706</v>
      </c>
      <c r="B9656" t="s">
        <v>178</v>
      </c>
      <c r="C9656">
        <v>349</v>
      </c>
      <c r="D9656">
        <v>20</v>
      </c>
      <c r="E9656" s="80">
        <v>35719</v>
      </c>
    </row>
    <row r="9657" spans="1:5">
      <c r="A9657">
        <v>10706</v>
      </c>
      <c r="B9657" t="s">
        <v>179</v>
      </c>
      <c r="C9657">
        <v>349</v>
      </c>
      <c r="D9657">
        <v>20</v>
      </c>
      <c r="E9657" s="80">
        <v>35719</v>
      </c>
    </row>
    <row r="9658" spans="1:5">
      <c r="A9658">
        <v>10706</v>
      </c>
      <c r="B9658" t="s">
        <v>172</v>
      </c>
      <c r="C9658">
        <v>1104</v>
      </c>
      <c r="D9658">
        <v>24</v>
      </c>
      <c r="E9658" s="80">
        <v>35719</v>
      </c>
    </row>
    <row r="9659" spans="1:5">
      <c r="A9659">
        <v>10706</v>
      </c>
      <c r="B9659" t="s">
        <v>173</v>
      </c>
      <c r="C9659">
        <v>1104</v>
      </c>
      <c r="D9659">
        <v>24</v>
      </c>
      <c r="E9659" s="80">
        <v>35719</v>
      </c>
    </row>
    <row r="9660" spans="1:5">
      <c r="A9660">
        <v>10706</v>
      </c>
      <c r="B9660" t="s">
        <v>174</v>
      </c>
      <c r="C9660">
        <v>1104</v>
      </c>
      <c r="D9660">
        <v>24</v>
      </c>
      <c r="E9660" s="80">
        <v>35719</v>
      </c>
    </row>
    <row r="9661" spans="1:5">
      <c r="A9661">
        <v>10706</v>
      </c>
      <c r="B9661" t="s">
        <v>175</v>
      </c>
      <c r="C9661">
        <v>1104</v>
      </c>
      <c r="D9661">
        <v>24</v>
      </c>
      <c r="E9661" s="80">
        <v>35719</v>
      </c>
    </row>
    <row r="9662" spans="1:5">
      <c r="A9662">
        <v>10706</v>
      </c>
      <c r="B9662" t="s">
        <v>176</v>
      </c>
      <c r="C9662">
        <v>1104</v>
      </c>
      <c r="D9662">
        <v>24</v>
      </c>
      <c r="E9662" s="80">
        <v>35719</v>
      </c>
    </row>
    <row r="9663" spans="1:5">
      <c r="A9663">
        <v>10706</v>
      </c>
      <c r="B9663" t="s">
        <v>177</v>
      </c>
      <c r="C9663">
        <v>1104</v>
      </c>
      <c r="D9663">
        <v>24</v>
      </c>
      <c r="E9663" s="80">
        <v>35719</v>
      </c>
    </row>
    <row r="9664" spans="1:5">
      <c r="A9664">
        <v>10706</v>
      </c>
      <c r="B9664" t="s">
        <v>178</v>
      </c>
      <c r="C9664">
        <v>1104</v>
      </c>
      <c r="D9664">
        <v>24</v>
      </c>
      <c r="E9664" s="80">
        <v>35719</v>
      </c>
    </row>
    <row r="9665" spans="1:5">
      <c r="A9665">
        <v>10706</v>
      </c>
      <c r="B9665" t="s">
        <v>179</v>
      </c>
      <c r="C9665">
        <v>1104</v>
      </c>
      <c r="D9665">
        <v>24</v>
      </c>
      <c r="E9665" s="80">
        <v>35719</v>
      </c>
    </row>
    <row r="9666" spans="1:5">
      <c r="A9666">
        <v>10706</v>
      </c>
      <c r="B9666" t="s">
        <v>172</v>
      </c>
      <c r="C9666">
        <v>440</v>
      </c>
      <c r="D9666">
        <v>8</v>
      </c>
      <c r="E9666" s="80">
        <v>35719</v>
      </c>
    </row>
    <row r="9667" spans="1:5">
      <c r="A9667">
        <v>10706</v>
      </c>
      <c r="B9667" t="s">
        <v>173</v>
      </c>
      <c r="C9667">
        <v>440</v>
      </c>
      <c r="D9667">
        <v>8</v>
      </c>
      <c r="E9667" s="80">
        <v>35719</v>
      </c>
    </row>
    <row r="9668" spans="1:5">
      <c r="A9668">
        <v>10706</v>
      </c>
      <c r="B9668" t="s">
        <v>174</v>
      </c>
      <c r="C9668">
        <v>440</v>
      </c>
      <c r="D9668">
        <v>8</v>
      </c>
      <c r="E9668" s="80">
        <v>35719</v>
      </c>
    </row>
    <row r="9669" spans="1:5">
      <c r="A9669">
        <v>10706</v>
      </c>
      <c r="B9669" t="s">
        <v>175</v>
      </c>
      <c r="C9669">
        <v>440</v>
      </c>
      <c r="D9669">
        <v>8</v>
      </c>
      <c r="E9669" s="80">
        <v>35719</v>
      </c>
    </row>
    <row r="9670" spans="1:5">
      <c r="A9670">
        <v>10706</v>
      </c>
      <c r="B9670" t="s">
        <v>176</v>
      </c>
      <c r="C9670">
        <v>440</v>
      </c>
      <c r="D9670">
        <v>8</v>
      </c>
      <c r="E9670" s="80">
        <v>35719</v>
      </c>
    </row>
    <row r="9671" spans="1:5">
      <c r="A9671">
        <v>10706</v>
      </c>
      <c r="B9671" t="s">
        <v>177</v>
      </c>
      <c r="C9671">
        <v>440</v>
      </c>
      <c r="D9671">
        <v>8</v>
      </c>
      <c r="E9671" s="80">
        <v>35719</v>
      </c>
    </row>
    <row r="9672" spans="1:5">
      <c r="A9672">
        <v>10706</v>
      </c>
      <c r="B9672" t="s">
        <v>178</v>
      </c>
      <c r="C9672">
        <v>440</v>
      </c>
      <c r="D9672">
        <v>8</v>
      </c>
      <c r="E9672" s="80">
        <v>35719</v>
      </c>
    </row>
    <row r="9673" spans="1:5">
      <c r="A9673">
        <v>10706</v>
      </c>
      <c r="B9673" t="s">
        <v>179</v>
      </c>
      <c r="C9673">
        <v>440</v>
      </c>
      <c r="D9673">
        <v>8</v>
      </c>
      <c r="E9673" s="80">
        <v>35719</v>
      </c>
    </row>
    <row r="9674" spans="1:5">
      <c r="A9674">
        <v>10707</v>
      </c>
      <c r="B9674" t="s">
        <v>172</v>
      </c>
      <c r="C9674">
        <v>504</v>
      </c>
      <c r="D9674">
        <v>21</v>
      </c>
      <c r="E9674" s="80">
        <v>35719</v>
      </c>
    </row>
    <row r="9675" spans="1:5">
      <c r="A9675">
        <v>10707</v>
      </c>
      <c r="B9675" t="s">
        <v>173</v>
      </c>
      <c r="C9675">
        <v>504</v>
      </c>
      <c r="D9675">
        <v>21</v>
      </c>
      <c r="E9675" s="80">
        <v>35719</v>
      </c>
    </row>
    <row r="9676" spans="1:5">
      <c r="A9676">
        <v>10707</v>
      </c>
      <c r="B9676" t="s">
        <v>174</v>
      </c>
      <c r="C9676">
        <v>504</v>
      </c>
      <c r="D9676">
        <v>21</v>
      </c>
      <c r="E9676" s="80">
        <v>35719</v>
      </c>
    </row>
    <row r="9677" spans="1:5">
      <c r="A9677">
        <v>10707</v>
      </c>
      <c r="B9677" t="s">
        <v>175</v>
      </c>
      <c r="C9677">
        <v>504</v>
      </c>
      <c r="D9677">
        <v>21</v>
      </c>
      <c r="E9677" s="80">
        <v>35719</v>
      </c>
    </row>
    <row r="9678" spans="1:5">
      <c r="A9678">
        <v>10707</v>
      </c>
      <c r="B9678" t="s">
        <v>176</v>
      </c>
      <c r="C9678">
        <v>504</v>
      </c>
      <c r="D9678">
        <v>21</v>
      </c>
      <c r="E9678" s="80">
        <v>35719</v>
      </c>
    </row>
    <row r="9679" spans="1:5">
      <c r="A9679">
        <v>10707</v>
      </c>
      <c r="B9679" t="s">
        <v>177</v>
      </c>
      <c r="C9679">
        <v>504</v>
      </c>
      <c r="D9679">
        <v>21</v>
      </c>
      <c r="E9679" s="80">
        <v>35719</v>
      </c>
    </row>
    <row r="9680" spans="1:5">
      <c r="A9680">
        <v>10707</v>
      </c>
      <c r="B9680" t="s">
        <v>178</v>
      </c>
      <c r="C9680">
        <v>504</v>
      </c>
      <c r="D9680">
        <v>21</v>
      </c>
      <c r="E9680" s="80">
        <v>35719</v>
      </c>
    </row>
    <row r="9681" spans="1:5">
      <c r="A9681">
        <v>10707</v>
      </c>
      <c r="B9681" t="s">
        <v>179</v>
      </c>
      <c r="C9681">
        <v>504</v>
      </c>
      <c r="D9681">
        <v>21</v>
      </c>
      <c r="E9681" s="80">
        <v>35719</v>
      </c>
    </row>
    <row r="9682" spans="1:5">
      <c r="A9682">
        <v>10707</v>
      </c>
      <c r="B9682" t="s">
        <v>172</v>
      </c>
      <c r="C9682">
        <v>780</v>
      </c>
      <c r="D9682">
        <v>40</v>
      </c>
      <c r="E9682" s="80">
        <v>35719</v>
      </c>
    </row>
    <row r="9683" spans="1:5">
      <c r="A9683">
        <v>10707</v>
      </c>
      <c r="B9683" t="s">
        <v>173</v>
      </c>
      <c r="C9683">
        <v>780</v>
      </c>
      <c r="D9683">
        <v>40</v>
      </c>
      <c r="E9683" s="80">
        <v>35719</v>
      </c>
    </row>
    <row r="9684" spans="1:5">
      <c r="A9684">
        <v>10707</v>
      </c>
      <c r="B9684" t="s">
        <v>174</v>
      </c>
      <c r="C9684">
        <v>780</v>
      </c>
      <c r="D9684">
        <v>40</v>
      </c>
      <c r="E9684" s="80">
        <v>35719</v>
      </c>
    </row>
    <row r="9685" spans="1:5">
      <c r="A9685">
        <v>10707</v>
      </c>
      <c r="B9685" t="s">
        <v>175</v>
      </c>
      <c r="C9685">
        <v>780</v>
      </c>
      <c r="D9685">
        <v>40</v>
      </c>
      <c r="E9685" s="80">
        <v>35719</v>
      </c>
    </row>
    <row r="9686" spans="1:5">
      <c r="A9686">
        <v>10707</v>
      </c>
      <c r="B9686" t="s">
        <v>176</v>
      </c>
      <c r="C9686">
        <v>780</v>
      </c>
      <c r="D9686">
        <v>40</v>
      </c>
      <c r="E9686" s="80">
        <v>35719</v>
      </c>
    </row>
    <row r="9687" spans="1:5">
      <c r="A9687">
        <v>10707</v>
      </c>
      <c r="B9687" t="s">
        <v>177</v>
      </c>
      <c r="C9687">
        <v>780</v>
      </c>
      <c r="D9687">
        <v>40</v>
      </c>
      <c r="E9687" s="80">
        <v>35719</v>
      </c>
    </row>
    <row r="9688" spans="1:5">
      <c r="A9688">
        <v>10707</v>
      </c>
      <c r="B9688" t="s">
        <v>178</v>
      </c>
      <c r="C9688">
        <v>780</v>
      </c>
      <c r="D9688">
        <v>40</v>
      </c>
      <c r="E9688" s="80">
        <v>35719</v>
      </c>
    </row>
    <row r="9689" spans="1:5">
      <c r="A9689">
        <v>10707</v>
      </c>
      <c r="B9689" t="s">
        <v>179</v>
      </c>
      <c r="C9689">
        <v>780</v>
      </c>
      <c r="D9689">
        <v>40</v>
      </c>
      <c r="E9689" s="80">
        <v>35719</v>
      </c>
    </row>
    <row r="9690" spans="1:5">
      <c r="A9690">
        <v>10707</v>
      </c>
      <c r="B9690" t="s">
        <v>172</v>
      </c>
      <c r="C9690">
        <v>356.99999749660492</v>
      </c>
      <c r="D9690">
        <v>28</v>
      </c>
      <c r="E9690" s="80">
        <v>35719</v>
      </c>
    </row>
    <row r="9691" spans="1:5">
      <c r="A9691">
        <v>10707</v>
      </c>
      <c r="B9691" t="s">
        <v>173</v>
      </c>
      <c r="C9691">
        <v>356.99999749660492</v>
      </c>
      <c r="D9691">
        <v>28</v>
      </c>
      <c r="E9691" s="80">
        <v>35719</v>
      </c>
    </row>
    <row r="9692" spans="1:5">
      <c r="A9692">
        <v>10707</v>
      </c>
      <c r="B9692" t="s">
        <v>174</v>
      </c>
      <c r="C9692">
        <v>356.99999749660492</v>
      </c>
      <c r="D9692">
        <v>28</v>
      </c>
      <c r="E9692" s="80">
        <v>35719</v>
      </c>
    </row>
    <row r="9693" spans="1:5">
      <c r="A9693">
        <v>10707</v>
      </c>
      <c r="B9693" t="s">
        <v>175</v>
      </c>
      <c r="C9693">
        <v>356.99999749660492</v>
      </c>
      <c r="D9693">
        <v>28</v>
      </c>
      <c r="E9693" s="80">
        <v>35719</v>
      </c>
    </row>
    <row r="9694" spans="1:5">
      <c r="A9694">
        <v>10707</v>
      </c>
      <c r="B9694" t="s">
        <v>176</v>
      </c>
      <c r="C9694">
        <v>356.99999749660492</v>
      </c>
      <c r="D9694">
        <v>28</v>
      </c>
      <c r="E9694" s="80">
        <v>35719</v>
      </c>
    </row>
    <row r="9695" spans="1:5">
      <c r="A9695">
        <v>10707</v>
      </c>
      <c r="B9695" t="s">
        <v>177</v>
      </c>
      <c r="C9695">
        <v>356.99999749660492</v>
      </c>
      <c r="D9695">
        <v>28</v>
      </c>
      <c r="E9695" s="80">
        <v>35719</v>
      </c>
    </row>
    <row r="9696" spans="1:5">
      <c r="A9696">
        <v>10707</v>
      </c>
      <c r="B9696" t="s">
        <v>178</v>
      </c>
      <c r="C9696">
        <v>356.99999749660492</v>
      </c>
      <c r="D9696">
        <v>28</v>
      </c>
      <c r="E9696" s="80">
        <v>35719</v>
      </c>
    </row>
    <row r="9697" spans="1:5">
      <c r="A9697">
        <v>10707</v>
      </c>
      <c r="B9697" t="s">
        <v>179</v>
      </c>
      <c r="C9697">
        <v>356.99999749660492</v>
      </c>
      <c r="D9697">
        <v>28</v>
      </c>
      <c r="E9697" s="80">
        <v>35719</v>
      </c>
    </row>
    <row r="9698" spans="1:5">
      <c r="A9698">
        <v>10708</v>
      </c>
      <c r="B9698" t="s">
        <v>172</v>
      </c>
      <c r="C9698">
        <v>85.4</v>
      </c>
      <c r="D9698">
        <v>4</v>
      </c>
      <c r="E9698" s="80">
        <v>35720</v>
      </c>
    </row>
    <row r="9699" spans="1:5">
      <c r="A9699">
        <v>10708</v>
      </c>
      <c r="B9699" t="s">
        <v>173</v>
      </c>
      <c r="C9699">
        <v>85.4</v>
      </c>
      <c r="D9699">
        <v>4</v>
      </c>
      <c r="E9699" s="80">
        <v>35720</v>
      </c>
    </row>
    <row r="9700" spans="1:5">
      <c r="A9700">
        <v>10708</v>
      </c>
      <c r="B9700" t="s">
        <v>174</v>
      </c>
      <c r="C9700">
        <v>85.4</v>
      </c>
      <c r="D9700">
        <v>4</v>
      </c>
      <c r="E9700" s="80">
        <v>35720</v>
      </c>
    </row>
    <row r="9701" spans="1:5">
      <c r="A9701">
        <v>10708</v>
      </c>
      <c r="B9701" t="s">
        <v>175</v>
      </c>
      <c r="C9701">
        <v>85.4</v>
      </c>
      <c r="D9701">
        <v>4</v>
      </c>
      <c r="E9701" s="80">
        <v>35720</v>
      </c>
    </row>
    <row r="9702" spans="1:5">
      <c r="A9702">
        <v>10708</v>
      </c>
      <c r="B9702" t="s">
        <v>176</v>
      </c>
      <c r="C9702">
        <v>85.4</v>
      </c>
      <c r="D9702">
        <v>4</v>
      </c>
      <c r="E9702" s="80">
        <v>35720</v>
      </c>
    </row>
    <row r="9703" spans="1:5">
      <c r="A9703">
        <v>10708</v>
      </c>
      <c r="B9703" t="s">
        <v>177</v>
      </c>
      <c r="C9703">
        <v>85.4</v>
      </c>
      <c r="D9703">
        <v>4</v>
      </c>
      <c r="E9703" s="80">
        <v>35720</v>
      </c>
    </row>
    <row r="9704" spans="1:5">
      <c r="A9704">
        <v>10708</v>
      </c>
      <c r="B9704" t="s">
        <v>178</v>
      </c>
      <c r="C9704">
        <v>85.4</v>
      </c>
      <c r="D9704">
        <v>4</v>
      </c>
      <c r="E9704" s="80">
        <v>35720</v>
      </c>
    </row>
    <row r="9705" spans="1:5">
      <c r="A9705">
        <v>10708</v>
      </c>
      <c r="B9705" t="s">
        <v>179</v>
      </c>
      <c r="C9705">
        <v>85.4</v>
      </c>
      <c r="D9705">
        <v>4</v>
      </c>
      <c r="E9705" s="80">
        <v>35720</v>
      </c>
    </row>
    <row r="9706" spans="1:5">
      <c r="A9706">
        <v>10708</v>
      </c>
      <c r="B9706" t="s">
        <v>172</v>
      </c>
      <c r="C9706">
        <v>95</v>
      </c>
      <c r="D9706">
        <v>5</v>
      </c>
      <c r="E9706" s="80">
        <v>35720</v>
      </c>
    </row>
    <row r="9707" spans="1:5">
      <c r="A9707">
        <v>10708</v>
      </c>
      <c r="B9707" t="s">
        <v>173</v>
      </c>
      <c r="C9707">
        <v>95</v>
      </c>
      <c r="D9707">
        <v>5</v>
      </c>
      <c r="E9707" s="80">
        <v>35720</v>
      </c>
    </row>
    <row r="9708" spans="1:5">
      <c r="A9708">
        <v>10708</v>
      </c>
      <c r="B9708" t="s">
        <v>174</v>
      </c>
      <c r="C9708">
        <v>95</v>
      </c>
      <c r="D9708">
        <v>5</v>
      </c>
      <c r="E9708" s="80">
        <v>35720</v>
      </c>
    </row>
    <row r="9709" spans="1:5">
      <c r="A9709">
        <v>10708</v>
      </c>
      <c r="B9709" t="s">
        <v>175</v>
      </c>
      <c r="C9709">
        <v>95</v>
      </c>
      <c r="D9709">
        <v>5</v>
      </c>
      <c r="E9709" s="80">
        <v>35720</v>
      </c>
    </row>
    <row r="9710" spans="1:5">
      <c r="A9710">
        <v>10708</v>
      </c>
      <c r="B9710" t="s">
        <v>176</v>
      </c>
      <c r="C9710">
        <v>95</v>
      </c>
      <c r="D9710">
        <v>5</v>
      </c>
      <c r="E9710" s="80">
        <v>35720</v>
      </c>
    </row>
    <row r="9711" spans="1:5">
      <c r="A9711">
        <v>10708</v>
      </c>
      <c r="B9711" t="s">
        <v>177</v>
      </c>
      <c r="C9711">
        <v>95</v>
      </c>
      <c r="D9711">
        <v>5</v>
      </c>
      <c r="E9711" s="80">
        <v>35720</v>
      </c>
    </row>
    <row r="9712" spans="1:5">
      <c r="A9712">
        <v>10708</v>
      </c>
      <c r="B9712" t="s">
        <v>178</v>
      </c>
      <c r="C9712">
        <v>95</v>
      </c>
      <c r="D9712">
        <v>5</v>
      </c>
      <c r="E9712" s="80">
        <v>35720</v>
      </c>
    </row>
    <row r="9713" spans="1:5">
      <c r="A9713">
        <v>10708</v>
      </c>
      <c r="B9713" t="s">
        <v>179</v>
      </c>
      <c r="C9713">
        <v>95</v>
      </c>
      <c r="D9713">
        <v>5</v>
      </c>
      <c r="E9713" s="80">
        <v>35720</v>
      </c>
    </row>
    <row r="9714" spans="1:5">
      <c r="A9714">
        <v>10709</v>
      </c>
      <c r="B9714" t="s">
        <v>172</v>
      </c>
      <c r="C9714">
        <v>1600</v>
      </c>
      <c r="D9714">
        <v>40</v>
      </c>
      <c r="E9714" s="80">
        <v>35720</v>
      </c>
    </row>
    <row r="9715" spans="1:5">
      <c r="A9715">
        <v>10709</v>
      </c>
      <c r="B9715" t="s">
        <v>173</v>
      </c>
      <c r="C9715">
        <v>1600</v>
      </c>
      <c r="D9715">
        <v>40</v>
      </c>
      <c r="E9715" s="80">
        <v>35720</v>
      </c>
    </row>
    <row r="9716" spans="1:5">
      <c r="A9716">
        <v>10709</v>
      </c>
      <c r="B9716" t="s">
        <v>174</v>
      </c>
      <c r="C9716">
        <v>1600</v>
      </c>
      <c r="D9716">
        <v>40</v>
      </c>
      <c r="E9716" s="80">
        <v>35720</v>
      </c>
    </row>
    <row r="9717" spans="1:5">
      <c r="A9717">
        <v>10709</v>
      </c>
      <c r="B9717" t="s">
        <v>175</v>
      </c>
      <c r="C9717">
        <v>1600</v>
      </c>
      <c r="D9717">
        <v>40</v>
      </c>
      <c r="E9717" s="80">
        <v>35720</v>
      </c>
    </row>
    <row r="9718" spans="1:5">
      <c r="A9718">
        <v>10709</v>
      </c>
      <c r="B9718" t="s">
        <v>176</v>
      </c>
      <c r="C9718">
        <v>1600</v>
      </c>
      <c r="D9718">
        <v>40</v>
      </c>
      <c r="E9718" s="80">
        <v>35720</v>
      </c>
    </row>
    <row r="9719" spans="1:5">
      <c r="A9719">
        <v>10709</v>
      </c>
      <c r="B9719" t="s">
        <v>177</v>
      </c>
      <c r="C9719">
        <v>1600</v>
      </c>
      <c r="D9719">
        <v>40</v>
      </c>
      <c r="E9719" s="80">
        <v>35720</v>
      </c>
    </row>
    <row r="9720" spans="1:5">
      <c r="A9720">
        <v>10709</v>
      </c>
      <c r="B9720" t="s">
        <v>178</v>
      </c>
      <c r="C9720">
        <v>1600</v>
      </c>
      <c r="D9720">
        <v>40</v>
      </c>
      <c r="E9720" s="80">
        <v>35720</v>
      </c>
    </row>
    <row r="9721" spans="1:5">
      <c r="A9721">
        <v>10709</v>
      </c>
      <c r="B9721" t="s">
        <v>179</v>
      </c>
      <c r="C9721">
        <v>1600</v>
      </c>
      <c r="D9721">
        <v>40</v>
      </c>
      <c r="E9721" s="80">
        <v>35720</v>
      </c>
    </row>
    <row r="9722" spans="1:5">
      <c r="A9722">
        <v>10709</v>
      </c>
      <c r="B9722" t="s">
        <v>172</v>
      </c>
      <c r="C9722">
        <v>1484</v>
      </c>
      <c r="D9722">
        <v>28</v>
      </c>
      <c r="E9722" s="80">
        <v>35720</v>
      </c>
    </row>
    <row r="9723" spans="1:5">
      <c r="A9723">
        <v>10709</v>
      </c>
      <c r="B9723" t="s">
        <v>173</v>
      </c>
      <c r="C9723">
        <v>1484</v>
      </c>
      <c r="D9723">
        <v>28</v>
      </c>
      <c r="E9723" s="80">
        <v>35720</v>
      </c>
    </row>
    <row r="9724" spans="1:5">
      <c r="A9724">
        <v>10709</v>
      </c>
      <c r="B9724" t="s">
        <v>174</v>
      </c>
      <c r="C9724">
        <v>1484</v>
      </c>
      <c r="D9724">
        <v>28</v>
      </c>
      <c r="E9724" s="80">
        <v>35720</v>
      </c>
    </row>
    <row r="9725" spans="1:5">
      <c r="A9725">
        <v>10709</v>
      </c>
      <c r="B9725" t="s">
        <v>175</v>
      </c>
      <c r="C9725">
        <v>1484</v>
      </c>
      <c r="D9725">
        <v>28</v>
      </c>
      <c r="E9725" s="80">
        <v>35720</v>
      </c>
    </row>
    <row r="9726" spans="1:5">
      <c r="A9726">
        <v>10709</v>
      </c>
      <c r="B9726" t="s">
        <v>176</v>
      </c>
      <c r="C9726">
        <v>1484</v>
      </c>
      <c r="D9726">
        <v>28</v>
      </c>
      <c r="E9726" s="80">
        <v>35720</v>
      </c>
    </row>
    <row r="9727" spans="1:5">
      <c r="A9727">
        <v>10709</v>
      </c>
      <c r="B9727" t="s">
        <v>177</v>
      </c>
      <c r="C9727">
        <v>1484</v>
      </c>
      <c r="D9727">
        <v>28</v>
      </c>
      <c r="E9727" s="80">
        <v>35720</v>
      </c>
    </row>
    <row r="9728" spans="1:5">
      <c r="A9728">
        <v>10709</v>
      </c>
      <c r="B9728" t="s">
        <v>178</v>
      </c>
      <c r="C9728">
        <v>1484</v>
      </c>
      <c r="D9728">
        <v>28</v>
      </c>
      <c r="E9728" s="80">
        <v>35720</v>
      </c>
    </row>
    <row r="9729" spans="1:5">
      <c r="A9729">
        <v>10709</v>
      </c>
      <c r="B9729" t="s">
        <v>179</v>
      </c>
      <c r="C9729">
        <v>1484</v>
      </c>
      <c r="D9729">
        <v>28</v>
      </c>
      <c r="E9729" s="80">
        <v>35720</v>
      </c>
    </row>
    <row r="9730" spans="1:5">
      <c r="A9730">
        <v>10709</v>
      </c>
      <c r="B9730" t="s">
        <v>172</v>
      </c>
      <c r="C9730">
        <v>340</v>
      </c>
      <c r="D9730">
        <v>10</v>
      </c>
      <c r="E9730" s="80">
        <v>35720</v>
      </c>
    </row>
    <row r="9731" spans="1:5">
      <c r="A9731">
        <v>10709</v>
      </c>
      <c r="B9731" t="s">
        <v>173</v>
      </c>
      <c r="C9731">
        <v>340</v>
      </c>
      <c r="D9731">
        <v>10</v>
      </c>
      <c r="E9731" s="80">
        <v>35720</v>
      </c>
    </row>
    <row r="9732" spans="1:5">
      <c r="A9732">
        <v>10709</v>
      </c>
      <c r="B9732" t="s">
        <v>174</v>
      </c>
      <c r="C9732">
        <v>340</v>
      </c>
      <c r="D9732">
        <v>10</v>
      </c>
      <c r="E9732" s="80">
        <v>35720</v>
      </c>
    </row>
    <row r="9733" spans="1:5">
      <c r="A9733">
        <v>10709</v>
      </c>
      <c r="B9733" t="s">
        <v>175</v>
      </c>
      <c r="C9733">
        <v>340</v>
      </c>
      <c r="D9733">
        <v>10</v>
      </c>
      <c r="E9733" s="80">
        <v>35720</v>
      </c>
    </row>
    <row r="9734" spans="1:5">
      <c r="A9734">
        <v>10709</v>
      </c>
      <c r="B9734" t="s">
        <v>176</v>
      </c>
      <c r="C9734">
        <v>340</v>
      </c>
      <c r="D9734">
        <v>10</v>
      </c>
      <c r="E9734" s="80">
        <v>35720</v>
      </c>
    </row>
    <row r="9735" spans="1:5">
      <c r="A9735">
        <v>10709</v>
      </c>
      <c r="B9735" t="s">
        <v>177</v>
      </c>
      <c r="C9735">
        <v>340</v>
      </c>
      <c r="D9735">
        <v>10</v>
      </c>
      <c r="E9735" s="80">
        <v>35720</v>
      </c>
    </row>
    <row r="9736" spans="1:5">
      <c r="A9736">
        <v>10709</v>
      </c>
      <c r="B9736" t="s">
        <v>178</v>
      </c>
      <c r="C9736">
        <v>340</v>
      </c>
      <c r="D9736">
        <v>10</v>
      </c>
      <c r="E9736" s="80">
        <v>35720</v>
      </c>
    </row>
    <row r="9737" spans="1:5">
      <c r="A9737">
        <v>10709</v>
      </c>
      <c r="B9737" t="s">
        <v>179</v>
      </c>
      <c r="C9737">
        <v>340</v>
      </c>
      <c r="D9737">
        <v>10</v>
      </c>
      <c r="E9737" s="80">
        <v>35720</v>
      </c>
    </row>
    <row r="9738" spans="1:5">
      <c r="A9738">
        <v>10710</v>
      </c>
      <c r="B9738" t="s">
        <v>172</v>
      </c>
      <c r="C9738">
        <v>46</v>
      </c>
      <c r="D9738">
        <v>5</v>
      </c>
      <c r="E9738" s="80">
        <v>35723</v>
      </c>
    </row>
    <row r="9739" spans="1:5">
      <c r="A9739">
        <v>10710</v>
      </c>
      <c r="B9739" t="s">
        <v>173</v>
      </c>
      <c r="C9739">
        <v>46</v>
      </c>
      <c r="D9739">
        <v>5</v>
      </c>
      <c r="E9739" s="80">
        <v>35723</v>
      </c>
    </row>
    <row r="9740" spans="1:5">
      <c r="A9740">
        <v>10710</v>
      </c>
      <c r="B9740" t="s">
        <v>174</v>
      </c>
      <c r="C9740">
        <v>46</v>
      </c>
      <c r="D9740">
        <v>5</v>
      </c>
      <c r="E9740" s="80">
        <v>35723</v>
      </c>
    </row>
    <row r="9741" spans="1:5">
      <c r="A9741">
        <v>10710</v>
      </c>
      <c r="B9741" t="s">
        <v>175</v>
      </c>
      <c r="C9741">
        <v>46</v>
      </c>
      <c r="D9741">
        <v>5</v>
      </c>
      <c r="E9741" s="80">
        <v>35723</v>
      </c>
    </row>
    <row r="9742" spans="1:5">
      <c r="A9742">
        <v>10710</v>
      </c>
      <c r="B9742" t="s">
        <v>176</v>
      </c>
      <c r="C9742">
        <v>46</v>
      </c>
      <c r="D9742">
        <v>5</v>
      </c>
      <c r="E9742" s="80">
        <v>35723</v>
      </c>
    </row>
    <row r="9743" spans="1:5">
      <c r="A9743">
        <v>10710</v>
      </c>
      <c r="B9743" t="s">
        <v>177</v>
      </c>
      <c r="C9743">
        <v>46</v>
      </c>
      <c r="D9743">
        <v>5</v>
      </c>
      <c r="E9743" s="80">
        <v>35723</v>
      </c>
    </row>
    <row r="9744" spans="1:5">
      <c r="A9744">
        <v>10710</v>
      </c>
      <c r="B9744" t="s">
        <v>178</v>
      </c>
      <c r="C9744">
        <v>46</v>
      </c>
      <c r="D9744">
        <v>5</v>
      </c>
      <c r="E9744" s="80">
        <v>35723</v>
      </c>
    </row>
    <row r="9745" spans="1:5">
      <c r="A9745">
        <v>10710</v>
      </c>
      <c r="B9745" t="s">
        <v>179</v>
      </c>
      <c r="C9745">
        <v>46</v>
      </c>
      <c r="D9745">
        <v>5</v>
      </c>
      <c r="E9745" s="80">
        <v>35723</v>
      </c>
    </row>
    <row r="9746" spans="1:5">
      <c r="A9746">
        <v>10710</v>
      </c>
      <c r="B9746" t="s">
        <v>172</v>
      </c>
      <c r="C9746">
        <v>47.5</v>
      </c>
      <c r="D9746">
        <v>5</v>
      </c>
      <c r="E9746" s="80">
        <v>35723</v>
      </c>
    </row>
    <row r="9747" spans="1:5">
      <c r="A9747">
        <v>10710</v>
      </c>
      <c r="B9747" t="s">
        <v>173</v>
      </c>
      <c r="C9747">
        <v>47.5</v>
      </c>
      <c r="D9747">
        <v>5</v>
      </c>
      <c r="E9747" s="80">
        <v>35723</v>
      </c>
    </row>
    <row r="9748" spans="1:5">
      <c r="A9748">
        <v>10710</v>
      </c>
      <c r="B9748" t="s">
        <v>174</v>
      </c>
      <c r="C9748">
        <v>47.5</v>
      </c>
      <c r="D9748">
        <v>5</v>
      </c>
      <c r="E9748" s="80">
        <v>35723</v>
      </c>
    </row>
    <row r="9749" spans="1:5">
      <c r="A9749">
        <v>10710</v>
      </c>
      <c r="B9749" t="s">
        <v>175</v>
      </c>
      <c r="C9749">
        <v>47.5</v>
      </c>
      <c r="D9749">
        <v>5</v>
      </c>
      <c r="E9749" s="80">
        <v>35723</v>
      </c>
    </row>
    <row r="9750" spans="1:5">
      <c r="A9750">
        <v>10710</v>
      </c>
      <c r="B9750" t="s">
        <v>176</v>
      </c>
      <c r="C9750">
        <v>47.5</v>
      </c>
      <c r="D9750">
        <v>5</v>
      </c>
      <c r="E9750" s="80">
        <v>35723</v>
      </c>
    </row>
    <row r="9751" spans="1:5">
      <c r="A9751">
        <v>10710</v>
      </c>
      <c r="B9751" t="s">
        <v>177</v>
      </c>
      <c r="C9751">
        <v>47.5</v>
      </c>
      <c r="D9751">
        <v>5</v>
      </c>
      <c r="E9751" s="80">
        <v>35723</v>
      </c>
    </row>
    <row r="9752" spans="1:5">
      <c r="A9752">
        <v>10710</v>
      </c>
      <c r="B9752" t="s">
        <v>178</v>
      </c>
      <c r="C9752">
        <v>47.5</v>
      </c>
      <c r="D9752">
        <v>5</v>
      </c>
      <c r="E9752" s="80">
        <v>35723</v>
      </c>
    </row>
    <row r="9753" spans="1:5">
      <c r="A9753">
        <v>10710</v>
      </c>
      <c r="B9753" t="s">
        <v>179</v>
      </c>
      <c r="C9753">
        <v>47.5</v>
      </c>
      <c r="D9753">
        <v>5</v>
      </c>
      <c r="E9753" s="80">
        <v>35723</v>
      </c>
    </row>
    <row r="9754" spans="1:5">
      <c r="A9754">
        <v>10711</v>
      </c>
      <c r="B9754" t="s">
        <v>172</v>
      </c>
      <c r="C9754">
        <v>110.4</v>
      </c>
      <c r="D9754">
        <v>12</v>
      </c>
      <c r="E9754" s="80">
        <v>35724</v>
      </c>
    </row>
    <row r="9755" spans="1:5">
      <c r="A9755">
        <v>10711</v>
      </c>
      <c r="B9755" t="s">
        <v>173</v>
      </c>
      <c r="C9755">
        <v>110.4</v>
      </c>
      <c r="D9755">
        <v>12</v>
      </c>
      <c r="E9755" s="80">
        <v>35724</v>
      </c>
    </row>
    <row r="9756" spans="1:5">
      <c r="A9756">
        <v>10711</v>
      </c>
      <c r="B9756" t="s">
        <v>174</v>
      </c>
      <c r="C9756">
        <v>110.4</v>
      </c>
      <c r="D9756">
        <v>12</v>
      </c>
      <c r="E9756" s="80">
        <v>35724</v>
      </c>
    </row>
    <row r="9757" spans="1:5">
      <c r="A9757">
        <v>10711</v>
      </c>
      <c r="B9757" t="s">
        <v>175</v>
      </c>
      <c r="C9757">
        <v>110.4</v>
      </c>
      <c r="D9757">
        <v>12</v>
      </c>
      <c r="E9757" s="80">
        <v>35724</v>
      </c>
    </row>
    <row r="9758" spans="1:5">
      <c r="A9758">
        <v>10711</v>
      </c>
      <c r="B9758" t="s">
        <v>176</v>
      </c>
      <c r="C9758">
        <v>110.4</v>
      </c>
      <c r="D9758">
        <v>12</v>
      </c>
      <c r="E9758" s="80">
        <v>35724</v>
      </c>
    </row>
    <row r="9759" spans="1:5">
      <c r="A9759">
        <v>10711</v>
      </c>
      <c r="B9759" t="s">
        <v>177</v>
      </c>
      <c r="C9759">
        <v>110.4</v>
      </c>
      <c r="D9759">
        <v>12</v>
      </c>
      <c r="E9759" s="80">
        <v>35724</v>
      </c>
    </row>
    <row r="9760" spans="1:5">
      <c r="A9760">
        <v>10711</v>
      </c>
      <c r="B9760" t="s">
        <v>178</v>
      </c>
      <c r="C9760">
        <v>110.4</v>
      </c>
      <c r="D9760">
        <v>12</v>
      </c>
      <c r="E9760" s="80">
        <v>35724</v>
      </c>
    </row>
    <row r="9761" spans="1:5">
      <c r="A9761">
        <v>10711</v>
      </c>
      <c r="B9761" t="s">
        <v>179</v>
      </c>
      <c r="C9761">
        <v>110.4</v>
      </c>
      <c r="D9761">
        <v>12</v>
      </c>
      <c r="E9761" s="80">
        <v>35724</v>
      </c>
    </row>
    <row r="9762" spans="1:5">
      <c r="A9762">
        <v>10711</v>
      </c>
      <c r="B9762" t="s">
        <v>172</v>
      </c>
      <c r="C9762">
        <v>405.3</v>
      </c>
      <c r="D9762">
        <v>42</v>
      </c>
      <c r="E9762" s="80">
        <v>35724</v>
      </c>
    </row>
    <row r="9763" spans="1:5">
      <c r="A9763">
        <v>10711</v>
      </c>
      <c r="B9763" t="s">
        <v>173</v>
      </c>
      <c r="C9763">
        <v>405.3</v>
      </c>
      <c r="D9763">
        <v>42</v>
      </c>
      <c r="E9763" s="80">
        <v>35724</v>
      </c>
    </row>
    <row r="9764" spans="1:5">
      <c r="A9764">
        <v>10711</v>
      </c>
      <c r="B9764" t="s">
        <v>174</v>
      </c>
      <c r="C9764">
        <v>405.3</v>
      </c>
      <c r="D9764">
        <v>42</v>
      </c>
      <c r="E9764" s="80">
        <v>35724</v>
      </c>
    </row>
    <row r="9765" spans="1:5">
      <c r="A9765">
        <v>10711</v>
      </c>
      <c r="B9765" t="s">
        <v>175</v>
      </c>
      <c r="C9765">
        <v>405.3</v>
      </c>
      <c r="D9765">
        <v>42</v>
      </c>
      <c r="E9765" s="80">
        <v>35724</v>
      </c>
    </row>
    <row r="9766" spans="1:5">
      <c r="A9766">
        <v>10711</v>
      </c>
      <c r="B9766" t="s">
        <v>176</v>
      </c>
      <c r="C9766">
        <v>405.3</v>
      </c>
      <c r="D9766">
        <v>42</v>
      </c>
      <c r="E9766" s="80">
        <v>35724</v>
      </c>
    </row>
    <row r="9767" spans="1:5">
      <c r="A9767">
        <v>10711</v>
      </c>
      <c r="B9767" t="s">
        <v>177</v>
      </c>
      <c r="C9767">
        <v>405.3</v>
      </c>
      <c r="D9767">
        <v>42</v>
      </c>
      <c r="E9767" s="80">
        <v>35724</v>
      </c>
    </row>
    <row r="9768" spans="1:5">
      <c r="A9768">
        <v>10711</v>
      </c>
      <c r="B9768" t="s">
        <v>178</v>
      </c>
      <c r="C9768">
        <v>405.3</v>
      </c>
      <c r="D9768">
        <v>42</v>
      </c>
      <c r="E9768" s="80">
        <v>35724</v>
      </c>
    </row>
    <row r="9769" spans="1:5">
      <c r="A9769">
        <v>10711</v>
      </c>
      <c r="B9769" t="s">
        <v>179</v>
      </c>
      <c r="C9769">
        <v>405.3</v>
      </c>
      <c r="D9769">
        <v>42</v>
      </c>
      <c r="E9769" s="80">
        <v>35724</v>
      </c>
    </row>
    <row r="9770" spans="1:5">
      <c r="A9770">
        <v>10711</v>
      </c>
      <c r="B9770" t="s">
        <v>172</v>
      </c>
      <c r="C9770">
        <v>3936</v>
      </c>
      <c r="D9770">
        <v>120</v>
      </c>
      <c r="E9770" s="80">
        <v>35724</v>
      </c>
    </row>
    <row r="9771" spans="1:5">
      <c r="A9771">
        <v>10711</v>
      </c>
      <c r="B9771" t="s">
        <v>173</v>
      </c>
      <c r="C9771">
        <v>3936</v>
      </c>
      <c r="D9771">
        <v>120</v>
      </c>
      <c r="E9771" s="80">
        <v>35724</v>
      </c>
    </row>
    <row r="9772" spans="1:5">
      <c r="A9772">
        <v>10711</v>
      </c>
      <c r="B9772" t="s">
        <v>174</v>
      </c>
      <c r="C9772">
        <v>3936</v>
      </c>
      <c r="D9772">
        <v>120</v>
      </c>
      <c r="E9772" s="80">
        <v>35724</v>
      </c>
    </row>
    <row r="9773" spans="1:5">
      <c r="A9773">
        <v>10711</v>
      </c>
      <c r="B9773" t="s">
        <v>175</v>
      </c>
      <c r="C9773">
        <v>3936</v>
      </c>
      <c r="D9773">
        <v>120</v>
      </c>
      <c r="E9773" s="80">
        <v>35724</v>
      </c>
    </row>
    <row r="9774" spans="1:5">
      <c r="A9774">
        <v>10711</v>
      </c>
      <c r="B9774" t="s">
        <v>176</v>
      </c>
      <c r="C9774">
        <v>3936</v>
      </c>
      <c r="D9774">
        <v>120</v>
      </c>
      <c r="E9774" s="80">
        <v>35724</v>
      </c>
    </row>
    <row r="9775" spans="1:5">
      <c r="A9775">
        <v>10711</v>
      </c>
      <c r="B9775" t="s">
        <v>177</v>
      </c>
      <c r="C9775">
        <v>3936</v>
      </c>
      <c r="D9775">
        <v>120</v>
      </c>
      <c r="E9775" s="80">
        <v>35724</v>
      </c>
    </row>
    <row r="9776" spans="1:5">
      <c r="A9776">
        <v>10711</v>
      </c>
      <c r="B9776" t="s">
        <v>178</v>
      </c>
      <c r="C9776">
        <v>3936</v>
      </c>
      <c r="D9776">
        <v>120</v>
      </c>
      <c r="E9776" s="80">
        <v>35724</v>
      </c>
    </row>
    <row r="9777" spans="1:5">
      <c r="A9777">
        <v>10711</v>
      </c>
      <c r="B9777" t="s">
        <v>179</v>
      </c>
      <c r="C9777">
        <v>3936</v>
      </c>
      <c r="D9777">
        <v>120</v>
      </c>
      <c r="E9777" s="80">
        <v>35724</v>
      </c>
    </row>
    <row r="9778" spans="1:5">
      <c r="A9778">
        <v>10712</v>
      </c>
      <c r="B9778" t="s">
        <v>172</v>
      </c>
      <c r="C9778">
        <v>93.47999992668629</v>
      </c>
      <c r="D9778">
        <v>3</v>
      </c>
      <c r="E9778" s="80">
        <v>35724</v>
      </c>
    </row>
    <row r="9779" spans="1:5">
      <c r="A9779">
        <v>10712</v>
      </c>
      <c r="B9779" t="s">
        <v>173</v>
      </c>
      <c r="C9779">
        <v>93.47999992668629</v>
      </c>
      <c r="D9779">
        <v>3</v>
      </c>
      <c r="E9779" s="80">
        <v>35724</v>
      </c>
    </row>
    <row r="9780" spans="1:5">
      <c r="A9780">
        <v>10712</v>
      </c>
      <c r="B9780" t="s">
        <v>174</v>
      </c>
      <c r="C9780">
        <v>93.47999992668629</v>
      </c>
      <c r="D9780">
        <v>3</v>
      </c>
      <c r="E9780" s="80">
        <v>35724</v>
      </c>
    </row>
    <row r="9781" spans="1:5">
      <c r="A9781">
        <v>10712</v>
      </c>
      <c r="B9781" t="s">
        <v>175</v>
      </c>
      <c r="C9781">
        <v>93.47999992668629</v>
      </c>
      <c r="D9781">
        <v>3</v>
      </c>
      <c r="E9781" s="80">
        <v>35724</v>
      </c>
    </row>
    <row r="9782" spans="1:5">
      <c r="A9782">
        <v>10712</v>
      </c>
      <c r="B9782" t="s">
        <v>176</v>
      </c>
      <c r="C9782">
        <v>93.47999992668629</v>
      </c>
      <c r="D9782">
        <v>3</v>
      </c>
      <c r="E9782" s="80">
        <v>35724</v>
      </c>
    </row>
    <row r="9783" spans="1:5">
      <c r="A9783">
        <v>10712</v>
      </c>
      <c r="B9783" t="s">
        <v>177</v>
      </c>
      <c r="C9783">
        <v>93.47999992668629</v>
      </c>
      <c r="D9783">
        <v>3</v>
      </c>
      <c r="E9783" s="80">
        <v>35724</v>
      </c>
    </row>
    <row r="9784" spans="1:5">
      <c r="A9784">
        <v>10712</v>
      </c>
      <c r="B9784" t="s">
        <v>178</v>
      </c>
      <c r="C9784">
        <v>93.47999992668629</v>
      </c>
      <c r="D9784">
        <v>3</v>
      </c>
      <c r="E9784" s="80">
        <v>35724</v>
      </c>
    </row>
    <row r="9785" spans="1:5">
      <c r="A9785">
        <v>10712</v>
      </c>
      <c r="B9785" t="s">
        <v>179</v>
      </c>
      <c r="C9785">
        <v>93.47999992668629</v>
      </c>
      <c r="D9785">
        <v>3</v>
      </c>
      <c r="E9785" s="80">
        <v>35724</v>
      </c>
    </row>
    <row r="9786" spans="1:5">
      <c r="A9786">
        <v>10712</v>
      </c>
      <c r="B9786" t="s">
        <v>172</v>
      </c>
      <c r="C9786">
        <v>1140</v>
      </c>
      <c r="D9786">
        <v>30</v>
      </c>
      <c r="E9786" s="80">
        <v>35724</v>
      </c>
    </row>
    <row r="9787" spans="1:5">
      <c r="A9787">
        <v>10712</v>
      </c>
      <c r="B9787" t="s">
        <v>173</v>
      </c>
      <c r="C9787">
        <v>1140</v>
      </c>
      <c r="D9787">
        <v>30</v>
      </c>
      <c r="E9787" s="80">
        <v>35724</v>
      </c>
    </row>
    <row r="9788" spans="1:5">
      <c r="A9788">
        <v>10712</v>
      </c>
      <c r="B9788" t="s">
        <v>174</v>
      </c>
      <c r="C9788">
        <v>1140</v>
      </c>
      <c r="D9788">
        <v>30</v>
      </c>
      <c r="E9788" s="80">
        <v>35724</v>
      </c>
    </row>
    <row r="9789" spans="1:5">
      <c r="A9789">
        <v>10712</v>
      </c>
      <c r="B9789" t="s">
        <v>175</v>
      </c>
      <c r="C9789">
        <v>1140</v>
      </c>
      <c r="D9789">
        <v>30</v>
      </c>
      <c r="E9789" s="80">
        <v>35724</v>
      </c>
    </row>
    <row r="9790" spans="1:5">
      <c r="A9790">
        <v>10712</v>
      </c>
      <c r="B9790" t="s">
        <v>176</v>
      </c>
      <c r="C9790">
        <v>1140</v>
      </c>
      <c r="D9790">
        <v>30</v>
      </c>
      <c r="E9790" s="80">
        <v>35724</v>
      </c>
    </row>
    <row r="9791" spans="1:5">
      <c r="A9791">
        <v>10712</v>
      </c>
      <c r="B9791" t="s">
        <v>177</v>
      </c>
      <c r="C9791">
        <v>1140</v>
      </c>
      <c r="D9791">
        <v>30</v>
      </c>
      <c r="E9791" s="80">
        <v>35724</v>
      </c>
    </row>
    <row r="9792" spans="1:5">
      <c r="A9792">
        <v>10712</v>
      </c>
      <c r="B9792" t="s">
        <v>178</v>
      </c>
      <c r="C9792">
        <v>1140</v>
      </c>
      <c r="D9792">
        <v>30</v>
      </c>
      <c r="E9792" s="80">
        <v>35724</v>
      </c>
    </row>
    <row r="9793" spans="1:5">
      <c r="A9793">
        <v>10712</v>
      </c>
      <c r="B9793" t="s">
        <v>179</v>
      </c>
      <c r="C9793">
        <v>1140</v>
      </c>
      <c r="D9793">
        <v>30</v>
      </c>
      <c r="E9793" s="80">
        <v>35724</v>
      </c>
    </row>
    <row r="9794" spans="1:5">
      <c r="A9794">
        <v>10713</v>
      </c>
      <c r="B9794" t="s">
        <v>172</v>
      </c>
      <c r="C9794">
        <v>558</v>
      </c>
      <c r="D9794">
        <v>18</v>
      </c>
      <c r="E9794" s="80">
        <v>35725</v>
      </c>
    </row>
    <row r="9795" spans="1:5">
      <c r="A9795">
        <v>10713</v>
      </c>
      <c r="B9795" t="s">
        <v>173</v>
      </c>
      <c r="C9795">
        <v>558</v>
      </c>
      <c r="D9795">
        <v>18</v>
      </c>
      <c r="E9795" s="80">
        <v>35725</v>
      </c>
    </row>
    <row r="9796" spans="1:5">
      <c r="A9796">
        <v>10713</v>
      </c>
      <c r="B9796" t="s">
        <v>174</v>
      </c>
      <c r="C9796">
        <v>558</v>
      </c>
      <c r="D9796">
        <v>18</v>
      </c>
      <c r="E9796" s="80">
        <v>35725</v>
      </c>
    </row>
    <row r="9797" spans="1:5">
      <c r="A9797">
        <v>10713</v>
      </c>
      <c r="B9797" t="s">
        <v>175</v>
      </c>
      <c r="C9797">
        <v>558</v>
      </c>
      <c r="D9797">
        <v>18</v>
      </c>
      <c r="E9797" s="80">
        <v>35725</v>
      </c>
    </row>
    <row r="9798" spans="1:5">
      <c r="A9798">
        <v>10713</v>
      </c>
      <c r="B9798" t="s">
        <v>176</v>
      </c>
      <c r="C9798">
        <v>558</v>
      </c>
      <c r="D9798">
        <v>18</v>
      </c>
      <c r="E9798" s="80">
        <v>35725</v>
      </c>
    </row>
    <row r="9799" spans="1:5">
      <c r="A9799">
        <v>10713</v>
      </c>
      <c r="B9799" t="s">
        <v>177</v>
      </c>
      <c r="C9799">
        <v>558</v>
      </c>
      <c r="D9799">
        <v>18</v>
      </c>
      <c r="E9799" s="80">
        <v>35725</v>
      </c>
    </row>
    <row r="9800" spans="1:5">
      <c r="A9800">
        <v>10713</v>
      </c>
      <c r="B9800" t="s">
        <v>178</v>
      </c>
      <c r="C9800">
        <v>558</v>
      </c>
      <c r="D9800">
        <v>18</v>
      </c>
      <c r="E9800" s="80">
        <v>35725</v>
      </c>
    </row>
    <row r="9801" spans="1:5">
      <c r="A9801">
        <v>10713</v>
      </c>
      <c r="B9801" t="s">
        <v>179</v>
      </c>
      <c r="C9801">
        <v>558</v>
      </c>
      <c r="D9801">
        <v>18</v>
      </c>
      <c r="E9801" s="80">
        <v>35725</v>
      </c>
    </row>
    <row r="9802" spans="1:5">
      <c r="A9802">
        <v>10713</v>
      </c>
      <c r="B9802" t="s">
        <v>172</v>
      </c>
      <c r="C9802">
        <v>936.9</v>
      </c>
      <c r="D9802">
        <v>30</v>
      </c>
      <c r="E9802" s="80">
        <v>35725</v>
      </c>
    </row>
    <row r="9803" spans="1:5">
      <c r="A9803">
        <v>10713</v>
      </c>
      <c r="B9803" t="s">
        <v>173</v>
      </c>
      <c r="C9803">
        <v>936.9</v>
      </c>
      <c r="D9803">
        <v>30</v>
      </c>
      <c r="E9803" s="80">
        <v>35725</v>
      </c>
    </row>
    <row r="9804" spans="1:5">
      <c r="A9804">
        <v>10713</v>
      </c>
      <c r="B9804" t="s">
        <v>174</v>
      </c>
      <c r="C9804">
        <v>936.9</v>
      </c>
      <c r="D9804">
        <v>30</v>
      </c>
      <c r="E9804" s="80">
        <v>35725</v>
      </c>
    </row>
    <row r="9805" spans="1:5">
      <c r="A9805">
        <v>10713</v>
      </c>
      <c r="B9805" t="s">
        <v>175</v>
      </c>
      <c r="C9805">
        <v>936.9</v>
      </c>
      <c r="D9805">
        <v>30</v>
      </c>
      <c r="E9805" s="80">
        <v>35725</v>
      </c>
    </row>
    <row r="9806" spans="1:5">
      <c r="A9806">
        <v>10713</v>
      </c>
      <c r="B9806" t="s">
        <v>176</v>
      </c>
      <c r="C9806">
        <v>936.9</v>
      </c>
      <c r="D9806">
        <v>30</v>
      </c>
      <c r="E9806" s="80">
        <v>35725</v>
      </c>
    </row>
    <row r="9807" spans="1:5">
      <c r="A9807">
        <v>10713</v>
      </c>
      <c r="B9807" t="s">
        <v>177</v>
      </c>
      <c r="C9807">
        <v>936.9</v>
      </c>
      <c r="D9807">
        <v>30</v>
      </c>
      <c r="E9807" s="80">
        <v>35725</v>
      </c>
    </row>
    <row r="9808" spans="1:5">
      <c r="A9808">
        <v>10713</v>
      </c>
      <c r="B9808" t="s">
        <v>178</v>
      </c>
      <c r="C9808">
        <v>936.9</v>
      </c>
      <c r="D9808">
        <v>30</v>
      </c>
      <c r="E9808" s="80">
        <v>35725</v>
      </c>
    </row>
    <row r="9809" spans="1:5">
      <c r="A9809">
        <v>10713</v>
      </c>
      <c r="B9809" t="s">
        <v>179</v>
      </c>
      <c r="C9809">
        <v>936.9</v>
      </c>
      <c r="D9809">
        <v>30</v>
      </c>
      <c r="E9809" s="80">
        <v>35725</v>
      </c>
    </row>
    <row r="9810" spans="1:5">
      <c r="A9810">
        <v>10713</v>
      </c>
      <c r="B9810" t="s">
        <v>172</v>
      </c>
      <c r="C9810">
        <v>1045</v>
      </c>
      <c r="D9810">
        <v>110</v>
      </c>
      <c r="E9810" s="80">
        <v>35725</v>
      </c>
    </row>
    <row r="9811" spans="1:5">
      <c r="A9811">
        <v>10713</v>
      </c>
      <c r="B9811" t="s">
        <v>173</v>
      </c>
      <c r="C9811">
        <v>1045</v>
      </c>
      <c r="D9811">
        <v>110</v>
      </c>
      <c r="E9811" s="80">
        <v>35725</v>
      </c>
    </row>
    <row r="9812" spans="1:5">
      <c r="A9812">
        <v>10713</v>
      </c>
      <c r="B9812" t="s">
        <v>174</v>
      </c>
      <c r="C9812">
        <v>1045</v>
      </c>
      <c r="D9812">
        <v>110</v>
      </c>
      <c r="E9812" s="80">
        <v>35725</v>
      </c>
    </row>
    <row r="9813" spans="1:5">
      <c r="A9813">
        <v>10713</v>
      </c>
      <c r="B9813" t="s">
        <v>175</v>
      </c>
      <c r="C9813">
        <v>1045</v>
      </c>
      <c r="D9813">
        <v>110</v>
      </c>
      <c r="E9813" s="80">
        <v>35725</v>
      </c>
    </row>
    <row r="9814" spans="1:5">
      <c r="A9814">
        <v>10713</v>
      </c>
      <c r="B9814" t="s">
        <v>176</v>
      </c>
      <c r="C9814">
        <v>1045</v>
      </c>
      <c r="D9814">
        <v>110</v>
      </c>
      <c r="E9814" s="80">
        <v>35725</v>
      </c>
    </row>
    <row r="9815" spans="1:5">
      <c r="A9815">
        <v>10713</v>
      </c>
      <c r="B9815" t="s">
        <v>177</v>
      </c>
      <c r="C9815">
        <v>1045</v>
      </c>
      <c r="D9815">
        <v>110</v>
      </c>
      <c r="E9815" s="80">
        <v>35725</v>
      </c>
    </row>
    <row r="9816" spans="1:5">
      <c r="A9816">
        <v>10713</v>
      </c>
      <c r="B9816" t="s">
        <v>178</v>
      </c>
      <c r="C9816">
        <v>1045</v>
      </c>
      <c r="D9816">
        <v>110</v>
      </c>
      <c r="E9816" s="80">
        <v>35725</v>
      </c>
    </row>
    <row r="9817" spans="1:5">
      <c r="A9817">
        <v>10713</v>
      </c>
      <c r="B9817" t="s">
        <v>179</v>
      </c>
      <c r="C9817">
        <v>1045</v>
      </c>
      <c r="D9817">
        <v>110</v>
      </c>
      <c r="E9817" s="80">
        <v>35725</v>
      </c>
    </row>
    <row r="9818" spans="1:5">
      <c r="A9818">
        <v>10713</v>
      </c>
      <c r="B9818" t="s">
        <v>172</v>
      </c>
      <c r="C9818">
        <v>288</v>
      </c>
      <c r="D9818">
        <v>24</v>
      </c>
      <c r="E9818" s="80">
        <v>35725</v>
      </c>
    </row>
    <row r="9819" spans="1:5">
      <c r="A9819">
        <v>10713</v>
      </c>
      <c r="B9819" t="s">
        <v>173</v>
      </c>
      <c r="C9819">
        <v>288</v>
      </c>
      <c r="D9819">
        <v>24</v>
      </c>
      <c r="E9819" s="80">
        <v>35725</v>
      </c>
    </row>
    <row r="9820" spans="1:5">
      <c r="A9820">
        <v>10713</v>
      </c>
      <c r="B9820" t="s">
        <v>174</v>
      </c>
      <c r="C9820">
        <v>288</v>
      </c>
      <c r="D9820">
        <v>24</v>
      </c>
      <c r="E9820" s="80">
        <v>35725</v>
      </c>
    </row>
    <row r="9821" spans="1:5">
      <c r="A9821">
        <v>10713</v>
      </c>
      <c r="B9821" t="s">
        <v>175</v>
      </c>
      <c r="C9821">
        <v>288</v>
      </c>
      <c r="D9821">
        <v>24</v>
      </c>
      <c r="E9821" s="80">
        <v>35725</v>
      </c>
    </row>
    <row r="9822" spans="1:5">
      <c r="A9822">
        <v>10713</v>
      </c>
      <c r="B9822" t="s">
        <v>176</v>
      </c>
      <c r="C9822">
        <v>288</v>
      </c>
      <c r="D9822">
        <v>24</v>
      </c>
      <c r="E9822" s="80">
        <v>35725</v>
      </c>
    </row>
    <row r="9823" spans="1:5">
      <c r="A9823">
        <v>10713</v>
      </c>
      <c r="B9823" t="s">
        <v>177</v>
      </c>
      <c r="C9823">
        <v>288</v>
      </c>
      <c r="D9823">
        <v>24</v>
      </c>
      <c r="E9823" s="80">
        <v>35725</v>
      </c>
    </row>
    <row r="9824" spans="1:5">
      <c r="A9824">
        <v>10713</v>
      </c>
      <c r="B9824" t="s">
        <v>178</v>
      </c>
      <c r="C9824">
        <v>288</v>
      </c>
      <c r="D9824">
        <v>24</v>
      </c>
      <c r="E9824" s="80">
        <v>35725</v>
      </c>
    </row>
    <row r="9825" spans="1:5">
      <c r="A9825">
        <v>10713</v>
      </c>
      <c r="B9825" t="s">
        <v>179</v>
      </c>
      <c r="C9825">
        <v>288</v>
      </c>
      <c r="D9825">
        <v>24</v>
      </c>
      <c r="E9825" s="80">
        <v>35725</v>
      </c>
    </row>
    <row r="9826" spans="1:5">
      <c r="A9826">
        <v>10714</v>
      </c>
      <c r="B9826" t="s">
        <v>172</v>
      </c>
      <c r="C9826">
        <v>427.5</v>
      </c>
      <c r="D9826">
        <v>30</v>
      </c>
      <c r="E9826" s="80">
        <v>35725</v>
      </c>
    </row>
    <row r="9827" spans="1:5">
      <c r="A9827">
        <v>10714</v>
      </c>
      <c r="B9827" t="s">
        <v>173</v>
      </c>
      <c r="C9827">
        <v>427.5</v>
      </c>
      <c r="D9827">
        <v>30</v>
      </c>
      <c r="E9827" s="80">
        <v>35725</v>
      </c>
    </row>
    <row r="9828" spans="1:5">
      <c r="A9828">
        <v>10714</v>
      </c>
      <c r="B9828" t="s">
        <v>174</v>
      </c>
      <c r="C9828">
        <v>427.5</v>
      </c>
      <c r="D9828">
        <v>30</v>
      </c>
      <c r="E9828" s="80">
        <v>35725</v>
      </c>
    </row>
    <row r="9829" spans="1:5">
      <c r="A9829">
        <v>10714</v>
      </c>
      <c r="B9829" t="s">
        <v>175</v>
      </c>
      <c r="C9829">
        <v>427.5</v>
      </c>
      <c r="D9829">
        <v>30</v>
      </c>
      <c r="E9829" s="80">
        <v>35725</v>
      </c>
    </row>
    <row r="9830" spans="1:5">
      <c r="A9830">
        <v>10714</v>
      </c>
      <c r="B9830" t="s">
        <v>176</v>
      </c>
      <c r="C9830">
        <v>427.5</v>
      </c>
      <c r="D9830">
        <v>30</v>
      </c>
      <c r="E9830" s="80">
        <v>35725</v>
      </c>
    </row>
    <row r="9831" spans="1:5">
      <c r="A9831">
        <v>10714</v>
      </c>
      <c r="B9831" t="s">
        <v>177</v>
      </c>
      <c r="C9831">
        <v>427.5</v>
      </c>
      <c r="D9831">
        <v>30</v>
      </c>
      <c r="E9831" s="80">
        <v>35725</v>
      </c>
    </row>
    <row r="9832" spans="1:5">
      <c r="A9832">
        <v>10714</v>
      </c>
      <c r="B9832" t="s">
        <v>178</v>
      </c>
      <c r="C9832">
        <v>427.5</v>
      </c>
      <c r="D9832">
        <v>30</v>
      </c>
      <c r="E9832" s="80">
        <v>35725</v>
      </c>
    </row>
    <row r="9833" spans="1:5">
      <c r="A9833">
        <v>10714</v>
      </c>
      <c r="B9833" t="s">
        <v>179</v>
      </c>
      <c r="C9833">
        <v>427.5</v>
      </c>
      <c r="D9833">
        <v>30</v>
      </c>
      <c r="E9833" s="80">
        <v>35725</v>
      </c>
    </row>
    <row r="9834" spans="1:5">
      <c r="A9834">
        <v>10714</v>
      </c>
      <c r="B9834" t="s">
        <v>172</v>
      </c>
      <c r="C9834">
        <v>789.75</v>
      </c>
      <c r="D9834">
        <v>27</v>
      </c>
      <c r="E9834" s="80">
        <v>35725</v>
      </c>
    </row>
    <row r="9835" spans="1:5">
      <c r="A9835">
        <v>10714</v>
      </c>
      <c r="B9835" t="s">
        <v>173</v>
      </c>
      <c r="C9835">
        <v>789.75</v>
      </c>
      <c r="D9835">
        <v>27</v>
      </c>
      <c r="E9835" s="80">
        <v>35725</v>
      </c>
    </row>
    <row r="9836" spans="1:5">
      <c r="A9836">
        <v>10714</v>
      </c>
      <c r="B9836" t="s">
        <v>174</v>
      </c>
      <c r="C9836">
        <v>789.75</v>
      </c>
      <c r="D9836">
        <v>27</v>
      </c>
      <c r="E9836" s="80">
        <v>35725</v>
      </c>
    </row>
    <row r="9837" spans="1:5">
      <c r="A9837">
        <v>10714</v>
      </c>
      <c r="B9837" t="s">
        <v>175</v>
      </c>
      <c r="C9837">
        <v>789.75</v>
      </c>
      <c r="D9837">
        <v>27</v>
      </c>
      <c r="E9837" s="80">
        <v>35725</v>
      </c>
    </row>
    <row r="9838" spans="1:5">
      <c r="A9838">
        <v>10714</v>
      </c>
      <c r="B9838" t="s">
        <v>176</v>
      </c>
      <c r="C9838">
        <v>789.75</v>
      </c>
      <c r="D9838">
        <v>27</v>
      </c>
      <c r="E9838" s="80">
        <v>35725</v>
      </c>
    </row>
    <row r="9839" spans="1:5">
      <c r="A9839">
        <v>10714</v>
      </c>
      <c r="B9839" t="s">
        <v>177</v>
      </c>
      <c r="C9839">
        <v>789.75</v>
      </c>
      <c r="D9839">
        <v>27</v>
      </c>
      <c r="E9839" s="80">
        <v>35725</v>
      </c>
    </row>
    <row r="9840" spans="1:5">
      <c r="A9840">
        <v>10714</v>
      </c>
      <c r="B9840" t="s">
        <v>178</v>
      </c>
      <c r="C9840">
        <v>789.75</v>
      </c>
      <c r="D9840">
        <v>27</v>
      </c>
      <c r="E9840" s="80">
        <v>35725</v>
      </c>
    </row>
    <row r="9841" spans="1:5">
      <c r="A9841">
        <v>10714</v>
      </c>
      <c r="B9841" t="s">
        <v>179</v>
      </c>
      <c r="C9841">
        <v>789.75</v>
      </c>
      <c r="D9841">
        <v>27</v>
      </c>
      <c r="E9841" s="80">
        <v>35725</v>
      </c>
    </row>
    <row r="9842" spans="1:5">
      <c r="A9842">
        <v>10714</v>
      </c>
      <c r="B9842" t="s">
        <v>172</v>
      </c>
      <c r="C9842">
        <v>356.25</v>
      </c>
      <c r="D9842">
        <v>50</v>
      </c>
      <c r="E9842" s="80">
        <v>35725</v>
      </c>
    </row>
    <row r="9843" spans="1:5">
      <c r="A9843">
        <v>10714</v>
      </c>
      <c r="B9843" t="s">
        <v>173</v>
      </c>
      <c r="C9843">
        <v>356.25</v>
      </c>
      <c r="D9843">
        <v>50</v>
      </c>
      <c r="E9843" s="80">
        <v>35725</v>
      </c>
    </row>
    <row r="9844" spans="1:5">
      <c r="A9844">
        <v>10714</v>
      </c>
      <c r="B9844" t="s">
        <v>174</v>
      </c>
      <c r="C9844">
        <v>356.25</v>
      </c>
      <c r="D9844">
        <v>50</v>
      </c>
      <c r="E9844" s="80">
        <v>35725</v>
      </c>
    </row>
    <row r="9845" spans="1:5">
      <c r="A9845">
        <v>10714</v>
      </c>
      <c r="B9845" t="s">
        <v>175</v>
      </c>
      <c r="C9845">
        <v>356.25</v>
      </c>
      <c r="D9845">
        <v>50</v>
      </c>
      <c r="E9845" s="80">
        <v>35725</v>
      </c>
    </row>
    <row r="9846" spans="1:5">
      <c r="A9846">
        <v>10714</v>
      </c>
      <c r="B9846" t="s">
        <v>176</v>
      </c>
      <c r="C9846">
        <v>356.25</v>
      </c>
      <c r="D9846">
        <v>50</v>
      </c>
      <c r="E9846" s="80">
        <v>35725</v>
      </c>
    </row>
    <row r="9847" spans="1:5">
      <c r="A9847">
        <v>10714</v>
      </c>
      <c r="B9847" t="s">
        <v>177</v>
      </c>
      <c r="C9847">
        <v>356.25</v>
      </c>
      <c r="D9847">
        <v>50</v>
      </c>
      <c r="E9847" s="80">
        <v>35725</v>
      </c>
    </row>
    <row r="9848" spans="1:5">
      <c r="A9848">
        <v>10714</v>
      </c>
      <c r="B9848" t="s">
        <v>178</v>
      </c>
      <c r="C9848">
        <v>356.25</v>
      </c>
      <c r="D9848">
        <v>50</v>
      </c>
      <c r="E9848" s="80">
        <v>35725</v>
      </c>
    </row>
    <row r="9849" spans="1:5">
      <c r="A9849">
        <v>10714</v>
      </c>
      <c r="B9849" t="s">
        <v>179</v>
      </c>
      <c r="C9849">
        <v>356.25</v>
      </c>
      <c r="D9849">
        <v>50</v>
      </c>
      <c r="E9849" s="80">
        <v>35725</v>
      </c>
    </row>
    <row r="9850" spans="1:5">
      <c r="A9850">
        <v>10714</v>
      </c>
      <c r="B9850" t="s">
        <v>172</v>
      </c>
      <c r="C9850">
        <v>513</v>
      </c>
      <c r="D9850">
        <v>18</v>
      </c>
      <c r="E9850" s="80">
        <v>35725</v>
      </c>
    </row>
    <row r="9851" spans="1:5">
      <c r="A9851">
        <v>10714</v>
      </c>
      <c r="B9851" t="s">
        <v>173</v>
      </c>
      <c r="C9851">
        <v>513</v>
      </c>
      <c r="D9851">
        <v>18</v>
      </c>
      <c r="E9851" s="80">
        <v>35725</v>
      </c>
    </row>
    <row r="9852" spans="1:5">
      <c r="A9852">
        <v>10714</v>
      </c>
      <c r="B9852" t="s">
        <v>174</v>
      </c>
      <c r="C9852">
        <v>513</v>
      </c>
      <c r="D9852">
        <v>18</v>
      </c>
      <c r="E9852" s="80">
        <v>35725</v>
      </c>
    </row>
    <row r="9853" spans="1:5">
      <c r="A9853">
        <v>10714</v>
      </c>
      <c r="B9853" t="s">
        <v>175</v>
      </c>
      <c r="C9853">
        <v>513</v>
      </c>
      <c r="D9853">
        <v>18</v>
      </c>
      <c r="E9853" s="80">
        <v>35725</v>
      </c>
    </row>
    <row r="9854" spans="1:5">
      <c r="A9854">
        <v>10714</v>
      </c>
      <c r="B9854" t="s">
        <v>176</v>
      </c>
      <c r="C9854">
        <v>513</v>
      </c>
      <c r="D9854">
        <v>18</v>
      </c>
      <c r="E9854" s="80">
        <v>35725</v>
      </c>
    </row>
    <row r="9855" spans="1:5">
      <c r="A9855">
        <v>10714</v>
      </c>
      <c r="B9855" t="s">
        <v>177</v>
      </c>
      <c r="C9855">
        <v>513</v>
      </c>
      <c r="D9855">
        <v>18</v>
      </c>
      <c r="E9855" s="80">
        <v>35725</v>
      </c>
    </row>
    <row r="9856" spans="1:5">
      <c r="A9856">
        <v>10714</v>
      </c>
      <c r="B9856" t="s">
        <v>178</v>
      </c>
      <c r="C9856">
        <v>513</v>
      </c>
      <c r="D9856">
        <v>18</v>
      </c>
      <c r="E9856" s="80">
        <v>35725</v>
      </c>
    </row>
    <row r="9857" spans="1:5">
      <c r="A9857">
        <v>10714</v>
      </c>
      <c r="B9857" t="s">
        <v>179</v>
      </c>
      <c r="C9857">
        <v>513</v>
      </c>
      <c r="D9857">
        <v>18</v>
      </c>
      <c r="E9857" s="80">
        <v>35725</v>
      </c>
    </row>
    <row r="9858" spans="1:5">
      <c r="A9858">
        <v>10714</v>
      </c>
      <c r="B9858" t="s">
        <v>172</v>
      </c>
      <c r="C9858">
        <v>119.25</v>
      </c>
      <c r="D9858">
        <v>12</v>
      </c>
      <c r="E9858" s="80">
        <v>35725</v>
      </c>
    </row>
    <row r="9859" spans="1:5">
      <c r="A9859">
        <v>10714</v>
      </c>
      <c r="B9859" t="s">
        <v>173</v>
      </c>
      <c r="C9859">
        <v>119.25</v>
      </c>
      <c r="D9859">
        <v>12</v>
      </c>
      <c r="E9859" s="80">
        <v>35725</v>
      </c>
    </row>
    <row r="9860" spans="1:5">
      <c r="A9860">
        <v>10714</v>
      </c>
      <c r="B9860" t="s">
        <v>174</v>
      </c>
      <c r="C9860">
        <v>119.25</v>
      </c>
      <c r="D9860">
        <v>12</v>
      </c>
      <c r="E9860" s="80">
        <v>35725</v>
      </c>
    </row>
    <row r="9861" spans="1:5">
      <c r="A9861">
        <v>10714</v>
      </c>
      <c r="B9861" t="s">
        <v>175</v>
      </c>
      <c r="C9861">
        <v>119.25</v>
      </c>
      <c r="D9861">
        <v>12</v>
      </c>
      <c r="E9861" s="80">
        <v>35725</v>
      </c>
    </row>
    <row r="9862" spans="1:5">
      <c r="A9862">
        <v>10714</v>
      </c>
      <c r="B9862" t="s">
        <v>176</v>
      </c>
      <c r="C9862">
        <v>119.25</v>
      </c>
      <c r="D9862">
        <v>12</v>
      </c>
      <c r="E9862" s="80">
        <v>35725</v>
      </c>
    </row>
    <row r="9863" spans="1:5">
      <c r="A9863">
        <v>10714</v>
      </c>
      <c r="B9863" t="s">
        <v>177</v>
      </c>
      <c r="C9863">
        <v>119.25</v>
      </c>
      <c r="D9863">
        <v>12</v>
      </c>
      <c r="E9863" s="80">
        <v>35725</v>
      </c>
    </row>
    <row r="9864" spans="1:5">
      <c r="A9864">
        <v>10714</v>
      </c>
      <c r="B9864" t="s">
        <v>178</v>
      </c>
      <c r="C9864">
        <v>119.25</v>
      </c>
      <c r="D9864">
        <v>12</v>
      </c>
      <c r="E9864" s="80">
        <v>35725</v>
      </c>
    </row>
    <row r="9865" spans="1:5">
      <c r="A9865">
        <v>10714</v>
      </c>
      <c r="B9865" t="s">
        <v>179</v>
      </c>
      <c r="C9865">
        <v>119.25</v>
      </c>
      <c r="D9865">
        <v>12</v>
      </c>
      <c r="E9865" s="80">
        <v>35725</v>
      </c>
    </row>
    <row r="9866" spans="1:5">
      <c r="A9866">
        <v>10715</v>
      </c>
      <c r="B9866" t="s">
        <v>172</v>
      </c>
      <c r="C9866">
        <v>651</v>
      </c>
      <c r="D9866">
        <v>21</v>
      </c>
      <c r="E9866" s="80">
        <v>35726</v>
      </c>
    </row>
    <row r="9867" spans="1:5">
      <c r="A9867">
        <v>10715</v>
      </c>
      <c r="B9867" t="s">
        <v>173</v>
      </c>
      <c r="C9867">
        <v>651</v>
      </c>
      <c r="D9867">
        <v>21</v>
      </c>
      <c r="E9867" s="80">
        <v>35726</v>
      </c>
    </row>
    <row r="9868" spans="1:5">
      <c r="A9868">
        <v>10715</v>
      </c>
      <c r="B9868" t="s">
        <v>174</v>
      </c>
      <c r="C9868">
        <v>651</v>
      </c>
      <c r="D9868">
        <v>21</v>
      </c>
      <c r="E9868" s="80">
        <v>35726</v>
      </c>
    </row>
    <row r="9869" spans="1:5">
      <c r="A9869">
        <v>10715</v>
      </c>
      <c r="B9869" t="s">
        <v>175</v>
      </c>
      <c r="C9869">
        <v>651</v>
      </c>
      <c r="D9869">
        <v>21</v>
      </c>
      <c r="E9869" s="80">
        <v>35726</v>
      </c>
    </row>
    <row r="9870" spans="1:5">
      <c r="A9870">
        <v>10715</v>
      </c>
      <c r="B9870" t="s">
        <v>176</v>
      </c>
      <c r="C9870">
        <v>651</v>
      </c>
      <c r="D9870">
        <v>21</v>
      </c>
      <c r="E9870" s="80">
        <v>35726</v>
      </c>
    </row>
    <row r="9871" spans="1:5">
      <c r="A9871">
        <v>10715</v>
      </c>
      <c r="B9871" t="s">
        <v>177</v>
      </c>
      <c r="C9871">
        <v>651</v>
      </c>
      <c r="D9871">
        <v>21</v>
      </c>
      <c r="E9871" s="80">
        <v>35726</v>
      </c>
    </row>
    <row r="9872" spans="1:5">
      <c r="A9872">
        <v>10715</v>
      </c>
      <c r="B9872" t="s">
        <v>178</v>
      </c>
      <c r="C9872">
        <v>651</v>
      </c>
      <c r="D9872">
        <v>21</v>
      </c>
      <c r="E9872" s="80">
        <v>35726</v>
      </c>
    </row>
    <row r="9873" spans="1:5">
      <c r="A9873">
        <v>10715</v>
      </c>
      <c r="B9873" t="s">
        <v>179</v>
      </c>
      <c r="C9873">
        <v>651</v>
      </c>
      <c r="D9873">
        <v>21</v>
      </c>
      <c r="E9873" s="80">
        <v>35726</v>
      </c>
    </row>
    <row r="9874" spans="1:5">
      <c r="A9874">
        <v>10715</v>
      </c>
      <c r="B9874" t="s">
        <v>172</v>
      </c>
      <c r="C9874">
        <v>645</v>
      </c>
      <c r="D9874">
        <v>30</v>
      </c>
      <c r="E9874" s="80">
        <v>35726</v>
      </c>
    </row>
    <row r="9875" spans="1:5">
      <c r="A9875">
        <v>10715</v>
      </c>
      <c r="B9875" t="s">
        <v>173</v>
      </c>
      <c r="C9875">
        <v>645</v>
      </c>
      <c r="D9875">
        <v>30</v>
      </c>
      <c r="E9875" s="80">
        <v>35726</v>
      </c>
    </row>
    <row r="9876" spans="1:5">
      <c r="A9876">
        <v>10715</v>
      </c>
      <c r="B9876" t="s">
        <v>174</v>
      </c>
      <c r="C9876">
        <v>645</v>
      </c>
      <c r="D9876">
        <v>30</v>
      </c>
      <c r="E9876" s="80">
        <v>35726</v>
      </c>
    </row>
    <row r="9877" spans="1:5">
      <c r="A9877">
        <v>10715</v>
      </c>
      <c r="B9877" t="s">
        <v>175</v>
      </c>
      <c r="C9877">
        <v>645</v>
      </c>
      <c r="D9877">
        <v>30</v>
      </c>
      <c r="E9877" s="80">
        <v>35726</v>
      </c>
    </row>
    <row r="9878" spans="1:5">
      <c r="A9878">
        <v>10715</v>
      </c>
      <c r="B9878" t="s">
        <v>176</v>
      </c>
      <c r="C9878">
        <v>645</v>
      </c>
      <c r="D9878">
        <v>30</v>
      </c>
      <c r="E9878" s="80">
        <v>35726</v>
      </c>
    </row>
    <row r="9879" spans="1:5">
      <c r="A9879">
        <v>10715</v>
      </c>
      <c r="B9879" t="s">
        <v>177</v>
      </c>
      <c r="C9879">
        <v>645</v>
      </c>
      <c r="D9879">
        <v>30</v>
      </c>
      <c r="E9879" s="80">
        <v>35726</v>
      </c>
    </row>
    <row r="9880" spans="1:5">
      <c r="A9880">
        <v>10715</v>
      </c>
      <c r="B9880" t="s">
        <v>178</v>
      </c>
      <c r="C9880">
        <v>645</v>
      </c>
      <c r="D9880">
        <v>30</v>
      </c>
      <c r="E9880" s="80">
        <v>35726</v>
      </c>
    </row>
    <row r="9881" spans="1:5">
      <c r="A9881">
        <v>10715</v>
      </c>
      <c r="B9881" t="s">
        <v>179</v>
      </c>
      <c r="C9881">
        <v>645</v>
      </c>
      <c r="D9881">
        <v>30</v>
      </c>
      <c r="E9881" s="80">
        <v>35726</v>
      </c>
    </row>
    <row r="9882" spans="1:5">
      <c r="A9882">
        <v>10716</v>
      </c>
      <c r="B9882" t="s">
        <v>172</v>
      </c>
      <c r="C9882">
        <v>50</v>
      </c>
      <c r="D9882">
        <v>5</v>
      </c>
      <c r="E9882" s="80">
        <v>35727</v>
      </c>
    </row>
    <row r="9883" spans="1:5">
      <c r="A9883">
        <v>10716</v>
      </c>
      <c r="B9883" t="s">
        <v>173</v>
      </c>
      <c r="C9883">
        <v>50</v>
      </c>
      <c r="D9883">
        <v>5</v>
      </c>
      <c r="E9883" s="80">
        <v>35727</v>
      </c>
    </row>
    <row r="9884" spans="1:5">
      <c r="A9884">
        <v>10716</v>
      </c>
      <c r="B9884" t="s">
        <v>174</v>
      </c>
      <c r="C9884">
        <v>50</v>
      </c>
      <c r="D9884">
        <v>5</v>
      </c>
      <c r="E9884" s="80">
        <v>35727</v>
      </c>
    </row>
    <row r="9885" spans="1:5">
      <c r="A9885">
        <v>10716</v>
      </c>
      <c r="B9885" t="s">
        <v>175</v>
      </c>
      <c r="C9885">
        <v>50</v>
      </c>
      <c r="D9885">
        <v>5</v>
      </c>
      <c r="E9885" s="80">
        <v>35727</v>
      </c>
    </row>
    <row r="9886" spans="1:5">
      <c r="A9886">
        <v>10716</v>
      </c>
      <c r="B9886" t="s">
        <v>176</v>
      </c>
      <c r="C9886">
        <v>50</v>
      </c>
      <c r="D9886">
        <v>5</v>
      </c>
      <c r="E9886" s="80">
        <v>35727</v>
      </c>
    </row>
    <row r="9887" spans="1:5">
      <c r="A9887">
        <v>10716</v>
      </c>
      <c r="B9887" t="s">
        <v>177</v>
      </c>
      <c r="C9887">
        <v>50</v>
      </c>
      <c r="D9887">
        <v>5</v>
      </c>
      <c r="E9887" s="80">
        <v>35727</v>
      </c>
    </row>
    <row r="9888" spans="1:5">
      <c r="A9888">
        <v>10716</v>
      </c>
      <c r="B9888" t="s">
        <v>178</v>
      </c>
      <c r="C9888">
        <v>50</v>
      </c>
      <c r="D9888">
        <v>5</v>
      </c>
      <c r="E9888" s="80">
        <v>35727</v>
      </c>
    </row>
    <row r="9889" spans="1:5">
      <c r="A9889">
        <v>10716</v>
      </c>
      <c r="B9889" t="s">
        <v>179</v>
      </c>
      <c r="C9889">
        <v>50</v>
      </c>
      <c r="D9889">
        <v>5</v>
      </c>
      <c r="E9889" s="80">
        <v>35727</v>
      </c>
    </row>
    <row r="9890" spans="1:5">
      <c r="A9890">
        <v>10716</v>
      </c>
      <c r="B9890" t="s">
        <v>172</v>
      </c>
      <c r="C9890">
        <v>371</v>
      </c>
      <c r="D9890">
        <v>7</v>
      </c>
      <c r="E9890" s="80">
        <v>35727</v>
      </c>
    </row>
    <row r="9891" spans="1:5">
      <c r="A9891">
        <v>10716</v>
      </c>
      <c r="B9891" t="s">
        <v>173</v>
      </c>
      <c r="C9891">
        <v>371</v>
      </c>
      <c r="D9891">
        <v>7</v>
      </c>
      <c r="E9891" s="80">
        <v>35727</v>
      </c>
    </row>
    <row r="9892" spans="1:5">
      <c r="A9892">
        <v>10716</v>
      </c>
      <c r="B9892" t="s">
        <v>174</v>
      </c>
      <c r="C9892">
        <v>371</v>
      </c>
      <c r="D9892">
        <v>7</v>
      </c>
      <c r="E9892" s="80">
        <v>35727</v>
      </c>
    </row>
    <row r="9893" spans="1:5">
      <c r="A9893">
        <v>10716</v>
      </c>
      <c r="B9893" t="s">
        <v>175</v>
      </c>
      <c r="C9893">
        <v>371</v>
      </c>
      <c r="D9893">
        <v>7</v>
      </c>
      <c r="E9893" s="80">
        <v>35727</v>
      </c>
    </row>
    <row r="9894" spans="1:5">
      <c r="A9894">
        <v>10716</v>
      </c>
      <c r="B9894" t="s">
        <v>176</v>
      </c>
      <c r="C9894">
        <v>371</v>
      </c>
      <c r="D9894">
        <v>7</v>
      </c>
      <c r="E9894" s="80">
        <v>35727</v>
      </c>
    </row>
    <row r="9895" spans="1:5">
      <c r="A9895">
        <v>10716</v>
      </c>
      <c r="B9895" t="s">
        <v>177</v>
      </c>
      <c r="C9895">
        <v>371</v>
      </c>
      <c r="D9895">
        <v>7</v>
      </c>
      <c r="E9895" s="80">
        <v>35727</v>
      </c>
    </row>
    <row r="9896" spans="1:5">
      <c r="A9896">
        <v>10716</v>
      </c>
      <c r="B9896" t="s">
        <v>178</v>
      </c>
      <c r="C9896">
        <v>371</v>
      </c>
      <c r="D9896">
        <v>7</v>
      </c>
      <c r="E9896" s="80">
        <v>35727</v>
      </c>
    </row>
    <row r="9897" spans="1:5">
      <c r="A9897">
        <v>10716</v>
      </c>
      <c r="B9897" t="s">
        <v>179</v>
      </c>
      <c r="C9897">
        <v>371</v>
      </c>
      <c r="D9897">
        <v>7</v>
      </c>
      <c r="E9897" s="80">
        <v>35727</v>
      </c>
    </row>
    <row r="9898" spans="1:5">
      <c r="A9898">
        <v>10716</v>
      </c>
      <c r="B9898" t="s">
        <v>172</v>
      </c>
      <c r="C9898">
        <v>285</v>
      </c>
      <c r="D9898">
        <v>10</v>
      </c>
      <c r="E9898" s="80">
        <v>35727</v>
      </c>
    </row>
    <row r="9899" spans="1:5">
      <c r="A9899">
        <v>10716</v>
      </c>
      <c r="B9899" t="s">
        <v>173</v>
      </c>
      <c r="C9899">
        <v>285</v>
      </c>
      <c r="D9899">
        <v>10</v>
      </c>
      <c r="E9899" s="80">
        <v>35727</v>
      </c>
    </row>
    <row r="9900" spans="1:5">
      <c r="A9900">
        <v>10716</v>
      </c>
      <c r="B9900" t="s">
        <v>174</v>
      </c>
      <c r="C9900">
        <v>285</v>
      </c>
      <c r="D9900">
        <v>10</v>
      </c>
      <c r="E9900" s="80">
        <v>35727</v>
      </c>
    </row>
    <row r="9901" spans="1:5">
      <c r="A9901">
        <v>10716</v>
      </c>
      <c r="B9901" t="s">
        <v>175</v>
      </c>
      <c r="C9901">
        <v>285</v>
      </c>
      <c r="D9901">
        <v>10</v>
      </c>
      <c r="E9901" s="80">
        <v>35727</v>
      </c>
    </row>
    <row r="9902" spans="1:5">
      <c r="A9902">
        <v>10716</v>
      </c>
      <c r="B9902" t="s">
        <v>176</v>
      </c>
      <c r="C9902">
        <v>285</v>
      </c>
      <c r="D9902">
        <v>10</v>
      </c>
      <c r="E9902" s="80">
        <v>35727</v>
      </c>
    </row>
    <row r="9903" spans="1:5">
      <c r="A9903">
        <v>10716</v>
      </c>
      <c r="B9903" t="s">
        <v>177</v>
      </c>
      <c r="C9903">
        <v>285</v>
      </c>
      <c r="D9903">
        <v>10</v>
      </c>
      <c r="E9903" s="80">
        <v>35727</v>
      </c>
    </row>
    <row r="9904" spans="1:5">
      <c r="A9904">
        <v>10716</v>
      </c>
      <c r="B9904" t="s">
        <v>178</v>
      </c>
      <c r="C9904">
        <v>285</v>
      </c>
      <c r="D9904">
        <v>10</v>
      </c>
      <c r="E9904" s="80">
        <v>35727</v>
      </c>
    </row>
    <row r="9905" spans="1:5">
      <c r="A9905">
        <v>10716</v>
      </c>
      <c r="B9905" t="s">
        <v>179</v>
      </c>
      <c r="C9905">
        <v>285</v>
      </c>
      <c r="D9905">
        <v>10</v>
      </c>
      <c r="E9905" s="80">
        <v>35727</v>
      </c>
    </row>
    <row r="9906" spans="1:5">
      <c r="A9906">
        <v>10717</v>
      </c>
      <c r="B9906" t="s">
        <v>172</v>
      </c>
      <c r="C9906">
        <v>303.99999976158142</v>
      </c>
      <c r="D9906">
        <v>32</v>
      </c>
      <c r="E9906" s="80">
        <v>35727</v>
      </c>
    </row>
    <row r="9907" spans="1:5">
      <c r="A9907">
        <v>10717</v>
      </c>
      <c r="B9907" t="s">
        <v>173</v>
      </c>
      <c r="C9907">
        <v>303.99999976158142</v>
      </c>
      <c r="D9907">
        <v>32</v>
      </c>
      <c r="E9907" s="80">
        <v>35727</v>
      </c>
    </row>
    <row r="9908" spans="1:5">
      <c r="A9908">
        <v>10717</v>
      </c>
      <c r="B9908" t="s">
        <v>174</v>
      </c>
      <c r="C9908">
        <v>303.99999976158142</v>
      </c>
      <c r="D9908">
        <v>32</v>
      </c>
      <c r="E9908" s="80">
        <v>35727</v>
      </c>
    </row>
    <row r="9909" spans="1:5">
      <c r="A9909">
        <v>10717</v>
      </c>
      <c r="B9909" t="s">
        <v>175</v>
      </c>
      <c r="C9909">
        <v>303.99999976158142</v>
      </c>
      <c r="D9909">
        <v>32</v>
      </c>
      <c r="E9909" s="80">
        <v>35727</v>
      </c>
    </row>
    <row r="9910" spans="1:5">
      <c r="A9910">
        <v>10717</v>
      </c>
      <c r="B9910" t="s">
        <v>176</v>
      </c>
      <c r="C9910">
        <v>303.99999976158142</v>
      </c>
      <c r="D9910">
        <v>32</v>
      </c>
      <c r="E9910" s="80">
        <v>35727</v>
      </c>
    </row>
    <row r="9911" spans="1:5">
      <c r="A9911">
        <v>10717</v>
      </c>
      <c r="B9911" t="s">
        <v>177</v>
      </c>
      <c r="C9911">
        <v>303.99999976158142</v>
      </c>
      <c r="D9911">
        <v>32</v>
      </c>
      <c r="E9911" s="80">
        <v>35727</v>
      </c>
    </row>
    <row r="9912" spans="1:5">
      <c r="A9912">
        <v>10717</v>
      </c>
      <c r="B9912" t="s">
        <v>178</v>
      </c>
      <c r="C9912">
        <v>303.99999976158142</v>
      </c>
      <c r="D9912">
        <v>32</v>
      </c>
      <c r="E9912" s="80">
        <v>35727</v>
      </c>
    </row>
    <row r="9913" spans="1:5">
      <c r="A9913">
        <v>10717</v>
      </c>
      <c r="B9913" t="s">
        <v>179</v>
      </c>
      <c r="C9913">
        <v>303.99999976158142</v>
      </c>
      <c r="D9913">
        <v>32</v>
      </c>
      <c r="E9913" s="80">
        <v>35727</v>
      </c>
    </row>
    <row r="9914" spans="1:5">
      <c r="A9914">
        <v>10717</v>
      </c>
      <c r="B9914" t="s">
        <v>172</v>
      </c>
      <c r="C9914">
        <v>111.75</v>
      </c>
      <c r="D9914">
        <v>15</v>
      </c>
      <c r="E9914" s="80">
        <v>35727</v>
      </c>
    </row>
    <row r="9915" spans="1:5">
      <c r="A9915">
        <v>10717</v>
      </c>
      <c r="B9915" t="s">
        <v>173</v>
      </c>
      <c r="C9915">
        <v>111.75</v>
      </c>
      <c r="D9915">
        <v>15</v>
      </c>
      <c r="E9915" s="80">
        <v>35727</v>
      </c>
    </row>
    <row r="9916" spans="1:5">
      <c r="A9916">
        <v>10717</v>
      </c>
      <c r="B9916" t="s">
        <v>174</v>
      </c>
      <c r="C9916">
        <v>111.75</v>
      </c>
      <c r="D9916">
        <v>15</v>
      </c>
      <c r="E9916" s="80">
        <v>35727</v>
      </c>
    </row>
    <row r="9917" spans="1:5">
      <c r="A9917">
        <v>10717</v>
      </c>
      <c r="B9917" t="s">
        <v>175</v>
      </c>
      <c r="C9917">
        <v>111.75</v>
      </c>
      <c r="D9917">
        <v>15</v>
      </c>
      <c r="E9917" s="80">
        <v>35727</v>
      </c>
    </row>
    <row r="9918" spans="1:5">
      <c r="A9918">
        <v>10717</v>
      </c>
      <c r="B9918" t="s">
        <v>176</v>
      </c>
      <c r="C9918">
        <v>111.75</v>
      </c>
      <c r="D9918">
        <v>15</v>
      </c>
      <c r="E9918" s="80">
        <v>35727</v>
      </c>
    </row>
    <row r="9919" spans="1:5">
      <c r="A9919">
        <v>10717</v>
      </c>
      <c r="B9919" t="s">
        <v>177</v>
      </c>
      <c r="C9919">
        <v>111.75</v>
      </c>
      <c r="D9919">
        <v>15</v>
      </c>
      <c r="E9919" s="80">
        <v>35727</v>
      </c>
    </row>
    <row r="9920" spans="1:5">
      <c r="A9920">
        <v>10717</v>
      </c>
      <c r="B9920" t="s">
        <v>178</v>
      </c>
      <c r="C9920">
        <v>111.75</v>
      </c>
      <c r="D9920">
        <v>15</v>
      </c>
      <c r="E9920" s="80">
        <v>35727</v>
      </c>
    </row>
    <row r="9921" spans="1:5">
      <c r="A9921">
        <v>10717</v>
      </c>
      <c r="B9921" t="s">
        <v>179</v>
      </c>
      <c r="C9921">
        <v>111.75</v>
      </c>
      <c r="D9921">
        <v>15</v>
      </c>
      <c r="E9921" s="80">
        <v>35727</v>
      </c>
    </row>
    <row r="9922" spans="1:5">
      <c r="A9922">
        <v>10717</v>
      </c>
      <c r="B9922" t="s">
        <v>172</v>
      </c>
      <c r="C9922">
        <v>854.99999932944775</v>
      </c>
      <c r="D9922">
        <v>25</v>
      </c>
      <c r="E9922" s="80">
        <v>35727</v>
      </c>
    </row>
    <row r="9923" spans="1:5">
      <c r="A9923">
        <v>10717</v>
      </c>
      <c r="B9923" t="s">
        <v>173</v>
      </c>
      <c r="C9923">
        <v>854.99999932944775</v>
      </c>
      <c r="D9923">
        <v>25</v>
      </c>
      <c r="E9923" s="80">
        <v>35727</v>
      </c>
    </row>
    <row r="9924" spans="1:5">
      <c r="A9924">
        <v>10717</v>
      </c>
      <c r="B9924" t="s">
        <v>174</v>
      </c>
      <c r="C9924">
        <v>854.99999932944775</v>
      </c>
      <c r="D9924">
        <v>25</v>
      </c>
      <c r="E9924" s="80">
        <v>35727</v>
      </c>
    </row>
    <row r="9925" spans="1:5">
      <c r="A9925">
        <v>10717</v>
      </c>
      <c r="B9925" t="s">
        <v>175</v>
      </c>
      <c r="C9925">
        <v>854.99999932944775</v>
      </c>
      <c r="D9925">
        <v>25</v>
      </c>
      <c r="E9925" s="80">
        <v>35727</v>
      </c>
    </row>
    <row r="9926" spans="1:5">
      <c r="A9926">
        <v>10717</v>
      </c>
      <c r="B9926" t="s">
        <v>176</v>
      </c>
      <c r="C9926">
        <v>854.99999932944775</v>
      </c>
      <c r="D9926">
        <v>25</v>
      </c>
      <c r="E9926" s="80">
        <v>35727</v>
      </c>
    </row>
    <row r="9927" spans="1:5">
      <c r="A9927">
        <v>10717</v>
      </c>
      <c r="B9927" t="s">
        <v>177</v>
      </c>
      <c r="C9927">
        <v>854.99999932944775</v>
      </c>
      <c r="D9927">
        <v>25</v>
      </c>
      <c r="E9927" s="80">
        <v>35727</v>
      </c>
    </row>
    <row r="9928" spans="1:5">
      <c r="A9928">
        <v>10717</v>
      </c>
      <c r="B9928" t="s">
        <v>178</v>
      </c>
      <c r="C9928">
        <v>854.99999932944775</v>
      </c>
      <c r="D9928">
        <v>25</v>
      </c>
      <c r="E9928" s="80">
        <v>35727</v>
      </c>
    </row>
    <row r="9929" spans="1:5">
      <c r="A9929">
        <v>10717</v>
      </c>
      <c r="B9929" t="s">
        <v>179</v>
      </c>
      <c r="C9929">
        <v>854.99999932944775</v>
      </c>
      <c r="D9929">
        <v>25</v>
      </c>
      <c r="E9929" s="80">
        <v>35727</v>
      </c>
    </row>
    <row r="9930" spans="1:5">
      <c r="A9930">
        <v>10718</v>
      </c>
      <c r="B9930" t="s">
        <v>172</v>
      </c>
      <c r="C9930">
        <v>1368</v>
      </c>
      <c r="D9930">
        <v>36</v>
      </c>
      <c r="E9930" s="80">
        <v>35730</v>
      </c>
    </row>
    <row r="9931" spans="1:5">
      <c r="A9931">
        <v>10718</v>
      </c>
      <c r="B9931" t="s">
        <v>173</v>
      </c>
      <c r="C9931">
        <v>1368</v>
      </c>
      <c r="D9931">
        <v>36</v>
      </c>
      <c r="E9931" s="80">
        <v>35730</v>
      </c>
    </row>
    <row r="9932" spans="1:5">
      <c r="A9932">
        <v>10718</v>
      </c>
      <c r="B9932" t="s">
        <v>174</v>
      </c>
      <c r="C9932">
        <v>1368</v>
      </c>
      <c r="D9932">
        <v>36</v>
      </c>
      <c r="E9932" s="80">
        <v>35730</v>
      </c>
    </row>
    <row r="9933" spans="1:5">
      <c r="A9933">
        <v>10718</v>
      </c>
      <c r="B9933" t="s">
        <v>175</v>
      </c>
      <c r="C9933">
        <v>1368</v>
      </c>
      <c r="D9933">
        <v>36</v>
      </c>
      <c r="E9933" s="80">
        <v>35730</v>
      </c>
    </row>
    <row r="9934" spans="1:5">
      <c r="A9934">
        <v>10718</v>
      </c>
      <c r="B9934" t="s">
        <v>176</v>
      </c>
      <c r="C9934">
        <v>1368</v>
      </c>
      <c r="D9934">
        <v>36</v>
      </c>
      <c r="E9934" s="80">
        <v>35730</v>
      </c>
    </row>
    <row r="9935" spans="1:5">
      <c r="A9935">
        <v>10718</v>
      </c>
      <c r="B9935" t="s">
        <v>177</v>
      </c>
      <c r="C9935">
        <v>1368</v>
      </c>
      <c r="D9935">
        <v>36</v>
      </c>
      <c r="E9935" s="80">
        <v>35730</v>
      </c>
    </row>
    <row r="9936" spans="1:5">
      <c r="A9936">
        <v>10718</v>
      </c>
      <c r="B9936" t="s">
        <v>178</v>
      </c>
      <c r="C9936">
        <v>1368</v>
      </c>
      <c r="D9936">
        <v>36</v>
      </c>
      <c r="E9936" s="80">
        <v>35730</v>
      </c>
    </row>
    <row r="9937" spans="1:5">
      <c r="A9937">
        <v>10718</v>
      </c>
      <c r="B9937" t="s">
        <v>179</v>
      </c>
      <c r="C9937">
        <v>1368</v>
      </c>
      <c r="D9937">
        <v>36</v>
      </c>
      <c r="E9937" s="80">
        <v>35730</v>
      </c>
    </row>
    <row r="9938" spans="1:5">
      <c r="A9938">
        <v>10718</v>
      </c>
      <c r="B9938" t="s">
        <v>172</v>
      </c>
      <c r="C9938">
        <v>349</v>
      </c>
      <c r="D9938">
        <v>20</v>
      </c>
      <c r="E9938" s="80">
        <v>35730</v>
      </c>
    </row>
    <row r="9939" spans="1:5">
      <c r="A9939">
        <v>10718</v>
      </c>
      <c r="B9939" t="s">
        <v>173</v>
      </c>
      <c r="C9939">
        <v>349</v>
      </c>
      <c r="D9939">
        <v>20</v>
      </c>
      <c r="E9939" s="80">
        <v>35730</v>
      </c>
    </row>
    <row r="9940" spans="1:5">
      <c r="A9940">
        <v>10718</v>
      </c>
      <c r="B9940" t="s">
        <v>174</v>
      </c>
      <c r="C9940">
        <v>349</v>
      </c>
      <c r="D9940">
        <v>20</v>
      </c>
      <c r="E9940" s="80">
        <v>35730</v>
      </c>
    </row>
    <row r="9941" spans="1:5">
      <c r="A9941">
        <v>10718</v>
      </c>
      <c r="B9941" t="s">
        <v>175</v>
      </c>
      <c r="C9941">
        <v>349</v>
      </c>
      <c r="D9941">
        <v>20</v>
      </c>
      <c r="E9941" s="80">
        <v>35730</v>
      </c>
    </row>
    <row r="9942" spans="1:5">
      <c r="A9942">
        <v>10718</v>
      </c>
      <c r="B9942" t="s">
        <v>176</v>
      </c>
      <c r="C9942">
        <v>349</v>
      </c>
      <c r="D9942">
        <v>20</v>
      </c>
      <c r="E9942" s="80">
        <v>35730</v>
      </c>
    </row>
    <row r="9943" spans="1:5">
      <c r="A9943">
        <v>10718</v>
      </c>
      <c r="B9943" t="s">
        <v>177</v>
      </c>
      <c r="C9943">
        <v>349</v>
      </c>
      <c r="D9943">
        <v>20</v>
      </c>
      <c r="E9943" s="80">
        <v>35730</v>
      </c>
    </row>
    <row r="9944" spans="1:5">
      <c r="A9944">
        <v>10718</v>
      </c>
      <c r="B9944" t="s">
        <v>178</v>
      </c>
      <c r="C9944">
        <v>349</v>
      </c>
      <c r="D9944">
        <v>20</v>
      </c>
      <c r="E9944" s="80">
        <v>35730</v>
      </c>
    </row>
    <row r="9945" spans="1:5">
      <c r="A9945">
        <v>10718</v>
      </c>
      <c r="B9945" t="s">
        <v>179</v>
      </c>
      <c r="C9945">
        <v>349</v>
      </c>
      <c r="D9945">
        <v>20</v>
      </c>
      <c r="E9945" s="80">
        <v>35730</v>
      </c>
    </row>
    <row r="9946" spans="1:5">
      <c r="A9946">
        <v>10718</v>
      </c>
      <c r="B9946" t="s">
        <v>172</v>
      </c>
      <c r="C9946">
        <v>760</v>
      </c>
      <c r="D9946">
        <v>40</v>
      </c>
      <c r="E9946" s="80">
        <v>35730</v>
      </c>
    </row>
    <row r="9947" spans="1:5">
      <c r="A9947">
        <v>10718</v>
      </c>
      <c r="B9947" t="s">
        <v>173</v>
      </c>
      <c r="C9947">
        <v>760</v>
      </c>
      <c r="D9947">
        <v>40</v>
      </c>
      <c r="E9947" s="80">
        <v>35730</v>
      </c>
    </row>
    <row r="9948" spans="1:5">
      <c r="A9948">
        <v>10718</v>
      </c>
      <c r="B9948" t="s">
        <v>174</v>
      </c>
      <c r="C9948">
        <v>760</v>
      </c>
      <c r="D9948">
        <v>40</v>
      </c>
      <c r="E9948" s="80">
        <v>35730</v>
      </c>
    </row>
    <row r="9949" spans="1:5">
      <c r="A9949">
        <v>10718</v>
      </c>
      <c r="B9949" t="s">
        <v>175</v>
      </c>
      <c r="C9949">
        <v>760</v>
      </c>
      <c r="D9949">
        <v>40</v>
      </c>
      <c r="E9949" s="80">
        <v>35730</v>
      </c>
    </row>
    <row r="9950" spans="1:5">
      <c r="A9950">
        <v>10718</v>
      </c>
      <c r="B9950" t="s">
        <v>176</v>
      </c>
      <c r="C9950">
        <v>760</v>
      </c>
      <c r="D9950">
        <v>40</v>
      </c>
      <c r="E9950" s="80">
        <v>35730</v>
      </c>
    </row>
    <row r="9951" spans="1:5">
      <c r="A9951">
        <v>10718</v>
      </c>
      <c r="B9951" t="s">
        <v>177</v>
      </c>
      <c r="C9951">
        <v>760</v>
      </c>
      <c r="D9951">
        <v>40</v>
      </c>
      <c r="E9951" s="80">
        <v>35730</v>
      </c>
    </row>
    <row r="9952" spans="1:5">
      <c r="A9952">
        <v>10718</v>
      </c>
      <c r="B9952" t="s">
        <v>178</v>
      </c>
      <c r="C9952">
        <v>760</v>
      </c>
      <c r="D9952">
        <v>40</v>
      </c>
      <c r="E9952" s="80">
        <v>35730</v>
      </c>
    </row>
    <row r="9953" spans="1:5">
      <c r="A9953">
        <v>10718</v>
      </c>
      <c r="B9953" t="s">
        <v>179</v>
      </c>
      <c r="C9953">
        <v>760</v>
      </c>
      <c r="D9953">
        <v>40</v>
      </c>
      <c r="E9953" s="80">
        <v>35730</v>
      </c>
    </row>
    <row r="9954" spans="1:5">
      <c r="A9954">
        <v>10718</v>
      </c>
      <c r="B9954" t="s">
        <v>172</v>
      </c>
      <c r="C9954">
        <v>986</v>
      </c>
      <c r="D9954">
        <v>20</v>
      </c>
      <c r="E9954" s="80">
        <v>35730</v>
      </c>
    </row>
    <row r="9955" spans="1:5">
      <c r="A9955">
        <v>10718</v>
      </c>
      <c r="B9955" t="s">
        <v>173</v>
      </c>
      <c r="C9955">
        <v>986</v>
      </c>
      <c r="D9955">
        <v>20</v>
      </c>
      <c r="E9955" s="80">
        <v>35730</v>
      </c>
    </row>
    <row r="9956" spans="1:5">
      <c r="A9956">
        <v>10718</v>
      </c>
      <c r="B9956" t="s">
        <v>174</v>
      </c>
      <c r="C9956">
        <v>986</v>
      </c>
      <c r="D9956">
        <v>20</v>
      </c>
      <c r="E9956" s="80">
        <v>35730</v>
      </c>
    </row>
    <row r="9957" spans="1:5">
      <c r="A9957">
        <v>10718</v>
      </c>
      <c r="B9957" t="s">
        <v>175</v>
      </c>
      <c r="C9957">
        <v>986</v>
      </c>
      <c r="D9957">
        <v>20</v>
      </c>
      <c r="E9957" s="80">
        <v>35730</v>
      </c>
    </row>
    <row r="9958" spans="1:5">
      <c r="A9958">
        <v>10718</v>
      </c>
      <c r="B9958" t="s">
        <v>176</v>
      </c>
      <c r="C9958">
        <v>986</v>
      </c>
      <c r="D9958">
        <v>20</v>
      </c>
      <c r="E9958" s="80">
        <v>35730</v>
      </c>
    </row>
    <row r="9959" spans="1:5">
      <c r="A9959">
        <v>10718</v>
      </c>
      <c r="B9959" t="s">
        <v>177</v>
      </c>
      <c r="C9959">
        <v>986</v>
      </c>
      <c r="D9959">
        <v>20</v>
      </c>
      <c r="E9959" s="80">
        <v>35730</v>
      </c>
    </row>
    <row r="9960" spans="1:5">
      <c r="A9960">
        <v>10718</v>
      </c>
      <c r="B9960" t="s">
        <v>178</v>
      </c>
      <c r="C9960">
        <v>986</v>
      </c>
      <c r="D9960">
        <v>20</v>
      </c>
      <c r="E9960" s="80">
        <v>35730</v>
      </c>
    </row>
    <row r="9961" spans="1:5">
      <c r="A9961">
        <v>10718</v>
      </c>
      <c r="B9961" t="s">
        <v>179</v>
      </c>
      <c r="C9961">
        <v>986</v>
      </c>
      <c r="D9961">
        <v>20</v>
      </c>
      <c r="E9961" s="80">
        <v>35730</v>
      </c>
    </row>
    <row r="9962" spans="1:5">
      <c r="A9962">
        <v>10719</v>
      </c>
      <c r="B9962" t="s">
        <v>172</v>
      </c>
      <c r="C9962">
        <v>562.5</v>
      </c>
      <c r="D9962">
        <v>12</v>
      </c>
      <c r="E9962" s="80">
        <v>35730</v>
      </c>
    </row>
    <row r="9963" spans="1:5">
      <c r="A9963">
        <v>10719</v>
      </c>
      <c r="B9963" t="s">
        <v>173</v>
      </c>
      <c r="C9963">
        <v>562.5</v>
      </c>
      <c r="D9963">
        <v>12</v>
      </c>
      <c r="E9963" s="80">
        <v>35730</v>
      </c>
    </row>
    <row r="9964" spans="1:5">
      <c r="A9964">
        <v>10719</v>
      </c>
      <c r="B9964" t="s">
        <v>174</v>
      </c>
      <c r="C9964">
        <v>562.5</v>
      </c>
      <c r="D9964">
        <v>12</v>
      </c>
      <c r="E9964" s="80">
        <v>35730</v>
      </c>
    </row>
    <row r="9965" spans="1:5">
      <c r="A9965">
        <v>10719</v>
      </c>
      <c r="B9965" t="s">
        <v>175</v>
      </c>
      <c r="C9965">
        <v>562.5</v>
      </c>
      <c r="D9965">
        <v>12</v>
      </c>
      <c r="E9965" s="80">
        <v>35730</v>
      </c>
    </row>
    <row r="9966" spans="1:5">
      <c r="A9966">
        <v>10719</v>
      </c>
      <c r="B9966" t="s">
        <v>176</v>
      </c>
      <c r="C9966">
        <v>562.5</v>
      </c>
      <c r="D9966">
        <v>12</v>
      </c>
      <c r="E9966" s="80">
        <v>35730</v>
      </c>
    </row>
    <row r="9967" spans="1:5">
      <c r="A9967">
        <v>10719</v>
      </c>
      <c r="B9967" t="s">
        <v>177</v>
      </c>
      <c r="C9967">
        <v>562.5</v>
      </c>
      <c r="D9967">
        <v>12</v>
      </c>
      <c r="E9967" s="80">
        <v>35730</v>
      </c>
    </row>
    <row r="9968" spans="1:5">
      <c r="A9968">
        <v>10719</v>
      </c>
      <c r="B9968" t="s">
        <v>178</v>
      </c>
      <c r="C9968">
        <v>562.5</v>
      </c>
      <c r="D9968">
        <v>12</v>
      </c>
      <c r="E9968" s="80">
        <v>35730</v>
      </c>
    </row>
    <row r="9969" spans="1:5">
      <c r="A9969">
        <v>10719</v>
      </c>
      <c r="B9969" t="s">
        <v>179</v>
      </c>
      <c r="C9969">
        <v>562.5</v>
      </c>
      <c r="D9969">
        <v>12</v>
      </c>
      <c r="E9969" s="80">
        <v>35730</v>
      </c>
    </row>
    <row r="9970" spans="1:5">
      <c r="A9970">
        <v>10719</v>
      </c>
      <c r="B9970" t="s">
        <v>172</v>
      </c>
      <c r="C9970">
        <v>58.252499999999998</v>
      </c>
      <c r="D9970">
        <v>3</v>
      </c>
      <c r="E9970" s="80">
        <v>35730</v>
      </c>
    </row>
    <row r="9971" spans="1:5">
      <c r="A9971">
        <v>10719</v>
      </c>
      <c r="B9971" t="s">
        <v>173</v>
      </c>
      <c r="C9971">
        <v>58.252499999999998</v>
      </c>
      <c r="D9971">
        <v>3</v>
      </c>
      <c r="E9971" s="80">
        <v>35730</v>
      </c>
    </row>
    <row r="9972" spans="1:5">
      <c r="A9972">
        <v>10719</v>
      </c>
      <c r="B9972" t="s">
        <v>174</v>
      </c>
      <c r="C9972">
        <v>58.252499999999998</v>
      </c>
      <c r="D9972">
        <v>3</v>
      </c>
      <c r="E9972" s="80">
        <v>35730</v>
      </c>
    </row>
    <row r="9973" spans="1:5">
      <c r="A9973">
        <v>10719</v>
      </c>
      <c r="B9973" t="s">
        <v>175</v>
      </c>
      <c r="C9973">
        <v>58.252499999999998</v>
      </c>
      <c r="D9973">
        <v>3</v>
      </c>
      <c r="E9973" s="80">
        <v>35730</v>
      </c>
    </row>
    <row r="9974" spans="1:5">
      <c r="A9974">
        <v>10719</v>
      </c>
      <c r="B9974" t="s">
        <v>176</v>
      </c>
      <c r="C9974">
        <v>58.252499999999998</v>
      </c>
      <c r="D9974">
        <v>3</v>
      </c>
      <c r="E9974" s="80">
        <v>35730</v>
      </c>
    </row>
    <row r="9975" spans="1:5">
      <c r="A9975">
        <v>10719</v>
      </c>
      <c r="B9975" t="s">
        <v>177</v>
      </c>
      <c r="C9975">
        <v>58.252499999999998</v>
      </c>
      <c r="D9975">
        <v>3</v>
      </c>
      <c r="E9975" s="80">
        <v>35730</v>
      </c>
    </row>
    <row r="9976" spans="1:5">
      <c r="A9976">
        <v>10719</v>
      </c>
      <c r="B9976" t="s">
        <v>178</v>
      </c>
      <c r="C9976">
        <v>58.252499999999998</v>
      </c>
      <c r="D9976">
        <v>3</v>
      </c>
      <c r="E9976" s="80">
        <v>35730</v>
      </c>
    </row>
    <row r="9977" spans="1:5">
      <c r="A9977">
        <v>10719</v>
      </c>
      <c r="B9977" t="s">
        <v>179</v>
      </c>
      <c r="C9977">
        <v>58.252499999999998</v>
      </c>
      <c r="D9977">
        <v>3</v>
      </c>
      <c r="E9977" s="80">
        <v>35730</v>
      </c>
    </row>
    <row r="9978" spans="1:5">
      <c r="A9978">
        <v>10719</v>
      </c>
      <c r="B9978" t="s">
        <v>172</v>
      </c>
      <c r="C9978">
        <v>223.5</v>
      </c>
      <c r="D9978">
        <v>40</v>
      </c>
      <c r="E9978" s="80">
        <v>35730</v>
      </c>
    </row>
    <row r="9979" spans="1:5">
      <c r="A9979">
        <v>10719</v>
      </c>
      <c r="B9979" t="s">
        <v>173</v>
      </c>
      <c r="C9979">
        <v>223.5</v>
      </c>
      <c r="D9979">
        <v>40</v>
      </c>
      <c r="E9979" s="80">
        <v>35730</v>
      </c>
    </row>
    <row r="9980" spans="1:5">
      <c r="A9980">
        <v>10719</v>
      </c>
      <c r="B9980" t="s">
        <v>174</v>
      </c>
      <c r="C9980">
        <v>223.5</v>
      </c>
      <c r="D9980">
        <v>40</v>
      </c>
      <c r="E9980" s="80">
        <v>35730</v>
      </c>
    </row>
    <row r="9981" spans="1:5">
      <c r="A9981">
        <v>10719</v>
      </c>
      <c r="B9981" t="s">
        <v>175</v>
      </c>
      <c r="C9981">
        <v>223.5</v>
      </c>
      <c r="D9981">
        <v>40</v>
      </c>
      <c r="E9981" s="80">
        <v>35730</v>
      </c>
    </row>
    <row r="9982" spans="1:5">
      <c r="A9982">
        <v>10719</v>
      </c>
      <c r="B9982" t="s">
        <v>176</v>
      </c>
      <c r="C9982">
        <v>223.5</v>
      </c>
      <c r="D9982">
        <v>40</v>
      </c>
      <c r="E9982" s="80">
        <v>35730</v>
      </c>
    </row>
    <row r="9983" spans="1:5">
      <c r="A9983">
        <v>10719</v>
      </c>
      <c r="B9983" t="s">
        <v>177</v>
      </c>
      <c r="C9983">
        <v>223.5</v>
      </c>
      <c r="D9983">
        <v>40</v>
      </c>
      <c r="E9983" s="80">
        <v>35730</v>
      </c>
    </row>
    <row r="9984" spans="1:5">
      <c r="A9984">
        <v>10719</v>
      </c>
      <c r="B9984" t="s">
        <v>178</v>
      </c>
      <c r="C9984">
        <v>223.5</v>
      </c>
      <c r="D9984">
        <v>40</v>
      </c>
      <c r="E9984" s="80">
        <v>35730</v>
      </c>
    </row>
    <row r="9985" spans="1:5">
      <c r="A9985">
        <v>10719</v>
      </c>
      <c r="B9985" t="s">
        <v>179</v>
      </c>
      <c r="C9985">
        <v>223.5</v>
      </c>
      <c r="D9985">
        <v>40</v>
      </c>
      <c r="E9985" s="80">
        <v>35730</v>
      </c>
    </row>
    <row r="9986" spans="1:5">
      <c r="A9986">
        <v>10720</v>
      </c>
      <c r="B9986" t="s">
        <v>172</v>
      </c>
      <c r="C9986">
        <v>378</v>
      </c>
      <c r="D9986">
        <v>21</v>
      </c>
      <c r="E9986" s="80">
        <v>35731</v>
      </c>
    </row>
    <row r="9987" spans="1:5">
      <c r="A9987">
        <v>10720</v>
      </c>
      <c r="B9987" t="s">
        <v>173</v>
      </c>
      <c r="C9987">
        <v>378</v>
      </c>
      <c r="D9987">
        <v>21</v>
      </c>
      <c r="E9987" s="80">
        <v>35731</v>
      </c>
    </row>
    <row r="9988" spans="1:5">
      <c r="A9988">
        <v>10720</v>
      </c>
      <c r="B9988" t="s">
        <v>174</v>
      </c>
      <c r="C9988">
        <v>378</v>
      </c>
      <c r="D9988">
        <v>21</v>
      </c>
      <c r="E9988" s="80">
        <v>35731</v>
      </c>
    </row>
    <row r="9989" spans="1:5">
      <c r="A9989">
        <v>10720</v>
      </c>
      <c r="B9989" t="s">
        <v>175</v>
      </c>
      <c r="C9989">
        <v>378</v>
      </c>
      <c r="D9989">
        <v>21</v>
      </c>
      <c r="E9989" s="80">
        <v>35731</v>
      </c>
    </row>
    <row r="9990" spans="1:5">
      <c r="A9990">
        <v>10720</v>
      </c>
      <c r="B9990" t="s">
        <v>176</v>
      </c>
      <c r="C9990">
        <v>378</v>
      </c>
      <c r="D9990">
        <v>21</v>
      </c>
      <c r="E9990" s="80">
        <v>35731</v>
      </c>
    </row>
    <row r="9991" spans="1:5">
      <c r="A9991">
        <v>10720</v>
      </c>
      <c r="B9991" t="s">
        <v>177</v>
      </c>
      <c r="C9991">
        <v>378</v>
      </c>
      <c r="D9991">
        <v>21</v>
      </c>
      <c r="E9991" s="80">
        <v>35731</v>
      </c>
    </row>
    <row r="9992" spans="1:5">
      <c r="A9992">
        <v>10720</v>
      </c>
      <c r="B9992" t="s">
        <v>178</v>
      </c>
      <c r="C9992">
        <v>378</v>
      </c>
      <c r="D9992">
        <v>21</v>
      </c>
      <c r="E9992" s="80">
        <v>35731</v>
      </c>
    </row>
    <row r="9993" spans="1:5">
      <c r="A9993">
        <v>10720</v>
      </c>
      <c r="B9993" t="s">
        <v>179</v>
      </c>
      <c r="C9993">
        <v>378</v>
      </c>
      <c r="D9993">
        <v>21</v>
      </c>
      <c r="E9993" s="80">
        <v>35731</v>
      </c>
    </row>
    <row r="9994" spans="1:5">
      <c r="A9994">
        <v>10720</v>
      </c>
      <c r="B9994" t="s">
        <v>172</v>
      </c>
      <c r="C9994">
        <v>172</v>
      </c>
      <c r="D9994">
        <v>8</v>
      </c>
      <c r="E9994" s="80">
        <v>35731</v>
      </c>
    </row>
    <row r="9995" spans="1:5">
      <c r="A9995">
        <v>10720</v>
      </c>
      <c r="B9995" t="s">
        <v>173</v>
      </c>
      <c r="C9995">
        <v>172</v>
      </c>
      <c r="D9995">
        <v>8</v>
      </c>
      <c r="E9995" s="80">
        <v>35731</v>
      </c>
    </row>
    <row r="9996" spans="1:5">
      <c r="A9996">
        <v>10720</v>
      </c>
      <c r="B9996" t="s">
        <v>174</v>
      </c>
      <c r="C9996">
        <v>172</v>
      </c>
      <c r="D9996">
        <v>8</v>
      </c>
      <c r="E9996" s="80">
        <v>35731</v>
      </c>
    </row>
    <row r="9997" spans="1:5">
      <c r="A9997">
        <v>10720</v>
      </c>
      <c r="B9997" t="s">
        <v>175</v>
      </c>
      <c r="C9997">
        <v>172</v>
      </c>
      <c r="D9997">
        <v>8</v>
      </c>
      <c r="E9997" s="80">
        <v>35731</v>
      </c>
    </row>
    <row r="9998" spans="1:5">
      <c r="A9998">
        <v>10720</v>
      </c>
      <c r="B9998" t="s">
        <v>176</v>
      </c>
      <c r="C9998">
        <v>172</v>
      </c>
      <c r="D9998">
        <v>8</v>
      </c>
      <c r="E9998" s="80">
        <v>35731</v>
      </c>
    </row>
    <row r="9999" spans="1:5">
      <c r="A9999">
        <v>10720</v>
      </c>
      <c r="B9999" t="s">
        <v>177</v>
      </c>
      <c r="C9999">
        <v>172</v>
      </c>
      <c r="D9999">
        <v>8</v>
      </c>
      <c r="E9999" s="80">
        <v>35731</v>
      </c>
    </row>
    <row r="10000" spans="1:5">
      <c r="A10000">
        <v>10720</v>
      </c>
      <c r="B10000" t="s">
        <v>178</v>
      </c>
      <c r="C10000">
        <v>172</v>
      </c>
      <c r="D10000">
        <v>8</v>
      </c>
      <c r="E10000" s="80">
        <v>35731</v>
      </c>
    </row>
    <row r="10001" spans="1:5">
      <c r="A10001">
        <v>10720</v>
      </c>
      <c r="B10001" t="s">
        <v>179</v>
      </c>
      <c r="C10001">
        <v>172</v>
      </c>
      <c r="D10001">
        <v>8</v>
      </c>
      <c r="E10001" s="80">
        <v>35731</v>
      </c>
    </row>
    <row r="10002" spans="1:5">
      <c r="A10002">
        <v>10721</v>
      </c>
      <c r="B10002" t="s">
        <v>172</v>
      </c>
      <c r="C10002">
        <v>923.87499927543104</v>
      </c>
      <c r="D10002">
        <v>50</v>
      </c>
      <c r="E10002" s="80">
        <v>35732</v>
      </c>
    </row>
    <row r="10003" spans="1:5">
      <c r="A10003">
        <v>10721</v>
      </c>
      <c r="B10003" t="s">
        <v>173</v>
      </c>
      <c r="C10003">
        <v>923.87499927543104</v>
      </c>
      <c r="D10003">
        <v>50</v>
      </c>
      <c r="E10003" s="80">
        <v>35732</v>
      </c>
    </row>
    <row r="10004" spans="1:5">
      <c r="A10004">
        <v>10721</v>
      </c>
      <c r="B10004" t="s">
        <v>174</v>
      </c>
      <c r="C10004">
        <v>923.87499927543104</v>
      </c>
      <c r="D10004">
        <v>50</v>
      </c>
      <c r="E10004" s="80">
        <v>35732</v>
      </c>
    </row>
    <row r="10005" spans="1:5">
      <c r="A10005">
        <v>10721</v>
      </c>
      <c r="B10005" t="s">
        <v>175</v>
      </c>
      <c r="C10005">
        <v>923.87499927543104</v>
      </c>
      <c r="D10005">
        <v>50</v>
      </c>
      <c r="E10005" s="80">
        <v>35732</v>
      </c>
    </row>
    <row r="10006" spans="1:5">
      <c r="A10006">
        <v>10721</v>
      </c>
      <c r="B10006" t="s">
        <v>176</v>
      </c>
      <c r="C10006">
        <v>923.87499927543104</v>
      </c>
      <c r="D10006">
        <v>50</v>
      </c>
      <c r="E10006" s="80">
        <v>35732</v>
      </c>
    </row>
    <row r="10007" spans="1:5">
      <c r="A10007">
        <v>10721</v>
      </c>
      <c r="B10007" t="s">
        <v>177</v>
      </c>
      <c r="C10007">
        <v>923.87499927543104</v>
      </c>
      <c r="D10007">
        <v>50</v>
      </c>
      <c r="E10007" s="80">
        <v>35732</v>
      </c>
    </row>
    <row r="10008" spans="1:5">
      <c r="A10008">
        <v>10721</v>
      </c>
      <c r="B10008" t="s">
        <v>178</v>
      </c>
      <c r="C10008">
        <v>923.87499927543104</v>
      </c>
      <c r="D10008">
        <v>50</v>
      </c>
      <c r="E10008" s="80">
        <v>35732</v>
      </c>
    </row>
    <row r="10009" spans="1:5">
      <c r="A10009">
        <v>10721</v>
      </c>
      <c r="B10009" t="s">
        <v>179</v>
      </c>
      <c r="C10009">
        <v>923.87499927543104</v>
      </c>
      <c r="D10009">
        <v>50</v>
      </c>
      <c r="E10009" s="80">
        <v>35732</v>
      </c>
    </row>
    <row r="10010" spans="1:5">
      <c r="A10010">
        <v>10722</v>
      </c>
      <c r="B10010" t="s">
        <v>172</v>
      </c>
      <c r="C10010">
        <v>57</v>
      </c>
      <c r="D10010">
        <v>3</v>
      </c>
      <c r="E10010" s="80">
        <v>35732</v>
      </c>
    </row>
    <row r="10011" spans="1:5">
      <c r="A10011">
        <v>10722</v>
      </c>
      <c r="B10011" t="s">
        <v>173</v>
      </c>
      <c r="C10011">
        <v>57</v>
      </c>
      <c r="D10011">
        <v>3</v>
      </c>
      <c r="E10011" s="80">
        <v>35732</v>
      </c>
    </row>
    <row r="10012" spans="1:5">
      <c r="A10012">
        <v>10722</v>
      </c>
      <c r="B10012" t="s">
        <v>174</v>
      </c>
      <c r="C10012">
        <v>57</v>
      </c>
      <c r="D10012">
        <v>3</v>
      </c>
      <c r="E10012" s="80">
        <v>35732</v>
      </c>
    </row>
    <row r="10013" spans="1:5">
      <c r="A10013">
        <v>10722</v>
      </c>
      <c r="B10013" t="s">
        <v>175</v>
      </c>
      <c r="C10013">
        <v>57</v>
      </c>
      <c r="D10013">
        <v>3</v>
      </c>
      <c r="E10013" s="80">
        <v>35732</v>
      </c>
    </row>
    <row r="10014" spans="1:5">
      <c r="A10014">
        <v>10722</v>
      </c>
      <c r="B10014" t="s">
        <v>176</v>
      </c>
      <c r="C10014">
        <v>57</v>
      </c>
      <c r="D10014">
        <v>3</v>
      </c>
      <c r="E10014" s="80">
        <v>35732</v>
      </c>
    </row>
    <row r="10015" spans="1:5">
      <c r="A10015">
        <v>10722</v>
      </c>
      <c r="B10015" t="s">
        <v>177</v>
      </c>
      <c r="C10015">
        <v>57</v>
      </c>
      <c r="D10015">
        <v>3</v>
      </c>
      <c r="E10015" s="80">
        <v>35732</v>
      </c>
    </row>
    <row r="10016" spans="1:5">
      <c r="A10016">
        <v>10722</v>
      </c>
      <c r="B10016" t="s">
        <v>178</v>
      </c>
      <c r="C10016">
        <v>57</v>
      </c>
      <c r="D10016">
        <v>3</v>
      </c>
      <c r="E10016" s="80">
        <v>35732</v>
      </c>
    </row>
    <row r="10017" spans="1:5">
      <c r="A10017">
        <v>10722</v>
      </c>
      <c r="B10017" t="s">
        <v>179</v>
      </c>
      <c r="C10017">
        <v>57</v>
      </c>
      <c r="D10017">
        <v>3</v>
      </c>
      <c r="E10017" s="80">
        <v>35732</v>
      </c>
    </row>
    <row r="10018" spans="1:5">
      <c r="A10018">
        <v>10722</v>
      </c>
      <c r="B10018" t="s">
        <v>172</v>
      </c>
      <c r="C10018">
        <v>625</v>
      </c>
      <c r="D10018">
        <v>50</v>
      </c>
      <c r="E10018" s="80">
        <v>35732</v>
      </c>
    </row>
    <row r="10019" spans="1:5">
      <c r="A10019">
        <v>10722</v>
      </c>
      <c r="B10019" t="s">
        <v>173</v>
      </c>
      <c r="C10019">
        <v>625</v>
      </c>
      <c r="D10019">
        <v>50</v>
      </c>
      <c r="E10019" s="80">
        <v>35732</v>
      </c>
    </row>
    <row r="10020" spans="1:5">
      <c r="A10020">
        <v>10722</v>
      </c>
      <c r="B10020" t="s">
        <v>174</v>
      </c>
      <c r="C10020">
        <v>625</v>
      </c>
      <c r="D10020">
        <v>50</v>
      </c>
      <c r="E10020" s="80">
        <v>35732</v>
      </c>
    </row>
    <row r="10021" spans="1:5">
      <c r="A10021">
        <v>10722</v>
      </c>
      <c r="B10021" t="s">
        <v>175</v>
      </c>
      <c r="C10021">
        <v>625</v>
      </c>
      <c r="D10021">
        <v>50</v>
      </c>
      <c r="E10021" s="80">
        <v>35732</v>
      </c>
    </row>
    <row r="10022" spans="1:5">
      <c r="A10022">
        <v>10722</v>
      </c>
      <c r="B10022" t="s">
        <v>176</v>
      </c>
      <c r="C10022">
        <v>625</v>
      </c>
      <c r="D10022">
        <v>50</v>
      </c>
      <c r="E10022" s="80">
        <v>35732</v>
      </c>
    </row>
    <row r="10023" spans="1:5">
      <c r="A10023">
        <v>10722</v>
      </c>
      <c r="B10023" t="s">
        <v>177</v>
      </c>
      <c r="C10023">
        <v>625</v>
      </c>
      <c r="D10023">
        <v>50</v>
      </c>
      <c r="E10023" s="80">
        <v>35732</v>
      </c>
    </row>
    <row r="10024" spans="1:5">
      <c r="A10024">
        <v>10722</v>
      </c>
      <c r="B10024" t="s">
        <v>178</v>
      </c>
      <c r="C10024">
        <v>625</v>
      </c>
      <c r="D10024">
        <v>50</v>
      </c>
      <c r="E10024" s="80">
        <v>35732</v>
      </c>
    </row>
    <row r="10025" spans="1:5">
      <c r="A10025">
        <v>10722</v>
      </c>
      <c r="B10025" t="s">
        <v>179</v>
      </c>
      <c r="C10025">
        <v>625</v>
      </c>
      <c r="D10025">
        <v>50</v>
      </c>
      <c r="E10025" s="80">
        <v>35732</v>
      </c>
    </row>
    <row r="10026" spans="1:5">
      <c r="A10026">
        <v>10722</v>
      </c>
      <c r="B10026" t="s">
        <v>172</v>
      </c>
      <c r="C10026">
        <v>562.5</v>
      </c>
      <c r="D10026">
        <v>45</v>
      </c>
      <c r="E10026" s="80">
        <v>35732</v>
      </c>
    </row>
    <row r="10027" spans="1:5">
      <c r="A10027">
        <v>10722</v>
      </c>
      <c r="B10027" t="s">
        <v>173</v>
      </c>
      <c r="C10027">
        <v>562.5</v>
      </c>
      <c r="D10027">
        <v>45</v>
      </c>
      <c r="E10027" s="80">
        <v>35732</v>
      </c>
    </row>
    <row r="10028" spans="1:5">
      <c r="A10028">
        <v>10722</v>
      </c>
      <c r="B10028" t="s">
        <v>174</v>
      </c>
      <c r="C10028">
        <v>562.5</v>
      </c>
      <c r="D10028">
        <v>45</v>
      </c>
      <c r="E10028" s="80">
        <v>35732</v>
      </c>
    </row>
    <row r="10029" spans="1:5">
      <c r="A10029">
        <v>10722</v>
      </c>
      <c r="B10029" t="s">
        <v>175</v>
      </c>
      <c r="C10029">
        <v>562.5</v>
      </c>
      <c r="D10029">
        <v>45</v>
      </c>
      <c r="E10029" s="80">
        <v>35732</v>
      </c>
    </row>
    <row r="10030" spans="1:5">
      <c r="A10030">
        <v>10722</v>
      </c>
      <c r="B10030" t="s">
        <v>176</v>
      </c>
      <c r="C10030">
        <v>562.5</v>
      </c>
      <c r="D10030">
        <v>45</v>
      </c>
      <c r="E10030" s="80">
        <v>35732</v>
      </c>
    </row>
    <row r="10031" spans="1:5">
      <c r="A10031">
        <v>10722</v>
      </c>
      <c r="B10031" t="s">
        <v>177</v>
      </c>
      <c r="C10031">
        <v>562.5</v>
      </c>
      <c r="D10031">
        <v>45</v>
      </c>
      <c r="E10031" s="80">
        <v>35732</v>
      </c>
    </row>
    <row r="10032" spans="1:5">
      <c r="A10032">
        <v>10722</v>
      </c>
      <c r="B10032" t="s">
        <v>178</v>
      </c>
      <c r="C10032">
        <v>562.5</v>
      </c>
      <c r="D10032">
        <v>45</v>
      </c>
      <c r="E10032" s="80">
        <v>35732</v>
      </c>
    </row>
    <row r="10033" spans="1:5">
      <c r="A10033">
        <v>10722</v>
      </c>
      <c r="B10033" t="s">
        <v>179</v>
      </c>
      <c r="C10033">
        <v>562.5</v>
      </c>
      <c r="D10033">
        <v>45</v>
      </c>
      <c r="E10033" s="80">
        <v>35732</v>
      </c>
    </row>
    <row r="10034" spans="1:5">
      <c r="A10034">
        <v>10722</v>
      </c>
      <c r="B10034" t="s">
        <v>172</v>
      </c>
      <c r="C10034">
        <v>325.5</v>
      </c>
      <c r="D10034">
        <v>42</v>
      </c>
      <c r="E10034" s="80">
        <v>35732</v>
      </c>
    </row>
    <row r="10035" spans="1:5">
      <c r="A10035">
        <v>10722</v>
      </c>
      <c r="B10035" t="s">
        <v>173</v>
      </c>
      <c r="C10035">
        <v>325.5</v>
      </c>
      <c r="D10035">
        <v>42</v>
      </c>
      <c r="E10035" s="80">
        <v>35732</v>
      </c>
    </row>
    <row r="10036" spans="1:5">
      <c r="A10036">
        <v>10722</v>
      </c>
      <c r="B10036" t="s">
        <v>174</v>
      </c>
      <c r="C10036">
        <v>325.5</v>
      </c>
      <c r="D10036">
        <v>42</v>
      </c>
      <c r="E10036" s="80">
        <v>35732</v>
      </c>
    </row>
    <row r="10037" spans="1:5">
      <c r="A10037">
        <v>10722</v>
      </c>
      <c r="B10037" t="s">
        <v>175</v>
      </c>
      <c r="C10037">
        <v>325.5</v>
      </c>
      <c r="D10037">
        <v>42</v>
      </c>
      <c r="E10037" s="80">
        <v>35732</v>
      </c>
    </row>
    <row r="10038" spans="1:5">
      <c r="A10038">
        <v>10722</v>
      </c>
      <c r="B10038" t="s">
        <v>176</v>
      </c>
      <c r="C10038">
        <v>325.5</v>
      </c>
      <c r="D10038">
        <v>42</v>
      </c>
      <c r="E10038" s="80">
        <v>35732</v>
      </c>
    </row>
    <row r="10039" spans="1:5">
      <c r="A10039">
        <v>10722</v>
      </c>
      <c r="B10039" t="s">
        <v>177</v>
      </c>
      <c r="C10039">
        <v>325.5</v>
      </c>
      <c r="D10039">
        <v>42</v>
      </c>
      <c r="E10039" s="80">
        <v>35732</v>
      </c>
    </row>
    <row r="10040" spans="1:5">
      <c r="A10040">
        <v>10722</v>
      </c>
      <c r="B10040" t="s">
        <v>178</v>
      </c>
      <c r="C10040">
        <v>325.5</v>
      </c>
      <c r="D10040">
        <v>42</v>
      </c>
      <c r="E10040" s="80">
        <v>35732</v>
      </c>
    </row>
    <row r="10041" spans="1:5">
      <c r="A10041">
        <v>10722</v>
      </c>
      <c r="B10041" t="s">
        <v>179</v>
      </c>
      <c r="C10041">
        <v>325.5</v>
      </c>
      <c r="D10041">
        <v>42</v>
      </c>
      <c r="E10041" s="80">
        <v>35732</v>
      </c>
    </row>
    <row r="10042" spans="1:5">
      <c r="A10042">
        <v>10723</v>
      </c>
      <c r="B10042" t="s">
        <v>172</v>
      </c>
      <c r="C10042">
        <v>468.45</v>
      </c>
      <c r="D10042">
        <v>15</v>
      </c>
      <c r="E10042" s="80">
        <v>35733</v>
      </c>
    </row>
    <row r="10043" spans="1:5">
      <c r="A10043">
        <v>10723</v>
      </c>
      <c r="B10043" t="s">
        <v>173</v>
      </c>
      <c r="C10043">
        <v>468.45</v>
      </c>
      <c r="D10043">
        <v>15</v>
      </c>
      <c r="E10043" s="80">
        <v>35733</v>
      </c>
    </row>
    <row r="10044" spans="1:5">
      <c r="A10044">
        <v>10723</v>
      </c>
      <c r="B10044" t="s">
        <v>174</v>
      </c>
      <c r="C10044">
        <v>468.45</v>
      </c>
      <c r="D10044">
        <v>15</v>
      </c>
      <c r="E10044" s="80">
        <v>35733</v>
      </c>
    </row>
    <row r="10045" spans="1:5">
      <c r="A10045">
        <v>10723</v>
      </c>
      <c r="B10045" t="s">
        <v>175</v>
      </c>
      <c r="C10045">
        <v>468.45</v>
      </c>
      <c r="D10045">
        <v>15</v>
      </c>
      <c r="E10045" s="80">
        <v>35733</v>
      </c>
    </row>
    <row r="10046" spans="1:5">
      <c r="A10046">
        <v>10723</v>
      </c>
      <c r="B10046" t="s">
        <v>176</v>
      </c>
      <c r="C10046">
        <v>468.45</v>
      </c>
      <c r="D10046">
        <v>15</v>
      </c>
      <c r="E10046" s="80">
        <v>35733</v>
      </c>
    </row>
    <row r="10047" spans="1:5">
      <c r="A10047">
        <v>10723</v>
      </c>
      <c r="B10047" t="s">
        <v>177</v>
      </c>
      <c r="C10047">
        <v>468.45</v>
      </c>
      <c r="D10047">
        <v>15</v>
      </c>
      <c r="E10047" s="80">
        <v>35733</v>
      </c>
    </row>
    <row r="10048" spans="1:5">
      <c r="A10048">
        <v>10723</v>
      </c>
      <c r="B10048" t="s">
        <v>178</v>
      </c>
      <c r="C10048">
        <v>468.45</v>
      </c>
      <c r="D10048">
        <v>15</v>
      </c>
      <c r="E10048" s="80">
        <v>35733</v>
      </c>
    </row>
    <row r="10049" spans="1:5">
      <c r="A10049">
        <v>10723</v>
      </c>
      <c r="B10049" t="s">
        <v>179</v>
      </c>
      <c r="C10049">
        <v>468.45</v>
      </c>
      <c r="D10049">
        <v>15</v>
      </c>
      <c r="E10049" s="80">
        <v>35733</v>
      </c>
    </row>
    <row r="10050" spans="1:5">
      <c r="A10050">
        <v>10724</v>
      </c>
      <c r="B10050" t="s">
        <v>172</v>
      </c>
      <c r="C10050">
        <v>496</v>
      </c>
      <c r="D10050">
        <v>16</v>
      </c>
      <c r="E10050" s="80">
        <v>35733</v>
      </c>
    </row>
    <row r="10051" spans="1:5">
      <c r="A10051">
        <v>10724</v>
      </c>
      <c r="B10051" t="s">
        <v>173</v>
      </c>
      <c r="C10051">
        <v>496</v>
      </c>
      <c r="D10051">
        <v>16</v>
      </c>
      <c r="E10051" s="80">
        <v>35733</v>
      </c>
    </row>
    <row r="10052" spans="1:5">
      <c r="A10052">
        <v>10724</v>
      </c>
      <c r="B10052" t="s">
        <v>174</v>
      </c>
      <c r="C10052">
        <v>496</v>
      </c>
      <c r="D10052">
        <v>16</v>
      </c>
      <c r="E10052" s="80">
        <v>35733</v>
      </c>
    </row>
    <row r="10053" spans="1:5">
      <c r="A10053">
        <v>10724</v>
      </c>
      <c r="B10053" t="s">
        <v>175</v>
      </c>
      <c r="C10053">
        <v>496</v>
      </c>
      <c r="D10053">
        <v>16</v>
      </c>
      <c r="E10053" s="80">
        <v>35733</v>
      </c>
    </row>
    <row r="10054" spans="1:5">
      <c r="A10054">
        <v>10724</v>
      </c>
      <c r="B10054" t="s">
        <v>176</v>
      </c>
      <c r="C10054">
        <v>496</v>
      </c>
      <c r="D10054">
        <v>16</v>
      </c>
      <c r="E10054" s="80">
        <v>35733</v>
      </c>
    </row>
    <row r="10055" spans="1:5">
      <c r="A10055">
        <v>10724</v>
      </c>
      <c r="B10055" t="s">
        <v>177</v>
      </c>
      <c r="C10055">
        <v>496</v>
      </c>
      <c r="D10055">
        <v>16</v>
      </c>
      <c r="E10055" s="80">
        <v>35733</v>
      </c>
    </row>
    <row r="10056" spans="1:5">
      <c r="A10056">
        <v>10724</v>
      </c>
      <c r="B10056" t="s">
        <v>178</v>
      </c>
      <c r="C10056">
        <v>496</v>
      </c>
      <c r="D10056">
        <v>16</v>
      </c>
      <c r="E10056" s="80">
        <v>35733</v>
      </c>
    </row>
    <row r="10057" spans="1:5">
      <c r="A10057">
        <v>10724</v>
      </c>
      <c r="B10057" t="s">
        <v>179</v>
      </c>
      <c r="C10057">
        <v>496</v>
      </c>
      <c r="D10057">
        <v>16</v>
      </c>
      <c r="E10057" s="80">
        <v>35733</v>
      </c>
    </row>
    <row r="10058" spans="1:5">
      <c r="A10058">
        <v>10724</v>
      </c>
      <c r="B10058" t="s">
        <v>172</v>
      </c>
      <c r="C10058">
        <v>142.5</v>
      </c>
      <c r="D10058">
        <v>5</v>
      </c>
      <c r="E10058" s="80">
        <v>35733</v>
      </c>
    </row>
    <row r="10059" spans="1:5">
      <c r="A10059">
        <v>10724</v>
      </c>
      <c r="B10059" t="s">
        <v>173</v>
      </c>
      <c r="C10059">
        <v>142.5</v>
      </c>
      <c r="D10059">
        <v>5</v>
      </c>
      <c r="E10059" s="80">
        <v>35733</v>
      </c>
    </row>
    <row r="10060" spans="1:5">
      <c r="A10060">
        <v>10724</v>
      </c>
      <c r="B10060" t="s">
        <v>174</v>
      </c>
      <c r="C10060">
        <v>142.5</v>
      </c>
      <c r="D10060">
        <v>5</v>
      </c>
      <c r="E10060" s="80">
        <v>35733</v>
      </c>
    </row>
    <row r="10061" spans="1:5">
      <c r="A10061">
        <v>10724</v>
      </c>
      <c r="B10061" t="s">
        <v>175</v>
      </c>
      <c r="C10061">
        <v>142.5</v>
      </c>
      <c r="D10061">
        <v>5</v>
      </c>
      <c r="E10061" s="80">
        <v>35733</v>
      </c>
    </row>
    <row r="10062" spans="1:5">
      <c r="A10062">
        <v>10724</v>
      </c>
      <c r="B10062" t="s">
        <v>176</v>
      </c>
      <c r="C10062">
        <v>142.5</v>
      </c>
      <c r="D10062">
        <v>5</v>
      </c>
      <c r="E10062" s="80">
        <v>35733</v>
      </c>
    </row>
    <row r="10063" spans="1:5">
      <c r="A10063">
        <v>10724</v>
      </c>
      <c r="B10063" t="s">
        <v>177</v>
      </c>
      <c r="C10063">
        <v>142.5</v>
      </c>
      <c r="D10063">
        <v>5</v>
      </c>
      <c r="E10063" s="80">
        <v>35733</v>
      </c>
    </row>
    <row r="10064" spans="1:5">
      <c r="A10064">
        <v>10724</v>
      </c>
      <c r="B10064" t="s">
        <v>178</v>
      </c>
      <c r="C10064">
        <v>142.5</v>
      </c>
      <c r="D10064">
        <v>5</v>
      </c>
      <c r="E10064" s="80">
        <v>35733</v>
      </c>
    </row>
    <row r="10065" spans="1:5">
      <c r="A10065">
        <v>10724</v>
      </c>
      <c r="B10065" t="s">
        <v>179</v>
      </c>
      <c r="C10065">
        <v>142.5</v>
      </c>
      <c r="D10065">
        <v>5</v>
      </c>
      <c r="E10065" s="80">
        <v>35733</v>
      </c>
    </row>
    <row r="10066" spans="1:5">
      <c r="A10066">
        <v>10725</v>
      </c>
      <c r="B10066" t="s">
        <v>172</v>
      </c>
      <c r="C10066">
        <v>115.8</v>
      </c>
      <c r="D10066">
        <v>12</v>
      </c>
      <c r="E10066" s="80">
        <v>35734</v>
      </c>
    </row>
    <row r="10067" spans="1:5">
      <c r="A10067">
        <v>10725</v>
      </c>
      <c r="B10067" t="s">
        <v>173</v>
      </c>
      <c r="C10067">
        <v>115.8</v>
      </c>
      <c r="D10067">
        <v>12</v>
      </c>
      <c r="E10067" s="80">
        <v>35734</v>
      </c>
    </row>
    <row r="10068" spans="1:5">
      <c r="A10068">
        <v>10725</v>
      </c>
      <c r="B10068" t="s">
        <v>174</v>
      </c>
      <c r="C10068">
        <v>115.8</v>
      </c>
      <c r="D10068">
        <v>12</v>
      </c>
      <c r="E10068" s="80">
        <v>35734</v>
      </c>
    </row>
    <row r="10069" spans="1:5">
      <c r="A10069">
        <v>10725</v>
      </c>
      <c r="B10069" t="s">
        <v>175</v>
      </c>
      <c r="C10069">
        <v>115.8</v>
      </c>
      <c r="D10069">
        <v>12</v>
      </c>
      <c r="E10069" s="80">
        <v>35734</v>
      </c>
    </row>
    <row r="10070" spans="1:5">
      <c r="A10070">
        <v>10725</v>
      </c>
      <c r="B10070" t="s">
        <v>176</v>
      </c>
      <c r="C10070">
        <v>115.8</v>
      </c>
      <c r="D10070">
        <v>12</v>
      </c>
      <c r="E10070" s="80">
        <v>35734</v>
      </c>
    </row>
    <row r="10071" spans="1:5">
      <c r="A10071">
        <v>10725</v>
      </c>
      <c r="B10071" t="s">
        <v>177</v>
      </c>
      <c r="C10071">
        <v>115.8</v>
      </c>
      <c r="D10071">
        <v>12</v>
      </c>
      <c r="E10071" s="80">
        <v>35734</v>
      </c>
    </row>
    <row r="10072" spans="1:5">
      <c r="A10072">
        <v>10725</v>
      </c>
      <c r="B10072" t="s">
        <v>178</v>
      </c>
      <c r="C10072">
        <v>115.8</v>
      </c>
      <c r="D10072">
        <v>12</v>
      </c>
      <c r="E10072" s="80">
        <v>35734</v>
      </c>
    </row>
    <row r="10073" spans="1:5">
      <c r="A10073">
        <v>10725</v>
      </c>
      <c r="B10073" t="s">
        <v>179</v>
      </c>
      <c r="C10073">
        <v>115.8</v>
      </c>
      <c r="D10073">
        <v>12</v>
      </c>
      <c r="E10073" s="80">
        <v>35734</v>
      </c>
    </row>
    <row r="10074" spans="1:5">
      <c r="A10074">
        <v>10725</v>
      </c>
      <c r="B10074" t="s">
        <v>172</v>
      </c>
      <c r="C10074">
        <v>28</v>
      </c>
      <c r="D10074">
        <v>4</v>
      </c>
      <c r="E10074" s="80">
        <v>35734</v>
      </c>
    </row>
    <row r="10075" spans="1:5">
      <c r="A10075">
        <v>10725</v>
      </c>
      <c r="B10075" t="s">
        <v>173</v>
      </c>
      <c r="C10075">
        <v>28</v>
      </c>
      <c r="D10075">
        <v>4</v>
      </c>
      <c r="E10075" s="80">
        <v>35734</v>
      </c>
    </row>
    <row r="10076" spans="1:5">
      <c r="A10076">
        <v>10725</v>
      </c>
      <c r="B10076" t="s">
        <v>174</v>
      </c>
      <c r="C10076">
        <v>28</v>
      </c>
      <c r="D10076">
        <v>4</v>
      </c>
      <c r="E10076" s="80">
        <v>35734</v>
      </c>
    </row>
    <row r="10077" spans="1:5">
      <c r="A10077">
        <v>10725</v>
      </c>
      <c r="B10077" t="s">
        <v>175</v>
      </c>
      <c r="C10077">
        <v>28</v>
      </c>
      <c r="D10077">
        <v>4</v>
      </c>
      <c r="E10077" s="80">
        <v>35734</v>
      </c>
    </row>
    <row r="10078" spans="1:5">
      <c r="A10078">
        <v>10725</v>
      </c>
      <c r="B10078" t="s">
        <v>176</v>
      </c>
      <c r="C10078">
        <v>28</v>
      </c>
      <c r="D10078">
        <v>4</v>
      </c>
      <c r="E10078" s="80">
        <v>35734</v>
      </c>
    </row>
    <row r="10079" spans="1:5">
      <c r="A10079">
        <v>10725</v>
      </c>
      <c r="B10079" t="s">
        <v>177</v>
      </c>
      <c r="C10079">
        <v>28</v>
      </c>
      <c r="D10079">
        <v>4</v>
      </c>
      <c r="E10079" s="80">
        <v>35734</v>
      </c>
    </row>
    <row r="10080" spans="1:5">
      <c r="A10080">
        <v>10725</v>
      </c>
      <c r="B10080" t="s">
        <v>178</v>
      </c>
      <c r="C10080">
        <v>28</v>
      </c>
      <c r="D10080">
        <v>4</v>
      </c>
      <c r="E10080" s="80">
        <v>35734</v>
      </c>
    </row>
    <row r="10081" spans="1:5">
      <c r="A10081">
        <v>10725</v>
      </c>
      <c r="B10081" t="s">
        <v>179</v>
      </c>
      <c r="C10081">
        <v>28</v>
      </c>
      <c r="D10081">
        <v>4</v>
      </c>
      <c r="E10081" s="80">
        <v>35734</v>
      </c>
    </row>
    <row r="10082" spans="1:5">
      <c r="A10082">
        <v>10725</v>
      </c>
      <c r="B10082" t="s">
        <v>172</v>
      </c>
      <c r="C10082">
        <v>144</v>
      </c>
      <c r="D10082">
        <v>6</v>
      </c>
      <c r="E10082" s="80">
        <v>35734</v>
      </c>
    </row>
    <row r="10083" spans="1:5">
      <c r="A10083">
        <v>10725</v>
      </c>
      <c r="B10083" t="s">
        <v>173</v>
      </c>
      <c r="C10083">
        <v>144</v>
      </c>
      <c r="D10083">
        <v>6</v>
      </c>
      <c r="E10083" s="80">
        <v>35734</v>
      </c>
    </row>
    <row r="10084" spans="1:5">
      <c r="A10084">
        <v>10725</v>
      </c>
      <c r="B10084" t="s">
        <v>174</v>
      </c>
      <c r="C10084">
        <v>144</v>
      </c>
      <c r="D10084">
        <v>6</v>
      </c>
      <c r="E10084" s="80">
        <v>35734</v>
      </c>
    </row>
    <row r="10085" spans="1:5">
      <c r="A10085">
        <v>10725</v>
      </c>
      <c r="B10085" t="s">
        <v>175</v>
      </c>
      <c r="C10085">
        <v>144</v>
      </c>
      <c r="D10085">
        <v>6</v>
      </c>
      <c r="E10085" s="80">
        <v>35734</v>
      </c>
    </row>
    <row r="10086" spans="1:5">
      <c r="A10086">
        <v>10725</v>
      </c>
      <c r="B10086" t="s">
        <v>176</v>
      </c>
      <c r="C10086">
        <v>144</v>
      </c>
      <c r="D10086">
        <v>6</v>
      </c>
      <c r="E10086" s="80">
        <v>35734</v>
      </c>
    </row>
    <row r="10087" spans="1:5">
      <c r="A10087">
        <v>10725</v>
      </c>
      <c r="B10087" t="s">
        <v>177</v>
      </c>
      <c r="C10087">
        <v>144</v>
      </c>
      <c r="D10087">
        <v>6</v>
      </c>
      <c r="E10087" s="80">
        <v>35734</v>
      </c>
    </row>
    <row r="10088" spans="1:5">
      <c r="A10088">
        <v>10725</v>
      </c>
      <c r="B10088" t="s">
        <v>178</v>
      </c>
      <c r="C10088">
        <v>144</v>
      </c>
      <c r="D10088">
        <v>6</v>
      </c>
      <c r="E10088" s="80">
        <v>35734</v>
      </c>
    </row>
    <row r="10089" spans="1:5">
      <c r="A10089">
        <v>10725</v>
      </c>
      <c r="B10089" t="s">
        <v>179</v>
      </c>
      <c r="C10089">
        <v>144</v>
      </c>
      <c r="D10089">
        <v>6</v>
      </c>
      <c r="E10089" s="80">
        <v>35734</v>
      </c>
    </row>
    <row r="10090" spans="1:5">
      <c r="A10090">
        <v>10726</v>
      </c>
      <c r="B10090" t="s">
        <v>172</v>
      </c>
      <c r="C10090">
        <v>550</v>
      </c>
      <c r="D10090">
        <v>25</v>
      </c>
      <c r="E10090" s="80">
        <v>35737</v>
      </c>
    </row>
    <row r="10091" spans="1:5">
      <c r="A10091">
        <v>10726</v>
      </c>
      <c r="B10091" t="s">
        <v>173</v>
      </c>
      <c r="C10091">
        <v>550</v>
      </c>
      <c r="D10091">
        <v>25</v>
      </c>
      <c r="E10091" s="80">
        <v>35737</v>
      </c>
    </row>
    <row r="10092" spans="1:5">
      <c r="A10092">
        <v>10726</v>
      </c>
      <c r="B10092" t="s">
        <v>174</v>
      </c>
      <c r="C10092">
        <v>550</v>
      </c>
      <c r="D10092">
        <v>25</v>
      </c>
      <c r="E10092" s="80">
        <v>35737</v>
      </c>
    </row>
    <row r="10093" spans="1:5">
      <c r="A10093">
        <v>10726</v>
      </c>
      <c r="B10093" t="s">
        <v>175</v>
      </c>
      <c r="C10093">
        <v>550</v>
      </c>
      <c r="D10093">
        <v>25</v>
      </c>
      <c r="E10093" s="80">
        <v>35737</v>
      </c>
    </row>
    <row r="10094" spans="1:5">
      <c r="A10094">
        <v>10726</v>
      </c>
      <c r="B10094" t="s">
        <v>176</v>
      </c>
      <c r="C10094">
        <v>550</v>
      </c>
      <c r="D10094">
        <v>25</v>
      </c>
      <c r="E10094" s="80">
        <v>35737</v>
      </c>
    </row>
    <row r="10095" spans="1:5">
      <c r="A10095">
        <v>10726</v>
      </c>
      <c r="B10095" t="s">
        <v>177</v>
      </c>
      <c r="C10095">
        <v>550</v>
      </c>
      <c r="D10095">
        <v>25</v>
      </c>
      <c r="E10095" s="80">
        <v>35737</v>
      </c>
    </row>
    <row r="10096" spans="1:5">
      <c r="A10096">
        <v>10726</v>
      </c>
      <c r="B10096" t="s">
        <v>178</v>
      </c>
      <c r="C10096">
        <v>550</v>
      </c>
      <c r="D10096">
        <v>25</v>
      </c>
      <c r="E10096" s="80">
        <v>35737</v>
      </c>
    </row>
    <row r="10097" spans="1:5">
      <c r="A10097">
        <v>10726</v>
      </c>
      <c r="B10097" t="s">
        <v>179</v>
      </c>
      <c r="C10097">
        <v>550</v>
      </c>
      <c r="D10097">
        <v>25</v>
      </c>
      <c r="E10097" s="80">
        <v>35737</v>
      </c>
    </row>
    <row r="10098" spans="1:5">
      <c r="A10098">
        <v>10726</v>
      </c>
      <c r="B10098" t="s">
        <v>172</v>
      </c>
      <c r="C10098">
        <v>105</v>
      </c>
      <c r="D10098">
        <v>5</v>
      </c>
      <c r="E10098" s="80">
        <v>35737</v>
      </c>
    </row>
    <row r="10099" spans="1:5">
      <c r="A10099">
        <v>10726</v>
      </c>
      <c r="B10099" t="s">
        <v>173</v>
      </c>
      <c r="C10099">
        <v>105</v>
      </c>
      <c r="D10099">
        <v>5</v>
      </c>
      <c r="E10099" s="80">
        <v>35737</v>
      </c>
    </row>
    <row r="10100" spans="1:5">
      <c r="A10100">
        <v>10726</v>
      </c>
      <c r="B10100" t="s">
        <v>174</v>
      </c>
      <c r="C10100">
        <v>105</v>
      </c>
      <c r="D10100">
        <v>5</v>
      </c>
      <c r="E10100" s="80">
        <v>35737</v>
      </c>
    </row>
    <row r="10101" spans="1:5">
      <c r="A10101">
        <v>10726</v>
      </c>
      <c r="B10101" t="s">
        <v>175</v>
      </c>
      <c r="C10101">
        <v>105</v>
      </c>
      <c r="D10101">
        <v>5</v>
      </c>
      <c r="E10101" s="80">
        <v>35737</v>
      </c>
    </row>
    <row r="10102" spans="1:5">
      <c r="A10102">
        <v>10726</v>
      </c>
      <c r="B10102" t="s">
        <v>176</v>
      </c>
      <c r="C10102">
        <v>105</v>
      </c>
      <c r="D10102">
        <v>5</v>
      </c>
      <c r="E10102" s="80">
        <v>35737</v>
      </c>
    </row>
    <row r="10103" spans="1:5">
      <c r="A10103">
        <v>10726</v>
      </c>
      <c r="B10103" t="s">
        <v>177</v>
      </c>
      <c r="C10103">
        <v>105</v>
      </c>
      <c r="D10103">
        <v>5</v>
      </c>
      <c r="E10103" s="80">
        <v>35737</v>
      </c>
    </row>
    <row r="10104" spans="1:5">
      <c r="A10104">
        <v>10726</v>
      </c>
      <c r="B10104" t="s">
        <v>178</v>
      </c>
      <c r="C10104">
        <v>105</v>
      </c>
      <c r="D10104">
        <v>5</v>
      </c>
      <c r="E10104" s="80">
        <v>35737</v>
      </c>
    </row>
    <row r="10105" spans="1:5">
      <c r="A10105">
        <v>10726</v>
      </c>
      <c r="B10105" t="s">
        <v>179</v>
      </c>
      <c r="C10105">
        <v>105</v>
      </c>
      <c r="D10105">
        <v>5</v>
      </c>
      <c r="E10105" s="80">
        <v>35737</v>
      </c>
    </row>
    <row r="10106" spans="1:5">
      <c r="A10106">
        <v>10727</v>
      </c>
      <c r="B10106" t="s">
        <v>172</v>
      </c>
      <c r="C10106">
        <v>740.99999941885471</v>
      </c>
      <c r="D10106">
        <v>20</v>
      </c>
      <c r="E10106" s="80">
        <v>35737</v>
      </c>
    </row>
    <row r="10107" spans="1:5">
      <c r="A10107">
        <v>10727</v>
      </c>
      <c r="B10107" t="s">
        <v>173</v>
      </c>
      <c r="C10107">
        <v>740.99999941885471</v>
      </c>
      <c r="D10107">
        <v>20</v>
      </c>
      <c r="E10107" s="80">
        <v>35737</v>
      </c>
    </row>
    <row r="10108" spans="1:5">
      <c r="A10108">
        <v>10727</v>
      </c>
      <c r="B10108" t="s">
        <v>174</v>
      </c>
      <c r="C10108">
        <v>740.99999941885471</v>
      </c>
      <c r="D10108">
        <v>20</v>
      </c>
      <c r="E10108" s="80">
        <v>35737</v>
      </c>
    </row>
    <row r="10109" spans="1:5">
      <c r="A10109">
        <v>10727</v>
      </c>
      <c r="B10109" t="s">
        <v>175</v>
      </c>
      <c r="C10109">
        <v>740.99999941885471</v>
      </c>
      <c r="D10109">
        <v>20</v>
      </c>
      <c r="E10109" s="80">
        <v>35737</v>
      </c>
    </row>
    <row r="10110" spans="1:5">
      <c r="A10110">
        <v>10727</v>
      </c>
      <c r="B10110" t="s">
        <v>176</v>
      </c>
      <c r="C10110">
        <v>740.99999941885471</v>
      </c>
      <c r="D10110">
        <v>20</v>
      </c>
      <c r="E10110" s="80">
        <v>35737</v>
      </c>
    </row>
    <row r="10111" spans="1:5">
      <c r="A10111">
        <v>10727</v>
      </c>
      <c r="B10111" t="s">
        <v>177</v>
      </c>
      <c r="C10111">
        <v>740.99999941885471</v>
      </c>
      <c r="D10111">
        <v>20</v>
      </c>
      <c r="E10111" s="80">
        <v>35737</v>
      </c>
    </row>
    <row r="10112" spans="1:5">
      <c r="A10112">
        <v>10727</v>
      </c>
      <c r="B10112" t="s">
        <v>178</v>
      </c>
      <c r="C10112">
        <v>740.99999941885471</v>
      </c>
      <c r="D10112">
        <v>20</v>
      </c>
      <c r="E10112" s="80">
        <v>35737</v>
      </c>
    </row>
    <row r="10113" spans="1:5">
      <c r="A10113">
        <v>10727</v>
      </c>
      <c r="B10113" t="s">
        <v>179</v>
      </c>
      <c r="C10113">
        <v>740.99999941885471</v>
      </c>
      <c r="D10113">
        <v>20</v>
      </c>
      <c r="E10113" s="80">
        <v>35737</v>
      </c>
    </row>
    <row r="10114" spans="1:5">
      <c r="A10114">
        <v>10727</v>
      </c>
      <c r="B10114" t="s">
        <v>172</v>
      </c>
      <c r="C10114">
        <v>360.99999971687794</v>
      </c>
      <c r="D10114">
        <v>10</v>
      </c>
      <c r="E10114" s="80">
        <v>35737</v>
      </c>
    </row>
    <row r="10115" spans="1:5">
      <c r="A10115">
        <v>10727</v>
      </c>
      <c r="B10115" t="s">
        <v>173</v>
      </c>
      <c r="C10115">
        <v>360.99999971687794</v>
      </c>
      <c r="D10115">
        <v>10</v>
      </c>
      <c r="E10115" s="80">
        <v>35737</v>
      </c>
    </row>
    <row r="10116" spans="1:5">
      <c r="A10116">
        <v>10727</v>
      </c>
      <c r="B10116" t="s">
        <v>174</v>
      </c>
      <c r="C10116">
        <v>360.99999971687794</v>
      </c>
      <c r="D10116">
        <v>10</v>
      </c>
      <c r="E10116" s="80">
        <v>35737</v>
      </c>
    </row>
    <row r="10117" spans="1:5">
      <c r="A10117">
        <v>10727</v>
      </c>
      <c r="B10117" t="s">
        <v>175</v>
      </c>
      <c r="C10117">
        <v>360.99999971687794</v>
      </c>
      <c r="D10117">
        <v>10</v>
      </c>
      <c r="E10117" s="80">
        <v>35737</v>
      </c>
    </row>
    <row r="10118" spans="1:5">
      <c r="A10118">
        <v>10727</v>
      </c>
      <c r="B10118" t="s">
        <v>176</v>
      </c>
      <c r="C10118">
        <v>360.99999971687794</v>
      </c>
      <c r="D10118">
        <v>10</v>
      </c>
      <c r="E10118" s="80">
        <v>35737</v>
      </c>
    </row>
    <row r="10119" spans="1:5">
      <c r="A10119">
        <v>10727</v>
      </c>
      <c r="B10119" t="s">
        <v>177</v>
      </c>
      <c r="C10119">
        <v>360.99999971687794</v>
      </c>
      <c r="D10119">
        <v>10</v>
      </c>
      <c r="E10119" s="80">
        <v>35737</v>
      </c>
    </row>
    <row r="10120" spans="1:5">
      <c r="A10120">
        <v>10727</v>
      </c>
      <c r="B10120" t="s">
        <v>178</v>
      </c>
      <c r="C10120">
        <v>360.99999971687794</v>
      </c>
      <c r="D10120">
        <v>10</v>
      </c>
      <c r="E10120" s="80">
        <v>35737</v>
      </c>
    </row>
    <row r="10121" spans="1:5">
      <c r="A10121">
        <v>10727</v>
      </c>
      <c r="B10121" t="s">
        <v>179</v>
      </c>
      <c r="C10121">
        <v>360.99999971687794</v>
      </c>
      <c r="D10121">
        <v>10</v>
      </c>
      <c r="E10121" s="80">
        <v>35737</v>
      </c>
    </row>
    <row r="10122" spans="1:5">
      <c r="A10122">
        <v>10727</v>
      </c>
      <c r="B10122" t="s">
        <v>172</v>
      </c>
      <c r="C10122">
        <v>522.49999959021807</v>
      </c>
      <c r="D10122">
        <v>10</v>
      </c>
      <c r="E10122" s="80">
        <v>35737</v>
      </c>
    </row>
    <row r="10123" spans="1:5">
      <c r="A10123">
        <v>10727</v>
      </c>
      <c r="B10123" t="s">
        <v>173</v>
      </c>
      <c r="C10123">
        <v>522.49999959021807</v>
      </c>
      <c r="D10123">
        <v>10</v>
      </c>
      <c r="E10123" s="80">
        <v>35737</v>
      </c>
    </row>
    <row r="10124" spans="1:5">
      <c r="A10124">
        <v>10727</v>
      </c>
      <c r="B10124" t="s">
        <v>174</v>
      </c>
      <c r="C10124">
        <v>522.49999959021807</v>
      </c>
      <c r="D10124">
        <v>10</v>
      </c>
      <c r="E10124" s="80">
        <v>35737</v>
      </c>
    </row>
    <row r="10125" spans="1:5">
      <c r="A10125">
        <v>10727</v>
      </c>
      <c r="B10125" t="s">
        <v>175</v>
      </c>
      <c r="C10125">
        <v>522.49999959021807</v>
      </c>
      <c r="D10125">
        <v>10</v>
      </c>
      <c r="E10125" s="80">
        <v>35737</v>
      </c>
    </row>
    <row r="10126" spans="1:5">
      <c r="A10126">
        <v>10727</v>
      </c>
      <c r="B10126" t="s">
        <v>176</v>
      </c>
      <c r="C10126">
        <v>522.49999959021807</v>
      </c>
      <c r="D10126">
        <v>10</v>
      </c>
      <c r="E10126" s="80">
        <v>35737</v>
      </c>
    </row>
    <row r="10127" spans="1:5">
      <c r="A10127">
        <v>10727</v>
      </c>
      <c r="B10127" t="s">
        <v>177</v>
      </c>
      <c r="C10127">
        <v>522.49999959021807</v>
      </c>
      <c r="D10127">
        <v>10</v>
      </c>
      <c r="E10127" s="80">
        <v>35737</v>
      </c>
    </row>
    <row r="10128" spans="1:5">
      <c r="A10128">
        <v>10727</v>
      </c>
      <c r="B10128" t="s">
        <v>178</v>
      </c>
      <c r="C10128">
        <v>522.49999959021807</v>
      </c>
      <c r="D10128">
        <v>10</v>
      </c>
      <c r="E10128" s="80">
        <v>35737</v>
      </c>
    </row>
    <row r="10129" spans="1:5">
      <c r="A10129">
        <v>10727</v>
      </c>
      <c r="B10129" t="s">
        <v>179</v>
      </c>
      <c r="C10129">
        <v>522.49999959021807</v>
      </c>
      <c r="D10129">
        <v>10</v>
      </c>
      <c r="E10129" s="80">
        <v>35737</v>
      </c>
    </row>
    <row r="10130" spans="1:5">
      <c r="A10130">
        <v>10728</v>
      </c>
      <c r="B10130" t="s">
        <v>172</v>
      </c>
      <c r="C10130">
        <v>388.35</v>
      </c>
      <c r="D10130">
        <v>15</v>
      </c>
      <c r="E10130" s="80">
        <v>35738</v>
      </c>
    </row>
    <row r="10131" spans="1:5">
      <c r="A10131">
        <v>10728</v>
      </c>
      <c r="B10131" t="s">
        <v>173</v>
      </c>
      <c r="C10131">
        <v>388.35</v>
      </c>
      <c r="D10131">
        <v>15</v>
      </c>
      <c r="E10131" s="80">
        <v>35738</v>
      </c>
    </row>
    <row r="10132" spans="1:5">
      <c r="A10132">
        <v>10728</v>
      </c>
      <c r="B10132" t="s">
        <v>174</v>
      </c>
      <c r="C10132">
        <v>388.35</v>
      </c>
      <c r="D10132">
        <v>15</v>
      </c>
      <c r="E10132" s="80">
        <v>35738</v>
      </c>
    </row>
    <row r="10133" spans="1:5">
      <c r="A10133">
        <v>10728</v>
      </c>
      <c r="B10133" t="s">
        <v>175</v>
      </c>
      <c r="C10133">
        <v>388.35</v>
      </c>
      <c r="D10133">
        <v>15</v>
      </c>
      <c r="E10133" s="80">
        <v>35738</v>
      </c>
    </row>
    <row r="10134" spans="1:5">
      <c r="A10134">
        <v>10728</v>
      </c>
      <c r="B10134" t="s">
        <v>176</v>
      </c>
      <c r="C10134">
        <v>388.35</v>
      </c>
      <c r="D10134">
        <v>15</v>
      </c>
      <c r="E10134" s="80">
        <v>35738</v>
      </c>
    </row>
    <row r="10135" spans="1:5">
      <c r="A10135">
        <v>10728</v>
      </c>
      <c r="B10135" t="s">
        <v>177</v>
      </c>
      <c r="C10135">
        <v>388.35</v>
      </c>
      <c r="D10135">
        <v>15</v>
      </c>
      <c r="E10135" s="80">
        <v>35738</v>
      </c>
    </row>
    <row r="10136" spans="1:5">
      <c r="A10136">
        <v>10728</v>
      </c>
      <c r="B10136" t="s">
        <v>178</v>
      </c>
      <c r="C10136">
        <v>388.35</v>
      </c>
      <c r="D10136">
        <v>15</v>
      </c>
      <c r="E10136" s="80">
        <v>35738</v>
      </c>
    </row>
    <row r="10137" spans="1:5">
      <c r="A10137">
        <v>10728</v>
      </c>
      <c r="B10137" t="s">
        <v>179</v>
      </c>
      <c r="C10137">
        <v>388.35</v>
      </c>
      <c r="D10137">
        <v>15</v>
      </c>
      <c r="E10137" s="80">
        <v>35738</v>
      </c>
    </row>
    <row r="10138" spans="1:5">
      <c r="A10138">
        <v>10728</v>
      </c>
      <c r="B10138" t="s">
        <v>172</v>
      </c>
      <c r="C10138">
        <v>110.4</v>
      </c>
      <c r="D10138">
        <v>6</v>
      </c>
      <c r="E10138" s="80">
        <v>35738</v>
      </c>
    </row>
    <row r="10139" spans="1:5">
      <c r="A10139">
        <v>10728</v>
      </c>
      <c r="B10139" t="s">
        <v>173</v>
      </c>
      <c r="C10139">
        <v>110.4</v>
      </c>
      <c r="D10139">
        <v>6</v>
      </c>
      <c r="E10139" s="80">
        <v>35738</v>
      </c>
    </row>
    <row r="10140" spans="1:5">
      <c r="A10140">
        <v>10728</v>
      </c>
      <c r="B10140" t="s">
        <v>174</v>
      </c>
      <c r="C10140">
        <v>110.4</v>
      </c>
      <c r="D10140">
        <v>6</v>
      </c>
      <c r="E10140" s="80">
        <v>35738</v>
      </c>
    </row>
    <row r="10141" spans="1:5">
      <c r="A10141">
        <v>10728</v>
      </c>
      <c r="B10141" t="s">
        <v>175</v>
      </c>
      <c r="C10141">
        <v>110.4</v>
      </c>
      <c r="D10141">
        <v>6</v>
      </c>
      <c r="E10141" s="80">
        <v>35738</v>
      </c>
    </row>
    <row r="10142" spans="1:5">
      <c r="A10142">
        <v>10728</v>
      </c>
      <c r="B10142" t="s">
        <v>176</v>
      </c>
      <c r="C10142">
        <v>110.4</v>
      </c>
      <c r="D10142">
        <v>6</v>
      </c>
      <c r="E10142" s="80">
        <v>35738</v>
      </c>
    </row>
    <row r="10143" spans="1:5">
      <c r="A10143">
        <v>10728</v>
      </c>
      <c r="B10143" t="s">
        <v>177</v>
      </c>
      <c r="C10143">
        <v>110.4</v>
      </c>
      <c r="D10143">
        <v>6</v>
      </c>
      <c r="E10143" s="80">
        <v>35738</v>
      </c>
    </row>
    <row r="10144" spans="1:5">
      <c r="A10144">
        <v>10728</v>
      </c>
      <c r="B10144" t="s">
        <v>178</v>
      </c>
      <c r="C10144">
        <v>110.4</v>
      </c>
      <c r="D10144">
        <v>6</v>
      </c>
      <c r="E10144" s="80">
        <v>35738</v>
      </c>
    </row>
    <row r="10145" spans="1:5">
      <c r="A10145">
        <v>10728</v>
      </c>
      <c r="B10145" t="s">
        <v>179</v>
      </c>
      <c r="C10145">
        <v>110.4</v>
      </c>
      <c r="D10145">
        <v>6</v>
      </c>
      <c r="E10145" s="80">
        <v>35738</v>
      </c>
    </row>
    <row r="10146" spans="1:5">
      <c r="A10146">
        <v>10728</v>
      </c>
      <c r="B10146" t="s">
        <v>172</v>
      </c>
      <c r="C10146">
        <v>288</v>
      </c>
      <c r="D10146">
        <v>12</v>
      </c>
      <c r="E10146" s="80">
        <v>35738</v>
      </c>
    </row>
    <row r="10147" spans="1:5">
      <c r="A10147">
        <v>10728</v>
      </c>
      <c r="B10147" t="s">
        <v>173</v>
      </c>
      <c r="C10147">
        <v>288</v>
      </c>
      <c r="D10147">
        <v>12</v>
      </c>
      <c r="E10147" s="80">
        <v>35738</v>
      </c>
    </row>
    <row r="10148" spans="1:5">
      <c r="A10148">
        <v>10728</v>
      </c>
      <c r="B10148" t="s">
        <v>174</v>
      </c>
      <c r="C10148">
        <v>288</v>
      </c>
      <c r="D10148">
        <v>12</v>
      </c>
      <c r="E10148" s="80">
        <v>35738</v>
      </c>
    </row>
    <row r="10149" spans="1:5">
      <c r="A10149">
        <v>10728</v>
      </c>
      <c r="B10149" t="s">
        <v>175</v>
      </c>
      <c r="C10149">
        <v>288</v>
      </c>
      <c r="D10149">
        <v>12</v>
      </c>
      <c r="E10149" s="80">
        <v>35738</v>
      </c>
    </row>
    <row r="10150" spans="1:5">
      <c r="A10150">
        <v>10728</v>
      </c>
      <c r="B10150" t="s">
        <v>176</v>
      </c>
      <c r="C10150">
        <v>288</v>
      </c>
      <c r="D10150">
        <v>12</v>
      </c>
      <c r="E10150" s="80">
        <v>35738</v>
      </c>
    </row>
    <row r="10151" spans="1:5">
      <c r="A10151">
        <v>10728</v>
      </c>
      <c r="B10151" t="s">
        <v>177</v>
      </c>
      <c r="C10151">
        <v>288</v>
      </c>
      <c r="D10151">
        <v>12</v>
      </c>
      <c r="E10151" s="80">
        <v>35738</v>
      </c>
    </row>
    <row r="10152" spans="1:5">
      <c r="A10152">
        <v>10728</v>
      </c>
      <c r="B10152" t="s">
        <v>178</v>
      </c>
      <c r="C10152">
        <v>288</v>
      </c>
      <c r="D10152">
        <v>12</v>
      </c>
      <c r="E10152" s="80">
        <v>35738</v>
      </c>
    </row>
    <row r="10153" spans="1:5">
      <c r="A10153">
        <v>10728</v>
      </c>
      <c r="B10153" t="s">
        <v>179</v>
      </c>
      <c r="C10153">
        <v>288</v>
      </c>
      <c r="D10153">
        <v>12</v>
      </c>
      <c r="E10153" s="80">
        <v>35738</v>
      </c>
    </row>
    <row r="10154" spans="1:5">
      <c r="A10154">
        <v>10728</v>
      </c>
      <c r="B10154" t="s">
        <v>172</v>
      </c>
      <c r="C10154">
        <v>510</v>
      </c>
      <c r="D10154">
        <v>15</v>
      </c>
      <c r="E10154" s="80">
        <v>35738</v>
      </c>
    </row>
    <row r="10155" spans="1:5">
      <c r="A10155">
        <v>10728</v>
      </c>
      <c r="B10155" t="s">
        <v>173</v>
      </c>
      <c r="C10155">
        <v>510</v>
      </c>
      <c r="D10155">
        <v>15</v>
      </c>
      <c r="E10155" s="80">
        <v>35738</v>
      </c>
    </row>
    <row r="10156" spans="1:5">
      <c r="A10156">
        <v>10728</v>
      </c>
      <c r="B10156" t="s">
        <v>174</v>
      </c>
      <c r="C10156">
        <v>510</v>
      </c>
      <c r="D10156">
        <v>15</v>
      </c>
      <c r="E10156" s="80">
        <v>35738</v>
      </c>
    </row>
    <row r="10157" spans="1:5">
      <c r="A10157">
        <v>10728</v>
      </c>
      <c r="B10157" t="s">
        <v>175</v>
      </c>
      <c r="C10157">
        <v>510</v>
      </c>
      <c r="D10157">
        <v>15</v>
      </c>
      <c r="E10157" s="80">
        <v>35738</v>
      </c>
    </row>
    <row r="10158" spans="1:5">
      <c r="A10158">
        <v>10728</v>
      </c>
      <c r="B10158" t="s">
        <v>176</v>
      </c>
      <c r="C10158">
        <v>510</v>
      </c>
      <c r="D10158">
        <v>15</v>
      </c>
      <c r="E10158" s="80">
        <v>35738</v>
      </c>
    </row>
    <row r="10159" spans="1:5">
      <c r="A10159">
        <v>10728</v>
      </c>
      <c r="B10159" t="s">
        <v>177</v>
      </c>
      <c r="C10159">
        <v>510</v>
      </c>
      <c r="D10159">
        <v>15</v>
      </c>
      <c r="E10159" s="80">
        <v>35738</v>
      </c>
    </row>
    <row r="10160" spans="1:5">
      <c r="A10160">
        <v>10728</v>
      </c>
      <c r="B10160" t="s">
        <v>178</v>
      </c>
      <c r="C10160">
        <v>510</v>
      </c>
      <c r="D10160">
        <v>15</v>
      </c>
      <c r="E10160" s="80">
        <v>35738</v>
      </c>
    </row>
    <row r="10161" spans="1:5">
      <c r="A10161">
        <v>10728</v>
      </c>
      <c r="B10161" t="s">
        <v>179</v>
      </c>
      <c r="C10161">
        <v>510</v>
      </c>
      <c r="D10161">
        <v>15</v>
      </c>
      <c r="E10161" s="80">
        <v>35738</v>
      </c>
    </row>
    <row r="10162" spans="1:5">
      <c r="A10162">
        <v>10729</v>
      </c>
      <c r="B10162" t="s">
        <v>172</v>
      </c>
      <c r="C10162">
        <v>900</v>
      </c>
      <c r="D10162">
        <v>50</v>
      </c>
      <c r="E10162" s="80">
        <v>35738</v>
      </c>
    </row>
    <row r="10163" spans="1:5">
      <c r="A10163">
        <v>10729</v>
      </c>
      <c r="B10163" t="s">
        <v>173</v>
      </c>
      <c r="C10163">
        <v>900</v>
      </c>
      <c r="D10163">
        <v>50</v>
      </c>
      <c r="E10163" s="80">
        <v>35738</v>
      </c>
    </row>
    <row r="10164" spans="1:5">
      <c r="A10164">
        <v>10729</v>
      </c>
      <c r="B10164" t="s">
        <v>174</v>
      </c>
      <c r="C10164">
        <v>900</v>
      </c>
      <c r="D10164">
        <v>50</v>
      </c>
      <c r="E10164" s="80">
        <v>35738</v>
      </c>
    </row>
    <row r="10165" spans="1:5">
      <c r="A10165">
        <v>10729</v>
      </c>
      <c r="B10165" t="s">
        <v>175</v>
      </c>
      <c r="C10165">
        <v>900</v>
      </c>
      <c r="D10165">
        <v>50</v>
      </c>
      <c r="E10165" s="80">
        <v>35738</v>
      </c>
    </row>
    <row r="10166" spans="1:5">
      <c r="A10166">
        <v>10729</v>
      </c>
      <c r="B10166" t="s">
        <v>176</v>
      </c>
      <c r="C10166">
        <v>900</v>
      </c>
      <c r="D10166">
        <v>50</v>
      </c>
      <c r="E10166" s="80">
        <v>35738</v>
      </c>
    </row>
    <row r="10167" spans="1:5">
      <c r="A10167">
        <v>10729</v>
      </c>
      <c r="B10167" t="s">
        <v>177</v>
      </c>
      <c r="C10167">
        <v>900</v>
      </c>
      <c r="D10167">
        <v>50</v>
      </c>
      <c r="E10167" s="80">
        <v>35738</v>
      </c>
    </row>
    <row r="10168" spans="1:5">
      <c r="A10168">
        <v>10729</v>
      </c>
      <c r="B10168" t="s">
        <v>178</v>
      </c>
      <c r="C10168">
        <v>900</v>
      </c>
      <c r="D10168">
        <v>50</v>
      </c>
      <c r="E10168" s="80">
        <v>35738</v>
      </c>
    </row>
    <row r="10169" spans="1:5">
      <c r="A10169">
        <v>10729</v>
      </c>
      <c r="B10169" t="s">
        <v>179</v>
      </c>
      <c r="C10169">
        <v>900</v>
      </c>
      <c r="D10169">
        <v>50</v>
      </c>
      <c r="E10169" s="80">
        <v>35738</v>
      </c>
    </row>
    <row r="10170" spans="1:5">
      <c r="A10170">
        <v>10729</v>
      </c>
      <c r="B10170" t="s">
        <v>172</v>
      </c>
      <c r="C10170">
        <v>300</v>
      </c>
      <c r="D10170">
        <v>30</v>
      </c>
      <c r="E10170" s="80">
        <v>35738</v>
      </c>
    </row>
    <row r="10171" spans="1:5">
      <c r="A10171">
        <v>10729</v>
      </c>
      <c r="B10171" t="s">
        <v>173</v>
      </c>
      <c r="C10171">
        <v>300</v>
      </c>
      <c r="D10171">
        <v>30</v>
      </c>
      <c r="E10171" s="80">
        <v>35738</v>
      </c>
    </row>
    <row r="10172" spans="1:5">
      <c r="A10172">
        <v>10729</v>
      </c>
      <c r="B10172" t="s">
        <v>174</v>
      </c>
      <c r="C10172">
        <v>300</v>
      </c>
      <c r="D10172">
        <v>30</v>
      </c>
      <c r="E10172" s="80">
        <v>35738</v>
      </c>
    </row>
    <row r="10173" spans="1:5">
      <c r="A10173">
        <v>10729</v>
      </c>
      <c r="B10173" t="s">
        <v>175</v>
      </c>
      <c r="C10173">
        <v>300</v>
      </c>
      <c r="D10173">
        <v>30</v>
      </c>
      <c r="E10173" s="80">
        <v>35738</v>
      </c>
    </row>
    <row r="10174" spans="1:5">
      <c r="A10174">
        <v>10729</v>
      </c>
      <c r="B10174" t="s">
        <v>176</v>
      </c>
      <c r="C10174">
        <v>300</v>
      </c>
      <c r="D10174">
        <v>30</v>
      </c>
      <c r="E10174" s="80">
        <v>35738</v>
      </c>
    </row>
    <row r="10175" spans="1:5">
      <c r="A10175">
        <v>10729</v>
      </c>
      <c r="B10175" t="s">
        <v>177</v>
      </c>
      <c r="C10175">
        <v>300</v>
      </c>
      <c r="D10175">
        <v>30</v>
      </c>
      <c r="E10175" s="80">
        <v>35738</v>
      </c>
    </row>
    <row r="10176" spans="1:5">
      <c r="A10176">
        <v>10729</v>
      </c>
      <c r="B10176" t="s">
        <v>178</v>
      </c>
      <c r="C10176">
        <v>300</v>
      </c>
      <c r="D10176">
        <v>30</v>
      </c>
      <c r="E10176" s="80">
        <v>35738</v>
      </c>
    </row>
    <row r="10177" spans="1:5">
      <c r="A10177">
        <v>10729</v>
      </c>
      <c r="B10177" t="s">
        <v>179</v>
      </c>
      <c r="C10177">
        <v>300</v>
      </c>
      <c r="D10177">
        <v>30</v>
      </c>
      <c r="E10177" s="80">
        <v>35738</v>
      </c>
    </row>
    <row r="10178" spans="1:5">
      <c r="A10178">
        <v>10729</v>
      </c>
      <c r="B10178" t="s">
        <v>172</v>
      </c>
      <c r="C10178">
        <v>650</v>
      </c>
      <c r="D10178">
        <v>40</v>
      </c>
      <c r="E10178" s="80">
        <v>35738</v>
      </c>
    </row>
    <row r="10179" spans="1:5">
      <c r="A10179">
        <v>10729</v>
      </c>
      <c r="B10179" t="s">
        <v>173</v>
      </c>
      <c r="C10179">
        <v>650</v>
      </c>
      <c r="D10179">
        <v>40</v>
      </c>
      <c r="E10179" s="80">
        <v>35738</v>
      </c>
    </row>
    <row r="10180" spans="1:5">
      <c r="A10180">
        <v>10729</v>
      </c>
      <c r="B10180" t="s">
        <v>174</v>
      </c>
      <c r="C10180">
        <v>650</v>
      </c>
      <c r="D10180">
        <v>40</v>
      </c>
      <c r="E10180" s="80">
        <v>35738</v>
      </c>
    </row>
    <row r="10181" spans="1:5">
      <c r="A10181">
        <v>10729</v>
      </c>
      <c r="B10181" t="s">
        <v>175</v>
      </c>
      <c r="C10181">
        <v>650</v>
      </c>
      <c r="D10181">
        <v>40</v>
      </c>
      <c r="E10181" s="80">
        <v>35738</v>
      </c>
    </row>
    <row r="10182" spans="1:5">
      <c r="A10182">
        <v>10729</v>
      </c>
      <c r="B10182" t="s">
        <v>176</v>
      </c>
      <c r="C10182">
        <v>650</v>
      </c>
      <c r="D10182">
        <v>40</v>
      </c>
      <c r="E10182" s="80">
        <v>35738</v>
      </c>
    </row>
    <row r="10183" spans="1:5">
      <c r="A10183">
        <v>10729</v>
      </c>
      <c r="B10183" t="s">
        <v>177</v>
      </c>
      <c r="C10183">
        <v>650</v>
      </c>
      <c r="D10183">
        <v>40</v>
      </c>
      <c r="E10183" s="80">
        <v>35738</v>
      </c>
    </row>
    <row r="10184" spans="1:5">
      <c r="A10184">
        <v>10729</v>
      </c>
      <c r="B10184" t="s">
        <v>178</v>
      </c>
      <c r="C10184">
        <v>650</v>
      </c>
      <c r="D10184">
        <v>40</v>
      </c>
      <c r="E10184" s="80">
        <v>35738</v>
      </c>
    </row>
    <row r="10185" spans="1:5">
      <c r="A10185">
        <v>10729</v>
      </c>
      <c r="B10185" t="s">
        <v>179</v>
      </c>
      <c r="C10185">
        <v>650</v>
      </c>
      <c r="D10185">
        <v>40</v>
      </c>
      <c r="E10185" s="80">
        <v>35738</v>
      </c>
    </row>
    <row r="10186" spans="1:5">
      <c r="A10186">
        <v>10730</v>
      </c>
      <c r="B10186" t="s">
        <v>172</v>
      </c>
      <c r="C10186">
        <v>248.66249980498105</v>
      </c>
      <c r="D10186">
        <v>15</v>
      </c>
      <c r="E10186" s="80">
        <v>35739</v>
      </c>
    </row>
    <row r="10187" spans="1:5">
      <c r="A10187">
        <v>10730</v>
      </c>
      <c r="B10187" t="s">
        <v>173</v>
      </c>
      <c r="C10187">
        <v>248.66249980498105</v>
      </c>
      <c r="D10187">
        <v>15</v>
      </c>
      <c r="E10187" s="80">
        <v>35739</v>
      </c>
    </row>
    <row r="10188" spans="1:5">
      <c r="A10188">
        <v>10730</v>
      </c>
      <c r="B10188" t="s">
        <v>174</v>
      </c>
      <c r="C10188">
        <v>248.66249980498105</v>
      </c>
      <c r="D10188">
        <v>15</v>
      </c>
      <c r="E10188" s="80">
        <v>35739</v>
      </c>
    </row>
    <row r="10189" spans="1:5">
      <c r="A10189">
        <v>10730</v>
      </c>
      <c r="B10189" t="s">
        <v>175</v>
      </c>
      <c r="C10189">
        <v>248.66249980498105</v>
      </c>
      <c r="D10189">
        <v>15</v>
      </c>
      <c r="E10189" s="80">
        <v>35739</v>
      </c>
    </row>
    <row r="10190" spans="1:5">
      <c r="A10190">
        <v>10730</v>
      </c>
      <c r="B10190" t="s">
        <v>176</v>
      </c>
      <c r="C10190">
        <v>248.66249980498105</v>
      </c>
      <c r="D10190">
        <v>15</v>
      </c>
      <c r="E10190" s="80">
        <v>35739</v>
      </c>
    </row>
    <row r="10191" spans="1:5">
      <c r="A10191">
        <v>10730</v>
      </c>
      <c r="B10191" t="s">
        <v>177</v>
      </c>
      <c r="C10191">
        <v>248.66249980498105</v>
      </c>
      <c r="D10191">
        <v>15</v>
      </c>
      <c r="E10191" s="80">
        <v>35739</v>
      </c>
    </row>
    <row r="10192" spans="1:5">
      <c r="A10192">
        <v>10730</v>
      </c>
      <c r="B10192" t="s">
        <v>178</v>
      </c>
      <c r="C10192">
        <v>248.66249980498105</v>
      </c>
      <c r="D10192">
        <v>15</v>
      </c>
      <c r="E10192" s="80">
        <v>35739</v>
      </c>
    </row>
    <row r="10193" spans="1:5">
      <c r="A10193">
        <v>10730</v>
      </c>
      <c r="B10193" t="s">
        <v>179</v>
      </c>
      <c r="C10193">
        <v>248.66249980498105</v>
      </c>
      <c r="D10193">
        <v>15</v>
      </c>
      <c r="E10193" s="80">
        <v>35739</v>
      </c>
    </row>
    <row r="10194" spans="1:5">
      <c r="A10194">
        <v>10730</v>
      </c>
      <c r="B10194" t="s">
        <v>172</v>
      </c>
      <c r="C10194">
        <v>35.624999972060323</v>
      </c>
      <c r="D10194">
        <v>3</v>
      </c>
      <c r="E10194" s="80">
        <v>35739</v>
      </c>
    </row>
    <row r="10195" spans="1:5">
      <c r="A10195">
        <v>10730</v>
      </c>
      <c r="B10195" t="s">
        <v>173</v>
      </c>
      <c r="C10195">
        <v>35.624999972060323</v>
      </c>
      <c r="D10195">
        <v>3</v>
      </c>
      <c r="E10195" s="80">
        <v>35739</v>
      </c>
    </row>
    <row r="10196" spans="1:5">
      <c r="A10196">
        <v>10730</v>
      </c>
      <c r="B10196" t="s">
        <v>174</v>
      </c>
      <c r="C10196">
        <v>35.624999972060323</v>
      </c>
      <c r="D10196">
        <v>3</v>
      </c>
      <c r="E10196" s="80">
        <v>35739</v>
      </c>
    </row>
    <row r="10197" spans="1:5">
      <c r="A10197">
        <v>10730</v>
      </c>
      <c r="B10197" t="s">
        <v>175</v>
      </c>
      <c r="C10197">
        <v>35.624999972060323</v>
      </c>
      <c r="D10197">
        <v>3</v>
      </c>
      <c r="E10197" s="80">
        <v>35739</v>
      </c>
    </row>
    <row r="10198" spans="1:5">
      <c r="A10198">
        <v>10730</v>
      </c>
      <c r="B10198" t="s">
        <v>176</v>
      </c>
      <c r="C10198">
        <v>35.624999972060323</v>
      </c>
      <c r="D10198">
        <v>3</v>
      </c>
      <c r="E10198" s="80">
        <v>35739</v>
      </c>
    </row>
    <row r="10199" spans="1:5">
      <c r="A10199">
        <v>10730</v>
      </c>
      <c r="B10199" t="s">
        <v>177</v>
      </c>
      <c r="C10199">
        <v>35.624999972060323</v>
      </c>
      <c r="D10199">
        <v>3</v>
      </c>
      <c r="E10199" s="80">
        <v>35739</v>
      </c>
    </row>
    <row r="10200" spans="1:5">
      <c r="A10200">
        <v>10730</v>
      </c>
      <c r="B10200" t="s">
        <v>178</v>
      </c>
      <c r="C10200">
        <v>35.624999972060323</v>
      </c>
      <c r="D10200">
        <v>3</v>
      </c>
      <c r="E10200" s="80">
        <v>35739</v>
      </c>
    </row>
    <row r="10201" spans="1:5">
      <c r="A10201">
        <v>10730</v>
      </c>
      <c r="B10201" t="s">
        <v>179</v>
      </c>
      <c r="C10201">
        <v>35.624999972060323</v>
      </c>
      <c r="D10201">
        <v>3</v>
      </c>
      <c r="E10201" s="80">
        <v>35739</v>
      </c>
    </row>
    <row r="10202" spans="1:5">
      <c r="A10202">
        <v>10730</v>
      </c>
      <c r="B10202" t="s">
        <v>172</v>
      </c>
      <c r="C10202">
        <v>199.97499984316528</v>
      </c>
      <c r="D10202">
        <v>10</v>
      </c>
      <c r="E10202" s="80">
        <v>35739</v>
      </c>
    </row>
    <row r="10203" spans="1:5">
      <c r="A10203">
        <v>10730</v>
      </c>
      <c r="B10203" t="s">
        <v>173</v>
      </c>
      <c r="C10203">
        <v>199.97499984316528</v>
      </c>
      <c r="D10203">
        <v>10</v>
      </c>
      <c r="E10203" s="80">
        <v>35739</v>
      </c>
    </row>
    <row r="10204" spans="1:5">
      <c r="A10204">
        <v>10730</v>
      </c>
      <c r="B10204" t="s">
        <v>174</v>
      </c>
      <c r="C10204">
        <v>199.97499984316528</v>
      </c>
      <c r="D10204">
        <v>10</v>
      </c>
      <c r="E10204" s="80">
        <v>35739</v>
      </c>
    </row>
    <row r="10205" spans="1:5">
      <c r="A10205">
        <v>10730</v>
      </c>
      <c r="B10205" t="s">
        <v>175</v>
      </c>
      <c r="C10205">
        <v>199.97499984316528</v>
      </c>
      <c r="D10205">
        <v>10</v>
      </c>
      <c r="E10205" s="80">
        <v>35739</v>
      </c>
    </row>
    <row r="10206" spans="1:5">
      <c r="A10206">
        <v>10730</v>
      </c>
      <c r="B10206" t="s">
        <v>176</v>
      </c>
      <c r="C10206">
        <v>199.97499984316528</v>
      </c>
      <c r="D10206">
        <v>10</v>
      </c>
      <c r="E10206" s="80">
        <v>35739</v>
      </c>
    </row>
    <row r="10207" spans="1:5">
      <c r="A10207">
        <v>10730</v>
      </c>
      <c r="B10207" t="s">
        <v>177</v>
      </c>
      <c r="C10207">
        <v>199.97499984316528</v>
      </c>
      <c r="D10207">
        <v>10</v>
      </c>
      <c r="E10207" s="80">
        <v>35739</v>
      </c>
    </row>
    <row r="10208" spans="1:5">
      <c r="A10208">
        <v>10730</v>
      </c>
      <c r="B10208" t="s">
        <v>178</v>
      </c>
      <c r="C10208">
        <v>199.97499984316528</v>
      </c>
      <c r="D10208">
        <v>10</v>
      </c>
      <c r="E10208" s="80">
        <v>35739</v>
      </c>
    </row>
    <row r="10209" spans="1:5">
      <c r="A10209">
        <v>10730</v>
      </c>
      <c r="B10209" t="s">
        <v>179</v>
      </c>
      <c r="C10209">
        <v>199.97499984316528</v>
      </c>
      <c r="D10209">
        <v>10</v>
      </c>
      <c r="E10209" s="80">
        <v>35739</v>
      </c>
    </row>
    <row r="10210" spans="1:5">
      <c r="A10210">
        <v>10731</v>
      </c>
      <c r="B10210" t="s">
        <v>172</v>
      </c>
      <c r="C10210">
        <v>379.99999970197678</v>
      </c>
      <c r="D10210">
        <v>40</v>
      </c>
      <c r="E10210" s="80">
        <v>35740</v>
      </c>
    </row>
    <row r="10211" spans="1:5">
      <c r="A10211">
        <v>10731</v>
      </c>
      <c r="B10211" t="s">
        <v>173</v>
      </c>
      <c r="C10211">
        <v>379.99999970197678</v>
      </c>
      <c r="D10211">
        <v>40</v>
      </c>
      <c r="E10211" s="80">
        <v>35740</v>
      </c>
    </row>
    <row r="10212" spans="1:5">
      <c r="A10212">
        <v>10731</v>
      </c>
      <c r="B10212" t="s">
        <v>174</v>
      </c>
      <c r="C10212">
        <v>379.99999970197678</v>
      </c>
      <c r="D10212">
        <v>40</v>
      </c>
      <c r="E10212" s="80">
        <v>35740</v>
      </c>
    </row>
    <row r="10213" spans="1:5">
      <c r="A10213">
        <v>10731</v>
      </c>
      <c r="B10213" t="s">
        <v>175</v>
      </c>
      <c r="C10213">
        <v>379.99999970197678</v>
      </c>
      <c r="D10213">
        <v>40</v>
      </c>
      <c r="E10213" s="80">
        <v>35740</v>
      </c>
    </row>
    <row r="10214" spans="1:5">
      <c r="A10214">
        <v>10731</v>
      </c>
      <c r="B10214" t="s">
        <v>176</v>
      </c>
      <c r="C10214">
        <v>379.99999970197678</v>
      </c>
      <c r="D10214">
        <v>40</v>
      </c>
      <c r="E10214" s="80">
        <v>35740</v>
      </c>
    </row>
    <row r="10215" spans="1:5">
      <c r="A10215">
        <v>10731</v>
      </c>
      <c r="B10215" t="s">
        <v>177</v>
      </c>
      <c r="C10215">
        <v>379.99999970197678</v>
      </c>
      <c r="D10215">
        <v>40</v>
      </c>
      <c r="E10215" s="80">
        <v>35740</v>
      </c>
    </row>
    <row r="10216" spans="1:5">
      <c r="A10216">
        <v>10731</v>
      </c>
      <c r="B10216" t="s">
        <v>178</v>
      </c>
      <c r="C10216">
        <v>379.99999970197678</v>
      </c>
      <c r="D10216">
        <v>40</v>
      </c>
      <c r="E10216" s="80">
        <v>35740</v>
      </c>
    </row>
    <row r="10217" spans="1:5">
      <c r="A10217">
        <v>10731</v>
      </c>
      <c r="B10217" t="s">
        <v>179</v>
      </c>
      <c r="C10217">
        <v>379.99999970197678</v>
      </c>
      <c r="D10217">
        <v>40</v>
      </c>
      <c r="E10217" s="80">
        <v>35740</v>
      </c>
    </row>
    <row r="10218" spans="1:5">
      <c r="A10218">
        <v>10731</v>
      </c>
      <c r="B10218" t="s">
        <v>172</v>
      </c>
      <c r="C10218">
        <v>1510.4999988153577</v>
      </c>
      <c r="D10218">
        <v>30</v>
      </c>
      <c r="E10218" s="80">
        <v>35740</v>
      </c>
    </row>
    <row r="10219" spans="1:5">
      <c r="A10219">
        <v>10731</v>
      </c>
      <c r="B10219" t="s">
        <v>173</v>
      </c>
      <c r="C10219">
        <v>1510.4999988153577</v>
      </c>
      <c r="D10219">
        <v>30</v>
      </c>
      <c r="E10219" s="80">
        <v>35740</v>
      </c>
    </row>
    <row r="10220" spans="1:5">
      <c r="A10220">
        <v>10731</v>
      </c>
      <c r="B10220" t="s">
        <v>174</v>
      </c>
      <c r="C10220">
        <v>1510.4999988153577</v>
      </c>
      <c r="D10220">
        <v>30</v>
      </c>
      <c r="E10220" s="80">
        <v>35740</v>
      </c>
    </row>
    <row r="10221" spans="1:5">
      <c r="A10221">
        <v>10731</v>
      </c>
      <c r="B10221" t="s">
        <v>175</v>
      </c>
      <c r="C10221">
        <v>1510.4999988153577</v>
      </c>
      <c r="D10221">
        <v>30</v>
      </c>
      <c r="E10221" s="80">
        <v>35740</v>
      </c>
    </row>
    <row r="10222" spans="1:5">
      <c r="A10222">
        <v>10731</v>
      </c>
      <c r="B10222" t="s">
        <v>176</v>
      </c>
      <c r="C10222">
        <v>1510.4999988153577</v>
      </c>
      <c r="D10222">
        <v>30</v>
      </c>
      <c r="E10222" s="80">
        <v>35740</v>
      </c>
    </row>
    <row r="10223" spans="1:5">
      <c r="A10223">
        <v>10731</v>
      </c>
      <c r="B10223" t="s">
        <v>177</v>
      </c>
      <c r="C10223">
        <v>1510.4999988153577</v>
      </c>
      <c r="D10223">
        <v>30</v>
      </c>
      <c r="E10223" s="80">
        <v>35740</v>
      </c>
    </row>
    <row r="10224" spans="1:5">
      <c r="A10224">
        <v>10731</v>
      </c>
      <c r="B10224" t="s">
        <v>178</v>
      </c>
      <c r="C10224">
        <v>1510.4999988153577</v>
      </c>
      <c r="D10224">
        <v>30</v>
      </c>
      <c r="E10224" s="80">
        <v>35740</v>
      </c>
    </row>
    <row r="10225" spans="1:5">
      <c r="A10225">
        <v>10731</v>
      </c>
      <c r="B10225" t="s">
        <v>179</v>
      </c>
      <c r="C10225">
        <v>1510.4999988153577</v>
      </c>
      <c r="D10225">
        <v>30</v>
      </c>
      <c r="E10225" s="80">
        <v>35740</v>
      </c>
    </row>
    <row r="10226" spans="1:5">
      <c r="A10226">
        <v>10732</v>
      </c>
      <c r="B10226" t="s">
        <v>172</v>
      </c>
      <c r="C10226">
        <v>360</v>
      </c>
      <c r="D10226">
        <v>20</v>
      </c>
      <c r="E10226" s="80">
        <v>35740</v>
      </c>
    </row>
    <row r="10227" spans="1:5">
      <c r="A10227">
        <v>10732</v>
      </c>
      <c r="B10227" t="s">
        <v>173</v>
      </c>
      <c r="C10227">
        <v>360</v>
      </c>
      <c r="D10227">
        <v>20</v>
      </c>
      <c r="E10227" s="80">
        <v>35740</v>
      </c>
    </row>
    <row r="10228" spans="1:5">
      <c r="A10228">
        <v>10732</v>
      </c>
      <c r="B10228" t="s">
        <v>174</v>
      </c>
      <c r="C10228">
        <v>360</v>
      </c>
      <c r="D10228">
        <v>20</v>
      </c>
      <c r="E10228" s="80">
        <v>35740</v>
      </c>
    </row>
    <row r="10229" spans="1:5">
      <c r="A10229">
        <v>10732</v>
      </c>
      <c r="B10229" t="s">
        <v>175</v>
      </c>
      <c r="C10229">
        <v>360</v>
      </c>
      <c r="D10229">
        <v>20</v>
      </c>
      <c r="E10229" s="80">
        <v>35740</v>
      </c>
    </row>
    <row r="10230" spans="1:5">
      <c r="A10230">
        <v>10732</v>
      </c>
      <c r="B10230" t="s">
        <v>176</v>
      </c>
      <c r="C10230">
        <v>360</v>
      </c>
      <c r="D10230">
        <v>20</v>
      </c>
      <c r="E10230" s="80">
        <v>35740</v>
      </c>
    </row>
    <row r="10231" spans="1:5">
      <c r="A10231">
        <v>10732</v>
      </c>
      <c r="B10231" t="s">
        <v>177</v>
      </c>
      <c r="C10231">
        <v>360</v>
      </c>
      <c r="D10231">
        <v>20</v>
      </c>
      <c r="E10231" s="80">
        <v>35740</v>
      </c>
    </row>
    <row r="10232" spans="1:5">
      <c r="A10232">
        <v>10732</v>
      </c>
      <c r="B10232" t="s">
        <v>178</v>
      </c>
      <c r="C10232">
        <v>360</v>
      </c>
      <c r="D10232">
        <v>20</v>
      </c>
      <c r="E10232" s="80">
        <v>35740</v>
      </c>
    </row>
    <row r="10233" spans="1:5">
      <c r="A10233">
        <v>10732</v>
      </c>
      <c r="B10233" t="s">
        <v>179</v>
      </c>
      <c r="C10233">
        <v>360</v>
      </c>
      <c r="D10233">
        <v>20</v>
      </c>
      <c r="E10233" s="80">
        <v>35740</v>
      </c>
    </row>
    <row r="10234" spans="1:5">
      <c r="A10234">
        <v>10733</v>
      </c>
      <c r="B10234" t="s">
        <v>172</v>
      </c>
      <c r="C10234">
        <v>372</v>
      </c>
      <c r="D10234">
        <v>16</v>
      </c>
      <c r="E10234" s="80">
        <v>35741</v>
      </c>
    </row>
    <row r="10235" spans="1:5">
      <c r="A10235">
        <v>10733</v>
      </c>
      <c r="B10235" t="s">
        <v>173</v>
      </c>
      <c r="C10235">
        <v>372</v>
      </c>
      <c r="D10235">
        <v>16</v>
      </c>
      <c r="E10235" s="80">
        <v>35741</v>
      </c>
    </row>
    <row r="10236" spans="1:5">
      <c r="A10236">
        <v>10733</v>
      </c>
      <c r="B10236" t="s">
        <v>174</v>
      </c>
      <c r="C10236">
        <v>372</v>
      </c>
      <c r="D10236">
        <v>16</v>
      </c>
      <c r="E10236" s="80">
        <v>35741</v>
      </c>
    </row>
    <row r="10237" spans="1:5">
      <c r="A10237">
        <v>10733</v>
      </c>
      <c r="B10237" t="s">
        <v>175</v>
      </c>
      <c r="C10237">
        <v>372</v>
      </c>
      <c r="D10237">
        <v>16</v>
      </c>
      <c r="E10237" s="80">
        <v>35741</v>
      </c>
    </row>
    <row r="10238" spans="1:5">
      <c r="A10238">
        <v>10733</v>
      </c>
      <c r="B10238" t="s">
        <v>176</v>
      </c>
      <c r="C10238">
        <v>372</v>
      </c>
      <c r="D10238">
        <v>16</v>
      </c>
      <c r="E10238" s="80">
        <v>35741</v>
      </c>
    </row>
    <row r="10239" spans="1:5">
      <c r="A10239">
        <v>10733</v>
      </c>
      <c r="B10239" t="s">
        <v>177</v>
      </c>
      <c r="C10239">
        <v>372</v>
      </c>
      <c r="D10239">
        <v>16</v>
      </c>
      <c r="E10239" s="80">
        <v>35741</v>
      </c>
    </row>
    <row r="10240" spans="1:5">
      <c r="A10240">
        <v>10733</v>
      </c>
      <c r="B10240" t="s">
        <v>178</v>
      </c>
      <c r="C10240">
        <v>372</v>
      </c>
      <c r="D10240">
        <v>16</v>
      </c>
      <c r="E10240" s="80">
        <v>35741</v>
      </c>
    </row>
    <row r="10241" spans="1:5">
      <c r="A10241">
        <v>10733</v>
      </c>
      <c r="B10241" t="s">
        <v>179</v>
      </c>
      <c r="C10241">
        <v>372</v>
      </c>
      <c r="D10241">
        <v>16</v>
      </c>
      <c r="E10241" s="80">
        <v>35741</v>
      </c>
    </row>
    <row r="10242" spans="1:5">
      <c r="A10242">
        <v>10733</v>
      </c>
      <c r="B10242" t="s">
        <v>172</v>
      </c>
      <c r="C10242">
        <v>912</v>
      </c>
      <c r="D10242">
        <v>20</v>
      </c>
      <c r="E10242" s="80">
        <v>35741</v>
      </c>
    </row>
    <row r="10243" spans="1:5">
      <c r="A10243">
        <v>10733</v>
      </c>
      <c r="B10243" t="s">
        <v>173</v>
      </c>
      <c r="C10243">
        <v>912</v>
      </c>
      <c r="D10243">
        <v>20</v>
      </c>
      <c r="E10243" s="80">
        <v>35741</v>
      </c>
    </row>
    <row r="10244" spans="1:5">
      <c r="A10244">
        <v>10733</v>
      </c>
      <c r="B10244" t="s">
        <v>174</v>
      </c>
      <c r="C10244">
        <v>912</v>
      </c>
      <c r="D10244">
        <v>20</v>
      </c>
      <c r="E10244" s="80">
        <v>35741</v>
      </c>
    </row>
    <row r="10245" spans="1:5">
      <c r="A10245">
        <v>10733</v>
      </c>
      <c r="B10245" t="s">
        <v>175</v>
      </c>
      <c r="C10245">
        <v>912</v>
      </c>
      <c r="D10245">
        <v>20</v>
      </c>
      <c r="E10245" s="80">
        <v>35741</v>
      </c>
    </row>
    <row r="10246" spans="1:5">
      <c r="A10246">
        <v>10733</v>
      </c>
      <c r="B10246" t="s">
        <v>176</v>
      </c>
      <c r="C10246">
        <v>912</v>
      </c>
      <c r="D10246">
        <v>20</v>
      </c>
      <c r="E10246" s="80">
        <v>35741</v>
      </c>
    </row>
    <row r="10247" spans="1:5">
      <c r="A10247">
        <v>10733</v>
      </c>
      <c r="B10247" t="s">
        <v>177</v>
      </c>
      <c r="C10247">
        <v>912</v>
      </c>
      <c r="D10247">
        <v>20</v>
      </c>
      <c r="E10247" s="80">
        <v>35741</v>
      </c>
    </row>
    <row r="10248" spans="1:5">
      <c r="A10248">
        <v>10733</v>
      </c>
      <c r="B10248" t="s">
        <v>178</v>
      </c>
      <c r="C10248">
        <v>912</v>
      </c>
      <c r="D10248">
        <v>20</v>
      </c>
      <c r="E10248" s="80">
        <v>35741</v>
      </c>
    </row>
    <row r="10249" spans="1:5">
      <c r="A10249">
        <v>10733</v>
      </c>
      <c r="B10249" t="s">
        <v>179</v>
      </c>
      <c r="C10249">
        <v>912</v>
      </c>
      <c r="D10249">
        <v>20</v>
      </c>
      <c r="E10249" s="80">
        <v>35741</v>
      </c>
    </row>
    <row r="10250" spans="1:5">
      <c r="A10250">
        <v>10733</v>
      </c>
      <c r="B10250" t="s">
        <v>172</v>
      </c>
      <c r="C10250">
        <v>175</v>
      </c>
      <c r="D10250">
        <v>25</v>
      </c>
      <c r="E10250" s="80">
        <v>35741</v>
      </c>
    </row>
    <row r="10251" spans="1:5">
      <c r="A10251">
        <v>10733</v>
      </c>
      <c r="B10251" t="s">
        <v>173</v>
      </c>
      <c r="C10251">
        <v>175</v>
      </c>
      <c r="D10251">
        <v>25</v>
      </c>
      <c r="E10251" s="80">
        <v>35741</v>
      </c>
    </row>
    <row r="10252" spans="1:5">
      <c r="A10252">
        <v>10733</v>
      </c>
      <c r="B10252" t="s">
        <v>174</v>
      </c>
      <c r="C10252">
        <v>175</v>
      </c>
      <c r="D10252">
        <v>25</v>
      </c>
      <c r="E10252" s="80">
        <v>35741</v>
      </c>
    </row>
    <row r="10253" spans="1:5">
      <c r="A10253">
        <v>10733</v>
      </c>
      <c r="B10253" t="s">
        <v>175</v>
      </c>
      <c r="C10253">
        <v>175</v>
      </c>
      <c r="D10253">
        <v>25</v>
      </c>
      <c r="E10253" s="80">
        <v>35741</v>
      </c>
    </row>
    <row r="10254" spans="1:5">
      <c r="A10254">
        <v>10733</v>
      </c>
      <c r="B10254" t="s">
        <v>176</v>
      </c>
      <c r="C10254">
        <v>175</v>
      </c>
      <c r="D10254">
        <v>25</v>
      </c>
      <c r="E10254" s="80">
        <v>35741</v>
      </c>
    </row>
    <row r="10255" spans="1:5">
      <c r="A10255">
        <v>10733</v>
      </c>
      <c r="B10255" t="s">
        <v>177</v>
      </c>
      <c r="C10255">
        <v>175</v>
      </c>
      <c r="D10255">
        <v>25</v>
      </c>
      <c r="E10255" s="80">
        <v>35741</v>
      </c>
    </row>
    <row r="10256" spans="1:5">
      <c r="A10256">
        <v>10733</v>
      </c>
      <c r="B10256" t="s">
        <v>178</v>
      </c>
      <c r="C10256">
        <v>175</v>
      </c>
      <c r="D10256">
        <v>25</v>
      </c>
      <c r="E10256" s="80">
        <v>35741</v>
      </c>
    </row>
    <row r="10257" spans="1:5">
      <c r="A10257">
        <v>10733</v>
      </c>
      <c r="B10257" t="s">
        <v>179</v>
      </c>
      <c r="C10257">
        <v>175</v>
      </c>
      <c r="D10257">
        <v>25</v>
      </c>
      <c r="E10257" s="80">
        <v>35741</v>
      </c>
    </row>
    <row r="10258" spans="1:5">
      <c r="A10258">
        <v>10734</v>
      </c>
      <c r="B10258" t="s">
        <v>172</v>
      </c>
      <c r="C10258">
        <v>750</v>
      </c>
      <c r="D10258">
        <v>30</v>
      </c>
      <c r="E10258" s="80">
        <v>35741</v>
      </c>
    </row>
    <row r="10259" spans="1:5">
      <c r="A10259">
        <v>10734</v>
      </c>
      <c r="B10259" t="s">
        <v>173</v>
      </c>
      <c r="C10259">
        <v>750</v>
      </c>
      <c r="D10259">
        <v>30</v>
      </c>
      <c r="E10259" s="80">
        <v>35741</v>
      </c>
    </row>
    <row r="10260" spans="1:5">
      <c r="A10260">
        <v>10734</v>
      </c>
      <c r="B10260" t="s">
        <v>174</v>
      </c>
      <c r="C10260">
        <v>750</v>
      </c>
      <c r="D10260">
        <v>30</v>
      </c>
      <c r="E10260" s="80">
        <v>35741</v>
      </c>
    </row>
    <row r="10261" spans="1:5">
      <c r="A10261">
        <v>10734</v>
      </c>
      <c r="B10261" t="s">
        <v>175</v>
      </c>
      <c r="C10261">
        <v>750</v>
      </c>
      <c r="D10261">
        <v>30</v>
      </c>
      <c r="E10261" s="80">
        <v>35741</v>
      </c>
    </row>
    <row r="10262" spans="1:5">
      <c r="A10262">
        <v>10734</v>
      </c>
      <c r="B10262" t="s">
        <v>176</v>
      </c>
      <c r="C10262">
        <v>750</v>
      </c>
      <c r="D10262">
        <v>30</v>
      </c>
      <c r="E10262" s="80">
        <v>35741</v>
      </c>
    </row>
    <row r="10263" spans="1:5">
      <c r="A10263">
        <v>10734</v>
      </c>
      <c r="B10263" t="s">
        <v>177</v>
      </c>
      <c r="C10263">
        <v>750</v>
      </c>
      <c r="D10263">
        <v>30</v>
      </c>
      <c r="E10263" s="80">
        <v>35741</v>
      </c>
    </row>
    <row r="10264" spans="1:5">
      <c r="A10264">
        <v>10734</v>
      </c>
      <c r="B10264" t="s">
        <v>178</v>
      </c>
      <c r="C10264">
        <v>750</v>
      </c>
      <c r="D10264">
        <v>30</v>
      </c>
      <c r="E10264" s="80">
        <v>35741</v>
      </c>
    </row>
    <row r="10265" spans="1:5">
      <c r="A10265">
        <v>10734</v>
      </c>
      <c r="B10265" t="s">
        <v>179</v>
      </c>
      <c r="C10265">
        <v>750</v>
      </c>
      <c r="D10265">
        <v>30</v>
      </c>
      <c r="E10265" s="80">
        <v>35741</v>
      </c>
    </row>
    <row r="10266" spans="1:5">
      <c r="A10266">
        <v>10734</v>
      </c>
      <c r="B10266" t="s">
        <v>172</v>
      </c>
      <c r="C10266">
        <v>388.35</v>
      </c>
      <c r="D10266">
        <v>15</v>
      </c>
      <c r="E10266" s="80">
        <v>35741</v>
      </c>
    </row>
    <row r="10267" spans="1:5">
      <c r="A10267">
        <v>10734</v>
      </c>
      <c r="B10267" t="s">
        <v>173</v>
      </c>
      <c r="C10267">
        <v>388.35</v>
      </c>
      <c r="D10267">
        <v>15</v>
      </c>
      <c r="E10267" s="80">
        <v>35741</v>
      </c>
    </row>
    <row r="10268" spans="1:5">
      <c r="A10268">
        <v>10734</v>
      </c>
      <c r="B10268" t="s">
        <v>174</v>
      </c>
      <c r="C10268">
        <v>388.35</v>
      </c>
      <c r="D10268">
        <v>15</v>
      </c>
      <c r="E10268" s="80">
        <v>35741</v>
      </c>
    </row>
    <row r="10269" spans="1:5">
      <c r="A10269">
        <v>10734</v>
      </c>
      <c r="B10269" t="s">
        <v>175</v>
      </c>
      <c r="C10269">
        <v>388.35</v>
      </c>
      <c r="D10269">
        <v>15</v>
      </c>
      <c r="E10269" s="80">
        <v>35741</v>
      </c>
    </row>
    <row r="10270" spans="1:5">
      <c r="A10270">
        <v>10734</v>
      </c>
      <c r="B10270" t="s">
        <v>176</v>
      </c>
      <c r="C10270">
        <v>388.35</v>
      </c>
      <c r="D10270">
        <v>15</v>
      </c>
      <c r="E10270" s="80">
        <v>35741</v>
      </c>
    </row>
    <row r="10271" spans="1:5">
      <c r="A10271">
        <v>10734</v>
      </c>
      <c r="B10271" t="s">
        <v>177</v>
      </c>
      <c r="C10271">
        <v>388.35</v>
      </c>
      <c r="D10271">
        <v>15</v>
      </c>
      <c r="E10271" s="80">
        <v>35741</v>
      </c>
    </row>
    <row r="10272" spans="1:5">
      <c r="A10272">
        <v>10734</v>
      </c>
      <c r="B10272" t="s">
        <v>178</v>
      </c>
      <c r="C10272">
        <v>388.35</v>
      </c>
      <c r="D10272">
        <v>15</v>
      </c>
      <c r="E10272" s="80">
        <v>35741</v>
      </c>
    </row>
    <row r="10273" spans="1:5">
      <c r="A10273">
        <v>10734</v>
      </c>
      <c r="B10273" t="s">
        <v>179</v>
      </c>
      <c r="C10273">
        <v>388.35</v>
      </c>
      <c r="D10273">
        <v>15</v>
      </c>
      <c r="E10273" s="80">
        <v>35741</v>
      </c>
    </row>
    <row r="10274" spans="1:5">
      <c r="A10274">
        <v>10734</v>
      </c>
      <c r="B10274" t="s">
        <v>172</v>
      </c>
      <c r="C10274">
        <v>360</v>
      </c>
      <c r="D10274">
        <v>20</v>
      </c>
      <c r="E10274" s="80">
        <v>35741</v>
      </c>
    </row>
    <row r="10275" spans="1:5">
      <c r="A10275">
        <v>10734</v>
      </c>
      <c r="B10275" t="s">
        <v>173</v>
      </c>
      <c r="C10275">
        <v>360</v>
      </c>
      <c r="D10275">
        <v>20</v>
      </c>
      <c r="E10275" s="80">
        <v>35741</v>
      </c>
    </row>
    <row r="10276" spans="1:5">
      <c r="A10276">
        <v>10734</v>
      </c>
      <c r="B10276" t="s">
        <v>174</v>
      </c>
      <c r="C10276">
        <v>360</v>
      </c>
      <c r="D10276">
        <v>20</v>
      </c>
      <c r="E10276" s="80">
        <v>35741</v>
      </c>
    </row>
    <row r="10277" spans="1:5">
      <c r="A10277">
        <v>10734</v>
      </c>
      <c r="B10277" t="s">
        <v>175</v>
      </c>
      <c r="C10277">
        <v>360</v>
      </c>
      <c r="D10277">
        <v>20</v>
      </c>
      <c r="E10277" s="80">
        <v>35741</v>
      </c>
    </row>
    <row r="10278" spans="1:5">
      <c r="A10278">
        <v>10734</v>
      </c>
      <c r="B10278" t="s">
        <v>176</v>
      </c>
      <c r="C10278">
        <v>360</v>
      </c>
      <c r="D10278">
        <v>20</v>
      </c>
      <c r="E10278" s="80">
        <v>35741</v>
      </c>
    </row>
    <row r="10279" spans="1:5">
      <c r="A10279">
        <v>10734</v>
      </c>
      <c r="B10279" t="s">
        <v>177</v>
      </c>
      <c r="C10279">
        <v>360</v>
      </c>
      <c r="D10279">
        <v>20</v>
      </c>
      <c r="E10279" s="80">
        <v>35741</v>
      </c>
    </row>
    <row r="10280" spans="1:5">
      <c r="A10280">
        <v>10734</v>
      </c>
      <c r="B10280" t="s">
        <v>178</v>
      </c>
      <c r="C10280">
        <v>360</v>
      </c>
      <c r="D10280">
        <v>20</v>
      </c>
      <c r="E10280" s="80">
        <v>35741</v>
      </c>
    </row>
    <row r="10281" spans="1:5">
      <c r="A10281">
        <v>10734</v>
      </c>
      <c r="B10281" t="s">
        <v>179</v>
      </c>
      <c r="C10281">
        <v>360</v>
      </c>
      <c r="D10281">
        <v>20</v>
      </c>
      <c r="E10281" s="80">
        <v>35741</v>
      </c>
    </row>
    <row r="10282" spans="1:5">
      <c r="A10282">
        <v>10735</v>
      </c>
      <c r="B10282" t="s">
        <v>172</v>
      </c>
      <c r="C10282">
        <v>512.99999915063381</v>
      </c>
      <c r="D10282">
        <v>20</v>
      </c>
      <c r="E10282" s="80">
        <v>35744</v>
      </c>
    </row>
    <row r="10283" spans="1:5">
      <c r="A10283">
        <v>10735</v>
      </c>
      <c r="B10283" t="s">
        <v>173</v>
      </c>
      <c r="C10283">
        <v>512.99999915063381</v>
      </c>
      <c r="D10283">
        <v>20</v>
      </c>
      <c r="E10283" s="80">
        <v>35744</v>
      </c>
    </row>
    <row r="10284" spans="1:5">
      <c r="A10284">
        <v>10735</v>
      </c>
      <c r="B10284" t="s">
        <v>174</v>
      </c>
      <c r="C10284">
        <v>512.99999915063381</v>
      </c>
      <c r="D10284">
        <v>20</v>
      </c>
      <c r="E10284" s="80">
        <v>35744</v>
      </c>
    </row>
    <row r="10285" spans="1:5">
      <c r="A10285">
        <v>10735</v>
      </c>
      <c r="B10285" t="s">
        <v>175</v>
      </c>
      <c r="C10285">
        <v>512.99999915063381</v>
      </c>
      <c r="D10285">
        <v>20</v>
      </c>
      <c r="E10285" s="80">
        <v>35744</v>
      </c>
    </row>
    <row r="10286" spans="1:5">
      <c r="A10286">
        <v>10735</v>
      </c>
      <c r="B10286" t="s">
        <v>176</v>
      </c>
      <c r="C10286">
        <v>512.99999915063381</v>
      </c>
      <c r="D10286">
        <v>20</v>
      </c>
      <c r="E10286" s="80">
        <v>35744</v>
      </c>
    </row>
    <row r="10287" spans="1:5">
      <c r="A10287">
        <v>10735</v>
      </c>
      <c r="B10287" t="s">
        <v>177</v>
      </c>
      <c r="C10287">
        <v>512.99999915063381</v>
      </c>
      <c r="D10287">
        <v>20</v>
      </c>
      <c r="E10287" s="80">
        <v>35744</v>
      </c>
    </row>
    <row r="10288" spans="1:5">
      <c r="A10288">
        <v>10735</v>
      </c>
      <c r="B10288" t="s">
        <v>178</v>
      </c>
      <c r="C10288">
        <v>512.99999915063381</v>
      </c>
      <c r="D10288">
        <v>20</v>
      </c>
      <c r="E10288" s="80">
        <v>35744</v>
      </c>
    </row>
    <row r="10289" spans="1:5">
      <c r="A10289">
        <v>10735</v>
      </c>
      <c r="B10289" t="s">
        <v>179</v>
      </c>
      <c r="C10289">
        <v>512.99999915063381</v>
      </c>
      <c r="D10289">
        <v>20</v>
      </c>
      <c r="E10289" s="80">
        <v>35744</v>
      </c>
    </row>
    <row r="10290" spans="1:5">
      <c r="A10290">
        <v>10735</v>
      </c>
      <c r="B10290" t="s">
        <v>172</v>
      </c>
      <c r="C10290">
        <v>23.399999961256981</v>
      </c>
      <c r="D10290">
        <v>2</v>
      </c>
      <c r="E10290" s="80">
        <v>35744</v>
      </c>
    </row>
    <row r="10291" spans="1:5">
      <c r="A10291">
        <v>10735</v>
      </c>
      <c r="B10291" t="s">
        <v>173</v>
      </c>
      <c r="C10291">
        <v>23.399999961256981</v>
      </c>
      <c r="D10291">
        <v>2</v>
      </c>
      <c r="E10291" s="80">
        <v>35744</v>
      </c>
    </row>
    <row r="10292" spans="1:5">
      <c r="A10292">
        <v>10735</v>
      </c>
      <c r="B10292" t="s">
        <v>174</v>
      </c>
      <c r="C10292">
        <v>23.399999961256981</v>
      </c>
      <c r="D10292">
        <v>2</v>
      </c>
      <c r="E10292" s="80">
        <v>35744</v>
      </c>
    </row>
    <row r="10293" spans="1:5">
      <c r="A10293">
        <v>10735</v>
      </c>
      <c r="B10293" t="s">
        <v>175</v>
      </c>
      <c r="C10293">
        <v>23.399999961256981</v>
      </c>
      <c r="D10293">
        <v>2</v>
      </c>
      <c r="E10293" s="80">
        <v>35744</v>
      </c>
    </row>
    <row r="10294" spans="1:5">
      <c r="A10294">
        <v>10735</v>
      </c>
      <c r="B10294" t="s">
        <v>176</v>
      </c>
      <c r="C10294">
        <v>23.399999961256981</v>
      </c>
      <c r="D10294">
        <v>2</v>
      </c>
      <c r="E10294" s="80">
        <v>35744</v>
      </c>
    </row>
    <row r="10295" spans="1:5">
      <c r="A10295">
        <v>10735</v>
      </c>
      <c r="B10295" t="s">
        <v>177</v>
      </c>
      <c r="C10295">
        <v>23.399999961256981</v>
      </c>
      <c r="D10295">
        <v>2</v>
      </c>
      <c r="E10295" s="80">
        <v>35744</v>
      </c>
    </row>
    <row r="10296" spans="1:5">
      <c r="A10296">
        <v>10735</v>
      </c>
      <c r="B10296" t="s">
        <v>178</v>
      </c>
      <c r="C10296">
        <v>23.399999961256981</v>
      </c>
      <c r="D10296">
        <v>2</v>
      </c>
      <c r="E10296" s="80">
        <v>35744</v>
      </c>
    </row>
    <row r="10297" spans="1:5">
      <c r="A10297">
        <v>10735</v>
      </c>
      <c r="B10297" t="s">
        <v>179</v>
      </c>
      <c r="C10297">
        <v>23.399999961256981</v>
      </c>
      <c r="D10297">
        <v>2</v>
      </c>
      <c r="E10297" s="80">
        <v>35744</v>
      </c>
    </row>
    <row r="10298" spans="1:5">
      <c r="A10298">
        <v>10736</v>
      </c>
      <c r="B10298" t="s">
        <v>172</v>
      </c>
      <c r="C10298">
        <v>842</v>
      </c>
      <c r="D10298">
        <v>40</v>
      </c>
      <c r="E10298" s="80">
        <v>35745</v>
      </c>
    </row>
    <row r="10299" spans="1:5">
      <c r="A10299">
        <v>10736</v>
      </c>
      <c r="B10299" t="s">
        <v>173</v>
      </c>
      <c r="C10299">
        <v>842</v>
      </c>
      <c r="D10299">
        <v>40</v>
      </c>
      <c r="E10299" s="80">
        <v>35745</v>
      </c>
    </row>
    <row r="10300" spans="1:5">
      <c r="A10300">
        <v>10736</v>
      </c>
      <c r="B10300" t="s">
        <v>174</v>
      </c>
      <c r="C10300">
        <v>842</v>
      </c>
      <c r="D10300">
        <v>40</v>
      </c>
      <c r="E10300" s="80">
        <v>35745</v>
      </c>
    </row>
    <row r="10301" spans="1:5">
      <c r="A10301">
        <v>10736</v>
      </c>
      <c r="B10301" t="s">
        <v>175</v>
      </c>
      <c r="C10301">
        <v>842</v>
      </c>
      <c r="D10301">
        <v>40</v>
      </c>
      <c r="E10301" s="80">
        <v>35745</v>
      </c>
    </row>
    <row r="10302" spans="1:5">
      <c r="A10302">
        <v>10736</v>
      </c>
      <c r="B10302" t="s">
        <v>176</v>
      </c>
      <c r="C10302">
        <v>842</v>
      </c>
      <c r="D10302">
        <v>40</v>
      </c>
      <c r="E10302" s="80">
        <v>35745</v>
      </c>
    </row>
    <row r="10303" spans="1:5">
      <c r="A10303">
        <v>10736</v>
      </c>
      <c r="B10303" t="s">
        <v>177</v>
      </c>
      <c r="C10303">
        <v>842</v>
      </c>
      <c r="D10303">
        <v>40</v>
      </c>
      <c r="E10303" s="80">
        <v>35745</v>
      </c>
    </row>
    <row r="10304" spans="1:5">
      <c r="A10304">
        <v>10736</v>
      </c>
      <c r="B10304" t="s">
        <v>178</v>
      </c>
      <c r="C10304">
        <v>842</v>
      </c>
      <c r="D10304">
        <v>40</v>
      </c>
      <c r="E10304" s="80">
        <v>35745</v>
      </c>
    </row>
    <row r="10305" spans="1:5">
      <c r="A10305">
        <v>10736</v>
      </c>
      <c r="B10305" t="s">
        <v>179</v>
      </c>
      <c r="C10305">
        <v>842</v>
      </c>
      <c r="D10305">
        <v>40</v>
      </c>
      <c r="E10305" s="80">
        <v>35745</v>
      </c>
    </row>
    <row r="10306" spans="1:5">
      <c r="A10306">
        <v>10736</v>
      </c>
      <c r="B10306" t="s">
        <v>172</v>
      </c>
      <c r="C10306">
        <v>155</v>
      </c>
      <c r="D10306">
        <v>20</v>
      </c>
      <c r="E10306" s="80">
        <v>35745</v>
      </c>
    </row>
    <row r="10307" spans="1:5">
      <c r="A10307">
        <v>10736</v>
      </c>
      <c r="B10307" t="s">
        <v>173</v>
      </c>
      <c r="C10307">
        <v>155</v>
      </c>
      <c r="D10307">
        <v>20</v>
      </c>
      <c r="E10307" s="80">
        <v>35745</v>
      </c>
    </row>
    <row r="10308" spans="1:5">
      <c r="A10308">
        <v>10736</v>
      </c>
      <c r="B10308" t="s">
        <v>174</v>
      </c>
      <c r="C10308">
        <v>155</v>
      </c>
      <c r="D10308">
        <v>20</v>
      </c>
      <c r="E10308" s="80">
        <v>35745</v>
      </c>
    </row>
    <row r="10309" spans="1:5">
      <c r="A10309">
        <v>10736</v>
      </c>
      <c r="B10309" t="s">
        <v>175</v>
      </c>
      <c r="C10309">
        <v>155</v>
      </c>
      <c r="D10309">
        <v>20</v>
      </c>
      <c r="E10309" s="80">
        <v>35745</v>
      </c>
    </row>
    <row r="10310" spans="1:5">
      <c r="A10310">
        <v>10736</v>
      </c>
      <c r="B10310" t="s">
        <v>176</v>
      </c>
      <c r="C10310">
        <v>155</v>
      </c>
      <c r="D10310">
        <v>20</v>
      </c>
      <c r="E10310" s="80">
        <v>35745</v>
      </c>
    </row>
    <row r="10311" spans="1:5">
      <c r="A10311">
        <v>10736</v>
      </c>
      <c r="B10311" t="s">
        <v>177</v>
      </c>
      <c r="C10311">
        <v>155</v>
      </c>
      <c r="D10311">
        <v>20</v>
      </c>
      <c r="E10311" s="80">
        <v>35745</v>
      </c>
    </row>
    <row r="10312" spans="1:5">
      <c r="A10312">
        <v>10736</v>
      </c>
      <c r="B10312" t="s">
        <v>178</v>
      </c>
      <c r="C10312">
        <v>155</v>
      </c>
      <c r="D10312">
        <v>20</v>
      </c>
      <c r="E10312" s="80">
        <v>35745</v>
      </c>
    </row>
    <row r="10313" spans="1:5">
      <c r="A10313">
        <v>10736</v>
      </c>
      <c r="B10313" t="s">
        <v>179</v>
      </c>
      <c r="C10313">
        <v>155</v>
      </c>
      <c r="D10313">
        <v>20</v>
      </c>
      <c r="E10313" s="80">
        <v>35745</v>
      </c>
    </row>
    <row r="10314" spans="1:5">
      <c r="A10314">
        <v>10737</v>
      </c>
      <c r="B10314" t="s">
        <v>172</v>
      </c>
      <c r="C10314">
        <v>24</v>
      </c>
      <c r="D10314">
        <v>4</v>
      </c>
      <c r="E10314" s="80">
        <v>35745</v>
      </c>
    </row>
    <row r="10315" spans="1:5">
      <c r="A10315">
        <v>10737</v>
      </c>
      <c r="B10315" t="s">
        <v>173</v>
      </c>
      <c r="C10315">
        <v>24</v>
      </c>
      <c r="D10315">
        <v>4</v>
      </c>
      <c r="E10315" s="80">
        <v>35745</v>
      </c>
    </row>
    <row r="10316" spans="1:5">
      <c r="A10316">
        <v>10737</v>
      </c>
      <c r="B10316" t="s">
        <v>174</v>
      </c>
      <c r="C10316">
        <v>24</v>
      </c>
      <c r="D10316">
        <v>4</v>
      </c>
      <c r="E10316" s="80">
        <v>35745</v>
      </c>
    </row>
    <row r="10317" spans="1:5">
      <c r="A10317">
        <v>10737</v>
      </c>
      <c r="B10317" t="s">
        <v>175</v>
      </c>
      <c r="C10317">
        <v>24</v>
      </c>
      <c r="D10317">
        <v>4</v>
      </c>
      <c r="E10317" s="80">
        <v>35745</v>
      </c>
    </row>
    <row r="10318" spans="1:5">
      <c r="A10318">
        <v>10737</v>
      </c>
      <c r="B10318" t="s">
        <v>176</v>
      </c>
      <c r="C10318">
        <v>24</v>
      </c>
      <c r="D10318">
        <v>4</v>
      </c>
      <c r="E10318" s="80">
        <v>35745</v>
      </c>
    </row>
    <row r="10319" spans="1:5">
      <c r="A10319">
        <v>10737</v>
      </c>
      <c r="B10319" t="s">
        <v>177</v>
      </c>
      <c r="C10319">
        <v>24</v>
      </c>
      <c r="D10319">
        <v>4</v>
      </c>
      <c r="E10319" s="80">
        <v>35745</v>
      </c>
    </row>
    <row r="10320" spans="1:5">
      <c r="A10320">
        <v>10737</v>
      </c>
      <c r="B10320" t="s">
        <v>178</v>
      </c>
      <c r="C10320">
        <v>24</v>
      </c>
      <c r="D10320">
        <v>4</v>
      </c>
      <c r="E10320" s="80">
        <v>35745</v>
      </c>
    </row>
    <row r="10321" spans="1:5">
      <c r="A10321">
        <v>10737</v>
      </c>
      <c r="B10321" t="s">
        <v>179</v>
      </c>
      <c r="C10321">
        <v>24</v>
      </c>
      <c r="D10321">
        <v>4</v>
      </c>
      <c r="E10321" s="80">
        <v>35745</v>
      </c>
    </row>
    <row r="10322" spans="1:5">
      <c r="A10322">
        <v>10737</v>
      </c>
      <c r="B10322" t="s">
        <v>172</v>
      </c>
      <c r="C10322">
        <v>115.8</v>
      </c>
      <c r="D10322">
        <v>12</v>
      </c>
      <c r="E10322" s="80">
        <v>35745</v>
      </c>
    </row>
    <row r="10323" spans="1:5">
      <c r="A10323">
        <v>10737</v>
      </c>
      <c r="B10323" t="s">
        <v>173</v>
      </c>
      <c r="C10323">
        <v>115.8</v>
      </c>
      <c r="D10323">
        <v>12</v>
      </c>
      <c r="E10323" s="80">
        <v>35745</v>
      </c>
    </row>
    <row r="10324" spans="1:5">
      <c r="A10324">
        <v>10737</v>
      </c>
      <c r="B10324" t="s">
        <v>174</v>
      </c>
      <c r="C10324">
        <v>115.8</v>
      </c>
      <c r="D10324">
        <v>12</v>
      </c>
      <c r="E10324" s="80">
        <v>35745</v>
      </c>
    </row>
    <row r="10325" spans="1:5">
      <c r="A10325">
        <v>10737</v>
      </c>
      <c r="B10325" t="s">
        <v>175</v>
      </c>
      <c r="C10325">
        <v>115.8</v>
      </c>
      <c r="D10325">
        <v>12</v>
      </c>
      <c r="E10325" s="80">
        <v>35745</v>
      </c>
    </row>
    <row r="10326" spans="1:5">
      <c r="A10326">
        <v>10737</v>
      </c>
      <c r="B10326" t="s">
        <v>176</v>
      </c>
      <c r="C10326">
        <v>115.8</v>
      </c>
      <c r="D10326">
        <v>12</v>
      </c>
      <c r="E10326" s="80">
        <v>35745</v>
      </c>
    </row>
    <row r="10327" spans="1:5">
      <c r="A10327">
        <v>10737</v>
      </c>
      <c r="B10327" t="s">
        <v>177</v>
      </c>
      <c r="C10327">
        <v>115.8</v>
      </c>
      <c r="D10327">
        <v>12</v>
      </c>
      <c r="E10327" s="80">
        <v>35745</v>
      </c>
    </row>
    <row r="10328" spans="1:5">
      <c r="A10328">
        <v>10737</v>
      </c>
      <c r="B10328" t="s">
        <v>178</v>
      </c>
      <c r="C10328">
        <v>115.8</v>
      </c>
      <c r="D10328">
        <v>12</v>
      </c>
      <c r="E10328" s="80">
        <v>35745</v>
      </c>
    </row>
    <row r="10329" spans="1:5">
      <c r="A10329">
        <v>10737</v>
      </c>
      <c r="B10329" t="s">
        <v>179</v>
      </c>
      <c r="C10329">
        <v>115.8</v>
      </c>
      <c r="D10329">
        <v>12</v>
      </c>
      <c r="E10329" s="80">
        <v>35745</v>
      </c>
    </row>
    <row r="10330" spans="1:5">
      <c r="A10330">
        <v>10738</v>
      </c>
      <c r="B10330" t="s">
        <v>172</v>
      </c>
      <c r="C10330">
        <v>52.35</v>
      </c>
      <c r="D10330">
        <v>3</v>
      </c>
      <c r="E10330" s="80">
        <v>35746</v>
      </c>
    </row>
    <row r="10331" spans="1:5">
      <c r="A10331">
        <v>10738</v>
      </c>
      <c r="B10331" t="s">
        <v>173</v>
      </c>
      <c r="C10331">
        <v>52.35</v>
      </c>
      <c r="D10331">
        <v>3</v>
      </c>
      <c r="E10331" s="80">
        <v>35746</v>
      </c>
    </row>
    <row r="10332" spans="1:5">
      <c r="A10332">
        <v>10738</v>
      </c>
      <c r="B10332" t="s">
        <v>174</v>
      </c>
      <c r="C10332">
        <v>52.35</v>
      </c>
      <c r="D10332">
        <v>3</v>
      </c>
      <c r="E10332" s="80">
        <v>35746</v>
      </c>
    </row>
    <row r="10333" spans="1:5">
      <c r="A10333">
        <v>10738</v>
      </c>
      <c r="B10333" t="s">
        <v>175</v>
      </c>
      <c r="C10333">
        <v>52.35</v>
      </c>
      <c r="D10333">
        <v>3</v>
      </c>
      <c r="E10333" s="80">
        <v>35746</v>
      </c>
    </row>
    <row r="10334" spans="1:5">
      <c r="A10334">
        <v>10738</v>
      </c>
      <c r="B10334" t="s">
        <v>176</v>
      </c>
      <c r="C10334">
        <v>52.35</v>
      </c>
      <c r="D10334">
        <v>3</v>
      </c>
      <c r="E10334" s="80">
        <v>35746</v>
      </c>
    </row>
    <row r="10335" spans="1:5">
      <c r="A10335">
        <v>10738</v>
      </c>
      <c r="B10335" t="s">
        <v>177</v>
      </c>
      <c r="C10335">
        <v>52.35</v>
      </c>
      <c r="D10335">
        <v>3</v>
      </c>
      <c r="E10335" s="80">
        <v>35746</v>
      </c>
    </row>
    <row r="10336" spans="1:5">
      <c r="A10336">
        <v>10738</v>
      </c>
      <c r="B10336" t="s">
        <v>178</v>
      </c>
      <c r="C10336">
        <v>52.35</v>
      </c>
      <c r="D10336">
        <v>3</v>
      </c>
      <c r="E10336" s="80">
        <v>35746</v>
      </c>
    </row>
    <row r="10337" spans="1:5">
      <c r="A10337">
        <v>10738</v>
      </c>
      <c r="B10337" t="s">
        <v>179</v>
      </c>
      <c r="C10337">
        <v>52.35</v>
      </c>
      <c r="D10337">
        <v>3</v>
      </c>
      <c r="E10337" s="80">
        <v>35746</v>
      </c>
    </row>
    <row r="10338" spans="1:5">
      <c r="A10338">
        <v>10739</v>
      </c>
      <c r="B10338" t="s">
        <v>172</v>
      </c>
      <c r="C10338">
        <v>114</v>
      </c>
      <c r="D10338">
        <v>6</v>
      </c>
      <c r="E10338" s="80">
        <v>35746</v>
      </c>
    </row>
    <row r="10339" spans="1:5">
      <c r="A10339">
        <v>10739</v>
      </c>
      <c r="B10339" t="s">
        <v>173</v>
      </c>
      <c r="C10339">
        <v>114</v>
      </c>
      <c r="D10339">
        <v>6</v>
      </c>
      <c r="E10339" s="80">
        <v>35746</v>
      </c>
    </row>
    <row r="10340" spans="1:5">
      <c r="A10340">
        <v>10739</v>
      </c>
      <c r="B10340" t="s">
        <v>174</v>
      </c>
      <c r="C10340">
        <v>114</v>
      </c>
      <c r="D10340">
        <v>6</v>
      </c>
      <c r="E10340" s="80">
        <v>35746</v>
      </c>
    </row>
    <row r="10341" spans="1:5">
      <c r="A10341">
        <v>10739</v>
      </c>
      <c r="B10341" t="s">
        <v>175</v>
      </c>
      <c r="C10341">
        <v>114</v>
      </c>
      <c r="D10341">
        <v>6</v>
      </c>
      <c r="E10341" s="80">
        <v>35746</v>
      </c>
    </row>
    <row r="10342" spans="1:5">
      <c r="A10342">
        <v>10739</v>
      </c>
      <c r="B10342" t="s">
        <v>176</v>
      </c>
      <c r="C10342">
        <v>114</v>
      </c>
      <c r="D10342">
        <v>6</v>
      </c>
      <c r="E10342" s="80">
        <v>35746</v>
      </c>
    </row>
    <row r="10343" spans="1:5">
      <c r="A10343">
        <v>10739</v>
      </c>
      <c r="B10343" t="s">
        <v>177</v>
      </c>
      <c r="C10343">
        <v>114</v>
      </c>
      <c r="D10343">
        <v>6</v>
      </c>
      <c r="E10343" s="80">
        <v>35746</v>
      </c>
    </row>
    <row r="10344" spans="1:5">
      <c r="A10344">
        <v>10739</v>
      </c>
      <c r="B10344" t="s">
        <v>178</v>
      </c>
      <c r="C10344">
        <v>114</v>
      </c>
      <c r="D10344">
        <v>6</v>
      </c>
      <c r="E10344" s="80">
        <v>35746</v>
      </c>
    </row>
    <row r="10345" spans="1:5">
      <c r="A10345">
        <v>10739</v>
      </c>
      <c r="B10345" t="s">
        <v>179</v>
      </c>
      <c r="C10345">
        <v>114</v>
      </c>
      <c r="D10345">
        <v>6</v>
      </c>
      <c r="E10345" s="80">
        <v>35746</v>
      </c>
    </row>
    <row r="10346" spans="1:5">
      <c r="A10346">
        <v>10739</v>
      </c>
      <c r="B10346" t="s">
        <v>172</v>
      </c>
      <c r="C10346">
        <v>126</v>
      </c>
      <c r="D10346">
        <v>18</v>
      </c>
      <c r="E10346" s="80">
        <v>35746</v>
      </c>
    </row>
    <row r="10347" spans="1:5">
      <c r="A10347">
        <v>10739</v>
      </c>
      <c r="B10347" t="s">
        <v>173</v>
      </c>
      <c r="C10347">
        <v>126</v>
      </c>
      <c r="D10347">
        <v>18</v>
      </c>
      <c r="E10347" s="80">
        <v>35746</v>
      </c>
    </row>
    <row r="10348" spans="1:5">
      <c r="A10348">
        <v>10739</v>
      </c>
      <c r="B10348" t="s">
        <v>174</v>
      </c>
      <c r="C10348">
        <v>126</v>
      </c>
      <c r="D10348">
        <v>18</v>
      </c>
      <c r="E10348" s="80">
        <v>35746</v>
      </c>
    </row>
    <row r="10349" spans="1:5">
      <c r="A10349">
        <v>10739</v>
      </c>
      <c r="B10349" t="s">
        <v>175</v>
      </c>
      <c r="C10349">
        <v>126</v>
      </c>
      <c r="D10349">
        <v>18</v>
      </c>
      <c r="E10349" s="80">
        <v>35746</v>
      </c>
    </row>
    <row r="10350" spans="1:5">
      <c r="A10350">
        <v>10739</v>
      </c>
      <c r="B10350" t="s">
        <v>176</v>
      </c>
      <c r="C10350">
        <v>126</v>
      </c>
      <c r="D10350">
        <v>18</v>
      </c>
      <c r="E10350" s="80">
        <v>35746</v>
      </c>
    </row>
    <row r="10351" spans="1:5">
      <c r="A10351">
        <v>10739</v>
      </c>
      <c r="B10351" t="s">
        <v>177</v>
      </c>
      <c r="C10351">
        <v>126</v>
      </c>
      <c r="D10351">
        <v>18</v>
      </c>
      <c r="E10351" s="80">
        <v>35746</v>
      </c>
    </row>
    <row r="10352" spans="1:5">
      <c r="A10352">
        <v>10739</v>
      </c>
      <c r="B10352" t="s">
        <v>178</v>
      </c>
      <c r="C10352">
        <v>126</v>
      </c>
      <c r="D10352">
        <v>18</v>
      </c>
      <c r="E10352" s="80">
        <v>35746</v>
      </c>
    </row>
    <row r="10353" spans="1:5">
      <c r="A10353">
        <v>10739</v>
      </c>
      <c r="B10353" t="s">
        <v>179</v>
      </c>
      <c r="C10353">
        <v>126</v>
      </c>
      <c r="D10353">
        <v>18</v>
      </c>
      <c r="E10353" s="80">
        <v>35746</v>
      </c>
    </row>
    <row r="10354" spans="1:5">
      <c r="A10354">
        <v>10740</v>
      </c>
      <c r="B10354" t="s">
        <v>172</v>
      </c>
      <c r="C10354">
        <v>182.39999932050705</v>
      </c>
      <c r="D10354">
        <v>5</v>
      </c>
      <c r="E10354" s="80">
        <v>35747</v>
      </c>
    </row>
    <row r="10355" spans="1:5">
      <c r="A10355">
        <v>10740</v>
      </c>
      <c r="B10355" t="s">
        <v>173</v>
      </c>
      <c r="C10355">
        <v>182.39999932050705</v>
      </c>
      <c r="D10355">
        <v>5</v>
      </c>
      <c r="E10355" s="80">
        <v>35747</v>
      </c>
    </row>
    <row r="10356" spans="1:5">
      <c r="A10356">
        <v>10740</v>
      </c>
      <c r="B10356" t="s">
        <v>174</v>
      </c>
      <c r="C10356">
        <v>182.39999932050705</v>
      </c>
      <c r="D10356">
        <v>5</v>
      </c>
      <c r="E10356" s="80">
        <v>35747</v>
      </c>
    </row>
    <row r="10357" spans="1:5">
      <c r="A10357">
        <v>10740</v>
      </c>
      <c r="B10357" t="s">
        <v>175</v>
      </c>
      <c r="C10357">
        <v>182.39999932050705</v>
      </c>
      <c r="D10357">
        <v>5</v>
      </c>
      <c r="E10357" s="80">
        <v>35747</v>
      </c>
    </row>
    <row r="10358" spans="1:5">
      <c r="A10358">
        <v>10740</v>
      </c>
      <c r="B10358" t="s">
        <v>176</v>
      </c>
      <c r="C10358">
        <v>182.39999932050705</v>
      </c>
      <c r="D10358">
        <v>5</v>
      </c>
      <c r="E10358" s="80">
        <v>35747</v>
      </c>
    </row>
    <row r="10359" spans="1:5">
      <c r="A10359">
        <v>10740</v>
      </c>
      <c r="B10359" t="s">
        <v>177</v>
      </c>
      <c r="C10359">
        <v>182.39999932050705</v>
      </c>
      <c r="D10359">
        <v>5</v>
      </c>
      <c r="E10359" s="80">
        <v>35747</v>
      </c>
    </row>
    <row r="10360" spans="1:5">
      <c r="A10360">
        <v>10740</v>
      </c>
      <c r="B10360" t="s">
        <v>178</v>
      </c>
      <c r="C10360">
        <v>182.39999932050705</v>
      </c>
      <c r="D10360">
        <v>5</v>
      </c>
      <c r="E10360" s="80">
        <v>35747</v>
      </c>
    </row>
    <row r="10361" spans="1:5">
      <c r="A10361">
        <v>10740</v>
      </c>
      <c r="B10361" t="s">
        <v>179</v>
      </c>
      <c r="C10361">
        <v>182.39999932050705</v>
      </c>
      <c r="D10361">
        <v>5</v>
      </c>
      <c r="E10361" s="80">
        <v>35747</v>
      </c>
    </row>
    <row r="10362" spans="1:5">
      <c r="A10362">
        <v>10740</v>
      </c>
      <c r="B10362" t="s">
        <v>172</v>
      </c>
      <c r="C10362">
        <v>503.99999812245369</v>
      </c>
      <c r="D10362">
        <v>35</v>
      </c>
      <c r="E10362" s="80">
        <v>35747</v>
      </c>
    </row>
    <row r="10363" spans="1:5">
      <c r="A10363">
        <v>10740</v>
      </c>
      <c r="B10363" t="s">
        <v>173</v>
      </c>
      <c r="C10363">
        <v>503.99999812245369</v>
      </c>
      <c r="D10363">
        <v>35</v>
      </c>
      <c r="E10363" s="80">
        <v>35747</v>
      </c>
    </row>
    <row r="10364" spans="1:5">
      <c r="A10364">
        <v>10740</v>
      </c>
      <c r="B10364" t="s">
        <v>174</v>
      </c>
      <c r="C10364">
        <v>503.99999812245369</v>
      </c>
      <c r="D10364">
        <v>35</v>
      </c>
      <c r="E10364" s="80">
        <v>35747</v>
      </c>
    </row>
    <row r="10365" spans="1:5">
      <c r="A10365">
        <v>10740</v>
      </c>
      <c r="B10365" t="s">
        <v>175</v>
      </c>
      <c r="C10365">
        <v>503.99999812245369</v>
      </c>
      <c r="D10365">
        <v>35</v>
      </c>
      <c r="E10365" s="80">
        <v>35747</v>
      </c>
    </row>
    <row r="10366" spans="1:5">
      <c r="A10366">
        <v>10740</v>
      </c>
      <c r="B10366" t="s">
        <v>176</v>
      </c>
      <c r="C10366">
        <v>503.99999812245369</v>
      </c>
      <c r="D10366">
        <v>35</v>
      </c>
      <c r="E10366" s="80">
        <v>35747</v>
      </c>
    </row>
    <row r="10367" spans="1:5">
      <c r="A10367">
        <v>10740</v>
      </c>
      <c r="B10367" t="s">
        <v>177</v>
      </c>
      <c r="C10367">
        <v>503.99999812245369</v>
      </c>
      <c r="D10367">
        <v>35</v>
      </c>
      <c r="E10367" s="80">
        <v>35747</v>
      </c>
    </row>
    <row r="10368" spans="1:5">
      <c r="A10368">
        <v>10740</v>
      </c>
      <c r="B10368" t="s">
        <v>178</v>
      </c>
      <c r="C10368">
        <v>503.99999812245369</v>
      </c>
      <c r="D10368">
        <v>35</v>
      </c>
      <c r="E10368" s="80">
        <v>35747</v>
      </c>
    </row>
    <row r="10369" spans="1:5">
      <c r="A10369">
        <v>10740</v>
      </c>
      <c r="B10369" t="s">
        <v>179</v>
      </c>
      <c r="C10369">
        <v>503.99999812245369</v>
      </c>
      <c r="D10369">
        <v>35</v>
      </c>
      <c r="E10369" s="80">
        <v>35747</v>
      </c>
    </row>
    <row r="10370" spans="1:5">
      <c r="A10370">
        <v>10740</v>
      </c>
      <c r="B10370" t="s">
        <v>172</v>
      </c>
      <c r="C10370">
        <v>303.99999886751175</v>
      </c>
      <c r="D10370">
        <v>40</v>
      </c>
      <c r="E10370" s="80">
        <v>35747</v>
      </c>
    </row>
    <row r="10371" spans="1:5">
      <c r="A10371">
        <v>10740</v>
      </c>
      <c r="B10371" t="s">
        <v>173</v>
      </c>
      <c r="C10371">
        <v>303.99999886751175</v>
      </c>
      <c r="D10371">
        <v>40</v>
      </c>
      <c r="E10371" s="80">
        <v>35747</v>
      </c>
    </row>
    <row r="10372" spans="1:5">
      <c r="A10372">
        <v>10740</v>
      </c>
      <c r="B10372" t="s">
        <v>174</v>
      </c>
      <c r="C10372">
        <v>303.99999886751175</v>
      </c>
      <c r="D10372">
        <v>40</v>
      </c>
      <c r="E10372" s="80">
        <v>35747</v>
      </c>
    </row>
    <row r="10373" spans="1:5">
      <c r="A10373">
        <v>10740</v>
      </c>
      <c r="B10373" t="s">
        <v>175</v>
      </c>
      <c r="C10373">
        <v>303.99999886751175</v>
      </c>
      <c r="D10373">
        <v>40</v>
      </c>
      <c r="E10373" s="80">
        <v>35747</v>
      </c>
    </row>
    <row r="10374" spans="1:5">
      <c r="A10374">
        <v>10740</v>
      </c>
      <c r="B10374" t="s">
        <v>176</v>
      </c>
      <c r="C10374">
        <v>303.99999886751175</v>
      </c>
      <c r="D10374">
        <v>40</v>
      </c>
      <c r="E10374" s="80">
        <v>35747</v>
      </c>
    </row>
    <row r="10375" spans="1:5">
      <c r="A10375">
        <v>10740</v>
      </c>
      <c r="B10375" t="s">
        <v>177</v>
      </c>
      <c r="C10375">
        <v>303.99999886751175</v>
      </c>
      <c r="D10375">
        <v>40</v>
      </c>
      <c r="E10375" s="80">
        <v>35747</v>
      </c>
    </row>
    <row r="10376" spans="1:5">
      <c r="A10376">
        <v>10740</v>
      </c>
      <c r="B10376" t="s">
        <v>178</v>
      </c>
      <c r="C10376">
        <v>303.99999886751175</v>
      </c>
      <c r="D10376">
        <v>40</v>
      </c>
      <c r="E10376" s="80">
        <v>35747</v>
      </c>
    </row>
    <row r="10377" spans="1:5">
      <c r="A10377">
        <v>10740</v>
      </c>
      <c r="B10377" t="s">
        <v>179</v>
      </c>
      <c r="C10377">
        <v>303.99999886751175</v>
      </c>
      <c r="D10377">
        <v>40</v>
      </c>
      <c r="E10377" s="80">
        <v>35747</v>
      </c>
    </row>
    <row r="10378" spans="1:5">
      <c r="A10378">
        <v>10740</v>
      </c>
      <c r="B10378" t="s">
        <v>172</v>
      </c>
      <c r="C10378">
        <v>425.59999841451645</v>
      </c>
      <c r="D10378">
        <v>14</v>
      </c>
      <c r="E10378" s="80">
        <v>35747</v>
      </c>
    </row>
    <row r="10379" spans="1:5">
      <c r="A10379">
        <v>10740</v>
      </c>
      <c r="B10379" t="s">
        <v>173</v>
      </c>
      <c r="C10379">
        <v>425.59999841451645</v>
      </c>
      <c r="D10379">
        <v>14</v>
      </c>
      <c r="E10379" s="80">
        <v>35747</v>
      </c>
    </row>
    <row r="10380" spans="1:5">
      <c r="A10380">
        <v>10740</v>
      </c>
      <c r="B10380" t="s">
        <v>174</v>
      </c>
      <c r="C10380">
        <v>425.59999841451645</v>
      </c>
      <c r="D10380">
        <v>14</v>
      </c>
      <c r="E10380" s="80">
        <v>35747</v>
      </c>
    </row>
    <row r="10381" spans="1:5">
      <c r="A10381">
        <v>10740</v>
      </c>
      <c r="B10381" t="s">
        <v>175</v>
      </c>
      <c r="C10381">
        <v>425.59999841451645</v>
      </c>
      <c r="D10381">
        <v>14</v>
      </c>
      <c r="E10381" s="80">
        <v>35747</v>
      </c>
    </row>
    <row r="10382" spans="1:5">
      <c r="A10382">
        <v>10740</v>
      </c>
      <c r="B10382" t="s">
        <v>176</v>
      </c>
      <c r="C10382">
        <v>425.59999841451645</v>
      </c>
      <c r="D10382">
        <v>14</v>
      </c>
      <c r="E10382" s="80">
        <v>35747</v>
      </c>
    </row>
    <row r="10383" spans="1:5">
      <c r="A10383">
        <v>10740</v>
      </c>
      <c r="B10383" t="s">
        <v>177</v>
      </c>
      <c r="C10383">
        <v>425.59999841451645</v>
      </c>
      <c r="D10383">
        <v>14</v>
      </c>
      <c r="E10383" s="80">
        <v>35747</v>
      </c>
    </row>
    <row r="10384" spans="1:5">
      <c r="A10384">
        <v>10740</v>
      </c>
      <c r="B10384" t="s">
        <v>178</v>
      </c>
      <c r="C10384">
        <v>425.59999841451645</v>
      </c>
      <c r="D10384">
        <v>14</v>
      </c>
      <c r="E10384" s="80">
        <v>35747</v>
      </c>
    </row>
    <row r="10385" spans="1:5">
      <c r="A10385">
        <v>10740</v>
      </c>
      <c r="B10385" t="s">
        <v>179</v>
      </c>
      <c r="C10385">
        <v>425.59999841451645</v>
      </c>
      <c r="D10385">
        <v>14</v>
      </c>
      <c r="E10385" s="80">
        <v>35747</v>
      </c>
    </row>
    <row r="10386" spans="1:5">
      <c r="A10386">
        <v>10741</v>
      </c>
      <c r="B10386" t="s">
        <v>172</v>
      </c>
      <c r="C10386">
        <v>227.99999915063381</v>
      </c>
      <c r="D10386">
        <v>15</v>
      </c>
      <c r="E10386" s="80">
        <v>35748</v>
      </c>
    </row>
    <row r="10387" spans="1:5">
      <c r="A10387">
        <v>10741</v>
      </c>
      <c r="B10387" t="s">
        <v>173</v>
      </c>
      <c r="C10387">
        <v>227.99999915063381</v>
      </c>
      <c r="D10387">
        <v>15</v>
      </c>
      <c r="E10387" s="80">
        <v>35748</v>
      </c>
    </row>
    <row r="10388" spans="1:5">
      <c r="A10388">
        <v>10741</v>
      </c>
      <c r="B10388" t="s">
        <v>174</v>
      </c>
      <c r="C10388">
        <v>227.99999915063381</v>
      </c>
      <c r="D10388">
        <v>15</v>
      </c>
      <c r="E10388" s="80">
        <v>35748</v>
      </c>
    </row>
    <row r="10389" spans="1:5">
      <c r="A10389">
        <v>10741</v>
      </c>
      <c r="B10389" t="s">
        <v>175</v>
      </c>
      <c r="C10389">
        <v>227.99999915063381</v>
      </c>
      <c r="D10389">
        <v>15</v>
      </c>
      <c r="E10389" s="80">
        <v>35748</v>
      </c>
    </row>
    <row r="10390" spans="1:5">
      <c r="A10390">
        <v>10741</v>
      </c>
      <c r="B10390" t="s">
        <v>176</v>
      </c>
      <c r="C10390">
        <v>227.99999915063381</v>
      </c>
      <c r="D10390">
        <v>15</v>
      </c>
      <c r="E10390" s="80">
        <v>35748</v>
      </c>
    </row>
    <row r="10391" spans="1:5">
      <c r="A10391">
        <v>10741</v>
      </c>
      <c r="B10391" t="s">
        <v>177</v>
      </c>
      <c r="C10391">
        <v>227.99999915063381</v>
      </c>
      <c r="D10391">
        <v>15</v>
      </c>
      <c r="E10391" s="80">
        <v>35748</v>
      </c>
    </row>
    <row r="10392" spans="1:5">
      <c r="A10392">
        <v>10741</v>
      </c>
      <c r="B10392" t="s">
        <v>178</v>
      </c>
      <c r="C10392">
        <v>227.99999915063381</v>
      </c>
      <c r="D10392">
        <v>15</v>
      </c>
      <c r="E10392" s="80">
        <v>35748</v>
      </c>
    </row>
    <row r="10393" spans="1:5">
      <c r="A10393">
        <v>10741</v>
      </c>
      <c r="B10393" t="s">
        <v>179</v>
      </c>
      <c r="C10393">
        <v>227.99999915063381</v>
      </c>
      <c r="D10393">
        <v>15</v>
      </c>
      <c r="E10393" s="80">
        <v>35748</v>
      </c>
    </row>
    <row r="10394" spans="1:5">
      <c r="A10394">
        <v>10742</v>
      </c>
      <c r="B10394" t="s">
        <v>172</v>
      </c>
      <c r="C10394">
        <v>200</v>
      </c>
      <c r="D10394">
        <v>20</v>
      </c>
      <c r="E10394" s="80">
        <v>35748</v>
      </c>
    </row>
    <row r="10395" spans="1:5">
      <c r="A10395">
        <v>10742</v>
      </c>
      <c r="B10395" t="s">
        <v>173</v>
      </c>
      <c r="C10395">
        <v>200</v>
      </c>
      <c r="D10395">
        <v>20</v>
      </c>
      <c r="E10395" s="80">
        <v>35748</v>
      </c>
    </row>
    <row r="10396" spans="1:5">
      <c r="A10396">
        <v>10742</v>
      </c>
      <c r="B10396" t="s">
        <v>174</v>
      </c>
      <c r="C10396">
        <v>200</v>
      </c>
      <c r="D10396">
        <v>20</v>
      </c>
      <c r="E10396" s="80">
        <v>35748</v>
      </c>
    </row>
    <row r="10397" spans="1:5">
      <c r="A10397">
        <v>10742</v>
      </c>
      <c r="B10397" t="s">
        <v>175</v>
      </c>
      <c r="C10397">
        <v>200</v>
      </c>
      <c r="D10397">
        <v>20</v>
      </c>
      <c r="E10397" s="80">
        <v>35748</v>
      </c>
    </row>
    <row r="10398" spans="1:5">
      <c r="A10398">
        <v>10742</v>
      </c>
      <c r="B10398" t="s">
        <v>176</v>
      </c>
      <c r="C10398">
        <v>200</v>
      </c>
      <c r="D10398">
        <v>20</v>
      </c>
      <c r="E10398" s="80">
        <v>35748</v>
      </c>
    </row>
    <row r="10399" spans="1:5">
      <c r="A10399">
        <v>10742</v>
      </c>
      <c r="B10399" t="s">
        <v>177</v>
      </c>
      <c r="C10399">
        <v>200</v>
      </c>
      <c r="D10399">
        <v>20</v>
      </c>
      <c r="E10399" s="80">
        <v>35748</v>
      </c>
    </row>
    <row r="10400" spans="1:5">
      <c r="A10400">
        <v>10742</v>
      </c>
      <c r="B10400" t="s">
        <v>178</v>
      </c>
      <c r="C10400">
        <v>200</v>
      </c>
      <c r="D10400">
        <v>20</v>
      </c>
      <c r="E10400" s="80">
        <v>35748</v>
      </c>
    </row>
    <row r="10401" spans="1:5">
      <c r="A10401">
        <v>10742</v>
      </c>
      <c r="B10401" t="s">
        <v>179</v>
      </c>
      <c r="C10401">
        <v>200</v>
      </c>
      <c r="D10401">
        <v>20</v>
      </c>
      <c r="E10401" s="80">
        <v>35748</v>
      </c>
    </row>
    <row r="10402" spans="1:5">
      <c r="A10402">
        <v>10742</v>
      </c>
      <c r="B10402" t="s">
        <v>172</v>
      </c>
      <c r="C10402">
        <v>1700</v>
      </c>
      <c r="D10402">
        <v>50</v>
      </c>
      <c r="E10402" s="80">
        <v>35748</v>
      </c>
    </row>
    <row r="10403" spans="1:5">
      <c r="A10403">
        <v>10742</v>
      </c>
      <c r="B10403" t="s">
        <v>173</v>
      </c>
      <c r="C10403">
        <v>1700</v>
      </c>
      <c r="D10403">
        <v>50</v>
      </c>
      <c r="E10403" s="80">
        <v>35748</v>
      </c>
    </row>
    <row r="10404" spans="1:5">
      <c r="A10404">
        <v>10742</v>
      </c>
      <c r="B10404" t="s">
        <v>174</v>
      </c>
      <c r="C10404">
        <v>1700</v>
      </c>
      <c r="D10404">
        <v>50</v>
      </c>
      <c r="E10404" s="80">
        <v>35748</v>
      </c>
    </row>
    <row r="10405" spans="1:5">
      <c r="A10405">
        <v>10742</v>
      </c>
      <c r="B10405" t="s">
        <v>175</v>
      </c>
      <c r="C10405">
        <v>1700</v>
      </c>
      <c r="D10405">
        <v>50</v>
      </c>
      <c r="E10405" s="80">
        <v>35748</v>
      </c>
    </row>
    <row r="10406" spans="1:5">
      <c r="A10406">
        <v>10742</v>
      </c>
      <c r="B10406" t="s">
        <v>176</v>
      </c>
      <c r="C10406">
        <v>1700</v>
      </c>
      <c r="D10406">
        <v>50</v>
      </c>
      <c r="E10406" s="80">
        <v>35748</v>
      </c>
    </row>
    <row r="10407" spans="1:5">
      <c r="A10407">
        <v>10742</v>
      </c>
      <c r="B10407" t="s">
        <v>177</v>
      </c>
      <c r="C10407">
        <v>1700</v>
      </c>
      <c r="D10407">
        <v>50</v>
      </c>
      <c r="E10407" s="80">
        <v>35748</v>
      </c>
    </row>
    <row r="10408" spans="1:5">
      <c r="A10408">
        <v>10742</v>
      </c>
      <c r="B10408" t="s">
        <v>178</v>
      </c>
      <c r="C10408">
        <v>1700</v>
      </c>
      <c r="D10408">
        <v>50</v>
      </c>
      <c r="E10408" s="80">
        <v>35748</v>
      </c>
    </row>
    <row r="10409" spans="1:5">
      <c r="A10409">
        <v>10742</v>
      </c>
      <c r="B10409" t="s">
        <v>179</v>
      </c>
      <c r="C10409">
        <v>1700</v>
      </c>
      <c r="D10409">
        <v>50</v>
      </c>
      <c r="E10409" s="80">
        <v>35748</v>
      </c>
    </row>
    <row r="10410" spans="1:5">
      <c r="A10410">
        <v>10742</v>
      </c>
      <c r="B10410" t="s">
        <v>172</v>
      </c>
      <c r="C10410">
        <v>1218</v>
      </c>
      <c r="D10410">
        <v>35</v>
      </c>
      <c r="E10410" s="80">
        <v>35748</v>
      </c>
    </row>
    <row r="10411" spans="1:5">
      <c r="A10411">
        <v>10742</v>
      </c>
      <c r="B10411" t="s">
        <v>173</v>
      </c>
      <c r="C10411">
        <v>1218</v>
      </c>
      <c r="D10411">
        <v>35</v>
      </c>
      <c r="E10411" s="80">
        <v>35748</v>
      </c>
    </row>
    <row r="10412" spans="1:5">
      <c r="A10412">
        <v>10742</v>
      </c>
      <c r="B10412" t="s">
        <v>174</v>
      </c>
      <c r="C10412">
        <v>1218</v>
      </c>
      <c r="D10412">
        <v>35</v>
      </c>
      <c r="E10412" s="80">
        <v>35748</v>
      </c>
    </row>
    <row r="10413" spans="1:5">
      <c r="A10413">
        <v>10742</v>
      </c>
      <c r="B10413" t="s">
        <v>175</v>
      </c>
      <c r="C10413">
        <v>1218</v>
      </c>
      <c r="D10413">
        <v>35</v>
      </c>
      <c r="E10413" s="80">
        <v>35748</v>
      </c>
    </row>
    <row r="10414" spans="1:5">
      <c r="A10414">
        <v>10742</v>
      </c>
      <c r="B10414" t="s">
        <v>176</v>
      </c>
      <c r="C10414">
        <v>1218</v>
      </c>
      <c r="D10414">
        <v>35</v>
      </c>
      <c r="E10414" s="80">
        <v>35748</v>
      </c>
    </row>
    <row r="10415" spans="1:5">
      <c r="A10415">
        <v>10742</v>
      </c>
      <c r="B10415" t="s">
        <v>177</v>
      </c>
      <c r="C10415">
        <v>1218</v>
      </c>
      <c r="D10415">
        <v>35</v>
      </c>
      <c r="E10415" s="80">
        <v>35748</v>
      </c>
    </row>
    <row r="10416" spans="1:5">
      <c r="A10416">
        <v>10742</v>
      </c>
      <c r="B10416" t="s">
        <v>178</v>
      </c>
      <c r="C10416">
        <v>1218</v>
      </c>
      <c r="D10416">
        <v>35</v>
      </c>
      <c r="E10416" s="80">
        <v>35748</v>
      </c>
    </row>
    <row r="10417" spans="1:5">
      <c r="A10417">
        <v>10742</v>
      </c>
      <c r="B10417" t="s">
        <v>179</v>
      </c>
      <c r="C10417">
        <v>1218</v>
      </c>
      <c r="D10417">
        <v>35</v>
      </c>
      <c r="E10417" s="80">
        <v>35748</v>
      </c>
    </row>
    <row r="10418" spans="1:5">
      <c r="A10418">
        <v>10743</v>
      </c>
      <c r="B10418" t="s">
        <v>172</v>
      </c>
      <c r="C10418">
        <v>319.19999974966049</v>
      </c>
      <c r="D10418">
        <v>28</v>
      </c>
      <c r="E10418" s="80">
        <v>35751</v>
      </c>
    </row>
    <row r="10419" spans="1:5">
      <c r="A10419">
        <v>10743</v>
      </c>
      <c r="B10419" t="s">
        <v>173</v>
      </c>
      <c r="C10419">
        <v>319.19999974966049</v>
      </c>
      <c r="D10419">
        <v>28</v>
      </c>
      <c r="E10419" s="80">
        <v>35751</v>
      </c>
    </row>
    <row r="10420" spans="1:5">
      <c r="A10420">
        <v>10743</v>
      </c>
      <c r="B10420" t="s">
        <v>174</v>
      </c>
      <c r="C10420">
        <v>319.19999974966049</v>
      </c>
      <c r="D10420">
        <v>28</v>
      </c>
      <c r="E10420" s="80">
        <v>35751</v>
      </c>
    </row>
    <row r="10421" spans="1:5">
      <c r="A10421">
        <v>10743</v>
      </c>
      <c r="B10421" t="s">
        <v>175</v>
      </c>
      <c r="C10421">
        <v>319.19999974966049</v>
      </c>
      <c r="D10421">
        <v>28</v>
      </c>
      <c r="E10421" s="80">
        <v>35751</v>
      </c>
    </row>
    <row r="10422" spans="1:5">
      <c r="A10422">
        <v>10743</v>
      </c>
      <c r="B10422" t="s">
        <v>176</v>
      </c>
      <c r="C10422">
        <v>319.19999974966049</v>
      </c>
      <c r="D10422">
        <v>28</v>
      </c>
      <c r="E10422" s="80">
        <v>35751</v>
      </c>
    </row>
    <row r="10423" spans="1:5">
      <c r="A10423">
        <v>10743</v>
      </c>
      <c r="B10423" t="s">
        <v>177</v>
      </c>
      <c r="C10423">
        <v>319.19999974966049</v>
      </c>
      <c r="D10423">
        <v>28</v>
      </c>
      <c r="E10423" s="80">
        <v>35751</v>
      </c>
    </row>
    <row r="10424" spans="1:5">
      <c r="A10424">
        <v>10743</v>
      </c>
      <c r="B10424" t="s">
        <v>178</v>
      </c>
      <c r="C10424">
        <v>319.19999974966049</v>
      </c>
      <c r="D10424">
        <v>28</v>
      </c>
      <c r="E10424" s="80">
        <v>35751</v>
      </c>
    </row>
    <row r="10425" spans="1:5">
      <c r="A10425">
        <v>10743</v>
      </c>
      <c r="B10425" t="s">
        <v>179</v>
      </c>
      <c r="C10425">
        <v>319.19999974966049</v>
      </c>
      <c r="D10425">
        <v>28</v>
      </c>
      <c r="E10425" s="80">
        <v>35751</v>
      </c>
    </row>
    <row r="10426" spans="1:5">
      <c r="A10426">
        <v>10744</v>
      </c>
      <c r="B10426" t="s">
        <v>172</v>
      </c>
      <c r="C10426">
        <v>735.99999725818634</v>
      </c>
      <c r="D10426">
        <v>50</v>
      </c>
      <c r="E10426" s="80">
        <v>35751</v>
      </c>
    </row>
    <row r="10427" spans="1:5">
      <c r="A10427">
        <v>10744</v>
      </c>
      <c r="B10427" t="s">
        <v>173</v>
      </c>
      <c r="C10427">
        <v>735.99999725818634</v>
      </c>
      <c r="D10427">
        <v>50</v>
      </c>
      <c r="E10427" s="80">
        <v>35751</v>
      </c>
    </row>
    <row r="10428" spans="1:5">
      <c r="A10428">
        <v>10744</v>
      </c>
      <c r="B10428" t="s">
        <v>174</v>
      </c>
      <c r="C10428">
        <v>735.99999725818634</v>
      </c>
      <c r="D10428">
        <v>50</v>
      </c>
      <c r="E10428" s="80">
        <v>35751</v>
      </c>
    </row>
    <row r="10429" spans="1:5">
      <c r="A10429">
        <v>10744</v>
      </c>
      <c r="B10429" t="s">
        <v>175</v>
      </c>
      <c r="C10429">
        <v>735.99999725818634</v>
      </c>
      <c r="D10429">
        <v>50</v>
      </c>
      <c r="E10429" s="80">
        <v>35751</v>
      </c>
    </row>
    <row r="10430" spans="1:5">
      <c r="A10430">
        <v>10744</v>
      </c>
      <c r="B10430" t="s">
        <v>176</v>
      </c>
      <c r="C10430">
        <v>735.99999725818634</v>
      </c>
      <c r="D10430">
        <v>50</v>
      </c>
      <c r="E10430" s="80">
        <v>35751</v>
      </c>
    </row>
    <row r="10431" spans="1:5">
      <c r="A10431">
        <v>10744</v>
      </c>
      <c r="B10431" t="s">
        <v>177</v>
      </c>
      <c r="C10431">
        <v>735.99999725818634</v>
      </c>
      <c r="D10431">
        <v>50</v>
      </c>
      <c r="E10431" s="80">
        <v>35751</v>
      </c>
    </row>
    <row r="10432" spans="1:5">
      <c r="A10432">
        <v>10744</v>
      </c>
      <c r="B10432" t="s">
        <v>178</v>
      </c>
      <c r="C10432">
        <v>735.99999725818634</v>
      </c>
      <c r="D10432">
        <v>50</v>
      </c>
      <c r="E10432" s="80">
        <v>35751</v>
      </c>
    </row>
    <row r="10433" spans="1:5">
      <c r="A10433">
        <v>10744</v>
      </c>
      <c r="B10433" t="s">
        <v>179</v>
      </c>
      <c r="C10433">
        <v>735.99999725818634</v>
      </c>
      <c r="D10433">
        <v>50</v>
      </c>
      <c r="E10433" s="80">
        <v>35751</v>
      </c>
    </row>
    <row r="10434" spans="1:5">
      <c r="A10434">
        <v>10745</v>
      </c>
      <c r="B10434" t="s">
        <v>172</v>
      </c>
      <c r="C10434">
        <v>1500</v>
      </c>
      <c r="D10434">
        <v>24</v>
      </c>
      <c r="E10434" s="80">
        <v>35752</v>
      </c>
    </row>
    <row r="10435" spans="1:5">
      <c r="A10435">
        <v>10745</v>
      </c>
      <c r="B10435" t="s">
        <v>173</v>
      </c>
      <c r="C10435">
        <v>1500</v>
      </c>
      <c r="D10435">
        <v>24</v>
      </c>
      <c r="E10435" s="80">
        <v>35752</v>
      </c>
    </row>
    <row r="10436" spans="1:5">
      <c r="A10436">
        <v>10745</v>
      </c>
      <c r="B10436" t="s">
        <v>174</v>
      </c>
      <c r="C10436">
        <v>1500</v>
      </c>
      <c r="D10436">
        <v>24</v>
      </c>
      <c r="E10436" s="80">
        <v>35752</v>
      </c>
    </row>
    <row r="10437" spans="1:5">
      <c r="A10437">
        <v>10745</v>
      </c>
      <c r="B10437" t="s">
        <v>175</v>
      </c>
      <c r="C10437">
        <v>1500</v>
      </c>
      <c r="D10437">
        <v>24</v>
      </c>
      <c r="E10437" s="80">
        <v>35752</v>
      </c>
    </row>
    <row r="10438" spans="1:5">
      <c r="A10438">
        <v>10745</v>
      </c>
      <c r="B10438" t="s">
        <v>176</v>
      </c>
      <c r="C10438">
        <v>1500</v>
      </c>
      <c r="D10438">
        <v>24</v>
      </c>
      <c r="E10438" s="80">
        <v>35752</v>
      </c>
    </row>
    <row r="10439" spans="1:5">
      <c r="A10439">
        <v>10745</v>
      </c>
      <c r="B10439" t="s">
        <v>177</v>
      </c>
      <c r="C10439">
        <v>1500</v>
      </c>
      <c r="D10439">
        <v>24</v>
      </c>
      <c r="E10439" s="80">
        <v>35752</v>
      </c>
    </row>
    <row r="10440" spans="1:5">
      <c r="A10440">
        <v>10745</v>
      </c>
      <c r="B10440" t="s">
        <v>178</v>
      </c>
      <c r="C10440">
        <v>1500</v>
      </c>
      <c r="D10440">
        <v>24</v>
      </c>
      <c r="E10440" s="80">
        <v>35752</v>
      </c>
    </row>
    <row r="10441" spans="1:5">
      <c r="A10441">
        <v>10745</v>
      </c>
      <c r="B10441" t="s">
        <v>179</v>
      </c>
      <c r="C10441">
        <v>1500</v>
      </c>
      <c r="D10441">
        <v>24</v>
      </c>
      <c r="E10441" s="80">
        <v>35752</v>
      </c>
    </row>
    <row r="10442" spans="1:5">
      <c r="A10442">
        <v>10745</v>
      </c>
      <c r="B10442" t="s">
        <v>172</v>
      </c>
      <c r="C10442">
        <v>311.2</v>
      </c>
      <c r="D10442">
        <v>16</v>
      </c>
      <c r="E10442" s="80">
        <v>35752</v>
      </c>
    </row>
    <row r="10443" spans="1:5">
      <c r="A10443">
        <v>10745</v>
      </c>
      <c r="B10443" t="s">
        <v>173</v>
      </c>
      <c r="C10443">
        <v>311.2</v>
      </c>
      <c r="D10443">
        <v>16</v>
      </c>
      <c r="E10443" s="80">
        <v>35752</v>
      </c>
    </row>
    <row r="10444" spans="1:5">
      <c r="A10444">
        <v>10745</v>
      </c>
      <c r="B10444" t="s">
        <v>174</v>
      </c>
      <c r="C10444">
        <v>311.2</v>
      </c>
      <c r="D10444">
        <v>16</v>
      </c>
      <c r="E10444" s="80">
        <v>35752</v>
      </c>
    </row>
    <row r="10445" spans="1:5">
      <c r="A10445">
        <v>10745</v>
      </c>
      <c r="B10445" t="s">
        <v>175</v>
      </c>
      <c r="C10445">
        <v>311.2</v>
      </c>
      <c r="D10445">
        <v>16</v>
      </c>
      <c r="E10445" s="80">
        <v>35752</v>
      </c>
    </row>
    <row r="10446" spans="1:5">
      <c r="A10446">
        <v>10745</v>
      </c>
      <c r="B10446" t="s">
        <v>176</v>
      </c>
      <c r="C10446">
        <v>311.2</v>
      </c>
      <c r="D10446">
        <v>16</v>
      </c>
      <c r="E10446" s="80">
        <v>35752</v>
      </c>
    </row>
    <row r="10447" spans="1:5">
      <c r="A10447">
        <v>10745</v>
      </c>
      <c r="B10447" t="s">
        <v>177</v>
      </c>
      <c r="C10447">
        <v>311.2</v>
      </c>
      <c r="D10447">
        <v>16</v>
      </c>
      <c r="E10447" s="80">
        <v>35752</v>
      </c>
    </row>
    <row r="10448" spans="1:5">
      <c r="A10448">
        <v>10745</v>
      </c>
      <c r="B10448" t="s">
        <v>178</v>
      </c>
      <c r="C10448">
        <v>311.2</v>
      </c>
      <c r="D10448">
        <v>16</v>
      </c>
      <c r="E10448" s="80">
        <v>35752</v>
      </c>
    </row>
    <row r="10449" spans="1:5">
      <c r="A10449">
        <v>10745</v>
      </c>
      <c r="B10449" t="s">
        <v>179</v>
      </c>
      <c r="C10449">
        <v>311.2</v>
      </c>
      <c r="D10449">
        <v>16</v>
      </c>
      <c r="E10449" s="80">
        <v>35752</v>
      </c>
    </row>
    <row r="10450" spans="1:5">
      <c r="A10450">
        <v>10745</v>
      </c>
      <c r="B10450" t="s">
        <v>172</v>
      </c>
      <c r="C10450">
        <v>2475</v>
      </c>
      <c r="D10450">
        <v>45</v>
      </c>
      <c r="E10450" s="80">
        <v>35752</v>
      </c>
    </row>
    <row r="10451" spans="1:5">
      <c r="A10451">
        <v>10745</v>
      </c>
      <c r="B10451" t="s">
        <v>173</v>
      </c>
      <c r="C10451">
        <v>2475</v>
      </c>
      <c r="D10451">
        <v>45</v>
      </c>
      <c r="E10451" s="80">
        <v>35752</v>
      </c>
    </row>
    <row r="10452" spans="1:5">
      <c r="A10452">
        <v>10745</v>
      </c>
      <c r="B10452" t="s">
        <v>174</v>
      </c>
      <c r="C10452">
        <v>2475</v>
      </c>
      <c r="D10452">
        <v>45</v>
      </c>
      <c r="E10452" s="80">
        <v>35752</v>
      </c>
    </row>
    <row r="10453" spans="1:5">
      <c r="A10453">
        <v>10745</v>
      </c>
      <c r="B10453" t="s">
        <v>175</v>
      </c>
      <c r="C10453">
        <v>2475</v>
      </c>
      <c r="D10453">
        <v>45</v>
      </c>
      <c r="E10453" s="80">
        <v>35752</v>
      </c>
    </row>
    <row r="10454" spans="1:5">
      <c r="A10454">
        <v>10745</v>
      </c>
      <c r="B10454" t="s">
        <v>176</v>
      </c>
      <c r="C10454">
        <v>2475</v>
      </c>
      <c r="D10454">
        <v>45</v>
      </c>
      <c r="E10454" s="80">
        <v>35752</v>
      </c>
    </row>
    <row r="10455" spans="1:5">
      <c r="A10455">
        <v>10745</v>
      </c>
      <c r="B10455" t="s">
        <v>177</v>
      </c>
      <c r="C10455">
        <v>2475</v>
      </c>
      <c r="D10455">
        <v>45</v>
      </c>
      <c r="E10455" s="80">
        <v>35752</v>
      </c>
    </row>
    <row r="10456" spans="1:5">
      <c r="A10456">
        <v>10745</v>
      </c>
      <c r="B10456" t="s">
        <v>178</v>
      </c>
      <c r="C10456">
        <v>2475</v>
      </c>
      <c r="D10456">
        <v>45</v>
      </c>
      <c r="E10456" s="80">
        <v>35752</v>
      </c>
    </row>
    <row r="10457" spans="1:5">
      <c r="A10457">
        <v>10745</v>
      </c>
      <c r="B10457" t="s">
        <v>179</v>
      </c>
      <c r="C10457">
        <v>2475</v>
      </c>
      <c r="D10457">
        <v>45</v>
      </c>
      <c r="E10457" s="80">
        <v>35752</v>
      </c>
    </row>
    <row r="10458" spans="1:5">
      <c r="A10458">
        <v>10745</v>
      </c>
      <c r="B10458" t="s">
        <v>172</v>
      </c>
      <c r="C10458">
        <v>243.6</v>
      </c>
      <c r="D10458">
        <v>7</v>
      </c>
      <c r="E10458" s="80">
        <v>35752</v>
      </c>
    </row>
    <row r="10459" spans="1:5">
      <c r="A10459">
        <v>10745</v>
      </c>
      <c r="B10459" t="s">
        <v>173</v>
      </c>
      <c r="C10459">
        <v>243.6</v>
      </c>
      <c r="D10459">
        <v>7</v>
      </c>
      <c r="E10459" s="80">
        <v>35752</v>
      </c>
    </row>
    <row r="10460" spans="1:5">
      <c r="A10460">
        <v>10745</v>
      </c>
      <c r="B10460" t="s">
        <v>174</v>
      </c>
      <c r="C10460">
        <v>243.6</v>
      </c>
      <c r="D10460">
        <v>7</v>
      </c>
      <c r="E10460" s="80">
        <v>35752</v>
      </c>
    </row>
    <row r="10461" spans="1:5">
      <c r="A10461">
        <v>10745</v>
      </c>
      <c r="B10461" t="s">
        <v>175</v>
      </c>
      <c r="C10461">
        <v>243.6</v>
      </c>
      <c r="D10461">
        <v>7</v>
      </c>
      <c r="E10461" s="80">
        <v>35752</v>
      </c>
    </row>
    <row r="10462" spans="1:5">
      <c r="A10462">
        <v>10745</v>
      </c>
      <c r="B10462" t="s">
        <v>176</v>
      </c>
      <c r="C10462">
        <v>243.6</v>
      </c>
      <c r="D10462">
        <v>7</v>
      </c>
      <c r="E10462" s="80">
        <v>35752</v>
      </c>
    </row>
    <row r="10463" spans="1:5">
      <c r="A10463">
        <v>10745</v>
      </c>
      <c r="B10463" t="s">
        <v>177</v>
      </c>
      <c r="C10463">
        <v>243.6</v>
      </c>
      <c r="D10463">
        <v>7</v>
      </c>
      <c r="E10463" s="80">
        <v>35752</v>
      </c>
    </row>
    <row r="10464" spans="1:5">
      <c r="A10464">
        <v>10745</v>
      </c>
      <c r="B10464" t="s">
        <v>178</v>
      </c>
      <c r="C10464">
        <v>243.6</v>
      </c>
      <c r="D10464">
        <v>7</v>
      </c>
      <c r="E10464" s="80">
        <v>35752</v>
      </c>
    </row>
    <row r="10465" spans="1:5">
      <c r="A10465">
        <v>10745</v>
      </c>
      <c r="B10465" t="s">
        <v>179</v>
      </c>
      <c r="C10465">
        <v>243.6</v>
      </c>
      <c r="D10465">
        <v>7</v>
      </c>
      <c r="E10465" s="80">
        <v>35752</v>
      </c>
    </row>
    <row r="10466" spans="1:5">
      <c r="A10466">
        <v>10746</v>
      </c>
      <c r="B10466" t="s">
        <v>172</v>
      </c>
      <c r="C10466">
        <v>36</v>
      </c>
      <c r="D10466">
        <v>6</v>
      </c>
      <c r="E10466" s="80">
        <v>35753</v>
      </c>
    </row>
    <row r="10467" spans="1:5">
      <c r="A10467">
        <v>10746</v>
      </c>
      <c r="B10467" t="s">
        <v>173</v>
      </c>
      <c r="C10467">
        <v>36</v>
      </c>
      <c r="D10467">
        <v>6</v>
      </c>
      <c r="E10467" s="80">
        <v>35753</v>
      </c>
    </row>
    <row r="10468" spans="1:5">
      <c r="A10468">
        <v>10746</v>
      </c>
      <c r="B10468" t="s">
        <v>174</v>
      </c>
      <c r="C10468">
        <v>36</v>
      </c>
      <c r="D10468">
        <v>6</v>
      </c>
      <c r="E10468" s="80">
        <v>35753</v>
      </c>
    </row>
    <row r="10469" spans="1:5">
      <c r="A10469">
        <v>10746</v>
      </c>
      <c r="B10469" t="s">
        <v>175</v>
      </c>
      <c r="C10469">
        <v>36</v>
      </c>
      <c r="D10469">
        <v>6</v>
      </c>
      <c r="E10469" s="80">
        <v>35753</v>
      </c>
    </row>
    <row r="10470" spans="1:5">
      <c r="A10470">
        <v>10746</v>
      </c>
      <c r="B10470" t="s">
        <v>176</v>
      </c>
      <c r="C10470">
        <v>36</v>
      </c>
      <c r="D10470">
        <v>6</v>
      </c>
      <c r="E10470" s="80">
        <v>35753</v>
      </c>
    </row>
    <row r="10471" spans="1:5">
      <c r="A10471">
        <v>10746</v>
      </c>
      <c r="B10471" t="s">
        <v>177</v>
      </c>
      <c r="C10471">
        <v>36</v>
      </c>
      <c r="D10471">
        <v>6</v>
      </c>
      <c r="E10471" s="80">
        <v>35753</v>
      </c>
    </row>
    <row r="10472" spans="1:5">
      <c r="A10472">
        <v>10746</v>
      </c>
      <c r="B10472" t="s">
        <v>178</v>
      </c>
      <c r="C10472">
        <v>36</v>
      </c>
      <c r="D10472">
        <v>6</v>
      </c>
      <c r="E10472" s="80">
        <v>35753</v>
      </c>
    </row>
    <row r="10473" spans="1:5">
      <c r="A10473">
        <v>10746</v>
      </c>
      <c r="B10473" t="s">
        <v>179</v>
      </c>
      <c r="C10473">
        <v>36</v>
      </c>
      <c r="D10473">
        <v>6</v>
      </c>
      <c r="E10473" s="80">
        <v>35753</v>
      </c>
    </row>
    <row r="10474" spans="1:5">
      <c r="A10474">
        <v>10746</v>
      </c>
      <c r="B10474" t="s">
        <v>172</v>
      </c>
      <c r="C10474">
        <v>392</v>
      </c>
      <c r="D10474">
        <v>28</v>
      </c>
      <c r="E10474" s="80">
        <v>35753</v>
      </c>
    </row>
    <row r="10475" spans="1:5">
      <c r="A10475">
        <v>10746</v>
      </c>
      <c r="B10475" t="s">
        <v>173</v>
      </c>
      <c r="C10475">
        <v>392</v>
      </c>
      <c r="D10475">
        <v>28</v>
      </c>
      <c r="E10475" s="80">
        <v>35753</v>
      </c>
    </row>
    <row r="10476" spans="1:5">
      <c r="A10476">
        <v>10746</v>
      </c>
      <c r="B10476" t="s">
        <v>174</v>
      </c>
      <c r="C10476">
        <v>392</v>
      </c>
      <c r="D10476">
        <v>28</v>
      </c>
      <c r="E10476" s="80">
        <v>35753</v>
      </c>
    </row>
    <row r="10477" spans="1:5">
      <c r="A10477">
        <v>10746</v>
      </c>
      <c r="B10477" t="s">
        <v>175</v>
      </c>
      <c r="C10477">
        <v>392</v>
      </c>
      <c r="D10477">
        <v>28</v>
      </c>
      <c r="E10477" s="80">
        <v>35753</v>
      </c>
    </row>
    <row r="10478" spans="1:5">
      <c r="A10478">
        <v>10746</v>
      </c>
      <c r="B10478" t="s">
        <v>176</v>
      </c>
      <c r="C10478">
        <v>392</v>
      </c>
      <c r="D10478">
        <v>28</v>
      </c>
      <c r="E10478" s="80">
        <v>35753</v>
      </c>
    </row>
    <row r="10479" spans="1:5">
      <c r="A10479">
        <v>10746</v>
      </c>
      <c r="B10479" t="s">
        <v>177</v>
      </c>
      <c r="C10479">
        <v>392</v>
      </c>
      <c r="D10479">
        <v>28</v>
      </c>
      <c r="E10479" s="80">
        <v>35753</v>
      </c>
    </row>
    <row r="10480" spans="1:5">
      <c r="A10480">
        <v>10746</v>
      </c>
      <c r="B10480" t="s">
        <v>178</v>
      </c>
      <c r="C10480">
        <v>392</v>
      </c>
      <c r="D10480">
        <v>28</v>
      </c>
      <c r="E10480" s="80">
        <v>35753</v>
      </c>
    </row>
    <row r="10481" spans="1:5">
      <c r="A10481">
        <v>10746</v>
      </c>
      <c r="B10481" t="s">
        <v>179</v>
      </c>
      <c r="C10481">
        <v>392</v>
      </c>
      <c r="D10481">
        <v>28</v>
      </c>
      <c r="E10481" s="80">
        <v>35753</v>
      </c>
    </row>
    <row r="10482" spans="1:5">
      <c r="A10482">
        <v>10746</v>
      </c>
      <c r="B10482" t="s">
        <v>172</v>
      </c>
      <c r="C10482">
        <v>443.7</v>
      </c>
      <c r="D10482">
        <v>9</v>
      </c>
      <c r="E10482" s="80">
        <v>35753</v>
      </c>
    </row>
    <row r="10483" spans="1:5">
      <c r="A10483">
        <v>10746</v>
      </c>
      <c r="B10483" t="s">
        <v>173</v>
      </c>
      <c r="C10483">
        <v>443.7</v>
      </c>
      <c r="D10483">
        <v>9</v>
      </c>
      <c r="E10483" s="80">
        <v>35753</v>
      </c>
    </row>
    <row r="10484" spans="1:5">
      <c r="A10484">
        <v>10746</v>
      </c>
      <c r="B10484" t="s">
        <v>174</v>
      </c>
      <c r="C10484">
        <v>443.7</v>
      </c>
      <c r="D10484">
        <v>9</v>
      </c>
      <c r="E10484" s="80">
        <v>35753</v>
      </c>
    </row>
    <row r="10485" spans="1:5">
      <c r="A10485">
        <v>10746</v>
      </c>
      <c r="B10485" t="s">
        <v>175</v>
      </c>
      <c r="C10485">
        <v>443.7</v>
      </c>
      <c r="D10485">
        <v>9</v>
      </c>
      <c r="E10485" s="80">
        <v>35753</v>
      </c>
    </row>
    <row r="10486" spans="1:5">
      <c r="A10486">
        <v>10746</v>
      </c>
      <c r="B10486" t="s">
        <v>176</v>
      </c>
      <c r="C10486">
        <v>443.7</v>
      </c>
      <c r="D10486">
        <v>9</v>
      </c>
      <c r="E10486" s="80">
        <v>35753</v>
      </c>
    </row>
    <row r="10487" spans="1:5">
      <c r="A10487">
        <v>10746</v>
      </c>
      <c r="B10487" t="s">
        <v>177</v>
      </c>
      <c r="C10487">
        <v>443.7</v>
      </c>
      <c r="D10487">
        <v>9</v>
      </c>
      <c r="E10487" s="80">
        <v>35753</v>
      </c>
    </row>
    <row r="10488" spans="1:5">
      <c r="A10488">
        <v>10746</v>
      </c>
      <c r="B10488" t="s">
        <v>178</v>
      </c>
      <c r="C10488">
        <v>443.7</v>
      </c>
      <c r="D10488">
        <v>9</v>
      </c>
      <c r="E10488" s="80">
        <v>35753</v>
      </c>
    </row>
    <row r="10489" spans="1:5">
      <c r="A10489">
        <v>10746</v>
      </c>
      <c r="B10489" t="s">
        <v>179</v>
      </c>
      <c r="C10489">
        <v>443.7</v>
      </c>
      <c r="D10489">
        <v>9</v>
      </c>
      <c r="E10489" s="80">
        <v>35753</v>
      </c>
    </row>
    <row r="10490" spans="1:5">
      <c r="A10490">
        <v>10746</v>
      </c>
      <c r="B10490" t="s">
        <v>172</v>
      </c>
      <c r="C10490">
        <v>1440</v>
      </c>
      <c r="D10490">
        <v>40</v>
      </c>
      <c r="E10490" s="80">
        <v>35753</v>
      </c>
    </row>
    <row r="10491" spans="1:5">
      <c r="A10491">
        <v>10746</v>
      </c>
      <c r="B10491" t="s">
        <v>173</v>
      </c>
      <c r="C10491">
        <v>1440</v>
      </c>
      <c r="D10491">
        <v>40</v>
      </c>
      <c r="E10491" s="80">
        <v>35753</v>
      </c>
    </row>
    <row r="10492" spans="1:5">
      <c r="A10492">
        <v>10746</v>
      </c>
      <c r="B10492" t="s">
        <v>174</v>
      </c>
      <c r="C10492">
        <v>1440</v>
      </c>
      <c r="D10492">
        <v>40</v>
      </c>
      <c r="E10492" s="80">
        <v>35753</v>
      </c>
    </row>
    <row r="10493" spans="1:5">
      <c r="A10493">
        <v>10746</v>
      </c>
      <c r="B10493" t="s">
        <v>175</v>
      </c>
      <c r="C10493">
        <v>1440</v>
      </c>
      <c r="D10493">
        <v>40</v>
      </c>
      <c r="E10493" s="80">
        <v>35753</v>
      </c>
    </row>
    <row r="10494" spans="1:5">
      <c r="A10494">
        <v>10746</v>
      </c>
      <c r="B10494" t="s">
        <v>176</v>
      </c>
      <c r="C10494">
        <v>1440</v>
      </c>
      <c r="D10494">
        <v>40</v>
      </c>
      <c r="E10494" s="80">
        <v>35753</v>
      </c>
    </row>
    <row r="10495" spans="1:5">
      <c r="A10495">
        <v>10746</v>
      </c>
      <c r="B10495" t="s">
        <v>177</v>
      </c>
      <c r="C10495">
        <v>1440</v>
      </c>
      <c r="D10495">
        <v>40</v>
      </c>
      <c r="E10495" s="80">
        <v>35753</v>
      </c>
    </row>
    <row r="10496" spans="1:5">
      <c r="A10496">
        <v>10746</v>
      </c>
      <c r="B10496" t="s">
        <v>178</v>
      </c>
      <c r="C10496">
        <v>1440</v>
      </c>
      <c r="D10496">
        <v>40</v>
      </c>
      <c r="E10496" s="80">
        <v>35753</v>
      </c>
    </row>
    <row r="10497" spans="1:5">
      <c r="A10497">
        <v>10746</v>
      </c>
      <c r="B10497" t="s">
        <v>179</v>
      </c>
      <c r="C10497">
        <v>1440</v>
      </c>
      <c r="D10497">
        <v>40</v>
      </c>
      <c r="E10497" s="80">
        <v>35753</v>
      </c>
    </row>
    <row r="10498" spans="1:5">
      <c r="A10498">
        <v>10747</v>
      </c>
      <c r="B10498" t="s">
        <v>172</v>
      </c>
      <c r="C10498">
        <v>100</v>
      </c>
      <c r="D10498">
        <v>8</v>
      </c>
      <c r="E10498" s="80">
        <v>35753</v>
      </c>
    </row>
    <row r="10499" spans="1:5">
      <c r="A10499">
        <v>10747</v>
      </c>
      <c r="B10499" t="s">
        <v>173</v>
      </c>
      <c r="C10499">
        <v>100</v>
      </c>
      <c r="D10499">
        <v>8</v>
      </c>
      <c r="E10499" s="80">
        <v>35753</v>
      </c>
    </row>
    <row r="10500" spans="1:5">
      <c r="A10500">
        <v>10747</v>
      </c>
      <c r="B10500" t="s">
        <v>174</v>
      </c>
      <c r="C10500">
        <v>100</v>
      </c>
      <c r="D10500">
        <v>8</v>
      </c>
      <c r="E10500" s="80">
        <v>35753</v>
      </c>
    </row>
    <row r="10501" spans="1:5">
      <c r="A10501">
        <v>10747</v>
      </c>
      <c r="B10501" t="s">
        <v>175</v>
      </c>
      <c r="C10501">
        <v>100</v>
      </c>
      <c r="D10501">
        <v>8</v>
      </c>
      <c r="E10501" s="80">
        <v>35753</v>
      </c>
    </row>
    <row r="10502" spans="1:5">
      <c r="A10502">
        <v>10747</v>
      </c>
      <c r="B10502" t="s">
        <v>176</v>
      </c>
      <c r="C10502">
        <v>100</v>
      </c>
      <c r="D10502">
        <v>8</v>
      </c>
      <c r="E10502" s="80">
        <v>35753</v>
      </c>
    </row>
    <row r="10503" spans="1:5">
      <c r="A10503">
        <v>10747</v>
      </c>
      <c r="B10503" t="s">
        <v>177</v>
      </c>
      <c r="C10503">
        <v>100</v>
      </c>
      <c r="D10503">
        <v>8</v>
      </c>
      <c r="E10503" s="80">
        <v>35753</v>
      </c>
    </row>
    <row r="10504" spans="1:5">
      <c r="A10504">
        <v>10747</v>
      </c>
      <c r="B10504" t="s">
        <v>178</v>
      </c>
      <c r="C10504">
        <v>100</v>
      </c>
      <c r="D10504">
        <v>8</v>
      </c>
      <c r="E10504" s="80">
        <v>35753</v>
      </c>
    </row>
    <row r="10505" spans="1:5">
      <c r="A10505">
        <v>10747</v>
      </c>
      <c r="B10505" t="s">
        <v>179</v>
      </c>
      <c r="C10505">
        <v>100</v>
      </c>
      <c r="D10505">
        <v>8</v>
      </c>
      <c r="E10505" s="80">
        <v>35753</v>
      </c>
    </row>
    <row r="10506" spans="1:5">
      <c r="A10506">
        <v>10747</v>
      </c>
      <c r="B10506" t="s">
        <v>172</v>
      </c>
      <c r="C10506">
        <v>337.75</v>
      </c>
      <c r="D10506">
        <v>35</v>
      </c>
      <c r="E10506" s="80">
        <v>35753</v>
      </c>
    </row>
    <row r="10507" spans="1:5">
      <c r="A10507">
        <v>10747</v>
      </c>
      <c r="B10507" t="s">
        <v>173</v>
      </c>
      <c r="C10507">
        <v>337.75</v>
      </c>
      <c r="D10507">
        <v>35</v>
      </c>
      <c r="E10507" s="80">
        <v>35753</v>
      </c>
    </row>
    <row r="10508" spans="1:5">
      <c r="A10508">
        <v>10747</v>
      </c>
      <c r="B10508" t="s">
        <v>174</v>
      </c>
      <c r="C10508">
        <v>337.75</v>
      </c>
      <c r="D10508">
        <v>35</v>
      </c>
      <c r="E10508" s="80">
        <v>35753</v>
      </c>
    </row>
    <row r="10509" spans="1:5">
      <c r="A10509">
        <v>10747</v>
      </c>
      <c r="B10509" t="s">
        <v>175</v>
      </c>
      <c r="C10509">
        <v>337.75</v>
      </c>
      <c r="D10509">
        <v>35</v>
      </c>
      <c r="E10509" s="80">
        <v>35753</v>
      </c>
    </row>
    <row r="10510" spans="1:5">
      <c r="A10510">
        <v>10747</v>
      </c>
      <c r="B10510" t="s">
        <v>176</v>
      </c>
      <c r="C10510">
        <v>337.75</v>
      </c>
      <c r="D10510">
        <v>35</v>
      </c>
      <c r="E10510" s="80">
        <v>35753</v>
      </c>
    </row>
    <row r="10511" spans="1:5">
      <c r="A10511">
        <v>10747</v>
      </c>
      <c r="B10511" t="s">
        <v>177</v>
      </c>
      <c r="C10511">
        <v>337.75</v>
      </c>
      <c r="D10511">
        <v>35</v>
      </c>
      <c r="E10511" s="80">
        <v>35753</v>
      </c>
    </row>
    <row r="10512" spans="1:5">
      <c r="A10512">
        <v>10747</v>
      </c>
      <c r="B10512" t="s">
        <v>178</v>
      </c>
      <c r="C10512">
        <v>337.75</v>
      </c>
      <c r="D10512">
        <v>35</v>
      </c>
      <c r="E10512" s="80">
        <v>35753</v>
      </c>
    </row>
    <row r="10513" spans="1:5">
      <c r="A10513">
        <v>10747</v>
      </c>
      <c r="B10513" t="s">
        <v>179</v>
      </c>
      <c r="C10513">
        <v>337.75</v>
      </c>
      <c r="D10513">
        <v>35</v>
      </c>
      <c r="E10513" s="80">
        <v>35753</v>
      </c>
    </row>
    <row r="10514" spans="1:5">
      <c r="A10514">
        <v>10747</v>
      </c>
      <c r="B10514" t="s">
        <v>172</v>
      </c>
      <c r="C10514">
        <v>395.1</v>
      </c>
      <c r="D10514">
        <v>9</v>
      </c>
      <c r="E10514" s="80">
        <v>35753</v>
      </c>
    </row>
    <row r="10515" spans="1:5">
      <c r="A10515">
        <v>10747</v>
      </c>
      <c r="B10515" t="s">
        <v>173</v>
      </c>
      <c r="C10515">
        <v>395.1</v>
      </c>
      <c r="D10515">
        <v>9</v>
      </c>
      <c r="E10515" s="80">
        <v>35753</v>
      </c>
    </row>
    <row r="10516" spans="1:5">
      <c r="A10516">
        <v>10747</v>
      </c>
      <c r="B10516" t="s">
        <v>174</v>
      </c>
      <c r="C10516">
        <v>395.1</v>
      </c>
      <c r="D10516">
        <v>9</v>
      </c>
      <c r="E10516" s="80">
        <v>35753</v>
      </c>
    </row>
    <row r="10517" spans="1:5">
      <c r="A10517">
        <v>10747</v>
      </c>
      <c r="B10517" t="s">
        <v>175</v>
      </c>
      <c r="C10517">
        <v>395.1</v>
      </c>
      <c r="D10517">
        <v>9</v>
      </c>
      <c r="E10517" s="80">
        <v>35753</v>
      </c>
    </row>
    <row r="10518" spans="1:5">
      <c r="A10518">
        <v>10747</v>
      </c>
      <c r="B10518" t="s">
        <v>176</v>
      </c>
      <c r="C10518">
        <v>395.1</v>
      </c>
      <c r="D10518">
        <v>9</v>
      </c>
      <c r="E10518" s="80">
        <v>35753</v>
      </c>
    </row>
    <row r="10519" spans="1:5">
      <c r="A10519">
        <v>10747</v>
      </c>
      <c r="B10519" t="s">
        <v>177</v>
      </c>
      <c r="C10519">
        <v>395.1</v>
      </c>
      <c r="D10519">
        <v>9</v>
      </c>
      <c r="E10519" s="80">
        <v>35753</v>
      </c>
    </row>
    <row r="10520" spans="1:5">
      <c r="A10520">
        <v>10747</v>
      </c>
      <c r="B10520" t="s">
        <v>178</v>
      </c>
      <c r="C10520">
        <v>395.1</v>
      </c>
      <c r="D10520">
        <v>9</v>
      </c>
      <c r="E10520" s="80">
        <v>35753</v>
      </c>
    </row>
    <row r="10521" spans="1:5">
      <c r="A10521">
        <v>10747</v>
      </c>
      <c r="B10521" t="s">
        <v>179</v>
      </c>
      <c r="C10521">
        <v>395.1</v>
      </c>
      <c r="D10521">
        <v>9</v>
      </c>
      <c r="E10521" s="80">
        <v>35753</v>
      </c>
    </row>
    <row r="10522" spans="1:5">
      <c r="A10522">
        <v>10747</v>
      </c>
      <c r="B10522" t="s">
        <v>172</v>
      </c>
      <c r="C10522">
        <v>1080</v>
      </c>
      <c r="D10522">
        <v>30</v>
      </c>
      <c r="E10522" s="80">
        <v>35753</v>
      </c>
    </row>
    <row r="10523" spans="1:5">
      <c r="A10523">
        <v>10747</v>
      </c>
      <c r="B10523" t="s">
        <v>173</v>
      </c>
      <c r="C10523">
        <v>1080</v>
      </c>
      <c r="D10523">
        <v>30</v>
      </c>
      <c r="E10523" s="80">
        <v>35753</v>
      </c>
    </row>
    <row r="10524" spans="1:5">
      <c r="A10524">
        <v>10747</v>
      </c>
      <c r="B10524" t="s">
        <v>174</v>
      </c>
      <c r="C10524">
        <v>1080</v>
      </c>
      <c r="D10524">
        <v>30</v>
      </c>
      <c r="E10524" s="80">
        <v>35753</v>
      </c>
    </row>
    <row r="10525" spans="1:5">
      <c r="A10525">
        <v>10747</v>
      </c>
      <c r="B10525" t="s">
        <v>175</v>
      </c>
      <c r="C10525">
        <v>1080</v>
      </c>
      <c r="D10525">
        <v>30</v>
      </c>
      <c r="E10525" s="80">
        <v>35753</v>
      </c>
    </row>
    <row r="10526" spans="1:5">
      <c r="A10526">
        <v>10747</v>
      </c>
      <c r="B10526" t="s">
        <v>176</v>
      </c>
      <c r="C10526">
        <v>1080</v>
      </c>
      <c r="D10526">
        <v>30</v>
      </c>
      <c r="E10526" s="80">
        <v>35753</v>
      </c>
    </row>
    <row r="10527" spans="1:5">
      <c r="A10527">
        <v>10747</v>
      </c>
      <c r="B10527" t="s">
        <v>177</v>
      </c>
      <c r="C10527">
        <v>1080</v>
      </c>
      <c r="D10527">
        <v>30</v>
      </c>
      <c r="E10527" s="80">
        <v>35753</v>
      </c>
    </row>
    <row r="10528" spans="1:5">
      <c r="A10528">
        <v>10747</v>
      </c>
      <c r="B10528" t="s">
        <v>178</v>
      </c>
      <c r="C10528">
        <v>1080</v>
      </c>
      <c r="D10528">
        <v>30</v>
      </c>
      <c r="E10528" s="80">
        <v>35753</v>
      </c>
    </row>
    <row r="10529" spans="1:5">
      <c r="A10529">
        <v>10747</v>
      </c>
      <c r="B10529" t="s">
        <v>179</v>
      </c>
      <c r="C10529">
        <v>1080</v>
      </c>
      <c r="D10529">
        <v>30</v>
      </c>
      <c r="E10529" s="80">
        <v>35753</v>
      </c>
    </row>
    <row r="10530" spans="1:5">
      <c r="A10530">
        <v>10748</v>
      </c>
      <c r="B10530" t="s">
        <v>172</v>
      </c>
      <c r="C10530">
        <v>396</v>
      </c>
      <c r="D10530">
        <v>44</v>
      </c>
      <c r="E10530" s="80">
        <v>35754</v>
      </c>
    </row>
    <row r="10531" spans="1:5">
      <c r="A10531">
        <v>10748</v>
      </c>
      <c r="B10531" t="s">
        <v>173</v>
      </c>
      <c r="C10531">
        <v>396</v>
      </c>
      <c r="D10531">
        <v>44</v>
      </c>
      <c r="E10531" s="80">
        <v>35754</v>
      </c>
    </row>
    <row r="10532" spans="1:5">
      <c r="A10532">
        <v>10748</v>
      </c>
      <c r="B10532" t="s">
        <v>174</v>
      </c>
      <c r="C10532">
        <v>396</v>
      </c>
      <c r="D10532">
        <v>44</v>
      </c>
      <c r="E10532" s="80">
        <v>35754</v>
      </c>
    </row>
    <row r="10533" spans="1:5">
      <c r="A10533">
        <v>10748</v>
      </c>
      <c r="B10533" t="s">
        <v>175</v>
      </c>
      <c r="C10533">
        <v>396</v>
      </c>
      <c r="D10533">
        <v>44</v>
      </c>
      <c r="E10533" s="80">
        <v>35754</v>
      </c>
    </row>
    <row r="10534" spans="1:5">
      <c r="A10534">
        <v>10748</v>
      </c>
      <c r="B10534" t="s">
        <v>176</v>
      </c>
      <c r="C10534">
        <v>396</v>
      </c>
      <c r="D10534">
        <v>44</v>
      </c>
      <c r="E10534" s="80">
        <v>35754</v>
      </c>
    </row>
    <row r="10535" spans="1:5">
      <c r="A10535">
        <v>10748</v>
      </c>
      <c r="B10535" t="s">
        <v>177</v>
      </c>
      <c r="C10535">
        <v>396</v>
      </c>
      <c r="D10535">
        <v>44</v>
      </c>
      <c r="E10535" s="80">
        <v>35754</v>
      </c>
    </row>
    <row r="10536" spans="1:5">
      <c r="A10536">
        <v>10748</v>
      </c>
      <c r="B10536" t="s">
        <v>178</v>
      </c>
      <c r="C10536">
        <v>396</v>
      </c>
      <c r="D10536">
        <v>44</v>
      </c>
      <c r="E10536" s="80">
        <v>35754</v>
      </c>
    </row>
    <row r="10537" spans="1:5">
      <c r="A10537">
        <v>10748</v>
      </c>
      <c r="B10537" t="s">
        <v>179</v>
      </c>
      <c r="C10537">
        <v>396</v>
      </c>
      <c r="D10537">
        <v>44</v>
      </c>
      <c r="E10537" s="80">
        <v>35754</v>
      </c>
    </row>
    <row r="10538" spans="1:5">
      <c r="A10538">
        <v>10748</v>
      </c>
      <c r="B10538" t="s">
        <v>172</v>
      </c>
      <c r="C10538">
        <v>736</v>
      </c>
      <c r="D10538">
        <v>40</v>
      </c>
      <c r="E10538" s="80">
        <v>35754</v>
      </c>
    </row>
    <row r="10539" spans="1:5">
      <c r="A10539">
        <v>10748</v>
      </c>
      <c r="B10539" t="s">
        <v>173</v>
      </c>
      <c r="C10539">
        <v>736</v>
      </c>
      <c r="D10539">
        <v>40</v>
      </c>
      <c r="E10539" s="80">
        <v>35754</v>
      </c>
    </row>
    <row r="10540" spans="1:5">
      <c r="A10540">
        <v>10748</v>
      </c>
      <c r="B10540" t="s">
        <v>174</v>
      </c>
      <c r="C10540">
        <v>736</v>
      </c>
      <c r="D10540">
        <v>40</v>
      </c>
      <c r="E10540" s="80">
        <v>35754</v>
      </c>
    </row>
    <row r="10541" spans="1:5">
      <c r="A10541">
        <v>10748</v>
      </c>
      <c r="B10541" t="s">
        <v>175</v>
      </c>
      <c r="C10541">
        <v>736</v>
      </c>
      <c r="D10541">
        <v>40</v>
      </c>
      <c r="E10541" s="80">
        <v>35754</v>
      </c>
    </row>
    <row r="10542" spans="1:5">
      <c r="A10542">
        <v>10748</v>
      </c>
      <c r="B10542" t="s">
        <v>176</v>
      </c>
      <c r="C10542">
        <v>736</v>
      </c>
      <c r="D10542">
        <v>40</v>
      </c>
      <c r="E10542" s="80">
        <v>35754</v>
      </c>
    </row>
    <row r="10543" spans="1:5">
      <c r="A10543">
        <v>10748</v>
      </c>
      <c r="B10543" t="s">
        <v>177</v>
      </c>
      <c r="C10543">
        <v>736</v>
      </c>
      <c r="D10543">
        <v>40</v>
      </c>
      <c r="E10543" s="80">
        <v>35754</v>
      </c>
    </row>
    <row r="10544" spans="1:5">
      <c r="A10544">
        <v>10748</v>
      </c>
      <c r="B10544" t="s">
        <v>178</v>
      </c>
      <c r="C10544">
        <v>736</v>
      </c>
      <c r="D10544">
        <v>40</v>
      </c>
      <c r="E10544" s="80">
        <v>35754</v>
      </c>
    </row>
    <row r="10545" spans="1:5">
      <c r="A10545">
        <v>10748</v>
      </c>
      <c r="B10545" t="s">
        <v>179</v>
      </c>
      <c r="C10545">
        <v>736</v>
      </c>
      <c r="D10545">
        <v>40</v>
      </c>
      <c r="E10545" s="80">
        <v>35754</v>
      </c>
    </row>
    <row r="10546" spans="1:5">
      <c r="A10546">
        <v>10748</v>
      </c>
      <c r="B10546" t="s">
        <v>172</v>
      </c>
      <c r="C10546">
        <v>1064</v>
      </c>
      <c r="D10546">
        <v>28</v>
      </c>
      <c r="E10546" s="80">
        <v>35754</v>
      </c>
    </row>
    <row r="10547" spans="1:5">
      <c r="A10547">
        <v>10748</v>
      </c>
      <c r="B10547" t="s">
        <v>173</v>
      </c>
      <c r="C10547">
        <v>1064</v>
      </c>
      <c r="D10547">
        <v>28</v>
      </c>
      <c r="E10547" s="80">
        <v>35754</v>
      </c>
    </row>
    <row r="10548" spans="1:5">
      <c r="A10548">
        <v>10748</v>
      </c>
      <c r="B10548" t="s">
        <v>174</v>
      </c>
      <c r="C10548">
        <v>1064</v>
      </c>
      <c r="D10548">
        <v>28</v>
      </c>
      <c r="E10548" s="80">
        <v>35754</v>
      </c>
    </row>
    <row r="10549" spans="1:5">
      <c r="A10549">
        <v>10748</v>
      </c>
      <c r="B10549" t="s">
        <v>175</v>
      </c>
      <c r="C10549">
        <v>1064</v>
      </c>
      <c r="D10549">
        <v>28</v>
      </c>
      <c r="E10549" s="80">
        <v>35754</v>
      </c>
    </row>
    <row r="10550" spans="1:5">
      <c r="A10550">
        <v>10748</v>
      </c>
      <c r="B10550" t="s">
        <v>176</v>
      </c>
      <c r="C10550">
        <v>1064</v>
      </c>
      <c r="D10550">
        <v>28</v>
      </c>
      <c r="E10550" s="80">
        <v>35754</v>
      </c>
    </row>
    <row r="10551" spans="1:5">
      <c r="A10551">
        <v>10748</v>
      </c>
      <c r="B10551" t="s">
        <v>177</v>
      </c>
      <c r="C10551">
        <v>1064</v>
      </c>
      <c r="D10551">
        <v>28</v>
      </c>
      <c r="E10551" s="80">
        <v>35754</v>
      </c>
    </row>
    <row r="10552" spans="1:5">
      <c r="A10552">
        <v>10748</v>
      </c>
      <c r="B10552" t="s">
        <v>178</v>
      </c>
      <c r="C10552">
        <v>1064</v>
      </c>
      <c r="D10552">
        <v>28</v>
      </c>
      <c r="E10552" s="80">
        <v>35754</v>
      </c>
    </row>
    <row r="10553" spans="1:5">
      <c r="A10553">
        <v>10748</v>
      </c>
      <c r="B10553" t="s">
        <v>179</v>
      </c>
      <c r="C10553">
        <v>1064</v>
      </c>
      <c r="D10553">
        <v>28</v>
      </c>
      <c r="E10553" s="80">
        <v>35754</v>
      </c>
    </row>
    <row r="10554" spans="1:5">
      <c r="A10554">
        <v>10749</v>
      </c>
      <c r="B10554" t="s">
        <v>172</v>
      </c>
      <c r="C10554">
        <v>570</v>
      </c>
      <c r="D10554">
        <v>15</v>
      </c>
      <c r="E10554" s="80">
        <v>35754</v>
      </c>
    </row>
    <row r="10555" spans="1:5">
      <c r="A10555">
        <v>10749</v>
      </c>
      <c r="B10555" t="s">
        <v>173</v>
      </c>
      <c r="C10555">
        <v>570</v>
      </c>
      <c r="D10555">
        <v>15</v>
      </c>
      <c r="E10555" s="80">
        <v>35754</v>
      </c>
    </row>
    <row r="10556" spans="1:5">
      <c r="A10556">
        <v>10749</v>
      </c>
      <c r="B10556" t="s">
        <v>174</v>
      </c>
      <c r="C10556">
        <v>570</v>
      </c>
      <c r="D10556">
        <v>15</v>
      </c>
      <c r="E10556" s="80">
        <v>35754</v>
      </c>
    </row>
    <row r="10557" spans="1:5">
      <c r="A10557">
        <v>10749</v>
      </c>
      <c r="B10557" t="s">
        <v>175</v>
      </c>
      <c r="C10557">
        <v>570</v>
      </c>
      <c r="D10557">
        <v>15</v>
      </c>
      <c r="E10557" s="80">
        <v>35754</v>
      </c>
    </row>
    <row r="10558" spans="1:5">
      <c r="A10558">
        <v>10749</v>
      </c>
      <c r="B10558" t="s">
        <v>176</v>
      </c>
      <c r="C10558">
        <v>570</v>
      </c>
      <c r="D10558">
        <v>15</v>
      </c>
      <c r="E10558" s="80">
        <v>35754</v>
      </c>
    </row>
    <row r="10559" spans="1:5">
      <c r="A10559">
        <v>10749</v>
      </c>
      <c r="B10559" t="s">
        <v>177</v>
      </c>
      <c r="C10559">
        <v>570</v>
      </c>
      <c r="D10559">
        <v>15</v>
      </c>
      <c r="E10559" s="80">
        <v>35754</v>
      </c>
    </row>
    <row r="10560" spans="1:5">
      <c r="A10560">
        <v>10749</v>
      </c>
      <c r="B10560" t="s">
        <v>178</v>
      </c>
      <c r="C10560">
        <v>570</v>
      </c>
      <c r="D10560">
        <v>15</v>
      </c>
      <c r="E10560" s="80">
        <v>35754</v>
      </c>
    </row>
    <row r="10561" spans="1:5">
      <c r="A10561">
        <v>10749</v>
      </c>
      <c r="B10561" t="s">
        <v>179</v>
      </c>
      <c r="C10561">
        <v>570</v>
      </c>
      <c r="D10561">
        <v>15</v>
      </c>
      <c r="E10561" s="80">
        <v>35754</v>
      </c>
    </row>
    <row r="10562" spans="1:5">
      <c r="A10562">
        <v>10749</v>
      </c>
      <c r="B10562" t="s">
        <v>172</v>
      </c>
      <c r="C10562">
        <v>330</v>
      </c>
      <c r="D10562">
        <v>6</v>
      </c>
      <c r="E10562" s="80">
        <v>35754</v>
      </c>
    </row>
    <row r="10563" spans="1:5">
      <c r="A10563">
        <v>10749</v>
      </c>
      <c r="B10563" t="s">
        <v>173</v>
      </c>
      <c r="C10563">
        <v>330</v>
      </c>
      <c r="D10563">
        <v>6</v>
      </c>
      <c r="E10563" s="80">
        <v>35754</v>
      </c>
    </row>
    <row r="10564" spans="1:5">
      <c r="A10564">
        <v>10749</v>
      </c>
      <c r="B10564" t="s">
        <v>174</v>
      </c>
      <c r="C10564">
        <v>330</v>
      </c>
      <c r="D10564">
        <v>6</v>
      </c>
      <c r="E10564" s="80">
        <v>35754</v>
      </c>
    </row>
    <row r="10565" spans="1:5">
      <c r="A10565">
        <v>10749</v>
      </c>
      <c r="B10565" t="s">
        <v>175</v>
      </c>
      <c r="C10565">
        <v>330</v>
      </c>
      <c r="D10565">
        <v>6</v>
      </c>
      <c r="E10565" s="80">
        <v>35754</v>
      </c>
    </row>
    <row r="10566" spans="1:5">
      <c r="A10566">
        <v>10749</v>
      </c>
      <c r="B10566" t="s">
        <v>176</v>
      </c>
      <c r="C10566">
        <v>330</v>
      </c>
      <c r="D10566">
        <v>6</v>
      </c>
      <c r="E10566" s="80">
        <v>35754</v>
      </c>
    </row>
    <row r="10567" spans="1:5">
      <c r="A10567">
        <v>10749</v>
      </c>
      <c r="B10567" t="s">
        <v>177</v>
      </c>
      <c r="C10567">
        <v>330</v>
      </c>
      <c r="D10567">
        <v>6</v>
      </c>
      <c r="E10567" s="80">
        <v>35754</v>
      </c>
    </row>
    <row r="10568" spans="1:5">
      <c r="A10568">
        <v>10749</v>
      </c>
      <c r="B10568" t="s">
        <v>178</v>
      </c>
      <c r="C10568">
        <v>330</v>
      </c>
      <c r="D10568">
        <v>6</v>
      </c>
      <c r="E10568" s="80">
        <v>35754</v>
      </c>
    </row>
    <row r="10569" spans="1:5">
      <c r="A10569">
        <v>10749</v>
      </c>
      <c r="B10569" t="s">
        <v>179</v>
      </c>
      <c r="C10569">
        <v>330</v>
      </c>
      <c r="D10569">
        <v>6</v>
      </c>
      <c r="E10569" s="80">
        <v>35754</v>
      </c>
    </row>
    <row r="10570" spans="1:5">
      <c r="A10570">
        <v>10749</v>
      </c>
      <c r="B10570" t="s">
        <v>172</v>
      </c>
      <c r="C10570">
        <v>180</v>
      </c>
      <c r="D10570">
        <v>10</v>
      </c>
      <c r="E10570" s="80">
        <v>35754</v>
      </c>
    </row>
    <row r="10571" spans="1:5">
      <c r="A10571">
        <v>10749</v>
      </c>
      <c r="B10571" t="s">
        <v>173</v>
      </c>
      <c r="C10571">
        <v>180</v>
      </c>
      <c r="D10571">
        <v>10</v>
      </c>
      <c r="E10571" s="80">
        <v>35754</v>
      </c>
    </row>
    <row r="10572" spans="1:5">
      <c r="A10572">
        <v>10749</v>
      </c>
      <c r="B10572" t="s">
        <v>174</v>
      </c>
      <c r="C10572">
        <v>180</v>
      </c>
      <c r="D10572">
        <v>10</v>
      </c>
      <c r="E10572" s="80">
        <v>35754</v>
      </c>
    </row>
    <row r="10573" spans="1:5">
      <c r="A10573">
        <v>10749</v>
      </c>
      <c r="B10573" t="s">
        <v>175</v>
      </c>
      <c r="C10573">
        <v>180</v>
      </c>
      <c r="D10573">
        <v>10</v>
      </c>
      <c r="E10573" s="80">
        <v>35754</v>
      </c>
    </row>
    <row r="10574" spans="1:5">
      <c r="A10574">
        <v>10749</v>
      </c>
      <c r="B10574" t="s">
        <v>176</v>
      </c>
      <c r="C10574">
        <v>180</v>
      </c>
      <c r="D10574">
        <v>10</v>
      </c>
      <c r="E10574" s="80">
        <v>35754</v>
      </c>
    </row>
    <row r="10575" spans="1:5">
      <c r="A10575">
        <v>10749</v>
      </c>
      <c r="B10575" t="s">
        <v>177</v>
      </c>
      <c r="C10575">
        <v>180</v>
      </c>
      <c r="D10575">
        <v>10</v>
      </c>
      <c r="E10575" s="80">
        <v>35754</v>
      </c>
    </row>
    <row r="10576" spans="1:5">
      <c r="A10576">
        <v>10749</v>
      </c>
      <c r="B10576" t="s">
        <v>178</v>
      </c>
      <c r="C10576">
        <v>180</v>
      </c>
      <c r="D10576">
        <v>10</v>
      </c>
      <c r="E10576" s="80">
        <v>35754</v>
      </c>
    </row>
    <row r="10577" spans="1:5">
      <c r="A10577">
        <v>10749</v>
      </c>
      <c r="B10577" t="s">
        <v>179</v>
      </c>
      <c r="C10577">
        <v>180</v>
      </c>
      <c r="D10577">
        <v>10</v>
      </c>
      <c r="E10577" s="80">
        <v>35754</v>
      </c>
    </row>
    <row r="10578" spans="1:5">
      <c r="A10578">
        <v>10750</v>
      </c>
      <c r="B10578" t="s">
        <v>172</v>
      </c>
      <c r="C10578">
        <v>98.812499307096004</v>
      </c>
      <c r="D10578">
        <v>5</v>
      </c>
      <c r="E10578" s="80">
        <v>35755</v>
      </c>
    </row>
    <row r="10579" spans="1:5">
      <c r="A10579">
        <v>10750</v>
      </c>
      <c r="B10579" t="s">
        <v>173</v>
      </c>
      <c r="C10579">
        <v>98.812499307096004</v>
      </c>
      <c r="D10579">
        <v>5</v>
      </c>
      <c r="E10579" s="80">
        <v>35755</v>
      </c>
    </row>
    <row r="10580" spans="1:5">
      <c r="A10580">
        <v>10750</v>
      </c>
      <c r="B10580" t="s">
        <v>174</v>
      </c>
      <c r="C10580">
        <v>98.812499307096004</v>
      </c>
      <c r="D10580">
        <v>5</v>
      </c>
      <c r="E10580" s="80">
        <v>35755</v>
      </c>
    </row>
    <row r="10581" spans="1:5">
      <c r="A10581">
        <v>10750</v>
      </c>
      <c r="B10581" t="s">
        <v>175</v>
      </c>
      <c r="C10581">
        <v>98.812499307096004</v>
      </c>
      <c r="D10581">
        <v>5</v>
      </c>
      <c r="E10581" s="80">
        <v>35755</v>
      </c>
    </row>
    <row r="10582" spans="1:5">
      <c r="A10582">
        <v>10750</v>
      </c>
      <c r="B10582" t="s">
        <v>176</v>
      </c>
      <c r="C10582">
        <v>98.812499307096004</v>
      </c>
      <c r="D10582">
        <v>5</v>
      </c>
      <c r="E10582" s="80">
        <v>35755</v>
      </c>
    </row>
    <row r="10583" spans="1:5">
      <c r="A10583">
        <v>10750</v>
      </c>
      <c r="B10583" t="s">
        <v>177</v>
      </c>
      <c r="C10583">
        <v>98.812499307096004</v>
      </c>
      <c r="D10583">
        <v>5</v>
      </c>
      <c r="E10583" s="80">
        <v>35755</v>
      </c>
    </row>
    <row r="10584" spans="1:5">
      <c r="A10584">
        <v>10750</v>
      </c>
      <c r="B10584" t="s">
        <v>178</v>
      </c>
      <c r="C10584">
        <v>98.812499307096004</v>
      </c>
      <c r="D10584">
        <v>5</v>
      </c>
      <c r="E10584" s="80">
        <v>35755</v>
      </c>
    </row>
    <row r="10585" spans="1:5">
      <c r="A10585">
        <v>10750</v>
      </c>
      <c r="B10585" t="s">
        <v>179</v>
      </c>
      <c r="C10585">
        <v>98.812499307096004</v>
      </c>
      <c r="D10585">
        <v>5</v>
      </c>
      <c r="E10585" s="80">
        <v>35755</v>
      </c>
    </row>
    <row r="10586" spans="1:5">
      <c r="A10586">
        <v>10750</v>
      </c>
      <c r="B10586" t="s">
        <v>172</v>
      </c>
      <c r="C10586">
        <v>322.9999977350235</v>
      </c>
      <c r="D10586">
        <v>40</v>
      </c>
      <c r="E10586" s="80">
        <v>35755</v>
      </c>
    </row>
    <row r="10587" spans="1:5">
      <c r="A10587">
        <v>10750</v>
      </c>
      <c r="B10587" t="s">
        <v>173</v>
      </c>
      <c r="C10587">
        <v>322.9999977350235</v>
      </c>
      <c r="D10587">
        <v>40</v>
      </c>
      <c r="E10587" s="80">
        <v>35755</v>
      </c>
    </row>
    <row r="10588" spans="1:5">
      <c r="A10588">
        <v>10750</v>
      </c>
      <c r="B10588" t="s">
        <v>174</v>
      </c>
      <c r="C10588">
        <v>322.9999977350235</v>
      </c>
      <c r="D10588">
        <v>40</v>
      </c>
      <c r="E10588" s="80">
        <v>35755</v>
      </c>
    </row>
    <row r="10589" spans="1:5">
      <c r="A10589">
        <v>10750</v>
      </c>
      <c r="B10589" t="s">
        <v>175</v>
      </c>
      <c r="C10589">
        <v>322.9999977350235</v>
      </c>
      <c r="D10589">
        <v>40</v>
      </c>
      <c r="E10589" s="80">
        <v>35755</v>
      </c>
    </row>
    <row r="10590" spans="1:5">
      <c r="A10590">
        <v>10750</v>
      </c>
      <c r="B10590" t="s">
        <v>176</v>
      </c>
      <c r="C10590">
        <v>322.9999977350235</v>
      </c>
      <c r="D10590">
        <v>40</v>
      </c>
      <c r="E10590" s="80">
        <v>35755</v>
      </c>
    </row>
    <row r="10591" spans="1:5">
      <c r="A10591">
        <v>10750</v>
      </c>
      <c r="B10591" t="s">
        <v>177</v>
      </c>
      <c r="C10591">
        <v>322.9999977350235</v>
      </c>
      <c r="D10591">
        <v>40</v>
      </c>
      <c r="E10591" s="80">
        <v>35755</v>
      </c>
    </row>
    <row r="10592" spans="1:5">
      <c r="A10592">
        <v>10750</v>
      </c>
      <c r="B10592" t="s">
        <v>178</v>
      </c>
      <c r="C10592">
        <v>322.9999977350235</v>
      </c>
      <c r="D10592">
        <v>40</v>
      </c>
      <c r="E10592" s="80">
        <v>35755</v>
      </c>
    </row>
    <row r="10593" spans="1:5">
      <c r="A10593">
        <v>10750</v>
      </c>
      <c r="B10593" t="s">
        <v>179</v>
      </c>
      <c r="C10593">
        <v>322.9999977350235</v>
      </c>
      <c r="D10593">
        <v>40</v>
      </c>
      <c r="E10593" s="80">
        <v>35755</v>
      </c>
    </row>
    <row r="10594" spans="1:5">
      <c r="A10594">
        <v>10750</v>
      </c>
      <c r="B10594" t="s">
        <v>172</v>
      </c>
      <c r="C10594">
        <v>1168.7499918043613</v>
      </c>
      <c r="D10594">
        <v>25</v>
      </c>
      <c r="E10594" s="80">
        <v>35755</v>
      </c>
    </row>
    <row r="10595" spans="1:5">
      <c r="A10595">
        <v>10750</v>
      </c>
      <c r="B10595" t="s">
        <v>173</v>
      </c>
      <c r="C10595">
        <v>1168.7499918043613</v>
      </c>
      <c r="D10595">
        <v>25</v>
      </c>
      <c r="E10595" s="80">
        <v>35755</v>
      </c>
    </row>
    <row r="10596" spans="1:5">
      <c r="A10596">
        <v>10750</v>
      </c>
      <c r="B10596" t="s">
        <v>174</v>
      </c>
      <c r="C10596">
        <v>1168.7499918043613</v>
      </c>
      <c r="D10596">
        <v>25</v>
      </c>
      <c r="E10596" s="80">
        <v>35755</v>
      </c>
    </row>
    <row r="10597" spans="1:5">
      <c r="A10597">
        <v>10750</v>
      </c>
      <c r="B10597" t="s">
        <v>175</v>
      </c>
      <c r="C10597">
        <v>1168.7499918043613</v>
      </c>
      <c r="D10597">
        <v>25</v>
      </c>
      <c r="E10597" s="80">
        <v>35755</v>
      </c>
    </row>
    <row r="10598" spans="1:5">
      <c r="A10598">
        <v>10750</v>
      </c>
      <c r="B10598" t="s">
        <v>176</v>
      </c>
      <c r="C10598">
        <v>1168.7499918043613</v>
      </c>
      <c r="D10598">
        <v>25</v>
      </c>
      <c r="E10598" s="80">
        <v>35755</v>
      </c>
    </row>
    <row r="10599" spans="1:5">
      <c r="A10599">
        <v>10750</v>
      </c>
      <c r="B10599" t="s">
        <v>177</v>
      </c>
      <c r="C10599">
        <v>1168.7499918043613</v>
      </c>
      <c r="D10599">
        <v>25</v>
      </c>
      <c r="E10599" s="80">
        <v>35755</v>
      </c>
    </row>
    <row r="10600" spans="1:5">
      <c r="A10600">
        <v>10750</v>
      </c>
      <c r="B10600" t="s">
        <v>178</v>
      </c>
      <c r="C10600">
        <v>1168.7499918043613</v>
      </c>
      <c r="D10600">
        <v>25</v>
      </c>
      <c r="E10600" s="80">
        <v>35755</v>
      </c>
    </row>
    <row r="10601" spans="1:5">
      <c r="A10601">
        <v>10750</v>
      </c>
      <c r="B10601" t="s">
        <v>179</v>
      </c>
      <c r="C10601">
        <v>1168.7499918043613</v>
      </c>
      <c r="D10601">
        <v>25</v>
      </c>
      <c r="E10601" s="80">
        <v>35755</v>
      </c>
    </row>
    <row r="10602" spans="1:5">
      <c r="A10602">
        <v>10751</v>
      </c>
      <c r="B10602" t="s">
        <v>172</v>
      </c>
      <c r="C10602">
        <v>337.28399944156405</v>
      </c>
      <c r="D10602">
        <v>12</v>
      </c>
      <c r="E10602" s="80">
        <v>35758</v>
      </c>
    </row>
    <row r="10603" spans="1:5">
      <c r="A10603">
        <v>10751</v>
      </c>
      <c r="B10603" t="s">
        <v>173</v>
      </c>
      <c r="C10603">
        <v>337.28399944156405</v>
      </c>
      <c r="D10603">
        <v>12</v>
      </c>
      <c r="E10603" s="80">
        <v>35758</v>
      </c>
    </row>
    <row r="10604" spans="1:5">
      <c r="A10604">
        <v>10751</v>
      </c>
      <c r="B10604" t="s">
        <v>174</v>
      </c>
      <c r="C10604">
        <v>337.28399944156405</v>
      </c>
      <c r="D10604">
        <v>12</v>
      </c>
      <c r="E10604" s="80">
        <v>35758</v>
      </c>
    </row>
    <row r="10605" spans="1:5">
      <c r="A10605">
        <v>10751</v>
      </c>
      <c r="B10605" t="s">
        <v>175</v>
      </c>
      <c r="C10605">
        <v>337.28399944156405</v>
      </c>
      <c r="D10605">
        <v>12</v>
      </c>
      <c r="E10605" s="80">
        <v>35758</v>
      </c>
    </row>
    <row r="10606" spans="1:5">
      <c r="A10606">
        <v>10751</v>
      </c>
      <c r="B10606" t="s">
        <v>176</v>
      </c>
      <c r="C10606">
        <v>337.28399944156405</v>
      </c>
      <c r="D10606">
        <v>12</v>
      </c>
      <c r="E10606" s="80">
        <v>35758</v>
      </c>
    </row>
    <row r="10607" spans="1:5">
      <c r="A10607">
        <v>10751</v>
      </c>
      <c r="B10607" t="s">
        <v>177</v>
      </c>
      <c r="C10607">
        <v>337.28399944156405</v>
      </c>
      <c r="D10607">
        <v>12</v>
      </c>
      <c r="E10607" s="80">
        <v>35758</v>
      </c>
    </row>
    <row r="10608" spans="1:5">
      <c r="A10608">
        <v>10751</v>
      </c>
      <c r="B10608" t="s">
        <v>178</v>
      </c>
      <c r="C10608">
        <v>337.28399944156405</v>
      </c>
      <c r="D10608">
        <v>12</v>
      </c>
      <c r="E10608" s="80">
        <v>35758</v>
      </c>
    </row>
    <row r="10609" spans="1:5">
      <c r="A10609">
        <v>10751</v>
      </c>
      <c r="B10609" t="s">
        <v>179</v>
      </c>
      <c r="C10609">
        <v>337.28399944156405</v>
      </c>
      <c r="D10609">
        <v>12</v>
      </c>
      <c r="E10609" s="80">
        <v>35758</v>
      </c>
    </row>
    <row r="10610" spans="1:5">
      <c r="A10610">
        <v>10751</v>
      </c>
      <c r="B10610" t="s">
        <v>172</v>
      </c>
      <c r="C10610">
        <v>776.7</v>
      </c>
      <c r="D10610">
        <v>30</v>
      </c>
      <c r="E10610" s="80">
        <v>35758</v>
      </c>
    </row>
    <row r="10611" spans="1:5">
      <c r="A10611">
        <v>10751</v>
      </c>
      <c r="B10611" t="s">
        <v>173</v>
      </c>
      <c r="C10611">
        <v>776.7</v>
      </c>
      <c r="D10611">
        <v>30</v>
      </c>
      <c r="E10611" s="80">
        <v>35758</v>
      </c>
    </row>
    <row r="10612" spans="1:5">
      <c r="A10612">
        <v>10751</v>
      </c>
      <c r="B10612" t="s">
        <v>174</v>
      </c>
      <c r="C10612">
        <v>776.7</v>
      </c>
      <c r="D10612">
        <v>30</v>
      </c>
      <c r="E10612" s="80">
        <v>35758</v>
      </c>
    </row>
    <row r="10613" spans="1:5">
      <c r="A10613">
        <v>10751</v>
      </c>
      <c r="B10613" t="s">
        <v>175</v>
      </c>
      <c r="C10613">
        <v>776.7</v>
      </c>
      <c r="D10613">
        <v>30</v>
      </c>
      <c r="E10613" s="80">
        <v>35758</v>
      </c>
    </row>
    <row r="10614" spans="1:5">
      <c r="A10614">
        <v>10751</v>
      </c>
      <c r="B10614" t="s">
        <v>176</v>
      </c>
      <c r="C10614">
        <v>776.7</v>
      </c>
      <c r="D10614">
        <v>30</v>
      </c>
      <c r="E10614" s="80">
        <v>35758</v>
      </c>
    </row>
    <row r="10615" spans="1:5">
      <c r="A10615">
        <v>10751</v>
      </c>
      <c r="B10615" t="s">
        <v>177</v>
      </c>
      <c r="C10615">
        <v>776.7</v>
      </c>
      <c r="D10615">
        <v>30</v>
      </c>
      <c r="E10615" s="80">
        <v>35758</v>
      </c>
    </row>
    <row r="10616" spans="1:5">
      <c r="A10616">
        <v>10751</v>
      </c>
      <c r="B10616" t="s">
        <v>178</v>
      </c>
      <c r="C10616">
        <v>776.7</v>
      </c>
      <c r="D10616">
        <v>30</v>
      </c>
      <c r="E10616" s="80">
        <v>35758</v>
      </c>
    </row>
    <row r="10617" spans="1:5">
      <c r="A10617">
        <v>10751</v>
      </c>
      <c r="B10617" t="s">
        <v>179</v>
      </c>
      <c r="C10617">
        <v>776.7</v>
      </c>
      <c r="D10617">
        <v>30</v>
      </c>
      <c r="E10617" s="80">
        <v>35758</v>
      </c>
    </row>
    <row r="10618" spans="1:5">
      <c r="A10618">
        <v>10751</v>
      </c>
      <c r="B10618" t="s">
        <v>172</v>
      </c>
      <c r="C10618">
        <v>292.49999951571226</v>
      </c>
      <c r="D10618">
        <v>20</v>
      </c>
      <c r="E10618" s="80">
        <v>35758</v>
      </c>
    </row>
    <row r="10619" spans="1:5">
      <c r="A10619">
        <v>10751</v>
      </c>
      <c r="B10619" t="s">
        <v>173</v>
      </c>
      <c r="C10619">
        <v>292.49999951571226</v>
      </c>
      <c r="D10619">
        <v>20</v>
      </c>
      <c r="E10619" s="80">
        <v>35758</v>
      </c>
    </row>
    <row r="10620" spans="1:5">
      <c r="A10620">
        <v>10751</v>
      </c>
      <c r="B10620" t="s">
        <v>174</v>
      </c>
      <c r="C10620">
        <v>292.49999951571226</v>
      </c>
      <c r="D10620">
        <v>20</v>
      </c>
      <c r="E10620" s="80">
        <v>35758</v>
      </c>
    </row>
    <row r="10621" spans="1:5">
      <c r="A10621">
        <v>10751</v>
      </c>
      <c r="B10621" t="s">
        <v>175</v>
      </c>
      <c r="C10621">
        <v>292.49999951571226</v>
      </c>
      <c r="D10621">
        <v>20</v>
      </c>
      <c r="E10621" s="80">
        <v>35758</v>
      </c>
    </row>
    <row r="10622" spans="1:5">
      <c r="A10622">
        <v>10751</v>
      </c>
      <c r="B10622" t="s">
        <v>176</v>
      </c>
      <c r="C10622">
        <v>292.49999951571226</v>
      </c>
      <c r="D10622">
        <v>20</v>
      </c>
      <c r="E10622" s="80">
        <v>35758</v>
      </c>
    </row>
    <row r="10623" spans="1:5">
      <c r="A10623">
        <v>10751</v>
      </c>
      <c r="B10623" t="s">
        <v>177</v>
      </c>
      <c r="C10623">
        <v>292.49999951571226</v>
      </c>
      <c r="D10623">
        <v>20</v>
      </c>
      <c r="E10623" s="80">
        <v>35758</v>
      </c>
    </row>
    <row r="10624" spans="1:5">
      <c r="A10624">
        <v>10751</v>
      </c>
      <c r="B10624" t="s">
        <v>178</v>
      </c>
      <c r="C10624">
        <v>292.49999951571226</v>
      </c>
      <c r="D10624">
        <v>20</v>
      </c>
      <c r="E10624" s="80">
        <v>35758</v>
      </c>
    </row>
    <row r="10625" spans="1:5">
      <c r="A10625">
        <v>10751</v>
      </c>
      <c r="B10625" t="s">
        <v>179</v>
      </c>
      <c r="C10625">
        <v>292.49999951571226</v>
      </c>
      <c r="D10625">
        <v>20</v>
      </c>
      <c r="E10625" s="80">
        <v>35758</v>
      </c>
    </row>
    <row r="10626" spans="1:5">
      <c r="A10626">
        <v>10751</v>
      </c>
      <c r="B10626" t="s">
        <v>172</v>
      </c>
      <c r="C10626">
        <v>225</v>
      </c>
      <c r="D10626">
        <v>15</v>
      </c>
      <c r="E10626" s="80">
        <v>35758</v>
      </c>
    </row>
    <row r="10627" spans="1:5">
      <c r="A10627">
        <v>10751</v>
      </c>
      <c r="B10627" t="s">
        <v>173</v>
      </c>
      <c r="C10627">
        <v>225</v>
      </c>
      <c r="D10627">
        <v>15</v>
      </c>
      <c r="E10627" s="80">
        <v>35758</v>
      </c>
    </row>
    <row r="10628" spans="1:5">
      <c r="A10628">
        <v>10751</v>
      </c>
      <c r="B10628" t="s">
        <v>174</v>
      </c>
      <c r="C10628">
        <v>225</v>
      </c>
      <c r="D10628">
        <v>15</v>
      </c>
      <c r="E10628" s="80">
        <v>35758</v>
      </c>
    </row>
    <row r="10629" spans="1:5">
      <c r="A10629">
        <v>10751</v>
      </c>
      <c r="B10629" t="s">
        <v>175</v>
      </c>
      <c r="C10629">
        <v>225</v>
      </c>
      <c r="D10629">
        <v>15</v>
      </c>
      <c r="E10629" s="80">
        <v>35758</v>
      </c>
    </row>
    <row r="10630" spans="1:5">
      <c r="A10630">
        <v>10751</v>
      </c>
      <c r="B10630" t="s">
        <v>176</v>
      </c>
      <c r="C10630">
        <v>225</v>
      </c>
      <c r="D10630">
        <v>15</v>
      </c>
      <c r="E10630" s="80">
        <v>35758</v>
      </c>
    </row>
    <row r="10631" spans="1:5">
      <c r="A10631">
        <v>10751</v>
      </c>
      <c r="B10631" t="s">
        <v>177</v>
      </c>
      <c r="C10631">
        <v>225</v>
      </c>
      <c r="D10631">
        <v>15</v>
      </c>
      <c r="E10631" s="80">
        <v>35758</v>
      </c>
    </row>
    <row r="10632" spans="1:5">
      <c r="A10632">
        <v>10751</v>
      </c>
      <c r="B10632" t="s">
        <v>178</v>
      </c>
      <c r="C10632">
        <v>225</v>
      </c>
      <c r="D10632">
        <v>15</v>
      </c>
      <c r="E10632" s="80">
        <v>35758</v>
      </c>
    </row>
    <row r="10633" spans="1:5">
      <c r="A10633">
        <v>10751</v>
      </c>
      <c r="B10633" t="s">
        <v>179</v>
      </c>
      <c r="C10633">
        <v>225</v>
      </c>
      <c r="D10633">
        <v>15</v>
      </c>
      <c r="E10633" s="80">
        <v>35758</v>
      </c>
    </row>
    <row r="10634" spans="1:5">
      <c r="A10634">
        <v>10752</v>
      </c>
      <c r="B10634" t="s">
        <v>172</v>
      </c>
      <c r="C10634">
        <v>144</v>
      </c>
      <c r="D10634">
        <v>8</v>
      </c>
      <c r="E10634" s="80">
        <v>35758</v>
      </c>
    </row>
    <row r="10635" spans="1:5">
      <c r="A10635">
        <v>10752</v>
      </c>
      <c r="B10635" t="s">
        <v>173</v>
      </c>
      <c r="C10635">
        <v>144</v>
      </c>
      <c r="D10635">
        <v>8</v>
      </c>
      <c r="E10635" s="80">
        <v>35758</v>
      </c>
    </row>
    <row r="10636" spans="1:5">
      <c r="A10636">
        <v>10752</v>
      </c>
      <c r="B10636" t="s">
        <v>174</v>
      </c>
      <c r="C10636">
        <v>144</v>
      </c>
      <c r="D10636">
        <v>8</v>
      </c>
      <c r="E10636" s="80">
        <v>35758</v>
      </c>
    </row>
    <row r="10637" spans="1:5">
      <c r="A10637">
        <v>10752</v>
      </c>
      <c r="B10637" t="s">
        <v>175</v>
      </c>
      <c r="C10637">
        <v>144</v>
      </c>
      <c r="D10637">
        <v>8</v>
      </c>
      <c r="E10637" s="80">
        <v>35758</v>
      </c>
    </row>
    <row r="10638" spans="1:5">
      <c r="A10638">
        <v>10752</v>
      </c>
      <c r="B10638" t="s">
        <v>176</v>
      </c>
      <c r="C10638">
        <v>144</v>
      </c>
      <c r="D10638">
        <v>8</v>
      </c>
      <c r="E10638" s="80">
        <v>35758</v>
      </c>
    </row>
    <row r="10639" spans="1:5">
      <c r="A10639">
        <v>10752</v>
      </c>
      <c r="B10639" t="s">
        <v>177</v>
      </c>
      <c r="C10639">
        <v>144</v>
      </c>
      <c r="D10639">
        <v>8</v>
      </c>
      <c r="E10639" s="80">
        <v>35758</v>
      </c>
    </row>
    <row r="10640" spans="1:5">
      <c r="A10640">
        <v>10752</v>
      </c>
      <c r="B10640" t="s">
        <v>178</v>
      </c>
      <c r="C10640">
        <v>144</v>
      </c>
      <c r="D10640">
        <v>8</v>
      </c>
      <c r="E10640" s="80">
        <v>35758</v>
      </c>
    </row>
    <row r="10641" spans="1:5">
      <c r="A10641">
        <v>10752</v>
      </c>
      <c r="B10641" t="s">
        <v>179</v>
      </c>
      <c r="C10641">
        <v>144</v>
      </c>
      <c r="D10641">
        <v>8</v>
      </c>
      <c r="E10641" s="80">
        <v>35758</v>
      </c>
    </row>
    <row r="10642" spans="1:5">
      <c r="A10642">
        <v>10752</v>
      </c>
      <c r="B10642" t="s">
        <v>172</v>
      </c>
      <c r="C10642">
        <v>108</v>
      </c>
      <c r="D10642">
        <v>3</v>
      </c>
      <c r="E10642" s="80">
        <v>35758</v>
      </c>
    </row>
    <row r="10643" spans="1:5">
      <c r="A10643">
        <v>10752</v>
      </c>
      <c r="B10643" t="s">
        <v>173</v>
      </c>
      <c r="C10643">
        <v>108</v>
      </c>
      <c r="D10643">
        <v>3</v>
      </c>
      <c r="E10643" s="80">
        <v>35758</v>
      </c>
    </row>
    <row r="10644" spans="1:5">
      <c r="A10644">
        <v>10752</v>
      </c>
      <c r="B10644" t="s">
        <v>174</v>
      </c>
      <c r="C10644">
        <v>108</v>
      </c>
      <c r="D10644">
        <v>3</v>
      </c>
      <c r="E10644" s="80">
        <v>35758</v>
      </c>
    </row>
    <row r="10645" spans="1:5">
      <c r="A10645">
        <v>10752</v>
      </c>
      <c r="B10645" t="s">
        <v>175</v>
      </c>
      <c r="C10645">
        <v>108</v>
      </c>
      <c r="D10645">
        <v>3</v>
      </c>
      <c r="E10645" s="80">
        <v>35758</v>
      </c>
    </row>
    <row r="10646" spans="1:5">
      <c r="A10646">
        <v>10752</v>
      </c>
      <c r="B10646" t="s">
        <v>176</v>
      </c>
      <c r="C10646">
        <v>108</v>
      </c>
      <c r="D10646">
        <v>3</v>
      </c>
      <c r="E10646" s="80">
        <v>35758</v>
      </c>
    </row>
    <row r="10647" spans="1:5">
      <c r="A10647">
        <v>10752</v>
      </c>
      <c r="B10647" t="s">
        <v>177</v>
      </c>
      <c r="C10647">
        <v>108</v>
      </c>
      <c r="D10647">
        <v>3</v>
      </c>
      <c r="E10647" s="80">
        <v>35758</v>
      </c>
    </row>
    <row r="10648" spans="1:5">
      <c r="A10648">
        <v>10752</v>
      </c>
      <c r="B10648" t="s">
        <v>178</v>
      </c>
      <c r="C10648">
        <v>108</v>
      </c>
      <c r="D10648">
        <v>3</v>
      </c>
      <c r="E10648" s="80">
        <v>35758</v>
      </c>
    </row>
    <row r="10649" spans="1:5">
      <c r="A10649">
        <v>10752</v>
      </c>
      <c r="B10649" t="s">
        <v>179</v>
      </c>
      <c r="C10649">
        <v>108</v>
      </c>
      <c r="D10649">
        <v>3</v>
      </c>
      <c r="E10649" s="80">
        <v>35758</v>
      </c>
    </row>
    <row r="10650" spans="1:5">
      <c r="A10650">
        <v>10753</v>
      </c>
      <c r="B10650" t="s">
        <v>172</v>
      </c>
      <c r="C10650">
        <v>38</v>
      </c>
      <c r="D10650">
        <v>4</v>
      </c>
      <c r="E10650" s="80">
        <v>35759</v>
      </c>
    </row>
    <row r="10651" spans="1:5">
      <c r="A10651">
        <v>10753</v>
      </c>
      <c r="B10651" t="s">
        <v>173</v>
      </c>
      <c r="C10651">
        <v>38</v>
      </c>
      <c r="D10651">
        <v>4</v>
      </c>
      <c r="E10651" s="80">
        <v>35759</v>
      </c>
    </row>
    <row r="10652" spans="1:5">
      <c r="A10652">
        <v>10753</v>
      </c>
      <c r="B10652" t="s">
        <v>174</v>
      </c>
      <c r="C10652">
        <v>38</v>
      </c>
      <c r="D10652">
        <v>4</v>
      </c>
      <c r="E10652" s="80">
        <v>35759</v>
      </c>
    </row>
    <row r="10653" spans="1:5">
      <c r="A10653">
        <v>10753</v>
      </c>
      <c r="B10653" t="s">
        <v>175</v>
      </c>
      <c r="C10653">
        <v>38</v>
      </c>
      <c r="D10653">
        <v>4</v>
      </c>
      <c r="E10653" s="80">
        <v>35759</v>
      </c>
    </row>
    <row r="10654" spans="1:5">
      <c r="A10654">
        <v>10753</v>
      </c>
      <c r="B10654" t="s">
        <v>176</v>
      </c>
      <c r="C10654">
        <v>38</v>
      </c>
      <c r="D10654">
        <v>4</v>
      </c>
      <c r="E10654" s="80">
        <v>35759</v>
      </c>
    </row>
    <row r="10655" spans="1:5">
      <c r="A10655">
        <v>10753</v>
      </c>
      <c r="B10655" t="s">
        <v>177</v>
      </c>
      <c r="C10655">
        <v>38</v>
      </c>
      <c r="D10655">
        <v>4</v>
      </c>
      <c r="E10655" s="80">
        <v>35759</v>
      </c>
    </row>
    <row r="10656" spans="1:5">
      <c r="A10656">
        <v>10753</v>
      </c>
      <c r="B10656" t="s">
        <v>178</v>
      </c>
      <c r="C10656">
        <v>38</v>
      </c>
      <c r="D10656">
        <v>4</v>
      </c>
      <c r="E10656" s="80">
        <v>35759</v>
      </c>
    </row>
    <row r="10657" spans="1:5">
      <c r="A10657">
        <v>10753</v>
      </c>
      <c r="B10657" t="s">
        <v>179</v>
      </c>
      <c r="C10657">
        <v>38</v>
      </c>
      <c r="D10657">
        <v>4</v>
      </c>
      <c r="E10657" s="80">
        <v>35759</v>
      </c>
    </row>
    <row r="10658" spans="1:5">
      <c r="A10658">
        <v>10753</v>
      </c>
      <c r="B10658" t="s">
        <v>172</v>
      </c>
      <c r="C10658">
        <v>50</v>
      </c>
      <c r="D10658">
        <v>5</v>
      </c>
      <c r="E10658" s="80">
        <v>35759</v>
      </c>
    </row>
    <row r="10659" spans="1:5">
      <c r="A10659">
        <v>10753</v>
      </c>
      <c r="B10659" t="s">
        <v>173</v>
      </c>
      <c r="C10659">
        <v>50</v>
      </c>
      <c r="D10659">
        <v>5</v>
      </c>
      <c r="E10659" s="80">
        <v>35759</v>
      </c>
    </row>
    <row r="10660" spans="1:5">
      <c r="A10660">
        <v>10753</v>
      </c>
      <c r="B10660" t="s">
        <v>174</v>
      </c>
      <c r="C10660">
        <v>50</v>
      </c>
      <c r="D10660">
        <v>5</v>
      </c>
      <c r="E10660" s="80">
        <v>35759</v>
      </c>
    </row>
    <row r="10661" spans="1:5">
      <c r="A10661">
        <v>10753</v>
      </c>
      <c r="B10661" t="s">
        <v>175</v>
      </c>
      <c r="C10661">
        <v>50</v>
      </c>
      <c r="D10661">
        <v>5</v>
      </c>
      <c r="E10661" s="80">
        <v>35759</v>
      </c>
    </row>
    <row r="10662" spans="1:5">
      <c r="A10662">
        <v>10753</v>
      </c>
      <c r="B10662" t="s">
        <v>176</v>
      </c>
      <c r="C10662">
        <v>50</v>
      </c>
      <c r="D10662">
        <v>5</v>
      </c>
      <c r="E10662" s="80">
        <v>35759</v>
      </c>
    </row>
    <row r="10663" spans="1:5">
      <c r="A10663">
        <v>10753</v>
      </c>
      <c r="B10663" t="s">
        <v>177</v>
      </c>
      <c r="C10663">
        <v>50</v>
      </c>
      <c r="D10663">
        <v>5</v>
      </c>
      <c r="E10663" s="80">
        <v>35759</v>
      </c>
    </row>
    <row r="10664" spans="1:5">
      <c r="A10664">
        <v>10753</v>
      </c>
      <c r="B10664" t="s">
        <v>178</v>
      </c>
      <c r="C10664">
        <v>50</v>
      </c>
      <c r="D10664">
        <v>5</v>
      </c>
      <c r="E10664" s="80">
        <v>35759</v>
      </c>
    </row>
    <row r="10665" spans="1:5">
      <c r="A10665">
        <v>10753</v>
      </c>
      <c r="B10665" t="s">
        <v>179</v>
      </c>
      <c r="C10665">
        <v>50</v>
      </c>
      <c r="D10665">
        <v>5</v>
      </c>
      <c r="E10665" s="80">
        <v>35759</v>
      </c>
    </row>
    <row r="10666" spans="1:5">
      <c r="A10666">
        <v>10754</v>
      </c>
      <c r="B10666" t="s">
        <v>172</v>
      </c>
      <c r="C10666">
        <v>55.2</v>
      </c>
      <c r="D10666">
        <v>3</v>
      </c>
      <c r="E10666" s="80">
        <v>35759</v>
      </c>
    </row>
    <row r="10667" spans="1:5">
      <c r="A10667">
        <v>10754</v>
      </c>
      <c r="B10667" t="s">
        <v>173</v>
      </c>
      <c r="C10667">
        <v>55.2</v>
      </c>
      <c r="D10667">
        <v>3</v>
      </c>
      <c r="E10667" s="80">
        <v>35759</v>
      </c>
    </row>
    <row r="10668" spans="1:5">
      <c r="A10668">
        <v>10754</v>
      </c>
      <c r="B10668" t="s">
        <v>174</v>
      </c>
      <c r="C10668">
        <v>55.2</v>
      </c>
      <c r="D10668">
        <v>3</v>
      </c>
      <c r="E10668" s="80">
        <v>35759</v>
      </c>
    </row>
    <row r="10669" spans="1:5">
      <c r="A10669">
        <v>10754</v>
      </c>
      <c r="B10669" t="s">
        <v>175</v>
      </c>
      <c r="C10669">
        <v>55.2</v>
      </c>
      <c r="D10669">
        <v>3</v>
      </c>
      <c r="E10669" s="80">
        <v>35759</v>
      </c>
    </row>
    <row r="10670" spans="1:5">
      <c r="A10670">
        <v>10754</v>
      </c>
      <c r="B10670" t="s">
        <v>176</v>
      </c>
      <c r="C10670">
        <v>55.2</v>
      </c>
      <c r="D10670">
        <v>3</v>
      </c>
      <c r="E10670" s="80">
        <v>35759</v>
      </c>
    </row>
    <row r="10671" spans="1:5">
      <c r="A10671">
        <v>10754</v>
      </c>
      <c r="B10671" t="s">
        <v>177</v>
      </c>
      <c r="C10671">
        <v>55.2</v>
      </c>
      <c r="D10671">
        <v>3</v>
      </c>
      <c r="E10671" s="80">
        <v>35759</v>
      </c>
    </row>
    <row r="10672" spans="1:5">
      <c r="A10672">
        <v>10754</v>
      </c>
      <c r="B10672" t="s">
        <v>178</v>
      </c>
      <c r="C10672">
        <v>55.2</v>
      </c>
      <c r="D10672">
        <v>3</v>
      </c>
      <c r="E10672" s="80">
        <v>35759</v>
      </c>
    </row>
    <row r="10673" spans="1:5">
      <c r="A10673">
        <v>10754</v>
      </c>
      <c r="B10673" t="s">
        <v>179</v>
      </c>
      <c r="C10673">
        <v>55.2</v>
      </c>
      <c r="D10673">
        <v>3</v>
      </c>
      <c r="E10673" s="80">
        <v>35759</v>
      </c>
    </row>
    <row r="10674" spans="1:5">
      <c r="A10674">
        <v>10755</v>
      </c>
      <c r="B10674" t="s">
        <v>172</v>
      </c>
      <c r="C10674">
        <v>213.75</v>
      </c>
      <c r="D10674">
        <v>30</v>
      </c>
      <c r="E10674" s="80">
        <v>35760</v>
      </c>
    </row>
    <row r="10675" spans="1:5">
      <c r="A10675">
        <v>10755</v>
      </c>
      <c r="B10675" t="s">
        <v>173</v>
      </c>
      <c r="C10675">
        <v>213.75</v>
      </c>
      <c r="D10675">
        <v>30</v>
      </c>
      <c r="E10675" s="80">
        <v>35760</v>
      </c>
    </row>
    <row r="10676" spans="1:5">
      <c r="A10676">
        <v>10755</v>
      </c>
      <c r="B10676" t="s">
        <v>174</v>
      </c>
      <c r="C10676">
        <v>213.75</v>
      </c>
      <c r="D10676">
        <v>30</v>
      </c>
      <c r="E10676" s="80">
        <v>35760</v>
      </c>
    </row>
    <row r="10677" spans="1:5">
      <c r="A10677">
        <v>10755</v>
      </c>
      <c r="B10677" t="s">
        <v>175</v>
      </c>
      <c r="C10677">
        <v>213.75</v>
      </c>
      <c r="D10677">
        <v>30</v>
      </c>
      <c r="E10677" s="80">
        <v>35760</v>
      </c>
    </row>
    <row r="10678" spans="1:5">
      <c r="A10678">
        <v>10755</v>
      </c>
      <c r="B10678" t="s">
        <v>176</v>
      </c>
      <c r="C10678">
        <v>213.75</v>
      </c>
      <c r="D10678">
        <v>30</v>
      </c>
      <c r="E10678" s="80">
        <v>35760</v>
      </c>
    </row>
    <row r="10679" spans="1:5">
      <c r="A10679">
        <v>10755</v>
      </c>
      <c r="B10679" t="s">
        <v>177</v>
      </c>
      <c r="C10679">
        <v>213.75</v>
      </c>
      <c r="D10679">
        <v>30</v>
      </c>
      <c r="E10679" s="80">
        <v>35760</v>
      </c>
    </row>
    <row r="10680" spans="1:5">
      <c r="A10680">
        <v>10755</v>
      </c>
      <c r="B10680" t="s">
        <v>178</v>
      </c>
      <c r="C10680">
        <v>213.75</v>
      </c>
      <c r="D10680">
        <v>30</v>
      </c>
      <c r="E10680" s="80">
        <v>35760</v>
      </c>
    </row>
    <row r="10681" spans="1:5">
      <c r="A10681">
        <v>10755</v>
      </c>
      <c r="B10681" t="s">
        <v>179</v>
      </c>
      <c r="C10681">
        <v>213.75</v>
      </c>
      <c r="D10681">
        <v>30</v>
      </c>
      <c r="E10681" s="80">
        <v>35760</v>
      </c>
    </row>
    <row r="10682" spans="1:5">
      <c r="A10682">
        <v>10755</v>
      </c>
      <c r="B10682" t="s">
        <v>172</v>
      </c>
      <c r="C10682">
        <v>855</v>
      </c>
      <c r="D10682">
        <v>30</v>
      </c>
      <c r="E10682" s="80">
        <v>35760</v>
      </c>
    </row>
    <row r="10683" spans="1:5">
      <c r="A10683">
        <v>10755</v>
      </c>
      <c r="B10683" t="s">
        <v>173</v>
      </c>
      <c r="C10683">
        <v>855</v>
      </c>
      <c r="D10683">
        <v>30</v>
      </c>
      <c r="E10683" s="80">
        <v>35760</v>
      </c>
    </row>
    <row r="10684" spans="1:5">
      <c r="A10684">
        <v>10755</v>
      </c>
      <c r="B10684" t="s">
        <v>174</v>
      </c>
      <c r="C10684">
        <v>855</v>
      </c>
      <c r="D10684">
        <v>30</v>
      </c>
      <c r="E10684" s="80">
        <v>35760</v>
      </c>
    </row>
    <row r="10685" spans="1:5">
      <c r="A10685">
        <v>10755</v>
      </c>
      <c r="B10685" t="s">
        <v>175</v>
      </c>
      <c r="C10685">
        <v>855</v>
      </c>
      <c r="D10685">
        <v>30</v>
      </c>
      <c r="E10685" s="80">
        <v>35760</v>
      </c>
    </row>
    <row r="10686" spans="1:5">
      <c r="A10686">
        <v>10755</v>
      </c>
      <c r="B10686" t="s">
        <v>176</v>
      </c>
      <c r="C10686">
        <v>855</v>
      </c>
      <c r="D10686">
        <v>30</v>
      </c>
      <c r="E10686" s="80">
        <v>35760</v>
      </c>
    </row>
    <row r="10687" spans="1:5">
      <c r="A10687">
        <v>10755</v>
      </c>
      <c r="B10687" t="s">
        <v>177</v>
      </c>
      <c r="C10687">
        <v>855</v>
      </c>
      <c r="D10687">
        <v>30</v>
      </c>
      <c r="E10687" s="80">
        <v>35760</v>
      </c>
    </row>
    <row r="10688" spans="1:5">
      <c r="A10688">
        <v>10755</v>
      </c>
      <c r="B10688" t="s">
        <v>178</v>
      </c>
      <c r="C10688">
        <v>855</v>
      </c>
      <c r="D10688">
        <v>30</v>
      </c>
      <c r="E10688" s="80">
        <v>35760</v>
      </c>
    </row>
    <row r="10689" spans="1:5">
      <c r="A10689">
        <v>10755</v>
      </c>
      <c r="B10689" t="s">
        <v>179</v>
      </c>
      <c r="C10689">
        <v>855</v>
      </c>
      <c r="D10689">
        <v>30</v>
      </c>
      <c r="E10689" s="80">
        <v>35760</v>
      </c>
    </row>
    <row r="10690" spans="1:5">
      <c r="A10690">
        <v>10755</v>
      </c>
      <c r="B10690" t="s">
        <v>172</v>
      </c>
      <c r="C10690">
        <v>204.75</v>
      </c>
      <c r="D10690">
        <v>14</v>
      </c>
      <c r="E10690" s="80">
        <v>35760</v>
      </c>
    </row>
    <row r="10691" spans="1:5">
      <c r="A10691">
        <v>10755</v>
      </c>
      <c r="B10691" t="s">
        <v>173</v>
      </c>
      <c r="C10691">
        <v>204.75</v>
      </c>
      <c r="D10691">
        <v>14</v>
      </c>
      <c r="E10691" s="80">
        <v>35760</v>
      </c>
    </row>
    <row r="10692" spans="1:5">
      <c r="A10692">
        <v>10755</v>
      </c>
      <c r="B10692" t="s">
        <v>174</v>
      </c>
      <c r="C10692">
        <v>204.75</v>
      </c>
      <c r="D10692">
        <v>14</v>
      </c>
      <c r="E10692" s="80">
        <v>35760</v>
      </c>
    </row>
    <row r="10693" spans="1:5">
      <c r="A10693">
        <v>10755</v>
      </c>
      <c r="B10693" t="s">
        <v>175</v>
      </c>
      <c r="C10693">
        <v>204.75</v>
      </c>
      <c r="D10693">
        <v>14</v>
      </c>
      <c r="E10693" s="80">
        <v>35760</v>
      </c>
    </row>
    <row r="10694" spans="1:5">
      <c r="A10694">
        <v>10755</v>
      </c>
      <c r="B10694" t="s">
        <v>176</v>
      </c>
      <c r="C10694">
        <v>204.75</v>
      </c>
      <c r="D10694">
        <v>14</v>
      </c>
      <c r="E10694" s="80">
        <v>35760</v>
      </c>
    </row>
    <row r="10695" spans="1:5">
      <c r="A10695">
        <v>10755</v>
      </c>
      <c r="B10695" t="s">
        <v>177</v>
      </c>
      <c r="C10695">
        <v>204.75</v>
      </c>
      <c r="D10695">
        <v>14</v>
      </c>
      <c r="E10695" s="80">
        <v>35760</v>
      </c>
    </row>
    <row r="10696" spans="1:5">
      <c r="A10696">
        <v>10755</v>
      </c>
      <c r="B10696" t="s">
        <v>178</v>
      </c>
      <c r="C10696">
        <v>204.75</v>
      </c>
      <c r="D10696">
        <v>14</v>
      </c>
      <c r="E10696" s="80">
        <v>35760</v>
      </c>
    </row>
    <row r="10697" spans="1:5">
      <c r="A10697">
        <v>10755</v>
      </c>
      <c r="B10697" t="s">
        <v>179</v>
      </c>
      <c r="C10697">
        <v>204.75</v>
      </c>
      <c r="D10697">
        <v>14</v>
      </c>
      <c r="E10697" s="80">
        <v>35760</v>
      </c>
    </row>
    <row r="10698" spans="1:5">
      <c r="A10698">
        <v>10755</v>
      </c>
      <c r="B10698" t="s">
        <v>172</v>
      </c>
      <c r="C10698">
        <v>675</v>
      </c>
      <c r="D10698">
        <v>25</v>
      </c>
      <c r="E10698" s="80">
        <v>35760</v>
      </c>
    </row>
    <row r="10699" spans="1:5">
      <c r="A10699">
        <v>10755</v>
      </c>
      <c r="B10699" t="s">
        <v>173</v>
      </c>
      <c r="C10699">
        <v>675</v>
      </c>
      <c r="D10699">
        <v>25</v>
      </c>
      <c r="E10699" s="80">
        <v>35760</v>
      </c>
    </row>
    <row r="10700" spans="1:5">
      <c r="A10700">
        <v>10755</v>
      </c>
      <c r="B10700" t="s">
        <v>174</v>
      </c>
      <c r="C10700">
        <v>675</v>
      </c>
      <c r="D10700">
        <v>25</v>
      </c>
      <c r="E10700" s="80">
        <v>35760</v>
      </c>
    </row>
    <row r="10701" spans="1:5">
      <c r="A10701">
        <v>10755</v>
      </c>
      <c r="B10701" t="s">
        <v>175</v>
      </c>
      <c r="C10701">
        <v>675</v>
      </c>
      <c r="D10701">
        <v>25</v>
      </c>
      <c r="E10701" s="80">
        <v>35760</v>
      </c>
    </row>
    <row r="10702" spans="1:5">
      <c r="A10702">
        <v>10755</v>
      </c>
      <c r="B10702" t="s">
        <v>176</v>
      </c>
      <c r="C10702">
        <v>675</v>
      </c>
      <c r="D10702">
        <v>25</v>
      </c>
      <c r="E10702" s="80">
        <v>35760</v>
      </c>
    </row>
    <row r="10703" spans="1:5">
      <c r="A10703">
        <v>10755</v>
      </c>
      <c r="B10703" t="s">
        <v>177</v>
      </c>
      <c r="C10703">
        <v>675</v>
      </c>
      <c r="D10703">
        <v>25</v>
      </c>
      <c r="E10703" s="80">
        <v>35760</v>
      </c>
    </row>
    <row r="10704" spans="1:5">
      <c r="A10704">
        <v>10755</v>
      </c>
      <c r="B10704" t="s">
        <v>178</v>
      </c>
      <c r="C10704">
        <v>675</v>
      </c>
      <c r="D10704">
        <v>25</v>
      </c>
      <c r="E10704" s="80">
        <v>35760</v>
      </c>
    </row>
    <row r="10705" spans="1:5">
      <c r="A10705">
        <v>10755</v>
      </c>
      <c r="B10705" t="s">
        <v>179</v>
      </c>
      <c r="C10705">
        <v>675</v>
      </c>
      <c r="D10705">
        <v>25</v>
      </c>
      <c r="E10705" s="80">
        <v>35760</v>
      </c>
    </row>
    <row r="10706" spans="1:5">
      <c r="A10706">
        <v>10756</v>
      </c>
      <c r="B10706" t="s">
        <v>172</v>
      </c>
      <c r="C10706">
        <v>1049.9999960884452</v>
      </c>
      <c r="D10706">
        <v>21</v>
      </c>
      <c r="E10706" s="80">
        <v>35761</v>
      </c>
    </row>
    <row r="10707" spans="1:5">
      <c r="A10707">
        <v>10756</v>
      </c>
      <c r="B10707" t="s">
        <v>173</v>
      </c>
      <c r="C10707">
        <v>1049.9999960884452</v>
      </c>
      <c r="D10707">
        <v>21</v>
      </c>
      <c r="E10707" s="80">
        <v>35761</v>
      </c>
    </row>
    <row r="10708" spans="1:5">
      <c r="A10708">
        <v>10756</v>
      </c>
      <c r="B10708" t="s">
        <v>174</v>
      </c>
      <c r="C10708">
        <v>1049.9999960884452</v>
      </c>
      <c r="D10708">
        <v>21</v>
      </c>
      <c r="E10708" s="80">
        <v>35761</v>
      </c>
    </row>
    <row r="10709" spans="1:5">
      <c r="A10709">
        <v>10756</v>
      </c>
      <c r="B10709" t="s">
        <v>175</v>
      </c>
      <c r="C10709">
        <v>1049.9999960884452</v>
      </c>
      <c r="D10709">
        <v>21</v>
      </c>
      <c r="E10709" s="80">
        <v>35761</v>
      </c>
    </row>
    <row r="10710" spans="1:5">
      <c r="A10710">
        <v>10756</v>
      </c>
      <c r="B10710" t="s">
        <v>176</v>
      </c>
      <c r="C10710">
        <v>1049.9999960884452</v>
      </c>
      <c r="D10710">
        <v>21</v>
      </c>
      <c r="E10710" s="80">
        <v>35761</v>
      </c>
    </row>
    <row r="10711" spans="1:5">
      <c r="A10711">
        <v>10756</v>
      </c>
      <c r="B10711" t="s">
        <v>177</v>
      </c>
      <c r="C10711">
        <v>1049.9999960884452</v>
      </c>
      <c r="D10711">
        <v>21</v>
      </c>
      <c r="E10711" s="80">
        <v>35761</v>
      </c>
    </row>
    <row r="10712" spans="1:5">
      <c r="A10712">
        <v>10756</v>
      </c>
      <c r="B10712" t="s">
        <v>178</v>
      </c>
      <c r="C10712">
        <v>1049.9999960884452</v>
      </c>
      <c r="D10712">
        <v>21</v>
      </c>
      <c r="E10712" s="80">
        <v>35761</v>
      </c>
    </row>
    <row r="10713" spans="1:5">
      <c r="A10713">
        <v>10756</v>
      </c>
      <c r="B10713" t="s">
        <v>179</v>
      </c>
      <c r="C10713">
        <v>1049.9999960884452</v>
      </c>
      <c r="D10713">
        <v>21</v>
      </c>
      <c r="E10713" s="80">
        <v>35761</v>
      </c>
    </row>
    <row r="10714" spans="1:5">
      <c r="A10714">
        <v>10756</v>
      </c>
      <c r="B10714" t="s">
        <v>172</v>
      </c>
      <c r="C10714">
        <v>303.99999886751175</v>
      </c>
      <c r="D10714">
        <v>20</v>
      </c>
      <c r="E10714" s="80">
        <v>35761</v>
      </c>
    </row>
    <row r="10715" spans="1:5">
      <c r="A10715">
        <v>10756</v>
      </c>
      <c r="B10715" t="s">
        <v>173</v>
      </c>
      <c r="C10715">
        <v>303.99999886751175</v>
      </c>
      <c r="D10715">
        <v>20</v>
      </c>
      <c r="E10715" s="80">
        <v>35761</v>
      </c>
    </row>
    <row r="10716" spans="1:5">
      <c r="A10716">
        <v>10756</v>
      </c>
      <c r="B10716" t="s">
        <v>174</v>
      </c>
      <c r="C10716">
        <v>303.99999886751175</v>
      </c>
      <c r="D10716">
        <v>20</v>
      </c>
      <c r="E10716" s="80">
        <v>35761</v>
      </c>
    </row>
    <row r="10717" spans="1:5">
      <c r="A10717">
        <v>10756</v>
      </c>
      <c r="B10717" t="s">
        <v>175</v>
      </c>
      <c r="C10717">
        <v>303.99999886751175</v>
      </c>
      <c r="D10717">
        <v>20</v>
      </c>
      <c r="E10717" s="80">
        <v>35761</v>
      </c>
    </row>
    <row r="10718" spans="1:5">
      <c r="A10718">
        <v>10756</v>
      </c>
      <c r="B10718" t="s">
        <v>176</v>
      </c>
      <c r="C10718">
        <v>303.99999886751175</v>
      </c>
      <c r="D10718">
        <v>20</v>
      </c>
      <c r="E10718" s="80">
        <v>35761</v>
      </c>
    </row>
    <row r="10719" spans="1:5">
      <c r="A10719">
        <v>10756</v>
      </c>
      <c r="B10719" t="s">
        <v>177</v>
      </c>
      <c r="C10719">
        <v>303.99999886751175</v>
      </c>
      <c r="D10719">
        <v>20</v>
      </c>
      <c r="E10719" s="80">
        <v>35761</v>
      </c>
    </row>
    <row r="10720" spans="1:5">
      <c r="A10720">
        <v>10756</v>
      </c>
      <c r="B10720" t="s">
        <v>178</v>
      </c>
      <c r="C10720">
        <v>303.99999886751175</v>
      </c>
      <c r="D10720">
        <v>20</v>
      </c>
      <c r="E10720" s="80">
        <v>35761</v>
      </c>
    </row>
    <row r="10721" spans="1:5">
      <c r="A10721">
        <v>10756</v>
      </c>
      <c r="B10721" t="s">
        <v>179</v>
      </c>
      <c r="C10721">
        <v>303.99999886751175</v>
      </c>
      <c r="D10721">
        <v>20</v>
      </c>
      <c r="E10721" s="80">
        <v>35761</v>
      </c>
    </row>
    <row r="10722" spans="1:5">
      <c r="A10722">
        <v>10756</v>
      </c>
      <c r="B10722" t="s">
        <v>172</v>
      </c>
      <c r="C10722">
        <v>59.999999776482582</v>
      </c>
      <c r="D10722">
        <v>6</v>
      </c>
      <c r="E10722" s="80">
        <v>35761</v>
      </c>
    </row>
    <row r="10723" spans="1:5">
      <c r="A10723">
        <v>10756</v>
      </c>
      <c r="B10723" t="s">
        <v>173</v>
      </c>
      <c r="C10723">
        <v>59.999999776482582</v>
      </c>
      <c r="D10723">
        <v>6</v>
      </c>
      <c r="E10723" s="80">
        <v>35761</v>
      </c>
    </row>
    <row r="10724" spans="1:5">
      <c r="A10724">
        <v>10756</v>
      </c>
      <c r="B10724" t="s">
        <v>174</v>
      </c>
      <c r="C10724">
        <v>59.999999776482582</v>
      </c>
      <c r="D10724">
        <v>6</v>
      </c>
      <c r="E10724" s="80">
        <v>35761</v>
      </c>
    </row>
    <row r="10725" spans="1:5">
      <c r="A10725">
        <v>10756</v>
      </c>
      <c r="B10725" t="s">
        <v>175</v>
      </c>
      <c r="C10725">
        <v>59.999999776482582</v>
      </c>
      <c r="D10725">
        <v>6</v>
      </c>
      <c r="E10725" s="80">
        <v>35761</v>
      </c>
    </row>
    <row r="10726" spans="1:5">
      <c r="A10726">
        <v>10756</v>
      </c>
      <c r="B10726" t="s">
        <v>176</v>
      </c>
      <c r="C10726">
        <v>59.999999776482582</v>
      </c>
      <c r="D10726">
        <v>6</v>
      </c>
      <c r="E10726" s="80">
        <v>35761</v>
      </c>
    </row>
    <row r="10727" spans="1:5">
      <c r="A10727">
        <v>10756</v>
      </c>
      <c r="B10727" t="s">
        <v>177</v>
      </c>
      <c r="C10727">
        <v>59.999999776482582</v>
      </c>
      <c r="D10727">
        <v>6</v>
      </c>
      <c r="E10727" s="80">
        <v>35761</v>
      </c>
    </row>
    <row r="10728" spans="1:5">
      <c r="A10728">
        <v>10756</v>
      </c>
      <c r="B10728" t="s">
        <v>178</v>
      </c>
      <c r="C10728">
        <v>59.999999776482582</v>
      </c>
      <c r="D10728">
        <v>6</v>
      </c>
      <c r="E10728" s="80">
        <v>35761</v>
      </c>
    </row>
    <row r="10729" spans="1:5">
      <c r="A10729">
        <v>10756</v>
      </c>
      <c r="B10729" t="s">
        <v>179</v>
      </c>
      <c r="C10729">
        <v>59.999999776482582</v>
      </c>
      <c r="D10729">
        <v>6</v>
      </c>
      <c r="E10729" s="80">
        <v>35761</v>
      </c>
    </row>
    <row r="10730" spans="1:5">
      <c r="A10730">
        <v>10756</v>
      </c>
      <c r="B10730" t="s">
        <v>172</v>
      </c>
      <c r="C10730">
        <v>575.99999785423279</v>
      </c>
      <c r="D10730">
        <v>20</v>
      </c>
      <c r="E10730" s="80">
        <v>35761</v>
      </c>
    </row>
    <row r="10731" spans="1:5">
      <c r="A10731">
        <v>10756</v>
      </c>
      <c r="B10731" t="s">
        <v>173</v>
      </c>
      <c r="C10731">
        <v>575.99999785423279</v>
      </c>
      <c r="D10731">
        <v>20</v>
      </c>
      <c r="E10731" s="80">
        <v>35761</v>
      </c>
    </row>
    <row r="10732" spans="1:5">
      <c r="A10732">
        <v>10756</v>
      </c>
      <c r="B10732" t="s">
        <v>174</v>
      </c>
      <c r="C10732">
        <v>575.99999785423279</v>
      </c>
      <c r="D10732">
        <v>20</v>
      </c>
      <c r="E10732" s="80">
        <v>35761</v>
      </c>
    </row>
    <row r="10733" spans="1:5">
      <c r="A10733">
        <v>10756</v>
      </c>
      <c r="B10733" t="s">
        <v>175</v>
      </c>
      <c r="C10733">
        <v>575.99999785423279</v>
      </c>
      <c r="D10733">
        <v>20</v>
      </c>
      <c r="E10733" s="80">
        <v>35761</v>
      </c>
    </row>
    <row r="10734" spans="1:5">
      <c r="A10734">
        <v>10756</v>
      </c>
      <c r="B10734" t="s">
        <v>176</v>
      </c>
      <c r="C10734">
        <v>575.99999785423279</v>
      </c>
      <c r="D10734">
        <v>20</v>
      </c>
      <c r="E10734" s="80">
        <v>35761</v>
      </c>
    </row>
    <row r="10735" spans="1:5">
      <c r="A10735">
        <v>10756</v>
      </c>
      <c r="B10735" t="s">
        <v>177</v>
      </c>
      <c r="C10735">
        <v>575.99999785423279</v>
      </c>
      <c r="D10735">
        <v>20</v>
      </c>
      <c r="E10735" s="80">
        <v>35761</v>
      </c>
    </row>
    <row r="10736" spans="1:5">
      <c r="A10736">
        <v>10756</v>
      </c>
      <c r="B10736" t="s">
        <v>178</v>
      </c>
      <c r="C10736">
        <v>575.99999785423279</v>
      </c>
      <c r="D10736">
        <v>20</v>
      </c>
      <c r="E10736" s="80">
        <v>35761</v>
      </c>
    </row>
    <row r="10737" spans="1:5">
      <c r="A10737">
        <v>10756</v>
      </c>
      <c r="B10737" t="s">
        <v>179</v>
      </c>
      <c r="C10737">
        <v>575.99999785423279</v>
      </c>
      <c r="D10737">
        <v>20</v>
      </c>
      <c r="E10737" s="80">
        <v>35761</v>
      </c>
    </row>
    <row r="10738" spans="1:5">
      <c r="A10738">
        <v>10757</v>
      </c>
      <c r="B10738" t="s">
        <v>172</v>
      </c>
      <c r="C10738">
        <v>420</v>
      </c>
      <c r="D10738">
        <v>30</v>
      </c>
      <c r="E10738" s="80">
        <v>35761</v>
      </c>
    </row>
    <row r="10739" spans="1:5">
      <c r="A10739">
        <v>10757</v>
      </c>
      <c r="B10739" t="s">
        <v>173</v>
      </c>
      <c r="C10739">
        <v>420</v>
      </c>
      <c r="D10739">
        <v>30</v>
      </c>
      <c r="E10739" s="80">
        <v>35761</v>
      </c>
    </row>
    <row r="10740" spans="1:5">
      <c r="A10740">
        <v>10757</v>
      </c>
      <c r="B10740" t="s">
        <v>174</v>
      </c>
      <c r="C10740">
        <v>420</v>
      </c>
      <c r="D10740">
        <v>30</v>
      </c>
      <c r="E10740" s="80">
        <v>35761</v>
      </c>
    </row>
    <row r="10741" spans="1:5">
      <c r="A10741">
        <v>10757</v>
      </c>
      <c r="B10741" t="s">
        <v>175</v>
      </c>
      <c r="C10741">
        <v>420</v>
      </c>
      <c r="D10741">
        <v>30</v>
      </c>
      <c r="E10741" s="80">
        <v>35761</v>
      </c>
    </row>
    <row r="10742" spans="1:5">
      <c r="A10742">
        <v>10757</v>
      </c>
      <c r="B10742" t="s">
        <v>176</v>
      </c>
      <c r="C10742">
        <v>420</v>
      </c>
      <c r="D10742">
        <v>30</v>
      </c>
      <c r="E10742" s="80">
        <v>35761</v>
      </c>
    </row>
    <row r="10743" spans="1:5">
      <c r="A10743">
        <v>10757</v>
      </c>
      <c r="B10743" t="s">
        <v>177</v>
      </c>
      <c r="C10743">
        <v>420</v>
      </c>
      <c r="D10743">
        <v>30</v>
      </c>
      <c r="E10743" s="80">
        <v>35761</v>
      </c>
    </row>
    <row r="10744" spans="1:5">
      <c r="A10744">
        <v>10757</v>
      </c>
      <c r="B10744" t="s">
        <v>178</v>
      </c>
      <c r="C10744">
        <v>420</v>
      </c>
      <c r="D10744">
        <v>30</v>
      </c>
      <c r="E10744" s="80">
        <v>35761</v>
      </c>
    </row>
    <row r="10745" spans="1:5">
      <c r="A10745">
        <v>10757</v>
      </c>
      <c r="B10745" t="s">
        <v>179</v>
      </c>
      <c r="C10745">
        <v>420</v>
      </c>
      <c r="D10745">
        <v>30</v>
      </c>
      <c r="E10745" s="80">
        <v>35761</v>
      </c>
    </row>
    <row r="10746" spans="1:5">
      <c r="A10746">
        <v>10757</v>
      </c>
      <c r="B10746" t="s">
        <v>172</v>
      </c>
      <c r="C10746">
        <v>385</v>
      </c>
      <c r="D10746">
        <v>7</v>
      </c>
      <c r="E10746" s="80">
        <v>35761</v>
      </c>
    </row>
    <row r="10747" spans="1:5">
      <c r="A10747">
        <v>10757</v>
      </c>
      <c r="B10747" t="s">
        <v>173</v>
      </c>
      <c r="C10747">
        <v>385</v>
      </c>
      <c r="D10747">
        <v>7</v>
      </c>
      <c r="E10747" s="80">
        <v>35761</v>
      </c>
    </row>
    <row r="10748" spans="1:5">
      <c r="A10748">
        <v>10757</v>
      </c>
      <c r="B10748" t="s">
        <v>174</v>
      </c>
      <c r="C10748">
        <v>385</v>
      </c>
      <c r="D10748">
        <v>7</v>
      </c>
      <c r="E10748" s="80">
        <v>35761</v>
      </c>
    </row>
    <row r="10749" spans="1:5">
      <c r="A10749">
        <v>10757</v>
      </c>
      <c r="B10749" t="s">
        <v>175</v>
      </c>
      <c r="C10749">
        <v>385</v>
      </c>
      <c r="D10749">
        <v>7</v>
      </c>
      <c r="E10749" s="80">
        <v>35761</v>
      </c>
    </row>
    <row r="10750" spans="1:5">
      <c r="A10750">
        <v>10757</v>
      </c>
      <c r="B10750" t="s">
        <v>176</v>
      </c>
      <c r="C10750">
        <v>385</v>
      </c>
      <c r="D10750">
        <v>7</v>
      </c>
      <c r="E10750" s="80">
        <v>35761</v>
      </c>
    </row>
    <row r="10751" spans="1:5">
      <c r="A10751">
        <v>10757</v>
      </c>
      <c r="B10751" t="s">
        <v>177</v>
      </c>
      <c r="C10751">
        <v>385</v>
      </c>
      <c r="D10751">
        <v>7</v>
      </c>
      <c r="E10751" s="80">
        <v>35761</v>
      </c>
    </row>
    <row r="10752" spans="1:5">
      <c r="A10752">
        <v>10757</v>
      </c>
      <c r="B10752" t="s">
        <v>178</v>
      </c>
      <c r="C10752">
        <v>385</v>
      </c>
      <c r="D10752">
        <v>7</v>
      </c>
      <c r="E10752" s="80">
        <v>35761</v>
      </c>
    </row>
    <row r="10753" spans="1:5">
      <c r="A10753">
        <v>10757</v>
      </c>
      <c r="B10753" t="s">
        <v>179</v>
      </c>
      <c r="C10753">
        <v>385</v>
      </c>
      <c r="D10753">
        <v>7</v>
      </c>
      <c r="E10753" s="80">
        <v>35761</v>
      </c>
    </row>
    <row r="10754" spans="1:5">
      <c r="A10754">
        <v>10757</v>
      </c>
      <c r="B10754" t="s">
        <v>172</v>
      </c>
      <c r="C10754">
        <v>1479</v>
      </c>
      <c r="D10754">
        <v>30</v>
      </c>
      <c r="E10754" s="80">
        <v>35761</v>
      </c>
    </row>
    <row r="10755" spans="1:5">
      <c r="A10755">
        <v>10757</v>
      </c>
      <c r="B10755" t="s">
        <v>173</v>
      </c>
      <c r="C10755">
        <v>1479</v>
      </c>
      <c r="D10755">
        <v>30</v>
      </c>
      <c r="E10755" s="80">
        <v>35761</v>
      </c>
    </row>
    <row r="10756" spans="1:5">
      <c r="A10756">
        <v>10757</v>
      </c>
      <c r="B10756" t="s">
        <v>174</v>
      </c>
      <c r="C10756">
        <v>1479</v>
      </c>
      <c r="D10756">
        <v>30</v>
      </c>
      <c r="E10756" s="80">
        <v>35761</v>
      </c>
    </row>
    <row r="10757" spans="1:5">
      <c r="A10757">
        <v>10757</v>
      </c>
      <c r="B10757" t="s">
        <v>175</v>
      </c>
      <c r="C10757">
        <v>1479</v>
      </c>
      <c r="D10757">
        <v>30</v>
      </c>
      <c r="E10757" s="80">
        <v>35761</v>
      </c>
    </row>
    <row r="10758" spans="1:5">
      <c r="A10758">
        <v>10757</v>
      </c>
      <c r="B10758" t="s">
        <v>176</v>
      </c>
      <c r="C10758">
        <v>1479</v>
      </c>
      <c r="D10758">
        <v>30</v>
      </c>
      <c r="E10758" s="80">
        <v>35761</v>
      </c>
    </row>
    <row r="10759" spans="1:5">
      <c r="A10759">
        <v>10757</v>
      </c>
      <c r="B10759" t="s">
        <v>177</v>
      </c>
      <c r="C10759">
        <v>1479</v>
      </c>
      <c r="D10759">
        <v>30</v>
      </c>
      <c r="E10759" s="80">
        <v>35761</v>
      </c>
    </row>
    <row r="10760" spans="1:5">
      <c r="A10760">
        <v>10757</v>
      </c>
      <c r="B10760" t="s">
        <v>178</v>
      </c>
      <c r="C10760">
        <v>1479</v>
      </c>
      <c r="D10760">
        <v>30</v>
      </c>
      <c r="E10760" s="80">
        <v>35761</v>
      </c>
    </row>
    <row r="10761" spans="1:5">
      <c r="A10761">
        <v>10757</v>
      </c>
      <c r="B10761" t="s">
        <v>179</v>
      </c>
      <c r="C10761">
        <v>1479</v>
      </c>
      <c r="D10761">
        <v>30</v>
      </c>
      <c r="E10761" s="80">
        <v>35761</v>
      </c>
    </row>
    <row r="10762" spans="1:5">
      <c r="A10762">
        <v>10757</v>
      </c>
      <c r="B10762" t="s">
        <v>172</v>
      </c>
      <c r="C10762">
        <v>798</v>
      </c>
      <c r="D10762">
        <v>24</v>
      </c>
      <c r="E10762" s="80">
        <v>35761</v>
      </c>
    </row>
    <row r="10763" spans="1:5">
      <c r="A10763">
        <v>10757</v>
      </c>
      <c r="B10763" t="s">
        <v>173</v>
      </c>
      <c r="C10763">
        <v>798</v>
      </c>
      <c r="D10763">
        <v>24</v>
      </c>
      <c r="E10763" s="80">
        <v>35761</v>
      </c>
    </row>
    <row r="10764" spans="1:5">
      <c r="A10764">
        <v>10757</v>
      </c>
      <c r="B10764" t="s">
        <v>174</v>
      </c>
      <c r="C10764">
        <v>798</v>
      </c>
      <c r="D10764">
        <v>24</v>
      </c>
      <c r="E10764" s="80">
        <v>35761</v>
      </c>
    </row>
    <row r="10765" spans="1:5">
      <c r="A10765">
        <v>10757</v>
      </c>
      <c r="B10765" t="s">
        <v>175</v>
      </c>
      <c r="C10765">
        <v>798</v>
      </c>
      <c r="D10765">
        <v>24</v>
      </c>
      <c r="E10765" s="80">
        <v>35761</v>
      </c>
    </row>
    <row r="10766" spans="1:5">
      <c r="A10766">
        <v>10757</v>
      </c>
      <c r="B10766" t="s">
        <v>176</v>
      </c>
      <c r="C10766">
        <v>798</v>
      </c>
      <c r="D10766">
        <v>24</v>
      </c>
      <c r="E10766" s="80">
        <v>35761</v>
      </c>
    </row>
    <row r="10767" spans="1:5">
      <c r="A10767">
        <v>10757</v>
      </c>
      <c r="B10767" t="s">
        <v>177</v>
      </c>
      <c r="C10767">
        <v>798</v>
      </c>
      <c r="D10767">
        <v>24</v>
      </c>
      <c r="E10767" s="80">
        <v>35761</v>
      </c>
    </row>
    <row r="10768" spans="1:5">
      <c r="A10768">
        <v>10757</v>
      </c>
      <c r="B10768" t="s">
        <v>178</v>
      </c>
      <c r="C10768">
        <v>798</v>
      </c>
      <c r="D10768">
        <v>24</v>
      </c>
      <c r="E10768" s="80">
        <v>35761</v>
      </c>
    </row>
    <row r="10769" spans="1:5">
      <c r="A10769">
        <v>10757</v>
      </c>
      <c r="B10769" t="s">
        <v>179</v>
      </c>
      <c r="C10769">
        <v>798</v>
      </c>
      <c r="D10769">
        <v>24</v>
      </c>
      <c r="E10769" s="80">
        <v>35761</v>
      </c>
    </row>
    <row r="10770" spans="1:5">
      <c r="A10770">
        <v>10758</v>
      </c>
      <c r="B10770" t="s">
        <v>172</v>
      </c>
      <c r="C10770">
        <v>624.6</v>
      </c>
      <c r="D10770">
        <v>20</v>
      </c>
      <c r="E10770" s="80">
        <v>35762</v>
      </c>
    </row>
    <row r="10771" spans="1:5">
      <c r="A10771">
        <v>10758</v>
      </c>
      <c r="B10771" t="s">
        <v>173</v>
      </c>
      <c r="C10771">
        <v>624.6</v>
      </c>
      <c r="D10771">
        <v>20</v>
      </c>
      <c r="E10771" s="80">
        <v>35762</v>
      </c>
    </row>
    <row r="10772" spans="1:5">
      <c r="A10772">
        <v>10758</v>
      </c>
      <c r="B10772" t="s">
        <v>174</v>
      </c>
      <c r="C10772">
        <v>624.6</v>
      </c>
      <c r="D10772">
        <v>20</v>
      </c>
      <c r="E10772" s="80">
        <v>35762</v>
      </c>
    </row>
    <row r="10773" spans="1:5">
      <c r="A10773">
        <v>10758</v>
      </c>
      <c r="B10773" t="s">
        <v>175</v>
      </c>
      <c r="C10773">
        <v>624.6</v>
      </c>
      <c r="D10773">
        <v>20</v>
      </c>
      <c r="E10773" s="80">
        <v>35762</v>
      </c>
    </row>
    <row r="10774" spans="1:5">
      <c r="A10774">
        <v>10758</v>
      </c>
      <c r="B10774" t="s">
        <v>176</v>
      </c>
      <c r="C10774">
        <v>624.6</v>
      </c>
      <c r="D10774">
        <v>20</v>
      </c>
      <c r="E10774" s="80">
        <v>35762</v>
      </c>
    </row>
    <row r="10775" spans="1:5">
      <c r="A10775">
        <v>10758</v>
      </c>
      <c r="B10775" t="s">
        <v>177</v>
      </c>
      <c r="C10775">
        <v>624.6</v>
      </c>
      <c r="D10775">
        <v>20</v>
      </c>
      <c r="E10775" s="80">
        <v>35762</v>
      </c>
    </row>
    <row r="10776" spans="1:5">
      <c r="A10776">
        <v>10758</v>
      </c>
      <c r="B10776" t="s">
        <v>178</v>
      </c>
      <c r="C10776">
        <v>624.6</v>
      </c>
      <c r="D10776">
        <v>20</v>
      </c>
      <c r="E10776" s="80">
        <v>35762</v>
      </c>
    </row>
    <row r="10777" spans="1:5">
      <c r="A10777">
        <v>10758</v>
      </c>
      <c r="B10777" t="s">
        <v>179</v>
      </c>
      <c r="C10777">
        <v>624.6</v>
      </c>
      <c r="D10777">
        <v>20</v>
      </c>
      <c r="E10777" s="80">
        <v>35762</v>
      </c>
    </row>
    <row r="10778" spans="1:5">
      <c r="A10778">
        <v>10758</v>
      </c>
      <c r="B10778" t="s">
        <v>172</v>
      </c>
      <c r="C10778">
        <v>420</v>
      </c>
      <c r="D10778">
        <v>60</v>
      </c>
      <c r="E10778" s="80">
        <v>35762</v>
      </c>
    </row>
    <row r="10779" spans="1:5">
      <c r="A10779">
        <v>10758</v>
      </c>
      <c r="B10779" t="s">
        <v>173</v>
      </c>
      <c r="C10779">
        <v>420</v>
      </c>
      <c r="D10779">
        <v>60</v>
      </c>
      <c r="E10779" s="80">
        <v>35762</v>
      </c>
    </row>
    <row r="10780" spans="1:5">
      <c r="A10780">
        <v>10758</v>
      </c>
      <c r="B10780" t="s">
        <v>174</v>
      </c>
      <c r="C10780">
        <v>420</v>
      </c>
      <c r="D10780">
        <v>60</v>
      </c>
      <c r="E10780" s="80">
        <v>35762</v>
      </c>
    </row>
    <row r="10781" spans="1:5">
      <c r="A10781">
        <v>10758</v>
      </c>
      <c r="B10781" t="s">
        <v>175</v>
      </c>
      <c r="C10781">
        <v>420</v>
      </c>
      <c r="D10781">
        <v>60</v>
      </c>
      <c r="E10781" s="80">
        <v>35762</v>
      </c>
    </row>
    <row r="10782" spans="1:5">
      <c r="A10782">
        <v>10758</v>
      </c>
      <c r="B10782" t="s">
        <v>176</v>
      </c>
      <c r="C10782">
        <v>420</v>
      </c>
      <c r="D10782">
        <v>60</v>
      </c>
      <c r="E10782" s="80">
        <v>35762</v>
      </c>
    </row>
    <row r="10783" spans="1:5">
      <c r="A10783">
        <v>10758</v>
      </c>
      <c r="B10783" t="s">
        <v>177</v>
      </c>
      <c r="C10783">
        <v>420</v>
      </c>
      <c r="D10783">
        <v>60</v>
      </c>
      <c r="E10783" s="80">
        <v>35762</v>
      </c>
    </row>
    <row r="10784" spans="1:5">
      <c r="A10784">
        <v>10758</v>
      </c>
      <c r="B10784" t="s">
        <v>178</v>
      </c>
      <c r="C10784">
        <v>420</v>
      </c>
      <c r="D10784">
        <v>60</v>
      </c>
      <c r="E10784" s="80">
        <v>35762</v>
      </c>
    </row>
    <row r="10785" spans="1:5">
      <c r="A10785">
        <v>10758</v>
      </c>
      <c r="B10785" t="s">
        <v>179</v>
      </c>
      <c r="C10785">
        <v>420</v>
      </c>
      <c r="D10785">
        <v>60</v>
      </c>
      <c r="E10785" s="80">
        <v>35762</v>
      </c>
    </row>
    <row r="10786" spans="1:5">
      <c r="A10786">
        <v>10758</v>
      </c>
      <c r="B10786" t="s">
        <v>172</v>
      </c>
      <c r="C10786">
        <v>600</v>
      </c>
      <c r="D10786">
        <v>40</v>
      </c>
      <c r="E10786" s="80">
        <v>35762</v>
      </c>
    </row>
    <row r="10787" spans="1:5">
      <c r="A10787">
        <v>10758</v>
      </c>
      <c r="B10787" t="s">
        <v>173</v>
      </c>
      <c r="C10787">
        <v>600</v>
      </c>
      <c r="D10787">
        <v>40</v>
      </c>
      <c r="E10787" s="80">
        <v>35762</v>
      </c>
    </row>
    <row r="10788" spans="1:5">
      <c r="A10788">
        <v>10758</v>
      </c>
      <c r="B10788" t="s">
        <v>174</v>
      </c>
      <c r="C10788">
        <v>600</v>
      </c>
      <c r="D10788">
        <v>40</v>
      </c>
      <c r="E10788" s="80">
        <v>35762</v>
      </c>
    </row>
    <row r="10789" spans="1:5">
      <c r="A10789">
        <v>10758</v>
      </c>
      <c r="B10789" t="s">
        <v>175</v>
      </c>
      <c r="C10789">
        <v>600</v>
      </c>
      <c r="D10789">
        <v>40</v>
      </c>
      <c r="E10789" s="80">
        <v>35762</v>
      </c>
    </row>
    <row r="10790" spans="1:5">
      <c r="A10790">
        <v>10758</v>
      </c>
      <c r="B10790" t="s">
        <v>176</v>
      </c>
      <c r="C10790">
        <v>600</v>
      </c>
      <c r="D10790">
        <v>40</v>
      </c>
      <c r="E10790" s="80">
        <v>35762</v>
      </c>
    </row>
    <row r="10791" spans="1:5">
      <c r="A10791">
        <v>10758</v>
      </c>
      <c r="B10791" t="s">
        <v>177</v>
      </c>
      <c r="C10791">
        <v>600</v>
      </c>
      <c r="D10791">
        <v>40</v>
      </c>
      <c r="E10791" s="80">
        <v>35762</v>
      </c>
    </row>
    <row r="10792" spans="1:5">
      <c r="A10792">
        <v>10758</v>
      </c>
      <c r="B10792" t="s">
        <v>178</v>
      </c>
      <c r="C10792">
        <v>600</v>
      </c>
      <c r="D10792">
        <v>40</v>
      </c>
      <c r="E10792" s="80">
        <v>35762</v>
      </c>
    </row>
    <row r="10793" spans="1:5">
      <c r="A10793">
        <v>10758</v>
      </c>
      <c r="B10793" t="s">
        <v>179</v>
      </c>
      <c r="C10793">
        <v>600</v>
      </c>
      <c r="D10793">
        <v>40</v>
      </c>
      <c r="E10793" s="80">
        <v>35762</v>
      </c>
    </row>
    <row r="10794" spans="1:5">
      <c r="A10794">
        <v>10759</v>
      </c>
      <c r="B10794" t="s">
        <v>172</v>
      </c>
      <c r="C10794">
        <v>320</v>
      </c>
      <c r="D10794">
        <v>10</v>
      </c>
      <c r="E10794" s="80">
        <v>35762</v>
      </c>
    </row>
    <row r="10795" spans="1:5">
      <c r="A10795">
        <v>10759</v>
      </c>
      <c r="B10795" t="s">
        <v>173</v>
      </c>
      <c r="C10795">
        <v>320</v>
      </c>
      <c r="D10795">
        <v>10</v>
      </c>
      <c r="E10795" s="80">
        <v>35762</v>
      </c>
    </row>
    <row r="10796" spans="1:5">
      <c r="A10796">
        <v>10759</v>
      </c>
      <c r="B10796" t="s">
        <v>174</v>
      </c>
      <c r="C10796">
        <v>320</v>
      </c>
      <c r="D10796">
        <v>10</v>
      </c>
      <c r="E10796" s="80">
        <v>35762</v>
      </c>
    </row>
    <row r="10797" spans="1:5">
      <c r="A10797">
        <v>10759</v>
      </c>
      <c r="B10797" t="s">
        <v>175</v>
      </c>
      <c r="C10797">
        <v>320</v>
      </c>
      <c r="D10797">
        <v>10</v>
      </c>
      <c r="E10797" s="80">
        <v>35762</v>
      </c>
    </row>
    <row r="10798" spans="1:5">
      <c r="A10798">
        <v>10759</v>
      </c>
      <c r="B10798" t="s">
        <v>176</v>
      </c>
      <c r="C10798">
        <v>320</v>
      </c>
      <c r="D10798">
        <v>10</v>
      </c>
      <c r="E10798" s="80">
        <v>35762</v>
      </c>
    </row>
    <row r="10799" spans="1:5">
      <c r="A10799">
        <v>10759</v>
      </c>
      <c r="B10799" t="s">
        <v>177</v>
      </c>
      <c r="C10799">
        <v>320</v>
      </c>
      <c r="D10799">
        <v>10</v>
      </c>
      <c r="E10799" s="80">
        <v>35762</v>
      </c>
    </row>
    <row r="10800" spans="1:5">
      <c r="A10800">
        <v>10759</v>
      </c>
      <c r="B10800" t="s">
        <v>178</v>
      </c>
      <c r="C10800">
        <v>320</v>
      </c>
      <c r="D10800">
        <v>10</v>
      </c>
      <c r="E10800" s="80">
        <v>35762</v>
      </c>
    </row>
    <row r="10801" spans="1:5">
      <c r="A10801">
        <v>10759</v>
      </c>
      <c r="B10801" t="s">
        <v>179</v>
      </c>
      <c r="C10801">
        <v>320</v>
      </c>
      <c r="D10801">
        <v>10</v>
      </c>
      <c r="E10801" s="80">
        <v>35762</v>
      </c>
    </row>
    <row r="10802" spans="1:5">
      <c r="A10802">
        <v>10760</v>
      </c>
      <c r="B10802" t="s">
        <v>172</v>
      </c>
      <c r="C10802">
        <v>126</v>
      </c>
      <c r="D10802">
        <v>12</v>
      </c>
      <c r="E10802" s="80">
        <v>35765</v>
      </c>
    </row>
    <row r="10803" spans="1:5">
      <c r="A10803">
        <v>10760</v>
      </c>
      <c r="B10803" t="s">
        <v>173</v>
      </c>
      <c r="C10803">
        <v>126</v>
      </c>
      <c r="D10803">
        <v>12</v>
      </c>
      <c r="E10803" s="80">
        <v>35765</v>
      </c>
    </row>
    <row r="10804" spans="1:5">
      <c r="A10804">
        <v>10760</v>
      </c>
      <c r="B10804" t="s">
        <v>174</v>
      </c>
      <c r="C10804">
        <v>126</v>
      </c>
      <c r="D10804">
        <v>12</v>
      </c>
      <c r="E10804" s="80">
        <v>35765</v>
      </c>
    </row>
    <row r="10805" spans="1:5">
      <c r="A10805">
        <v>10760</v>
      </c>
      <c r="B10805" t="s">
        <v>175</v>
      </c>
      <c r="C10805">
        <v>126</v>
      </c>
      <c r="D10805">
        <v>12</v>
      </c>
      <c r="E10805" s="80">
        <v>35765</v>
      </c>
    </row>
    <row r="10806" spans="1:5">
      <c r="A10806">
        <v>10760</v>
      </c>
      <c r="B10806" t="s">
        <v>176</v>
      </c>
      <c r="C10806">
        <v>126</v>
      </c>
      <c r="D10806">
        <v>12</v>
      </c>
      <c r="E10806" s="80">
        <v>35765</v>
      </c>
    </row>
    <row r="10807" spans="1:5">
      <c r="A10807">
        <v>10760</v>
      </c>
      <c r="B10807" t="s">
        <v>177</v>
      </c>
      <c r="C10807">
        <v>126</v>
      </c>
      <c r="D10807">
        <v>12</v>
      </c>
      <c r="E10807" s="80">
        <v>35765</v>
      </c>
    </row>
    <row r="10808" spans="1:5">
      <c r="A10808">
        <v>10760</v>
      </c>
      <c r="B10808" t="s">
        <v>178</v>
      </c>
      <c r="C10808">
        <v>126</v>
      </c>
      <c r="D10808">
        <v>12</v>
      </c>
      <c r="E10808" s="80">
        <v>35765</v>
      </c>
    </row>
    <row r="10809" spans="1:5">
      <c r="A10809">
        <v>10760</v>
      </c>
      <c r="B10809" t="s">
        <v>179</v>
      </c>
      <c r="C10809">
        <v>126</v>
      </c>
      <c r="D10809">
        <v>12</v>
      </c>
      <c r="E10809" s="80">
        <v>35765</v>
      </c>
    </row>
    <row r="10810" spans="1:5">
      <c r="A10810">
        <v>10760</v>
      </c>
      <c r="B10810" t="s">
        <v>172</v>
      </c>
      <c r="C10810">
        <v>1756</v>
      </c>
      <c r="D10810">
        <v>40</v>
      </c>
      <c r="E10810" s="80">
        <v>35765</v>
      </c>
    </row>
    <row r="10811" spans="1:5">
      <c r="A10811">
        <v>10760</v>
      </c>
      <c r="B10811" t="s">
        <v>173</v>
      </c>
      <c r="C10811">
        <v>1756</v>
      </c>
      <c r="D10811">
        <v>40</v>
      </c>
      <c r="E10811" s="80">
        <v>35765</v>
      </c>
    </row>
    <row r="10812" spans="1:5">
      <c r="A10812">
        <v>10760</v>
      </c>
      <c r="B10812" t="s">
        <v>174</v>
      </c>
      <c r="C10812">
        <v>1756</v>
      </c>
      <c r="D10812">
        <v>40</v>
      </c>
      <c r="E10812" s="80">
        <v>35765</v>
      </c>
    </row>
    <row r="10813" spans="1:5">
      <c r="A10813">
        <v>10760</v>
      </c>
      <c r="B10813" t="s">
        <v>175</v>
      </c>
      <c r="C10813">
        <v>1756</v>
      </c>
      <c r="D10813">
        <v>40</v>
      </c>
      <c r="E10813" s="80">
        <v>35765</v>
      </c>
    </row>
    <row r="10814" spans="1:5">
      <c r="A10814">
        <v>10760</v>
      </c>
      <c r="B10814" t="s">
        <v>176</v>
      </c>
      <c r="C10814">
        <v>1756</v>
      </c>
      <c r="D10814">
        <v>40</v>
      </c>
      <c r="E10814" s="80">
        <v>35765</v>
      </c>
    </row>
    <row r="10815" spans="1:5">
      <c r="A10815">
        <v>10760</v>
      </c>
      <c r="B10815" t="s">
        <v>177</v>
      </c>
      <c r="C10815">
        <v>1756</v>
      </c>
      <c r="D10815">
        <v>40</v>
      </c>
      <c r="E10815" s="80">
        <v>35765</v>
      </c>
    </row>
    <row r="10816" spans="1:5">
      <c r="A10816">
        <v>10760</v>
      </c>
      <c r="B10816" t="s">
        <v>178</v>
      </c>
      <c r="C10816">
        <v>1756</v>
      </c>
      <c r="D10816">
        <v>40</v>
      </c>
      <c r="E10816" s="80">
        <v>35765</v>
      </c>
    </row>
    <row r="10817" spans="1:5">
      <c r="A10817">
        <v>10760</v>
      </c>
      <c r="B10817" t="s">
        <v>179</v>
      </c>
      <c r="C10817">
        <v>1756</v>
      </c>
      <c r="D10817">
        <v>40</v>
      </c>
      <c r="E10817" s="80">
        <v>35765</v>
      </c>
    </row>
    <row r="10818" spans="1:5">
      <c r="A10818">
        <v>10760</v>
      </c>
      <c r="B10818" t="s">
        <v>172</v>
      </c>
      <c r="C10818">
        <v>1035</v>
      </c>
      <c r="D10818">
        <v>30</v>
      </c>
      <c r="E10818" s="80">
        <v>35765</v>
      </c>
    </row>
    <row r="10819" spans="1:5">
      <c r="A10819">
        <v>10760</v>
      </c>
      <c r="B10819" t="s">
        <v>173</v>
      </c>
      <c r="C10819">
        <v>1035</v>
      </c>
      <c r="D10819">
        <v>30</v>
      </c>
      <c r="E10819" s="80">
        <v>35765</v>
      </c>
    </row>
    <row r="10820" spans="1:5">
      <c r="A10820">
        <v>10760</v>
      </c>
      <c r="B10820" t="s">
        <v>174</v>
      </c>
      <c r="C10820">
        <v>1035</v>
      </c>
      <c r="D10820">
        <v>30</v>
      </c>
      <c r="E10820" s="80">
        <v>35765</v>
      </c>
    </row>
    <row r="10821" spans="1:5">
      <c r="A10821">
        <v>10760</v>
      </c>
      <c r="B10821" t="s">
        <v>175</v>
      </c>
      <c r="C10821">
        <v>1035</v>
      </c>
      <c r="D10821">
        <v>30</v>
      </c>
      <c r="E10821" s="80">
        <v>35765</v>
      </c>
    </row>
    <row r="10822" spans="1:5">
      <c r="A10822">
        <v>10760</v>
      </c>
      <c r="B10822" t="s">
        <v>176</v>
      </c>
      <c r="C10822">
        <v>1035</v>
      </c>
      <c r="D10822">
        <v>30</v>
      </c>
      <c r="E10822" s="80">
        <v>35765</v>
      </c>
    </row>
    <row r="10823" spans="1:5">
      <c r="A10823">
        <v>10760</v>
      </c>
      <c r="B10823" t="s">
        <v>177</v>
      </c>
      <c r="C10823">
        <v>1035</v>
      </c>
      <c r="D10823">
        <v>30</v>
      </c>
      <c r="E10823" s="80">
        <v>35765</v>
      </c>
    </row>
    <row r="10824" spans="1:5">
      <c r="A10824">
        <v>10760</v>
      </c>
      <c r="B10824" t="s">
        <v>178</v>
      </c>
      <c r="C10824">
        <v>1035</v>
      </c>
      <c r="D10824">
        <v>30</v>
      </c>
      <c r="E10824" s="80">
        <v>35765</v>
      </c>
    </row>
    <row r="10825" spans="1:5">
      <c r="A10825">
        <v>10760</v>
      </c>
      <c r="B10825" t="s">
        <v>179</v>
      </c>
      <c r="C10825">
        <v>1035</v>
      </c>
      <c r="D10825">
        <v>30</v>
      </c>
      <c r="E10825" s="80">
        <v>35765</v>
      </c>
    </row>
    <row r="10826" spans="1:5">
      <c r="A10826">
        <v>10761</v>
      </c>
      <c r="B10826" t="s">
        <v>172</v>
      </c>
      <c r="C10826">
        <v>367.5</v>
      </c>
      <c r="D10826">
        <v>35</v>
      </c>
      <c r="E10826" s="80">
        <v>35766</v>
      </c>
    </row>
    <row r="10827" spans="1:5">
      <c r="A10827">
        <v>10761</v>
      </c>
      <c r="B10827" t="s">
        <v>173</v>
      </c>
      <c r="C10827">
        <v>367.5</v>
      </c>
      <c r="D10827">
        <v>35</v>
      </c>
      <c r="E10827" s="80">
        <v>35766</v>
      </c>
    </row>
    <row r="10828" spans="1:5">
      <c r="A10828">
        <v>10761</v>
      </c>
      <c r="B10828" t="s">
        <v>174</v>
      </c>
      <c r="C10828">
        <v>367.5</v>
      </c>
      <c r="D10828">
        <v>35</v>
      </c>
      <c r="E10828" s="80">
        <v>35766</v>
      </c>
    </row>
    <row r="10829" spans="1:5">
      <c r="A10829">
        <v>10761</v>
      </c>
      <c r="B10829" t="s">
        <v>175</v>
      </c>
      <c r="C10829">
        <v>367.5</v>
      </c>
      <c r="D10829">
        <v>35</v>
      </c>
      <c r="E10829" s="80">
        <v>35766</v>
      </c>
    </row>
    <row r="10830" spans="1:5">
      <c r="A10830">
        <v>10761</v>
      </c>
      <c r="B10830" t="s">
        <v>176</v>
      </c>
      <c r="C10830">
        <v>367.5</v>
      </c>
      <c r="D10830">
        <v>35</v>
      </c>
      <c r="E10830" s="80">
        <v>35766</v>
      </c>
    </row>
    <row r="10831" spans="1:5">
      <c r="A10831">
        <v>10761</v>
      </c>
      <c r="B10831" t="s">
        <v>177</v>
      </c>
      <c r="C10831">
        <v>367.5</v>
      </c>
      <c r="D10831">
        <v>35</v>
      </c>
      <c r="E10831" s="80">
        <v>35766</v>
      </c>
    </row>
    <row r="10832" spans="1:5">
      <c r="A10832">
        <v>10761</v>
      </c>
      <c r="B10832" t="s">
        <v>178</v>
      </c>
      <c r="C10832">
        <v>367.5</v>
      </c>
      <c r="D10832">
        <v>35</v>
      </c>
      <c r="E10832" s="80">
        <v>35766</v>
      </c>
    </row>
    <row r="10833" spans="1:5">
      <c r="A10833">
        <v>10761</v>
      </c>
      <c r="B10833" t="s">
        <v>179</v>
      </c>
      <c r="C10833">
        <v>367.5</v>
      </c>
      <c r="D10833">
        <v>35</v>
      </c>
      <c r="E10833" s="80">
        <v>35766</v>
      </c>
    </row>
    <row r="10834" spans="1:5">
      <c r="A10834">
        <v>10761</v>
      </c>
      <c r="B10834" t="s">
        <v>172</v>
      </c>
      <c r="C10834">
        <v>139.5</v>
      </c>
      <c r="D10834">
        <v>18</v>
      </c>
      <c r="E10834" s="80">
        <v>35766</v>
      </c>
    </row>
    <row r="10835" spans="1:5">
      <c r="A10835">
        <v>10761</v>
      </c>
      <c r="B10835" t="s">
        <v>173</v>
      </c>
      <c r="C10835">
        <v>139.5</v>
      </c>
      <c r="D10835">
        <v>18</v>
      </c>
      <c r="E10835" s="80">
        <v>35766</v>
      </c>
    </row>
    <row r="10836" spans="1:5">
      <c r="A10836">
        <v>10761</v>
      </c>
      <c r="B10836" t="s">
        <v>174</v>
      </c>
      <c r="C10836">
        <v>139.5</v>
      </c>
      <c r="D10836">
        <v>18</v>
      </c>
      <c r="E10836" s="80">
        <v>35766</v>
      </c>
    </row>
    <row r="10837" spans="1:5">
      <c r="A10837">
        <v>10761</v>
      </c>
      <c r="B10837" t="s">
        <v>175</v>
      </c>
      <c r="C10837">
        <v>139.5</v>
      </c>
      <c r="D10837">
        <v>18</v>
      </c>
      <c r="E10837" s="80">
        <v>35766</v>
      </c>
    </row>
    <row r="10838" spans="1:5">
      <c r="A10838">
        <v>10761</v>
      </c>
      <c r="B10838" t="s">
        <v>176</v>
      </c>
      <c r="C10838">
        <v>139.5</v>
      </c>
      <c r="D10838">
        <v>18</v>
      </c>
      <c r="E10838" s="80">
        <v>35766</v>
      </c>
    </row>
    <row r="10839" spans="1:5">
      <c r="A10839">
        <v>10761</v>
      </c>
      <c r="B10839" t="s">
        <v>177</v>
      </c>
      <c r="C10839">
        <v>139.5</v>
      </c>
      <c r="D10839">
        <v>18</v>
      </c>
      <c r="E10839" s="80">
        <v>35766</v>
      </c>
    </row>
    <row r="10840" spans="1:5">
      <c r="A10840">
        <v>10761</v>
      </c>
      <c r="B10840" t="s">
        <v>178</v>
      </c>
      <c r="C10840">
        <v>139.5</v>
      </c>
      <c r="D10840">
        <v>18</v>
      </c>
      <c r="E10840" s="80">
        <v>35766</v>
      </c>
    </row>
    <row r="10841" spans="1:5">
      <c r="A10841">
        <v>10761</v>
      </c>
      <c r="B10841" t="s">
        <v>179</v>
      </c>
      <c r="C10841">
        <v>139.5</v>
      </c>
      <c r="D10841">
        <v>18</v>
      </c>
      <c r="E10841" s="80">
        <v>35766</v>
      </c>
    </row>
    <row r="10842" spans="1:5">
      <c r="A10842">
        <v>10762</v>
      </c>
      <c r="B10842" t="s">
        <v>172</v>
      </c>
      <c r="C10842">
        <v>288</v>
      </c>
      <c r="D10842">
        <v>16</v>
      </c>
      <c r="E10842" s="80">
        <v>35766</v>
      </c>
    </row>
    <row r="10843" spans="1:5">
      <c r="A10843">
        <v>10762</v>
      </c>
      <c r="B10843" t="s">
        <v>173</v>
      </c>
      <c r="C10843">
        <v>288</v>
      </c>
      <c r="D10843">
        <v>16</v>
      </c>
      <c r="E10843" s="80">
        <v>35766</v>
      </c>
    </row>
    <row r="10844" spans="1:5">
      <c r="A10844">
        <v>10762</v>
      </c>
      <c r="B10844" t="s">
        <v>174</v>
      </c>
      <c r="C10844">
        <v>288</v>
      </c>
      <c r="D10844">
        <v>16</v>
      </c>
      <c r="E10844" s="80">
        <v>35766</v>
      </c>
    </row>
    <row r="10845" spans="1:5">
      <c r="A10845">
        <v>10762</v>
      </c>
      <c r="B10845" t="s">
        <v>175</v>
      </c>
      <c r="C10845">
        <v>288</v>
      </c>
      <c r="D10845">
        <v>16</v>
      </c>
      <c r="E10845" s="80">
        <v>35766</v>
      </c>
    </row>
    <row r="10846" spans="1:5">
      <c r="A10846">
        <v>10762</v>
      </c>
      <c r="B10846" t="s">
        <v>176</v>
      </c>
      <c r="C10846">
        <v>288</v>
      </c>
      <c r="D10846">
        <v>16</v>
      </c>
      <c r="E10846" s="80">
        <v>35766</v>
      </c>
    </row>
    <row r="10847" spans="1:5">
      <c r="A10847">
        <v>10762</v>
      </c>
      <c r="B10847" t="s">
        <v>177</v>
      </c>
      <c r="C10847">
        <v>288</v>
      </c>
      <c r="D10847">
        <v>16</v>
      </c>
      <c r="E10847" s="80">
        <v>35766</v>
      </c>
    </row>
    <row r="10848" spans="1:5">
      <c r="A10848">
        <v>10762</v>
      </c>
      <c r="B10848" t="s">
        <v>178</v>
      </c>
      <c r="C10848">
        <v>288</v>
      </c>
      <c r="D10848">
        <v>16</v>
      </c>
      <c r="E10848" s="80">
        <v>35766</v>
      </c>
    </row>
    <row r="10849" spans="1:5">
      <c r="A10849">
        <v>10762</v>
      </c>
      <c r="B10849" t="s">
        <v>179</v>
      </c>
      <c r="C10849">
        <v>288</v>
      </c>
      <c r="D10849">
        <v>16</v>
      </c>
      <c r="E10849" s="80">
        <v>35766</v>
      </c>
    </row>
    <row r="10850" spans="1:5">
      <c r="A10850">
        <v>10762</v>
      </c>
      <c r="B10850" t="s">
        <v>172</v>
      </c>
      <c r="C10850">
        <v>285</v>
      </c>
      <c r="D10850">
        <v>30</v>
      </c>
      <c r="E10850" s="80">
        <v>35766</v>
      </c>
    </row>
    <row r="10851" spans="1:5">
      <c r="A10851">
        <v>10762</v>
      </c>
      <c r="B10851" t="s">
        <v>173</v>
      </c>
      <c r="C10851">
        <v>285</v>
      </c>
      <c r="D10851">
        <v>30</v>
      </c>
      <c r="E10851" s="80">
        <v>35766</v>
      </c>
    </row>
    <row r="10852" spans="1:5">
      <c r="A10852">
        <v>10762</v>
      </c>
      <c r="B10852" t="s">
        <v>174</v>
      </c>
      <c r="C10852">
        <v>285</v>
      </c>
      <c r="D10852">
        <v>30</v>
      </c>
      <c r="E10852" s="80">
        <v>35766</v>
      </c>
    </row>
    <row r="10853" spans="1:5">
      <c r="A10853">
        <v>10762</v>
      </c>
      <c r="B10853" t="s">
        <v>175</v>
      </c>
      <c r="C10853">
        <v>285</v>
      </c>
      <c r="D10853">
        <v>30</v>
      </c>
      <c r="E10853" s="80">
        <v>35766</v>
      </c>
    </row>
    <row r="10854" spans="1:5">
      <c r="A10854">
        <v>10762</v>
      </c>
      <c r="B10854" t="s">
        <v>176</v>
      </c>
      <c r="C10854">
        <v>285</v>
      </c>
      <c r="D10854">
        <v>30</v>
      </c>
      <c r="E10854" s="80">
        <v>35766</v>
      </c>
    </row>
    <row r="10855" spans="1:5">
      <c r="A10855">
        <v>10762</v>
      </c>
      <c r="B10855" t="s">
        <v>177</v>
      </c>
      <c r="C10855">
        <v>285</v>
      </c>
      <c r="D10855">
        <v>30</v>
      </c>
      <c r="E10855" s="80">
        <v>35766</v>
      </c>
    </row>
    <row r="10856" spans="1:5">
      <c r="A10856">
        <v>10762</v>
      </c>
      <c r="B10856" t="s">
        <v>178</v>
      </c>
      <c r="C10856">
        <v>285</v>
      </c>
      <c r="D10856">
        <v>30</v>
      </c>
      <c r="E10856" s="80">
        <v>35766</v>
      </c>
    </row>
    <row r="10857" spans="1:5">
      <c r="A10857">
        <v>10762</v>
      </c>
      <c r="B10857" t="s">
        <v>179</v>
      </c>
      <c r="C10857">
        <v>285</v>
      </c>
      <c r="D10857">
        <v>30</v>
      </c>
      <c r="E10857" s="80">
        <v>35766</v>
      </c>
    </row>
    <row r="10858" spans="1:5">
      <c r="A10858">
        <v>10762</v>
      </c>
      <c r="B10858" t="s">
        <v>172</v>
      </c>
      <c r="C10858">
        <v>1484</v>
      </c>
      <c r="D10858">
        <v>28</v>
      </c>
      <c r="E10858" s="80">
        <v>35766</v>
      </c>
    </row>
    <row r="10859" spans="1:5">
      <c r="A10859">
        <v>10762</v>
      </c>
      <c r="B10859" t="s">
        <v>173</v>
      </c>
      <c r="C10859">
        <v>1484</v>
      </c>
      <c r="D10859">
        <v>28</v>
      </c>
      <c r="E10859" s="80">
        <v>35766</v>
      </c>
    </row>
    <row r="10860" spans="1:5">
      <c r="A10860">
        <v>10762</v>
      </c>
      <c r="B10860" t="s">
        <v>174</v>
      </c>
      <c r="C10860">
        <v>1484</v>
      </c>
      <c r="D10860">
        <v>28</v>
      </c>
      <c r="E10860" s="80">
        <v>35766</v>
      </c>
    </row>
    <row r="10861" spans="1:5">
      <c r="A10861">
        <v>10762</v>
      </c>
      <c r="B10861" t="s">
        <v>175</v>
      </c>
      <c r="C10861">
        <v>1484</v>
      </c>
      <c r="D10861">
        <v>28</v>
      </c>
      <c r="E10861" s="80">
        <v>35766</v>
      </c>
    </row>
    <row r="10862" spans="1:5">
      <c r="A10862">
        <v>10762</v>
      </c>
      <c r="B10862" t="s">
        <v>176</v>
      </c>
      <c r="C10862">
        <v>1484</v>
      </c>
      <c r="D10862">
        <v>28</v>
      </c>
      <c r="E10862" s="80">
        <v>35766</v>
      </c>
    </row>
    <row r="10863" spans="1:5">
      <c r="A10863">
        <v>10762</v>
      </c>
      <c r="B10863" t="s">
        <v>177</v>
      </c>
      <c r="C10863">
        <v>1484</v>
      </c>
      <c r="D10863">
        <v>28</v>
      </c>
      <c r="E10863" s="80">
        <v>35766</v>
      </c>
    </row>
    <row r="10864" spans="1:5">
      <c r="A10864">
        <v>10762</v>
      </c>
      <c r="B10864" t="s">
        <v>178</v>
      </c>
      <c r="C10864">
        <v>1484</v>
      </c>
      <c r="D10864">
        <v>28</v>
      </c>
      <c r="E10864" s="80">
        <v>35766</v>
      </c>
    </row>
    <row r="10865" spans="1:5">
      <c r="A10865">
        <v>10762</v>
      </c>
      <c r="B10865" t="s">
        <v>179</v>
      </c>
      <c r="C10865">
        <v>1484</v>
      </c>
      <c r="D10865">
        <v>28</v>
      </c>
      <c r="E10865" s="80">
        <v>35766</v>
      </c>
    </row>
    <row r="10866" spans="1:5">
      <c r="A10866">
        <v>10762</v>
      </c>
      <c r="B10866" t="s">
        <v>172</v>
      </c>
      <c r="C10866">
        <v>2280</v>
      </c>
      <c r="D10866">
        <v>60</v>
      </c>
      <c r="E10866" s="80">
        <v>35766</v>
      </c>
    </row>
    <row r="10867" spans="1:5">
      <c r="A10867">
        <v>10762</v>
      </c>
      <c r="B10867" t="s">
        <v>173</v>
      </c>
      <c r="C10867">
        <v>2280</v>
      </c>
      <c r="D10867">
        <v>60</v>
      </c>
      <c r="E10867" s="80">
        <v>35766</v>
      </c>
    </row>
    <row r="10868" spans="1:5">
      <c r="A10868">
        <v>10762</v>
      </c>
      <c r="B10868" t="s">
        <v>174</v>
      </c>
      <c r="C10868">
        <v>2280</v>
      </c>
      <c r="D10868">
        <v>60</v>
      </c>
      <c r="E10868" s="80">
        <v>35766</v>
      </c>
    </row>
    <row r="10869" spans="1:5">
      <c r="A10869">
        <v>10762</v>
      </c>
      <c r="B10869" t="s">
        <v>175</v>
      </c>
      <c r="C10869">
        <v>2280</v>
      </c>
      <c r="D10869">
        <v>60</v>
      </c>
      <c r="E10869" s="80">
        <v>35766</v>
      </c>
    </row>
    <row r="10870" spans="1:5">
      <c r="A10870">
        <v>10762</v>
      </c>
      <c r="B10870" t="s">
        <v>176</v>
      </c>
      <c r="C10870">
        <v>2280</v>
      </c>
      <c r="D10870">
        <v>60</v>
      </c>
      <c r="E10870" s="80">
        <v>35766</v>
      </c>
    </row>
    <row r="10871" spans="1:5">
      <c r="A10871">
        <v>10762</v>
      </c>
      <c r="B10871" t="s">
        <v>177</v>
      </c>
      <c r="C10871">
        <v>2280</v>
      </c>
      <c r="D10871">
        <v>60</v>
      </c>
      <c r="E10871" s="80">
        <v>35766</v>
      </c>
    </row>
    <row r="10872" spans="1:5">
      <c r="A10872">
        <v>10762</v>
      </c>
      <c r="B10872" t="s">
        <v>178</v>
      </c>
      <c r="C10872">
        <v>2280</v>
      </c>
      <c r="D10872">
        <v>60</v>
      </c>
      <c r="E10872" s="80">
        <v>35766</v>
      </c>
    </row>
    <row r="10873" spans="1:5">
      <c r="A10873">
        <v>10762</v>
      </c>
      <c r="B10873" t="s">
        <v>179</v>
      </c>
      <c r="C10873">
        <v>2280</v>
      </c>
      <c r="D10873">
        <v>60</v>
      </c>
      <c r="E10873" s="80">
        <v>35766</v>
      </c>
    </row>
    <row r="10874" spans="1:5">
      <c r="A10874">
        <v>10763</v>
      </c>
      <c r="B10874" t="s">
        <v>172</v>
      </c>
      <c r="C10874">
        <v>400</v>
      </c>
      <c r="D10874">
        <v>40</v>
      </c>
      <c r="E10874" s="80">
        <v>35767</v>
      </c>
    </row>
    <row r="10875" spans="1:5">
      <c r="A10875">
        <v>10763</v>
      </c>
      <c r="B10875" t="s">
        <v>173</v>
      </c>
      <c r="C10875">
        <v>400</v>
      </c>
      <c r="D10875">
        <v>40</v>
      </c>
      <c r="E10875" s="80">
        <v>35767</v>
      </c>
    </row>
    <row r="10876" spans="1:5">
      <c r="A10876">
        <v>10763</v>
      </c>
      <c r="B10876" t="s">
        <v>174</v>
      </c>
      <c r="C10876">
        <v>400</v>
      </c>
      <c r="D10876">
        <v>40</v>
      </c>
      <c r="E10876" s="80">
        <v>35767</v>
      </c>
    </row>
    <row r="10877" spans="1:5">
      <c r="A10877">
        <v>10763</v>
      </c>
      <c r="B10877" t="s">
        <v>175</v>
      </c>
      <c r="C10877">
        <v>400</v>
      </c>
      <c r="D10877">
        <v>40</v>
      </c>
      <c r="E10877" s="80">
        <v>35767</v>
      </c>
    </row>
    <row r="10878" spans="1:5">
      <c r="A10878">
        <v>10763</v>
      </c>
      <c r="B10878" t="s">
        <v>176</v>
      </c>
      <c r="C10878">
        <v>400</v>
      </c>
      <c r="D10878">
        <v>40</v>
      </c>
      <c r="E10878" s="80">
        <v>35767</v>
      </c>
    </row>
    <row r="10879" spans="1:5">
      <c r="A10879">
        <v>10763</v>
      </c>
      <c r="B10879" t="s">
        <v>177</v>
      </c>
      <c r="C10879">
        <v>400</v>
      </c>
      <c r="D10879">
        <v>40</v>
      </c>
      <c r="E10879" s="80">
        <v>35767</v>
      </c>
    </row>
    <row r="10880" spans="1:5">
      <c r="A10880">
        <v>10763</v>
      </c>
      <c r="B10880" t="s">
        <v>178</v>
      </c>
      <c r="C10880">
        <v>400</v>
      </c>
      <c r="D10880">
        <v>40</v>
      </c>
      <c r="E10880" s="80">
        <v>35767</v>
      </c>
    </row>
    <row r="10881" spans="1:5">
      <c r="A10881">
        <v>10763</v>
      </c>
      <c r="B10881" t="s">
        <v>179</v>
      </c>
      <c r="C10881">
        <v>400</v>
      </c>
      <c r="D10881">
        <v>40</v>
      </c>
      <c r="E10881" s="80">
        <v>35767</v>
      </c>
    </row>
    <row r="10882" spans="1:5">
      <c r="A10882">
        <v>10763</v>
      </c>
      <c r="B10882" t="s">
        <v>172</v>
      </c>
      <c r="C10882">
        <v>126</v>
      </c>
      <c r="D10882">
        <v>6</v>
      </c>
      <c r="E10882" s="80">
        <v>35767</v>
      </c>
    </row>
    <row r="10883" spans="1:5">
      <c r="A10883">
        <v>10763</v>
      </c>
      <c r="B10883" t="s">
        <v>173</v>
      </c>
      <c r="C10883">
        <v>126</v>
      </c>
      <c r="D10883">
        <v>6</v>
      </c>
      <c r="E10883" s="80">
        <v>35767</v>
      </c>
    </row>
    <row r="10884" spans="1:5">
      <c r="A10884">
        <v>10763</v>
      </c>
      <c r="B10884" t="s">
        <v>174</v>
      </c>
      <c r="C10884">
        <v>126</v>
      </c>
      <c r="D10884">
        <v>6</v>
      </c>
      <c r="E10884" s="80">
        <v>35767</v>
      </c>
    </row>
    <row r="10885" spans="1:5">
      <c r="A10885">
        <v>10763</v>
      </c>
      <c r="B10885" t="s">
        <v>175</v>
      </c>
      <c r="C10885">
        <v>126</v>
      </c>
      <c r="D10885">
        <v>6</v>
      </c>
      <c r="E10885" s="80">
        <v>35767</v>
      </c>
    </row>
    <row r="10886" spans="1:5">
      <c r="A10886">
        <v>10763</v>
      </c>
      <c r="B10886" t="s">
        <v>176</v>
      </c>
      <c r="C10886">
        <v>126</v>
      </c>
      <c r="D10886">
        <v>6</v>
      </c>
      <c r="E10886" s="80">
        <v>35767</v>
      </c>
    </row>
    <row r="10887" spans="1:5">
      <c r="A10887">
        <v>10763</v>
      </c>
      <c r="B10887" t="s">
        <v>177</v>
      </c>
      <c r="C10887">
        <v>126</v>
      </c>
      <c r="D10887">
        <v>6</v>
      </c>
      <c r="E10887" s="80">
        <v>35767</v>
      </c>
    </row>
    <row r="10888" spans="1:5">
      <c r="A10888">
        <v>10763</v>
      </c>
      <c r="B10888" t="s">
        <v>178</v>
      </c>
      <c r="C10888">
        <v>126</v>
      </c>
      <c r="D10888">
        <v>6</v>
      </c>
      <c r="E10888" s="80">
        <v>35767</v>
      </c>
    </row>
    <row r="10889" spans="1:5">
      <c r="A10889">
        <v>10763</v>
      </c>
      <c r="B10889" t="s">
        <v>179</v>
      </c>
      <c r="C10889">
        <v>126</v>
      </c>
      <c r="D10889">
        <v>6</v>
      </c>
      <c r="E10889" s="80">
        <v>35767</v>
      </c>
    </row>
    <row r="10890" spans="1:5">
      <c r="A10890">
        <v>10763</v>
      </c>
      <c r="B10890" t="s">
        <v>172</v>
      </c>
      <c r="C10890">
        <v>90</v>
      </c>
      <c r="D10890">
        <v>20</v>
      </c>
      <c r="E10890" s="80">
        <v>35767</v>
      </c>
    </row>
    <row r="10891" spans="1:5">
      <c r="A10891">
        <v>10763</v>
      </c>
      <c r="B10891" t="s">
        <v>173</v>
      </c>
      <c r="C10891">
        <v>90</v>
      </c>
      <c r="D10891">
        <v>20</v>
      </c>
      <c r="E10891" s="80">
        <v>35767</v>
      </c>
    </row>
    <row r="10892" spans="1:5">
      <c r="A10892">
        <v>10763</v>
      </c>
      <c r="B10892" t="s">
        <v>174</v>
      </c>
      <c r="C10892">
        <v>90</v>
      </c>
      <c r="D10892">
        <v>20</v>
      </c>
      <c r="E10892" s="80">
        <v>35767</v>
      </c>
    </row>
    <row r="10893" spans="1:5">
      <c r="A10893">
        <v>10763</v>
      </c>
      <c r="B10893" t="s">
        <v>175</v>
      </c>
      <c r="C10893">
        <v>90</v>
      </c>
      <c r="D10893">
        <v>20</v>
      </c>
      <c r="E10893" s="80">
        <v>35767</v>
      </c>
    </row>
    <row r="10894" spans="1:5">
      <c r="A10894">
        <v>10763</v>
      </c>
      <c r="B10894" t="s">
        <v>176</v>
      </c>
      <c r="C10894">
        <v>90</v>
      </c>
      <c r="D10894">
        <v>20</v>
      </c>
      <c r="E10894" s="80">
        <v>35767</v>
      </c>
    </row>
    <row r="10895" spans="1:5">
      <c r="A10895">
        <v>10763</v>
      </c>
      <c r="B10895" t="s">
        <v>177</v>
      </c>
      <c r="C10895">
        <v>90</v>
      </c>
      <c r="D10895">
        <v>20</v>
      </c>
      <c r="E10895" s="80">
        <v>35767</v>
      </c>
    </row>
    <row r="10896" spans="1:5">
      <c r="A10896">
        <v>10763</v>
      </c>
      <c r="B10896" t="s">
        <v>178</v>
      </c>
      <c r="C10896">
        <v>90</v>
      </c>
      <c r="D10896">
        <v>20</v>
      </c>
      <c r="E10896" s="80">
        <v>35767</v>
      </c>
    </row>
    <row r="10897" spans="1:5">
      <c r="A10897">
        <v>10763</v>
      </c>
      <c r="B10897" t="s">
        <v>179</v>
      </c>
      <c r="C10897">
        <v>90</v>
      </c>
      <c r="D10897">
        <v>20</v>
      </c>
      <c r="E10897" s="80">
        <v>35767</v>
      </c>
    </row>
    <row r="10898" spans="1:5">
      <c r="A10898">
        <v>10764</v>
      </c>
      <c r="B10898" t="s">
        <v>172</v>
      </c>
      <c r="C10898">
        <v>179.99999970197678</v>
      </c>
      <c r="D10898">
        <v>20</v>
      </c>
      <c r="E10898" s="80">
        <v>35767</v>
      </c>
    </row>
    <row r="10899" spans="1:5">
      <c r="A10899">
        <v>10764</v>
      </c>
      <c r="B10899" t="s">
        <v>173</v>
      </c>
      <c r="C10899">
        <v>179.99999970197678</v>
      </c>
      <c r="D10899">
        <v>20</v>
      </c>
      <c r="E10899" s="80">
        <v>35767</v>
      </c>
    </row>
    <row r="10900" spans="1:5">
      <c r="A10900">
        <v>10764</v>
      </c>
      <c r="B10900" t="s">
        <v>174</v>
      </c>
      <c r="C10900">
        <v>179.99999970197678</v>
      </c>
      <c r="D10900">
        <v>20</v>
      </c>
      <c r="E10900" s="80">
        <v>35767</v>
      </c>
    </row>
    <row r="10901" spans="1:5">
      <c r="A10901">
        <v>10764</v>
      </c>
      <c r="B10901" t="s">
        <v>175</v>
      </c>
      <c r="C10901">
        <v>179.99999970197678</v>
      </c>
      <c r="D10901">
        <v>20</v>
      </c>
      <c r="E10901" s="80">
        <v>35767</v>
      </c>
    </row>
    <row r="10902" spans="1:5">
      <c r="A10902">
        <v>10764</v>
      </c>
      <c r="B10902" t="s">
        <v>176</v>
      </c>
      <c r="C10902">
        <v>179.99999970197678</v>
      </c>
      <c r="D10902">
        <v>20</v>
      </c>
      <c r="E10902" s="80">
        <v>35767</v>
      </c>
    </row>
    <row r="10903" spans="1:5">
      <c r="A10903">
        <v>10764</v>
      </c>
      <c r="B10903" t="s">
        <v>177</v>
      </c>
      <c r="C10903">
        <v>179.99999970197678</v>
      </c>
      <c r="D10903">
        <v>20</v>
      </c>
      <c r="E10903" s="80">
        <v>35767</v>
      </c>
    </row>
    <row r="10904" spans="1:5">
      <c r="A10904">
        <v>10764</v>
      </c>
      <c r="B10904" t="s">
        <v>178</v>
      </c>
      <c r="C10904">
        <v>179.99999970197678</v>
      </c>
      <c r="D10904">
        <v>20</v>
      </c>
      <c r="E10904" s="80">
        <v>35767</v>
      </c>
    </row>
    <row r="10905" spans="1:5">
      <c r="A10905">
        <v>10764</v>
      </c>
      <c r="B10905" t="s">
        <v>179</v>
      </c>
      <c r="C10905">
        <v>179.99999970197678</v>
      </c>
      <c r="D10905">
        <v>20</v>
      </c>
      <c r="E10905" s="80">
        <v>35767</v>
      </c>
    </row>
    <row r="10906" spans="1:5">
      <c r="A10906">
        <v>10764</v>
      </c>
      <c r="B10906" t="s">
        <v>172</v>
      </c>
      <c r="C10906">
        <v>2105.9999965131283</v>
      </c>
      <c r="D10906">
        <v>130</v>
      </c>
      <c r="E10906" s="80">
        <v>35767</v>
      </c>
    </row>
    <row r="10907" spans="1:5">
      <c r="A10907">
        <v>10764</v>
      </c>
      <c r="B10907" t="s">
        <v>173</v>
      </c>
      <c r="C10907">
        <v>2105.9999965131283</v>
      </c>
      <c r="D10907">
        <v>130</v>
      </c>
      <c r="E10907" s="80">
        <v>35767</v>
      </c>
    </row>
    <row r="10908" spans="1:5">
      <c r="A10908">
        <v>10764</v>
      </c>
      <c r="B10908" t="s">
        <v>174</v>
      </c>
      <c r="C10908">
        <v>2105.9999965131283</v>
      </c>
      <c r="D10908">
        <v>130</v>
      </c>
      <c r="E10908" s="80">
        <v>35767</v>
      </c>
    </row>
    <row r="10909" spans="1:5">
      <c r="A10909">
        <v>10764</v>
      </c>
      <c r="B10909" t="s">
        <v>175</v>
      </c>
      <c r="C10909">
        <v>2105.9999965131283</v>
      </c>
      <c r="D10909">
        <v>130</v>
      </c>
      <c r="E10909" s="80">
        <v>35767</v>
      </c>
    </row>
    <row r="10910" spans="1:5">
      <c r="A10910">
        <v>10764</v>
      </c>
      <c r="B10910" t="s">
        <v>176</v>
      </c>
      <c r="C10910">
        <v>2105.9999965131283</v>
      </c>
      <c r="D10910">
        <v>130</v>
      </c>
      <c r="E10910" s="80">
        <v>35767</v>
      </c>
    </row>
    <row r="10911" spans="1:5">
      <c r="A10911">
        <v>10764</v>
      </c>
      <c r="B10911" t="s">
        <v>177</v>
      </c>
      <c r="C10911">
        <v>2105.9999965131283</v>
      </c>
      <c r="D10911">
        <v>130</v>
      </c>
      <c r="E10911" s="80">
        <v>35767</v>
      </c>
    </row>
    <row r="10912" spans="1:5">
      <c r="A10912">
        <v>10764</v>
      </c>
      <c r="B10912" t="s">
        <v>178</v>
      </c>
      <c r="C10912">
        <v>2105.9999965131283</v>
      </c>
      <c r="D10912">
        <v>130</v>
      </c>
      <c r="E10912" s="80">
        <v>35767</v>
      </c>
    </row>
    <row r="10913" spans="1:5">
      <c r="A10913">
        <v>10764</v>
      </c>
      <c r="B10913" t="s">
        <v>179</v>
      </c>
      <c r="C10913">
        <v>2105.9999965131283</v>
      </c>
      <c r="D10913">
        <v>130</v>
      </c>
      <c r="E10913" s="80">
        <v>35767</v>
      </c>
    </row>
    <row r="10914" spans="1:5">
      <c r="A10914">
        <v>10765</v>
      </c>
      <c r="B10914" t="s">
        <v>172</v>
      </c>
      <c r="C10914">
        <v>1515.5999974906445</v>
      </c>
      <c r="D10914">
        <v>80</v>
      </c>
      <c r="E10914" s="80">
        <v>35768</v>
      </c>
    </row>
    <row r="10915" spans="1:5">
      <c r="A10915">
        <v>10765</v>
      </c>
      <c r="B10915" t="s">
        <v>173</v>
      </c>
      <c r="C10915">
        <v>1515.5999974906445</v>
      </c>
      <c r="D10915">
        <v>80</v>
      </c>
      <c r="E10915" s="80">
        <v>35768</v>
      </c>
    </row>
    <row r="10916" spans="1:5">
      <c r="A10916">
        <v>10765</v>
      </c>
      <c r="B10916" t="s">
        <v>174</v>
      </c>
      <c r="C10916">
        <v>1515.5999974906445</v>
      </c>
      <c r="D10916">
        <v>80</v>
      </c>
      <c r="E10916" s="80">
        <v>35768</v>
      </c>
    </row>
    <row r="10917" spans="1:5">
      <c r="A10917">
        <v>10765</v>
      </c>
      <c r="B10917" t="s">
        <v>175</v>
      </c>
      <c r="C10917">
        <v>1515.5999974906445</v>
      </c>
      <c r="D10917">
        <v>80</v>
      </c>
      <c r="E10917" s="80">
        <v>35768</v>
      </c>
    </row>
    <row r="10918" spans="1:5">
      <c r="A10918">
        <v>10765</v>
      </c>
      <c r="B10918" t="s">
        <v>176</v>
      </c>
      <c r="C10918">
        <v>1515.5999974906445</v>
      </c>
      <c r="D10918">
        <v>80</v>
      </c>
      <c r="E10918" s="80">
        <v>35768</v>
      </c>
    </row>
    <row r="10919" spans="1:5">
      <c r="A10919">
        <v>10765</v>
      </c>
      <c r="B10919" t="s">
        <v>177</v>
      </c>
      <c r="C10919">
        <v>1515.5999974906445</v>
      </c>
      <c r="D10919">
        <v>80</v>
      </c>
      <c r="E10919" s="80">
        <v>35768</v>
      </c>
    </row>
    <row r="10920" spans="1:5">
      <c r="A10920">
        <v>10765</v>
      </c>
      <c r="B10920" t="s">
        <v>178</v>
      </c>
      <c r="C10920">
        <v>1515.5999974906445</v>
      </c>
      <c r="D10920">
        <v>80</v>
      </c>
      <c r="E10920" s="80">
        <v>35768</v>
      </c>
    </row>
    <row r="10921" spans="1:5">
      <c r="A10921">
        <v>10765</v>
      </c>
      <c r="B10921" t="s">
        <v>179</v>
      </c>
      <c r="C10921">
        <v>1515.5999974906445</v>
      </c>
      <c r="D10921">
        <v>80</v>
      </c>
      <c r="E10921" s="80">
        <v>35768</v>
      </c>
    </row>
    <row r="10922" spans="1:5">
      <c r="A10922">
        <v>10766</v>
      </c>
      <c r="B10922" t="s">
        <v>172</v>
      </c>
      <c r="C10922">
        <v>760</v>
      </c>
      <c r="D10922">
        <v>40</v>
      </c>
      <c r="E10922" s="80">
        <v>35769</v>
      </c>
    </row>
    <row r="10923" spans="1:5">
      <c r="A10923">
        <v>10766</v>
      </c>
      <c r="B10923" t="s">
        <v>173</v>
      </c>
      <c r="C10923">
        <v>760</v>
      </c>
      <c r="D10923">
        <v>40</v>
      </c>
      <c r="E10923" s="80">
        <v>35769</v>
      </c>
    </row>
    <row r="10924" spans="1:5">
      <c r="A10924">
        <v>10766</v>
      </c>
      <c r="B10924" t="s">
        <v>174</v>
      </c>
      <c r="C10924">
        <v>760</v>
      </c>
      <c r="D10924">
        <v>40</v>
      </c>
      <c r="E10924" s="80">
        <v>35769</v>
      </c>
    </row>
    <row r="10925" spans="1:5">
      <c r="A10925">
        <v>10766</v>
      </c>
      <c r="B10925" t="s">
        <v>175</v>
      </c>
      <c r="C10925">
        <v>760</v>
      </c>
      <c r="D10925">
        <v>40</v>
      </c>
      <c r="E10925" s="80">
        <v>35769</v>
      </c>
    </row>
    <row r="10926" spans="1:5">
      <c r="A10926">
        <v>10766</v>
      </c>
      <c r="B10926" t="s">
        <v>176</v>
      </c>
      <c r="C10926">
        <v>760</v>
      </c>
      <c r="D10926">
        <v>40</v>
      </c>
      <c r="E10926" s="80">
        <v>35769</v>
      </c>
    </row>
    <row r="10927" spans="1:5">
      <c r="A10927">
        <v>10766</v>
      </c>
      <c r="B10927" t="s">
        <v>177</v>
      </c>
      <c r="C10927">
        <v>760</v>
      </c>
      <c r="D10927">
        <v>40</v>
      </c>
      <c r="E10927" s="80">
        <v>35769</v>
      </c>
    </row>
    <row r="10928" spans="1:5">
      <c r="A10928">
        <v>10766</v>
      </c>
      <c r="B10928" t="s">
        <v>178</v>
      </c>
      <c r="C10928">
        <v>760</v>
      </c>
      <c r="D10928">
        <v>40</v>
      </c>
      <c r="E10928" s="80">
        <v>35769</v>
      </c>
    </row>
    <row r="10929" spans="1:5">
      <c r="A10929">
        <v>10766</v>
      </c>
      <c r="B10929" t="s">
        <v>179</v>
      </c>
      <c r="C10929">
        <v>760</v>
      </c>
      <c r="D10929">
        <v>40</v>
      </c>
      <c r="E10929" s="80">
        <v>35769</v>
      </c>
    </row>
    <row r="10930" spans="1:5">
      <c r="A10930">
        <v>10766</v>
      </c>
      <c r="B10930" t="s">
        <v>172</v>
      </c>
      <c r="C10930">
        <v>1050</v>
      </c>
      <c r="D10930">
        <v>35</v>
      </c>
      <c r="E10930" s="80">
        <v>35769</v>
      </c>
    </row>
    <row r="10931" spans="1:5">
      <c r="A10931">
        <v>10766</v>
      </c>
      <c r="B10931" t="s">
        <v>173</v>
      </c>
      <c r="C10931">
        <v>1050</v>
      </c>
      <c r="D10931">
        <v>35</v>
      </c>
      <c r="E10931" s="80">
        <v>35769</v>
      </c>
    </row>
    <row r="10932" spans="1:5">
      <c r="A10932">
        <v>10766</v>
      </c>
      <c r="B10932" t="s">
        <v>174</v>
      </c>
      <c r="C10932">
        <v>1050</v>
      </c>
      <c r="D10932">
        <v>35</v>
      </c>
      <c r="E10932" s="80">
        <v>35769</v>
      </c>
    </row>
    <row r="10933" spans="1:5">
      <c r="A10933">
        <v>10766</v>
      </c>
      <c r="B10933" t="s">
        <v>175</v>
      </c>
      <c r="C10933">
        <v>1050</v>
      </c>
      <c r="D10933">
        <v>35</v>
      </c>
      <c r="E10933" s="80">
        <v>35769</v>
      </c>
    </row>
    <row r="10934" spans="1:5">
      <c r="A10934">
        <v>10766</v>
      </c>
      <c r="B10934" t="s">
        <v>176</v>
      </c>
      <c r="C10934">
        <v>1050</v>
      </c>
      <c r="D10934">
        <v>35</v>
      </c>
      <c r="E10934" s="80">
        <v>35769</v>
      </c>
    </row>
    <row r="10935" spans="1:5">
      <c r="A10935">
        <v>10766</v>
      </c>
      <c r="B10935" t="s">
        <v>177</v>
      </c>
      <c r="C10935">
        <v>1050</v>
      </c>
      <c r="D10935">
        <v>35</v>
      </c>
      <c r="E10935" s="80">
        <v>35769</v>
      </c>
    </row>
    <row r="10936" spans="1:5">
      <c r="A10936">
        <v>10766</v>
      </c>
      <c r="B10936" t="s">
        <v>178</v>
      </c>
      <c r="C10936">
        <v>1050</v>
      </c>
      <c r="D10936">
        <v>35</v>
      </c>
      <c r="E10936" s="80">
        <v>35769</v>
      </c>
    </row>
    <row r="10937" spans="1:5">
      <c r="A10937">
        <v>10766</v>
      </c>
      <c r="B10937" t="s">
        <v>179</v>
      </c>
      <c r="C10937">
        <v>1050</v>
      </c>
      <c r="D10937">
        <v>35</v>
      </c>
      <c r="E10937" s="80">
        <v>35769</v>
      </c>
    </row>
    <row r="10938" spans="1:5">
      <c r="A10938">
        <v>10766</v>
      </c>
      <c r="B10938" t="s">
        <v>172</v>
      </c>
      <c r="C10938">
        <v>500</v>
      </c>
      <c r="D10938">
        <v>40</v>
      </c>
      <c r="E10938" s="80">
        <v>35769</v>
      </c>
    </row>
    <row r="10939" spans="1:5">
      <c r="A10939">
        <v>10766</v>
      </c>
      <c r="B10939" t="s">
        <v>173</v>
      </c>
      <c r="C10939">
        <v>500</v>
      </c>
      <c r="D10939">
        <v>40</v>
      </c>
      <c r="E10939" s="80">
        <v>35769</v>
      </c>
    </row>
    <row r="10940" spans="1:5">
      <c r="A10940">
        <v>10766</v>
      </c>
      <c r="B10940" t="s">
        <v>174</v>
      </c>
      <c r="C10940">
        <v>500</v>
      </c>
      <c r="D10940">
        <v>40</v>
      </c>
      <c r="E10940" s="80">
        <v>35769</v>
      </c>
    </row>
    <row r="10941" spans="1:5">
      <c r="A10941">
        <v>10766</v>
      </c>
      <c r="B10941" t="s">
        <v>175</v>
      </c>
      <c r="C10941">
        <v>500</v>
      </c>
      <c r="D10941">
        <v>40</v>
      </c>
      <c r="E10941" s="80">
        <v>35769</v>
      </c>
    </row>
    <row r="10942" spans="1:5">
      <c r="A10942">
        <v>10766</v>
      </c>
      <c r="B10942" t="s">
        <v>176</v>
      </c>
      <c r="C10942">
        <v>500</v>
      </c>
      <c r="D10942">
        <v>40</v>
      </c>
      <c r="E10942" s="80">
        <v>35769</v>
      </c>
    </row>
    <row r="10943" spans="1:5">
      <c r="A10943">
        <v>10766</v>
      </c>
      <c r="B10943" t="s">
        <v>177</v>
      </c>
      <c r="C10943">
        <v>500</v>
      </c>
      <c r="D10943">
        <v>40</v>
      </c>
      <c r="E10943" s="80">
        <v>35769</v>
      </c>
    </row>
    <row r="10944" spans="1:5">
      <c r="A10944">
        <v>10766</v>
      </c>
      <c r="B10944" t="s">
        <v>178</v>
      </c>
      <c r="C10944">
        <v>500</v>
      </c>
      <c r="D10944">
        <v>40</v>
      </c>
      <c r="E10944" s="80">
        <v>35769</v>
      </c>
    </row>
    <row r="10945" spans="1:5">
      <c r="A10945">
        <v>10766</v>
      </c>
      <c r="B10945" t="s">
        <v>179</v>
      </c>
      <c r="C10945">
        <v>500</v>
      </c>
      <c r="D10945">
        <v>40</v>
      </c>
      <c r="E10945" s="80">
        <v>35769</v>
      </c>
    </row>
    <row r="10946" spans="1:5">
      <c r="A10946">
        <v>10767</v>
      </c>
      <c r="B10946" t="s">
        <v>172</v>
      </c>
      <c r="C10946">
        <v>28</v>
      </c>
      <c r="D10946">
        <v>2</v>
      </c>
      <c r="E10946" s="80">
        <v>35769</v>
      </c>
    </row>
    <row r="10947" spans="1:5">
      <c r="A10947">
        <v>10767</v>
      </c>
      <c r="B10947" t="s">
        <v>173</v>
      </c>
      <c r="C10947">
        <v>28</v>
      </c>
      <c r="D10947">
        <v>2</v>
      </c>
      <c r="E10947" s="80">
        <v>35769</v>
      </c>
    </row>
    <row r="10948" spans="1:5">
      <c r="A10948">
        <v>10767</v>
      </c>
      <c r="B10948" t="s">
        <v>174</v>
      </c>
      <c r="C10948">
        <v>28</v>
      </c>
      <c r="D10948">
        <v>2</v>
      </c>
      <c r="E10948" s="80">
        <v>35769</v>
      </c>
    </row>
    <row r="10949" spans="1:5">
      <c r="A10949">
        <v>10767</v>
      </c>
      <c r="B10949" t="s">
        <v>175</v>
      </c>
      <c r="C10949">
        <v>28</v>
      </c>
      <c r="D10949">
        <v>2</v>
      </c>
      <c r="E10949" s="80">
        <v>35769</v>
      </c>
    </row>
    <row r="10950" spans="1:5">
      <c r="A10950">
        <v>10767</v>
      </c>
      <c r="B10950" t="s">
        <v>176</v>
      </c>
      <c r="C10950">
        <v>28</v>
      </c>
      <c r="D10950">
        <v>2</v>
      </c>
      <c r="E10950" s="80">
        <v>35769</v>
      </c>
    </row>
    <row r="10951" spans="1:5">
      <c r="A10951">
        <v>10767</v>
      </c>
      <c r="B10951" t="s">
        <v>177</v>
      </c>
      <c r="C10951">
        <v>28</v>
      </c>
      <c r="D10951">
        <v>2</v>
      </c>
      <c r="E10951" s="80">
        <v>35769</v>
      </c>
    </row>
    <row r="10952" spans="1:5">
      <c r="A10952">
        <v>10767</v>
      </c>
      <c r="B10952" t="s">
        <v>178</v>
      </c>
      <c r="C10952">
        <v>28</v>
      </c>
      <c r="D10952">
        <v>2</v>
      </c>
      <c r="E10952" s="80">
        <v>35769</v>
      </c>
    </row>
    <row r="10953" spans="1:5">
      <c r="A10953">
        <v>10767</v>
      </c>
      <c r="B10953" t="s">
        <v>179</v>
      </c>
      <c r="C10953">
        <v>28</v>
      </c>
      <c r="D10953">
        <v>2</v>
      </c>
      <c r="E10953" s="80">
        <v>35769</v>
      </c>
    </row>
    <row r="10954" spans="1:5">
      <c r="A10954">
        <v>10768</v>
      </c>
      <c r="B10954" t="s">
        <v>172</v>
      </c>
      <c r="C10954">
        <v>84</v>
      </c>
      <c r="D10954">
        <v>4</v>
      </c>
      <c r="E10954" s="80">
        <v>35772</v>
      </c>
    </row>
    <row r="10955" spans="1:5">
      <c r="A10955">
        <v>10768</v>
      </c>
      <c r="B10955" t="s">
        <v>173</v>
      </c>
      <c r="C10955">
        <v>84</v>
      </c>
      <c r="D10955">
        <v>4</v>
      </c>
      <c r="E10955" s="80">
        <v>35772</v>
      </c>
    </row>
    <row r="10956" spans="1:5">
      <c r="A10956">
        <v>10768</v>
      </c>
      <c r="B10956" t="s">
        <v>174</v>
      </c>
      <c r="C10956">
        <v>84</v>
      </c>
      <c r="D10956">
        <v>4</v>
      </c>
      <c r="E10956" s="80">
        <v>35772</v>
      </c>
    </row>
    <row r="10957" spans="1:5">
      <c r="A10957">
        <v>10768</v>
      </c>
      <c r="B10957" t="s">
        <v>175</v>
      </c>
      <c r="C10957">
        <v>84</v>
      </c>
      <c r="D10957">
        <v>4</v>
      </c>
      <c r="E10957" s="80">
        <v>35772</v>
      </c>
    </row>
    <row r="10958" spans="1:5">
      <c r="A10958">
        <v>10768</v>
      </c>
      <c r="B10958" t="s">
        <v>176</v>
      </c>
      <c r="C10958">
        <v>84</v>
      </c>
      <c r="D10958">
        <v>4</v>
      </c>
      <c r="E10958" s="80">
        <v>35772</v>
      </c>
    </row>
    <row r="10959" spans="1:5">
      <c r="A10959">
        <v>10768</v>
      </c>
      <c r="B10959" t="s">
        <v>177</v>
      </c>
      <c r="C10959">
        <v>84</v>
      </c>
      <c r="D10959">
        <v>4</v>
      </c>
      <c r="E10959" s="80">
        <v>35772</v>
      </c>
    </row>
    <row r="10960" spans="1:5">
      <c r="A10960">
        <v>10768</v>
      </c>
      <c r="B10960" t="s">
        <v>178</v>
      </c>
      <c r="C10960">
        <v>84</v>
      </c>
      <c r="D10960">
        <v>4</v>
      </c>
      <c r="E10960" s="80">
        <v>35772</v>
      </c>
    </row>
    <row r="10961" spans="1:5">
      <c r="A10961">
        <v>10768</v>
      </c>
      <c r="B10961" t="s">
        <v>179</v>
      </c>
      <c r="C10961">
        <v>84</v>
      </c>
      <c r="D10961">
        <v>4</v>
      </c>
      <c r="E10961" s="80">
        <v>35772</v>
      </c>
    </row>
    <row r="10962" spans="1:5">
      <c r="A10962">
        <v>10768</v>
      </c>
      <c r="B10962" t="s">
        <v>172</v>
      </c>
      <c r="C10962">
        <v>625</v>
      </c>
      <c r="D10962">
        <v>50</v>
      </c>
      <c r="E10962" s="80">
        <v>35772</v>
      </c>
    </row>
    <row r="10963" spans="1:5">
      <c r="A10963">
        <v>10768</v>
      </c>
      <c r="B10963" t="s">
        <v>173</v>
      </c>
      <c r="C10963">
        <v>625</v>
      </c>
      <c r="D10963">
        <v>50</v>
      </c>
      <c r="E10963" s="80">
        <v>35772</v>
      </c>
    </row>
    <row r="10964" spans="1:5">
      <c r="A10964">
        <v>10768</v>
      </c>
      <c r="B10964" t="s">
        <v>174</v>
      </c>
      <c r="C10964">
        <v>625</v>
      </c>
      <c r="D10964">
        <v>50</v>
      </c>
      <c r="E10964" s="80">
        <v>35772</v>
      </c>
    </row>
    <row r="10965" spans="1:5">
      <c r="A10965">
        <v>10768</v>
      </c>
      <c r="B10965" t="s">
        <v>175</v>
      </c>
      <c r="C10965">
        <v>625</v>
      </c>
      <c r="D10965">
        <v>50</v>
      </c>
      <c r="E10965" s="80">
        <v>35772</v>
      </c>
    </row>
    <row r="10966" spans="1:5">
      <c r="A10966">
        <v>10768</v>
      </c>
      <c r="B10966" t="s">
        <v>176</v>
      </c>
      <c r="C10966">
        <v>625</v>
      </c>
      <c r="D10966">
        <v>50</v>
      </c>
      <c r="E10966" s="80">
        <v>35772</v>
      </c>
    </row>
    <row r="10967" spans="1:5">
      <c r="A10967">
        <v>10768</v>
      </c>
      <c r="B10967" t="s">
        <v>177</v>
      </c>
      <c r="C10967">
        <v>625</v>
      </c>
      <c r="D10967">
        <v>50</v>
      </c>
      <c r="E10967" s="80">
        <v>35772</v>
      </c>
    </row>
    <row r="10968" spans="1:5">
      <c r="A10968">
        <v>10768</v>
      </c>
      <c r="B10968" t="s">
        <v>178</v>
      </c>
      <c r="C10968">
        <v>625</v>
      </c>
      <c r="D10968">
        <v>50</v>
      </c>
      <c r="E10968" s="80">
        <v>35772</v>
      </c>
    </row>
    <row r="10969" spans="1:5">
      <c r="A10969">
        <v>10768</v>
      </c>
      <c r="B10969" t="s">
        <v>179</v>
      </c>
      <c r="C10969">
        <v>625</v>
      </c>
      <c r="D10969">
        <v>50</v>
      </c>
      <c r="E10969" s="80">
        <v>35772</v>
      </c>
    </row>
    <row r="10970" spans="1:5">
      <c r="A10970">
        <v>10768</v>
      </c>
      <c r="B10970" t="s">
        <v>172</v>
      </c>
      <c r="C10970">
        <v>510</v>
      </c>
      <c r="D10970">
        <v>15</v>
      </c>
      <c r="E10970" s="80">
        <v>35772</v>
      </c>
    </row>
    <row r="10971" spans="1:5">
      <c r="A10971">
        <v>10768</v>
      </c>
      <c r="B10971" t="s">
        <v>173</v>
      </c>
      <c r="C10971">
        <v>510</v>
      </c>
      <c r="D10971">
        <v>15</v>
      </c>
      <c r="E10971" s="80">
        <v>35772</v>
      </c>
    </row>
    <row r="10972" spans="1:5">
      <c r="A10972">
        <v>10768</v>
      </c>
      <c r="B10972" t="s">
        <v>174</v>
      </c>
      <c r="C10972">
        <v>510</v>
      </c>
      <c r="D10972">
        <v>15</v>
      </c>
      <c r="E10972" s="80">
        <v>35772</v>
      </c>
    </row>
    <row r="10973" spans="1:5">
      <c r="A10973">
        <v>10768</v>
      </c>
      <c r="B10973" t="s">
        <v>175</v>
      </c>
      <c r="C10973">
        <v>510</v>
      </c>
      <c r="D10973">
        <v>15</v>
      </c>
      <c r="E10973" s="80">
        <v>35772</v>
      </c>
    </row>
    <row r="10974" spans="1:5">
      <c r="A10974">
        <v>10768</v>
      </c>
      <c r="B10974" t="s">
        <v>176</v>
      </c>
      <c r="C10974">
        <v>510</v>
      </c>
      <c r="D10974">
        <v>15</v>
      </c>
      <c r="E10974" s="80">
        <v>35772</v>
      </c>
    </row>
    <row r="10975" spans="1:5">
      <c r="A10975">
        <v>10768</v>
      </c>
      <c r="B10975" t="s">
        <v>177</v>
      </c>
      <c r="C10975">
        <v>510</v>
      </c>
      <c r="D10975">
        <v>15</v>
      </c>
      <c r="E10975" s="80">
        <v>35772</v>
      </c>
    </row>
    <row r="10976" spans="1:5">
      <c r="A10976">
        <v>10768</v>
      </c>
      <c r="B10976" t="s">
        <v>178</v>
      </c>
      <c r="C10976">
        <v>510</v>
      </c>
      <c r="D10976">
        <v>15</v>
      </c>
      <c r="E10976" s="80">
        <v>35772</v>
      </c>
    </row>
    <row r="10977" spans="1:5">
      <c r="A10977">
        <v>10768</v>
      </c>
      <c r="B10977" t="s">
        <v>179</v>
      </c>
      <c r="C10977">
        <v>510</v>
      </c>
      <c r="D10977">
        <v>15</v>
      </c>
      <c r="E10977" s="80">
        <v>35772</v>
      </c>
    </row>
    <row r="10978" spans="1:5">
      <c r="A10978">
        <v>10768</v>
      </c>
      <c r="B10978" t="s">
        <v>172</v>
      </c>
      <c r="C10978">
        <v>258</v>
      </c>
      <c r="D10978">
        <v>12</v>
      </c>
      <c r="E10978" s="80">
        <v>35772</v>
      </c>
    </row>
    <row r="10979" spans="1:5">
      <c r="A10979">
        <v>10768</v>
      </c>
      <c r="B10979" t="s">
        <v>173</v>
      </c>
      <c r="C10979">
        <v>258</v>
      </c>
      <c r="D10979">
        <v>12</v>
      </c>
      <c r="E10979" s="80">
        <v>35772</v>
      </c>
    </row>
    <row r="10980" spans="1:5">
      <c r="A10980">
        <v>10768</v>
      </c>
      <c r="B10980" t="s">
        <v>174</v>
      </c>
      <c r="C10980">
        <v>258</v>
      </c>
      <c r="D10980">
        <v>12</v>
      </c>
      <c r="E10980" s="80">
        <v>35772</v>
      </c>
    </row>
    <row r="10981" spans="1:5">
      <c r="A10981">
        <v>10768</v>
      </c>
      <c r="B10981" t="s">
        <v>175</v>
      </c>
      <c r="C10981">
        <v>258</v>
      </c>
      <c r="D10981">
        <v>12</v>
      </c>
      <c r="E10981" s="80">
        <v>35772</v>
      </c>
    </row>
    <row r="10982" spans="1:5">
      <c r="A10982">
        <v>10768</v>
      </c>
      <c r="B10982" t="s">
        <v>176</v>
      </c>
      <c r="C10982">
        <v>258</v>
      </c>
      <c r="D10982">
        <v>12</v>
      </c>
      <c r="E10982" s="80">
        <v>35772</v>
      </c>
    </row>
    <row r="10983" spans="1:5">
      <c r="A10983">
        <v>10768</v>
      </c>
      <c r="B10983" t="s">
        <v>177</v>
      </c>
      <c r="C10983">
        <v>258</v>
      </c>
      <c r="D10983">
        <v>12</v>
      </c>
      <c r="E10983" s="80">
        <v>35772</v>
      </c>
    </row>
    <row r="10984" spans="1:5">
      <c r="A10984">
        <v>10768</v>
      </c>
      <c r="B10984" t="s">
        <v>178</v>
      </c>
      <c r="C10984">
        <v>258</v>
      </c>
      <c r="D10984">
        <v>12</v>
      </c>
      <c r="E10984" s="80">
        <v>35772</v>
      </c>
    </row>
    <row r="10985" spans="1:5">
      <c r="A10985">
        <v>10768</v>
      </c>
      <c r="B10985" t="s">
        <v>179</v>
      </c>
      <c r="C10985">
        <v>258</v>
      </c>
      <c r="D10985">
        <v>12</v>
      </c>
      <c r="E10985" s="80">
        <v>35772</v>
      </c>
    </row>
    <row r="10986" spans="1:5">
      <c r="A10986">
        <v>10769</v>
      </c>
      <c r="B10986" t="s">
        <v>172</v>
      </c>
      <c r="C10986">
        <v>275.02499978430569</v>
      </c>
      <c r="D10986">
        <v>30</v>
      </c>
      <c r="E10986" s="80">
        <v>35772</v>
      </c>
    </row>
    <row r="10987" spans="1:5">
      <c r="A10987">
        <v>10769</v>
      </c>
      <c r="B10987" t="s">
        <v>173</v>
      </c>
      <c r="C10987">
        <v>275.02499978430569</v>
      </c>
      <c r="D10987">
        <v>30</v>
      </c>
      <c r="E10987" s="80">
        <v>35772</v>
      </c>
    </row>
    <row r="10988" spans="1:5">
      <c r="A10988">
        <v>10769</v>
      </c>
      <c r="B10988" t="s">
        <v>174</v>
      </c>
      <c r="C10988">
        <v>275.02499978430569</v>
      </c>
      <c r="D10988">
        <v>30</v>
      </c>
      <c r="E10988" s="80">
        <v>35772</v>
      </c>
    </row>
    <row r="10989" spans="1:5">
      <c r="A10989">
        <v>10769</v>
      </c>
      <c r="B10989" t="s">
        <v>175</v>
      </c>
      <c r="C10989">
        <v>275.02499978430569</v>
      </c>
      <c r="D10989">
        <v>30</v>
      </c>
      <c r="E10989" s="80">
        <v>35772</v>
      </c>
    </row>
    <row r="10990" spans="1:5">
      <c r="A10990">
        <v>10769</v>
      </c>
      <c r="B10990" t="s">
        <v>176</v>
      </c>
      <c r="C10990">
        <v>275.02499978430569</v>
      </c>
      <c r="D10990">
        <v>30</v>
      </c>
      <c r="E10990" s="80">
        <v>35772</v>
      </c>
    </row>
    <row r="10991" spans="1:5">
      <c r="A10991">
        <v>10769</v>
      </c>
      <c r="B10991" t="s">
        <v>177</v>
      </c>
      <c r="C10991">
        <v>275.02499978430569</v>
      </c>
      <c r="D10991">
        <v>30</v>
      </c>
      <c r="E10991" s="80">
        <v>35772</v>
      </c>
    </row>
    <row r="10992" spans="1:5">
      <c r="A10992">
        <v>10769</v>
      </c>
      <c r="B10992" t="s">
        <v>178</v>
      </c>
      <c r="C10992">
        <v>275.02499978430569</v>
      </c>
      <c r="D10992">
        <v>30</v>
      </c>
      <c r="E10992" s="80">
        <v>35772</v>
      </c>
    </row>
    <row r="10993" spans="1:5">
      <c r="A10993">
        <v>10769</v>
      </c>
      <c r="B10993" t="s">
        <v>179</v>
      </c>
      <c r="C10993">
        <v>275.02499978430569</v>
      </c>
      <c r="D10993">
        <v>30</v>
      </c>
      <c r="E10993" s="80">
        <v>35772</v>
      </c>
    </row>
    <row r="10994" spans="1:5">
      <c r="A10994">
        <v>10769</v>
      </c>
      <c r="B10994" t="s">
        <v>172</v>
      </c>
      <c r="C10994">
        <v>99.749999921768904</v>
      </c>
      <c r="D10994">
        <v>15</v>
      </c>
      <c r="E10994" s="80">
        <v>35772</v>
      </c>
    </row>
    <row r="10995" spans="1:5">
      <c r="A10995">
        <v>10769</v>
      </c>
      <c r="B10995" t="s">
        <v>173</v>
      </c>
      <c r="C10995">
        <v>99.749999921768904</v>
      </c>
      <c r="D10995">
        <v>15</v>
      </c>
      <c r="E10995" s="80">
        <v>35772</v>
      </c>
    </row>
    <row r="10996" spans="1:5">
      <c r="A10996">
        <v>10769</v>
      </c>
      <c r="B10996" t="s">
        <v>174</v>
      </c>
      <c r="C10996">
        <v>99.749999921768904</v>
      </c>
      <c r="D10996">
        <v>15</v>
      </c>
      <c r="E10996" s="80">
        <v>35772</v>
      </c>
    </row>
    <row r="10997" spans="1:5">
      <c r="A10997">
        <v>10769</v>
      </c>
      <c r="B10997" t="s">
        <v>175</v>
      </c>
      <c r="C10997">
        <v>99.749999921768904</v>
      </c>
      <c r="D10997">
        <v>15</v>
      </c>
      <c r="E10997" s="80">
        <v>35772</v>
      </c>
    </row>
    <row r="10998" spans="1:5">
      <c r="A10998">
        <v>10769</v>
      </c>
      <c r="B10998" t="s">
        <v>176</v>
      </c>
      <c r="C10998">
        <v>99.749999921768904</v>
      </c>
      <c r="D10998">
        <v>15</v>
      </c>
      <c r="E10998" s="80">
        <v>35772</v>
      </c>
    </row>
    <row r="10999" spans="1:5">
      <c r="A10999">
        <v>10769</v>
      </c>
      <c r="B10999" t="s">
        <v>177</v>
      </c>
      <c r="C10999">
        <v>99.749999921768904</v>
      </c>
      <c r="D10999">
        <v>15</v>
      </c>
      <c r="E10999" s="80">
        <v>35772</v>
      </c>
    </row>
    <row r="11000" spans="1:5">
      <c r="A11000">
        <v>10769</v>
      </c>
      <c r="B11000" t="s">
        <v>178</v>
      </c>
      <c r="C11000">
        <v>99.749999921768904</v>
      </c>
      <c r="D11000">
        <v>15</v>
      </c>
      <c r="E11000" s="80">
        <v>35772</v>
      </c>
    </row>
    <row r="11001" spans="1:5">
      <c r="A11001">
        <v>10769</v>
      </c>
      <c r="B11001" t="s">
        <v>179</v>
      </c>
      <c r="C11001">
        <v>99.749999921768904</v>
      </c>
      <c r="D11001">
        <v>15</v>
      </c>
      <c r="E11001" s="80">
        <v>35772</v>
      </c>
    </row>
    <row r="11002" spans="1:5">
      <c r="A11002">
        <v>10769</v>
      </c>
      <c r="B11002" t="s">
        <v>172</v>
      </c>
      <c r="C11002">
        <v>570</v>
      </c>
      <c r="D11002">
        <v>20</v>
      </c>
      <c r="E11002" s="80">
        <v>35772</v>
      </c>
    </row>
    <row r="11003" spans="1:5">
      <c r="A11003">
        <v>10769</v>
      </c>
      <c r="B11003" t="s">
        <v>173</v>
      </c>
      <c r="C11003">
        <v>570</v>
      </c>
      <c r="D11003">
        <v>20</v>
      </c>
      <c r="E11003" s="80">
        <v>35772</v>
      </c>
    </row>
    <row r="11004" spans="1:5">
      <c r="A11004">
        <v>10769</v>
      </c>
      <c r="B11004" t="s">
        <v>174</v>
      </c>
      <c r="C11004">
        <v>570</v>
      </c>
      <c r="D11004">
        <v>20</v>
      </c>
      <c r="E11004" s="80">
        <v>35772</v>
      </c>
    </row>
    <row r="11005" spans="1:5">
      <c r="A11005">
        <v>10769</v>
      </c>
      <c r="B11005" t="s">
        <v>175</v>
      </c>
      <c r="C11005">
        <v>570</v>
      </c>
      <c r="D11005">
        <v>20</v>
      </c>
      <c r="E11005" s="80">
        <v>35772</v>
      </c>
    </row>
    <row r="11006" spans="1:5">
      <c r="A11006">
        <v>10769</v>
      </c>
      <c r="B11006" t="s">
        <v>176</v>
      </c>
      <c r="C11006">
        <v>570</v>
      </c>
      <c r="D11006">
        <v>20</v>
      </c>
      <c r="E11006" s="80">
        <v>35772</v>
      </c>
    </row>
    <row r="11007" spans="1:5">
      <c r="A11007">
        <v>10769</v>
      </c>
      <c r="B11007" t="s">
        <v>177</v>
      </c>
      <c r="C11007">
        <v>570</v>
      </c>
      <c r="D11007">
        <v>20</v>
      </c>
      <c r="E11007" s="80">
        <v>35772</v>
      </c>
    </row>
    <row r="11008" spans="1:5">
      <c r="A11008">
        <v>10769</v>
      </c>
      <c r="B11008" t="s">
        <v>178</v>
      </c>
      <c r="C11008">
        <v>570</v>
      </c>
      <c r="D11008">
        <v>20</v>
      </c>
      <c r="E11008" s="80">
        <v>35772</v>
      </c>
    </row>
    <row r="11009" spans="1:5">
      <c r="A11009">
        <v>10769</v>
      </c>
      <c r="B11009" t="s">
        <v>179</v>
      </c>
      <c r="C11009">
        <v>570</v>
      </c>
      <c r="D11009">
        <v>20</v>
      </c>
      <c r="E11009" s="80">
        <v>35772</v>
      </c>
    </row>
    <row r="11010" spans="1:5">
      <c r="A11010">
        <v>10769</v>
      </c>
      <c r="B11010" t="s">
        <v>172</v>
      </c>
      <c r="C11010">
        <v>739.5</v>
      </c>
      <c r="D11010">
        <v>15</v>
      </c>
      <c r="E11010" s="80">
        <v>35772</v>
      </c>
    </row>
    <row r="11011" spans="1:5">
      <c r="A11011">
        <v>10769</v>
      </c>
      <c r="B11011" t="s">
        <v>173</v>
      </c>
      <c r="C11011">
        <v>739.5</v>
      </c>
      <c r="D11011">
        <v>15</v>
      </c>
      <c r="E11011" s="80">
        <v>35772</v>
      </c>
    </row>
    <row r="11012" spans="1:5">
      <c r="A11012">
        <v>10769</v>
      </c>
      <c r="B11012" t="s">
        <v>174</v>
      </c>
      <c r="C11012">
        <v>739.5</v>
      </c>
      <c r="D11012">
        <v>15</v>
      </c>
      <c r="E11012" s="80">
        <v>35772</v>
      </c>
    </row>
    <row r="11013" spans="1:5">
      <c r="A11013">
        <v>10769</v>
      </c>
      <c r="B11013" t="s">
        <v>175</v>
      </c>
      <c r="C11013">
        <v>739.5</v>
      </c>
      <c r="D11013">
        <v>15</v>
      </c>
      <c r="E11013" s="80">
        <v>35772</v>
      </c>
    </row>
    <row r="11014" spans="1:5">
      <c r="A11014">
        <v>10769</v>
      </c>
      <c r="B11014" t="s">
        <v>176</v>
      </c>
      <c r="C11014">
        <v>739.5</v>
      </c>
      <c r="D11014">
        <v>15</v>
      </c>
      <c r="E11014" s="80">
        <v>35772</v>
      </c>
    </row>
    <row r="11015" spans="1:5">
      <c r="A11015">
        <v>10769</v>
      </c>
      <c r="B11015" t="s">
        <v>177</v>
      </c>
      <c r="C11015">
        <v>739.5</v>
      </c>
      <c r="D11015">
        <v>15</v>
      </c>
      <c r="E11015" s="80">
        <v>35772</v>
      </c>
    </row>
    <row r="11016" spans="1:5">
      <c r="A11016">
        <v>10769</v>
      </c>
      <c r="B11016" t="s">
        <v>178</v>
      </c>
      <c r="C11016">
        <v>739.5</v>
      </c>
      <c r="D11016">
        <v>15</v>
      </c>
      <c r="E11016" s="80">
        <v>35772</v>
      </c>
    </row>
    <row r="11017" spans="1:5">
      <c r="A11017">
        <v>10769</v>
      </c>
      <c r="B11017" t="s">
        <v>179</v>
      </c>
      <c r="C11017">
        <v>739.5</v>
      </c>
      <c r="D11017">
        <v>15</v>
      </c>
      <c r="E11017" s="80">
        <v>35772</v>
      </c>
    </row>
    <row r="11018" spans="1:5">
      <c r="A11018">
        <v>10770</v>
      </c>
      <c r="B11018" t="s">
        <v>172</v>
      </c>
      <c r="C11018">
        <v>236.25</v>
      </c>
      <c r="D11018">
        <v>15</v>
      </c>
      <c r="E11018" s="80">
        <v>35773</v>
      </c>
    </row>
    <row r="11019" spans="1:5">
      <c r="A11019">
        <v>10770</v>
      </c>
      <c r="B11019" t="s">
        <v>173</v>
      </c>
      <c r="C11019">
        <v>236.25</v>
      </c>
      <c r="D11019">
        <v>15</v>
      </c>
      <c r="E11019" s="80">
        <v>35773</v>
      </c>
    </row>
    <row r="11020" spans="1:5">
      <c r="A11020">
        <v>10770</v>
      </c>
      <c r="B11020" t="s">
        <v>174</v>
      </c>
      <c r="C11020">
        <v>236.25</v>
      </c>
      <c r="D11020">
        <v>15</v>
      </c>
      <c r="E11020" s="80">
        <v>35773</v>
      </c>
    </row>
    <row r="11021" spans="1:5">
      <c r="A11021">
        <v>10770</v>
      </c>
      <c r="B11021" t="s">
        <v>175</v>
      </c>
      <c r="C11021">
        <v>236.25</v>
      </c>
      <c r="D11021">
        <v>15</v>
      </c>
      <c r="E11021" s="80">
        <v>35773</v>
      </c>
    </row>
    <row r="11022" spans="1:5">
      <c r="A11022">
        <v>10770</v>
      </c>
      <c r="B11022" t="s">
        <v>176</v>
      </c>
      <c r="C11022">
        <v>236.25</v>
      </c>
      <c r="D11022">
        <v>15</v>
      </c>
      <c r="E11022" s="80">
        <v>35773</v>
      </c>
    </row>
    <row r="11023" spans="1:5">
      <c r="A11023">
        <v>10770</v>
      </c>
      <c r="B11023" t="s">
        <v>177</v>
      </c>
      <c r="C11023">
        <v>236.25</v>
      </c>
      <c r="D11023">
        <v>15</v>
      </c>
      <c r="E11023" s="80">
        <v>35773</v>
      </c>
    </row>
    <row r="11024" spans="1:5">
      <c r="A11024">
        <v>10770</v>
      </c>
      <c r="B11024" t="s">
        <v>178</v>
      </c>
      <c r="C11024">
        <v>236.25</v>
      </c>
      <c r="D11024">
        <v>15</v>
      </c>
      <c r="E11024" s="80">
        <v>35773</v>
      </c>
    </row>
    <row r="11025" spans="1:5">
      <c r="A11025">
        <v>10770</v>
      </c>
      <c r="B11025" t="s">
        <v>179</v>
      </c>
      <c r="C11025">
        <v>236.25</v>
      </c>
      <c r="D11025">
        <v>15</v>
      </c>
      <c r="E11025" s="80">
        <v>35773</v>
      </c>
    </row>
    <row r="11026" spans="1:5">
      <c r="A11026">
        <v>10771</v>
      </c>
      <c r="B11026" t="s">
        <v>172</v>
      </c>
      <c r="C11026">
        <v>344</v>
      </c>
      <c r="D11026">
        <v>16</v>
      </c>
      <c r="E11026" s="80">
        <v>35774</v>
      </c>
    </row>
    <row r="11027" spans="1:5">
      <c r="A11027">
        <v>10771</v>
      </c>
      <c r="B11027" t="s">
        <v>173</v>
      </c>
      <c r="C11027">
        <v>344</v>
      </c>
      <c r="D11027">
        <v>16</v>
      </c>
      <c r="E11027" s="80">
        <v>35774</v>
      </c>
    </row>
    <row r="11028" spans="1:5">
      <c r="A11028">
        <v>10771</v>
      </c>
      <c r="B11028" t="s">
        <v>174</v>
      </c>
      <c r="C11028">
        <v>344</v>
      </c>
      <c r="D11028">
        <v>16</v>
      </c>
      <c r="E11028" s="80">
        <v>35774</v>
      </c>
    </row>
    <row r="11029" spans="1:5">
      <c r="A11029">
        <v>10771</v>
      </c>
      <c r="B11029" t="s">
        <v>175</v>
      </c>
      <c r="C11029">
        <v>344</v>
      </c>
      <c r="D11029">
        <v>16</v>
      </c>
      <c r="E11029" s="80">
        <v>35774</v>
      </c>
    </row>
    <row r="11030" spans="1:5">
      <c r="A11030">
        <v>10771</v>
      </c>
      <c r="B11030" t="s">
        <v>176</v>
      </c>
      <c r="C11030">
        <v>344</v>
      </c>
      <c r="D11030">
        <v>16</v>
      </c>
      <c r="E11030" s="80">
        <v>35774</v>
      </c>
    </row>
    <row r="11031" spans="1:5">
      <c r="A11031">
        <v>10771</v>
      </c>
      <c r="B11031" t="s">
        <v>177</v>
      </c>
      <c r="C11031">
        <v>344</v>
      </c>
      <c r="D11031">
        <v>16</v>
      </c>
      <c r="E11031" s="80">
        <v>35774</v>
      </c>
    </row>
    <row r="11032" spans="1:5">
      <c r="A11032">
        <v>10771</v>
      </c>
      <c r="B11032" t="s">
        <v>178</v>
      </c>
      <c r="C11032">
        <v>344</v>
      </c>
      <c r="D11032">
        <v>16</v>
      </c>
      <c r="E11032" s="80">
        <v>35774</v>
      </c>
    </row>
    <row r="11033" spans="1:5">
      <c r="A11033">
        <v>10771</v>
      </c>
      <c r="B11033" t="s">
        <v>179</v>
      </c>
      <c r="C11033">
        <v>344</v>
      </c>
      <c r="D11033">
        <v>16</v>
      </c>
      <c r="E11033" s="80">
        <v>35774</v>
      </c>
    </row>
    <row r="11034" spans="1:5">
      <c r="A11034">
        <v>10772</v>
      </c>
      <c r="B11034" t="s">
        <v>172</v>
      </c>
      <c r="C11034">
        <v>2228.2199999999998</v>
      </c>
      <c r="D11034">
        <v>18</v>
      </c>
      <c r="E11034" s="80">
        <v>35774</v>
      </c>
    </row>
    <row r="11035" spans="1:5">
      <c r="A11035">
        <v>10772</v>
      </c>
      <c r="B11035" t="s">
        <v>173</v>
      </c>
      <c r="C11035">
        <v>2228.2199999999998</v>
      </c>
      <c r="D11035">
        <v>18</v>
      </c>
      <c r="E11035" s="80">
        <v>35774</v>
      </c>
    </row>
    <row r="11036" spans="1:5">
      <c r="A11036">
        <v>10772</v>
      </c>
      <c r="B11036" t="s">
        <v>174</v>
      </c>
      <c r="C11036">
        <v>2228.2199999999998</v>
      </c>
      <c r="D11036">
        <v>18</v>
      </c>
      <c r="E11036" s="80">
        <v>35774</v>
      </c>
    </row>
    <row r="11037" spans="1:5">
      <c r="A11037">
        <v>10772</v>
      </c>
      <c r="B11037" t="s">
        <v>175</v>
      </c>
      <c r="C11037">
        <v>2228.2199999999998</v>
      </c>
      <c r="D11037">
        <v>18</v>
      </c>
      <c r="E11037" s="80">
        <v>35774</v>
      </c>
    </row>
    <row r="11038" spans="1:5">
      <c r="A11038">
        <v>10772</v>
      </c>
      <c r="B11038" t="s">
        <v>176</v>
      </c>
      <c r="C11038">
        <v>2228.2199999999998</v>
      </c>
      <c r="D11038">
        <v>18</v>
      </c>
      <c r="E11038" s="80">
        <v>35774</v>
      </c>
    </row>
    <row r="11039" spans="1:5">
      <c r="A11039">
        <v>10772</v>
      </c>
      <c r="B11039" t="s">
        <v>177</v>
      </c>
      <c r="C11039">
        <v>2228.2199999999998</v>
      </c>
      <c r="D11039">
        <v>18</v>
      </c>
      <c r="E11039" s="80">
        <v>35774</v>
      </c>
    </row>
    <row r="11040" spans="1:5">
      <c r="A11040">
        <v>10772</v>
      </c>
      <c r="B11040" t="s">
        <v>178</v>
      </c>
      <c r="C11040">
        <v>2228.2199999999998</v>
      </c>
      <c r="D11040">
        <v>18</v>
      </c>
      <c r="E11040" s="80">
        <v>35774</v>
      </c>
    </row>
    <row r="11041" spans="1:5">
      <c r="A11041">
        <v>10772</v>
      </c>
      <c r="B11041" t="s">
        <v>179</v>
      </c>
      <c r="C11041">
        <v>2228.2199999999998</v>
      </c>
      <c r="D11041">
        <v>18</v>
      </c>
      <c r="E11041" s="80">
        <v>35774</v>
      </c>
    </row>
    <row r="11042" spans="1:5">
      <c r="A11042">
        <v>10772</v>
      </c>
      <c r="B11042" t="s">
        <v>172</v>
      </c>
      <c r="C11042">
        <v>1375</v>
      </c>
      <c r="D11042">
        <v>25</v>
      </c>
      <c r="E11042" s="80">
        <v>35774</v>
      </c>
    </row>
    <row r="11043" spans="1:5">
      <c r="A11043">
        <v>10772</v>
      </c>
      <c r="B11043" t="s">
        <v>173</v>
      </c>
      <c r="C11043">
        <v>1375</v>
      </c>
      <c r="D11043">
        <v>25</v>
      </c>
      <c r="E11043" s="80">
        <v>35774</v>
      </c>
    </row>
    <row r="11044" spans="1:5">
      <c r="A11044">
        <v>10772</v>
      </c>
      <c r="B11044" t="s">
        <v>174</v>
      </c>
      <c r="C11044">
        <v>1375</v>
      </c>
      <c r="D11044">
        <v>25</v>
      </c>
      <c r="E11044" s="80">
        <v>35774</v>
      </c>
    </row>
    <row r="11045" spans="1:5">
      <c r="A11045">
        <v>10772</v>
      </c>
      <c r="B11045" t="s">
        <v>175</v>
      </c>
      <c r="C11045">
        <v>1375</v>
      </c>
      <c r="D11045">
        <v>25</v>
      </c>
      <c r="E11045" s="80">
        <v>35774</v>
      </c>
    </row>
    <row r="11046" spans="1:5">
      <c r="A11046">
        <v>10772</v>
      </c>
      <c r="B11046" t="s">
        <v>176</v>
      </c>
      <c r="C11046">
        <v>1375</v>
      </c>
      <c r="D11046">
        <v>25</v>
      </c>
      <c r="E11046" s="80">
        <v>35774</v>
      </c>
    </row>
    <row r="11047" spans="1:5">
      <c r="A11047">
        <v>10772</v>
      </c>
      <c r="B11047" t="s">
        <v>177</v>
      </c>
      <c r="C11047">
        <v>1375</v>
      </c>
      <c r="D11047">
        <v>25</v>
      </c>
      <c r="E11047" s="80">
        <v>35774</v>
      </c>
    </row>
    <row r="11048" spans="1:5">
      <c r="A11048">
        <v>10772</v>
      </c>
      <c r="B11048" t="s">
        <v>178</v>
      </c>
      <c r="C11048">
        <v>1375</v>
      </c>
      <c r="D11048">
        <v>25</v>
      </c>
      <c r="E11048" s="80">
        <v>35774</v>
      </c>
    </row>
    <row r="11049" spans="1:5">
      <c r="A11049">
        <v>10772</v>
      </c>
      <c r="B11049" t="s">
        <v>179</v>
      </c>
      <c r="C11049">
        <v>1375</v>
      </c>
      <c r="D11049">
        <v>25</v>
      </c>
      <c r="E11049" s="80">
        <v>35774</v>
      </c>
    </row>
    <row r="11050" spans="1:5">
      <c r="A11050">
        <v>10773</v>
      </c>
      <c r="B11050" t="s">
        <v>172</v>
      </c>
      <c r="C11050">
        <v>1287</v>
      </c>
      <c r="D11050">
        <v>33</v>
      </c>
      <c r="E11050" s="80">
        <v>35775</v>
      </c>
    </row>
    <row r="11051" spans="1:5">
      <c r="A11051">
        <v>10773</v>
      </c>
      <c r="B11051" t="s">
        <v>173</v>
      </c>
      <c r="C11051">
        <v>1287</v>
      </c>
      <c r="D11051">
        <v>33</v>
      </c>
      <c r="E11051" s="80">
        <v>35775</v>
      </c>
    </row>
    <row r="11052" spans="1:5">
      <c r="A11052">
        <v>10773</v>
      </c>
      <c r="B11052" t="s">
        <v>174</v>
      </c>
      <c r="C11052">
        <v>1287</v>
      </c>
      <c r="D11052">
        <v>33</v>
      </c>
      <c r="E11052" s="80">
        <v>35775</v>
      </c>
    </row>
    <row r="11053" spans="1:5">
      <c r="A11053">
        <v>10773</v>
      </c>
      <c r="B11053" t="s">
        <v>175</v>
      </c>
      <c r="C11053">
        <v>1287</v>
      </c>
      <c r="D11053">
        <v>33</v>
      </c>
      <c r="E11053" s="80">
        <v>35775</v>
      </c>
    </row>
    <row r="11054" spans="1:5">
      <c r="A11054">
        <v>10773</v>
      </c>
      <c r="B11054" t="s">
        <v>176</v>
      </c>
      <c r="C11054">
        <v>1287</v>
      </c>
      <c r="D11054">
        <v>33</v>
      </c>
      <c r="E11054" s="80">
        <v>35775</v>
      </c>
    </row>
    <row r="11055" spans="1:5">
      <c r="A11055">
        <v>10773</v>
      </c>
      <c r="B11055" t="s">
        <v>177</v>
      </c>
      <c r="C11055">
        <v>1287</v>
      </c>
      <c r="D11055">
        <v>33</v>
      </c>
      <c r="E11055" s="80">
        <v>35775</v>
      </c>
    </row>
    <row r="11056" spans="1:5">
      <c r="A11056">
        <v>10773</v>
      </c>
      <c r="B11056" t="s">
        <v>178</v>
      </c>
      <c r="C11056">
        <v>1287</v>
      </c>
      <c r="D11056">
        <v>33</v>
      </c>
      <c r="E11056" s="80">
        <v>35775</v>
      </c>
    </row>
    <row r="11057" spans="1:5">
      <c r="A11057">
        <v>10773</v>
      </c>
      <c r="B11057" t="s">
        <v>179</v>
      </c>
      <c r="C11057">
        <v>1287</v>
      </c>
      <c r="D11057">
        <v>33</v>
      </c>
      <c r="E11057" s="80">
        <v>35775</v>
      </c>
    </row>
    <row r="11058" spans="1:5">
      <c r="A11058">
        <v>10773</v>
      </c>
      <c r="B11058" t="s">
        <v>172</v>
      </c>
      <c r="C11058">
        <v>699.99999739229679</v>
      </c>
      <c r="D11058">
        <v>70</v>
      </c>
      <c r="E11058" s="80">
        <v>35775</v>
      </c>
    </row>
    <row r="11059" spans="1:5">
      <c r="A11059">
        <v>10773</v>
      </c>
      <c r="B11059" t="s">
        <v>173</v>
      </c>
      <c r="C11059">
        <v>699.99999739229679</v>
      </c>
      <c r="D11059">
        <v>70</v>
      </c>
      <c r="E11059" s="80">
        <v>35775</v>
      </c>
    </row>
    <row r="11060" spans="1:5">
      <c r="A11060">
        <v>10773</v>
      </c>
      <c r="B11060" t="s">
        <v>174</v>
      </c>
      <c r="C11060">
        <v>699.99999739229679</v>
      </c>
      <c r="D11060">
        <v>70</v>
      </c>
      <c r="E11060" s="80">
        <v>35775</v>
      </c>
    </row>
    <row r="11061" spans="1:5">
      <c r="A11061">
        <v>10773</v>
      </c>
      <c r="B11061" t="s">
        <v>175</v>
      </c>
      <c r="C11061">
        <v>699.99999739229679</v>
      </c>
      <c r="D11061">
        <v>70</v>
      </c>
      <c r="E11061" s="80">
        <v>35775</v>
      </c>
    </row>
    <row r="11062" spans="1:5">
      <c r="A11062">
        <v>10773</v>
      </c>
      <c r="B11062" t="s">
        <v>176</v>
      </c>
      <c r="C11062">
        <v>699.99999739229679</v>
      </c>
      <c r="D11062">
        <v>70</v>
      </c>
      <c r="E11062" s="80">
        <v>35775</v>
      </c>
    </row>
    <row r="11063" spans="1:5">
      <c r="A11063">
        <v>10773</v>
      </c>
      <c r="B11063" t="s">
        <v>177</v>
      </c>
      <c r="C11063">
        <v>699.99999739229679</v>
      </c>
      <c r="D11063">
        <v>70</v>
      </c>
      <c r="E11063" s="80">
        <v>35775</v>
      </c>
    </row>
    <row r="11064" spans="1:5">
      <c r="A11064">
        <v>10773</v>
      </c>
      <c r="B11064" t="s">
        <v>178</v>
      </c>
      <c r="C11064">
        <v>699.99999739229679</v>
      </c>
      <c r="D11064">
        <v>70</v>
      </c>
      <c r="E11064" s="80">
        <v>35775</v>
      </c>
    </row>
    <row r="11065" spans="1:5">
      <c r="A11065">
        <v>10773</v>
      </c>
      <c r="B11065" t="s">
        <v>179</v>
      </c>
      <c r="C11065">
        <v>699.99999739229679</v>
      </c>
      <c r="D11065">
        <v>70</v>
      </c>
      <c r="E11065" s="80">
        <v>35775</v>
      </c>
    </row>
    <row r="11066" spans="1:5">
      <c r="A11066">
        <v>10773</v>
      </c>
      <c r="B11066" t="s">
        <v>172</v>
      </c>
      <c r="C11066">
        <v>43.399999838322401</v>
      </c>
      <c r="D11066">
        <v>7</v>
      </c>
      <c r="E11066" s="80">
        <v>35775</v>
      </c>
    </row>
    <row r="11067" spans="1:5">
      <c r="A11067">
        <v>10773</v>
      </c>
      <c r="B11067" t="s">
        <v>173</v>
      </c>
      <c r="C11067">
        <v>43.399999838322401</v>
      </c>
      <c r="D11067">
        <v>7</v>
      </c>
      <c r="E11067" s="80">
        <v>35775</v>
      </c>
    </row>
    <row r="11068" spans="1:5">
      <c r="A11068">
        <v>10773</v>
      </c>
      <c r="B11068" t="s">
        <v>174</v>
      </c>
      <c r="C11068">
        <v>43.399999838322401</v>
      </c>
      <c r="D11068">
        <v>7</v>
      </c>
      <c r="E11068" s="80">
        <v>35775</v>
      </c>
    </row>
    <row r="11069" spans="1:5">
      <c r="A11069">
        <v>10773</v>
      </c>
      <c r="B11069" t="s">
        <v>175</v>
      </c>
      <c r="C11069">
        <v>43.399999838322401</v>
      </c>
      <c r="D11069">
        <v>7</v>
      </c>
      <c r="E11069" s="80">
        <v>35775</v>
      </c>
    </row>
    <row r="11070" spans="1:5">
      <c r="A11070">
        <v>10773</v>
      </c>
      <c r="B11070" t="s">
        <v>176</v>
      </c>
      <c r="C11070">
        <v>43.399999838322401</v>
      </c>
      <c r="D11070">
        <v>7</v>
      </c>
      <c r="E11070" s="80">
        <v>35775</v>
      </c>
    </row>
    <row r="11071" spans="1:5">
      <c r="A11071">
        <v>10773</v>
      </c>
      <c r="B11071" t="s">
        <v>177</v>
      </c>
      <c r="C11071">
        <v>43.399999838322401</v>
      </c>
      <c r="D11071">
        <v>7</v>
      </c>
      <c r="E11071" s="80">
        <v>35775</v>
      </c>
    </row>
    <row r="11072" spans="1:5">
      <c r="A11072">
        <v>10773</v>
      </c>
      <c r="B11072" t="s">
        <v>178</v>
      </c>
      <c r="C11072">
        <v>43.399999838322401</v>
      </c>
      <c r="D11072">
        <v>7</v>
      </c>
      <c r="E11072" s="80">
        <v>35775</v>
      </c>
    </row>
    <row r="11073" spans="1:5">
      <c r="A11073">
        <v>10773</v>
      </c>
      <c r="B11073" t="s">
        <v>179</v>
      </c>
      <c r="C11073">
        <v>43.399999838322401</v>
      </c>
      <c r="D11073">
        <v>7</v>
      </c>
      <c r="E11073" s="80">
        <v>35775</v>
      </c>
    </row>
    <row r="11074" spans="1:5">
      <c r="A11074">
        <v>10774</v>
      </c>
      <c r="B11074" t="s">
        <v>172</v>
      </c>
      <c r="C11074">
        <v>18.75</v>
      </c>
      <c r="D11074">
        <v>2</v>
      </c>
      <c r="E11074" s="80">
        <v>35775</v>
      </c>
    </row>
    <row r="11075" spans="1:5">
      <c r="A11075">
        <v>10774</v>
      </c>
      <c r="B11075" t="s">
        <v>173</v>
      </c>
      <c r="C11075">
        <v>18.75</v>
      </c>
      <c r="D11075">
        <v>2</v>
      </c>
      <c r="E11075" s="80">
        <v>35775</v>
      </c>
    </row>
    <row r="11076" spans="1:5">
      <c r="A11076">
        <v>10774</v>
      </c>
      <c r="B11076" t="s">
        <v>174</v>
      </c>
      <c r="C11076">
        <v>18.75</v>
      </c>
      <c r="D11076">
        <v>2</v>
      </c>
      <c r="E11076" s="80">
        <v>35775</v>
      </c>
    </row>
    <row r="11077" spans="1:5">
      <c r="A11077">
        <v>10774</v>
      </c>
      <c r="B11077" t="s">
        <v>175</v>
      </c>
      <c r="C11077">
        <v>18.75</v>
      </c>
      <c r="D11077">
        <v>2</v>
      </c>
      <c r="E11077" s="80">
        <v>35775</v>
      </c>
    </row>
    <row r="11078" spans="1:5">
      <c r="A11078">
        <v>10774</v>
      </c>
      <c r="B11078" t="s">
        <v>176</v>
      </c>
      <c r="C11078">
        <v>18.75</v>
      </c>
      <c r="D11078">
        <v>2</v>
      </c>
      <c r="E11078" s="80">
        <v>35775</v>
      </c>
    </row>
    <row r="11079" spans="1:5">
      <c r="A11079">
        <v>10774</v>
      </c>
      <c r="B11079" t="s">
        <v>177</v>
      </c>
      <c r="C11079">
        <v>18.75</v>
      </c>
      <c r="D11079">
        <v>2</v>
      </c>
      <c r="E11079" s="80">
        <v>35775</v>
      </c>
    </row>
    <row r="11080" spans="1:5">
      <c r="A11080">
        <v>10774</v>
      </c>
      <c r="B11080" t="s">
        <v>178</v>
      </c>
      <c r="C11080">
        <v>18.75</v>
      </c>
      <c r="D11080">
        <v>2</v>
      </c>
      <c r="E11080" s="80">
        <v>35775</v>
      </c>
    </row>
    <row r="11081" spans="1:5">
      <c r="A11081">
        <v>10774</v>
      </c>
      <c r="B11081" t="s">
        <v>179</v>
      </c>
      <c r="C11081">
        <v>18.75</v>
      </c>
      <c r="D11081">
        <v>2</v>
      </c>
      <c r="E11081" s="80">
        <v>35775</v>
      </c>
    </row>
    <row r="11082" spans="1:5">
      <c r="A11082">
        <v>10774</v>
      </c>
      <c r="B11082" t="s">
        <v>172</v>
      </c>
      <c r="C11082">
        <v>850</v>
      </c>
      <c r="D11082">
        <v>50</v>
      </c>
      <c r="E11082" s="80">
        <v>35775</v>
      </c>
    </row>
    <row r="11083" spans="1:5">
      <c r="A11083">
        <v>10774</v>
      </c>
      <c r="B11083" t="s">
        <v>173</v>
      </c>
      <c r="C11083">
        <v>850</v>
      </c>
      <c r="D11083">
        <v>50</v>
      </c>
      <c r="E11083" s="80">
        <v>35775</v>
      </c>
    </row>
    <row r="11084" spans="1:5">
      <c r="A11084">
        <v>10774</v>
      </c>
      <c r="B11084" t="s">
        <v>174</v>
      </c>
      <c r="C11084">
        <v>850</v>
      </c>
      <c r="D11084">
        <v>50</v>
      </c>
      <c r="E11084" s="80">
        <v>35775</v>
      </c>
    </row>
    <row r="11085" spans="1:5">
      <c r="A11085">
        <v>10774</v>
      </c>
      <c r="B11085" t="s">
        <v>175</v>
      </c>
      <c r="C11085">
        <v>850</v>
      </c>
      <c r="D11085">
        <v>50</v>
      </c>
      <c r="E11085" s="80">
        <v>35775</v>
      </c>
    </row>
    <row r="11086" spans="1:5">
      <c r="A11086">
        <v>10774</v>
      </c>
      <c r="B11086" t="s">
        <v>176</v>
      </c>
      <c r="C11086">
        <v>850</v>
      </c>
      <c r="D11086">
        <v>50</v>
      </c>
      <c r="E11086" s="80">
        <v>35775</v>
      </c>
    </row>
    <row r="11087" spans="1:5">
      <c r="A11087">
        <v>10774</v>
      </c>
      <c r="B11087" t="s">
        <v>177</v>
      </c>
      <c r="C11087">
        <v>850</v>
      </c>
      <c r="D11087">
        <v>50</v>
      </c>
      <c r="E11087" s="80">
        <v>35775</v>
      </c>
    </row>
    <row r="11088" spans="1:5">
      <c r="A11088">
        <v>10774</v>
      </c>
      <c r="B11088" t="s">
        <v>178</v>
      </c>
      <c r="C11088">
        <v>850</v>
      </c>
      <c r="D11088">
        <v>50</v>
      </c>
      <c r="E11088" s="80">
        <v>35775</v>
      </c>
    </row>
    <row r="11089" spans="1:5">
      <c r="A11089">
        <v>10774</v>
      </c>
      <c r="B11089" t="s">
        <v>179</v>
      </c>
      <c r="C11089">
        <v>850</v>
      </c>
      <c r="D11089">
        <v>50</v>
      </c>
      <c r="E11089" s="80">
        <v>35775</v>
      </c>
    </row>
    <row r="11090" spans="1:5">
      <c r="A11090">
        <v>10775</v>
      </c>
      <c r="B11090" t="s">
        <v>172</v>
      </c>
      <c r="C11090">
        <v>186</v>
      </c>
      <c r="D11090">
        <v>6</v>
      </c>
      <c r="E11090" s="80">
        <v>35776</v>
      </c>
    </row>
    <row r="11091" spans="1:5">
      <c r="A11091">
        <v>10775</v>
      </c>
      <c r="B11091" t="s">
        <v>173</v>
      </c>
      <c r="C11091">
        <v>186</v>
      </c>
      <c r="D11091">
        <v>6</v>
      </c>
      <c r="E11091" s="80">
        <v>35776</v>
      </c>
    </row>
    <row r="11092" spans="1:5">
      <c r="A11092">
        <v>10775</v>
      </c>
      <c r="B11092" t="s">
        <v>174</v>
      </c>
      <c r="C11092">
        <v>186</v>
      </c>
      <c r="D11092">
        <v>6</v>
      </c>
      <c r="E11092" s="80">
        <v>35776</v>
      </c>
    </row>
    <row r="11093" spans="1:5">
      <c r="A11093">
        <v>10775</v>
      </c>
      <c r="B11093" t="s">
        <v>175</v>
      </c>
      <c r="C11093">
        <v>186</v>
      </c>
      <c r="D11093">
        <v>6</v>
      </c>
      <c r="E11093" s="80">
        <v>35776</v>
      </c>
    </row>
    <row r="11094" spans="1:5">
      <c r="A11094">
        <v>10775</v>
      </c>
      <c r="B11094" t="s">
        <v>176</v>
      </c>
      <c r="C11094">
        <v>186</v>
      </c>
      <c r="D11094">
        <v>6</v>
      </c>
      <c r="E11094" s="80">
        <v>35776</v>
      </c>
    </row>
    <row r="11095" spans="1:5">
      <c r="A11095">
        <v>10775</v>
      </c>
      <c r="B11095" t="s">
        <v>177</v>
      </c>
      <c r="C11095">
        <v>186</v>
      </c>
      <c r="D11095">
        <v>6</v>
      </c>
      <c r="E11095" s="80">
        <v>35776</v>
      </c>
    </row>
    <row r="11096" spans="1:5">
      <c r="A11096">
        <v>10775</v>
      </c>
      <c r="B11096" t="s">
        <v>178</v>
      </c>
      <c r="C11096">
        <v>186</v>
      </c>
      <c r="D11096">
        <v>6</v>
      </c>
      <c r="E11096" s="80">
        <v>35776</v>
      </c>
    </row>
    <row r="11097" spans="1:5">
      <c r="A11097">
        <v>10775</v>
      </c>
      <c r="B11097" t="s">
        <v>179</v>
      </c>
      <c r="C11097">
        <v>186</v>
      </c>
      <c r="D11097">
        <v>6</v>
      </c>
      <c r="E11097" s="80">
        <v>35776</v>
      </c>
    </row>
    <row r="11098" spans="1:5">
      <c r="A11098">
        <v>10775</v>
      </c>
      <c r="B11098" t="s">
        <v>172</v>
      </c>
      <c r="C11098">
        <v>42</v>
      </c>
      <c r="D11098">
        <v>3</v>
      </c>
      <c r="E11098" s="80">
        <v>35776</v>
      </c>
    </row>
    <row r="11099" spans="1:5">
      <c r="A11099">
        <v>10775</v>
      </c>
      <c r="B11099" t="s">
        <v>173</v>
      </c>
      <c r="C11099">
        <v>42</v>
      </c>
      <c r="D11099">
        <v>3</v>
      </c>
      <c r="E11099" s="80">
        <v>35776</v>
      </c>
    </row>
    <row r="11100" spans="1:5">
      <c r="A11100">
        <v>10775</v>
      </c>
      <c r="B11100" t="s">
        <v>174</v>
      </c>
      <c r="C11100">
        <v>42</v>
      </c>
      <c r="D11100">
        <v>3</v>
      </c>
      <c r="E11100" s="80">
        <v>35776</v>
      </c>
    </row>
    <row r="11101" spans="1:5">
      <c r="A11101">
        <v>10775</v>
      </c>
      <c r="B11101" t="s">
        <v>175</v>
      </c>
      <c r="C11101">
        <v>42</v>
      </c>
      <c r="D11101">
        <v>3</v>
      </c>
      <c r="E11101" s="80">
        <v>35776</v>
      </c>
    </row>
    <row r="11102" spans="1:5">
      <c r="A11102">
        <v>10775</v>
      </c>
      <c r="B11102" t="s">
        <v>176</v>
      </c>
      <c r="C11102">
        <v>42</v>
      </c>
      <c r="D11102">
        <v>3</v>
      </c>
      <c r="E11102" s="80">
        <v>35776</v>
      </c>
    </row>
    <row r="11103" spans="1:5">
      <c r="A11103">
        <v>10775</v>
      </c>
      <c r="B11103" t="s">
        <v>177</v>
      </c>
      <c r="C11103">
        <v>42</v>
      </c>
      <c r="D11103">
        <v>3</v>
      </c>
      <c r="E11103" s="80">
        <v>35776</v>
      </c>
    </row>
    <row r="11104" spans="1:5">
      <c r="A11104">
        <v>10775</v>
      </c>
      <c r="B11104" t="s">
        <v>178</v>
      </c>
      <c r="C11104">
        <v>42</v>
      </c>
      <c r="D11104">
        <v>3</v>
      </c>
      <c r="E11104" s="80">
        <v>35776</v>
      </c>
    </row>
    <row r="11105" spans="1:5">
      <c r="A11105">
        <v>10775</v>
      </c>
      <c r="B11105" t="s">
        <v>179</v>
      </c>
      <c r="C11105">
        <v>42</v>
      </c>
      <c r="D11105">
        <v>3</v>
      </c>
      <c r="E11105" s="80">
        <v>35776</v>
      </c>
    </row>
    <row r="11106" spans="1:5">
      <c r="A11106">
        <v>10776</v>
      </c>
      <c r="B11106" t="s">
        <v>172</v>
      </c>
      <c r="C11106">
        <v>189.99999985098839</v>
      </c>
      <c r="D11106">
        <v>16</v>
      </c>
      <c r="E11106" s="80">
        <v>35779</v>
      </c>
    </row>
    <row r="11107" spans="1:5">
      <c r="A11107">
        <v>10776</v>
      </c>
      <c r="B11107" t="s">
        <v>173</v>
      </c>
      <c r="C11107">
        <v>189.99999985098839</v>
      </c>
      <c r="D11107">
        <v>16</v>
      </c>
      <c r="E11107" s="80">
        <v>35779</v>
      </c>
    </row>
    <row r="11108" spans="1:5">
      <c r="A11108">
        <v>10776</v>
      </c>
      <c r="B11108" t="s">
        <v>174</v>
      </c>
      <c r="C11108">
        <v>189.99999985098839</v>
      </c>
      <c r="D11108">
        <v>16</v>
      </c>
      <c r="E11108" s="80">
        <v>35779</v>
      </c>
    </row>
    <row r="11109" spans="1:5">
      <c r="A11109">
        <v>10776</v>
      </c>
      <c r="B11109" t="s">
        <v>175</v>
      </c>
      <c r="C11109">
        <v>189.99999985098839</v>
      </c>
      <c r="D11109">
        <v>16</v>
      </c>
      <c r="E11109" s="80">
        <v>35779</v>
      </c>
    </row>
    <row r="11110" spans="1:5">
      <c r="A11110">
        <v>10776</v>
      </c>
      <c r="B11110" t="s">
        <v>176</v>
      </c>
      <c r="C11110">
        <v>189.99999985098839</v>
      </c>
      <c r="D11110">
        <v>16</v>
      </c>
      <c r="E11110" s="80">
        <v>35779</v>
      </c>
    </row>
    <row r="11111" spans="1:5">
      <c r="A11111">
        <v>10776</v>
      </c>
      <c r="B11111" t="s">
        <v>177</v>
      </c>
      <c r="C11111">
        <v>189.99999985098839</v>
      </c>
      <c r="D11111">
        <v>16</v>
      </c>
      <c r="E11111" s="80">
        <v>35779</v>
      </c>
    </row>
    <row r="11112" spans="1:5">
      <c r="A11112">
        <v>10776</v>
      </c>
      <c r="B11112" t="s">
        <v>178</v>
      </c>
      <c r="C11112">
        <v>189.99999985098839</v>
      </c>
      <c r="D11112">
        <v>16</v>
      </c>
      <c r="E11112" s="80">
        <v>35779</v>
      </c>
    </row>
    <row r="11113" spans="1:5">
      <c r="A11113">
        <v>10776</v>
      </c>
      <c r="B11113" t="s">
        <v>179</v>
      </c>
      <c r="C11113">
        <v>189.99999985098839</v>
      </c>
      <c r="D11113">
        <v>16</v>
      </c>
      <c r="E11113" s="80">
        <v>35779</v>
      </c>
    </row>
    <row r="11114" spans="1:5">
      <c r="A11114">
        <v>10776</v>
      </c>
      <c r="B11114" t="s">
        <v>172</v>
      </c>
      <c r="C11114">
        <v>159.59999987483025</v>
      </c>
      <c r="D11114">
        <v>12</v>
      </c>
      <c r="E11114" s="80">
        <v>35779</v>
      </c>
    </row>
    <row r="11115" spans="1:5">
      <c r="A11115">
        <v>10776</v>
      </c>
      <c r="B11115" t="s">
        <v>173</v>
      </c>
      <c r="C11115">
        <v>159.59999987483025</v>
      </c>
      <c r="D11115">
        <v>12</v>
      </c>
      <c r="E11115" s="80">
        <v>35779</v>
      </c>
    </row>
    <row r="11116" spans="1:5">
      <c r="A11116">
        <v>10776</v>
      </c>
      <c r="B11116" t="s">
        <v>174</v>
      </c>
      <c r="C11116">
        <v>159.59999987483025</v>
      </c>
      <c r="D11116">
        <v>12</v>
      </c>
      <c r="E11116" s="80">
        <v>35779</v>
      </c>
    </row>
    <row r="11117" spans="1:5">
      <c r="A11117">
        <v>10776</v>
      </c>
      <c r="B11117" t="s">
        <v>175</v>
      </c>
      <c r="C11117">
        <v>159.59999987483025</v>
      </c>
      <c r="D11117">
        <v>12</v>
      </c>
      <c r="E11117" s="80">
        <v>35779</v>
      </c>
    </row>
    <row r="11118" spans="1:5">
      <c r="A11118">
        <v>10776</v>
      </c>
      <c r="B11118" t="s">
        <v>176</v>
      </c>
      <c r="C11118">
        <v>159.59999987483025</v>
      </c>
      <c r="D11118">
        <v>12</v>
      </c>
      <c r="E11118" s="80">
        <v>35779</v>
      </c>
    </row>
    <row r="11119" spans="1:5">
      <c r="A11119">
        <v>10776</v>
      </c>
      <c r="B11119" t="s">
        <v>177</v>
      </c>
      <c r="C11119">
        <v>159.59999987483025</v>
      </c>
      <c r="D11119">
        <v>12</v>
      </c>
      <c r="E11119" s="80">
        <v>35779</v>
      </c>
    </row>
    <row r="11120" spans="1:5">
      <c r="A11120">
        <v>10776</v>
      </c>
      <c r="B11120" t="s">
        <v>178</v>
      </c>
      <c r="C11120">
        <v>159.59999987483025</v>
      </c>
      <c r="D11120">
        <v>12</v>
      </c>
      <c r="E11120" s="80">
        <v>35779</v>
      </c>
    </row>
    <row r="11121" spans="1:5">
      <c r="A11121">
        <v>10776</v>
      </c>
      <c r="B11121" t="s">
        <v>179</v>
      </c>
      <c r="C11121">
        <v>159.59999987483025</v>
      </c>
      <c r="D11121">
        <v>12</v>
      </c>
      <c r="E11121" s="80">
        <v>35779</v>
      </c>
    </row>
    <row r="11122" spans="1:5">
      <c r="A11122">
        <v>10776</v>
      </c>
      <c r="B11122" t="s">
        <v>172</v>
      </c>
      <c r="C11122">
        <v>243.67499980889261</v>
      </c>
      <c r="D11122">
        <v>27</v>
      </c>
      <c r="E11122" s="80">
        <v>35779</v>
      </c>
    </row>
    <row r="11123" spans="1:5">
      <c r="A11123">
        <v>10776</v>
      </c>
      <c r="B11123" t="s">
        <v>173</v>
      </c>
      <c r="C11123">
        <v>243.67499980889261</v>
      </c>
      <c r="D11123">
        <v>27</v>
      </c>
      <c r="E11123" s="80">
        <v>35779</v>
      </c>
    </row>
    <row r="11124" spans="1:5">
      <c r="A11124">
        <v>10776</v>
      </c>
      <c r="B11124" t="s">
        <v>174</v>
      </c>
      <c r="C11124">
        <v>243.67499980889261</v>
      </c>
      <c r="D11124">
        <v>27</v>
      </c>
      <c r="E11124" s="80">
        <v>35779</v>
      </c>
    </row>
    <row r="11125" spans="1:5">
      <c r="A11125">
        <v>10776</v>
      </c>
      <c r="B11125" t="s">
        <v>175</v>
      </c>
      <c r="C11125">
        <v>243.67499980889261</v>
      </c>
      <c r="D11125">
        <v>27</v>
      </c>
      <c r="E11125" s="80">
        <v>35779</v>
      </c>
    </row>
    <row r="11126" spans="1:5">
      <c r="A11126">
        <v>10776</v>
      </c>
      <c r="B11126" t="s">
        <v>176</v>
      </c>
      <c r="C11126">
        <v>243.67499980889261</v>
      </c>
      <c r="D11126">
        <v>27</v>
      </c>
      <c r="E11126" s="80">
        <v>35779</v>
      </c>
    </row>
    <row r="11127" spans="1:5">
      <c r="A11127">
        <v>10776</v>
      </c>
      <c r="B11127" t="s">
        <v>177</v>
      </c>
      <c r="C11127">
        <v>243.67499980889261</v>
      </c>
      <c r="D11127">
        <v>27</v>
      </c>
      <c r="E11127" s="80">
        <v>35779</v>
      </c>
    </row>
    <row r="11128" spans="1:5">
      <c r="A11128">
        <v>10776</v>
      </c>
      <c r="B11128" t="s">
        <v>178</v>
      </c>
      <c r="C11128">
        <v>243.67499980889261</v>
      </c>
      <c r="D11128">
        <v>27</v>
      </c>
      <c r="E11128" s="80">
        <v>35779</v>
      </c>
    </row>
    <row r="11129" spans="1:5">
      <c r="A11129">
        <v>10776</v>
      </c>
      <c r="B11129" t="s">
        <v>179</v>
      </c>
      <c r="C11129">
        <v>243.67499980889261</v>
      </c>
      <c r="D11129">
        <v>27</v>
      </c>
      <c r="E11129" s="80">
        <v>35779</v>
      </c>
    </row>
    <row r="11130" spans="1:5">
      <c r="A11130">
        <v>10776</v>
      </c>
      <c r="B11130" t="s">
        <v>172</v>
      </c>
      <c r="C11130">
        <v>6041.9999952614307</v>
      </c>
      <c r="D11130">
        <v>120</v>
      </c>
      <c r="E11130" s="80">
        <v>35779</v>
      </c>
    </row>
    <row r="11131" spans="1:5">
      <c r="A11131">
        <v>10776</v>
      </c>
      <c r="B11131" t="s">
        <v>173</v>
      </c>
      <c r="C11131">
        <v>6041.9999952614307</v>
      </c>
      <c r="D11131">
        <v>120</v>
      </c>
      <c r="E11131" s="80">
        <v>35779</v>
      </c>
    </row>
    <row r="11132" spans="1:5">
      <c r="A11132">
        <v>10776</v>
      </c>
      <c r="B11132" t="s">
        <v>174</v>
      </c>
      <c r="C11132">
        <v>6041.9999952614307</v>
      </c>
      <c r="D11132">
        <v>120</v>
      </c>
      <c r="E11132" s="80">
        <v>35779</v>
      </c>
    </row>
    <row r="11133" spans="1:5">
      <c r="A11133">
        <v>10776</v>
      </c>
      <c r="B11133" t="s">
        <v>175</v>
      </c>
      <c r="C11133">
        <v>6041.9999952614307</v>
      </c>
      <c r="D11133">
        <v>120</v>
      </c>
      <c r="E11133" s="80">
        <v>35779</v>
      </c>
    </row>
    <row r="11134" spans="1:5">
      <c r="A11134">
        <v>10776</v>
      </c>
      <c r="B11134" t="s">
        <v>176</v>
      </c>
      <c r="C11134">
        <v>6041.9999952614307</v>
      </c>
      <c r="D11134">
        <v>120</v>
      </c>
      <c r="E11134" s="80">
        <v>35779</v>
      </c>
    </row>
    <row r="11135" spans="1:5">
      <c r="A11135">
        <v>10776</v>
      </c>
      <c r="B11135" t="s">
        <v>177</v>
      </c>
      <c r="C11135">
        <v>6041.9999952614307</v>
      </c>
      <c r="D11135">
        <v>120</v>
      </c>
      <c r="E11135" s="80">
        <v>35779</v>
      </c>
    </row>
    <row r="11136" spans="1:5">
      <c r="A11136">
        <v>10776</v>
      </c>
      <c r="B11136" t="s">
        <v>178</v>
      </c>
      <c r="C11136">
        <v>6041.9999952614307</v>
      </c>
      <c r="D11136">
        <v>120</v>
      </c>
      <c r="E11136" s="80">
        <v>35779</v>
      </c>
    </row>
    <row r="11137" spans="1:5">
      <c r="A11137">
        <v>10776</v>
      </c>
      <c r="B11137" t="s">
        <v>179</v>
      </c>
      <c r="C11137">
        <v>6041.9999952614307</v>
      </c>
      <c r="D11137">
        <v>120</v>
      </c>
      <c r="E11137" s="80">
        <v>35779</v>
      </c>
    </row>
    <row r="11138" spans="1:5">
      <c r="A11138">
        <v>10777</v>
      </c>
      <c r="B11138" t="s">
        <v>172</v>
      </c>
      <c r="C11138">
        <v>223.99999916553497</v>
      </c>
      <c r="D11138">
        <v>20</v>
      </c>
      <c r="E11138" s="80">
        <v>35779</v>
      </c>
    </row>
    <row r="11139" spans="1:5">
      <c r="A11139">
        <v>10777</v>
      </c>
      <c r="B11139" t="s">
        <v>173</v>
      </c>
      <c r="C11139">
        <v>223.99999916553497</v>
      </c>
      <c r="D11139">
        <v>20</v>
      </c>
      <c r="E11139" s="80">
        <v>35779</v>
      </c>
    </row>
    <row r="11140" spans="1:5">
      <c r="A11140">
        <v>10777</v>
      </c>
      <c r="B11140" t="s">
        <v>174</v>
      </c>
      <c r="C11140">
        <v>223.99999916553497</v>
      </c>
      <c r="D11140">
        <v>20</v>
      </c>
      <c r="E11140" s="80">
        <v>35779</v>
      </c>
    </row>
    <row r="11141" spans="1:5">
      <c r="A11141">
        <v>10777</v>
      </c>
      <c r="B11141" t="s">
        <v>175</v>
      </c>
      <c r="C11141">
        <v>223.99999916553497</v>
      </c>
      <c r="D11141">
        <v>20</v>
      </c>
      <c r="E11141" s="80">
        <v>35779</v>
      </c>
    </row>
    <row r="11142" spans="1:5">
      <c r="A11142">
        <v>10777</v>
      </c>
      <c r="B11142" t="s">
        <v>176</v>
      </c>
      <c r="C11142">
        <v>223.99999916553497</v>
      </c>
      <c r="D11142">
        <v>20</v>
      </c>
      <c r="E11142" s="80">
        <v>35779</v>
      </c>
    </row>
    <row r="11143" spans="1:5">
      <c r="A11143">
        <v>10777</v>
      </c>
      <c r="B11143" t="s">
        <v>177</v>
      </c>
      <c r="C11143">
        <v>223.99999916553497</v>
      </c>
      <c r="D11143">
        <v>20</v>
      </c>
      <c r="E11143" s="80">
        <v>35779</v>
      </c>
    </row>
    <row r="11144" spans="1:5">
      <c r="A11144">
        <v>10777</v>
      </c>
      <c r="B11144" t="s">
        <v>178</v>
      </c>
      <c r="C11144">
        <v>223.99999916553497</v>
      </c>
      <c r="D11144">
        <v>20</v>
      </c>
      <c r="E11144" s="80">
        <v>35779</v>
      </c>
    </row>
    <row r="11145" spans="1:5">
      <c r="A11145">
        <v>10777</v>
      </c>
      <c r="B11145" t="s">
        <v>179</v>
      </c>
      <c r="C11145">
        <v>223.99999916553497</v>
      </c>
      <c r="D11145">
        <v>20</v>
      </c>
      <c r="E11145" s="80">
        <v>35779</v>
      </c>
    </row>
    <row r="11146" spans="1:5">
      <c r="A11146">
        <v>10778</v>
      </c>
      <c r="B11146" t="s">
        <v>172</v>
      </c>
      <c r="C11146">
        <v>96.5</v>
      </c>
      <c r="D11146">
        <v>10</v>
      </c>
      <c r="E11146" s="80">
        <v>35780</v>
      </c>
    </row>
    <row r="11147" spans="1:5">
      <c r="A11147">
        <v>10778</v>
      </c>
      <c r="B11147" t="s">
        <v>173</v>
      </c>
      <c r="C11147">
        <v>96.5</v>
      </c>
      <c r="D11147">
        <v>10</v>
      </c>
      <c r="E11147" s="80">
        <v>35780</v>
      </c>
    </row>
    <row r="11148" spans="1:5">
      <c r="A11148">
        <v>10778</v>
      </c>
      <c r="B11148" t="s">
        <v>174</v>
      </c>
      <c r="C11148">
        <v>96.5</v>
      </c>
      <c r="D11148">
        <v>10</v>
      </c>
      <c r="E11148" s="80">
        <v>35780</v>
      </c>
    </row>
    <row r="11149" spans="1:5">
      <c r="A11149">
        <v>10778</v>
      </c>
      <c r="B11149" t="s">
        <v>175</v>
      </c>
      <c r="C11149">
        <v>96.5</v>
      </c>
      <c r="D11149">
        <v>10</v>
      </c>
      <c r="E11149" s="80">
        <v>35780</v>
      </c>
    </row>
    <row r="11150" spans="1:5">
      <c r="A11150">
        <v>10778</v>
      </c>
      <c r="B11150" t="s">
        <v>176</v>
      </c>
      <c r="C11150">
        <v>96.5</v>
      </c>
      <c r="D11150">
        <v>10</v>
      </c>
      <c r="E11150" s="80">
        <v>35780</v>
      </c>
    </row>
    <row r="11151" spans="1:5">
      <c r="A11151">
        <v>10778</v>
      </c>
      <c r="B11151" t="s">
        <v>177</v>
      </c>
      <c r="C11151">
        <v>96.5</v>
      </c>
      <c r="D11151">
        <v>10</v>
      </c>
      <c r="E11151" s="80">
        <v>35780</v>
      </c>
    </row>
    <row r="11152" spans="1:5">
      <c r="A11152">
        <v>10778</v>
      </c>
      <c r="B11152" t="s">
        <v>178</v>
      </c>
      <c r="C11152">
        <v>96.5</v>
      </c>
      <c r="D11152">
        <v>10</v>
      </c>
      <c r="E11152" s="80">
        <v>35780</v>
      </c>
    </row>
    <row r="11153" spans="1:5">
      <c r="A11153">
        <v>10778</v>
      </c>
      <c r="B11153" t="s">
        <v>179</v>
      </c>
      <c r="C11153">
        <v>96.5</v>
      </c>
      <c r="D11153">
        <v>10</v>
      </c>
      <c r="E11153" s="80">
        <v>35780</v>
      </c>
    </row>
    <row r="11154" spans="1:5">
      <c r="A11154">
        <v>10779</v>
      </c>
      <c r="B11154" t="s">
        <v>172</v>
      </c>
      <c r="C11154">
        <v>349</v>
      </c>
      <c r="D11154">
        <v>20</v>
      </c>
      <c r="E11154" s="80">
        <v>35780</v>
      </c>
    </row>
    <row r="11155" spans="1:5">
      <c r="A11155">
        <v>10779</v>
      </c>
      <c r="B11155" t="s">
        <v>173</v>
      </c>
      <c r="C11155">
        <v>349</v>
      </c>
      <c r="D11155">
        <v>20</v>
      </c>
      <c r="E11155" s="80">
        <v>35780</v>
      </c>
    </row>
    <row r="11156" spans="1:5">
      <c r="A11156">
        <v>10779</v>
      </c>
      <c r="B11156" t="s">
        <v>174</v>
      </c>
      <c r="C11156">
        <v>349</v>
      </c>
      <c r="D11156">
        <v>20</v>
      </c>
      <c r="E11156" s="80">
        <v>35780</v>
      </c>
    </row>
    <row r="11157" spans="1:5">
      <c r="A11157">
        <v>10779</v>
      </c>
      <c r="B11157" t="s">
        <v>175</v>
      </c>
      <c r="C11157">
        <v>349</v>
      </c>
      <c r="D11157">
        <v>20</v>
      </c>
      <c r="E11157" s="80">
        <v>35780</v>
      </c>
    </row>
    <row r="11158" spans="1:5">
      <c r="A11158">
        <v>10779</v>
      </c>
      <c r="B11158" t="s">
        <v>176</v>
      </c>
      <c r="C11158">
        <v>349</v>
      </c>
      <c r="D11158">
        <v>20</v>
      </c>
      <c r="E11158" s="80">
        <v>35780</v>
      </c>
    </row>
    <row r="11159" spans="1:5">
      <c r="A11159">
        <v>10779</v>
      </c>
      <c r="B11159" t="s">
        <v>177</v>
      </c>
      <c r="C11159">
        <v>349</v>
      </c>
      <c r="D11159">
        <v>20</v>
      </c>
      <c r="E11159" s="80">
        <v>35780</v>
      </c>
    </row>
    <row r="11160" spans="1:5">
      <c r="A11160">
        <v>10779</v>
      </c>
      <c r="B11160" t="s">
        <v>178</v>
      </c>
      <c r="C11160">
        <v>349</v>
      </c>
      <c r="D11160">
        <v>20</v>
      </c>
      <c r="E11160" s="80">
        <v>35780</v>
      </c>
    </row>
    <row r="11161" spans="1:5">
      <c r="A11161">
        <v>10779</v>
      </c>
      <c r="B11161" t="s">
        <v>179</v>
      </c>
      <c r="C11161">
        <v>349</v>
      </c>
      <c r="D11161">
        <v>20</v>
      </c>
      <c r="E11161" s="80">
        <v>35780</v>
      </c>
    </row>
    <row r="11162" spans="1:5">
      <c r="A11162">
        <v>10779</v>
      </c>
      <c r="B11162" t="s">
        <v>172</v>
      </c>
      <c r="C11162">
        <v>986</v>
      </c>
      <c r="D11162">
        <v>20</v>
      </c>
      <c r="E11162" s="80">
        <v>35780</v>
      </c>
    </row>
    <row r="11163" spans="1:5">
      <c r="A11163">
        <v>10779</v>
      </c>
      <c r="B11163" t="s">
        <v>173</v>
      </c>
      <c r="C11163">
        <v>986</v>
      </c>
      <c r="D11163">
        <v>20</v>
      </c>
      <c r="E11163" s="80">
        <v>35780</v>
      </c>
    </row>
    <row r="11164" spans="1:5">
      <c r="A11164">
        <v>10779</v>
      </c>
      <c r="B11164" t="s">
        <v>174</v>
      </c>
      <c r="C11164">
        <v>986</v>
      </c>
      <c r="D11164">
        <v>20</v>
      </c>
      <c r="E11164" s="80">
        <v>35780</v>
      </c>
    </row>
    <row r="11165" spans="1:5">
      <c r="A11165">
        <v>10779</v>
      </c>
      <c r="B11165" t="s">
        <v>175</v>
      </c>
      <c r="C11165">
        <v>986</v>
      </c>
      <c r="D11165">
        <v>20</v>
      </c>
      <c r="E11165" s="80">
        <v>35780</v>
      </c>
    </row>
    <row r="11166" spans="1:5">
      <c r="A11166">
        <v>10779</v>
      </c>
      <c r="B11166" t="s">
        <v>176</v>
      </c>
      <c r="C11166">
        <v>986</v>
      </c>
      <c r="D11166">
        <v>20</v>
      </c>
      <c r="E11166" s="80">
        <v>35780</v>
      </c>
    </row>
    <row r="11167" spans="1:5">
      <c r="A11167">
        <v>10779</v>
      </c>
      <c r="B11167" t="s">
        <v>177</v>
      </c>
      <c r="C11167">
        <v>986</v>
      </c>
      <c r="D11167">
        <v>20</v>
      </c>
      <c r="E11167" s="80">
        <v>35780</v>
      </c>
    </row>
    <row r="11168" spans="1:5">
      <c r="A11168">
        <v>10779</v>
      </c>
      <c r="B11168" t="s">
        <v>178</v>
      </c>
      <c r="C11168">
        <v>986</v>
      </c>
      <c r="D11168">
        <v>20</v>
      </c>
      <c r="E11168" s="80">
        <v>35780</v>
      </c>
    </row>
    <row r="11169" spans="1:5">
      <c r="A11169">
        <v>10779</v>
      </c>
      <c r="B11169" t="s">
        <v>179</v>
      </c>
      <c r="C11169">
        <v>986</v>
      </c>
      <c r="D11169">
        <v>20</v>
      </c>
      <c r="E11169" s="80">
        <v>35780</v>
      </c>
    </row>
    <row r="11170" spans="1:5">
      <c r="A11170">
        <v>10780</v>
      </c>
      <c r="B11170" t="s">
        <v>172</v>
      </c>
      <c r="C11170">
        <v>525</v>
      </c>
      <c r="D11170">
        <v>35</v>
      </c>
      <c r="E11170" s="80">
        <v>35780</v>
      </c>
    </row>
    <row r="11171" spans="1:5">
      <c r="A11171">
        <v>10780</v>
      </c>
      <c r="B11171" t="s">
        <v>173</v>
      </c>
      <c r="C11171">
        <v>525</v>
      </c>
      <c r="D11171">
        <v>35</v>
      </c>
      <c r="E11171" s="80">
        <v>35780</v>
      </c>
    </row>
    <row r="11172" spans="1:5">
      <c r="A11172">
        <v>10780</v>
      </c>
      <c r="B11172" t="s">
        <v>174</v>
      </c>
      <c r="C11172">
        <v>525</v>
      </c>
      <c r="D11172">
        <v>35</v>
      </c>
      <c r="E11172" s="80">
        <v>35780</v>
      </c>
    </row>
    <row r="11173" spans="1:5">
      <c r="A11173">
        <v>10780</v>
      </c>
      <c r="B11173" t="s">
        <v>175</v>
      </c>
      <c r="C11173">
        <v>525</v>
      </c>
      <c r="D11173">
        <v>35</v>
      </c>
      <c r="E11173" s="80">
        <v>35780</v>
      </c>
    </row>
    <row r="11174" spans="1:5">
      <c r="A11174">
        <v>10780</v>
      </c>
      <c r="B11174" t="s">
        <v>176</v>
      </c>
      <c r="C11174">
        <v>525</v>
      </c>
      <c r="D11174">
        <v>35</v>
      </c>
      <c r="E11174" s="80">
        <v>35780</v>
      </c>
    </row>
    <row r="11175" spans="1:5">
      <c r="A11175">
        <v>10780</v>
      </c>
      <c r="B11175" t="s">
        <v>177</v>
      </c>
      <c r="C11175">
        <v>525</v>
      </c>
      <c r="D11175">
        <v>35</v>
      </c>
      <c r="E11175" s="80">
        <v>35780</v>
      </c>
    </row>
    <row r="11176" spans="1:5">
      <c r="A11176">
        <v>10780</v>
      </c>
      <c r="B11176" t="s">
        <v>178</v>
      </c>
      <c r="C11176">
        <v>525</v>
      </c>
      <c r="D11176">
        <v>35</v>
      </c>
      <c r="E11176" s="80">
        <v>35780</v>
      </c>
    </row>
    <row r="11177" spans="1:5">
      <c r="A11177">
        <v>10780</v>
      </c>
      <c r="B11177" t="s">
        <v>179</v>
      </c>
      <c r="C11177">
        <v>525</v>
      </c>
      <c r="D11177">
        <v>35</v>
      </c>
      <c r="E11177" s="80">
        <v>35780</v>
      </c>
    </row>
    <row r="11178" spans="1:5">
      <c r="A11178">
        <v>10780</v>
      </c>
      <c r="B11178" t="s">
        <v>172</v>
      </c>
      <c r="C11178">
        <v>195</v>
      </c>
      <c r="D11178">
        <v>15</v>
      </c>
      <c r="E11178" s="80">
        <v>35780</v>
      </c>
    </row>
    <row r="11179" spans="1:5">
      <c r="A11179">
        <v>10780</v>
      </c>
      <c r="B11179" t="s">
        <v>173</v>
      </c>
      <c r="C11179">
        <v>195</v>
      </c>
      <c r="D11179">
        <v>15</v>
      </c>
      <c r="E11179" s="80">
        <v>35780</v>
      </c>
    </row>
    <row r="11180" spans="1:5">
      <c r="A11180">
        <v>10780</v>
      </c>
      <c r="B11180" t="s">
        <v>174</v>
      </c>
      <c r="C11180">
        <v>195</v>
      </c>
      <c r="D11180">
        <v>15</v>
      </c>
      <c r="E11180" s="80">
        <v>35780</v>
      </c>
    </row>
    <row r="11181" spans="1:5">
      <c r="A11181">
        <v>10780</v>
      </c>
      <c r="B11181" t="s">
        <v>175</v>
      </c>
      <c r="C11181">
        <v>195</v>
      </c>
      <c r="D11181">
        <v>15</v>
      </c>
      <c r="E11181" s="80">
        <v>35780</v>
      </c>
    </row>
    <row r="11182" spans="1:5">
      <c r="A11182">
        <v>10780</v>
      </c>
      <c r="B11182" t="s">
        <v>176</v>
      </c>
      <c r="C11182">
        <v>195</v>
      </c>
      <c r="D11182">
        <v>15</v>
      </c>
      <c r="E11182" s="80">
        <v>35780</v>
      </c>
    </row>
    <row r="11183" spans="1:5">
      <c r="A11183">
        <v>10780</v>
      </c>
      <c r="B11183" t="s">
        <v>177</v>
      </c>
      <c r="C11183">
        <v>195</v>
      </c>
      <c r="D11183">
        <v>15</v>
      </c>
      <c r="E11183" s="80">
        <v>35780</v>
      </c>
    </row>
    <row r="11184" spans="1:5">
      <c r="A11184">
        <v>10780</v>
      </c>
      <c r="B11184" t="s">
        <v>178</v>
      </c>
      <c r="C11184">
        <v>195</v>
      </c>
      <c r="D11184">
        <v>15</v>
      </c>
      <c r="E11184" s="80">
        <v>35780</v>
      </c>
    </row>
    <row r="11185" spans="1:5">
      <c r="A11185">
        <v>10780</v>
      </c>
      <c r="B11185" t="s">
        <v>179</v>
      </c>
      <c r="C11185">
        <v>195</v>
      </c>
      <c r="D11185">
        <v>15</v>
      </c>
      <c r="E11185" s="80">
        <v>35780</v>
      </c>
    </row>
    <row r="11186" spans="1:5">
      <c r="A11186">
        <v>10781</v>
      </c>
      <c r="B11186" t="s">
        <v>172</v>
      </c>
      <c r="C11186">
        <v>17.879999933391812</v>
      </c>
      <c r="D11186">
        <v>3</v>
      </c>
      <c r="E11186" s="80">
        <v>35781</v>
      </c>
    </row>
    <row r="11187" spans="1:5">
      <c r="A11187">
        <v>10781</v>
      </c>
      <c r="B11187" t="s">
        <v>173</v>
      </c>
      <c r="C11187">
        <v>17.879999933391812</v>
      </c>
      <c r="D11187">
        <v>3</v>
      </c>
      <c r="E11187" s="80">
        <v>35781</v>
      </c>
    </row>
    <row r="11188" spans="1:5">
      <c r="A11188">
        <v>10781</v>
      </c>
      <c r="B11188" t="s">
        <v>174</v>
      </c>
      <c r="C11188">
        <v>17.879999933391812</v>
      </c>
      <c r="D11188">
        <v>3</v>
      </c>
      <c r="E11188" s="80">
        <v>35781</v>
      </c>
    </row>
    <row r="11189" spans="1:5">
      <c r="A11189">
        <v>10781</v>
      </c>
      <c r="B11189" t="s">
        <v>175</v>
      </c>
      <c r="C11189">
        <v>17.879999933391812</v>
      </c>
      <c r="D11189">
        <v>3</v>
      </c>
      <c r="E11189" s="80">
        <v>35781</v>
      </c>
    </row>
    <row r="11190" spans="1:5">
      <c r="A11190">
        <v>10781</v>
      </c>
      <c r="B11190" t="s">
        <v>176</v>
      </c>
      <c r="C11190">
        <v>17.879999933391812</v>
      </c>
      <c r="D11190">
        <v>3</v>
      </c>
      <c r="E11190" s="80">
        <v>35781</v>
      </c>
    </row>
    <row r="11191" spans="1:5">
      <c r="A11191">
        <v>10781</v>
      </c>
      <c r="B11191" t="s">
        <v>177</v>
      </c>
      <c r="C11191">
        <v>17.879999933391812</v>
      </c>
      <c r="D11191">
        <v>3</v>
      </c>
      <c r="E11191" s="80">
        <v>35781</v>
      </c>
    </row>
    <row r="11192" spans="1:5">
      <c r="A11192">
        <v>10781</v>
      </c>
      <c r="B11192" t="s">
        <v>178</v>
      </c>
      <c r="C11192">
        <v>17.879999933391812</v>
      </c>
      <c r="D11192">
        <v>3</v>
      </c>
      <c r="E11192" s="80">
        <v>35781</v>
      </c>
    </row>
    <row r="11193" spans="1:5">
      <c r="A11193">
        <v>10781</v>
      </c>
      <c r="B11193" t="s">
        <v>179</v>
      </c>
      <c r="C11193">
        <v>17.879999933391812</v>
      </c>
      <c r="D11193">
        <v>3</v>
      </c>
      <c r="E11193" s="80">
        <v>35781</v>
      </c>
    </row>
    <row r="11194" spans="1:5">
      <c r="A11194">
        <v>10781</v>
      </c>
      <c r="B11194" t="s">
        <v>172</v>
      </c>
      <c r="C11194">
        <v>607.9999977350235</v>
      </c>
      <c r="D11194">
        <v>20</v>
      </c>
      <c r="E11194" s="80">
        <v>35781</v>
      </c>
    </row>
    <row r="11195" spans="1:5">
      <c r="A11195">
        <v>10781</v>
      </c>
      <c r="B11195" t="s">
        <v>173</v>
      </c>
      <c r="C11195">
        <v>607.9999977350235</v>
      </c>
      <c r="D11195">
        <v>20</v>
      </c>
      <c r="E11195" s="80">
        <v>35781</v>
      </c>
    </row>
    <row r="11196" spans="1:5">
      <c r="A11196">
        <v>10781</v>
      </c>
      <c r="B11196" t="s">
        <v>174</v>
      </c>
      <c r="C11196">
        <v>607.9999977350235</v>
      </c>
      <c r="D11196">
        <v>20</v>
      </c>
      <c r="E11196" s="80">
        <v>35781</v>
      </c>
    </row>
    <row r="11197" spans="1:5">
      <c r="A11197">
        <v>10781</v>
      </c>
      <c r="B11197" t="s">
        <v>175</v>
      </c>
      <c r="C11197">
        <v>607.9999977350235</v>
      </c>
      <c r="D11197">
        <v>20</v>
      </c>
      <c r="E11197" s="80">
        <v>35781</v>
      </c>
    </row>
    <row r="11198" spans="1:5">
      <c r="A11198">
        <v>10781</v>
      </c>
      <c r="B11198" t="s">
        <v>176</v>
      </c>
      <c r="C11198">
        <v>607.9999977350235</v>
      </c>
      <c r="D11198">
        <v>20</v>
      </c>
      <c r="E11198" s="80">
        <v>35781</v>
      </c>
    </row>
    <row r="11199" spans="1:5">
      <c r="A11199">
        <v>10781</v>
      </c>
      <c r="B11199" t="s">
        <v>177</v>
      </c>
      <c r="C11199">
        <v>607.9999977350235</v>
      </c>
      <c r="D11199">
        <v>20</v>
      </c>
      <c r="E11199" s="80">
        <v>35781</v>
      </c>
    </row>
    <row r="11200" spans="1:5">
      <c r="A11200">
        <v>10781</v>
      </c>
      <c r="B11200" t="s">
        <v>178</v>
      </c>
      <c r="C11200">
        <v>607.9999977350235</v>
      </c>
      <c r="D11200">
        <v>20</v>
      </c>
      <c r="E11200" s="80">
        <v>35781</v>
      </c>
    </row>
    <row r="11201" spans="1:5">
      <c r="A11201">
        <v>10781</v>
      </c>
      <c r="B11201" t="s">
        <v>179</v>
      </c>
      <c r="C11201">
        <v>607.9999977350235</v>
      </c>
      <c r="D11201">
        <v>20</v>
      </c>
      <c r="E11201" s="80">
        <v>35781</v>
      </c>
    </row>
    <row r="11202" spans="1:5">
      <c r="A11202">
        <v>10781</v>
      </c>
      <c r="B11202" t="s">
        <v>172</v>
      </c>
      <c r="C11202">
        <v>350</v>
      </c>
      <c r="D11202">
        <v>35</v>
      </c>
      <c r="E11202" s="80">
        <v>35781</v>
      </c>
    </row>
    <row r="11203" spans="1:5">
      <c r="A11203">
        <v>10781</v>
      </c>
      <c r="B11203" t="s">
        <v>173</v>
      </c>
      <c r="C11203">
        <v>350</v>
      </c>
      <c r="D11203">
        <v>35</v>
      </c>
      <c r="E11203" s="80">
        <v>35781</v>
      </c>
    </row>
    <row r="11204" spans="1:5">
      <c r="A11204">
        <v>10781</v>
      </c>
      <c r="B11204" t="s">
        <v>174</v>
      </c>
      <c r="C11204">
        <v>350</v>
      </c>
      <c r="D11204">
        <v>35</v>
      </c>
      <c r="E11204" s="80">
        <v>35781</v>
      </c>
    </row>
    <row r="11205" spans="1:5">
      <c r="A11205">
        <v>10781</v>
      </c>
      <c r="B11205" t="s">
        <v>175</v>
      </c>
      <c r="C11205">
        <v>350</v>
      </c>
      <c r="D11205">
        <v>35</v>
      </c>
      <c r="E11205" s="80">
        <v>35781</v>
      </c>
    </row>
    <row r="11206" spans="1:5">
      <c r="A11206">
        <v>10781</v>
      </c>
      <c r="B11206" t="s">
        <v>176</v>
      </c>
      <c r="C11206">
        <v>350</v>
      </c>
      <c r="D11206">
        <v>35</v>
      </c>
      <c r="E11206" s="80">
        <v>35781</v>
      </c>
    </row>
    <row r="11207" spans="1:5">
      <c r="A11207">
        <v>10781</v>
      </c>
      <c r="B11207" t="s">
        <v>177</v>
      </c>
      <c r="C11207">
        <v>350</v>
      </c>
      <c r="D11207">
        <v>35</v>
      </c>
      <c r="E11207" s="80">
        <v>35781</v>
      </c>
    </row>
    <row r="11208" spans="1:5">
      <c r="A11208">
        <v>10781</v>
      </c>
      <c r="B11208" t="s">
        <v>178</v>
      </c>
      <c r="C11208">
        <v>350</v>
      </c>
      <c r="D11208">
        <v>35</v>
      </c>
      <c r="E11208" s="80">
        <v>35781</v>
      </c>
    </row>
    <row r="11209" spans="1:5">
      <c r="A11209">
        <v>10781</v>
      </c>
      <c r="B11209" t="s">
        <v>179</v>
      </c>
      <c r="C11209">
        <v>350</v>
      </c>
      <c r="D11209">
        <v>35</v>
      </c>
      <c r="E11209" s="80">
        <v>35781</v>
      </c>
    </row>
    <row r="11210" spans="1:5">
      <c r="A11210">
        <v>10782</v>
      </c>
      <c r="B11210" t="s">
        <v>172</v>
      </c>
      <c r="C11210">
        <v>12.5</v>
      </c>
      <c r="D11210">
        <v>1</v>
      </c>
      <c r="E11210" s="80">
        <v>35781</v>
      </c>
    </row>
    <row r="11211" spans="1:5">
      <c r="A11211">
        <v>10782</v>
      </c>
      <c r="B11211" t="s">
        <v>173</v>
      </c>
      <c r="C11211">
        <v>12.5</v>
      </c>
      <c r="D11211">
        <v>1</v>
      </c>
      <c r="E11211" s="80">
        <v>35781</v>
      </c>
    </row>
    <row r="11212" spans="1:5">
      <c r="A11212">
        <v>10782</v>
      </c>
      <c r="B11212" t="s">
        <v>174</v>
      </c>
      <c r="C11212">
        <v>12.5</v>
      </c>
      <c r="D11212">
        <v>1</v>
      </c>
      <c r="E11212" s="80">
        <v>35781</v>
      </c>
    </row>
    <row r="11213" spans="1:5">
      <c r="A11213">
        <v>10782</v>
      </c>
      <c r="B11213" t="s">
        <v>175</v>
      </c>
      <c r="C11213">
        <v>12.5</v>
      </c>
      <c r="D11213">
        <v>1</v>
      </c>
      <c r="E11213" s="80">
        <v>35781</v>
      </c>
    </row>
    <row r="11214" spans="1:5">
      <c r="A11214">
        <v>10782</v>
      </c>
      <c r="B11214" t="s">
        <v>176</v>
      </c>
      <c r="C11214">
        <v>12.5</v>
      </c>
      <c r="D11214">
        <v>1</v>
      </c>
      <c r="E11214" s="80">
        <v>35781</v>
      </c>
    </row>
    <row r="11215" spans="1:5">
      <c r="A11215">
        <v>10782</v>
      </c>
      <c r="B11215" t="s">
        <v>177</v>
      </c>
      <c r="C11215">
        <v>12.5</v>
      </c>
      <c r="D11215">
        <v>1</v>
      </c>
      <c r="E11215" s="80">
        <v>35781</v>
      </c>
    </row>
    <row r="11216" spans="1:5">
      <c r="A11216">
        <v>10782</v>
      </c>
      <c r="B11216" t="s">
        <v>178</v>
      </c>
      <c r="C11216">
        <v>12.5</v>
      </c>
      <c r="D11216">
        <v>1</v>
      </c>
      <c r="E11216" s="80">
        <v>35781</v>
      </c>
    </row>
    <row r="11217" spans="1:5">
      <c r="A11217">
        <v>10782</v>
      </c>
      <c r="B11217" t="s">
        <v>179</v>
      </c>
      <c r="C11217">
        <v>12.5</v>
      </c>
      <c r="D11217">
        <v>1</v>
      </c>
      <c r="E11217" s="80">
        <v>35781</v>
      </c>
    </row>
    <row r="11218" spans="1:5">
      <c r="A11218">
        <v>10783</v>
      </c>
      <c r="B11218" t="s">
        <v>172</v>
      </c>
      <c r="C11218">
        <v>125</v>
      </c>
      <c r="D11218">
        <v>10</v>
      </c>
      <c r="E11218" s="80">
        <v>35782</v>
      </c>
    </row>
    <row r="11219" spans="1:5">
      <c r="A11219">
        <v>10783</v>
      </c>
      <c r="B11219" t="s">
        <v>173</v>
      </c>
      <c r="C11219">
        <v>125</v>
      </c>
      <c r="D11219">
        <v>10</v>
      </c>
      <c r="E11219" s="80">
        <v>35782</v>
      </c>
    </row>
    <row r="11220" spans="1:5">
      <c r="A11220">
        <v>10783</v>
      </c>
      <c r="B11220" t="s">
        <v>174</v>
      </c>
      <c r="C11220">
        <v>125</v>
      </c>
      <c r="D11220">
        <v>10</v>
      </c>
      <c r="E11220" s="80">
        <v>35782</v>
      </c>
    </row>
    <row r="11221" spans="1:5">
      <c r="A11221">
        <v>10783</v>
      </c>
      <c r="B11221" t="s">
        <v>175</v>
      </c>
      <c r="C11221">
        <v>125</v>
      </c>
      <c r="D11221">
        <v>10</v>
      </c>
      <c r="E11221" s="80">
        <v>35782</v>
      </c>
    </row>
    <row r="11222" spans="1:5">
      <c r="A11222">
        <v>10783</v>
      </c>
      <c r="B11222" t="s">
        <v>176</v>
      </c>
      <c r="C11222">
        <v>125</v>
      </c>
      <c r="D11222">
        <v>10</v>
      </c>
      <c r="E11222" s="80">
        <v>35782</v>
      </c>
    </row>
    <row r="11223" spans="1:5">
      <c r="A11223">
        <v>10783</v>
      </c>
      <c r="B11223" t="s">
        <v>177</v>
      </c>
      <c r="C11223">
        <v>125</v>
      </c>
      <c r="D11223">
        <v>10</v>
      </c>
      <c r="E11223" s="80">
        <v>35782</v>
      </c>
    </row>
    <row r="11224" spans="1:5">
      <c r="A11224">
        <v>10783</v>
      </c>
      <c r="B11224" t="s">
        <v>178</v>
      </c>
      <c r="C11224">
        <v>125</v>
      </c>
      <c r="D11224">
        <v>10</v>
      </c>
      <c r="E11224" s="80">
        <v>35782</v>
      </c>
    </row>
    <row r="11225" spans="1:5">
      <c r="A11225">
        <v>10783</v>
      </c>
      <c r="B11225" t="s">
        <v>179</v>
      </c>
      <c r="C11225">
        <v>125</v>
      </c>
      <c r="D11225">
        <v>10</v>
      </c>
      <c r="E11225" s="80">
        <v>35782</v>
      </c>
    </row>
    <row r="11226" spans="1:5">
      <c r="A11226">
        <v>10783</v>
      </c>
      <c r="B11226" t="s">
        <v>172</v>
      </c>
      <c r="C11226">
        <v>1317.5</v>
      </c>
      <c r="D11226">
        <v>5</v>
      </c>
      <c r="E11226" s="80">
        <v>35782</v>
      </c>
    </row>
    <row r="11227" spans="1:5">
      <c r="A11227">
        <v>10783</v>
      </c>
      <c r="B11227" t="s">
        <v>173</v>
      </c>
      <c r="C11227">
        <v>1317.5</v>
      </c>
      <c r="D11227">
        <v>5</v>
      </c>
      <c r="E11227" s="80">
        <v>35782</v>
      </c>
    </row>
    <row r="11228" spans="1:5">
      <c r="A11228">
        <v>10783</v>
      </c>
      <c r="B11228" t="s">
        <v>174</v>
      </c>
      <c r="C11228">
        <v>1317.5</v>
      </c>
      <c r="D11228">
        <v>5</v>
      </c>
      <c r="E11228" s="80">
        <v>35782</v>
      </c>
    </row>
    <row r="11229" spans="1:5">
      <c r="A11229">
        <v>10783</v>
      </c>
      <c r="B11229" t="s">
        <v>175</v>
      </c>
      <c r="C11229">
        <v>1317.5</v>
      </c>
      <c r="D11229">
        <v>5</v>
      </c>
      <c r="E11229" s="80">
        <v>35782</v>
      </c>
    </row>
    <row r="11230" spans="1:5">
      <c r="A11230">
        <v>10783</v>
      </c>
      <c r="B11230" t="s">
        <v>176</v>
      </c>
      <c r="C11230">
        <v>1317.5</v>
      </c>
      <c r="D11230">
        <v>5</v>
      </c>
      <c r="E11230" s="80">
        <v>35782</v>
      </c>
    </row>
    <row r="11231" spans="1:5">
      <c r="A11231">
        <v>10783</v>
      </c>
      <c r="B11231" t="s">
        <v>177</v>
      </c>
      <c r="C11231">
        <v>1317.5</v>
      </c>
      <c r="D11231">
        <v>5</v>
      </c>
      <c r="E11231" s="80">
        <v>35782</v>
      </c>
    </row>
    <row r="11232" spans="1:5">
      <c r="A11232">
        <v>10783</v>
      </c>
      <c r="B11232" t="s">
        <v>178</v>
      </c>
      <c r="C11232">
        <v>1317.5</v>
      </c>
      <c r="D11232">
        <v>5</v>
      </c>
      <c r="E11232" s="80">
        <v>35782</v>
      </c>
    </row>
    <row r="11233" spans="1:5">
      <c r="A11233">
        <v>10783</v>
      </c>
      <c r="B11233" t="s">
        <v>179</v>
      </c>
      <c r="C11233">
        <v>1317.5</v>
      </c>
      <c r="D11233">
        <v>5</v>
      </c>
      <c r="E11233" s="80">
        <v>35782</v>
      </c>
    </row>
    <row r="11234" spans="1:5">
      <c r="A11234">
        <v>10784</v>
      </c>
      <c r="B11234" t="s">
        <v>172</v>
      </c>
      <c r="C11234">
        <v>570</v>
      </c>
      <c r="D11234">
        <v>30</v>
      </c>
      <c r="E11234" s="80">
        <v>35782</v>
      </c>
    </row>
    <row r="11235" spans="1:5">
      <c r="A11235">
        <v>10784</v>
      </c>
      <c r="B11235" t="s">
        <v>173</v>
      </c>
      <c r="C11235">
        <v>570</v>
      </c>
      <c r="D11235">
        <v>30</v>
      </c>
      <c r="E11235" s="80">
        <v>35782</v>
      </c>
    </row>
    <row r="11236" spans="1:5">
      <c r="A11236">
        <v>10784</v>
      </c>
      <c r="B11236" t="s">
        <v>174</v>
      </c>
      <c r="C11236">
        <v>570</v>
      </c>
      <c r="D11236">
        <v>30</v>
      </c>
      <c r="E11236" s="80">
        <v>35782</v>
      </c>
    </row>
    <row r="11237" spans="1:5">
      <c r="A11237">
        <v>10784</v>
      </c>
      <c r="B11237" t="s">
        <v>175</v>
      </c>
      <c r="C11237">
        <v>570</v>
      </c>
      <c r="D11237">
        <v>30</v>
      </c>
      <c r="E11237" s="80">
        <v>35782</v>
      </c>
    </row>
    <row r="11238" spans="1:5">
      <c r="A11238">
        <v>10784</v>
      </c>
      <c r="B11238" t="s">
        <v>176</v>
      </c>
      <c r="C11238">
        <v>570</v>
      </c>
      <c r="D11238">
        <v>30</v>
      </c>
      <c r="E11238" s="80">
        <v>35782</v>
      </c>
    </row>
    <row r="11239" spans="1:5">
      <c r="A11239">
        <v>10784</v>
      </c>
      <c r="B11239" t="s">
        <v>177</v>
      </c>
      <c r="C11239">
        <v>570</v>
      </c>
      <c r="D11239">
        <v>30</v>
      </c>
      <c r="E11239" s="80">
        <v>35782</v>
      </c>
    </row>
    <row r="11240" spans="1:5">
      <c r="A11240">
        <v>10784</v>
      </c>
      <c r="B11240" t="s">
        <v>178</v>
      </c>
      <c r="C11240">
        <v>570</v>
      </c>
      <c r="D11240">
        <v>30</v>
      </c>
      <c r="E11240" s="80">
        <v>35782</v>
      </c>
    </row>
    <row r="11241" spans="1:5">
      <c r="A11241">
        <v>10784</v>
      </c>
      <c r="B11241" t="s">
        <v>179</v>
      </c>
      <c r="C11241">
        <v>570</v>
      </c>
      <c r="D11241">
        <v>30</v>
      </c>
      <c r="E11241" s="80">
        <v>35782</v>
      </c>
    </row>
    <row r="11242" spans="1:5">
      <c r="A11242">
        <v>10784</v>
      </c>
      <c r="B11242" t="s">
        <v>172</v>
      </c>
      <c r="C11242">
        <v>30.599999785423279</v>
      </c>
      <c r="D11242">
        <v>2</v>
      </c>
      <c r="E11242" s="80">
        <v>35782</v>
      </c>
    </row>
    <row r="11243" spans="1:5">
      <c r="A11243">
        <v>10784</v>
      </c>
      <c r="B11243" t="s">
        <v>173</v>
      </c>
      <c r="C11243">
        <v>30.599999785423279</v>
      </c>
      <c r="D11243">
        <v>2</v>
      </c>
      <c r="E11243" s="80">
        <v>35782</v>
      </c>
    </row>
    <row r="11244" spans="1:5">
      <c r="A11244">
        <v>10784</v>
      </c>
      <c r="B11244" t="s">
        <v>174</v>
      </c>
      <c r="C11244">
        <v>30.599999785423279</v>
      </c>
      <c r="D11244">
        <v>2</v>
      </c>
      <c r="E11244" s="80">
        <v>35782</v>
      </c>
    </row>
    <row r="11245" spans="1:5">
      <c r="A11245">
        <v>10784</v>
      </c>
      <c r="B11245" t="s">
        <v>175</v>
      </c>
      <c r="C11245">
        <v>30.599999785423279</v>
      </c>
      <c r="D11245">
        <v>2</v>
      </c>
      <c r="E11245" s="80">
        <v>35782</v>
      </c>
    </row>
    <row r="11246" spans="1:5">
      <c r="A11246">
        <v>10784</v>
      </c>
      <c r="B11246" t="s">
        <v>176</v>
      </c>
      <c r="C11246">
        <v>30.599999785423279</v>
      </c>
      <c r="D11246">
        <v>2</v>
      </c>
      <c r="E11246" s="80">
        <v>35782</v>
      </c>
    </row>
    <row r="11247" spans="1:5">
      <c r="A11247">
        <v>10784</v>
      </c>
      <c r="B11247" t="s">
        <v>177</v>
      </c>
      <c r="C11247">
        <v>30.599999785423279</v>
      </c>
      <c r="D11247">
        <v>2</v>
      </c>
      <c r="E11247" s="80">
        <v>35782</v>
      </c>
    </row>
    <row r="11248" spans="1:5">
      <c r="A11248">
        <v>10784</v>
      </c>
      <c r="B11248" t="s">
        <v>178</v>
      </c>
      <c r="C11248">
        <v>30.599999785423279</v>
      </c>
      <c r="D11248">
        <v>2</v>
      </c>
      <c r="E11248" s="80">
        <v>35782</v>
      </c>
    </row>
    <row r="11249" spans="1:5">
      <c r="A11249">
        <v>10784</v>
      </c>
      <c r="B11249" t="s">
        <v>179</v>
      </c>
      <c r="C11249">
        <v>30.599999785423279</v>
      </c>
      <c r="D11249">
        <v>2</v>
      </c>
      <c r="E11249" s="80">
        <v>35782</v>
      </c>
    </row>
    <row r="11250" spans="1:5">
      <c r="A11250">
        <v>10784</v>
      </c>
      <c r="B11250" t="s">
        <v>172</v>
      </c>
      <c r="C11250">
        <v>887.39999377727509</v>
      </c>
      <c r="D11250">
        <v>30</v>
      </c>
      <c r="E11250" s="80">
        <v>35782</v>
      </c>
    </row>
    <row r="11251" spans="1:5">
      <c r="A11251">
        <v>10784</v>
      </c>
      <c r="B11251" t="s">
        <v>173</v>
      </c>
      <c r="C11251">
        <v>887.39999377727509</v>
      </c>
      <c r="D11251">
        <v>30</v>
      </c>
      <c r="E11251" s="80">
        <v>35782</v>
      </c>
    </row>
    <row r="11252" spans="1:5">
      <c r="A11252">
        <v>10784</v>
      </c>
      <c r="B11252" t="s">
        <v>174</v>
      </c>
      <c r="C11252">
        <v>887.39999377727509</v>
      </c>
      <c r="D11252">
        <v>30</v>
      </c>
      <c r="E11252" s="80">
        <v>35782</v>
      </c>
    </row>
    <row r="11253" spans="1:5">
      <c r="A11253">
        <v>10784</v>
      </c>
      <c r="B11253" t="s">
        <v>175</v>
      </c>
      <c r="C11253">
        <v>887.39999377727509</v>
      </c>
      <c r="D11253">
        <v>30</v>
      </c>
      <c r="E11253" s="80">
        <v>35782</v>
      </c>
    </row>
    <row r="11254" spans="1:5">
      <c r="A11254">
        <v>10784</v>
      </c>
      <c r="B11254" t="s">
        <v>176</v>
      </c>
      <c r="C11254">
        <v>887.39999377727509</v>
      </c>
      <c r="D11254">
        <v>30</v>
      </c>
      <c r="E11254" s="80">
        <v>35782</v>
      </c>
    </row>
    <row r="11255" spans="1:5">
      <c r="A11255">
        <v>10784</v>
      </c>
      <c r="B11255" t="s">
        <v>177</v>
      </c>
      <c r="C11255">
        <v>887.39999377727509</v>
      </c>
      <c r="D11255">
        <v>30</v>
      </c>
      <c r="E11255" s="80">
        <v>35782</v>
      </c>
    </row>
    <row r="11256" spans="1:5">
      <c r="A11256">
        <v>10784</v>
      </c>
      <c r="B11256" t="s">
        <v>178</v>
      </c>
      <c r="C11256">
        <v>887.39999377727509</v>
      </c>
      <c r="D11256">
        <v>30</v>
      </c>
      <c r="E11256" s="80">
        <v>35782</v>
      </c>
    </row>
    <row r="11257" spans="1:5">
      <c r="A11257">
        <v>10784</v>
      </c>
      <c r="B11257" t="s">
        <v>179</v>
      </c>
      <c r="C11257">
        <v>887.39999377727509</v>
      </c>
      <c r="D11257">
        <v>30</v>
      </c>
      <c r="E11257" s="80">
        <v>35782</v>
      </c>
    </row>
    <row r="11258" spans="1:5">
      <c r="A11258">
        <v>10785</v>
      </c>
      <c r="B11258" t="s">
        <v>172</v>
      </c>
      <c r="C11258">
        <v>310</v>
      </c>
      <c r="D11258">
        <v>10</v>
      </c>
      <c r="E11258" s="80">
        <v>35782</v>
      </c>
    </row>
    <row r="11259" spans="1:5">
      <c r="A11259">
        <v>10785</v>
      </c>
      <c r="B11259" t="s">
        <v>173</v>
      </c>
      <c r="C11259">
        <v>310</v>
      </c>
      <c r="D11259">
        <v>10</v>
      </c>
      <c r="E11259" s="80">
        <v>35782</v>
      </c>
    </row>
    <row r="11260" spans="1:5">
      <c r="A11260">
        <v>10785</v>
      </c>
      <c r="B11260" t="s">
        <v>174</v>
      </c>
      <c r="C11260">
        <v>310</v>
      </c>
      <c r="D11260">
        <v>10</v>
      </c>
      <c r="E11260" s="80">
        <v>35782</v>
      </c>
    </row>
    <row r="11261" spans="1:5">
      <c r="A11261">
        <v>10785</v>
      </c>
      <c r="B11261" t="s">
        <v>175</v>
      </c>
      <c r="C11261">
        <v>310</v>
      </c>
      <c r="D11261">
        <v>10</v>
      </c>
      <c r="E11261" s="80">
        <v>35782</v>
      </c>
    </row>
    <row r="11262" spans="1:5">
      <c r="A11262">
        <v>10785</v>
      </c>
      <c r="B11262" t="s">
        <v>176</v>
      </c>
      <c r="C11262">
        <v>310</v>
      </c>
      <c r="D11262">
        <v>10</v>
      </c>
      <c r="E11262" s="80">
        <v>35782</v>
      </c>
    </row>
    <row r="11263" spans="1:5">
      <c r="A11263">
        <v>10785</v>
      </c>
      <c r="B11263" t="s">
        <v>177</v>
      </c>
      <c r="C11263">
        <v>310</v>
      </c>
      <c r="D11263">
        <v>10</v>
      </c>
      <c r="E11263" s="80">
        <v>35782</v>
      </c>
    </row>
    <row r="11264" spans="1:5">
      <c r="A11264">
        <v>10785</v>
      </c>
      <c r="B11264" t="s">
        <v>178</v>
      </c>
      <c r="C11264">
        <v>310</v>
      </c>
      <c r="D11264">
        <v>10</v>
      </c>
      <c r="E11264" s="80">
        <v>35782</v>
      </c>
    </row>
    <row r="11265" spans="1:5">
      <c r="A11265">
        <v>10785</v>
      </c>
      <c r="B11265" t="s">
        <v>179</v>
      </c>
      <c r="C11265">
        <v>310</v>
      </c>
      <c r="D11265">
        <v>10</v>
      </c>
      <c r="E11265" s="80">
        <v>35782</v>
      </c>
    </row>
    <row r="11266" spans="1:5">
      <c r="A11266">
        <v>10785</v>
      </c>
      <c r="B11266" t="s">
        <v>172</v>
      </c>
      <c r="C11266">
        <v>77.5</v>
      </c>
      <c r="D11266">
        <v>10</v>
      </c>
      <c r="E11266" s="80">
        <v>35782</v>
      </c>
    </row>
    <row r="11267" spans="1:5">
      <c r="A11267">
        <v>10785</v>
      </c>
      <c r="B11267" t="s">
        <v>173</v>
      </c>
      <c r="C11267">
        <v>77.5</v>
      </c>
      <c r="D11267">
        <v>10</v>
      </c>
      <c r="E11267" s="80">
        <v>35782</v>
      </c>
    </row>
    <row r="11268" spans="1:5">
      <c r="A11268">
        <v>10785</v>
      </c>
      <c r="B11268" t="s">
        <v>174</v>
      </c>
      <c r="C11268">
        <v>77.5</v>
      </c>
      <c r="D11268">
        <v>10</v>
      </c>
      <c r="E11268" s="80">
        <v>35782</v>
      </c>
    </row>
    <row r="11269" spans="1:5">
      <c r="A11269">
        <v>10785</v>
      </c>
      <c r="B11269" t="s">
        <v>175</v>
      </c>
      <c r="C11269">
        <v>77.5</v>
      </c>
      <c r="D11269">
        <v>10</v>
      </c>
      <c r="E11269" s="80">
        <v>35782</v>
      </c>
    </row>
    <row r="11270" spans="1:5">
      <c r="A11270">
        <v>10785</v>
      </c>
      <c r="B11270" t="s">
        <v>176</v>
      </c>
      <c r="C11270">
        <v>77.5</v>
      </c>
      <c r="D11270">
        <v>10</v>
      </c>
      <c r="E11270" s="80">
        <v>35782</v>
      </c>
    </row>
    <row r="11271" spans="1:5">
      <c r="A11271">
        <v>10785</v>
      </c>
      <c r="B11271" t="s">
        <v>177</v>
      </c>
      <c r="C11271">
        <v>77.5</v>
      </c>
      <c r="D11271">
        <v>10</v>
      </c>
      <c r="E11271" s="80">
        <v>35782</v>
      </c>
    </row>
    <row r="11272" spans="1:5">
      <c r="A11272">
        <v>10785</v>
      </c>
      <c r="B11272" t="s">
        <v>178</v>
      </c>
      <c r="C11272">
        <v>77.5</v>
      </c>
      <c r="D11272">
        <v>10</v>
      </c>
      <c r="E11272" s="80">
        <v>35782</v>
      </c>
    </row>
    <row r="11273" spans="1:5">
      <c r="A11273">
        <v>10785</v>
      </c>
      <c r="B11273" t="s">
        <v>179</v>
      </c>
      <c r="C11273">
        <v>77.5</v>
      </c>
      <c r="D11273">
        <v>10</v>
      </c>
      <c r="E11273" s="80">
        <v>35782</v>
      </c>
    </row>
    <row r="11274" spans="1:5">
      <c r="A11274">
        <v>10786</v>
      </c>
      <c r="B11274" t="s">
        <v>172</v>
      </c>
      <c r="C11274">
        <v>959.99999642372131</v>
      </c>
      <c r="D11274">
        <v>30</v>
      </c>
      <c r="E11274" s="80">
        <v>35783</v>
      </c>
    </row>
    <row r="11275" spans="1:5">
      <c r="A11275">
        <v>10786</v>
      </c>
      <c r="B11275" t="s">
        <v>173</v>
      </c>
      <c r="C11275">
        <v>959.99999642372131</v>
      </c>
      <c r="D11275">
        <v>30</v>
      </c>
      <c r="E11275" s="80">
        <v>35783</v>
      </c>
    </row>
    <row r="11276" spans="1:5">
      <c r="A11276">
        <v>10786</v>
      </c>
      <c r="B11276" t="s">
        <v>174</v>
      </c>
      <c r="C11276">
        <v>959.99999642372131</v>
      </c>
      <c r="D11276">
        <v>30</v>
      </c>
      <c r="E11276" s="80">
        <v>35783</v>
      </c>
    </row>
    <row r="11277" spans="1:5">
      <c r="A11277">
        <v>10786</v>
      </c>
      <c r="B11277" t="s">
        <v>175</v>
      </c>
      <c r="C11277">
        <v>959.99999642372131</v>
      </c>
      <c r="D11277">
        <v>30</v>
      </c>
      <c r="E11277" s="80">
        <v>35783</v>
      </c>
    </row>
    <row r="11278" spans="1:5">
      <c r="A11278">
        <v>10786</v>
      </c>
      <c r="B11278" t="s">
        <v>176</v>
      </c>
      <c r="C11278">
        <v>959.99999642372131</v>
      </c>
      <c r="D11278">
        <v>30</v>
      </c>
      <c r="E11278" s="80">
        <v>35783</v>
      </c>
    </row>
    <row r="11279" spans="1:5">
      <c r="A11279">
        <v>10786</v>
      </c>
      <c r="B11279" t="s">
        <v>177</v>
      </c>
      <c r="C11279">
        <v>959.99999642372131</v>
      </c>
      <c r="D11279">
        <v>30</v>
      </c>
      <c r="E11279" s="80">
        <v>35783</v>
      </c>
    </row>
    <row r="11280" spans="1:5">
      <c r="A11280">
        <v>10786</v>
      </c>
      <c r="B11280" t="s">
        <v>178</v>
      </c>
      <c r="C11280">
        <v>959.99999642372131</v>
      </c>
      <c r="D11280">
        <v>30</v>
      </c>
      <c r="E11280" s="80">
        <v>35783</v>
      </c>
    </row>
    <row r="11281" spans="1:5">
      <c r="A11281">
        <v>10786</v>
      </c>
      <c r="B11281" t="s">
        <v>179</v>
      </c>
      <c r="C11281">
        <v>959.99999642372131</v>
      </c>
      <c r="D11281">
        <v>30</v>
      </c>
      <c r="E11281" s="80">
        <v>35783</v>
      </c>
    </row>
    <row r="11282" spans="1:5">
      <c r="A11282">
        <v>10786</v>
      </c>
      <c r="B11282" t="s">
        <v>172</v>
      </c>
      <c r="C11282">
        <v>310.67999884262684</v>
      </c>
      <c r="D11282">
        <v>15</v>
      </c>
      <c r="E11282" s="80">
        <v>35783</v>
      </c>
    </row>
    <row r="11283" spans="1:5">
      <c r="A11283">
        <v>10786</v>
      </c>
      <c r="B11283" t="s">
        <v>173</v>
      </c>
      <c r="C11283">
        <v>310.67999884262684</v>
      </c>
      <c r="D11283">
        <v>15</v>
      </c>
      <c r="E11283" s="80">
        <v>35783</v>
      </c>
    </row>
    <row r="11284" spans="1:5">
      <c r="A11284">
        <v>10786</v>
      </c>
      <c r="B11284" t="s">
        <v>174</v>
      </c>
      <c r="C11284">
        <v>310.67999884262684</v>
      </c>
      <c r="D11284">
        <v>15</v>
      </c>
      <c r="E11284" s="80">
        <v>35783</v>
      </c>
    </row>
    <row r="11285" spans="1:5">
      <c r="A11285">
        <v>10786</v>
      </c>
      <c r="B11285" t="s">
        <v>175</v>
      </c>
      <c r="C11285">
        <v>310.67999884262684</v>
      </c>
      <c r="D11285">
        <v>15</v>
      </c>
      <c r="E11285" s="80">
        <v>35783</v>
      </c>
    </row>
    <row r="11286" spans="1:5">
      <c r="A11286">
        <v>10786</v>
      </c>
      <c r="B11286" t="s">
        <v>176</v>
      </c>
      <c r="C11286">
        <v>310.67999884262684</v>
      </c>
      <c r="D11286">
        <v>15</v>
      </c>
      <c r="E11286" s="80">
        <v>35783</v>
      </c>
    </row>
    <row r="11287" spans="1:5">
      <c r="A11287">
        <v>10786</v>
      </c>
      <c r="B11287" t="s">
        <v>177</v>
      </c>
      <c r="C11287">
        <v>310.67999884262684</v>
      </c>
      <c r="D11287">
        <v>15</v>
      </c>
      <c r="E11287" s="80">
        <v>35783</v>
      </c>
    </row>
    <row r="11288" spans="1:5">
      <c r="A11288">
        <v>10786</v>
      </c>
      <c r="B11288" t="s">
        <v>178</v>
      </c>
      <c r="C11288">
        <v>310.67999884262684</v>
      </c>
      <c r="D11288">
        <v>15</v>
      </c>
      <c r="E11288" s="80">
        <v>35783</v>
      </c>
    </row>
    <row r="11289" spans="1:5">
      <c r="A11289">
        <v>10786</v>
      </c>
      <c r="B11289" t="s">
        <v>179</v>
      </c>
      <c r="C11289">
        <v>310.67999884262684</v>
      </c>
      <c r="D11289">
        <v>15</v>
      </c>
      <c r="E11289" s="80">
        <v>35783</v>
      </c>
    </row>
    <row r="11290" spans="1:5">
      <c r="A11290">
        <v>10786</v>
      </c>
      <c r="B11290" t="s">
        <v>172</v>
      </c>
      <c r="C11290">
        <v>260.39999902993441</v>
      </c>
      <c r="D11290">
        <v>42</v>
      </c>
      <c r="E11290" s="80">
        <v>35783</v>
      </c>
    </row>
    <row r="11291" spans="1:5">
      <c r="A11291">
        <v>10786</v>
      </c>
      <c r="B11291" t="s">
        <v>173</v>
      </c>
      <c r="C11291">
        <v>260.39999902993441</v>
      </c>
      <c r="D11291">
        <v>42</v>
      </c>
      <c r="E11291" s="80">
        <v>35783</v>
      </c>
    </row>
    <row r="11292" spans="1:5">
      <c r="A11292">
        <v>10786</v>
      </c>
      <c r="B11292" t="s">
        <v>174</v>
      </c>
      <c r="C11292">
        <v>260.39999902993441</v>
      </c>
      <c r="D11292">
        <v>42</v>
      </c>
      <c r="E11292" s="80">
        <v>35783</v>
      </c>
    </row>
    <row r="11293" spans="1:5">
      <c r="A11293">
        <v>10786</v>
      </c>
      <c r="B11293" t="s">
        <v>175</v>
      </c>
      <c r="C11293">
        <v>260.39999902993441</v>
      </c>
      <c r="D11293">
        <v>42</v>
      </c>
      <c r="E11293" s="80">
        <v>35783</v>
      </c>
    </row>
    <row r="11294" spans="1:5">
      <c r="A11294">
        <v>10786</v>
      </c>
      <c r="B11294" t="s">
        <v>176</v>
      </c>
      <c r="C11294">
        <v>260.39999902993441</v>
      </c>
      <c r="D11294">
        <v>42</v>
      </c>
      <c r="E11294" s="80">
        <v>35783</v>
      </c>
    </row>
    <row r="11295" spans="1:5">
      <c r="A11295">
        <v>10786</v>
      </c>
      <c r="B11295" t="s">
        <v>177</v>
      </c>
      <c r="C11295">
        <v>260.39999902993441</v>
      </c>
      <c r="D11295">
        <v>42</v>
      </c>
      <c r="E11295" s="80">
        <v>35783</v>
      </c>
    </row>
    <row r="11296" spans="1:5">
      <c r="A11296">
        <v>10786</v>
      </c>
      <c r="B11296" t="s">
        <v>178</v>
      </c>
      <c r="C11296">
        <v>260.39999902993441</v>
      </c>
      <c r="D11296">
        <v>42</v>
      </c>
      <c r="E11296" s="80">
        <v>35783</v>
      </c>
    </row>
    <row r="11297" spans="1:5">
      <c r="A11297">
        <v>10786</v>
      </c>
      <c r="B11297" t="s">
        <v>179</v>
      </c>
      <c r="C11297">
        <v>260.39999902993441</v>
      </c>
      <c r="D11297">
        <v>42</v>
      </c>
      <c r="E11297" s="80">
        <v>35783</v>
      </c>
    </row>
    <row r="11298" spans="1:5">
      <c r="A11298">
        <v>10787</v>
      </c>
      <c r="B11298" t="s">
        <v>172</v>
      </c>
      <c r="C11298">
        <v>270.74999978765845</v>
      </c>
      <c r="D11298">
        <v>15</v>
      </c>
      <c r="E11298" s="80">
        <v>35783</v>
      </c>
    </row>
    <row r="11299" spans="1:5">
      <c r="A11299">
        <v>10787</v>
      </c>
      <c r="B11299" t="s">
        <v>173</v>
      </c>
      <c r="C11299">
        <v>270.74999978765845</v>
      </c>
      <c r="D11299">
        <v>15</v>
      </c>
      <c r="E11299" s="80">
        <v>35783</v>
      </c>
    </row>
    <row r="11300" spans="1:5">
      <c r="A11300">
        <v>10787</v>
      </c>
      <c r="B11300" t="s">
        <v>174</v>
      </c>
      <c r="C11300">
        <v>270.74999978765845</v>
      </c>
      <c r="D11300">
        <v>15</v>
      </c>
      <c r="E11300" s="80">
        <v>35783</v>
      </c>
    </row>
    <row r="11301" spans="1:5">
      <c r="A11301">
        <v>10787</v>
      </c>
      <c r="B11301" t="s">
        <v>175</v>
      </c>
      <c r="C11301">
        <v>270.74999978765845</v>
      </c>
      <c r="D11301">
        <v>15</v>
      </c>
      <c r="E11301" s="80">
        <v>35783</v>
      </c>
    </row>
    <row r="11302" spans="1:5">
      <c r="A11302">
        <v>10787</v>
      </c>
      <c r="B11302" t="s">
        <v>176</v>
      </c>
      <c r="C11302">
        <v>270.74999978765845</v>
      </c>
      <c r="D11302">
        <v>15</v>
      </c>
      <c r="E11302" s="80">
        <v>35783</v>
      </c>
    </row>
    <row r="11303" spans="1:5">
      <c r="A11303">
        <v>10787</v>
      </c>
      <c r="B11303" t="s">
        <v>177</v>
      </c>
      <c r="C11303">
        <v>270.74999978765845</v>
      </c>
      <c r="D11303">
        <v>15</v>
      </c>
      <c r="E11303" s="80">
        <v>35783</v>
      </c>
    </row>
    <row r="11304" spans="1:5">
      <c r="A11304">
        <v>10787</v>
      </c>
      <c r="B11304" t="s">
        <v>178</v>
      </c>
      <c r="C11304">
        <v>270.74999978765845</v>
      </c>
      <c r="D11304">
        <v>15</v>
      </c>
      <c r="E11304" s="80">
        <v>35783</v>
      </c>
    </row>
    <row r="11305" spans="1:5">
      <c r="A11305">
        <v>10787</v>
      </c>
      <c r="B11305" t="s">
        <v>179</v>
      </c>
      <c r="C11305">
        <v>270.74999978765845</v>
      </c>
      <c r="D11305">
        <v>15</v>
      </c>
      <c r="E11305" s="80">
        <v>35783</v>
      </c>
    </row>
    <row r="11306" spans="1:5">
      <c r="A11306">
        <v>10787</v>
      </c>
      <c r="B11306" t="s">
        <v>172</v>
      </c>
      <c r="C11306">
        <v>2352.0099981553853</v>
      </c>
      <c r="D11306">
        <v>20</v>
      </c>
      <c r="E11306" s="80">
        <v>35783</v>
      </c>
    </row>
    <row r="11307" spans="1:5">
      <c r="A11307">
        <v>10787</v>
      </c>
      <c r="B11307" t="s">
        <v>173</v>
      </c>
      <c r="C11307">
        <v>2352.0099981553853</v>
      </c>
      <c r="D11307">
        <v>20</v>
      </c>
      <c r="E11307" s="80">
        <v>35783</v>
      </c>
    </row>
    <row r="11308" spans="1:5">
      <c r="A11308">
        <v>10787</v>
      </c>
      <c r="B11308" t="s">
        <v>174</v>
      </c>
      <c r="C11308">
        <v>2352.0099981553853</v>
      </c>
      <c r="D11308">
        <v>20</v>
      </c>
      <c r="E11308" s="80">
        <v>35783</v>
      </c>
    </row>
    <row r="11309" spans="1:5">
      <c r="A11309">
        <v>10787</v>
      </c>
      <c r="B11309" t="s">
        <v>175</v>
      </c>
      <c r="C11309">
        <v>2352.0099981553853</v>
      </c>
      <c r="D11309">
        <v>20</v>
      </c>
      <c r="E11309" s="80">
        <v>35783</v>
      </c>
    </row>
    <row r="11310" spans="1:5">
      <c r="A11310">
        <v>10787</v>
      </c>
      <c r="B11310" t="s">
        <v>176</v>
      </c>
      <c r="C11310">
        <v>2352.0099981553853</v>
      </c>
      <c r="D11310">
        <v>20</v>
      </c>
      <c r="E11310" s="80">
        <v>35783</v>
      </c>
    </row>
    <row r="11311" spans="1:5">
      <c r="A11311">
        <v>10787</v>
      </c>
      <c r="B11311" t="s">
        <v>177</v>
      </c>
      <c r="C11311">
        <v>2352.0099981553853</v>
      </c>
      <c r="D11311">
        <v>20</v>
      </c>
      <c r="E11311" s="80">
        <v>35783</v>
      </c>
    </row>
    <row r="11312" spans="1:5">
      <c r="A11312">
        <v>10787</v>
      </c>
      <c r="B11312" t="s">
        <v>178</v>
      </c>
      <c r="C11312">
        <v>2352.0099981553853</v>
      </c>
      <c r="D11312">
        <v>20</v>
      </c>
      <c r="E11312" s="80">
        <v>35783</v>
      </c>
    </row>
    <row r="11313" spans="1:5">
      <c r="A11313">
        <v>10787</v>
      </c>
      <c r="B11313" t="s">
        <v>179</v>
      </c>
      <c r="C11313">
        <v>2352.0099981553853</v>
      </c>
      <c r="D11313">
        <v>20</v>
      </c>
      <c r="E11313" s="80">
        <v>35783</v>
      </c>
    </row>
    <row r="11314" spans="1:5">
      <c r="A11314">
        <v>10788</v>
      </c>
      <c r="B11314" t="s">
        <v>172</v>
      </c>
      <c r="C11314">
        <v>436.99999965727329</v>
      </c>
      <c r="D11314">
        <v>50</v>
      </c>
      <c r="E11314" s="80">
        <v>35786</v>
      </c>
    </row>
    <row r="11315" spans="1:5">
      <c r="A11315">
        <v>10788</v>
      </c>
      <c r="B11315" t="s">
        <v>173</v>
      </c>
      <c r="C11315">
        <v>436.99999965727329</v>
      </c>
      <c r="D11315">
        <v>50</v>
      </c>
      <c r="E11315" s="80">
        <v>35786</v>
      </c>
    </row>
    <row r="11316" spans="1:5">
      <c r="A11316">
        <v>10788</v>
      </c>
      <c r="B11316" t="s">
        <v>174</v>
      </c>
      <c r="C11316">
        <v>436.99999965727329</v>
      </c>
      <c r="D11316">
        <v>50</v>
      </c>
      <c r="E11316" s="80">
        <v>35786</v>
      </c>
    </row>
    <row r="11317" spans="1:5">
      <c r="A11317">
        <v>10788</v>
      </c>
      <c r="B11317" t="s">
        <v>175</v>
      </c>
      <c r="C11317">
        <v>436.99999965727329</v>
      </c>
      <c r="D11317">
        <v>50</v>
      </c>
      <c r="E11317" s="80">
        <v>35786</v>
      </c>
    </row>
    <row r="11318" spans="1:5">
      <c r="A11318">
        <v>10788</v>
      </c>
      <c r="B11318" t="s">
        <v>176</v>
      </c>
      <c r="C11318">
        <v>436.99999965727329</v>
      </c>
      <c r="D11318">
        <v>50</v>
      </c>
      <c r="E11318" s="80">
        <v>35786</v>
      </c>
    </row>
    <row r="11319" spans="1:5">
      <c r="A11319">
        <v>10788</v>
      </c>
      <c r="B11319" t="s">
        <v>177</v>
      </c>
      <c r="C11319">
        <v>436.99999965727329</v>
      </c>
      <c r="D11319">
        <v>50</v>
      </c>
      <c r="E11319" s="80">
        <v>35786</v>
      </c>
    </row>
    <row r="11320" spans="1:5">
      <c r="A11320">
        <v>10788</v>
      </c>
      <c r="B11320" t="s">
        <v>178</v>
      </c>
      <c r="C11320">
        <v>436.99999965727329</v>
      </c>
      <c r="D11320">
        <v>50</v>
      </c>
      <c r="E11320" s="80">
        <v>35786</v>
      </c>
    </row>
    <row r="11321" spans="1:5">
      <c r="A11321">
        <v>10788</v>
      </c>
      <c r="B11321" t="s">
        <v>179</v>
      </c>
      <c r="C11321">
        <v>436.99999965727329</v>
      </c>
      <c r="D11321">
        <v>50</v>
      </c>
      <c r="E11321" s="80">
        <v>35786</v>
      </c>
    </row>
    <row r="11322" spans="1:5">
      <c r="A11322">
        <v>10788</v>
      </c>
      <c r="B11322" t="s">
        <v>172</v>
      </c>
      <c r="C11322">
        <v>294.499999769032</v>
      </c>
      <c r="D11322">
        <v>40</v>
      </c>
      <c r="E11322" s="80">
        <v>35786</v>
      </c>
    </row>
    <row r="11323" spans="1:5">
      <c r="A11323">
        <v>10788</v>
      </c>
      <c r="B11323" t="s">
        <v>173</v>
      </c>
      <c r="C11323">
        <v>294.499999769032</v>
      </c>
      <c r="D11323">
        <v>40</v>
      </c>
      <c r="E11323" s="80">
        <v>35786</v>
      </c>
    </row>
    <row r="11324" spans="1:5">
      <c r="A11324">
        <v>10788</v>
      </c>
      <c r="B11324" t="s">
        <v>174</v>
      </c>
      <c r="C11324">
        <v>294.499999769032</v>
      </c>
      <c r="D11324">
        <v>40</v>
      </c>
      <c r="E11324" s="80">
        <v>35786</v>
      </c>
    </row>
    <row r="11325" spans="1:5">
      <c r="A11325">
        <v>10788</v>
      </c>
      <c r="B11325" t="s">
        <v>175</v>
      </c>
      <c r="C11325">
        <v>294.499999769032</v>
      </c>
      <c r="D11325">
        <v>40</v>
      </c>
      <c r="E11325" s="80">
        <v>35786</v>
      </c>
    </row>
    <row r="11326" spans="1:5">
      <c r="A11326">
        <v>10788</v>
      </c>
      <c r="B11326" t="s">
        <v>176</v>
      </c>
      <c r="C11326">
        <v>294.499999769032</v>
      </c>
      <c r="D11326">
        <v>40</v>
      </c>
      <c r="E11326" s="80">
        <v>35786</v>
      </c>
    </row>
    <row r="11327" spans="1:5">
      <c r="A11327">
        <v>10788</v>
      </c>
      <c r="B11327" t="s">
        <v>177</v>
      </c>
      <c r="C11327">
        <v>294.499999769032</v>
      </c>
      <c r="D11327">
        <v>40</v>
      </c>
      <c r="E11327" s="80">
        <v>35786</v>
      </c>
    </row>
    <row r="11328" spans="1:5">
      <c r="A11328">
        <v>10788</v>
      </c>
      <c r="B11328" t="s">
        <v>178</v>
      </c>
      <c r="C11328">
        <v>294.499999769032</v>
      </c>
      <c r="D11328">
        <v>40</v>
      </c>
      <c r="E11328" s="80">
        <v>35786</v>
      </c>
    </row>
    <row r="11329" spans="1:5">
      <c r="A11329">
        <v>10788</v>
      </c>
      <c r="B11329" t="s">
        <v>179</v>
      </c>
      <c r="C11329">
        <v>294.499999769032</v>
      </c>
      <c r="D11329">
        <v>40</v>
      </c>
      <c r="E11329" s="80">
        <v>35786</v>
      </c>
    </row>
    <row r="11330" spans="1:5">
      <c r="A11330">
        <v>10789</v>
      </c>
      <c r="B11330" t="s">
        <v>172</v>
      </c>
      <c r="C11330">
        <v>1875</v>
      </c>
      <c r="D11330">
        <v>30</v>
      </c>
      <c r="E11330" s="80">
        <v>35786</v>
      </c>
    </row>
    <row r="11331" spans="1:5">
      <c r="A11331">
        <v>10789</v>
      </c>
      <c r="B11331" t="s">
        <v>173</v>
      </c>
      <c r="C11331">
        <v>1875</v>
      </c>
      <c r="D11331">
        <v>30</v>
      </c>
      <c r="E11331" s="80">
        <v>35786</v>
      </c>
    </row>
    <row r="11332" spans="1:5">
      <c r="A11332">
        <v>10789</v>
      </c>
      <c r="B11332" t="s">
        <v>174</v>
      </c>
      <c r="C11332">
        <v>1875</v>
      </c>
      <c r="D11332">
        <v>30</v>
      </c>
      <c r="E11332" s="80">
        <v>35786</v>
      </c>
    </row>
    <row r="11333" spans="1:5">
      <c r="A11333">
        <v>10789</v>
      </c>
      <c r="B11333" t="s">
        <v>175</v>
      </c>
      <c r="C11333">
        <v>1875</v>
      </c>
      <c r="D11333">
        <v>30</v>
      </c>
      <c r="E11333" s="80">
        <v>35786</v>
      </c>
    </row>
    <row r="11334" spans="1:5">
      <c r="A11334">
        <v>10789</v>
      </c>
      <c r="B11334" t="s">
        <v>176</v>
      </c>
      <c r="C11334">
        <v>1875</v>
      </c>
      <c r="D11334">
        <v>30</v>
      </c>
      <c r="E11334" s="80">
        <v>35786</v>
      </c>
    </row>
    <row r="11335" spans="1:5">
      <c r="A11335">
        <v>10789</v>
      </c>
      <c r="B11335" t="s">
        <v>177</v>
      </c>
      <c r="C11335">
        <v>1875</v>
      </c>
      <c r="D11335">
        <v>30</v>
      </c>
      <c r="E11335" s="80">
        <v>35786</v>
      </c>
    </row>
    <row r="11336" spans="1:5">
      <c r="A11336">
        <v>10789</v>
      </c>
      <c r="B11336" t="s">
        <v>178</v>
      </c>
      <c r="C11336">
        <v>1875</v>
      </c>
      <c r="D11336">
        <v>30</v>
      </c>
      <c r="E11336" s="80">
        <v>35786</v>
      </c>
    </row>
    <row r="11337" spans="1:5">
      <c r="A11337">
        <v>10789</v>
      </c>
      <c r="B11337" t="s">
        <v>179</v>
      </c>
      <c r="C11337">
        <v>1875</v>
      </c>
      <c r="D11337">
        <v>30</v>
      </c>
      <c r="E11337" s="80">
        <v>35786</v>
      </c>
    </row>
    <row r="11338" spans="1:5">
      <c r="A11338">
        <v>10789</v>
      </c>
      <c r="B11338" t="s">
        <v>172</v>
      </c>
      <c r="C11338">
        <v>270</v>
      </c>
      <c r="D11338">
        <v>15</v>
      </c>
      <c r="E11338" s="80">
        <v>35786</v>
      </c>
    </row>
    <row r="11339" spans="1:5">
      <c r="A11339">
        <v>10789</v>
      </c>
      <c r="B11339" t="s">
        <v>173</v>
      </c>
      <c r="C11339">
        <v>270</v>
      </c>
      <c r="D11339">
        <v>15</v>
      </c>
      <c r="E11339" s="80">
        <v>35786</v>
      </c>
    </row>
    <row r="11340" spans="1:5">
      <c r="A11340">
        <v>10789</v>
      </c>
      <c r="B11340" t="s">
        <v>174</v>
      </c>
      <c r="C11340">
        <v>270</v>
      </c>
      <c r="D11340">
        <v>15</v>
      </c>
      <c r="E11340" s="80">
        <v>35786</v>
      </c>
    </row>
    <row r="11341" spans="1:5">
      <c r="A11341">
        <v>10789</v>
      </c>
      <c r="B11341" t="s">
        <v>175</v>
      </c>
      <c r="C11341">
        <v>270</v>
      </c>
      <c r="D11341">
        <v>15</v>
      </c>
      <c r="E11341" s="80">
        <v>35786</v>
      </c>
    </row>
    <row r="11342" spans="1:5">
      <c r="A11342">
        <v>10789</v>
      </c>
      <c r="B11342" t="s">
        <v>176</v>
      </c>
      <c r="C11342">
        <v>270</v>
      </c>
      <c r="D11342">
        <v>15</v>
      </c>
      <c r="E11342" s="80">
        <v>35786</v>
      </c>
    </row>
    <row r="11343" spans="1:5">
      <c r="A11343">
        <v>10789</v>
      </c>
      <c r="B11343" t="s">
        <v>177</v>
      </c>
      <c r="C11343">
        <v>270</v>
      </c>
      <c r="D11343">
        <v>15</v>
      </c>
      <c r="E11343" s="80">
        <v>35786</v>
      </c>
    </row>
    <row r="11344" spans="1:5">
      <c r="A11344">
        <v>10789</v>
      </c>
      <c r="B11344" t="s">
        <v>178</v>
      </c>
      <c r="C11344">
        <v>270</v>
      </c>
      <c r="D11344">
        <v>15</v>
      </c>
      <c r="E11344" s="80">
        <v>35786</v>
      </c>
    </row>
    <row r="11345" spans="1:5">
      <c r="A11345">
        <v>10789</v>
      </c>
      <c r="B11345" t="s">
        <v>179</v>
      </c>
      <c r="C11345">
        <v>270</v>
      </c>
      <c r="D11345">
        <v>15</v>
      </c>
      <c r="E11345" s="80">
        <v>35786</v>
      </c>
    </row>
    <row r="11346" spans="1:5">
      <c r="A11346">
        <v>10789</v>
      </c>
      <c r="B11346" t="s">
        <v>172</v>
      </c>
      <c r="C11346">
        <v>1317</v>
      </c>
      <c r="D11346">
        <v>30</v>
      </c>
      <c r="E11346" s="80">
        <v>35786</v>
      </c>
    </row>
    <row r="11347" spans="1:5">
      <c r="A11347">
        <v>10789</v>
      </c>
      <c r="B11347" t="s">
        <v>173</v>
      </c>
      <c r="C11347">
        <v>1317</v>
      </c>
      <c r="D11347">
        <v>30</v>
      </c>
      <c r="E11347" s="80">
        <v>35786</v>
      </c>
    </row>
    <row r="11348" spans="1:5">
      <c r="A11348">
        <v>10789</v>
      </c>
      <c r="B11348" t="s">
        <v>174</v>
      </c>
      <c r="C11348">
        <v>1317</v>
      </c>
      <c r="D11348">
        <v>30</v>
      </c>
      <c r="E11348" s="80">
        <v>35786</v>
      </c>
    </row>
    <row r="11349" spans="1:5">
      <c r="A11349">
        <v>10789</v>
      </c>
      <c r="B11349" t="s">
        <v>175</v>
      </c>
      <c r="C11349">
        <v>1317</v>
      </c>
      <c r="D11349">
        <v>30</v>
      </c>
      <c r="E11349" s="80">
        <v>35786</v>
      </c>
    </row>
    <row r="11350" spans="1:5">
      <c r="A11350">
        <v>10789</v>
      </c>
      <c r="B11350" t="s">
        <v>176</v>
      </c>
      <c r="C11350">
        <v>1317</v>
      </c>
      <c r="D11350">
        <v>30</v>
      </c>
      <c r="E11350" s="80">
        <v>35786</v>
      </c>
    </row>
    <row r="11351" spans="1:5">
      <c r="A11351">
        <v>10789</v>
      </c>
      <c r="B11351" t="s">
        <v>177</v>
      </c>
      <c r="C11351">
        <v>1317</v>
      </c>
      <c r="D11351">
        <v>30</v>
      </c>
      <c r="E11351" s="80">
        <v>35786</v>
      </c>
    </row>
    <row r="11352" spans="1:5">
      <c r="A11352">
        <v>10789</v>
      </c>
      <c r="B11352" t="s">
        <v>178</v>
      </c>
      <c r="C11352">
        <v>1317</v>
      </c>
      <c r="D11352">
        <v>30</v>
      </c>
      <c r="E11352" s="80">
        <v>35786</v>
      </c>
    </row>
    <row r="11353" spans="1:5">
      <c r="A11353">
        <v>10789</v>
      </c>
      <c r="B11353" t="s">
        <v>179</v>
      </c>
      <c r="C11353">
        <v>1317</v>
      </c>
      <c r="D11353">
        <v>30</v>
      </c>
      <c r="E11353" s="80">
        <v>35786</v>
      </c>
    </row>
    <row r="11354" spans="1:5">
      <c r="A11354">
        <v>10789</v>
      </c>
      <c r="B11354" t="s">
        <v>172</v>
      </c>
      <c r="C11354">
        <v>225</v>
      </c>
      <c r="D11354">
        <v>18</v>
      </c>
      <c r="E11354" s="80">
        <v>35786</v>
      </c>
    </row>
    <row r="11355" spans="1:5">
      <c r="A11355">
        <v>10789</v>
      </c>
      <c r="B11355" t="s">
        <v>173</v>
      </c>
      <c r="C11355">
        <v>225</v>
      </c>
      <c r="D11355">
        <v>18</v>
      </c>
      <c r="E11355" s="80">
        <v>35786</v>
      </c>
    </row>
    <row r="11356" spans="1:5">
      <c r="A11356">
        <v>10789</v>
      </c>
      <c r="B11356" t="s">
        <v>174</v>
      </c>
      <c r="C11356">
        <v>225</v>
      </c>
      <c r="D11356">
        <v>18</v>
      </c>
      <c r="E11356" s="80">
        <v>35786</v>
      </c>
    </row>
    <row r="11357" spans="1:5">
      <c r="A11357">
        <v>10789</v>
      </c>
      <c r="B11357" t="s">
        <v>175</v>
      </c>
      <c r="C11357">
        <v>225</v>
      </c>
      <c r="D11357">
        <v>18</v>
      </c>
      <c r="E11357" s="80">
        <v>35786</v>
      </c>
    </row>
    <row r="11358" spans="1:5">
      <c r="A11358">
        <v>10789</v>
      </c>
      <c r="B11358" t="s">
        <v>176</v>
      </c>
      <c r="C11358">
        <v>225</v>
      </c>
      <c r="D11358">
        <v>18</v>
      </c>
      <c r="E11358" s="80">
        <v>35786</v>
      </c>
    </row>
    <row r="11359" spans="1:5">
      <c r="A11359">
        <v>10789</v>
      </c>
      <c r="B11359" t="s">
        <v>177</v>
      </c>
      <c r="C11359">
        <v>225</v>
      </c>
      <c r="D11359">
        <v>18</v>
      </c>
      <c r="E11359" s="80">
        <v>35786</v>
      </c>
    </row>
    <row r="11360" spans="1:5">
      <c r="A11360">
        <v>10789</v>
      </c>
      <c r="B11360" t="s">
        <v>178</v>
      </c>
      <c r="C11360">
        <v>225</v>
      </c>
      <c r="D11360">
        <v>18</v>
      </c>
      <c r="E11360" s="80">
        <v>35786</v>
      </c>
    </row>
    <row r="11361" spans="1:5">
      <c r="A11361">
        <v>10789</v>
      </c>
      <c r="B11361" t="s">
        <v>179</v>
      </c>
      <c r="C11361">
        <v>225</v>
      </c>
      <c r="D11361">
        <v>18</v>
      </c>
      <c r="E11361" s="80">
        <v>35786</v>
      </c>
    </row>
    <row r="11362" spans="1:5">
      <c r="A11362">
        <v>10790</v>
      </c>
      <c r="B11362" t="s">
        <v>172</v>
      </c>
      <c r="C11362">
        <v>76.499999463558197</v>
      </c>
      <c r="D11362">
        <v>3</v>
      </c>
      <c r="E11362" s="80">
        <v>35786</v>
      </c>
    </row>
    <row r="11363" spans="1:5">
      <c r="A11363">
        <v>10790</v>
      </c>
      <c r="B11363" t="s">
        <v>173</v>
      </c>
      <c r="C11363">
        <v>76.499999463558197</v>
      </c>
      <c r="D11363">
        <v>3</v>
      </c>
      <c r="E11363" s="80">
        <v>35786</v>
      </c>
    </row>
    <row r="11364" spans="1:5">
      <c r="A11364">
        <v>10790</v>
      </c>
      <c r="B11364" t="s">
        <v>174</v>
      </c>
      <c r="C11364">
        <v>76.499999463558197</v>
      </c>
      <c r="D11364">
        <v>3</v>
      </c>
      <c r="E11364" s="80">
        <v>35786</v>
      </c>
    </row>
    <row r="11365" spans="1:5">
      <c r="A11365">
        <v>10790</v>
      </c>
      <c r="B11365" t="s">
        <v>175</v>
      </c>
      <c r="C11365">
        <v>76.499999463558197</v>
      </c>
      <c r="D11365">
        <v>3</v>
      </c>
      <c r="E11365" s="80">
        <v>35786</v>
      </c>
    </row>
    <row r="11366" spans="1:5">
      <c r="A11366">
        <v>10790</v>
      </c>
      <c r="B11366" t="s">
        <v>176</v>
      </c>
      <c r="C11366">
        <v>76.499999463558197</v>
      </c>
      <c r="D11366">
        <v>3</v>
      </c>
      <c r="E11366" s="80">
        <v>35786</v>
      </c>
    </row>
    <row r="11367" spans="1:5">
      <c r="A11367">
        <v>10790</v>
      </c>
      <c r="B11367" t="s">
        <v>177</v>
      </c>
      <c r="C11367">
        <v>76.499999463558197</v>
      </c>
      <c r="D11367">
        <v>3</v>
      </c>
      <c r="E11367" s="80">
        <v>35786</v>
      </c>
    </row>
    <row r="11368" spans="1:5">
      <c r="A11368">
        <v>10790</v>
      </c>
      <c r="B11368" t="s">
        <v>178</v>
      </c>
      <c r="C11368">
        <v>76.499999463558197</v>
      </c>
      <c r="D11368">
        <v>3</v>
      </c>
      <c r="E11368" s="80">
        <v>35786</v>
      </c>
    </row>
    <row r="11369" spans="1:5">
      <c r="A11369">
        <v>10790</v>
      </c>
      <c r="B11369" t="s">
        <v>179</v>
      </c>
      <c r="C11369">
        <v>76.499999463558197</v>
      </c>
      <c r="D11369">
        <v>3</v>
      </c>
      <c r="E11369" s="80">
        <v>35786</v>
      </c>
    </row>
    <row r="11370" spans="1:5">
      <c r="A11370">
        <v>10790</v>
      </c>
      <c r="B11370" t="s">
        <v>172</v>
      </c>
      <c r="C11370">
        <v>645.999995470047</v>
      </c>
      <c r="D11370">
        <v>20</v>
      </c>
      <c r="E11370" s="80">
        <v>35786</v>
      </c>
    </row>
    <row r="11371" spans="1:5">
      <c r="A11371">
        <v>10790</v>
      </c>
      <c r="B11371" t="s">
        <v>173</v>
      </c>
      <c r="C11371">
        <v>645.999995470047</v>
      </c>
      <c r="D11371">
        <v>20</v>
      </c>
      <c r="E11371" s="80">
        <v>35786</v>
      </c>
    </row>
    <row r="11372" spans="1:5">
      <c r="A11372">
        <v>10790</v>
      </c>
      <c r="B11372" t="s">
        <v>174</v>
      </c>
      <c r="C11372">
        <v>645.999995470047</v>
      </c>
      <c r="D11372">
        <v>20</v>
      </c>
      <c r="E11372" s="80">
        <v>35786</v>
      </c>
    </row>
    <row r="11373" spans="1:5">
      <c r="A11373">
        <v>10790</v>
      </c>
      <c r="B11373" t="s">
        <v>175</v>
      </c>
      <c r="C11373">
        <v>645.999995470047</v>
      </c>
      <c r="D11373">
        <v>20</v>
      </c>
      <c r="E11373" s="80">
        <v>35786</v>
      </c>
    </row>
    <row r="11374" spans="1:5">
      <c r="A11374">
        <v>10790</v>
      </c>
      <c r="B11374" t="s">
        <v>176</v>
      </c>
      <c r="C11374">
        <v>645.999995470047</v>
      </c>
      <c r="D11374">
        <v>20</v>
      </c>
      <c r="E11374" s="80">
        <v>35786</v>
      </c>
    </row>
    <row r="11375" spans="1:5">
      <c r="A11375">
        <v>10790</v>
      </c>
      <c r="B11375" t="s">
        <v>177</v>
      </c>
      <c r="C11375">
        <v>645.999995470047</v>
      </c>
      <c r="D11375">
        <v>20</v>
      </c>
      <c r="E11375" s="80">
        <v>35786</v>
      </c>
    </row>
    <row r="11376" spans="1:5">
      <c r="A11376">
        <v>10790</v>
      </c>
      <c r="B11376" t="s">
        <v>178</v>
      </c>
      <c r="C11376">
        <v>645.999995470047</v>
      </c>
      <c r="D11376">
        <v>20</v>
      </c>
      <c r="E11376" s="80">
        <v>35786</v>
      </c>
    </row>
    <row r="11377" spans="1:5">
      <c r="A11377">
        <v>10790</v>
      </c>
      <c r="B11377" t="s">
        <v>179</v>
      </c>
      <c r="C11377">
        <v>645.999995470047</v>
      </c>
      <c r="D11377">
        <v>20</v>
      </c>
      <c r="E11377" s="80">
        <v>35786</v>
      </c>
    </row>
    <row r="11378" spans="1:5">
      <c r="A11378">
        <v>10791</v>
      </c>
      <c r="B11378" t="s">
        <v>172</v>
      </c>
      <c r="C11378">
        <v>1646.4069987087696</v>
      </c>
      <c r="D11378">
        <v>14</v>
      </c>
      <c r="E11378" s="80">
        <v>35787</v>
      </c>
    </row>
    <row r="11379" spans="1:5">
      <c r="A11379">
        <v>10791</v>
      </c>
      <c r="B11379" t="s">
        <v>173</v>
      </c>
      <c r="C11379">
        <v>1646.4069987087696</v>
      </c>
      <c r="D11379">
        <v>14</v>
      </c>
      <c r="E11379" s="80">
        <v>35787</v>
      </c>
    </row>
    <row r="11380" spans="1:5">
      <c r="A11380">
        <v>10791</v>
      </c>
      <c r="B11380" t="s">
        <v>174</v>
      </c>
      <c r="C11380">
        <v>1646.4069987087696</v>
      </c>
      <c r="D11380">
        <v>14</v>
      </c>
      <c r="E11380" s="80">
        <v>35787</v>
      </c>
    </row>
    <row r="11381" spans="1:5">
      <c r="A11381">
        <v>10791</v>
      </c>
      <c r="B11381" t="s">
        <v>175</v>
      </c>
      <c r="C11381">
        <v>1646.4069987087696</v>
      </c>
      <c r="D11381">
        <v>14</v>
      </c>
      <c r="E11381" s="80">
        <v>35787</v>
      </c>
    </row>
    <row r="11382" spans="1:5">
      <c r="A11382">
        <v>10791</v>
      </c>
      <c r="B11382" t="s">
        <v>176</v>
      </c>
      <c r="C11382">
        <v>1646.4069987087696</v>
      </c>
      <c r="D11382">
        <v>14</v>
      </c>
      <c r="E11382" s="80">
        <v>35787</v>
      </c>
    </row>
    <row r="11383" spans="1:5">
      <c r="A11383">
        <v>10791</v>
      </c>
      <c r="B11383" t="s">
        <v>177</v>
      </c>
      <c r="C11383">
        <v>1646.4069987087696</v>
      </c>
      <c r="D11383">
        <v>14</v>
      </c>
      <c r="E11383" s="80">
        <v>35787</v>
      </c>
    </row>
    <row r="11384" spans="1:5">
      <c r="A11384">
        <v>10791</v>
      </c>
      <c r="B11384" t="s">
        <v>178</v>
      </c>
      <c r="C11384">
        <v>1646.4069987087696</v>
      </c>
      <c r="D11384">
        <v>14</v>
      </c>
      <c r="E11384" s="80">
        <v>35787</v>
      </c>
    </row>
    <row r="11385" spans="1:5">
      <c r="A11385">
        <v>10791</v>
      </c>
      <c r="B11385" t="s">
        <v>179</v>
      </c>
      <c r="C11385">
        <v>1646.4069987087696</v>
      </c>
      <c r="D11385">
        <v>14</v>
      </c>
      <c r="E11385" s="80">
        <v>35787</v>
      </c>
    </row>
    <row r="11386" spans="1:5">
      <c r="A11386">
        <v>10791</v>
      </c>
      <c r="B11386" t="s">
        <v>172</v>
      </c>
      <c r="C11386">
        <v>183.34999985620379</v>
      </c>
      <c r="D11386">
        <v>20</v>
      </c>
      <c r="E11386" s="80">
        <v>35787</v>
      </c>
    </row>
    <row r="11387" spans="1:5">
      <c r="A11387">
        <v>10791</v>
      </c>
      <c r="B11387" t="s">
        <v>173</v>
      </c>
      <c r="C11387">
        <v>183.34999985620379</v>
      </c>
      <c r="D11387">
        <v>20</v>
      </c>
      <c r="E11387" s="80">
        <v>35787</v>
      </c>
    </row>
    <row r="11388" spans="1:5">
      <c r="A11388">
        <v>10791</v>
      </c>
      <c r="B11388" t="s">
        <v>174</v>
      </c>
      <c r="C11388">
        <v>183.34999985620379</v>
      </c>
      <c r="D11388">
        <v>20</v>
      </c>
      <c r="E11388" s="80">
        <v>35787</v>
      </c>
    </row>
    <row r="11389" spans="1:5">
      <c r="A11389">
        <v>10791</v>
      </c>
      <c r="B11389" t="s">
        <v>175</v>
      </c>
      <c r="C11389">
        <v>183.34999985620379</v>
      </c>
      <c r="D11389">
        <v>20</v>
      </c>
      <c r="E11389" s="80">
        <v>35787</v>
      </c>
    </row>
    <row r="11390" spans="1:5">
      <c r="A11390">
        <v>10791</v>
      </c>
      <c r="B11390" t="s">
        <v>176</v>
      </c>
      <c r="C11390">
        <v>183.34999985620379</v>
      </c>
      <c r="D11390">
        <v>20</v>
      </c>
      <c r="E11390" s="80">
        <v>35787</v>
      </c>
    </row>
    <row r="11391" spans="1:5">
      <c r="A11391">
        <v>10791</v>
      </c>
      <c r="B11391" t="s">
        <v>177</v>
      </c>
      <c r="C11391">
        <v>183.34999985620379</v>
      </c>
      <c r="D11391">
        <v>20</v>
      </c>
      <c r="E11391" s="80">
        <v>35787</v>
      </c>
    </row>
    <row r="11392" spans="1:5">
      <c r="A11392">
        <v>10791</v>
      </c>
      <c r="B11392" t="s">
        <v>178</v>
      </c>
      <c r="C11392">
        <v>183.34999985620379</v>
      </c>
      <c r="D11392">
        <v>20</v>
      </c>
      <c r="E11392" s="80">
        <v>35787</v>
      </c>
    </row>
    <row r="11393" spans="1:5">
      <c r="A11393">
        <v>10791</v>
      </c>
      <c r="B11393" t="s">
        <v>179</v>
      </c>
      <c r="C11393">
        <v>183.34999985620379</v>
      </c>
      <c r="D11393">
        <v>20</v>
      </c>
      <c r="E11393" s="80">
        <v>35787</v>
      </c>
    </row>
    <row r="11394" spans="1:5">
      <c r="A11394">
        <v>10792</v>
      </c>
      <c r="B11394" t="s">
        <v>172</v>
      </c>
      <c r="C11394">
        <v>190</v>
      </c>
      <c r="D11394">
        <v>10</v>
      </c>
      <c r="E11394" s="80">
        <v>35787</v>
      </c>
    </row>
    <row r="11395" spans="1:5">
      <c r="A11395">
        <v>10792</v>
      </c>
      <c r="B11395" t="s">
        <v>173</v>
      </c>
      <c r="C11395">
        <v>190</v>
      </c>
      <c r="D11395">
        <v>10</v>
      </c>
      <c r="E11395" s="80">
        <v>35787</v>
      </c>
    </row>
    <row r="11396" spans="1:5">
      <c r="A11396">
        <v>10792</v>
      </c>
      <c r="B11396" t="s">
        <v>174</v>
      </c>
      <c r="C11396">
        <v>190</v>
      </c>
      <c r="D11396">
        <v>10</v>
      </c>
      <c r="E11396" s="80">
        <v>35787</v>
      </c>
    </row>
    <row r="11397" spans="1:5">
      <c r="A11397">
        <v>10792</v>
      </c>
      <c r="B11397" t="s">
        <v>175</v>
      </c>
      <c r="C11397">
        <v>190</v>
      </c>
      <c r="D11397">
        <v>10</v>
      </c>
      <c r="E11397" s="80">
        <v>35787</v>
      </c>
    </row>
    <row r="11398" spans="1:5">
      <c r="A11398">
        <v>10792</v>
      </c>
      <c r="B11398" t="s">
        <v>176</v>
      </c>
      <c r="C11398">
        <v>190</v>
      </c>
      <c r="D11398">
        <v>10</v>
      </c>
      <c r="E11398" s="80">
        <v>35787</v>
      </c>
    </row>
    <row r="11399" spans="1:5">
      <c r="A11399">
        <v>10792</v>
      </c>
      <c r="B11399" t="s">
        <v>177</v>
      </c>
      <c r="C11399">
        <v>190</v>
      </c>
      <c r="D11399">
        <v>10</v>
      </c>
      <c r="E11399" s="80">
        <v>35787</v>
      </c>
    </row>
    <row r="11400" spans="1:5">
      <c r="A11400">
        <v>10792</v>
      </c>
      <c r="B11400" t="s">
        <v>178</v>
      </c>
      <c r="C11400">
        <v>190</v>
      </c>
      <c r="D11400">
        <v>10</v>
      </c>
      <c r="E11400" s="80">
        <v>35787</v>
      </c>
    </row>
    <row r="11401" spans="1:5">
      <c r="A11401">
        <v>10792</v>
      </c>
      <c r="B11401" t="s">
        <v>179</v>
      </c>
      <c r="C11401">
        <v>190</v>
      </c>
      <c r="D11401">
        <v>10</v>
      </c>
      <c r="E11401" s="80">
        <v>35787</v>
      </c>
    </row>
    <row r="11402" spans="1:5">
      <c r="A11402">
        <v>10792</v>
      </c>
      <c r="B11402" t="s">
        <v>172</v>
      </c>
      <c r="C11402">
        <v>22.35</v>
      </c>
      <c r="D11402">
        <v>3</v>
      </c>
      <c r="E11402" s="80">
        <v>35787</v>
      </c>
    </row>
    <row r="11403" spans="1:5">
      <c r="A11403">
        <v>10792</v>
      </c>
      <c r="B11403" t="s">
        <v>173</v>
      </c>
      <c r="C11403">
        <v>22.35</v>
      </c>
      <c r="D11403">
        <v>3</v>
      </c>
      <c r="E11403" s="80">
        <v>35787</v>
      </c>
    </row>
    <row r="11404" spans="1:5">
      <c r="A11404">
        <v>10792</v>
      </c>
      <c r="B11404" t="s">
        <v>174</v>
      </c>
      <c r="C11404">
        <v>22.35</v>
      </c>
      <c r="D11404">
        <v>3</v>
      </c>
      <c r="E11404" s="80">
        <v>35787</v>
      </c>
    </row>
    <row r="11405" spans="1:5">
      <c r="A11405">
        <v>10792</v>
      </c>
      <c r="B11405" t="s">
        <v>175</v>
      </c>
      <c r="C11405">
        <v>22.35</v>
      </c>
      <c r="D11405">
        <v>3</v>
      </c>
      <c r="E11405" s="80">
        <v>35787</v>
      </c>
    </row>
    <row r="11406" spans="1:5">
      <c r="A11406">
        <v>10792</v>
      </c>
      <c r="B11406" t="s">
        <v>176</v>
      </c>
      <c r="C11406">
        <v>22.35</v>
      </c>
      <c r="D11406">
        <v>3</v>
      </c>
      <c r="E11406" s="80">
        <v>35787</v>
      </c>
    </row>
    <row r="11407" spans="1:5">
      <c r="A11407">
        <v>10792</v>
      </c>
      <c r="B11407" t="s">
        <v>177</v>
      </c>
      <c r="C11407">
        <v>22.35</v>
      </c>
      <c r="D11407">
        <v>3</v>
      </c>
      <c r="E11407" s="80">
        <v>35787</v>
      </c>
    </row>
    <row r="11408" spans="1:5">
      <c r="A11408">
        <v>10792</v>
      </c>
      <c r="B11408" t="s">
        <v>178</v>
      </c>
      <c r="C11408">
        <v>22.35</v>
      </c>
      <c r="D11408">
        <v>3</v>
      </c>
      <c r="E11408" s="80">
        <v>35787</v>
      </c>
    </row>
    <row r="11409" spans="1:5">
      <c r="A11409">
        <v>10792</v>
      </c>
      <c r="B11409" t="s">
        <v>179</v>
      </c>
      <c r="C11409">
        <v>22.35</v>
      </c>
      <c r="D11409">
        <v>3</v>
      </c>
      <c r="E11409" s="80">
        <v>35787</v>
      </c>
    </row>
    <row r="11410" spans="1:5">
      <c r="A11410">
        <v>10792</v>
      </c>
      <c r="B11410" t="s">
        <v>172</v>
      </c>
      <c r="C11410">
        <v>187.5</v>
      </c>
      <c r="D11410">
        <v>15</v>
      </c>
      <c r="E11410" s="80">
        <v>35787</v>
      </c>
    </row>
    <row r="11411" spans="1:5">
      <c r="A11411">
        <v>10792</v>
      </c>
      <c r="B11411" t="s">
        <v>173</v>
      </c>
      <c r="C11411">
        <v>187.5</v>
      </c>
      <c r="D11411">
        <v>15</v>
      </c>
      <c r="E11411" s="80">
        <v>35787</v>
      </c>
    </row>
    <row r="11412" spans="1:5">
      <c r="A11412">
        <v>10792</v>
      </c>
      <c r="B11412" t="s">
        <v>174</v>
      </c>
      <c r="C11412">
        <v>187.5</v>
      </c>
      <c r="D11412">
        <v>15</v>
      </c>
      <c r="E11412" s="80">
        <v>35787</v>
      </c>
    </row>
    <row r="11413" spans="1:5">
      <c r="A11413">
        <v>10792</v>
      </c>
      <c r="B11413" t="s">
        <v>175</v>
      </c>
      <c r="C11413">
        <v>187.5</v>
      </c>
      <c r="D11413">
        <v>15</v>
      </c>
      <c r="E11413" s="80">
        <v>35787</v>
      </c>
    </row>
    <row r="11414" spans="1:5">
      <c r="A11414">
        <v>10792</v>
      </c>
      <c r="B11414" t="s">
        <v>176</v>
      </c>
      <c r="C11414">
        <v>187.5</v>
      </c>
      <c r="D11414">
        <v>15</v>
      </c>
      <c r="E11414" s="80">
        <v>35787</v>
      </c>
    </row>
    <row r="11415" spans="1:5">
      <c r="A11415">
        <v>10792</v>
      </c>
      <c r="B11415" t="s">
        <v>177</v>
      </c>
      <c r="C11415">
        <v>187.5</v>
      </c>
      <c r="D11415">
        <v>15</v>
      </c>
      <c r="E11415" s="80">
        <v>35787</v>
      </c>
    </row>
    <row r="11416" spans="1:5">
      <c r="A11416">
        <v>10792</v>
      </c>
      <c r="B11416" t="s">
        <v>178</v>
      </c>
      <c r="C11416">
        <v>187.5</v>
      </c>
      <c r="D11416">
        <v>15</v>
      </c>
      <c r="E11416" s="80">
        <v>35787</v>
      </c>
    </row>
    <row r="11417" spans="1:5">
      <c r="A11417">
        <v>10792</v>
      </c>
      <c r="B11417" t="s">
        <v>179</v>
      </c>
      <c r="C11417">
        <v>187.5</v>
      </c>
      <c r="D11417">
        <v>15</v>
      </c>
      <c r="E11417" s="80">
        <v>35787</v>
      </c>
    </row>
    <row r="11418" spans="1:5">
      <c r="A11418">
        <v>10793</v>
      </c>
      <c r="B11418" t="s">
        <v>172</v>
      </c>
      <c r="C11418">
        <v>135.1</v>
      </c>
      <c r="D11418">
        <v>14</v>
      </c>
      <c r="E11418" s="80">
        <v>35788</v>
      </c>
    </row>
    <row r="11419" spans="1:5">
      <c r="A11419">
        <v>10793</v>
      </c>
      <c r="B11419" t="s">
        <v>173</v>
      </c>
      <c r="C11419">
        <v>135.1</v>
      </c>
      <c r="D11419">
        <v>14</v>
      </c>
      <c r="E11419" s="80">
        <v>35788</v>
      </c>
    </row>
    <row r="11420" spans="1:5">
      <c r="A11420">
        <v>10793</v>
      </c>
      <c r="B11420" t="s">
        <v>174</v>
      </c>
      <c r="C11420">
        <v>135.1</v>
      </c>
      <c r="D11420">
        <v>14</v>
      </c>
      <c r="E11420" s="80">
        <v>35788</v>
      </c>
    </row>
    <row r="11421" spans="1:5">
      <c r="A11421">
        <v>10793</v>
      </c>
      <c r="B11421" t="s">
        <v>175</v>
      </c>
      <c r="C11421">
        <v>135.1</v>
      </c>
      <c r="D11421">
        <v>14</v>
      </c>
      <c r="E11421" s="80">
        <v>35788</v>
      </c>
    </row>
    <row r="11422" spans="1:5">
      <c r="A11422">
        <v>10793</v>
      </c>
      <c r="B11422" t="s">
        <v>176</v>
      </c>
      <c r="C11422">
        <v>135.1</v>
      </c>
      <c r="D11422">
        <v>14</v>
      </c>
      <c r="E11422" s="80">
        <v>35788</v>
      </c>
    </row>
    <row r="11423" spans="1:5">
      <c r="A11423">
        <v>10793</v>
      </c>
      <c r="B11423" t="s">
        <v>177</v>
      </c>
      <c r="C11423">
        <v>135.1</v>
      </c>
      <c r="D11423">
        <v>14</v>
      </c>
      <c r="E11423" s="80">
        <v>35788</v>
      </c>
    </row>
    <row r="11424" spans="1:5">
      <c r="A11424">
        <v>10793</v>
      </c>
      <c r="B11424" t="s">
        <v>178</v>
      </c>
      <c r="C11424">
        <v>135.1</v>
      </c>
      <c r="D11424">
        <v>14</v>
      </c>
      <c r="E11424" s="80">
        <v>35788</v>
      </c>
    </row>
    <row r="11425" spans="1:5">
      <c r="A11425">
        <v>10793</v>
      </c>
      <c r="B11425" t="s">
        <v>179</v>
      </c>
      <c r="C11425">
        <v>135.1</v>
      </c>
      <c r="D11425">
        <v>14</v>
      </c>
      <c r="E11425" s="80">
        <v>35788</v>
      </c>
    </row>
    <row r="11426" spans="1:5">
      <c r="A11426">
        <v>10793</v>
      </c>
      <c r="B11426" t="s">
        <v>172</v>
      </c>
      <c r="C11426">
        <v>56</v>
      </c>
      <c r="D11426">
        <v>8</v>
      </c>
      <c r="E11426" s="80">
        <v>35788</v>
      </c>
    </row>
    <row r="11427" spans="1:5">
      <c r="A11427">
        <v>10793</v>
      </c>
      <c r="B11427" t="s">
        <v>173</v>
      </c>
      <c r="C11427">
        <v>56</v>
      </c>
      <c r="D11427">
        <v>8</v>
      </c>
      <c r="E11427" s="80">
        <v>35788</v>
      </c>
    </row>
    <row r="11428" spans="1:5">
      <c r="A11428">
        <v>10793</v>
      </c>
      <c r="B11428" t="s">
        <v>174</v>
      </c>
      <c r="C11428">
        <v>56</v>
      </c>
      <c r="D11428">
        <v>8</v>
      </c>
      <c r="E11428" s="80">
        <v>35788</v>
      </c>
    </row>
    <row r="11429" spans="1:5">
      <c r="A11429">
        <v>10793</v>
      </c>
      <c r="B11429" t="s">
        <v>175</v>
      </c>
      <c r="C11429">
        <v>56</v>
      </c>
      <c r="D11429">
        <v>8</v>
      </c>
      <c r="E11429" s="80">
        <v>35788</v>
      </c>
    </row>
    <row r="11430" spans="1:5">
      <c r="A11430">
        <v>10793</v>
      </c>
      <c r="B11430" t="s">
        <v>176</v>
      </c>
      <c r="C11430">
        <v>56</v>
      </c>
      <c r="D11430">
        <v>8</v>
      </c>
      <c r="E11430" s="80">
        <v>35788</v>
      </c>
    </row>
    <row r="11431" spans="1:5">
      <c r="A11431">
        <v>10793</v>
      </c>
      <c r="B11431" t="s">
        <v>177</v>
      </c>
      <c r="C11431">
        <v>56</v>
      </c>
      <c r="D11431">
        <v>8</v>
      </c>
      <c r="E11431" s="80">
        <v>35788</v>
      </c>
    </row>
    <row r="11432" spans="1:5">
      <c r="A11432">
        <v>10793</v>
      </c>
      <c r="B11432" t="s">
        <v>178</v>
      </c>
      <c r="C11432">
        <v>56</v>
      </c>
      <c r="D11432">
        <v>8</v>
      </c>
      <c r="E11432" s="80">
        <v>35788</v>
      </c>
    </row>
    <row r="11433" spans="1:5">
      <c r="A11433">
        <v>10793</v>
      </c>
      <c r="B11433" t="s">
        <v>179</v>
      </c>
      <c r="C11433">
        <v>56</v>
      </c>
      <c r="D11433">
        <v>8</v>
      </c>
      <c r="E11433" s="80">
        <v>35788</v>
      </c>
    </row>
    <row r="11434" spans="1:5">
      <c r="A11434">
        <v>10794</v>
      </c>
      <c r="B11434" t="s">
        <v>172</v>
      </c>
      <c r="C11434">
        <v>278.99999896064401</v>
      </c>
      <c r="D11434">
        <v>15</v>
      </c>
      <c r="E11434" s="80">
        <v>35788</v>
      </c>
    </row>
    <row r="11435" spans="1:5">
      <c r="A11435">
        <v>10794</v>
      </c>
      <c r="B11435" t="s">
        <v>173</v>
      </c>
      <c r="C11435">
        <v>278.99999896064401</v>
      </c>
      <c r="D11435">
        <v>15</v>
      </c>
      <c r="E11435" s="80">
        <v>35788</v>
      </c>
    </row>
    <row r="11436" spans="1:5">
      <c r="A11436">
        <v>10794</v>
      </c>
      <c r="B11436" t="s">
        <v>174</v>
      </c>
      <c r="C11436">
        <v>278.99999896064401</v>
      </c>
      <c r="D11436">
        <v>15</v>
      </c>
      <c r="E11436" s="80">
        <v>35788</v>
      </c>
    </row>
    <row r="11437" spans="1:5">
      <c r="A11437">
        <v>10794</v>
      </c>
      <c r="B11437" t="s">
        <v>175</v>
      </c>
      <c r="C11437">
        <v>278.99999896064401</v>
      </c>
      <c r="D11437">
        <v>15</v>
      </c>
      <c r="E11437" s="80">
        <v>35788</v>
      </c>
    </row>
    <row r="11438" spans="1:5">
      <c r="A11438">
        <v>10794</v>
      </c>
      <c r="B11438" t="s">
        <v>176</v>
      </c>
      <c r="C11438">
        <v>278.99999896064401</v>
      </c>
      <c r="D11438">
        <v>15</v>
      </c>
      <c r="E11438" s="80">
        <v>35788</v>
      </c>
    </row>
    <row r="11439" spans="1:5">
      <c r="A11439">
        <v>10794</v>
      </c>
      <c r="B11439" t="s">
        <v>177</v>
      </c>
      <c r="C11439">
        <v>278.99999896064401</v>
      </c>
      <c r="D11439">
        <v>15</v>
      </c>
      <c r="E11439" s="80">
        <v>35788</v>
      </c>
    </row>
    <row r="11440" spans="1:5">
      <c r="A11440">
        <v>10794</v>
      </c>
      <c r="B11440" t="s">
        <v>178</v>
      </c>
      <c r="C11440">
        <v>278.99999896064401</v>
      </c>
      <c r="D11440">
        <v>15</v>
      </c>
      <c r="E11440" s="80">
        <v>35788</v>
      </c>
    </row>
    <row r="11441" spans="1:5">
      <c r="A11441">
        <v>10794</v>
      </c>
      <c r="B11441" t="s">
        <v>179</v>
      </c>
      <c r="C11441">
        <v>278.99999896064401</v>
      </c>
      <c r="D11441">
        <v>15</v>
      </c>
      <c r="E11441" s="80">
        <v>35788</v>
      </c>
    </row>
    <row r="11442" spans="1:5">
      <c r="A11442">
        <v>10794</v>
      </c>
      <c r="B11442" t="s">
        <v>172</v>
      </c>
      <c r="C11442">
        <v>35.759999866783623</v>
      </c>
      <c r="D11442">
        <v>6</v>
      </c>
      <c r="E11442" s="80">
        <v>35788</v>
      </c>
    </row>
    <row r="11443" spans="1:5">
      <c r="A11443">
        <v>10794</v>
      </c>
      <c r="B11443" t="s">
        <v>173</v>
      </c>
      <c r="C11443">
        <v>35.759999866783623</v>
      </c>
      <c r="D11443">
        <v>6</v>
      </c>
      <c r="E11443" s="80">
        <v>35788</v>
      </c>
    </row>
    <row r="11444" spans="1:5">
      <c r="A11444">
        <v>10794</v>
      </c>
      <c r="B11444" t="s">
        <v>174</v>
      </c>
      <c r="C11444">
        <v>35.759999866783623</v>
      </c>
      <c r="D11444">
        <v>6</v>
      </c>
      <c r="E11444" s="80">
        <v>35788</v>
      </c>
    </row>
    <row r="11445" spans="1:5">
      <c r="A11445">
        <v>10794</v>
      </c>
      <c r="B11445" t="s">
        <v>175</v>
      </c>
      <c r="C11445">
        <v>35.759999866783623</v>
      </c>
      <c r="D11445">
        <v>6</v>
      </c>
      <c r="E11445" s="80">
        <v>35788</v>
      </c>
    </row>
    <row r="11446" spans="1:5">
      <c r="A11446">
        <v>10794</v>
      </c>
      <c r="B11446" t="s">
        <v>176</v>
      </c>
      <c r="C11446">
        <v>35.759999866783623</v>
      </c>
      <c r="D11446">
        <v>6</v>
      </c>
      <c r="E11446" s="80">
        <v>35788</v>
      </c>
    </row>
    <row r="11447" spans="1:5">
      <c r="A11447">
        <v>10794</v>
      </c>
      <c r="B11447" t="s">
        <v>177</v>
      </c>
      <c r="C11447">
        <v>35.759999866783623</v>
      </c>
      <c r="D11447">
        <v>6</v>
      </c>
      <c r="E11447" s="80">
        <v>35788</v>
      </c>
    </row>
    <row r="11448" spans="1:5">
      <c r="A11448">
        <v>10794</v>
      </c>
      <c r="B11448" t="s">
        <v>178</v>
      </c>
      <c r="C11448">
        <v>35.759999866783623</v>
      </c>
      <c r="D11448">
        <v>6</v>
      </c>
      <c r="E11448" s="80">
        <v>35788</v>
      </c>
    </row>
    <row r="11449" spans="1:5">
      <c r="A11449">
        <v>10794</v>
      </c>
      <c r="B11449" t="s">
        <v>179</v>
      </c>
      <c r="C11449">
        <v>35.759999866783623</v>
      </c>
      <c r="D11449">
        <v>6</v>
      </c>
      <c r="E11449" s="80">
        <v>35788</v>
      </c>
    </row>
    <row r="11450" spans="1:5">
      <c r="A11450">
        <v>10795</v>
      </c>
      <c r="B11450" t="s">
        <v>172</v>
      </c>
      <c r="C11450">
        <v>1134.25</v>
      </c>
      <c r="D11450">
        <v>65</v>
      </c>
      <c r="E11450" s="80">
        <v>35788</v>
      </c>
    </row>
    <row r="11451" spans="1:5">
      <c r="A11451">
        <v>10795</v>
      </c>
      <c r="B11451" t="s">
        <v>173</v>
      </c>
      <c r="C11451">
        <v>1134.25</v>
      </c>
      <c r="D11451">
        <v>65</v>
      </c>
      <c r="E11451" s="80">
        <v>35788</v>
      </c>
    </row>
    <row r="11452" spans="1:5">
      <c r="A11452">
        <v>10795</v>
      </c>
      <c r="B11452" t="s">
        <v>174</v>
      </c>
      <c r="C11452">
        <v>1134.25</v>
      </c>
      <c r="D11452">
        <v>65</v>
      </c>
      <c r="E11452" s="80">
        <v>35788</v>
      </c>
    </row>
    <row r="11453" spans="1:5">
      <c r="A11453">
        <v>10795</v>
      </c>
      <c r="B11453" t="s">
        <v>175</v>
      </c>
      <c r="C11453">
        <v>1134.25</v>
      </c>
      <c r="D11453">
        <v>65</v>
      </c>
      <c r="E11453" s="80">
        <v>35788</v>
      </c>
    </row>
    <row r="11454" spans="1:5">
      <c r="A11454">
        <v>10795</v>
      </c>
      <c r="B11454" t="s">
        <v>176</v>
      </c>
      <c r="C11454">
        <v>1134.25</v>
      </c>
      <c r="D11454">
        <v>65</v>
      </c>
      <c r="E11454" s="80">
        <v>35788</v>
      </c>
    </row>
    <row r="11455" spans="1:5">
      <c r="A11455">
        <v>10795</v>
      </c>
      <c r="B11455" t="s">
        <v>177</v>
      </c>
      <c r="C11455">
        <v>1134.25</v>
      </c>
      <c r="D11455">
        <v>65</v>
      </c>
      <c r="E11455" s="80">
        <v>35788</v>
      </c>
    </row>
    <row r="11456" spans="1:5">
      <c r="A11456">
        <v>10795</v>
      </c>
      <c r="B11456" t="s">
        <v>178</v>
      </c>
      <c r="C11456">
        <v>1134.25</v>
      </c>
      <c r="D11456">
        <v>65</v>
      </c>
      <c r="E11456" s="80">
        <v>35788</v>
      </c>
    </row>
    <row r="11457" spans="1:5">
      <c r="A11457">
        <v>10795</v>
      </c>
      <c r="B11457" t="s">
        <v>179</v>
      </c>
      <c r="C11457">
        <v>1134.25</v>
      </c>
      <c r="D11457">
        <v>65</v>
      </c>
      <c r="E11457" s="80">
        <v>35788</v>
      </c>
    </row>
    <row r="11458" spans="1:5">
      <c r="A11458">
        <v>10795</v>
      </c>
      <c r="B11458" t="s">
        <v>172</v>
      </c>
      <c r="C11458">
        <v>1023.75</v>
      </c>
      <c r="D11458">
        <v>35</v>
      </c>
      <c r="E11458" s="80">
        <v>35788</v>
      </c>
    </row>
    <row r="11459" spans="1:5">
      <c r="A11459">
        <v>10795</v>
      </c>
      <c r="B11459" t="s">
        <v>173</v>
      </c>
      <c r="C11459">
        <v>1023.75</v>
      </c>
      <c r="D11459">
        <v>35</v>
      </c>
      <c r="E11459" s="80">
        <v>35788</v>
      </c>
    </row>
    <row r="11460" spans="1:5">
      <c r="A11460">
        <v>10795</v>
      </c>
      <c r="B11460" t="s">
        <v>174</v>
      </c>
      <c r="C11460">
        <v>1023.75</v>
      </c>
      <c r="D11460">
        <v>35</v>
      </c>
      <c r="E11460" s="80">
        <v>35788</v>
      </c>
    </row>
    <row r="11461" spans="1:5">
      <c r="A11461">
        <v>10795</v>
      </c>
      <c r="B11461" t="s">
        <v>175</v>
      </c>
      <c r="C11461">
        <v>1023.75</v>
      </c>
      <c r="D11461">
        <v>35</v>
      </c>
      <c r="E11461" s="80">
        <v>35788</v>
      </c>
    </row>
    <row r="11462" spans="1:5">
      <c r="A11462">
        <v>10795</v>
      </c>
      <c r="B11462" t="s">
        <v>176</v>
      </c>
      <c r="C11462">
        <v>1023.75</v>
      </c>
      <c r="D11462">
        <v>35</v>
      </c>
      <c r="E11462" s="80">
        <v>35788</v>
      </c>
    </row>
    <row r="11463" spans="1:5">
      <c r="A11463">
        <v>10795</v>
      </c>
      <c r="B11463" t="s">
        <v>177</v>
      </c>
      <c r="C11463">
        <v>1023.75</v>
      </c>
      <c r="D11463">
        <v>35</v>
      </c>
      <c r="E11463" s="80">
        <v>35788</v>
      </c>
    </row>
    <row r="11464" spans="1:5">
      <c r="A11464">
        <v>10795</v>
      </c>
      <c r="B11464" t="s">
        <v>178</v>
      </c>
      <c r="C11464">
        <v>1023.75</v>
      </c>
      <c r="D11464">
        <v>35</v>
      </c>
      <c r="E11464" s="80">
        <v>35788</v>
      </c>
    </row>
    <row r="11465" spans="1:5">
      <c r="A11465">
        <v>10795</v>
      </c>
      <c r="B11465" t="s">
        <v>179</v>
      </c>
      <c r="C11465">
        <v>1023.75</v>
      </c>
      <c r="D11465">
        <v>35</v>
      </c>
      <c r="E11465" s="80">
        <v>35788</v>
      </c>
    </row>
    <row r="11466" spans="1:5">
      <c r="A11466">
        <v>10796</v>
      </c>
      <c r="B11466" t="s">
        <v>172</v>
      </c>
      <c r="C11466">
        <v>524.66399804547427</v>
      </c>
      <c r="D11466">
        <v>21</v>
      </c>
      <c r="E11466" s="80">
        <v>35789</v>
      </c>
    </row>
    <row r="11467" spans="1:5">
      <c r="A11467">
        <v>10796</v>
      </c>
      <c r="B11467" t="s">
        <v>173</v>
      </c>
      <c r="C11467">
        <v>524.66399804547427</v>
      </c>
      <c r="D11467">
        <v>21</v>
      </c>
      <c r="E11467" s="80">
        <v>35789</v>
      </c>
    </row>
    <row r="11468" spans="1:5">
      <c r="A11468">
        <v>10796</v>
      </c>
      <c r="B11468" t="s">
        <v>174</v>
      </c>
      <c r="C11468">
        <v>524.66399804547427</v>
      </c>
      <c r="D11468">
        <v>21</v>
      </c>
      <c r="E11468" s="80">
        <v>35789</v>
      </c>
    </row>
    <row r="11469" spans="1:5">
      <c r="A11469">
        <v>10796</v>
      </c>
      <c r="B11469" t="s">
        <v>175</v>
      </c>
      <c r="C11469">
        <v>524.66399804547427</v>
      </c>
      <c r="D11469">
        <v>21</v>
      </c>
      <c r="E11469" s="80">
        <v>35789</v>
      </c>
    </row>
    <row r="11470" spans="1:5">
      <c r="A11470">
        <v>10796</v>
      </c>
      <c r="B11470" t="s">
        <v>176</v>
      </c>
      <c r="C11470">
        <v>524.66399804547427</v>
      </c>
      <c r="D11470">
        <v>21</v>
      </c>
      <c r="E11470" s="80">
        <v>35789</v>
      </c>
    </row>
    <row r="11471" spans="1:5">
      <c r="A11471">
        <v>10796</v>
      </c>
      <c r="B11471" t="s">
        <v>177</v>
      </c>
      <c r="C11471">
        <v>524.66399804547427</v>
      </c>
      <c r="D11471">
        <v>21</v>
      </c>
      <c r="E11471" s="80">
        <v>35789</v>
      </c>
    </row>
    <row r="11472" spans="1:5">
      <c r="A11472">
        <v>10796</v>
      </c>
      <c r="B11472" t="s">
        <v>178</v>
      </c>
      <c r="C11472">
        <v>524.66399804547427</v>
      </c>
      <c r="D11472">
        <v>21</v>
      </c>
      <c r="E11472" s="80">
        <v>35789</v>
      </c>
    </row>
    <row r="11473" spans="1:5">
      <c r="A11473">
        <v>10796</v>
      </c>
      <c r="B11473" t="s">
        <v>179</v>
      </c>
      <c r="C11473">
        <v>524.66399804547427</v>
      </c>
      <c r="D11473">
        <v>21</v>
      </c>
      <c r="E11473" s="80">
        <v>35789</v>
      </c>
    </row>
    <row r="11474" spans="1:5">
      <c r="A11474">
        <v>10796</v>
      </c>
      <c r="B11474" t="s">
        <v>172</v>
      </c>
      <c r="C11474">
        <v>194.5</v>
      </c>
      <c r="D11474">
        <v>10</v>
      </c>
      <c r="E11474" s="80">
        <v>35789</v>
      </c>
    </row>
    <row r="11475" spans="1:5">
      <c r="A11475">
        <v>10796</v>
      </c>
      <c r="B11475" t="s">
        <v>173</v>
      </c>
      <c r="C11475">
        <v>194.5</v>
      </c>
      <c r="D11475">
        <v>10</v>
      </c>
      <c r="E11475" s="80">
        <v>35789</v>
      </c>
    </row>
    <row r="11476" spans="1:5">
      <c r="A11476">
        <v>10796</v>
      </c>
      <c r="B11476" t="s">
        <v>174</v>
      </c>
      <c r="C11476">
        <v>194.5</v>
      </c>
      <c r="D11476">
        <v>10</v>
      </c>
      <c r="E11476" s="80">
        <v>35789</v>
      </c>
    </row>
    <row r="11477" spans="1:5">
      <c r="A11477">
        <v>10796</v>
      </c>
      <c r="B11477" t="s">
        <v>175</v>
      </c>
      <c r="C11477">
        <v>194.5</v>
      </c>
      <c r="D11477">
        <v>10</v>
      </c>
      <c r="E11477" s="80">
        <v>35789</v>
      </c>
    </row>
    <row r="11478" spans="1:5">
      <c r="A11478">
        <v>10796</v>
      </c>
      <c r="B11478" t="s">
        <v>176</v>
      </c>
      <c r="C11478">
        <v>194.5</v>
      </c>
      <c r="D11478">
        <v>10</v>
      </c>
      <c r="E11478" s="80">
        <v>35789</v>
      </c>
    </row>
    <row r="11479" spans="1:5">
      <c r="A11479">
        <v>10796</v>
      </c>
      <c r="B11479" t="s">
        <v>177</v>
      </c>
      <c r="C11479">
        <v>194.5</v>
      </c>
      <c r="D11479">
        <v>10</v>
      </c>
      <c r="E11479" s="80">
        <v>35789</v>
      </c>
    </row>
    <row r="11480" spans="1:5">
      <c r="A11480">
        <v>10796</v>
      </c>
      <c r="B11480" t="s">
        <v>178</v>
      </c>
      <c r="C11480">
        <v>194.5</v>
      </c>
      <c r="D11480">
        <v>10</v>
      </c>
      <c r="E11480" s="80">
        <v>35789</v>
      </c>
    </row>
    <row r="11481" spans="1:5">
      <c r="A11481">
        <v>10796</v>
      </c>
      <c r="B11481" t="s">
        <v>179</v>
      </c>
      <c r="C11481">
        <v>194.5</v>
      </c>
      <c r="D11481">
        <v>10</v>
      </c>
      <c r="E11481" s="80">
        <v>35789</v>
      </c>
    </row>
    <row r="11482" spans="1:5">
      <c r="A11482">
        <v>10796</v>
      </c>
      <c r="B11482" t="s">
        <v>172</v>
      </c>
      <c r="C11482">
        <v>930.99999653175473</v>
      </c>
      <c r="D11482">
        <v>35</v>
      </c>
      <c r="E11482" s="80">
        <v>35789</v>
      </c>
    </row>
    <row r="11483" spans="1:5">
      <c r="A11483">
        <v>10796</v>
      </c>
      <c r="B11483" t="s">
        <v>173</v>
      </c>
      <c r="C11483">
        <v>930.99999653175473</v>
      </c>
      <c r="D11483">
        <v>35</v>
      </c>
      <c r="E11483" s="80">
        <v>35789</v>
      </c>
    </row>
    <row r="11484" spans="1:5">
      <c r="A11484">
        <v>10796</v>
      </c>
      <c r="B11484" t="s">
        <v>174</v>
      </c>
      <c r="C11484">
        <v>930.99999653175473</v>
      </c>
      <c r="D11484">
        <v>35</v>
      </c>
      <c r="E11484" s="80">
        <v>35789</v>
      </c>
    </row>
    <row r="11485" spans="1:5">
      <c r="A11485">
        <v>10796</v>
      </c>
      <c r="B11485" t="s">
        <v>175</v>
      </c>
      <c r="C11485">
        <v>930.99999653175473</v>
      </c>
      <c r="D11485">
        <v>35</v>
      </c>
      <c r="E11485" s="80">
        <v>35789</v>
      </c>
    </row>
    <row r="11486" spans="1:5">
      <c r="A11486">
        <v>10796</v>
      </c>
      <c r="B11486" t="s">
        <v>176</v>
      </c>
      <c r="C11486">
        <v>930.99999653175473</v>
      </c>
      <c r="D11486">
        <v>35</v>
      </c>
      <c r="E11486" s="80">
        <v>35789</v>
      </c>
    </row>
    <row r="11487" spans="1:5">
      <c r="A11487">
        <v>10796</v>
      </c>
      <c r="B11487" t="s">
        <v>177</v>
      </c>
      <c r="C11487">
        <v>930.99999653175473</v>
      </c>
      <c r="D11487">
        <v>35</v>
      </c>
      <c r="E11487" s="80">
        <v>35789</v>
      </c>
    </row>
    <row r="11488" spans="1:5">
      <c r="A11488">
        <v>10796</v>
      </c>
      <c r="B11488" t="s">
        <v>178</v>
      </c>
      <c r="C11488">
        <v>930.99999653175473</v>
      </c>
      <c r="D11488">
        <v>35</v>
      </c>
      <c r="E11488" s="80">
        <v>35789</v>
      </c>
    </row>
    <row r="11489" spans="1:5">
      <c r="A11489">
        <v>10796</v>
      </c>
      <c r="B11489" t="s">
        <v>179</v>
      </c>
      <c r="C11489">
        <v>930.99999653175473</v>
      </c>
      <c r="D11489">
        <v>35</v>
      </c>
      <c r="E11489" s="80">
        <v>35789</v>
      </c>
    </row>
    <row r="11490" spans="1:5">
      <c r="A11490">
        <v>10796</v>
      </c>
      <c r="B11490" t="s">
        <v>172</v>
      </c>
      <c r="C11490">
        <v>691.19999742507935</v>
      </c>
      <c r="D11490">
        <v>24</v>
      </c>
      <c r="E11490" s="80">
        <v>35789</v>
      </c>
    </row>
    <row r="11491" spans="1:5">
      <c r="A11491">
        <v>10796</v>
      </c>
      <c r="B11491" t="s">
        <v>173</v>
      </c>
      <c r="C11491">
        <v>691.19999742507935</v>
      </c>
      <c r="D11491">
        <v>24</v>
      </c>
      <c r="E11491" s="80">
        <v>35789</v>
      </c>
    </row>
    <row r="11492" spans="1:5">
      <c r="A11492">
        <v>10796</v>
      </c>
      <c r="B11492" t="s">
        <v>174</v>
      </c>
      <c r="C11492">
        <v>691.19999742507935</v>
      </c>
      <c r="D11492">
        <v>24</v>
      </c>
      <c r="E11492" s="80">
        <v>35789</v>
      </c>
    </row>
    <row r="11493" spans="1:5">
      <c r="A11493">
        <v>10796</v>
      </c>
      <c r="B11493" t="s">
        <v>175</v>
      </c>
      <c r="C11493">
        <v>691.19999742507935</v>
      </c>
      <c r="D11493">
        <v>24</v>
      </c>
      <c r="E11493" s="80">
        <v>35789</v>
      </c>
    </row>
    <row r="11494" spans="1:5">
      <c r="A11494">
        <v>10796</v>
      </c>
      <c r="B11494" t="s">
        <v>176</v>
      </c>
      <c r="C11494">
        <v>691.19999742507935</v>
      </c>
      <c r="D11494">
        <v>24</v>
      </c>
      <c r="E11494" s="80">
        <v>35789</v>
      </c>
    </row>
    <row r="11495" spans="1:5">
      <c r="A11495">
        <v>10796</v>
      </c>
      <c r="B11495" t="s">
        <v>177</v>
      </c>
      <c r="C11495">
        <v>691.19999742507935</v>
      </c>
      <c r="D11495">
        <v>24</v>
      </c>
      <c r="E11495" s="80">
        <v>35789</v>
      </c>
    </row>
    <row r="11496" spans="1:5">
      <c r="A11496">
        <v>10796</v>
      </c>
      <c r="B11496" t="s">
        <v>178</v>
      </c>
      <c r="C11496">
        <v>691.19999742507935</v>
      </c>
      <c r="D11496">
        <v>24</v>
      </c>
      <c r="E11496" s="80">
        <v>35789</v>
      </c>
    </row>
    <row r="11497" spans="1:5">
      <c r="A11497">
        <v>10796</v>
      </c>
      <c r="B11497" t="s">
        <v>179</v>
      </c>
      <c r="C11497">
        <v>691.19999742507935</v>
      </c>
      <c r="D11497">
        <v>24</v>
      </c>
      <c r="E11497" s="80">
        <v>35789</v>
      </c>
    </row>
    <row r="11498" spans="1:5">
      <c r="A11498">
        <v>10797</v>
      </c>
      <c r="B11498" t="s">
        <v>172</v>
      </c>
      <c r="C11498">
        <v>420</v>
      </c>
      <c r="D11498">
        <v>20</v>
      </c>
      <c r="E11498" s="80">
        <v>35789</v>
      </c>
    </row>
    <row r="11499" spans="1:5">
      <c r="A11499">
        <v>10797</v>
      </c>
      <c r="B11499" t="s">
        <v>173</v>
      </c>
      <c r="C11499">
        <v>420</v>
      </c>
      <c r="D11499">
        <v>20</v>
      </c>
      <c r="E11499" s="80">
        <v>35789</v>
      </c>
    </row>
    <row r="11500" spans="1:5">
      <c r="A11500">
        <v>10797</v>
      </c>
      <c r="B11500" t="s">
        <v>174</v>
      </c>
      <c r="C11500">
        <v>420</v>
      </c>
      <c r="D11500">
        <v>20</v>
      </c>
      <c r="E11500" s="80">
        <v>35789</v>
      </c>
    </row>
    <row r="11501" spans="1:5">
      <c r="A11501">
        <v>10797</v>
      </c>
      <c r="B11501" t="s">
        <v>175</v>
      </c>
      <c r="C11501">
        <v>420</v>
      </c>
      <c r="D11501">
        <v>20</v>
      </c>
      <c r="E11501" s="80">
        <v>35789</v>
      </c>
    </row>
    <row r="11502" spans="1:5">
      <c r="A11502">
        <v>10797</v>
      </c>
      <c r="B11502" t="s">
        <v>176</v>
      </c>
      <c r="C11502">
        <v>420</v>
      </c>
      <c r="D11502">
        <v>20</v>
      </c>
      <c r="E11502" s="80">
        <v>35789</v>
      </c>
    </row>
    <row r="11503" spans="1:5">
      <c r="A11503">
        <v>10797</v>
      </c>
      <c r="B11503" t="s">
        <v>177</v>
      </c>
      <c r="C11503">
        <v>420</v>
      </c>
      <c r="D11503">
        <v>20</v>
      </c>
      <c r="E11503" s="80">
        <v>35789</v>
      </c>
    </row>
    <row r="11504" spans="1:5">
      <c r="A11504">
        <v>10797</v>
      </c>
      <c r="B11504" t="s">
        <v>178</v>
      </c>
      <c r="C11504">
        <v>420</v>
      </c>
      <c r="D11504">
        <v>20</v>
      </c>
      <c r="E11504" s="80">
        <v>35789</v>
      </c>
    </row>
    <row r="11505" spans="1:5">
      <c r="A11505">
        <v>10797</v>
      </c>
      <c r="B11505" t="s">
        <v>179</v>
      </c>
      <c r="C11505">
        <v>420</v>
      </c>
      <c r="D11505">
        <v>20</v>
      </c>
      <c r="E11505" s="80">
        <v>35789</v>
      </c>
    </row>
    <row r="11506" spans="1:5">
      <c r="A11506">
        <v>10798</v>
      </c>
      <c r="B11506" t="s">
        <v>172</v>
      </c>
      <c r="C11506">
        <v>98.6</v>
      </c>
      <c r="D11506">
        <v>2</v>
      </c>
      <c r="E11506" s="80">
        <v>35790</v>
      </c>
    </row>
    <row r="11507" spans="1:5">
      <c r="A11507">
        <v>10798</v>
      </c>
      <c r="B11507" t="s">
        <v>173</v>
      </c>
      <c r="C11507">
        <v>98.6</v>
      </c>
      <c r="D11507">
        <v>2</v>
      </c>
      <c r="E11507" s="80">
        <v>35790</v>
      </c>
    </row>
    <row r="11508" spans="1:5">
      <c r="A11508">
        <v>10798</v>
      </c>
      <c r="B11508" t="s">
        <v>174</v>
      </c>
      <c r="C11508">
        <v>98.6</v>
      </c>
      <c r="D11508">
        <v>2</v>
      </c>
      <c r="E11508" s="80">
        <v>35790</v>
      </c>
    </row>
    <row r="11509" spans="1:5">
      <c r="A11509">
        <v>10798</v>
      </c>
      <c r="B11509" t="s">
        <v>175</v>
      </c>
      <c r="C11509">
        <v>98.6</v>
      </c>
      <c r="D11509">
        <v>2</v>
      </c>
      <c r="E11509" s="80">
        <v>35790</v>
      </c>
    </row>
    <row r="11510" spans="1:5">
      <c r="A11510">
        <v>10798</v>
      </c>
      <c r="B11510" t="s">
        <v>176</v>
      </c>
      <c r="C11510">
        <v>98.6</v>
      </c>
      <c r="D11510">
        <v>2</v>
      </c>
      <c r="E11510" s="80">
        <v>35790</v>
      </c>
    </row>
    <row r="11511" spans="1:5">
      <c r="A11511">
        <v>10798</v>
      </c>
      <c r="B11511" t="s">
        <v>177</v>
      </c>
      <c r="C11511">
        <v>98.6</v>
      </c>
      <c r="D11511">
        <v>2</v>
      </c>
      <c r="E11511" s="80">
        <v>35790</v>
      </c>
    </row>
    <row r="11512" spans="1:5">
      <c r="A11512">
        <v>10798</v>
      </c>
      <c r="B11512" t="s">
        <v>178</v>
      </c>
      <c r="C11512">
        <v>98.6</v>
      </c>
      <c r="D11512">
        <v>2</v>
      </c>
      <c r="E11512" s="80">
        <v>35790</v>
      </c>
    </row>
    <row r="11513" spans="1:5">
      <c r="A11513">
        <v>10798</v>
      </c>
      <c r="B11513" t="s">
        <v>179</v>
      </c>
      <c r="C11513">
        <v>98.6</v>
      </c>
      <c r="D11513">
        <v>2</v>
      </c>
      <c r="E11513" s="80">
        <v>35790</v>
      </c>
    </row>
    <row r="11514" spans="1:5">
      <c r="A11514">
        <v>10798</v>
      </c>
      <c r="B11514" t="s">
        <v>172</v>
      </c>
      <c r="C11514">
        <v>348</v>
      </c>
      <c r="D11514">
        <v>10</v>
      </c>
      <c r="E11514" s="80">
        <v>35790</v>
      </c>
    </row>
    <row r="11515" spans="1:5">
      <c r="A11515">
        <v>10798</v>
      </c>
      <c r="B11515" t="s">
        <v>173</v>
      </c>
      <c r="C11515">
        <v>348</v>
      </c>
      <c r="D11515">
        <v>10</v>
      </c>
      <c r="E11515" s="80">
        <v>35790</v>
      </c>
    </row>
    <row r="11516" spans="1:5">
      <c r="A11516">
        <v>10798</v>
      </c>
      <c r="B11516" t="s">
        <v>174</v>
      </c>
      <c r="C11516">
        <v>348</v>
      </c>
      <c r="D11516">
        <v>10</v>
      </c>
      <c r="E11516" s="80">
        <v>35790</v>
      </c>
    </row>
    <row r="11517" spans="1:5">
      <c r="A11517">
        <v>10798</v>
      </c>
      <c r="B11517" t="s">
        <v>175</v>
      </c>
      <c r="C11517">
        <v>348</v>
      </c>
      <c r="D11517">
        <v>10</v>
      </c>
      <c r="E11517" s="80">
        <v>35790</v>
      </c>
    </row>
    <row r="11518" spans="1:5">
      <c r="A11518">
        <v>10798</v>
      </c>
      <c r="B11518" t="s">
        <v>176</v>
      </c>
      <c r="C11518">
        <v>348</v>
      </c>
      <c r="D11518">
        <v>10</v>
      </c>
      <c r="E11518" s="80">
        <v>35790</v>
      </c>
    </row>
    <row r="11519" spans="1:5">
      <c r="A11519">
        <v>10798</v>
      </c>
      <c r="B11519" t="s">
        <v>177</v>
      </c>
      <c r="C11519">
        <v>348</v>
      </c>
      <c r="D11519">
        <v>10</v>
      </c>
      <c r="E11519" s="80">
        <v>35790</v>
      </c>
    </row>
    <row r="11520" spans="1:5">
      <c r="A11520">
        <v>10798</v>
      </c>
      <c r="B11520" t="s">
        <v>178</v>
      </c>
      <c r="C11520">
        <v>348</v>
      </c>
      <c r="D11520">
        <v>10</v>
      </c>
      <c r="E11520" s="80">
        <v>35790</v>
      </c>
    </row>
    <row r="11521" spans="1:5">
      <c r="A11521">
        <v>10798</v>
      </c>
      <c r="B11521" t="s">
        <v>179</v>
      </c>
      <c r="C11521">
        <v>348</v>
      </c>
      <c r="D11521">
        <v>10</v>
      </c>
      <c r="E11521" s="80">
        <v>35790</v>
      </c>
    </row>
    <row r="11522" spans="1:5">
      <c r="A11522">
        <v>10799</v>
      </c>
      <c r="B11522" t="s">
        <v>172</v>
      </c>
      <c r="C11522">
        <v>101.99999928474426</v>
      </c>
      <c r="D11522">
        <v>20</v>
      </c>
      <c r="E11522" s="80">
        <v>35790</v>
      </c>
    </row>
    <row r="11523" spans="1:5">
      <c r="A11523">
        <v>10799</v>
      </c>
      <c r="B11523" t="s">
        <v>173</v>
      </c>
      <c r="C11523">
        <v>101.99999928474426</v>
      </c>
      <c r="D11523">
        <v>20</v>
      </c>
      <c r="E11523" s="80">
        <v>35790</v>
      </c>
    </row>
    <row r="11524" spans="1:5">
      <c r="A11524">
        <v>10799</v>
      </c>
      <c r="B11524" t="s">
        <v>174</v>
      </c>
      <c r="C11524">
        <v>101.99999928474426</v>
      </c>
      <c r="D11524">
        <v>20</v>
      </c>
      <c r="E11524" s="80">
        <v>35790</v>
      </c>
    </row>
    <row r="11525" spans="1:5">
      <c r="A11525">
        <v>10799</v>
      </c>
      <c r="B11525" t="s">
        <v>175</v>
      </c>
      <c r="C11525">
        <v>101.99999928474426</v>
      </c>
      <c r="D11525">
        <v>20</v>
      </c>
      <c r="E11525" s="80">
        <v>35790</v>
      </c>
    </row>
    <row r="11526" spans="1:5">
      <c r="A11526">
        <v>10799</v>
      </c>
      <c r="B11526" t="s">
        <v>176</v>
      </c>
      <c r="C11526">
        <v>101.99999928474426</v>
      </c>
      <c r="D11526">
        <v>20</v>
      </c>
      <c r="E11526" s="80">
        <v>35790</v>
      </c>
    </row>
    <row r="11527" spans="1:5">
      <c r="A11527">
        <v>10799</v>
      </c>
      <c r="B11527" t="s">
        <v>177</v>
      </c>
      <c r="C11527">
        <v>101.99999928474426</v>
      </c>
      <c r="D11527">
        <v>20</v>
      </c>
      <c r="E11527" s="80">
        <v>35790</v>
      </c>
    </row>
    <row r="11528" spans="1:5">
      <c r="A11528">
        <v>10799</v>
      </c>
      <c r="B11528" t="s">
        <v>178</v>
      </c>
      <c r="C11528">
        <v>101.99999928474426</v>
      </c>
      <c r="D11528">
        <v>20</v>
      </c>
      <c r="E11528" s="80">
        <v>35790</v>
      </c>
    </row>
    <row r="11529" spans="1:5">
      <c r="A11529">
        <v>10799</v>
      </c>
      <c r="B11529" t="s">
        <v>179</v>
      </c>
      <c r="C11529">
        <v>101.99999928474426</v>
      </c>
      <c r="D11529">
        <v>20</v>
      </c>
      <c r="E11529" s="80">
        <v>35790</v>
      </c>
    </row>
    <row r="11530" spans="1:5">
      <c r="A11530">
        <v>10799</v>
      </c>
      <c r="B11530" t="s">
        <v>172</v>
      </c>
      <c r="C11530">
        <v>76.499999463558197</v>
      </c>
      <c r="D11530">
        <v>20</v>
      </c>
      <c r="E11530" s="80">
        <v>35790</v>
      </c>
    </row>
    <row r="11531" spans="1:5">
      <c r="A11531">
        <v>10799</v>
      </c>
      <c r="B11531" t="s">
        <v>173</v>
      </c>
      <c r="C11531">
        <v>76.499999463558197</v>
      </c>
      <c r="D11531">
        <v>20</v>
      </c>
      <c r="E11531" s="80">
        <v>35790</v>
      </c>
    </row>
    <row r="11532" spans="1:5">
      <c r="A11532">
        <v>10799</v>
      </c>
      <c r="B11532" t="s">
        <v>174</v>
      </c>
      <c r="C11532">
        <v>76.499999463558197</v>
      </c>
      <c r="D11532">
        <v>20</v>
      </c>
      <c r="E11532" s="80">
        <v>35790</v>
      </c>
    </row>
    <row r="11533" spans="1:5">
      <c r="A11533">
        <v>10799</v>
      </c>
      <c r="B11533" t="s">
        <v>175</v>
      </c>
      <c r="C11533">
        <v>76.499999463558197</v>
      </c>
      <c r="D11533">
        <v>20</v>
      </c>
      <c r="E11533" s="80">
        <v>35790</v>
      </c>
    </row>
    <row r="11534" spans="1:5">
      <c r="A11534">
        <v>10799</v>
      </c>
      <c r="B11534" t="s">
        <v>176</v>
      </c>
      <c r="C11534">
        <v>76.499999463558197</v>
      </c>
      <c r="D11534">
        <v>20</v>
      </c>
      <c r="E11534" s="80">
        <v>35790</v>
      </c>
    </row>
    <row r="11535" spans="1:5">
      <c r="A11535">
        <v>10799</v>
      </c>
      <c r="B11535" t="s">
        <v>177</v>
      </c>
      <c r="C11535">
        <v>76.499999463558197</v>
      </c>
      <c r="D11535">
        <v>20</v>
      </c>
      <c r="E11535" s="80">
        <v>35790</v>
      </c>
    </row>
    <row r="11536" spans="1:5">
      <c r="A11536">
        <v>10799</v>
      </c>
      <c r="B11536" t="s">
        <v>178</v>
      </c>
      <c r="C11536">
        <v>76.499999463558197</v>
      </c>
      <c r="D11536">
        <v>20</v>
      </c>
      <c r="E11536" s="80">
        <v>35790</v>
      </c>
    </row>
    <row r="11537" spans="1:5">
      <c r="A11537">
        <v>10799</v>
      </c>
      <c r="B11537" t="s">
        <v>179</v>
      </c>
      <c r="C11537">
        <v>76.499999463558197</v>
      </c>
      <c r="D11537">
        <v>20</v>
      </c>
      <c r="E11537" s="80">
        <v>35790</v>
      </c>
    </row>
    <row r="11538" spans="1:5">
      <c r="A11538">
        <v>10799</v>
      </c>
      <c r="B11538" t="s">
        <v>172</v>
      </c>
      <c r="C11538">
        <v>1375</v>
      </c>
      <c r="D11538">
        <v>25</v>
      </c>
      <c r="E11538" s="80">
        <v>35790</v>
      </c>
    </row>
    <row r="11539" spans="1:5">
      <c r="A11539">
        <v>10799</v>
      </c>
      <c r="B11539" t="s">
        <v>173</v>
      </c>
      <c r="C11539">
        <v>1375</v>
      </c>
      <c r="D11539">
        <v>25</v>
      </c>
      <c r="E11539" s="80">
        <v>35790</v>
      </c>
    </row>
    <row r="11540" spans="1:5">
      <c r="A11540">
        <v>10799</v>
      </c>
      <c r="B11540" t="s">
        <v>174</v>
      </c>
      <c r="C11540">
        <v>1375</v>
      </c>
      <c r="D11540">
        <v>25</v>
      </c>
      <c r="E11540" s="80">
        <v>35790</v>
      </c>
    </row>
    <row r="11541" spans="1:5">
      <c r="A11541">
        <v>10799</v>
      </c>
      <c r="B11541" t="s">
        <v>175</v>
      </c>
      <c r="C11541">
        <v>1375</v>
      </c>
      <c r="D11541">
        <v>25</v>
      </c>
      <c r="E11541" s="80">
        <v>35790</v>
      </c>
    </row>
    <row r="11542" spans="1:5">
      <c r="A11542">
        <v>10799</v>
      </c>
      <c r="B11542" t="s">
        <v>176</v>
      </c>
      <c r="C11542">
        <v>1375</v>
      </c>
      <c r="D11542">
        <v>25</v>
      </c>
      <c r="E11542" s="80">
        <v>35790</v>
      </c>
    </row>
    <row r="11543" spans="1:5">
      <c r="A11543">
        <v>10799</v>
      </c>
      <c r="B11543" t="s">
        <v>177</v>
      </c>
      <c r="C11543">
        <v>1375</v>
      </c>
      <c r="D11543">
        <v>25</v>
      </c>
      <c r="E11543" s="80">
        <v>35790</v>
      </c>
    </row>
    <row r="11544" spans="1:5">
      <c r="A11544">
        <v>10799</v>
      </c>
      <c r="B11544" t="s">
        <v>178</v>
      </c>
      <c r="C11544">
        <v>1375</v>
      </c>
      <c r="D11544">
        <v>25</v>
      </c>
      <c r="E11544" s="80">
        <v>35790</v>
      </c>
    </row>
    <row r="11545" spans="1:5">
      <c r="A11545">
        <v>10799</v>
      </c>
      <c r="B11545" t="s">
        <v>179</v>
      </c>
      <c r="C11545">
        <v>1375</v>
      </c>
      <c r="D11545">
        <v>25</v>
      </c>
      <c r="E11545" s="80">
        <v>35790</v>
      </c>
    </row>
    <row r="11546" spans="1:5">
      <c r="A11546">
        <v>10800</v>
      </c>
      <c r="B11546" t="s">
        <v>172</v>
      </c>
      <c r="C11546">
        <v>944.99999843537807</v>
      </c>
      <c r="D11546">
        <v>50</v>
      </c>
      <c r="E11546" s="80">
        <v>35790</v>
      </c>
    </row>
    <row r="11547" spans="1:5">
      <c r="A11547">
        <v>10800</v>
      </c>
      <c r="B11547" t="s">
        <v>173</v>
      </c>
      <c r="C11547">
        <v>944.99999843537807</v>
      </c>
      <c r="D11547">
        <v>50</v>
      </c>
      <c r="E11547" s="80">
        <v>35790</v>
      </c>
    </row>
    <row r="11548" spans="1:5">
      <c r="A11548">
        <v>10800</v>
      </c>
      <c r="B11548" t="s">
        <v>174</v>
      </c>
      <c r="C11548">
        <v>944.99999843537807</v>
      </c>
      <c r="D11548">
        <v>50</v>
      </c>
      <c r="E11548" s="80">
        <v>35790</v>
      </c>
    </row>
    <row r="11549" spans="1:5">
      <c r="A11549">
        <v>10800</v>
      </c>
      <c r="B11549" t="s">
        <v>175</v>
      </c>
      <c r="C11549">
        <v>944.99999843537807</v>
      </c>
      <c r="D11549">
        <v>50</v>
      </c>
      <c r="E11549" s="80">
        <v>35790</v>
      </c>
    </row>
    <row r="11550" spans="1:5">
      <c r="A11550">
        <v>10800</v>
      </c>
      <c r="B11550" t="s">
        <v>176</v>
      </c>
      <c r="C11550">
        <v>944.99999843537807</v>
      </c>
      <c r="D11550">
        <v>50</v>
      </c>
      <c r="E11550" s="80">
        <v>35790</v>
      </c>
    </row>
    <row r="11551" spans="1:5">
      <c r="A11551">
        <v>10800</v>
      </c>
      <c r="B11551" t="s">
        <v>177</v>
      </c>
      <c r="C11551">
        <v>944.99999843537807</v>
      </c>
      <c r="D11551">
        <v>50</v>
      </c>
      <c r="E11551" s="80">
        <v>35790</v>
      </c>
    </row>
    <row r="11552" spans="1:5">
      <c r="A11552">
        <v>10800</v>
      </c>
      <c r="B11552" t="s">
        <v>178</v>
      </c>
      <c r="C11552">
        <v>944.99999843537807</v>
      </c>
      <c r="D11552">
        <v>50</v>
      </c>
      <c r="E11552" s="80">
        <v>35790</v>
      </c>
    </row>
    <row r="11553" spans="1:5">
      <c r="A11553">
        <v>10800</v>
      </c>
      <c r="B11553" t="s">
        <v>179</v>
      </c>
      <c r="C11553">
        <v>944.99999843537807</v>
      </c>
      <c r="D11553">
        <v>50</v>
      </c>
      <c r="E11553" s="80">
        <v>35790</v>
      </c>
    </row>
    <row r="11554" spans="1:5">
      <c r="A11554">
        <v>10800</v>
      </c>
      <c r="B11554" t="s">
        <v>172</v>
      </c>
      <c r="C11554">
        <v>476.99999921023846</v>
      </c>
      <c r="D11554">
        <v>10</v>
      </c>
      <c r="E11554" s="80">
        <v>35790</v>
      </c>
    </row>
    <row r="11555" spans="1:5">
      <c r="A11555">
        <v>10800</v>
      </c>
      <c r="B11555" t="s">
        <v>173</v>
      </c>
      <c r="C11555">
        <v>476.99999921023846</v>
      </c>
      <c r="D11555">
        <v>10</v>
      </c>
      <c r="E11555" s="80">
        <v>35790</v>
      </c>
    </row>
    <row r="11556" spans="1:5">
      <c r="A11556">
        <v>10800</v>
      </c>
      <c r="B11556" t="s">
        <v>174</v>
      </c>
      <c r="C11556">
        <v>476.99999921023846</v>
      </c>
      <c r="D11556">
        <v>10</v>
      </c>
      <c r="E11556" s="80">
        <v>35790</v>
      </c>
    </row>
    <row r="11557" spans="1:5">
      <c r="A11557">
        <v>10800</v>
      </c>
      <c r="B11557" t="s">
        <v>175</v>
      </c>
      <c r="C11557">
        <v>476.99999921023846</v>
      </c>
      <c r="D11557">
        <v>10</v>
      </c>
      <c r="E11557" s="80">
        <v>35790</v>
      </c>
    </row>
    <row r="11558" spans="1:5">
      <c r="A11558">
        <v>10800</v>
      </c>
      <c r="B11558" t="s">
        <v>176</v>
      </c>
      <c r="C11558">
        <v>476.99999921023846</v>
      </c>
      <c r="D11558">
        <v>10</v>
      </c>
      <c r="E11558" s="80">
        <v>35790</v>
      </c>
    </row>
    <row r="11559" spans="1:5">
      <c r="A11559">
        <v>10800</v>
      </c>
      <c r="B11559" t="s">
        <v>177</v>
      </c>
      <c r="C11559">
        <v>476.99999921023846</v>
      </c>
      <c r="D11559">
        <v>10</v>
      </c>
      <c r="E11559" s="80">
        <v>35790</v>
      </c>
    </row>
    <row r="11560" spans="1:5">
      <c r="A11560">
        <v>10800</v>
      </c>
      <c r="B11560" t="s">
        <v>178</v>
      </c>
      <c r="C11560">
        <v>476.99999921023846</v>
      </c>
      <c r="D11560">
        <v>10</v>
      </c>
      <c r="E11560" s="80">
        <v>35790</v>
      </c>
    </row>
    <row r="11561" spans="1:5">
      <c r="A11561">
        <v>10800</v>
      </c>
      <c r="B11561" t="s">
        <v>179</v>
      </c>
      <c r="C11561">
        <v>476.99999921023846</v>
      </c>
      <c r="D11561">
        <v>10</v>
      </c>
      <c r="E11561" s="80">
        <v>35790</v>
      </c>
    </row>
    <row r="11562" spans="1:5">
      <c r="A11562">
        <v>10800</v>
      </c>
      <c r="B11562" t="s">
        <v>172</v>
      </c>
      <c r="C11562">
        <v>46.934999922290444</v>
      </c>
      <c r="D11562">
        <v>7</v>
      </c>
      <c r="E11562" s="80">
        <v>35790</v>
      </c>
    </row>
    <row r="11563" spans="1:5">
      <c r="A11563">
        <v>10800</v>
      </c>
      <c r="B11563" t="s">
        <v>173</v>
      </c>
      <c r="C11563">
        <v>46.934999922290444</v>
      </c>
      <c r="D11563">
        <v>7</v>
      </c>
      <c r="E11563" s="80">
        <v>35790</v>
      </c>
    </row>
    <row r="11564" spans="1:5">
      <c r="A11564">
        <v>10800</v>
      </c>
      <c r="B11564" t="s">
        <v>174</v>
      </c>
      <c r="C11564">
        <v>46.934999922290444</v>
      </c>
      <c r="D11564">
        <v>7</v>
      </c>
      <c r="E11564" s="80">
        <v>35790</v>
      </c>
    </row>
    <row r="11565" spans="1:5">
      <c r="A11565">
        <v>10800</v>
      </c>
      <c r="B11565" t="s">
        <v>175</v>
      </c>
      <c r="C11565">
        <v>46.934999922290444</v>
      </c>
      <c r="D11565">
        <v>7</v>
      </c>
      <c r="E11565" s="80">
        <v>35790</v>
      </c>
    </row>
    <row r="11566" spans="1:5">
      <c r="A11566">
        <v>10800</v>
      </c>
      <c r="B11566" t="s">
        <v>176</v>
      </c>
      <c r="C11566">
        <v>46.934999922290444</v>
      </c>
      <c r="D11566">
        <v>7</v>
      </c>
      <c r="E11566" s="80">
        <v>35790</v>
      </c>
    </row>
    <row r="11567" spans="1:5">
      <c r="A11567">
        <v>10800</v>
      </c>
      <c r="B11567" t="s">
        <v>177</v>
      </c>
      <c r="C11567">
        <v>46.934999922290444</v>
      </c>
      <c r="D11567">
        <v>7</v>
      </c>
      <c r="E11567" s="80">
        <v>35790</v>
      </c>
    </row>
    <row r="11568" spans="1:5">
      <c r="A11568">
        <v>10800</v>
      </c>
      <c r="B11568" t="s">
        <v>178</v>
      </c>
      <c r="C11568">
        <v>46.934999922290444</v>
      </c>
      <c r="D11568">
        <v>7</v>
      </c>
      <c r="E11568" s="80">
        <v>35790</v>
      </c>
    </row>
    <row r="11569" spans="1:5">
      <c r="A11569">
        <v>10800</v>
      </c>
      <c r="B11569" t="s">
        <v>179</v>
      </c>
      <c r="C11569">
        <v>46.934999922290444</v>
      </c>
      <c r="D11569">
        <v>7</v>
      </c>
      <c r="E11569" s="80">
        <v>35790</v>
      </c>
    </row>
    <row r="11570" spans="1:5">
      <c r="A11570">
        <v>10801</v>
      </c>
      <c r="B11570" t="s">
        <v>172</v>
      </c>
      <c r="C11570">
        <v>1170</v>
      </c>
      <c r="D11570">
        <v>40</v>
      </c>
      <c r="E11570" s="80">
        <v>35793</v>
      </c>
    </row>
    <row r="11571" spans="1:5">
      <c r="A11571">
        <v>10801</v>
      </c>
      <c r="B11571" t="s">
        <v>173</v>
      </c>
      <c r="C11571">
        <v>1170</v>
      </c>
      <c r="D11571">
        <v>40</v>
      </c>
      <c r="E11571" s="80">
        <v>35793</v>
      </c>
    </row>
    <row r="11572" spans="1:5">
      <c r="A11572">
        <v>10801</v>
      </c>
      <c r="B11572" t="s">
        <v>174</v>
      </c>
      <c r="C11572">
        <v>1170</v>
      </c>
      <c r="D11572">
        <v>40</v>
      </c>
      <c r="E11572" s="80">
        <v>35793</v>
      </c>
    </row>
    <row r="11573" spans="1:5">
      <c r="A11573">
        <v>10801</v>
      </c>
      <c r="B11573" t="s">
        <v>175</v>
      </c>
      <c r="C11573">
        <v>1170</v>
      </c>
      <c r="D11573">
        <v>40</v>
      </c>
      <c r="E11573" s="80">
        <v>35793</v>
      </c>
    </row>
    <row r="11574" spans="1:5">
      <c r="A11574">
        <v>10801</v>
      </c>
      <c r="B11574" t="s">
        <v>176</v>
      </c>
      <c r="C11574">
        <v>1170</v>
      </c>
      <c r="D11574">
        <v>40</v>
      </c>
      <c r="E11574" s="80">
        <v>35793</v>
      </c>
    </row>
    <row r="11575" spans="1:5">
      <c r="A11575">
        <v>10801</v>
      </c>
      <c r="B11575" t="s">
        <v>177</v>
      </c>
      <c r="C11575">
        <v>1170</v>
      </c>
      <c r="D11575">
        <v>40</v>
      </c>
      <c r="E11575" s="80">
        <v>35793</v>
      </c>
    </row>
    <row r="11576" spans="1:5">
      <c r="A11576">
        <v>10801</v>
      </c>
      <c r="B11576" t="s">
        <v>178</v>
      </c>
      <c r="C11576">
        <v>1170</v>
      </c>
      <c r="D11576">
        <v>40</v>
      </c>
      <c r="E11576" s="80">
        <v>35793</v>
      </c>
    </row>
    <row r="11577" spans="1:5">
      <c r="A11577">
        <v>10801</v>
      </c>
      <c r="B11577" t="s">
        <v>179</v>
      </c>
      <c r="C11577">
        <v>1170</v>
      </c>
      <c r="D11577">
        <v>40</v>
      </c>
      <c r="E11577" s="80">
        <v>35793</v>
      </c>
    </row>
    <row r="11578" spans="1:5">
      <c r="A11578">
        <v>10801</v>
      </c>
      <c r="B11578" t="s">
        <v>172</v>
      </c>
      <c r="C11578">
        <v>1856.8500000000001</v>
      </c>
      <c r="D11578">
        <v>20</v>
      </c>
      <c r="E11578" s="80">
        <v>35793</v>
      </c>
    </row>
    <row r="11579" spans="1:5">
      <c r="A11579">
        <v>10801</v>
      </c>
      <c r="B11579" t="s">
        <v>173</v>
      </c>
      <c r="C11579">
        <v>1856.8500000000001</v>
      </c>
      <c r="D11579">
        <v>20</v>
      </c>
      <c r="E11579" s="80">
        <v>35793</v>
      </c>
    </row>
    <row r="11580" spans="1:5">
      <c r="A11580">
        <v>10801</v>
      </c>
      <c r="B11580" t="s">
        <v>174</v>
      </c>
      <c r="C11580">
        <v>1856.8500000000001</v>
      </c>
      <c r="D11580">
        <v>20</v>
      </c>
      <c r="E11580" s="80">
        <v>35793</v>
      </c>
    </row>
    <row r="11581" spans="1:5">
      <c r="A11581">
        <v>10801</v>
      </c>
      <c r="B11581" t="s">
        <v>175</v>
      </c>
      <c r="C11581">
        <v>1856.8500000000001</v>
      </c>
      <c r="D11581">
        <v>20</v>
      </c>
      <c r="E11581" s="80">
        <v>35793</v>
      </c>
    </row>
    <row r="11582" spans="1:5">
      <c r="A11582">
        <v>10801</v>
      </c>
      <c r="B11582" t="s">
        <v>176</v>
      </c>
      <c r="C11582">
        <v>1856.8500000000001</v>
      </c>
      <c r="D11582">
        <v>20</v>
      </c>
      <c r="E11582" s="80">
        <v>35793</v>
      </c>
    </row>
    <row r="11583" spans="1:5">
      <c r="A11583">
        <v>10801</v>
      </c>
      <c r="B11583" t="s">
        <v>177</v>
      </c>
      <c r="C11583">
        <v>1856.8500000000001</v>
      </c>
      <c r="D11583">
        <v>20</v>
      </c>
      <c r="E11583" s="80">
        <v>35793</v>
      </c>
    </row>
    <row r="11584" spans="1:5">
      <c r="A11584">
        <v>10801</v>
      </c>
      <c r="B11584" t="s">
        <v>178</v>
      </c>
      <c r="C11584">
        <v>1856.8500000000001</v>
      </c>
      <c r="D11584">
        <v>20</v>
      </c>
      <c r="E11584" s="80">
        <v>35793</v>
      </c>
    </row>
    <row r="11585" spans="1:5">
      <c r="A11585">
        <v>10801</v>
      </c>
      <c r="B11585" t="s">
        <v>179</v>
      </c>
      <c r="C11585">
        <v>1856.8500000000001</v>
      </c>
      <c r="D11585">
        <v>20</v>
      </c>
      <c r="E11585" s="80">
        <v>35793</v>
      </c>
    </row>
    <row r="11586" spans="1:5">
      <c r="A11586">
        <v>10802</v>
      </c>
      <c r="B11586" t="s">
        <v>172</v>
      </c>
      <c r="C11586">
        <v>485.4375</v>
      </c>
      <c r="D11586">
        <v>25</v>
      </c>
      <c r="E11586" s="80">
        <v>35793</v>
      </c>
    </row>
    <row r="11587" spans="1:5">
      <c r="A11587">
        <v>10802</v>
      </c>
      <c r="B11587" t="s">
        <v>173</v>
      </c>
      <c r="C11587">
        <v>485.4375</v>
      </c>
      <c r="D11587">
        <v>25</v>
      </c>
      <c r="E11587" s="80">
        <v>35793</v>
      </c>
    </row>
    <row r="11588" spans="1:5">
      <c r="A11588">
        <v>10802</v>
      </c>
      <c r="B11588" t="s">
        <v>174</v>
      </c>
      <c r="C11588">
        <v>485.4375</v>
      </c>
      <c r="D11588">
        <v>25</v>
      </c>
      <c r="E11588" s="80">
        <v>35793</v>
      </c>
    </row>
    <row r="11589" spans="1:5">
      <c r="A11589">
        <v>10802</v>
      </c>
      <c r="B11589" t="s">
        <v>175</v>
      </c>
      <c r="C11589">
        <v>485.4375</v>
      </c>
      <c r="D11589">
        <v>25</v>
      </c>
      <c r="E11589" s="80">
        <v>35793</v>
      </c>
    </row>
    <row r="11590" spans="1:5">
      <c r="A11590">
        <v>10802</v>
      </c>
      <c r="B11590" t="s">
        <v>176</v>
      </c>
      <c r="C11590">
        <v>485.4375</v>
      </c>
      <c r="D11590">
        <v>25</v>
      </c>
      <c r="E11590" s="80">
        <v>35793</v>
      </c>
    </row>
    <row r="11591" spans="1:5">
      <c r="A11591">
        <v>10802</v>
      </c>
      <c r="B11591" t="s">
        <v>177</v>
      </c>
      <c r="C11591">
        <v>485.4375</v>
      </c>
      <c r="D11591">
        <v>25</v>
      </c>
      <c r="E11591" s="80">
        <v>35793</v>
      </c>
    </row>
    <row r="11592" spans="1:5">
      <c r="A11592">
        <v>10802</v>
      </c>
      <c r="B11592" t="s">
        <v>178</v>
      </c>
      <c r="C11592">
        <v>485.4375</v>
      </c>
      <c r="D11592">
        <v>25</v>
      </c>
      <c r="E11592" s="80">
        <v>35793</v>
      </c>
    </row>
    <row r="11593" spans="1:5">
      <c r="A11593">
        <v>10802</v>
      </c>
      <c r="B11593" t="s">
        <v>179</v>
      </c>
      <c r="C11593">
        <v>485.4375</v>
      </c>
      <c r="D11593">
        <v>25</v>
      </c>
      <c r="E11593" s="80">
        <v>35793</v>
      </c>
    </row>
    <row r="11594" spans="1:5">
      <c r="A11594">
        <v>10802</v>
      </c>
      <c r="B11594" t="s">
        <v>172</v>
      </c>
      <c r="C11594">
        <v>1192.5</v>
      </c>
      <c r="D11594">
        <v>30</v>
      </c>
      <c r="E11594" s="80">
        <v>35793</v>
      </c>
    </row>
    <row r="11595" spans="1:5">
      <c r="A11595">
        <v>10802</v>
      </c>
      <c r="B11595" t="s">
        <v>173</v>
      </c>
      <c r="C11595">
        <v>1192.5</v>
      </c>
      <c r="D11595">
        <v>30</v>
      </c>
      <c r="E11595" s="80">
        <v>35793</v>
      </c>
    </row>
    <row r="11596" spans="1:5">
      <c r="A11596">
        <v>10802</v>
      </c>
      <c r="B11596" t="s">
        <v>174</v>
      </c>
      <c r="C11596">
        <v>1192.5</v>
      </c>
      <c r="D11596">
        <v>30</v>
      </c>
      <c r="E11596" s="80">
        <v>35793</v>
      </c>
    </row>
    <row r="11597" spans="1:5">
      <c r="A11597">
        <v>10802</v>
      </c>
      <c r="B11597" t="s">
        <v>175</v>
      </c>
      <c r="C11597">
        <v>1192.5</v>
      </c>
      <c r="D11597">
        <v>30</v>
      </c>
      <c r="E11597" s="80">
        <v>35793</v>
      </c>
    </row>
    <row r="11598" spans="1:5">
      <c r="A11598">
        <v>10802</v>
      </c>
      <c r="B11598" t="s">
        <v>176</v>
      </c>
      <c r="C11598">
        <v>1192.5</v>
      </c>
      <c r="D11598">
        <v>30</v>
      </c>
      <c r="E11598" s="80">
        <v>35793</v>
      </c>
    </row>
    <row r="11599" spans="1:5">
      <c r="A11599">
        <v>10802</v>
      </c>
      <c r="B11599" t="s">
        <v>177</v>
      </c>
      <c r="C11599">
        <v>1192.5</v>
      </c>
      <c r="D11599">
        <v>30</v>
      </c>
      <c r="E11599" s="80">
        <v>35793</v>
      </c>
    </row>
    <row r="11600" spans="1:5">
      <c r="A11600">
        <v>10802</v>
      </c>
      <c r="B11600" t="s">
        <v>178</v>
      </c>
      <c r="C11600">
        <v>1192.5</v>
      </c>
      <c r="D11600">
        <v>30</v>
      </c>
      <c r="E11600" s="80">
        <v>35793</v>
      </c>
    </row>
    <row r="11601" spans="1:5">
      <c r="A11601">
        <v>10802</v>
      </c>
      <c r="B11601" t="s">
        <v>179</v>
      </c>
      <c r="C11601">
        <v>1192.5</v>
      </c>
      <c r="D11601">
        <v>30</v>
      </c>
      <c r="E11601" s="80">
        <v>35793</v>
      </c>
    </row>
    <row r="11602" spans="1:5">
      <c r="A11602">
        <v>10802</v>
      </c>
      <c r="B11602" t="s">
        <v>172</v>
      </c>
      <c r="C11602">
        <v>1080</v>
      </c>
      <c r="D11602">
        <v>60</v>
      </c>
      <c r="E11602" s="80">
        <v>35793</v>
      </c>
    </row>
    <row r="11603" spans="1:5">
      <c r="A11603">
        <v>10802</v>
      </c>
      <c r="B11603" t="s">
        <v>173</v>
      </c>
      <c r="C11603">
        <v>1080</v>
      </c>
      <c r="D11603">
        <v>60</v>
      </c>
      <c r="E11603" s="80">
        <v>35793</v>
      </c>
    </row>
    <row r="11604" spans="1:5">
      <c r="A11604">
        <v>10802</v>
      </c>
      <c r="B11604" t="s">
        <v>174</v>
      </c>
      <c r="C11604">
        <v>1080</v>
      </c>
      <c r="D11604">
        <v>60</v>
      </c>
      <c r="E11604" s="80">
        <v>35793</v>
      </c>
    </row>
    <row r="11605" spans="1:5">
      <c r="A11605">
        <v>10802</v>
      </c>
      <c r="B11605" t="s">
        <v>175</v>
      </c>
      <c r="C11605">
        <v>1080</v>
      </c>
      <c r="D11605">
        <v>60</v>
      </c>
      <c r="E11605" s="80">
        <v>35793</v>
      </c>
    </row>
    <row r="11606" spans="1:5">
      <c r="A11606">
        <v>10802</v>
      </c>
      <c r="B11606" t="s">
        <v>176</v>
      </c>
      <c r="C11606">
        <v>1080</v>
      </c>
      <c r="D11606">
        <v>60</v>
      </c>
      <c r="E11606" s="80">
        <v>35793</v>
      </c>
    </row>
    <row r="11607" spans="1:5">
      <c r="A11607">
        <v>10802</v>
      </c>
      <c r="B11607" t="s">
        <v>177</v>
      </c>
      <c r="C11607">
        <v>1080</v>
      </c>
      <c r="D11607">
        <v>60</v>
      </c>
      <c r="E11607" s="80">
        <v>35793</v>
      </c>
    </row>
    <row r="11608" spans="1:5">
      <c r="A11608">
        <v>10802</v>
      </c>
      <c r="B11608" t="s">
        <v>178</v>
      </c>
      <c r="C11608">
        <v>1080</v>
      </c>
      <c r="D11608">
        <v>60</v>
      </c>
      <c r="E11608" s="80">
        <v>35793</v>
      </c>
    </row>
    <row r="11609" spans="1:5">
      <c r="A11609">
        <v>10802</v>
      </c>
      <c r="B11609" t="s">
        <v>179</v>
      </c>
      <c r="C11609">
        <v>1080</v>
      </c>
      <c r="D11609">
        <v>60</v>
      </c>
      <c r="E11609" s="80">
        <v>35793</v>
      </c>
    </row>
    <row r="11610" spans="1:5">
      <c r="A11610">
        <v>10802</v>
      </c>
      <c r="B11610" t="s">
        <v>172</v>
      </c>
      <c r="C11610">
        <v>184.875</v>
      </c>
      <c r="D11610">
        <v>5</v>
      </c>
      <c r="E11610" s="80">
        <v>35793</v>
      </c>
    </row>
    <row r="11611" spans="1:5">
      <c r="A11611">
        <v>10802</v>
      </c>
      <c r="B11611" t="s">
        <v>173</v>
      </c>
      <c r="C11611">
        <v>184.875</v>
      </c>
      <c r="D11611">
        <v>5</v>
      </c>
      <c r="E11611" s="80">
        <v>35793</v>
      </c>
    </row>
    <row r="11612" spans="1:5">
      <c r="A11612">
        <v>10802</v>
      </c>
      <c r="B11612" t="s">
        <v>174</v>
      </c>
      <c r="C11612">
        <v>184.875</v>
      </c>
      <c r="D11612">
        <v>5</v>
      </c>
      <c r="E11612" s="80">
        <v>35793</v>
      </c>
    </row>
    <row r="11613" spans="1:5">
      <c r="A11613">
        <v>10802</v>
      </c>
      <c r="B11613" t="s">
        <v>175</v>
      </c>
      <c r="C11613">
        <v>184.875</v>
      </c>
      <c r="D11613">
        <v>5</v>
      </c>
      <c r="E11613" s="80">
        <v>35793</v>
      </c>
    </row>
    <row r="11614" spans="1:5">
      <c r="A11614">
        <v>10802</v>
      </c>
      <c r="B11614" t="s">
        <v>176</v>
      </c>
      <c r="C11614">
        <v>184.875</v>
      </c>
      <c r="D11614">
        <v>5</v>
      </c>
      <c r="E11614" s="80">
        <v>35793</v>
      </c>
    </row>
    <row r="11615" spans="1:5">
      <c r="A11615">
        <v>10802</v>
      </c>
      <c r="B11615" t="s">
        <v>177</v>
      </c>
      <c r="C11615">
        <v>184.875</v>
      </c>
      <c r="D11615">
        <v>5</v>
      </c>
      <c r="E11615" s="80">
        <v>35793</v>
      </c>
    </row>
    <row r="11616" spans="1:5">
      <c r="A11616">
        <v>10802</v>
      </c>
      <c r="B11616" t="s">
        <v>178</v>
      </c>
      <c r="C11616">
        <v>184.875</v>
      </c>
      <c r="D11616">
        <v>5</v>
      </c>
      <c r="E11616" s="80">
        <v>35793</v>
      </c>
    </row>
    <row r="11617" spans="1:5">
      <c r="A11617">
        <v>10802</v>
      </c>
      <c r="B11617" t="s">
        <v>179</v>
      </c>
      <c r="C11617">
        <v>184.875</v>
      </c>
      <c r="D11617">
        <v>5</v>
      </c>
      <c r="E11617" s="80">
        <v>35793</v>
      </c>
    </row>
    <row r="11618" spans="1:5">
      <c r="A11618">
        <v>10803</v>
      </c>
      <c r="B11618" t="s">
        <v>172</v>
      </c>
      <c r="C11618">
        <v>209.75999983549119</v>
      </c>
      <c r="D11618">
        <v>24</v>
      </c>
      <c r="E11618" s="80">
        <v>35794</v>
      </c>
    </row>
    <row r="11619" spans="1:5">
      <c r="A11619">
        <v>10803</v>
      </c>
      <c r="B11619" t="s">
        <v>173</v>
      </c>
      <c r="C11619">
        <v>209.75999983549119</v>
      </c>
      <c r="D11619">
        <v>24</v>
      </c>
      <c r="E11619" s="80">
        <v>35794</v>
      </c>
    </row>
    <row r="11620" spans="1:5">
      <c r="A11620">
        <v>10803</v>
      </c>
      <c r="B11620" t="s">
        <v>174</v>
      </c>
      <c r="C11620">
        <v>209.75999983549119</v>
      </c>
      <c r="D11620">
        <v>24</v>
      </c>
      <c r="E11620" s="80">
        <v>35794</v>
      </c>
    </row>
    <row r="11621" spans="1:5">
      <c r="A11621">
        <v>10803</v>
      </c>
      <c r="B11621" t="s">
        <v>175</v>
      </c>
      <c r="C11621">
        <v>209.75999983549119</v>
      </c>
      <c r="D11621">
        <v>24</v>
      </c>
      <c r="E11621" s="80">
        <v>35794</v>
      </c>
    </row>
    <row r="11622" spans="1:5">
      <c r="A11622">
        <v>10803</v>
      </c>
      <c r="B11622" t="s">
        <v>176</v>
      </c>
      <c r="C11622">
        <v>209.75999983549119</v>
      </c>
      <c r="D11622">
        <v>24</v>
      </c>
      <c r="E11622" s="80">
        <v>35794</v>
      </c>
    </row>
    <row r="11623" spans="1:5">
      <c r="A11623">
        <v>10803</v>
      </c>
      <c r="B11623" t="s">
        <v>177</v>
      </c>
      <c r="C11623">
        <v>209.75999983549119</v>
      </c>
      <c r="D11623">
        <v>24</v>
      </c>
      <c r="E11623" s="80">
        <v>35794</v>
      </c>
    </row>
    <row r="11624" spans="1:5">
      <c r="A11624">
        <v>10803</v>
      </c>
      <c r="B11624" t="s">
        <v>178</v>
      </c>
      <c r="C11624">
        <v>209.75999983549119</v>
      </c>
      <c r="D11624">
        <v>24</v>
      </c>
      <c r="E11624" s="80">
        <v>35794</v>
      </c>
    </row>
    <row r="11625" spans="1:5">
      <c r="A11625">
        <v>10803</v>
      </c>
      <c r="B11625" t="s">
        <v>179</v>
      </c>
      <c r="C11625">
        <v>209.75999983549119</v>
      </c>
      <c r="D11625">
        <v>24</v>
      </c>
      <c r="E11625" s="80">
        <v>35794</v>
      </c>
    </row>
    <row r="11626" spans="1:5">
      <c r="A11626">
        <v>10803</v>
      </c>
      <c r="B11626" t="s">
        <v>172</v>
      </c>
      <c r="C11626">
        <v>199.49999984353781</v>
      </c>
      <c r="D11626">
        <v>15</v>
      </c>
      <c r="E11626" s="80">
        <v>35794</v>
      </c>
    </row>
    <row r="11627" spans="1:5">
      <c r="A11627">
        <v>10803</v>
      </c>
      <c r="B11627" t="s">
        <v>173</v>
      </c>
      <c r="C11627">
        <v>199.49999984353781</v>
      </c>
      <c r="D11627">
        <v>15</v>
      </c>
      <c r="E11627" s="80">
        <v>35794</v>
      </c>
    </row>
    <row r="11628" spans="1:5">
      <c r="A11628">
        <v>10803</v>
      </c>
      <c r="B11628" t="s">
        <v>174</v>
      </c>
      <c r="C11628">
        <v>199.49999984353781</v>
      </c>
      <c r="D11628">
        <v>15</v>
      </c>
      <c r="E11628" s="80">
        <v>35794</v>
      </c>
    </row>
    <row r="11629" spans="1:5">
      <c r="A11629">
        <v>10803</v>
      </c>
      <c r="B11629" t="s">
        <v>175</v>
      </c>
      <c r="C11629">
        <v>199.49999984353781</v>
      </c>
      <c r="D11629">
        <v>15</v>
      </c>
      <c r="E11629" s="80">
        <v>35794</v>
      </c>
    </row>
    <row r="11630" spans="1:5">
      <c r="A11630">
        <v>10803</v>
      </c>
      <c r="B11630" t="s">
        <v>176</v>
      </c>
      <c r="C11630">
        <v>199.49999984353781</v>
      </c>
      <c r="D11630">
        <v>15</v>
      </c>
      <c r="E11630" s="80">
        <v>35794</v>
      </c>
    </row>
    <row r="11631" spans="1:5">
      <c r="A11631">
        <v>10803</v>
      </c>
      <c r="B11631" t="s">
        <v>177</v>
      </c>
      <c r="C11631">
        <v>199.49999984353781</v>
      </c>
      <c r="D11631">
        <v>15</v>
      </c>
      <c r="E11631" s="80">
        <v>35794</v>
      </c>
    </row>
    <row r="11632" spans="1:5">
      <c r="A11632">
        <v>10803</v>
      </c>
      <c r="B11632" t="s">
        <v>178</v>
      </c>
      <c r="C11632">
        <v>199.49999984353781</v>
      </c>
      <c r="D11632">
        <v>15</v>
      </c>
      <c r="E11632" s="80">
        <v>35794</v>
      </c>
    </row>
    <row r="11633" spans="1:5">
      <c r="A11633">
        <v>10803</v>
      </c>
      <c r="B11633" t="s">
        <v>179</v>
      </c>
      <c r="C11633">
        <v>199.49999984353781</v>
      </c>
      <c r="D11633">
        <v>15</v>
      </c>
      <c r="E11633" s="80">
        <v>35794</v>
      </c>
    </row>
    <row r="11634" spans="1:5">
      <c r="A11634">
        <v>10803</v>
      </c>
      <c r="B11634" t="s">
        <v>172</v>
      </c>
      <c r="C11634">
        <v>783.7499993853271</v>
      </c>
      <c r="D11634">
        <v>15</v>
      </c>
      <c r="E11634" s="80">
        <v>35794</v>
      </c>
    </row>
    <row r="11635" spans="1:5">
      <c r="A11635">
        <v>10803</v>
      </c>
      <c r="B11635" t="s">
        <v>173</v>
      </c>
      <c r="C11635">
        <v>783.7499993853271</v>
      </c>
      <c r="D11635">
        <v>15</v>
      </c>
      <c r="E11635" s="80">
        <v>35794</v>
      </c>
    </row>
    <row r="11636" spans="1:5">
      <c r="A11636">
        <v>10803</v>
      </c>
      <c r="B11636" t="s">
        <v>174</v>
      </c>
      <c r="C11636">
        <v>783.7499993853271</v>
      </c>
      <c r="D11636">
        <v>15</v>
      </c>
      <c r="E11636" s="80">
        <v>35794</v>
      </c>
    </row>
    <row r="11637" spans="1:5">
      <c r="A11637">
        <v>10803</v>
      </c>
      <c r="B11637" t="s">
        <v>175</v>
      </c>
      <c r="C11637">
        <v>783.7499993853271</v>
      </c>
      <c r="D11637">
        <v>15</v>
      </c>
      <c r="E11637" s="80">
        <v>35794</v>
      </c>
    </row>
    <row r="11638" spans="1:5">
      <c r="A11638">
        <v>10803</v>
      </c>
      <c r="B11638" t="s">
        <v>176</v>
      </c>
      <c r="C11638">
        <v>783.7499993853271</v>
      </c>
      <c r="D11638">
        <v>15</v>
      </c>
      <c r="E11638" s="80">
        <v>35794</v>
      </c>
    </row>
    <row r="11639" spans="1:5">
      <c r="A11639">
        <v>10803</v>
      </c>
      <c r="B11639" t="s">
        <v>177</v>
      </c>
      <c r="C11639">
        <v>783.7499993853271</v>
      </c>
      <c r="D11639">
        <v>15</v>
      </c>
      <c r="E11639" s="80">
        <v>35794</v>
      </c>
    </row>
    <row r="11640" spans="1:5">
      <c r="A11640">
        <v>10803</v>
      </c>
      <c r="B11640" t="s">
        <v>178</v>
      </c>
      <c r="C11640">
        <v>783.7499993853271</v>
      </c>
      <c r="D11640">
        <v>15</v>
      </c>
      <c r="E11640" s="80">
        <v>35794</v>
      </c>
    </row>
    <row r="11641" spans="1:5">
      <c r="A11641">
        <v>10803</v>
      </c>
      <c r="B11641" t="s">
        <v>179</v>
      </c>
      <c r="C11641">
        <v>783.7499993853271</v>
      </c>
      <c r="D11641">
        <v>15</v>
      </c>
      <c r="E11641" s="80">
        <v>35794</v>
      </c>
    </row>
    <row r="11642" spans="1:5">
      <c r="A11642">
        <v>10804</v>
      </c>
      <c r="B11642" t="s">
        <v>172</v>
      </c>
      <c r="C11642">
        <v>1116</v>
      </c>
      <c r="D11642">
        <v>36</v>
      </c>
      <c r="E11642" s="80">
        <v>35794</v>
      </c>
    </row>
    <row r="11643" spans="1:5">
      <c r="A11643">
        <v>10804</v>
      </c>
      <c r="B11643" t="s">
        <v>173</v>
      </c>
      <c r="C11643">
        <v>1116</v>
      </c>
      <c r="D11643">
        <v>36</v>
      </c>
      <c r="E11643" s="80">
        <v>35794</v>
      </c>
    </row>
    <row r="11644" spans="1:5">
      <c r="A11644">
        <v>10804</v>
      </c>
      <c r="B11644" t="s">
        <v>174</v>
      </c>
      <c r="C11644">
        <v>1116</v>
      </c>
      <c r="D11644">
        <v>36</v>
      </c>
      <c r="E11644" s="80">
        <v>35794</v>
      </c>
    </row>
    <row r="11645" spans="1:5">
      <c r="A11645">
        <v>10804</v>
      </c>
      <c r="B11645" t="s">
        <v>175</v>
      </c>
      <c r="C11645">
        <v>1116</v>
      </c>
      <c r="D11645">
        <v>36</v>
      </c>
      <c r="E11645" s="80">
        <v>35794</v>
      </c>
    </row>
    <row r="11646" spans="1:5">
      <c r="A11646">
        <v>10804</v>
      </c>
      <c r="B11646" t="s">
        <v>176</v>
      </c>
      <c r="C11646">
        <v>1116</v>
      </c>
      <c r="D11646">
        <v>36</v>
      </c>
      <c r="E11646" s="80">
        <v>35794</v>
      </c>
    </row>
    <row r="11647" spans="1:5">
      <c r="A11647">
        <v>10804</v>
      </c>
      <c r="B11647" t="s">
        <v>177</v>
      </c>
      <c r="C11647">
        <v>1116</v>
      </c>
      <c r="D11647">
        <v>36</v>
      </c>
      <c r="E11647" s="80">
        <v>35794</v>
      </c>
    </row>
    <row r="11648" spans="1:5">
      <c r="A11648">
        <v>10804</v>
      </c>
      <c r="B11648" t="s">
        <v>178</v>
      </c>
      <c r="C11648">
        <v>1116</v>
      </c>
      <c r="D11648">
        <v>36</v>
      </c>
      <c r="E11648" s="80">
        <v>35794</v>
      </c>
    </row>
    <row r="11649" spans="1:5">
      <c r="A11649">
        <v>10804</v>
      </c>
      <c r="B11649" t="s">
        <v>179</v>
      </c>
      <c r="C11649">
        <v>1116</v>
      </c>
      <c r="D11649">
        <v>36</v>
      </c>
      <c r="E11649" s="80">
        <v>35794</v>
      </c>
    </row>
    <row r="11650" spans="1:5">
      <c r="A11650">
        <v>10804</v>
      </c>
      <c r="B11650" t="s">
        <v>172</v>
      </c>
      <c r="C11650">
        <v>1094.4000000000001</v>
      </c>
      <c r="D11650">
        <v>24</v>
      </c>
      <c r="E11650" s="80">
        <v>35794</v>
      </c>
    </row>
    <row r="11651" spans="1:5">
      <c r="A11651">
        <v>10804</v>
      </c>
      <c r="B11651" t="s">
        <v>173</v>
      </c>
      <c r="C11651">
        <v>1094.4000000000001</v>
      </c>
      <c r="D11651">
        <v>24</v>
      </c>
      <c r="E11651" s="80">
        <v>35794</v>
      </c>
    </row>
    <row r="11652" spans="1:5">
      <c r="A11652">
        <v>10804</v>
      </c>
      <c r="B11652" t="s">
        <v>174</v>
      </c>
      <c r="C11652">
        <v>1094.4000000000001</v>
      </c>
      <c r="D11652">
        <v>24</v>
      </c>
      <c r="E11652" s="80">
        <v>35794</v>
      </c>
    </row>
    <row r="11653" spans="1:5">
      <c r="A11653">
        <v>10804</v>
      </c>
      <c r="B11653" t="s">
        <v>175</v>
      </c>
      <c r="C11653">
        <v>1094.4000000000001</v>
      </c>
      <c r="D11653">
        <v>24</v>
      </c>
      <c r="E11653" s="80">
        <v>35794</v>
      </c>
    </row>
    <row r="11654" spans="1:5">
      <c r="A11654">
        <v>10804</v>
      </c>
      <c r="B11654" t="s">
        <v>176</v>
      </c>
      <c r="C11654">
        <v>1094.4000000000001</v>
      </c>
      <c r="D11654">
        <v>24</v>
      </c>
      <c r="E11654" s="80">
        <v>35794</v>
      </c>
    </row>
    <row r="11655" spans="1:5">
      <c r="A11655">
        <v>10804</v>
      </c>
      <c r="B11655" t="s">
        <v>177</v>
      </c>
      <c r="C11655">
        <v>1094.4000000000001</v>
      </c>
      <c r="D11655">
        <v>24</v>
      </c>
      <c r="E11655" s="80">
        <v>35794</v>
      </c>
    </row>
    <row r="11656" spans="1:5">
      <c r="A11656">
        <v>10804</v>
      </c>
      <c r="B11656" t="s">
        <v>178</v>
      </c>
      <c r="C11656">
        <v>1094.4000000000001</v>
      </c>
      <c r="D11656">
        <v>24</v>
      </c>
      <c r="E11656" s="80">
        <v>35794</v>
      </c>
    </row>
    <row r="11657" spans="1:5">
      <c r="A11657">
        <v>10804</v>
      </c>
      <c r="B11657" t="s">
        <v>179</v>
      </c>
      <c r="C11657">
        <v>1094.4000000000001</v>
      </c>
      <c r="D11657">
        <v>24</v>
      </c>
      <c r="E11657" s="80">
        <v>35794</v>
      </c>
    </row>
    <row r="11658" spans="1:5">
      <c r="A11658">
        <v>10804</v>
      </c>
      <c r="B11658" t="s">
        <v>172</v>
      </c>
      <c r="C11658">
        <v>67.999999523162842</v>
      </c>
      <c r="D11658">
        <v>4</v>
      </c>
      <c r="E11658" s="80">
        <v>35794</v>
      </c>
    </row>
    <row r="11659" spans="1:5">
      <c r="A11659">
        <v>10804</v>
      </c>
      <c r="B11659" t="s">
        <v>173</v>
      </c>
      <c r="C11659">
        <v>67.999999523162842</v>
      </c>
      <c r="D11659">
        <v>4</v>
      </c>
      <c r="E11659" s="80">
        <v>35794</v>
      </c>
    </row>
    <row r="11660" spans="1:5">
      <c r="A11660">
        <v>10804</v>
      </c>
      <c r="B11660" t="s">
        <v>174</v>
      </c>
      <c r="C11660">
        <v>67.999999523162842</v>
      </c>
      <c r="D11660">
        <v>4</v>
      </c>
      <c r="E11660" s="80">
        <v>35794</v>
      </c>
    </row>
    <row r="11661" spans="1:5">
      <c r="A11661">
        <v>10804</v>
      </c>
      <c r="B11661" t="s">
        <v>175</v>
      </c>
      <c r="C11661">
        <v>67.999999523162842</v>
      </c>
      <c r="D11661">
        <v>4</v>
      </c>
      <c r="E11661" s="80">
        <v>35794</v>
      </c>
    </row>
    <row r="11662" spans="1:5">
      <c r="A11662">
        <v>10804</v>
      </c>
      <c r="B11662" t="s">
        <v>176</v>
      </c>
      <c r="C11662">
        <v>67.999999523162842</v>
      </c>
      <c r="D11662">
        <v>4</v>
      </c>
      <c r="E11662" s="80">
        <v>35794</v>
      </c>
    </row>
    <row r="11663" spans="1:5">
      <c r="A11663">
        <v>10804</v>
      </c>
      <c r="B11663" t="s">
        <v>177</v>
      </c>
      <c r="C11663">
        <v>67.999999523162842</v>
      </c>
      <c r="D11663">
        <v>4</v>
      </c>
      <c r="E11663" s="80">
        <v>35794</v>
      </c>
    </row>
    <row r="11664" spans="1:5">
      <c r="A11664">
        <v>10804</v>
      </c>
      <c r="B11664" t="s">
        <v>178</v>
      </c>
      <c r="C11664">
        <v>67.999999523162842</v>
      </c>
      <c r="D11664">
        <v>4</v>
      </c>
      <c r="E11664" s="80">
        <v>35794</v>
      </c>
    </row>
    <row r="11665" spans="1:5">
      <c r="A11665">
        <v>10804</v>
      </c>
      <c r="B11665" t="s">
        <v>179</v>
      </c>
      <c r="C11665">
        <v>67.999999523162842</v>
      </c>
      <c r="D11665">
        <v>4</v>
      </c>
      <c r="E11665" s="80">
        <v>35794</v>
      </c>
    </row>
    <row r="11666" spans="1:5">
      <c r="A11666">
        <v>10805</v>
      </c>
      <c r="B11666" t="s">
        <v>172</v>
      </c>
      <c r="C11666">
        <v>140</v>
      </c>
      <c r="D11666">
        <v>10</v>
      </c>
      <c r="E11666" s="80">
        <v>35794</v>
      </c>
    </row>
    <row r="11667" spans="1:5">
      <c r="A11667">
        <v>10805</v>
      </c>
      <c r="B11667" t="s">
        <v>173</v>
      </c>
      <c r="C11667">
        <v>140</v>
      </c>
      <c r="D11667">
        <v>10</v>
      </c>
      <c r="E11667" s="80">
        <v>35794</v>
      </c>
    </row>
    <row r="11668" spans="1:5">
      <c r="A11668">
        <v>10805</v>
      </c>
      <c r="B11668" t="s">
        <v>174</v>
      </c>
      <c r="C11668">
        <v>140</v>
      </c>
      <c r="D11668">
        <v>10</v>
      </c>
      <c r="E11668" s="80">
        <v>35794</v>
      </c>
    </row>
    <row r="11669" spans="1:5">
      <c r="A11669">
        <v>10805</v>
      </c>
      <c r="B11669" t="s">
        <v>175</v>
      </c>
      <c r="C11669">
        <v>140</v>
      </c>
      <c r="D11669">
        <v>10</v>
      </c>
      <c r="E11669" s="80">
        <v>35794</v>
      </c>
    </row>
    <row r="11670" spans="1:5">
      <c r="A11670">
        <v>10805</v>
      </c>
      <c r="B11670" t="s">
        <v>176</v>
      </c>
      <c r="C11670">
        <v>140</v>
      </c>
      <c r="D11670">
        <v>10</v>
      </c>
      <c r="E11670" s="80">
        <v>35794</v>
      </c>
    </row>
    <row r="11671" spans="1:5">
      <c r="A11671">
        <v>10805</v>
      </c>
      <c r="B11671" t="s">
        <v>177</v>
      </c>
      <c r="C11671">
        <v>140</v>
      </c>
      <c r="D11671">
        <v>10</v>
      </c>
      <c r="E11671" s="80">
        <v>35794</v>
      </c>
    </row>
    <row r="11672" spans="1:5">
      <c r="A11672">
        <v>10805</v>
      </c>
      <c r="B11672" t="s">
        <v>178</v>
      </c>
      <c r="C11672">
        <v>140</v>
      </c>
      <c r="D11672">
        <v>10</v>
      </c>
      <c r="E11672" s="80">
        <v>35794</v>
      </c>
    </row>
    <row r="11673" spans="1:5">
      <c r="A11673">
        <v>10805</v>
      </c>
      <c r="B11673" t="s">
        <v>179</v>
      </c>
      <c r="C11673">
        <v>140</v>
      </c>
      <c r="D11673">
        <v>10</v>
      </c>
      <c r="E11673" s="80">
        <v>35794</v>
      </c>
    </row>
    <row r="11674" spans="1:5">
      <c r="A11674">
        <v>10805</v>
      </c>
      <c r="B11674" t="s">
        <v>172</v>
      </c>
      <c r="C11674">
        <v>2635</v>
      </c>
      <c r="D11674">
        <v>10</v>
      </c>
      <c r="E11674" s="80">
        <v>35794</v>
      </c>
    </row>
    <row r="11675" spans="1:5">
      <c r="A11675">
        <v>10805</v>
      </c>
      <c r="B11675" t="s">
        <v>173</v>
      </c>
      <c r="C11675">
        <v>2635</v>
      </c>
      <c r="D11675">
        <v>10</v>
      </c>
      <c r="E11675" s="80">
        <v>35794</v>
      </c>
    </row>
    <row r="11676" spans="1:5">
      <c r="A11676">
        <v>10805</v>
      </c>
      <c r="B11676" t="s">
        <v>174</v>
      </c>
      <c r="C11676">
        <v>2635</v>
      </c>
      <c r="D11676">
        <v>10</v>
      </c>
      <c r="E11676" s="80">
        <v>35794</v>
      </c>
    </row>
    <row r="11677" spans="1:5">
      <c r="A11677">
        <v>10805</v>
      </c>
      <c r="B11677" t="s">
        <v>175</v>
      </c>
      <c r="C11677">
        <v>2635</v>
      </c>
      <c r="D11677">
        <v>10</v>
      </c>
      <c r="E11677" s="80">
        <v>35794</v>
      </c>
    </row>
    <row r="11678" spans="1:5">
      <c r="A11678">
        <v>10805</v>
      </c>
      <c r="B11678" t="s">
        <v>176</v>
      </c>
      <c r="C11678">
        <v>2635</v>
      </c>
      <c r="D11678">
        <v>10</v>
      </c>
      <c r="E11678" s="80">
        <v>35794</v>
      </c>
    </row>
    <row r="11679" spans="1:5">
      <c r="A11679">
        <v>10805</v>
      </c>
      <c r="B11679" t="s">
        <v>177</v>
      </c>
      <c r="C11679">
        <v>2635</v>
      </c>
      <c r="D11679">
        <v>10</v>
      </c>
      <c r="E11679" s="80">
        <v>35794</v>
      </c>
    </row>
    <row r="11680" spans="1:5">
      <c r="A11680">
        <v>10805</v>
      </c>
      <c r="B11680" t="s">
        <v>178</v>
      </c>
      <c r="C11680">
        <v>2635</v>
      </c>
      <c r="D11680">
        <v>10</v>
      </c>
      <c r="E11680" s="80">
        <v>35794</v>
      </c>
    </row>
    <row r="11681" spans="1:5">
      <c r="A11681">
        <v>10805</v>
      </c>
      <c r="B11681" t="s">
        <v>179</v>
      </c>
      <c r="C11681">
        <v>2635</v>
      </c>
      <c r="D11681">
        <v>10</v>
      </c>
      <c r="E11681" s="80">
        <v>35794</v>
      </c>
    </row>
    <row r="11682" spans="1:5">
      <c r="A11682">
        <v>10806</v>
      </c>
      <c r="B11682" t="s">
        <v>172</v>
      </c>
      <c r="C11682">
        <v>285</v>
      </c>
      <c r="D11682">
        <v>20</v>
      </c>
      <c r="E11682" s="80">
        <v>35795</v>
      </c>
    </row>
    <row r="11683" spans="1:5">
      <c r="A11683">
        <v>10806</v>
      </c>
      <c r="B11683" t="s">
        <v>173</v>
      </c>
      <c r="C11683">
        <v>285</v>
      </c>
      <c r="D11683">
        <v>20</v>
      </c>
      <c r="E11683" s="80">
        <v>35795</v>
      </c>
    </row>
    <row r="11684" spans="1:5">
      <c r="A11684">
        <v>10806</v>
      </c>
      <c r="B11684" t="s">
        <v>174</v>
      </c>
      <c r="C11684">
        <v>285</v>
      </c>
      <c r="D11684">
        <v>20</v>
      </c>
      <c r="E11684" s="80">
        <v>35795</v>
      </c>
    </row>
    <row r="11685" spans="1:5">
      <c r="A11685">
        <v>10806</v>
      </c>
      <c r="B11685" t="s">
        <v>175</v>
      </c>
      <c r="C11685">
        <v>285</v>
      </c>
      <c r="D11685">
        <v>20</v>
      </c>
      <c r="E11685" s="80">
        <v>35795</v>
      </c>
    </row>
    <row r="11686" spans="1:5">
      <c r="A11686">
        <v>10806</v>
      </c>
      <c r="B11686" t="s">
        <v>176</v>
      </c>
      <c r="C11686">
        <v>285</v>
      </c>
      <c r="D11686">
        <v>20</v>
      </c>
      <c r="E11686" s="80">
        <v>35795</v>
      </c>
    </row>
    <row r="11687" spans="1:5">
      <c r="A11687">
        <v>10806</v>
      </c>
      <c r="B11687" t="s">
        <v>177</v>
      </c>
      <c r="C11687">
        <v>285</v>
      </c>
      <c r="D11687">
        <v>20</v>
      </c>
      <c r="E11687" s="80">
        <v>35795</v>
      </c>
    </row>
    <row r="11688" spans="1:5">
      <c r="A11688">
        <v>10806</v>
      </c>
      <c r="B11688" t="s">
        <v>178</v>
      </c>
      <c r="C11688">
        <v>285</v>
      </c>
      <c r="D11688">
        <v>20</v>
      </c>
      <c r="E11688" s="80">
        <v>35795</v>
      </c>
    </row>
    <row r="11689" spans="1:5">
      <c r="A11689">
        <v>10806</v>
      </c>
      <c r="B11689" t="s">
        <v>179</v>
      </c>
      <c r="C11689">
        <v>285</v>
      </c>
      <c r="D11689">
        <v>20</v>
      </c>
      <c r="E11689" s="80">
        <v>35795</v>
      </c>
    </row>
    <row r="11690" spans="1:5">
      <c r="A11690">
        <v>10806</v>
      </c>
      <c r="B11690" t="s">
        <v>172</v>
      </c>
      <c r="C11690">
        <v>42.1</v>
      </c>
      <c r="D11690">
        <v>2</v>
      </c>
      <c r="E11690" s="80">
        <v>35795</v>
      </c>
    </row>
    <row r="11691" spans="1:5">
      <c r="A11691">
        <v>10806</v>
      </c>
      <c r="B11691" t="s">
        <v>173</v>
      </c>
      <c r="C11691">
        <v>42.1</v>
      </c>
      <c r="D11691">
        <v>2</v>
      </c>
      <c r="E11691" s="80">
        <v>35795</v>
      </c>
    </row>
    <row r="11692" spans="1:5">
      <c r="A11692">
        <v>10806</v>
      </c>
      <c r="B11692" t="s">
        <v>174</v>
      </c>
      <c r="C11692">
        <v>42.1</v>
      </c>
      <c r="D11692">
        <v>2</v>
      </c>
      <c r="E11692" s="80">
        <v>35795</v>
      </c>
    </row>
    <row r="11693" spans="1:5">
      <c r="A11693">
        <v>10806</v>
      </c>
      <c r="B11693" t="s">
        <v>175</v>
      </c>
      <c r="C11693">
        <v>42.1</v>
      </c>
      <c r="D11693">
        <v>2</v>
      </c>
      <c r="E11693" s="80">
        <v>35795</v>
      </c>
    </row>
    <row r="11694" spans="1:5">
      <c r="A11694">
        <v>10806</v>
      </c>
      <c r="B11694" t="s">
        <v>176</v>
      </c>
      <c r="C11694">
        <v>42.1</v>
      </c>
      <c r="D11694">
        <v>2</v>
      </c>
      <c r="E11694" s="80">
        <v>35795</v>
      </c>
    </row>
    <row r="11695" spans="1:5">
      <c r="A11695">
        <v>10806</v>
      </c>
      <c r="B11695" t="s">
        <v>177</v>
      </c>
      <c r="C11695">
        <v>42.1</v>
      </c>
      <c r="D11695">
        <v>2</v>
      </c>
      <c r="E11695" s="80">
        <v>35795</v>
      </c>
    </row>
    <row r="11696" spans="1:5">
      <c r="A11696">
        <v>10806</v>
      </c>
      <c r="B11696" t="s">
        <v>178</v>
      </c>
      <c r="C11696">
        <v>42.1</v>
      </c>
      <c r="D11696">
        <v>2</v>
      </c>
      <c r="E11696" s="80">
        <v>35795</v>
      </c>
    </row>
    <row r="11697" spans="1:5">
      <c r="A11697">
        <v>10806</v>
      </c>
      <c r="B11697" t="s">
        <v>179</v>
      </c>
      <c r="C11697">
        <v>42.1</v>
      </c>
      <c r="D11697">
        <v>2</v>
      </c>
      <c r="E11697" s="80">
        <v>35795</v>
      </c>
    </row>
    <row r="11698" spans="1:5">
      <c r="A11698">
        <v>10806</v>
      </c>
      <c r="B11698" t="s">
        <v>172</v>
      </c>
      <c r="C11698">
        <v>112.5</v>
      </c>
      <c r="D11698">
        <v>15</v>
      </c>
      <c r="E11698" s="80">
        <v>35795</v>
      </c>
    </row>
    <row r="11699" spans="1:5">
      <c r="A11699">
        <v>10806</v>
      </c>
      <c r="B11699" t="s">
        <v>173</v>
      </c>
      <c r="C11699">
        <v>112.5</v>
      </c>
      <c r="D11699">
        <v>15</v>
      </c>
      <c r="E11699" s="80">
        <v>35795</v>
      </c>
    </row>
    <row r="11700" spans="1:5">
      <c r="A11700">
        <v>10806</v>
      </c>
      <c r="B11700" t="s">
        <v>174</v>
      </c>
      <c r="C11700">
        <v>112.5</v>
      </c>
      <c r="D11700">
        <v>15</v>
      </c>
      <c r="E11700" s="80">
        <v>35795</v>
      </c>
    </row>
    <row r="11701" spans="1:5">
      <c r="A11701">
        <v>10806</v>
      </c>
      <c r="B11701" t="s">
        <v>175</v>
      </c>
      <c r="C11701">
        <v>112.5</v>
      </c>
      <c r="D11701">
        <v>15</v>
      </c>
      <c r="E11701" s="80">
        <v>35795</v>
      </c>
    </row>
    <row r="11702" spans="1:5">
      <c r="A11702">
        <v>10806</v>
      </c>
      <c r="B11702" t="s">
        <v>176</v>
      </c>
      <c r="C11702">
        <v>112.5</v>
      </c>
      <c r="D11702">
        <v>15</v>
      </c>
      <c r="E11702" s="80">
        <v>35795</v>
      </c>
    </row>
    <row r="11703" spans="1:5">
      <c r="A11703">
        <v>10806</v>
      </c>
      <c r="B11703" t="s">
        <v>177</v>
      </c>
      <c r="C11703">
        <v>112.5</v>
      </c>
      <c r="D11703">
        <v>15</v>
      </c>
      <c r="E11703" s="80">
        <v>35795</v>
      </c>
    </row>
    <row r="11704" spans="1:5">
      <c r="A11704">
        <v>10806</v>
      </c>
      <c r="B11704" t="s">
        <v>178</v>
      </c>
      <c r="C11704">
        <v>112.5</v>
      </c>
      <c r="D11704">
        <v>15</v>
      </c>
      <c r="E11704" s="80">
        <v>35795</v>
      </c>
    </row>
    <row r="11705" spans="1:5">
      <c r="A11705">
        <v>10806</v>
      </c>
      <c r="B11705" t="s">
        <v>179</v>
      </c>
      <c r="C11705">
        <v>112.5</v>
      </c>
      <c r="D11705">
        <v>15</v>
      </c>
      <c r="E11705" s="80">
        <v>35795</v>
      </c>
    </row>
    <row r="11706" spans="1:5">
      <c r="A11706">
        <v>10807</v>
      </c>
      <c r="B11706" t="s">
        <v>172</v>
      </c>
      <c r="C11706">
        <v>18.399999999999999</v>
      </c>
      <c r="D11706">
        <v>1</v>
      </c>
      <c r="E11706" s="80">
        <v>35795</v>
      </c>
    </row>
    <row r="11707" spans="1:5">
      <c r="A11707">
        <v>10807</v>
      </c>
      <c r="B11707" t="s">
        <v>173</v>
      </c>
      <c r="C11707">
        <v>18.399999999999999</v>
      </c>
      <c r="D11707">
        <v>1</v>
      </c>
      <c r="E11707" s="80">
        <v>35795</v>
      </c>
    </row>
    <row r="11708" spans="1:5">
      <c r="A11708">
        <v>10807</v>
      </c>
      <c r="B11708" t="s">
        <v>174</v>
      </c>
      <c r="C11708">
        <v>18.399999999999999</v>
      </c>
      <c r="D11708">
        <v>1</v>
      </c>
      <c r="E11708" s="80">
        <v>35795</v>
      </c>
    </row>
    <row r="11709" spans="1:5">
      <c r="A11709">
        <v>10807</v>
      </c>
      <c r="B11709" t="s">
        <v>175</v>
      </c>
      <c r="C11709">
        <v>18.399999999999999</v>
      </c>
      <c r="D11709">
        <v>1</v>
      </c>
      <c r="E11709" s="80">
        <v>35795</v>
      </c>
    </row>
    <row r="11710" spans="1:5">
      <c r="A11710">
        <v>10807</v>
      </c>
      <c r="B11710" t="s">
        <v>176</v>
      </c>
      <c r="C11710">
        <v>18.399999999999999</v>
      </c>
      <c r="D11710">
        <v>1</v>
      </c>
      <c r="E11710" s="80">
        <v>35795</v>
      </c>
    </row>
    <row r="11711" spans="1:5">
      <c r="A11711">
        <v>10807</v>
      </c>
      <c r="B11711" t="s">
        <v>177</v>
      </c>
      <c r="C11711">
        <v>18.399999999999999</v>
      </c>
      <c r="D11711">
        <v>1</v>
      </c>
      <c r="E11711" s="80">
        <v>35795</v>
      </c>
    </row>
    <row r="11712" spans="1:5">
      <c r="A11712">
        <v>10807</v>
      </c>
      <c r="B11712" t="s">
        <v>178</v>
      </c>
      <c r="C11712">
        <v>18.399999999999999</v>
      </c>
      <c r="D11712">
        <v>1</v>
      </c>
      <c r="E11712" s="80">
        <v>35795</v>
      </c>
    </row>
    <row r="11713" spans="1:5">
      <c r="A11713">
        <v>10807</v>
      </c>
      <c r="B11713" t="s">
        <v>179</v>
      </c>
      <c r="C11713">
        <v>18.399999999999999</v>
      </c>
      <c r="D11713">
        <v>1</v>
      </c>
      <c r="E11713" s="80">
        <v>35795</v>
      </c>
    </row>
    <row r="11714" spans="1:5">
      <c r="A11714">
        <v>10808</v>
      </c>
      <c r="B11714" t="s">
        <v>172</v>
      </c>
      <c r="C11714">
        <v>645.999995470047</v>
      </c>
      <c r="D11714">
        <v>20</v>
      </c>
      <c r="E11714" s="80">
        <v>35796</v>
      </c>
    </row>
    <row r="11715" spans="1:5">
      <c r="A11715">
        <v>10808</v>
      </c>
      <c r="B11715" t="s">
        <v>173</v>
      </c>
      <c r="C11715">
        <v>645.999995470047</v>
      </c>
      <c r="D11715">
        <v>20</v>
      </c>
      <c r="E11715" s="80">
        <v>35796</v>
      </c>
    </row>
    <row r="11716" spans="1:5">
      <c r="A11716">
        <v>10808</v>
      </c>
      <c r="B11716" t="s">
        <v>174</v>
      </c>
      <c r="C11716">
        <v>645.999995470047</v>
      </c>
      <c r="D11716">
        <v>20</v>
      </c>
      <c r="E11716" s="80">
        <v>35796</v>
      </c>
    </row>
    <row r="11717" spans="1:5">
      <c r="A11717">
        <v>10808</v>
      </c>
      <c r="B11717" t="s">
        <v>175</v>
      </c>
      <c r="C11717">
        <v>645.999995470047</v>
      </c>
      <c r="D11717">
        <v>20</v>
      </c>
      <c r="E11717" s="80">
        <v>35796</v>
      </c>
    </row>
    <row r="11718" spans="1:5">
      <c r="A11718">
        <v>10808</v>
      </c>
      <c r="B11718" t="s">
        <v>176</v>
      </c>
      <c r="C11718">
        <v>645.999995470047</v>
      </c>
      <c r="D11718">
        <v>20</v>
      </c>
      <c r="E11718" s="80">
        <v>35796</v>
      </c>
    </row>
    <row r="11719" spans="1:5">
      <c r="A11719">
        <v>10808</v>
      </c>
      <c r="B11719" t="s">
        <v>177</v>
      </c>
      <c r="C11719">
        <v>645.999995470047</v>
      </c>
      <c r="D11719">
        <v>20</v>
      </c>
      <c r="E11719" s="80">
        <v>35796</v>
      </c>
    </row>
    <row r="11720" spans="1:5">
      <c r="A11720">
        <v>10808</v>
      </c>
      <c r="B11720" t="s">
        <v>178</v>
      </c>
      <c r="C11720">
        <v>645.999995470047</v>
      </c>
      <c r="D11720">
        <v>20</v>
      </c>
      <c r="E11720" s="80">
        <v>35796</v>
      </c>
    </row>
    <row r="11721" spans="1:5">
      <c r="A11721">
        <v>10808</v>
      </c>
      <c r="B11721" t="s">
        <v>179</v>
      </c>
      <c r="C11721">
        <v>645.999995470047</v>
      </c>
      <c r="D11721">
        <v>20</v>
      </c>
      <c r="E11721" s="80">
        <v>35796</v>
      </c>
    </row>
    <row r="11722" spans="1:5">
      <c r="A11722">
        <v>10808</v>
      </c>
      <c r="B11722" t="s">
        <v>172</v>
      </c>
      <c r="C11722">
        <v>764.99999463558197</v>
      </c>
      <c r="D11722">
        <v>50</v>
      </c>
      <c r="E11722" s="80">
        <v>35796</v>
      </c>
    </row>
    <row r="11723" spans="1:5">
      <c r="A11723">
        <v>10808</v>
      </c>
      <c r="B11723" t="s">
        <v>173</v>
      </c>
      <c r="C11723">
        <v>764.99999463558197</v>
      </c>
      <c r="D11723">
        <v>50</v>
      </c>
      <c r="E11723" s="80">
        <v>35796</v>
      </c>
    </row>
    <row r="11724" spans="1:5">
      <c r="A11724">
        <v>10808</v>
      </c>
      <c r="B11724" t="s">
        <v>174</v>
      </c>
      <c r="C11724">
        <v>764.99999463558197</v>
      </c>
      <c r="D11724">
        <v>50</v>
      </c>
      <c r="E11724" s="80">
        <v>35796</v>
      </c>
    </row>
    <row r="11725" spans="1:5">
      <c r="A11725">
        <v>10808</v>
      </c>
      <c r="B11725" t="s">
        <v>175</v>
      </c>
      <c r="C11725">
        <v>764.99999463558197</v>
      </c>
      <c r="D11725">
        <v>50</v>
      </c>
      <c r="E11725" s="80">
        <v>35796</v>
      </c>
    </row>
    <row r="11726" spans="1:5">
      <c r="A11726">
        <v>10808</v>
      </c>
      <c r="B11726" t="s">
        <v>176</v>
      </c>
      <c r="C11726">
        <v>764.99999463558197</v>
      </c>
      <c r="D11726">
        <v>50</v>
      </c>
      <c r="E11726" s="80">
        <v>35796</v>
      </c>
    </row>
    <row r="11727" spans="1:5">
      <c r="A11727">
        <v>10808</v>
      </c>
      <c r="B11727" t="s">
        <v>177</v>
      </c>
      <c r="C11727">
        <v>764.99999463558197</v>
      </c>
      <c r="D11727">
        <v>50</v>
      </c>
      <c r="E11727" s="80">
        <v>35796</v>
      </c>
    </row>
    <row r="11728" spans="1:5">
      <c r="A11728">
        <v>10808</v>
      </c>
      <c r="B11728" t="s">
        <v>178</v>
      </c>
      <c r="C11728">
        <v>764.99999463558197</v>
      </c>
      <c r="D11728">
        <v>50</v>
      </c>
      <c r="E11728" s="80">
        <v>35796</v>
      </c>
    </row>
    <row r="11729" spans="1:5">
      <c r="A11729">
        <v>10808</v>
      </c>
      <c r="B11729" t="s">
        <v>179</v>
      </c>
      <c r="C11729">
        <v>764.99999463558197</v>
      </c>
      <c r="D11729">
        <v>50</v>
      </c>
      <c r="E11729" s="80">
        <v>35796</v>
      </c>
    </row>
    <row r="11730" spans="1:5">
      <c r="A11730">
        <v>10809</v>
      </c>
      <c r="B11730" t="s">
        <v>172</v>
      </c>
      <c r="C11730">
        <v>140</v>
      </c>
      <c r="D11730">
        <v>20</v>
      </c>
      <c r="E11730" s="80">
        <v>35796</v>
      </c>
    </row>
    <row r="11731" spans="1:5">
      <c r="A11731">
        <v>10809</v>
      </c>
      <c r="B11731" t="s">
        <v>173</v>
      </c>
      <c r="C11731">
        <v>140</v>
      </c>
      <c r="D11731">
        <v>20</v>
      </c>
      <c r="E11731" s="80">
        <v>35796</v>
      </c>
    </row>
    <row r="11732" spans="1:5">
      <c r="A11732">
        <v>10809</v>
      </c>
      <c r="B11732" t="s">
        <v>174</v>
      </c>
      <c r="C11732">
        <v>140</v>
      </c>
      <c r="D11732">
        <v>20</v>
      </c>
      <c r="E11732" s="80">
        <v>35796</v>
      </c>
    </row>
    <row r="11733" spans="1:5">
      <c r="A11733">
        <v>10809</v>
      </c>
      <c r="B11733" t="s">
        <v>175</v>
      </c>
      <c r="C11733">
        <v>140</v>
      </c>
      <c r="D11733">
        <v>20</v>
      </c>
      <c r="E11733" s="80">
        <v>35796</v>
      </c>
    </row>
    <row r="11734" spans="1:5">
      <c r="A11734">
        <v>10809</v>
      </c>
      <c r="B11734" t="s">
        <v>176</v>
      </c>
      <c r="C11734">
        <v>140</v>
      </c>
      <c r="D11734">
        <v>20</v>
      </c>
      <c r="E11734" s="80">
        <v>35796</v>
      </c>
    </row>
    <row r="11735" spans="1:5">
      <c r="A11735">
        <v>10809</v>
      </c>
      <c r="B11735" t="s">
        <v>177</v>
      </c>
      <c r="C11735">
        <v>140</v>
      </c>
      <c r="D11735">
        <v>20</v>
      </c>
      <c r="E11735" s="80">
        <v>35796</v>
      </c>
    </row>
    <row r="11736" spans="1:5">
      <c r="A11736">
        <v>10809</v>
      </c>
      <c r="B11736" t="s">
        <v>178</v>
      </c>
      <c r="C11736">
        <v>140</v>
      </c>
      <c r="D11736">
        <v>20</v>
      </c>
      <c r="E11736" s="80">
        <v>35796</v>
      </c>
    </row>
    <row r="11737" spans="1:5">
      <c r="A11737">
        <v>10809</v>
      </c>
      <c r="B11737" t="s">
        <v>179</v>
      </c>
      <c r="C11737">
        <v>140</v>
      </c>
      <c r="D11737">
        <v>20</v>
      </c>
      <c r="E11737" s="80">
        <v>35796</v>
      </c>
    </row>
    <row r="11738" spans="1:5">
      <c r="A11738">
        <v>10810</v>
      </c>
      <c r="B11738" t="s">
        <v>172</v>
      </c>
      <c r="C11738">
        <v>42</v>
      </c>
      <c r="D11738">
        <v>7</v>
      </c>
      <c r="E11738" s="80">
        <v>35796</v>
      </c>
    </row>
    <row r="11739" spans="1:5">
      <c r="A11739">
        <v>10810</v>
      </c>
      <c r="B11739" t="s">
        <v>173</v>
      </c>
      <c r="C11739">
        <v>42</v>
      </c>
      <c r="D11739">
        <v>7</v>
      </c>
      <c r="E11739" s="80">
        <v>35796</v>
      </c>
    </row>
    <row r="11740" spans="1:5">
      <c r="A11740">
        <v>10810</v>
      </c>
      <c r="B11740" t="s">
        <v>174</v>
      </c>
      <c r="C11740">
        <v>42</v>
      </c>
      <c r="D11740">
        <v>7</v>
      </c>
      <c r="E11740" s="80">
        <v>35796</v>
      </c>
    </row>
    <row r="11741" spans="1:5">
      <c r="A11741">
        <v>10810</v>
      </c>
      <c r="B11741" t="s">
        <v>175</v>
      </c>
      <c r="C11741">
        <v>42</v>
      </c>
      <c r="D11741">
        <v>7</v>
      </c>
      <c r="E11741" s="80">
        <v>35796</v>
      </c>
    </row>
    <row r="11742" spans="1:5">
      <c r="A11742">
        <v>10810</v>
      </c>
      <c r="B11742" t="s">
        <v>176</v>
      </c>
      <c r="C11742">
        <v>42</v>
      </c>
      <c r="D11742">
        <v>7</v>
      </c>
      <c r="E11742" s="80">
        <v>35796</v>
      </c>
    </row>
    <row r="11743" spans="1:5">
      <c r="A11743">
        <v>10810</v>
      </c>
      <c r="B11743" t="s">
        <v>177</v>
      </c>
      <c r="C11743">
        <v>42</v>
      </c>
      <c r="D11743">
        <v>7</v>
      </c>
      <c r="E11743" s="80">
        <v>35796</v>
      </c>
    </row>
    <row r="11744" spans="1:5">
      <c r="A11744">
        <v>10810</v>
      </c>
      <c r="B11744" t="s">
        <v>178</v>
      </c>
      <c r="C11744">
        <v>42</v>
      </c>
      <c r="D11744">
        <v>7</v>
      </c>
      <c r="E11744" s="80">
        <v>35796</v>
      </c>
    </row>
    <row r="11745" spans="1:5">
      <c r="A11745">
        <v>10810</v>
      </c>
      <c r="B11745" t="s">
        <v>179</v>
      </c>
      <c r="C11745">
        <v>42</v>
      </c>
      <c r="D11745">
        <v>7</v>
      </c>
      <c r="E11745" s="80">
        <v>35796</v>
      </c>
    </row>
    <row r="11746" spans="1:5">
      <c r="A11746">
        <v>10810</v>
      </c>
      <c r="B11746" t="s">
        <v>172</v>
      </c>
      <c r="C11746">
        <v>70</v>
      </c>
      <c r="D11746">
        <v>5</v>
      </c>
      <c r="E11746" s="80">
        <v>35796</v>
      </c>
    </row>
    <row r="11747" spans="1:5">
      <c r="A11747">
        <v>10810</v>
      </c>
      <c r="B11747" t="s">
        <v>173</v>
      </c>
      <c r="C11747">
        <v>70</v>
      </c>
      <c r="D11747">
        <v>5</v>
      </c>
      <c r="E11747" s="80">
        <v>35796</v>
      </c>
    </row>
    <row r="11748" spans="1:5">
      <c r="A11748">
        <v>10810</v>
      </c>
      <c r="B11748" t="s">
        <v>174</v>
      </c>
      <c r="C11748">
        <v>70</v>
      </c>
      <c r="D11748">
        <v>5</v>
      </c>
      <c r="E11748" s="80">
        <v>35796</v>
      </c>
    </row>
    <row r="11749" spans="1:5">
      <c r="A11749">
        <v>10810</v>
      </c>
      <c r="B11749" t="s">
        <v>175</v>
      </c>
      <c r="C11749">
        <v>70</v>
      </c>
      <c r="D11749">
        <v>5</v>
      </c>
      <c r="E11749" s="80">
        <v>35796</v>
      </c>
    </row>
    <row r="11750" spans="1:5">
      <c r="A11750">
        <v>10810</v>
      </c>
      <c r="B11750" t="s">
        <v>176</v>
      </c>
      <c r="C11750">
        <v>70</v>
      </c>
      <c r="D11750">
        <v>5</v>
      </c>
      <c r="E11750" s="80">
        <v>35796</v>
      </c>
    </row>
    <row r="11751" spans="1:5">
      <c r="A11751">
        <v>10810</v>
      </c>
      <c r="B11751" t="s">
        <v>177</v>
      </c>
      <c r="C11751">
        <v>70</v>
      </c>
      <c r="D11751">
        <v>5</v>
      </c>
      <c r="E11751" s="80">
        <v>35796</v>
      </c>
    </row>
    <row r="11752" spans="1:5">
      <c r="A11752">
        <v>10810</v>
      </c>
      <c r="B11752" t="s">
        <v>178</v>
      </c>
      <c r="C11752">
        <v>70</v>
      </c>
      <c r="D11752">
        <v>5</v>
      </c>
      <c r="E11752" s="80">
        <v>35796</v>
      </c>
    </row>
    <row r="11753" spans="1:5">
      <c r="A11753">
        <v>10810</v>
      </c>
      <c r="B11753" t="s">
        <v>179</v>
      </c>
      <c r="C11753">
        <v>70</v>
      </c>
      <c r="D11753">
        <v>5</v>
      </c>
      <c r="E11753" s="80">
        <v>35796</v>
      </c>
    </row>
    <row r="11754" spans="1:5">
      <c r="A11754">
        <v>10810</v>
      </c>
      <c r="B11754" t="s">
        <v>172</v>
      </c>
      <c r="C11754">
        <v>75</v>
      </c>
      <c r="D11754">
        <v>5</v>
      </c>
      <c r="E11754" s="80">
        <v>35796</v>
      </c>
    </row>
    <row r="11755" spans="1:5">
      <c r="A11755">
        <v>10810</v>
      </c>
      <c r="B11755" t="s">
        <v>173</v>
      </c>
      <c r="C11755">
        <v>75</v>
      </c>
      <c r="D11755">
        <v>5</v>
      </c>
      <c r="E11755" s="80">
        <v>35796</v>
      </c>
    </row>
    <row r="11756" spans="1:5">
      <c r="A11756">
        <v>10810</v>
      </c>
      <c r="B11756" t="s">
        <v>174</v>
      </c>
      <c r="C11756">
        <v>75</v>
      </c>
      <c r="D11756">
        <v>5</v>
      </c>
      <c r="E11756" s="80">
        <v>35796</v>
      </c>
    </row>
    <row r="11757" spans="1:5">
      <c r="A11757">
        <v>10810</v>
      </c>
      <c r="B11757" t="s">
        <v>175</v>
      </c>
      <c r="C11757">
        <v>75</v>
      </c>
      <c r="D11757">
        <v>5</v>
      </c>
      <c r="E11757" s="80">
        <v>35796</v>
      </c>
    </row>
    <row r="11758" spans="1:5">
      <c r="A11758">
        <v>10810</v>
      </c>
      <c r="B11758" t="s">
        <v>176</v>
      </c>
      <c r="C11758">
        <v>75</v>
      </c>
      <c r="D11758">
        <v>5</v>
      </c>
      <c r="E11758" s="80">
        <v>35796</v>
      </c>
    </row>
    <row r="11759" spans="1:5">
      <c r="A11759">
        <v>10810</v>
      </c>
      <c r="B11759" t="s">
        <v>177</v>
      </c>
      <c r="C11759">
        <v>75</v>
      </c>
      <c r="D11759">
        <v>5</v>
      </c>
      <c r="E11759" s="80">
        <v>35796</v>
      </c>
    </row>
    <row r="11760" spans="1:5">
      <c r="A11760">
        <v>10810</v>
      </c>
      <c r="B11760" t="s">
        <v>178</v>
      </c>
      <c r="C11760">
        <v>75</v>
      </c>
      <c r="D11760">
        <v>5</v>
      </c>
      <c r="E11760" s="80">
        <v>35796</v>
      </c>
    </row>
    <row r="11761" spans="1:5">
      <c r="A11761">
        <v>10810</v>
      </c>
      <c r="B11761" t="s">
        <v>179</v>
      </c>
      <c r="C11761">
        <v>75</v>
      </c>
      <c r="D11761">
        <v>5</v>
      </c>
      <c r="E11761" s="80">
        <v>35796</v>
      </c>
    </row>
    <row r="11762" spans="1:5">
      <c r="A11762">
        <v>10811</v>
      </c>
      <c r="B11762" t="s">
        <v>172</v>
      </c>
      <c r="C11762">
        <v>138</v>
      </c>
      <c r="D11762">
        <v>15</v>
      </c>
      <c r="E11762" s="80">
        <v>35797</v>
      </c>
    </row>
    <row r="11763" spans="1:5">
      <c r="A11763">
        <v>10811</v>
      </c>
      <c r="B11763" t="s">
        <v>173</v>
      </c>
      <c r="C11763">
        <v>138</v>
      </c>
      <c r="D11763">
        <v>15</v>
      </c>
      <c r="E11763" s="80">
        <v>35797</v>
      </c>
    </row>
    <row r="11764" spans="1:5">
      <c r="A11764">
        <v>10811</v>
      </c>
      <c r="B11764" t="s">
        <v>174</v>
      </c>
      <c r="C11764">
        <v>138</v>
      </c>
      <c r="D11764">
        <v>15</v>
      </c>
      <c r="E11764" s="80">
        <v>35797</v>
      </c>
    </row>
    <row r="11765" spans="1:5">
      <c r="A11765">
        <v>10811</v>
      </c>
      <c r="B11765" t="s">
        <v>175</v>
      </c>
      <c r="C11765">
        <v>138</v>
      </c>
      <c r="D11765">
        <v>15</v>
      </c>
      <c r="E11765" s="80">
        <v>35797</v>
      </c>
    </row>
    <row r="11766" spans="1:5">
      <c r="A11766">
        <v>10811</v>
      </c>
      <c r="B11766" t="s">
        <v>176</v>
      </c>
      <c r="C11766">
        <v>138</v>
      </c>
      <c r="D11766">
        <v>15</v>
      </c>
      <c r="E11766" s="80">
        <v>35797</v>
      </c>
    </row>
    <row r="11767" spans="1:5">
      <c r="A11767">
        <v>10811</v>
      </c>
      <c r="B11767" t="s">
        <v>177</v>
      </c>
      <c r="C11767">
        <v>138</v>
      </c>
      <c r="D11767">
        <v>15</v>
      </c>
      <c r="E11767" s="80">
        <v>35797</v>
      </c>
    </row>
    <row r="11768" spans="1:5">
      <c r="A11768">
        <v>10811</v>
      </c>
      <c r="B11768" t="s">
        <v>178</v>
      </c>
      <c r="C11768">
        <v>138</v>
      </c>
      <c r="D11768">
        <v>15</v>
      </c>
      <c r="E11768" s="80">
        <v>35797</v>
      </c>
    </row>
    <row r="11769" spans="1:5">
      <c r="A11769">
        <v>10811</v>
      </c>
      <c r="B11769" t="s">
        <v>179</v>
      </c>
      <c r="C11769">
        <v>138</v>
      </c>
      <c r="D11769">
        <v>15</v>
      </c>
      <c r="E11769" s="80">
        <v>35797</v>
      </c>
    </row>
    <row r="11770" spans="1:5">
      <c r="A11770">
        <v>10811</v>
      </c>
      <c r="B11770" t="s">
        <v>172</v>
      </c>
      <c r="C11770">
        <v>162</v>
      </c>
      <c r="D11770">
        <v>18</v>
      </c>
      <c r="E11770" s="80">
        <v>35797</v>
      </c>
    </row>
    <row r="11771" spans="1:5">
      <c r="A11771">
        <v>10811</v>
      </c>
      <c r="B11771" t="s">
        <v>173</v>
      </c>
      <c r="C11771">
        <v>162</v>
      </c>
      <c r="D11771">
        <v>18</v>
      </c>
      <c r="E11771" s="80">
        <v>35797</v>
      </c>
    </row>
    <row r="11772" spans="1:5">
      <c r="A11772">
        <v>10811</v>
      </c>
      <c r="B11772" t="s">
        <v>174</v>
      </c>
      <c r="C11772">
        <v>162</v>
      </c>
      <c r="D11772">
        <v>18</v>
      </c>
      <c r="E11772" s="80">
        <v>35797</v>
      </c>
    </row>
    <row r="11773" spans="1:5">
      <c r="A11773">
        <v>10811</v>
      </c>
      <c r="B11773" t="s">
        <v>175</v>
      </c>
      <c r="C11773">
        <v>162</v>
      </c>
      <c r="D11773">
        <v>18</v>
      </c>
      <c r="E11773" s="80">
        <v>35797</v>
      </c>
    </row>
    <row r="11774" spans="1:5">
      <c r="A11774">
        <v>10811</v>
      </c>
      <c r="B11774" t="s">
        <v>176</v>
      </c>
      <c r="C11774">
        <v>162</v>
      </c>
      <c r="D11774">
        <v>18</v>
      </c>
      <c r="E11774" s="80">
        <v>35797</v>
      </c>
    </row>
    <row r="11775" spans="1:5">
      <c r="A11775">
        <v>10811</v>
      </c>
      <c r="B11775" t="s">
        <v>177</v>
      </c>
      <c r="C11775">
        <v>162</v>
      </c>
      <c r="D11775">
        <v>18</v>
      </c>
      <c r="E11775" s="80">
        <v>35797</v>
      </c>
    </row>
    <row r="11776" spans="1:5">
      <c r="A11776">
        <v>10811</v>
      </c>
      <c r="B11776" t="s">
        <v>178</v>
      </c>
      <c r="C11776">
        <v>162</v>
      </c>
      <c r="D11776">
        <v>18</v>
      </c>
      <c r="E11776" s="80">
        <v>35797</v>
      </c>
    </row>
    <row r="11777" spans="1:5">
      <c r="A11777">
        <v>10811</v>
      </c>
      <c r="B11777" t="s">
        <v>179</v>
      </c>
      <c r="C11777">
        <v>162</v>
      </c>
      <c r="D11777">
        <v>18</v>
      </c>
      <c r="E11777" s="80">
        <v>35797</v>
      </c>
    </row>
    <row r="11778" spans="1:5">
      <c r="A11778">
        <v>10811</v>
      </c>
      <c r="B11778" t="s">
        <v>172</v>
      </c>
      <c r="C11778">
        <v>552</v>
      </c>
      <c r="D11778">
        <v>30</v>
      </c>
      <c r="E11778" s="80">
        <v>35797</v>
      </c>
    </row>
    <row r="11779" spans="1:5">
      <c r="A11779">
        <v>10811</v>
      </c>
      <c r="B11779" t="s">
        <v>173</v>
      </c>
      <c r="C11779">
        <v>552</v>
      </c>
      <c r="D11779">
        <v>30</v>
      </c>
      <c r="E11779" s="80">
        <v>35797</v>
      </c>
    </row>
    <row r="11780" spans="1:5">
      <c r="A11780">
        <v>10811</v>
      </c>
      <c r="B11780" t="s">
        <v>174</v>
      </c>
      <c r="C11780">
        <v>552</v>
      </c>
      <c r="D11780">
        <v>30</v>
      </c>
      <c r="E11780" s="80">
        <v>35797</v>
      </c>
    </row>
    <row r="11781" spans="1:5">
      <c r="A11781">
        <v>10811</v>
      </c>
      <c r="B11781" t="s">
        <v>175</v>
      </c>
      <c r="C11781">
        <v>552</v>
      </c>
      <c r="D11781">
        <v>30</v>
      </c>
      <c r="E11781" s="80">
        <v>35797</v>
      </c>
    </row>
    <row r="11782" spans="1:5">
      <c r="A11782">
        <v>10811</v>
      </c>
      <c r="B11782" t="s">
        <v>176</v>
      </c>
      <c r="C11782">
        <v>552</v>
      </c>
      <c r="D11782">
        <v>30</v>
      </c>
      <c r="E11782" s="80">
        <v>35797</v>
      </c>
    </row>
    <row r="11783" spans="1:5">
      <c r="A11783">
        <v>10811</v>
      </c>
      <c r="B11783" t="s">
        <v>177</v>
      </c>
      <c r="C11783">
        <v>552</v>
      </c>
      <c r="D11783">
        <v>30</v>
      </c>
      <c r="E11783" s="80">
        <v>35797</v>
      </c>
    </row>
    <row r="11784" spans="1:5">
      <c r="A11784">
        <v>10811</v>
      </c>
      <c r="B11784" t="s">
        <v>178</v>
      </c>
      <c r="C11784">
        <v>552</v>
      </c>
      <c r="D11784">
        <v>30</v>
      </c>
      <c r="E11784" s="80">
        <v>35797</v>
      </c>
    </row>
    <row r="11785" spans="1:5">
      <c r="A11785">
        <v>10811</v>
      </c>
      <c r="B11785" t="s">
        <v>179</v>
      </c>
      <c r="C11785">
        <v>552</v>
      </c>
      <c r="D11785">
        <v>30</v>
      </c>
      <c r="E11785" s="80">
        <v>35797</v>
      </c>
    </row>
    <row r="11786" spans="1:5">
      <c r="A11786">
        <v>10812</v>
      </c>
      <c r="B11786" t="s">
        <v>172</v>
      </c>
      <c r="C11786">
        <v>179.99999970197678</v>
      </c>
      <c r="D11786">
        <v>16</v>
      </c>
      <c r="E11786" s="80">
        <v>35797</v>
      </c>
    </row>
    <row r="11787" spans="1:5">
      <c r="A11787">
        <v>10812</v>
      </c>
      <c r="B11787" t="s">
        <v>173</v>
      </c>
      <c r="C11787">
        <v>179.99999970197678</v>
      </c>
      <c r="D11787">
        <v>16</v>
      </c>
      <c r="E11787" s="80">
        <v>35797</v>
      </c>
    </row>
    <row r="11788" spans="1:5">
      <c r="A11788">
        <v>10812</v>
      </c>
      <c r="B11788" t="s">
        <v>174</v>
      </c>
      <c r="C11788">
        <v>179.99999970197678</v>
      </c>
      <c r="D11788">
        <v>16</v>
      </c>
      <c r="E11788" s="80">
        <v>35797</v>
      </c>
    </row>
    <row r="11789" spans="1:5">
      <c r="A11789">
        <v>10812</v>
      </c>
      <c r="B11789" t="s">
        <v>175</v>
      </c>
      <c r="C11789">
        <v>179.99999970197678</v>
      </c>
      <c r="D11789">
        <v>16</v>
      </c>
      <c r="E11789" s="80">
        <v>35797</v>
      </c>
    </row>
    <row r="11790" spans="1:5">
      <c r="A11790">
        <v>10812</v>
      </c>
      <c r="B11790" t="s">
        <v>176</v>
      </c>
      <c r="C11790">
        <v>179.99999970197678</v>
      </c>
      <c r="D11790">
        <v>16</v>
      </c>
      <c r="E11790" s="80">
        <v>35797</v>
      </c>
    </row>
    <row r="11791" spans="1:5">
      <c r="A11791">
        <v>10812</v>
      </c>
      <c r="B11791" t="s">
        <v>177</v>
      </c>
      <c r="C11791">
        <v>179.99999970197678</v>
      </c>
      <c r="D11791">
        <v>16</v>
      </c>
      <c r="E11791" s="80">
        <v>35797</v>
      </c>
    </row>
    <row r="11792" spans="1:5">
      <c r="A11792">
        <v>10812</v>
      </c>
      <c r="B11792" t="s">
        <v>178</v>
      </c>
      <c r="C11792">
        <v>179.99999970197678</v>
      </c>
      <c r="D11792">
        <v>16</v>
      </c>
      <c r="E11792" s="80">
        <v>35797</v>
      </c>
    </row>
    <row r="11793" spans="1:5">
      <c r="A11793">
        <v>10812</v>
      </c>
      <c r="B11793" t="s">
        <v>179</v>
      </c>
      <c r="C11793">
        <v>179.99999970197678</v>
      </c>
      <c r="D11793">
        <v>16</v>
      </c>
      <c r="E11793" s="80">
        <v>35797</v>
      </c>
    </row>
    <row r="11794" spans="1:5">
      <c r="A11794">
        <v>10812</v>
      </c>
      <c r="B11794" t="s">
        <v>172</v>
      </c>
      <c r="C11794">
        <v>1252.7999979257584</v>
      </c>
      <c r="D11794">
        <v>40</v>
      </c>
      <c r="E11794" s="80">
        <v>35797</v>
      </c>
    </row>
    <row r="11795" spans="1:5">
      <c r="A11795">
        <v>10812</v>
      </c>
      <c r="B11795" t="s">
        <v>173</v>
      </c>
      <c r="C11795">
        <v>1252.7999979257584</v>
      </c>
      <c r="D11795">
        <v>40</v>
      </c>
      <c r="E11795" s="80">
        <v>35797</v>
      </c>
    </row>
    <row r="11796" spans="1:5">
      <c r="A11796">
        <v>10812</v>
      </c>
      <c r="B11796" t="s">
        <v>174</v>
      </c>
      <c r="C11796">
        <v>1252.7999979257584</v>
      </c>
      <c r="D11796">
        <v>40</v>
      </c>
      <c r="E11796" s="80">
        <v>35797</v>
      </c>
    </row>
    <row r="11797" spans="1:5">
      <c r="A11797">
        <v>10812</v>
      </c>
      <c r="B11797" t="s">
        <v>175</v>
      </c>
      <c r="C11797">
        <v>1252.7999979257584</v>
      </c>
      <c r="D11797">
        <v>40</v>
      </c>
      <c r="E11797" s="80">
        <v>35797</v>
      </c>
    </row>
    <row r="11798" spans="1:5">
      <c r="A11798">
        <v>10812</v>
      </c>
      <c r="B11798" t="s">
        <v>176</v>
      </c>
      <c r="C11798">
        <v>1252.7999979257584</v>
      </c>
      <c r="D11798">
        <v>40</v>
      </c>
      <c r="E11798" s="80">
        <v>35797</v>
      </c>
    </row>
    <row r="11799" spans="1:5">
      <c r="A11799">
        <v>10812</v>
      </c>
      <c r="B11799" t="s">
        <v>177</v>
      </c>
      <c r="C11799">
        <v>1252.7999979257584</v>
      </c>
      <c r="D11799">
        <v>40</v>
      </c>
      <c r="E11799" s="80">
        <v>35797</v>
      </c>
    </row>
    <row r="11800" spans="1:5">
      <c r="A11800">
        <v>10812</v>
      </c>
      <c r="B11800" t="s">
        <v>178</v>
      </c>
      <c r="C11800">
        <v>1252.7999979257584</v>
      </c>
      <c r="D11800">
        <v>40</v>
      </c>
      <c r="E11800" s="80">
        <v>35797</v>
      </c>
    </row>
    <row r="11801" spans="1:5">
      <c r="A11801">
        <v>10812</v>
      </c>
      <c r="B11801" t="s">
        <v>179</v>
      </c>
      <c r="C11801">
        <v>1252.7999979257584</v>
      </c>
      <c r="D11801">
        <v>40</v>
      </c>
      <c r="E11801" s="80">
        <v>35797</v>
      </c>
    </row>
    <row r="11802" spans="1:5">
      <c r="A11802">
        <v>10812</v>
      </c>
      <c r="B11802" t="s">
        <v>172</v>
      </c>
      <c r="C11802">
        <v>260</v>
      </c>
      <c r="D11802">
        <v>20</v>
      </c>
      <c r="E11802" s="80">
        <v>35797</v>
      </c>
    </row>
    <row r="11803" spans="1:5">
      <c r="A11803">
        <v>10812</v>
      </c>
      <c r="B11803" t="s">
        <v>173</v>
      </c>
      <c r="C11803">
        <v>260</v>
      </c>
      <c r="D11803">
        <v>20</v>
      </c>
      <c r="E11803" s="80">
        <v>35797</v>
      </c>
    </row>
    <row r="11804" spans="1:5">
      <c r="A11804">
        <v>10812</v>
      </c>
      <c r="B11804" t="s">
        <v>174</v>
      </c>
      <c r="C11804">
        <v>260</v>
      </c>
      <c r="D11804">
        <v>20</v>
      </c>
      <c r="E11804" s="80">
        <v>35797</v>
      </c>
    </row>
    <row r="11805" spans="1:5">
      <c r="A11805">
        <v>10812</v>
      </c>
      <c r="B11805" t="s">
        <v>175</v>
      </c>
      <c r="C11805">
        <v>260</v>
      </c>
      <c r="D11805">
        <v>20</v>
      </c>
      <c r="E11805" s="80">
        <v>35797</v>
      </c>
    </row>
    <row r="11806" spans="1:5">
      <c r="A11806">
        <v>10812</v>
      </c>
      <c r="B11806" t="s">
        <v>176</v>
      </c>
      <c r="C11806">
        <v>260</v>
      </c>
      <c r="D11806">
        <v>20</v>
      </c>
      <c r="E11806" s="80">
        <v>35797</v>
      </c>
    </row>
    <row r="11807" spans="1:5">
      <c r="A11807">
        <v>10812</v>
      </c>
      <c r="B11807" t="s">
        <v>177</v>
      </c>
      <c r="C11807">
        <v>260</v>
      </c>
      <c r="D11807">
        <v>20</v>
      </c>
      <c r="E11807" s="80">
        <v>35797</v>
      </c>
    </row>
    <row r="11808" spans="1:5">
      <c r="A11808">
        <v>10812</v>
      </c>
      <c r="B11808" t="s">
        <v>178</v>
      </c>
      <c r="C11808">
        <v>260</v>
      </c>
      <c r="D11808">
        <v>20</v>
      </c>
      <c r="E11808" s="80">
        <v>35797</v>
      </c>
    </row>
    <row r="11809" spans="1:5">
      <c r="A11809">
        <v>10812</v>
      </c>
      <c r="B11809" t="s">
        <v>179</v>
      </c>
      <c r="C11809">
        <v>260</v>
      </c>
      <c r="D11809">
        <v>20</v>
      </c>
      <c r="E11809" s="80">
        <v>35797</v>
      </c>
    </row>
    <row r="11810" spans="1:5">
      <c r="A11810">
        <v>10813</v>
      </c>
      <c r="B11810" t="s">
        <v>172</v>
      </c>
      <c r="C11810">
        <v>182.39999932050705</v>
      </c>
      <c r="D11810">
        <v>12</v>
      </c>
      <c r="E11810" s="80">
        <v>35800</v>
      </c>
    </row>
    <row r="11811" spans="1:5">
      <c r="A11811">
        <v>10813</v>
      </c>
      <c r="B11811" t="s">
        <v>173</v>
      </c>
      <c r="C11811">
        <v>182.39999932050705</v>
      </c>
      <c r="D11811">
        <v>12</v>
      </c>
      <c r="E11811" s="80">
        <v>35800</v>
      </c>
    </row>
    <row r="11812" spans="1:5">
      <c r="A11812">
        <v>10813</v>
      </c>
      <c r="B11812" t="s">
        <v>174</v>
      </c>
      <c r="C11812">
        <v>182.39999932050705</v>
      </c>
      <c r="D11812">
        <v>12</v>
      </c>
      <c r="E11812" s="80">
        <v>35800</v>
      </c>
    </row>
    <row r="11813" spans="1:5">
      <c r="A11813">
        <v>10813</v>
      </c>
      <c r="B11813" t="s">
        <v>175</v>
      </c>
      <c r="C11813">
        <v>182.39999932050705</v>
      </c>
      <c r="D11813">
        <v>12</v>
      </c>
      <c r="E11813" s="80">
        <v>35800</v>
      </c>
    </row>
    <row r="11814" spans="1:5">
      <c r="A11814">
        <v>10813</v>
      </c>
      <c r="B11814" t="s">
        <v>176</v>
      </c>
      <c r="C11814">
        <v>182.39999932050705</v>
      </c>
      <c r="D11814">
        <v>12</v>
      </c>
      <c r="E11814" s="80">
        <v>35800</v>
      </c>
    </row>
    <row r="11815" spans="1:5">
      <c r="A11815">
        <v>10813</v>
      </c>
      <c r="B11815" t="s">
        <v>177</v>
      </c>
      <c r="C11815">
        <v>182.39999932050705</v>
      </c>
      <c r="D11815">
        <v>12</v>
      </c>
      <c r="E11815" s="80">
        <v>35800</v>
      </c>
    </row>
    <row r="11816" spans="1:5">
      <c r="A11816">
        <v>10813</v>
      </c>
      <c r="B11816" t="s">
        <v>178</v>
      </c>
      <c r="C11816">
        <v>182.39999932050705</v>
      </c>
      <c r="D11816">
        <v>12</v>
      </c>
      <c r="E11816" s="80">
        <v>35800</v>
      </c>
    </row>
    <row r="11817" spans="1:5">
      <c r="A11817">
        <v>10813</v>
      </c>
      <c r="B11817" t="s">
        <v>179</v>
      </c>
      <c r="C11817">
        <v>182.39999932050705</v>
      </c>
      <c r="D11817">
        <v>12</v>
      </c>
      <c r="E11817" s="80">
        <v>35800</v>
      </c>
    </row>
    <row r="11818" spans="1:5">
      <c r="A11818">
        <v>10813</v>
      </c>
      <c r="B11818" t="s">
        <v>172</v>
      </c>
      <c r="C11818">
        <v>420</v>
      </c>
      <c r="D11818">
        <v>35</v>
      </c>
      <c r="E11818" s="80">
        <v>35800</v>
      </c>
    </row>
    <row r="11819" spans="1:5">
      <c r="A11819">
        <v>10813</v>
      </c>
      <c r="B11819" t="s">
        <v>173</v>
      </c>
      <c r="C11819">
        <v>420</v>
      </c>
      <c r="D11819">
        <v>35</v>
      </c>
      <c r="E11819" s="80">
        <v>35800</v>
      </c>
    </row>
    <row r="11820" spans="1:5">
      <c r="A11820">
        <v>10813</v>
      </c>
      <c r="B11820" t="s">
        <v>174</v>
      </c>
      <c r="C11820">
        <v>420</v>
      </c>
      <c r="D11820">
        <v>35</v>
      </c>
      <c r="E11820" s="80">
        <v>35800</v>
      </c>
    </row>
    <row r="11821" spans="1:5">
      <c r="A11821">
        <v>10813</v>
      </c>
      <c r="B11821" t="s">
        <v>175</v>
      </c>
      <c r="C11821">
        <v>420</v>
      </c>
      <c r="D11821">
        <v>35</v>
      </c>
      <c r="E11821" s="80">
        <v>35800</v>
      </c>
    </row>
    <row r="11822" spans="1:5">
      <c r="A11822">
        <v>10813</v>
      </c>
      <c r="B11822" t="s">
        <v>176</v>
      </c>
      <c r="C11822">
        <v>420</v>
      </c>
      <c r="D11822">
        <v>35</v>
      </c>
      <c r="E11822" s="80">
        <v>35800</v>
      </c>
    </row>
    <row r="11823" spans="1:5">
      <c r="A11823">
        <v>10813</v>
      </c>
      <c r="B11823" t="s">
        <v>177</v>
      </c>
      <c r="C11823">
        <v>420</v>
      </c>
      <c r="D11823">
        <v>35</v>
      </c>
      <c r="E11823" s="80">
        <v>35800</v>
      </c>
    </row>
    <row r="11824" spans="1:5">
      <c r="A11824">
        <v>10813</v>
      </c>
      <c r="B11824" t="s">
        <v>178</v>
      </c>
      <c r="C11824">
        <v>420</v>
      </c>
      <c r="D11824">
        <v>35</v>
      </c>
      <c r="E11824" s="80">
        <v>35800</v>
      </c>
    </row>
    <row r="11825" spans="1:5">
      <c r="A11825">
        <v>10813</v>
      </c>
      <c r="B11825" t="s">
        <v>179</v>
      </c>
      <c r="C11825">
        <v>420</v>
      </c>
      <c r="D11825">
        <v>35</v>
      </c>
      <c r="E11825" s="80">
        <v>35800</v>
      </c>
    </row>
    <row r="11826" spans="1:5">
      <c r="A11826">
        <v>10814</v>
      </c>
      <c r="B11826" t="s">
        <v>172</v>
      </c>
      <c r="C11826">
        <v>193</v>
      </c>
      <c r="D11826">
        <v>20</v>
      </c>
      <c r="E11826" s="80">
        <v>35800</v>
      </c>
    </row>
    <row r="11827" spans="1:5">
      <c r="A11827">
        <v>10814</v>
      </c>
      <c r="B11827" t="s">
        <v>173</v>
      </c>
      <c r="C11827">
        <v>193</v>
      </c>
      <c r="D11827">
        <v>20</v>
      </c>
      <c r="E11827" s="80">
        <v>35800</v>
      </c>
    </row>
    <row r="11828" spans="1:5">
      <c r="A11828">
        <v>10814</v>
      </c>
      <c r="B11828" t="s">
        <v>174</v>
      </c>
      <c r="C11828">
        <v>193</v>
      </c>
      <c r="D11828">
        <v>20</v>
      </c>
      <c r="E11828" s="80">
        <v>35800</v>
      </c>
    </row>
    <row r="11829" spans="1:5">
      <c r="A11829">
        <v>10814</v>
      </c>
      <c r="B11829" t="s">
        <v>175</v>
      </c>
      <c r="C11829">
        <v>193</v>
      </c>
      <c r="D11829">
        <v>20</v>
      </c>
      <c r="E11829" s="80">
        <v>35800</v>
      </c>
    </row>
    <row r="11830" spans="1:5">
      <c r="A11830">
        <v>10814</v>
      </c>
      <c r="B11830" t="s">
        <v>176</v>
      </c>
      <c r="C11830">
        <v>193</v>
      </c>
      <c r="D11830">
        <v>20</v>
      </c>
      <c r="E11830" s="80">
        <v>35800</v>
      </c>
    </row>
    <row r="11831" spans="1:5">
      <c r="A11831">
        <v>10814</v>
      </c>
      <c r="B11831" t="s">
        <v>177</v>
      </c>
      <c r="C11831">
        <v>193</v>
      </c>
      <c r="D11831">
        <v>20</v>
      </c>
      <c r="E11831" s="80">
        <v>35800</v>
      </c>
    </row>
    <row r="11832" spans="1:5">
      <c r="A11832">
        <v>10814</v>
      </c>
      <c r="B11832" t="s">
        <v>178</v>
      </c>
      <c r="C11832">
        <v>193</v>
      </c>
      <c r="D11832">
        <v>20</v>
      </c>
      <c r="E11832" s="80">
        <v>35800</v>
      </c>
    </row>
    <row r="11833" spans="1:5">
      <c r="A11833">
        <v>10814</v>
      </c>
      <c r="B11833" t="s">
        <v>179</v>
      </c>
      <c r="C11833">
        <v>193</v>
      </c>
      <c r="D11833">
        <v>20</v>
      </c>
      <c r="E11833" s="80">
        <v>35800</v>
      </c>
    </row>
    <row r="11834" spans="1:5">
      <c r="A11834">
        <v>10814</v>
      </c>
      <c r="B11834" t="s">
        <v>172</v>
      </c>
      <c r="C11834">
        <v>781.99999451637268</v>
      </c>
      <c r="D11834">
        <v>20</v>
      </c>
      <c r="E11834" s="80">
        <v>35800</v>
      </c>
    </row>
    <row r="11835" spans="1:5">
      <c r="A11835">
        <v>10814</v>
      </c>
      <c r="B11835" t="s">
        <v>173</v>
      </c>
      <c r="C11835">
        <v>781.99999451637268</v>
      </c>
      <c r="D11835">
        <v>20</v>
      </c>
      <c r="E11835" s="80">
        <v>35800</v>
      </c>
    </row>
    <row r="11836" spans="1:5">
      <c r="A11836">
        <v>10814</v>
      </c>
      <c r="B11836" t="s">
        <v>174</v>
      </c>
      <c r="C11836">
        <v>781.99999451637268</v>
      </c>
      <c r="D11836">
        <v>20</v>
      </c>
      <c r="E11836" s="80">
        <v>35800</v>
      </c>
    </row>
    <row r="11837" spans="1:5">
      <c r="A11837">
        <v>10814</v>
      </c>
      <c r="B11837" t="s">
        <v>175</v>
      </c>
      <c r="C11837">
        <v>781.99999451637268</v>
      </c>
      <c r="D11837">
        <v>20</v>
      </c>
      <c r="E11837" s="80">
        <v>35800</v>
      </c>
    </row>
    <row r="11838" spans="1:5">
      <c r="A11838">
        <v>10814</v>
      </c>
      <c r="B11838" t="s">
        <v>176</v>
      </c>
      <c r="C11838">
        <v>781.99999451637268</v>
      </c>
      <c r="D11838">
        <v>20</v>
      </c>
      <c r="E11838" s="80">
        <v>35800</v>
      </c>
    </row>
    <row r="11839" spans="1:5">
      <c r="A11839">
        <v>10814</v>
      </c>
      <c r="B11839" t="s">
        <v>177</v>
      </c>
      <c r="C11839">
        <v>781.99999451637268</v>
      </c>
      <c r="D11839">
        <v>20</v>
      </c>
      <c r="E11839" s="80">
        <v>35800</v>
      </c>
    </row>
    <row r="11840" spans="1:5">
      <c r="A11840">
        <v>10814</v>
      </c>
      <c r="B11840" t="s">
        <v>178</v>
      </c>
      <c r="C11840">
        <v>781.99999451637268</v>
      </c>
      <c r="D11840">
        <v>20</v>
      </c>
      <c r="E11840" s="80">
        <v>35800</v>
      </c>
    </row>
    <row r="11841" spans="1:5">
      <c r="A11841">
        <v>10814</v>
      </c>
      <c r="B11841" t="s">
        <v>179</v>
      </c>
      <c r="C11841">
        <v>781.99999451637268</v>
      </c>
      <c r="D11841">
        <v>20</v>
      </c>
      <c r="E11841" s="80">
        <v>35800</v>
      </c>
    </row>
    <row r="11842" spans="1:5">
      <c r="A11842">
        <v>10814</v>
      </c>
      <c r="B11842" t="s">
        <v>172</v>
      </c>
      <c r="C11842">
        <v>86.699999392032623</v>
      </c>
      <c r="D11842">
        <v>8</v>
      </c>
      <c r="E11842" s="80">
        <v>35800</v>
      </c>
    </row>
    <row r="11843" spans="1:5">
      <c r="A11843">
        <v>10814</v>
      </c>
      <c r="B11843" t="s">
        <v>173</v>
      </c>
      <c r="C11843">
        <v>86.699999392032623</v>
      </c>
      <c r="D11843">
        <v>8</v>
      </c>
      <c r="E11843" s="80">
        <v>35800</v>
      </c>
    </row>
    <row r="11844" spans="1:5">
      <c r="A11844">
        <v>10814</v>
      </c>
      <c r="B11844" t="s">
        <v>174</v>
      </c>
      <c r="C11844">
        <v>86.699999392032623</v>
      </c>
      <c r="D11844">
        <v>8</v>
      </c>
      <c r="E11844" s="80">
        <v>35800</v>
      </c>
    </row>
    <row r="11845" spans="1:5">
      <c r="A11845">
        <v>10814</v>
      </c>
      <c r="B11845" t="s">
        <v>175</v>
      </c>
      <c r="C11845">
        <v>86.699999392032623</v>
      </c>
      <c r="D11845">
        <v>8</v>
      </c>
      <c r="E11845" s="80">
        <v>35800</v>
      </c>
    </row>
    <row r="11846" spans="1:5">
      <c r="A11846">
        <v>10814</v>
      </c>
      <c r="B11846" t="s">
        <v>176</v>
      </c>
      <c r="C11846">
        <v>86.699999392032623</v>
      </c>
      <c r="D11846">
        <v>8</v>
      </c>
      <c r="E11846" s="80">
        <v>35800</v>
      </c>
    </row>
    <row r="11847" spans="1:5">
      <c r="A11847">
        <v>10814</v>
      </c>
      <c r="B11847" t="s">
        <v>177</v>
      </c>
      <c r="C11847">
        <v>86.699999392032623</v>
      </c>
      <c r="D11847">
        <v>8</v>
      </c>
      <c r="E11847" s="80">
        <v>35800</v>
      </c>
    </row>
    <row r="11848" spans="1:5">
      <c r="A11848">
        <v>10814</v>
      </c>
      <c r="B11848" t="s">
        <v>178</v>
      </c>
      <c r="C11848">
        <v>86.699999392032623</v>
      </c>
      <c r="D11848">
        <v>8</v>
      </c>
      <c r="E11848" s="80">
        <v>35800</v>
      </c>
    </row>
    <row r="11849" spans="1:5">
      <c r="A11849">
        <v>10814</v>
      </c>
      <c r="B11849" t="s">
        <v>179</v>
      </c>
      <c r="C11849">
        <v>86.699999392032623</v>
      </c>
      <c r="D11849">
        <v>8</v>
      </c>
      <c r="E11849" s="80">
        <v>35800</v>
      </c>
    </row>
    <row r="11850" spans="1:5">
      <c r="A11850">
        <v>10814</v>
      </c>
      <c r="B11850" t="s">
        <v>172</v>
      </c>
      <c r="C11850">
        <v>726.74999490380287</v>
      </c>
      <c r="D11850">
        <v>30</v>
      </c>
      <c r="E11850" s="80">
        <v>35800</v>
      </c>
    </row>
    <row r="11851" spans="1:5">
      <c r="A11851">
        <v>10814</v>
      </c>
      <c r="B11851" t="s">
        <v>173</v>
      </c>
      <c r="C11851">
        <v>726.74999490380287</v>
      </c>
      <c r="D11851">
        <v>30</v>
      </c>
      <c r="E11851" s="80">
        <v>35800</v>
      </c>
    </row>
    <row r="11852" spans="1:5">
      <c r="A11852">
        <v>10814</v>
      </c>
      <c r="B11852" t="s">
        <v>174</v>
      </c>
      <c r="C11852">
        <v>726.74999490380287</v>
      </c>
      <c r="D11852">
        <v>30</v>
      </c>
      <c r="E11852" s="80">
        <v>35800</v>
      </c>
    </row>
    <row r="11853" spans="1:5">
      <c r="A11853">
        <v>10814</v>
      </c>
      <c r="B11853" t="s">
        <v>175</v>
      </c>
      <c r="C11853">
        <v>726.74999490380287</v>
      </c>
      <c r="D11853">
        <v>30</v>
      </c>
      <c r="E11853" s="80">
        <v>35800</v>
      </c>
    </row>
    <row r="11854" spans="1:5">
      <c r="A11854">
        <v>10814</v>
      </c>
      <c r="B11854" t="s">
        <v>176</v>
      </c>
      <c r="C11854">
        <v>726.74999490380287</v>
      </c>
      <c r="D11854">
        <v>30</v>
      </c>
      <c r="E11854" s="80">
        <v>35800</v>
      </c>
    </row>
    <row r="11855" spans="1:5">
      <c r="A11855">
        <v>10814</v>
      </c>
      <c r="B11855" t="s">
        <v>177</v>
      </c>
      <c r="C11855">
        <v>726.74999490380287</v>
      </c>
      <c r="D11855">
        <v>30</v>
      </c>
      <c r="E11855" s="80">
        <v>35800</v>
      </c>
    </row>
    <row r="11856" spans="1:5">
      <c r="A11856">
        <v>10814</v>
      </c>
      <c r="B11856" t="s">
        <v>178</v>
      </c>
      <c r="C11856">
        <v>726.74999490380287</v>
      </c>
      <c r="D11856">
        <v>30</v>
      </c>
      <c r="E11856" s="80">
        <v>35800</v>
      </c>
    </row>
    <row r="11857" spans="1:5">
      <c r="A11857">
        <v>10814</v>
      </c>
      <c r="B11857" t="s">
        <v>179</v>
      </c>
      <c r="C11857">
        <v>726.74999490380287</v>
      </c>
      <c r="D11857">
        <v>30</v>
      </c>
      <c r="E11857" s="80">
        <v>35800</v>
      </c>
    </row>
    <row r="11858" spans="1:5">
      <c r="A11858">
        <v>10815</v>
      </c>
      <c r="B11858" t="s">
        <v>172</v>
      </c>
      <c r="C11858">
        <v>40</v>
      </c>
      <c r="D11858">
        <v>16</v>
      </c>
      <c r="E11858" s="80">
        <v>35800</v>
      </c>
    </row>
    <row r="11859" spans="1:5">
      <c r="A11859">
        <v>10815</v>
      </c>
      <c r="B11859" t="s">
        <v>173</v>
      </c>
      <c r="C11859">
        <v>40</v>
      </c>
      <c r="D11859">
        <v>16</v>
      </c>
      <c r="E11859" s="80">
        <v>35800</v>
      </c>
    </row>
    <row r="11860" spans="1:5">
      <c r="A11860">
        <v>10815</v>
      </c>
      <c r="B11860" t="s">
        <v>174</v>
      </c>
      <c r="C11860">
        <v>40</v>
      </c>
      <c r="D11860">
        <v>16</v>
      </c>
      <c r="E11860" s="80">
        <v>35800</v>
      </c>
    </row>
    <row r="11861" spans="1:5">
      <c r="A11861">
        <v>10815</v>
      </c>
      <c r="B11861" t="s">
        <v>175</v>
      </c>
      <c r="C11861">
        <v>40</v>
      </c>
      <c r="D11861">
        <v>16</v>
      </c>
      <c r="E11861" s="80">
        <v>35800</v>
      </c>
    </row>
    <row r="11862" spans="1:5">
      <c r="A11862">
        <v>10815</v>
      </c>
      <c r="B11862" t="s">
        <v>176</v>
      </c>
      <c r="C11862">
        <v>40</v>
      </c>
      <c r="D11862">
        <v>16</v>
      </c>
      <c r="E11862" s="80">
        <v>35800</v>
      </c>
    </row>
    <row r="11863" spans="1:5">
      <c r="A11863">
        <v>10815</v>
      </c>
      <c r="B11863" t="s">
        <v>177</v>
      </c>
      <c r="C11863">
        <v>40</v>
      </c>
      <c r="D11863">
        <v>16</v>
      </c>
      <c r="E11863" s="80">
        <v>35800</v>
      </c>
    </row>
    <row r="11864" spans="1:5">
      <c r="A11864">
        <v>10815</v>
      </c>
      <c r="B11864" t="s">
        <v>178</v>
      </c>
      <c r="C11864">
        <v>40</v>
      </c>
      <c r="D11864">
        <v>16</v>
      </c>
      <c r="E11864" s="80">
        <v>35800</v>
      </c>
    </row>
    <row r="11865" spans="1:5">
      <c r="A11865">
        <v>10815</v>
      </c>
      <c r="B11865" t="s">
        <v>179</v>
      </c>
      <c r="C11865">
        <v>40</v>
      </c>
      <c r="D11865">
        <v>16</v>
      </c>
      <c r="E11865" s="80">
        <v>35800</v>
      </c>
    </row>
    <row r="11866" spans="1:5">
      <c r="A11866">
        <v>10816</v>
      </c>
      <c r="B11866" t="s">
        <v>172</v>
      </c>
      <c r="C11866">
        <v>7509.749994110316</v>
      </c>
      <c r="D11866">
        <v>30</v>
      </c>
      <c r="E11866" s="80">
        <v>35801</v>
      </c>
    </row>
    <row r="11867" spans="1:5">
      <c r="A11867">
        <v>10816</v>
      </c>
      <c r="B11867" t="s">
        <v>173</v>
      </c>
      <c r="C11867">
        <v>7509.749994110316</v>
      </c>
      <c r="D11867">
        <v>30</v>
      </c>
      <c r="E11867" s="80">
        <v>35801</v>
      </c>
    </row>
    <row r="11868" spans="1:5">
      <c r="A11868">
        <v>10816</v>
      </c>
      <c r="B11868" t="s">
        <v>174</v>
      </c>
      <c r="C11868">
        <v>7509.749994110316</v>
      </c>
      <c r="D11868">
        <v>30</v>
      </c>
      <c r="E11868" s="80">
        <v>35801</v>
      </c>
    </row>
    <row r="11869" spans="1:5">
      <c r="A11869">
        <v>10816</v>
      </c>
      <c r="B11869" t="s">
        <v>175</v>
      </c>
      <c r="C11869">
        <v>7509.749994110316</v>
      </c>
      <c r="D11869">
        <v>30</v>
      </c>
      <c r="E11869" s="80">
        <v>35801</v>
      </c>
    </row>
    <row r="11870" spans="1:5">
      <c r="A11870">
        <v>10816</v>
      </c>
      <c r="B11870" t="s">
        <v>176</v>
      </c>
      <c r="C11870">
        <v>7509.749994110316</v>
      </c>
      <c r="D11870">
        <v>30</v>
      </c>
      <c r="E11870" s="80">
        <v>35801</v>
      </c>
    </row>
    <row r="11871" spans="1:5">
      <c r="A11871">
        <v>10816</v>
      </c>
      <c r="B11871" t="s">
        <v>177</v>
      </c>
      <c r="C11871">
        <v>7509.749994110316</v>
      </c>
      <c r="D11871">
        <v>30</v>
      </c>
      <c r="E11871" s="80">
        <v>35801</v>
      </c>
    </row>
    <row r="11872" spans="1:5">
      <c r="A11872">
        <v>10816</v>
      </c>
      <c r="B11872" t="s">
        <v>178</v>
      </c>
      <c r="C11872">
        <v>7509.749994110316</v>
      </c>
      <c r="D11872">
        <v>30</v>
      </c>
      <c r="E11872" s="80">
        <v>35801</v>
      </c>
    </row>
    <row r="11873" spans="1:5">
      <c r="A11873">
        <v>10816</v>
      </c>
      <c r="B11873" t="s">
        <v>179</v>
      </c>
      <c r="C11873">
        <v>7509.749994110316</v>
      </c>
      <c r="D11873">
        <v>30</v>
      </c>
      <c r="E11873" s="80">
        <v>35801</v>
      </c>
    </row>
    <row r="11874" spans="1:5">
      <c r="A11874">
        <v>10816</v>
      </c>
      <c r="B11874" t="s">
        <v>172</v>
      </c>
      <c r="C11874">
        <v>936.69999926537275</v>
      </c>
      <c r="D11874">
        <v>20</v>
      </c>
      <c r="E11874" s="80">
        <v>35801</v>
      </c>
    </row>
    <row r="11875" spans="1:5">
      <c r="A11875">
        <v>10816</v>
      </c>
      <c r="B11875" t="s">
        <v>173</v>
      </c>
      <c r="C11875">
        <v>936.69999926537275</v>
      </c>
      <c r="D11875">
        <v>20</v>
      </c>
      <c r="E11875" s="80">
        <v>35801</v>
      </c>
    </row>
    <row r="11876" spans="1:5">
      <c r="A11876">
        <v>10816</v>
      </c>
      <c r="B11876" t="s">
        <v>174</v>
      </c>
      <c r="C11876">
        <v>936.69999926537275</v>
      </c>
      <c r="D11876">
        <v>20</v>
      </c>
      <c r="E11876" s="80">
        <v>35801</v>
      </c>
    </row>
    <row r="11877" spans="1:5">
      <c r="A11877">
        <v>10816</v>
      </c>
      <c r="B11877" t="s">
        <v>175</v>
      </c>
      <c r="C11877">
        <v>936.69999926537275</v>
      </c>
      <c r="D11877">
        <v>20</v>
      </c>
      <c r="E11877" s="80">
        <v>35801</v>
      </c>
    </row>
    <row r="11878" spans="1:5">
      <c r="A11878">
        <v>10816</v>
      </c>
      <c r="B11878" t="s">
        <v>176</v>
      </c>
      <c r="C11878">
        <v>936.69999926537275</v>
      </c>
      <c r="D11878">
        <v>20</v>
      </c>
      <c r="E11878" s="80">
        <v>35801</v>
      </c>
    </row>
    <row r="11879" spans="1:5">
      <c r="A11879">
        <v>10816</v>
      </c>
      <c r="B11879" t="s">
        <v>177</v>
      </c>
      <c r="C11879">
        <v>936.69999926537275</v>
      </c>
      <c r="D11879">
        <v>20</v>
      </c>
      <c r="E11879" s="80">
        <v>35801</v>
      </c>
    </row>
    <row r="11880" spans="1:5">
      <c r="A11880">
        <v>10816</v>
      </c>
      <c r="B11880" t="s">
        <v>178</v>
      </c>
      <c r="C11880">
        <v>936.69999926537275</v>
      </c>
      <c r="D11880">
        <v>20</v>
      </c>
      <c r="E11880" s="80">
        <v>35801</v>
      </c>
    </row>
    <row r="11881" spans="1:5">
      <c r="A11881">
        <v>10816</v>
      </c>
      <c r="B11881" t="s">
        <v>179</v>
      </c>
      <c r="C11881">
        <v>936.69999926537275</v>
      </c>
      <c r="D11881">
        <v>20</v>
      </c>
      <c r="E11881" s="80">
        <v>35801</v>
      </c>
    </row>
    <row r="11882" spans="1:5">
      <c r="A11882">
        <v>10817</v>
      </c>
      <c r="B11882" t="s">
        <v>172</v>
      </c>
      <c r="C11882">
        <v>1061.8199925541878</v>
      </c>
      <c r="D11882">
        <v>40</v>
      </c>
      <c r="E11882" s="80">
        <v>35801</v>
      </c>
    </row>
    <row r="11883" spans="1:5">
      <c r="A11883">
        <v>10817</v>
      </c>
      <c r="B11883" t="s">
        <v>173</v>
      </c>
      <c r="C11883">
        <v>1061.8199925541878</v>
      </c>
      <c r="D11883">
        <v>40</v>
      </c>
      <c r="E11883" s="80">
        <v>35801</v>
      </c>
    </row>
    <row r="11884" spans="1:5">
      <c r="A11884">
        <v>10817</v>
      </c>
      <c r="B11884" t="s">
        <v>174</v>
      </c>
      <c r="C11884">
        <v>1061.8199925541878</v>
      </c>
      <c r="D11884">
        <v>40</v>
      </c>
      <c r="E11884" s="80">
        <v>35801</v>
      </c>
    </row>
    <row r="11885" spans="1:5">
      <c r="A11885">
        <v>10817</v>
      </c>
      <c r="B11885" t="s">
        <v>175</v>
      </c>
      <c r="C11885">
        <v>1061.8199925541878</v>
      </c>
      <c r="D11885">
        <v>40</v>
      </c>
      <c r="E11885" s="80">
        <v>35801</v>
      </c>
    </row>
    <row r="11886" spans="1:5">
      <c r="A11886">
        <v>10817</v>
      </c>
      <c r="B11886" t="s">
        <v>176</v>
      </c>
      <c r="C11886">
        <v>1061.8199925541878</v>
      </c>
      <c r="D11886">
        <v>40</v>
      </c>
      <c r="E11886" s="80">
        <v>35801</v>
      </c>
    </row>
    <row r="11887" spans="1:5">
      <c r="A11887">
        <v>10817</v>
      </c>
      <c r="B11887" t="s">
        <v>177</v>
      </c>
      <c r="C11887">
        <v>1061.8199925541878</v>
      </c>
      <c r="D11887">
        <v>40</v>
      </c>
      <c r="E11887" s="80">
        <v>35801</v>
      </c>
    </row>
    <row r="11888" spans="1:5">
      <c r="A11888">
        <v>10817</v>
      </c>
      <c r="B11888" t="s">
        <v>178</v>
      </c>
      <c r="C11888">
        <v>1061.8199925541878</v>
      </c>
      <c r="D11888">
        <v>40</v>
      </c>
      <c r="E11888" s="80">
        <v>35801</v>
      </c>
    </row>
    <row r="11889" spans="1:5">
      <c r="A11889">
        <v>10817</v>
      </c>
      <c r="B11889" t="s">
        <v>179</v>
      </c>
      <c r="C11889">
        <v>1061.8199925541878</v>
      </c>
      <c r="D11889">
        <v>40</v>
      </c>
      <c r="E11889" s="80">
        <v>35801</v>
      </c>
    </row>
    <row r="11890" spans="1:5">
      <c r="A11890">
        <v>10817</v>
      </c>
      <c r="B11890" t="s">
        <v>172</v>
      </c>
      <c r="C11890">
        <v>7905</v>
      </c>
      <c r="D11890">
        <v>30</v>
      </c>
      <c r="E11890" s="80">
        <v>35801</v>
      </c>
    </row>
    <row r="11891" spans="1:5">
      <c r="A11891">
        <v>10817</v>
      </c>
      <c r="B11891" t="s">
        <v>173</v>
      </c>
      <c r="C11891">
        <v>7905</v>
      </c>
      <c r="D11891">
        <v>30</v>
      </c>
      <c r="E11891" s="80">
        <v>35801</v>
      </c>
    </row>
    <row r="11892" spans="1:5">
      <c r="A11892">
        <v>10817</v>
      </c>
      <c r="B11892" t="s">
        <v>174</v>
      </c>
      <c r="C11892">
        <v>7905</v>
      </c>
      <c r="D11892">
        <v>30</v>
      </c>
      <c r="E11892" s="80">
        <v>35801</v>
      </c>
    </row>
    <row r="11893" spans="1:5">
      <c r="A11893">
        <v>10817</v>
      </c>
      <c r="B11893" t="s">
        <v>175</v>
      </c>
      <c r="C11893">
        <v>7905</v>
      </c>
      <c r="D11893">
        <v>30</v>
      </c>
      <c r="E11893" s="80">
        <v>35801</v>
      </c>
    </row>
    <row r="11894" spans="1:5">
      <c r="A11894">
        <v>10817</v>
      </c>
      <c r="B11894" t="s">
        <v>176</v>
      </c>
      <c r="C11894">
        <v>7905</v>
      </c>
      <c r="D11894">
        <v>30</v>
      </c>
      <c r="E11894" s="80">
        <v>35801</v>
      </c>
    </row>
    <row r="11895" spans="1:5">
      <c r="A11895">
        <v>10817</v>
      </c>
      <c r="B11895" t="s">
        <v>177</v>
      </c>
      <c r="C11895">
        <v>7905</v>
      </c>
      <c r="D11895">
        <v>30</v>
      </c>
      <c r="E11895" s="80">
        <v>35801</v>
      </c>
    </row>
    <row r="11896" spans="1:5">
      <c r="A11896">
        <v>10817</v>
      </c>
      <c r="B11896" t="s">
        <v>178</v>
      </c>
      <c r="C11896">
        <v>7905</v>
      </c>
      <c r="D11896">
        <v>30</v>
      </c>
      <c r="E11896" s="80">
        <v>35801</v>
      </c>
    </row>
    <row r="11897" spans="1:5">
      <c r="A11897">
        <v>10817</v>
      </c>
      <c r="B11897" t="s">
        <v>179</v>
      </c>
      <c r="C11897">
        <v>7905</v>
      </c>
      <c r="D11897">
        <v>30</v>
      </c>
      <c r="E11897" s="80">
        <v>35801</v>
      </c>
    </row>
    <row r="11898" spans="1:5">
      <c r="A11898">
        <v>10817</v>
      </c>
      <c r="B11898" t="s">
        <v>172</v>
      </c>
      <c r="C11898">
        <v>938.39999341964722</v>
      </c>
      <c r="D11898">
        <v>60</v>
      </c>
      <c r="E11898" s="80">
        <v>35801</v>
      </c>
    </row>
    <row r="11899" spans="1:5">
      <c r="A11899">
        <v>10817</v>
      </c>
      <c r="B11899" t="s">
        <v>173</v>
      </c>
      <c r="C11899">
        <v>938.39999341964722</v>
      </c>
      <c r="D11899">
        <v>60</v>
      </c>
      <c r="E11899" s="80">
        <v>35801</v>
      </c>
    </row>
    <row r="11900" spans="1:5">
      <c r="A11900">
        <v>10817</v>
      </c>
      <c r="B11900" t="s">
        <v>174</v>
      </c>
      <c r="C11900">
        <v>938.39999341964722</v>
      </c>
      <c r="D11900">
        <v>60</v>
      </c>
      <c r="E11900" s="80">
        <v>35801</v>
      </c>
    </row>
    <row r="11901" spans="1:5">
      <c r="A11901">
        <v>10817</v>
      </c>
      <c r="B11901" t="s">
        <v>175</v>
      </c>
      <c r="C11901">
        <v>938.39999341964722</v>
      </c>
      <c r="D11901">
        <v>60</v>
      </c>
      <c r="E11901" s="80">
        <v>35801</v>
      </c>
    </row>
    <row r="11902" spans="1:5">
      <c r="A11902">
        <v>10817</v>
      </c>
      <c r="B11902" t="s">
        <v>176</v>
      </c>
      <c r="C11902">
        <v>938.39999341964722</v>
      </c>
      <c r="D11902">
        <v>60</v>
      </c>
      <c r="E11902" s="80">
        <v>35801</v>
      </c>
    </row>
    <row r="11903" spans="1:5">
      <c r="A11903">
        <v>10817</v>
      </c>
      <c r="B11903" t="s">
        <v>177</v>
      </c>
      <c r="C11903">
        <v>938.39999341964722</v>
      </c>
      <c r="D11903">
        <v>60</v>
      </c>
      <c r="E11903" s="80">
        <v>35801</v>
      </c>
    </row>
    <row r="11904" spans="1:5">
      <c r="A11904">
        <v>10817</v>
      </c>
      <c r="B11904" t="s">
        <v>178</v>
      </c>
      <c r="C11904">
        <v>938.39999341964722</v>
      </c>
      <c r="D11904">
        <v>60</v>
      </c>
      <c r="E11904" s="80">
        <v>35801</v>
      </c>
    </row>
    <row r="11905" spans="1:5">
      <c r="A11905">
        <v>10817</v>
      </c>
      <c r="B11905" t="s">
        <v>179</v>
      </c>
      <c r="C11905">
        <v>938.39999341964722</v>
      </c>
      <c r="D11905">
        <v>60</v>
      </c>
      <c r="E11905" s="80">
        <v>35801</v>
      </c>
    </row>
    <row r="11906" spans="1:5">
      <c r="A11906">
        <v>10817</v>
      </c>
      <c r="B11906" t="s">
        <v>172</v>
      </c>
      <c r="C11906">
        <v>1047.6249926537275</v>
      </c>
      <c r="D11906">
        <v>25</v>
      </c>
      <c r="E11906" s="80">
        <v>35801</v>
      </c>
    </row>
    <row r="11907" spans="1:5">
      <c r="A11907">
        <v>10817</v>
      </c>
      <c r="B11907" t="s">
        <v>173</v>
      </c>
      <c r="C11907">
        <v>1047.6249926537275</v>
      </c>
      <c r="D11907">
        <v>25</v>
      </c>
      <c r="E11907" s="80">
        <v>35801</v>
      </c>
    </row>
    <row r="11908" spans="1:5">
      <c r="A11908">
        <v>10817</v>
      </c>
      <c r="B11908" t="s">
        <v>174</v>
      </c>
      <c r="C11908">
        <v>1047.6249926537275</v>
      </c>
      <c r="D11908">
        <v>25</v>
      </c>
      <c r="E11908" s="80">
        <v>35801</v>
      </c>
    </row>
    <row r="11909" spans="1:5">
      <c r="A11909">
        <v>10817</v>
      </c>
      <c r="B11909" t="s">
        <v>175</v>
      </c>
      <c r="C11909">
        <v>1047.6249926537275</v>
      </c>
      <c r="D11909">
        <v>25</v>
      </c>
      <c r="E11909" s="80">
        <v>35801</v>
      </c>
    </row>
    <row r="11910" spans="1:5">
      <c r="A11910">
        <v>10817</v>
      </c>
      <c r="B11910" t="s">
        <v>176</v>
      </c>
      <c r="C11910">
        <v>1047.6249926537275</v>
      </c>
      <c r="D11910">
        <v>25</v>
      </c>
      <c r="E11910" s="80">
        <v>35801</v>
      </c>
    </row>
    <row r="11911" spans="1:5">
      <c r="A11911">
        <v>10817</v>
      </c>
      <c r="B11911" t="s">
        <v>177</v>
      </c>
      <c r="C11911">
        <v>1047.6249926537275</v>
      </c>
      <c r="D11911">
        <v>25</v>
      </c>
      <c r="E11911" s="80">
        <v>35801</v>
      </c>
    </row>
    <row r="11912" spans="1:5">
      <c r="A11912">
        <v>10817</v>
      </c>
      <c r="B11912" t="s">
        <v>178</v>
      </c>
      <c r="C11912">
        <v>1047.6249926537275</v>
      </c>
      <c r="D11912">
        <v>25</v>
      </c>
      <c r="E11912" s="80">
        <v>35801</v>
      </c>
    </row>
    <row r="11913" spans="1:5">
      <c r="A11913">
        <v>10817</v>
      </c>
      <c r="B11913" t="s">
        <v>179</v>
      </c>
      <c r="C11913">
        <v>1047.6249926537275</v>
      </c>
      <c r="D11913">
        <v>25</v>
      </c>
      <c r="E11913" s="80">
        <v>35801</v>
      </c>
    </row>
    <row r="11914" spans="1:5">
      <c r="A11914">
        <v>10818</v>
      </c>
      <c r="B11914" t="s">
        <v>172</v>
      </c>
      <c r="C11914">
        <v>640</v>
      </c>
      <c r="D11914">
        <v>20</v>
      </c>
      <c r="E11914" s="80">
        <v>35802</v>
      </c>
    </row>
    <row r="11915" spans="1:5">
      <c r="A11915">
        <v>10818</v>
      </c>
      <c r="B11915" t="s">
        <v>173</v>
      </c>
      <c r="C11915">
        <v>640</v>
      </c>
      <c r="D11915">
        <v>20</v>
      </c>
      <c r="E11915" s="80">
        <v>35802</v>
      </c>
    </row>
    <row r="11916" spans="1:5">
      <c r="A11916">
        <v>10818</v>
      </c>
      <c r="B11916" t="s">
        <v>174</v>
      </c>
      <c r="C11916">
        <v>640</v>
      </c>
      <c r="D11916">
        <v>20</v>
      </c>
      <c r="E11916" s="80">
        <v>35802</v>
      </c>
    </row>
    <row r="11917" spans="1:5">
      <c r="A11917">
        <v>10818</v>
      </c>
      <c r="B11917" t="s">
        <v>175</v>
      </c>
      <c r="C11917">
        <v>640</v>
      </c>
      <c r="D11917">
        <v>20</v>
      </c>
      <c r="E11917" s="80">
        <v>35802</v>
      </c>
    </row>
    <row r="11918" spans="1:5">
      <c r="A11918">
        <v>10818</v>
      </c>
      <c r="B11918" t="s">
        <v>176</v>
      </c>
      <c r="C11918">
        <v>640</v>
      </c>
      <c r="D11918">
        <v>20</v>
      </c>
      <c r="E11918" s="80">
        <v>35802</v>
      </c>
    </row>
    <row r="11919" spans="1:5">
      <c r="A11919">
        <v>10818</v>
      </c>
      <c r="B11919" t="s">
        <v>177</v>
      </c>
      <c r="C11919">
        <v>640</v>
      </c>
      <c r="D11919">
        <v>20</v>
      </c>
      <c r="E11919" s="80">
        <v>35802</v>
      </c>
    </row>
    <row r="11920" spans="1:5">
      <c r="A11920">
        <v>10818</v>
      </c>
      <c r="B11920" t="s">
        <v>178</v>
      </c>
      <c r="C11920">
        <v>640</v>
      </c>
      <c r="D11920">
        <v>20</v>
      </c>
      <c r="E11920" s="80">
        <v>35802</v>
      </c>
    </row>
    <row r="11921" spans="1:5">
      <c r="A11921">
        <v>10818</v>
      </c>
      <c r="B11921" t="s">
        <v>179</v>
      </c>
      <c r="C11921">
        <v>640</v>
      </c>
      <c r="D11921">
        <v>20</v>
      </c>
      <c r="E11921" s="80">
        <v>35802</v>
      </c>
    </row>
    <row r="11922" spans="1:5">
      <c r="A11922">
        <v>10818</v>
      </c>
      <c r="B11922" t="s">
        <v>172</v>
      </c>
      <c r="C11922">
        <v>193</v>
      </c>
      <c r="D11922">
        <v>20</v>
      </c>
      <c r="E11922" s="80">
        <v>35802</v>
      </c>
    </row>
    <row r="11923" spans="1:5">
      <c r="A11923">
        <v>10818</v>
      </c>
      <c r="B11923" t="s">
        <v>173</v>
      </c>
      <c r="C11923">
        <v>193</v>
      </c>
      <c r="D11923">
        <v>20</v>
      </c>
      <c r="E11923" s="80">
        <v>35802</v>
      </c>
    </row>
    <row r="11924" spans="1:5">
      <c r="A11924">
        <v>10818</v>
      </c>
      <c r="B11924" t="s">
        <v>174</v>
      </c>
      <c r="C11924">
        <v>193</v>
      </c>
      <c r="D11924">
        <v>20</v>
      </c>
      <c r="E11924" s="80">
        <v>35802</v>
      </c>
    </row>
    <row r="11925" spans="1:5">
      <c r="A11925">
        <v>10818</v>
      </c>
      <c r="B11925" t="s">
        <v>175</v>
      </c>
      <c r="C11925">
        <v>193</v>
      </c>
      <c r="D11925">
        <v>20</v>
      </c>
      <c r="E11925" s="80">
        <v>35802</v>
      </c>
    </row>
    <row r="11926" spans="1:5">
      <c r="A11926">
        <v>10818</v>
      </c>
      <c r="B11926" t="s">
        <v>176</v>
      </c>
      <c r="C11926">
        <v>193</v>
      </c>
      <c r="D11926">
        <v>20</v>
      </c>
      <c r="E11926" s="80">
        <v>35802</v>
      </c>
    </row>
    <row r="11927" spans="1:5">
      <c r="A11927">
        <v>10818</v>
      </c>
      <c r="B11927" t="s">
        <v>177</v>
      </c>
      <c r="C11927">
        <v>193</v>
      </c>
      <c r="D11927">
        <v>20</v>
      </c>
      <c r="E11927" s="80">
        <v>35802</v>
      </c>
    </row>
    <row r="11928" spans="1:5">
      <c r="A11928">
        <v>10818</v>
      </c>
      <c r="B11928" t="s">
        <v>178</v>
      </c>
      <c r="C11928">
        <v>193</v>
      </c>
      <c r="D11928">
        <v>20</v>
      </c>
      <c r="E11928" s="80">
        <v>35802</v>
      </c>
    </row>
    <row r="11929" spans="1:5">
      <c r="A11929">
        <v>10818</v>
      </c>
      <c r="B11929" t="s">
        <v>179</v>
      </c>
      <c r="C11929">
        <v>193</v>
      </c>
      <c r="D11929">
        <v>20</v>
      </c>
      <c r="E11929" s="80">
        <v>35802</v>
      </c>
    </row>
    <row r="11930" spans="1:5">
      <c r="A11930">
        <v>10819</v>
      </c>
      <c r="B11930" t="s">
        <v>172</v>
      </c>
      <c r="C11930">
        <v>322</v>
      </c>
      <c r="D11930">
        <v>7</v>
      </c>
      <c r="E11930" s="80">
        <v>35802</v>
      </c>
    </row>
    <row r="11931" spans="1:5">
      <c r="A11931">
        <v>10819</v>
      </c>
      <c r="B11931" t="s">
        <v>173</v>
      </c>
      <c r="C11931">
        <v>322</v>
      </c>
      <c r="D11931">
        <v>7</v>
      </c>
      <c r="E11931" s="80">
        <v>35802</v>
      </c>
    </row>
    <row r="11932" spans="1:5">
      <c r="A11932">
        <v>10819</v>
      </c>
      <c r="B11932" t="s">
        <v>174</v>
      </c>
      <c r="C11932">
        <v>322</v>
      </c>
      <c r="D11932">
        <v>7</v>
      </c>
      <c r="E11932" s="80">
        <v>35802</v>
      </c>
    </row>
    <row r="11933" spans="1:5">
      <c r="A11933">
        <v>10819</v>
      </c>
      <c r="B11933" t="s">
        <v>175</v>
      </c>
      <c r="C11933">
        <v>322</v>
      </c>
      <c r="D11933">
        <v>7</v>
      </c>
      <c r="E11933" s="80">
        <v>35802</v>
      </c>
    </row>
    <row r="11934" spans="1:5">
      <c r="A11934">
        <v>10819</v>
      </c>
      <c r="B11934" t="s">
        <v>176</v>
      </c>
      <c r="C11934">
        <v>322</v>
      </c>
      <c r="D11934">
        <v>7</v>
      </c>
      <c r="E11934" s="80">
        <v>35802</v>
      </c>
    </row>
    <row r="11935" spans="1:5">
      <c r="A11935">
        <v>10819</v>
      </c>
      <c r="B11935" t="s">
        <v>177</v>
      </c>
      <c r="C11935">
        <v>322</v>
      </c>
      <c r="D11935">
        <v>7</v>
      </c>
      <c r="E11935" s="80">
        <v>35802</v>
      </c>
    </row>
    <row r="11936" spans="1:5">
      <c r="A11936">
        <v>10819</v>
      </c>
      <c r="B11936" t="s">
        <v>178</v>
      </c>
      <c r="C11936">
        <v>322</v>
      </c>
      <c r="D11936">
        <v>7</v>
      </c>
      <c r="E11936" s="80">
        <v>35802</v>
      </c>
    </row>
    <row r="11937" spans="1:5">
      <c r="A11937">
        <v>10819</v>
      </c>
      <c r="B11937" t="s">
        <v>179</v>
      </c>
      <c r="C11937">
        <v>322</v>
      </c>
      <c r="D11937">
        <v>7</v>
      </c>
      <c r="E11937" s="80">
        <v>35802</v>
      </c>
    </row>
    <row r="11938" spans="1:5">
      <c r="A11938">
        <v>10819</v>
      </c>
      <c r="B11938" t="s">
        <v>172</v>
      </c>
      <c r="C11938">
        <v>155</v>
      </c>
      <c r="D11938">
        <v>20</v>
      </c>
      <c r="E11938" s="80">
        <v>35802</v>
      </c>
    </row>
    <row r="11939" spans="1:5">
      <c r="A11939">
        <v>10819</v>
      </c>
      <c r="B11939" t="s">
        <v>173</v>
      </c>
      <c r="C11939">
        <v>155</v>
      </c>
      <c r="D11939">
        <v>20</v>
      </c>
      <c r="E11939" s="80">
        <v>35802</v>
      </c>
    </row>
    <row r="11940" spans="1:5">
      <c r="A11940">
        <v>10819</v>
      </c>
      <c r="B11940" t="s">
        <v>174</v>
      </c>
      <c r="C11940">
        <v>155</v>
      </c>
      <c r="D11940">
        <v>20</v>
      </c>
      <c r="E11940" s="80">
        <v>35802</v>
      </c>
    </row>
    <row r="11941" spans="1:5">
      <c r="A11941">
        <v>10819</v>
      </c>
      <c r="B11941" t="s">
        <v>175</v>
      </c>
      <c r="C11941">
        <v>155</v>
      </c>
      <c r="D11941">
        <v>20</v>
      </c>
      <c r="E11941" s="80">
        <v>35802</v>
      </c>
    </row>
    <row r="11942" spans="1:5">
      <c r="A11942">
        <v>10819</v>
      </c>
      <c r="B11942" t="s">
        <v>176</v>
      </c>
      <c r="C11942">
        <v>155</v>
      </c>
      <c r="D11942">
        <v>20</v>
      </c>
      <c r="E11942" s="80">
        <v>35802</v>
      </c>
    </row>
    <row r="11943" spans="1:5">
      <c r="A11943">
        <v>10819</v>
      </c>
      <c r="B11943" t="s">
        <v>177</v>
      </c>
      <c r="C11943">
        <v>155</v>
      </c>
      <c r="D11943">
        <v>20</v>
      </c>
      <c r="E11943" s="80">
        <v>35802</v>
      </c>
    </row>
    <row r="11944" spans="1:5">
      <c r="A11944">
        <v>10819</v>
      </c>
      <c r="B11944" t="s">
        <v>178</v>
      </c>
      <c r="C11944">
        <v>155</v>
      </c>
      <c r="D11944">
        <v>20</v>
      </c>
      <c r="E11944" s="80">
        <v>35802</v>
      </c>
    </row>
    <row r="11945" spans="1:5">
      <c r="A11945">
        <v>10819</v>
      </c>
      <c r="B11945" t="s">
        <v>179</v>
      </c>
      <c r="C11945">
        <v>155</v>
      </c>
      <c r="D11945">
        <v>20</v>
      </c>
      <c r="E11945" s="80">
        <v>35802</v>
      </c>
    </row>
    <row r="11946" spans="1:5">
      <c r="A11946">
        <v>10820</v>
      </c>
      <c r="B11946" t="s">
        <v>172</v>
      </c>
      <c r="C11946">
        <v>1140</v>
      </c>
      <c r="D11946">
        <v>30</v>
      </c>
      <c r="E11946" s="80">
        <v>35802</v>
      </c>
    </row>
    <row r="11947" spans="1:5">
      <c r="A11947">
        <v>10820</v>
      </c>
      <c r="B11947" t="s">
        <v>173</v>
      </c>
      <c r="C11947">
        <v>1140</v>
      </c>
      <c r="D11947">
        <v>30</v>
      </c>
      <c r="E11947" s="80">
        <v>35802</v>
      </c>
    </row>
    <row r="11948" spans="1:5">
      <c r="A11948">
        <v>10820</v>
      </c>
      <c r="B11948" t="s">
        <v>174</v>
      </c>
      <c r="C11948">
        <v>1140</v>
      </c>
      <c r="D11948">
        <v>30</v>
      </c>
      <c r="E11948" s="80">
        <v>35802</v>
      </c>
    </row>
    <row r="11949" spans="1:5">
      <c r="A11949">
        <v>10820</v>
      </c>
      <c r="B11949" t="s">
        <v>175</v>
      </c>
      <c r="C11949">
        <v>1140</v>
      </c>
      <c r="D11949">
        <v>30</v>
      </c>
      <c r="E11949" s="80">
        <v>35802</v>
      </c>
    </row>
    <row r="11950" spans="1:5">
      <c r="A11950">
        <v>10820</v>
      </c>
      <c r="B11950" t="s">
        <v>176</v>
      </c>
      <c r="C11950">
        <v>1140</v>
      </c>
      <c r="D11950">
        <v>30</v>
      </c>
      <c r="E11950" s="80">
        <v>35802</v>
      </c>
    </row>
    <row r="11951" spans="1:5">
      <c r="A11951">
        <v>10820</v>
      </c>
      <c r="B11951" t="s">
        <v>177</v>
      </c>
      <c r="C11951">
        <v>1140</v>
      </c>
      <c r="D11951">
        <v>30</v>
      </c>
      <c r="E11951" s="80">
        <v>35802</v>
      </c>
    </row>
    <row r="11952" spans="1:5">
      <c r="A11952">
        <v>10820</v>
      </c>
      <c r="B11952" t="s">
        <v>178</v>
      </c>
      <c r="C11952">
        <v>1140</v>
      </c>
      <c r="D11952">
        <v>30</v>
      </c>
      <c r="E11952" s="80">
        <v>35802</v>
      </c>
    </row>
    <row r="11953" spans="1:5">
      <c r="A11953">
        <v>10820</v>
      </c>
      <c r="B11953" t="s">
        <v>179</v>
      </c>
      <c r="C11953">
        <v>1140</v>
      </c>
      <c r="D11953">
        <v>30</v>
      </c>
      <c r="E11953" s="80">
        <v>35802</v>
      </c>
    </row>
    <row r="11954" spans="1:5">
      <c r="A11954">
        <v>10821</v>
      </c>
      <c r="B11954" t="s">
        <v>172</v>
      </c>
      <c r="C11954">
        <v>360</v>
      </c>
      <c r="D11954">
        <v>20</v>
      </c>
      <c r="E11954" s="80">
        <v>35803</v>
      </c>
    </row>
    <row r="11955" spans="1:5">
      <c r="A11955">
        <v>10821</v>
      </c>
      <c r="B11955" t="s">
        <v>173</v>
      </c>
      <c r="C11955">
        <v>360</v>
      </c>
      <c r="D11955">
        <v>20</v>
      </c>
      <c r="E11955" s="80">
        <v>35803</v>
      </c>
    </row>
    <row r="11956" spans="1:5">
      <c r="A11956">
        <v>10821</v>
      </c>
      <c r="B11956" t="s">
        <v>174</v>
      </c>
      <c r="C11956">
        <v>360</v>
      </c>
      <c r="D11956">
        <v>20</v>
      </c>
      <c r="E11956" s="80">
        <v>35803</v>
      </c>
    </row>
    <row r="11957" spans="1:5">
      <c r="A11957">
        <v>10821</v>
      </c>
      <c r="B11957" t="s">
        <v>175</v>
      </c>
      <c r="C11957">
        <v>360</v>
      </c>
      <c r="D11957">
        <v>20</v>
      </c>
      <c r="E11957" s="80">
        <v>35803</v>
      </c>
    </row>
    <row r="11958" spans="1:5">
      <c r="A11958">
        <v>10821</v>
      </c>
      <c r="B11958" t="s">
        <v>176</v>
      </c>
      <c r="C11958">
        <v>360</v>
      </c>
      <c r="D11958">
        <v>20</v>
      </c>
      <c r="E11958" s="80">
        <v>35803</v>
      </c>
    </row>
    <row r="11959" spans="1:5">
      <c r="A11959">
        <v>10821</v>
      </c>
      <c r="B11959" t="s">
        <v>177</v>
      </c>
      <c r="C11959">
        <v>360</v>
      </c>
      <c r="D11959">
        <v>20</v>
      </c>
      <c r="E11959" s="80">
        <v>35803</v>
      </c>
    </row>
    <row r="11960" spans="1:5">
      <c r="A11960">
        <v>10821</v>
      </c>
      <c r="B11960" t="s">
        <v>178</v>
      </c>
      <c r="C11960">
        <v>360</v>
      </c>
      <c r="D11960">
        <v>20</v>
      </c>
      <c r="E11960" s="80">
        <v>35803</v>
      </c>
    </row>
    <row r="11961" spans="1:5">
      <c r="A11961">
        <v>10821</v>
      </c>
      <c r="B11961" t="s">
        <v>179</v>
      </c>
      <c r="C11961">
        <v>360</v>
      </c>
      <c r="D11961">
        <v>20</v>
      </c>
      <c r="E11961" s="80">
        <v>35803</v>
      </c>
    </row>
    <row r="11962" spans="1:5">
      <c r="A11962">
        <v>10821</v>
      </c>
      <c r="B11962" t="s">
        <v>172</v>
      </c>
      <c r="C11962">
        <v>318</v>
      </c>
      <c r="D11962">
        <v>6</v>
      </c>
      <c r="E11962" s="80">
        <v>35803</v>
      </c>
    </row>
    <row r="11963" spans="1:5">
      <c r="A11963">
        <v>10821</v>
      </c>
      <c r="B11963" t="s">
        <v>173</v>
      </c>
      <c r="C11963">
        <v>318</v>
      </c>
      <c r="D11963">
        <v>6</v>
      </c>
      <c r="E11963" s="80">
        <v>35803</v>
      </c>
    </row>
    <row r="11964" spans="1:5">
      <c r="A11964">
        <v>10821</v>
      </c>
      <c r="B11964" t="s">
        <v>174</v>
      </c>
      <c r="C11964">
        <v>318</v>
      </c>
      <c r="D11964">
        <v>6</v>
      </c>
      <c r="E11964" s="80">
        <v>35803</v>
      </c>
    </row>
    <row r="11965" spans="1:5">
      <c r="A11965">
        <v>10821</v>
      </c>
      <c r="B11965" t="s">
        <v>175</v>
      </c>
      <c r="C11965">
        <v>318</v>
      </c>
      <c r="D11965">
        <v>6</v>
      </c>
      <c r="E11965" s="80">
        <v>35803</v>
      </c>
    </row>
    <row r="11966" spans="1:5">
      <c r="A11966">
        <v>10821</v>
      </c>
      <c r="B11966" t="s">
        <v>176</v>
      </c>
      <c r="C11966">
        <v>318</v>
      </c>
      <c r="D11966">
        <v>6</v>
      </c>
      <c r="E11966" s="80">
        <v>35803</v>
      </c>
    </row>
    <row r="11967" spans="1:5">
      <c r="A11967">
        <v>10821</v>
      </c>
      <c r="B11967" t="s">
        <v>177</v>
      </c>
      <c r="C11967">
        <v>318</v>
      </c>
      <c r="D11967">
        <v>6</v>
      </c>
      <c r="E11967" s="80">
        <v>35803</v>
      </c>
    </row>
    <row r="11968" spans="1:5">
      <c r="A11968">
        <v>10821</v>
      </c>
      <c r="B11968" t="s">
        <v>178</v>
      </c>
      <c r="C11968">
        <v>318</v>
      </c>
      <c r="D11968">
        <v>6</v>
      </c>
      <c r="E11968" s="80">
        <v>35803</v>
      </c>
    </row>
    <row r="11969" spans="1:5">
      <c r="A11969">
        <v>10821</v>
      </c>
      <c r="B11969" t="s">
        <v>179</v>
      </c>
      <c r="C11969">
        <v>318</v>
      </c>
      <c r="D11969">
        <v>6</v>
      </c>
      <c r="E11969" s="80">
        <v>35803</v>
      </c>
    </row>
    <row r="11970" spans="1:5">
      <c r="A11970">
        <v>10822</v>
      </c>
      <c r="B11970" t="s">
        <v>172</v>
      </c>
      <c r="C11970">
        <v>147.9</v>
      </c>
      <c r="D11970">
        <v>3</v>
      </c>
      <c r="E11970" s="80">
        <v>35803</v>
      </c>
    </row>
    <row r="11971" spans="1:5">
      <c r="A11971">
        <v>10822</v>
      </c>
      <c r="B11971" t="s">
        <v>173</v>
      </c>
      <c r="C11971">
        <v>147.9</v>
      </c>
      <c r="D11971">
        <v>3</v>
      </c>
      <c r="E11971" s="80">
        <v>35803</v>
      </c>
    </row>
    <row r="11972" spans="1:5">
      <c r="A11972">
        <v>10822</v>
      </c>
      <c r="B11972" t="s">
        <v>174</v>
      </c>
      <c r="C11972">
        <v>147.9</v>
      </c>
      <c r="D11972">
        <v>3</v>
      </c>
      <c r="E11972" s="80">
        <v>35803</v>
      </c>
    </row>
    <row r="11973" spans="1:5">
      <c r="A11973">
        <v>10822</v>
      </c>
      <c r="B11973" t="s">
        <v>175</v>
      </c>
      <c r="C11973">
        <v>147.9</v>
      </c>
      <c r="D11973">
        <v>3</v>
      </c>
      <c r="E11973" s="80">
        <v>35803</v>
      </c>
    </row>
    <row r="11974" spans="1:5">
      <c r="A11974">
        <v>10822</v>
      </c>
      <c r="B11974" t="s">
        <v>176</v>
      </c>
      <c r="C11974">
        <v>147.9</v>
      </c>
      <c r="D11974">
        <v>3</v>
      </c>
      <c r="E11974" s="80">
        <v>35803</v>
      </c>
    </row>
    <row r="11975" spans="1:5">
      <c r="A11975">
        <v>10822</v>
      </c>
      <c r="B11975" t="s">
        <v>177</v>
      </c>
      <c r="C11975">
        <v>147.9</v>
      </c>
      <c r="D11975">
        <v>3</v>
      </c>
      <c r="E11975" s="80">
        <v>35803</v>
      </c>
    </row>
    <row r="11976" spans="1:5">
      <c r="A11976">
        <v>10822</v>
      </c>
      <c r="B11976" t="s">
        <v>178</v>
      </c>
      <c r="C11976">
        <v>147.9</v>
      </c>
      <c r="D11976">
        <v>3</v>
      </c>
      <c r="E11976" s="80">
        <v>35803</v>
      </c>
    </row>
    <row r="11977" spans="1:5">
      <c r="A11977">
        <v>10822</v>
      </c>
      <c r="B11977" t="s">
        <v>179</v>
      </c>
      <c r="C11977">
        <v>147.9</v>
      </c>
      <c r="D11977">
        <v>3</v>
      </c>
      <c r="E11977" s="80">
        <v>35803</v>
      </c>
    </row>
    <row r="11978" spans="1:5">
      <c r="A11978">
        <v>10822</v>
      </c>
      <c r="B11978" t="s">
        <v>172</v>
      </c>
      <c r="C11978">
        <v>90</v>
      </c>
      <c r="D11978">
        <v>6</v>
      </c>
      <c r="E11978" s="80">
        <v>35803</v>
      </c>
    </row>
    <row r="11979" spans="1:5">
      <c r="A11979">
        <v>10822</v>
      </c>
      <c r="B11979" t="s">
        <v>173</v>
      </c>
      <c r="C11979">
        <v>90</v>
      </c>
      <c r="D11979">
        <v>6</v>
      </c>
      <c r="E11979" s="80">
        <v>35803</v>
      </c>
    </row>
    <row r="11980" spans="1:5">
      <c r="A11980">
        <v>10822</v>
      </c>
      <c r="B11980" t="s">
        <v>174</v>
      </c>
      <c r="C11980">
        <v>90</v>
      </c>
      <c r="D11980">
        <v>6</v>
      </c>
      <c r="E11980" s="80">
        <v>35803</v>
      </c>
    </row>
    <row r="11981" spans="1:5">
      <c r="A11981">
        <v>10822</v>
      </c>
      <c r="B11981" t="s">
        <v>175</v>
      </c>
      <c r="C11981">
        <v>90</v>
      </c>
      <c r="D11981">
        <v>6</v>
      </c>
      <c r="E11981" s="80">
        <v>35803</v>
      </c>
    </row>
    <row r="11982" spans="1:5">
      <c r="A11982">
        <v>10822</v>
      </c>
      <c r="B11982" t="s">
        <v>176</v>
      </c>
      <c r="C11982">
        <v>90</v>
      </c>
      <c r="D11982">
        <v>6</v>
      </c>
      <c r="E11982" s="80">
        <v>35803</v>
      </c>
    </row>
    <row r="11983" spans="1:5">
      <c r="A11983">
        <v>10822</v>
      </c>
      <c r="B11983" t="s">
        <v>177</v>
      </c>
      <c r="C11983">
        <v>90</v>
      </c>
      <c r="D11983">
        <v>6</v>
      </c>
      <c r="E11983" s="80">
        <v>35803</v>
      </c>
    </row>
    <row r="11984" spans="1:5">
      <c r="A11984">
        <v>10822</v>
      </c>
      <c r="B11984" t="s">
        <v>178</v>
      </c>
      <c r="C11984">
        <v>90</v>
      </c>
      <c r="D11984">
        <v>6</v>
      </c>
      <c r="E11984" s="80">
        <v>35803</v>
      </c>
    </row>
    <row r="11985" spans="1:5">
      <c r="A11985">
        <v>10822</v>
      </c>
      <c r="B11985" t="s">
        <v>179</v>
      </c>
      <c r="C11985">
        <v>90</v>
      </c>
      <c r="D11985">
        <v>6</v>
      </c>
      <c r="E11985" s="80">
        <v>35803</v>
      </c>
    </row>
    <row r="11986" spans="1:5">
      <c r="A11986">
        <v>10823</v>
      </c>
      <c r="B11986" t="s">
        <v>172</v>
      </c>
      <c r="C11986">
        <v>377.99999937415123</v>
      </c>
      <c r="D11986">
        <v>20</v>
      </c>
      <c r="E11986" s="80">
        <v>35804</v>
      </c>
    </row>
    <row r="11987" spans="1:5">
      <c r="A11987">
        <v>10823</v>
      </c>
      <c r="B11987" t="s">
        <v>173</v>
      </c>
      <c r="C11987">
        <v>377.99999937415123</v>
      </c>
      <c r="D11987">
        <v>20</v>
      </c>
      <c r="E11987" s="80">
        <v>35804</v>
      </c>
    </row>
    <row r="11988" spans="1:5">
      <c r="A11988">
        <v>10823</v>
      </c>
      <c r="B11988" t="s">
        <v>174</v>
      </c>
      <c r="C11988">
        <v>377.99999937415123</v>
      </c>
      <c r="D11988">
        <v>20</v>
      </c>
      <c r="E11988" s="80">
        <v>35804</v>
      </c>
    </row>
    <row r="11989" spans="1:5">
      <c r="A11989">
        <v>10823</v>
      </c>
      <c r="B11989" t="s">
        <v>175</v>
      </c>
      <c r="C11989">
        <v>377.99999937415123</v>
      </c>
      <c r="D11989">
        <v>20</v>
      </c>
      <c r="E11989" s="80">
        <v>35804</v>
      </c>
    </row>
    <row r="11990" spans="1:5">
      <c r="A11990">
        <v>10823</v>
      </c>
      <c r="B11990" t="s">
        <v>176</v>
      </c>
      <c r="C11990">
        <v>377.99999937415123</v>
      </c>
      <c r="D11990">
        <v>20</v>
      </c>
      <c r="E11990" s="80">
        <v>35804</v>
      </c>
    </row>
    <row r="11991" spans="1:5">
      <c r="A11991">
        <v>10823</v>
      </c>
      <c r="B11991" t="s">
        <v>177</v>
      </c>
      <c r="C11991">
        <v>377.99999937415123</v>
      </c>
      <c r="D11991">
        <v>20</v>
      </c>
      <c r="E11991" s="80">
        <v>35804</v>
      </c>
    </row>
    <row r="11992" spans="1:5">
      <c r="A11992">
        <v>10823</v>
      </c>
      <c r="B11992" t="s">
        <v>178</v>
      </c>
      <c r="C11992">
        <v>377.99999937415123</v>
      </c>
      <c r="D11992">
        <v>20</v>
      </c>
      <c r="E11992" s="80">
        <v>35804</v>
      </c>
    </row>
    <row r="11993" spans="1:5">
      <c r="A11993">
        <v>10823</v>
      </c>
      <c r="B11993" t="s">
        <v>179</v>
      </c>
      <c r="C11993">
        <v>377.99999937415123</v>
      </c>
      <c r="D11993">
        <v>20</v>
      </c>
      <c r="E11993" s="80">
        <v>35804</v>
      </c>
    </row>
    <row r="11994" spans="1:5">
      <c r="A11994">
        <v>10823</v>
      </c>
      <c r="B11994" t="s">
        <v>172</v>
      </c>
      <c r="C11994">
        <v>292.5</v>
      </c>
      <c r="D11994">
        <v>15</v>
      </c>
      <c r="E11994" s="80">
        <v>35804</v>
      </c>
    </row>
    <row r="11995" spans="1:5">
      <c r="A11995">
        <v>10823</v>
      </c>
      <c r="B11995" t="s">
        <v>173</v>
      </c>
      <c r="C11995">
        <v>292.5</v>
      </c>
      <c r="D11995">
        <v>15</v>
      </c>
      <c r="E11995" s="80">
        <v>35804</v>
      </c>
    </row>
    <row r="11996" spans="1:5">
      <c r="A11996">
        <v>10823</v>
      </c>
      <c r="B11996" t="s">
        <v>174</v>
      </c>
      <c r="C11996">
        <v>292.5</v>
      </c>
      <c r="D11996">
        <v>15</v>
      </c>
      <c r="E11996" s="80">
        <v>35804</v>
      </c>
    </row>
    <row r="11997" spans="1:5">
      <c r="A11997">
        <v>10823</v>
      </c>
      <c r="B11997" t="s">
        <v>175</v>
      </c>
      <c r="C11997">
        <v>292.5</v>
      </c>
      <c r="D11997">
        <v>15</v>
      </c>
      <c r="E11997" s="80">
        <v>35804</v>
      </c>
    </row>
    <row r="11998" spans="1:5">
      <c r="A11998">
        <v>10823</v>
      </c>
      <c r="B11998" t="s">
        <v>176</v>
      </c>
      <c r="C11998">
        <v>292.5</v>
      </c>
      <c r="D11998">
        <v>15</v>
      </c>
      <c r="E11998" s="80">
        <v>35804</v>
      </c>
    </row>
    <row r="11999" spans="1:5">
      <c r="A11999">
        <v>10823</v>
      </c>
      <c r="B11999" t="s">
        <v>177</v>
      </c>
      <c r="C11999">
        <v>292.5</v>
      </c>
      <c r="D11999">
        <v>15</v>
      </c>
      <c r="E11999" s="80">
        <v>35804</v>
      </c>
    </row>
    <row r="12000" spans="1:5">
      <c r="A12000">
        <v>10823</v>
      </c>
      <c r="B12000" t="s">
        <v>178</v>
      </c>
      <c r="C12000">
        <v>292.5</v>
      </c>
      <c r="D12000">
        <v>15</v>
      </c>
      <c r="E12000" s="80">
        <v>35804</v>
      </c>
    </row>
    <row r="12001" spans="1:5">
      <c r="A12001">
        <v>10823</v>
      </c>
      <c r="B12001" t="s">
        <v>179</v>
      </c>
      <c r="C12001">
        <v>292.5</v>
      </c>
      <c r="D12001">
        <v>15</v>
      </c>
      <c r="E12001" s="80">
        <v>35804</v>
      </c>
    </row>
    <row r="12002" spans="1:5">
      <c r="A12002">
        <v>10823</v>
      </c>
      <c r="B12002" t="s">
        <v>172</v>
      </c>
      <c r="C12002">
        <v>1979.9999967217445</v>
      </c>
      <c r="D12002">
        <v>40</v>
      </c>
      <c r="E12002" s="80">
        <v>35804</v>
      </c>
    </row>
    <row r="12003" spans="1:5">
      <c r="A12003">
        <v>10823</v>
      </c>
      <c r="B12003" t="s">
        <v>173</v>
      </c>
      <c r="C12003">
        <v>1979.9999967217445</v>
      </c>
      <c r="D12003">
        <v>40</v>
      </c>
      <c r="E12003" s="80">
        <v>35804</v>
      </c>
    </row>
    <row r="12004" spans="1:5">
      <c r="A12004">
        <v>10823</v>
      </c>
      <c r="B12004" t="s">
        <v>174</v>
      </c>
      <c r="C12004">
        <v>1979.9999967217445</v>
      </c>
      <c r="D12004">
        <v>40</v>
      </c>
      <c r="E12004" s="80">
        <v>35804</v>
      </c>
    </row>
    <row r="12005" spans="1:5">
      <c r="A12005">
        <v>10823</v>
      </c>
      <c r="B12005" t="s">
        <v>175</v>
      </c>
      <c r="C12005">
        <v>1979.9999967217445</v>
      </c>
      <c r="D12005">
        <v>40</v>
      </c>
      <c r="E12005" s="80">
        <v>35804</v>
      </c>
    </row>
    <row r="12006" spans="1:5">
      <c r="A12006">
        <v>10823</v>
      </c>
      <c r="B12006" t="s">
        <v>176</v>
      </c>
      <c r="C12006">
        <v>1979.9999967217445</v>
      </c>
      <c r="D12006">
        <v>40</v>
      </c>
      <c r="E12006" s="80">
        <v>35804</v>
      </c>
    </row>
    <row r="12007" spans="1:5">
      <c r="A12007">
        <v>10823</v>
      </c>
      <c r="B12007" t="s">
        <v>177</v>
      </c>
      <c r="C12007">
        <v>1979.9999967217445</v>
      </c>
      <c r="D12007">
        <v>40</v>
      </c>
      <c r="E12007" s="80">
        <v>35804</v>
      </c>
    </row>
    <row r="12008" spans="1:5">
      <c r="A12008">
        <v>10823</v>
      </c>
      <c r="B12008" t="s">
        <v>178</v>
      </c>
      <c r="C12008">
        <v>1979.9999967217445</v>
      </c>
      <c r="D12008">
        <v>40</v>
      </c>
      <c r="E12008" s="80">
        <v>35804</v>
      </c>
    </row>
    <row r="12009" spans="1:5">
      <c r="A12009">
        <v>10823</v>
      </c>
      <c r="B12009" t="s">
        <v>179</v>
      </c>
      <c r="C12009">
        <v>1979.9999967217445</v>
      </c>
      <c r="D12009">
        <v>40</v>
      </c>
      <c r="E12009" s="80">
        <v>35804</v>
      </c>
    </row>
    <row r="12010" spans="1:5">
      <c r="A12010">
        <v>10823</v>
      </c>
      <c r="B12010" t="s">
        <v>172</v>
      </c>
      <c r="C12010">
        <v>175.49999970942736</v>
      </c>
      <c r="D12010">
        <v>15</v>
      </c>
      <c r="E12010" s="80">
        <v>35804</v>
      </c>
    </row>
    <row r="12011" spans="1:5">
      <c r="A12011">
        <v>10823</v>
      </c>
      <c r="B12011" t="s">
        <v>173</v>
      </c>
      <c r="C12011">
        <v>175.49999970942736</v>
      </c>
      <c r="D12011">
        <v>15</v>
      </c>
      <c r="E12011" s="80">
        <v>35804</v>
      </c>
    </row>
    <row r="12012" spans="1:5">
      <c r="A12012">
        <v>10823</v>
      </c>
      <c r="B12012" t="s">
        <v>174</v>
      </c>
      <c r="C12012">
        <v>175.49999970942736</v>
      </c>
      <c r="D12012">
        <v>15</v>
      </c>
      <c r="E12012" s="80">
        <v>35804</v>
      </c>
    </row>
    <row r="12013" spans="1:5">
      <c r="A12013">
        <v>10823</v>
      </c>
      <c r="B12013" t="s">
        <v>175</v>
      </c>
      <c r="C12013">
        <v>175.49999970942736</v>
      </c>
      <c r="D12013">
        <v>15</v>
      </c>
      <c r="E12013" s="80">
        <v>35804</v>
      </c>
    </row>
    <row r="12014" spans="1:5">
      <c r="A12014">
        <v>10823</v>
      </c>
      <c r="B12014" t="s">
        <v>176</v>
      </c>
      <c r="C12014">
        <v>175.49999970942736</v>
      </c>
      <c r="D12014">
        <v>15</v>
      </c>
      <c r="E12014" s="80">
        <v>35804</v>
      </c>
    </row>
    <row r="12015" spans="1:5">
      <c r="A12015">
        <v>10823</v>
      </c>
      <c r="B12015" t="s">
        <v>177</v>
      </c>
      <c r="C12015">
        <v>175.49999970942736</v>
      </c>
      <c r="D12015">
        <v>15</v>
      </c>
      <c r="E12015" s="80">
        <v>35804</v>
      </c>
    </row>
    <row r="12016" spans="1:5">
      <c r="A12016">
        <v>10823</v>
      </c>
      <c r="B12016" t="s">
        <v>178</v>
      </c>
      <c r="C12016">
        <v>175.49999970942736</v>
      </c>
      <c r="D12016">
        <v>15</v>
      </c>
      <c r="E12016" s="80">
        <v>35804</v>
      </c>
    </row>
    <row r="12017" spans="1:5">
      <c r="A12017">
        <v>10823</v>
      </c>
      <c r="B12017" t="s">
        <v>179</v>
      </c>
      <c r="C12017">
        <v>175.49999970942736</v>
      </c>
      <c r="D12017">
        <v>15</v>
      </c>
      <c r="E12017" s="80">
        <v>35804</v>
      </c>
    </row>
    <row r="12018" spans="1:5">
      <c r="A12018">
        <v>10824</v>
      </c>
      <c r="B12018" t="s">
        <v>172</v>
      </c>
      <c r="C12018">
        <v>115.8</v>
      </c>
      <c r="D12018">
        <v>12</v>
      </c>
      <c r="E12018" s="80">
        <v>35804</v>
      </c>
    </row>
    <row r="12019" spans="1:5">
      <c r="A12019">
        <v>10824</v>
      </c>
      <c r="B12019" t="s">
        <v>173</v>
      </c>
      <c r="C12019">
        <v>115.8</v>
      </c>
      <c r="D12019">
        <v>12</v>
      </c>
      <c r="E12019" s="80">
        <v>35804</v>
      </c>
    </row>
    <row r="12020" spans="1:5">
      <c r="A12020">
        <v>10824</v>
      </c>
      <c r="B12020" t="s">
        <v>174</v>
      </c>
      <c r="C12020">
        <v>115.8</v>
      </c>
      <c r="D12020">
        <v>12</v>
      </c>
      <c r="E12020" s="80">
        <v>35804</v>
      </c>
    </row>
    <row r="12021" spans="1:5">
      <c r="A12021">
        <v>10824</v>
      </c>
      <c r="B12021" t="s">
        <v>175</v>
      </c>
      <c r="C12021">
        <v>115.8</v>
      </c>
      <c r="D12021">
        <v>12</v>
      </c>
      <c r="E12021" s="80">
        <v>35804</v>
      </c>
    </row>
    <row r="12022" spans="1:5">
      <c r="A12022">
        <v>10824</v>
      </c>
      <c r="B12022" t="s">
        <v>176</v>
      </c>
      <c r="C12022">
        <v>115.8</v>
      </c>
      <c r="D12022">
        <v>12</v>
      </c>
      <c r="E12022" s="80">
        <v>35804</v>
      </c>
    </row>
    <row r="12023" spans="1:5">
      <c r="A12023">
        <v>10824</v>
      </c>
      <c r="B12023" t="s">
        <v>177</v>
      </c>
      <c r="C12023">
        <v>115.8</v>
      </c>
      <c r="D12023">
        <v>12</v>
      </c>
      <c r="E12023" s="80">
        <v>35804</v>
      </c>
    </row>
    <row r="12024" spans="1:5">
      <c r="A12024">
        <v>10824</v>
      </c>
      <c r="B12024" t="s">
        <v>178</v>
      </c>
      <c r="C12024">
        <v>115.8</v>
      </c>
      <c r="D12024">
        <v>12</v>
      </c>
      <c r="E12024" s="80">
        <v>35804</v>
      </c>
    </row>
    <row r="12025" spans="1:5">
      <c r="A12025">
        <v>10824</v>
      </c>
      <c r="B12025" t="s">
        <v>179</v>
      </c>
      <c r="C12025">
        <v>115.8</v>
      </c>
      <c r="D12025">
        <v>12</v>
      </c>
      <c r="E12025" s="80">
        <v>35804</v>
      </c>
    </row>
    <row r="12026" spans="1:5">
      <c r="A12026">
        <v>10824</v>
      </c>
      <c r="B12026" t="s">
        <v>172</v>
      </c>
      <c r="C12026">
        <v>135</v>
      </c>
      <c r="D12026">
        <v>9</v>
      </c>
      <c r="E12026" s="80">
        <v>35804</v>
      </c>
    </row>
    <row r="12027" spans="1:5">
      <c r="A12027">
        <v>10824</v>
      </c>
      <c r="B12027" t="s">
        <v>173</v>
      </c>
      <c r="C12027">
        <v>135</v>
      </c>
      <c r="D12027">
        <v>9</v>
      </c>
      <c r="E12027" s="80">
        <v>35804</v>
      </c>
    </row>
    <row r="12028" spans="1:5">
      <c r="A12028">
        <v>10824</v>
      </c>
      <c r="B12028" t="s">
        <v>174</v>
      </c>
      <c r="C12028">
        <v>135</v>
      </c>
      <c r="D12028">
        <v>9</v>
      </c>
      <c r="E12028" s="80">
        <v>35804</v>
      </c>
    </row>
    <row r="12029" spans="1:5">
      <c r="A12029">
        <v>10824</v>
      </c>
      <c r="B12029" t="s">
        <v>175</v>
      </c>
      <c r="C12029">
        <v>135</v>
      </c>
      <c r="D12029">
        <v>9</v>
      </c>
      <c r="E12029" s="80">
        <v>35804</v>
      </c>
    </row>
    <row r="12030" spans="1:5">
      <c r="A12030">
        <v>10824</v>
      </c>
      <c r="B12030" t="s">
        <v>176</v>
      </c>
      <c r="C12030">
        <v>135</v>
      </c>
      <c r="D12030">
        <v>9</v>
      </c>
      <c r="E12030" s="80">
        <v>35804</v>
      </c>
    </row>
    <row r="12031" spans="1:5">
      <c r="A12031">
        <v>10824</v>
      </c>
      <c r="B12031" t="s">
        <v>177</v>
      </c>
      <c r="C12031">
        <v>135</v>
      </c>
      <c r="D12031">
        <v>9</v>
      </c>
      <c r="E12031" s="80">
        <v>35804</v>
      </c>
    </row>
    <row r="12032" spans="1:5">
      <c r="A12032">
        <v>10824</v>
      </c>
      <c r="B12032" t="s">
        <v>178</v>
      </c>
      <c r="C12032">
        <v>135</v>
      </c>
      <c r="D12032">
        <v>9</v>
      </c>
      <c r="E12032" s="80">
        <v>35804</v>
      </c>
    </row>
    <row r="12033" spans="1:5">
      <c r="A12033">
        <v>10824</v>
      </c>
      <c r="B12033" t="s">
        <v>179</v>
      </c>
      <c r="C12033">
        <v>135</v>
      </c>
      <c r="D12033">
        <v>9</v>
      </c>
      <c r="E12033" s="80">
        <v>35804</v>
      </c>
    </row>
    <row r="12034" spans="1:5">
      <c r="A12034">
        <v>10825</v>
      </c>
      <c r="B12034" t="s">
        <v>172</v>
      </c>
      <c r="C12034">
        <v>374.76</v>
      </c>
      <c r="D12034">
        <v>12</v>
      </c>
      <c r="E12034" s="80">
        <v>35804</v>
      </c>
    </row>
    <row r="12035" spans="1:5">
      <c r="A12035">
        <v>10825</v>
      </c>
      <c r="B12035" t="s">
        <v>173</v>
      </c>
      <c r="C12035">
        <v>374.76</v>
      </c>
      <c r="D12035">
        <v>12</v>
      </c>
      <c r="E12035" s="80">
        <v>35804</v>
      </c>
    </row>
    <row r="12036" spans="1:5">
      <c r="A12036">
        <v>10825</v>
      </c>
      <c r="B12036" t="s">
        <v>174</v>
      </c>
      <c r="C12036">
        <v>374.76</v>
      </c>
      <c r="D12036">
        <v>12</v>
      </c>
      <c r="E12036" s="80">
        <v>35804</v>
      </c>
    </row>
    <row r="12037" spans="1:5">
      <c r="A12037">
        <v>10825</v>
      </c>
      <c r="B12037" t="s">
        <v>175</v>
      </c>
      <c r="C12037">
        <v>374.76</v>
      </c>
      <c r="D12037">
        <v>12</v>
      </c>
      <c r="E12037" s="80">
        <v>35804</v>
      </c>
    </row>
    <row r="12038" spans="1:5">
      <c r="A12038">
        <v>10825</v>
      </c>
      <c r="B12038" t="s">
        <v>176</v>
      </c>
      <c r="C12038">
        <v>374.76</v>
      </c>
      <c r="D12038">
        <v>12</v>
      </c>
      <c r="E12038" s="80">
        <v>35804</v>
      </c>
    </row>
    <row r="12039" spans="1:5">
      <c r="A12039">
        <v>10825</v>
      </c>
      <c r="B12039" t="s">
        <v>177</v>
      </c>
      <c r="C12039">
        <v>374.76</v>
      </c>
      <c r="D12039">
        <v>12</v>
      </c>
      <c r="E12039" s="80">
        <v>35804</v>
      </c>
    </row>
    <row r="12040" spans="1:5">
      <c r="A12040">
        <v>10825</v>
      </c>
      <c r="B12040" t="s">
        <v>178</v>
      </c>
      <c r="C12040">
        <v>374.76</v>
      </c>
      <c r="D12040">
        <v>12</v>
      </c>
      <c r="E12040" s="80">
        <v>35804</v>
      </c>
    </row>
    <row r="12041" spans="1:5">
      <c r="A12041">
        <v>10825</v>
      </c>
      <c r="B12041" t="s">
        <v>179</v>
      </c>
      <c r="C12041">
        <v>374.76</v>
      </c>
      <c r="D12041">
        <v>12</v>
      </c>
      <c r="E12041" s="80">
        <v>35804</v>
      </c>
    </row>
    <row r="12042" spans="1:5">
      <c r="A12042">
        <v>10825</v>
      </c>
      <c r="B12042" t="s">
        <v>172</v>
      </c>
      <c r="C12042">
        <v>656</v>
      </c>
      <c r="D12042">
        <v>20</v>
      </c>
      <c r="E12042" s="80">
        <v>35804</v>
      </c>
    </row>
    <row r="12043" spans="1:5">
      <c r="A12043">
        <v>10825</v>
      </c>
      <c r="B12043" t="s">
        <v>173</v>
      </c>
      <c r="C12043">
        <v>656</v>
      </c>
      <c r="D12043">
        <v>20</v>
      </c>
      <c r="E12043" s="80">
        <v>35804</v>
      </c>
    </row>
    <row r="12044" spans="1:5">
      <c r="A12044">
        <v>10825</v>
      </c>
      <c r="B12044" t="s">
        <v>174</v>
      </c>
      <c r="C12044">
        <v>656</v>
      </c>
      <c r="D12044">
        <v>20</v>
      </c>
      <c r="E12044" s="80">
        <v>35804</v>
      </c>
    </row>
    <row r="12045" spans="1:5">
      <c r="A12045">
        <v>10825</v>
      </c>
      <c r="B12045" t="s">
        <v>175</v>
      </c>
      <c r="C12045">
        <v>656</v>
      </c>
      <c r="D12045">
        <v>20</v>
      </c>
      <c r="E12045" s="80">
        <v>35804</v>
      </c>
    </row>
    <row r="12046" spans="1:5">
      <c r="A12046">
        <v>10825</v>
      </c>
      <c r="B12046" t="s">
        <v>176</v>
      </c>
      <c r="C12046">
        <v>656</v>
      </c>
      <c r="D12046">
        <v>20</v>
      </c>
      <c r="E12046" s="80">
        <v>35804</v>
      </c>
    </row>
    <row r="12047" spans="1:5">
      <c r="A12047">
        <v>10825</v>
      </c>
      <c r="B12047" t="s">
        <v>177</v>
      </c>
      <c r="C12047">
        <v>656</v>
      </c>
      <c r="D12047">
        <v>20</v>
      </c>
      <c r="E12047" s="80">
        <v>35804</v>
      </c>
    </row>
    <row r="12048" spans="1:5">
      <c r="A12048">
        <v>10825</v>
      </c>
      <c r="B12048" t="s">
        <v>178</v>
      </c>
      <c r="C12048">
        <v>656</v>
      </c>
      <c r="D12048">
        <v>20</v>
      </c>
      <c r="E12048" s="80">
        <v>35804</v>
      </c>
    </row>
    <row r="12049" spans="1:5">
      <c r="A12049">
        <v>10825</v>
      </c>
      <c r="B12049" t="s">
        <v>179</v>
      </c>
      <c r="C12049">
        <v>656</v>
      </c>
      <c r="D12049">
        <v>20</v>
      </c>
      <c r="E12049" s="80">
        <v>35804</v>
      </c>
    </row>
    <row r="12050" spans="1:5">
      <c r="A12050">
        <v>10826</v>
      </c>
      <c r="B12050" t="s">
        <v>172</v>
      </c>
      <c r="C12050">
        <v>437.5</v>
      </c>
      <c r="D12050">
        <v>35</v>
      </c>
      <c r="E12050" s="80">
        <v>35807</v>
      </c>
    </row>
    <row r="12051" spans="1:5">
      <c r="A12051">
        <v>10826</v>
      </c>
      <c r="B12051" t="s">
        <v>173</v>
      </c>
      <c r="C12051">
        <v>437.5</v>
      </c>
      <c r="D12051">
        <v>35</v>
      </c>
      <c r="E12051" s="80">
        <v>35807</v>
      </c>
    </row>
    <row r="12052" spans="1:5">
      <c r="A12052">
        <v>10826</v>
      </c>
      <c r="B12052" t="s">
        <v>174</v>
      </c>
      <c r="C12052">
        <v>437.5</v>
      </c>
      <c r="D12052">
        <v>35</v>
      </c>
      <c r="E12052" s="80">
        <v>35807</v>
      </c>
    </row>
    <row r="12053" spans="1:5">
      <c r="A12053">
        <v>10826</v>
      </c>
      <c r="B12053" t="s">
        <v>175</v>
      </c>
      <c r="C12053">
        <v>437.5</v>
      </c>
      <c r="D12053">
        <v>35</v>
      </c>
      <c r="E12053" s="80">
        <v>35807</v>
      </c>
    </row>
    <row r="12054" spans="1:5">
      <c r="A12054">
        <v>10826</v>
      </c>
      <c r="B12054" t="s">
        <v>176</v>
      </c>
      <c r="C12054">
        <v>437.5</v>
      </c>
      <c r="D12054">
        <v>35</v>
      </c>
      <c r="E12054" s="80">
        <v>35807</v>
      </c>
    </row>
    <row r="12055" spans="1:5">
      <c r="A12055">
        <v>10826</v>
      </c>
      <c r="B12055" t="s">
        <v>177</v>
      </c>
      <c r="C12055">
        <v>437.5</v>
      </c>
      <c r="D12055">
        <v>35</v>
      </c>
      <c r="E12055" s="80">
        <v>35807</v>
      </c>
    </row>
    <row r="12056" spans="1:5">
      <c r="A12056">
        <v>10826</v>
      </c>
      <c r="B12056" t="s">
        <v>178</v>
      </c>
      <c r="C12056">
        <v>437.5</v>
      </c>
      <c r="D12056">
        <v>35</v>
      </c>
      <c r="E12056" s="80">
        <v>35807</v>
      </c>
    </row>
    <row r="12057" spans="1:5">
      <c r="A12057">
        <v>10826</v>
      </c>
      <c r="B12057" t="s">
        <v>179</v>
      </c>
      <c r="C12057">
        <v>437.5</v>
      </c>
      <c r="D12057">
        <v>35</v>
      </c>
      <c r="E12057" s="80">
        <v>35807</v>
      </c>
    </row>
    <row r="12058" spans="1:5">
      <c r="A12058">
        <v>10826</v>
      </c>
      <c r="B12058" t="s">
        <v>172</v>
      </c>
      <c r="C12058">
        <v>292.5</v>
      </c>
      <c r="D12058">
        <v>15</v>
      </c>
      <c r="E12058" s="80">
        <v>35807</v>
      </c>
    </row>
    <row r="12059" spans="1:5">
      <c r="A12059">
        <v>10826</v>
      </c>
      <c r="B12059" t="s">
        <v>173</v>
      </c>
      <c r="C12059">
        <v>292.5</v>
      </c>
      <c r="D12059">
        <v>15</v>
      </c>
      <c r="E12059" s="80">
        <v>35807</v>
      </c>
    </row>
    <row r="12060" spans="1:5">
      <c r="A12060">
        <v>10826</v>
      </c>
      <c r="B12060" t="s">
        <v>174</v>
      </c>
      <c r="C12060">
        <v>292.5</v>
      </c>
      <c r="D12060">
        <v>15</v>
      </c>
      <c r="E12060" s="80">
        <v>35807</v>
      </c>
    </row>
    <row r="12061" spans="1:5">
      <c r="A12061">
        <v>10826</v>
      </c>
      <c r="B12061" t="s">
        <v>175</v>
      </c>
      <c r="C12061">
        <v>292.5</v>
      </c>
      <c r="D12061">
        <v>15</v>
      </c>
      <c r="E12061" s="80">
        <v>35807</v>
      </c>
    </row>
    <row r="12062" spans="1:5">
      <c r="A12062">
        <v>10826</v>
      </c>
      <c r="B12062" t="s">
        <v>176</v>
      </c>
      <c r="C12062">
        <v>292.5</v>
      </c>
      <c r="D12062">
        <v>15</v>
      </c>
      <c r="E12062" s="80">
        <v>35807</v>
      </c>
    </row>
    <row r="12063" spans="1:5">
      <c r="A12063">
        <v>10826</v>
      </c>
      <c r="B12063" t="s">
        <v>177</v>
      </c>
      <c r="C12063">
        <v>292.5</v>
      </c>
      <c r="D12063">
        <v>15</v>
      </c>
      <c r="E12063" s="80">
        <v>35807</v>
      </c>
    </row>
    <row r="12064" spans="1:5">
      <c r="A12064">
        <v>10826</v>
      </c>
      <c r="B12064" t="s">
        <v>178</v>
      </c>
      <c r="C12064">
        <v>292.5</v>
      </c>
      <c r="D12064">
        <v>15</v>
      </c>
      <c r="E12064" s="80">
        <v>35807</v>
      </c>
    </row>
    <row r="12065" spans="1:5">
      <c r="A12065">
        <v>10826</v>
      </c>
      <c r="B12065" t="s">
        <v>179</v>
      </c>
      <c r="C12065">
        <v>292.5</v>
      </c>
      <c r="D12065">
        <v>15</v>
      </c>
      <c r="E12065" s="80">
        <v>35807</v>
      </c>
    </row>
    <row r="12066" spans="1:5">
      <c r="A12066">
        <v>10827</v>
      </c>
      <c r="B12066" t="s">
        <v>172</v>
      </c>
      <c r="C12066">
        <v>465</v>
      </c>
      <c r="D12066">
        <v>15</v>
      </c>
      <c r="E12066" s="80">
        <v>35807</v>
      </c>
    </row>
    <row r="12067" spans="1:5">
      <c r="A12067">
        <v>10827</v>
      </c>
      <c r="B12067" t="s">
        <v>173</v>
      </c>
      <c r="C12067">
        <v>465</v>
      </c>
      <c r="D12067">
        <v>15</v>
      </c>
      <c r="E12067" s="80">
        <v>35807</v>
      </c>
    </row>
    <row r="12068" spans="1:5">
      <c r="A12068">
        <v>10827</v>
      </c>
      <c r="B12068" t="s">
        <v>174</v>
      </c>
      <c r="C12068">
        <v>465</v>
      </c>
      <c r="D12068">
        <v>15</v>
      </c>
      <c r="E12068" s="80">
        <v>35807</v>
      </c>
    </row>
    <row r="12069" spans="1:5">
      <c r="A12069">
        <v>10827</v>
      </c>
      <c r="B12069" t="s">
        <v>175</v>
      </c>
      <c r="C12069">
        <v>465</v>
      </c>
      <c r="D12069">
        <v>15</v>
      </c>
      <c r="E12069" s="80">
        <v>35807</v>
      </c>
    </row>
    <row r="12070" spans="1:5">
      <c r="A12070">
        <v>10827</v>
      </c>
      <c r="B12070" t="s">
        <v>176</v>
      </c>
      <c r="C12070">
        <v>465</v>
      </c>
      <c r="D12070">
        <v>15</v>
      </c>
      <c r="E12070" s="80">
        <v>35807</v>
      </c>
    </row>
    <row r="12071" spans="1:5">
      <c r="A12071">
        <v>10827</v>
      </c>
      <c r="B12071" t="s">
        <v>177</v>
      </c>
      <c r="C12071">
        <v>465</v>
      </c>
      <c r="D12071">
        <v>15</v>
      </c>
      <c r="E12071" s="80">
        <v>35807</v>
      </c>
    </row>
    <row r="12072" spans="1:5">
      <c r="A12072">
        <v>10827</v>
      </c>
      <c r="B12072" t="s">
        <v>178</v>
      </c>
      <c r="C12072">
        <v>465</v>
      </c>
      <c r="D12072">
        <v>15</v>
      </c>
      <c r="E12072" s="80">
        <v>35807</v>
      </c>
    </row>
    <row r="12073" spans="1:5">
      <c r="A12073">
        <v>10827</v>
      </c>
      <c r="B12073" t="s">
        <v>179</v>
      </c>
      <c r="C12073">
        <v>465</v>
      </c>
      <c r="D12073">
        <v>15</v>
      </c>
      <c r="E12073" s="80">
        <v>35807</v>
      </c>
    </row>
    <row r="12074" spans="1:5">
      <c r="A12074">
        <v>10827</v>
      </c>
      <c r="B12074" t="s">
        <v>172</v>
      </c>
      <c r="C12074">
        <v>378</v>
      </c>
      <c r="D12074">
        <v>21</v>
      </c>
      <c r="E12074" s="80">
        <v>35807</v>
      </c>
    </row>
    <row r="12075" spans="1:5">
      <c r="A12075">
        <v>10827</v>
      </c>
      <c r="B12075" t="s">
        <v>173</v>
      </c>
      <c r="C12075">
        <v>378</v>
      </c>
      <c r="D12075">
        <v>21</v>
      </c>
      <c r="E12075" s="80">
        <v>35807</v>
      </c>
    </row>
    <row r="12076" spans="1:5">
      <c r="A12076">
        <v>10827</v>
      </c>
      <c r="B12076" t="s">
        <v>174</v>
      </c>
      <c r="C12076">
        <v>378</v>
      </c>
      <c r="D12076">
        <v>21</v>
      </c>
      <c r="E12076" s="80">
        <v>35807</v>
      </c>
    </row>
    <row r="12077" spans="1:5">
      <c r="A12077">
        <v>10827</v>
      </c>
      <c r="B12077" t="s">
        <v>175</v>
      </c>
      <c r="C12077">
        <v>378</v>
      </c>
      <c r="D12077">
        <v>21</v>
      </c>
      <c r="E12077" s="80">
        <v>35807</v>
      </c>
    </row>
    <row r="12078" spans="1:5">
      <c r="A12078">
        <v>10827</v>
      </c>
      <c r="B12078" t="s">
        <v>176</v>
      </c>
      <c r="C12078">
        <v>378</v>
      </c>
      <c r="D12078">
        <v>21</v>
      </c>
      <c r="E12078" s="80">
        <v>35807</v>
      </c>
    </row>
    <row r="12079" spans="1:5">
      <c r="A12079">
        <v>10827</v>
      </c>
      <c r="B12079" t="s">
        <v>177</v>
      </c>
      <c r="C12079">
        <v>378</v>
      </c>
      <c r="D12079">
        <v>21</v>
      </c>
      <c r="E12079" s="80">
        <v>35807</v>
      </c>
    </row>
    <row r="12080" spans="1:5">
      <c r="A12080">
        <v>10827</v>
      </c>
      <c r="B12080" t="s">
        <v>178</v>
      </c>
      <c r="C12080">
        <v>378</v>
      </c>
      <c r="D12080">
        <v>21</v>
      </c>
      <c r="E12080" s="80">
        <v>35807</v>
      </c>
    </row>
    <row r="12081" spans="1:5">
      <c r="A12081">
        <v>10827</v>
      </c>
      <c r="B12081" t="s">
        <v>179</v>
      </c>
      <c r="C12081">
        <v>378</v>
      </c>
      <c r="D12081">
        <v>21</v>
      </c>
      <c r="E12081" s="80">
        <v>35807</v>
      </c>
    </row>
    <row r="12082" spans="1:5">
      <c r="A12082">
        <v>10828</v>
      </c>
      <c r="B12082" t="s">
        <v>172</v>
      </c>
      <c r="C12082">
        <v>405</v>
      </c>
      <c r="D12082">
        <v>5</v>
      </c>
      <c r="E12082" s="80">
        <v>35808</v>
      </c>
    </row>
    <row r="12083" spans="1:5">
      <c r="A12083">
        <v>10828</v>
      </c>
      <c r="B12083" t="s">
        <v>173</v>
      </c>
      <c r="C12083">
        <v>405</v>
      </c>
      <c r="D12083">
        <v>5</v>
      </c>
      <c r="E12083" s="80">
        <v>35808</v>
      </c>
    </row>
    <row r="12084" spans="1:5">
      <c r="A12084">
        <v>10828</v>
      </c>
      <c r="B12084" t="s">
        <v>174</v>
      </c>
      <c r="C12084">
        <v>405</v>
      </c>
      <c r="D12084">
        <v>5</v>
      </c>
      <c r="E12084" s="80">
        <v>35808</v>
      </c>
    </row>
    <row r="12085" spans="1:5">
      <c r="A12085">
        <v>10828</v>
      </c>
      <c r="B12085" t="s">
        <v>175</v>
      </c>
      <c r="C12085">
        <v>405</v>
      </c>
      <c r="D12085">
        <v>5</v>
      </c>
      <c r="E12085" s="80">
        <v>35808</v>
      </c>
    </row>
    <row r="12086" spans="1:5">
      <c r="A12086">
        <v>10828</v>
      </c>
      <c r="B12086" t="s">
        <v>176</v>
      </c>
      <c r="C12086">
        <v>405</v>
      </c>
      <c r="D12086">
        <v>5</v>
      </c>
      <c r="E12086" s="80">
        <v>35808</v>
      </c>
    </row>
    <row r="12087" spans="1:5">
      <c r="A12087">
        <v>10828</v>
      </c>
      <c r="B12087" t="s">
        <v>177</v>
      </c>
      <c r="C12087">
        <v>405</v>
      </c>
      <c r="D12087">
        <v>5</v>
      </c>
      <c r="E12087" s="80">
        <v>35808</v>
      </c>
    </row>
    <row r="12088" spans="1:5">
      <c r="A12088">
        <v>10828</v>
      </c>
      <c r="B12088" t="s">
        <v>178</v>
      </c>
      <c r="C12088">
        <v>405</v>
      </c>
      <c r="D12088">
        <v>5</v>
      </c>
      <c r="E12088" s="80">
        <v>35808</v>
      </c>
    </row>
    <row r="12089" spans="1:5">
      <c r="A12089">
        <v>10828</v>
      </c>
      <c r="B12089" t="s">
        <v>179</v>
      </c>
      <c r="C12089">
        <v>405</v>
      </c>
      <c r="D12089">
        <v>5</v>
      </c>
      <c r="E12089" s="80">
        <v>35808</v>
      </c>
    </row>
    <row r="12090" spans="1:5">
      <c r="A12090">
        <v>10828</v>
      </c>
      <c r="B12090" t="s">
        <v>172</v>
      </c>
      <c r="C12090">
        <v>527</v>
      </c>
      <c r="D12090">
        <v>2</v>
      </c>
      <c r="E12090" s="80">
        <v>35808</v>
      </c>
    </row>
    <row r="12091" spans="1:5">
      <c r="A12091">
        <v>10828</v>
      </c>
      <c r="B12091" t="s">
        <v>173</v>
      </c>
      <c r="C12091">
        <v>527</v>
      </c>
      <c r="D12091">
        <v>2</v>
      </c>
      <c r="E12091" s="80">
        <v>35808</v>
      </c>
    </row>
    <row r="12092" spans="1:5">
      <c r="A12092">
        <v>10828</v>
      </c>
      <c r="B12092" t="s">
        <v>174</v>
      </c>
      <c r="C12092">
        <v>527</v>
      </c>
      <c r="D12092">
        <v>2</v>
      </c>
      <c r="E12092" s="80">
        <v>35808</v>
      </c>
    </row>
    <row r="12093" spans="1:5">
      <c r="A12093">
        <v>10828</v>
      </c>
      <c r="B12093" t="s">
        <v>175</v>
      </c>
      <c r="C12093">
        <v>527</v>
      </c>
      <c r="D12093">
        <v>2</v>
      </c>
      <c r="E12093" s="80">
        <v>35808</v>
      </c>
    </row>
    <row r="12094" spans="1:5">
      <c r="A12094">
        <v>10828</v>
      </c>
      <c r="B12094" t="s">
        <v>176</v>
      </c>
      <c r="C12094">
        <v>527</v>
      </c>
      <c r="D12094">
        <v>2</v>
      </c>
      <c r="E12094" s="80">
        <v>35808</v>
      </c>
    </row>
    <row r="12095" spans="1:5">
      <c r="A12095">
        <v>10828</v>
      </c>
      <c r="B12095" t="s">
        <v>177</v>
      </c>
      <c r="C12095">
        <v>527</v>
      </c>
      <c r="D12095">
        <v>2</v>
      </c>
      <c r="E12095" s="80">
        <v>35808</v>
      </c>
    </row>
    <row r="12096" spans="1:5">
      <c r="A12096">
        <v>10828</v>
      </c>
      <c r="B12096" t="s">
        <v>178</v>
      </c>
      <c r="C12096">
        <v>527</v>
      </c>
      <c r="D12096">
        <v>2</v>
      </c>
      <c r="E12096" s="80">
        <v>35808</v>
      </c>
    </row>
    <row r="12097" spans="1:5">
      <c r="A12097">
        <v>10828</v>
      </c>
      <c r="B12097" t="s">
        <v>179</v>
      </c>
      <c r="C12097">
        <v>527</v>
      </c>
      <c r="D12097">
        <v>2</v>
      </c>
      <c r="E12097" s="80">
        <v>35808</v>
      </c>
    </row>
    <row r="12098" spans="1:5">
      <c r="A12098">
        <v>10829</v>
      </c>
      <c r="B12098" t="s">
        <v>172</v>
      </c>
      <c r="C12098">
        <v>190</v>
      </c>
      <c r="D12098">
        <v>10</v>
      </c>
      <c r="E12098" s="80">
        <v>35808</v>
      </c>
    </row>
    <row r="12099" spans="1:5">
      <c r="A12099">
        <v>10829</v>
      </c>
      <c r="B12099" t="s">
        <v>173</v>
      </c>
      <c r="C12099">
        <v>190</v>
      </c>
      <c r="D12099">
        <v>10</v>
      </c>
      <c r="E12099" s="80">
        <v>35808</v>
      </c>
    </row>
    <row r="12100" spans="1:5">
      <c r="A12100">
        <v>10829</v>
      </c>
      <c r="B12100" t="s">
        <v>174</v>
      </c>
      <c r="C12100">
        <v>190</v>
      </c>
      <c r="D12100">
        <v>10</v>
      </c>
      <c r="E12100" s="80">
        <v>35808</v>
      </c>
    </row>
    <row r="12101" spans="1:5">
      <c r="A12101">
        <v>10829</v>
      </c>
      <c r="B12101" t="s">
        <v>175</v>
      </c>
      <c r="C12101">
        <v>190</v>
      </c>
      <c r="D12101">
        <v>10</v>
      </c>
      <c r="E12101" s="80">
        <v>35808</v>
      </c>
    </row>
    <row r="12102" spans="1:5">
      <c r="A12102">
        <v>10829</v>
      </c>
      <c r="B12102" t="s">
        <v>176</v>
      </c>
      <c r="C12102">
        <v>190</v>
      </c>
      <c r="D12102">
        <v>10</v>
      </c>
      <c r="E12102" s="80">
        <v>35808</v>
      </c>
    </row>
    <row r="12103" spans="1:5">
      <c r="A12103">
        <v>10829</v>
      </c>
      <c r="B12103" t="s">
        <v>177</v>
      </c>
      <c r="C12103">
        <v>190</v>
      </c>
      <c r="D12103">
        <v>10</v>
      </c>
      <c r="E12103" s="80">
        <v>35808</v>
      </c>
    </row>
    <row r="12104" spans="1:5">
      <c r="A12104">
        <v>10829</v>
      </c>
      <c r="B12104" t="s">
        <v>178</v>
      </c>
      <c r="C12104">
        <v>190</v>
      </c>
      <c r="D12104">
        <v>10</v>
      </c>
      <c r="E12104" s="80">
        <v>35808</v>
      </c>
    </row>
    <row r="12105" spans="1:5">
      <c r="A12105">
        <v>10829</v>
      </c>
      <c r="B12105" t="s">
        <v>179</v>
      </c>
      <c r="C12105">
        <v>190</v>
      </c>
      <c r="D12105">
        <v>10</v>
      </c>
      <c r="E12105" s="80">
        <v>35808</v>
      </c>
    </row>
    <row r="12106" spans="1:5">
      <c r="A12106">
        <v>10829</v>
      </c>
      <c r="B12106" t="s">
        <v>172</v>
      </c>
      <c r="C12106">
        <v>800</v>
      </c>
      <c r="D12106">
        <v>20</v>
      </c>
      <c r="E12106" s="80">
        <v>35808</v>
      </c>
    </row>
    <row r="12107" spans="1:5">
      <c r="A12107">
        <v>10829</v>
      </c>
      <c r="B12107" t="s">
        <v>173</v>
      </c>
      <c r="C12107">
        <v>800</v>
      </c>
      <c r="D12107">
        <v>20</v>
      </c>
      <c r="E12107" s="80">
        <v>35808</v>
      </c>
    </row>
    <row r="12108" spans="1:5">
      <c r="A12108">
        <v>10829</v>
      </c>
      <c r="B12108" t="s">
        <v>174</v>
      </c>
      <c r="C12108">
        <v>800</v>
      </c>
      <c r="D12108">
        <v>20</v>
      </c>
      <c r="E12108" s="80">
        <v>35808</v>
      </c>
    </row>
    <row r="12109" spans="1:5">
      <c r="A12109">
        <v>10829</v>
      </c>
      <c r="B12109" t="s">
        <v>175</v>
      </c>
      <c r="C12109">
        <v>800</v>
      </c>
      <c r="D12109">
        <v>20</v>
      </c>
      <c r="E12109" s="80">
        <v>35808</v>
      </c>
    </row>
    <row r="12110" spans="1:5">
      <c r="A12110">
        <v>10829</v>
      </c>
      <c r="B12110" t="s">
        <v>176</v>
      </c>
      <c r="C12110">
        <v>800</v>
      </c>
      <c r="D12110">
        <v>20</v>
      </c>
      <c r="E12110" s="80">
        <v>35808</v>
      </c>
    </row>
    <row r="12111" spans="1:5">
      <c r="A12111">
        <v>10829</v>
      </c>
      <c r="B12111" t="s">
        <v>177</v>
      </c>
      <c r="C12111">
        <v>800</v>
      </c>
      <c r="D12111">
        <v>20</v>
      </c>
      <c r="E12111" s="80">
        <v>35808</v>
      </c>
    </row>
    <row r="12112" spans="1:5">
      <c r="A12112">
        <v>10829</v>
      </c>
      <c r="B12112" t="s">
        <v>178</v>
      </c>
      <c r="C12112">
        <v>800</v>
      </c>
      <c r="D12112">
        <v>20</v>
      </c>
      <c r="E12112" s="80">
        <v>35808</v>
      </c>
    </row>
    <row r="12113" spans="1:5">
      <c r="A12113">
        <v>10829</v>
      </c>
      <c r="B12113" t="s">
        <v>179</v>
      </c>
      <c r="C12113">
        <v>800</v>
      </c>
      <c r="D12113">
        <v>20</v>
      </c>
      <c r="E12113" s="80">
        <v>35808</v>
      </c>
    </row>
    <row r="12114" spans="1:5">
      <c r="A12114">
        <v>10829</v>
      </c>
      <c r="B12114" t="s">
        <v>172</v>
      </c>
      <c r="C12114">
        <v>60</v>
      </c>
      <c r="D12114">
        <v>10</v>
      </c>
      <c r="E12114" s="80">
        <v>35808</v>
      </c>
    </row>
    <row r="12115" spans="1:5">
      <c r="A12115">
        <v>10829</v>
      </c>
      <c r="B12115" t="s">
        <v>173</v>
      </c>
      <c r="C12115">
        <v>60</v>
      </c>
      <c r="D12115">
        <v>10</v>
      </c>
      <c r="E12115" s="80">
        <v>35808</v>
      </c>
    </row>
    <row r="12116" spans="1:5">
      <c r="A12116">
        <v>10829</v>
      </c>
      <c r="B12116" t="s">
        <v>174</v>
      </c>
      <c r="C12116">
        <v>60</v>
      </c>
      <c r="D12116">
        <v>10</v>
      </c>
      <c r="E12116" s="80">
        <v>35808</v>
      </c>
    </row>
    <row r="12117" spans="1:5">
      <c r="A12117">
        <v>10829</v>
      </c>
      <c r="B12117" t="s">
        <v>175</v>
      </c>
      <c r="C12117">
        <v>60</v>
      </c>
      <c r="D12117">
        <v>10</v>
      </c>
      <c r="E12117" s="80">
        <v>35808</v>
      </c>
    </row>
    <row r="12118" spans="1:5">
      <c r="A12118">
        <v>10829</v>
      </c>
      <c r="B12118" t="s">
        <v>176</v>
      </c>
      <c r="C12118">
        <v>60</v>
      </c>
      <c r="D12118">
        <v>10</v>
      </c>
      <c r="E12118" s="80">
        <v>35808</v>
      </c>
    </row>
    <row r="12119" spans="1:5">
      <c r="A12119">
        <v>10829</v>
      </c>
      <c r="B12119" t="s">
        <v>177</v>
      </c>
      <c r="C12119">
        <v>60</v>
      </c>
      <c r="D12119">
        <v>10</v>
      </c>
      <c r="E12119" s="80">
        <v>35808</v>
      </c>
    </row>
    <row r="12120" spans="1:5">
      <c r="A12120">
        <v>10829</v>
      </c>
      <c r="B12120" t="s">
        <v>178</v>
      </c>
      <c r="C12120">
        <v>60</v>
      </c>
      <c r="D12120">
        <v>10</v>
      </c>
      <c r="E12120" s="80">
        <v>35808</v>
      </c>
    </row>
    <row r="12121" spans="1:5">
      <c r="A12121">
        <v>10829</v>
      </c>
      <c r="B12121" t="s">
        <v>179</v>
      </c>
      <c r="C12121">
        <v>60</v>
      </c>
      <c r="D12121">
        <v>10</v>
      </c>
      <c r="E12121" s="80">
        <v>35808</v>
      </c>
    </row>
    <row r="12122" spans="1:5">
      <c r="A12122">
        <v>10829</v>
      </c>
      <c r="B12122" t="s">
        <v>172</v>
      </c>
      <c r="C12122">
        <v>714</v>
      </c>
      <c r="D12122">
        <v>21</v>
      </c>
      <c r="E12122" s="80">
        <v>35808</v>
      </c>
    </row>
    <row r="12123" spans="1:5">
      <c r="A12123">
        <v>10829</v>
      </c>
      <c r="B12123" t="s">
        <v>173</v>
      </c>
      <c r="C12123">
        <v>714</v>
      </c>
      <c r="D12123">
        <v>21</v>
      </c>
      <c r="E12123" s="80">
        <v>35808</v>
      </c>
    </row>
    <row r="12124" spans="1:5">
      <c r="A12124">
        <v>10829</v>
      </c>
      <c r="B12124" t="s">
        <v>174</v>
      </c>
      <c r="C12124">
        <v>714</v>
      </c>
      <c r="D12124">
        <v>21</v>
      </c>
      <c r="E12124" s="80">
        <v>35808</v>
      </c>
    </row>
    <row r="12125" spans="1:5">
      <c r="A12125">
        <v>10829</v>
      </c>
      <c r="B12125" t="s">
        <v>175</v>
      </c>
      <c r="C12125">
        <v>714</v>
      </c>
      <c r="D12125">
        <v>21</v>
      </c>
      <c r="E12125" s="80">
        <v>35808</v>
      </c>
    </row>
    <row r="12126" spans="1:5">
      <c r="A12126">
        <v>10829</v>
      </c>
      <c r="B12126" t="s">
        <v>176</v>
      </c>
      <c r="C12126">
        <v>714</v>
      </c>
      <c r="D12126">
        <v>21</v>
      </c>
      <c r="E12126" s="80">
        <v>35808</v>
      </c>
    </row>
    <row r="12127" spans="1:5">
      <c r="A12127">
        <v>10829</v>
      </c>
      <c r="B12127" t="s">
        <v>177</v>
      </c>
      <c r="C12127">
        <v>714</v>
      </c>
      <c r="D12127">
        <v>21</v>
      </c>
      <c r="E12127" s="80">
        <v>35808</v>
      </c>
    </row>
    <row r="12128" spans="1:5">
      <c r="A12128">
        <v>10829</v>
      </c>
      <c r="B12128" t="s">
        <v>178</v>
      </c>
      <c r="C12128">
        <v>714</v>
      </c>
      <c r="D12128">
        <v>21</v>
      </c>
      <c r="E12128" s="80">
        <v>35808</v>
      </c>
    </row>
    <row r="12129" spans="1:5">
      <c r="A12129">
        <v>10829</v>
      </c>
      <c r="B12129" t="s">
        <v>179</v>
      </c>
      <c r="C12129">
        <v>714</v>
      </c>
      <c r="D12129">
        <v>21</v>
      </c>
      <c r="E12129" s="80">
        <v>35808</v>
      </c>
    </row>
    <row r="12130" spans="1:5">
      <c r="A12130">
        <v>10830</v>
      </c>
      <c r="B12130" t="s">
        <v>172</v>
      </c>
      <c r="C12130">
        <v>150</v>
      </c>
      <c r="D12130">
        <v>6</v>
      </c>
      <c r="E12130" s="80">
        <v>35808</v>
      </c>
    </row>
    <row r="12131" spans="1:5">
      <c r="A12131">
        <v>10830</v>
      </c>
      <c r="B12131" t="s">
        <v>173</v>
      </c>
      <c r="C12131">
        <v>150</v>
      </c>
      <c r="D12131">
        <v>6</v>
      </c>
      <c r="E12131" s="80">
        <v>35808</v>
      </c>
    </row>
    <row r="12132" spans="1:5">
      <c r="A12132">
        <v>10830</v>
      </c>
      <c r="B12132" t="s">
        <v>174</v>
      </c>
      <c r="C12132">
        <v>150</v>
      </c>
      <c r="D12132">
        <v>6</v>
      </c>
      <c r="E12132" s="80">
        <v>35808</v>
      </c>
    </row>
    <row r="12133" spans="1:5">
      <c r="A12133">
        <v>10830</v>
      </c>
      <c r="B12133" t="s">
        <v>175</v>
      </c>
      <c r="C12133">
        <v>150</v>
      </c>
      <c r="D12133">
        <v>6</v>
      </c>
      <c r="E12133" s="80">
        <v>35808</v>
      </c>
    </row>
    <row r="12134" spans="1:5">
      <c r="A12134">
        <v>10830</v>
      </c>
      <c r="B12134" t="s">
        <v>176</v>
      </c>
      <c r="C12134">
        <v>150</v>
      </c>
      <c r="D12134">
        <v>6</v>
      </c>
      <c r="E12134" s="80">
        <v>35808</v>
      </c>
    </row>
    <row r="12135" spans="1:5">
      <c r="A12135">
        <v>10830</v>
      </c>
      <c r="B12135" t="s">
        <v>177</v>
      </c>
      <c r="C12135">
        <v>150</v>
      </c>
      <c r="D12135">
        <v>6</v>
      </c>
      <c r="E12135" s="80">
        <v>35808</v>
      </c>
    </row>
    <row r="12136" spans="1:5">
      <c r="A12136">
        <v>10830</v>
      </c>
      <c r="B12136" t="s">
        <v>178</v>
      </c>
      <c r="C12136">
        <v>150</v>
      </c>
      <c r="D12136">
        <v>6</v>
      </c>
      <c r="E12136" s="80">
        <v>35808</v>
      </c>
    </row>
    <row r="12137" spans="1:5">
      <c r="A12137">
        <v>10830</v>
      </c>
      <c r="B12137" t="s">
        <v>179</v>
      </c>
      <c r="C12137">
        <v>150</v>
      </c>
      <c r="D12137">
        <v>6</v>
      </c>
      <c r="E12137" s="80">
        <v>35808</v>
      </c>
    </row>
    <row r="12138" spans="1:5">
      <c r="A12138">
        <v>10830</v>
      </c>
      <c r="B12138" t="s">
        <v>172</v>
      </c>
      <c r="C12138">
        <v>504</v>
      </c>
      <c r="D12138">
        <v>28</v>
      </c>
      <c r="E12138" s="80">
        <v>35808</v>
      </c>
    </row>
    <row r="12139" spans="1:5">
      <c r="A12139">
        <v>10830</v>
      </c>
      <c r="B12139" t="s">
        <v>173</v>
      </c>
      <c r="C12139">
        <v>504</v>
      </c>
      <c r="D12139">
        <v>28</v>
      </c>
      <c r="E12139" s="80">
        <v>35808</v>
      </c>
    </row>
    <row r="12140" spans="1:5">
      <c r="A12140">
        <v>10830</v>
      </c>
      <c r="B12140" t="s">
        <v>174</v>
      </c>
      <c r="C12140">
        <v>504</v>
      </c>
      <c r="D12140">
        <v>28</v>
      </c>
      <c r="E12140" s="80">
        <v>35808</v>
      </c>
    </row>
    <row r="12141" spans="1:5">
      <c r="A12141">
        <v>10830</v>
      </c>
      <c r="B12141" t="s">
        <v>175</v>
      </c>
      <c r="C12141">
        <v>504</v>
      </c>
      <c r="D12141">
        <v>28</v>
      </c>
      <c r="E12141" s="80">
        <v>35808</v>
      </c>
    </row>
    <row r="12142" spans="1:5">
      <c r="A12142">
        <v>10830</v>
      </c>
      <c r="B12142" t="s">
        <v>176</v>
      </c>
      <c r="C12142">
        <v>504</v>
      </c>
      <c r="D12142">
        <v>28</v>
      </c>
      <c r="E12142" s="80">
        <v>35808</v>
      </c>
    </row>
    <row r="12143" spans="1:5">
      <c r="A12143">
        <v>10830</v>
      </c>
      <c r="B12143" t="s">
        <v>177</v>
      </c>
      <c r="C12143">
        <v>504</v>
      </c>
      <c r="D12143">
        <v>28</v>
      </c>
      <c r="E12143" s="80">
        <v>35808</v>
      </c>
    </row>
    <row r="12144" spans="1:5">
      <c r="A12144">
        <v>10830</v>
      </c>
      <c r="B12144" t="s">
        <v>178</v>
      </c>
      <c r="C12144">
        <v>504</v>
      </c>
      <c r="D12144">
        <v>28</v>
      </c>
      <c r="E12144" s="80">
        <v>35808</v>
      </c>
    </row>
    <row r="12145" spans="1:5">
      <c r="A12145">
        <v>10830</v>
      </c>
      <c r="B12145" t="s">
        <v>179</v>
      </c>
      <c r="C12145">
        <v>504</v>
      </c>
      <c r="D12145">
        <v>28</v>
      </c>
      <c r="E12145" s="80">
        <v>35808</v>
      </c>
    </row>
    <row r="12146" spans="1:5">
      <c r="A12146">
        <v>10830</v>
      </c>
      <c r="B12146" t="s">
        <v>172</v>
      </c>
      <c r="C12146">
        <v>1020</v>
      </c>
      <c r="D12146">
        <v>30</v>
      </c>
      <c r="E12146" s="80">
        <v>35808</v>
      </c>
    </row>
    <row r="12147" spans="1:5">
      <c r="A12147">
        <v>10830</v>
      </c>
      <c r="B12147" t="s">
        <v>173</v>
      </c>
      <c r="C12147">
        <v>1020</v>
      </c>
      <c r="D12147">
        <v>30</v>
      </c>
      <c r="E12147" s="80">
        <v>35808</v>
      </c>
    </row>
    <row r="12148" spans="1:5">
      <c r="A12148">
        <v>10830</v>
      </c>
      <c r="B12148" t="s">
        <v>174</v>
      </c>
      <c r="C12148">
        <v>1020</v>
      </c>
      <c r="D12148">
        <v>30</v>
      </c>
      <c r="E12148" s="80">
        <v>35808</v>
      </c>
    </row>
    <row r="12149" spans="1:5">
      <c r="A12149">
        <v>10830</v>
      </c>
      <c r="B12149" t="s">
        <v>175</v>
      </c>
      <c r="C12149">
        <v>1020</v>
      </c>
      <c r="D12149">
        <v>30</v>
      </c>
      <c r="E12149" s="80">
        <v>35808</v>
      </c>
    </row>
    <row r="12150" spans="1:5">
      <c r="A12150">
        <v>10830</v>
      </c>
      <c r="B12150" t="s">
        <v>176</v>
      </c>
      <c r="C12150">
        <v>1020</v>
      </c>
      <c r="D12150">
        <v>30</v>
      </c>
      <c r="E12150" s="80">
        <v>35808</v>
      </c>
    </row>
    <row r="12151" spans="1:5">
      <c r="A12151">
        <v>10830</v>
      </c>
      <c r="B12151" t="s">
        <v>177</v>
      </c>
      <c r="C12151">
        <v>1020</v>
      </c>
      <c r="D12151">
        <v>30</v>
      </c>
      <c r="E12151" s="80">
        <v>35808</v>
      </c>
    </row>
    <row r="12152" spans="1:5">
      <c r="A12152">
        <v>10830</v>
      </c>
      <c r="B12152" t="s">
        <v>178</v>
      </c>
      <c r="C12152">
        <v>1020</v>
      </c>
      <c r="D12152">
        <v>30</v>
      </c>
      <c r="E12152" s="80">
        <v>35808</v>
      </c>
    </row>
    <row r="12153" spans="1:5">
      <c r="A12153">
        <v>10830</v>
      </c>
      <c r="B12153" t="s">
        <v>179</v>
      </c>
      <c r="C12153">
        <v>1020</v>
      </c>
      <c r="D12153">
        <v>30</v>
      </c>
      <c r="E12153" s="80">
        <v>35808</v>
      </c>
    </row>
    <row r="12154" spans="1:5">
      <c r="A12154">
        <v>10830</v>
      </c>
      <c r="B12154" t="s">
        <v>172</v>
      </c>
      <c r="C12154">
        <v>300</v>
      </c>
      <c r="D12154">
        <v>24</v>
      </c>
      <c r="E12154" s="80">
        <v>35808</v>
      </c>
    </row>
    <row r="12155" spans="1:5">
      <c r="A12155">
        <v>10830</v>
      </c>
      <c r="B12155" t="s">
        <v>173</v>
      </c>
      <c r="C12155">
        <v>300</v>
      </c>
      <c r="D12155">
        <v>24</v>
      </c>
      <c r="E12155" s="80">
        <v>35808</v>
      </c>
    </row>
    <row r="12156" spans="1:5">
      <c r="A12156">
        <v>10830</v>
      </c>
      <c r="B12156" t="s">
        <v>174</v>
      </c>
      <c r="C12156">
        <v>300</v>
      </c>
      <c r="D12156">
        <v>24</v>
      </c>
      <c r="E12156" s="80">
        <v>35808</v>
      </c>
    </row>
    <row r="12157" spans="1:5">
      <c r="A12157">
        <v>10830</v>
      </c>
      <c r="B12157" t="s">
        <v>175</v>
      </c>
      <c r="C12157">
        <v>300</v>
      </c>
      <c r="D12157">
        <v>24</v>
      </c>
      <c r="E12157" s="80">
        <v>35808</v>
      </c>
    </row>
    <row r="12158" spans="1:5">
      <c r="A12158">
        <v>10830</v>
      </c>
      <c r="B12158" t="s">
        <v>176</v>
      </c>
      <c r="C12158">
        <v>300</v>
      </c>
      <c r="D12158">
        <v>24</v>
      </c>
      <c r="E12158" s="80">
        <v>35808</v>
      </c>
    </row>
    <row r="12159" spans="1:5">
      <c r="A12159">
        <v>10830</v>
      </c>
      <c r="B12159" t="s">
        <v>177</v>
      </c>
      <c r="C12159">
        <v>300</v>
      </c>
      <c r="D12159">
        <v>24</v>
      </c>
      <c r="E12159" s="80">
        <v>35808</v>
      </c>
    </row>
    <row r="12160" spans="1:5">
      <c r="A12160">
        <v>10830</v>
      </c>
      <c r="B12160" t="s">
        <v>178</v>
      </c>
      <c r="C12160">
        <v>300</v>
      </c>
      <c r="D12160">
        <v>24</v>
      </c>
      <c r="E12160" s="80">
        <v>35808</v>
      </c>
    </row>
    <row r="12161" spans="1:5">
      <c r="A12161">
        <v>10830</v>
      </c>
      <c r="B12161" t="s">
        <v>179</v>
      </c>
      <c r="C12161">
        <v>300</v>
      </c>
      <c r="D12161">
        <v>24</v>
      </c>
      <c r="E12161" s="80">
        <v>35808</v>
      </c>
    </row>
    <row r="12162" spans="1:5">
      <c r="A12162">
        <v>10831</v>
      </c>
      <c r="B12162" t="s">
        <v>172</v>
      </c>
      <c r="C12162">
        <v>18.399999999999999</v>
      </c>
      <c r="D12162">
        <v>2</v>
      </c>
      <c r="E12162" s="80">
        <v>35809</v>
      </c>
    </row>
    <row r="12163" spans="1:5">
      <c r="A12163">
        <v>10831</v>
      </c>
      <c r="B12163" t="s">
        <v>173</v>
      </c>
      <c r="C12163">
        <v>18.399999999999999</v>
      </c>
      <c r="D12163">
        <v>2</v>
      </c>
      <c r="E12163" s="80">
        <v>35809</v>
      </c>
    </row>
    <row r="12164" spans="1:5">
      <c r="A12164">
        <v>10831</v>
      </c>
      <c r="B12164" t="s">
        <v>174</v>
      </c>
      <c r="C12164">
        <v>18.399999999999999</v>
      </c>
      <c r="D12164">
        <v>2</v>
      </c>
      <c r="E12164" s="80">
        <v>35809</v>
      </c>
    </row>
    <row r="12165" spans="1:5">
      <c r="A12165">
        <v>10831</v>
      </c>
      <c r="B12165" t="s">
        <v>175</v>
      </c>
      <c r="C12165">
        <v>18.399999999999999</v>
      </c>
      <c r="D12165">
        <v>2</v>
      </c>
      <c r="E12165" s="80">
        <v>35809</v>
      </c>
    </row>
    <row r="12166" spans="1:5">
      <c r="A12166">
        <v>10831</v>
      </c>
      <c r="B12166" t="s">
        <v>176</v>
      </c>
      <c r="C12166">
        <v>18.399999999999999</v>
      </c>
      <c r="D12166">
        <v>2</v>
      </c>
      <c r="E12166" s="80">
        <v>35809</v>
      </c>
    </row>
    <row r="12167" spans="1:5">
      <c r="A12167">
        <v>10831</v>
      </c>
      <c r="B12167" t="s">
        <v>177</v>
      </c>
      <c r="C12167">
        <v>18.399999999999999</v>
      </c>
      <c r="D12167">
        <v>2</v>
      </c>
      <c r="E12167" s="80">
        <v>35809</v>
      </c>
    </row>
    <row r="12168" spans="1:5">
      <c r="A12168">
        <v>10831</v>
      </c>
      <c r="B12168" t="s">
        <v>178</v>
      </c>
      <c r="C12168">
        <v>18.399999999999999</v>
      </c>
      <c r="D12168">
        <v>2</v>
      </c>
      <c r="E12168" s="80">
        <v>35809</v>
      </c>
    </row>
    <row r="12169" spans="1:5">
      <c r="A12169">
        <v>10831</v>
      </c>
      <c r="B12169" t="s">
        <v>179</v>
      </c>
      <c r="C12169">
        <v>18.399999999999999</v>
      </c>
      <c r="D12169">
        <v>2</v>
      </c>
      <c r="E12169" s="80">
        <v>35809</v>
      </c>
    </row>
    <row r="12170" spans="1:5">
      <c r="A12170">
        <v>10831</v>
      </c>
      <c r="B12170" t="s">
        <v>172</v>
      </c>
      <c r="C12170">
        <v>144</v>
      </c>
      <c r="D12170">
        <v>8</v>
      </c>
      <c r="E12170" s="80">
        <v>35809</v>
      </c>
    </row>
    <row r="12171" spans="1:5">
      <c r="A12171">
        <v>10831</v>
      </c>
      <c r="B12171" t="s">
        <v>173</v>
      </c>
      <c r="C12171">
        <v>144</v>
      </c>
      <c r="D12171">
        <v>8</v>
      </c>
      <c r="E12171" s="80">
        <v>35809</v>
      </c>
    </row>
    <row r="12172" spans="1:5">
      <c r="A12172">
        <v>10831</v>
      </c>
      <c r="B12172" t="s">
        <v>174</v>
      </c>
      <c r="C12172">
        <v>144</v>
      </c>
      <c r="D12172">
        <v>8</v>
      </c>
      <c r="E12172" s="80">
        <v>35809</v>
      </c>
    </row>
    <row r="12173" spans="1:5">
      <c r="A12173">
        <v>10831</v>
      </c>
      <c r="B12173" t="s">
        <v>175</v>
      </c>
      <c r="C12173">
        <v>144</v>
      </c>
      <c r="D12173">
        <v>8</v>
      </c>
      <c r="E12173" s="80">
        <v>35809</v>
      </c>
    </row>
    <row r="12174" spans="1:5">
      <c r="A12174">
        <v>10831</v>
      </c>
      <c r="B12174" t="s">
        <v>176</v>
      </c>
      <c r="C12174">
        <v>144</v>
      </c>
      <c r="D12174">
        <v>8</v>
      </c>
      <c r="E12174" s="80">
        <v>35809</v>
      </c>
    </row>
    <row r="12175" spans="1:5">
      <c r="A12175">
        <v>10831</v>
      </c>
      <c r="B12175" t="s">
        <v>177</v>
      </c>
      <c r="C12175">
        <v>144</v>
      </c>
      <c r="D12175">
        <v>8</v>
      </c>
      <c r="E12175" s="80">
        <v>35809</v>
      </c>
    </row>
    <row r="12176" spans="1:5">
      <c r="A12176">
        <v>10831</v>
      </c>
      <c r="B12176" t="s">
        <v>178</v>
      </c>
      <c r="C12176">
        <v>144</v>
      </c>
      <c r="D12176">
        <v>8</v>
      </c>
      <c r="E12176" s="80">
        <v>35809</v>
      </c>
    </row>
    <row r="12177" spans="1:5">
      <c r="A12177">
        <v>10831</v>
      </c>
      <c r="B12177" t="s">
        <v>179</v>
      </c>
      <c r="C12177">
        <v>144</v>
      </c>
      <c r="D12177">
        <v>8</v>
      </c>
      <c r="E12177" s="80">
        <v>35809</v>
      </c>
    </row>
    <row r="12178" spans="1:5">
      <c r="A12178">
        <v>10831</v>
      </c>
      <c r="B12178" t="s">
        <v>172</v>
      </c>
      <c r="C12178">
        <v>2108</v>
      </c>
      <c r="D12178">
        <v>8</v>
      </c>
      <c r="E12178" s="80">
        <v>35809</v>
      </c>
    </row>
    <row r="12179" spans="1:5">
      <c r="A12179">
        <v>10831</v>
      </c>
      <c r="B12179" t="s">
        <v>173</v>
      </c>
      <c r="C12179">
        <v>2108</v>
      </c>
      <c r="D12179">
        <v>8</v>
      </c>
      <c r="E12179" s="80">
        <v>35809</v>
      </c>
    </row>
    <row r="12180" spans="1:5">
      <c r="A12180">
        <v>10831</v>
      </c>
      <c r="B12180" t="s">
        <v>174</v>
      </c>
      <c r="C12180">
        <v>2108</v>
      </c>
      <c r="D12180">
        <v>8</v>
      </c>
      <c r="E12180" s="80">
        <v>35809</v>
      </c>
    </row>
    <row r="12181" spans="1:5">
      <c r="A12181">
        <v>10831</v>
      </c>
      <c r="B12181" t="s">
        <v>175</v>
      </c>
      <c r="C12181">
        <v>2108</v>
      </c>
      <c r="D12181">
        <v>8</v>
      </c>
      <c r="E12181" s="80">
        <v>35809</v>
      </c>
    </row>
    <row r="12182" spans="1:5">
      <c r="A12182">
        <v>10831</v>
      </c>
      <c r="B12182" t="s">
        <v>176</v>
      </c>
      <c r="C12182">
        <v>2108</v>
      </c>
      <c r="D12182">
        <v>8</v>
      </c>
      <c r="E12182" s="80">
        <v>35809</v>
      </c>
    </row>
    <row r="12183" spans="1:5">
      <c r="A12183">
        <v>10831</v>
      </c>
      <c r="B12183" t="s">
        <v>177</v>
      </c>
      <c r="C12183">
        <v>2108</v>
      </c>
      <c r="D12183">
        <v>8</v>
      </c>
      <c r="E12183" s="80">
        <v>35809</v>
      </c>
    </row>
    <row r="12184" spans="1:5">
      <c r="A12184">
        <v>10831</v>
      </c>
      <c r="B12184" t="s">
        <v>178</v>
      </c>
      <c r="C12184">
        <v>2108</v>
      </c>
      <c r="D12184">
        <v>8</v>
      </c>
      <c r="E12184" s="80">
        <v>35809</v>
      </c>
    </row>
    <row r="12185" spans="1:5">
      <c r="A12185">
        <v>10831</v>
      </c>
      <c r="B12185" t="s">
        <v>179</v>
      </c>
      <c r="C12185">
        <v>2108</v>
      </c>
      <c r="D12185">
        <v>8</v>
      </c>
      <c r="E12185" s="80">
        <v>35809</v>
      </c>
    </row>
    <row r="12186" spans="1:5">
      <c r="A12186">
        <v>10831</v>
      </c>
      <c r="B12186" t="s">
        <v>172</v>
      </c>
      <c r="C12186">
        <v>414</v>
      </c>
      <c r="D12186">
        <v>9</v>
      </c>
      <c r="E12186" s="80">
        <v>35809</v>
      </c>
    </row>
    <row r="12187" spans="1:5">
      <c r="A12187">
        <v>10831</v>
      </c>
      <c r="B12187" t="s">
        <v>173</v>
      </c>
      <c r="C12187">
        <v>414</v>
      </c>
      <c r="D12187">
        <v>9</v>
      </c>
      <c r="E12187" s="80">
        <v>35809</v>
      </c>
    </row>
    <row r="12188" spans="1:5">
      <c r="A12188">
        <v>10831</v>
      </c>
      <c r="B12188" t="s">
        <v>174</v>
      </c>
      <c r="C12188">
        <v>414</v>
      </c>
      <c r="D12188">
        <v>9</v>
      </c>
      <c r="E12188" s="80">
        <v>35809</v>
      </c>
    </row>
    <row r="12189" spans="1:5">
      <c r="A12189">
        <v>10831</v>
      </c>
      <c r="B12189" t="s">
        <v>175</v>
      </c>
      <c r="C12189">
        <v>414</v>
      </c>
      <c r="D12189">
        <v>9</v>
      </c>
      <c r="E12189" s="80">
        <v>35809</v>
      </c>
    </row>
    <row r="12190" spans="1:5">
      <c r="A12190">
        <v>10831</v>
      </c>
      <c r="B12190" t="s">
        <v>176</v>
      </c>
      <c r="C12190">
        <v>414</v>
      </c>
      <c r="D12190">
        <v>9</v>
      </c>
      <c r="E12190" s="80">
        <v>35809</v>
      </c>
    </row>
    <row r="12191" spans="1:5">
      <c r="A12191">
        <v>10831</v>
      </c>
      <c r="B12191" t="s">
        <v>177</v>
      </c>
      <c r="C12191">
        <v>414</v>
      </c>
      <c r="D12191">
        <v>9</v>
      </c>
      <c r="E12191" s="80">
        <v>35809</v>
      </c>
    </row>
    <row r="12192" spans="1:5">
      <c r="A12192">
        <v>10831</v>
      </c>
      <c r="B12192" t="s">
        <v>178</v>
      </c>
      <c r="C12192">
        <v>414</v>
      </c>
      <c r="D12192">
        <v>9</v>
      </c>
      <c r="E12192" s="80">
        <v>35809</v>
      </c>
    </row>
    <row r="12193" spans="1:5">
      <c r="A12193">
        <v>10831</v>
      </c>
      <c r="B12193" t="s">
        <v>179</v>
      </c>
      <c r="C12193">
        <v>414</v>
      </c>
      <c r="D12193">
        <v>9</v>
      </c>
      <c r="E12193" s="80">
        <v>35809</v>
      </c>
    </row>
    <row r="12194" spans="1:5">
      <c r="A12194">
        <v>10832</v>
      </c>
      <c r="B12194" t="s">
        <v>172</v>
      </c>
      <c r="C12194">
        <v>14.39999994635582</v>
      </c>
      <c r="D12194">
        <v>3</v>
      </c>
      <c r="E12194" s="80">
        <v>35809</v>
      </c>
    </row>
    <row r="12195" spans="1:5">
      <c r="A12195">
        <v>10832</v>
      </c>
      <c r="B12195" t="s">
        <v>173</v>
      </c>
      <c r="C12195">
        <v>14.39999994635582</v>
      </c>
      <c r="D12195">
        <v>3</v>
      </c>
      <c r="E12195" s="80">
        <v>35809</v>
      </c>
    </row>
    <row r="12196" spans="1:5">
      <c r="A12196">
        <v>10832</v>
      </c>
      <c r="B12196" t="s">
        <v>174</v>
      </c>
      <c r="C12196">
        <v>14.39999994635582</v>
      </c>
      <c r="D12196">
        <v>3</v>
      </c>
      <c r="E12196" s="80">
        <v>35809</v>
      </c>
    </row>
    <row r="12197" spans="1:5">
      <c r="A12197">
        <v>10832</v>
      </c>
      <c r="B12197" t="s">
        <v>175</v>
      </c>
      <c r="C12197">
        <v>14.39999994635582</v>
      </c>
      <c r="D12197">
        <v>3</v>
      </c>
      <c r="E12197" s="80">
        <v>35809</v>
      </c>
    </row>
    <row r="12198" spans="1:5">
      <c r="A12198">
        <v>10832</v>
      </c>
      <c r="B12198" t="s">
        <v>176</v>
      </c>
      <c r="C12198">
        <v>14.39999994635582</v>
      </c>
      <c r="D12198">
        <v>3</v>
      </c>
      <c r="E12198" s="80">
        <v>35809</v>
      </c>
    </row>
    <row r="12199" spans="1:5">
      <c r="A12199">
        <v>10832</v>
      </c>
      <c r="B12199" t="s">
        <v>177</v>
      </c>
      <c r="C12199">
        <v>14.39999994635582</v>
      </c>
      <c r="D12199">
        <v>3</v>
      </c>
      <c r="E12199" s="80">
        <v>35809</v>
      </c>
    </row>
    <row r="12200" spans="1:5">
      <c r="A12200">
        <v>10832</v>
      </c>
      <c r="B12200" t="s">
        <v>178</v>
      </c>
      <c r="C12200">
        <v>14.39999994635582</v>
      </c>
      <c r="D12200">
        <v>3</v>
      </c>
      <c r="E12200" s="80">
        <v>35809</v>
      </c>
    </row>
    <row r="12201" spans="1:5">
      <c r="A12201">
        <v>10832</v>
      </c>
      <c r="B12201" t="s">
        <v>179</v>
      </c>
      <c r="C12201">
        <v>14.39999994635582</v>
      </c>
      <c r="D12201">
        <v>3</v>
      </c>
      <c r="E12201" s="80">
        <v>35809</v>
      </c>
    </row>
    <row r="12202" spans="1:5">
      <c r="A12202">
        <v>10832</v>
      </c>
      <c r="B12202" t="s">
        <v>172</v>
      </c>
      <c r="C12202">
        <v>111.99999958276749</v>
      </c>
      <c r="D12202">
        <v>10</v>
      </c>
      <c r="E12202" s="80">
        <v>35809</v>
      </c>
    </row>
    <row r="12203" spans="1:5">
      <c r="A12203">
        <v>10832</v>
      </c>
      <c r="B12203" t="s">
        <v>173</v>
      </c>
      <c r="C12203">
        <v>111.99999958276749</v>
      </c>
      <c r="D12203">
        <v>10</v>
      </c>
      <c r="E12203" s="80">
        <v>35809</v>
      </c>
    </row>
    <row r="12204" spans="1:5">
      <c r="A12204">
        <v>10832</v>
      </c>
      <c r="B12204" t="s">
        <v>174</v>
      </c>
      <c r="C12204">
        <v>111.99999958276749</v>
      </c>
      <c r="D12204">
        <v>10</v>
      </c>
      <c r="E12204" s="80">
        <v>35809</v>
      </c>
    </row>
    <row r="12205" spans="1:5">
      <c r="A12205">
        <v>10832</v>
      </c>
      <c r="B12205" t="s">
        <v>175</v>
      </c>
      <c r="C12205">
        <v>111.99999958276749</v>
      </c>
      <c r="D12205">
        <v>10</v>
      </c>
      <c r="E12205" s="80">
        <v>35809</v>
      </c>
    </row>
    <row r="12206" spans="1:5">
      <c r="A12206">
        <v>10832</v>
      </c>
      <c r="B12206" t="s">
        <v>176</v>
      </c>
      <c r="C12206">
        <v>111.99999958276749</v>
      </c>
      <c r="D12206">
        <v>10</v>
      </c>
      <c r="E12206" s="80">
        <v>35809</v>
      </c>
    </row>
    <row r="12207" spans="1:5">
      <c r="A12207">
        <v>10832</v>
      </c>
      <c r="B12207" t="s">
        <v>177</v>
      </c>
      <c r="C12207">
        <v>111.99999958276749</v>
      </c>
      <c r="D12207">
        <v>10</v>
      </c>
      <c r="E12207" s="80">
        <v>35809</v>
      </c>
    </row>
    <row r="12208" spans="1:5">
      <c r="A12208">
        <v>10832</v>
      </c>
      <c r="B12208" t="s">
        <v>178</v>
      </c>
      <c r="C12208">
        <v>111.99999958276749</v>
      </c>
      <c r="D12208">
        <v>10</v>
      </c>
      <c r="E12208" s="80">
        <v>35809</v>
      </c>
    </row>
    <row r="12209" spans="1:5">
      <c r="A12209">
        <v>10832</v>
      </c>
      <c r="B12209" t="s">
        <v>179</v>
      </c>
      <c r="C12209">
        <v>111.99999958276749</v>
      </c>
      <c r="D12209">
        <v>10</v>
      </c>
      <c r="E12209" s="80">
        <v>35809</v>
      </c>
    </row>
    <row r="12210" spans="1:5">
      <c r="A12210">
        <v>10832</v>
      </c>
      <c r="B12210" t="s">
        <v>172</v>
      </c>
      <c r="C12210">
        <v>248.95999907255171</v>
      </c>
      <c r="D12210">
        <v>16</v>
      </c>
      <c r="E12210" s="80">
        <v>35809</v>
      </c>
    </row>
    <row r="12211" spans="1:5">
      <c r="A12211">
        <v>10832</v>
      </c>
      <c r="B12211" t="s">
        <v>173</v>
      </c>
      <c r="C12211">
        <v>248.95999907255171</v>
      </c>
      <c r="D12211">
        <v>16</v>
      </c>
      <c r="E12211" s="80">
        <v>35809</v>
      </c>
    </row>
    <row r="12212" spans="1:5">
      <c r="A12212">
        <v>10832</v>
      </c>
      <c r="B12212" t="s">
        <v>174</v>
      </c>
      <c r="C12212">
        <v>248.95999907255171</v>
      </c>
      <c r="D12212">
        <v>16</v>
      </c>
      <c r="E12212" s="80">
        <v>35809</v>
      </c>
    </row>
    <row r="12213" spans="1:5">
      <c r="A12213">
        <v>10832</v>
      </c>
      <c r="B12213" t="s">
        <v>175</v>
      </c>
      <c r="C12213">
        <v>248.95999907255171</v>
      </c>
      <c r="D12213">
        <v>16</v>
      </c>
      <c r="E12213" s="80">
        <v>35809</v>
      </c>
    </row>
    <row r="12214" spans="1:5">
      <c r="A12214">
        <v>10832</v>
      </c>
      <c r="B12214" t="s">
        <v>176</v>
      </c>
      <c r="C12214">
        <v>248.95999907255171</v>
      </c>
      <c r="D12214">
        <v>16</v>
      </c>
      <c r="E12214" s="80">
        <v>35809</v>
      </c>
    </row>
    <row r="12215" spans="1:5">
      <c r="A12215">
        <v>10832</v>
      </c>
      <c r="B12215" t="s">
        <v>177</v>
      </c>
      <c r="C12215">
        <v>248.95999907255171</v>
      </c>
      <c r="D12215">
        <v>16</v>
      </c>
      <c r="E12215" s="80">
        <v>35809</v>
      </c>
    </row>
    <row r="12216" spans="1:5">
      <c r="A12216">
        <v>10832</v>
      </c>
      <c r="B12216" t="s">
        <v>178</v>
      </c>
      <c r="C12216">
        <v>248.95999907255171</v>
      </c>
      <c r="D12216">
        <v>16</v>
      </c>
      <c r="E12216" s="80">
        <v>35809</v>
      </c>
    </row>
    <row r="12217" spans="1:5">
      <c r="A12217">
        <v>10832</v>
      </c>
      <c r="B12217" t="s">
        <v>179</v>
      </c>
      <c r="C12217">
        <v>248.95999907255171</v>
      </c>
      <c r="D12217">
        <v>16</v>
      </c>
      <c r="E12217" s="80">
        <v>35809</v>
      </c>
    </row>
    <row r="12218" spans="1:5">
      <c r="A12218">
        <v>10832</v>
      </c>
      <c r="B12218" t="s">
        <v>172</v>
      </c>
      <c r="C12218">
        <v>99.75</v>
      </c>
      <c r="D12218">
        <v>3</v>
      </c>
      <c r="E12218" s="80">
        <v>35809</v>
      </c>
    </row>
    <row r="12219" spans="1:5">
      <c r="A12219">
        <v>10832</v>
      </c>
      <c r="B12219" t="s">
        <v>173</v>
      </c>
      <c r="C12219">
        <v>99.75</v>
      </c>
      <c r="D12219">
        <v>3</v>
      </c>
      <c r="E12219" s="80">
        <v>35809</v>
      </c>
    </row>
    <row r="12220" spans="1:5">
      <c r="A12220">
        <v>10832</v>
      </c>
      <c r="B12220" t="s">
        <v>174</v>
      </c>
      <c r="C12220">
        <v>99.75</v>
      </c>
      <c r="D12220">
        <v>3</v>
      </c>
      <c r="E12220" s="80">
        <v>35809</v>
      </c>
    </row>
    <row r="12221" spans="1:5">
      <c r="A12221">
        <v>10832</v>
      </c>
      <c r="B12221" t="s">
        <v>175</v>
      </c>
      <c r="C12221">
        <v>99.75</v>
      </c>
      <c r="D12221">
        <v>3</v>
      </c>
      <c r="E12221" s="80">
        <v>35809</v>
      </c>
    </row>
    <row r="12222" spans="1:5">
      <c r="A12222">
        <v>10832</v>
      </c>
      <c r="B12222" t="s">
        <v>176</v>
      </c>
      <c r="C12222">
        <v>99.75</v>
      </c>
      <c r="D12222">
        <v>3</v>
      </c>
      <c r="E12222" s="80">
        <v>35809</v>
      </c>
    </row>
    <row r="12223" spans="1:5">
      <c r="A12223">
        <v>10832</v>
      </c>
      <c r="B12223" t="s">
        <v>177</v>
      </c>
      <c r="C12223">
        <v>99.75</v>
      </c>
      <c r="D12223">
        <v>3</v>
      </c>
      <c r="E12223" s="80">
        <v>35809</v>
      </c>
    </row>
    <row r="12224" spans="1:5">
      <c r="A12224">
        <v>10832</v>
      </c>
      <c r="B12224" t="s">
        <v>178</v>
      </c>
      <c r="C12224">
        <v>99.75</v>
      </c>
      <c r="D12224">
        <v>3</v>
      </c>
      <c r="E12224" s="80">
        <v>35809</v>
      </c>
    </row>
    <row r="12225" spans="1:5">
      <c r="A12225">
        <v>10832</v>
      </c>
      <c r="B12225" t="s">
        <v>179</v>
      </c>
      <c r="C12225">
        <v>99.75</v>
      </c>
      <c r="D12225">
        <v>3</v>
      </c>
      <c r="E12225" s="80">
        <v>35809</v>
      </c>
    </row>
    <row r="12226" spans="1:5">
      <c r="A12226">
        <v>10833</v>
      </c>
      <c r="B12226" t="s">
        <v>172</v>
      </c>
      <c r="C12226">
        <v>539.99999910593033</v>
      </c>
      <c r="D12226">
        <v>20</v>
      </c>
      <c r="E12226" s="80">
        <v>35810</v>
      </c>
    </row>
    <row r="12227" spans="1:5">
      <c r="A12227">
        <v>10833</v>
      </c>
      <c r="B12227" t="s">
        <v>173</v>
      </c>
      <c r="C12227">
        <v>539.99999910593033</v>
      </c>
      <c r="D12227">
        <v>20</v>
      </c>
      <c r="E12227" s="80">
        <v>35810</v>
      </c>
    </row>
    <row r="12228" spans="1:5">
      <c r="A12228">
        <v>10833</v>
      </c>
      <c r="B12228" t="s">
        <v>174</v>
      </c>
      <c r="C12228">
        <v>539.99999910593033</v>
      </c>
      <c r="D12228">
        <v>20</v>
      </c>
      <c r="E12228" s="80">
        <v>35810</v>
      </c>
    </row>
    <row r="12229" spans="1:5">
      <c r="A12229">
        <v>10833</v>
      </c>
      <c r="B12229" t="s">
        <v>175</v>
      </c>
      <c r="C12229">
        <v>539.99999910593033</v>
      </c>
      <c r="D12229">
        <v>20</v>
      </c>
      <c r="E12229" s="80">
        <v>35810</v>
      </c>
    </row>
    <row r="12230" spans="1:5">
      <c r="A12230">
        <v>10833</v>
      </c>
      <c r="B12230" t="s">
        <v>176</v>
      </c>
      <c r="C12230">
        <v>539.99999910593033</v>
      </c>
      <c r="D12230">
        <v>20</v>
      </c>
      <c r="E12230" s="80">
        <v>35810</v>
      </c>
    </row>
    <row r="12231" spans="1:5">
      <c r="A12231">
        <v>10833</v>
      </c>
      <c r="B12231" t="s">
        <v>177</v>
      </c>
      <c r="C12231">
        <v>539.99999910593033</v>
      </c>
      <c r="D12231">
        <v>20</v>
      </c>
      <c r="E12231" s="80">
        <v>35810</v>
      </c>
    </row>
    <row r="12232" spans="1:5">
      <c r="A12232">
        <v>10833</v>
      </c>
      <c r="B12232" t="s">
        <v>178</v>
      </c>
      <c r="C12232">
        <v>539.99999910593033</v>
      </c>
      <c r="D12232">
        <v>20</v>
      </c>
      <c r="E12232" s="80">
        <v>35810</v>
      </c>
    </row>
    <row r="12233" spans="1:5">
      <c r="A12233">
        <v>10833</v>
      </c>
      <c r="B12233" t="s">
        <v>179</v>
      </c>
      <c r="C12233">
        <v>539.99999910593033</v>
      </c>
      <c r="D12233">
        <v>20</v>
      </c>
      <c r="E12233" s="80">
        <v>35810</v>
      </c>
    </row>
    <row r="12234" spans="1:5">
      <c r="A12234">
        <v>10833</v>
      </c>
      <c r="B12234" t="s">
        <v>172</v>
      </c>
      <c r="C12234">
        <v>101.24999983236194</v>
      </c>
      <c r="D12234">
        <v>9</v>
      </c>
      <c r="E12234" s="80">
        <v>35810</v>
      </c>
    </row>
    <row r="12235" spans="1:5">
      <c r="A12235">
        <v>10833</v>
      </c>
      <c r="B12235" t="s">
        <v>173</v>
      </c>
      <c r="C12235">
        <v>101.24999983236194</v>
      </c>
      <c r="D12235">
        <v>9</v>
      </c>
      <c r="E12235" s="80">
        <v>35810</v>
      </c>
    </row>
    <row r="12236" spans="1:5">
      <c r="A12236">
        <v>10833</v>
      </c>
      <c r="B12236" t="s">
        <v>174</v>
      </c>
      <c r="C12236">
        <v>101.24999983236194</v>
      </c>
      <c r="D12236">
        <v>9</v>
      </c>
      <c r="E12236" s="80">
        <v>35810</v>
      </c>
    </row>
    <row r="12237" spans="1:5">
      <c r="A12237">
        <v>10833</v>
      </c>
      <c r="B12237" t="s">
        <v>175</v>
      </c>
      <c r="C12237">
        <v>101.24999983236194</v>
      </c>
      <c r="D12237">
        <v>9</v>
      </c>
      <c r="E12237" s="80">
        <v>35810</v>
      </c>
    </row>
    <row r="12238" spans="1:5">
      <c r="A12238">
        <v>10833</v>
      </c>
      <c r="B12238" t="s">
        <v>176</v>
      </c>
      <c r="C12238">
        <v>101.24999983236194</v>
      </c>
      <c r="D12238">
        <v>9</v>
      </c>
      <c r="E12238" s="80">
        <v>35810</v>
      </c>
    </row>
    <row r="12239" spans="1:5">
      <c r="A12239">
        <v>10833</v>
      </c>
      <c r="B12239" t="s">
        <v>177</v>
      </c>
      <c r="C12239">
        <v>101.24999983236194</v>
      </c>
      <c r="D12239">
        <v>9</v>
      </c>
      <c r="E12239" s="80">
        <v>35810</v>
      </c>
    </row>
    <row r="12240" spans="1:5">
      <c r="A12240">
        <v>10833</v>
      </c>
      <c r="B12240" t="s">
        <v>178</v>
      </c>
      <c r="C12240">
        <v>101.24999983236194</v>
      </c>
      <c r="D12240">
        <v>9</v>
      </c>
      <c r="E12240" s="80">
        <v>35810</v>
      </c>
    </row>
    <row r="12241" spans="1:5">
      <c r="A12241">
        <v>10833</v>
      </c>
      <c r="B12241" t="s">
        <v>179</v>
      </c>
      <c r="C12241">
        <v>101.24999983236194</v>
      </c>
      <c r="D12241">
        <v>9</v>
      </c>
      <c r="E12241" s="80">
        <v>35810</v>
      </c>
    </row>
    <row r="12242" spans="1:5">
      <c r="A12242">
        <v>10833</v>
      </c>
      <c r="B12242" t="s">
        <v>172</v>
      </c>
      <c r="C12242">
        <v>265.67999956011772</v>
      </c>
      <c r="D12242">
        <v>9</v>
      </c>
      <c r="E12242" s="80">
        <v>35810</v>
      </c>
    </row>
    <row r="12243" spans="1:5">
      <c r="A12243">
        <v>10833</v>
      </c>
      <c r="B12243" t="s">
        <v>173</v>
      </c>
      <c r="C12243">
        <v>265.67999956011772</v>
      </c>
      <c r="D12243">
        <v>9</v>
      </c>
      <c r="E12243" s="80">
        <v>35810</v>
      </c>
    </row>
    <row r="12244" spans="1:5">
      <c r="A12244">
        <v>10833</v>
      </c>
      <c r="B12244" t="s">
        <v>174</v>
      </c>
      <c r="C12244">
        <v>265.67999956011772</v>
      </c>
      <c r="D12244">
        <v>9</v>
      </c>
      <c r="E12244" s="80">
        <v>35810</v>
      </c>
    </row>
    <row r="12245" spans="1:5">
      <c r="A12245">
        <v>10833</v>
      </c>
      <c r="B12245" t="s">
        <v>175</v>
      </c>
      <c r="C12245">
        <v>265.67999956011772</v>
      </c>
      <c r="D12245">
        <v>9</v>
      </c>
      <c r="E12245" s="80">
        <v>35810</v>
      </c>
    </row>
    <row r="12246" spans="1:5">
      <c r="A12246">
        <v>10833</v>
      </c>
      <c r="B12246" t="s">
        <v>176</v>
      </c>
      <c r="C12246">
        <v>265.67999956011772</v>
      </c>
      <c r="D12246">
        <v>9</v>
      </c>
      <c r="E12246" s="80">
        <v>35810</v>
      </c>
    </row>
    <row r="12247" spans="1:5">
      <c r="A12247">
        <v>10833</v>
      </c>
      <c r="B12247" t="s">
        <v>177</v>
      </c>
      <c r="C12247">
        <v>265.67999956011772</v>
      </c>
      <c r="D12247">
        <v>9</v>
      </c>
      <c r="E12247" s="80">
        <v>35810</v>
      </c>
    </row>
    <row r="12248" spans="1:5">
      <c r="A12248">
        <v>10833</v>
      </c>
      <c r="B12248" t="s">
        <v>178</v>
      </c>
      <c r="C12248">
        <v>265.67999956011772</v>
      </c>
      <c r="D12248">
        <v>9</v>
      </c>
      <c r="E12248" s="80">
        <v>35810</v>
      </c>
    </row>
    <row r="12249" spans="1:5">
      <c r="A12249">
        <v>10833</v>
      </c>
      <c r="B12249" t="s">
        <v>179</v>
      </c>
      <c r="C12249">
        <v>265.67999956011772</v>
      </c>
      <c r="D12249">
        <v>9</v>
      </c>
      <c r="E12249" s="80">
        <v>35810</v>
      </c>
    </row>
    <row r="12250" spans="1:5">
      <c r="A12250">
        <v>10834</v>
      </c>
      <c r="B12250" t="s">
        <v>172</v>
      </c>
      <c r="C12250">
        <v>940.80399926215409</v>
      </c>
      <c r="D12250">
        <v>8</v>
      </c>
      <c r="E12250" s="80">
        <v>35810</v>
      </c>
    </row>
    <row r="12251" spans="1:5">
      <c r="A12251">
        <v>10834</v>
      </c>
      <c r="B12251" t="s">
        <v>173</v>
      </c>
      <c r="C12251">
        <v>940.80399926215409</v>
      </c>
      <c r="D12251">
        <v>8</v>
      </c>
      <c r="E12251" s="80">
        <v>35810</v>
      </c>
    </row>
    <row r="12252" spans="1:5">
      <c r="A12252">
        <v>10834</v>
      </c>
      <c r="B12252" t="s">
        <v>174</v>
      </c>
      <c r="C12252">
        <v>940.80399926215409</v>
      </c>
      <c r="D12252">
        <v>8</v>
      </c>
      <c r="E12252" s="80">
        <v>35810</v>
      </c>
    </row>
    <row r="12253" spans="1:5">
      <c r="A12253">
        <v>10834</v>
      </c>
      <c r="B12253" t="s">
        <v>175</v>
      </c>
      <c r="C12253">
        <v>940.80399926215409</v>
      </c>
      <c r="D12253">
        <v>8</v>
      </c>
      <c r="E12253" s="80">
        <v>35810</v>
      </c>
    </row>
    <row r="12254" spans="1:5">
      <c r="A12254">
        <v>10834</v>
      </c>
      <c r="B12254" t="s">
        <v>176</v>
      </c>
      <c r="C12254">
        <v>940.80399926215409</v>
      </c>
      <c r="D12254">
        <v>8</v>
      </c>
      <c r="E12254" s="80">
        <v>35810</v>
      </c>
    </row>
    <row r="12255" spans="1:5">
      <c r="A12255">
        <v>10834</v>
      </c>
      <c r="B12255" t="s">
        <v>177</v>
      </c>
      <c r="C12255">
        <v>940.80399926215409</v>
      </c>
      <c r="D12255">
        <v>8</v>
      </c>
      <c r="E12255" s="80">
        <v>35810</v>
      </c>
    </row>
    <row r="12256" spans="1:5">
      <c r="A12256">
        <v>10834</v>
      </c>
      <c r="B12256" t="s">
        <v>178</v>
      </c>
      <c r="C12256">
        <v>940.80399926215409</v>
      </c>
      <c r="D12256">
        <v>8</v>
      </c>
      <c r="E12256" s="80">
        <v>35810</v>
      </c>
    </row>
    <row r="12257" spans="1:5">
      <c r="A12257">
        <v>10834</v>
      </c>
      <c r="B12257" t="s">
        <v>179</v>
      </c>
      <c r="C12257">
        <v>940.80399926215409</v>
      </c>
      <c r="D12257">
        <v>8</v>
      </c>
      <c r="E12257" s="80">
        <v>35810</v>
      </c>
    </row>
    <row r="12258" spans="1:5">
      <c r="A12258">
        <v>10834</v>
      </c>
      <c r="B12258" t="s">
        <v>172</v>
      </c>
      <c r="C12258">
        <v>491.90999961420891</v>
      </c>
      <c r="D12258">
        <v>20</v>
      </c>
      <c r="E12258" s="80">
        <v>35810</v>
      </c>
    </row>
    <row r="12259" spans="1:5">
      <c r="A12259">
        <v>10834</v>
      </c>
      <c r="B12259" t="s">
        <v>173</v>
      </c>
      <c r="C12259">
        <v>491.90999961420891</v>
      </c>
      <c r="D12259">
        <v>20</v>
      </c>
      <c r="E12259" s="80">
        <v>35810</v>
      </c>
    </row>
    <row r="12260" spans="1:5">
      <c r="A12260">
        <v>10834</v>
      </c>
      <c r="B12260" t="s">
        <v>174</v>
      </c>
      <c r="C12260">
        <v>491.90999961420891</v>
      </c>
      <c r="D12260">
        <v>20</v>
      </c>
      <c r="E12260" s="80">
        <v>35810</v>
      </c>
    </row>
    <row r="12261" spans="1:5">
      <c r="A12261">
        <v>10834</v>
      </c>
      <c r="B12261" t="s">
        <v>175</v>
      </c>
      <c r="C12261">
        <v>491.90999961420891</v>
      </c>
      <c r="D12261">
        <v>20</v>
      </c>
      <c r="E12261" s="80">
        <v>35810</v>
      </c>
    </row>
    <row r="12262" spans="1:5">
      <c r="A12262">
        <v>10834</v>
      </c>
      <c r="B12262" t="s">
        <v>176</v>
      </c>
      <c r="C12262">
        <v>491.90999961420891</v>
      </c>
      <c r="D12262">
        <v>20</v>
      </c>
      <c r="E12262" s="80">
        <v>35810</v>
      </c>
    </row>
    <row r="12263" spans="1:5">
      <c r="A12263">
        <v>10834</v>
      </c>
      <c r="B12263" t="s">
        <v>177</v>
      </c>
      <c r="C12263">
        <v>491.90999961420891</v>
      </c>
      <c r="D12263">
        <v>20</v>
      </c>
      <c r="E12263" s="80">
        <v>35810</v>
      </c>
    </row>
    <row r="12264" spans="1:5">
      <c r="A12264">
        <v>10834</v>
      </c>
      <c r="B12264" t="s">
        <v>178</v>
      </c>
      <c r="C12264">
        <v>491.90999961420891</v>
      </c>
      <c r="D12264">
        <v>20</v>
      </c>
      <c r="E12264" s="80">
        <v>35810</v>
      </c>
    </row>
    <row r="12265" spans="1:5">
      <c r="A12265">
        <v>10834</v>
      </c>
      <c r="B12265" t="s">
        <v>179</v>
      </c>
      <c r="C12265">
        <v>491.90999961420891</v>
      </c>
      <c r="D12265">
        <v>20</v>
      </c>
      <c r="E12265" s="80">
        <v>35810</v>
      </c>
    </row>
    <row r="12266" spans="1:5">
      <c r="A12266">
        <v>10835</v>
      </c>
      <c r="B12266" t="s">
        <v>172</v>
      </c>
      <c r="C12266">
        <v>825</v>
      </c>
      <c r="D12266">
        <v>15</v>
      </c>
      <c r="E12266" s="80">
        <v>35810</v>
      </c>
    </row>
    <row r="12267" spans="1:5">
      <c r="A12267">
        <v>10835</v>
      </c>
      <c r="B12267" t="s">
        <v>173</v>
      </c>
      <c r="C12267">
        <v>825</v>
      </c>
      <c r="D12267">
        <v>15</v>
      </c>
      <c r="E12267" s="80">
        <v>35810</v>
      </c>
    </row>
    <row r="12268" spans="1:5">
      <c r="A12268">
        <v>10835</v>
      </c>
      <c r="B12268" t="s">
        <v>174</v>
      </c>
      <c r="C12268">
        <v>825</v>
      </c>
      <c r="D12268">
        <v>15</v>
      </c>
      <c r="E12268" s="80">
        <v>35810</v>
      </c>
    </row>
    <row r="12269" spans="1:5">
      <c r="A12269">
        <v>10835</v>
      </c>
      <c r="B12269" t="s">
        <v>175</v>
      </c>
      <c r="C12269">
        <v>825</v>
      </c>
      <c r="D12269">
        <v>15</v>
      </c>
      <c r="E12269" s="80">
        <v>35810</v>
      </c>
    </row>
    <row r="12270" spans="1:5">
      <c r="A12270">
        <v>10835</v>
      </c>
      <c r="B12270" t="s">
        <v>176</v>
      </c>
      <c r="C12270">
        <v>825</v>
      </c>
      <c r="D12270">
        <v>15</v>
      </c>
      <c r="E12270" s="80">
        <v>35810</v>
      </c>
    </row>
    <row r="12271" spans="1:5">
      <c r="A12271">
        <v>10835</v>
      </c>
      <c r="B12271" t="s">
        <v>177</v>
      </c>
      <c r="C12271">
        <v>825</v>
      </c>
      <c r="D12271">
        <v>15</v>
      </c>
      <c r="E12271" s="80">
        <v>35810</v>
      </c>
    </row>
    <row r="12272" spans="1:5">
      <c r="A12272">
        <v>10835</v>
      </c>
      <c r="B12272" t="s">
        <v>178</v>
      </c>
      <c r="C12272">
        <v>825</v>
      </c>
      <c r="D12272">
        <v>15</v>
      </c>
      <c r="E12272" s="80">
        <v>35810</v>
      </c>
    </row>
    <row r="12273" spans="1:5">
      <c r="A12273">
        <v>10835</v>
      </c>
      <c r="B12273" t="s">
        <v>179</v>
      </c>
      <c r="C12273">
        <v>825</v>
      </c>
      <c r="D12273">
        <v>15</v>
      </c>
      <c r="E12273" s="80">
        <v>35810</v>
      </c>
    </row>
    <row r="12274" spans="1:5">
      <c r="A12274">
        <v>10835</v>
      </c>
      <c r="B12274" t="s">
        <v>172</v>
      </c>
      <c r="C12274">
        <v>23.999999910593033</v>
      </c>
      <c r="D12274">
        <v>2</v>
      </c>
      <c r="E12274" s="80">
        <v>35810</v>
      </c>
    </row>
    <row r="12275" spans="1:5">
      <c r="A12275">
        <v>10835</v>
      </c>
      <c r="B12275" t="s">
        <v>173</v>
      </c>
      <c r="C12275">
        <v>23.999999910593033</v>
      </c>
      <c r="D12275">
        <v>2</v>
      </c>
      <c r="E12275" s="80">
        <v>35810</v>
      </c>
    </row>
    <row r="12276" spans="1:5">
      <c r="A12276">
        <v>10835</v>
      </c>
      <c r="B12276" t="s">
        <v>174</v>
      </c>
      <c r="C12276">
        <v>23.999999910593033</v>
      </c>
      <c r="D12276">
        <v>2</v>
      </c>
      <c r="E12276" s="80">
        <v>35810</v>
      </c>
    </row>
    <row r="12277" spans="1:5">
      <c r="A12277">
        <v>10835</v>
      </c>
      <c r="B12277" t="s">
        <v>175</v>
      </c>
      <c r="C12277">
        <v>23.999999910593033</v>
      </c>
      <c r="D12277">
        <v>2</v>
      </c>
      <c r="E12277" s="80">
        <v>35810</v>
      </c>
    </row>
    <row r="12278" spans="1:5">
      <c r="A12278">
        <v>10835</v>
      </c>
      <c r="B12278" t="s">
        <v>176</v>
      </c>
      <c r="C12278">
        <v>23.999999910593033</v>
      </c>
      <c r="D12278">
        <v>2</v>
      </c>
      <c r="E12278" s="80">
        <v>35810</v>
      </c>
    </row>
    <row r="12279" spans="1:5">
      <c r="A12279">
        <v>10835</v>
      </c>
      <c r="B12279" t="s">
        <v>177</v>
      </c>
      <c r="C12279">
        <v>23.999999910593033</v>
      </c>
      <c r="D12279">
        <v>2</v>
      </c>
      <c r="E12279" s="80">
        <v>35810</v>
      </c>
    </row>
    <row r="12280" spans="1:5">
      <c r="A12280">
        <v>10835</v>
      </c>
      <c r="B12280" t="s">
        <v>178</v>
      </c>
      <c r="C12280">
        <v>23.999999910593033</v>
      </c>
      <c r="D12280">
        <v>2</v>
      </c>
      <c r="E12280" s="80">
        <v>35810</v>
      </c>
    </row>
    <row r="12281" spans="1:5">
      <c r="A12281">
        <v>10835</v>
      </c>
      <c r="B12281" t="s">
        <v>179</v>
      </c>
      <c r="C12281">
        <v>23.999999910593033</v>
      </c>
      <c r="D12281">
        <v>2</v>
      </c>
      <c r="E12281" s="80">
        <v>35810</v>
      </c>
    </row>
    <row r="12282" spans="1:5">
      <c r="A12282">
        <v>10836</v>
      </c>
      <c r="B12282" t="s">
        <v>172</v>
      </c>
      <c r="C12282">
        <v>1092</v>
      </c>
      <c r="D12282">
        <v>52</v>
      </c>
      <c r="E12282" s="80">
        <v>35811</v>
      </c>
    </row>
    <row r="12283" spans="1:5">
      <c r="A12283">
        <v>10836</v>
      </c>
      <c r="B12283" t="s">
        <v>173</v>
      </c>
      <c r="C12283">
        <v>1092</v>
      </c>
      <c r="D12283">
        <v>52</v>
      </c>
      <c r="E12283" s="80">
        <v>35811</v>
      </c>
    </row>
    <row r="12284" spans="1:5">
      <c r="A12284">
        <v>10836</v>
      </c>
      <c r="B12284" t="s">
        <v>174</v>
      </c>
      <c r="C12284">
        <v>1092</v>
      </c>
      <c r="D12284">
        <v>52</v>
      </c>
      <c r="E12284" s="80">
        <v>35811</v>
      </c>
    </row>
    <row r="12285" spans="1:5">
      <c r="A12285">
        <v>10836</v>
      </c>
      <c r="B12285" t="s">
        <v>175</v>
      </c>
      <c r="C12285">
        <v>1092</v>
      </c>
      <c r="D12285">
        <v>52</v>
      </c>
      <c r="E12285" s="80">
        <v>35811</v>
      </c>
    </row>
    <row r="12286" spans="1:5">
      <c r="A12286">
        <v>10836</v>
      </c>
      <c r="B12286" t="s">
        <v>176</v>
      </c>
      <c r="C12286">
        <v>1092</v>
      </c>
      <c r="D12286">
        <v>52</v>
      </c>
      <c r="E12286" s="80">
        <v>35811</v>
      </c>
    </row>
    <row r="12287" spans="1:5">
      <c r="A12287">
        <v>10836</v>
      </c>
      <c r="B12287" t="s">
        <v>177</v>
      </c>
      <c r="C12287">
        <v>1092</v>
      </c>
      <c r="D12287">
        <v>52</v>
      </c>
      <c r="E12287" s="80">
        <v>35811</v>
      </c>
    </row>
    <row r="12288" spans="1:5">
      <c r="A12288">
        <v>10836</v>
      </c>
      <c r="B12288" t="s">
        <v>178</v>
      </c>
      <c r="C12288">
        <v>1092</v>
      </c>
      <c r="D12288">
        <v>52</v>
      </c>
      <c r="E12288" s="80">
        <v>35811</v>
      </c>
    </row>
    <row r="12289" spans="1:5">
      <c r="A12289">
        <v>10836</v>
      </c>
      <c r="B12289" t="s">
        <v>179</v>
      </c>
      <c r="C12289">
        <v>1092</v>
      </c>
      <c r="D12289">
        <v>52</v>
      </c>
      <c r="E12289" s="80">
        <v>35811</v>
      </c>
    </row>
    <row r="12290" spans="1:5">
      <c r="A12290">
        <v>10836</v>
      </c>
      <c r="B12290" t="s">
        <v>172</v>
      </c>
      <c r="C12290">
        <v>108</v>
      </c>
      <c r="D12290">
        <v>6</v>
      </c>
      <c r="E12290" s="80">
        <v>35811</v>
      </c>
    </row>
    <row r="12291" spans="1:5">
      <c r="A12291">
        <v>10836</v>
      </c>
      <c r="B12291" t="s">
        <v>173</v>
      </c>
      <c r="C12291">
        <v>108</v>
      </c>
      <c r="D12291">
        <v>6</v>
      </c>
      <c r="E12291" s="80">
        <v>35811</v>
      </c>
    </row>
    <row r="12292" spans="1:5">
      <c r="A12292">
        <v>10836</v>
      </c>
      <c r="B12292" t="s">
        <v>174</v>
      </c>
      <c r="C12292">
        <v>108</v>
      </c>
      <c r="D12292">
        <v>6</v>
      </c>
      <c r="E12292" s="80">
        <v>35811</v>
      </c>
    </row>
    <row r="12293" spans="1:5">
      <c r="A12293">
        <v>10836</v>
      </c>
      <c r="B12293" t="s">
        <v>175</v>
      </c>
      <c r="C12293">
        <v>108</v>
      </c>
      <c r="D12293">
        <v>6</v>
      </c>
      <c r="E12293" s="80">
        <v>35811</v>
      </c>
    </row>
    <row r="12294" spans="1:5">
      <c r="A12294">
        <v>10836</v>
      </c>
      <c r="B12294" t="s">
        <v>176</v>
      </c>
      <c r="C12294">
        <v>108</v>
      </c>
      <c r="D12294">
        <v>6</v>
      </c>
      <c r="E12294" s="80">
        <v>35811</v>
      </c>
    </row>
    <row r="12295" spans="1:5">
      <c r="A12295">
        <v>10836</v>
      </c>
      <c r="B12295" t="s">
        <v>177</v>
      </c>
      <c r="C12295">
        <v>108</v>
      </c>
      <c r="D12295">
        <v>6</v>
      </c>
      <c r="E12295" s="80">
        <v>35811</v>
      </c>
    </row>
    <row r="12296" spans="1:5">
      <c r="A12296">
        <v>10836</v>
      </c>
      <c r="B12296" t="s">
        <v>178</v>
      </c>
      <c r="C12296">
        <v>108</v>
      </c>
      <c r="D12296">
        <v>6</v>
      </c>
      <c r="E12296" s="80">
        <v>35811</v>
      </c>
    </row>
    <row r="12297" spans="1:5">
      <c r="A12297">
        <v>10836</v>
      </c>
      <c r="B12297" t="s">
        <v>179</v>
      </c>
      <c r="C12297">
        <v>108</v>
      </c>
      <c r="D12297">
        <v>6</v>
      </c>
      <c r="E12297" s="80">
        <v>35811</v>
      </c>
    </row>
    <row r="12298" spans="1:5">
      <c r="A12298">
        <v>10836</v>
      </c>
      <c r="B12298" t="s">
        <v>172</v>
      </c>
      <c r="C12298">
        <v>468</v>
      </c>
      <c r="D12298">
        <v>24</v>
      </c>
      <c r="E12298" s="80">
        <v>35811</v>
      </c>
    </row>
    <row r="12299" spans="1:5">
      <c r="A12299">
        <v>10836</v>
      </c>
      <c r="B12299" t="s">
        <v>173</v>
      </c>
      <c r="C12299">
        <v>468</v>
      </c>
      <c r="D12299">
        <v>24</v>
      </c>
      <c r="E12299" s="80">
        <v>35811</v>
      </c>
    </row>
    <row r="12300" spans="1:5">
      <c r="A12300">
        <v>10836</v>
      </c>
      <c r="B12300" t="s">
        <v>174</v>
      </c>
      <c r="C12300">
        <v>468</v>
      </c>
      <c r="D12300">
        <v>24</v>
      </c>
      <c r="E12300" s="80">
        <v>35811</v>
      </c>
    </row>
    <row r="12301" spans="1:5">
      <c r="A12301">
        <v>10836</v>
      </c>
      <c r="B12301" t="s">
        <v>175</v>
      </c>
      <c r="C12301">
        <v>468</v>
      </c>
      <c r="D12301">
        <v>24</v>
      </c>
      <c r="E12301" s="80">
        <v>35811</v>
      </c>
    </row>
    <row r="12302" spans="1:5">
      <c r="A12302">
        <v>10836</v>
      </c>
      <c r="B12302" t="s">
        <v>176</v>
      </c>
      <c r="C12302">
        <v>468</v>
      </c>
      <c r="D12302">
        <v>24</v>
      </c>
      <c r="E12302" s="80">
        <v>35811</v>
      </c>
    </row>
    <row r="12303" spans="1:5">
      <c r="A12303">
        <v>10836</v>
      </c>
      <c r="B12303" t="s">
        <v>177</v>
      </c>
      <c r="C12303">
        <v>468</v>
      </c>
      <c r="D12303">
        <v>24</v>
      </c>
      <c r="E12303" s="80">
        <v>35811</v>
      </c>
    </row>
    <row r="12304" spans="1:5">
      <c r="A12304">
        <v>10836</v>
      </c>
      <c r="B12304" t="s">
        <v>178</v>
      </c>
      <c r="C12304">
        <v>468</v>
      </c>
      <c r="D12304">
        <v>24</v>
      </c>
      <c r="E12304" s="80">
        <v>35811</v>
      </c>
    </row>
    <row r="12305" spans="1:5">
      <c r="A12305">
        <v>10836</v>
      </c>
      <c r="B12305" t="s">
        <v>179</v>
      </c>
      <c r="C12305">
        <v>468</v>
      </c>
      <c r="D12305">
        <v>24</v>
      </c>
      <c r="E12305" s="80">
        <v>35811</v>
      </c>
    </row>
    <row r="12306" spans="1:5">
      <c r="A12306">
        <v>10836</v>
      </c>
      <c r="B12306" t="s">
        <v>172</v>
      </c>
      <c r="C12306">
        <v>2040</v>
      </c>
      <c r="D12306">
        <v>60</v>
      </c>
      <c r="E12306" s="80">
        <v>35811</v>
      </c>
    </row>
    <row r="12307" spans="1:5">
      <c r="A12307">
        <v>10836</v>
      </c>
      <c r="B12307" t="s">
        <v>173</v>
      </c>
      <c r="C12307">
        <v>2040</v>
      </c>
      <c r="D12307">
        <v>60</v>
      </c>
      <c r="E12307" s="80">
        <v>35811</v>
      </c>
    </row>
    <row r="12308" spans="1:5">
      <c r="A12308">
        <v>10836</v>
      </c>
      <c r="B12308" t="s">
        <v>174</v>
      </c>
      <c r="C12308">
        <v>2040</v>
      </c>
      <c r="D12308">
        <v>60</v>
      </c>
      <c r="E12308" s="80">
        <v>35811</v>
      </c>
    </row>
    <row r="12309" spans="1:5">
      <c r="A12309">
        <v>10836</v>
      </c>
      <c r="B12309" t="s">
        <v>175</v>
      </c>
      <c r="C12309">
        <v>2040</v>
      </c>
      <c r="D12309">
        <v>60</v>
      </c>
      <c r="E12309" s="80">
        <v>35811</v>
      </c>
    </row>
    <row r="12310" spans="1:5">
      <c r="A12310">
        <v>10836</v>
      </c>
      <c r="B12310" t="s">
        <v>176</v>
      </c>
      <c r="C12310">
        <v>2040</v>
      </c>
      <c r="D12310">
        <v>60</v>
      </c>
      <c r="E12310" s="80">
        <v>35811</v>
      </c>
    </row>
    <row r="12311" spans="1:5">
      <c r="A12311">
        <v>10836</v>
      </c>
      <c r="B12311" t="s">
        <v>177</v>
      </c>
      <c r="C12311">
        <v>2040</v>
      </c>
      <c r="D12311">
        <v>60</v>
      </c>
      <c r="E12311" s="80">
        <v>35811</v>
      </c>
    </row>
    <row r="12312" spans="1:5">
      <c r="A12312">
        <v>10836</v>
      </c>
      <c r="B12312" t="s">
        <v>178</v>
      </c>
      <c r="C12312">
        <v>2040</v>
      </c>
      <c r="D12312">
        <v>60</v>
      </c>
      <c r="E12312" s="80">
        <v>35811</v>
      </c>
    </row>
    <row r="12313" spans="1:5">
      <c r="A12313">
        <v>10836</v>
      </c>
      <c r="B12313" t="s">
        <v>179</v>
      </c>
      <c r="C12313">
        <v>2040</v>
      </c>
      <c r="D12313">
        <v>60</v>
      </c>
      <c r="E12313" s="80">
        <v>35811</v>
      </c>
    </row>
    <row r="12314" spans="1:5">
      <c r="A12314">
        <v>10836</v>
      </c>
      <c r="B12314" t="s">
        <v>172</v>
      </c>
      <c r="C12314">
        <v>997.5</v>
      </c>
      <c r="D12314">
        <v>30</v>
      </c>
      <c r="E12314" s="80">
        <v>35811</v>
      </c>
    </row>
    <row r="12315" spans="1:5">
      <c r="A12315">
        <v>10836</v>
      </c>
      <c r="B12315" t="s">
        <v>173</v>
      </c>
      <c r="C12315">
        <v>997.5</v>
      </c>
      <c r="D12315">
        <v>30</v>
      </c>
      <c r="E12315" s="80">
        <v>35811</v>
      </c>
    </row>
    <row r="12316" spans="1:5">
      <c r="A12316">
        <v>10836</v>
      </c>
      <c r="B12316" t="s">
        <v>174</v>
      </c>
      <c r="C12316">
        <v>997.5</v>
      </c>
      <c r="D12316">
        <v>30</v>
      </c>
      <c r="E12316" s="80">
        <v>35811</v>
      </c>
    </row>
    <row r="12317" spans="1:5">
      <c r="A12317">
        <v>10836</v>
      </c>
      <c r="B12317" t="s">
        <v>175</v>
      </c>
      <c r="C12317">
        <v>997.5</v>
      </c>
      <c r="D12317">
        <v>30</v>
      </c>
      <c r="E12317" s="80">
        <v>35811</v>
      </c>
    </row>
    <row r="12318" spans="1:5">
      <c r="A12318">
        <v>10836</v>
      </c>
      <c r="B12318" t="s">
        <v>176</v>
      </c>
      <c r="C12318">
        <v>997.5</v>
      </c>
      <c r="D12318">
        <v>30</v>
      </c>
      <c r="E12318" s="80">
        <v>35811</v>
      </c>
    </row>
    <row r="12319" spans="1:5">
      <c r="A12319">
        <v>10836</v>
      </c>
      <c r="B12319" t="s">
        <v>177</v>
      </c>
      <c r="C12319">
        <v>997.5</v>
      </c>
      <c r="D12319">
        <v>30</v>
      </c>
      <c r="E12319" s="80">
        <v>35811</v>
      </c>
    </row>
    <row r="12320" spans="1:5">
      <c r="A12320">
        <v>10836</v>
      </c>
      <c r="B12320" t="s">
        <v>178</v>
      </c>
      <c r="C12320">
        <v>997.5</v>
      </c>
      <c r="D12320">
        <v>30</v>
      </c>
      <c r="E12320" s="80">
        <v>35811</v>
      </c>
    </row>
    <row r="12321" spans="1:5">
      <c r="A12321">
        <v>10836</v>
      </c>
      <c r="B12321" t="s">
        <v>179</v>
      </c>
      <c r="C12321">
        <v>997.5</v>
      </c>
      <c r="D12321">
        <v>30</v>
      </c>
      <c r="E12321" s="80">
        <v>35811</v>
      </c>
    </row>
    <row r="12322" spans="1:5">
      <c r="A12322">
        <v>10837</v>
      </c>
      <c r="B12322" t="s">
        <v>172</v>
      </c>
      <c r="C12322">
        <v>36</v>
      </c>
      <c r="D12322">
        <v>6</v>
      </c>
      <c r="E12322" s="80">
        <v>35811</v>
      </c>
    </row>
    <row r="12323" spans="1:5">
      <c r="A12323">
        <v>10837</v>
      </c>
      <c r="B12323" t="s">
        <v>173</v>
      </c>
      <c r="C12323">
        <v>36</v>
      </c>
      <c r="D12323">
        <v>6</v>
      </c>
      <c r="E12323" s="80">
        <v>35811</v>
      </c>
    </row>
    <row r="12324" spans="1:5">
      <c r="A12324">
        <v>10837</v>
      </c>
      <c r="B12324" t="s">
        <v>174</v>
      </c>
      <c r="C12324">
        <v>36</v>
      </c>
      <c r="D12324">
        <v>6</v>
      </c>
      <c r="E12324" s="80">
        <v>35811</v>
      </c>
    </row>
    <row r="12325" spans="1:5">
      <c r="A12325">
        <v>10837</v>
      </c>
      <c r="B12325" t="s">
        <v>175</v>
      </c>
      <c r="C12325">
        <v>36</v>
      </c>
      <c r="D12325">
        <v>6</v>
      </c>
      <c r="E12325" s="80">
        <v>35811</v>
      </c>
    </row>
    <row r="12326" spans="1:5">
      <c r="A12326">
        <v>10837</v>
      </c>
      <c r="B12326" t="s">
        <v>176</v>
      </c>
      <c r="C12326">
        <v>36</v>
      </c>
      <c r="D12326">
        <v>6</v>
      </c>
      <c r="E12326" s="80">
        <v>35811</v>
      </c>
    </row>
    <row r="12327" spans="1:5">
      <c r="A12327">
        <v>10837</v>
      </c>
      <c r="B12327" t="s">
        <v>177</v>
      </c>
      <c r="C12327">
        <v>36</v>
      </c>
      <c r="D12327">
        <v>6</v>
      </c>
      <c r="E12327" s="80">
        <v>35811</v>
      </c>
    </row>
    <row r="12328" spans="1:5">
      <c r="A12328">
        <v>10837</v>
      </c>
      <c r="B12328" t="s">
        <v>178</v>
      </c>
      <c r="C12328">
        <v>36</v>
      </c>
      <c r="D12328">
        <v>6</v>
      </c>
      <c r="E12328" s="80">
        <v>35811</v>
      </c>
    </row>
    <row r="12329" spans="1:5">
      <c r="A12329">
        <v>10837</v>
      </c>
      <c r="B12329" t="s">
        <v>179</v>
      </c>
      <c r="C12329">
        <v>36</v>
      </c>
      <c r="D12329">
        <v>6</v>
      </c>
      <c r="E12329" s="80">
        <v>35811</v>
      </c>
    </row>
    <row r="12330" spans="1:5">
      <c r="A12330">
        <v>10837</v>
      </c>
      <c r="B12330" t="s">
        <v>172</v>
      </c>
      <c r="C12330">
        <v>460</v>
      </c>
      <c r="D12330">
        <v>25</v>
      </c>
      <c r="E12330" s="80">
        <v>35811</v>
      </c>
    </row>
    <row r="12331" spans="1:5">
      <c r="A12331">
        <v>10837</v>
      </c>
      <c r="B12331" t="s">
        <v>173</v>
      </c>
      <c r="C12331">
        <v>460</v>
      </c>
      <c r="D12331">
        <v>25</v>
      </c>
      <c r="E12331" s="80">
        <v>35811</v>
      </c>
    </row>
    <row r="12332" spans="1:5">
      <c r="A12332">
        <v>10837</v>
      </c>
      <c r="B12332" t="s">
        <v>174</v>
      </c>
      <c r="C12332">
        <v>460</v>
      </c>
      <c r="D12332">
        <v>25</v>
      </c>
      <c r="E12332" s="80">
        <v>35811</v>
      </c>
    </row>
    <row r="12333" spans="1:5">
      <c r="A12333">
        <v>10837</v>
      </c>
      <c r="B12333" t="s">
        <v>175</v>
      </c>
      <c r="C12333">
        <v>460</v>
      </c>
      <c r="D12333">
        <v>25</v>
      </c>
      <c r="E12333" s="80">
        <v>35811</v>
      </c>
    </row>
    <row r="12334" spans="1:5">
      <c r="A12334">
        <v>10837</v>
      </c>
      <c r="B12334" t="s">
        <v>176</v>
      </c>
      <c r="C12334">
        <v>460</v>
      </c>
      <c r="D12334">
        <v>25</v>
      </c>
      <c r="E12334" s="80">
        <v>35811</v>
      </c>
    </row>
    <row r="12335" spans="1:5">
      <c r="A12335">
        <v>10837</v>
      </c>
      <c r="B12335" t="s">
        <v>177</v>
      </c>
      <c r="C12335">
        <v>460</v>
      </c>
      <c r="D12335">
        <v>25</v>
      </c>
      <c r="E12335" s="80">
        <v>35811</v>
      </c>
    </row>
    <row r="12336" spans="1:5">
      <c r="A12336">
        <v>10837</v>
      </c>
      <c r="B12336" t="s">
        <v>178</v>
      </c>
      <c r="C12336">
        <v>460</v>
      </c>
      <c r="D12336">
        <v>25</v>
      </c>
      <c r="E12336" s="80">
        <v>35811</v>
      </c>
    </row>
    <row r="12337" spans="1:5">
      <c r="A12337">
        <v>10837</v>
      </c>
      <c r="B12337" t="s">
        <v>179</v>
      </c>
      <c r="C12337">
        <v>460</v>
      </c>
      <c r="D12337">
        <v>25</v>
      </c>
      <c r="E12337" s="80">
        <v>35811</v>
      </c>
    </row>
    <row r="12338" spans="1:5">
      <c r="A12338">
        <v>10837</v>
      </c>
      <c r="B12338" t="s">
        <v>172</v>
      </c>
      <c r="C12338">
        <v>285</v>
      </c>
      <c r="D12338">
        <v>40</v>
      </c>
      <c r="E12338" s="80">
        <v>35811</v>
      </c>
    </row>
    <row r="12339" spans="1:5">
      <c r="A12339">
        <v>10837</v>
      </c>
      <c r="B12339" t="s">
        <v>173</v>
      </c>
      <c r="C12339">
        <v>285</v>
      </c>
      <c r="D12339">
        <v>40</v>
      </c>
      <c r="E12339" s="80">
        <v>35811</v>
      </c>
    </row>
    <row r="12340" spans="1:5">
      <c r="A12340">
        <v>10837</v>
      </c>
      <c r="B12340" t="s">
        <v>174</v>
      </c>
      <c r="C12340">
        <v>285</v>
      </c>
      <c r="D12340">
        <v>40</v>
      </c>
      <c r="E12340" s="80">
        <v>35811</v>
      </c>
    </row>
    <row r="12341" spans="1:5">
      <c r="A12341">
        <v>10837</v>
      </c>
      <c r="B12341" t="s">
        <v>175</v>
      </c>
      <c r="C12341">
        <v>285</v>
      </c>
      <c r="D12341">
        <v>40</v>
      </c>
      <c r="E12341" s="80">
        <v>35811</v>
      </c>
    </row>
    <row r="12342" spans="1:5">
      <c r="A12342">
        <v>10837</v>
      </c>
      <c r="B12342" t="s">
        <v>176</v>
      </c>
      <c r="C12342">
        <v>285</v>
      </c>
      <c r="D12342">
        <v>40</v>
      </c>
      <c r="E12342" s="80">
        <v>35811</v>
      </c>
    </row>
    <row r="12343" spans="1:5">
      <c r="A12343">
        <v>10837</v>
      </c>
      <c r="B12343" t="s">
        <v>177</v>
      </c>
      <c r="C12343">
        <v>285</v>
      </c>
      <c r="D12343">
        <v>40</v>
      </c>
      <c r="E12343" s="80">
        <v>35811</v>
      </c>
    </row>
    <row r="12344" spans="1:5">
      <c r="A12344">
        <v>10837</v>
      </c>
      <c r="B12344" t="s">
        <v>178</v>
      </c>
      <c r="C12344">
        <v>285</v>
      </c>
      <c r="D12344">
        <v>40</v>
      </c>
      <c r="E12344" s="80">
        <v>35811</v>
      </c>
    </row>
    <row r="12345" spans="1:5">
      <c r="A12345">
        <v>10837</v>
      </c>
      <c r="B12345" t="s">
        <v>179</v>
      </c>
      <c r="C12345">
        <v>285</v>
      </c>
      <c r="D12345">
        <v>40</v>
      </c>
      <c r="E12345" s="80">
        <v>35811</v>
      </c>
    </row>
    <row r="12346" spans="1:5">
      <c r="A12346">
        <v>10837</v>
      </c>
      <c r="B12346" t="s">
        <v>172</v>
      </c>
      <c r="C12346">
        <v>283.5</v>
      </c>
      <c r="D12346">
        <v>21</v>
      </c>
      <c r="E12346" s="80">
        <v>35811</v>
      </c>
    </row>
    <row r="12347" spans="1:5">
      <c r="A12347">
        <v>10837</v>
      </c>
      <c r="B12347" t="s">
        <v>173</v>
      </c>
      <c r="C12347">
        <v>283.5</v>
      </c>
      <c r="D12347">
        <v>21</v>
      </c>
      <c r="E12347" s="80">
        <v>35811</v>
      </c>
    </row>
    <row r="12348" spans="1:5">
      <c r="A12348">
        <v>10837</v>
      </c>
      <c r="B12348" t="s">
        <v>174</v>
      </c>
      <c r="C12348">
        <v>283.5</v>
      </c>
      <c r="D12348">
        <v>21</v>
      </c>
      <c r="E12348" s="80">
        <v>35811</v>
      </c>
    </row>
    <row r="12349" spans="1:5">
      <c r="A12349">
        <v>10837</v>
      </c>
      <c r="B12349" t="s">
        <v>175</v>
      </c>
      <c r="C12349">
        <v>283.5</v>
      </c>
      <c r="D12349">
        <v>21</v>
      </c>
      <c r="E12349" s="80">
        <v>35811</v>
      </c>
    </row>
    <row r="12350" spans="1:5">
      <c r="A12350">
        <v>10837</v>
      </c>
      <c r="B12350" t="s">
        <v>176</v>
      </c>
      <c r="C12350">
        <v>283.5</v>
      </c>
      <c r="D12350">
        <v>21</v>
      </c>
      <c r="E12350" s="80">
        <v>35811</v>
      </c>
    </row>
    <row r="12351" spans="1:5">
      <c r="A12351">
        <v>10837</v>
      </c>
      <c r="B12351" t="s">
        <v>177</v>
      </c>
      <c r="C12351">
        <v>283.5</v>
      </c>
      <c r="D12351">
        <v>21</v>
      </c>
      <c r="E12351" s="80">
        <v>35811</v>
      </c>
    </row>
    <row r="12352" spans="1:5">
      <c r="A12352">
        <v>10837</v>
      </c>
      <c r="B12352" t="s">
        <v>178</v>
      </c>
      <c r="C12352">
        <v>283.5</v>
      </c>
      <c r="D12352">
        <v>21</v>
      </c>
      <c r="E12352" s="80">
        <v>35811</v>
      </c>
    </row>
    <row r="12353" spans="1:5">
      <c r="A12353">
        <v>10837</v>
      </c>
      <c r="B12353" t="s">
        <v>179</v>
      </c>
      <c r="C12353">
        <v>283.5</v>
      </c>
      <c r="D12353">
        <v>21</v>
      </c>
      <c r="E12353" s="80">
        <v>35811</v>
      </c>
    </row>
    <row r="12354" spans="1:5">
      <c r="A12354">
        <v>10838</v>
      </c>
      <c r="B12354" t="s">
        <v>172</v>
      </c>
      <c r="C12354">
        <v>54</v>
      </c>
      <c r="D12354">
        <v>4</v>
      </c>
      <c r="E12354" s="80">
        <v>35814</v>
      </c>
    </row>
    <row r="12355" spans="1:5">
      <c r="A12355">
        <v>10838</v>
      </c>
      <c r="B12355" t="s">
        <v>173</v>
      </c>
      <c r="C12355">
        <v>54</v>
      </c>
      <c r="D12355">
        <v>4</v>
      </c>
      <c r="E12355" s="80">
        <v>35814</v>
      </c>
    </row>
    <row r="12356" spans="1:5">
      <c r="A12356">
        <v>10838</v>
      </c>
      <c r="B12356" t="s">
        <v>174</v>
      </c>
      <c r="C12356">
        <v>54</v>
      </c>
      <c r="D12356">
        <v>4</v>
      </c>
      <c r="E12356" s="80">
        <v>35814</v>
      </c>
    </row>
    <row r="12357" spans="1:5">
      <c r="A12357">
        <v>10838</v>
      </c>
      <c r="B12357" t="s">
        <v>175</v>
      </c>
      <c r="C12357">
        <v>54</v>
      </c>
      <c r="D12357">
        <v>4</v>
      </c>
      <c r="E12357" s="80">
        <v>35814</v>
      </c>
    </row>
    <row r="12358" spans="1:5">
      <c r="A12358">
        <v>10838</v>
      </c>
      <c r="B12358" t="s">
        <v>176</v>
      </c>
      <c r="C12358">
        <v>54</v>
      </c>
      <c r="D12358">
        <v>4</v>
      </c>
      <c r="E12358" s="80">
        <v>35814</v>
      </c>
    </row>
    <row r="12359" spans="1:5">
      <c r="A12359">
        <v>10838</v>
      </c>
      <c r="B12359" t="s">
        <v>177</v>
      </c>
      <c r="C12359">
        <v>54</v>
      </c>
      <c r="D12359">
        <v>4</v>
      </c>
      <c r="E12359" s="80">
        <v>35814</v>
      </c>
    </row>
    <row r="12360" spans="1:5">
      <c r="A12360">
        <v>10838</v>
      </c>
      <c r="B12360" t="s">
        <v>178</v>
      </c>
      <c r="C12360">
        <v>54</v>
      </c>
      <c r="D12360">
        <v>4</v>
      </c>
      <c r="E12360" s="80">
        <v>35814</v>
      </c>
    </row>
    <row r="12361" spans="1:5">
      <c r="A12361">
        <v>10838</v>
      </c>
      <c r="B12361" t="s">
        <v>179</v>
      </c>
      <c r="C12361">
        <v>54</v>
      </c>
      <c r="D12361">
        <v>4</v>
      </c>
      <c r="E12361" s="80">
        <v>35814</v>
      </c>
    </row>
    <row r="12362" spans="1:5">
      <c r="A12362">
        <v>10838</v>
      </c>
      <c r="B12362" t="s">
        <v>172</v>
      </c>
      <c r="C12362">
        <v>1171.875</v>
      </c>
      <c r="D12362">
        <v>25</v>
      </c>
      <c r="E12362" s="80">
        <v>35814</v>
      </c>
    </row>
    <row r="12363" spans="1:5">
      <c r="A12363">
        <v>10838</v>
      </c>
      <c r="B12363" t="s">
        <v>173</v>
      </c>
      <c r="C12363">
        <v>1171.875</v>
      </c>
      <c r="D12363">
        <v>25</v>
      </c>
      <c r="E12363" s="80">
        <v>35814</v>
      </c>
    </row>
    <row r="12364" spans="1:5">
      <c r="A12364">
        <v>10838</v>
      </c>
      <c r="B12364" t="s">
        <v>174</v>
      </c>
      <c r="C12364">
        <v>1171.875</v>
      </c>
      <c r="D12364">
        <v>25</v>
      </c>
      <c r="E12364" s="80">
        <v>35814</v>
      </c>
    </row>
    <row r="12365" spans="1:5">
      <c r="A12365">
        <v>10838</v>
      </c>
      <c r="B12365" t="s">
        <v>175</v>
      </c>
      <c r="C12365">
        <v>1171.875</v>
      </c>
      <c r="D12365">
        <v>25</v>
      </c>
      <c r="E12365" s="80">
        <v>35814</v>
      </c>
    </row>
    <row r="12366" spans="1:5">
      <c r="A12366">
        <v>10838</v>
      </c>
      <c r="B12366" t="s">
        <v>176</v>
      </c>
      <c r="C12366">
        <v>1171.875</v>
      </c>
      <c r="D12366">
        <v>25</v>
      </c>
      <c r="E12366" s="80">
        <v>35814</v>
      </c>
    </row>
    <row r="12367" spans="1:5">
      <c r="A12367">
        <v>10838</v>
      </c>
      <c r="B12367" t="s">
        <v>177</v>
      </c>
      <c r="C12367">
        <v>1171.875</v>
      </c>
      <c r="D12367">
        <v>25</v>
      </c>
      <c r="E12367" s="80">
        <v>35814</v>
      </c>
    </row>
    <row r="12368" spans="1:5">
      <c r="A12368">
        <v>10838</v>
      </c>
      <c r="B12368" t="s">
        <v>178</v>
      </c>
      <c r="C12368">
        <v>1171.875</v>
      </c>
      <c r="D12368">
        <v>25</v>
      </c>
      <c r="E12368" s="80">
        <v>35814</v>
      </c>
    </row>
    <row r="12369" spans="1:5">
      <c r="A12369">
        <v>10838</v>
      </c>
      <c r="B12369" t="s">
        <v>179</v>
      </c>
      <c r="C12369">
        <v>1171.875</v>
      </c>
      <c r="D12369">
        <v>25</v>
      </c>
      <c r="E12369" s="80">
        <v>35814</v>
      </c>
    </row>
    <row r="12370" spans="1:5">
      <c r="A12370">
        <v>10838</v>
      </c>
      <c r="B12370" t="s">
        <v>172</v>
      </c>
      <c r="C12370">
        <v>712.5</v>
      </c>
      <c r="D12370">
        <v>50</v>
      </c>
      <c r="E12370" s="80">
        <v>35814</v>
      </c>
    </row>
    <row r="12371" spans="1:5">
      <c r="A12371">
        <v>10838</v>
      </c>
      <c r="B12371" t="s">
        <v>173</v>
      </c>
      <c r="C12371">
        <v>712.5</v>
      </c>
      <c r="D12371">
        <v>50</v>
      </c>
      <c r="E12371" s="80">
        <v>35814</v>
      </c>
    </row>
    <row r="12372" spans="1:5">
      <c r="A12372">
        <v>10838</v>
      </c>
      <c r="B12372" t="s">
        <v>174</v>
      </c>
      <c r="C12372">
        <v>712.5</v>
      </c>
      <c r="D12372">
        <v>50</v>
      </c>
      <c r="E12372" s="80">
        <v>35814</v>
      </c>
    </row>
    <row r="12373" spans="1:5">
      <c r="A12373">
        <v>10838</v>
      </c>
      <c r="B12373" t="s">
        <v>175</v>
      </c>
      <c r="C12373">
        <v>712.5</v>
      </c>
      <c r="D12373">
        <v>50</v>
      </c>
      <c r="E12373" s="80">
        <v>35814</v>
      </c>
    </row>
    <row r="12374" spans="1:5">
      <c r="A12374">
        <v>10838</v>
      </c>
      <c r="B12374" t="s">
        <v>176</v>
      </c>
      <c r="C12374">
        <v>712.5</v>
      </c>
      <c r="D12374">
        <v>50</v>
      </c>
      <c r="E12374" s="80">
        <v>35814</v>
      </c>
    </row>
    <row r="12375" spans="1:5">
      <c r="A12375">
        <v>10838</v>
      </c>
      <c r="B12375" t="s">
        <v>177</v>
      </c>
      <c r="C12375">
        <v>712.5</v>
      </c>
      <c r="D12375">
        <v>50</v>
      </c>
      <c r="E12375" s="80">
        <v>35814</v>
      </c>
    </row>
    <row r="12376" spans="1:5">
      <c r="A12376">
        <v>10838</v>
      </c>
      <c r="B12376" t="s">
        <v>178</v>
      </c>
      <c r="C12376">
        <v>712.5</v>
      </c>
      <c r="D12376">
        <v>50</v>
      </c>
      <c r="E12376" s="80">
        <v>35814</v>
      </c>
    </row>
    <row r="12377" spans="1:5">
      <c r="A12377">
        <v>10838</v>
      </c>
      <c r="B12377" t="s">
        <v>179</v>
      </c>
      <c r="C12377">
        <v>712.5</v>
      </c>
      <c r="D12377">
        <v>50</v>
      </c>
      <c r="E12377" s="80">
        <v>35814</v>
      </c>
    </row>
    <row r="12378" spans="1:5">
      <c r="A12378">
        <v>10839</v>
      </c>
      <c r="B12378" t="s">
        <v>172</v>
      </c>
      <c r="C12378">
        <v>357.74999940767884</v>
      </c>
      <c r="D12378">
        <v>30</v>
      </c>
      <c r="E12378" s="80">
        <v>35814</v>
      </c>
    </row>
    <row r="12379" spans="1:5">
      <c r="A12379">
        <v>10839</v>
      </c>
      <c r="B12379" t="s">
        <v>173</v>
      </c>
      <c r="C12379">
        <v>357.74999940767884</v>
      </c>
      <c r="D12379">
        <v>30</v>
      </c>
      <c r="E12379" s="80">
        <v>35814</v>
      </c>
    </row>
    <row r="12380" spans="1:5">
      <c r="A12380">
        <v>10839</v>
      </c>
      <c r="B12380" t="s">
        <v>174</v>
      </c>
      <c r="C12380">
        <v>357.74999940767884</v>
      </c>
      <c r="D12380">
        <v>30</v>
      </c>
      <c r="E12380" s="80">
        <v>35814</v>
      </c>
    </row>
    <row r="12381" spans="1:5">
      <c r="A12381">
        <v>10839</v>
      </c>
      <c r="B12381" t="s">
        <v>175</v>
      </c>
      <c r="C12381">
        <v>357.74999940767884</v>
      </c>
      <c r="D12381">
        <v>30</v>
      </c>
      <c r="E12381" s="80">
        <v>35814</v>
      </c>
    </row>
    <row r="12382" spans="1:5">
      <c r="A12382">
        <v>10839</v>
      </c>
      <c r="B12382" t="s">
        <v>176</v>
      </c>
      <c r="C12382">
        <v>357.74999940767884</v>
      </c>
      <c r="D12382">
        <v>30</v>
      </c>
      <c r="E12382" s="80">
        <v>35814</v>
      </c>
    </row>
    <row r="12383" spans="1:5">
      <c r="A12383">
        <v>10839</v>
      </c>
      <c r="B12383" t="s">
        <v>177</v>
      </c>
      <c r="C12383">
        <v>357.74999940767884</v>
      </c>
      <c r="D12383">
        <v>30</v>
      </c>
      <c r="E12383" s="80">
        <v>35814</v>
      </c>
    </row>
    <row r="12384" spans="1:5">
      <c r="A12384">
        <v>10839</v>
      </c>
      <c r="B12384" t="s">
        <v>178</v>
      </c>
      <c r="C12384">
        <v>357.74999940767884</v>
      </c>
      <c r="D12384">
        <v>30</v>
      </c>
      <c r="E12384" s="80">
        <v>35814</v>
      </c>
    </row>
    <row r="12385" spans="1:5">
      <c r="A12385">
        <v>10839</v>
      </c>
      <c r="B12385" t="s">
        <v>179</v>
      </c>
      <c r="C12385">
        <v>357.74999940767884</v>
      </c>
      <c r="D12385">
        <v>30</v>
      </c>
      <c r="E12385" s="80">
        <v>35814</v>
      </c>
    </row>
    <row r="12386" spans="1:5">
      <c r="A12386">
        <v>10839</v>
      </c>
      <c r="B12386" t="s">
        <v>172</v>
      </c>
      <c r="C12386">
        <v>469.79999922215939</v>
      </c>
      <c r="D12386">
        <v>15</v>
      </c>
      <c r="E12386" s="80">
        <v>35814</v>
      </c>
    </row>
    <row r="12387" spans="1:5">
      <c r="A12387">
        <v>10839</v>
      </c>
      <c r="B12387" t="s">
        <v>173</v>
      </c>
      <c r="C12387">
        <v>469.79999922215939</v>
      </c>
      <c r="D12387">
        <v>15</v>
      </c>
      <c r="E12387" s="80">
        <v>35814</v>
      </c>
    </row>
    <row r="12388" spans="1:5">
      <c r="A12388">
        <v>10839</v>
      </c>
      <c r="B12388" t="s">
        <v>174</v>
      </c>
      <c r="C12388">
        <v>469.79999922215939</v>
      </c>
      <c r="D12388">
        <v>15</v>
      </c>
      <c r="E12388" s="80">
        <v>35814</v>
      </c>
    </row>
    <row r="12389" spans="1:5">
      <c r="A12389">
        <v>10839</v>
      </c>
      <c r="B12389" t="s">
        <v>175</v>
      </c>
      <c r="C12389">
        <v>469.79999922215939</v>
      </c>
      <c r="D12389">
        <v>15</v>
      </c>
      <c r="E12389" s="80">
        <v>35814</v>
      </c>
    </row>
    <row r="12390" spans="1:5">
      <c r="A12390">
        <v>10839</v>
      </c>
      <c r="B12390" t="s">
        <v>176</v>
      </c>
      <c r="C12390">
        <v>469.79999922215939</v>
      </c>
      <c r="D12390">
        <v>15</v>
      </c>
      <c r="E12390" s="80">
        <v>35814</v>
      </c>
    </row>
    <row r="12391" spans="1:5">
      <c r="A12391">
        <v>10839</v>
      </c>
      <c r="B12391" t="s">
        <v>177</v>
      </c>
      <c r="C12391">
        <v>469.79999922215939</v>
      </c>
      <c r="D12391">
        <v>15</v>
      </c>
      <c r="E12391" s="80">
        <v>35814</v>
      </c>
    </row>
    <row r="12392" spans="1:5">
      <c r="A12392">
        <v>10839</v>
      </c>
      <c r="B12392" t="s">
        <v>178</v>
      </c>
      <c r="C12392">
        <v>469.79999922215939</v>
      </c>
      <c r="D12392">
        <v>15</v>
      </c>
      <c r="E12392" s="80">
        <v>35814</v>
      </c>
    </row>
    <row r="12393" spans="1:5">
      <c r="A12393">
        <v>10839</v>
      </c>
      <c r="B12393" t="s">
        <v>179</v>
      </c>
      <c r="C12393">
        <v>469.79999922215939</v>
      </c>
      <c r="D12393">
        <v>15</v>
      </c>
      <c r="E12393" s="80">
        <v>35814</v>
      </c>
    </row>
    <row r="12394" spans="1:5">
      <c r="A12394">
        <v>10840</v>
      </c>
      <c r="B12394" t="s">
        <v>172</v>
      </c>
      <c r="C12394">
        <v>67.199999749660492</v>
      </c>
      <c r="D12394">
        <v>6</v>
      </c>
      <c r="E12394" s="80">
        <v>35814</v>
      </c>
    </row>
    <row r="12395" spans="1:5">
      <c r="A12395">
        <v>10840</v>
      </c>
      <c r="B12395" t="s">
        <v>173</v>
      </c>
      <c r="C12395">
        <v>67.199999749660492</v>
      </c>
      <c r="D12395">
        <v>6</v>
      </c>
      <c r="E12395" s="80">
        <v>35814</v>
      </c>
    </row>
    <row r="12396" spans="1:5">
      <c r="A12396">
        <v>10840</v>
      </c>
      <c r="B12396" t="s">
        <v>174</v>
      </c>
      <c r="C12396">
        <v>67.199999749660492</v>
      </c>
      <c r="D12396">
        <v>6</v>
      </c>
      <c r="E12396" s="80">
        <v>35814</v>
      </c>
    </row>
    <row r="12397" spans="1:5">
      <c r="A12397">
        <v>10840</v>
      </c>
      <c r="B12397" t="s">
        <v>175</v>
      </c>
      <c r="C12397">
        <v>67.199999749660492</v>
      </c>
      <c r="D12397">
        <v>6</v>
      </c>
      <c r="E12397" s="80">
        <v>35814</v>
      </c>
    </row>
    <row r="12398" spans="1:5">
      <c r="A12398">
        <v>10840</v>
      </c>
      <c r="B12398" t="s">
        <v>176</v>
      </c>
      <c r="C12398">
        <v>67.199999749660492</v>
      </c>
      <c r="D12398">
        <v>6</v>
      </c>
      <c r="E12398" s="80">
        <v>35814</v>
      </c>
    </row>
    <row r="12399" spans="1:5">
      <c r="A12399">
        <v>10840</v>
      </c>
      <c r="B12399" t="s">
        <v>177</v>
      </c>
      <c r="C12399">
        <v>67.199999749660492</v>
      </c>
      <c r="D12399">
        <v>6</v>
      </c>
      <c r="E12399" s="80">
        <v>35814</v>
      </c>
    </row>
    <row r="12400" spans="1:5">
      <c r="A12400">
        <v>10840</v>
      </c>
      <c r="B12400" t="s">
        <v>178</v>
      </c>
      <c r="C12400">
        <v>67.199999749660492</v>
      </c>
      <c r="D12400">
        <v>6</v>
      </c>
      <c r="E12400" s="80">
        <v>35814</v>
      </c>
    </row>
    <row r="12401" spans="1:5">
      <c r="A12401">
        <v>10840</v>
      </c>
      <c r="B12401" t="s">
        <v>179</v>
      </c>
      <c r="C12401">
        <v>67.199999749660492</v>
      </c>
      <c r="D12401">
        <v>6</v>
      </c>
      <c r="E12401" s="80">
        <v>35814</v>
      </c>
    </row>
    <row r="12402" spans="1:5">
      <c r="A12402">
        <v>10840</v>
      </c>
      <c r="B12402" t="s">
        <v>172</v>
      </c>
      <c r="C12402">
        <v>143.9999994635582</v>
      </c>
      <c r="D12402">
        <v>10</v>
      </c>
      <c r="E12402" s="80">
        <v>35814</v>
      </c>
    </row>
    <row r="12403" spans="1:5">
      <c r="A12403">
        <v>10840</v>
      </c>
      <c r="B12403" t="s">
        <v>173</v>
      </c>
      <c r="C12403">
        <v>143.9999994635582</v>
      </c>
      <c r="D12403">
        <v>10</v>
      </c>
      <c r="E12403" s="80">
        <v>35814</v>
      </c>
    </row>
    <row r="12404" spans="1:5">
      <c r="A12404">
        <v>10840</v>
      </c>
      <c r="B12404" t="s">
        <v>174</v>
      </c>
      <c r="C12404">
        <v>143.9999994635582</v>
      </c>
      <c r="D12404">
        <v>10</v>
      </c>
      <c r="E12404" s="80">
        <v>35814</v>
      </c>
    </row>
    <row r="12405" spans="1:5">
      <c r="A12405">
        <v>10840</v>
      </c>
      <c r="B12405" t="s">
        <v>175</v>
      </c>
      <c r="C12405">
        <v>143.9999994635582</v>
      </c>
      <c r="D12405">
        <v>10</v>
      </c>
      <c r="E12405" s="80">
        <v>35814</v>
      </c>
    </row>
    <row r="12406" spans="1:5">
      <c r="A12406">
        <v>10840</v>
      </c>
      <c r="B12406" t="s">
        <v>176</v>
      </c>
      <c r="C12406">
        <v>143.9999994635582</v>
      </c>
      <c r="D12406">
        <v>10</v>
      </c>
      <c r="E12406" s="80">
        <v>35814</v>
      </c>
    </row>
    <row r="12407" spans="1:5">
      <c r="A12407">
        <v>10840</v>
      </c>
      <c r="B12407" t="s">
        <v>177</v>
      </c>
      <c r="C12407">
        <v>143.9999994635582</v>
      </c>
      <c r="D12407">
        <v>10</v>
      </c>
      <c r="E12407" s="80">
        <v>35814</v>
      </c>
    </row>
    <row r="12408" spans="1:5">
      <c r="A12408">
        <v>10840</v>
      </c>
      <c r="B12408" t="s">
        <v>178</v>
      </c>
      <c r="C12408">
        <v>143.9999994635582</v>
      </c>
      <c r="D12408">
        <v>10</v>
      </c>
      <c r="E12408" s="80">
        <v>35814</v>
      </c>
    </row>
    <row r="12409" spans="1:5">
      <c r="A12409">
        <v>10840</v>
      </c>
      <c r="B12409" t="s">
        <v>179</v>
      </c>
      <c r="C12409">
        <v>143.9999994635582</v>
      </c>
      <c r="D12409">
        <v>10</v>
      </c>
      <c r="E12409" s="80">
        <v>35814</v>
      </c>
    </row>
    <row r="12410" spans="1:5">
      <c r="A12410">
        <v>10841</v>
      </c>
      <c r="B12410" t="s">
        <v>172</v>
      </c>
      <c r="C12410">
        <v>496</v>
      </c>
      <c r="D12410">
        <v>16</v>
      </c>
      <c r="E12410" s="80">
        <v>35815</v>
      </c>
    </row>
    <row r="12411" spans="1:5">
      <c r="A12411">
        <v>10841</v>
      </c>
      <c r="B12411" t="s">
        <v>173</v>
      </c>
      <c r="C12411">
        <v>496</v>
      </c>
      <c r="D12411">
        <v>16</v>
      </c>
      <c r="E12411" s="80">
        <v>35815</v>
      </c>
    </row>
    <row r="12412" spans="1:5">
      <c r="A12412">
        <v>10841</v>
      </c>
      <c r="B12412" t="s">
        <v>174</v>
      </c>
      <c r="C12412">
        <v>496</v>
      </c>
      <c r="D12412">
        <v>16</v>
      </c>
      <c r="E12412" s="80">
        <v>35815</v>
      </c>
    </row>
    <row r="12413" spans="1:5">
      <c r="A12413">
        <v>10841</v>
      </c>
      <c r="B12413" t="s">
        <v>175</v>
      </c>
      <c r="C12413">
        <v>496</v>
      </c>
      <c r="D12413">
        <v>16</v>
      </c>
      <c r="E12413" s="80">
        <v>35815</v>
      </c>
    </row>
    <row r="12414" spans="1:5">
      <c r="A12414">
        <v>10841</v>
      </c>
      <c r="B12414" t="s">
        <v>176</v>
      </c>
      <c r="C12414">
        <v>496</v>
      </c>
      <c r="D12414">
        <v>16</v>
      </c>
      <c r="E12414" s="80">
        <v>35815</v>
      </c>
    </row>
    <row r="12415" spans="1:5">
      <c r="A12415">
        <v>10841</v>
      </c>
      <c r="B12415" t="s">
        <v>177</v>
      </c>
      <c r="C12415">
        <v>496</v>
      </c>
      <c r="D12415">
        <v>16</v>
      </c>
      <c r="E12415" s="80">
        <v>35815</v>
      </c>
    </row>
    <row r="12416" spans="1:5">
      <c r="A12416">
        <v>10841</v>
      </c>
      <c r="B12416" t="s">
        <v>178</v>
      </c>
      <c r="C12416">
        <v>496</v>
      </c>
      <c r="D12416">
        <v>16</v>
      </c>
      <c r="E12416" s="80">
        <v>35815</v>
      </c>
    </row>
    <row r="12417" spans="1:5">
      <c r="A12417">
        <v>10841</v>
      </c>
      <c r="B12417" t="s">
        <v>179</v>
      </c>
      <c r="C12417">
        <v>496</v>
      </c>
      <c r="D12417">
        <v>16</v>
      </c>
      <c r="E12417" s="80">
        <v>35815</v>
      </c>
    </row>
    <row r="12418" spans="1:5">
      <c r="A12418">
        <v>10841</v>
      </c>
      <c r="B12418" t="s">
        <v>172</v>
      </c>
      <c r="C12418">
        <v>1140</v>
      </c>
      <c r="D12418">
        <v>30</v>
      </c>
      <c r="E12418" s="80">
        <v>35815</v>
      </c>
    </row>
    <row r="12419" spans="1:5">
      <c r="A12419">
        <v>10841</v>
      </c>
      <c r="B12419" t="s">
        <v>173</v>
      </c>
      <c r="C12419">
        <v>1140</v>
      </c>
      <c r="D12419">
        <v>30</v>
      </c>
      <c r="E12419" s="80">
        <v>35815</v>
      </c>
    </row>
    <row r="12420" spans="1:5">
      <c r="A12420">
        <v>10841</v>
      </c>
      <c r="B12420" t="s">
        <v>174</v>
      </c>
      <c r="C12420">
        <v>1140</v>
      </c>
      <c r="D12420">
        <v>30</v>
      </c>
      <c r="E12420" s="80">
        <v>35815</v>
      </c>
    </row>
    <row r="12421" spans="1:5">
      <c r="A12421">
        <v>10841</v>
      </c>
      <c r="B12421" t="s">
        <v>175</v>
      </c>
      <c r="C12421">
        <v>1140</v>
      </c>
      <c r="D12421">
        <v>30</v>
      </c>
      <c r="E12421" s="80">
        <v>35815</v>
      </c>
    </row>
    <row r="12422" spans="1:5">
      <c r="A12422">
        <v>10841</v>
      </c>
      <c r="B12422" t="s">
        <v>176</v>
      </c>
      <c r="C12422">
        <v>1140</v>
      </c>
      <c r="D12422">
        <v>30</v>
      </c>
      <c r="E12422" s="80">
        <v>35815</v>
      </c>
    </row>
    <row r="12423" spans="1:5">
      <c r="A12423">
        <v>10841</v>
      </c>
      <c r="B12423" t="s">
        <v>177</v>
      </c>
      <c r="C12423">
        <v>1140</v>
      </c>
      <c r="D12423">
        <v>30</v>
      </c>
      <c r="E12423" s="80">
        <v>35815</v>
      </c>
    </row>
    <row r="12424" spans="1:5">
      <c r="A12424">
        <v>10841</v>
      </c>
      <c r="B12424" t="s">
        <v>178</v>
      </c>
      <c r="C12424">
        <v>1140</v>
      </c>
      <c r="D12424">
        <v>30</v>
      </c>
      <c r="E12424" s="80">
        <v>35815</v>
      </c>
    </row>
    <row r="12425" spans="1:5">
      <c r="A12425">
        <v>10841</v>
      </c>
      <c r="B12425" t="s">
        <v>179</v>
      </c>
      <c r="C12425">
        <v>1140</v>
      </c>
      <c r="D12425">
        <v>30</v>
      </c>
      <c r="E12425" s="80">
        <v>35815</v>
      </c>
    </row>
    <row r="12426" spans="1:5">
      <c r="A12426">
        <v>10841</v>
      </c>
      <c r="B12426" t="s">
        <v>172</v>
      </c>
      <c r="C12426">
        <v>2750</v>
      </c>
      <c r="D12426">
        <v>50</v>
      </c>
      <c r="E12426" s="80">
        <v>35815</v>
      </c>
    </row>
    <row r="12427" spans="1:5">
      <c r="A12427">
        <v>10841</v>
      </c>
      <c r="B12427" t="s">
        <v>173</v>
      </c>
      <c r="C12427">
        <v>2750</v>
      </c>
      <c r="D12427">
        <v>50</v>
      </c>
      <c r="E12427" s="80">
        <v>35815</v>
      </c>
    </row>
    <row r="12428" spans="1:5">
      <c r="A12428">
        <v>10841</v>
      </c>
      <c r="B12428" t="s">
        <v>174</v>
      </c>
      <c r="C12428">
        <v>2750</v>
      </c>
      <c r="D12428">
        <v>50</v>
      </c>
      <c r="E12428" s="80">
        <v>35815</v>
      </c>
    </row>
    <row r="12429" spans="1:5">
      <c r="A12429">
        <v>10841</v>
      </c>
      <c r="B12429" t="s">
        <v>175</v>
      </c>
      <c r="C12429">
        <v>2750</v>
      </c>
      <c r="D12429">
        <v>50</v>
      </c>
      <c r="E12429" s="80">
        <v>35815</v>
      </c>
    </row>
    <row r="12430" spans="1:5">
      <c r="A12430">
        <v>10841</v>
      </c>
      <c r="B12430" t="s">
        <v>176</v>
      </c>
      <c r="C12430">
        <v>2750</v>
      </c>
      <c r="D12430">
        <v>50</v>
      </c>
      <c r="E12430" s="80">
        <v>35815</v>
      </c>
    </row>
    <row r="12431" spans="1:5">
      <c r="A12431">
        <v>10841</v>
      </c>
      <c r="B12431" t="s">
        <v>177</v>
      </c>
      <c r="C12431">
        <v>2750</v>
      </c>
      <c r="D12431">
        <v>50</v>
      </c>
      <c r="E12431" s="80">
        <v>35815</v>
      </c>
    </row>
    <row r="12432" spans="1:5">
      <c r="A12432">
        <v>10841</v>
      </c>
      <c r="B12432" t="s">
        <v>178</v>
      </c>
      <c r="C12432">
        <v>2750</v>
      </c>
      <c r="D12432">
        <v>50</v>
      </c>
      <c r="E12432" s="80">
        <v>35815</v>
      </c>
    </row>
    <row r="12433" spans="1:5">
      <c r="A12433">
        <v>10841</v>
      </c>
      <c r="B12433" t="s">
        <v>179</v>
      </c>
      <c r="C12433">
        <v>2750</v>
      </c>
      <c r="D12433">
        <v>50</v>
      </c>
      <c r="E12433" s="80">
        <v>35815</v>
      </c>
    </row>
    <row r="12434" spans="1:5">
      <c r="A12434">
        <v>10841</v>
      </c>
      <c r="B12434" t="s">
        <v>172</v>
      </c>
      <c r="C12434">
        <v>195</v>
      </c>
      <c r="D12434">
        <v>15</v>
      </c>
      <c r="E12434" s="80">
        <v>35815</v>
      </c>
    </row>
    <row r="12435" spans="1:5">
      <c r="A12435">
        <v>10841</v>
      </c>
      <c r="B12435" t="s">
        <v>173</v>
      </c>
      <c r="C12435">
        <v>195</v>
      </c>
      <c r="D12435">
        <v>15</v>
      </c>
      <c r="E12435" s="80">
        <v>35815</v>
      </c>
    </row>
    <row r="12436" spans="1:5">
      <c r="A12436">
        <v>10841</v>
      </c>
      <c r="B12436" t="s">
        <v>174</v>
      </c>
      <c r="C12436">
        <v>195</v>
      </c>
      <c r="D12436">
        <v>15</v>
      </c>
      <c r="E12436" s="80">
        <v>35815</v>
      </c>
    </row>
    <row r="12437" spans="1:5">
      <c r="A12437">
        <v>10841</v>
      </c>
      <c r="B12437" t="s">
        <v>175</v>
      </c>
      <c r="C12437">
        <v>195</v>
      </c>
      <c r="D12437">
        <v>15</v>
      </c>
      <c r="E12437" s="80">
        <v>35815</v>
      </c>
    </row>
    <row r="12438" spans="1:5">
      <c r="A12438">
        <v>10841</v>
      </c>
      <c r="B12438" t="s">
        <v>176</v>
      </c>
      <c r="C12438">
        <v>195</v>
      </c>
      <c r="D12438">
        <v>15</v>
      </c>
      <c r="E12438" s="80">
        <v>35815</v>
      </c>
    </row>
    <row r="12439" spans="1:5">
      <c r="A12439">
        <v>10841</v>
      </c>
      <c r="B12439" t="s">
        <v>177</v>
      </c>
      <c r="C12439">
        <v>195</v>
      </c>
      <c r="D12439">
        <v>15</v>
      </c>
      <c r="E12439" s="80">
        <v>35815</v>
      </c>
    </row>
    <row r="12440" spans="1:5">
      <c r="A12440">
        <v>10841</v>
      </c>
      <c r="B12440" t="s">
        <v>178</v>
      </c>
      <c r="C12440">
        <v>195</v>
      </c>
      <c r="D12440">
        <v>15</v>
      </c>
      <c r="E12440" s="80">
        <v>35815</v>
      </c>
    </row>
    <row r="12441" spans="1:5">
      <c r="A12441">
        <v>10841</v>
      </c>
      <c r="B12441" t="s">
        <v>179</v>
      </c>
      <c r="C12441">
        <v>195</v>
      </c>
      <c r="D12441">
        <v>15</v>
      </c>
      <c r="E12441" s="80">
        <v>35815</v>
      </c>
    </row>
    <row r="12442" spans="1:5">
      <c r="A12442">
        <v>10842</v>
      </c>
      <c r="B12442" t="s">
        <v>172</v>
      </c>
      <c r="C12442">
        <v>315</v>
      </c>
      <c r="D12442">
        <v>15</v>
      </c>
      <c r="E12442" s="80">
        <v>35815</v>
      </c>
    </row>
    <row r="12443" spans="1:5">
      <c r="A12443">
        <v>10842</v>
      </c>
      <c r="B12443" t="s">
        <v>173</v>
      </c>
      <c r="C12443">
        <v>315</v>
      </c>
      <c r="D12443">
        <v>15</v>
      </c>
      <c r="E12443" s="80">
        <v>35815</v>
      </c>
    </row>
    <row r="12444" spans="1:5">
      <c r="A12444">
        <v>10842</v>
      </c>
      <c r="B12444" t="s">
        <v>174</v>
      </c>
      <c r="C12444">
        <v>315</v>
      </c>
      <c r="D12444">
        <v>15</v>
      </c>
      <c r="E12444" s="80">
        <v>35815</v>
      </c>
    </row>
    <row r="12445" spans="1:5">
      <c r="A12445">
        <v>10842</v>
      </c>
      <c r="B12445" t="s">
        <v>175</v>
      </c>
      <c r="C12445">
        <v>315</v>
      </c>
      <c r="D12445">
        <v>15</v>
      </c>
      <c r="E12445" s="80">
        <v>35815</v>
      </c>
    </row>
    <row r="12446" spans="1:5">
      <c r="A12446">
        <v>10842</v>
      </c>
      <c r="B12446" t="s">
        <v>176</v>
      </c>
      <c r="C12446">
        <v>315</v>
      </c>
      <c r="D12446">
        <v>15</v>
      </c>
      <c r="E12446" s="80">
        <v>35815</v>
      </c>
    </row>
    <row r="12447" spans="1:5">
      <c r="A12447">
        <v>10842</v>
      </c>
      <c r="B12447" t="s">
        <v>177</v>
      </c>
      <c r="C12447">
        <v>315</v>
      </c>
      <c r="D12447">
        <v>15</v>
      </c>
      <c r="E12447" s="80">
        <v>35815</v>
      </c>
    </row>
    <row r="12448" spans="1:5">
      <c r="A12448">
        <v>10842</v>
      </c>
      <c r="B12448" t="s">
        <v>178</v>
      </c>
      <c r="C12448">
        <v>315</v>
      </c>
      <c r="D12448">
        <v>15</v>
      </c>
      <c r="E12448" s="80">
        <v>35815</v>
      </c>
    </row>
    <row r="12449" spans="1:5">
      <c r="A12449">
        <v>10842</v>
      </c>
      <c r="B12449" t="s">
        <v>179</v>
      </c>
      <c r="C12449">
        <v>315</v>
      </c>
      <c r="D12449">
        <v>15</v>
      </c>
      <c r="E12449" s="80">
        <v>35815</v>
      </c>
    </row>
    <row r="12450" spans="1:5">
      <c r="A12450">
        <v>10842</v>
      </c>
      <c r="B12450" t="s">
        <v>172</v>
      </c>
      <c r="C12450">
        <v>230</v>
      </c>
      <c r="D12450">
        <v>5</v>
      </c>
      <c r="E12450" s="80">
        <v>35815</v>
      </c>
    </row>
    <row r="12451" spans="1:5">
      <c r="A12451">
        <v>10842</v>
      </c>
      <c r="B12451" t="s">
        <v>173</v>
      </c>
      <c r="C12451">
        <v>230</v>
      </c>
      <c r="D12451">
        <v>5</v>
      </c>
      <c r="E12451" s="80">
        <v>35815</v>
      </c>
    </row>
    <row r="12452" spans="1:5">
      <c r="A12452">
        <v>10842</v>
      </c>
      <c r="B12452" t="s">
        <v>174</v>
      </c>
      <c r="C12452">
        <v>230</v>
      </c>
      <c r="D12452">
        <v>5</v>
      </c>
      <c r="E12452" s="80">
        <v>35815</v>
      </c>
    </row>
    <row r="12453" spans="1:5">
      <c r="A12453">
        <v>10842</v>
      </c>
      <c r="B12453" t="s">
        <v>175</v>
      </c>
      <c r="C12453">
        <v>230</v>
      </c>
      <c r="D12453">
        <v>5</v>
      </c>
      <c r="E12453" s="80">
        <v>35815</v>
      </c>
    </row>
    <row r="12454" spans="1:5">
      <c r="A12454">
        <v>10842</v>
      </c>
      <c r="B12454" t="s">
        <v>176</v>
      </c>
      <c r="C12454">
        <v>230</v>
      </c>
      <c r="D12454">
        <v>5</v>
      </c>
      <c r="E12454" s="80">
        <v>35815</v>
      </c>
    </row>
    <row r="12455" spans="1:5">
      <c r="A12455">
        <v>10842</v>
      </c>
      <c r="B12455" t="s">
        <v>177</v>
      </c>
      <c r="C12455">
        <v>230</v>
      </c>
      <c r="D12455">
        <v>5</v>
      </c>
      <c r="E12455" s="80">
        <v>35815</v>
      </c>
    </row>
    <row r="12456" spans="1:5">
      <c r="A12456">
        <v>10842</v>
      </c>
      <c r="B12456" t="s">
        <v>178</v>
      </c>
      <c r="C12456">
        <v>230</v>
      </c>
      <c r="D12456">
        <v>5</v>
      </c>
      <c r="E12456" s="80">
        <v>35815</v>
      </c>
    </row>
    <row r="12457" spans="1:5">
      <c r="A12457">
        <v>10842</v>
      </c>
      <c r="B12457" t="s">
        <v>179</v>
      </c>
      <c r="C12457">
        <v>230</v>
      </c>
      <c r="D12457">
        <v>5</v>
      </c>
      <c r="E12457" s="80">
        <v>35815</v>
      </c>
    </row>
    <row r="12458" spans="1:5">
      <c r="A12458">
        <v>10842</v>
      </c>
      <c r="B12458" t="s">
        <v>172</v>
      </c>
      <c r="C12458">
        <v>250</v>
      </c>
      <c r="D12458">
        <v>20</v>
      </c>
      <c r="E12458" s="80">
        <v>35815</v>
      </c>
    </row>
    <row r="12459" spans="1:5">
      <c r="A12459">
        <v>10842</v>
      </c>
      <c r="B12459" t="s">
        <v>173</v>
      </c>
      <c r="C12459">
        <v>250</v>
      </c>
      <c r="D12459">
        <v>20</v>
      </c>
      <c r="E12459" s="80">
        <v>35815</v>
      </c>
    </row>
    <row r="12460" spans="1:5">
      <c r="A12460">
        <v>10842</v>
      </c>
      <c r="B12460" t="s">
        <v>174</v>
      </c>
      <c r="C12460">
        <v>250</v>
      </c>
      <c r="D12460">
        <v>20</v>
      </c>
      <c r="E12460" s="80">
        <v>35815</v>
      </c>
    </row>
    <row r="12461" spans="1:5">
      <c r="A12461">
        <v>10842</v>
      </c>
      <c r="B12461" t="s">
        <v>175</v>
      </c>
      <c r="C12461">
        <v>250</v>
      </c>
      <c r="D12461">
        <v>20</v>
      </c>
      <c r="E12461" s="80">
        <v>35815</v>
      </c>
    </row>
    <row r="12462" spans="1:5">
      <c r="A12462">
        <v>10842</v>
      </c>
      <c r="B12462" t="s">
        <v>176</v>
      </c>
      <c r="C12462">
        <v>250</v>
      </c>
      <c r="D12462">
        <v>20</v>
      </c>
      <c r="E12462" s="80">
        <v>35815</v>
      </c>
    </row>
    <row r="12463" spans="1:5">
      <c r="A12463">
        <v>10842</v>
      </c>
      <c r="B12463" t="s">
        <v>177</v>
      </c>
      <c r="C12463">
        <v>250</v>
      </c>
      <c r="D12463">
        <v>20</v>
      </c>
      <c r="E12463" s="80">
        <v>35815</v>
      </c>
    </row>
    <row r="12464" spans="1:5">
      <c r="A12464">
        <v>10842</v>
      </c>
      <c r="B12464" t="s">
        <v>178</v>
      </c>
      <c r="C12464">
        <v>250</v>
      </c>
      <c r="D12464">
        <v>20</v>
      </c>
      <c r="E12464" s="80">
        <v>35815</v>
      </c>
    </row>
    <row r="12465" spans="1:5">
      <c r="A12465">
        <v>10842</v>
      </c>
      <c r="B12465" t="s">
        <v>179</v>
      </c>
      <c r="C12465">
        <v>250</v>
      </c>
      <c r="D12465">
        <v>20</v>
      </c>
      <c r="E12465" s="80">
        <v>35815</v>
      </c>
    </row>
    <row r="12466" spans="1:5">
      <c r="A12466">
        <v>10842</v>
      </c>
      <c r="B12466" t="s">
        <v>172</v>
      </c>
      <c r="C12466">
        <v>180</v>
      </c>
      <c r="D12466">
        <v>12</v>
      </c>
      <c r="E12466" s="80">
        <v>35815</v>
      </c>
    </row>
    <row r="12467" spans="1:5">
      <c r="A12467">
        <v>10842</v>
      </c>
      <c r="B12467" t="s">
        <v>173</v>
      </c>
      <c r="C12467">
        <v>180</v>
      </c>
      <c r="D12467">
        <v>12</v>
      </c>
      <c r="E12467" s="80">
        <v>35815</v>
      </c>
    </row>
    <row r="12468" spans="1:5">
      <c r="A12468">
        <v>10842</v>
      </c>
      <c r="B12468" t="s">
        <v>174</v>
      </c>
      <c r="C12468">
        <v>180</v>
      </c>
      <c r="D12468">
        <v>12</v>
      </c>
      <c r="E12468" s="80">
        <v>35815</v>
      </c>
    </row>
    <row r="12469" spans="1:5">
      <c r="A12469">
        <v>10842</v>
      </c>
      <c r="B12469" t="s">
        <v>175</v>
      </c>
      <c r="C12469">
        <v>180</v>
      </c>
      <c r="D12469">
        <v>12</v>
      </c>
      <c r="E12469" s="80">
        <v>35815</v>
      </c>
    </row>
    <row r="12470" spans="1:5">
      <c r="A12470">
        <v>10842</v>
      </c>
      <c r="B12470" t="s">
        <v>176</v>
      </c>
      <c r="C12470">
        <v>180</v>
      </c>
      <c r="D12470">
        <v>12</v>
      </c>
      <c r="E12470" s="80">
        <v>35815</v>
      </c>
    </row>
    <row r="12471" spans="1:5">
      <c r="A12471">
        <v>10842</v>
      </c>
      <c r="B12471" t="s">
        <v>177</v>
      </c>
      <c r="C12471">
        <v>180</v>
      </c>
      <c r="D12471">
        <v>12</v>
      </c>
      <c r="E12471" s="80">
        <v>35815</v>
      </c>
    </row>
    <row r="12472" spans="1:5">
      <c r="A12472">
        <v>10842</v>
      </c>
      <c r="B12472" t="s">
        <v>178</v>
      </c>
      <c r="C12472">
        <v>180</v>
      </c>
      <c r="D12472">
        <v>12</v>
      </c>
      <c r="E12472" s="80">
        <v>35815</v>
      </c>
    </row>
    <row r="12473" spans="1:5">
      <c r="A12473">
        <v>10842</v>
      </c>
      <c r="B12473" t="s">
        <v>179</v>
      </c>
      <c r="C12473">
        <v>180</v>
      </c>
      <c r="D12473">
        <v>12</v>
      </c>
      <c r="E12473" s="80">
        <v>35815</v>
      </c>
    </row>
    <row r="12474" spans="1:5">
      <c r="A12474">
        <v>10843</v>
      </c>
      <c r="B12474" t="s">
        <v>172</v>
      </c>
      <c r="C12474">
        <v>159</v>
      </c>
      <c r="D12474">
        <v>4</v>
      </c>
      <c r="E12474" s="80">
        <v>35816</v>
      </c>
    </row>
    <row r="12475" spans="1:5">
      <c r="A12475">
        <v>10843</v>
      </c>
      <c r="B12475" t="s">
        <v>173</v>
      </c>
      <c r="C12475">
        <v>159</v>
      </c>
      <c r="D12475">
        <v>4</v>
      </c>
      <c r="E12475" s="80">
        <v>35816</v>
      </c>
    </row>
    <row r="12476" spans="1:5">
      <c r="A12476">
        <v>10843</v>
      </c>
      <c r="B12476" t="s">
        <v>174</v>
      </c>
      <c r="C12476">
        <v>159</v>
      </c>
      <c r="D12476">
        <v>4</v>
      </c>
      <c r="E12476" s="80">
        <v>35816</v>
      </c>
    </row>
    <row r="12477" spans="1:5">
      <c r="A12477">
        <v>10843</v>
      </c>
      <c r="B12477" t="s">
        <v>175</v>
      </c>
      <c r="C12477">
        <v>159</v>
      </c>
      <c r="D12477">
        <v>4</v>
      </c>
      <c r="E12477" s="80">
        <v>35816</v>
      </c>
    </row>
    <row r="12478" spans="1:5">
      <c r="A12478">
        <v>10843</v>
      </c>
      <c r="B12478" t="s">
        <v>176</v>
      </c>
      <c r="C12478">
        <v>159</v>
      </c>
      <c r="D12478">
        <v>4</v>
      </c>
      <c r="E12478" s="80">
        <v>35816</v>
      </c>
    </row>
    <row r="12479" spans="1:5">
      <c r="A12479">
        <v>10843</v>
      </c>
      <c r="B12479" t="s">
        <v>177</v>
      </c>
      <c r="C12479">
        <v>159</v>
      </c>
      <c r="D12479">
        <v>4</v>
      </c>
      <c r="E12479" s="80">
        <v>35816</v>
      </c>
    </row>
    <row r="12480" spans="1:5">
      <c r="A12480">
        <v>10843</v>
      </c>
      <c r="B12480" t="s">
        <v>178</v>
      </c>
      <c r="C12480">
        <v>159</v>
      </c>
      <c r="D12480">
        <v>4</v>
      </c>
      <c r="E12480" s="80">
        <v>35816</v>
      </c>
    </row>
    <row r="12481" spans="1:5">
      <c r="A12481">
        <v>10843</v>
      </c>
      <c r="B12481" t="s">
        <v>179</v>
      </c>
      <c r="C12481">
        <v>159</v>
      </c>
      <c r="D12481">
        <v>4</v>
      </c>
      <c r="E12481" s="80">
        <v>35816</v>
      </c>
    </row>
    <row r="12482" spans="1:5">
      <c r="A12482">
        <v>10844</v>
      </c>
      <c r="B12482" t="s">
        <v>172</v>
      </c>
      <c r="C12482">
        <v>735</v>
      </c>
      <c r="D12482">
        <v>35</v>
      </c>
      <c r="E12482" s="80">
        <v>35816</v>
      </c>
    </row>
    <row r="12483" spans="1:5">
      <c r="A12483">
        <v>10844</v>
      </c>
      <c r="B12483" t="s">
        <v>173</v>
      </c>
      <c r="C12483">
        <v>735</v>
      </c>
      <c r="D12483">
        <v>35</v>
      </c>
      <c r="E12483" s="80">
        <v>35816</v>
      </c>
    </row>
    <row r="12484" spans="1:5">
      <c r="A12484">
        <v>10844</v>
      </c>
      <c r="B12484" t="s">
        <v>174</v>
      </c>
      <c r="C12484">
        <v>735</v>
      </c>
      <c r="D12484">
        <v>35</v>
      </c>
      <c r="E12484" s="80">
        <v>35816</v>
      </c>
    </row>
    <row r="12485" spans="1:5">
      <c r="A12485">
        <v>10844</v>
      </c>
      <c r="B12485" t="s">
        <v>175</v>
      </c>
      <c r="C12485">
        <v>735</v>
      </c>
      <c r="D12485">
        <v>35</v>
      </c>
      <c r="E12485" s="80">
        <v>35816</v>
      </c>
    </row>
    <row r="12486" spans="1:5">
      <c r="A12486">
        <v>10844</v>
      </c>
      <c r="B12486" t="s">
        <v>176</v>
      </c>
      <c r="C12486">
        <v>735</v>
      </c>
      <c r="D12486">
        <v>35</v>
      </c>
      <c r="E12486" s="80">
        <v>35816</v>
      </c>
    </row>
    <row r="12487" spans="1:5">
      <c r="A12487">
        <v>10844</v>
      </c>
      <c r="B12487" t="s">
        <v>177</v>
      </c>
      <c r="C12487">
        <v>735</v>
      </c>
      <c r="D12487">
        <v>35</v>
      </c>
      <c r="E12487" s="80">
        <v>35816</v>
      </c>
    </row>
    <row r="12488" spans="1:5">
      <c r="A12488">
        <v>10844</v>
      </c>
      <c r="B12488" t="s">
        <v>178</v>
      </c>
      <c r="C12488">
        <v>735</v>
      </c>
      <c r="D12488">
        <v>35</v>
      </c>
      <c r="E12488" s="80">
        <v>35816</v>
      </c>
    </row>
    <row r="12489" spans="1:5">
      <c r="A12489">
        <v>10844</v>
      </c>
      <c r="B12489" t="s">
        <v>179</v>
      </c>
      <c r="C12489">
        <v>735</v>
      </c>
      <c r="D12489">
        <v>35</v>
      </c>
      <c r="E12489" s="80">
        <v>35816</v>
      </c>
    </row>
    <row r="12490" spans="1:5">
      <c r="A12490">
        <v>10845</v>
      </c>
      <c r="B12490" t="s">
        <v>172</v>
      </c>
      <c r="C12490">
        <v>566.99999906122684</v>
      </c>
      <c r="D12490">
        <v>70</v>
      </c>
      <c r="E12490" s="80">
        <v>35816</v>
      </c>
    </row>
    <row r="12491" spans="1:5">
      <c r="A12491">
        <v>10845</v>
      </c>
      <c r="B12491" t="s">
        <v>173</v>
      </c>
      <c r="C12491">
        <v>566.99999906122684</v>
      </c>
      <c r="D12491">
        <v>70</v>
      </c>
      <c r="E12491" s="80">
        <v>35816</v>
      </c>
    </row>
    <row r="12492" spans="1:5">
      <c r="A12492">
        <v>10845</v>
      </c>
      <c r="B12492" t="s">
        <v>174</v>
      </c>
      <c r="C12492">
        <v>566.99999906122684</v>
      </c>
      <c r="D12492">
        <v>70</v>
      </c>
      <c r="E12492" s="80">
        <v>35816</v>
      </c>
    </row>
    <row r="12493" spans="1:5">
      <c r="A12493">
        <v>10845</v>
      </c>
      <c r="B12493" t="s">
        <v>175</v>
      </c>
      <c r="C12493">
        <v>566.99999906122684</v>
      </c>
      <c r="D12493">
        <v>70</v>
      </c>
      <c r="E12493" s="80">
        <v>35816</v>
      </c>
    </row>
    <row r="12494" spans="1:5">
      <c r="A12494">
        <v>10845</v>
      </c>
      <c r="B12494" t="s">
        <v>176</v>
      </c>
      <c r="C12494">
        <v>566.99999906122684</v>
      </c>
      <c r="D12494">
        <v>70</v>
      </c>
      <c r="E12494" s="80">
        <v>35816</v>
      </c>
    </row>
    <row r="12495" spans="1:5">
      <c r="A12495">
        <v>10845</v>
      </c>
      <c r="B12495" t="s">
        <v>177</v>
      </c>
      <c r="C12495">
        <v>566.99999906122684</v>
      </c>
      <c r="D12495">
        <v>70</v>
      </c>
      <c r="E12495" s="80">
        <v>35816</v>
      </c>
    </row>
    <row r="12496" spans="1:5">
      <c r="A12496">
        <v>10845</v>
      </c>
      <c r="B12496" t="s">
        <v>178</v>
      </c>
      <c r="C12496">
        <v>566.99999906122684</v>
      </c>
      <c r="D12496">
        <v>70</v>
      </c>
      <c r="E12496" s="80">
        <v>35816</v>
      </c>
    </row>
    <row r="12497" spans="1:5">
      <c r="A12497">
        <v>10845</v>
      </c>
      <c r="B12497" t="s">
        <v>179</v>
      </c>
      <c r="C12497">
        <v>566.99999906122684</v>
      </c>
      <c r="D12497">
        <v>70</v>
      </c>
      <c r="E12497" s="80">
        <v>35816</v>
      </c>
    </row>
    <row r="12498" spans="1:5">
      <c r="A12498">
        <v>10845</v>
      </c>
      <c r="B12498" t="s">
        <v>172</v>
      </c>
      <c r="C12498">
        <v>404.99999932944775</v>
      </c>
      <c r="D12498">
        <v>25</v>
      </c>
      <c r="E12498" s="80">
        <v>35816</v>
      </c>
    </row>
    <row r="12499" spans="1:5">
      <c r="A12499">
        <v>10845</v>
      </c>
      <c r="B12499" t="s">
        <v>173</v>
      </c>
      <c r="C12499">
        <v>404.99999932944775</v>
      </c>
      <c r="D12499">
        <v>25</v>
      </c>
      <c r="E12499" s="80">
        <v>35816</v>
      </c>
    </row>
    <row r="12500" spans="1:5">
      <c r="A12500">
        <v>10845</v>
      </c>
      <c r="B12500" t="s">
        <v>174</v>
      </c>
      <c r="C12500">
        <v>404.99999932944775</v>
      </c>
      <c r="D12500">
        <v>25</v>
      </c>
      <c r="E12500" s="80">
        <v>35816</v>
      </c>
    </row>
    <row r="12501" spans="1:5">
      <c r="A12501">
        <v>10845</v>
      </c>
      <c r="B12501" t="s">
        <v>175</v>
      </c>
      <c r="C12501">
        <v>404.99999932944775</v>
      </c>
      <c r="D12501">
        <v>25</v>
      </c>
      <c r="E12501" s="80">
        <v>35816</v>
      </c>
    </row>
    <row r="12502" spans="1:5">
      <c r="A12502">
        <v>10845</v>
      </c>
      <c r="B12502" t="s">
        <v>176</v>
      </c>
      <c r="C12502">
        <v>404.99999932944775</v>
      </c>
      <c r="D12502">
        <v>25</v>
      </c>
      <c r="E12502" s="80">
        <v>35816</v>
      </c>
    </row>
    <row r="12503" spans="1:5">
      <c r="A12503">
        <v>10845</v>
      </c>
      <c r="B12503" t="s">
        <v>177</v>
      </c>
      <c r="C12503">
        <v>404.99999932944775</v>
      </c>
      <c r="D12503">
        <v>25</v>
      </c>
      <c r="E12503" s="80">
        <v>35816</v>
      </c>
    </row>
    <row r="12504" spans="1:5">
      <c r="A12504">
        <v>10845</v>
      </c>
      <c r="B12504" t="s">
        <v>178</v>
      </c>
      <c r="C12504">
        <v>404.99999932944775</v>
      </c>
      <c r="D12504">
        <v>25</v>
      </c>
      <c r="E12504" s="80">
        <v>35816</v>
      </c>
    </row>
    <row r="12505" spans="1:5">
      <c r="A12505">
        <v>10845</v>
      </c>
      <c r="B12505" t="s">
        <v>179</v>
      </c>
      <c r="C12505">
        <v>404.99999932944775</v>
      </c>
      <c r="D12505">
        <v>25</v>
      </c>
      <c r="E12505" s="80">
        <v>35816</v>
      </c>
    </row>
    <row r="12506" spans="1:5">
      <c r="A12506">
        <v>10845</v>
      </c>
      <c r="B12506" t="s">
        <v>172</v>
      </c>
      <c r="C12506">
        <v>529.19999912381172</v>
      </c>
      <c r="D12506">
        <v>42</v>
      </c>
      <c r="E12506" s="80">
        <v>35816</v>
      </c>
    </row>
    <row r="12507" spans="1:5">
      <c r="A12507">
        <v>10845</v>
      </c>
      <c r="B12507" t="s">
        <v>173</v>
      </c>
      <c r="C12507">
        <v>529.19999912381172</v>
      </c>
      <c r="D12507">
        <v>42</v>
      </c>
      <c r="E12507" s="80">
        <v>35816</v>
      </c>
    </row>
    <row r="12508" spans="1:5">
      <c r="A12508">
        <v>10845</v>
      </c>
      <c r="B12508" t="s">
        <v>174</v>
      </c>
      <c r="C12508">
        <v>529.19999912381172</v>
      </c>
      <c r="D12508">
        <v>42</v>
      </c>
      <c r="E12508" s="80">
        <v>35816</v>
      </c>
    </row>
    <row r="12509" spans="1:5">
      <c r="A12509">
        <v>10845</v>
      </c>
      <c r="B12509" t="s">
        <v>175</v>
      </c>
      <c r="C12509">
        <v>529.19999912381172</v>
      </c>
      <c r="D12509">
        <v>42</v>
      </c>
      <c r="E12509" s="80">
        <v>35816</v>
      </c>
    </row>
    <row r="12510" spans="1:5">
      <c r="A12510">
        <v>10845</v>
      </c>
      <c r="B12510" t="s">
        <v>176</v>
      </c>
      <c r="C12510">
        <v>529.19999912381172</v>
      </c>
      <c r="D12510">
        <v>42</v>
      </c>
      <c r="E12510" s="80">
        <v>35816</v>
      </c>
    </row>
    <row r="12511" spans="1:5">
      <c r="A12511">
        <v>10845</v>
      </c>
      <c r="B12511" t="s">
        <v>177</v>
      </c>
      <c r="C12511">
        <v>529.19999912381172</v>
      </c>
      <c r="D12511">
        <v>42</v>
      </c>
      <c r="E12511" s="80">
        <v>35816</v>
      </c>
    </row>
    <row r="12512" spans="1:5">
      <c r="A12512">
        <v>10845</v>
      </c>
      <c r="B12512" t="s">
        <v>178</v>
      </c>
      <c r="C12512">
        <v>529.19999912381172</v>
      </c>
      <c r="D12512">
        <v>42</v>
      </c>
      <c r="E12512" s="80">
        <v>35816</v>
      </c>
    </row>
    <row r="12513" spans="1:5">
      <c r="A12513">
        <v>10845</v>
      </c>
      <c r="B12513" t="s">
        <v>179</v>
      </c>
      <c r="C12513">
        <v>529.19999912381172</v>
      </c>
      <c r="D12513">
        <v>42</v>
      </c>
      <c r="E12513" s="80">
        <v>35816</v>
      </c>
    </row>
    <row r="12514" spans="1:5">
      <c r="A12514">
        <v>10845</v>
      </c>
      <c r="B12514" t="s">
        <v>172</v>
      </c>
      <c r="C12514">
        <v>715.49999881535769</v>
      </c>
      <c r="D12514">
        <v>60</v>
      </c>
      <c r="E12514" s="80">
        <v>35816</v>
      </c>
    </row>
    <row r="12515" spans="1:5">
      <c r="A12515">
        <v>10845</v>
      </c>
      <c r="B12515" t="s">
        <v>173</v>
      </c>
      <c r="C12515">
        <v>715.49999881535769</v>
      </c>
      <c r="D12515">
        <v>60</v>
      </c>
      <c r="E12515" s="80">
        <v>35816</v>
      </c>
    </row>
    <row r="12516" spans="1:5">
      <c r="A12516">
        <v>10845</v>
      </c>
      <c r="B12516" t="s">
        <v>174</v>
      </c>
      <c r="C12516">
        <v>715.49999881535769</v>
      </c>
      <c r="D12516">
        <v>60</v>
      </c>
      <c r="E12516" s="80">
        <v>35816</v>
      </c>
    </row>
    <row r="12517" spans="1:5">
      <c r="A12517">
        <v>10845</v>
      </c>
      <c r="B12517" t="s">
        <v>175</v>
      </c>
      <c r="C12517">
        <v>715.49999881535769</v>
      </c>
      <c r="D12517">
        <v>60</v>
      </c>
      <c r="E12517" s="80">
        <v>35816</v>
      </c>
    </row>
    <row r="12518" spans="1:5">
      <c r="A12518">
        <v>10845</v>
      </c>
      <c r="B12518" t="s">
        <v>176</v>
      </c>
      <c r="C12518">
        <v>715.49999881535769</v>
      </c>
      <c r="D12518">
        <v>60</v>
      </c>
      <c r="E12518" s="80">
        <v>35816</v>
      </c>
    </row>
    <row r="12519" spans="1:5">
      <c r="A12519">
        <v>10845</v>
      </c>
      <c r="B12519" t="s">
        <v>177</v>
      </c>
      <c r="C12519">
        <v>715.49999881535769</v>
      </c>
      <c r="D12519">
        <v>60</v>
      </c>
      <c r="E12519" s="80">
        <v>35816</v>
      </c>
    </row>
    <row r="12520" spans="1:5">
      <c r="A12520">
        <v>10845</v>
      </c>
      <c r="B12520" t="s">
        <v>178</v>
      </c>
      <c r="C12520">
        <v>715.49999881535769</v>
      </c>
      <c r="D12520">
        <v>60</v>
      </c>
      <c r="E12520" s="80">
        <v>35816</v>
      </c>
    </row>
    <row r="12521" spans="1:5">
      <c r="A12521">
        <v>10845</v>
      </c>
      <c r="B12521" t="s">
        <v>179</v>
      </c>
      <c r="C12521">
        <v>715.49999881535769</v>
      </c>
      <c r="D12521">
        <v>60</v>
      </c>
      <c r="E12521" s="80">
        <v>35816</v>
      </c>
    </row>
    <row r="12522" spans="1:5">
      <c r="A12522">
        <v>10845</v>
      </c>
      <c r="B12522" t="s">
        <v>172</v>
      </c>
      <c r="C12522">
        <v>1596</v>
      </c>
      <c r="D12522">
        <v>48</v>
      </c>
      <c r="E12522" s="80">
        <v>35816</v>
      </c>
    </row>
    <row r="12523" spans="1:5">
      <c r="A12523">
        <v>10845</v>
      </c>
      <c r="B12523" t="s">
        <v>173</v>
      </c>
      <c r="C12523">
        <v>1596</v>
      </c>
      <c r="D12523">
        <v>48</v>
      </c>
      <c r="E12523" s="80">
        <v>35816</v>
      </c>
    </row>
    <row r="12524" spans="1:5">
      <c r="A12524">
        <v>10845</v>
      </c>
      <c r="B12524" t="s">
        <v>174</v>
      </c>
      <c r="C12524">
        <v>1596</v>
      </c>
      <c r="D12524">
        <v>48</v>
      </c>
      <c r="E12524" s="80">
        <v>35816</v>
      </c>
    </row>
    <row r="12525" spans="1:5">
      <c r="A12525">
        <v>10845</v>
      </c>
      <c r="B12525" t="s">
        <v>175</v>
      </c>
      <c r="C12525">
        <v>1596</v>
      </c>
      <c r="D12525">
        <v>48</v>
      </c>
      <c r="E12525" s="80">
        <v>35816</v>
      </c>
    </row>
    <row r="12526" spans="1:5">
      <c r="A12526">
        <v>10845</v>
      </c>
      <c r="B12526" t="s">
        <v>176</v>
      </c>
      <c r="C12526">
        <v>1596</v>
      </c>
      <c r="D12526">
        <v>48</v>
      </c>
      <c r="E12526" s="80">
        <v>35816</v>
      </c>
    </row>
    <row r="12527" spans="1:5">
      <c r="A12527">
        <v>10845</v>
      </c>
      <c r="B12527" t="s">
        <v>177</v>
      </c>
      <c r="C12527">
        <v>1596</v>
      </c>
      <c r="D12527">
        <v>48</v>
      </c>
      <c r="E12527" s="80">
        <v>35816</v>
      </c>
    </row>
    <row r="12528" spans="1:5">
      <c r="A12528">
        <v>10845</v>
      </c>
      <c r="B12528" t="s">
        <v>178</v>
      </c>
      <c r="C12528">
        <v>1596</v>
      </c>
      <c r="D12528">
        <v>48</v>
      </c>
      <c r="E12528" s="80">
        <v>35816</v>
      </c>
    </row>
    <row r="12529" spans="1:5">
      <c r="A12529">
        <v>10845</v>
      </c>
      <c r="B12529" t="s">
        <v>179</v>
      </c>
      <c r="C12529">
        <v>1596</v>
      </c>
      <c r="D12529">
        <v>48</v>
      </c>
      <c r="E12529" s="80">
        <v>35816</v>
      </c>
    </row>
    <row r="12530" spans="1:5">
      <c r="A12530">
        <v>10846</v>
      </c>
      <c r="B12530" t="s">
        <v>172</v>
      </c>
      <c r="C12530">
        <v>462</v>
      </c>
      <c r="D12530">
        <v>21</v>
      </c>
      <c r="E12530" s="80">
        <v>35817</v>
      </c>
    </row>
    <row r="12531" spans="1:5">
      <c r="A12531">
        <v>10846</v>
      </c>
      <c r="B12531" t="s">
        <v>173</v>
      </c>
      <c r="C12531">
        <v>462</v>
      </c>
      <c r="D12531">
        <v>21</v>
      </c>
      <c r="E12531" s="80">
        <v>35817</v>
      </c>
    </row>
    <row r="12532" spans="1:5">
      <c r="A12532">
        <v>10846</v>
      </c>
      <c r="B12532" t="s">
        <v>174</v>
      </c>
      <c r="C12532">
        <v>462</v>
      </c>
      <c r="D12532">
        <v>21</v>
      </c>
      <c r="E12532" s="80">
        <v>35817</v>
      </c>
    </row>
    <row r="12533" spans="1:5">
      <c r="A12533">
        <v>10846</v>
      </c>
      <c r="B12533" t="s">
        <v>175</v>
      </c>
      <c r="C12533">
        <v>462</v>
      </c>
      <c r="D12533">
        <v>21</v>
      </c>
      <c r="E12533" s="80">
        <v>35817</v>
      </c>
    </row>
    <row r="12534" spans="1:5">
      <c r="A12534">
        <v>10846</v>
      </c>
      <c r="B12534" t="s">
        <v>176</v>
      </c>
      <c r="C12534">
        <v>462</v>
      </c>
      <c r="D12534">
        <v>21</v>
      </c>
      <c r="E12534" s="80">
        <v>35817</v>
      </c>
    </row>
    <row r="12535" spans="1:5">
      <c r="A12535">
        <v>10846</v>
      </c>
      <c r="B12535" t="s">
        <v>177</v>
      </c>
      <c r="C12535">
        <v>462</v>
      </c>
      <c r="D12535">
        <v>21</v>
      </c>
      <c r="E12535" s="80">
        <v>35817</v>
      </c>
    </row>
    <row r="12536" spans="1:5">
      <c r="A12536">
        <v>10846</v>
      </c>
      <c r="B12536" t="s">
        <v>178</v>
      </c>
      <c r="C12536">
        <v>462</v>
      </c>
      <c r="D12536">
        <v>21</v>
      </c>
      <c r="E12536" s="80">
        <v>35817</v>
      </c>
    </row>
    <row r="12537" spans="1:5">
      <c r="A12537">
        <v>10846</v>
      </c>
      <c r="B12537" t="s">
        <v>179</v>
      </c>
      <c r="C12537">
        <v>462</v>
      </c>
      <c r="D12537">
        <v>21</v>
      </c>
      <c r="E12537" s="80">
        <v>35817</v>
      </c>
    </row>
    <row r="12538" spans="1:5">
      <c r="A12538">
        <v>10846</v>
      </c>
      <c r="B12538" t="s">
        <v>172</v>
      </c>
      <c r="C12538">
        <v>450</v>
      </c>
      <c r="D12538">
        <v>30</v>
      </c>
      <c r="E12538" s="80">
        <v>35817</v>
      </c>
    </row>
    <row r="12539" spans="1:5">
      <c r="A12539">
        <v>10846</v>
      </c>
      <c r="B12539" t="s">
        <v>173</v>
      </c>
      <c r="C12539">
        <v>450</v>
      </c>
      <c r="D12539">
        <v>30</v>
      </c>
      <c r="E12539" s="80">
        <v>35817</v>
      </c>
    </row>
    <row r="12540" spans="1:5">
      <c r="A12540">
        <v>10846</v>
      </c>
      <c r="B12540" t="s">
        <v>174</v>
      </c>
      <c r="C12540">
        <v>450</v>
      </c>
      <c r="D12540">
        <v>30</v>
      </c>
      <c r="E12540" s="80">
        <v>35817</v>
      </c>
    </row>
    <row r="12541" spans="1:5">
      <c r="A12541">
        <v>10846</v>
      </c>
      <c r="B12541" t="s">
        <v>175</v>
      </c>
      <c r="C12541">
        <v>450</v>
      </c>
      <c r="D12541">
        <v>30</v>
      </c>
      <c r="E12541" s="80">
        <v>35817</v>
      </c>
    </row>
    <row r="12542" spans="1:5">
      <c r="A12542">
        <v>10846</v>
      </c>
      <c r="B12542" t="s">
        <v>176</v>
      </c>
      <c r="C12542">
        <v>450</v>
      </c>
      <c r="D12542">
        <v>30</v>
      </c>
      <c r="E12542" s="80">
        <v>35817</v>
      </c>
    </row>
    <row r="12543" spans="1:5">
      <c r="A12543">
        <v>10846</v>
      </c>
      <c r="B12543" t="s">
        <v>177</v>
      </c>
      <c r="C12543">
        <v>450</v>
      </c>
      <c r="D12543">
        <v>30</v>
      </c>
      <c r="E12543" s="80">
        <v>35817</v>
      </c>
    </row>
    <row r="12544" spans="1:5">
      <c r="A12544">
        <v>10846</v>
      </c>
      <c r="B12544" t="s">
        <v>178</v>
      </c>
      <c r="C12544">
        <v>450</v>
      </c>
      <c r="D12544">
        <v>30</v>
      </c>
      <c r="E12544" s="80">
        <v>35817</v>
      </c>
    </row>
    <row r="12545" spans="1:5">
      <c r="A12545">
        <v>10846</v>
      </c>
      <c r="B12545" t="s">
        <v>179</v>
      </c>
      <c r="C12545">
        <v>450</v>
      </c>
      <c r="D12545">
        <v>30</v>
      </c>
      <c r="E12545" s="80">
        <v>35817</v>
      </c>
    </row>
    <row r="12546" spans="1:5">
      <c r="A12546">
        <v>10846</v>
      </c>
      <c r="B12546" t="s">
        <v>172</v>
      </c>
      <c r="C12546">
        <v>200</v>
      </c>
      <c r="D12546">
        <v>20</v>
      </c>
      <c r="E12546" s="80">
        <v>35817</v>
      </c>
    </row>
    <row r="12547" spans="1:5">
      <c r="A12547">
        <v>10846</v>
      </c>
      <c r="B12547" t="s">
        <v>173</v>
      </c>
      <c r="C12547">
        <v>200</v>
      </c>
      <c r="D12547">
        <v>20</v>
      </c>
      <c r="E12547" s="80">
        <v>35817</v>
      </c>
    </row>
    <row r="12548" spans="1:5">
      <c r="A12548">
        <v>10846</v>
      </c>
      <c r="B12548" t="s">
        <v>174</v>
      </c>
      <c r="C12548">
        <v>200</v>
      </c>
      <c r="D12548">
        <v>20</v>
      </c>
      <c r="E12548" s="80">
        <v>35817</v>
      </c>
    </row>
    <row r="12549" spans="1:5">
      <c r="A12549">
        <v>10846</v>
      </c>
      <c r="B12549" t="s">
        <v>175</v>
      </c>
      <c r="C12549">
        <v>200</v>
      </c>
      <c r="D12549">
        <v>20</v>
      </c>
      <c r="E12549" s="80">
        <v>35817</v>
      </c>
    </row>
    <row r="12550" spans="1:5">
      <c r="A12550">
        <v>10846</v>
      </c>
      <c r="B12550" t="s">
        <v>176</v>
      </c>
      <c r="C12550">
        <v>200</v>
      </c>
      <c r="D12550">
        <v>20</v>
      </c>
      <c r="E12550" s="80">
        <v>35817</v>
      </c>
    </row>
    <row r="12551" spans="1:5">
      <c r="A12551">
        <v>10846</v>
      </c>
      <c r="B12551" t="s">
        <v>177</v>
      </c>
      <c r="C12551">
        <v>200</v>
      </c>
      <c r="D12551">
        <v>20</v>
      </c>
      <c r="E12551" s="80">
        <v>35817</v>
      </c>
    </row>
    <row r="12552" spans="1:5">
      <c r="A12552">
        <v>10846</v>
      </c>
      <c r="B12552" t="s">
        <v>178</v>
      </c>
      <c r="C12552">
        <v>200</v>
      </c>
      <c r="D12552">
        <v>20</v>
      </c>
      <c r="E12552" s="80">
        <v>35817</v>
      </c>
    </row>
    <row r="12553" spans="1:5">
      <c r="A12553">
        <v>10846</v>
      </c>
      <c r="B12553" t="s">
        <v>179</v>
      </c>
      <c r="C12553">
        <v>200</v>
      </c>
      <c r="D12553">
        <v>20</v>
      </c>
      <c r="E12553" s="80">
        <v>35817</v>
      </c>
    </row>
    <row r="12554" spans="1:5">
      <c r="A12554">
        <v>10847</v>
      </c>
      <c r="B12554" t="s">
        <v>172</v>
      </c>
      <c r="C12554">
        <v>1151.9999957084656</v>
      </c>
      <c r="D12554">
        <v>80</v>
      </c>
      <c r="E12554" s="80">
        <v>35817</v>
      </c>
    </row>
    <row r="12555" spans="1:5">
      <c r="A12555">
        <v>10847</v>
      </c>
      <c r="B12555" t="s">
        <v>173</v>
      </c>
      <c r="C12555">
        <v>1151.9999957084656</v>
      </c>
      <c r="D12555">
        <v>80</v>
      </c>
      <c r="E12555" s="80">
        <v>35817</v>
      </c>
    </row>
    <row r="12556" spans="1:5">
      <c r="A12556">
        <v>10847</v>
      </c>
      <c r="B12556" t="s">
        <v>174</v>
      </c>
      <c r="C12556">
        <v>1151.9999957084656</v>
      </c>
      <c r="D12556">
        <v>80</v>
      </c>
      <c r="E12556" s="80">
        <v>35817</v>
      </c>
    </row>
    <row r="12557" spans="1:5">
      <c r="A12557">
        <v>10847</v>
      </c>
      <c r="B12557" t="s">
        <v>175</v>
      </c>
      <c r="C12557">
        <v>1151.9999957084656</v>
      </c>
      <c r="D12557">
        <v>80</v>
      </c>
      <c r="E12557" s="80">
        <v>35817</v>
      </c>
    </row>
    <row r="12558" spans="1:5">
      <c r="A12558">
        <v>10847</v>
      </c>
      <c r="B12558" t="s">
        <v>176</v>
      </c>
      <c r="C12558">
        <v>1151.9999957084656</v>
      </c>
      <c r="D12558">
        <v>80</v>
      </c>
      <c r="E12558" s="80">
        <v>35817</v>
      </c>
    </row>
    <row r="12559" spans="1:5">
      <c r="A12559">
        <v>10847</v>
      </c>
      <c r="B12559" t="s">
        <v>177</v>
      </c>
      <c r="C12559">
        <v>1151.9999957084656</v>
      </c>
      <c r="D12559">
        <v>80</v>
      </c>
      <c r="E12559" s="80">
        <v>35817</v>
      </c>
    </row>
    <row r="12560" spans="1:5">
      <c r="A12560">
        <v>10847</v>
      </c>
      <c r="B12560" t="s">
        <v>178</v>
      </c>
      <c r="C12560">
        <v>1151.9999957084656</v>
      </c>
      <c r="D12560">
        <v>80</v>
      </c>
      <c r="E12560" s="80">
        <v>35817</v>
      </c>
    </row>
    <row r="12561" spans="1:5">
      <c r="A12561">
        <v>10847</v>
      </c>
      <c r="B12561" t="s">
        <v>179</v>
      </c>
      <c r="C12561">
        <v>1151.9999957084656</v>
      </c>
      <c r="D12561">
        <v>80</v>
      </c>
      <c r="E12561" s="80">
        <v>35817</v>
      </c>
    </row>
    <row r="12562" spans="1:5">
      <c r="A12562">
        <v>10847</v>
      </c>
      <c r="B12562" t="s">
        <v>172</v>
      </c>
      <c r="C12562">
        <v>88.319999670982369</v>
      </c>
      <c r="D12562">
        <v>12</v>
      </c>
      <c r="E12562" s="80">
        <v>35817</v>
      </c>
    </row>
    <row r="12563" spans="1:5">
      <c r="A12563">
        <v>10847</v>
      </c>
      <c r="B12563" t="s">
        <v>173</v>
      </c>
      <c r="C12563">
        <v>88.319999670982369</v>
      </c>
      <c r="D12563">
        <v>12</v>
      </c>
      <c r="E12563" s="80">
        <v>35817</v>
      </c>
    </row>
    <row r="12564" spans="1:5">
      <c r="A12564">
        <v>10847</v>
      </c>
      <c r="B12564" t="s">
        <v>174</v>
      </c>
      <c r="C12564">
        <v>88.319999670982369</v>
      </c>
      <c r="D12564">
        <v>12</v>
      </c>
      <c r="E12564" s="80">
        <v>35817</v>
      </c>
    </row>
    <row r="12565" spans="1:5">
      <c r="A12565">
        <v>10847</v>
      </c>
      <c r="B12565" t="s">
        <v>175</v>
      </c>
      <c r="C12565">
        <v>88.319999670982369</v>
      </c>
      <c r="D12565">
        <v>12</v>
      </c>
      <c r="E12565" s="80">
        <v>35817</v>
      </c>
    </row>
    <row r="12566" spans="1:5">
      <c r="A12566">
        <v>10847</v>
      </c>
      <c r="B12566" t="s">
        <v>176</v>
      </c>
      <c r="C12566">
        <v>88.319999670982369</v>
      </c>
      <c r="D12566">
        <v>12</v>
      </c>
      <c r="E12566" s="80">
        <v>35817</v>
      </c>
    </row>
    <row r="12567" spans="1:5">
      <c r="A12567">
        <v>10847</v>
      </c>
      <c r="B12567" t="s">
        <v>177</v>
      </c>
      <c r="C12567">
        <v>88.319999670982369</v>
      </c>
      <c r="D12567">
        <v>12</v>
      </c>
      <c r="E12567" s="80">
        <v>35817</v>
      </c>
    </row>
    <row r="12568" spans="1:5">
      <c r="A12568">
        <v>10847</v>
      </c>
      <c r="B12568" t="s">
        <v>178</v>
      </c>
      <c r="C12568">
        <v>88.319999670982369</v>
      </c>
      <c r="D12568">
        <v>12</v>
      </c>
      <c r="E12568" s="80">
        <v>35817</v>
      </c>
    </row>
    <row r="12569" spans="1:5">
      <c r="A12569">
        <v>10847</v>
      </c>
      <c r="B12569" t="s">
        <v>179</v>
      </c>
      <c r="C12569">
        <v>88.319999670982369</v>
      </c>
      <c r="D12569">
        <v>12</v>
      </c>
      <c r="E12569" s="80">
        <v>35817</v>
      </c>
    </row>
    <row r="12570" spans="1:5">
      <c r="A12570">
        <v>10847</v>
      </c>
      <c r="B12570" t="s">
        <v>172</v>
      </c>
      <c r="C12570">
        <v>1247.9999953508377</v>
      </c>
      <c r="D12570">
        <v>60</v>
      </c>
      <c r="E12570" s="80">
        <v>35817</v>
      </c>
    </row>
    <row r="12571" spans="1:5">
      <c r="A12571">
        <v>10847</v>
      </c>
      <c r="B12571" t="s">
        <v>173</v>
      </c>
      <c r="C12571">
        <v>1247.9999953508377</v>
      </c>
      <c r="D12571">
        <v>60</v>
      </c>
      <c r="E12571" s="80">
        <v>35817</v>
      </c>
    </row>
    <row r="12572" spans="1:5">
      <c r="A12572">
        <v>10847</v>
      </c>
      <c r="B12572" t="s">
        <v>174</v>
      </c>
      <c r="C12572">
        <v>1247.9999953508377</v>
      </c>
      <c r="D12572">
        <v>60</v>
      </c>
      <c r="E12572" s="80">
        <v>35817</v>
      </c>
    </row>
    <row r="12573" spans="1:5">
      <c r="A12573">
        <v>10847</v>
      </c>
      <c r="B12573" t="s">
        <v>175</v>
      </c>
      <c r="C12573">
        <v>1247.9999953508377</v>
      </c>
      <c r="D12573">
        <v>60</v>
      </c>
      <c r="E12573" s="80">
        <v>35817</v>
      </c>
    </row>
    <row r="12574" spans="1:5">
      <c r="A12574">
        <v>10847</v>
      </c>
      <c r="B12574" t="s">
        <v>176</v>
      </c>
      <c r="C12574">
        <v>1247.9999953508377</v>
      </c>
      <c r="D12574">
        <v>60</v>
      </c>
      <c r="E12574" s="80">
        <v>35817</v>
      </c>
    </row>
    <row r="12575" spans="1:5">
      <c r="A12575">
        <v>10847</v>
      </c>
      <c r="B12575" t="s">
        <v>177</v>
      </c>
      <c r="C12575">
        <v>1247.9999953508377</v>
      </c>
      <c r="D12575">
        <v>60</v>
      </c>
      <c r="E12575" s="80">
        <v>35817</v>
      </c>
    </row>
    <row r="12576" spans="1:5">
      <c r="A12576">
        <v>10847</v>
      </c>
      <c r="B12576" t="s">
        <v>178</v>
      </c>
      <c r="C12576">
        <v>1247.9999953508377</v>
      </c>
      <c r="D12576">
        <v>60</v>
      </c>
      <c r="E12576" s="80">
        <v>35817</v>
      </c>
    </row>
    <row r="12577" spans="1:5">
      <c r="A12577">
        <v>10847</v>
      </c>
      <c r="B12577" t="s">
        <v>179</v>
      </c>
      <c r="C12577">
        <v>1247.9999953508377</v>
      </c>
      <c r="D12577">
        <v>60</v>
      </c>
      <c r="E12577" s="80">
        <v>35817</v>
      </c>
    </row>
    <row r="12578" spans="1:5">
      <c r="A12578">
        <v>10847</v>
      </c>
      <c r="B12578" t="s">
        <v>172</v>
      </c>
      <c r="C12578">
        <v>273.59999898076057</v>
      </c>
      <c r="D12578">
        <v>36</v>
      </c>
      <c r="E12578" s="80">
        <v>35817</v>
      </c>
    </row>
    <row r="12579" spans="1:5">
      <c r="A12579">
        <v>10847</v>
      </c>
      <c r="B12579" t="s">
        <v>173</v>
      </c>
      <c r="C12579">
        <v>273.59999898076057</v>
      </c>
      <c r="D12579">
        <v>36</v>
      </c>
      <c r="E12579" s="80">
        <v>35817</v>
      </c>
    </row>
    <row r="12580" spans="1:5">
      <c r="A12580">
        <v>10847</v>
      </c>
      <c r="B12580" t="s">
        <v>174</v>
      </c>
      <c r="C12580">
        <v>273.59999898076057</v>
      </c>
      <c r="D12580">
        <v>36</v>
      </c>
      <c r="E12580" s="80">
        <v>35817</v>
      </c>
    </row>
    <row r="12581" spans="1:5">
      <c r="A12581">
        <v>10847</v>
      </c>
      <c r="B12581" t="s">
        <v>175</v>
      </c>
      <c r="C12581">
        <v>273.59999898076057</v>
      </c>
      <c r="D12581">
        <v>36</v>
      </c>
      <c r="E12581" s="80">
        <v>35817</v>
      </c>
    </row>
    <row r="12582" spans="1:5">
      <c r="A12582">
        <v>10847</v>
      </c>
      <c r="B12582" t="s">
        <v>176</v>
      </c>
      <c r="C12582">
        <v>273.59999898076057</v>
      </c>
      <c r="D12582">
        <v>36</v>
      </c>
      <c r="E12582" s="80">
        <v>35817</v>
      </c>
    </row>
    <row r="12583" spans="1:5">
      <c r="A12583">
        <v>10847</v>
      </c>
      <c r="B12583" t="s">
        <v>177</v>
      </c>
      <c r="C12583">
        <v>273.59999898076057</v>
      </c>
      <c r="D12583">
        <v>36</v>
      </c>
      <c r="E12583" s="80">
        <v>35817</v>
      </c>
    </row>
    <row r="12584" spans="1:5">
      <c r="A12584">
        <v>10847</v>
      </c>
      <c r="B12584" t="s">
        <v>178</v>
      </c>
      <c r="C12584">
        <v>273.59999898076057</v>
      </c>
      <c r="D12584">
        <v>36</v>
      </c>
      <c r="E12584" s="80">
        <v>35817</v>
      </c>
    </row>
    <row r="12585" spans="1:5">
      <c r="A12585">
        <v>10847</v>
      </c>
      <c r="B12585" t="s">
        <v>179</v>
      </c>
      <c r="C12585">
        <v>273.59999898076057</v>
      </c>
      <c r="D12585">
        <v>36</v>
      </c>
      <c r="E12585" s="80">
        <v>35817</v>
      </c>
    </row>
    <row r="12586" spans="1:5">
      <c r="A12586">
        <v>10847</v>
      </c>
      <c r="B12586" t="s">
        <v>172</v>
      </c>
      <c r="C12586">
        <v>1223.9999954402447</v>
      </c>
      <c r="D12586">
        <v>45</v>
      </c>
      <c r="E12586" s="80">
        <v>35817</v>
      </c>
    </row>
    <row r="12587" spans="1:5">
      <c r="A12587">
        <v>10847</v>
      </c>
      <c r="B12587" t="s">
        <v>173</v>
      </c>
      <c r="C12587">
        <v>1223.9999954402447</v>
      </c>
      <c r="D12587">
        <v>45</v>
      </c>
      <c r="E12587" s="80">
        <v>35817</v>
      </c>
    </row>
    <row r="12588" spans="1:5">
      <c r="A12588">
        <v>10847</v>
      </c>
      <c r="B12588" t="s">
        <v>174</v>
      </c>
      <c r="C12588">
        <v>1223.9999954402447</v>
      </c>
      <c r="D12588">
        <v>45</v>
      </c>
      <c r="E12588" s="80">
        <v>35817</v>
      </c>
    </row>
    <row r="12589" spans="1:5">
      <c r="A12589">
        <v>10847</v>
      </c>
      <c r="B12589" t="s">
        <v>175</v>
      </c>
      <c r="C12589">
        <v>1223.9999954402447</v>
      </c>
      <c r="D12589">
        <v>45</v>
      </c>
      <c r="E12589" s="80">
        <v>35817</v>
      </c>
    </row>
    <row r="12590" spans="1:5">
      <c r="A12590">
        <v>10847</v>
      </c>
      <c r="B12590" t="s">
        <v>176</v>
      </c>
      <c r="C12590">
        <v>1223.9999954402447</v>
      </c>
      <c r="D12590">
        <v>45</v>
      </c>
      <c r="E12590" s="80">
        <v>35817</v>
      </c>
    </row>
    <row r="12591" spans="1:5">
      <c r="A12591">
        <v>10847</v>
      </c>
      <c r="B12591" t="s">
        <v>177</v>
      </c>
      <c r="C12591">
        <v>1223.9999954402447</v>
      </c>
      <c r="D12591">
        <v>45</v>
      </c>
      <c r="E12591" s="80">
        <v>35817</v>
      </c>
    </row>
    <row r="12592" spans="1:5">
      <c r="A12592">
        <v>10847</v>
      </c>
      <c r="B12592" t="s">
        <v>178</v>
      </c>
      <c r="C12592">
        <v>1223.9999954402447</v>
      </c>
      <c r="D12592">
        <v>45</v>
      </c>
      <c r="E12592" s="80">
        <v>35817</v>
      </c>
    </row>
    <row r="12593" spans="1:5">
      <c r="A12593">
        <v>10847</v>
      </c>
      <c r="B12593" t="s">
        <v>179</v>
      </c>
      <c r="C12593">
        <v>1223.9999954402447</v>
      </c>
      <c r="D12593">
        <v>45</v>
      </c>
      <c r="E12593" s="80">
        <v>35817</v>
      </c>
    </row>
    <row r="12594" spans="1:5">
      <c r="A12594">
        <v>10847</v>
      </c>
      <c r="B12594" t="s">
        <v>172</v>
      </c>
      <c r="C12594">
        <v>945.99999647587538</v>
      </c>
      <c r="D12594">
        <v>55</v>
      </c>
      <c r="E12594" s="80">
        <v>35817</v>
      </c>
    </row>
    <row r="12595" spans="1:5">
      <c r="A12595">
        <v>10847</v>
      </c>
      <c r="B12595" t="s">
        <v>173</v>
      </c>
      <c r="C12595">
        <v>945.99999647587538</v>
      </c>
      <c r="D12595">
        <v>55</v>
      </c>
      <c r="E12595" s="80">
        <v>35817</v>
      </c>
    </row>
    <row r="12596" spans="1:5">
      <c r="A12596">
        <v>10847</v>
      </c>
      <c r="B12596" t="s">
        <v>174</v>
      </c>
      <c r="C12596">
        <v>945.99999647587538</v>
      </c>
      <c r="D12596">
        <v>55</v>
      </c>
      <c r="E12596" s="80">
        <v>35817</v>
      </c>
    </row>
    <row r="12597" spans="1:5">
      <c r="A12597">
        <v>10847</v>
      </c>
      <c r="B12597" t="s">
        <v>175</v>
      </c>
      <c r="C12597">
        <v>945.99999647587538</v>
      </c>
      <c r="D12597">
        <v>55</v>
      </c>
      <c r="E12597" s="80">
        <v>35817</v>
      </c>
    </row>
    <row r="12598" spans="1:5">
      <c r="A12598">
        <v>10847</v>
      </c>
      <c r="B12598" t="s">
        <v>176</v>
      </c>
      <c r="C12598">
        <v>945.99999647587538</v>
      </c>
      <c r="D12598">
        <v>55</v>
      </c>
      <c r="E12598" s="80">
        <v>35817</v>
      </c>
    </row>
    <row r="12599" spans="1:5">
      <c r="A12599">
        <v>10847</v>
      </c>
      <c r="B12599" t="s">
        <v>177</v>
      </c>
      <c r="C12599">
        <v>945.99999647587538</v>
      </c>
      <c r="D12599">
        <v>55</v>
      </c>
      <c r="E12599" s="80">
        <v>35817</v>
      </c>
    </row>
    <row r="12600" spans="1:5">
      <c r="A12600">
        <v>10847</v>
      </c>
      <c r="B12600" t="s">
        <v>178</v>
      </c>
      <c r="C12600">
        <v>945.99999647587538</v>
      </c>
      <c r="D12600">
        <v>55</v>
      </c>
      <c r="E12600" s="80">
        <v>35817</v>
      </c>
    </row>
    <row r="12601" spans="1:5">
      <c r="A12601">
        <v>10847</v>
      </c>
      <c r="B12601" t="s">
        <v>179</v>
      </c>
      <c r="C12601">
        <v>945.99999647587538</v>
      </c>
      <c r="D12601">
        <v>55</v>
      </c>
      <c r="E12601" s="80">
        <v>35817</v>
      </c>
    </row>
    <row r="12602" spans="1:5">
      <c r="A12602">
        <v>10848</v>
      </c>
      <c r="B12602" t="s">
        <v>172</v>
      </c>
      <c r="C12602">
        <v>640.5</v>
      </c>
      <c r="D12602">
        <v>30</v>
      </c>
      <c r="E12602" s="80">
        <v>35818</v>
      </c>
    </row>
    <row r="12603" spans="1:5">
      <c r="A12603">
        <v>10848</v>
      </c>
      <c r="B12603" t="s">
        <v>173</v>
      </c>
      <c r="C12603">
        <v>640.5</v>
      </c>
      <c r="D12603">
        <v>30</v>
      </c>
      <c r="E12603" s="80">
        <v>35818</v>
      </c>
    </row>
    <row r="12604" spans="1:5">
      <c r="A12604">
        <v>10848</v>
      </c>
      <c r="B12604" t="s">
        <v>174</v>
      </c>
      <c r="C12604">
        <v>640.5</v>
      </c>
      <c r="D12604">
        <v>30</v>
      </c>
      <c r="E12604" s="80">
        <v>35818</v>
      </c>
    </row>
    <row r="12605" spans="1:5">
      <c r="A12605">
        <v>10848</v>
      </c>
      <c r="B12605" t="s">
        <v>175</v>
      </c>
      <c r="C12605">
        <v>640.5</v>
      </c>
      <c r="D12605">
        <v>30</v>
      </c>
      <c r="E12605" s="80">
        <v>35818</v>
      </c>
    </row>
    <row r="12606" spans="1:5">
      <c r="A12606">
        <v>10848</v>
      </c>
      <c r="B12606" t="s">
        <v>176</v>
      </c>
      <c r="C12606">
        <v>640.5</v>
      </c>
      <c r="D12606">
        <v>30</v>
      </c>
      <c r="E12606" s="80">
        <v>35818</v>
      </c>
    </row>
    <row r="12607" spans="1:5">
      <c r="A12607">
        <v>10848</v>
      </c>
      <c r="B12607" t="s">
        <v>177</v>
      </c>
      <c r="C12607">
        <v>640.5</v>
      </c>
      <c r="D12607">
        <v>30</v>
      </c>
      <c r="E12607" s="80">
        <v>35818</v>
      </c>
    </row>
    <row r="12608" spans="1:5">
      <c r="A12608">
        <v>10848</v>
      </c>
      <c r="B12608" t="s">
        <v>178</v>
      </c>
      <c r="C12608">
        <v>640.5</v>
      </c>
      <c r="D12608">
        <v>30</v>
      </c>
      <c r="E12608" s="80">
        <v>35818</v>
      </c>
    </row>
    <row r="12609" spans="1:5">
      <c r="A12609">
        <v>10848</v>
      </c>
      <c r="B12609" t="s">
        <v>179</v>
      </c>
      <c r="C12609">
        <v>640.5</v>
      </c>
      <c r="D12609">
        <v>30</v>
      </c>
      <c r="E12609" s="80">
        <v>35818</v>
      </c>
    </row>
    <row r="12610" spans="1:5">
      <c r="A12610">
        <v>10848</v>
      </c>
      <c r="B12610" t="s">
        <v>172</v>
      </c>
      <c r="C12610">
        <v>291</v>
      </c>
      <c r="D12610">
        <v>3</v>
      </c>
      <c r="E12610" s="80">
        <v>35818</v>
      </c>
    </row>
    <row r="12611" spans="1:5">
      <c r="A12611">
        <v>10848</v>
      </c>
      <c r="B12611" t="s">
        <v>173</v>
      </c>
      <c r="C12611">
        <v>291</v>
      </c>
      <c r="D12611">
        <v>3</v>
      </c>
      <c r="E12611" s="80">
        <v>35818</v>
      </c>
    </row>
    <row r="12612" spans="1:5">
      <c r="A12612">
        <v>10848</v>
      </c>
      <c r="B12612" t="s">
        <v>174</v>
      </c>
      <c r="C12612">
        <v>291</v>
      </c>
      <c r="D12612">
        <v>3</v>
      </c>
      <c r="E12612" s="80">
        <v>35818</v>
      </c>
    </row>
    <row r="12613" spans="1:5">
      <c r="A12613">
        <v>10848</v>
      </c>
      <c r="B12613" t="s">
        <v>175</v>
      </c>
      <c r="C12613">
        <v>291</v>
      </c>
      <c r="D12613">
        <v>3</v>
      </c>
      <c r="E12613" s="80">
        <v>35818</v>
      </c>
    </row>
    <row r="12614" spans="1:5">
      <c r="A12614">
        <v>10848</v>
      </c>
      <c r="B12614" t="s">
        <v>176</v>
      </c>
      <c r="C12614">
        <v>291</v>
      </c>
      <c r="D12614">
        <v>3</v>
      </c>
      <c r="E12614" s="80">
        <v>35818</v>
      </c>
    </row>
    <row r="12615" spans="1:5">
      <c r="A12615">
        <v>10848</v>
      </c>
      <c r="B12615" t="s">
        <v>177</v>
      </c>
      <c r="C12615">
        <v>291</v>
      </c>
      <c r="D12615">
        <v>3</v>
      </c>
      <c r="E12615" s="80">
        <v>35818</v>
      </c>
    </row>
    <row r="12616" spans="1:5">
      <c r="A12616">
        <v>10848</v>
      </c>
      <c r="B12616" t="s">
        <v>178</v>
      </c>
      <c r="C12616">
        <v>291</v>
      </c>
      <c r="D12616">
        <v>3</v>
      </c>
      <c r="E12616" s="80">
        <v>35818</v>
      </c>
    </row>
    <row r="12617" spans="1:5">
      <c r="A12617">
        <v>10848</v>
      </c>
      <c r="B12617" t="s">
        <v>179</v>
      </c>
      <c r="C12617">
        <v>291</v>
      </c>
      <c r="D12617">
        <v>3</v>
      </c>
      <c r="E12617" s="80">
        <v>35818</v>
      </c>
    </row>
    <row r="12618" spans="1:5">
      <c r="A12618">
        <v>10849</v>
      </c>
      <c r="B12618" t="s">
        <v>172</v>
      </c>
      <c r="C12618">
        <v>490</v>
      </c>
      <c r="D12618">
        <v>49</v>
      </c>
      <c r="E12618" s="80">
        <v>35818</v>
      </c>
    </row>
    <row r="12619" spans="1:5">
      <c r="A12619">
        <v>10849</v>
      </c>
      <c r="B12619" t="s">
        <v>173</v>
      </c>
      <c r="C12619">
        <v>490</v>
      </c>
      <c r="D12619">
        <v>49</v>
      </c>
      <c r="E12619" s="80">
        <v>35818</v>
      </c>
    </row>
    <row r="12620" spans="1:5">
      <c r="A12620">
        <v>10849</v>
      </c>
      <c r="B12620" t="s">
        <v>174</v>
      </c>
      <c r="C12620">
        <v>490</v>
      </c>
      <c r="D12620">
        <v>49</v>
      </c>
      <c r="E12620" s="80">
        <v>35818</v>
      </c>
    </row>
    <row r="12621" spans="1:5">
      <c r="A12621">
        <v>10849</v>
      </c>
      <c r="B12621" t="s">
        <v>175</v>
      </c>
      <c r="C12621">
        <v>490</v>
      </c>
      <c r="D12621">
        <v>49</v>
      </c>
      <c r="E12621" s="80">
        <v>35818</v>
      </c>
    </row>
    <row r="12622" spans="1:5">
      <c r="A12622">
        <v>10849</v>
      </c>
      <c r="B12622" t="s">
        <v>176</v>
      </c>
      <c r="C12622">
        <v>490</v>
      </c>
      <c r="D12622">
        <v>49</v>
      </c>
      <c r="E12622" s="80">
        <v>35818</v>
      </c>
    </row>
    <row r="12623" spans="1:5">
      <c r="A12623">
        <v>10849</v>
      </c>
      <c r="B12623" t="s">
        <v>177</v>
      </c>
      <c r="C12623">
        <v>490</v>
      </c>
      <c r="D12623">
        <v>49</v>
      </c>
      <c r="E12623" s="80">
        <v>35818</v>
      </c>
    </row>
    <row r="12624" spans="1:5">
      <c r="A12624">
        <v>10849</v>
      </c>
      <c r="B12624" t="s">
        <v>178</v>
      </c>
      <c r="C12624">
        <v>490</v>
      </c>
      <c r="D12624">
        <v>49</v>
      </c>
      <c r="E12624" s="80">
        <v>35818</v>
      </c>
    </row>
    <row r="12625" spans="1:5">
      <c r="A12625">
        <v>10849</v>
      </c>
      <c r="B12625" t="s">
        <v>179</v>
      </c>
      <c r="C12625">
        <v>490</v>
      </c>
      <c r="D12625">
        <v>49</v>
      </c>
      <c r="E12625" s="80">
        <v>35818</v>
      </c>
    </row>
    <row r="12626" spans="1:5">
      <c r="A12626">
        <v>10849</v>
      </c>
      <c r="B12626" t="s">
        <v>172</v>
      </c>
      <c r="C12626">
        <v>477.81899664938447</v>
      </c>
      <c r="D12626">
        <v>18</v>
      </c>
      <c r="E12626" s="80">
        <v>35818</v>
      </c>
    </row>
    <row r="12627" spans="1:5">
      <c r="A12627">
        <v>10849</v>
      </c>
      <c r="B12627" t="s">
        <v>173</v>
      </c>
      <c r="C12627">
        <v>477.81899664938447</v>
      </c>
      <c r="D12627">
        <v>18</v>
      </c>
      <c r="E12627" s="80">
        <v>35818</v>
      </c>
    </row>
    <row r="12628" spans="1:5">
      <c r="A12628">
        <v>10849</v>
      </c>
      <c r="B12628" t="s">
        <v>174</v>
      </c>
      <c r="C12628">
        <v>477.81899664938447</v>
      </c>
      <c r="D12628">
        <v>18</v>
      </c>
      <c r="E12628" s="80">
        <v>35818</v>
      </c>
    </row>
    <row r="12629" spans="1:5">
      <c r="A12629">
        <v>10849</v>
      </c>
      <c r="B12629" t="s">
        <v>175</v>
      </c>
      <c r="C12629">
        <v>477.81899664938447</v>
      </c>
      <c r="D12629">
        <v>18</v>
      </c>
      <c r="E12629" s="80">
        <v>35818</v>
      </c>
    </row>
    <row r="12630" spans="1:5">
      <c r="A12630">
        <v>10849</v>
      </c>
      <c r="B12630" t="s">
        <v>176</v>
      </c>
      <c r="C12630">
        <v>477.81899664938447</v>
      </c>
      <c r="D12630">
        <v>18</v>
      </c>
      <c r="E12630" s="80">
        <v>35818</v>
      </c>
    </row>
    <row r="12631" spans="1:5">
      <c r="A12631">
        <v>10849</v>
      </c>
      <c r="B12631" t="s">
        <v>177</v>
      </c>
      <c r="C12631">
        <v>477.81899664938447</v>
      </c>
      <c r="D12631">
        <v>18</v>
      </c>
      <c r="E12631" s="80">
        <v>35818</v>
      </c>
    </row>
    <row r="12632" spans="1:5">
      <c r="A12632">
        <v>10849</v>
      </c>
      <c r="B12632" t="s">
        <v>178</v>
      </c>
      <c r="C12632">
        <v>477.81899664938447</v>
      </c>
      <c r="D12632">
        <v>18</v>
      </c>
      <c r="E12632" s="80">
        <v>35818</v>
      </c>
    </row>
    <row r="12633" spans="1:5">
      <c r="A12633">
        <v>10849</v>
      </c>
      <c r="B12633" t="s">
        <v>179</v>
      </c>
      <c r="C12633">
        <v>477.81899664938447</v>
      </c>
      <c r="D12633">
        <v>18</v>
      </c>
      <c r="E12633" s="80">
        <v>35818</v>
      </c>
    </row>
    <row r="12634" spans="1:5">
      <c r="A12634">
        <v>10850</v>
      </c>
      <c r="B12634" t="s">
        <v>172</v>
      </c>
      <c r="C12634">
        <v>237.99999833106995</v>
      </c>
      <c r="D12634">
        <v>20</v>
      </c>
      <c r="E12634" s="80">
        <v>35818</v>
      </c>
    </row>
    <row r="12635" spans="1:5">
      <c r="A12635">
        <v>10850</v>
      </c>
      <c r="B12635" t="s">
        <v>173</v>
      </c>
      <c r="C12635">
        <v>237.99999833106995</v>
      </c>
      <c r="D12635">
        <v>20</v>
      </c>
      <c r="E12635" s="80">
        <v>35818</v>
      </c>
    </row>
    <row r="12636" spans="1:5">
      <c r="A12636">
        <v>10850</v>
      </c>
      <c r="B12636" t="s">
        <v>174</v>
      </c>
      <c r="C12636">
        <v>237.99999833106995</v>
      </c>
      <c r="D12636">
        <v>20</v>
      </c>
      <c r="E12636" s="80">
        <v>35818</v>
      </c>
    </row>
    <row r="12637" spans="1:5">
      <c r="A12637">
        <v>10850</v>
      </c>
      <c r="B12637" t="s">
        <v>175</v>
      </c>
      <c r="C12637">
        <v>237.99999833106995</v>
      </c>
      <c r="D12637">
        <v>20</v>
      </c>
      <c r="E12637" s="80">
        <v>35818</v>
      </c>
    </row>
    <row r="12638" spans="1:5">
      <c r="A12638">
        <v>10850</v>
      </c>
      <c r="B12638" t="s">
        <v>176</v>
      </c>
      <c r="C12638">
        <v>237.99999833106995</v>
      </c>
      <c r="D12638">
        <v>20</v>
      </c>
      <c r="E12638" s="80">
        <v>35818</v>
      </c>
    </row>
    <row r="12639" spans="1:5">
      <c r="A12639">
        <v>10850</v>
      </c>
      <c r="B12639" t="s">
        <v>177</v>
      </c>
      <c r="C12639">
        <v>237.99999833106995</v>
      </c>
      <c r="D12639">
        <v>20</v>
      </c>
      <c r="E12639" s="80">
        <v>35818</v>
      </c>
    </row>
    <row r="12640" spans="1:5">
      <c r="A12640">
        <v>10850</v>
      </c>
      <c r="B12640" t="s">
        <v>178</v>
      </c>
      <c r="C12640">
        <v>237.99999833106995</v>
      </c>
      <c r="D12640">
        <v>20</v>
      </c>
      <c r="E12640" s="80">
        <v>35818</v>
      </c>
    </row>
    <row r="12641" spans="1:5">
      <c r="A12641">
        <v>10850</v>
      </c>
      <c r="B12641" t="s">
        <v>179</v>
      </c>
      <c r="C12641">
        <v>237.99999833106995</v>
      </c>
      <c r="D12641">
        <v>20</v>
      </c>
      <c r="E12641" s="80">
        <v>35818</v>
      </c>
    </row>
    <row r="12642" spans="1:5">
      <c r="A12642">
        <v>10850</v>
      </c>
      <c r="B12642" t="s">
        <v>172</v>
      </c>
      <c r="C12642">
        <v>8.4999999403953552</v>
      </c>
      <c r="D12642">
        <v>4</v>
      </c>
      <c r="E12642" s="80">
        <v>35818</v>
      </c>
    </row>
    <row r="12643" spans="1:5">
      <c r="A12643">
        <v>10850</v>
      </c>
      <c r="B12643" t="s">
        <v>173</v>
      </c>
      <c r="C12643">
        <v>8.4999999403953552</v>
      </c>
      <c r="D12643">
        <v>4</v>
      </c>
      <c r="E12643" s="80">
        <v>35818</v>
      </c>
    </row>
    <row r="12644" spans="1:5">
      <c r="A12644">
        <v>10850</v>
      </c>
      <c r="B12644" t="s">
        <v>174</v>
      </c>
      <c r="C12644">
        <v>8.4999999403953552</v>
      </c>
      <c r="D12644">
        <v>4</v>
      </c>
      <c r="E12644" s="80">
        <v>35818</v>
      </c>
    </row>
    <row r="12645" spans="1:5">
      <c r="A12645">
        <v>10850</v>
      </c>
      <c r="B12645" t="s">
        <v>175</v>
      </c>
      <c r="C12645">
        <v>8.4999999403953552</v>
      </c>
      <c r="D12645">
        <v>4</v>
      </c>
      <c r="E12645" s="80">
        <v>35818</v>
      </c>
    </row>
    <row r="12646" spans="1:5">
      <c r="A12646">
        <v>10850</v>
      </c>
      <c r="B12646" t="s">
        <v>176</v>
      </c>
      <c r="C12646">
        <v>8.4999999403953552</v>
      </c>
      <c r="D12646">
        <v>4</v>
      </c>
      <c r="E12646" s="80">
        <v>35818</v>
      </c>
    </row>
    <row r="12647" spans="1:5">
      <c r="A12647">
        <v>10850</v>
      </c>
      <c r="B12647" t="s">
        <v>177</v>
      </c>
      <c r="C12647">
        <v>8.4999999403953552</v>
      </c>
      <c r="D12647">
        <v>4</v>
      </c>
      <c r="E12647" s="80">
        <v>35818</v>
      </c>
    </row>
    <row r="12648" spans="1:5">
      <c r="A12648">
        <v>10850</v>
      </c>
      <c r="B12648" t="s">
        <v>178</v>
      </c>
      <c r="C12648">
        <v>8.4999999403953552</v>
      </c>
      <c r="D12648">
        <v>4</v>
      </c>
      <c r="E12648" s="80">
        <v>35818</v>
      </c>
    </row>
    <row r="12649" spans="1:5">
      <c r="A12649">
        <v>10850</v>
      </c>
      <c r="B12649" t="s">
        <v>179</v>
      </c>
      <c r="C12649">
        <v>8.4999999403953552</v>
      </c>
      <c r="D12649">
        <v>4</v>
      </c>
      <c r="E12649" s="80">
        <v>35818</v>
      </c>
    </row>
    <row r="12650" spans="1:5">
      <c r="A12650">
        <v>10850</v>
      </c>
      <c r="B12650" t="s">
        <v>172</v>
      </c>
      <c r="C12650">
        <v>382.49999731779099</v>
      </c>
      <c r="D12650">
        <v>30</v>
      </c>
      <c r="E12650" s="80">
        <v>35818</v>
      </c>
    </row>
    <row r="12651" spans="1:5">
      <c r="A12651">
        <v>10850</v>
      </c>
      <c r="B12651" t="s">
        <v>173</v>
      </c>
      <c r="C12651">
        <v>382.49999731779099</v>
      </c>
      <c r="D12651">
        <v>30</v>
      </c>
      <c r="E12651" s="80">
        <v>35818</v>
      </c>
    </row>
    <row r="12652" spans="1:5">
      <c r="A12652">
        <v>10850</v>
      </c>
      <c r="B12652" t="s">
        <v>174</v>
      </c>
      <c r="C12652">
        <v>382.49999731779099</v>
      </c>
      <c r="D12652">
        <v>30</v>
      </c>
      <c r="E12652" s="80">
        <v>35818</v>
      </c>
    </row>
    <row r="12653" spans="1:5">
      <c r="A12653">
        <v>10850</v>
      </c>
      <c r="B12653" t="s">
        <v>175</v>
      </c>
      <c r="C12653">
        <v>382.49999731779099</v>
      </c>
      <c r="D12653">
        <v>30</v>
      </c>
      <c r="E12653" s="80">
        <v>35818</v>
      </c>
    </row>
    <row r="12654" spans="1:5">
      <c r="A12654">
        <v>10850</v>
      </c>
      <c r="B12654" t="s">
        <v>176</v>
      </c>
      <c r="C12654">
        <v>382.49999731779099</v>
      </c>
      <c r="D12654">
        <v>30</v>
      </c>
      <c r="E12654" s="80">
        <v>35818</v>
      </c>
    </row>
    <row r="12655" spans="1:5">
      <c r="A12655">
        <v>10850</v>
      </c>
      <c r="B12655" t="s">
        <v>177</v>
      </c>
      <c r="C12655">
        <v>382.49999731779099</v>
      </c>
      <c r="D12655">
        <v>30</v>
      </c>
      <c r="E12655" s="80">
        <v>35818</v>
      </c>
    </row>
    <row r="12656" spans="1:5">
      <c r="A12656">
        <v>10850</v>
      </c>
      <c r="B12656" t="s">
        <v>178</v>
      </c>
      <c r="C12656">
        <v>382.49999731779099</v>
      </c>
      <c r="D12656">
        <v>30</v>
      </c>
      <c r="E12656" s="80">
        <v>35818</v>
      </c>
    </row>
    <row r="12657" spans="1:5">
      <c r="A12657">
        <v>10850</v>
      </c>
      <c r="B12657" t="s">
        <v>179</v>
      </c>
      <c r="C12657">
        <v>382.49999731779099</v>
      </c>
      <c r="D12657">
        <v>30</v>
      </c>
      <c r="E12657" s="80">
        <v>35818</v>
      </c>
    </row>
    <row r="12658" spans="1:5">
      <c r="A12658">
        <v>10851</v>
      </c>
      <c r="B12658" t="s">
        <v>172</v>
      </c>
      <c r="C12658">
        <v>90.249999929219484</v>
      </c>
      <c r="D12658">
        <v>5</v>
      </c>
      <c r="E12658" s="80">
        <v>35821</v>
      </c>
    </row>
    <row r="12659" spans="1:5">
      <c r="A12659">
        <v>10851</v>
      </c>
      <c r="B12659" t="s">
        <v>173</v>
      </c>
      <c r="C12659">
        <v>90.249999929219484</v>
      </c>
      <c r="D12659">
        <v>5</v>
      </c>
      <c r="E12659" s="80">
        <v>35821</v>
      </c>
    </row>
    <row r="12660" spans="1:5">
      <c r="A12660">
        <v>10851</v>
      </c>
      <c r="B12660" t="s">
        <v>174</v>
      </c>
      <c r="C12660">
        <v>90.249999929219484</v>
      </c>
      <c r="D12660">
        <v>5</v>
      </c>
      <c r="E12660" s="80">
        <v>35821</v>
      </c>
    </row>
    <row r="12661" spans="1:5">
      <c r="A12661">
        <v>10851</v>
      </c>
      <c r="B12661" t="s">
        <v>175</v>
      </c>
      <c r="C12661">
        <v>90.249999929219484</v>
      </c>
      <c r="D12661">
        <v>5</v>
      </c>
      <c r="E12661" s="80">
        <v>35821</v>
      </c>
    </row>
    <row r="12662" spans="1:5">
      <c r="A12662">
        <v>10851</v>
      </c>
      <c r="B12662" t="s">
        <v>176</v>
      </c>
      <c r="C12662">
        <v>90.249999929219484</v>
      </c>
      <c r="D12662">
        <v>5</v>
      </c>
      <c r="E12662" s="80">
        <v>35821</v>
      </c>
    </row>
    <row r="12663" spans="1:5">
      <c r="A12663">
        <v>10851</v>
      </c>
      <c r="B12663" t="s">
        <v>177</v>
      </c>
      <c r="C12663">
        <v>90.249999929219484</v>
      </c>
      <c r="D12663">
        <v>5</v>
      </c>
      <c r="E12663" s="80">
        <v>35821</v>
      </c>
    </row>
    <row r="12664" spans="1:5">
      <c r="A12664">
        <v>10851</v>
      </c>
      <c r="B12664" t="s">
        <v>178</v>
      </c>
      <c r="C12664">
        <v>90.249999929219484</v>
      </c>
      <c r="D12664">
        <v>5</v>
      </c>
      <c r="E12664" s="80">
        <v>35821</v>
      </c>
    </row>
    <row r="12665" spans="1:5">
      <c r="A12665">
        <v>10851</v>
      </c>
      <c r="B12665" t="s">
        <v>179</v>
      </c>
      <c r="C12665">
        <v>90.249999929219484</v>
      </c>
      <c r="D12665">
        <v>5</v>
      </c>
      <c r="E12665" s="80">
        <v>35821</v>
      </c>
    </row>
    <row r="12666" spans="1:5">
      <c r="A12666">
        <v>10851</v>
      </c>
      <c r="B12666" t="s">
        <v>172</v>
      </c>
      <c r="C12666">
        <v>132.99999989569187</v>
      </c>
      <c r="D12666">
        <v>10</v>
      </c>
      <c r="E12666" s="80">
        <v>35821</v>
      </c>
    </row>
    <row r="12667" spans="1:5">
      <c r="A12667">
        <v>10851</v>
      </c>
      <c r="B12667" t="s">
        <v>173</v>
      </c>
      <c r="C12667">
        <v>132.99999989569187</v>
      </c>
      <c r="D12667">
        <v>10</v>
      </c>
      <c r="E12667" s="80">
        <v>35821</v>
      </c>
    </row>
    <row r="12668" spans="1:5">
      <c r="A12668">
        <v>10851</v>
      </c>
      <c r="B12668" t="s">
        <v>174</v>
      </c>
      <c r="C12668">
        <v>132.99999989569187</v>
      </c>
      <c r="D12668">
        <v>10</v>
      </c>
      <c r="E12668" s="80">
        <v>35821</v>
      </c>
    </row>
    <row r="12669" spans="1:5">
      <c r="A12669">
        <v>10851</v>
      </c>
      <c r="B12669" t="s">
        <v>175</v>
      </c>
      <c r="C12669">
        <v>132.99999989569187</v>
      </c>
      <c r="D12669">
        <v>10</v>
      </c>
      <c r="E12669" s="80">
        <v>35821</v>
      </c>
    </row>
    <row r="12670" spans="1:5">
      <c r="A12670">
        <v>10851</v>
      </c>
      <c r="B12670" t="s">
        <v>176</v>
      </c>
      <c r="C12670">
        <v>132.99999989569187</v>
      </c>
      <c r="D12670">
        <v>10</v>
      </c>
      <c r="E12670" s="80">
        <v>35821</v>
      </c>
    </row>
    <row r="12671" spans="1:5">
      <c r="A12671">
        <v>10851</v>
      </c>
      <c r="B12671" t="s">
        <v>177</v>
      </c>
      <c r="C12671">
        <v>132.99999989569187</v>
      </c>
      <c r="D12671">
        <v>10</v>
      </c>
      <c r="E12671" s="80">
        <v>35821</v>
      </c>
    </row>
    <row r="12672" spans="1:5">
      <c r="A12672">
        <v>10851</v>
      </c>
      <c r="B12672" t="s">
        <v>178</v>
      </c>
      <c r="C12672">
        <v>132.99999989569187</v>
      </c>
      <c r="D12672">
        <v>10</v>
      </c>
      <c r="E12672" s="80">
        <v>35821</v>
      </c>
    </row>
    <row r="12673" spans="1:5">
      <c r="A12673">
        <v>10851</v>
      </c>
      <c r="B12673" t="s">
        <v>179</v>
      </c>
      <c r="C12673">
        <v>132.99999989569187</v>
      </c>
      <c r="D12673">
        <v>10</v>
      </c>
      <c r="E12673" s="80">
        <v>35821</v>
      </c>
    </row>
    <row r="12674" spans="1:5">
      <c r="A12674">
        <v>10851</v>
      </c>
      <c r="B12674" t="s">
        <v>172</v>
      </c>
      <c r="C12674">
        <v>185.24999985471368</v>
      </c>
      <c r="D12674">
        <v>10</v>
      </c>
      <c r="E12674" s="80">
        <v>35821</v>
      </c>
    </row>
    <row r="12675" spans="1:5">
      <c r="A12675">
        <v>10851</v>
      </c>
      <c r="B12675" t="s">
        <v>173</v>
      </c>
      <c r="C12675">
        <v>185.24999985471368</v>
      </c>
      <c r="D12675">
        <v>10</v>
      </c>
      <c r="E12675" s="80">
        <v>35821</v>
      </c>
    </row>
    <row r="12676" spans="1:5">
      <c r="A12676">
        <v>10851</v>
      </c>
      <c r="B12676" t="s">
        <v>174</v>
      </c>
      <c r="C12676">
        <v>185.24999985471368</v>
      </c>
      <c r="D12676">
        <v>10</v>
      </c>
      <c r="E12676" s="80">
        <v>35821</v>
      </c>
    </row>
    <row r="12677" spans="1:5">
      <c r="A12677">
        <v>10851</v>
      </c>
      <c r="B12677" t="s">
        <v>175</v>
      </c>
      <c r="C12677">
        <v>185.24999985471368</v>
      </c>
      <c r="D12677">
        <v>10</v>
      </c>
      <c r="E12677" s="80">
        <v>35821</v>
      </c>
    </row>
    <row r="12678" spans="1:5">
      <c r="A12678">
        <v>10851</v>
      </c>
      <c r="B12678" t="s">
        <v>176</v>
      </c>
      <c r="C12678">
        <v>185.24999985471368</v>
      </c>
      <c r="D12678">
        <v>10</v>
      </c>
      <c r="E12678" s="80">
        <v>35821</v>
      </c>
    </row>
    <row r="12679" spans="1:5">
      <c r="A12679">
        <v>10851</v>
      </c>
      <c r="B12679" t="s">
        <v>177</v>
      </c>
      <c r="C12679">
        <v>185.24999985471368</v>
      </c>
      <c r="D12679">
        <v>10</v>
      </c>
      <c r="E12679" s="80">
        <v>35821</v>
      </c>
    </row>
    <row r="12680" spans="1:5">
      <c r="A12680">
        <v>10851</v>
      </c>
      <c r="B12680" t="s">
        <v>178</v>
      </c>
      <c r="C12680">
        <v>185.24999985471368</v>
      </c>
      <c r="D12680">
        <v>10</v>
      </c>
      <c r="E12680" s="80">
        <v>35821</v>
      </c>
    </row>
    <row r="12681" spans="1:5">
      <c r="A12681">
        <v>10851</v>
      </c>
      <c r="B12681" t="s">
        <v>179</v>
      </c>
      <c r="C12681">
        <v>185.24999985471368</v>
      </c>
      <c r="D12681">
        <v>10</v>
      </c>
      <c r="E12681" s="80">
        <v>35821</v>
      </c>
    </row>
    <row r="12682" spans="1:5">
      <c r="A12682">
        <v>10851</v>
      </c>
      <c r="B12682" t="s">
        <v>172</v>
      </c>
      <c r="C12682">
        <v>2194.4999982789159</v>
      </c>
      <c r="D12682">
        <v>42</v>
      </c>
      <c r="E12682" s="80">
        <v>35821</v>
      </c>
    </row>
    <row r="12683" spans="1:5">
      <c r="A12683">
        <v>10851</v>
      </c>
      <c r="B12683" t="s">
        <v>173</v>
      </c>
      <c r="C12683">
        <v>2194.4999982789159</v>
      </c>
      <c r="D12683">
        <v>42</v>
      </c>
      <c r="E12683" s="80">
        <v>35821</v>
      </c>
    </row>
    <row r="12684" spans="1:5">
      <c r="A12684">
        <v>10851</v>
      </c>
      <c r="B12684" t="s">
        <v>174</v>
      </c>
      <c r="C12684">
        <v>2194.4999982789159</v>
      </c>
      <c r="D12684">
        <v>42</v>
      </c>
      <c r="E12684" s="80">
        <v>35821</v>
      </c>
    </row>
    <row r="12685" spans="1:5">
      <c r="A12685">
        <v>10851</v>
      </c>
      <c r="B12685" t="s">
        <v>175</v>
      </c>
      <c r="C12685">
        <v>2194.4999982789159</v>
      </c>
      <c r="D12685">
        <v>42</v>
      </c>
      <c r="E12685" s="80">
        <v>35821</v>
      </c>
    </row>
    <row r="12686" spans="1:5">
      <c r="A12686">
        <v>10851</v>
      </c>
      <c r="B12686" t="s">
        <v>176</v>
      </c>
      <c r="C12686">
        <v>2194.4999982789159</v>
      </c>
      <c r="D12686">
        <v>42</v>
      </c>
      <c r="E12686" s="80">
        <v>35821</v>
      </c>
    </row>
    <row r="12687" spans="1:5">
      <c r="A12687">
        <v>10851</v>
      </c>
      <c r="B12687" t="s">
        <v>177</v>
      </c>
      <c r="C12687">
        <v>2194.4999982789159</v>
      </c>
      <c r="D12687">
        <v>42</v>
      </c>
      <c r="E12687" s="80">
        <v>35821</v>
      </c>
    </row>
    <row r="12688" spans="1:5">
      <c r="A12688">
        <v>10851</v>
      </c>
      <c r="B12688" t="s">
        <v>178</v>
      </c>
      <c r="C12688">
        <v>2194.4999982789159</v>
      </c>
      <c r="D12688">
        <v>42</v>
      </c>
      <c r="E12688" s="80">
        <v>35821</v>
      </c>
    </row>
    <row r="12689" spans="1:5">
      <c r="A12689">
        <v>10851</v>
      </c>
      <c r="B12689" t="s">
        <v>179</v>
      </c>
      <c r="C12689">
        <v>2194.4999982789159</v>
      </c>
      <c r="D12689">
        <v>42</v>
      </c>
      <c r="E12689" s="80">
        <v>35821</v>
      </c>
    </row>
    <row r="12690" spans="1:5">
      <c r="A12690">
        <v>10852</v>
      </c>
      <c r="B12690" t="s">
        <v>172</v>
      </c>
      <c r="C12690">
        <v>285</v>
      </c>
      <c r="D12690">
        <v>15</v>
      </c>
      <c r="E12690" s="80">
        <v>35821</v>
      </c>
    </row>
    <row r="12691" spans="1:5">
      <c r="A12691">
        <v>10852</v>
      </c>
      <c r="B12691" t="s">
        <v>173</v>
      </c>
      <c r="C12691">
        <v>285</v>
      </c>
      <c r="D12691">
        <v>15</v>
      </c>
      <c r="E12691" s="80">
        <v>35821</v>
      </c>
    </row>
    <row r="12692" spans="1:5">
      <c r="A12692">
        <v>10852</v>
      </c>
      <c r="B12692" t="s">
        <v>174</v>
      </c>
      <c r="C12692">
        <v>285</v>
      </c>
      <c r="D12692">
        <v>15</v>
      </c>
      <c r="E12692" s="80">
        <v>35821</v>
      </c>
    </row>
    <row r="12693" spans="1:5">
      <c r="A12693">
        <v>10852</v>
      </c>
      <c r="B12693" t="s">
        <v>175</v>
      </c>
      <c r="C12693">
        <v>285</v>
      </c>
      <c r="D12693">
        <v>15</v>
      </c>
      <c r="E12693" s="80">
        <v>35821</v>
      </c>
    </row>
    <row r="12694" spans="1:5">
      <c r="A12694">
        <v>10852</v>
      </c>
      <c r="B12694" t="s">
        <v>176</v>
      </c>
      <c r="C12694">
        <v>285</v>
      </c>
      <c r="D12694">
        <v>15</v>
      </c>
      <c r="E12694" s="80">
        <v>35821</v>
      </c>
    </row>
    <row r="12695" spans="1:5">
      <c r="A12695">
        <v>10852</v>
      </c>
      <c r="B12695" t="s">
        <v>177</v>
      </c>
      <c r="C12695">
        <v>285</v>
      </c>
      <c r="D12695">
        <v>15</v>
      </c>
      <c r="E12695" s="80">
        <v>35821</v>
      </c>
    </row>
    <row r="12696" spans="1:5">
      <c r="A12696">
        <v>10852</v>
      </c>
      <c r="B12696" t="s">
        <v>178</v>
      </c>
      <c r="C12696">
        <v>285</v>
      </c>
      <c r="D12696">
        <v>15</v>
      </c>
      <c r="E12696" s="80">
        <v>35821</v>
      </c>
    </row>
    <row r="12697" spans="1:5">
      <c r="A12697">
        <v>10852</v>
      </c>
      <c r="B12697" t="s">
        <v>179</v>
      </c>
      <c r="C12697">
        <v>285</v>
      </c>
      <c r="D12697">
        <v>15</v>
      </c>
      <c r="E12697" s="80">
        <v>35821</v>
      </c>
    </row>
    <row r="12698" spans="1:5">
      <c r="A12698">
        <v>10852</v>
      </c>
      <c r="B12698" t="s">
        <v>172</v>
      </c>
      <c r="C12698">
        <v>234</v>
      </c>
      <c r="D12698">
        <v>6</v>
      </c>
      <c r="E12698" s="80">
        <v>35821</v>
      </c>
    </row>
    <row r="12699" spans="1:5">
      <c r="A12699">
        <v>10852</v>
      </c>
      <c r="B12699" t="s">
        <v>173</v>
      </c>
      <c r="C12699">
        <v>234</v>
      </c>
      <c r="D12699">
        <v>6</v>
      </c>
      <c r="E12699" s="80">
        <v>35821</v>
      </c>
    </row>
    <row r="12700" spans="1:5">
      <c r="A12700">
        <v>10852</v>
      </c>
      <c r="B12700" t="s">
        <v>174</v>
      </c>
      <c r="C12700">
        <v>234</v>
      </c>
      <c r="D12700">
        <v>6</v>
      </c>
      <c r="E12700" s="80">
        <v>35821</v>
      </c>
    </row>
    <row r="12701" spans="1:5">
      <c r="A12701">
        <v>10852</v>
      </c>
      <c r="B12701" t="s">
        <v>175</v>
      </c>
      <c r="C12701">
        <v>234</v>
      </c>
      <c r="D12701">
        <v>6</v>
      </c>
      <c r="E12701" s="80">
        <v>35821</v>
      </c>
    </row>
    <row r="12702" spans="1:5">
      <c r="A12702">
        <v>10852</v>
      </c>
      <c r="B12702" t="s">
        <v>176</v>
      </c>
      <c r="C12702">
        <v>234</v>
      </c>
      <c r="D12702">
        <v>6</v>
      </c>
      <c r="E12702" s="80">
        <v>35821</v>
      </c>
    </row>
    <row r="12703" spans="1:5">
      <c r="A12703">
        <v>10852</v>
      </c>
      <c r="B12703" t="s">
        <v>177</v>
      </c>
      <c r="C12703">
        <v>234</v>
      </c>
      <c r="D12703">
        <v>6</v>
      </c>
      <c r="E12703" s="80">
        <v>35821</v>
      </c>
    </row>
    <row r="12704" spans="1:5">
      <c r="A12704">
        <v>10852</v>
      </c>
      <c r="B12704" t="s">
        <v>178</v>
      </c>
      <c r="C12704">
        <v>234</v>
      </c>
      <c r="D12704">
        <v>6</v>
      </c>
      <c r="E12704" s="80">
        <v>35821</v>
      </c>
    </row>
    <row r="12705" spans="1:5">
      <c r="A12705">
        <v>10852</v>
      </c>
      <c r="B12705" t="s">
        <v>179</v>
      </c>
      <c r="C12705">
        <v>234</v>
      </c>
      <c r="D12705">
        <v>6</v>
      </c>
      <c r="E12705" s="80">
        <v>35821</v>
      </c>
    </row>
    <row r="12706" spans="1:5">
      <c r="A12706">
        <v>10852</v>
      </c>
      <c r="B12706" t="s">
        <v>172</v>
      </c>
      <c r="C12706">
        <v>2465</v>
      </c>
      <c r="D12706">
        <v>50</v>
      </c>
      <c r="E12706" s="80">
        <v>35821</v>
      </c>
    </row>
    <row r="12707" spans="1:5">
      <c r="A12707">
        <v>10852</v>
      </c>
      <c r="B12707" t="s">
        <v>173</v>
      </c>
      <c r="C12707">
        <v>2465</v>
      </c>
      <c r="D12707">
        <v>50</v>
      </c>
      <c r="E12707" s="80">
        <v>35821</v>
      </c>
    </row>
    <row r="12708" spans="1:5">
      <c r="A12708">
        <v>10852</v>
      </c>
      <c r="B12708" t="s">
        <v>174</v>
      </c>
      <c r="C12708">
        <v>2465</v>
      </c>
      <c r="D12708">
        <v>50</v>
      </c>
      <c r="E12708" s="80">
        <v>35821</v>
      </c>
    </row>
    <row r="12709" spans="1:5">
      <c r="A12709">
        <v>10852</v>
      </c>
      <c r="B12709" t="s">
        <v>175</v>
      </c>
      <c r="C12709">
        <v>2465</v>
      </c>
      <c r="D12709">
        <v>50</v>
      </c>
      <c r="E12709" s="80">
        <v>35821</v>
      </c>
    </row>
    <row r="12710" spans="1:5">
      <c r="A12710">
        <v>10852</v>
      </c>
      <c r="B12710" t="s">
        <v>176</v>
      </c>
      <c r="C12710">
        <v>2465</v>
      </c>
      <c r="D12710">
        <v>50</v>
      </c>
      <c r="E12710" s="80">
        <v>35821</v>
      </c>
    </row>
    <row r="12711" spans="1:5">
      <c r="A12711">
        <v>10852</v>
      </c>
      <c r="B12711" t="s">
        <v>177</v>
      </c>
      <c r="C12711">
        <v>2465</v>
      </c>
      <c r="D12711">
        <v>50</v>
      </c>
      <c r="E12711" s="80">
        <v>35821</v>
      </c>
    </row>
    <row r="12712" spans="1:5">
      <c r="A12712">
        <v>10852</v>
      </c>
      <c r="B12712" t="s">
        <v>178</v>
      </c>
      <c r="C12712">
        <v>2465</v>
      </c>
      <c r="D12712">
        <v>50</v>
      </c>
      <c r="E12712" s="80">
        <v>35821</v>
      </c>
    </row>
    <row r="12713" spans="1:5">
      <c r="A12713">
        <v>10852</v>
      </c>
      <c r="B12713" t="s">
        <v>179</v>
      </c>
      <c r="C12713">
        <v>2465</v>
      </c>
      <c r="D12713">
        <v>50</v>
      </c>
      <c r="E12713" s="80">
        <v>35821</v>
      </c>
    </row>
    <row r="12714" spans="1:5">
      <c r="A12714">
        <v>10853</v>
      </c>
      <c r="B12714" t="s">
        <v>172</v>
      </c>
      <c r="C12714">
        <v>625</v>
      </c>
      <c r="D12714">
        <v>10</v>
      </c>
      <c r="E12714" s="80">
        <v>35822</v>
      </c>
    </row>
    <row r="12715" spans="1:5">
      <c r="A12715">
        <v>10853</v>
      </c>
      <c r="B12715" t="s">
        <v>173</v>
      </c>
      <c r="C12715">
        <v>625</v>
      </c>
      <c r="D12715">
        <v>10</v>
      </c>
      <c r="E12715" s="80">
        <v>35822</v>
      </c>
    </row>
    <row r="12716" spans="1:5">
      <c r="A12716">
        <v>10853</v>
      </c>
      <c r="B12716" t="s">
        <v>174</v>
      </c>
      <c r="C12716">
        <v>625</v>
      </c>
      <c r="D12716">
        <v>10</v>
      </c>
      <c r="E12716" s="80">
        <v>35822</v>
      </c>
    </row>
    <row r="12717" spans="1:5">
      <c r="A12717">
        <v>10853</v>
      </c>
      <c r="B12717" t="s">
        <v>175</v>
      </c>
      <c r="C12717">
        <v>625</v>
      </c>
      <c r="D12717">
        <v>10</v>
      </c>
      <c r="E12717" s="80">
        <v>35822</v>
      </c>
    </row>
    <row r="12718" spans="1:5">
      <c r="A12718">
        <v>10853</v>
      </c>
      <c r="B12718" t="s">
        <v>176</v>
      </c>
      <c r="C12718">
        <v>625</v>
      </c>
      <c r="D12718">
        <v>10</v>
      </c>
      <c r="E12718" s="80">
        <v>35822</v>
      </c>
    </row>
    <row r="12719" spans="1:5">
      <c r="A12719">
        <v>10853</v>
      </c>
      <c r="B12719" t="s">
        <v>177</v>
      </c>
      <c r="C12719">
        <v>625</v>
      </c>
      <c r="D12719">
        <v>10</v>
      </c>
      <c r="E12719" s="80">
        <v>35822</v>
      </c>
    </row>
    <row r="12720" spans="1:5">
      <c r="A12720">
        <v>10853</v>
      </c>
      <c r="B12720" t="s">
        <v>178</v>
      </c>
      <c r="C12720">
        <v>625</v>
      </c>
      <c r="D12720">
        <v>10</v>
      </c>
      <c r="E12720" s="80">
        <v>35822</v>
      </c>
    </row>
    <row r="12721" spans="1:5">
      <c r="A12721">
        <v>10853</v>
      </c>
      <c r="B12721" t="s">
        <v>179</v>
      </c>
      <c r="C12721">
        <v>625</v>
      </c>
      <c r="D12721">
        <v>10</v>
      </c>
      <c r="E12721" s="80">
        <v>35822</v>
      </c>
    </row>
    <row r="12722" spans="1:5">
      <c r="A12722">
        <v>10854</v>
      </c>
      <c r="B12722" t="s">
        <v>172</v>
      </c>
      <c r="C12722">
        <v>2634.9999815225601</v>
      </c>
      <c r="D12722">
        <v>100</v>
      </c>
      <c r="E12722" s="80">
        <v>35822</v>
      </c>
    </row>
    <row r="12723" spans="1:5">
      <c r="A12723">
        <v>10854</v>
      </c>
      <c r="B12723" t="s">
        <v>173</v>
      </c>
      <c r="C12723">
        <v>2634.9999815225601</v>
      </c>
      <c r="D12723">
        <v>100</v>
      </c>
      <c r="E12723" s="80">
        <v>35822</v>
      </c>
    </row>
    <row r="12724" spans="1:5">
      <c r="A12724">
        <v>10854</v>
      </c>
      <c r="B12724" t="s">
        <v>174</v>
      </c>
      <c r="C12724">
        <v>2634.9999815225601</v>
      </c>
      <c r="D12724">
        <v>100</v>
      </c>
      <c r="E12724" s="80">
        <v>35822</v>
      </c>
    </row>
    <row r="12725" spans="1:5">
      <c r="A12725">
        <v>10854</v>
      </c>
      <c r="B12725" t="s">
        <v>175</v>
      </c>
      <c r="C12725">
        <v>2634.9999815225601</v>
      </c>
      <c r="D12725">
        <v>100</v>
      </c>
      <c r="E12725" s="80">
        <v>35822</v>
      </c>
    </row>
    <row r="12726" spans="1:5">
      <c r="A12726">
        <v>10854</v>
      </c>
      <c r="B12726" t="s">
        <v>176</v>
      </c>
      <c r="C12726">
        <v>2634.9999815225601</v>
      </c>
      <c r="D12726">
        <v>100</v>
      </c>
      <c r="E12726" s="80">
        <v>35822</v>
      </c>
    </row>
    <row r="12727" spans="1:5">
      <c r="A12727">
        <v>10854</v>
      </c>
      <c r="B12727" t="s">
        <v>177</v>
      </c>
      <c r="C12727">
        <v>2634.9999815225601</v>
      </c>
      <c r="D12727">
        <v>100</v>
      </c>
      <c r="E12727" s="80">
        <v>35822</v>
      </c>
    </row>
    <row r="12728" spans="1:5">
      <c r="A12728">
        <v>10854</v>
      </c>
      <c r="B12728" t="s">
        <v>178</v>
      </c>
      <c r="C12728">
        <v>2634.9999815225601</v>
      </c>
      <c r="D12728">
        <v>100</v>
      </c>
      <c r="E12728" s="80">
        <v>35822</v>
      </c>
    </row>
    <row r="12729" spans="1:5">
      <c r="A12729">
        <v>10854</v>
      </c>
      <c r="B12729" t="s">
        <v>179</v>
      </c>
      <c r="C12729">
        <v>2634.9999815225601</v>
      </c>
      <c r="D12729">
        <v>100</v>
      </c>
      <c r="E12729" s="80">
        <v>35822</v>
      </c>
    </row>
    <row r="12730" spans="1:5">
      <c r="A12730">
        <v>10854</v>
      </c>
      <c r="B12730" t="s">
        <v>172</v>
      </c>
      <c r="C12730">
        <v>331.49999767541885</v>
      </c>
      <c r="D12730">
        <v>65</v>
      </c>
      <c r="E12730" s="80">
        <v>35822</v>
      </c>
    </row>
    <row r="12731" spans="1:5">
      <c r="A12731">
        <v>10854</v>
      </c>
      <c r="B12731" t="s">
        <v>173</v>
      </c>
      <c r="C12731">
        <v>331.49999767541885</v>
      </c>
      <c r="D12731">
        <v>65</v>
      </c>
      <c r="E12731" s="80">
        <v>35822</v>
      </c>
    </row>
    <row r="12732" spans="1:5">
      <c r="A12732">
        <v>10854</v>
      </c>
      <c r="B12732" t="s">
        <v>174</v>
      </c>
      <c r="C12732">
        <v>331.49999767541885</v>
      </c>
      <c r="D12732">
        <v>65</v>
      </c>
      <c r="E12732" s="80">
        <v>35822</v>
      </c>
    </row>
    <row r="12733" spans="1:5">
      <c r="A12733">
        <v>10854</v>
      </c>
      <c r="B12733" t="s">
        <v>175</v>
      </c>
      <c r="C12733">
        <v>331.49999767541885</v>
      </c>
      <c r="D12733">
        <v>65</v>
      </c>
      <c r="E12733" s="80">
        <v>35822</v>
      </c>
    </row>
    <row r="12734" spans="1:5">
      <c r="A12734">
        <v>10854</v>
      </c>
      <c r="B12734" t="s">
        <v>176</v>
      </c>
      <c r="C12734">
        <v>331.49999767541885</v>
      </c>
      <c r="D12734">
        <v>65</v>
      </c>
      <c r="E12734" s="80">
        <v>35822</v>
      </c>
    </row>
    <row r="12735" spans="1:5">
      <c r="A12735">
        <v>10854</v>
      </c>
      <c r="B12735" t="s">
        <v>177</v>
      </c>
      <c r="C12735">
        <v>331.49999767541885</v>
      </c>
      <c r="D12735">
        <v>65</v>
      </c>
      <c r="E12735" s="80">
        <v>35822</v>
      </c>
    </row>
    <row r="12736" spans="1:5">
      <c r="A12736">
        <v>10854</v>
      </c>
      <c r="B12736" t="s">
        <v>178</v>
      </c>
      <c r="C12736">
        <v>331.49999767541885</v>
      </c>
      <c r="D12736">
        <v>65</v>
      </c>
      <c r="E12736" s="80">
        <v>35822</v>
      </c>
    </row>
    <row r="12737" spans="1:5">
      <c r="A12737">
        <v>10854</v>
      </c>
      <c r="B12737" t="s">
        <v>179</v>
      </c>
      <c r="C12737">
        <v>331.49999767541885</v>
      </c>
      <c r="D12737">
        <v>65</v>
      </c>
      <c r="E12737" s="80">
        <v>35822</v>
      </c>
    </row>
    <row r="12738" spans="1:5">
      <c r="A12738">
        <v>10855</v>
      </c>
      <c r="B12738" t="s">
        <v>172</v>
      </c>
      <c r="C12738">
        <v>872.5</v>
      </c>
      <c r="D12738">
        <v>50</v>
      </c>
      <c r="E12738" s="80">
        <v>35822</v>
      </c>
    </row>
    <row r="12739" spans="1:5">
      <c r="A12739">
        <v>10855</v>
      </c>
      <c r="B12739" t="s">
        <v>173</v>
      </c>
      <c r="C12739">
        <v>872.5</v>
      </c>
      <c r="D12739">
        <v>50</v>
      </c>
      <c r="E12739" s="80">
        <v>35822</v>
      </c>
    </row>
    <row r="12740" spans="1:5">
      <c r="A12740">
        <v>10855</v>
      </c>
      <c r="B12740" t="s">
        <v>174</v>
      </c>
      <c r="C12740">
        <v>872.5</v>
      </c>
      <c r="D12740">
        <v>50</v>
      </c>
      <c r="E12740" s="80">
        <v>35822</v>
      </c>
    </row>
    <row r="12741" spans="1:5">
      <c r="A12741">
        <v>10855</v>
      </c>
      <c r="B12741" t="s">
        <v>175</v>
      </c>
      <c r="C12741">
        <v>872.5</v>
      </c>
      <c r="D12741">
        <v>50</v>
      </c>
      <c r="E12741" s="80">
        <v>35822</v>
      </c>
    </row>
    <row r="12742" spans="1:5">
      <c r="A12742">
        <v>10855</v>
      </c>
      <c r="B12742" t="s">
        <v>176</v>
      </c>
      <c r="C12742">
        <v>872.5</v>
      </c>
      <c r="D12742">
        <v>50</v>
      </c>
      <c r="E12742" s="80">
        <v>35822</v>
      </c>
    </row>
    <row r="12743" spans="1:5">
      <c r="A12743">
        <v>10855</v>
      </c>
      <c r="B12743" t="s">
        <v>177</v>
      </c>
      <c r="C12743">
        <v>872.5</v>
      </c>
      <c r="D12743">
        <v>50</v>
      </c>
      <c r="E12743" s="80">
        <v>35822</v>
      </c>
    </row>
    <row r="12744" spans="1:5">
      <c r="A12744">
        <v>10855</v>
      </c>
      <c r="B12744" t="s">
        <v>178</v>
      </c>
      <c r="C12744">
        <v>872.5</v>
      </c>
      <c r="D12744">
        <v>50</v>
      </c>
      <c r="E12744" s="80">
        <v>35822</v>
      </c>
    </row>
    <row r="12745" spans="1:5">
      <c r="A12745">
        <v>10855</v>
      </c>
      <c r="B12745" t="s">
        <v>179</v>
      </c>
      <c r="C12745">
        <v>872.5</v>
      </c>
      <c r="D12745">
        <v>50</v>
      </c>
      <c r="E12745" s="80">
        <v>35822</v>
      </c>
    </row>
    <row r="12746" spans="1:5">
      <c r="A12746">
        <v>10855</v>
      </c>
      <c r="B12746" t="s">
        <v>172</v>
      </c>
      <c r="C12746">
        <v>175</v>
      </c>
      <c r="D12746">
        <v>14</v>
      </c>
      <c r="E12746" s="80">
        <v>35822</v>
      </c>
    </row>
    <row r="12747" spans="1:5">
      <c r="A12747">
        <v>10855</v>
      </c>
      <c r="B12747" t="s">
        <v>173</v>
      </c>
      <c r="C12747">
        <v>175</v>
      </c>
      <c r="D12747">
        <v>14</v>
      </c>
      <c r="E12747" s="80">
        <v>35822</v>
      </c>
    </row>
    <row r="12748" spans="1:5">
      <c r="A12748">
        <v>10855</v>
      </c>
      <c r="B12748" t="s">
        <v>174</v>
      </c>
      <c r="C12748">
        <v>175</v>
      </c>
      <c r="D12748">
        <v>14</v>
      </c>
      <c r="E12748" s="80">
        <v>35822</v>
      </c>
    </row>
    <row r="12749" spans="1:5">
      <c r="A12749">
        <v>10855</v>
      </c>
      <c r="B12749" t="s">
        <v>175</v>
      </c>
      <c r="C12749">
        <v>175</v>
      </c>
      <c r="D12749">
        <v>14</v>
      </c>
      <c r="E12749" s="80">
        <v>35822</v>
      </c>
    </row>
    <row r="12750" spans="1:5">
      <c r="A12750">
        <v>10855</v>
      </c>
      <c r="B12750" t="s">
        <v>176</v>
      </c>
      <c r="C12750">
        <v>175</v>
      </c>
      <c r="D12750">
        <v>14</v>
      </c>
      <c r="E12750" s="80">
        <v>35822</v>
      </c>
    </row>
    <row r="12751" spans="1:5">
      <c r="A12751">
        <v>10855</v>
      </c>
      <c r="B12751" t="s">
        <v>177</v>
      </c>
      <c r="C12751">
        <v>175</v>
      </c>
      <c r="D12751">
        <v>14</v>
      </c>
      <c r="E12751" s="80">
        <v>35822</v>
      </c>
    </row>
    <row r="12752" spans="1:5">
      <c r="A12752">
        <v>10855</v>
      </c>
      <c r="B12752" t="s">
        <v>178</v>
      </c>
      <c r="C12752">
        <v>175</v>
      </c>
      <c r="D12752">
        <v>14</v>
      </c>
      <c r="E12752" s="80">
        <v>35822</v>
      </c>
    </row>
    <row r="12753" spans="1:5">
      <c r="A12753">
        <v>10855</v>
      </c>
      <c r="B12753" t="s">
        <v>179</v>
      </c>
      <c r="C12753">
        <v>175</v>
      </c>
      <c r="D12753">
        <v>14</v>
      </c>
      <c r="E12753" s="80">
        <v>35822</v>
      </c>
    </row>
    <row r="12754" spans="1:5">
      <c r="A12754">
        <v>10855</v>
      </c>
      <c r="B12754" t="s">
        <v>172</v>
      </c>
      <c r="C12754">
        <v>912</v>
      </c>
      <c r="D12754">
        <v>24</v>
      </c>
      <c r="E12754" s="80">
        <v>35822</v>
      </c>
    </row>
    <row r="12755" spans="1:5">
      <c r="A12755">
        <v>10855</v>
      </c>
      <c r="B12755" t="s">
        <v>173</v>
      </c>
      <c r="C12755">
        <v>912</v>
      </c>
      <c r="D12755">
        <v>24</v>
      </c>
      <c r="E12755" s="80">
        <v>35822</v>
      </c>
    </row>
    <row r="12756" spans="1:5">
      <c r="A12756">
        <v>10855</v>
      </c>
      <c r="B12756" t="s">
        <v>174</v>
      </c>
      <c r="C12756">
        <v>912</v>
      </c>
      <c r="D12756">
        <v>24</v>
      </c>
      <c r="E12756" s="80">
        <v>35822</v>
      </c>
    </row>
    <row r="12757" spans="1:5">
      <c r="A12757">
        <v>10855</v>
      </c>
      <c r="B12757" t="s">
        <v>175</v>
      </c>
      <c r="C12757">
        <v>912</v>
      </c>
      <c r="D12757">
        <v>24</v>
      </c>
      <c r="E12757" s="80">
        <v>35822</v>
      </c>
    </row>
    <row r="12758" spans="1:5">
      <c r="A12758">
        <v>10855</v>
      </c>
      <c r="B12758" t="s">
        <v>176</v>
      </c>
      <c r="C12758">
        <v>912</v>
      </c>
      <c r="D12758">
        <v>24</v>
      </c>
      <c r="E12758" s="80">
        <v>35822</v>
      </c>
    </row>
    <row r="12759" spans="1:5">
      <c r="A12759">
        <v>10855</v>
      </c>
      <c r="B12759" t="s">
        <v>177</v>
      </c>
      <c r="C12759">
        <v>912</v>
      </c>
      <c r="D12759">
        <v>24</v>
      </c>
      <c r="E12759" s="80">
        <v>35822</v>
      </c>
    </row>
    <row r="12760" spans="1:5">
      <c r="A12760">
        <v>10855</v>
      </c>
      <c r="B12760" t="s">
        <v>178</v>
      </c>
      <c r="C12760">
        <v>912</v>
      </c>
      <c r="D12760">
        <v>24</v>
      </c>
      <c r="E12760" s="80">
        <v>35822</v>
      </c>
    </row>
    <row r="12761" spans="1:5">
      <c r="A12761">
        <v>10855</v>
      </c>
      <c r="B12761" t="s">
        <v>179</v>
      </c>
      <c r="C12761">
        <v>912</v>
      </c>
      <c r="D12761">
        <v>24</v>
      </c>
      <c r="E12761" s="80">
        <v>35822</v>
      </c>
    </row>
    <row r="12762" spans="1:5">
      <c r="A12762">
        <v>10855</v>
      </c>
      <c r="B12762" t="s">
        <v>172</v>
      </c>
      <c r="C12762">
        <v>268.38749811798334</v>
      </c>
      <c r="D12762">
        <v>15</v>
      </c>
      <c r="E12762" s="80">
        <v>35822</v>
      </c>
    </row>
    <row r="12763" spans="1:5">
      <c r="A12763">
        <v>10855</v>
      </c>
      <c r="B12763" t="s">
        <v>173</v>
      </c>
      <c r="C12763">
        <v>268.38749811798334</v>
      </c>
      <c r="D12763">
        <v>15</v>
      </c>
      <c r="E12763" s="80">
        <v>35822</v>
      </c>
    </row>
    <row r="12764" spans="1:5">
      <c r="A12764">
        <v>10855</v>
      </c>
      <c r="B12764" t="s">
        <v>174</v>
      </c>
      <c r="C12764">
        <v>268.38749811798334</v>
      </c>
      <c r="D12764">
        <v>15</v>
      </c>
      <c r="E12764" s="80">
        <v>35822</v>
      </c>
    </row>
    <row r="12765" spans="1:5">
      <c r="A12765">
        <v>10855</v>
      </c>
      <c r="B12765" t="s">
        <v>175</v>
      </c>
      <c r="C12765">
        <v>268.38749811798334</v>
      </c>
      <c r="D12765">
        <v>15</v>
      </c>
      <c r="E12765" s="80">
        <v>35822</v>
      </c>
    </row>
    <row r="12766" spans="1:5">
      <c r="A12766">
        <v>10855</v>
      </c>
      <c r="B12766" t="s">
        <v>176</v>
      </c>
      <c r="C12766">
        <v>268.38749811798334</v>
      </c>
      <c r="D12766">
        <v>15</v>
      </c>
      <c r="E12766" s="80">
        <v>35822</v>
      </c>
    </row>
    <row r="12767" spans="1:5">
      <c r="A12767">
        <v>10855</v>
      </c>
      <c r="B12767" t="s">
        <v>177</v>
      </c>
      <c r="C12767">
        <v>268.38749811798334</v>
      </c>
      <c r="D12767">
        <v>15</v>
      </c>
      <c r="E12767" s="80">
        <v>35822</v>
      </c>
    </row>
    <row r="12768" spans="1:5">
      <c r="A12768">
        <v>10855</v>
      </c>
      <c r="B12768" t="s">
        <v>178</v>
      </c>
      <c r="C12768">
        <v>268.38749811798334</v>
      </c>
      <c r="D12768">
        <v>15</v>
      </c>
      <c r="E12768" s="80">
        <v>35822</v>
      </c>
    </row>
    <row r="12769" spans="1:5">
      <c r="A12769">
        <v>10855</v>
      </c>
      <c r="B12769" t="s">
        <v>179</v>
      </c>
      <c r="C12769">
        <v>268.38749811798334</v>
      </c>
      <c r="D12769">
        <v>15</v>
      </c>
      <c r="E12769" s="80">
        <v>35822</v>
      </c>
    </row>
    <row r="12770" spans="1:5">
      <c r="A12770">
        <v>10856</v>
      </c>
      <c r="B12770" t="s">
        <v>172</v>
      </c>
      <c r="C12770">
        <v>380</v>
      </c>
      <c r="D12770">
        <v>20</v>
      </c>
      <c r="E12770" s="80">
        <v>35823</v>
      </c>
    </row>
    <row r="12771" spans="1:5">
      <c r="A12771">
        <v>10856</v>
      </c>
      <c r="B12771" t="s">
        <v>173</v>
      </c>
      <c r="C12771">
        <v>380</v>
      </c>
      <c r="D12771">
        <v>20</v>
      </c>
      <c r="E12771" s="80">
        <v>35823</v>
      </c>
    </row>
    <row r="12772" spans="1:5">
      <c r="A12772">
        <v>10856</v>
      </c>
      <c r="B12772" t="s">
        <v>174</v>
      </c>
      <c r="C12772">
        <v>380</v>
      </c>
      <c r="D12772">
        <v>20</v>
      </c>
      <c r="E12772" s="80">
        <v>35823</v>
      </c>
    </row>
    <row r="12773" spans="1:5">
      <c r="A12773">
        <v>10856</v>
      </c>
      <c r="B12773" t="s">
        <v>175</v>
      </c>
      <c r="C12773">
        <v>380</v>
      </c>
      <c r="D12773">
        <v>20</v>
      </c>
      <c r="E12773" s="80">
        <v>35823</v>
      </c>
    </row>
    <row r="12774" spans="1:5">
      <c r="A12774">
        <v>10856</v>
      </c>
      <c r="B12774" t="s">
        <v>176</v>
      </c>
      <c r="C12774">
        <v>380</v>
      </c>
      <c r="D12774">
        <v>20</v>
      </c>
      <c r="E12774" s="80">
        <v>35823</v>
      </c>
    </row>
    <row r="12775" spans="1:5">
      <c r="A12775">
        <v>10856</v>
      </c>
      <c r="B12775" t="s">
        <v>177</v>
      </c>
      <c r="C12775">
        <v>380</v>
      </c>
      <c r="D12775">
        <v>20</v>
      </c>
      <c r="E12775" s="80">
        <v>35823</v>
      </c>
    </row>
    <row r="12776" spans="1:5">
      <c r="A12776">
        <v>10856</v>
      </c>
      <c r="B12776" t="s">
        <v>178</v>
      </c>
      <c r="C12776">
        <v>380</v>
      </c>
      <c r="D12776">
        <v>20</v>
      </c>
      <c r="E12776" s="80">
        <v>35823</v>
      </c>
    </row>
    <row r="12777" spans="1:5">
      <c r="A12777">
        <v>10856</v>
      </c>
      <c r="B12777" t="s">
        <v>179</v>
      </c>
      <c r="C12777">
        <v>380</v>
      </c>
      <c r="D12777">
        <v>20</v>
      </c>
      <c r="E12777" s="80">
        <v>35823</v>
      </c>
    </row>
    <row r="12778" spans="1:5">
      <c r="A12778">
        <v>10856</v>
      </c>
      <c r="B12778" t="s">
        <v>172</v>
      </c>
      <c r="C12778">
        <v>280</v>
      </c>
      <c r="D12778">
        <v>20</v>
      </c>
      <c r="E12778" s="80">
        <v>35823</v>
      </c>
    </row>
    <row r="12779" spans="1:5">
      <c r="A12779">
        <v>10856</v>
      </c>
      <c r="B12779" t="s">
        <v>173</v>
      </c>
      <c r="C12779">
        <v>280</v>
      </c>
      <c r="D12779">
        <v>20</v>
      </c>
      <c r="E12779" s="80">
        <v>35823</v>
      </c>
    </row>
    <row r="12780" spans="1:5">
      <c r="A12780">
        <v>10856</v>
      </c>
      <c r="B12780" t="s">
        <v>174</v>
      </c>
      <c r="C12780">
        <v>280</v>
      </c>
      <c r="D12780">
        <v>20</v>
      </c>
      <c r="E12780" s="80">
        <v>35823</v>
      </c>
    </row>
    <row r="12781" spans="1:5">
      <c r="A12781">
        <v>10856</v>
      </c>
      <c r="B12781" t="s">
        <v>175</v>
      </c>
      <c r="C12781">
        <v>280</v>
      </c>
      <c r="D12781">
        <v>20</v>
      </c>
      <c r="E12781" s="80">
        <v>35823</v>
      </c>
    </row>
    <row r="12782" spans="1:5">
      <c r="A12782">
        <v>10856</v>
      </c>
      <c r="B12782" t="s">
        <v>176</v>
      </c>
      <c r="C12782">
        <v>280</v>
      </c>
      <c r="D12782">
        <v>20</v>
      </c>
      <c r="E12782" s="80">
        <v>35823</v>
      </c>
    </row>
    <row r="12783" spans="1:5">
      <c r="A12783">
        <v>10856</v>
      </c>
      <c r="B12783" t="s">
        <v>177</v>
      </c>
      <c r="C12783">
        <v>280</v>
      </c>
      <c r="D12783">
        <v>20</v>
      </c>
      <c r="E12783" s="80">
        <v>35823</v>
      </c>
    </row>
    <row r="12784" spans="1:5">
      <c r="A12784">
        <v>10856</v>
      </c>
      <c r="B12784" t="s">
        <v>178</v>
      </c>
      <c r="C12784">
        <v>280</v>
      </c>
      <c r="D12784">
        <v>20</v>
      </c>
      <c r="E12784" s="80">
        <v>35823</v>
      </c>
    </row>
    <row r="12785" spans="1:5">
      <c r="A12785">
        <v>10856</v>
      </c>
      <c r="B12785" t="s">
        <v>179</v>
      </c>
      <c r="C12785">
        <v>280</v>
      </c>
      <c r="D12785">
        <v>20</v>
      </c>
      <c r="E12785" s="80">
        <v>35823</v>
      </c>
    </row>
    <row r="12786" spans="1:5">
      <c r="A12786">
        <v>10857</v>
      </c>
      <c r="B12786" t="s">
        <v>172</v>
      </c>
      <c r="C12786">
        <v>300</v>
      </c>
      <c r="D12786">
        <v>30</v>
      </c>
      <c r="E12786" s="80">
        <v>35823</v>
      </c>
    </row>
    <row r="12787" spans="1:5">
      <c r="A12787">
        <v>10857</v>
      </c>
      <c r="B12787" t="s">
        <v>173</v>
      </c>
      <c r="C12787">
        <v>300</v>
      </c>
      <c r="D12787">
        <v>30</v>
      </c>
      <c r="E12787" s="80">
        <v>35823</v>
      </c>
    </row>
    <row r="12788" spans="1:5">
      <c r="A12788">
        <v>10857</v>
      </c>
      <c r="B12788" t="s">
        <v>174</v>
      </c>
      <c r="C12788">
        <v>300</v>
      </c>
      <c r="D12788">
        <v>30</v>
      </c>
      <c r="E12788" s="80">
        <v>35823</v>
      </c>
    </row>
    <row r="12789" spans="1:5">
      <c r="A12789">
        <v>10857</v>
      </c>
      <c r="B12789" t="s">
        <v>175</v>
      </c>
      <c r="C12789">
        <v>300</v>
      </c>
      <c r="D12789">
        <v>30</v>
      </c>
      <c r="E12789" s="80">
        <v>35823</v>
      </c>
    </row>
    <row r="12790" spans="1:5">
      <c r="A12790">
        <v>10857</v>
      </c>
      <c r="B12790" t="s">
        <v>176</v>
      </c>
      <c r="C12790">
        <v>300</v>
      </c>
      <c r="D12790">
        <v>30</v>
      </c>
      <c r="E12790" s="80">
        <v>35823</v>
      </c>
    </row>
    <row r="12791" spans="1:5">
      <c r="A12791">
        <v>10857</v>
      </c>
      <c r="B12791" t="s">
        <v>177</v>
      </c>
      <c r="C12791">
        <v>300</v>
      </c>
      <c r="D12791">
        <v>30</v>
      </c>
      <c r="E12791" s="80">
        <v>35823</v>
      </c>
    </row>
    <row r="12792" spans="1:5">
      <c r="A12792">
        <v>10857</v>
      </c>
      <c r="B12792" t="s">
        <v>178</v>
      </c>
      <c r="C12792">
        <v>300</v>
      </c>
      <c r="D12792">
        <v>30</v>
      </c>
      <c r="E12792" s="80">
        <v>35823</v>
      </c>
    </row>
    <row r="12793" spans="1:5">
      <c r="A12793">
        <v>10857</v>
      </c>
      <c r="B12793" t="s">
        <v>179</v>
      </c>
      <c r="C12793">
        <v>300</v>
      </c>
      <c r="D12793">
        <v>30</v>
      </c>
      <c r="E12793" s="80">
        <v>35823</v>
      </c>
    </row>
    <row r="12794" spans="1:5">
      <c r="A12794">
        <v>10857</v>
      </c>
      <c r="B12794" t="s">
        <v>172</v>
      </c>
      <c r="C12794">
        <v>819.78749999999991</v>
      </c>
      <c r="D12794">
        <v>35</v>
      </c>
      <c r="E12794" s="80">
        <v>35823</v>
      </c>
    </row>
    <row r="12795" spans="1:5">
      <c r="A12795">
        <v>10857</v>
      </c>
      <c r="B12795" t="s">
        <v>173</v>
      </c>
      <c r="C12795">
        <v>819.78749999999991</v>
      </c>
      <c r="D12795">
        <v>35</v>
      </c>
      <c r="E12795" s="80">
        <v>35823</v>
      </c>
    </row>
    <row r="12796" spans="1:5">
      <c r="A12796">
        <v>10857</v>
      </c>
      <c r="B12796" t="s">
        <v>174</v>
      </c>
      <c r="C12796">
        <v>819.78749999999991</v>
      </c>
      <c r="D12796">
        <v>35</v>
      </c>
      <c r="E12796" s="80">
        <v>35823</v>
      </c>
    </row>
    <row r="12797" spans="1:5">
      <c r="A12797">
        <v>10857</v>
      </c>
      <c r="B12797" t="s">
        <v>175</v>
      </c>
      <c r="C12797">
        <v>819.78749999999991</v>
      </c>
      <c r="D12797">
        <v>35</v>
      </c>
      <c r="E12797" s="80">
        <v>35823</v>
      </c>
    </row>
    <row r="12798" spans="1:5">
      <c r="A12798">
        <v>10857</v>
      </c>
      <c r="B12798" t="s">
        <v>176</v>
      </c>
      <c r="C12798">
        <v>819.78749999999991</v>
      </c>
      <c r="D12798">
        <v>35</v>
      </c>
      <c r="E12798" s="80">
        <v>35823</v>
      </c>
    </row>
    <row r="12799" spans="1:5">
      <c r="A12799">
        <v>10857</v>
      </c>
      <c r="B12799" t="s">
        <v>177</v>
      </c>
      <c r="C12799">
        <v>819.78749999999991</v>
      </c>
      <c r="D12799">
        <v>35</v>
      </c>
      <c r="E12799" s="80">
        <v>35823</v>
      </c>
    </row>
    <row r="12800" spans="1:5">
      <c r="A12800">
        <v>10857</v>
      </c>
      <c r="B12800" t="s">
        <v>178</v>
      </c>
      <c r="C12800">
        <v>819.78749999999991</v>
      </c>
      <c r="D12800">
        <v>35</v>
      </c>
      <c r="E12800" s="80">
        <v>35823</v>
      </c>
    </row>
    <row r="12801" spans="1:5">
      <c r="A12801">
        <v>10857</v>
      </c>
      <c r="B12801" t="s">
        <v>179</v>
      </c>
      <c r="C12801">
        <v>819.78749999999991</v>
      </c>
      <c r="D12801">
        <v>35</v>
      </c>
      <c r="E12801" s="80">
        <v>35823</v>
      </c>
    </row>
    <row r="12802" spans="1:5">
      <c r="A12802">
        <v>10857</v>
      </c>
      <c r="B12802" t="s">
        <v>172</v>
      </c>
      <c r="C12802">
        <v>928.42500000000007</v>
      </c>
      <c r="D12802">
        <v>10</v>
      </c>
      <c r="E12802" s="80">
        <v>35823</v>
      </c>
    </row>
    <row r="12803" spans="1:5">
      <c r="A12803">
        <v>10857</v>
      </c>
      <c r="B12803" t="s">
        <v>173</v>
      </c>
      <c r="C12803">
        <v>928.42500000000007</v>
      </c>
      <c r="D12803">
        <v>10</v>
      </c>
      <c r="E12803" s="80">
        <v>35823</v>
      </c>
    </row>
    <row r="12804" spans="1:5">
      <c r="A12804">
        <v>10857</v>
      </c>
      <c r="B12804" t="s">
        <v>174</v>
      </c>
      <c r="C12804">
        <v>928.42500000000007</v>
      </c>
      <c r="D12804">
        <v>10</v>
      </c>
      <c r="E12804" s="80">
        <v>35823</v>
      </c>
    </row>
    <row r="12805" spans="1:5">
      <c r="A12805">
        <v>10857</v>
      </c>
      <c r="B12805" t="s">
        <v>175</v>
      </c>
      <c r="C12805">
        <v>928.42500000000007</v>
      </c>
      <c r="D12805">
        <v>10</v>
      </c>
      <c r="E12805" s="80">
        <v>35823</v>
      </c>
    </row>
    <row r="12806" spans="1:5">
      <c r="A12806">
        <v>10857</v>
      </c>
      <c r="B12806" t="s">
        <v>176</v>
      </c>
      <c r="C12806">
        <v>928.42500000000007</v>
      </c>
      <c r="D12806">
        <v>10</v>
      </c>
      <c r="E12806" s="80">
        <v>35823</v>
      </c>
    </row>
    <row r="12807" spans="1:5">
      <c r="A12807">
        <v>10857</v>
      </c>
      <c r="B12807" t="s">
        <v>177</v>
      </c>
      <c r="C12807">
        <v>928.42500000000007</v>
      </c>
      <c r="D12807">
        <v>10</v>
      </c>
      <c r="E12807" s="80">
        <v>35823</v>
      </c>
    </row>
    <row r="12808" spans="1:5">
      <c r="A12808">
        <v>10857</v>
      </c>
      <c r="B12808" t="s">
        <v>178</v>
      </c>
      <c r="C12808">
        <v>928.42500000000007</v>
      </c>
      <c r="D12808">
        <v>10</v>
      </c>
      <c r="E12808" s="80">
        <v>35823</v>
      </c>
    </row>
    <row r="12809" spans="1:5">
      <c r="A12809">
        <v>10857</v>
      </c>
      <c r="B12809" t="s">
        <v>179</v>
      </c>
      <c r="C12809">
        <v>928.42500000000007</v>
      </c>
      <c r="D12809">
        <v>10</v>
      </c>
      <c r="E12809" s="80">
        <v>35823</v>
      </c>
    </row>
    <row r="12810" spans="1:5">
      <c r="A12810">
        <v>10858</v>
      </c>
      <c r="B12810" t="s">
        <v>172</v>
      </c>
      <c r="C12810">
        <v>150</v>
      </c>
      <c r="D12810">
        <v>5</v>
      </c>
      <c r="E12810" s="80">
        <v>35824</v>
      </c>
    </row>
    <row r="12811" spans="1:5">
      <c r="A12811">
        <v>10858</v>
      </c>
      <c r="B12811" t="s">
        <v>173</v>
      </c>
      <c r="C12811">
        <v>150</v>
      </c>
      <c r="D12811">
        <v>5</v>
      </c>
      <c r="E12811" s="80">
        <v>35824</v>
      </c>
    </row>
    <row r="12812" spans="1:5">
      <c r="A12812">
        <v>10858</v>
      </c>
      <c r="B12812" t="s">
        <v>174</v>
      </c>
      <c r="C12812">
        <v>150</v>
      </c>
      <c r="D12812">
        <v>5</v>
      </c>
      <c r="E12812" s="80">
        <v>35824</v>
      </c>
    </row>
    <row r="12813" spans="1:5">
      <c r="A12813">
        <v>10858</v>
      </c>
      <c r="B12813" t="s">
        <v>175</v>
      </c>
      <c r="C12813">
        <v>150</v>
      </c>
      <c r="D12813">
        <v>5</v>
      </c>
      <c r="E12813" s="80">
        <v>35824</v>
      </c>
    </row>
    <row r="12814" spans="1:5">
      <c r="A12814">
        <v>10858</v>
      </c>
      <c r="B12814" t="s">
        <v>176</v>
      </c>
      <c r="C12814">
        <v>150</v>
      </c>
      <c r="D12814">
        <v>5</v>
      </c>
      <c r="E12814" s="80">
        <v>35824</v>
      </c>
    </row>
    <row r="12815" spans="1:5">
      <c r="A12815">
        <v>10858</v>
      </c>
      <c r="B12815" t="s">
        <v>177</v>
      </c>
      <c r="C12815">
        <v>150</v>
      </c>
      <c r="D12815">
        <v>5</v>
      </c>
      <c r="E12815" s="80">
        <v>35824</v>
      </c>
    </row>
    <row r="12816" spans="1:5">
      <c r="A12816">
        <v>10858</v>
      </c>
      <c r="B12816" t="s">
        <v>178</v>
      </c>
      <c r="C12816">
        <v>150</v>
      </c>
      <c r="D12816">
        <v>5</v>
      </c>
      <c r="E12816" s="80">
        <v>35824</v>
      </c>
    </row>
    <row r="12817" spans="1:5">
      <c r="A12817">
        <v>10858</v>
      </c>
      <c r="B12817" t="s">
        <v>179</v>
      </c>
      <c r="C12817">
        <v>150</v>
      </c>
      <c r="D12817">
        <v>5</v>
      </c>
      <c r="E12817" s="80">
        <v>35824</v>
      </c>
    </row>
    <row r="12818" spans="1:5">
      <c r="A12818">
        <v>10858</v>
      </c>
      <c r="B12818" t="s">
        <v>172</v>
      </c>
      <c r="C12818">
        <v>439</v>
      </c>
      <c r="D12818">
        <v>10</v>
      </c>
      <c r="E12818" s="80">
        <v>35824</v>
      </c>
    </row>
    <row r="12819" spans="1:5">
      <c r="A12819">
        <v>10858</v>
      </c>
      <c r="B12819" t="s">
        <v>173</v>
      </c>
      <c r="C12819">
        <v>439</v>
      </c>
      <c r="D12819">
        <v>10</v>
      </c>
      <c r="E12819" s="80">
        <v>35824</v>
      </c>
    </row>
    <row r="12820" spans="1:5">
      <c r="A12820">
        <v>10858</v>
      </c>
      <c r="B12820" t="s">
        <v>174</v>
      </c>
      <c r="C12820">
        <v>439</v>
      </c>
      <c r="D12820">
        <v>10</v>
      </c>
      <c r="E12820" s="80">
        <v>35824</v>
      </c>
    </row>
    <row r="12821" spans="1:5">
      <c r="A12821">
        <v>10858</v>
      </c>
      <c r="B12821" t="s">
        <v>175</v>
      </c>
      <c r="C12821">
        <v>439</v>
      </c>
      <c r="D12821">
        <v>10</v>
      </c>
      <c r="E12821" s="80">
        <v>35824</v>
      </c>
    </row>
    <row r="12822" spans="1:5">
      <c r="A12822">
        <v>10858</v>
      </c>
      <c r="B12822" t="s">
        <v>176</v>
      </c>
      <c r="C12822">
        <v>439</v>
      </c>
      <c r="D12822">
        <v>10</v>
      </c>
      <c r="E12822" s="80">
        <v>35824</v>
      </c>
    </row>
    <row r="12823" spans="1:5">
      <c r="A12823">
        <v>10858</v>
      </c>
      <c r="B12823" t="s">
        <v>177</v>
      </c>
      <c r="C12823">
        <v>439</v>
      </c>
      <c r="D12823">
        <v>10</v>
      </c>
      <c r="E12823" s="80">
        <v>35824</v>
      </c>
    </row>
    <row r="12824" spans="1:5">
      <c r="A12824">
        <v>10858</v>
      </c>
      <c r="B12824" t="s">
        <v>178</v>
      </c>
      <c r="C12824">
        <v>439</v>
      </c>
      <c r="D12824">
        <v>10</v>
      </c>
      <c r="E12824" s="80">
        <v>35824</v>
      </c>
    </row>
    <row r="12825" spans="1:5">
      <c r="A12825">
        <v>10858</v>
      </c>
      <c r="B12825" t="s">
        <v>179</v>
      </c>
      <c r="C12825">
        <v>439</v>
      </c>
      <c r="D12825">
        <v>10</v>
      </c>
      <c r="E12825" s="80">
        <v>35824</v>
      </c>
    </row>
    <row r="12826" spans="1:5">
      <c r="A12826">
        <v>10858</v>
      </c>
      <c r="B12826" t="s">
        <v>172</v>
      </c>
      <c r="C12826">
        <v>60</v>
      </c>
      <c r="D12826">
        <v>4</v>
      </c>
      <c r="E12826" s="80">
        <v>35824</v>
      </c>
    </row>
    <row r="12827" spans="1:5">
      <c r="A12827">
        <v>10858</v>
      </c>
      <c r="B12827" t="s">
        <v>173</v>
      </c>
      <c r="C12827">
        <v>60</v>
      </c>
      <c r="D12827">
        <v>4</v>
      </c>
      <c r="E12827" s="80">
        <v>35824</v>
      </c>
    </row>
    <row r="12828" spans="1:5">
      <c r="A12828">
        <v>10858</v>
      </c>
      <c r="B12828" t="s">
        <v>174</v>
      </c>
      <c r="C12828">
        <v>60</v>
      </c>
      <c r="D12828">
        <v>4</v>
      </c>
      <c r="E12828" s="80">
        <v>35824</v>
      </c>
    </row>
    <row r="12829" spans="1:5">
      <c r="A12829">
        <v>10858</v>
      </c>
      <c r="B12829" t="s">
        <v>175</v>
      </c>
      <c r="C12829">
        <v>60</v>
      </c>
      <c r="D12829">
        <v>4</v>
      </c>
      <c r="E12829" s="80">
        <v>35824</v>
      </c>
    </row>
    <row r="12830" spans="1:5">
      <c r="A12830">
        <v>10858</v>
      </c>
      <c r="B12830" t="s">
        <v>176</v>
      </c>
      <c r="C12830">
        <v>60</v>
      </c>
      <c r="D12830">
        <v>4</v>
      </c>
      <c r="E12830" s="80">
        <v>35824</v>
      </c>
    </row>
    <row r="12831" spans="1:5">
      <c r="A12831">
        <v>10858</v>
      </c>
      <c r="B12831" t="s">
        <v>177</v>
      </c>
      <c r="C12831">
        <v>60</v>
      </c>
      <c r="D12831">
        <v>4</v>
      </c>
      <c r="E12831" s="80">
        <v>35824</v>
      </c>
    </row>
    <row r="12832" spans="1:5">
      <c r="A12832">
        <v>10858</v>
      </c>
      <c r="B12832" t="s">
        <v>178</v>
      </c>
      <c r="C12832">
        <v>60</v>
      </c>
      <c r="D12832">
        <v>4</v>
      </c>
      <c r="E12832" s="80">
        <v>35824</v>
      </c>
    </row>
    <row r="12833" spans="1:5">
      <c r="A12833">
        <v>10858</v>
      </c>
      <c r="B12833" t="s">
        <v>179</v>
      </c>
      <c r="C12833">
        <v>60</v>
      </c>
      <c r="D12833">
        <v>4</v>
      </c>
      <c r="E12833" s="80">
        <v>35824</v>
      </c>
    </row>
    <row r="12834" spans="1:5">
      <c r="A12834">
        <v>10859</v>
      </c>
      <c r="B12834" t="s">
        <v>172</v>
      </c>
      <c r="C12834">
        <v>135</v>
      </c>
      <c r="D12834">
        <v>40</v>
      </c>
      <c r="E12834" s="80">
        <v>35824</v>
      </c>
    </row>
    <row r="12835" spans="1:5">
      <c r="A12835">
        <v>10859</v>
      </c>
      <c r="B12835" t="s">
        <v>173</v>
      </c>
      <c r="C12835">
        <v>135</v>
      </c>
      <c r="D12835">
        <v>40</v>
      </c>
      <c r="E12835" s="80">
        <v>35824</v>
      </c>
    </row>
    <row r="12836" spans="1:5">
      <c r="A12836">
        <v>10859</v>
      </c>
      <c r="B12836" t="s">
        <v>174</v>
      </c>
      <c r="C12836">
        <v>135</v>
      </c>
      <c r="D12836">
        <v>40</v>
      </c>
      <c r="E12836" s="80">
        <v>35824</v>
      </c>
    </row>
    <row r="12837" spans="1:5">
      <c r="A12837">
        <v>10859</v>
      </c>
      <c r="B12837" t="s">
        <v>175</v>
      </c>
      <c r="C12837">
        <v>135</v>
      </c>
      <c r="D12837">
        <v>40</v>
      </c>
      <c r="E12837" s="80">
        <v>35824</v>
      </c>
    </row>
    <row r="12838" spans="1:5">
      <c r="A12838">
        <v>10859</v>
      </c>
      <c r="B12838" t="s">
        <v>176</v>
      </c>
      <c r="C12838">
        <v>135</v>
      </c>
      <c r="D12838">
        <v>40</v>
      </c>
      <c r="E12838" s="80">
        <v>35824</v>
      </c>
    </row>
    <row r="12839" spans="1:5">
      <c r="A12839">
        <v>10859</v>
      </c>
      <c r="B12839" t="s">
        <v>177</v>
      </c>
      <c r="C12839">
        <v>135</v>
      </c>
      <c r="D12839">
        <v>40</v>
      </c>
      <c r="E12839" s="80">
        <v>35824</v>
      </c>
    </row>
    <row r="12840" spans="1:5">
      <c r="A12840">
        <v>10859</v>
      </c>
      <c r="B12840" t="s">
        <v>178</v>
      </c>
      <c r="C12840">
        <v>135</v>
      </c>
      <c r="D12840">
        <v>40</v>
      </c>
      <c r="E12840" s="80">
        <v>35824</v>
      </c>
    </row>
    <row r="12841" spans="1:5">
      <c r="A12841">
        <v>10859</v>
      </c>
      <c r="B12841" t="s">
        <v>179</v>
      </c>
      <c r="C12841">
        <v>135</v>
      </c>
      <c r="D12841">
        <v>40</v>
      </c>
      <c r="E12841" s="80">
        <v>35824</v>
      </c>
    </row>
    <row r="12842" spans="1:5">
      <c r="A12842">
        <v>10859</v>
      </c>
      <c r="B12842" t="s">
        <v>172</v>
      </c>
      <c r="C12842">
        <v>195.5625</v>
      </c>
      <c r="D12842">
        <v>35</v>
      </c>
      <c r="E12842" s="80">
        <v>35824</v>
      </c>
    </row>
    <row r="12843" spans="1:5">
      <c r="A12843">
        <v>10859</v>
      </c>
      <c r="B12843" t="s">
        <v>173</v>
      </c>
      <c r="C12843">
        <v>195.5625</v>
      </c>
      <c r="D12843">
        <v>35</v>
      </c>
      <c r="E12843" s="80">
        <v>35824</v>
      </c>
    </row>
    <row r="12844" spans="1:5">
      <c r="A12844">
        <v>10859</v>
      </c>
      <c r="B12844" t="s">
        <v>174</v>
      </c>
      <c r="C12844">
        <v>195.5625</v>
      </c>
      <c r="D12844">
        <v>35</v>
      </c>
      <c r="E12844" s="80">
        <v>35824</v>
      </c>
    </row>
    <row r="12845" spans="1:5">
      <c r="A12845">
        <v>10859</v>
      </c>
      <c r="B12845" t="s">
        <v>175</v>
      </c>
      <c r="C12845">
        <v>195.5625</v>
      </c>
      <c r="D12845">
        <v>35</v>
      </c>
      <c r="E12845" s="80">
        <v>35824</v>
      </c>
    </row>
    <row r="12846" spans="1:5">
      <c r="A12846">
        <v>10859</v>
      </c>
      <c r="B12846" t="s">
        <v>176</v>
      </c>
      <c r="C12846">
        <v>195.5625</v>
      </c>
      <c r="D12846">
        <v>35</v>
      </c>
      <c r="E12846" s="80">
        <v>35824</v>
      </c>
    </row>
    <row r="12847" spans="1:5">
      <c r="A12847">
        <v>10859</v>
      </c>
      <c r="B12847" t="s">
        <v>177</v>
      </c>
      <c r="C12847">
        <v>195.5625</v>
      </c>
      <c r="D12847">
        <v>35</v>
      </c>
      <c r="E12847" s="80">
        <v>35824</v>
      </c>
    </row>
    <row r="12848" spans="1:5">
      <c r="A12848">
        <v>10859</v>
      </c>
      <c r="B12848" t="s">
        <v>178</v>
      </c>
      <c r="C12848">
        <v>195.5625</v>
      </c>
      <c r="D12848">
        <v>35</v>
      </c>
      <c r="E12848" s="80">
        <v>35824</v>
      </c>
    </row>
    <row r="12849" spans="1:5">
      <c r="A12849">
        <v>10859</v>
      </c>
      <c r="B12849" t="s">
        <v>179</v>
      </c>
      <c r="C12849">
        <v>195.5625</v>
      </c>
      <c r="D12849">
        <v>35</v>
      </c>
      <c r="E12849" s="80">
        <v>35824</v>
      </c>
    </row>
    <row r="12850" spans="1:5">
      <c r="A12850">
        <v>10859</v>
      </c>
      <c r="B12850" t="s">
        <v>172</v>
      </c>
      <c r="C12850">
        <v>748.125</v>
      </c>
      <c r="D12850">
        <v>30</v>
      </c>
      <c r="E12850" s="80">
        <v>35824</v>
      </c>
    </row>
    <row r="12851" spans="1:5">
      <c r="A12851">
        <v>10859</v>
      </c>
      <c r="B12851" t="s">
        <v>173</v>
      </c>
      <c r="C12851">
        <v>748.125</v>
      </c>
      <c r="D12851">
        <v>30</v>
      </c>
      <c r="E12851" s="80">
        <v>35824</v>
      </c>
    </row>
    <row r="12852" spans="1:5">
      <c r="A12852">
        <v>10859</v>
      </c>
      <c r="B12852" t="s">
        <v>174</v>
      </c>
      <c r="C12852">
        <v>748.125</v>
      </c>
      <c r="D12852">
        <v>30</v>
      </c>
      <c r="E12852" s="80">
        <v>35824</v>
      </c>
    </row>
    <row r="12853" spans="1:5">
      <c r="A12853">
        <v>10859</v>
      </c>
      <c r="B12853" t="s">
        <v>175</v>
      </c>
      <c r="C12853">
        <v>748.125</v>
      </c>
      <c r="D12853">
        <v>30</v>
      </c>
      <c r="E12853" s="80">
        <v>35824</v>
      </c>
    </row>
    <row r="12854" spans="1:5">
      <c r="A12854">
        <v>10859</v>
      </c>
      <c r="B12854" t="s">
        <v>176</v>
      </c>
      <c r="C12854">
        <v>748.125</v>
      </c>
      <c r="D12854">
        <v>30</v>
      </c>
      <c r="E12854" s="80">
        <v>35824</v>
      </c>
    </row>
    <row r="12855" spans="1:5">
      <c r="A12855">
        <v>10859</v>
      </c>
      <c r="B12855" t="s">
        <v>177</v>
      </c>
      <c r="C12855">
        <v>748.125</v>
      </c>
      <c r="D12855">
        <v>30</v>
      </c>
      <c r="E12855" s="80">
        <v>35824</v>
      </c>
    </row>
    <row r="12856" spans="1:5">
      <c r="A12856">
        <v>10859</v>
      </c>
      <c r="B12856" t="s">
        <v>178</v>
      </c>
      <c r="C12856">
        <v>748.125</v>
      </c>
      <c r="D12856">
        <v>30</v>
      </c>
      <c r="E12856" s="80">
        <v>35824</v>
      </c>
    </row>
    <row r="12857" spans="1:5">
      <c r="A12857">
        <v>10859</v>
      </c>
      <c r="B12857" t="s">
        <v>179</v>
      </c>
      <c r="C12857">
        <v>748.125</v>
      </c>
      <c r="D12857">
        <v>30</v>
      </c>
      <c r="E12857" s="80">
        <v>35824</v>
      </c>
    </row>
    <row r="12858" spans="1:5">
      <c r="A12858">
        <v>10860</v>
      </c>
      <c r="B12858" t="s">
        <v>172</v>
      </c>
      <c r="C12858">
        <v>159</v>
      </c>
      <c r="D12858">
        <v>3</v>
      </c>
      <c r="E12858" s="80">
        <v>35824</v>
      </c>
    </row>
    <row r="12859" spans="1:5">
      <c r="A12859">
        <v>10860</v>
      </c>
      <c r="B12859" t="s">
        <v>173</v>
      </c>
      <c r="C12859">
        <v>159</v>
      </c>
      <c r="D12859">
        <v>3</v>
      </c>
      <c r="E12859" s="80">
        <v>35824</v>
      </c>
    </row>
    <row r="12860" spans="1:5">
      <c r="A12860">
        <v>10860</v>
      </c>
      <c r="B12860" t="s">
        <v>174</v>
      </c>
      <c r="C12860">
        <v>159</v>
      </c>
      <c r="D12860">
        <v>3</v>
      </c>
      <c r="E12860" s="80">
        <v>35824</v>
      </c>
    </row>
    <row r="12861" spans="1:5">
      <c r="A12861">
        <v>10860</v>
      </c>
      <c r="B12861" t="s">
        <v>175</v>
      </c>
      <c r="C12861">
        <v>159</v>
      </c>
      <c r="D12861">
        <v>3</v>
      </c>
      <c r="E12861" s="80">
        <v>35824</v>
      </c>
    </row>
    <row r="12862" spans="1:5">
      <c r="A12862">
        <v>10860</v>
      </c>
      <c r="B12862" t="s">
        <v>176</v>
      </c>
      <c r="C12862">
        <v>159</v>
      </c>
      <c r="D12862">
        <v>3</v>
      </c>
      <c r="E12862" s="80">
        <v>35824</v>
      </c>
    </row>
    <row r="12863" spans="1:5">
      <c r="A12863">
        <v>10860</v>
      </c>
      <c r="B12863" t="s">
        <v>177</v>
      </c>
      <c r="C12863">
        <v>159</v>
      </c>
      <c r="D12863">
        <v>3</v>
      </c>
      <c r="E12863" s="80">
        <v>35824</v>
      </c>
    </row>
    <row r="12864" spans="1:5">
      <c r="A12864">
        <v>10860</v>
      </c>
      <c r="B12864" t="s">
        <v>178</v>
      </c>
      <c r="C12864">
        <v>159</v>
      </c>
      <c r="D12864">
        <v>3</v>
      </c>
      <c r="E12864" s="80">
        <v>35824</v>
      </c>
    </row>
    <row r="12865" spans="1:5">
      <c r="A12865">
        <v>10860</v>
      </c>
      <c r="B12865" t="s">
        <v>179</v>
      </c>
      <c r="C12865">
        <v>159</v>
      </c>
      <c r="D12865">
        <v>3</v>
      </c>
      <c r="E12865" s="80">
        <v>35824</v>
      </c>
    </row>
    <row r="12866" spans="1:5">
      <c r="A12866">
        <v>10860</v>
      </c>
      <c r="B12866" t="s">
        <v>172</v>
      </c>
      <c r="C12866">
        <v>360</v>
      </c>
      <c r="D12866">
        <v>20</v>
      </c>
      <c r="E12866" s="80">
        <v>35824</v>
      </c>
    </row>
    <row r="12867" spans="1:5">
      <c r="A12867">
        <v>10860</v>
      </c>
      <c r="B12867" t="s">
        <v>173</v>
      </c>
      <c r="C12867">
        <v>360</v>
      </c>
      <c r="D12867">
        <v>20</v>
      </c>
      <c r="E12867" s="80">
        <v>35824</v>
      </c>
    </row>
    <row r="12868" spans="1:5">
      <c r="A12868">
        <v>10860</v>
      </c>
      <c r="B12868" t="s">
        <v>174</v>
      </c>
      <c r="C12868">
        <v>360</v>
      </c>
      <c r="D12868">
        <v>20</v>
      </c>
      <c r="E12868" s="80">
        <v>35824</v>
      </c>
    </row>
    <row r="12869" spans="1:5">
      <c r="A12869">
        <v>10860</v>
      </c>
      <c r="B12869" t="s">
        <v>175</v>
      </c>
      <c r="C12869">
        <v>360</v>
      </c>
      <c r="D12869">
        <v>20</v>
      </c>
      <c r="E12869" s="80">
        <v>35824</v>
      </c>
    </row>
    <row r="12870" spans="1:5">
      <c r="A12870">
        <v>10860</v>
      </c>
      <c r="B12870" t="s">
        <v>176</v>
      </c>
      <c r="C12870">
        <v>360</v>
      </c>
      <c r="D12870">
        <v>20</v>
      </c>
      <c r="E12870" s="80">
        <v>35824</v>
      </c>
    </row>
    <row r="12871" spans="1:5">
      <c r="A12871">
        <v>10860</v>
      </c>
      <c r="B12871" t="s">
        <v>177</v>
      </c>
      <c r="C12871">
        <v>360</v>
      </c>
      <c r="D12871">
        <v>20</v>
      </c>
      <c r="E12871" s="80">
        <v>35824</v>
      </c>
    </row>
    <row r="12872" spans="1:5">
      <c r="A12872">
        <v>10860</v>
      </c>
      <c r="B12872" t="s">
        <v>178</v>
      </c>
      <c r="C12872">
        <v>360</v>
      </c>
      <c r="D12872">
        <v>20</v>
      </c>
      <c r="E12872" s="80">
        <v>35824</v>
      </c>
    </row>
    <row r="12873" spans="1:5">
      <c r="A12873">
        <v>10860</v>
      </c>
      <c r="B12873" t="s">
        <v>179</v>
      </c>
      <c r="C12873">
        <v>360</v>
      </c>
      <c r="D12873">
        <v>20</v>
      </c>
      <c r="E12873" s="80">
        <v>35824</v>
      </c>
    </row>
    <row r="12874" spans="1:5">
      <c r="A12874">
        <v>10861</v>
      </c>
      <c r="B12874" t="s">
        <v>172</v>
      </c>
      <c r="C12874">
        <v>1638</v>
      </c>
      <c r="D12874">
        <v>42</v>
      </c>
      <c r="E12874" s="80">
        <v>35825</v>
      </c>
    </row>
    <row r="12875" spans="1:5">
      <c r="A12875">
        <v>10861</v>
      </c>
      <c r="B12875" t="s">
        <v>173</v>
      </c>
      <c r="C12875">
        <v>1638</v>
      </c>
      <c r="D12875">
        <v>42</v>
      </c>
      <c r="E12875" s="80">
        <v>35825</v>
      </c>
    </row>
    <row r="12876" spans="1:5">
      <c r="A12876">
        <v>10861</v>
      </c>
      <c r="B12876" t="s">
        <v>174</v>
      </c>
      <c r="C12876">
        <v>1638</v>
      </c>
      <c r="D12876">
        <v>42</v>
      </c>
      <c r="E12876" s="80">
        <v>35825</v>
      </c>
    </row>
    <row r="12877" spans="1:5">
      <c r="A12877">
        <v>10861</v>
      </c>
      <c r="B12877" t="s">
        <v>175</v>
      </c>
      <c r="C12877">
        <v>1638</v>
      </c>
      <c r="D12877">
        <v>42</v>
      </c>
      <c r="E12877" s="80">
        <v>35825</v>
      </c>
    </row>
    <row r="12878" spans="1:5">
      <c r="A12878">
        <v>10861</v>
      </c>
      <c r="B12878" t="s">
        <v>176</v>
      </c>
      <c r="C12878">
        <v>1638</v>
      </c>
      <c r="D12878">
        <v>42</v>
      </c>
      <c r="E12878" s="80">
        <v>35825</v>
      </c>
    </row>
    <row r="12879" spans="1:5">
      <c r="A12879">
        <v>10861</v>
      </c>
      <c r="B12879" t="s">
        <v>177</v>
      </c>
      <c r="C12879">
        <v>1638</v>
      </c>
      <c r="D12879">
        <v>42</v>
      </c>
      <c r="E12879" s="80">
        <v>35825</v>
      </c>
    </row>
    <row r="12880" spans="1:5">
      <c r="A12880">
        <v>10861</v>
      </c>
      <c r="B12880" t="s">
        <v>178</v>
      </c>
      <c r="C12880">
        <v>1638</v>
      </c>
      <c r="D12880">
        <v>42</v>
      </c>
      <c r="E12880" s="80">
        <v>35825</v>
      </c>
    </row>
    <row r="12881" spans="1:5">
      <c r="A12881">
        <v>10861</v>
      </c>
      <c r="B12881" t="s">
        <v>179</v>
      </c>
      <c r="C12881">
        <v>1638</v>
      </c>
      <c r="D12881">
        <v>42</v>
      </c>
      <c r="E12881" s="80">
        <v>35825</v>
      </c>
    </row>
    <row r="12882" spans="1:5">
      <c r="A12882">
        <v>10861</v>
      </c>
      <c r="B12882" t="s">
        <v>172</v>
      </c>
      <c r="C12882">
        <v>1250</v>
      </c>
      <c r="D12882">
        <v>20</v>
      </c>
      <c r="E12882" s="80">
        <v>35825</v>
      </c>
    </row>
    <row r="12883" spans="1:5">
      <c r="A12883">
        <v>10861</v>
      </c>
      <c r="B12883" t="s">
        <v>173</v>
      </c>
      <c r="C12883">
        <v>1250</v>
      </c>
      <c r="D12883">
        <v>20</v>
      </c>
      <c r="E12883" s="80">
        <v>35825</v>
      </c>
    </row>
    <row r="12884" spans="1:5">
      <c r="A12884">
        <v>10861</v>
      </c>
      <c r="B12884" t="s">
        <v>174</v>
      </c>
      <c r="C12884">
        <v>1250</v>
      </c>
      <c r="D12884">
        <v>20</v>
      </c>
      <c r="E12884" s="80">
        <v>35825</v>
      </c>
    </row>
    <row r="12885" spans="1:5">
      <c r="A12885">
        <v>10861</v>
      </c>
      <c r="B12885" t="s">
        <v>175</v>
      </c>
      <c r="C12885">
        <v>1250</v>
      </c>
      <c r="D12885">
        <v>20</v>
      </c>
      <c r="E12885" s="80">
        <v>35825</v>
      </c>
    </row>
    <row r="12886" spans="1:5">
      <c r="A12886">
        <v>10861</v>
      </c>
      <c r="B12886" t="s">
        <v>176</v>
      </c>
      <c r="C12886">
        <v>1250</v>
      </c>
      <c r="D12886">
        <v>20</v>
      </c>
      <c r="E12886" s="80">
        <v>35825</v>
      </c>
    </row>
    <row r="12887" spans="1:5">
      <c r="A12887">
        <v>10861</v>
      </c>
      <c r="B12887" t="s">
        <v>177</v>
      </c>
      <c r="C12887">
        <v>1250</v>
      </c>
      <c r="D12887">
        <v>20</v>
      </c>
      <c r="E12887" s="80">
        <v>35825</v>
      </c>
    </row>
    <row r="12888" spans="1:5">
      <c r="A12888">
        <v>10861</v>
      </c>
      <c r="B12888" t="s">
        <v>178</v>
      </c>
      <c r="C12888">
        <v>1250</v>
      </c>
      <c r="D12888">
        <v>20</v>
      </c>
      <c r="E12888" s="80">
        <v>35825</v>
      </c>
    </row>
    <row r="12889" spans="1:5">
      <c r="A12889">
        <v>10861</v>
      </c>
      <c r="B12889" t="s">
        <v>179</v>
      </c>
      <c r="C12889">
        <v>1250</v>
      </c>
      <c r="D12889">
        <v>20</v>
      </c>
      <c r="E12889" s="80">
        <v>35825</v>
      </c>
    </row>
    <row r="12890" spans="1:5">
      <c r="A12890">
        <v>10861</v>
      </c>
      <c r="B12890" t="s">
        <v>172</v>
      </c>
      <c r="C12890">
        <v>400</v>
      </c>
      <c r="D12890">
        <v>40</v>
      </c>
      <c r="E12890" s="80">
        <v>35825</v>
      </c>
    </row>
    <row r="12891" spans="1:5">
      <c r="A12891">
        <v>10861</v>
      </c>
      <c r="B12891" t="s">
        <v>173</v>
      </c>
      <c r="C12891">
        <v>400</v>
      </c>
      <c r="D12891">
        <v>40</v>
      </c>
      <c r="E12891" s="80">
        <v>35825</v>
      </c>
    </row>
    <row r="12892" spans="1:5">
      <c r="A12892">
        <v>10861</v>
      </c>
      <c r="B12892" t="s">
        <v>174</v>
      </c>
      <c r="C12892">
        <v>400</v>
      </c>
      <c r="D12892">
        <v>40</v>
      </c>
      <c r="E12892" s="80">
        <v>35825</v>
      </c>
    </row>
    <row r="12893" spans="1:5">
      <c r="A12893">
        <v>10861</v>
      </c>
      <c r="B12893" t="s">
        <v>175</v>
      </c>
      <c r="C12893">
        <v>400</v>
      </c>
      <c r="D12893">
        <v>40</v>
      </c>
      <c r="E12893" s="80">
        <v>35825</v>
      </c>
    </row>
    <row r="12894" spans="1:5">
      <c r="A12894">
        <v>10861</v>
      </c>
      <c r="B12894" t="s">
        <v>176</v>
      </c>
      <c r="C12894">
        <v>400</v>
      </c>
      <c r="D12894">
        <v>40</v>
      </c>
      <c r="E12894" s="80">
        <v>35825</v>
      </c>
    </row>
    <row r="12895" spans="1:5">
      <c r="A12895">
        <v>10861</v>
      </c>
      <c r="B12895" t="s">
        <v>177</v>
      </c>
      <c r="C12895">
        <v>400</v>
      </c>
      <c r="D12895">
        <v>40</v>
      </c>
      <c r="E12895" s="80">
        <v>35825</v>
      </c>
    </row>
    <row r="12896" spans="1:5">
      <c r="A12896">
        <v>10861</v>
      </c>
      <c r="B12896" t="s">
        <v>178</v>
      </c>
      <c r="C12896">
        <v>400</v>
      </c>
      <c r="D12896">
        <v>40</v>
      </c>
      <c r="E12896" s="80">
        <v>35825</v>
      </c>
    </row>
    <row r="12897" spans="1:5">
      <c r="A12897">
        <v>10861</v>
      </c>
      <c r="B12897" t="s">
        <v>179</v>
      </c>
      <c r="C12897">
        <v>400</v>
      </c>
      <c r="D12897">
        <v>40</v>
      </c>
      <c r="E12897" s="80">
        <v>35825</v>
      </c>
    </row>
    <row r="12898" spans="1:5">
      <c r="A12898">
        <v>10861</v>
      </c>
      <c r="B12898" t="s">
        <v>172</v>
      </c>
      <c r="C12898">
        <v>87.5</v>
      </c>
      <c r="D12898">
        <v>35</v>
      </c>
      <c r="E12898" s="80">
        <v>35825</v>
      </c>
    </row>
    <row r="12899" spans="1:5">
      <c r="A12899">
        <v>10861</v>
      </c>
      <c r="B12899" t="s">
        <v>173</v>
      </c>
      <c r="C12899">
        <v>87.5</v>
      </c>
      <c r="D12899">
        <v>35</v>
      </c>
      <c r="E12899" s="80">
        <v>35825</v>
      </c>
    </row>
    <row r="12900" spans="1:5">
      <c r="A12900">
        <v>10861</v>
      </c>
      <c r="B12900" t="s">
        <v>174</v>
      </c>
      <c r="C12900">
        <v>87.5</v>
      </c>
      <c r="D12900">
        <v>35</v>
      </c>
      <c r="E12900" s="80">
        <v>35825</v>
      </c>
    </row>
    <row r="12901" spans="1:5">
      <c r="A12901">
        <v>10861</v>
      </c>
      <c r="B12901" t="s">
        <v>175</v>
      </c>
      <c r="C12901">
        <v>87.5</v>
      </c>
      <c r="D12901">
        <v>35</v>
      </c>
      <c r="E12901" s="80">
        <v>35825</v>
      </c>
    </row>
    <row r="12902" spans="1:5">
      <c r="A12902">
        <v>10861</v>
      </c>
      <c r="B12902" t="s">
        <v>176</v>
      </c>
      <c r="C12902">
        <v>87.5</v>
      </c>
      <c r="D12902">
        <v>35</v>
      </c>
      <c r="E12902" s="80">
        <v>35825</v>
      </c>
    </row>
    <row r="12903" spans="1:5">
      <c r="A12903">
        <v>10861</v>
      </c>
      <c r="B12903" t="s">
        <v>177</v>
      </c>
      <c r="C12903">
        <v>87.5</v>
      </c>
      <c r="D12903">
        <v>35</v>
      </c>
      <c r="E12903" s="80">
        <v>35825</v>
      </c>
    </row>
    <row r="12904" spans="1:5">
      <c r="A12904">
        <v>10861</v>
      </c>
      <c r="B12904" t="s">
        <v>178</v>
      </c>
      <c r="C12904">
        <v>87.5</v>
      </c>
      <c r="D12904">
        <v>35</v>
      </c>
      <c r="E12904" s="80">
        <v>35825</v>
      </c>
    </row>
    <row r="12905" spans="1:5">
      <c r="A12905">
        <v>10861</v>
      </c>
      <c r="B12905" t="s">
        <v>179</v>
      </c>
      <c r="C12905">
        <v>87.5</v>
      </c>
      <c r="D12905">
        <v>35</v>
      </c>
      <c r="E12905" s="80">
        <v>35825</v>
      </c>
    </row>
    <row r="12906" spans="1:5">
      <c r="A12906">
        <v>10861</v>
      </c>
      <c r="B12906" t="s">
        <v>172</v>
      </c>
      <c r="C12906">
        <v>147.9</v>
      </c>
      <c r="D12906">
        <v>3</v>
      </c>
      <c r="E12906" s="80">
        <v>35825</v>
      </c>
    </row>
    <row r="12907" spans="1:5">
      <c r="A12907">
        <v>10861</v>
      </c>
      <c r="B12907" t="s">
        <v>173</v>
      </c>
      <c r="C12907">
        <v>147.9</v>
      </c>
      <c r="D12907">
        <v>3</v>
      </c>
      <c r="E12907" s="80">
        <v>35825</v>
      </c>
    </row>
    <row r="12908" spans="1:5">
      <c r="A12908">
        <v>10861</v>
      </c>
      <c r="B12908" t="s">
        <v>174</v>
      </c>
      <c r="C12908">
        <v>147.9</v>
      </c>
      <c r="D12908">
        <v>3</v>
      </c>
      <c r="E12908" s="80">
        <v>35825</v>
      </c>
    </row>
    <row r="12909" spans="1:5">
      <c r="A12909">
        <v>10861</v>
      </c>
      <c r="B12909" t="s">
        <v>175</v>
      </c>
      <c r="C12909">
        <v>147.9</v>
      </c>
      <c r="D12909">
        <v>3</v>
      </c>
      <c r="E12909" s="80">
        <v>35825</v>
      </c>
    </row>
    <row r="12910" spans="1:5">
      <c r="A12910">
        <v>10861</v>
      </c>
      <c r="B12910" t="s">
        <v>176</v>
      </c>
      <c r="C12910">
        <v>147.9</v>
      </c>
      <c r="D12910">
        <v>3</v>
      </c>
      <c r="E12910" s="80">
        <v>35825</v>
      </c>
    </row>
    <row r="12911" spans="1:5">
      <c r="A12911">
        <v>10861</v>
      </c>
      <c r="B12911" t="s">
        <v>177</v>
      </c>
      <c r="C12911">
        <v>147.9</v>
      </c>
      <c r="D12911">
        <v>3</v>
      </c>
      <c r="E12911" s="80">
        <v>35825</v>
      </c>
    </row>
    <row r="12912" spans="1:5">
      <c r="A12912">
        <v>10861</v>
      </c>
      <c r="B12912" t="s">
        <v>178</v>
      </c>
      <c r="C12912">
        <v>147.9</v>
      </c>
      <c r="D12912">
        <v>3</v>
      </c>
      <c r="E12912" s="80">
        <v>35825</v>
      </c>
    </row>
    <row r="12913" spans="1:5">
      <c r="A12913">
        <v>10861</v>
      </c>
      <c r="B12913" t="s">
        <v>179</v>
      </c>
      <c r="C12913">
        <v>147.9</v>
      </c>
      <c r="D12913">
        <v>3</v>
      </c>
      <c r="E12913" s="80">
        <v>35825</v>
      </c>
    </row>
    <row r="12914" spans="1:5">
      <c r="A12914">
        <v>10862</v>
      </c>
      <c r="B12914" t="s">
        <v>172</v>
      </c>
      <c r="C12914">
        <v>525</v>
      </c>
      <c r="D12914">
        <v>25</v>
      </c>
      <c r="E12914" s="80">
        <v>35825</v>
      </c>
    </row>
    <row r="12915" spans="1:5">
      <c r="A12915">
        <v>10862</v>
      </c>
      <c r="B12915" t="s">
        <v>173</v>
      </c>
      <c r="C12915">
        <v>525</v>
      </c>
      <c r="D12915">
        <v>25</v>
      </c>
      <c r="E12915" s="80">
        <v>35825</v>
      </c>
    </row>
    <row r="12916" spans="1:5">
      <c r="A12916">
        <v>10862</v>
      </c>
      <c r="B12916" t="s">
        <v>174</v>
      </c>
      <c r="C12916">
        <v>525</v>
      </c>
      <c r="D12916">
        <v>25</v>
      </c>
      <c r="E12916" s="80">
        <v>35825</v>
      </c>
    </row>
    <row r="12917" spans="1:5">
      <c r="A12917">
        <v>10862</v>
      </c>
      <c r="B12917" t="s">
        <v>175</v>
      </c>
      <c r="C12917">
        <v>525</v>
      </c>
      <c r="D12917">
        <v>25</v>
      </c>
      <c r="E12917" s="80">
        <v>35825</v>
      </c>
    </row>
    <row r="12918" spans="1:5">
      <c r="A12918">
        <v>10862</v>
      </c>
      <c r="B12918" t="s">
        <v>176</v>
      </c>
      <c r="C12918">
        <v>525</v>
      </c>
      <c r="D12918">
        <v>25</v>
      </c>
      <c r="E12918" s="80">
        <v>35825</v>
      </c>
    </row>
    <row r="12919" spans="1:5">
      <c r="A12919">
        <v>10862</v>
      </c>
      <c r="B12919" t="s">
        <v>177</v>
      </c>
      <c r="C12919">
        <v>525</v>
      </c>
      <c r="D12919">
        <v>25</v>
      </c>
      <c r="E12919" s="80">
        <v>35825</v>
      </c>
    </row>
    <row r="12920" spans="1:5">
      <c r="A12920">
        <v>10862</v>
      </c>
      <c r="B12920" t="s">
        <v>178</v>
      </c>
      <c r="C12920">
        <v>525</v>
      </c>
      <c r="D12920">
        <v>25</v>
      </c>
      <c r="E12920" s="80">
        <v>35825</v>
      </c>
    </row>
    <row r="12921" spans="1:5">
      <c r="A12921">
        <v>10862</v>
      </c>
      <c r="B12921" t="s">
        <v>179</v>
      </c>
      <c r="C12921">
        <v>525</v>
      </c>
      <c r="D12921">
        <v>25</v>
      </c>
      <c r="E12921" s="80">
        <v>35825</v>
      </c>
    </row>
    <row r="12922" spans="1:5">
      <c r="A12922">
        <v>10862</v>
      </c>
      <c r="B12922" t="s">
        <v>172</v>
      </c>
      <c r="C12922">
        <v>56</v>
      </c>
      <c r="D12922">
        <v>8</v>
      </c>
      <c r="E12922" s="80">
        <v>35825</v>
      </c>
    </row>
    <row r="12923" spans="1:5">
      <c r="A12923">
        <v>10862</v>
      </c>
      <c r="B12923" t="s">
        <v>173</v>
      </c>
      <c r="C12923">
        <v>56</v>
      </c>
      <c r="D12923">
        <v>8</v>
      </c>
      <c r="E12923" s="80">
        <v>35825</v>
      </c>
    </row>
    <row r="12924" spans="1:5">
      <c r="A12924">
        <v>10862</v>
      </c>
      <c r="B12924" t="s">
        <v>174</v>
      </c>
      <c r="C12924">
        <v>56</v>
      </c>
      <c r="D12924">
        <v>8</v>
      </c>
      <c r="E12924" s="80">
        <v>35825</v>
      </c>
    </row>
    <row r="12925" spans="1:5">
      <c r="A12925">
        <v>10862</v>
      </c>
      <c r="B12925" t="s">
        <v>175</v>
      </c>
      <c r="C12925">
        <v>56</v>
      </c>
      <c r="D12925">
        <v>8</v>
      </c>
      <c r="E12925" s="80">
        <v>35825</v>
      </c>
    </row>
    <row r="12926" spans="1:5">
      <c r="A12926">
        <v>10862</v>
      </c>
      <c r="B12926" t="s">
        <v>176</v>
      </c>
      <c r="C12926">
        <v>56</v>
      </c>
      <c r="D12926">
        <v>8</v>
      </c>
      <c r="E12926" s="80">
        <v>35825</v>
      </c>
    </row>
    <row r="12927" spans="1:5">
      <c r="A12927">
        <v>10862</v>
      </c>
      <c r="B12927" t="s">
        <v>177</v>
      </c>
      <c r="C12927">
        <v>56</v>
      </c>
      <c r="D12927">
        <v>8</v>
      </c>
      <c r="E12927" s="80">
        <v>35825</v>
      </c>
    </row>
    <row r="12928" spans="1:5">
      <c r="A12928">
        <v>10862</v>
      </c>
      <c r="B12928" t="s">
        <v>178</v>
      </c>
      <c r="C12928">
        <v>56</v>
      </c>
      <c r="D12928">
        <v>8</v>
      </c>
      <c r="E12928" s="80">
        <v>35825</v>
      </c>
    </row>
    <row r="12929" spans="1:5">
      <c r="A12929">
        <v>10862</v>
      </c>
      <c r="B12929" t="s">
        <v>179</v>
      </c>
      <c r="C12929">
        <v>56</v>
      </c>
      <c r="D12929">
        <v>8</v>
      </c>
      <c r="E12929" s="80">
        <v>35825</v>
      </c>
    </row>
    <row r="12930" spans="1:5">
      <c r="A12930">
        <v>10863</v>
      </c>
      <c r="B12930" t="s">
        <v>172</v>
      </c>
      <c r="C12930">
        <v>305.99999785423279</v>
      </c>
      <c r="D12930">
        <v>20</v>
      </c>
      <c r="E12930" s="80">
        <v>35828</v>
      </c>
    </row>
    <row r="12931" spans="1:5">
      <c r="A12931">
        <v>10863</v>
      </c>
      <c r="B12931" t="s">
        <v>173</v>
      </c>
      <c r="C12931">
        <v>305.99999785423279</v>
      </c>
      <c r="D12931">
        <v>20</v>
      </c>
      <c r="E12931" s="80">
        <v>35828</v>
      </c>
    </row>
    <row r="12932" spans="1:5">
      <c r="A12932">
        <v>10863</v>
      </c>
      <c r="B12932" t="s">
        <v>174</v>
      </c>
      <c r="C12932">
        <v>305.99999785423279</v>
      </c>
      <c r="D12932">
        <v>20</v>
      </c>
      <c r="E12932" s="80">
        <v>35828</v>
      </c>
    </row>
    <row r="12933" spans="1:5">
      <c r="A12933">
        <v>10863</v>
      </c>
      <c r="B12933" t="s">
        <v>175</v>
      </c>
      <c r="C12933">
        <v>305.99999785423279</v>
      </c>
      <c r="D12933">
        <v>20</v>
      </c>
      <c r="E12933" s="80">
        <v>35828</v>
      </c>
    </row>
    <row r="12934" spans="1:5">
      <c r="A12934">
        <v>10863</v>
      </c>
      <c r="B12934" t="s">
        <v>176</v>
      </c>
      <c r="C12934">
        <v>305.99999785423279</v>
      </c>
      <c r="D12934">
        <v>20</v>
      </c>
      <c r="E12934" s="80">
        <v>35828</v>
      </c>
    </row>
    <row r="12935" spans="1:5">
      <c r="A12935">
        <v>10863</v>
      </c>
      <c r="B12935" t="s">
        <v>177</v>
      </c>
      <c r="C12935">
        <v>305.99999785423279</v>
      </c>
      <c r="D12935">
        <v>20</v>
      </c>
      <c r="E12935" s="80">
        <v>35828</v>
      </c>
    </row>
    <row r="12936" spans="1:5">
      <c r="A12936">
        <v>10863</v>
      </c>
      <c r="B12936" t="s">
        <v>178</v>
      </c>
      <c r="C12936">
        <v>305.99999785423279</v>
      </c>
      <c r="D12936">
        <v>20</v>
      </c>
      <c r="E12936" s="80">
        <v>35828</v>
      </c>
    </row>
    <row r="12937" spans="1:5">
      <c r="A12937">
        <v>10863</v>
      </c>
      <c r="B12937" t="s">
        <v>179</v>
      </c>
      <c r="C12937">
        <v>305.99999785423279</v>
      </c>
      <c r="D12937">
        <v>20</v>
      </c>
      <c r="E12937" s="80">
        <v>35828</v>
      </c>
    </row>
    <row r="12938" spans="1:5">
      <c r="A12938">
        <v>10863</v>
      </c>
      <c r="B12938" t="s">
        <v>172</v>
      </c>
      <c r="C12938">
        <v>135.14999905228615</v>
      </c>
      <c r="D12938">
        <v>12</v>
      </c>
      <c r="E12938" s="80">
        <v>35828</v>
      </c>
    </row>
    <row r="12939" spans="1:5">
      <c r="A12939">
        <v>10863</v>
      </c>
      <c r="B12939" t="s">
        <v>173</v>
      </c>
      <c r="C12939">
        <v>135.14999905228615</v>
      </c>
      <c r="D12939">
        <v>12</v>
      </c>
      <c r="E12939" s="80">
        <v>35828</v>
      </c>
    </row>
    <row r="12940" spans="1:5">
      <c r="A12940">
        <v>10863</v>
      </c>
      <c r="B12940" t="s">
        <v>174</v>
      </c>
      <c r="C12940">
        <v>135.14999905228615</v>
      </c>
      <c r="D12940">
        <v>12</v>
      </c>
      <c r="E12940" s="80">
        <v>35828</v>
      </c>
    </row>
    <row r="12941" spans="1:5">
      <c r="A12941">
        <v>10863</v>
      </c>
      <c r="B12941" t="s">
        <v>175</v>
      </c>
      <c r="C12941">
        <v>135.14999905228615</v>
      </c>
      <c r="D12941">
        <v>12</v>
      </c>
      <c r="E12941" s="80">
        <v>35828</v>
      </c>
    </row>
    <row r="12942" spans="1:5">
      <c r="A12942">
        <v>10863</v>
      </c>
      <c r="B12942" t="s">
        <v>176</v>
      </c>
      <c r="C12942">
        <v>135.14999905228615</v>
      </c>
      <c r="D12942">
        <v>12</v>
      </c>
      <c r="E12942" s="80">
        <v>35828</v>
      </c>
    </row>
    <row r="12943" spans="1:5">
      <c r="A12943">
        <v>10863</v>
      </c>
      <c r="B12943" t="s">
        <v>177</v>
      </c>
      <c r="C12943">
        <v>135.14999905228615</v>
      </c>
      <c r="D12943">
        <v>12</v>
      </c>
      <c r="E12943" s="80">
        <v>35828</v>
      </c>
    </row>
    <row r="12944" spans="1:5">
      <c r="A12944">
        <v>10863</v>
      </c>
      <c r="B12944" t="s">
        <v>178</v>
      </c>
      <c r="C12944">
        <v>135.14999905228615</v>
      </c>
      <c r="D12944">
        <v>12</v>
      </c>
      <c r="E12944" s="80">
        <v>35828</v>
      </c>
    </row>
    <row r="12945" spans="1:5">
      <c r="A12945">
        <v>10863</v>
      </c>
      <c r="B12945" t="s">
        <v>179</v>
      </c>
      <c r="C12945">
        <v>135.14999905228615</v>
      </c>
      <c r="D12945">
        <v>12</v>
      </c>
      <c r="E12945" s="80">
        <v>35828</v>
      </c>
    </row>
    <row r="12946" spans="1:5">
      <c r="A12946">
        <v>10864</v>
      </c>
      <c r="B12946" t="s">
        <v>172</v>
      </c>
      <c r="C12946">
        <v>72</v>
      </c>
      <c r="D12946">
        <v>4</v>
      </c>
      <c r="E12946" s="80">
        <v>35828</v>
      </c>
    </row>
    <row r="12947" spans="1:5">
      <c r="A12947">
        <v>10864</v>
      </c>
      <c r="B12947" t="s">
        <v>173</v>
      </c>
      <c r="C12947">
        <v>72</v>
      </c>
      <c r="D12947">
        <v>4</v>
      </c>
      <c r="E12947" s="80">
        <v>35828</v>
      </c>
    </row>
    <row r="12948" spans="1:5">
      <c r="A12948">
        <v>10864</v>
      </c>
      <c r="B12948" t="s">
        <v>174</v>
      </c>
      <c r="C12948">
        <v>72</v>
      </c>
      <c r="D12948">
        <v>4</v>
      </c>
      <c r="E12948" s="80">
        <v>35828</v>
      </c>
    </row>
    <row r="12949" spans="1:5">
      <c r="A12949">
        <v>10864</v>
      </c>
      <c r="B12949" t="s">
        <v>175</v>
      </c>
      <c r="C12949">
        <v>72</v>
      </c>
      <c r="D12949">
        <v>4</v>
      </c>
      <c r="E12949" s="80">
        <v>35828</v>
      </c>
    </row>
    <row r="12950" spans="1:5">
      <c r="A12950">
        <v>10864</v>
      </c>
      <c r="B12950" t="s">
        <v>176</v>
      </c>
      <c r="C12950">
        <v>72</v>
      </c>
      <c r="D12950">
        <v>4</v>
      </c>
      <c r="E12950" s="80">
        <v>35828</v>
      </c>
    </row>
    <row r="12951" spans="1:5">
      <c r="A12951">
        <v>10864</v>
      </c>
      <c r="B12951" t="s">
        <v>177</v>
      </c>
      <c r="C12951">
        <v>72</v>
      </c>
      <c r="D12951">
        <v>4</v>
      </c>
      <c r="E12951" s="80">
        <v>35828</v>
      </c>
    </row>
    <row r="12952" spans="1:5">
      <c r="A12952">
        <v>10864</v>
      </c>
      <c r="B12952" t="s">
        <v>178</v>
      </c>
      <c r="C12952">
        <v>72</v>
      </c>
      <c r="D12952">
        <v>4</v>
      </c>
      <c r="E12952" s="80">
        <v>35828</v>
      </c>
    </row>
    <row r="12953" spans="1:5">
      <c r="A12953">
        <v>10864</v>
      </c>
      <c r="B12953" t="s">
        <v>179</v>
      </c>
      <c r="C12953">
        <v>72</v>
      </c>
      <c r="D12953">
        <v>4</v>
      </c>
      <c r="E12953" s="80">
        <v>35828</v>
      </c>
    </row>
    <row r="12954" spans="1:5">
      <c r="A12954">
        <v>10864</v>
      </c>
      <c r="B12954" t="s">
        <v>172</v>
      </c>
      <c r="C12954">
        <v>210</v>
      </c>
      <c r="D12954">
        <v>15</v>
      </c>
      <c r="E12954" s="80">
        <v>35828</v>
      </c>
    </row>
    <row r="12955" spans="1:5">
      <c r="A12955">
        <v>10864</v>
      </c>
      <c r="B12955" t="s">
        <v>173</v>
      </c>
      <c r="C12955">
        <v>210</v>
      </c>
      <c r="D12955">
        <v>15</v>
      </c>
      <c r="E12955" s="80">
        <v>35828</v>
      </c>
    </row>
    <row r="12956" spans="1:5">
      <c r="A12956">
        <v>10864</v>
      </c>
      <c r="B12956" t="s">
        <v>174</v>
      </c>
      <c r="C12956">
        <v>210</v>
      </c>
      <c r="D12956">
        <v>15</v>
      </c>
      <c r="E12956" s="80">
        <v>35828</v>
      </c>
    </row>
    <row r="12957" spans="1:5">
      <c r="A12957">
        <v>10864</v>
      </c>
      <c r="B12957" t="s">
        <v>175</v>
      </c>
      <c r="C12957">
        <v>210</v>
      </c>
      <c r="D12957">
        <v>15</v>
      </c>
      <c r="E12957" s="80">
        <v>35828</v>
      </c>
    </row>
    <row r="12958" spans="1:5">
      <c r="A12958">
        <v>10864</v>
      </c>
      <c r="B12958" t="s">
        <v>176</v>
      </c>
      <c r="C12958">
        <v>210</v>
      </c>
      <c r="D12958">
        <v>15</v>
      </c>
      <c r="E12958" s="80">
        <v>35828</v>
      </c>
    </row>
    <row r="12959" spans="1:5">
      <c r="A12959">
        <v>10864</v>
      </c>
      <c r="B12959" t="s">
        <v>177</v>
      </c>
      <c r="C12959">
        <v>210</v>
      </c>
      <c r="D12959">
        <v>15</v>
      </c>
      <c r="E12959" s="80">
        <v>35828</v>
      </c>
    </row>
    <row r="12960" spans="1:5">
      <c r="A12960">
        <v>10864</v>
      </c>
      <c r="B12960" t="s">
        <v>178</v>
      </c>
      <c r="C12960">
        <v>210</v>
      </c>
      <c r="D12960">
        <v>15</v>
      </c>
      <c r="E12960" s="80">
        <v>35828</v>
      </c>
    </row>
    <row r="12961" spans="1:5">
      <c r="A12961">
        <v>10864</v>
      </c>
      <c r="B12961" t="s">
        <v>179</v>
      </c>
      <c r="C12961">
        <v>210</v>
      </c>
      <c r="D12961">
        <v>15</v>
      </c>
      <c r="E12961" s="80">
        <v>35828</v>
      </c>
    </row>
    <row r="12962" spans="1:5">
      <c r="A12962">
        <v>10865</v>
      </c>
      <c r="B12962" t="s">
        <v>172</v>
      </c>
      <c r="C12962">
        <v>15019.499988220632</v>
      </c>
      <c r="D12962">
        <v>60</v>
      </c>
      <c r="E12962" s="80">
        <v>35828</v>
      </c>
    </row>
    <row r="12963" spans="1:5">
      <c r="A12963">
        <v>10865</v>
      </c>
      <c r="B12963" t="s">
        <v>173</v>
      </c>
      <c r="C12963">
        <v>15019.499988220632</v>
      </c>
      <c r="D12963">
        <v>60</v>
      </c>
      <c r="E12963" s="80">
        <v>35828</v>
      </c>
    </row>
    <row r="12964" spans="1:5">
      <c r="A12964">
        <v>10865</v>
      </c>
      <c r="B12964" t="s">
        <v>174</v>
      </c>
      <c r="C12964">
        <v>15019.499988220632</v>
      </c>
      <c r="D12964">
        <v>60</v>
      </c>
      <c r="E12964" s="80">
        <v>35828</v>
      </c>
    </row>
    <row r="12965" spans="1:5">
      <c r="A12965">
        <v>10865</v>
      </c>
      <c r="B12965" t="s">
        <v>175</v>
      </c>
      <c r="C12965">
        <v>15019.499988220632</v>
      </c>
      <c r="D12965">
        <v>60</v>
      </c>
      <c r="E12965" s="80">
        <v>35828</v>
      </c>
    </row>
    <row r="12966" spans="1:5">
      <c r="A12966">
        <v>10865</v>
      </c>
      <c r="B12966" t="s">
        <v>176</v>
      </c>
      <c r="C12966">
        <v>15019.499988220632</v>
      </c>
      <c r="D12966">
        <v>60</v>
      </c>
      <c r="E12966" s="80">
        <v>35828</v>
      </c>
    </row>
    <row r="12967" spans="1:5">
      <c r="A12967">
        <v>10865</v>
      </c>
      <c r="B12967" t="s">
        <v>177</v>
      </c>
      <c r="C12967">
        <v>15019.499988220632</v>
      </c>
      <c r="D12967">
        <v>60</v>
      </c>
      <c r="E12967" s="80">
        <v>35828</v>
      </c>
    </row>
    <row r="12968" spans="1:5">
      <c r="A12968">
        <v>10865</v>
      </c>
      <c r="B12968" t="s">
        <v>178</v>
      </c>
      <c r="C12968">
        <v>15019.499988220632</v>
      </c>
      <c r="D12968">
        <v>60</v>
      </c>
      <c r="E12968" s="80">
        <v>35828</v>
      </c>
    </row>
    <row r="12969" spans="1:5">
      <c r="A12969">
        <v>10865</v>
      </c>
      <c r="B12969" t="s">
        <v>179</v>
      </c>
      <c r="C12969">
        <v>15019.499988220632</v>
      </c>
      <c r="D12969">
        <v>60</v>
      </c>
      <c r="E12969" s="80">
        <v>35828</v>
      </c>
    </row>
    <row r="12970" spans="1:5">
      <c r="A12970">
        <v>10865</v>
      </c>
      <c r="B12970" t="s">
        <v>172</v>
      </c>
      <c r="C12970">
        <v>1367.9999989271164</v>
      </c>
      <c r="D12970">
        <v>80</v>
      </c>
      <c r="E12970" s="80">
        <v>35828</v>
      </c>
    </row>
    <row r="12971" spans="1:5">
      <c r="A12971">
        <v>10865</v>
      </c>
      <c r="B12971" t="s">
        <v>173</v>
      </c>
      <c r="C12971">
        <v>1367.9999989271164</v>
      </c>
      <c r="D12971">
        <v>80</v>
      </c>
      <c r="E12971" s="80">
        <v>35828</v>
      </c>
    </row>
    <row r="12972" spans="1:5">
      <c r="A12972">
        <v>10865</v>
      </c>
      <c r="B12972" t="s">
        <v>174</v>
      </c>
      <c r="C12972">
        <v>1367.9999989271164</v>
      </c>
      <c r="D12972">
        <v>80</v>
      </c>
      <c r="E12972" s="80">
        <v>35828</v>
      </c>
    </row>
    <row r="12973" spans="1:5">
      <c r="A12973">
        <v>10865</v>
      </c>
      <c r="B12973" t="s">
        <v>175</v>
      </c>
      <c r="C12973">
        <v>1367.9999989271164</v>
      </c>
      <c r="D12973">
        <v>80</v>
      </c>
      <c r="E12973" s="80">
        <v>35828</v>
      </c>
    </row>
    <row r="12974" spans="1:5">
      <c r="A12974">
        <v>10865</v>
      </c>
      <c r="B12974" t="s">
        <v>176</v>
      </c>
      <c r="C12974">
        <v>1367.9999989271164</v>
      </c>
      <c r="D12974">
        <v>80</v>
      </c>
      <c r="E12974" s="80">
        <v>35828</v>
      </c>
    </row>
    <row r="12975" spans="1:5">
      <c r="A12975">
        <v>10865</v>
      </c>
      <c r="B12975" t="s">
        <v>177</v>
      </c>
      <c r="C12975">
        <v>1367.9999989271164</v>
      </c>
      <c r="D12975">
        <v>80</v>
      </c>
      <c r="E12975" s="80">
        <v>35828</v>
      </c>
    </row>
    <row r="12976" spans="1:5">
      <c r="A12976">
        <v>10865</v>
      </c>
      <c r="B12976" t="s">
        <v>178</v>
      </c>
      <c r="C12976">
        <v>1367.9999989271164</v>
      </c>
      <c r="D12976">
        <v>80</v>
      </c>
      <c r="E12976" s="80">
        <v>35828</v>
      </c>
    </row>
    <row r="12977" spans="1:5">
      <c r="A12977">
        <v>10865</v>
      </c>
      <c r="B12977" t="s">
        <v>179</v>
      </c>
      <c r="C12977">
        <v>1367.9999989271164</v>
      </c>
      <c r="D12977">
        <v>80</v>
      </c>
      <c r="E12977" s="80">
        <v>35828</v>
      </c>
    </row>
    <row r="12978" spans="1:5">
      <c r="A12978">
        <v>10866</v>
      </c>
      <c r="B12978" t="s">
        <v>172</v>
      </c>
      <c r="C12978">
        <v>299.25</v>
      </c>
      <c r="D12978">
        <v>21</v>
      </c>
      <c r="E12978" s="80">
        <v>35829</v>
      </c>
    </row>
    <row r="12979" spans="1:5">
      <c r="A12979">
        <v>10866</v>
      </c>
      <c r="B12979" t="s">
        <v>173</v>
      </c>
      <c r="C12979">
        <v>299.25</v>
      </c>
      <c r="D12979">
        <v>21</v>
      </c>
      <c r="E12979" s="80">
        <v>35829</v>
      </c>
    </row>
    <row r="12980" spans="1:5">
      <c r="A12980">
        <v>10866</v>
      </c>
      <c r="B12980" t="s">
        <v>174</v>
      </c>
      <c r="C12980">
        <v>299.25</v>
      </c>
      <c r="D12980">
        <v>21</v>
      </c>
      <c r="E12980" s="80">
        <v>35829</v>
      </c>
    </row>
    <row r="12981" spans="1:5">
      <c r="A12981">
        <v>10866</v>
      </c>
      <c r="B12981" t="s">
        <v>175</v>
      </c>
      <c r="C12981">
        <v>299.25</v>
      </c>
      <c r="D12981">
        <v>21</v>
      </c>
      <c r="E12981" s="80">
        <v>35829</v>
      </c>
    </row>
    <row r="12982" spans="1:5">
      <c r="A12982">
        <v>10866</v>
      </c>
      <c r="B12982" t="s">
        <v>176</v>
      </c>
      <c r="C12982">
        <v>299.25</v>
      </c>
      <c r="D12982">
        <v>21</v>
      </c>
      <c r="E12982" s="80">
        <v>35829</v>
      </c>
    </row>
    <row r="12983" spans="1:5">
      <c r="A12983">
        <v>10866</v>
      </c>
      <c r="B12983" t="s">
        <v>177</v>
      </c>
      <c r="C12983">
        <v>299.25</v>
      </c>
      <c r="D12983">
        <v>21</v>
      </c>
      <c r="E12983" s="80">
        <v>35829</v>
      </c>
    </row>
    <row r="12984" spans="1:5">
      <c r="A12984">
        <v>10866</v>
      </c>
      <c r="B12984" t="s">
        <v>178</v>
      </c>
      <c r="C12984">
        <v>299.25</v>
      </c>
      <c r="D12984">
        <v>21</v>
      </c>
      <c r="E12984" s="80">
        <v>35829</v>
      </c>
    </row>
    <row r="12985" spans="1:5">
      <c r="A12985">
        <v>10866</v>
      </c>
      <c r="B12985" t="s">
        <v>179</v>
      </c>
      <c r="C12985">
        <v>299.25</v>
      </c>
      <c r="D12985">
        <v>21</v>
      </c>
      <c r="E12985" s="80">
        <v>35829</v>
      </c>
    </row>
    <row r="12986" spans="1:5">
      <c r="A12986">
        <v>10866</v>
      </c>
      <c r="B12986" t="s">
        <v>172</v>
      </c>
      <c r="C12986">
        <v>20.25</v>
      </c>
      <c r="D12986">
        <v>6</v>
      </c>
      <c r="E12986" s="80">
        <v>35829</v>
      </c>
    </row>
    <row r="12987" spans="1:5">
      <c r="A12987">
        <v>10866</v>
      </c>
      <c r="B12987" t="s">
        <v>173</v>
      </c>
      <c r="C12987">
        <v>20.25</v>
      </c>
      <c r="D12987">
        <v>6</v>
      </c>
      <c r="E12987" s="80">
        <v>35829</v>
      </c>
    </row>
    <row r="12988" spans="1:5">
      <c r="A12988">
        <v>10866</v>
      </c>
      <c r="B12988" t="s">
        <v>174</v>
      </c>
      <c r="C12988">
        <v>20.25</v>
      </c>
      <c r="D12988">
        <v>6</v>
      </c>
      <c r="E12988" s="80">
        <v>35829</v>
      </c>
    </row>
    <row r="12989" spans="1:5">
      <c r="A12989">
        <v>10866</v>
      </c>
      <c r="B12989" t="s">
        <v>175</v>
      </c>
      <c r="C12989">
        <v>20.25</v>
      </c>
      <c r="D12989">
        <v>6</v>
      </c>
      <c r="E12989" s="80">
        <v>35829</v>
      </c>
    </row>
    <row r="12990" spans="1:5">
      <c r="A12990">
        <v>10866</v>
      </c>
      <c r="B12990" t="s">
        <v>176</v>
      </c>
      <c r="C12990">
        <v>20.25</v>
      </c>
      <c r="D12990">
        <v>6</v>
      </c>
      <c r="E12990" s="80">
        <v>35829</v>
      </c>
    </row>
    <row r="12991" spans="1:5">
      <c r="A12991">
        <v>10866</v>
      </c>
      <c r="B12991" t="s">
        <v>177</v>
      </c>
      <c r="C12991">
        <v>20.25</v>
      </c>
      <c r="D12991">
        <v>6</v>
      </c>
      <c r="E12991" s="80">
        <v>35829</v>
      </c>
    </row>
    <row r="12992" spans="1:5">
      <c r="A12992">
        <v>10866</v>
      </c>
      <c r="B12992" t="s">
        <v>178</v>
      </c>
      <c r="C12992">
        <v>20.25</v>
      </c>
      <c r="D12992">
        <v>6</v>
      </c>
      <c r="E12992" s="80">
        <v>35829</v>
      </c>
    </row>
    <row r="12993" spans="1:5">
      <c r="A12993">
        <v>10866</v>
      </c>
      <c r="B12993" t="s">
        <v>179</v>
      </c>
      <c r="C12993">
        <v>20.25</v>
      </c>
      <c r="D12993">
        <v>6</v>
      </c>
      <c r="E12993" s="80">
        <v>35829</v>
      </c>
    </row>
    <row r="12994" spans="1:5">
      <c r="A12994">
        <v>10866</v>
      </c>
      <c r="B12994" t="s">
        <v>172</v>
      </c>
      <c r="C12994">
        <v>776.69999999999993</v>
      </c>
      <c r="D12994">
        <v>40</v>
      </c>
      <c r="E12994" s="80">
        <v>35829</v>
      </c>
    </row>
    <row r="12995" spans="1:5">
      <c r="A12995">
        <v>10866</v>
      </c>
      <c r="B12995" t="s">
        <v>173</v>
      </c>
      <c r="C12995">
        <v>776.69999999999993</v>
      </c>
      <c r="D12995">
        <v>40</v>
      </c>
      <c r="E12995" s="80">
        <v>35829</v>
      </c>
    </row>
    <row r="12996" spans="1:5">
      <c r="A12996">
        <v>10866</v>
      </c>
      <c r="B12996" t="s">
        <v>174</v>
      </c>
      <c r="C12996">
        <v>776.69999999999993</v>
      </c>
      <c r="D12996">
        <v>40</v>
      </c>
      <c r="E12996" s="80">
        <v>35829</v>
      </c>
    </row>
    <row r="12997" spans="1:5">
      <c r="A12997">
        <v>10866</v>
      </c>
      <c r="B12997" t="s">
        <v>175</v>
      </c>
      <c r="C12997">
        <v>776.69999999999993</v>
      </c>
      <c r="D12997">
        <v>40</v>
      </c>
      <c r="E12997" s="80">
        <v>35829</v>
      </c>
    </row>
    <row r="12998" spans="1:5">
      <c r="A12998">
        <v>10866</v>
      </c>
      <c r="B12998" t="s">
        <v>176</v>
      </c>
      <c r="C12998">
        <v>776.69999999999993</v>
      </c>
      <c r="D12998">
        <v>40</v>
      </c>
      <c r="E12998" s="80">
        <v>35829</v>
      </c>
    </row>
    <row r="12999" spans="1:5">
      <c r="A12999">
        <v>10866</v>
      </c>
      <c r="B12999" t="s">
        <v>177</v>
      </c>
      <c r="C12999">
        <v>776.69999999999993</v>
      </c>
      <c r="D12999">
        <v>40</v>
      </c>
      <c r="E12999" s="80">
        <v>35829</v>
      </c>
    </row>
    <row r="13000" spans="1:5">
      <c r="A13000">
        <v>10866</v>
      </c>
      <c r="B13000" t="s">
        <v>178</v>
      </c>
      <c r="C13000">
        <v>776.69999999999993</v>
      </c>
      <c r="D13000">
        <v>40</v>
      </c>
      <c r="E13000" s="80">
        <v>35829</v>
      </c>
    </row>
    <row r="13001" spans="1:5">
      <c r="A13001">
        <v>10866</v>
      </c>
      <c r="B13001" t="s">
        <v>179</v>
      </c>
      <c r="C13001">
        <v>776.69999999999993</v>
      </c>
      <c r="D13001">
        <v>40</v>
      </c>
      <c r="E13001" s="80">
        <v>35829</v>
      </c>
    </row>
    <row r="13002" spans="1:5">
      <c r="A13002">
        <v>10867</v>
      </c>
      <c r="B13002" t="s">
        <v>172</v>
      </c>
      <c r="C13002">
        <v>98.4</v>
      </c>
      <c r="D13002">
        <v>3</v>
      </c>
      <c r="E13002" s="80">
        <v>35829</v>
      </c>
    </row>
    <row r="13003" spans="1:5">
      <c r="A13003">
        <v>10867</v>
      </c>
      <c r="B13003" t="s">
        <v>173</v>
      </c>
      <c r="C13003">
        <v>98.4</v>
      </c>
      <c r="D13003">
        <v>3</v>
      </c>
      <c r="E13003" s="80">
        <v>35829</v>
      </c>
    </row>
    <row r="13004" spans="1:5">
      <c r="A13004">
        <v>10867</v>
      </c>
      <c r="B13004" t="s">
        <v>174</v>
      </c>
      <c r="C13004">
        <v>98.4</v>
      </c>
      <c r="D13004">
        <v>3</v>
      </c>
      <c r="E13004" s="80">
        <v>35829</v>
      </c>
    </row>
    <row r="13005" spans="1:5">
      <c r="A13005">
        <v>10867</v>
      </c>
      <c r="B13005" t="s">
        <v>175</v>
      </c>
      <c r="C13005">
        <v>98.4</v>
      </c>
      <c r="D13005">
        <v>3</v>
      </c>
      <c r="E13005" s="80">
        <v>35829</v>
      </c>
    </row>
    <row r="13006" spans="1:5">
      <c r="A13006">
        <v>10867</v>
      </c>
      <c r="B13006" t="s">
        <v>176</v>
      </c>
      <c r="C13006">
        <v>98.4</v>
      </c>
      <c r="D13006">
        <v>3</v>
      </c>
      <c r="E13006" s="80">
        <v>35829</v>
      </c>
    </row>
    <row r="13007" spans="1:5">
      <c r="A13007">
        <v>10867</v>
      </c>
      <c r="B13007" t="s">
        <v>177</v>
      </c>
      <c r="C13007">
        <v>98.4</v>
      </c>
      <c r="D13007">
        <v>3</v>
      </c>
      <c r="E13007" s="80">
        <v>35829</v>
      </c>
    </row>
    <row r="13008" spans="1:5">
      <c r="A13008">
        <v>10867</v>
      </c>
      <c r="B13008" t="s">
        <v>178</v>
      </c>
      <c r="C13008">
        <v>98.4</v>
      </c>
      <c r="D13008">
        <v>3</v>
      </c>
      <c r="E13008" s="80">
        <v>35829</v>
      </c>
    </row>
    <row r="13009" spans="1:5">
      <c r="A13009">
        <v>10867</v>
      </c>
      <c r="B13009" t="s">
        <v>179</v>
      </c>
      <c r="C13009">
        <v>98.4</v>
      </c>
      <c r="D13009">
        <v>3</v>
      </c>
      <c r="E13009" s="80">
        <v>35829</v>
      </c>
    </row>
    <row r="13010" spans="1:5">
      <c r="A13010">
        <v>10868</v>
      </c>
      <c r="B13010" t="s">
        <v>172</v>
      </c>
      <c r="C13010">
        <v>624.6</v>
      </c>
      <c r="D13010">
        <v>20</v>
      </c>
      <c r="E13010" s="80">
        <v>35830</v>
      </c>
    </row>
    <row r="13011" spans="1:5">
      <c r="A13011">
        <v>10868</v>
      </c>
      <c r="B13011" t="s">
        <v>173</v>
      </c>
      <c r="C13011">
        <v>624.6</v>
      </c>
      <c r="D13011">
        <v>20</v>
      </c>
      <c r="E13011" s="80">
        <v>35830</v>
      </c>
    </row>
    <row r="13012" spans="1:5">
      <c r="A13012">
        <v>10868</v>
      </c>
      <c r="B13012" t="s">
        <v>174</v>
      </c>
      <c r="C13012">
        <v>624.6</v>
      </c>
      <c r="D13012">
        <v>20</v>
      </c>
      <c r="E13012" s="80">
        <v>35830</v>
      </c>
    </row>
    <row r="13013" spans="1:5">
      <c r="A13013">
        <v>10868</v>
      </c>
      <c r="B13013" t="s">
        <v>175</v>
      </c>
      <c r="C13013">
        <v>624.6</v>
      </c>
      <c r="D13013">
        <v>20</v>
      </c>
      <c r="E13013" s="80">
        <v>35830</v>
      </c>
    </row>
    <row r="13014" spans="1:5">
      <c r="A13014">
        <v>10868</v>
      </c>
      <c r="B13014" t="s">
        <v>176</v>
      </c>
      <c r="C13014">
        <v>624.6</v>
      </c>
      <c r="D13014">
        <v>20</v>
      </c>
      <c r="E13014" s="80">
        <v>35830</v>
      </c>
    </row>
    <row r="13015" spans="1:5">
      <c r="A13015">
        <v>10868</v>
      </c>
      <c r="B13015" t="s">
        <v>177</v>
      </c>
      <c r="C13015">
        <v>624.6</v>
      </c>
      <c r="D13015">
        <v>20</v>
      </c>
      <c r="E13015" s="80">
        <v>35830</v>
      </c>
    </row>
    <row r="13016" spans="1:5">
      <c r="A13016">
        <v>10868</v>
      </c>
      <c r="B13016" t="s">
        <v>178</v>
      </c>
      <c r="C13016">
        <v>624.6</v>
      </c>
      <c r="D13016">
        <v>20</v>
      </c>
      <c r="E13016" s="80">
        <v>35830</v>
      </c>
    </row>
    <row r="13017" spans="1:5">
      <c r="A13017">
        <v>10868</v>
      </c>
      <c r="B13017" t="s">
        <v>179</v>
      </c>
      <c r="C13017">
        <v>624.6</v>
      </c>
      <c r="D13017">
        <v>20</v>
      </c>
      <c r="E13017" s="80">
        <v>35830</v>
      </c>
    </row>
    <row r="13018" spans="1:5">
      <c r="A13018">
        <v>10868</v>
      </c>
      <c r="B13018" t="s">
        <v>172</v>
      </c>
      <c r="C13018">
        <v>540</v>
      </c>
      <c r="D13018">
        <v>30</v>
      </c>
      <c r="E13018" s="80">
        <v>35830</v>
      </c>
    </row>
    <row r="13019" spans="1:5">
      <c r="A13019">
        <v>10868</v>
      </c>
      <c r="B13019" t="s">
        <v>173</v>
      </c>
      <c r="C13019">
        <v>540</v>
      </c>
      <c r="D13019">
        <v>30</v>
      </c>
      <c r="E13019" s="80">
        <v>35830</v>
      </c>
    </row>
    <row r="13020" spans="1:5">
      <c r="A13020">
        <v>10868</v>
      </c>
      <c r="B13020" t="s">
        <v>174</v>
      </c>
      <c r="C13020">
        <v>540</v>
      </c>
      <c r="D13020">
        <v>30</v>
      </c>
      <c r="E13020" s="80">
        <v>35830</v>
      </c>
    </row>
    <row r="13021" spans="1:5">
      <c r="A13021">
        <v>10868</v>
      </c>
      <c r="B13021" t="s">
        <v>175</v>
      </c>
      <c r="C13021">
        <v>540</v>
      </c>
      <c r="D13021">
        <v>30</v>
      </c>
      <c r="E13021" s="80">
        <v>35830</v>
      </c>
    </row>
    <row r="13022" spans="1:5">
      <c r="A13022">
        <v>10868</v>
      </c>
      <c r="B13022" t="s">
        <v>176</v>
      </c>
      <c r="C13022">
        <v>540</v>
      </c>
      <c r="D13022">
        <v>30</v>
      </c>
      <c r="E13022" s="80">
        <v>35830</v>
      </c>
    </row>
    <row r="13023" spans="1:5">
      <c r="A13023">
        <v>10868</v>
      </c>
      <c r="B13023" t="s">
        <v>177</v>
      </c>
      <c r="C13023">
        <v>540</v>
      </c>
      <c r="D13023">
        <v>30</v>
      </c>
      <c r="E13023" s="80">
        <v>35830</v>
      </c>
    </row>
    <row r="13024" spans="1:5">
      <c r="A13024">
        <v>10868</v>
      </c>
      <c r="B13024" t="s">
        <v>178</v>
      </c>
      <c r="C13024">
        <v>540</v>
      </c>
      <c r="D13024">
        <v>30</v>
      </c>
      <c r="E13024" s="80">
        <v>35830</v>
      </c>
    </row>
    <row r="13025" spans="1:5">
      <c r="A13025">
        <v>10868</v>
      </c>
      <c r="B13025" t="s">
        <v>179</v>
      </c>
      <c r="C13025">
        <v>540</v>
      </c>
      <c r="D13025">
        <v>30</v>
      </c>
      <c r="E13025" s="80">
        <v>35830</v>
      </c>
    </row>
    <row r="13026" spans="1:5">
      <c r="A13026">
        <v>10868</v>
      </c>
      <c r="B13026" t="s">
        <v>172</v>
      </c>
      <c r="C13026">
        <v>755.99999874830246</v>
      </c>
      <c r="D13026">
        <v>42</v>
      </c>
      <c r="E13026" s="80">
        <v>35830</v>
      </c>
    </row>
    <row r="13027" spans="1:5">
      <c r="A13027">
        <v>10868</v>
      </c>
      <c r="B13027" t="s">
        <v>173</v>
      </c>
      <c r="C13027">
        <v>755.99999874830246</v>
      </c>
      <c r="D13027">
        <v>42</v>
      </c>
      <c r="E13027" s="80">
        <v>35830</v>
      </c>
    </row>
    <row r="13028" spans="1:5">
      <c r="A13028">
        <v>10868</v>
      </c>
      <c r="B13028" t="s">
        <v>174</v>
      </c>
      <c r="C13028">
        <v>755.99999874830246</v>
      </c>
      <c r="D13028">
        <v>42</v>
      </c>
      <c r="E13028" s="80">
        <v>35830</v>
      </c>
    </row>
    <row r="13029" spans="1:5">
      <c r="A13029">
        <v>10868</v>
      </c>
      <c r="B13029" t="s">
        <v>175</v>
      </c>
      <c r="C13029">
        <v>755.99999874830246</v>
      </c>
      <c r="D13029">
        <v>42</v>
      </c>
      <c r="E13029" s="80">
        <v>35830</v>
      </c>
    </row>
    <row r="13030" spans="1:5">
      <c r="A13030">
        <v>10868</v>
      </c>
      <c r="B13030" t="s">
        <v>176</v>
      </c>
      <c r="C13030">
        <v>755.99999874830246</v>
      </c>
      <c r="D13030">
        <v>42</v>
      </c>
      <c r="E13030" s="80">
        <v>35830</v>
      </c>
    </row>
    <row r="13031" spans="1:5">
      <c r="A13031">
        <v>10868</v>
      </c>
      <c r="B13031" t="s">
        <v>177</v>
      </c>
      <c r="C13031">
        <v>755.99999874830246</v>
      </c>
      <c r="D13031">
        <v>42</v>
      </c>
      <c r="E13031" s="80">
        <v>35830</v>
      </c>
    </row>
    <row r="13032" spans="1:5">
      <c r="A13032">
        <v>10868</v>
      </c>
      <c r="B13032" t="s">
        <v>178</v>
      </c>
      <c r="C13032">
        <v>755.99999874830246</v>
      </c>
      <c r="D13032">
        <v>42</v>
      </c>
      <c r="E13032" s="80">
        <v>35830</v>
      </c>
    </row>
    <row r="13033" spans="1:5">
      <c r="A13033">
        <v>10868</v>
      </c>
      <c r="B13033" t="s">
        <v>179</v>
      </c>
      <c r="C13033">
        <v>755.99999874830246</v>
      </c>
      <c r="D13033">
        <v>42</v>
      </c>
      <c r="E13033" s="80">
        <v>35830</v>
      </c>
    </row>
    <row r="13034" spans="1:5">
      <c r="A13034">
        <v>10869</v>
      </c>
      <c r="B13034" t="s">
        <v>172</v>
      </c>
      <c r="C13034">
        <v>720</v>
      </c>
      <c r="D13034">
        <v>40</v>
      </c>
      <c r="E13034" s="80">
        <v>35830</v>
      </c>
    </row>
    <row r="13035" spans="1:5">
      <c r="A13035">
        <v>10869</v>
      </c>
      <c r="B13035" t="s">
        <v>173</v>
      </c>
      <c r="C13035">
        <v>720</v>
      </c>
      <c r="D13035">
        <v>40</v>
      </c>
      <c r="E13035" s="80">
        <v>35830</v>
      </c>
    </row>
    <row r="13036" spans="1:5">
      <c r="A13036">
        <v>10869</v>
      </c>
      <c r="B13036" t="s">
        <v>174</v>
      </c>
      <c r="C13036">
        <v>720</v>
      </c>
      <c r="D13036">
        <v>40</v>
      </c>
      <c r="E13036" s="80">
        <v>35830</v>
      </c>
    </row>
    <row r="13037" spans="1:5">
      <c r="A13037">
        <v>10869</v>
      </c>
      <c r="B13037" t="s">
        <v>175</v>
      </c>
      <c r="C13037">
        <v>720</v>
      </c>
      <c r="D13037">
        <v>40</v>
      </c>
      <c r="E13037" s="80">
        <v>35830</v>
      </c>
    </row>
    <row r="13038" spans="1:5">
      <c r="A13038">
        <v>10869</v>
      </c>
      <c r="B13038" t="s">
        <v>176</v>
      </c>
      <c r="C13038">
        <v>720</v>
      </c>
      <c r="D13038">
        <v>40</v>
      </c>
      <c r="E13038" s="80">
        <v>35830</v>
      </c>
    </row>
    <row r="13039" spans="1:5">
      <c r="A13039">
        <v>10869</v>
      </c>
      <c r="B13039" t="s">
        <v>177</v>
      </c>
      <c r="C13039">
        <v>720</v>
      </c>
      <c r="D13039">
        <v>40</v>
      </c>
      <c r="E13039" s="80">
        <v>35830</v>
      </c>
    </row>
    <row r="13040" spans="1:5">
      <c r="A13040">
        <v>10869</v>
      </c>
      <c r="B13040" t="s">
        <v>178</v>
      </c>
      <c r="C13040">
        <v>720</v>
      </c>
      <c r="D13040">
        <v>40</v>
      </c>
      <c r="E13040" s="80">
        <v>35830</v>
      </c>
    </row>
    <row r="13041" spans="1:5">
      <c r="A13041">
        <v>10869</v>
      </c>
      <c r="B13041" t="s">
        <v>179</v>
      </c>
      <c r="C13041">
        <v>720</v>
      </c>
      <c r="D13041">
        <v>40</v>
      </c>
      <c r="E13041" s="80">
        <v>35830</v>
      </c>
    </row>
    <row r="13042" spans="1:5">
      <c r="A13042">
        <v>10869</v>
      </c>
      <c r="B13042" t="s">
        <v>172</v>
      </c>
      <c r="C13042">
        <v>210</v>
      </c>
      <c r="D13042">
        <v>10</v>
      </c>
      <c r="E13042" s="80">
        <v>35830</v>
      </c>
    </row>
    <row r="13043" spans="1:5">
      <c r="A13043">
        <v>10869</v>
      </c>
      <c r="B13043" t="s">
        <v>173</v>
      </c>
      <c r="C13043">
        <v>210</v>
      </c>
      <c r="D13043">
        <v>10</v>
      </c>
      <c r="E13043" s="80">
        <v>35830</v>
      </c>
    </row>
    <row r="13044" spans="1:5">
      <c r="A13044">
        <v>10869</v>
      </c>
      <c r="B13044" t="s">
        <v>174</v>
      </c>
      <c r="C13044">
        <v>210</v>
      </c>
      <c r="D13044">
        <v>10</v>
      </c>
      <c r="E13044" s="80">
        <v>35830</v>
      </c>
    </row>
    <row r="13045" spans="1:5">
      <c r="A13045">
        <v>10869</v>
      </c>
      <c r="B13045" t="s">
        <v>175</v>
      </c>
      <c r="C13045">
        <v>210</v>
      </c>
      <c r="D13045">
        <v>10</v>
      </c>
      <c r="E13045" s="80">
        <v>35830</v>
      </c>
    </row>
    <row r="13046" spans="1:5">
      <c r="A13046">
        <v>10869</v>
      </c>
      <c r="B13046" t="s">
        <v>176</v>
      </c>
      <c r="C13046">
        <v>210</v>
      </c>
      <c r="D13046">
        <v>10</v>
      </c>
      <c r="E13046" s="80">
        <v>35830</v>
      </c>
    </row>
    <row r="13047" spans="1:5">
      <c r="A13047">
        <v>10869</v>
      </c>
      <c r="B13047" t="s">
        <v>177</v>
      </c>
      <c r="C13047">
        <v>210</v>
      </c>
      <c r="D13047">
        <v>10</v>
      </c>
      <c r="E13047" s="80">
        <v>35830</v>
      </c>
    </row>
    <row r="13048" spans="1:5">
      <c r="A13048">
        <v>10869</v>
      </c>
      <c r="B13048" t="s">
        <v>178</v>
      </c>
      <c r="C13048">
        <v>210</v>
      </c>
      <c r="D13048">
        <v>10</v>
      </c>
      <c r="E13048" s="80">
        <v>35830</v>
      </c>
    </row>
    <row r="13049" spans="1:5">
      <c r="A13049">
        <v>10869</v>
      </c>
      <c r="B13049" t="s">
        <v>179</v>
      </c>
      <c r="C13049">
        <v>210</v>
      </c>
      <c r="D13049">
        <v>10</v>
      </c>
      <c r="E13049" s="80">
        <v>35830</v>
      </c>
    </row>
    <row r="13050" spans="1:5">
      <c r="A13050">
        <v>10869</v>
      </c>
      <c r="B13050" t="s">
        <v>172</v>
      </c>
      <c r="C13050">
        <v>450</v>
      </c>
      <c r="D13050">
        <v>50</v>
      </c>
      <c r="E13050" s="80">
        <v>35830</v>
      </c>
    </row>
    <row r="13051" spans="1:5">
      <c r="A13051">
        <v>10869</v>
      </c>
      <c r="B13051" t="s">
        <v>173</v>
      </c>
      <c r="C13051">
        <v>450</v>
      </c>
      <c r="D13051">
        <v>50</v>
      </c>
      <c r="E13051" s="80">
        <v>35830</v>
      </c>
    </row>
    <row r="13052" spans="1:5">
      <c r="A13052">
        <v>10869</v>
      </c>
      <c r="B13052" t="s">
        <v>174</v>
      </c>
      <c r="C13052">
        <v>450</v>
      </c>
      <c r="D13052">
        <v>50</v>
      </c>
      <c r="E13052" s="80">
        <v>35830</v>
      </c>
    </row>
    <row r="13053" spans="1:5">
      <c r="A13053">
        <v>10869</v>
      </c>
      <c r="B13053" t="s">
        <v>175</v>
      </c>
      <c r="C13053">
        <v>450</v>
      </c>
      <c r="D13053">
        <v>50</v>
      </c>
      <c r="E13053" s="80">
        <v>35830</v>
      </c>
    </row>
    <row r="13054" spans="1:5">
      <c r="A13054">
        <v>10869</v>
      </c>
      <c r="B13054" t="s">
        <v>176</v>
      </c>
      <c r="C13054">
        <v>450</v>
      </c>
      <c r="D13054">
        <v>50</v>
      </c>
      <c r="E13054" s="80">
        <v>35830</v>
      </c>
    </row>
    <row r="13055" spans="1:5">
      <c r="A13055">
        <v>10869</v>
      </c>
      <c r="B13055" t="s">
        <v>177</v>
      </c>
      <c r="C13055">
        <v>450</v>
      </c>
      <c r="D13055">
        <v>50</v>
      </c>
      <c r="E13055" s="80">
        <v>35830</v>
      </c>
    </row>
    <row r="13056" spans="1:5">
      <c r="A13056">
        <v>10869</v>
      </c>
      <c r="B13056" t="s">
        <v>178</v>
      </c>
      <c r="C13056">
        <v>450</v>
      </c>
      <c r="D13056">
        <v>50</v>
      </c>
      <c r="E13056" s="80">
        <v>35830</v>
      </c>
    </row>
    <row r="13057" spans="1:5">
      <c r="A13057">
        <v>10869</v>
      </c>
      <c r="B13057" t="s">
        <v>179</v>
      </c>
      <c r="C13057">
        <v>450</v>
      </c>
      <c r="D13057">
        <v>50</v>
      </c>
      <c r="E13057" s="80">
        <v>35830</v>
      </c>
    </row>
    <row r="13058" spans="1:5">
      <c r="A13058">
        <v>10869</v>
      </c>
      <c r="B13058" t="s">
        <v>172</v>
      </c>
      <c r="C13058">
        <v>250</v>
      </c>
      <c r="D13058">
        <v>20</v>
      </c>
      <c r="E13058" s="80">
        <v>35830</v>
      </c>
    </row>
    <row r="13059" spans="1:5">
      <c r="A13059">
        <v>10869</v>
      </c>
      <c r="B13059" t="s">
        <v>173</v>
      </c>
      <c r="C13059">
        <v>250</v>
      </c>
      <c r="D13059">
        <v>20</v>
      </c>
      <c r="E13059" s="80">
        <v>35830</v>
      </c>
    </row>
    <row r="13060" spans="1:5">
      <c r="A13060">
        <v>10869</v>
      </c>
      <c r="B13060" t="s">
        <v>174</v>
      </c>
      <c r="C13060">
        <v>250</v>
      </c>
      <c r="D13060">
        <v>20</v>
      </c>
      <c r="E13060" s="80">
        <v>35830</v>
      </c>
    </row>
    <row r="13061" spans="1:5">
      <c r="A13061">
        <v>10869</v>
      </c>
      <c r="B13061" t="s">
        <v>175</v>
      </c>
      <c r="C13061">
        <v>250</v>
      </c>
      <c r="D13061">
        <v>20</v>
      </c>
      <c r="E13061" s="80">
        <v>35830</v>
      </c>
    </row>
    <row r="13062" spans="1:5">
      <c r="A13062">
        <v>10869</v>
      </c>
      <c r="B13062" t="s">
        <v>176</v>
      </c>
      <c r="C13062">
        <v>250</v>
      </c>
      <c r="D13062">
        <v>20</v>
      </c>
      <c r="E13062" s="80">
        <v>35830</v>
      </c>
    </row>
    <row r="13063" spans="1:5">
      <c r="A13063">
        <v>10869</v>
      </c>
      <c r="B13063" t="s">
        <v>177</v>
      </c>
      <c r="C13063">
        <v>250</v>
      </c>
      <c r="D13063">
        <v>20</v>
      </c>
      <c r="E13063" s="80">
        <v>35830</v>
      </c>
    </row>
    <row r="13064" spans="1:5">
      <c r="A13064">
        <v>10869</v>
      </c>
      <c r="B13064" t="s">
        <v>178</v>
      </c>
      <c r="C13064">
        <v>250</v>
      </c>
      <c r="D13064">
        <v>20</v>
      </c>
      <c r="E13064" s="80">
        <v>35830</v>
      </c>
    </row>
    <row r="13065" spans="1:5">
      <c r="A13065">
        <v>10869</v>
      </c>
      <c r="B13065" t="s">
        <v>179</v>
      </c>
      <c r="C13065">
        <v>250</v>
      </c>
      <c r="D13065">
        <v>20</v>
      </c>
      <c r="E13065" s="80">
        <v>35830</v>
      </c>
    </row>
    <row r="13066" spans="1:5">
      <c r="A13066">
        <v>10870</v>
      </c>
      <c r="B13066" t="s">
        <v>172</v>
      </c>
      <c r="C13066">
        <v>54</v>
      </c>
      <c r="D13066">
        <v>3</v>
      </c>
      <c r="E13066" s="80">
        <v>35830</v>
      </c>
    </row>
    <row r="13067" spans="1:5">
      <c r="A13067">
        <v>10870</v>
      </c>
      <c r="B13067" t="s">
        <v>173</v>
      </c>
      <c r="C13067">
        <v>54</v>
      </c>
      <c r="D13067">
        <v>3</v>
      </c>
      <c r="E13067" s="80">
        <v>35830</v>
      </c>
    </row>
    <row r="13068" spans="1:5">
      <c r="A13068">
        <v>10870</v>
      </c>
      <c r="B13068" t="s">
        <v>174</v>
      </c>
      <c r="C13068">
        <v>54</v>
      </c>
      <c r="D13068">
        <v>3</v>
      </c>
      <c r="E13068" s="80">
        <v>35830</v>
      </c>
    </row>
    <row r="13069" spans="1:5">
      <c r="A13069">
        <v>10870</v>
      </c>
      <c r="B13069" t="s">
        <v>175</v>
      </c>
      <c r="C13069">
        <v>54</v>
      </c>
      <c r="D13069">
        <v>3</v>
      </c>
      <c r="E13069" s="80">
        <v>35830</v>
      </c>
    </row>
    <row r="13070" spans="1:5">
      <c r="A13070">
        <v>10870</v>
      </c>
      <c r="B13070" t="s">
        <v>176</v>
      </c>
      <c r="C13070">
        <v>54</v>
      </c>
      <c r="D13070">
        <v>3</v>
      </c>
      <c r="E13070" s="80">
        <v>35830</v>
      </c>
    </row>
    <row r="13071" spans="1:5">
      <c r="A13071">
        <v>10870</v>
      </c>
      <c r="B13071" t="s">
        <v>177</v>
      </c>
      <c r="C13071">
        <v>54</v>
      </c>
      <c r="D13071">
        <v>3</v>
      </c>
      <c r="E13071" s="80">
        <v>35830</v>
      </c>
    </row>
    <row r="13072" spans="1:5">
      <c r="A13072">
        <v>10870</v>
      </c>
      <c r="B13072" t="s">
        <v>178</v>
      </c>
      <c r="C13072">
        <v>54</v>
      </c>
      <c r="D13072">
        <v>3</v>
      </c>
      <c r="E13072" s="80">
        <v>35830</v>
      </c>
    </row>
    <row r="13073" spans="1:5">
      <c r="A13073">
        <v>10870</v>
      </c>
      <c r="B13073" t="s">
        <v>179</v>
      </c>
      <c r="C13073">
        <v>54</v>
      </c>
      <c r="D13073">
        <v>3</v>
      </c>
      <c r="E13073" s="80">
        <v>35830</v>
      </c>
    </row>
    <row r="13074" spans="1:5">
      <c r="A13074">
        <v>10870</v>
      </c>
      <c r="B13074" t="s">
        <v>172</v>
      </c>
      <c r="C13074">
        <v>106</v>
      </c>
      <c r="D13074">
        <v>2</v>
      </c>
      <c r="E13074" s="80">
        <v>35830</v>
      </c>
    </row>
    <row r="13075" spans="1:5">
      <c r="A13075">
        <v>10870</v>
      </c>
      <c r="B13075" t="s">
        <v>173</v>
      </c>
      <c r="C13075">
        <v>106</v>
      </c>
      <c r="D13075">
        <v>2</v>
      </c>
      <c r="E13075" s="80">
        <v>35830</v>
      </c>
    </row>
    <row r="13076" spans="1:5">
      <c r="A13076">
        <v>10870</v>
      </c>
      <c r="B13076" t="s">
        <v>174</v>
      </c>
      <c r="C13076">
        <v>106</v>
      </c>
      <c r="D13076">
        <v>2</v>
      </c>
      <c r="E13076" s="80">
        <v>35830</v>
      </c>
    </row>
    <row r="13077" spans="1:5">
      <c r="A13077">
        <v>10870</v>
      </c>
      <c r="B13077" t="s">
        <v>175</v>
      </c>
      <c r="C13077">
        <v>106</v>
      </c>
      <c r="D13077">
        <v>2</v>
      </c>
      <c r="E13077" s="80">
        <v>35830</v>
      </c>
    </row>
    <row r="13078" spans="1:5">
      <c r="A13078">
        <v>10870</v>
      </c>
      <c r="B13078" t="s">
        <v>176</v>
      </c>
      <c r="C13078">
        <v>106</v>
      </c>
      <c r="D13078">
        <v>2</v>
      </c>
      <c r="E13078" s="80">
        <v>35830</v>
      </c>
    </row>
    <row r="13079" spans="1:5">
      <c r="A13079">
        <v>10870</v>
      </c>
      <c r="B13079" t="s">
        <v>177</v>
      </c>
      <c r="C13079">
        <v>106</v>
      </c>
      <c r="D13079">
        <v>2</v>
      </c>
      <c r="E13079" s="80">
        <v>35830</v>
      </c>
    </row>
    <row r="13080" spans="1:5">
      <c r="A13080">
        <v>10870</v>
      </c>
      <c r="B13080" t="s">
        <v>178</v>
      </c>
      <c r="C13080">
        <v>106</v>
      </c>
      <c r="D13080">
        <v>2</v>
      </c>
      <c r="E13080" s="80">
        <v>35830</v>
      </c>
    </row>
    <row r="13081" spans="1:5">
      <c r="A13081">
        <v>10870</v>
      </c>
      <c r="B13081" t="s">
        <v>179</v>
      </c>
      <c r="C13081">
        <v>106</v>
      </c>
      <c r="D13081">
        <v>2</v>
      </c>
      <c r="E13081" s="80">
        <v>35830</v>
      </c>
    </row>
    <row r="13082" spans="1:5">
      <c r="A13082">
        <v>10871</v>
      </c>
      <c r="B13082" t="s">
        <v>172</v>
      </c>
      <c r="C13082">
        <v>1187.4999990686774</v>
      </c>
      <c r="D13082">
        <v>50</v>
      </c>
      <c r="E13082" s="80">
        <v>35831</v>
      </c>
    </row>
    <row r="13083" spans="1:5">
      <c r="A13083">
        <v>10871</v>
      </c>
      <c r="B13083" t="s">
        <v>173</v>
      </c>
      <c r="C13083">
        <v>1187.4999990686774</v>
      </c>
      <c r="D13083">
        <v>50</v>
      </c>
      <c r="E13083" s="80">
        <v>35831</v>
      </c>
    </row>
    <row r="13084" spans="1:5">
      <c r="A13084">
        <v>10871</v>
      </c>
      <c r="B13084" t="s">
        <v>174</v>
      </c>
      <c r="C13084">
        <v>1187.4999990686774</v>
      </c>
      <c r="D13084">
        <v>50</v>
      </c>
      <c r="E13084" s="80">
        <v>35831</v>
      </c>
    </row>
    <row r="13085" spans="1:5">
      <c r="A13085">
        <v>10871</v>
      </c>
      <c r="B13085" t="s">
        <v>175</v>
      </c>
      <c r="C13085">
        <v>1187.4999990686774</v>
      </c>
      <c r="D13085">
        <v>50</v>
      </c>
      <c r="E13085" s="80">
        <v>35831</v>
      </c>
    </row>
    <row r="13086" spans="1:5">
      <c r="A13086">
        <v>10871</v>
      </c>
      <c r="B13086" t="s">
        <v>176</v>
      </c>
      <c r="C13086">
        <v>1187.4999990686774</v>
      </c>
      <c r="D13086">
        <v>50</v>
      </c>
      <c r="E13086" s="80">
        <v>35831</v>
      </c>
    </row>
    <row r="13087" spans="1:5">
      <c r="A13087">
        <v>10871</v>
      </c>
      <c r="B13087" t="s">
        <v>177</v>
      </c>
      <c r="C13087">
        <v>1187.4999990686774</v>
      </c>
      <c r="D13087">
        <v>50</v>
      </c>
      <c r="E13087" s="80">
        <v>35831</v>
      </c>
    </row>
    <row r="13088" spans="1:5">
      <c r="A13088">
        <v>10871</v>
      </c>
      <c r="B13088" t="s">
        <v>178</v>
      </c>
      <c r="C13088">
        <v>1187.4999990686774</v>
      </c>
      <c r="D13088">
        <v>50</v>
      </c>
      <c r="E13088" s="80">
        <v>35831</v>
      </c>
    </row>
    <row r="13089" spans="1:5">
      <c r="A13089">
        <v>10871</v>
      </c>
      <c r="B13089" t="s">
        <v>179</v>
      </c>
      <c r="C13089">
        <v>1187.4999990686774</v>
      </c>
      <c r="D13089">
        <v>50</v>
      </c>
      <c r="E13089" s="80">
        <v>35831</v>
      </c>
    </row>
    <row r="13090" spans="1:5">
      <c r="A13090">
        <v>10871</v>
      </c>
      <c r="B13090" t="s">
        <v>172</v>
      </c>
      <c r="C13090">
        <v>198.92999984398486</v>
      </c>
      <c r="D13090">
        <v>12</v>
      </c>
      <c r="E13090" s="80">
        <v>35831</v>
      </c>
    </row>
    <row r="13091" spans="1:5">
      <c r="A13091">
        <v>10871</v>
      </c>
      <c r="B13091" t="s">
        <v>173</v>
      </c>
      <c r="C13091">
        <v>198.92999984398486</v>
      </c>
      <c r="D13091">
        <v>12</v>
      </c>
      <c r="E13091" s="80">
        <v>35831</v>
      </c>
    </row>
    <row r="13092" spans="1:5">
      <c r="A13092">
        <v>10871</v>
      </c>
      <c r="B13092" t="s">
        <v>174</v>
      </c>
      <c r="C13092">
        <v>198.92999984398486</v>
      </c>
      <c r="D13092">
        <v>12</v>
      </c>
      <c r="E13092" s="80">
        <v>35831</v>
      </c>
    </row>
    <row r="13093" spans="1:5">
      <c r="A13093">
        <v>10871</v>
      </c>
      <c r="B13093" t="s">
        <v>175</v>
      </c>
      <c r="C13093">
        <v>198.92999984398486</v>
      </c>
      <c r="D13093">
        <v>12</v>
      </c>
      <c r="E13093" s="80">
        <v>35831</v>
      </c>
    </row>
    <row r="13094" spans="1:5">
      <c r="A13094">
        <v>10871</v>
      </c>
      <c r="B13094" t="s">
        <v>176</v>
      </c>
      <c r="C13094">
        <v>198.92999984398486</v>
      </c>
      <c r="D13094">
        <v>12</v>
      </c>
      <c r="E13094" s="80">
        <v>35831</v>
      </c>
    </row>
    <row r="13095" spans="1:5">
      <c r="A13095">
        <v>10871</v>
      </c>
      <c r="B13095" t="s">
        <v>177</v>
      </c>
      <c r="C13095">
        <v>198.92999984398486</v>
      </c>
      <c r="D13095">
        <v>12</v>
      </c>
      <c r="E13095" s="80">
        <v>35831</v>
      </c>
    </row>
    <row r="13096" spans="1:5">
      <c r="A13096">
        <v>10871</v>
      </c>
      <c r="B13096" t="s">
        <v>178</v>
      </c>
      <c r="C13096">
        <v>198.92999984398486</v>
      </c>
      <c r="D13096">
        <v>12</v>
      </c>
      <c r="E13096" s="80">
        <v>35831</v>
      </c>
    </row>
    <row r="13097" spans="1:5">
      <c r="A13097">
        <v>10871</v>
      </c>
      <c r="B13097" t="s">
        <v>179</v>
      </c>
      <c r="C13097">
        <v>198.92999984398486</v>
      </c>
      <c r="D13097">
        <v>12</v>
      </c>
      <c r="E13097" s="80">
        <v>35831</v>
      </c>
    </row>
    <row r="13098" spans="1:5">
      <c r="A13098">
        <v>10871</v>
      </c>
      <c r="B13098" t="s">
        <v>172</v>
      </c>
      <c r="C13098">
        <v>592.79999953508377</v>
      </c>
      <c r="D13098">
        <v>16</v>
      </c>
      <c r="E13098" s="80">
        <v>35831</v>
      </c>
    </row>
    <row r="13099" spans="1:5">
      <c r="A13099">
        <v>10871</v>
      </c>
      <c r="B13099" t="s">
        <v>173</v>
      </c>
      <c r="C13099">
        <v>592.79999953508377</v>
      </c>
      <c r="D13099">
        <v>16</v>
      </c>
      <c r="E13099" s="80">
        <v>35831</v>
      </c>
    </row>
    <row r="13100" spans="1:5">
      <c r="A13100">
        <v>10871</v>
      </c>
      <c r="B13100" t="s">
        <v>174</v>
      </c>
      <c r="C13100">
        <v>592.79999953508377</v>
      </c>
      <c r="D13100">
        <v>16</v>
      </c>
      <c r="E13100" s="80">
        <v>35831</v>
      </c>
    </row>
    <row r="13101" spans="1:5">
      <c r="A13101">
        <v>10871</v>
      </c>
      <c r="B13101" t="s">
        <v>175</v>
      </c>
      <c r="C13101">
        <v>592.79999953508377</v>
      </c>
      <c r="D13101">
        <v>16</v>
      </c>
      <c r="E13101" s="80">
        <v>35831</v>
      </c>
    </row>
    <row r="13102" spans="1:5">
      <c r="A13102">
        <v>10871</v>
      </c>
      <c r="B13102" t="s">
        <v>176</v>
      </c>
      <c r="C13102">
        <v>592.79999953508377</v>
      </c>
      <c r="D13102">
        <v>16</v>
      </c>
      <c r="E13102" s="80">
        <v>35831</v>
      </c>
    </row>
    <row r="13103" spans="1:5">
      <c r="A13103">
        <v>10871</v>
      </c>
      <c r="B13103" t="s">
        <v>177</v>
      </c>
      <c r="C13103">
        <v>592.79999953508377</v>
      </c>
      <c r="D13103">
        <v>16</v>
      </c>
      <c r="E13103" s="80">
        <v>35831</v>
      </c>
    </row>
    <row r="13104" spans="1:5">
      <c r="A13104">
        <v>10871</v>
      </c>
      <c r="B13104" t="s">
        <v>178</v>
      </c>
      <c r="C13104">
        <v>592.79999953508377</v>
      </c>
      <c r="D13104">
        <v>16</v>
      </c>
      <c r="E13104" s="80">
        <v>35831</v>
      </c>
    </row>
    <row r="13105" spans="1:5">
      <c r="A13105">
        <v>10871</v>
      </c>
      <c r="B13105" t="s">
        <v>179</v>
      </c>
      <c r="C13105">
        <v>592.79999953508377</v>
      </c>
      <c r="D13105">
        <v>16</v>
      </c>
      <c r="E13105" s="80">
        <v>35831</v>
      </c>
    </row>
    <row r="13106" spans="1:5">
      <c r="A13106">
        <v>10872</v>
      </c>
      <c r="B13106" t="s">
        <v>172</v>
      </c>
      <c r="C13106">
        <v>227.99999982118607</v>
      </c>
      <c r="D13106">
        <v>10</v>
      </c>
      <c r="E13106" s="80">
        <v>35831</v>
      </c>
    </row>
    <row r="13107" spans="1:5">
      <c r="A13107">
        <v>10872</v>
      </c>
      <c r="B13107" t="s">
        <v>173</v>
      </c>
      <c r="C13107">
        <v>227.99999982118607</v>
      </c>
      <c r="D13107">
        <v>10</v>
      </c>
      <c r="E13107" s="80">
        <v>35831</v>
      </c>
    </row>
    <row r="13108" spans="1:5">
      <c r="A13108">
        <v>10872</v>
      </c>
      <c r="B13108" t="s">
        <v>174</v>
      </c>
      <c r="C13108">
        <v>227.99999982118607</v>
      </c>
      <c r="D13108">
        <v>10</v>
      </c>
      <c r="E13108" s="80">
        <v>35831</v>
      </c>
    </row>
    <row r="13109" spans="1:5">
      <c r="A13109">
        <v>10872</v>
      </c>
      <c r="B13109" t="s">
        <v>175</v>
      </c>
      <c r="C13109">
        <v>227.99999982118607</v>
      </c>
      <c r="D13109">
        <v>10</v>
      </c>
      <c r="E13109" s="80">
        <v>35831</v>
      </c>
    </row>
    <row r="13110" spans="1:5">
      <c r="A13110">
        <v>10872</v>
      </c>
      <c r="B13110" t="s">
        <v>176</v>
      </c>
      <c r="C13110">
        <v>227.99999982118607</v>
      </c>
      <c r="D13110">
        <v>10</v>
      </c>
      <c r="E13110" s="80">
        <v>35831</v>
      </c>
    </row>
    <row r="13111" spans="1:5">
      <c r="A13111">
        <v>10872</v>
      </c>
      <c r="B13111" t="s">
        <v>177</v>
      </c>
      <c r="C13111">
        <v>227.99999982118607</v>
      </c>
      <c r="D13111">
        <v>10</v>
      </c>
      <c r="E13111" s="80">
        <v>35831</v>
      </c>
    </row>
    <row r="13112" spans="1:5">
      <c r="A13112">
        <v>10872</v>
      </c>
      <c r="B13112" t="s">
        <v>178</v>
      </c>
      <c r="C13112">
        <v>227.99999982118607</v>
      </c>
      <c r="D13112">
        <v>10</v>
      </c>
      <c r="E13112" s="80">
        <v>35831</v>
      </c>
    </row>
    <row r="13113" spans="1:5">
      <c r="A13113">
        <v>10872</v>
      </c>
      <c r="B13113" t="s">
        <v>179</v>
      </c>
      <c r="C13113">
        <v>227.99999982118607</v>
      </c>
      <c r="D13113">
        <v>10</v>
      </c>
      <c r="E13113" s="80">
        <v>35831</v>
      </c>
    </row>
    <row r="13114" spans="1:5">
      <c r="A13114">
        <v>10872</v>
      </c>
      <c r="B13114" t="s">
        <v>172</v>
      </c>
      <c r="C13114">
        <v>936.69999926537275</v>
      </c>
      <c r="D13114">
        <v>20</v>
      </c>
      <c r="E13114" s="80">
        <v>35831</v>
      </c>
    </row>
    <row r="13115" spans="1:5">
      <c r="A13115">
        <v>10872</v>
      </c>
      <c r="B13115" t="s">
        <v>173</v>
      </c>
      <c r="C13115">
        <v>936.69999926537275</v>
      </c>
      <c r="D13115">
        <v>20</v>
      </c>
      <c r="E13115" s="80">
        <v>35831</v>
      </c>
    </row>
    <row r="13116" spans="1:5">
      <c r="A13116">
        <v>10872</v>
      </c>
      <c r="B13116" t="s">
        <v>174</v>
      </c>
      <c r="C13116">
        <v>936.69999926537275</v>
      </c>
      <c r="D13116">
        <v>20</v>
      </c>
      <c r="E13116" s="80">
        <v>35831</v>
      </c>
    </row>
    <row r="13117" spans="1:5">
      <c r="A13117">
        <v>10872</v>
      </c>
      <c r="B13117" t="s">
        <v>175</v>
      </c>
      <c r="C13117">
        <v>936.69999926537275</v>
      </c>
      <c r="D13117">
        <v>20</v>
      </c>
      <c r="E13117" s="80">
        <v>35831</v>
      </c>
    </row>
    <row r="13118" spans="1:5">
      <c r="A13118">
        <v>10872</v>
      </c>
      <c r="B13118" t="s">
        <v>176</v>
      </c>
      <c r="C13118">
        <v>936.69999926537275</v>
      </c>
      <c r="D13118">
        <v>20</v>
      </c>
      <c r="E13118" s="80">
        <v>35831</v>
      </c>
    </row>
    <row r="13119" spans="1:5">
      <c r="A13119">
        <v>10872</v>
      </c>
      <c r="B13119" t="s">
        <v>177</v>
      </c>
      <c r="C13119">
        <v>936.69999926537275</v>
      </c>
      <c r="D13119">
        <v>20</v>
      </c>
      <c r="E13119" s="80">
        <v>35831</v>
      </c>
    </row>
    <row r="13120" spans="1:5">
      <c r="A13120">
        <v>10872</v>
      </c>
      <c r="B13120" t="s">
        <v>178</v>
      </c>
      <c r="C13120">
        <v>936.69999926537275</v>
      </c>
      <c r="D13120">
        <v>20</v>
      </c>
      <c r="E13120" s="80">
        <v>35831</v>
      </c>
    </row>
    <row r="13121" spans="1:5">
      <c r="A13121">
        <v>10872</v>
      </c>
      <c r="B13121" t="s">
        <v>179</v>
      </c>
      <c r="C13121">
        <v>936.69999926537275</v>
      </c>
      <c r="D13121">
        <v>20</v>
      </c>
      <c r="E13121" s="80">
        <v>35831</v>
      </c>
    </row>
    <row r="13122" spans="1:5">
      <c r="A13122">
        <v>10872</v>
      </c>
      <c r="B13122" t="s">
        <v>172</v>
      </c>
      <c r="C13122">
        <v>473.81249962840229</v>
      </c>
      <c r="D13122">
        <v>15</v>
      </c>
      <c r="E13122" s="80">
        <v>35831</v>
      </c>
    </row>
    <row r="13123" spans="1:5">
      <c r="A13123">
        <v>10872</v>
      </c>
      <c r="B13123" t="s">
        <v>173</v>
      </c>
      <c r="C13123">
        <v>473.81249962840229</v>
      </c>
      <c r="D13123">
        <v>15</v>
      </c>
      <c r="E13123" s="80">
        <v>35831</v>
      </c>
    </row>
    <row r="13124" spans="1:5">
      <c r="A13124">
        <v>10872</v>
      </c>
      <c r="B13124" t="s">
        <v>174</v>
      </c>
      <c r="C13124">
        <v>473.81249962840229</v>
      </c>
      <c r="D13124">
        <v>15</v>
      </c>
      <c r="E13124" s="80">
        <v>35831</v>
      </c>
    </row>
    <row r="13125" spans="1:5">
      <c r="A13125">
        <v>10872</v>
      </c>
      <c r="B13125" t="s">
        <v>175</v>
      </c>
      <c r="C13125">
        <v>473.81249962840229</v>
      </c>
      <c r="D13125">
        <v>15</v>
      </c>
      <c r="E13125" s="80">
        <v>35831</v>
      </c>
    </row>
    <row r="13126" spans="1:5">
      <c r="A13126">
        <v>10872</v>
      </c>
      <c r="B13126" t="s">
        <v>176</v>
      </c>
      <c r="C13126">
        <v>473.81249962840229</v>
      </c>
      <c r="D13126">
        <v>15</v>
      </c>
      <c r="E13126" s="80">
        <v>35831</v>
      </c>
    </row>
    <row r="13127" spans="1:5">
      <c r="A13127">
        <v>10872</v>
      </c>
      <c r="B13127" t="s">
        <v>177</v>
      </c>
      <c r="C13127">
        <v>473.81249962840229</v>
      </c>
      <c r="D13127">
        <v>15</v>
      </c>
      <c r="E13127" s="80">
        <v>35831</v>
      </c>
    </row>
    <row r="13128" spans="1:5">
      <c r="A13128">
        <v>10872</v>
      </c>
      <c r="B13128" t="s">
        <v>178</v>
      </c>
      <c r="C13128">
        <v>473.81249962840229</v>
      </c>
      <c r="D13128">
        <v>15</v>
      </c>
      <c r="E13128" s="80">
        <v>35831</v>
      </c>
    </row>
    <row r="13129" spans="1:5">
      <c r="A13129">
        <v>10872</v>
      </c>
      <c r="B13129" t="s">
        <v>179</v>
      </c>
      <c r="C13129">
        <v>473.81249962840229</v>
      </c>
      <c r="D13129">
        <v>15</v>
      </c>
      <c r="E13129" s="80">
        <v>35831</v>
      </c>
    </row>
    <row r="13130" spans="1:5">
      <c r="A13130">
        <v>10872</v>
      </c>
      <c r="B13130" t="s">
        <v>172</v>
      </c>
      <c r="C13130">
        <v>419.94749967064712</v>
      </c>
      <c r="D13130">
        <v>21</v>
      </c>
      <c r="E13130" s="80">
        <v>35831</v>
      </c>
    </row>
    <row r="13131" spans="1:5">
      <c r="A13131">
        <v>10872</v>
      </c>
      <c r="B13131" t="s">
        <v>173</v>
      </c>
      <c r="C13131">
        <v>419.94749967064712</v>
      </c>
      <c r="D13131">
        <v>21</v>
      </c>
      <c r="E13131" s="80">
        <v>35831</v>
      </c>
    </row>
    <row r="13132" spans="1:5">
      <c r="A13132">
        <v>10872</v>
      </c>
      <c r="B13132" t="s">
        <v>174</v>
      </c>
      <c r="C13132">
        <v>419.94749967064712</v>
      </c>
      <c r="D13132">
        <v>21</v>
      </c>
      <c r="E13132" s="80">
        <v>35831</v>
      </c>
    </row>
    <row r="13133" spans="1:5">
      <c r="A13133">
        <v>10872</v>
      </c>
      <c r="B13133" t="s">
        <v>175</v>
      </c>
      <c r="C13133">
        <v>419.94749967064712</v>
      </c>
      <c r="D13133">
        <v>21</v>
      </c>
      <c r="E13133" s="80">
        <v>35831</v>
      </c>
    </row>
    <row r="13134" spans="1:5">
      <c r="A13134">
        <v>10872</v>
      </c>
      <c r="B13134" t="s">
        <v>176</v>
      </c>
      <c r="C13134">
        <v>419.94749967064712</v>
      </c>
      <c r="D13134">
        <v>21</v>
      </c>
      <c r="E13134" s="80">
        <v>35831</v>
      </c>
    </row>
    <row r="13135" spans="1:5">
      <c r="A13135">
        <v>10872</v>
      </c>
      <c r="B13135" t="s">
        <v>177</v>
      </c>
      <c r="C13135">
        <v>419.94749967064712</v>
      </c>
      <c r="D13135">
        <v>21</v>
      </c>
      <c r="E13135" s="80">
        <v>35831</v>
      </c>
    </row>
    <row r="13136" spans="1:5">
      <c r="A13136">
        <v>10872</v>
      </c>
      <c r="B13136" t="s">
        <v>178</v>
      </c>
      <c r="C13136">
        <v>419.94749967064712</v>
      </c>
      <c r="D13136">
        <v>21</v>
      </c>
      <c r="E13136" s="80">
        <v>35831</v>
      </c>
    </row>
    <row r="13137" spans="1:5">
      <c r="A13137">
        <v>10872</v>
      </c>
      <c r="B13137" t="s">
        <v>179</v>
      </c>
      <c r="C13137">
        <v>419.94749967064712</v>
      </c>
      <c r="D13137">
        <v>21</v>
      </c>
      <c r="E13137" s="80">
        <v>35831</v>
      </c>
    </row>
    <row r="13138" spans="1:5">
      <c r="A13138">
        <v>10873</v>
      </c>
      <c r="B13138" t="s">
        <v>172</v>
      </c>
      <c r="C13138">
        <v>200</v>
      </c>
      <c r="D13138">
        <v>20</v>
      </c>
      <c r="E13138" s="80">
        <v>35832</v>
      </c>
    </row>
    <row r="13139" spans="1:5">
      <c r="A13139">
        <v>10873</v>
      </c>
      <c r="B13139" t="s">
        <v>173</v>
      </c>
      <c r="C13139">
        <v>200</v>
      </c>
      <c r="D13139">
        <v>20</v>
      </c>
      <c r="E13139" s="80">
        <v>35832</v>
      </c>
    </row>
    <row r="13140" spans="1:5">
      <c r="A13140">
        <v>10873</v>
      </c>
      <c r="B13140" t="s">
        <v>174</v>
      </c>
      <c r="C13140">
        <v>200</v>
      </c>
      <c r="D13140">
        <v>20</v>
      </c>
      <c r="E13140" s="80">
        <v>35832</v>
      </c>
    </row>
    <row r="13141" spans="1:5">
      <c r="A13141">
        <v>10873</v>
      </c>
      <c r="B13141" t="s">
        <v>175</v>
      </c>
      <c r="C13141">
        <v>200</v>
      </c>
      <c r="D13141">
        <v>20</v>
      </c>
      <c r="E13141" s="80">
        <v>35832</v>
      </c>
    </row>
    <row r="13142" spans="1:5">
      <c r="A13142">
        <v>10873</v>
      </c>
      <c r="B13142" t="s">
        <v>176</v>
      </c>
      <c r="C13142">
        <v>200</v>
      </c>
      <c r="D13142">
        <v>20</v>
      </c>
      <c r="E13142" s="80">
        <v>35832</v>
      </c>
    </row>
    <row r="13143" spans="1:5">
      <c r="A13143">
        <v>10873</v>
      </c>
      <c r="B13143" t="s">
        <v>177</v>
      </c>
      <c r="C13143">
        <v>200</v>
      </c>
      <c r="D13143">
        <v>20</v>
      </c>
      <c r="E13143" s="80">
        <v>35832</v>
      </c>
    </row>
    <row r="13144" spans="1:5">
      <c r="A13144">
        <v>10873</v>
      </c>
      <c r="B13144" t="s">
        <v>178</v>
      </c>
      <c r="C13144">
        <v>200</v>
      </c>
      <c r="D13144">
        <v>20</v>
      </c>
      <c r="E13144" s="80">
        <v>35832</v>
      </c>
    </row>
    <row r="13145" spans="1:5">
      <c r="A13145">
        <v>10873</v>
      </c>
      <c r="B13145" t="s">
        <v>179</v>
      </c>
      <c r="C13145">
        <v>200</v>
      </c>
      <c r="D13145">
        <v>20</v>
      </c>
      <c r="E13145" s="80">
        <v>35832</v>
      </c>
    </row>
    <row r="13146" spans="1:5">
      <c r="A13146">
        <v>10873</v>
      </c>
      <c r="B13146" t="s">
        <v>172</v>
      </c>
      <c r="C13146">
        <v>136.80000000000001</v>
      </c>
      <c r="D13146">
        <v>3</v>
      </c>
      <c r="E13146" s="80">
        <v>35832</v>
      </c>
    </row>
    <row r="13147" spans="1:5">
      <c r="A13147">
        <v>10873</v>
      </c>
      <c r="B13147" t="s">
        <v>173</v>
      </c>
      <c r="C13147">
        <v>136.80000000000001</v>
      </c>
      <c r="D13147">
        <v>3</v>
      </c>
      <c r="E13147" s="80">
        <v>35832</v>
      </c>
    </row>
    <row r="13148" spans="1:5">
      <c r="A13148">
        <v>10873</v>
      </c>
      <c r="B13148" t="s">
        <v>174</v>
      </c>
      <c r="C13148">
        <v>136.80000000000001</v>
      </c>
      <c r="D13148">
        <v>3</v>
      </c>
      <c r="E13148" s="80">
        <v>35832</v>
      </c>
    </row>
    <row r="13149" spans="1:5">
      <c r="A13149">
        <v>10873</v>
      </c>
      <c r="B13149" t="s">
        <v>175</v>
      </c>
      <c r="C13149">
        <v>136.80000000000001</v>
      </c>
      <c r="D13149">
        <v>3</v>
      </c>
      <c r="E13149" s="80">
        <v>35832</v>
      </c>
    </row>
    <row r="13150" spans="1:5">
      <c r="A13150">
        <v>10873</v>
      </c>
      <c r="B13150" t="s">
        <v>176</v>
      </c>
      <c r="C13150">
        <v>136.80000000000001</v>
      </c>
      <c r="D13150">
        <v>3</v>
      </c>
      <c r="E13150" s="80">
        <v>35832</v>
      </c>
    </row>
    <row r="13151" spans="1:5">
      <c r="A13151">
        <v>10873</v>
      </c>
      <c r="B13151" t="s">
        <v>177</v>
      </c>
      <c r="C13151">
        <v>136.80000000000001</v>
      </c>
      <c r="D13151">
        <v>3</v>
      </c>
      <c r="E13151" s="80">
        <v>35832</v>
      </c>
    </row>
    <row r="13152" spans="1:5">
      <c r="A13152">
        <v>10873</v>
      </c>
      <c r="B13152" t="s">
        <v>178</v>
      </c>
      <c r="C13152">
        <v>136.80000000000001</v>
      </c>
      <c r="D13152">
        <v>3</v>
      </c>
      <c r="E13152" s="80">
        <v>35832</v>
      </c>
    </row>
    <row r="13153" spans="1:5">
      <c r="A13153">
        <v>10873</v>
      </c>
      <c r="B13153" t="s">
        <v>179</v>
      </c>
      <c r="C13153">
        <v>136.80000000000001</v>
      </c>
      <c r="D13153">
        <v>3</v>
      </c>
      <c r="E13153" s="80">
        <v>35832</v>
      </c>
    </row>
    <row r="13154" spans="1:5">
      <c r="A13154">
        <v>10874</v>
      </c>
      <c r="B13154" t="s">
        <v>172</v>
      </c>
      <c r="C13154">
        <v>310</v>
      </c>
      <c r="D13154">
        <v>10</v>
      </c>
      <c r="E13154" s="80">
        <v>35832</v>
      </c>
    </row>
    <row r="13155" spans="1:5">
      <c r="A13155">
        <v>10874</v>
      </c>
      <c r="B13155" t="s">
        <v>173</v>
      </c>
      <c r="C13155">
        <v>310</v>
      </c>
      <c r="D13155">
        <v>10</v>
      </c>
      <c r="E13155" s="80">
        <v>35832</v>
      </c>
    </row>
    <row r="13156" spans="1:5">
      <c r="A13156">
        <v>10874</v>
      </c>
      <c r="B13156" t="s">
        <v>174</v>
      </c>
      <c r="C13156">
        <v>310</v>
      </c>
      <c r="D13156">
        <v>10</v>
      </c>
      <c r="E13156" s="80">
        <v>35832</v>
      </c>
    </row>
    <row r="13157" spans="1:5">
      <c r="A13157">
        <v>10874</v>
      </c>
      <c r="B13157" t="s">
        <v>175</v>
      </c>
      <c r="C13157">
        <v>310</v>
      </c>
      <c r="D13157">
        <v>10</v>
      </c>
      <c r="E13157" s="80">
        <v>35832</v>
      </c>
    </row>
    <row r="13158" spans="1:5">
      <c r="A13158">
        <v>10874</v>
      </c>
      <c r="B13158" t="s">
        <v>176</v>
      </c>
      <c r="C13158">
        <v>310</v>
      </c>
      <c r="D13158">
        <v>10</v>
      </c>
      <c r="E13158" s="80">
        <v>35832</v>
      </c>
    </row>
    <row r="13159" spans="1:5">
      <c r="A13159">
        <v>10874</v>
      </c>
      <c r="B13159" t="s">
        <v>177</v>
      </c>
      <c r="C13159">
        <v>310</v>
      </c>
      <c r="D13159">
        <v>10</v>
      </c>
      <c r="E13159" s="80">
        <v>35832</v>
      </c>
    </row>
    <row r="13160" spans="1:5">
      <c r="A13160">
        <v>10874</v>
      </c>
      <c r="B13160" t="s">
        <v>178</v>
      </c>
      <c r="C13160">
        <v>310</v>
      </c>
      <c r="D13160">
        <v>10</v>
      </c>
      <c r="E13160" s="80">
        <v>35832</v>
      </c>
    </row>
    <row r="13161" spans="1:5">
      <c r="A13161">
        <v>10874</v>
      </c>
      <c r="B13161" t="s">
        <v>179</v>
      </c>
      <c r="C13161">
        <v>310</v>
      </c>
      <c r="D13161">
        <v>10</v>
      </c>
      <c r="E13161" s="80">
        <v>35832</v>
      </c>
    </row>
    <row r="13162" spans="1:5">
      <c r="A13162">
        <v>10875</v>
      </c>
      <c r="B13162" t="s">
        <v>172</v>
      </c>
      <c r="C13162">
        <v>230</v>
      </c>
      <c r="D13162">
        <v>25</v>
      </c>
      <c r="E13162" s="80">
        <v>35832</v>
      </c>
    </row>
    <row r="13163" spans="1:5">
      <c r="A13163">
        <v>10875</v>
      </c>
      <c r="B13163" t="s">
        <v>173</v>
      </c>
      <c r="C13163">
        <v>230</v>
      </c>
      <c r="D13163">
        <v>25</v>
      </c>
      <c r="E13163" s="80">
        <v>35832</v>
      </c>
    </row>
    <row r="13164" spans="1:5">
      <c r="A13164">
        <v>10875</v>
      </c>
      <c r="B13164" t="s">
        <v>174</v>
      </c>
      <c r="C13164">
        <v>230</v>
      </c>
      <c r="D13164">
        <v>25</v>
      </c>
      <c r="E13164" s="80">
        <v>35832</v>
      </c>
    </row>
    <row r="13165" spans="1:5">
      <c r="A13165">
        <v>10875</v>
      </c>
      <c r="B13165" t="s">
        <v>175</v>
      </c>
      <c r="C13165">
        <v>230</v>
      </c>
      <c r="D13165">
        <v>25</v>
      </c>
      <c r="E13165" s="80">
        <v>35832</v>
      </c>
    </row>
    <row r="13166" spans="1:5">
      <c r="A13166">
        <v>10875</v>
      </c>
      <c r="B13166" t="s">
        <v>176</v>
      </c>
      <c r="C13166">
        <v>230</v>
      </c>
      <c r="D13166">
        <v>25</v>
      </c>
      <c r="E13166" s="80">
        <v>35832</v>
      </c>
    </row>
    <row r="13167" spans="1:5">
      <c r="A13167">
        <v>10875</v>
      </c>
      <c r="B13167" t="s">
        <v>177</v>
      </c>
      <c r="C13167">
        <v>230</v>
      </c>
      <c r="D13167">
        <v>25</v>
      </c>
      <c r="E13167" s="80">
        <v>35832</v>
      </c>
    </row>
    <row r="13168" spans="1:5">
      <c r="A13168">
        <v>10875</v>
      </c>
      <c r="B13168" t="s">
        <v>178</v>
      </c>
      <c r="C13168">
        <v>230</v>
      </c>
      <c r="D13168">
        <v>25</v>
      </c>
      <c r="E13168" s="80">
        <v>35832</v>
      </c>
    </row>
    <row r="13169" spans="1:5">
      <c r="A13169">
        <v>10875</v>
      </c>
      <c r="B13169" t="s">
        <v>179</v>
      </c>
      <c r="C13169">
        <v>230</v>
      </c>
      <c r="D13169">
        <v>25</v>
      </c>
      <c r="E13169" s="80">
        <v>35832</v>
      </c>
    </row>
    <row r="13170" spans="1:5">
      <c r="A13170">
        <v>10875</v>
      </c>
      <c r="B13170" t="s">
        <v>172</v>
      </c>
      <c r="C13170">
        <v>179.54999970272183</v>
      </c>
      <c r="D13170">
        <v>21</v>
      </c>
      <c r="E13170" s="80">
        <v>35832</v>
      </c>
    </row>
    <row r="13171" spans="1:5">
      <c r="A13171">
        <v>10875</v>
      </c>
      <c r="B13171" t="s">
        <v>173</v>
      </c>
      <c r="C13171">
        <v>179.54999970272183</v>
      </c>
      <c r="D13171">
        <v>21</v>
      </c>
      <c r="E13171" s="80">
        <v>35832</v>
      </c>
    </row>
    <row r="13172" spans="1:5">
      <c r="A13172">
        <v>10875</v>
      </c>
      <c r="B13172" t="s">
        <v>174</v>
      </c>
      <c r="C13172">
        <v>179.54999970272183</v>
      </c>
      <c r="D13172">
        <v>21</v>
      </c>
      <c r="E13172" s="80">
        <v>35832</v>
      </c>
    </row>
    <row r="13173" spans="1:5">
      <c r="A13173">
        <v>10875</v>
      </c>
      <c r="B13173" t="s">
        <v>175</v>
      </c>
      <c r="C13173">
        <v>179.54999970272183</v>
      </c>
      <c r="D13173">
        <v>21</v>
      </c>
      <c r="E13173" s="80">
        <v>35832</v>
      </c>
    </row>
    <row r="13174" spans="1:5">
      <c r="A13174">
        <v>10875</v>
      </c>
      <c r="B13174" t="s">
        <v>176</v>
      </c>
      <c r="C13174">
        <v>179.54999970272183</v>
      </c>
      <c r="D13174">
        <v>21</v>
      </c>
      <c r="E13174" s="80">
        <v>35832</v>
      </c>
    </row>
    <row r="13175" spans="1:5">
      <c r="A13175">
        <v>10875</v>
      </c>
      <c r="B13175" t="s">
        <v>177</v>
      </c>
      <c r="C13175">
        <v>179.54999970272183</v>
      </c>
      <c r="D13175">
        <v>21</v>
      </c>
      <c r="E13175" s="80">
        <v>35832</v>
      </c>
    </row>
    <row r="13176" spans="1:5">
      <c r="A13176">
        <v>10875</v>
      </c>
      <c r="B13176" t="s">
        <v>178</v>
      </c>
      <c r="C13176">
        <v>179.54999970272183</v>
      </c>
      <c r="D13176">
        <v>21</v>
      </c>
      <c r="E13176" s="80">
        <v>35832</v>
      </c>
    </row>
    <row r="13177" spans="1:5">
      <c r="A13177">
        <v>10875</v>
      </c>
      <c r="B13177" t="s">
        <v>179</v>
      </c>
      <c r="C13177">
        <v>179.54999970272183</v>
      </c>
      <c r="D13177">
        <v>21</v>
      </c>
      <c r="E13177" s="80">
        <v>35832</v>
      </c>
    </row>
    <row r="13178" spans="1:5">
      <c r="A13178">
        <v>10875</v>
      </c>
      <c r="B13178" t="s">
        <v>172</v>
      </c>
      <c r="C13178">
        <v>300</v>
      </c>
      <c r="D13178">
        <v>15</v>
      </c>
      <c r="E13178" s="80">
        <v>35832</v>
      </c>
    </row>
    <row r="13179" spans="1:5">
      <c r="A13179">
        <v>10875</v>
      </c>
      <c r="B13179" t="s">
        <v>173</v>
      </c>
      <c r="C13179">
        <v>300</v>
      </c>
      <c r="D13179">
        <v>15</v>
      </c>
      <c r="E13179" s="80">
        <v>35832</v>
      </c>
    </row>
    <row r="13180" spans="1:5">
      <c r="A13180">
        <v>10875</v>
      </c>
      <c r="B13180" t="s">
        <v>174</v>
      </c>
      <c r="C13180">
        <v>300</v>
      </c>
      <c r="D13180">
        <v>15</v>
      </c>
      <c r="E13180" s="80">
        <v>35832</v>
      </c>
    </row>
    <row r="13181" spans="1:5">
      <c r="A13181">
        <v>10875</v>
      </c>
      <c r="B13181" t="s">
        <v>175</v>
      </c>
      <c r="C13181">
        <v>300</v>
      </c>
      <c r="D13181">
        <v>15</v>
      </c>
      <c r="E13181" s="80">
        <v>35832</v>
      </c>
    </row>
    <row r="13182" spans="1:5">
      <c r="A13182">
        <v>10875</v>
      </c>
      <c r="B13182" t="s">
        <v>176</v>
      </c>
      <c r="C13182">
        <v>300</v>
      </c>
      <c r="D13182">
        <v>15</v>
      </c>
      <c r="E13182" s="80">
        <v>35832</v>
      </c>
    </row>
    <row r="13183" spans="1:5">
      <c r="A13183">
        <v>10875</v>
      </c>
      <c r="B13183" t="s">
        <v>177</v>
      </c>
      <c r="C13183">
        <v>300</v>
      </c>
      <c r="D13183">
        <v>15</v>
      </c>
      <c r="E13183" s="80">
        <v>35832</v>
      </c>
    </row>
    <row r="13184" spans="1:5">
      <c r="A13184">
        <v>10875</v>
      </c>
      <c r="B13184" t="s">
        <v>178</v>
      </c>
      <c r="C13184">
        <v>300</v>
      </c>
      <c r="D13184">
        <v>15</v>
      </c>
      <c r="E13184" s="80">
        <v>35832</v>
      </c>
    </row>
    <row r="13185" spans="1:5">
      <c r="A13185">
        <v>10875</v>
      </c>
      <c r="B13185" t="s">
        <v>179</v>
      </c>
      <c r="C13185">
        <v>300</v>
      </c>
      <c r="D13185">
        <v>15</v>
      </c>
      <c r="E13185" s="80">
        <v>35832</v>
      </c>
    </row>
    <row r="13186" spans="1:5">
      <c r="A13186">
        <v>10876</v>
      </c>
      <c r="B13186" t="s">
        <v>172</v>
      </c>
      <c r="C13186">
        <v>252</v>
      </c>
      <c r="D13186">
        <v>21</v>
      </c>
      <c r="E13186" s="80">
        <v>35835</v>
      </c>
    </row>
    <row r="13187" spans="1:5">
      <c r="A13187">
        <v>10876</v>
      </c>
      <c r="B13187" t="s">
        <v>173</v>
      </c>
      <c r="C13187">
        <v>252</v>
      </c>
      <c r="D13187">
        <v>21</v>
      </c>
      <c r="E13187" s="80">
        <v>35835</v>
      </c>
    </row>
    <row r="13188" spans="1:5">
      <c r="A13188">
        <v>10876</v>
      </c>
      <c r="B13188" t="s">
        <v>174</v>
      </c>
      <c r="C13188">
        <v>252</v>
      </c>
      <c r="D13188">
        <v>21</v>
      </c>
      <c r="E13188" s="80">
        <v>35835</v>
      </c>
    </row>
    <row r="13189" spans="1:5">
      <c r="A13189">
        <v>10876</v>
      </c>
      <c r="B13189" t="s">
        <v>175</v>
      </c>
      <c r="C13189">
        <v>252</v>
      </c>
      <c r="D13189">
        <v>21</v>
      </c>
      <c r="E13189" s="80">
        <v>35835</v>
      </c>
    </row>
    <row r="13190" spans="1:5">
      <c r="A13190">
        <v>10876</v>
      </c>
      <c r="B13190" t="s">
        <v>176</v>
      </c>
      <c r="C13190">
        <v>252</v>
      </c>
      <c r="D13190">
        <v>21</v>
      </c>
      <c r="E13190" s="80">
        <v>35835</v>
      </c>
    </row>
    <row r="13191" spans="1:5">
      <c r="A13191">
        <v>10876</v>
      </c>
      <c r="B13191" t="s">
        <v>177</v>
      </c>
      <c r="C13191">
        <v>252</v>
      </c>
      <c r="D13191">
        <v>21</v>
      </c>
      <c r="E13191" s="80">
        <v>35835</v>
      </c>
    </row>
    <row r="13192" spans="1:5">
      <c r="A13192">
        <v>10876</v>
      </c>
      <c r="B13192" t="s">
        <v>178</v>
      </c>
      <c r="C13192">
        <v>252</v>
      </c>
      <c r="D13192">
        <v>21</v>
      </c>
      <c r="E13192" s="80">
        <v>35835</v>
      </c>
    </row>
    <row r="13193" spans="1:5">
      <c r="A13193">
        <v>10876</v>
      </c>
      <c r="B13193" t="s">
        <v>179</v>
      </c>
      <c r="C13193">
        <v>252</v>
      </c>
      <c r="D13193">
        <v>21</v>
      </c>
      <c r="E13193" s="80">
        <v>35835</v>
      </c>
    </row>
    <row r="13194" spans="1:5">
      <c r="A13194">
        <v>10876</v>
      </c>
      <c r="B13194" t="s">
        <v>172</v>
      </c>
      <c r="C13194">
        <v>665</v>
      </c>
      <c r="D13194">
        <v>20</v>
      </c>
      <c r="E13194" s="80">
        <v>35835</v>
      </c>
    </row>
    <row r="13195" spans="1:5">
      <c r="A13195">
        <v>10876</v>
      </c>
      <c r="B13195" t="s">
        <v>173</v>
      </c>
      <c r="C13195">
        <v>665</v>
      </c>
      <c r="D13195">
        <v>20</v>
      </c>
      <c r="E13195" s="80">
        <v>35835</v>
      </c>
    </row>
    <row r="13196" spans="1:5">
      <c r="A13196">
        <v>10876</v>
      </c>
      <c r="B13196" t="s">
        <v>174</v>
      </c>
      <c r="C13196">
        <v>665</v>
      </c>
      <c r="D13196">
        <v>20</v>
      </c>
      <c r="E13196" s="80">
        <v>35835</v>
      </c>
    </row>
    <row r="13197" spans="1:5">
      <c r="A13197">
        <v>10876</v>
      </c>
      <c r="B13197" t="s">
        <v>175</v>
      </c>
      <c r="C13197">
        <v>665</v>
      </c>
      <c r="D13197">
        <v>20</v>
      </c>
      <c r="E13197" s="80">
        <v>35835</v>
      </c>
    </row>
    <row r="13198" spans="1:5">
      <c r="A13198">
        <v>10876</v>
      </c>
      <c r="B13198" t="s">
        <v>176</v>
      </c>
      <c r="C13198">
        <v>665</v>
      </c>
      <c r="D13198">
        <v>20</v>
      </c>
      <c r="E13198" s="80">
        <v>35835</v>
      </c>
    </row>
    <row r="13199" spans="1:5">
      <c r="A13199">
        <v>10876</v>
      </c>
      <c r="B13199" t="s">
        <v>177</v>
      </c>
      <c r="C13199">
        <v>665</v>
      </c>
      <c r="D13199">
        <v>20</v>
      </c>
      <c r="E13199" s="80">
        <v>35835</v>
      </c>
    </row>
    <row r="13200" spans="1:5">
      <c r="A13200">
        <v>10876</v>
      </c>
      <c r="B13200" t="s">
        <v>178</v>
      </c>
      <c r="C13200">
        <v>665</v>
      </c>
      <c r="D13200">
        <v>20</v>
      </c>
      <c r="E13200" s="80">
        <v>35835</v>
      </c>
    </row>
    <row r="13201" spans="1:5">
      <c r="A13201">
        <v>10876</v>
      </c>
      <c r="B13201" t="s">
        <v>179</v>
      </c>
      <c r="C13201">
        <v>665</v>
      </c>
      <c r="D13201">
        <v>20</v>
      </c>
      <c r="E13201" s="80">
        <v>35835</v>
      </c>
    </row>
    <row r="13202" spans="1:5">
      <c r="A13202">
        <v>10877</v>
      </c>
      <c r="B13202" t="s">
        <v>172</v>
      </c>
      <c r="C13202">
        <v>392.625</v>
      </c>
      <c r="D13202">
        <v>30</v>
      </c>
      <c r="E13202" s="80">
        <v>35835</v>
      </c>
    </row>
    <row r="13203" spans="1:5">
      <c r="A13203">
        <v>10877</v>
      </c>
      <c r="B13203" t="s">
        <v>173</v>
      </c>
      <c r="C13203">
        <v>392.625</v>
      </c>
      <c r="D13203">
        <v>30</v>
      </c>
      <c r="E13203" s="80">
        <v>35835</v>
      </c>
    </row>
    <row r="13204" spans="1:5">
      <c r="A13204">
        <v>10877</v>
      </c>
      <c r="B13204" t="s">
        <v>174</v>
      </c>
      <c r="C13204">
        <v>392.625</v>
      </c>
      <c r="D13204">
        <v>30</v>
      </c>
      <c r="E13204" s="80">
        <v>35835</v>
      </c>
    </row>
    <row r="13205" spans="1:5">
      <c r="A13205">
        <v>10877</v>
      </c>
      <c r="B13205" t="s">
        <v>175</v>
      </c>
      <c r="C13205">
        <v>392.625</v>
      </c>
      <c r="D13205">
        <v>30</v>
      </c>
      <c r="E13205" s="80">
        <v>35835</v>
      </c>
    </row>
    <row r="13206" spans="1:5">
      <c r="A13206">
        <v>10877</v>
      </c>
      <c r="B13206" t="s">
        <v>176</v>
      </c>
      <c r="C13206">
        <v>392.625</v>
      </c>
      <c r="D13206">
        <v>30</v>
      </c>
      <c r="E13206" s="80">
        <v>35835</v>
      </c>
    </row>
    <row r="13207" spans="1:5">
      <c r="A13207">
        <v>10877</v>
      </c>
      <c r="B13207" t="s">
        <v>177</v>
      </c>
      <c r="C13207">
        <v>392.625</v>
      </c>
      <c r="D13207">
        <v>30</v>
      </c>
      <c r="E13207" s="80">
        <v>35835</v>
      </c>
    </row>
    <row r="13208" spans="1:5">
      <c r="A13208">
        <v>10877</v>
      </c>
      <c r="B13208" t="s">
        <v>178</v>
      </c>
      <c r="C13208">
        <v>392.625</v>
      </c>
      <c r="D13208">
        <v>30</v>
      </c>
      <c r="E13208" s="80">
        <v>35835</v>
      </c>
    </row>
    <row r="13209" spans="1:5">
      <c r="A13209">
        <v>10877</v>
      </c>
      <c r="B13209" t="s">
        <v>179</v>
      </c>
      <c r="C13209">
        <v>392.625</v>
      </c>
      <c r="D13209">
        <v>30</v>
      </c>
      <c r="E13209" s="80">
        <v>35835</v>
      </c>
    </row>
    <row r="13210" spans="1:5">
      <c r="A13210">
        <v>10877</v>
      </c>
      <c r="B13210" t="s">
        <v>172</v>
      </c>
      <c r="C13210">
        <v>1562.5</v>
      </c>
      <c r="D13210">
        <v>25</v>
      </c>
      <c r="E13210" s="80">
        <v>35835</v>
      </c>
    </row>
    <row r="13211" spans="1:5">
      <c r="A13211">
        <v>10877</v>
      </c>
      <c r="B13211" t="s">
        <v>173</v>
      </c>
      <c r="C13211">
        <v>1562.5</v>
      </c>
      <c r="D13211">
        <v>25</v>
      </c>
      <c r="E13211" s="80">
        <v>35835</v>
      </c>
    </row>
    <row r="13212" spans="1:5">
      <c r="A13212">
        <v>10877</v>
      </c>
      <c r="B13212" t="s">
        <v>174</v>
      </c>
      <c r="C13212">
        <v>1562.5</v>
      </c>
      <c r="D13212">
        <v>25</v>
      </c>
      <c r="E13212" s="80">
        <v>35835</v>
      </c>
    </row>
    <row r="13213" spans="1:5">
      <c r="A13213">
        <v>10877</v>
      </c>
      <c r="B13213" t="s">
        <v>175</v>
      </c>
      <c r="C13213">
        <v>1562.5</v>
      </c>
      <c r="D13213">
        <v>25</v>
      </c>
      <c r="E13213" s="80">
        <v>35835</v>
      </c>
    </row>
    <row r="13214" spans="1:5">
      <c r="A13214">
        <v>10877</v>
      </c>
      <c r="B13214" t="s">
        <v>176</v>
      </c>
      <c r="C13214">
        <v>1562.5</v>
      </c>
      <c r="D13214">
        <v>25</v>
      </c>
      <c r="E13214" s="80">
        <v>35835</v>
      </c>
    </row>
    <row r="13215" spans="1:5">
      <c r="A13215">
        <v>10877</v>
      </c>
      <c r="B13215" t="s">
        <v>177</v>
      </c>
      <c r="C13215">
        <v>1562.5</v>
      </c>
      <c r="D13215">
        <v>25</v>
      </c>
      <c r="E13215" s="80">
        <v>35835</v>
      </c>
    </row>
    <row r="13216" spans="1:5">
      <c r="A13216">
        <v>10877</v>
      </c>
      <c r="B13216" t="s">
        <v>178</v>
      </c>
      <c r="C13216">
        <v>1562.5</v>
      </c>
      <c r="D13216">
        <v>25</v>
      </c>
      <c r="E13216" s="80">
        <v>35835</v>
      </c>
    </row>
    <row r="13217" spans="1:5">
      <c r="A13217">
        <v>10877</v>
      </c>
      <c r="B13217" t="s">
        <v>179</v>
      </c>
      <c r="C13217">
        <v>1562.5</v>
      </c>
      <c r="D13217">
        <v>25</v>
      </c>
      <c r="E13217" s="80">
        <v>35835</v>
      </c>
    </row>
    <row r="13218" spans="1:5">
      <c r="A13218">
        <v>10878</v>
      </c>
      <c r="B13218" t="s">
        <v>172</v>
      </c>
      <c r="C13218">
        <v>1538.9999987930059</v>
      </c>
      <c r="D13218">
        <v>20</v>
      </c>
      <c r="E13218" s="80">
        <v>35836</v>
      </c>
    </row>
    <row r="13219" spans="1:5">
      <c r="A13219">
        <v>10878</v>
      </c>
      <c r="B13219" t="s">
        <v>173</v>
      </c>
      <c r="C13219">
        <v>1538.9999987930059</v>
      </c>
      <c r="D13219">
        <v>20</v>
      </c>
      <c r="E13219" s="80">
        <v>35836</v>
      </c>
    </row>
    <row r="13220" spans="1:5">
      <c r="A13220">
        <v>10878</v>
      </c>
      <c r="B13220" t="s">
        <v>174</v>
      </c>
      <c r="C13220">
        <v>1538.9999987930059</v>
      </c>
      <c r="D13220">
        <v>20</v>
      </c>
      <c r="E13220" s="80">
        <v>35836</v>
      </c>
    </row>
    <row r="13221" spans="1:5">
      <c r="A13221">
        <v>10878</v>
      </c>
      <c r="B13221" t="s">
        <v>175</v>
      </c>
      <c r="C13221">
        <v>1538.9999987930059</v>
      </c>
      <c r="D13221">
        <v>20</v>
      </c>
      <c r="E13221" s="80">
        <v>35836</v>
      </c>
    </row>
    <row r="13222" spans="1:5">
      <c r="A13222">
        <v>10878</v>
      </c>
      <c r="B13222" t="s">
        <v>176</v>
      </c>
      <c r="C13222">
        <v>1538.9999987930059</v>
      </c>
      <c r="D13222">
        <v>20</v>
      </c>
      <c r="E13222" s="80">
        <v>35836</v>
      </c>
    </row>
    <row r="13223" spans="1:5">
      <c r="A13223">
        <v>10878</v>
      </c>
      <c r="B13223" t="s">
        <v>177</v>
      </c>
      <c r="C13223">
        <v>1538.9999987930059</v>
      </c>
      <c r="D13223">
        <v>20</v>
      </c>
      <c r="E13223" s="80">
        <v>35836</v>
      </c>
    </row>
    <row r="13224" spans="1:5">
      <c r="A13224">
        <v>10878</v>
      </c>
      <c r="B13224" t="s">
        <v>178</v>
      </c>
      <c r="C13224">
        <v>1538.9999987930059</v>
      </c>
      <c r="D13224">
        <v>20</v>
      </c>
      <c r="E13224" s="80">
        <v>35836</v>
      </c>
    </row>
    <row r="13225" spans="1:5">
      <c r="A13225">
        <v>10878</v>
      </c>
      <c r="B13225" t="s">
        <v>179</v>
      </c>
      <c r="C13225">
        <v>1538.9999987930059</v>
      </c>
      <c r="D13225">
        <v>20</v>
      </c>
      <c r="E13225" s="80">
        <v>35836</v>
      </c>
    </row>
    <row r="13226" spans="1:5">
      <c r="A13226">
        <v>10879</v>
      </c>
      <c r="B13226" t="s">
        <v>172</v>
      </c>
      <c r="C13226">
        <v>220.8</v>
      </c>
      <c r="D13226">
        <v>12</v>
      </c>
      <c r="E13226" s="80">
        <v>35836</v>
      </c>
    </row>
    <row r="13227" spans="1:5">
      <c r="A13227">
        <v>10879</v>
      </c>
      <c r="B13227" t="s">
        <v>173</v>
      </c>
      <c r="C13227">
        <v>220.8</v>
      </c>
      <c r="D13227">
        <v>12</v>
      </c>
      <c r="E13227" s="80">
        <v>35836</v>
      </c>
    </row>
    <row r="13228" spans="1:5">
      <c r="A13228">
        <v>10879</v>
      </c>
      <c r="B13228" t="s">
        <v>174</v>
      </c>
      <c r="C13228">
        <v>220.8</v>
      </c>
      <c r="D13228">
        <v>12</v>
      </c>
      <c r="E13228" s="80">
        <v>35836</v>
      </c>
    </row>
    <row r="13229" spans="1:5">
      <c r="A13229">
        <v>10879</v>
      </c>
      <c r="B13229" t="s">
        <v>175</v>
      </c>
      <c r="C13229">
        <v>220.8</v>
      </c>
      <c r="D13229">
        <v>12</v>
      </c>
      <c r="E13229" s="80">
        <v>35836</v>
      </c>
    </row>
    <row r="13230" spans="1:5">
      <c r="A13230">
        <v>10879</v>
      </c>
      <c r="B13230" t="s">
        <v>176</v>
      </c>
      <c r="C13230">
        <v>220.8</v>
      </c>
      <c r="D13230">
        <v>12</v>
      </c>
      <c r="E13230" s="80">
        <v>35836</v>
      </c>
    </row>
    <row r="13231" spans="1:5">
      <c r="A13231">
        <v>10879</v>
      </c>
      <c r="B13231" t="s">
        <v>177</v>
      </c>
      <c r="C13231">
        <v>220.8</v>
      </c>
      <c r="D13231">
        <v>12</v>
      </c>
      <c r="E13231" s="80">
        <v>35836</v>
      </c>
    </row>
    <row r="13232" spans="1:5">
      <c r="A13232">
        <v>10879</v>
      </c>
      <c r="B13232" t="s">
        <v>178</v>
      </c>
      <c r="C13232">
        <v>220.8</v>
      </c>
      <c r="D13232">
        <v>12</v>
      </c>
      <c r="E13232" s="80">
        <v>35836</v>
      </c>
    </row>
    <row r="13233" spans="1:5">
      <c r="A13233">
        <v>10879</v>
      </c>
      <c r="B13233" t="s">
        <v>179</v>
      </c>
      <c r="C13233">
        <v>220.8</v>
      </c>
      <c r="D13233">
        <v>12</v>
      </c>
      <c r="E13233" s="80">
        <v>35836</v>
      </c>
    </row>
    <row r="13234" spans="1:5">
      <c r="A13234">
        <v>10879</v>
      </c>
      <c r="B13234" t="s">
        <v>172</v>
      </c>
      <c r="C13234">
        <v>210.5</v>
      </c>
      <c r="D13234">
        <v>10</v>
      </c>
      <c r="E13234" s="80">
        <v>35836</v>
      </c>
    </row>
    <row r="13235" spans="1:5">
      <c r="A13235">
        <v>10879</v>
      </c>
      <c r="B13235" t="s">
        <v>173</v>
      </c>
      <c r="C13235">
        <v>210.5</v>
      </c>
      <c r="D13235">
        <v>10</v>
      </c>
      <c r="E13235" s="80">
        <v>35836</v>
      </c>
    </row>
    <row r="13236" spans="1:5">
      <c r="A13236">
        <v>10879</v>
      </c>
      <c r="B13236" t="s">
        <v>174</v>
      </c>
      <c r="C13236">
        <v>210.5</v>
      </c>
      <c r="D13236">
        <v>10</v>
      </c>
      <c r="E13236" s="80">
        <v>35836</v>
      </c>
    </row>
    <row r="13237" spans="1:5">
      <c r="A13237">
        <v>10879</v>
      </c>
      <c r="B13237" t="s">
        <v>175</v>
      </c>
      <c r="C13237">
        <v>210.5</v>
      </c>
      <c r="D13237">
        <v>10</v>
      </c>
      <c r="E13237" s="80">
        <v>35836</v>
      </c>
    </row>
    <row r="13238" spans="1:5">
      <c r="A13238">
        <v>10879</v>
      </c>
      <c r="B13238" t="s">
        <v>176</v>
      </c>
      <c r="C13238">
        <v>210.5</v>
      </c>
      <c r="D13238">
        <v>10</v>
      </c>
      <c r="E13238" s="80">
        <v>35836</v>
      </c>
    </row>
    <row r="13239" spans="1:5">
      <c r="A13239">
        <v>10879</v>
      </c>
      <c r="B13239" t="s">
        <v>177</v>
      </c>
      <c r="C13239">
        <v>210.5</v>
      </c>
      <c r="D13239">
        <v>10</v>
      </c>
      <c r="E13239" s="80">
        <v>35836</v>
      </c>
    </row>
    <row r="13240" spans="1:5">
      <c r="A13240">
        <v>10879</v>
      </c>
      <c r="B13240" t="s">
        <v>178</v>
      </c>
      <c r="C13240">
        <v>210.5</v>
      </c>
      <c r="D13240">
        <v>10</v>
      </c>
      <c r="E13240" s="80">
        <v>35836</v>
      </c>
    </row>
    <row r="13241" spans="1:5">
      <c r="A13241">
        <v>10879</v>
      </c>
      <c r="B13241" t="s">
        <v>179</v>
      </c>
      <c r="C13241">
        <v>210.5</v>
      </c>
      <c r="D13241">
        <v>10</v>
      </c>
      <c r="E13241" s="80">
        <v>35836</v>
      </c>
    </row>
    <row r="13242" spans="1:5">
      <c r="A13242">
        <v>10879</v>
      </c>
      <c r="B13242" t="s">
        <v>172</v>
      </c>
      <c r="C13242">
        <v>180</v>
      </c>
      <c r="D13242">
        <v>10</v>
      </c>
      <c r="E13242" s="80">
        <v>35836</v>
      </c>
    </row>
    <row r="13243" spans="1:5">
      <c r="A13243">
        <v>10879</v>
      </c>
      <c r="B13243" t="s">
        <v>173</v>
      </c>
      <c r="C13243">
        <v>180</v>
      </c>
      <c r="D13243">
        <v>10</v>
      </c>
      <c r="E13243" s="80">
        <v>35836</v>
      </c>
    </row>
    <row r="13244" spans="1:5">
      <c r="A13244">
        <v>10879</v>
      </c>
      <c r="B13244" t="s">
        <v>174</v>
      </c>
      <c r="C13244">
        <v>180</v>
      </c>
      <c r="D13244">
        <v>10</v>
      </c>
      <c r="E13244" s="80">
        <v>35836</v>
      </c>
    </row>
    <row r="13245" spans="1:5">
      <c r="A13245">
        <v>10879</v>
      </c>
      <c r="B13245" t="s">
        <v>175</v>
      </c>
      <c r="C13245">
        <v>180</v>
      </c>
      <c r="D13245">
        <v>10</v>
      </c>
      <c r="E13245" s="80">
        <v>35836</v>
      </c>
    </row>
    <row r="13246" spans="1:5">
      <c r="A13246">
        <v>10879</v>
      </c>
      <c r="B13246" t="s">
        <v>176</v>
      </c>
      <c r="C13246">
        <v>180</v>
      </c>
      <c r="D13246">
        <v>10</v>
      </c>
      <c r="E13246" s="80">
        <v>35836</v>
      </c>
    </row>
    <row r="13247" spans="1:5">
      <c r="A13247">
        <v>10879</v>
      </c>
      <c r="B13247" t="s">
        <v>177</v>
      </c>
      <c r="C13247">
        <v>180</v>
      </c>
      <c r="D13247">
        <v>10</v>
      </c>
      <c r="E13247" s="80">
        <v>35836</v>
      </c>
    </row>
    <row r="13248" spans="1:5">
      <c r="A13248">
        <v>10879</v>
      </c>
      <c r="B13248" t="s">
        <v>178</v>
      </c>
      <c r="C13248">
        <v>180</v>
      </c>
      <c r="D13248">
        <v>10</v>
      </c>
      <c r="E13248" s="80">
        <v>35836</v>
      </c>
    </row>
    <row r="13249" spans="1:5">
      <c r="A13249">
        <v>10879</v>
      </c>
      <c r="B13249" t="s">
        <v>179</v>
      </c>
      <c r="C13249">
        <v>180</v>
      </c>
      <c r="D13249">
        <v>10</v>
      </c>
      <c r="E13249" s="80">
        <v>35836</v>
      </c>
    </row>
    <row r="13250" spans="1:5">
      <c r="A13250">
        <v>10880</v>
      </c>
      <c r="B13250" t="s">
        <v>172</v>
      </c>
      <c r="C13250">
        <v>215.9999991953373</v>
      </c>
      <c r="D13250">
        <v>30</v>
      </c>
      <c r="E13250" s="80">
        <v>35836</v>
      </c>
    </row>
    <row r="13251" spans="1:5">
      <c r="A13251">
        <v>10880</v>
      </c>
      <c r="B13251" t="s">
        <v>173</v>
      </c>
      <c r="C13251">
        <v>215.9999991953373</v>
      </c>
      <c r="D13251">
        <v>30</v>
      </c>
      <c r="E13251" s="80">
        <v>35836</v>
      </c>
    </row>
    <row r="13252" spans="1:5">
      <c r="A13252">
        <v>10880</v>
      </c>
      <c r="B13252" t="s">
        <v>174</v>
      </c>
      <c r="C13252">
        <v>215.9999991953373</v>
      </c>
      <c r="D13252">
        <v>30</v>
      </c>
      <c r="E13252" s="80">
        <v>35836</v>
      </c>
    </row>
    <row r="13253" spans="1:5">
      <c r="A13253">
        <v>10880</v>
      </c>
      <c r="B13253" t="s">
        <v>175</v>
      </c>
      <c r="C13253">
        <v>215.9999991953373</v>
      </c>
      <c r="D13253">
        <v>30</v>
      </c>
      <c r="E13253" s="80">
        <v>35836</v>
      </c>
    </row>
    <row r="13254" spans="1:5">
      <c r="A13254">
        <v>10880</v>
      </c>
      <c r="B13254" t="s">
        <v>176</v>
      </c>
      <c r="C13254">
        <v>215.9999991953373</v>
      </c>
      <c r="D13254">
        <v>30</v>
      </c>
      <c r="E13254" s="80">
        <v>35836</v>
      </c>
    </row>
    <row r="13255" spans="1:5">
      <c r="A13255">
        <v>10880</v>
      </c>
      <c r="B13255" t="s">
        <v>177</v>
      </c>
      <c r="C13255">
        <v>215.9999991953373</v>
      </c>
      <c r="D13255">
        <v>30</v>
      </c>
      <c r="E13255" s="80">
        <v>35836</v>
      </c>
    </row>
    <row r="13256" spans="1:5">
      <c r="A13256">
        <v>10880</v>
      </c>
      <c r="B13256" t="s">
        <v>178</v>
      </c>
      <c r="C13256">
        <v>215.9999991953373</v>
      </c>
      <c r="D13256">
        <v>30</v>
      </c>
      <c r="E13256" s="80">
        <v>35836</v>
      </c>
    </row>
    <row r="13257" spans="1:5">
      <c r="A13257">
        <v>10880</v>
      </c>
      <c r="B13257" t="s">
        <v>179</v>
      </c>
      <c r="C13257">
        <v>215.9999991953373</v>
      </c>
      <c r="D13257">
        <v>30</v>
      </c>
      <c r="E13257" s="80">
        <v>35836</v>
      </c>
    </row>
    <row r="13258" spans="1:5">
      <c r="A13258">
        <v>10880</v>
      </c>
      <c r="B13258" t="s">
        <v>172</v>
      </c>
      <c r="C13258">
        <v>683.99999745190144</v>
      </c>
      <c r="D13258">
        <v>30</v>
      </c>
      <c r="E13258" s="80">
        <v>35836</v>
      </c>
    </row>
    <row r="13259" spans="1:5">
      <c r="A13259">
        <v>10880</v>
      </c>
      <c r="B13259" t="s">
        <v>173</v>
      </c>
      <c r="C13259">
        <v>683.99999745190144</v>
      </c>
      <c r="D13259">
        <v>30</v>
      </c>
      <c r="E13259" s="80">
        <v>35836</v>
      </c>
    </row>
    <row r="13260" spans="1:5">
      <c r="A13260">
        <v>10880</v>
      </c>
      <c r="B13260" t="s">
        <v>174</v>
      </c>
      <c r="C13260">
        <v>683.99999745190144</v>
      </c>
      <c r="D13260">
        <v>30</v>
      </c>
      <c r="E13260" s="80">
        <v>35836</v>
      </c>
    </row>
    <row r="13261" spans="1:5">
      <c r="A13261">
        <v>10880</v>
      </c>
      <c r="B13261" t="s">
        <v>175</v>
      </c>
      <c r="C13261">
        <v>683.99999745190144</v>
      </c>
      <c r="D13261">
        <v>30</v>
      </c>
      <c r="E13261" s="80">
        <v>35836</v>
      </c>
    </row>
    <row r="13262" spans="1:5">
      <c r="A13262">
        <v>10880</v>
      </c>
      <c r="B13262" t="s">
        <v>176</v>
      </c>
      <c r="C13262">
        <v>683.99999745190144</v>
      </c>
      <c r="D13262">
        <v>30</v>
      </c>
      <c r="E13262" s="80">
        <v>35836</v>
      </c>
    </row>
    <row r="13263" spans="1:5">
      <c r="A13263">
        <v>10880</v>
      </c>
      <c r="B13263" t="s">
        <v>177</v>
      </c>
      <c r="C13263">
        <v>683.99999745190144</v>
      </c>
      <c r="D13263">
        <v>30</v>
      </c>
      <c r="E13263" s="80">
        <v>35836</v>
      </c>
    </row>
    <row r="13264" spans="1:5">
      <c r="A13264">
        <v>10880</v>
      </c>
      <c r="B13264" t="s">
        <v>178</v>
      </c>
      <c r="C13264">
        <v>683.99999745190144</v>
      </c>
      <c r="D13264">
        <v>30</v>
      </c>
      <c r="E13264" s="80">
        <v>35836</v>
      </c>
    </row>
    <row r="13265" spans="1:5">
      <c r="A13265">
        <v>10880</v>
      </c>
      <c r="B13265" t="s">
        <v>179</v>
      </c>
      <c r="C13265">
        <v>683.99999745190144</v>
      </c>
      <c r="D13265">
        <v>30</v>
      </c>
      <c r="E13265" s="80">
        <v>35836</v>
      </c>
    </row>
    <row r="13266" spans="1:5">
      <c r="A13266">
        <v>10880</v>
      </c>
      <c r="B13266" t="s">
        <v>172</v>
      </c>
      <c r="C13266">
        <v>599.99999776482582</v>
      </c>
      <c r="D13266">
        <v>50</v>
      </c>
      <c r="E13266" s="80">
        <v>35836</v>
      </c>
    </row>
    <row r="13267" spans="1:5">
      <c r="A13267">
        <v>10880</v>
      </c>
      <c r="B13267" t="s">
        <v>173</v>
      </c>
      <c r="C13267">
        <v>599.99999776482582</v>
      </c>
      <c r="D13267">
        <v>50</v>
      </c>
      <c r="E13267" s="80">
        <v>35836</v>
      </c>
    </row>
    <row r="13268" spans="1:5">
      <c r="A13268">
        <v>10880</v>
      </c>
      <c r="B13268" t="s">
        <v>174</v>
      </c>
      <c r="C13268">
        <v>599.99999776482582</v>
      </c>
      <c r="D13268">
        <v>50</v>
      </c>
      <c r="E13268" s="80">
        <v>35836</v>
      </c>
    </row>
    <row r="13269" spans="1:5">
      <c r="A13269">
        <v>10880</v>
      </c>
      <c r="B13269" t="s">
        <v>175</v>
      </c>
      <c r="C13269">
        <v>599.99999776482582</v>
      </c>
      <c r="D13269">
        <v>50</v>
      </c>
      <c r="E13269" s="80">
        <v>35836</v>
      </c>
    </row>
    <row r="13270" spans="1:5">
      <c r="A13270">
        <v>10880</v>
      </c>
      <c r="B13270" t="s">
        <v>176</v>
      </c>
      <c r="C13270">
        <v>599.99999776482582</v>
      </c>
      <c r="D13270">
        <v>50</v>
      </c>
      <c r="E13270" s="80">
        <v>35836</v>
      </c>
    </row>
    <row r="13271" spans="1:5">
      <c r="A13271">
        <v>10880</v>
      </c>
      <c r="B13271" t="s">
        <v>177</v>
      </c>
      <c r="C13271">
        <v>599.99999776482582</v>
      </c>
      <c r="D13271">
        <v>50</v>
      </c>
      <c r="E13271" s="80">
        <v>35836</v>
      </c>
    </row>
    <row r="13272" spans="1:5">
      <c r="A13272">
        <v>10880</v>
      </c>
      <c r="B13272" t="s">
        <v>178</v>
      </c>
      <c r="C13272">
        <v>599.99999776482582</v>
      </c>
      <c r="D13272">
        <v>50</v>
      </c>
      <c r="E13272" s="80">
        <v>35836</v>
      </c>
    </row>
    <row r="13273" spans="1:5">
      <c r="A13273">
        <v>10880</v>
      </c>
      <c r="B13273" t="s">
        <v>179</v>
      </c>
      <c r="C13273">
        <v>599.99999776482582</v>
      </c>
      <c r="D13273">
        <v>50</v>
      </c>
      <c r="E13273" s="80">
        <v>35836</v>
      </c>
    </row>
    <row r="13274" spans="1:5">
      <c r="A13274">
        <v>10881</v>
      </c>
      <c r="B13274" t="s">
        <v>172</v>
      </c>
      <c r="C13274">
        <v>150</v>
      </c>
      <c r="D13274">
        <v>10</v>
      </c>
      <c r="E13274" s="80">
        <v>35837</v>
      </c>
    </row>
    <row r="13275" spans="1:5">
      <c r="A13275">
        <v>10881</v>
      </c>
      <c r="B13275" t="s">
        <v>173</v>
      </c>
      <c r="C13275">
        <v>150</v>
      </c>
      <c r="D13275">
        <v>10</v>
      </c>
      <c r="E13275" s="80">
        <v>35837</v>
      </c>
    </row>
    <row r="13276" spans="1:5">
      <c r="A13276">
        <v>10881</v>
      </c>
      <c r="B13276" t="s">
        <v>174</v>
      </c>
      <c r="C13276">
        <v>150</v>
      </c>
      <c r="D13276">
        <v>10</v>
      </c>
      <c r="E13276" s="80">
        <v>35837</v>
      </c>
    </row>
    <row r="13277" spans="1:5">
      <c r="A13277">
        <v>10881</v>
      </c>
      <c r="B13277" t="s">
        <v>175</v>
      </c>
      <c r="C13277">
        <v>150</v>
      </c>
      <c r="D13277">
        <v>10</v>
      </c>
      <c r="E13277" s="80">
        <v>35837</v>
      </c>
    </row>
    <row r="13278" spans="1:5">
      <c r="A13278">
        <v>10881</v>
      </c>
      <c r="B13278" t="s">
        <v>176</v>
      </c>
      <c r="C13278">
        <v>150</v>
      </c>
      <c r="D13278">
        <v>10</v>
      </c>
      <c r="E13278" s="80">
        <v>35837</v>
      </c>
    </row>
    <row r="13279" spans="1:5">
      <c r="A13279">
        <v>10881</v>
      </c>
      <c r="B13279" t="s">
        <v>177</v>
      </c>
      <c r="C13279">
        <v>150</v>
      </c>
      <c r="D13279">
        <v>10</v>
      </c>
      <c r="E13279" s="80">
        <v>35837</v>
      </c>
    </row>
    <row r="13280" spans="1:5">
      <c r="A13280">
        <v>10881</v>
      </c>
      <c r="B13280" t="s">
        <v>178</v>
      </c>
      <c r="C13280">
        <v>150</v>
      </c>
      <c r="D13280">
        <v>10</v>
      </c>
      <c r="E13280" s="80">
        <v>35837</v>
      </c>
    </row>
    <row r="13281" spans="1:5">
      <c r="A13281">
        <v>10881</v>
      </c>
      <c r="B13281" t="s">
        <v>179</v>
      </c>
      <c r="C13281">
        <v>150</v>
      </c>
      <c r="D13281">
        <v>10</v>
      </c>
      <c r="E13281" s="80">
        <v>35837</v>
      </c>
    </row>
    <row r="13282" spans="1:5">
      <c r="A13282">
        <v>10882</v>
      </c>
      <c r="B13282" t="s">
        <v>172</v>
      </c>
      <c r="C13282">
        <v>350</v>
      </c>
      <c r="D13282">
        <v>25</v>
      </c>
      <c r="E13282" s="80">
        <v>35837</v>
      </c>
    </row>
    <row r="13283" spans="1:5">
      <c r="A13283">
        <v>10882</v>
      </c>
      <c r="B13283" t="s">
        <v>173</v>
      </c>
      <c r="C13283">
        <v>350</v>
      </c>
      <c r="D13283">
        <v>25</v>
      </c>
      <c r="E13283" s="80">
        <v>35837</v>
      </c>
    </row>
    <row r="13284" spans="1:5">
      <c r="A13284">
        <v>10882</v>
      </c>
      <c r="B13284" t="s">
        <v>174</v>
      </c>
      <c r="C13284">
        <v>350</v>
      </c>
      <c r="D13284">
        <v>25</v>
      </c>
      <c r="E13284" s="80">
        <v>35837</v>
      </c>
    </row>
    <row r="13285" spans="1:5">
      <c r="A13285">
        <v>10882</v>
      </c>
      <c r="B13285" t="s">
        <v>175</v>
      </c>
      <c r="C13285">
        <v>350</v>
      </c>
      <c r="D13285">
        <v>25</v>
      </c>
      <c r="E13285" s="80">
        <v>35837</v>
      </c>
    </row>
    <row r="13286" spans="1:5">
      <c r="A13286">
        <v>10882</v>
      </c>
      <c r="B13286" t="s">
        <v>176</v>
      </c>
      <c r="C13286">
        <v>350</v>
      </c>
      <c r="D13286">
        <v>25</v>
      </c>
      <c r="E13286" s="80">
        <v>35837</v>
      </c>
    </row>
    <row r="13287" spans="1:5">
      <c r="A13287">
        <v>10882</v>
      </c>
      <c r="B13287" t="s">
        <v>177</v>
      </c>
      <c r="C13287">
        <v>350</v>
      </c>
      <c r="D13287">
        <v>25</v>
      </c>
      <c r="E13287" s="80">
        <v>35837</v>
      </c>
    </row>
    <row r="13288" spans="1:5">
      <c r="A13288">
        <v>10882</v>
      </c>
      <c r="B13288" t="s">
        <v>178</v>
      </c>
      <c r="C13288">
        <v>350</v>
      </c>
      <c r="D13288">
        <v>25</v>
      </c>
      <c r="E13288" s="80">
        <v>35837</v>
      </c>
    </row>
    <row r="13289" spans="1:5">
      <c r="A13289">
        <v>10882</v>
      </c>
      <c r="B13289" t="s">
        <v>179</v>
      </c>
      <c r="C13289">
        <v>350</v>
      </c>
      <c r="D13289">
        <v>25</v>
      </c>
      <c r="E13289" s="80">
        <v>35837</v>
      </c>
    </row>
    <row r="13290" spans="1:5">
      <c r="A13290">
        <v>10882</v>
      </c>
      <c r="B13290" t="s">
        <v>172</v>
      </c>
      <c r="C13290">
        <v>339.99999761581421</v>
      </c>
      <c r="D13290">
        <v>20</v>
      </c>
      <c r="E13290" s="80">
        <v>35837</v>
      </c>
    </row>
    <row r="13291" spans="1:5">
      <c r="A13291">
        <v>10882</v>
      </c>
      <c r="B13291" t="s">
        <v>173</v>
      </c>
      <c r="C13291">
        <v>339.99999761581421</v>
      </c>
      <c r="D13291">
        <v>20</v>
      </c>
      <c r="E13291" s="80">
        <v>35837</v>
      </c>
    </row>
    <row r="13292" spans="1:5">
      <c r="A13292">
        <v>10882</v>
      </c>
      <c r="B13292" t="s">
        <v>174</v>
      </c>
      <c r="C13292">
        <v>339.99999761581421</v>
      </c>
      <c r="D13292">
        <v>20</v>
      </c>
      <c r="E13292" s="80">
        <v>35837</v>
      </c>
    </row>
    <row r="13293" spans="1:5">
      <c r="A13293">
        <v>10882</v>
      </c>
      <c r="B13293" t="s">
        <v>175</v>
      </c>
      <c r="C13293">
        <v>339.99999761581421</v>
      </c>
      <c r="D13293">
        <v>20</v>
      </c>
      <c r="E13293" s="80">
        <v>35837</v>
      </c>
    </row>
    <row r="13294" spans="1:5">
      <c r="A13294">
        <v>10882</v>
      </c>
      <c r="B13294" t="s">
        <v>176</v>
      </c>
      <c r="C13294">
        <v>339.99999761581421</v>
      </c>
      <c r="D13294">
        <v>20</v>
      </c>
      <c r="E13294" s="80">
        <v>35837</v>
      </c>
    </row>
    <row r="13295" spans="1:5">
      <c r="A13295">
        <v>10882</v>
      </c>
      <c r="B13295" t="s">
        <v>177</v>
      </c>
      <c r="C13295">
        <v>339.99999761581421</v>
      </c>
      <c r="D13295">
        <v>20</v>
      </c>
      <c r="E13295" s="80">
        <v>35837</v>
      </c>
    </row>
    <row r="13296" spans="1:5">
      <c r="A13296">
        <v>10882</v>
      </c>
      <c r="B13296" t="s">
        <v>178</v>
      </c>
      <c r="C13296">
        <v>339.99999761581421</v>
      </c>
      <c r="D13296">
        <v>20</v>
      </c>
      <c r="E13296" s="80">
        <v>35837</v>
      </c>
    </row>
    <row r="13297" spans="1:5">
      <c r="A13297">
        <v>10882</v>
      </c>
      <c r="B13297" t="s">
        <v>179</v>
      </c>
      <c r="C13297">
        <v>339.99999761581421</v>
      </c>
      <c r="D13297">
        <v>20</v>
      </c>
      <c r="E13297" s="80">
        <v>35837</v>
      </c>
    </row>
    <row r="13298" spans="1:5">
      <c r="A13298">
        <v>10882</v>
      </c>
      <c r="B13298" t="s">
        <v>172</v>
      </c>
      <c r="C13298">
        <v>202.63999857902527</v>
      </c>
      <c r="D13298">
        <v>32</v>
      </c>
      <c r="E13298" s="80">
        <v>35837</v>
      </c>
    </row>
    <row r="13299" spans="1:5">
      <c r="A13299">
        <v>10882</v>
      </c>
      <c r="B13299" t="s">
        <v>173</v>
      </c>
      <c r="C13299">
        <v>202.63999857902527</v>
      </c>
      <c r="D13299">
        <v>32</v>
      </c>
      <c r="E13299" s="80">
        <v>35837</v>
      </c>
    </row>
    <row r="13300" spans="1:5">
      <c r="A13300">
        <v>10882</v>
      </c>
      <c r="B13300" t="s">
        <v>174</v>
      </c>
      <c r="C13300">
        <v>202.63999857902527</v>
      </c>
      <c r="D13300">
        <v>32</v>
      </c>
      <c r="E13300" s="80">
        <v>35837</v>
      </c>
    </row>
    <row r="13301" spans="1:5">
      <c r="A13301">
        <v>10882</v>
      </c>
      <c r="B13301" t="s">
        <v>175</v>
      </c>
      <c r="C13301">
        <v>202.63999857902527</v>
      </c>
      <c r="D13301">
        <v>32</v>
      </c>
      <c r="E13301" s="80">
        <v>35837</v>
      </c>
    </row>
    <row r="13302" spans="1:5">
      <c r="A13302">
        <v>10882</v>
      </c>
      <c r="B13302" t="s">
        <v>176</v>
      </c>
      <c r="C13302">
        <v>202.63999857902527</v>
      </c>
      <c r="D13302">
        <v>32</v>
      </c>
      <c r="E13302" s="80">
        <v>35837</v>
      </c>
    </row>
    <row r="13303" spans="1:5">
      <c r="A13303">
        <v>10882</v>
      </c>
      <c r="B13303" t="s">
        <v>177</v>
      </c>
      <c r="C13303">
        <v>202.63999857902527</v>
      </c>
      <c r="D13303">
        <v>32</v>
      </c>
      <c r="E13303" s="80">
        <v>35837</v>
      </c>
    </row>
    <row r="13304" spans="1:5">
      <c r="A13304">
        <v>10882</v>
      </c>
      <c r="B13304" t="s">
        <v>178</v>
      </c>
      <c r="C13304">
        <v>202.63999857902527</v>
      </c>
      <c r="D13304">
        <v>32</v>
      </c>
      <c r="E13304" s="80">
        <v>35837</v>
      </c>
    </row>
    <row r="13305" spans="1:5">
      <c r="A13305">
        <v>10882</v>
      </c>
      <c r="B13305" t="s">
        <v>179</v>
      </c>
      <c r="C13305">
        <v>202.63999857902527</v>
      </c>
      <c r="D13305">
        <v>32</v>
      </c>
      <c r="E13305" s="80">
        <v>35837</v>
      </c>
    </row>
    <row r="13306" spans="1:5">
      <c r="A13306">
        <v>10883</v>
      </c>
      <c r="B13306" t="s">
        <v>172</v>
      </c>
      <c r="C13306">
        <v>36</v>
      </c>
      <c r="D13306">
        <v>8</v>
      </c>
      <c r="E13306" s="80">
        <v>35838</v>
      </c>
    </row>
    <row r="13307" spans="1:5">
      <c r="A13307">
        <v>10883</v>
      </c>
      <c r="B13307" t="s">
        <v>173</v>
      </c>
      <c r="C13307">
        <v>36</v>
      </c>
      <c r="D13307">
        <v>8</v>
      </c>
      <c r="E13307" s="80">
        <v>35838</v>
      </c>
    </row>
    <row r="13308" spans="1:5">
      <c r="A13308">
        <v>10883</v>
      </c>
      <c r="B13308" t="s">
        <v>174</v>
      </c>
      <c r="C13308">
        <v>36</v>
      </c>
      <c r="D13308">
        <v>8</v>
      </c>
      <c r="E13308" s="80">
        <v>35838</v>
      </c>
    </row>
    <row r="13309" spans="1:5">
      <c r="A13309">
        <v>10883</v>
      </c>
      <c r="B13309" t="s">
        <v>175</v>
      </c>
      <c r="C13309">
        <v>36</v>
      </c>
      <c r="D13309">
        <v>8</v>
      </c>
      <c r="E13309" s="80">
        <v>35838</v>
      </c>
    </row>
    <row r="13310" spans="1:5">
      <c r="A13310">
        <v>10883</v>
      </c>
      <c r="B13310" t="s">
        <v>176</v>
      </c>
      <c r="C13310">
        <v>36</v>
      </c>
      <c r="D13310">
        <v>8</v>
      </c>
      <c r="E13310" s="80">
        <v>35838</v>
      </c>
    </row>
    <row r="13311" spans="1:5">
      <c r="A13311">
        <v>10883</v>
      </c>
      <c r="B13311" t="s">
        <v>177</v>
      </c>
      <c r="C13311">
        <v>36</v>
      </c>
      <c r="D13311">
        <v>8</v>
      </c>
      <c r="E13311" s="80">
        <v>35838</v>
      </c>
    </row>
    <row r="13312" spans="1:5">
      <c r="A13312">
        <v>10883</v>
      </c>
      <c r="B13312" t="s">
        <v>178</v>
      </c>
      <c r="C13312">
        <v>36</v>
      </c>
      <c r="D13312">
        <v>8</v>
      </c>
      <c r="E13312" s="80">
        <v>35838</v>
      </c>
    </row>
    <row r="13313" spans="1:5">
      <c r="A13313">
        <v>10883</v>
      </c>
      <c r="B13313" t="s">
        <v>179</v>
      </c>
      <c r="C13313">
        <v>36</v>
      </c>
      <c r="D13313">
        <v>8</v>
      </c>
      <c r="E13313" s="80">
        <v>35838</v>
      </c>
    </row>
    <row r="13314" spans="1:5">
      <c r="A13314">
        <v>10884</v>
      </c>
      <c r="B13314" t="s">
        <v>172</v>
      </c>
      <c r="C13314">
        <v>379.99999970197678</v>
      </c>
      <c r="D13314">
        <v>40</v>
      </c>
      <c r="E13314" s="80">
        <v>35838</v>
      </c>
    </row>
    <row r="13315" spans="1:5">
      <c r="A13315">
        <v>10884</v>
      </c>
      <c r="B13315" t="s">
        <v>173</v>
      </c>
      <c r="C13315">
        <v>379.99999970197678</v>
      </c>
      <c r="D13315">
        <v>40</v>
      </c>
      <c r="E13315" s="80">
        <v>35838</v>
      </c>
    </row>
    <row r="13316" spans="1:5">
      <c r="A13316">
        <v>10884</v>
      </c>
      <c r="B13316" t="s">
        <v>174</v>
      </c>
      <c r="C13316">
        <v>379.99999970197678</v>
      </c>
      <c r="D13316">
        <v>40</v>
      </c>
      <c r="E13316" s="80">
        <v>35838</v>
      </c>
    </row>
    <row r="13317" spans="1:5">
      <c r="A13317">
        <v>10884</v>
      </c>
      <c r="B13317" t="s">
        <v>175</v>
      </c>
      <c r="C13317">
        <v>379.99999970197678</v>
      </c>
      <c r="D13317">
        <v>40</v>
      </c>
      <c r="E13317" s="80">
        <v>35838</v>
      </c>
    </row>
    <row r="13318" spans="1:5">
      <c r="A13318">
        <v>10884</v>
      </c>
      <c r="B13318" t="s">
        <v>176</v>
      </c>
      <c r="C13318">
        <v>379.99999970197678</v>
      </c>
      <c r="D13318">
        <v>40</v>
      </c>
      <c r="E13318" s="80">
        <v>35838</v>
      </c>
    </row>
    <row r="13319" spans="1:5">
      <c r="A13319">
        <v>10884</v>
      </c>
      <c r="B13319" t="s">
        <v>177</v>
      </c>
      <c r="C13319">
        <v>379.99999970197678</v>
      </c>
      <c r="D13319">
        <v>40</v>
      </c>
      <c r="E13319" s="80">
        <v>35838</v>
      </c>
    </row>
    <row r="13320" spans="1:5">
      <c r="A13320">
        <v>10884</v>
      </c>
      <c r="B13320" t="s">
        <v>178</v>
      </c>
      <c r="C13320">
        <v>379.99999970197678</v>
      </c>
      <c r="D13320">
        <v>40</v>
      </c>
      <c r="E13320" s="80">
        <v>35838</v>
      </c>
    </row>
    <row r="13321" spans="1:5">
      <c r="A13321">
        <v>10884</v>
      </c>
      <c r="B13321" t="s">
        <v>179</v>
      </c>
      <c r="C13321">
        <v>379.99999970197678</v>
      </c>
      <c r="D13321">
        <v>40</v>
      </c>
      <c r="E13321" s="80">
        <v>35838</v>
      </c>
    </row>
    <row r="13322" spans="1:5">
      <c r="A13322">
        <v>10884</v>
      </c>
      <c r="B13322" t="s">
        <v>172</v>
      </c>
      <c r="C13322">
        <v>758.09999940544367</v>
      </c>
      <c r="D13322">
        <v>21</v>
      </c>
      <c r="E13322" s="80">
        <v>35838</v>
      </c>
    </row>
    <row r="13323" spans="1:5">
      <c r="A13323">
        <v>10884</v>
      </c>
      <c r="B13323" t="s">
        <v>173</v>
      </c>
      <c r="C13323">
        <v>758.09999940544367</v>
      </c>
      <c r="D13323">
        <v>21</v>
      </c>
      <c r="E13323" s="80">
        <v>35838</v>
      </c>
    </row>
    <row r="13324" spans="1:5">
      <c r="A13324">
        <v>10884</v>
      </c>
      <c r="B13324" t="s">
        <v>174</v>
      </c>
      <c r="C13324">
        <v>758.09999940544367</v>
      </c>
      <c r="D13324">
        <v>21</v>
      </c>
      <c r="E13324" s="80">
        <v>35838</v>
      </c>
    </row>
    <row r="13325" spans="1:5">
      <c r="A13325">
        <v>10884</v>
      </c>
      <c r="B13325" t="s">
        <v>175</v>
      </c>
      <c r="C13325">
        <v>758.09999940544367</v>
      </c>
      <c r="D13325">
        <v>21</v>
      </c>
      <c r="E13325" s="80">
        <v>35838</v>
      </c>
    </row>
    <row r="13326" spans="1:5">
      <c r="A13326">
        <v>10884</v>
      </c>
      <c r="B13326" t="s">
        <v>176</v>
      </c>
      <c r="C13326">
        <v>758.09999940544367</v>
      </c>
      <c r="D13326">
        <v>21</v>
      </c>
      <c r="E13326" s="80">
        <v>35838</v>
      </c>
    </row>
    <row r="13327" spans="1:5">
      <c r="A13327">
        <v>10884</v>
      </c>
      <c r="B13327" t="s">
        <v>177</v>
      </c>
      <c r="C13327">
        <v>758.09999940544367</v>
      </c>
      <c r="D13327">
        <v>21</v>
      </c>
      <c r="E13327" s="80">
        <v>35838</v>
      </c>
    </row>
    <row r="13328" spans="1:5">
      <c r="A13328">
        <v>10884</v>
      </c>
      <c r="B13328" t="s">
        <v>178</v>
      </c>
      <c r="C13328">
        <v>758.09999940544367</v>
      </c>
      <c r="D13328">
        <v>21</v>
      </c>
      <c r="E13328" s="80">
        <v>35838</v>
      </c>
    </row>
    <row r="13329" spans="1:5">
      <c r="A13329">
        <v>10884</v>
      </c>
      <c r="B13329" t="s">
        <v>179</v>
      </c>
      <c r="C13329">
        <v>758.09999940544367</v>
      </c>
      <c r="D13329">
        <v>21</v>
      </c>
      <c r="E13329" s="80">
        <v>35838</v>
      </c>
    </row>
    <row r="13330" spans="1:5">
      <c r="A13330">
        <v>10884</v>
      </c>
      <c r="B13330" t="s">
        <v>172</v>
      </c>
      <c r="C13330">
        <v>239.96999981179832</v>
      </c>
      <c r="D13330">
        <v>12</v>
      </c>
      <c r="E13330" s="80">
        <v>35838</v>
      </c>
    </row>
    <row r="13331" spans="1:5">
      <c r="A13331">
        <v>10884</v>
      </c>
      <c r="B13331" t="s">
        <v>173</v>
      </c>
      <c r="C13331">
        <v>239.96999981179832</v>
      </c>
      <c r="D13331">
        <v>12</v>
      </c>
      <c r="E13331" s="80">
        <v>35838</v>
      </c>
    </row>
    <row r="13332" spans="1:5">
      <c r="A13332">
        <v>10884</v>
      </c>
      <c r="B13332" t="s">
        <v>174</v>
      </c>
      <c r="C13332">
        <v>239.96999981179832</v>
      </c>
      <c r="D13332">
        <v>12</v>
      </c>
      <c r="E13332" s="80">
        <v>35838</v>
      </c>
    </row>
    <row r="13333" spans="1:5">
      <c r="A13333">
        <v>10884</v>
      </c>
      <c r="B13333" t="s">
        <v>175</v>
      </c>
      <c r="C13333">
        <v>239.96999981179832</v>
      </c>
      <c r="D13333">
        <v>12</v>
      </c>
      <c r="E13333" s="80">
        <v>35838</v>
      </c>
    </row>
    <row r="13334" spans="1:5">
      <c r="A13334">
        <v>10884</v>
      </c>
      <c r="B13334" t="s">
        <v>176</v>
      </c>
      <c r="C13334">
        <v>239.96999981179832</v>
      </c>
      <c r="D13334">
        <v>12</v>
      </c>
      <c r="E13334" s="80">
        <v>35838</v>
      </c>
    </row>
    <row r="13335" spans="1:5">
      <c r="A13335">
        <v>10884</v>
      </c>
      <c r="B13335" t="s">
        <v>177</v>
      </c>
      <c r="C13335">
        <v>239.96999981179832</v>
      </c>
      <c r="D13335">
        <v>12</v>
      </c>
      <c r="E13335" s="80">
        <v>35838</v>
      </c>
    </row>
    <row r="13336" spans="1:5">
      <c r="A13336">
        <v>10884</v>
      </c>
      <c r="B13336" t="s">
        <v>178</v>
      </c>
      <c r="C13336">
        <v>239.96999981179832</v>
      </c>
      <c r="D13336">
        <v>12</v>
      </c>
      <c r="E13336" s="80">
        <v>35838</v>
      </c>
    </row>
    <row r="13337" spans="1:5">
      <c r="A13337">
        <v>10884</v>
      </c>
      <c r="B13337" t="s">
        <v>179</v>
      </c>
      <c r="C13337">
        <v>239.96999981179832</v>
      </c>
      <c r="D13337">
        <v>12</v>
      </c>
      <c r="E13337" s="80">
        <v>35838</v>
      </c>
    </row>
    <row r="13338" spans="1:5">
      <c r="A13338">
        <v>10885</v>
      </c>
      <c r="B13338" t="s">
        <v>172</v>
      </c>
      <c r="C13338">
        <v>380</v>
      </c>
      <c r="D13338">
        <v>20</v>
      </c>
      <c r="E13338" s="80">
        <v>35838</v>
      </c>
    </row>
    <row r="13339" spans="1:5">
      <c r="A13339">
        <v>10885</v>
      </c>
      <c r="B13339" t="s">
        <v>173</v>
      </c>
      <c r="C13339">
        <v>380</v>
      </c>
      <c r="D13339">
        <v>20</v>
      </c>
      <c r="E13339" s="80">
        <v>35838</v>
      </c>
    </row>
    <row r="13340" spans="1:5">
      <c r="A13340">
        <v>10885</v>
      </c>
      <c r="B13340" t="s">
        <v>174</v>
      </c>
      <c r="C13340">
        <v>380</v>
      </c>
      <c r="D13340">
        <v>20</v>
      </c>
      <c r="E13340" s="80">
        <v>35838</v>
      </c>
    </row>
    <row r="13341" spans="1:5">
      <c r="A13341">
        <v>10885</v>
      </c>
      <c r="B13341" t="s">
        <v>175</v>
      </c>
      <c r="C13341">
        <v>380</v>
      </c>
      <c r="D13341">
        <v>20</v>
      </c>
      <c r="E13341" s="80">
        <v>35838</v>
      </c>
    </row>
    <row r="13342" spans="1:5">
      <c r="A13342">
        <v>10885</v>
      </c>
      <c r="B13342" t="s">
        <v>176</v>
      </c>
      <c r="C13342">
        <v>380</v>
      </c>
      <c r="D13342">
        <v>20</v>
      </c>
      <c r="E13342" s="80">
        <v>35838</v>
      </c>
    </row>
    <row r="13343" spans="1:5">
      <c r="A13343">
        <v>10885</v>
      </c>
      <c r="B13343" t="s">
        <v>177</v>
      </c>
      <c r="C13343">
        <v>380</v>
      </c>
      <c r="D13343">
        <v>20</v>
      </c>
      <c r="E13343" s="80">
        <v>35838</v>
      </c>
    </row>
    <row r="13344" spans="1:5">
      <c r="A13344">
        <v>10885</v>
      </c>
      <c r="B13344" t="s">
        <v>178</v>
      </c>
      <c r="C13344">
        <v>380</v>
      </c>
      <c r="D13344">
        <v>20</v>
      </c>
      <c r="E13344" s="80">
        <v>35838</v>
      </c>
    </row>
    <row r="13345" spans="1:5">
      <c r="A13345">
        <v>10885</v>
      </c>
      <c r="B13345" t="s">
        <v>179</v>
      </c>
      <c r="C13345">
        <v>380</v>
      </c>
      <c r="D13345">
        <v>20</v>
      </c>
      <c r="E13345" s="80">
        <v>35838</v>
      </c>
    </row>
    <row r="13346" spans="1:5">
      <c r="A13346">
        <v>10885</v>
      </c>
      <c r="B13346" t="s">
        <v>172</v>
      </c>
      <c r="C13346">
        <v>54</v>
      </c>
      <c r="D13346">
        <v>12</v>
      </c>
      <c r="E13346" s="80">
        <v>35838</v>
      </c>
    </row>
    <row r="13347" spans="1:5">
      <c r="A13347">
        <v>10885</v>
      </c>
      <c r="B13347" t="s">
        <v>173</v>
      </c>
      <c r="C13347">
        <v>54</v>
      </c>
      <c r="D13347">
        <v>12</v>
      </c>
      <c r="E13347" s="80">
        <v>35838</v>
      </c>
    </row>
    <row r="13348" spans="1:5">
      <c r="A13348">
        <v>10885</v>
      </c>
      <c r="B13348" t="s">
        <v>174</v>
      </c>
      <c r="C13348">
        <v>54</v>
      </c>
      <c r="D13348">
        <v>12</v>
      </c>
      <c r="E13348" s="80">
        <v>35838</v>
      </c>
    </row>
    <row r="13349" spans="1:5">
      <c r="A13349">
        <v>10885</v>
      </c>
      <c r="B13349" t="s">
        <v>175</v>
      </c>
      <c r="C13349">
        <v>54</v>
      </c>
      <c r="D13349">
        <v>12</v>
      </c>
      <c r="E13349" s="80">
        <v>35838</v>
      </c>
    </row>
    <row r="13350" spans="1:5">
      <c r="A13350">
        <v>10885</v>
      </c>
      <c r="B13350" t="s">
        <v>176</v>
      </c>
      <c r="C13350">
        <v>54</v>
      </c>
      <c r="D13350">
        <v>12</v>
      </c>
      <c r="E13350" s="80">
        <v>35838</v>
      </c>
    </row>
    <row r="13351" spans="1:5">
      <c r="A13351">
        <v>10885</v>
      </c>
      <c r="B13351" t="s">
        <v>177</v>
      </c>
      <c r="C13351">
        <v>54</v>
      </c>
      <c r="D13351">
        <v>12</v>
      </c>
      <c r="E13351" s="80">
        <v>35838</v>
      </c>
    </row>
    <row r="13352" spans="1:5">
      <c r="A13352">
        <v>10885</v>
      </c>
      <c r="B13352" t="s">
        <v>178</v>
      </c>
      <c r="C13352">
        <v>54</v>
      </c>
      <c r="D13352">
        <v>12</v>
      </c>
      <c r="E13352" s="80">
        <v>35838</v>
      </c>
    </row>
    <row r="13353" spans="1:5">
      <c r="A13353">
        <v>10885</v>
      </c>
      <c r="B13353" t="s">
        <v>179</v>
      </c>
      <c r="C13353">
        <v>54</v>
      </c>
      <c r="D13353">
        <v>12</v>
      </c>
      <c r="E13353" s="80">
        <v>35838</v>
      </c>
    </row>
    <row r="13354" spans="1:5">
      <c r="A13354">
        <v>10885</v>
      </c>
      <c r="B13354" t="s">
        <v>172</v>
      </c>
      <c r="C13354">
        <v>450</v>
      </c>
      <c r="D13354">
        <v>30</v>
      </c>
      <c r="E13354" s="80">
        <v>35838</v>
      </c>
    </row>
    <row r="13355" spans="1:5">
      <c r="A13355">
        <v>10885</v>
      </c>
      <c r="B13355" t="s">
        <v>173</v>
      </c>
      <c r="C13355">
        <v>450</v>
      </c>
      <c r="D13355">
        <v>30</v>
      </c>
      <c r="E13355" s="80">
        <v>35838</v>
      </c>
    </row>
    <row r="13356" spans="1:5">
      <c r="A13356">
        <v>10885</v>
      </c>
      <c r="B13356" t="s">
        <v>174</v>
      </c>
      <c r="C13356">
        <v>450</v>
      </c>
      <c r="D13356">
        <v>30</v>
      </c>
      <c r="E13356" s="80">
        <v>35838</v>
      </c>
    </row>
    <row r="13357" spans="1:5">
      <c r="A13357">
        <v>10885</v>
      </c>
      <c r="B13357" t="s">
        <v>175</v>
      </c>
      <c r="C13357">
        <v>450</v>
      </c>
      <c r="D13357">
        <v>30</v>
      </c>
      <c r="E13357" s="80">
        <v>35838</v>
      </c>
    </row>
    <row r="13358" spans="1:5">
      <c r="A13358">
        <v>10885</v>
      </c>
      <c r="B13358" t="s">
        <v>176</v>
      </c>
      <c r="C13358">
        <v>450</v>
      </c>
      <c r="D13358">
        <v>30</v>
      </c>
      <c r="E13358" s="80">
        <v>35838</v>
      </c>
    </row>
    <row r="13359" spans="1:5">
      <c r="A13359">
        <v>10885</v>
      </c>
      <c r="B13359" t="s">
        <v>177</v>
      </c>
      <c r="C13359">
        <v>450</v>
      </c>
      <c r="D13359">
        <v>30</v>
      </c>
      <c r="E13359" s="80">
        <v>35838</v>
      </c>
    </row>
    <row r="13360" spans="1:5">
      <c r="A13360">
        <v>10885</v>
      </c>
      <c r="B13360" t="s">
        <v>178</v>
      </c>
      <c r="C13360">
        <v>450</v>
      </c>
      <c r="D13360">
        <v>30</v>
      </c>
      <c r="E13360" s="80">
        <v>35838</v>
      </c>
    </row>
    <row r="13361" spans="1:5">
      <c r="A13361">
        <v>10885</v>
      </c>
      <c r="B13361" t="s">
        <v>179</v>
      </c>
      <c r="C13361">
        <v>450</v>
      </c>
      <c r="D13361">
        <v>30</v>
      </c>
      <c r="E13361" s="80">
        <v>35838</v>
      </c>
    </row>
    <row r="13362" spans="1:5">
      <c r="A13362">
        <v>10885</v>
      </c>
      <c r="B13362" t="s">
        <v>172</v>
      </c>
      <c r="C13362">
        <v>325</v>
      </c>
      <c r="D13362">
        <v>25</v>
      </c>
      <c r="E13362" s="80">
        <v>35838</v>
      </c>
    </row>
    <row r="13363" spans="1:5">
      <c r="A13363">
        <v>10885</v>
      </c>
      <c r="B13363" t="s">
        <v>173</v>
      </c>
      <c r="C13363">
        <v>325</v>
      </c>
      <c r="D13363">
        <v>25</v>
      </c>
      <c r="E13363" s="80">
        <v>35838</v>
      </c>
    </row>
    <row r="13364" spans="1:5">
      <c r="A13364">
        <v>10885</v>
      </c>
      <c r="B13364" t="s">
        <v>174</v>
      </c>
      <c r="C13364">
        <v>325</v>
      </c>
      <c r="D13364">
        <v>25</v>
      </c>
      <c r="E13364" s="80">
        <v>35838</v>
      </c>
    </row>
    <row r="13365" spans="1:5">
      <c r="A13365">
        <v>10885</v>
      </c>
      <c r="B13365" t="s">
        <v>175</v>
      </c>
      <c r="C13365">
        <v>325</v>
      </c>
      <c r="D13365">
        <v>25</v>
      </c>
      <c r="E13365" s="80">
        <v>35838</v>
      </c>
    </row>
    <row r="13366" spans="1:5">
      <c r="A13366">
        <v>10885</v>
      </c>
      <c r="B13366" t="s">
        <v>176</v>
      </c>
      <c r="C13366">
        <v>325</v>
      </c>
      <c r="D13366">
        <v>25</v>
      </c>
      <c r="E13366" s="80">
        <v>35838</v>
      </c>
    </row>
    <row r="13367" spans="1:5">
      <c r="A13367">
        <v>10885</v>
      </c>
      <c r="B13367" t="s">
        <v>177</v>
      </c>
      <c r="C13367">
        <v>325</v>
      </c>
      <c r="D13367">
        <v>25</v>
      </c>
      <c r="E13367" s="80">
        <v>35838</v>
      </c>
    </row>
    <row r="13368" spans="1:5">
      <c r="A13368">
        <v>10885</v>
      </c>
      <c r="B13368" t="s">
        <v>178</v>
      </c>
      <c r="C13368">
        <v>325</v>
      </c>
      <c r="D13368">
        <v>25</v>
      </c>
      <c r="E13368" s="80">
        <v>35838</v>
      </c>
    </row>
    <row r="13369" spans="1:5">
      <c r="A13369">
        <v>10885</v>
      </c>
      <c r="B13369" t="s">
        <v>179</v>
      </c>
      <c r="C13369">
        <v>325</v>
      </c>
      <c r="D13369">
        <v>25</v>
      </c>
      <c r="E13369" s="80">
        <v>35838</v>
      </c>
    </row>
    <row r="13370" spans="1:5">
      <c r="A13370">
        <v>10886</v>
      </c>
      <c r="B13370" t="s">
        <v>172</v>
      </c>
      <c r="C13370">
        <v>2170</v>
      </c>
      <c r="D13370">
        <v>70</v>
      </c>
      <c r="E13370" s="80">
        <v>35839</v>
      </c>
    </row>
    <row r="13371" spans="1:5">
      <c r="A13371">
        <v>10886</v>
      </c>
      <c r="B13371" t="s">
        <v>173</v>
      </c>
      <c r="C13371">
        <v>2170</v>
      </c>
      <c r="D13371">
        <v>70</v>
      </c>
      <c r="E13371" s="80">
        <v>35839</v>
      </c>
    </row>
    <row r="13372" spans="1:5">
      <c r="A13372">
        <v>10886</v>
      </c>
      <c r="B13372" t="s">
        <v>174</v>
      </c>
      <c r="C13372">
        <v>2170</v>
      </c>
      <c r="D13372">
        <v>70</v>
      </c>
      <c r="E13372" s="80">
        <v>35839</v>
      </c>
    </row>
    <row r="13373" spans="1:5">
      <c r="A13373">
        <v>10886</v>
      </c>
      <c r="B13373" t="s">
        <v>175</v>
      </c>
      <c r="C13373">
        <v>2170</v>
      </c>
      <c r="D13373">
        <v>70</v>
      </c>
      <c r="E13373" s="80">
        <v>35839</v>
      </c>
    </row>
    <row r="13374" spans="1:5">
      <c r="A13374">
        <v>10886</v>
      </c>
      <c r="B13374" t="s">
        <v>176</v>
      </c>
      <c r="C13374">
        <v>2170</v>
      </c>
      <c r="D13374">
        <v>70</v>
      </c>
      <c r="E13374" s="80">
        <v>35839</v>
      </c>
    </row>
    <row r="13375" spans="1:5">
      <c r="A13375">
        <v>10886</v>
      </c>
      <c r="B13375" t="s">
        <v>177</v>
      </c>
      <c r="C13375">
        <v>2170</v>
      </c>
      <c r="D13375">
        <v>70</v>
      </c>
      <c r="E13375" s="80">
        <v>35839</v>
      </c>
    </row>
    <row r="13376" spans="1:5">
      <c r="A13376">
        <v>10886</v>
      </c>
      <c r="B13376" t="s">
        <v>178</v>
      </c>
      <c r="C13376">
        <v>2170</v>
      </c>
      <c r="D13376">
        <v>70</v>
      </c>
      <c r="E13376" s="80">
        <v>35839</v>
      </c>
    </row>
    <row r="13377" spans="1:5">
      <c r="A13377">
        <v>10886</v>
      </c>
      <c r="B13377" t="s">
        <v>179</v>
      </c>
      <c r="C13377">
        <v>2170</v>
      </c>
      <c r="D13377">
        <v>70</v>
      </c>
      <c r="E13377" s="80">
        <v>35839</v>
      </c>
    </row>
    <row r="13378" spans="1:5">
      <c r="A13378">
        <v>10886</v>
      </c>
      <c r="B13378" t="s">
        <v>172</v>
      </c>
      <c r="C13378">
        <v>437.5</v>
      </c>
      <c r="D13378">
        <v>35</v>
      </c>
      <c r="E13378" s="80">
        <v>35839</v>
      </c>
    </row>
    <row r="13379" spans="1:5">
      <c r="A13379">
        <v>10886</v>
      </c>
      <c r="B13379" t="s">
        <v>173</v>
      </c>
      <c r="C13379">
        <v>437.5</v>
      </c>
      <c r="D13379">
        <v>35</v>
      </c>
      <c r="E13379" s="80">
        <v>35839</v>
      </c>
    </row>
    <row r="13380" spans="1:5">
      <c r="A13380">
        <v>10886</v>
      </c>
      <c r="B13380" t="s">
        <v>174</v>
      </c>
      <c r="C13380">
        <v>437.5</v>
      </c>
      <c r="D13380">
        <v>35</v>
      </c>
      <c r="E13380" s="80">
        <v>35839</v>
      </c>
    </row>
    <row r="13381" spans="1:5">
      <c r="A13381">
        <v>10886</v>
      </c>
      <c r="B13381" t="s">
        <v>175</v>
      </c>
      <c r="C13381">
        <v>437.5</v>
      </c>
      <c r="D13381">
        <v>35</v>
      </c>
      <c r="E13381" s="80">
        <v>35839</v>
      </c>
    </row>
    <row r="13382" spans="1:5">
      <c r="A13382">
        <v>10886</v>
      </c>
      <c r="B13382" t="s">
        <v>176</v>
      </c>
      <c r="C13382">
        <v>437.5</v>
      </c>
      <c r="D13382">
        <v>35</v>
      </c>
      <c r="E13382" s="80">
        <v>35839</v>
      </c>
    </row>
    <row r="13383" spans="1:5">
      <c r="A13383">
        <v>10886</v>
      </c>
      <c r="B13383" t="s">
        <v>177</v>
      </c>
      <c r="C13383">
        <v>437.5</v>
      </c>
      <c r="D13383">
        <v>35</v>
      </c>
      <c r="E13383" s="80">
        <v>35839</v>
      </c>
    </row>
    <row r="13384" spans="1:5">
      <c r="A13384">
        <v>10886</v>
      </c>
      <c r="B13384" t="s">
        <v>178</v>
      </c>
      <c r="C13384">
        <v>437.5</v>
      </c>
      <c r="D13384">
        <v>35</v>
      </c>
      <c r="E13384" s="80">
        <v>35839</v>
      </c>
    </row>
    <row r="13385" spans="1:5">
      <c r="A13385">
        <v>10886</v>
      </c>
      <c r="B13385" t="s">
        <v>179</v>
      </c>
      <c r="C13385">
        <v>437.5</v>
      </c>
      <c r="D13385">
        <v>35</v>
      </c>
      <c r="E13385" s="80">
        <v>35839</v>
      </c>
    </row>
    <row r="13386" spans="1:5">
      <c r="A13386">
        <v>10886</v>
      </c>
      <c r="B13386" t="s">
        <v>172</v>
      </c>
      <c r="C13386">
        <v>520</v>
      </c>
      <c r="D13386">
        <v>40</v>
      </c>
      <c r="E13386" s="80">
        <v>35839</v>
      </c>
    </row>
    <row r="13387" spans="1:5">
      <c r="A13387">
        <v>10886</v>
      </c>
      <c r="B13387" t="s">
        <v>173</v>
      </c>
      <c r="C13387">
        <v>520</v>
      </c>
      <c r="D13387">
        <v>40</v>
      </c>
      <c r="E13387" s="80">
        <v>35839</v>
      </c>
    </row>
    <row r="13388" spans="1:5">
      <c r="A13388">
        <v>10886</v>
      </c>
      <c r="B13388" t="s">
        <v>174</v>
      </c>
      <c r="C13388">
        <v>520</v>
      </c>
      <c r="D13388">
        <v>40</v>
      </c>
      <c r="E13388" s="80">
        <v>35839</v>
      </c>
    </row>
    <row r="13389" spans="1:5">
      <c r="A13389">
        <v>10886</v>
      </c>
      <c r="B13389" t="s">
        <v>175</v>
      </c>
      <c r="C13389">
        <v>520</v>
      </c>
      <c r="D13389">
        <v>40</v>
      </c>
      <c r="E13389" s="80">
        <v>35839</v>
      </c>
    </row>
    <row r="13390" spans="1:5">
      <c r="A13390">
        <v>10886</v>
      </c>
      <c r="B13390" t="s">
        <v>176</v>
      </c>
      <c r="C13390">
        <v>520</v>
      </c>
      <c r="D13390">
        <v>40</v>
      </c>
      <c r="E13390" s="80">
        <v>35839</v>
      </c>
    </row>
    <row r="13391" spans="1:5">
      <c r="A13391">
        <v>10886</v>
      </c>
      <c r="B13391" t="s">
        <v>177</v>
      </c>
      <c r="C13391">
        <v>520</v>
      </c>
      <c r="D13391">
        <v>40</v>
      </c>
      <c r="E13391" s="80">
        <v>35839</v>
      </c>
    </row>
    <row r="13392" spans="1:5">
      <c r="A13392">
        <v>10886</v>
      </c>
      <c r="B13392" t="s">
        <v>178</v>
      </c>
      <c r="C13392">
        <v>520</v>
      </c>
      <c r="D13392">
        <v>40</v>
      </c>
      <c r="E13392" s="80">
        <v>35839</v>
      </c>
    </row>
    <row r="13393" spans="1:5">
      <c r="A13393">
        <v>10886</v>
      </c>
      <c r="B13393" t="s">
        <v>179</v>
      </c>
      <c r="C13393">
        <v>520</v>
      </c>
      <c r="D13393">
        <v>40</v>
      </c>
      <c r="E13393" s="80">
        <v>35839</v>
      </c>
    </row>
    <row r="13394" spans="1:5">
      <c r="A13394">
        <v>10887</v>
      </c>
      <c r="B13394" t="s">
        <v>172</v>
      </c>
      <c r="C13394">
        <v>70</v>
      </c>
      <c r="D13394">
        <v>5</v>
      </c>
      <c r="E13394" s="80">
        <v>35839</v>
      </c>
    </row>
    <row r="13395" spans="1:5">
      <c r="A13395">
        <v>10887</v>
      </c>
      <c r="B13395" t="s">
        <v>173</v>
      </c>
      <c r="C13395">
        <v>70</v>
      </c>
      <c r="D13395">
        <v>5</v>
      </c>
      <c r="E13395" s="80">
        <v>35839</v>
      </c>
    </row>
    <row r="13396" spans="1:5">
      <c r="A13396">
        <v>10887</v>
      </c>
      <c r="B13396" t="s">
        <v>174</v>
      </c>
      <c r="C13396">
        <v>70</v>
      </c>
      <c r="D13396">
        <v>5</v>
      </c>
      <c r="E13396" s="80">
        <v>35839</v>
      </c>
    </row>
    <row r="13397" spans="1:5">
      <c r="A13397">
        <v>10887</v>
      </c>
      <c r="B13397" t="s">
        <v>175</v>
      </c>
      <c r="C13397">
        <v>70</v>
      </c>
      <c r="D13397">
        <v>5</v>
      </c>
      <c r="E13397" s="80">
        <v>35839</v>
      </c>
    </row>
    <row r="13398" spans="1:5">
      <c r="A13398">
        <v>10887</v>
      </c>
      <c r="B13398" t="s">
        <v>176</v>
      </c>
      <c r="C13398">
        <v>70</v>
      </c>
      <c r="D13398">
        <v>5</v>
      </c>
      <c r="E13398" s="80">
        <v>35839</v>
      </c>
    </row>
    <row r="13399" spans="1:5">
      <c r="A13399">
        <v>10887</v>
      </c>
      <c r="B13399" t="s">
        <v>177</v>
      </c>
      <c r="C13399">
        <v>70</v>
      </c>
      <c r="D13399">
        <v>5</v>
      </c>
      <c r="E13399" s="80">
        <v>35839</v>
      </c>
    </row>
    <row r="13400" spans="1:5">
      <c r="A13400">
        <v>10887</v>
      </c>
      <c r="B13400" t="s">
        <v>178</v>
      </c>
      <c r="C13400">
        <v>70</v>
      </c>
      <c r="D13400">
        <v>5</v>
      </c>
      <c r="E13400" s="80">
        <v>35839</v>
      </c>
    </row>
    <row r="13401" spans="1:5">
      <c r="A13401">
        <v>10887</v>
      </c>
      <c r="B13401" t="s">
        <v>179</v>
      </c>
      <c r="C13401">
        <v>70</v>
      </c>
      <c r="D13401">
        <v>5</v>
      </c>
      <c r="E13401" s="80">
        <v>35839</v>
      </c>
    </row>
    <row r="13402" spans="1:5">
      <c r="A13402">
        <v>10888</v>
      </c>
      <c r="B13402" t="s">
        <v>172</v>
      </c>
      <c r="C13402">
        <v>380</v>
      </c>
      <c r="D13402">
        <v>20</v>
      </c>
      <c r="E13402" s="80">
        <v>35842</v>
      </c>
    </row>
    <row r="13403" spans="1:5">
      <c r="A13403">
        <v>10888</v>
      </c>
      <c r="B13403" t="s">
        <v>173</v>
      </c>
      <c r="C13403">
        <v>380</v>
      </c>
      <c r="D13403">
        <v>20</v>
      </c>
      <c r="E13403" s="80">
        <v>35842</v>
      </c>
    </row>
    <row r="13404" spans="1:5">
      <c r="A13404">
        <v>10888</v>
      </c>
      <c r="B13404" t="s">
        <v>174</v>
      </c>
      <c r="C13404">
        <v>380</v>
      </c>
      <c r="D13404">
        <v>20</v>
      </c>
      <c r="E13404" s="80">
        <v>35842</v>
      </c>
    </row>
    <row r="13405" spans="1:5">
      <c r="A13405">
        <v>10888</v>
      </c>
      <c r="B13405" t="s">
        <v>175</v>
      </c>
      <c r="C13405">
        <v>380</v>
      </c>
      <c r="D13405">
        <v>20</v>
      </c>
      <c r="E13405" s="80">
        <v>35842</v>
      </c>
    </row>
    <row r="13406" spans="1:5">
      <c r="A13406">
        <v>10888</v>
      </c>
      <c r="B13406" t="s">
        <v>176</v>
      </c>
      <c r="C13406">
        <v>380</v>
      </c>
      <c r="D13406">
        <v>20</v>
      </c>
      <c r="E13406" s="80">
        <v>35842</v>
      </c>
    </row>
    <row r="13407" spans="1:5">
      <c r="A13407">
        <v>10888</v>
      </c>
      <c r="B13407" t="s">
        <v>177</v>
      </c>
      <c r="C13407">
        <v>380</v>
      </c>
      <c r="D13407">
        <v>20</v>
      </c>
      <c r="E13407" s="80">
        <v>35842</v>
      </c>
    </row>
    <row r="13408" spans="1:5">
      <c r="A13408">
        <v>10888</v>
      </c>
      <c r="B13408" t="s">
        <v>178</v>
      </c>
      <c r="C13408">
        <v>380</v>
      </c>
      <c r="D13408">
        <v>20</v>
      </c>
      <c r="E13408" s="80">
        <v>35842</v>
      </c>
    </row>
    <row r="13409" spans="1:5">
      <c r="A13409">
        <v>10888</v>
      </c>
      <c r="B13409" t="s">
        <v>179</v>
      </c>
      <c r="C13409">
        <v>380</v>
      </c>
      <c r="D13409">
        <v>20</v>
      </c>
      <c r="E13409" s="80">
        <v>35842</v>
      </c>
    </row>
    <row r="13410" spans="1:5">
      <c r="A13410">
        <v>10888</v>
      </c>
      <c r="B13410" t="s">
        <v>172</v>
      </c>
      <c r="C13410">
        <v>225</v>
      </c>
      <c r="D13410">
        <v>18</v>
      </c>
      <c r="E13410" s="80">
        <v>35842</v>
      </c>
    </row>
    <row r="13411" spans="1:5">
      <c r="A13411">
        <v>10888</v>
      </c>
      <c r="B13411" t="s">
        <v>173</v>
      </c>
      <c r="C13411">
        <v>225</v>
      </c>
      <c r="D13411">
        <v>18</v>
      </c>
      <c r="E13411" s="80">
        <v>35842</v>
      </c>
    </row>
    <row r="13412" spans="1:5">
      <c r="A13412">
        <v>10888</v>
      </c>
      <c r="B13412" t="s">
        <v>174</v>
      </c>
      <c r="C13412">
        <v>225</v>
      </c>
      <c r="D13412">
        <v>18</v>
      </c>
      <c r="E13412" s="80">
        <v>35842</v>
      </c>
    </row>
    <row r="13413" spans="1:5">
      <c r="A13413">
        <v>10888</v>
      </c>
      <c r="B13413" t="s">
        <v>175</v>
      </c>
      <c r="C13413">
        <v>225</v>
      </c>
      <c r="D13413">
        <v>18</v>
      </c>
      <c r="E13413" s="80">
        <v>35842</v>
      </c>
    </row>
    <row r="13414" spans="1:5">
      <c r="A13414">
        <v>10888</v>
      </c>
      <c r="B13414" t="s">
        <v>176</v>
      </c>
      <c r="C13414">
        <v>225</v>
      </c>
      <c r="D13414">
        <v>18</v>
      </c>
      <c r="E13414" s="80">
        <v>35842</v>
      </c>
    </row>
    <row r="13415" spans="1:5">
      <c r="A13415">
        <v>10888</v>
      </c>
      <c r="B13415" t="s">
        <v>177</v>
      </c>
      <c r="C13415">
        <v>225</v>
      </c>
      <c r="D13415">
        <v>18</v>
      </c>
      <c r="E13415" s="80">
        <v>35842</v>
      </c>
    </row>
    <row r="13416" spans="1:5">
      <c r="A13416">
        <v>10888</v>
      </c>
      <c r="B13416" t="s">
        <v>178</v>
      </c>
      <c r="C13416">
        <v>225</v>
      </c>
      <c r="D13416">
        <v>18</v>
      </c>
      <c r="E13416" s="80">
        <v>35842</v>
      </c>
    </row>
    <row r="13417" spans="1:5">
      <c r="A13417">
        <v>10888</v>
      </c>
      <c r="B13417" t="s">
        <v>179</v>
      </c>
      <c r="C13417">
        <v>225</v>
      </c>
      <c r="D13417">
        <v>18</v>
      </c>
      <c r="E13417" s="80">
        <v>35842</v>
      </c>
    </row>
    <row r="13418" spans="1:5">
      <c r="A13418">
        <v>10889</v>
      </c>
      <c r="B13418" t="s">
        <v>172</v>
      </c>
      <c r="C13418">
        <v>840</v>
      </c>
      <c r="D13418">
        <v>40</v>
      </c>
      <c r="E13418" s="80">
        <v>35842</v>
      </c>
    </row>
    <row r="13419" spans="1:5">
      <c r="A13419">
        <v>10889</v>
      </c>
      <c r="B13419" t="s">
        <v>173</v>
      </c>
      <c r="C13419">
        <v>840</v>
      </c>
      <c r="D13419">
        <v>40</v>
      </c>
      <c r="E13419" s="80">
        <v>35842</v>
      </c>
    </row>
    <row r="13420" spans="1:5">
      <c r="A13420">
        <v>10889</v>
      </c>
      <c r="B13420" t="s">
        <v>174</v>
      </c>
      <c r="C13420">
        <v>840</v>
      </c>
      <c r="D13420">
        <v>40</v>
      </c>
      <c r="E13420" s="80">
        <v>35842</v>
      </c>
    </row>
    <row r="13421" spans="1:5">
      <c r="A13421">
        <v>10889</v>
      </c>
      <c r="B13421" t="s">
        <v>175</v>
      </c>
      <c r="C13421">
        <v>840</v>
      </c>
      <c r="D13421">
        <v>40</v>
      </c>
      <c r="E13421" s="80">
        <v>35842</v>
      </c>
    </row>
    <row r="13422" spans="1:5">
      <c r="A13422">
        <v>10889</v>
      </c>
      <c r="B13422" t="s">
        <v>176</v>
      </c>
      <c r="C13422">
        <v>840</v>
      </c>
      <c r="D13422">
        <v>40</v>
      </c>
      <c r="E13422" s="80">
        <v>35842</v>
      </c>
    </row>
    <row r="13423" spans="1:5">
      <c r="A13423">
        <v>10889</v>
      </c>
      <c r="B13423" t="s">
        <v>177</v>
      </c>
      <c r="C13423">
        <v>840</v>
      </c>
      <c r="D13423">
        <v>40</v>
      </c>
      <c r="E13423" s="80">
        <v>35842</v>
      </c>
    </row>
    <row r="13424" spans="1:5">
      <c r="A13424">
        <v>10889</v>
      </c>
      <c r="B13424" t="s">
        <v>178</v>
      </c>
      <c r="C13424">
        <v>840</v>
      </c>
      <c r="D13424">
        <v>40</v>
      </c>
      <c r="E13424" s="80">
        <v>35842</v>
      </c>
    </row>
    <row r="13425" spans="1:5">
      <c r="A13425">
        <v>10889</v>
      </c>
      <c r="B13425" t="s">
        <v>179</v>
      </c>
      <c r="C13425">
        <v>840</v>
      </c>
      <c r="D13425">
        <v>40</v>
      </c>
      <c r="E13425" s="80">
        <v>35842</v>
      </c>
    </row>
    <row r="13426" spans="1:5">
      <c r="A13426">
        <v>10889</v>
      </c>
      <c r="B13426" t="s">
        <v>172</v>
      </c>
      <c r="C13426">
        <v>10540</v>
      </c>
      <c r="D13426">
        <v>40</v>
      </c>
      <c r="E13426" s="80">
        <v>35842</v>
      </c>
    </row>
    <row r="13427" spans="1:5">
      <c r="A13427">
        <v>10889</v>
      </c>
      <c r="B13427" t="s">
        <v>173</v>
      </c>
      <c r="C13427">
        <v>10540</v>
      </c>
      <c r="D13427">
        <v>40</v>
      </c>
      <c r="E13427" s="80">
        <v>35842</v>
      </c>
    </row>
    <row r="13428" spans="1:5">
      <c r="A13428">
        <v>10889</v>
      </c>
      <c r="B13428" t="s">
        <v>174</v>
      </c>
      <c r="C13428">
        <v>10540</v>
      </c>
      <c r="D13428">
        <v>40</v>
      </c>
      <c r="E13428" s="80">
        <v>35842</v>
      </c>
    </row>
    <row r="13429" spans="1:5">
      <c r="A13429">
        <v>10889</v>
      </c>
      <c r="B13429" t="s">
        <v>175</v>
      </c>
      <c r="C13429">
        <v>10540</v>
      </c>
      <c r="D13429">
        <v>40</v>
      </c>
      <c r="E13429" s="80">
        <v>35842</v>
      </c>
    </row>
    <row r="13430" spans="1:5">
      <c r="A13430">
        <v>10889</v>
      </c>
      <c r="B13430" t="s">
        <v>176</v>
      </c>
      <c r="C13430">
        <v>10540</v>
      </c>
      <c r="D13430">
        <v>40</v>
      </c>
      <c r="E13430" s="80">
        <v>35842</v>
      </c>
    </row>
    <row r="13431" spans="1:5">
      <c r="A13431">
        <v>10889</v>
      </c>
      <c r="B13431" t="s">
        <v>177</v>
      </c>
      <c r="C13431">
        <v>10540</v>
      </c>
      <c r="D13431">
        <v>40</v>
      </c>
      <c r="E13431" s="80">
        <v>35842</v>
      </c>
    </row>
    <row r="13432" spans="1:5">
      <c r="A13432">
        <v>10889</v>
      </c>
      <c r="B13432" t="s">
        <v>178</v>
      </c>
      <c r="C13432">
        <v>10540</v>
      </c>
      <c r="D13432">
        <v>40</v>
      </c>
      <c r="E13432" s="80">
        <v>35842</v>
      </c>
    </row>
    <row r="13433" spans="1:5">
      <c r="A13433">
        <v>10889</v>
      </c>
      <c r="B13433" t="s">
        <v>179</v>
      </c>
      <c r="C13433">
        <v>10540</v>
      </c>
      <c r="D13433">
        <v>40</v>
      </c>
      <c r="E13433" s="80">
        <v>35842</v>
      </c>
    </row>
    <row r="13434" spans="1:5">
      <c r="A13434">
        <v>10890</v>
      </c>
      <c r="B13434" t="s">
        <v>172</v>
      </c>
      <c r="C13434">
        <v>585</v>
      </c>
      <c r="D13434">
        <v>15</v>
      </c>
      <c r="E13434" s="80">
        <v>35842</v>
      </c>
    </row>
    <row r="13435" spans="1:5">
      <c r="A13435">
        <v>10890</v>
      </c>
      <c r="B13435" t="s">
        <v>173</v>
      </c>
      <c r="C13435">
        <v>585</v>
      </c>
      <c r="D13435">
        <v>15</v>
      </c>
      <c r="E13435" s="80">
        <v>35842</v>
      </c>
    </row>
    <row r="13436" spans="1:5">
      <c r="A13436">
        <v>10890</v>
      </c>
      <c r="B13436" t="s">
        <v>174</v>
      </c>
      <c r="C13436">
        <v>585</v>
      </c>
      <c r="D13436">
        <v>15</v>
      </c>
      <c r="E13436" s="80">
        <v>35842</v>
      </c>
    </row>
    <row r="13437" spans="1:5">
      <c r="A13437">
        <v>10890</v>
      </c>
      <c r="B13437" t="s">
        <v>175</v>
      </c>
      <c r="C13437">
        <v>585</v>
      </c>
      <c r="D13437">
        <v>15</v>
      </c>
      <c r="E13437" s="80">
        <v>35842</v>
      </c>
    </row>
    <row r="13438" spans="1:5">
      <c r="A13438">
        <v>10890</v>
      </c>
      <c r="B13438" t="s">
        <v>176</v>
      </c>
      <c r="C13438">
        <v>585</v>
      </c>
      <c r="D13438">
        <v>15</v>
      </c>
      <c r="E13438" s="80">
        <v>35842</v>
      </c>
    </row>
    <row r="13439" spans="1:5">
      <c r="A13439">
        <v>10890</v>
      </c>
      <c r="B13439" t="s">
        <v>177</v>
      </c>
      <c r="C13439">
        <v>585</v>
      </c>
      <c r="D13439">
        <v>15</v>
      </c>
      <c r="E13439" s="80">
        <v>35842</v>
      </c>
    </row>
    <row r="13440" spans="1:5">
      <c r="A13440">
        <v>10890</v>
      </c>
      <c r="B13440" t="s">
        <v>178</v>
      </c>
      <c r="C13440">
        <v>585</v>
      </c>
      <c r="D13440">
        <v>15</v>
      </c>
      <c r="E13440" s="80">
        <v>35842</v>
      </c>
    </row>
    <row r="13441" spans="1:5">
      <c r="A13441">
        <v>10890</v>
      </c>
      <c r="B13441" t="s">
        <v>179</v>
      </c>
      <c r="C13441">
        <v>585</v>
      </c>
      <c r="D13441">
        <v>15</v>
      </c>
      <c r="E13441" s="80">
        <v>35842</v>
      </c>
    </row>
    <row r="13442" spans="1:5">
      <c r="A13442">
        <v>10890</v>
      </c>
      <c r="B13442" t="s">
        <v>172</v>
      </c>
      <c r="C13442">
        <v>140</v>
      </c>
      <c r="D13442">
        <v>10</v>
      </c>
      <c r="E13442" s="80">
        <v>35842</v>
      </c>
    </row>
    <row r="13443" spans="1:5">
      <c r="A13443">
        <v>10890</v>
      </c>
      <c r="B13443" t="s">
        <v>173</v>
      </c>
      <c r="C13443">
        <v>140</v>
      </c>
      <c r="D13443">
        <v>10</v>
      </c>
      <c r="E13443" s="80">
        <v>35842</v>
      </c>
    </row>
    <row r="13444" spans="1:5">
      <c r="A13444">
        <v>10890</v>
      </c>
      <c r="B13444" t="s">
        <v>174</v>
      </c>
      <c r="C13444">
        <v>140</v>
      </c>
      <c r="D13444">
        <v>10</v>
      </c>
      <c r="E13444" s="80">
        <v>35842</v>
      </c>
    </row>
    <row r="13445" spans="1:5">
      <c r="A13445">
        <v>10890</v>
      </c>
      <c r="B13445" t="s">
        <v>175</v>
      </c>
      <c r="C13445">
        <v>140</v>
      </c>
      <c r="D13445">
        <v>10</v>
      </c>
      <c r="E13445" s="80">
        <v>35842</v>
      </c>
    </row>
    <row r="13446" spans="1:5">
      <c r="A13446">
        <v>10890</v>
      </c>
      <c r="B13446" t="s">
        <v>176</v>
      </c>
      <c r="C13446">
        <v>140</v>
      </c>
      <c r="D13446">
        <v>10</v>
      </c>
      <c r="E13446" s="80">
        <v>35842</v>
      </c>
    </row>
    <row r="13447" spans="1:5">
      <c r="A13447">
        <v>10890</v>
      </c>
      <c r="B13447" t="s">
        <v>177</v>
      </c>
      <c r="C13447">
        <v>140</v>
      </c>
      <c r="D13447">
        <v>10</v>
      </c>
      <c r="E13447" s="80">
        <v>35842</v>
      </c>
    </row>
    <row r="13448" spans="1:5">
      <c r="A13448">
        <v>10890</v>
      </c>
      <c r="B13448" t="s">
        <v>178</v>
      </c>
      <c r="C13448">
        <v>140</v>
      </c>
      <c r="D13448">
        <v>10</v>
      </c>
      <c r="E13448" s="80">
        <v>35842</v>
      </c>
    </row>
    <row r="13449" spans="1:5">
      <c r="A13449">
        <v>10890</v>
      </c>
      <c r="B13449" t="s">
        <v>179</v>
      </c>
      <c r="C13449">
        <v>140</v>
      </c>
      <c r="D13449">
        <v>10</v>
      </c>
      <c r="E13449" s="80">
        <v>35842</v>
      </c>
    </row>
    <row r="13450" spans="1:5">
      <c r="A13450">
        <v>10890</v>
      </c>
      <c r="B13450" t="s">
        <v>172</v>
      </c>
      <c r="C13450">
        <v>135.1</v>
      </c>
      <c r="D13450">
        <v>14</v>
      </c>
      <c r="E13450" s="80">
        <v>35842</v>
      </c>
    </row>
    <row r="13451" spans="1:5">
      <c r="A13451">
        <v>10890</v>
      </c>
      <c r="B13451" t="s">
        <v>173</v>
      </c>
      <c r="C13451">
        <v>135.1</v>
      </c>
      <c r="D13451">
        <v>14</v>
      </c>
      <c r="E13451" s="80">
        <v>35842</v>
      </c>
    </row>
    <row r="13452" spans="1:5">
      <c r="A13452">
        <v>10890</v>
      </c>
      <c r="B13452" t="s">
        <v>174</v>
      </c>
      <c r="C13452">
        <v>135.1</v>
      </c>
      <c r="D13452">
        <v>14</v>
      </c>
      <c r="E13452" s="80">
        <v>35842</v>
      </c>
    </row>
    <row r="13453" spans="1:5">
      <c r="A13453">
        <v>10890</v>
      </c>
      <c r="B13453" t="s">
        <v>175</v>
      </c>
      <c r="C13453">
        <v>135.1</v>
      </c>
      <c r="D13453">
        <v>14</v>
      </c>
      <c r="E13453" s="80">
        <v>35842</v>
      </c>
    </row>
    <row r="13454" spans="1:5">
      <c r="A13454">
        <v>10890</v>
      </c>
      <c r="B13454" t="s">
        <v>176</v>
      </c>
      <c r="C13454">
        <v>135.1</v>
      </c>
      <c r="D13454">
        <v>14</v>
      </c>
      <c r="E13454" s="80">
        <v>35842</v>
      </c>
    </row>
    <row r="13455" spans="1:5">
      <c r="A13455">
        <v>10890</v>
      </c>
      <c r="B13455" t="s">
        <v>177</v>
      </c>
      <c r="C13455">
        <v>135.1</v>
      </c>
      <c r="D13455">
        <v>14</v>
      </c>
      <c r="E13455" s="80">
        <v>35842</v>
      </c>
    </row>
    <row r="13456" spans="1:5">
      <c r="A13456">
        <v>10890</v>
      </c>
      <c r="B13456" t="s">
        <v>178</v>
      </c>
      <c r="C13456">
        <v>135.1</v>
      </c>
      <c r="D13456">
        <v>14</v>
      </c>
      <c r="E13456" s="80">
        <v>35842</v>
      </c>
    </row>
    <row r="13457" spans="1:5">
      <c r="A13457">
        <v>10890</v>
      </c>
      <c r="B13457" t="s">
        <v>179</v>
      </c>
      <c r="C13457">
        <v>135.1</v>
      </c>
      <c r="D13457">
        <v>14</v>
      </c>
      <c r="E13457" s="80">
        <v>35842</v>
      </c>
    </row>
    <row r="13458" spans="1:5">
      <c r="A13458">
        <v>10891</v>
      </c>
      <c r="B13458" t="s">
        <v>172</v>
      </c>
      <c r="C13458">
        <v>368.93249971065671</v>
      </c>
      <c r="D13458">
        <v>15</v>
      </c>
      <c r="E13458" s="80">
        <v>35843</v>
      </c>
    </row>
    <row r="13459" spans="1:5">
      <c r="A13459">
        <v>10891</v>
      </c>
      <c r="B13459" t="s">
        <v>173</v>
      </c>
      <c r="C13459">
        <v>368.93249971065671</v>
      </c>
      <c r="D13459">
        <v>15</v>
      </c>
      <c r="E13459" s="80">
        <v>35843</v>
      </c>
    </row>
    <row r="13460" spans="1:5">
      <c r="A13460">
        <v>10891</v>
      </c>
      <c r="B13460" t="s">
        <v>174</v>
      </c>
      <c r="C13460">
        <v>368.93249971065671</v>
      </c>
      <c r="D13460">
        <v>15</v>
      </c>
      <c r="E13460" s="80">
        <v>35843</v>
      </c>
    </row>
    <row r="13461" spans="1:5">
      <c r="A13461">
        <v>10891</v>
      </c>
      <c r="B13461" t="s">
        <v>175</v>
      </c>
      <c r="C13461">
        <v>368.93249971065671</v>
      </c>
      <c r="D13461">
        <v>15</v>
      </c>
      <c r="E13461" s="80">
        <v>35843</v>
      </c>
    </row>
    <row r="13462" spans="1:5">
      <c r="A13462">
        <v>10891</v>
      </c>
      <c r="B13462" t="s">
        <v>176</v>
      </c>
      <c r="C13462">
        <v>368.93249971065671</v>
      </c>
      <c r="D13462">
        <v>15</v>
      </c>
      <c r="E13462" s="80">
        <v>35843</v>
      </c>
    </row>
    <row r="13463" spans="1:5">
      <c r="A13463">
        <v>10891</v>
      </c>
      <c r="B13463" t="s">
        <v>177</v>
      </c>
      <c r="C13463">
        <v>368.93249971065671</v>
      </c>
      <c r="D13463">
        <v>15</v>
      </c>
      <c r="E13463" s="80">
        <v>35843</v>
      </c>
    </row>
    <row r="13464" spans="1:5">
      <c r="A13464">
        <v>10891</v>
      </c>
      <c r="B13464" t="s">
        <v>178</v>
      </c>
      <c r="C13464">
        <v>368.93249971065671</v>
      </c>
      <c r="D13464">
        <v>15</v>
      </c>
      <c r="E13464" s="80">
        <v>35843</v>
      </c>
    </row>
    <row r="13465" spans="1:5">
      <c r="A13465">
        <v>10891</v>
      </c>
      <c r="B13465" t="s">
        <v>179</v>
      </c>
      <c r="C13465">
        <v>368.93249971065671</v>
      </c>
      <c r="D13465">
        <v>15</v>
      </c>
      <c r="E13465" s="80">
        <v>35843</v>
      </c>
    </row>
    <row r="13466" spans="1:5">
      <c r="A13466">
        <v>10892</v>
      </c>
      <c r="B13466" t="s">
        <v>172</v>
      </c>
      <c r="C13466">
        <v>2089.9999983608723</v>
      </c>
      <c r="D13466">
        <v>40</v>
      </c>
      <c r="E13466" s="80">
        <v>35843</v>
      </c>
    </row>
    <row r="13467" spans="1:5">
      <c r="A13467">
        <v>10892</v>
      </c>
      <c r="B13467" t="s">
        <v>173</v>
      </c>
      <c r="C13467">
        <v>2089.9999983608723</v>
      </c>
      <c r="D13467">
        <v>40</v>
      </c>
      <c r="E13467" s="80">
        <v>35843</v>
      </c>
    </row>
    <row r="13468" spans="1:5">
      <c r="A13468">
        <v>10892</v>
      </c>
      <c r="B13468" t="s">
        <v>174</v>
      </c>
      <c r="C13468">
        <v>2089.9999983608723</v>
      </c>
      <c r="D13468">
        <v>40</v>
      </c>
      <c r="E13468" s="80">
        <v>35843</v>
      </c>
    </row>
    <row r="13469" spans="1:5">
      <c r="A13469">
        <v>10892</v>
      </c>
      <c r="B13469" t="s">
        <v>175</v>
      </c>
      <c r="C13469">
        <v>2089.9999983608723</v>
      </c>
      <c r="D13469">
        <v>40</v>
      </c>
      <c r="E13469" s="80">
        <v>35843</v>
      </c>
    </row>
    <row r="13470" spans="1:5">
      <c r="A13470">
        <v>10892</v>
      </c>
      <c r="B13470" t="s">
        <v>176</v>
      </c>
      <c r="C13470">
        <v>2089.9999983608723</v>
      </c>
      <c r="D13470">
        <v>40</v>
      </c>
      <c r="E13470" s="80">
        <v>35843</v>
      </c>
    </row>
    <row r="13471" spans="1:5">
      <c r="A13471">
        <v>10892</v>
      </c>
      <c r="B13471" t="s">
        <v>177</v>
      </c>
      <c r="C13471">
        <v>2089.9999983608723</v>
      </c>
      <c r="D13471">
        <v>40</v>
      </c>
      <c r="E13471" s="80">
        <v>35843</v>
      </c>
    </row>
    <row r="13472" spans="1:5">
      <c r="A13472">
        <v>10892</v>
      </c>
      <c r="B13472" t="s">
        <v>178</v>
      </c>
      <c r="C13472">
        <v>2089.9999983608723</v>
      </c>
      <c r="D13472">
        <v>40</v>
      </c>
      <c r="E13472" s="80">
        <v>35843</v>
      </c>
    </row>
    <row r="13473" spans="1:5">
      <c r="A13473">
        <v>10892</v>
      </c>
      <c r="B13473" t="s">
        <v>179</v>
      </c>
      <c r="C13473">
        <v>2089.9999983608723</v>
      </c>
      <c r="D13473">
        <v>40</v>
      </c>
      <c r="E13473" s="80">
        <v>35843</v>
      </c>
    </row>
    <row r="13474" spans="1:5">
      <c r="A13474">
        <v>10893</v>
      </c>
      <c r="B13474" t="s">
        <v>172</v>
      </c>
      <c r="C13474">
        <v>1200</v>
      </c>
      <c r="D13474">
        <v>30</v>
      </c>
      <c r="E13474" s="80">
        <v>35844</v>
      </c>
    </row>
    <row r="13475" spans="1:5">
      <c r="A13475">
        <v>10893</v>
      </c>
      <c r="B13475" t="s">
        <v>173</v>
      </c>
      <c r="C13475">
        <v>1200</v>
      </c>
      <c r="D13475">
        <v>30</v>
      </c>
      <c r="E13475" s="80">
        <v>35844</v>
      </c>
    </row>
    <row r="13476" spans="1:5">
      <c r="A13476">
        <v>10893</v>
      </c>
      <c r="B13476" t="s">
        <v>174</v>
      </c>
      <c r="C13476">
        <v>1200</v>
      </c>
      <c r="D13476">
        <v>30</v>
      </c>
      <c r="E13476" s="80">
        <v>35844</v>
      </c>
    </row>
    <row r="13477" spans="1:5">
      <c r="A13477">
        <v>10893</v>
      </c>
      <c r="B13477" t="s">
        <v>175</v>
      </c>
      <c r="C13477">
        <v>1200</v>
      </c>
      <c r="D13477">
        <v>30</v>
      </c>
      <c r="E13477" s="80">
        <v>35844</v>
      </c>
    </row>
    <row r="13478" spans="1:5">
      <c r="A13478">
        <v>10893</v>
      </c>
      <c r="B13478" t="s">
        <v>176</v>
      </c>
      <c r="C13478">
        <v>1200</v>
      </c>
      <c r="D13478">
        <v>30</v>
      </c>
      <c r="E13478" s="80">
        <v>35844</v>
      </c>
    </row>
    <row r="13479" spans="1:5">
      <c r="A13479">
        <v>10893</v>
      </c>
      <c r="B13479" t="s">
        <v>177</v>
      </c>
      <c r="C13479">
        <v>1200</v>
      </c>
      <c r="D13479">
        <v>30</v>
      </c>
      <c r="E13479" s="80">
        <v>35844</v>
      </c>
    </row>
    <row r="13480" spans="1:5">
      <c r="A13480">
        <v>10893</v>
      </c>
      <c r="B13480" t="s">
        <v>178</v>
      </c>
      <c r="C13480">
        <v>1200</v>
      </c>
      <c r="D13480">
        <v>30</v>
      </c>
      <c r="E13480" s="80">
        <v>35844</v>
      </c>
    </row>
    <row r="13481" spans="1:5">
      <c r="A13481">
        <v>10893</v>
      </c>
      <c r="B13481" t="s">
        <v>179</v>
      </c>
      <c r="C13481">
        <v>1200</v>
      </c>
      <c r="D13481">
        <v>30</v>
      </c>
      <c r="E13481" s="80">
        <v>35844</v>
      </c>
    </row>
    <row r="13482" spans="1:5">
      <c r="A13482">
        <v>10893</v>
      </c>
      <c r="B13482" t="s">
        <v>172</v>
      </c>
      <c r="C13482">
        <v>45</v>
      </c>
      <c r="D13482">
        <v>10</v>
      </c>
      <c r="E13482" s="80">
        <v>35844</v>
      </c>
    </row>
    <row r="13483" spans="1:5">
      <c r="A13483">
        <v>10893</v>
      </c>
      <c r="B13483" t="s">
        <v>173</v>
      </c>
      <c r="C13483">
        <v>45</v>
      </c>
      <c r="D13483">
        <v>10</v>
      </c>
      <c r="E13483" s="80">
        <v>35844</v>
      </c>
    </row>
    <row r="13484" spans="1:5">
      <c r="A13484">
        <v>10893</v>
      </c>
      <c r="B13484" t="s">
        <v>174</v>
      </c>
      <c r="C13484">
        <v>45</v>
      </c>
      <c r="D13484">
        <v>10</v>
      </c>
      <c r="E13484" s="80">
        <v>35844</v>
      </c>
    </row>
    <row r="13485" spans="1:5">
      <c r="A13485">
        <v>10893</v>
      </c>
      <c r="B13485" t="s">
        <v>175</v>
      </c>
      <c r="C13485">
        <v>45</v>
      </c>
      <c r="D13485">
        <v>10</v>
      </c>
      <c r="E13485" s="80">
        <v>35844</v>
      </c>
    </row>
    <row r="13486" spans="1:5">
      <c r="A13486">
        <v>10893</v>
      </c>
      <c r="B13486" t="s">
        <v>176</v>
      </c>
      <c r="C13486">
        <v>45</v>
      </c>
      <c r="D13486">
        <v>10</v>
      </c>
      <c r="E13486" s="80">
        <v>35844</v>
      </c>
    </row>
    <row r="13487" spans="1:5">
      <c r="A13487">
        <v>10893</v>
      </c>
      <c r="B13487" t="s">
        <v>177</v>
      </c>
      <c r="C13487">
        <v>45</v>
      </c>
      <c r="D13487">
        <v>10</v>
      </c>
      <c r="E13487" s="80">
        <v>35844</v>
      </c>
    </row>
    <row r="13488" spans="1:5">
      <c r="A13488">
        <v>10893</v>
      </c>
      <c r="B13488" t="s">
        <v>178</v>
      </c>
      <c r="C13488">
        <v>45</v>
      </c>
      <c r="D13488">
        <v>10</v>
      </c>
      <c r="E13488" s="80">
        <v>35844</v>
      </c>
    </row>
    <row r="13489" spans="1:5">
      <c r="A13489">
        <v>10893</v>
      </c>
      <c r="B13489" t="s">
        <v>179</v>
      </c>
      <c r="C13489">
        <v>45</v>
      </c>
      <c r="D13489">
        <v>10</v>
      </c>
      <c r="E13489" s="80">
        <v>35844</v>
      </c>
    </row>
    <row r="13490" spans="1:5">
      <c r="A13490">
        <v>10893</v>
      </c>
      <c r="B13490" t="s">
        <v>172</v>
      </c>
      <c r="C13490">
        <v>2970.96</v>
      </c>
      <c r="D13490">
        <v>24</v>
      </c>
      <c r="E13490" s="80">
        <v>35844</v>
      </c>
    </row>
    <row r="13491" spans="1:5">
      <c r="A13491">
        <v>10893</v>
      </c>
      <c r="B13491" t="s">
        <v>173</v>
      </c>
      <c r="C13491">
        <v>2970.96</v>
      </c>
      <c r="D13491">
        <v>24</v>
      </c>
      <c r="E13491" s="80">
        <v>35844</v>
      </c>
    </row>
    <row r="13492" spans="1:5">
      <c r="A13492">
        <v>10893</v>
      </c>
      <c r="B13492" t="s">
        <v>174</v>
      </c>
      <c r="C13492">
        <v>2970.96</v>
      </c>
      <c r="D13492">
        <v>24</v>
      </c>
      <c r="E13492" s="80">
        <v>35844</v>
      </c>
    </row>
    <row r="13493" spans="1:5">
      <c r="A13493">
        <v>10893</v>
      </c>
      <c r="B13493" t="s">
        <v>175</v>
      </c>
      <c r="C13493">
        <v>2970.96</v>
      </c>
      <c r="D13493">
        <v>24</v>
      </c>
      <c r="E13493" s="80">
        <v>35844</v>
      </c>
    </row>
    <row r="13494" spans="1:5">
      <c r="A13494">
        <v>10893</v>
      </c>
      <c r="B13494" t="s">
        <v>176</v>
      </c>
      <c r="C13494">
        <v>2970.96</v>
      </c>
      <c r="D13494">
        <v>24</v>
      </c>
      <c r="E13494" s="80">
        <v>35844</v>
      </c>
    </row>
    <row r="13495" spans="1:5">
      <c r="A13495">
        <v>10893</v>
      </c>
      <c r="B13495" t="s">
        <v>177</v>
      </c>
      <c r="C13495">
        <v>2970.96</v>
      </c>
      <c r="D13495">
        <v>24</v>
      </c>
      <c r="E13495" s="80">
        <v>35844</v>
      </c>
    </row>
    <row r="13496" spans="1:5">
      <c r="A13496">
        <v>10893</v>
      </c>
      <c r="B13496" t="s">
        <v>178</v>
      </c>
      <c r="C13496">
        <v>2970.96</v>
      </c>
      <c r="D13496">
        <v>24</v>
      </c>
      <c r="E13496" s="80">
        <v>35844</v>
      </c>
    </row>
    <row r="13497" spans="1:5">
      <c r="A13497">
        <v>10893</v>
      </c>
      <c r="B13497" t="s">
        <v>179</v>
      </c>
      <c r="C13497">
        <v>2970.96</v>
      </c>
      <c r="D13497">
        <v>24</v>
      </c>
      <c r="E13497" s="80">
        <v>35844</v>
      </c>
    </row>
    <row r="13498" spans="1:5">
      <c r="A13498">
        <v>10893</v>
      </c>
      <c r="B13498" t="s">
        <v>172</v>
      </c>
      <c r="C13498">
        <v>906.15</v>
      </c>
      <c r="D13498">
        <v>35</v>
      </c>
      <c r="E13498" s="80">
        <v>35844</v>
      </c>
    </row>
    <row r="13499" spans="1:5">
      <c r="A13499">
        <v>10893</v>
      </c>
      <c r="B13499" t="s">
        <v>173</v>
      </c>
      <c r="C13499">
        <v>906.15</v>
      </c>
      <c r="D13499">
        <v>35</v>
      </c>
      <c r="E13499" s="80">
        <v>35844</v>
      </c>
    </row>
    <row r="13500" spans="1:5">
      <c r="A13500">
        <v>10893</v>
      </c>
      <c r="B13500" t="s">
        <v>174</v>
      </c>
      <c r="C13500">
        <v>906.15</v>
      </c>
      <c r="D13500">
        <v>35</v>
      </c>
      <c r="E13500" s="80">
        <v>35844</v>
      </c>
    </row>
    <row r="13501" spans="1:5">
      <c r="A13501">
        <v>10893</v>
      </c>
      <c r="B13501" t="s">
        <v>175</v>
      </c>
      <c r="C13501">
        <v>906.15</v>
      </c>
      <c r="D13501">
        <v>35</v>
      </c>
      <c r="E13501" s="80">
        <v>35844</v>
      </c>
    </row>
    <row r="13502" spans="1:5">
      <c r="A13502">
        <v>10893</v>
      </c>
      <c r="B13502" t="s">
        <v>176</v>
      </c>
      <c r="C13502">
        <v>906.15</v>
      </c>
      <c r="D13502">
        <v>35</v>
      </c>
      <c r="E13502" s="80">
        <v>35844</v>
      </c>
    </row>
    <row r="13503" spans="1:5">
      <c r="A13503">
        <v>10893</v>
      </c>
      <c r="B13503" t="s">
        <v>177</v>
      </c>
      <c r="C13503">
        <v>906.15</v>
      </c>
      <c r="D13503">
        <v>35</v>
      </c>
      <c r="E13503" s="80">
        <v>35844</v>
      </c>
    </row>
    <row r="13504" spans="1:5">
      <c r="A13504">
        <v>10893</v>
      </c>
      <c r="B13504" t="s">
        <v>178</v>
      </c>
      <c r="C13504">
        <v>906.15</v>
      </c>
      <c r="D13504">
        <v>35</v>
      </c>
      <c r="E13504" s="80">
        <v>35844</v>
      </c>
    </row>
    <row r="13505" spans="1:5">
      <c r="A13505">
        <v>10893</v>
      </c>
      <c r="B13505" t="s">
        <v>179</v>
      </c>
      <c r="C13505">
        <v>906.15</v>
      </c>
      <c r="D13505">
        <v>35</v>
      </c>
      <c r="E13505" s="80">
        <v>35844</v>
      </c>
    </row>
    <row r="13506" spans="1:5">
      <c r="A13506">
        <v>10893</v>
      </c>
      <c r="B13506" t="s">
        <v>172</v>
      </c>
      <c r="C13506">
        <v>380</v>
      </c>
      <c r="D13506">
        <v>20</v>
      </c>
      <c r="E13506" s="80">
        <v>35844</v>
      </c>
    </row>
    <row r="13507" spans="1:5">
      <c r="A13507">
        <v>10893</v>
      </c>
      <c r="B13507" t="s">
        <v>173</v>
      </c>
      <c r="C13507">
        <v>380</v>
      </c>
      <c r="D13507">
        <v>20</v>
      </c>
      <c r="E13507" s="80">
        <v>35844</v>
      </c>
    </row>
    <row r="13508" spans="1:5">
      <c r="A13508">
        <v>10893</v>
      </c>
      <c r="B13508" t="s">
        <v>174</v>
      </c>
      <c r="C13508">
        <v>380</v>
      </c>
      <c r="D13508">
        <v>20</v>
      </c>
      <c r="E13508" s="80">
        <v>35844</v>
      </c>
    </row>
    <row r="13509" spans="1:5">
      <c r="A13509">
        <v>10893</v>
      </c>
      <c r="B13509" t="s">
        <v>175</v>
      </c>
      <c r="C13509">
        <v>380</v>
      </c>
      <c r="D13509">
        <v>20</v>
      </c>
      <c r="E13509" s="80">
        <v>35844</v>
      </c>
    </row>
    <row r="13510" spans="1:5">
      <c r="A13510">
        <v>10893</v>
      </c>
      <c r="B13510" t="s">
        <v>176</v>
      </c>
      <c r="C13510">
        <v>380</v>
      </c>
      <c r="D13510">
        <v>20</v>
      </c>
      <c r="E13510" s="80">
        <v>35844</v>
      </c>
    </row>
    <row r="13511" spans="1:5">
      <c r="A13511">
        <v>10893</v>
      </c>
      <c r="B13511" t="s">
        <v>177</v>
      </c>
      <c r="C13511">
        <v>380</v>
      </c>
      <c r="D13511">
        <v>20</v>
      </c>
      <c r="E13511" s="80">
        <v>35844</v>
      </c>
    </row>
    <row r="13512" spans="1:5">
      <c r="A13512">
        <v>10893</v>
      </c>
      <c r="B13512" t="s">
        <v>178</v>
      </c>
      <c r="C13512">
        <v>380</v>
      </c>
      <c r="D13512">
        <v>20</v>
      </c>
      <c r="E13512" s="80">
        <v>35844</v>
      </c>
    </row>
    <row r="13513" spans="1:5">
      <c r="A13513">
        <v>10893</v>
      </c>
      <c r="B13513" t="s">
        <v>179</v>
      </c>
      <c r="C13513">
        <v>380</v>
      </c>
      <c r="D13513">
        <v>20</v>
      </c>
      <c r="E13513" s="80">
        <v>35844</v>
      </c>
    </row>
    <row r="13514" spans="1:5">
      <c r="A13514">
        <v>10894</v>
      </c>
      <c r="B13514" t="s">
        <v>172</v>
      </c>
      <c r="C13514">
        <v>159.59999987483025</v>
      </c>
      <c r="D13514">
        <v>28</v>
      </c>
      <c r="E13514" s="80">
        <v>35844</v>
      </c>
    </row>
    <row r="13515" spans="1:5">
      <c r="A13515">
        <v>10894</v>
      </c>
      <c r="B13515" t="s">
        <v>173</v>
      </c>
      <c r="C13515">
        <v>159.59999987483025</v>
      </c>
      <c r="D13515">
        <v>28</v>
      </c>
      <c r="E13515" s="80">
        <v>35844</v>
      </c>
    </row>
    <row r="13516" spans="1:5">
      <c r="A13516">
        <v>10894</v>
      </c>
      <c r="B13516" t="s">
        <v>174</v>
      </c>
      <c r="C13516">
        <v>159.59999987483025</v>
      </c>
      <c r="D13516">
        <v>28</v>
      </c>
      <c r="E13516" s="80">
        <v>35844</v>
      </c>
    </row>
    <row r="13517" spans="1:5">
      <c r="A13517">
        <v>10894</v>
      </c>
      <c r="B13517" t="s">
        <v>175</v>
      </c>
      <c r="C13517">
        <v>159.59999987483025</v>
      </c>
      <c r="D13517">
        <v>28</v>
      </c>
      <c r="E13517" s="80">
        <v>35844</v>
      </c>
    </row>
    <row r="13518" spans="1:5">
      <c r="A13518">
        <v>10894</v>
      </c>
      <c r="B13518" t="s">
        <v>176</v>
      </c>
      <c r="C13518">
        <v>159.59999987483025</v>
      </c>
      <c r="D13518">
        <v>28</v>
      </c>
      <c r="E13518" s="80">
        <v>35844</v>
      </c>
    </row>
    <row r="13519" spans="1:5">
      <c r="A13519">
        <v>10894</v>
      </c>
      <c r="B13519" t="s">
        <v>177</v>
      </c>
      <c r="C13519">
        <v>159.59999987483025</v>
      </c>
      <c r="D13519">
        <v>28</v>
      </c>
      <c r="E13519" s="80">
        <v>35844</v>
      </c>
    </row>
    <row r="13520" spans="1:5">
      <c r="A13520">
        <v>10894</v>
      </c>
      <c r="B13520" t="s">
        <v>178</v>
      </c>
      <c r="C13520">
        <v>159.59999987483025</v>
      </c>
      <c r="D13520">
        <v>28</v>
      </c>
      <c r="E13520" s="80">
        <v>35844</v>
      </c>
    </row>
    <row r="13521" spans="1:5">
      <c r="A13521">
        <v>10894</v>
      </c>
      <c r="B13521" t="s">
        <v>179</v>
      </c>
      <c r="C13521">
        <v>159.59999987483025</v>
      </c>
      <c r="D13521">
        <v>28</v>
      </c>
      <c r="E13521" s="80">
        <v>35844</v>
      </c>
    </row>
    <row r="13522" spans="1:5">
      <c r="A13522">
        <v>10894</v>
      </c>
      <c r="B13522" t="s">
        <v>172</v>
      </c>
      <c r="C13522">
        <v>1709.9999986588955</v>
      </c>
      <c r="D13522">
        <v>50</v>
      </c>
      <c r="E13522" s="80">
        <v>35844</v>
      </c>
    </row>
    <row r="13523" spans="1:5">
      <c r="A13523">
        <v>10894</v>
      </c>
      <c r="B13523" t="s">
        <v>173</v>
      </c>
      <c r="C13523">
        <v>1709.9999986588955</v>
      </c>
      <c r="D13523">
        <v>50</v>
      </c>
      <c r="E13523" s="80">
        <v>35844</v>
      </c>
    </row>
    <row r="13524" spans="1:5">
      <c r="A13524">
        <v>10894</v>
      </c>
      <c r="B13524" t="s">
        <v>174</v>
      </c>
      <c r="C13524">
        <v>1709.9999986588955</v>
      </c>
      <c r="D13524">
        <v>50</v>
      </c>
      <c r="E13524" s="80">
        <v>35844</v>
      </c>
    </row>
    <row r="13525" spans="1:5">
      <c r="A13525">
        <v>10894</v>
      </c>
      <c r="B13525" t="s">
        <v>175</v>
      </c>
      <c r="C13525">
        <v>1709.9999986588955</v>
      </c>
      <c r="D13525">
        <v>50</v>
      </c>
      <c r="E13525" s="80">
        <v>35844</v>
      </c>
    </row>
    <row r="13526" spans="1:5">
      <c r="A13526">
        <v>10894</v>
      </c>
      <c r="B13526" t="s">
        <v>176</v>
      </c>
      <c r="C13526">
        <v>1709.9999986588955</v>
      </c>
      <c r="D13526">
        <v>50</v>
      </c>
      <c r="E13526" s="80">
        <v>35844</v>
      </c>
    </row>
    <row r="13527" spans="1:5">
      <c r="A13527">
        <v>10894</v>
      </c>
      <c r="B13527" t="s">
        <v>177</v>
      </c>
      <c r="C13527">
        <v>1709.9999986588955</v>
      </c>
      <c r="D13527">
        <v>50</v>
      </c>
      <c r="E13527" s="80">
        <v>35844</v>
      </c>
    </row>
    <row r="13528" spans="1:5">
      <c r="A13528">
        <v>10894</v>
      </c>
      <c r="B13528" t="s">
        <v>178</v>
      </c>
      <c r="C13528">
        <v>1709.9999986588955</v>
      </c>
      <c r="D13528">
        <v>50</v>
      </c>
      <c r="E13528" s="80">
        <v>35844</v>
      </c>
    </row>
    <row r="13529" spans="1:5">
      <c r="A13529">
        <v>10894</v>
      </c>
      <c r="B13529" t="s">
        <v>179</v>
      </c>
      <c r="C13529">
        <v>1709.9999986588955</v>
      </c>
      <c r="D13529">
        <v>50</v>
      </c>
      <c r="E13529" s="80">
        <v>35844</v>
      </c>
    </row>
    <row r="13530" spans="1:5">
      <c r="A13530">
        <v>10894</v>
      </c>
      <c r="B13530" t="s">
        <v>172</v>
      </c>
      <c r="C13530">
        <v>883.499999307096</v>
      </c>
      <c r="D13530">
        <v>120</v>
      </c>
      <c r="E13530" s="80">
        <v>35844</v>
      </c>
    </row>
    <row r="13531" spans="1:5">
      <c r="A13531">
        <v>10894</v>
      </c>
      <c r="B13531" t="s">
        <v>173</v>
      </c>
      <c r="C13531">
        <v>883.499999307096</v>
      </c>
      <c r="D13531">
        <v>120</v>
      </c>
      <c r="E13531" s="80">
        <v>35844</v>
      </c>
    </row>
    <row r="13532" spans="1:5">
      <c r="A13532">
        <v>10894</v>
      </c>
      <c r="B13532" t="s">
        <v>174</v>
      </c>
      <c r="C13532">
        <v>883.499999307096</v>
      </c>
      <c r="D13532">
        <v>120</v>
      </c>
      <c r="E13532" s="80">
        <v>35844</v>
      </c>
    </row>
    <row r="13533" spans="1:5">
      <c r="A13533">
        <v>10894</v>
      </c>
      <c r="B13533" t="s">
        <v>175</v>
      </c>
      <c r="C13533">
        <v>883.499999307096</v>
      </c>
      <c r="D13533">
        <v>120</v>
      </c>
      <c r="E13533" s="80">
        <v>35844</v>
      </c>
    </row>
    <row r="13534" spans="1:5">
      <c r="A13534">
        <v>10894</v>
      </c>
      <c r="B13534" t="s">
        <v>176</v>
      </c>
      <c r="C13534">
        <v>883.499999307096</v>
      </c>
      <c r="D13534">
        <v>120</v>
      </c>
      <c r="E13534" s="80">
        <v>35844</v>
      </c>
    </row>
    <row r="13535" spans="1:5">
      <c r="A13535">
        <v>10894</v>
      </c>
      <c r="B13535" t="s">
        <v>177</v>
      </c>
      <c r="C13535">
        <v>883.499999307096</v>
      </c>
      <c r="D13535">
        <v>120</v>
      </c>
      <c r="E13535" s="80">
        <v>35844</v>
      </c>
    </row>
    <row r="13536" spans="1:5">
      <c r="A13536">
        <v>10894</v>
      </c>
      <c r="B13536" t="s">
        <v>178</v>
      </c>
      <c r="C13536">
        <v>883.499999307096</v>
      </c>
      <c r="D13536">
        <v>120</v>
      </c>
      <c r="E13536" s="80">
        <v>35844</v>
      </c>
    </row>
    <row r="13537" spans="1:5">
      <c r="A13537">
        <v>10894</v>
      </c>
      <c r="B13537" t="s">
        <v>179</v>
      </c>
      <c r="C13537">
        <v>883.499999307096</v>
      </c>
      <c r="D13537">
        <v>120</v>
      </c>
      <c r="E13537" s="80">
        <v>35844</v>
      </c>
    </row>
    <row r="13538" spans="1:5">
      <c r="A13538">
        <v>10895</v>
      </c>
      <c r="B13538" t="s">
        <v>172</v>
      </c>
      <c r="C13538">
        <v>495</v>
      </c>
      <c r="D13538">
        <v>110</v>
      </c>
      <c r="E13538" s="80">
        <v>35844</v>
      </c>
    </row>
    <row r="13539" spans="1:5">
      <c r="A13539">
        <v>10895</v>
      </c>
      <c r="B13539" t="s">
        <v>173</v>
      </c>
      <c r="C13539">
        <v>495</v>
      </c>
      <c r="D13539">
        <v>110</v>
      </c>
      <c r="E13539" s="80">
        <v>35844</v>
      </c>
    </row>
    <row r="13540" spans="1:5">
      <c r="A13540">
        <v>10895</v>
      </c>
      <c r="B13540" t="s">
        <v>174</v>
      </c>
      <c r="C13540">
        <v>495</v>
      </c>
      <c r="D13540">
        <v>110</v>
      </c>
      <c r="E13540" s="80">
        <v>35844</v>
      </c>
    </row>
    <row r="13541" spans="1:5">
      <c r="A13541">
        <v>10895</v>
      </c>
      <c r="B13541" t="s">
        <v>175</v>
      </c>
      <c r="C13541">
        <v>495</v>
      </c>
      <c r="D13541">
        <v>110</v>
      </c>
      <c r="E13541" s="80">
        <v>35844</v>
      </c>
    </row>
    <row r="13542" spans="1:5">
      <c r="A13542">
        <v>10895</v>
      </c>
      <c r="B13542" t="s">
        <v>176</v>
      </c>
      <c r="C13542">
        <v>495</v>
      </c>
      <c r="D13542">
        <v>110</v>
      </c>
      <c r="E13542" s="80">
        <v>35844</v>
      </c>
    </row>
    <row r="13543" spans="1:5">
      <c r="A13543">
        <v>10895</v>
      </c>
      <c r="B13543" t="s">
        <v>177</v>
      </c>
      <c r="C13543">
        <v>495</v>
      </c>
      <c r="D13543">
        <v>110</v>
      </c>
      <c r="E13543" s="80">
        <v>35844</v>
      </c>
    </row>
    <row r="13544" spans="1:5">
      <c r="A13544">
        <v>10895</v>
      </c>
      <c r="B13544" t="s">
        <v>178</v>
      </c>
      <c r="C13544">
        <v>495</v>
      </c>
      <c r="D13544">
        <v>110</v>
      </c>
      <c r="E13544" s="80">
        <v>35844</v>
      </c>
    </row>
    <row r="13545" spans="1:5">
      <c r="A13545">
        <v>10895</v>
      </c>
      <c r="B13545" t="s">
        <v>179</v>
      </c>
      <c r="C13545">
        <v>495</v>
      </c>
      <c r="D13545">
        <v>110</v>
      </c>
      <c r="E13545" s="80">
        <v>35844</v>
      </c>
    </row>
    <row r="13546" spans="1:5">
      <c r="A13546">
        <v>10895</v>
      </c>
      <c r="B13546" t="s">
        <v>172</v>
      </c>
      <c r="C13546">
        <v>810</v>
      </c>
      <c r="D13546">
        <v>45</v>
      </c>
      <c r="E13546" s="80">
        <v>35844</v>
      </c>
    </row>
    <row r="13547" spans="1:5">
      <c r="A13547">
        <v>10895</v>
      </c>
      <c r="B13547" t="s">
        <v>173</v>
      </c>
      <c r="C13547">
        <v>810</v>
      </c>
      <c r="D13547">
        <v>45</v>
      </c>
      <c r="E13547" s="80">
        <v>35844</v>
      </c>
    </row>
    <row r="13548" spans="1:5">
      <c r="A13548">
        <v>10895</v>
      </c>
      <c r="B13548" t="s">
        <v>174</v>
      </c>
      <c r="C13548">
        <v>810</v>
      </c>
      <c r="D13548">
        <v>45</v>
      </c>
      <c r="E13548" s="80">
        <v>35844</v>
      </c>
    </row>
    <row r="13549" spans="1:5">
      <c r="A13549">
        <v>10895</v>
      </c>
      <c r="B13549" t="s">
        <v>175</v>
      </c>
      <c r="C13549">
        <v>810</v>
      </c>
      <c r="D13549">
        <v>45</v>
      </c>
      <c r="E13549" s="80">
        <v>35844</v>
      </c>
    </row>
    <row r="13550" spans="1:5">
      <c r="A13550">
        <v>10895</v>
      </c>
      <c r="B13550" t="s">
        <v>176</v>
      </c>
      <c r="C13550">
        <v>810</v>
      </c>
      <c r="D13550">
        <v>45</v>
      </c>
      <c r="E13550" s="80">
        <v>35844</v>
      </c>
    </row>
    <row r="13551" spans="1:5">
      <c r="A13551">
        <v>10895</v>
      </c>
      <c r="B13551" t="s">
        <v>177</v>
      </c>
      <c r="C13551">
        <v>810</v>
      </c>
      <c r="D13551">
        <v>45</v>
      </c>
      <c r="E13551" s="80">
        <v>35844</v>
      </c>
    </row>
    <row r="13552" spans="1:5">
      <c r="A13552">
        <v>10895</v>
      </c>
      <c r="B13552" t="s">
        <v>178</v>
      </c>
      <c r="C13552">
        <v>810</v>
      </c>
      <c r="D13552">
        <v>45</v>
      </c>
      <c r="E13552" s="80">
        <v>35844</v>
      </c>
    </row>
    <row r="13553" spans="1:5">
      <c r="A13553">
        <v>10895</v>
      </c>
      <c r="B13553" t="s">
        <v>179</v>
      </c>
      <c r="C13553">
        <v>810</v>
      </c>
      <c r="D13553">
        <v>45</v>
      </c>
      <c r="E13553" s="80">
        <v>35844</v>
      </c>
    </row>
    <row r="13554" spans="1:5">
      <c r="A13554">
        <v>10895</v>
      </c>
      <c r="B13554" t="s">
        <v>172</v>
      </c>
      <c r="C13554">
        <v>1674.4</v>
      </c>
      <c r="D13554">
        <v>91</v>
      </c>
      <c r="E13554" s="80">
        <v>35844</v>
      </c>
    </row>
    <row r="13555" spans="1:5">
      <c r="A13555">
        <v>10895</v>
      </c>
      <c r="B13555" t="s">
        <v>173</v>
      </c>
      <c r="C13555">
        <v>1674.4</v>
      </c>
      <c r="D13555">
        <v>91</v>
      </c>
      <c r="E13555" s="80">
        <v>35844</v>
      </c>
    </row>
    <row r="13556" spans="1:5">
      <c r="A13556">
        <v>10895</v>
      </c>
      <c r="B13556" t="s">
        <v>174</v>
      </c>
      <c r="C13556">
        <v>1674.4</v>
      </c>
      <c r="D13556">
        <v>91</v>
      </c>
      <c r="E13556" s="80">
        <v>35844</v>
      </c>
    </row>
    <row r="13557" spans="1:5">
      <c r="A13557">
        <v>10895</v>
      </c>
      <c r="B13557" t="s">
        <v>175</v>
      </c>
      <c r="C13557">
        <v>1674.4</v>
      </c>
      <c r="D13557">
        <v>91</v>
      </c>
      <c r="E13557" s="80">
        <v>35844</v>
      </c>
    </row>
    <row r="13558" spans="1:5">
      <c r="A13558">
        <v>10895</v>
      </c>
      <c r="B13558" t="s">
        <v>176</v>
      </c>
      <c r="C13558">
        <v>1674.4</v>
      </c>
      <c r="D13558">
        <v>91</v>
      </c>
      <c r="E13558" s="80">
        <v>35844</v>
      </c>
    </row>
    <row r="13559" spans="1:5">
      <c r="A13559">
        <v>10895</v>
      </c>
      <c r="B13559" t="s">
        <v>177</v>
      </c>
      <c r="C13559">
        <v>1674.4</v>
      </c>
      <c r="D13559">
        <v>91</v>
      </c>
      <c r="E13559" s="80">
        <v>35844</v>
      </c>
    </row>
    <row r="13560" spans="1:5">
      <c r="A13560">
        <v>10895</v>
      </c>
      <c r="B13560" t="s">
        <v>178</v>
      </c>
      <c r="C13560">
        <v>1674.4</v>
      </c>
      <c r="D13560">
        <v>91</v>
      </c>
      <c r="E13560" s="80">
        <v>35844</v>
      </c>
    </row>
    <row r="13561" spans="1:5">
      <c r="A13561">
        <v>10895</v>
      </c>
      <c r="B13561" t="s">
        <v>179</v>
      </c>
      <c r="C13561">
        <v>1674.4</v>
      </c>
      <c r="D13561">
        <v>91</v>
      </c>
      <c r="E13561" s="80">
        <v>35844</v>
      </c>
    </row>
    <row r="13562" spans="1:5">
      <c r="A13562">
        <v>10895</v>
      </c>
      <c r="B13562" t="s">
        <v>172</v>
      </c>
      <c r="C13562">
        <v>3400</v>
      </c>
      <c r="D13562">
        <v>100</v>
      </c>
      <c r="E13562" s="80">
        <v>35844</v>
      </c>
    </row>
    <row r="13563" spans="1:5">
      <c r="A13563">
        <v>10895</v>
      </c>
      <c r="B13563" t="s">
        <v>173</v>
      </c>
      <c r="C13563">
        <v>3400</v>
      </c>
      <c r="D13563">
        <v>100</v>
      </c>
      <c r="E13563" s="80">
        <v>35844</v>
      </c>
    </row>
    <row r="13564" spans="1:5">
      <c r="A13564">
        <v>10895</v>
      </c>
      <c r="B13564" t="s">
        <v>174</v>
      </c>
      <c r="C13564">
        <v>3400</v>
      </c>
      <c r="D13564">
        <v>100</v>
      </c>
      <c r="E13564" s="80">
        <v>35844</v>
      </c>
    </row>
    <row r="13565" spans="1:5">
      <c r="A13565">
        <v>10895</v>
      </c>
      <c r="B13565" t="s">
        <v>175</v>
      </c>
      <c r="C13565">
        <v>3400</v>
      </c>
      <c r="D13565">
        <v>100</v>
      </c>
      <c r="E13565" s="80">
        <v>35844</v>
      </c>
    </row>
    <row r="13566" spans="1:5">
      <c r="A13566">
        <v>10895</v>
      </c>
      <c r="B13566" t="s">
        <v>176</v>
      </c>
      <c r="C13566">
        <v>3400</v>
      </c>
      <c r="D13566">
        <v>100</v>
      </c>
      <c r="E13566" s="80">
        <v>35844</v>
      </c>
    </row>
    <row r="13567" spans="1:5">
      <c r="A13567">
        <v>10895</v>
      </c>
      <c r="B13567" t="s">
        <v>177</v>
      </c>
      <c r="C13567">
        <v>3400</v>
      </c>
      <c r="D13567">
        <v>100</v>
      </c>
      <c r="E13567" s="80">
        <v>35844</v>
      </c>
    </row>
    <row r="13568" spans="1:5">
      <c r="A13568">
        <v>10895</v>
      </c>
      <c r="B13568" t="s">
        <v>178</v>
      </c>
      <c r="C13568">
        <v>3400</v>
      </c>
      <c r="D13568">
        <v>100</v>
      </c>
      <c r="E13568" s="80">
        <v>35844</v>
      </c>
    </row>
    <row r="13569" spans="1:5">
      <c r="A13569">
        <v>10895</v>
      </c>
      <c r="B13569" t="s">
        <v>179</v>
      </c>
      <c r="C13569">
        <v>3400</v>
      </c>
      <c r="D13569">
        <v>100</v>
      </c>
      <c r="E13569" s="80">
        <v>35844</v>
      </c>
    </row>
    <row r="13570" spans="1:5">
      <c r="A13570">
        <v>10896</v>
      </c>
      <c r="B13570" t="s">
        <v>172</v>
      </c>
      <c r="C13570">
        <v>142.5</v>
      </c>
      <c r="D13570">
        <v>15</v>
      </c>
      <c r="E13570" s="80">
        <v>35845</v>
      </c>
    </row>
    <row r="13571" spans="1:5">
      <c r="A13571">
        <v>10896</v>
      </c>
      <c r="B13571" t="s">
        <v>173</v>
      </c>
      <c r="C13571">
        <v>142.5</v>
      </c>
      <c r="D13571">
        <v>15</v>
      </c>
      <c r="E13571" s="80">
        <v>35845</v>
      </c>
    </row>
    <row r="13572" spans="1:5">
      <c r="A13572">
        <v>10896</v>
      </c>
      <c r="B13572" t="s">
        <v>174</v>
      </c>
      <c r="C13572">
        <v>142.5</v>
      </c>
      <c r="D13572">
        <v>15</v>
      </c>
      <c r="E13572" s="80">
        <v>35845</v>
      </c>
    </row>
    <row r="13573" spans="1:5">
      <c r="A13573">
        <v>10896</v>
      </c>
      <c r="B13573" t="s">
        <v>175</v>
      </c>
      <c r="C13573">
        <v>142.5</v>
      </c>
      <c r="D13573">
        <v>15</v>
      </c>
      <c r="E13573" s="80">
        <v>35845</v>
      </c>
    </row>
    <row r="13574" spans="1:5">
      <c r="A13574">
        <v>10896</v>
      </c>
      <c r="B13574" t="s">
        <v>176</v>
      </c>
      <c r="C13574">
        <v>142.5</v>
      </c>
      <c r="D13574">
        <v>15</v>
      </c>
      <c r="E13574" s="80">
        <v>35845</v>
      </c>
    </row>
    <row r="13575" spans="1:5">
      <c r="A13575">
        <v>10896</v>
      </c>
      <c r="B13575" t="s">
        <v>177</v>
      </c>
      <c r="C13575">
        <v>142.5</v>
      </c>
      <c r="D13575">
        <v>15</v>
      </c>
      <c r="E13575" s="80">
        <v>35845</v>
      </c>
    </row>
    <row r="13576" spans="1:5">
      <c r="A13576">
        <v>10896</v>
      </c>
      <c r="B13576" t="s">
        <v>178</v>
      </c>
      <c r="C13576">
        <v>142.5</v>
      </c>
      <c r="D13576">
        <v>15</v>
      </c>
      <c r="E13576" s="80">
        <v>35845</v>
      </c>
    </row>
    <row r="13577" spans="1:5">
      <c r="A13577">
        <v>10896</v>
      </c>
      <c r="B13577" t="s">
        <v>179</v>
      </c>
      <c r="C13577">
        <v>142.5</v>
      </c>
      <c r="D13577">
        <v>15</v>
      </c>
      <c r="E13577" s="80">
        <v>35845</v>
      </c>
    </row>
    <row r="13578" spans="1:5">
      <c r="A13578">
        <v>10896</v>
      </c>
      <c r="B13578" t="s">
        <v>172</v>
      </c>
      <c r="C13578">
        <v>608</v>
      </c>
      <c r="D13578">
        <v>16</v>
      </c>
      <c r="E13578" s="80">
        <v>35845</v>
      </c>
    </row>
    <row r="13579" spans="1:5">
      <c r="A13579">
        <v>10896</v>
      </c>
      <c r="B13579" t="s">
        <v>173</v>
      </c>
      <c r="C13579">
        <v>608</v>
      </c>
      <c r="D13579">
        <v>16</v>
      </c>
      <c r="E13579" s="80">
        <v>35845</v>
      </c>
    </row>
    <row r="13580" spans="1:5">
      <c r="A13580">
        <v>10896</v>
      </c>
      <c r="B13580" t="s">
        <v>174</v>
      </c>
      <c r="C13580">
        <v>608</v>
      </c>
      <c r="D13580">
        <v>16</v>
      </c>
      <c r="E13580" s="80">
        <v>35845</v>
      </c>
    </row>
    <row r="13581" spans="1:5">
      <c r="A13581">
        <v>10896</v>
      </c>
      <c r="B13581" t="s">
        <v>175</v>
      </c>
      <c r="C13581">
        <v>608</v>
      </c>
      <c r="D13581">
        <v>16</v>
      </c>
      <c r="E13581" s="80">
        <v>35845</v>
      </c>
    </row>
    <row r="13582" spans="1:5">
      <c r="A13582">
        <v>10896</v>
      </c>
      <c r="B13582" t="s">
        <v>176</v>
      </c>
      <c r="C13582">
        <v>608</v>
      </c>
      <c r="D13582">
        <v>16</v>
      </c>
      <c r="E13582" s="80">
        <v>35845</v>
      </c>
    </row>
    <row r="13583" spans="1:5">
      <c r="A13583">
        <v>10896</v>
      </c>
      <c r="B13583" t="s">
        <v>177</v>
      </c>
      <c r="C13583">
        <v>608</v>
      </c>
      <c r="D13583">
        <v>16</v>
      </c>
      <c r="E13583" s="80">
        <v>35845</v>
      </c>
    </row>
    <row r="13584" spans="1:5">
      <c r="A13584">
        <v>10896</v>
      </c>
      <c r="B13584" t="s">
        <v>178</v>
      </c>
      <c r="C13584">
        <v>608</v>
      </c>
      <c r="D13584">
        <v>16</v>
      </c>
      <c r="E13584" s="80">
        <v>35845</v>
      </c>
    </row>
    <row r="13585" spans="1:5">
      <c r="A13585">
        <v>10896</v>
      </c>
      <c r="B13585" t="s">
        <v>179</v>
      </c>
      <c r="C13585">
        <v>608</v>
      </c>
      <c r="D13585">
        <v>16</v>
      </c>
      <c r="E13585" s="80">
        <v>35845</v>
      </c>
    </row>
    <row r="13586" spans="1:5">
      <c r="A13586">
        <v>10897</v>
      </c>
      <c r="B13586" t="s">
        <v>172</v>
      </c>
      <c r="C13586">
        <v>9903.2000000000007</v>
      </c>
      <c r="D13586">
        <v>80</v>
      </c>
      <c r="E13586" s="80">
        <v>35845</v>
      </c>
    </row>
    <row r="13587" spans="1:5">
      <c r="A13587">
        <v>10897</v>
      </c>
      <c r="B13587" t="s">
        <v>173</v>
      </c>
      <c r="C13587">
        <v>9903.2000000000007</v>
      </c>
      <c r="D13587">
        <v>80</v>
      </c>
      <c r="E13587" s="80">
        <v>35845</v>
      </c>
    </row>
    <row r="13588" spans="1:5">
      <c r="A13588">
        <v>10897</v>
      </c>
      <c r="B13588" t="s">
        <v>174</v>
      </c>
      <c r="C13588">
        <v>9903.2000000000007</v>
      </c>
      <c r="D13588">
        <v>80</v>
      </c>
      <c r="E13588" s="80">
        <v>35845</v>
      </c>
    </row>
    <row r="13589" spans="1:5">
      <c r="A13589">
        <v>10897</v>
      </c>
      <c r="B13589" t="s">
        <v>175</v>
      </c>
      <c r="C13589">
        <v>9903.2000000000007</v>
      </c>
      <c r="D13589">
        <v>80</v>
      </c>
      <c r="E13589" s="80">
        <v>35845</v>
      </c>
    </row>
    <row r="13590" spans="1:5">
      <c r="A13590">
        <v>10897</v>
      </c>
      <c r="B13590" t="s">
        <v>176</v>
      </c>
      <c r="C13590">
        <v>9903.2000000000007</v>
      </c>
      <c r="D13590">
        <v>80</v>
      </c>
      <c r="E13590" s="80">
        <v>35845</v>
      </c>
    </row>
    <row r="13591" spans="1:5">
      <c r="A13591">
        <v>10897</v>
      </c>
      <c r="B13591" t="s">
        <v>177</v>
      </c>
      <c r="C13591">
        <v>9903.2000000000007</v>
      </c>
      <c r="D13591">
        <v>80</v>
      </c>
      <c r="E13591" s="80">
        <v>35845</v>
      </c>
    </row>
    <row r="13592" spans="1:5">
      <c r="A13592">
        <v>10897</v>
      </c>
      <c r="B13592" t="s">
        <v>178</v>
      </c>
      <c r="C13592">
        <v>9903.2000000000007</v>
      </c>
      <c r="D13592">
        <v>80</v>
      </c>
      <c r="E13592" s="80">
        <v>35845</v>
      </c>
    </row>
    <row r="13593" spans="1:5">
      <c r="A13593">
        <v>10897</v>
      </c>
      <c r="B13593" t="s">
        <v>179</v>
      </c>
      <c r="C13593">
        <v>9903.2000000000007</v>
      </c>
      <c r="D13593">
        <v>80</v>
      </c>
      <c r="E13593" s="80">
        <v>35845</v>
      </c>
    </row>
    <row r="13594" spans="1:5">
      <c r="A13594">
        <v>10897</v>
      </c>
      <c r="B13594" t="s">
        <v>172</v>
      </c>
      <c r="C13594">
        <v>932.04</v>
      </c>
      <c r="D13594">
        <v>36</v>
      </c>
      <c r="E13594" s="80">
        <v>35845</v>
      </c>
    </row>
    <row r="13595" spans="1:5">
      <c r="A13595">
        <v>10897</v>
      </c>
      <c r="B13595" t="s">
        <v>173</v>
      </c>
      <c r="C13595">
        <v>932.04</v>
      </c>
      <c r="D13595">
        <v>36</v>
      </c>
      <c r="E13595" s="80">
        <v>35845</v>
      </c>
    </row>
    <row r="13596" spans="1:5">
      <c r="A13596">
        <v>10897</v>
      </c>
      <c r="B13596" t="s">
        <v>174</v>
      </c>
      <c r="C13596">
        <v>932.04</v>
      </c>
      <c r="D13596">
        <v>36</v>
      </c>
      <c r="E13596" s="80">
        <v>35845</v>
      </c>
    </row>
    <row r="13597" spans="1:5">
      <c r="A13597">
        <v>10897</v>
      </c>
      <c r="B13597" t="s">
        <v>175</v>
      </c>
      <c r="C13597">
        <v>932.04</v>
      </c>
      <c r="D13597">
        <v>36</v>
      </c>
      <c r="E13597" s="80">
        <v>35845</v>
      </c>
    </row>
    <row r="13598" spans="1:5">
      <c r="A13598">
        <v>10897</v>
      </c>
      <c r="B13598" t="s">
        <v>176</v>
      </c>
      <c r="C13598">
        <v>932.04</v>
      </c>
      <c r="D13598">
        <v>36</v>
      </c>
      <c r="E13598" s="80">
        <v>35845</v>
      </c>
    </row>
    <row r="13599" spans="1:5">
      <c r="A13599">
        <v>10897</v>
      </c>
      <c r="B13599" t="s">
        <v>177</v>
      </c>
      <c r="C13599">
        <v>932.04</v>
      </c>
      <c r="D13599">
        <v>36</v>
      </c>
      <c r="E13599" s="80">
        <v>35845</v>
      </c>
    </row>
    <row r="13600" spans="1:5">
      <c r="A13600">
        <v>10897</v>
      </c>
      <c r="B13600" t="s">
        <v>178</v>
      </c>
      <c r="C13600">
        <v>932.04</v>
      </c>
      <c r="D13600">
        <v>36</v>
      </c>
      <c r="E13600" s="80">
        <v>35845</v>
      </c>
    </row>
    <row r="13601" spans="1:5">
      <c r="A13601">
        <v>10897</v>
      </c>
      <c r="B13601" t="s">
        <v>179</v>
      </c>
      <c r="C13601">
        <v>932.04</v>
      </c>
      <c r="D13601">
        <v>36</v>
      </c>
      <c r="E13601" s="80">
        <v>35845</v>
      </c>
    </row>
    <row r="13602" spans="1:5">
      <c r="A13602">
        <v>10898</v>
      </c>
      <c r="B13602" t="s">
        <v>172</v>
      </c>
      <c r="C13602">
        <v>30</v>
      </c>
      <c r="D13602">
        <v>5</v>
      </c>
      <c r="E13602" s="80">
        <v>35846</v>
      </c>
    </row>
    <row r="13603" spans="1:5">
      <c r="A13603">
        <v>10898</v>
      </c>
      <c r="B13603" t="s">
        <v>173</v>
      </c>
      <c r="C13603">
        <v>30</v>
      </c>
      <c r="D13603">
        <v>5</v>
      </c>
      <c r="E13603" s="80">
        <v>35846</v>
      </c>
    </row>
    <row r="13604" spans="1:5">
      <c r="A13604">
        <v>10898</v>
      </c>
      <c r="B13604" t="s">
        <v>174</v>
      </c>
      <c r="C13604">
        <v>30</v>
      </c>
      <c r="D13604">
        <v>5</v>
      </c>
      <c r="E13604" s="80">
        <v>35846</v>
      </c>
    </row>
    <row r="13605" spans="1:5">
      <c r="A13605">
        <v>10898</v>
      </c>
      <c r="B13605" t="s">
        <v>175</v>
      </c>
      <c r="C13605">
        <v>30</v>
      </c>
      <c r="D13605">
        <v>5</v>
      </c>
      <c r="E13605" s="80">
        <v>35846</v>
      </c>
    </row>
    <row r="13606" spans="1:5">
      <c r="A13606">
        <v>10898</v>
      </c>
      <c r="B13606" t="s">
        <v>176</v>
      </c>
      <c r="C13606">
        <v>30</v>
      </c>
      <c r="D13606">
        <v>5</v>
      </c>
      <c r="E13606" s="80">
        <v>35846</v>
      </c>
    </row>
    <row r="13607" spans="1:5">
      <c r="A13607">
        <v>10898</v>
      </c>
      <c r="B13607" t="s">
        <v>177</v>
      </c>
      <c r="C13607">
        <v>30</v>
      </c>
      <c r="D13607">
        <v>5</v>
      </c>
      <c r="E13607" s="80">
        <v>35846</v>
      </c>
    </row>
    <row r="13608" spans="1:5">
      <c r="A13608">
        <v>10898</v>
      </c>
      <c r="B13608" t="s">
        <v>178</v>
      </c>
      <c r="C13608">
        <v>30</v>
      </c>
      <c r="D13608">
        <v>5</v>
      </c>
      <c r="E13608" s="80">
        <v>35846</v>
      </c>
    </row>
    <row r="13609" spans="1:5">
      <c r="A13609">
        <v>10898</v>
      </c>
      <c r="B13609" t="s">
        <v>179</v>
      </c>
      <c r="C13609">
        <v>30</v>
      </c>
      <c r="D13609">
        <v>5</v>
      </c>
      <c r="E13609" s="80">
        <v>35846</v>
      </c>
    </row>
    <row r="13610" spans="1:5">
      <c r="A13610">
        <v>10899</v>
      </c>
      <c r="B13610" t="s">
        <v>172</v>
      </c>
      <c r="C13610">
        <v>122.39999914169312</v>
      </c>
      <c r="D13610">
        <v>8</v>
      </c>
      <c r="E13610" s="80">
        <v>35846</v>
      </c>
    </row>
    <row r="13611" spans="1:5">
      <c r="A13611">
        <v>10899</v>
      </c>
      <c r="B13611" t="s">
        <v>173</v>
      </c>
      <c r="C13611">
        <v>122.39999914169312</v>
      </c>
      <c r="D13611">
        <v>8</v>
      </c>
      <c r="E13611" s="80">
        <v>35846</v>
      </c>
    </row>
    <row r="13612" spans="1:5">
      <c r="A13612">
        <v>10899</v>
      </c>
      <c r="B13612" t="s">
        <v>174</v>
      </c>
      <c r="C13612">
        <v>122.39999914169312</v>
      </c>
      <c r="D13612">
        <v>8</v>
      </c>
      <c r="E13612" s="80">
        <v>35846</v>
      </c>
    </row>
    <row r="13613" spans="1:5">
      <c r="A13613">
        <v>10899</v>
      </c>
      <c r="B13613" t="s">
        <v>175</v>
      </c>
      <c r="C13613">
        <v>122.39999914169312</v>
      </c>
      <c r="D13613">
        <v>8</v>
      </c>
      <c r="E13613" s="80">
        <v>35846</v>
      </c>
    </row>
    <row r="13614" spans="1:5">
      <c r="A13614">
        <v>10899</v>
      </c>
      <c r="B13614" t="s">
        <v>176</v>
      </c>
      <c r="C13614">
        <v>122.39999914169312</v>
      </c>
      <c r="D13614">
        <v>8</v>
      </c>
      <c r="E13614" s="80">
        <v>35846</v>
      </c>
    </row>
    <row r="13615" spans="1:5">
      <c r="A13615">
        <v>10899</v>
      </c>
      <c r="B13615" t="s">
        <v>177</v>
      </c>
      <c r="C13615">
        <v>122.39999914169312</v>
      </c>
      <c r="D13615">
        <v>8</v>
      </c>
      <c r="E13615" s="80">
        <v>35846</v>
      </c>
    </row>
    <row r="13616" spans="1:5">
      <c r="A13616">
        <v>10899</v>
      </c>
      <c r="B13616" t="s">
        <v>178</v>
      </c>
      <c r="C13616">
        <v>122.39999914169312</v>
      </c>
      <c r="D13616">
        <v>8</v>
      </c>
      <c r="E13616" s="80">
        <v>35846</v>
      </c>
    </row>
    <row r="13617" spans="1:5">
      <c r="A13617">
        <v>10899</v>
      </c>
      <c r="B13617" t="s">
        <v>179</v>
      </c>
      <c r="C13617">
        <v>122.39999914169312</v>
      </c>
      <c r="D13617">
        <v>8</v>
      </c>
      <c r="E13617" s="80">
        <v>35846</v>
      </c>
    </row>
    <row r="13618" spans="1:5">
      <c r="A13618">
        <v>10900</v>
      </c>
      <c r="B13618" t="s">
        <v>172</v>
      </c>
      <c r="C13618">
        <v>33.75</v>
      </c>
      <c r="D13618">
        <v>3</v>
      </c>
      <c r="E13618" s="80">
        <v>35846</v>
      </c>
    </row>
    <row r="13619" spans="1:5">
      <c r="A13619">
        <v>10900</v>
      </c>
      <c r="B13619" t="s">
        <v>173</v>
      </c>
      <c r="C13619">
        <v>33.75</v>
      </c>
      <c r="D13619">
        <v>3</v>
      </c>
      <c r="E13619" s="80">
        <v>35846</v>
      </c>
    </row>
    <row r="13620" spans="1:5">
      <c r="A13620">
        <v>10900</v>
      </c>
      <c r="B13620" t="s">
        <v>174</v>
      </c>
      <c r="C13620">
        <v>33.75</v>
      </c>
      <c r="D13620">
        <v>3</v>
      </c>
      <c r="E13620" s="80">
        <v>35846</v>
      </c>
    </row>
    <row r="13621" spans="1:5">
      <c r="A13621">
        <v>10900</v>
      </c>
      <c r="B13621" t="s">
        <v>175</v>
      </c>
      <c r="C13621">
        <v>33.75</v>
      </c>
      <c r="D13621">
        <v>3</v>
      </c>
      <c r="E13621" s="80">
        <v>35846</v>
      </c>
    </row>
    <row r="13622" spans="1:5">
      <c r="A13622">
        <v>10900</v>
      </c>
      <c r="B13622" t="s">
        <v>176</v>
      </c>
      <c r="C13622">
        <v>33.75</v>
      </c>
      <c r="D13622">
        <v>3</v>
      </c>
      <c r="E13622" s="80">
        <v>35846</v>
      </c>
    </row>
    <row r="13623" spans="1:5">
      <c r="A13623">
        <v>10900</v>
      </c>
      <c r="B13623" t="s">
        <v>177</v>
      </c>
      <c r="C13623">
        <v>33.75</v>
      </c>
      <c r="D13623">
        <v>3</v>
      </c>
      <c r="E13623" s="80">
        <v>35846</v>
      </c>
    </row>
    <row r="13624" spans="1:5">
      <c r="A13624">
        <v>10900</v>
      </c>
      <c r="B13624" t="s">
        <v>178</v>
      </c>
      <c r="C13624">
        <v>33.75</v>
      </c>
      <c r="D13624">
        <v>3</v>
      </c>
      <c r="E13624" s="80">
        <v>35846</v>
      </c>
    </row>
    <row r="13625" spans="1:5">
      <c r="A13625">
        <v>10900</v>
      </c>
      <c r="B13625" t="s">
        <v>179</v>
      </c>
      <c r="C13625">
        <v>33.75</v>
      </c>
      <c r="D13625">
        <v>3</v>
      </c>
      <c r="E13625" s="80">
        <v>35846</v>
      </c>
    </row>
    <row r="13626" spans="1:5">
      <c r="A13626">
        <v>10901</v>
      </c>
      <c r="B13626" t="s">
        <v>172</v>
      </c>
      <c r="C13626">
        <v>289.5</v>
      </c>
      <c r="D13626">
        <v>30</v>
      </c>
      <c r="E13626" s="80">
        <v>35849</v>
      </c>
    </row>
    <row r="13627" spans="1:5">
      <c r="A13627">
        <v>10901</v>
      </c>
      <c r="B13627" t="s">
        <v>173</v>
      </c>
      <c r="C13627">
        <v>289.5</v>
      </c>
      <c r="D13627">
        <v>30</v>
      </c>
      <c r="E13627" s="80">
        <v>35849</v>
      </c>
    </row>
    <row r="13628" spans="1:5">
      <c r="A13628">
        <v>10901</v>
      </c>
      <c r="B13628" t="s">
        <v>174</v>
      </c>
      <c r="C13628">
        <v>289.5</v>
      </c>
      <c r="D13628">
        <v>30</v>
      </c>
      <c r="E13628" s="80">
        <v>35849</v>
      </c>
    </row>
    <row r="13629" spans="1:5">
      <c r="A13629">
        <v>10901</v>
      </c>
      <c r="B13629" t="s">
        <v>175</v>
      </c>
      <c r="C13629">
        <v>289.5</v>
      </c>
      <c r="D13629">
        <v>30</v>
      </c>
      <c r="E13629" s="80">
        <v>35849</v>
      </c>
    </row>
    <row r="13630" spans="1:5">
      <c r="A13630">
        <v>10901</v>
      </c>
      <c r="B13630" t="s">
        <v>176</v>
      </c>
      <c r="C13630">
        <v>289.5</v>
      </c>
      <c r="D13630">
        <v>30</v>
      </c>
      <c r="E13630" s="80">
        <v>35849</v>
      </c>
    </row>
    <row r="13631" spans="1:5">
      <c r="A13631">
        <v>10901</v>
      </c>
      <c r="B13631" t="s">
        <v>177</v>
      </c>
      <c r="C13631">
        <v>289.5</v>
      </c>
      <c r="D13631">
        <v>30</v>
      </c>
      <c r="E13631" s="80">
        <v>35849</v>
      </c>
    </row>
    <row r="13632" spans="1:5">
      <c r="A13632">
        <v>10901</v>
      </c>
      <c r="B13632" t="s">
        <v>178</v>
      </c>
      <c r="C13632">
        <v>289.5</v>
      </c>
      <c r="D13632">
        <v>30</v>
      </c>
      <c r="E13632" s="80">
        <v>35849</v>
      </c>
    </row>
    <row r="13633" spans="1:5">
      <c r="A13633">
        <v>10901</v>
      </c>
      <c r="B13633" t="s">
        <v>179</v>
      </c>
      <c r="C13633">
        <v>289.5</v>
      </c>
      <c r="D13633">
        <v>30</v>
      </c>
      <c r="E13633" s="80">
        <v>35849</v>
      </c>
    </row>
    <row r="13634" spans="1:5">
      <c r="A13634">
        <v>10901</v>
      </c>
      <c r="B13634" t="s">
        <v>172</v>
      </c>
      <c r="C13634">
        <v>645</v>
      </c>
      <c r="D13634">
        <v>30</v>
      </c>
      <c r="E13634" s="80">
        <v>35849</v>
      </c>
    </row>
    <row r="13635" spans="1:5">
      <c r="A13635">
        <v>10901</v>
      </c>
      <c r="B13635" t="s">
        <v>173</v>
      </c>
      <c r="C13635">
        <v>645</v>
      </c>
      <c r="D13635">
        <v>30</v>
      </c>
      <c r="E13635" s="80">
        <v>35849</v>
      </c>
    </row>
    <row r="13636" spans="1:5">
      <c r="A13636">
        <v>10901</v>
      </c>
      <c r="B13636" t="s">
        <v>174</v>
      </c>
      <c r="C13636">
        <v>645</v>
      </c>
      <c r="D13636">
        <v>30</v>
      </c>
      <c r="E13636" s="80">
        <v>35849</v>
      </c>
    </row>
    <row r="13637" spans="1:5">
      <c r="A13637">
        <v>10901</v>
      </c>
      <c r="B13637" t="s">
        <v>175</v>
      </c>
      <c r="C13637">
        <v>645</v>
      </c>
      <c r="D13637">
        <v>30</v>
      </c>
      <c r="E13637" s="80">
        <v>35849</v>
      </c>
    </row>
    <row r="13638" spans="1:5">
      <c r="A13638">
        <v>10901</v>
      </c>
      <c r="B13638" t="s">
        <v>176</v>
      </c>
      <c r="C13638">
        <v>645</v>
      </c>
      <c r="D13638">
        <v>30</v>
      </c>
      <c r="E13638" s="80">
        <v>35849</v>
      </c>
    </row>
    <row r="13639" spans="1:5">
      <c r="A13639">
        <v>10901</v>
      </c>
      <c r="B13639" t="s">
        <v>177</v>
      </c>
      <c r="C13639">
        <v>645</v>
      </c>
      <c r="D13639">
        <v>30</v>
      </c>
      <c r="E13639" s="80">
        <v>35849</v>
      </c>
    </row>
    <row r="13640" spans="1:5">
      <c r="A13640">
        <v>10901</v>
      </c>
      <c r="B13640" t="s">
        <v>178</v>
      </c>
      <c r="C13640">
        <v>645</v>
      </c>
      <c r="D13640">
        <v>30</v>
      </c>
      <c r="E13640" s="80">
        <v>35849</v>
      </c>
    </row>
    <row r="13641" spans="1:5">
      <c r="A13641">
        <v>10901</v>
      </c>
      <c r="B13641" t="s">
        <v>179</v>
      </c>
      <c r="C13641">
        <v>645</v>
      </c>
      <c r="D13641">
        <v>30</v>
      </c>
      <c r="E13641" s="80">
        <v>35849</v>
      </c>
    </row>
    <row r="13642" spans="1:5">
      <c r="A13642">
        <v>10902</v>
      </c>
      <c r="B13642" t="s">
        <v>172</v>
      </c>
      <c r="C13642">
        <v>611.99999570846558</v>
      </c>
      <c r="D13642">
        <v>30</v>
      </c>
      <c r="E13642" s="80">
        <v>35849</v>
      </c>
    </row>
    <row r="13643" spans="1:5">
      <c r="A13643">
        <v>10902</v>
      </c>
      <c r="B13643" t="s">
        <v>173</v>
      </c>
      <c r="C13643">
        <v>611.99999570846558</v>
      </c>
      <c r="D13643">
        <v>30</v>
      </c>
      <c r="E13643" s="80">
        <v>35849</v>
      </c>
    </row>
    <row r="13644" spans="1:5">
      <c r="A13644">
        <v>10902</v>
      </c>
      <c r="B13644" t="s">
        <v>174</v>
      </c>
      <c r="C13644">
        <v>611.99999570846558</v>
      </c>
      <c r="D13644">
        <v>30</v>
      </c>
      <c r="E13644" s="80">
        <v>35849</v>
      </c>
    </row>
    <row r="13645" spans="1:5">
      <c r="A13645">
        <v>10902</v>
      </c>
      <c r="B13645" t="s">
        <v>175</v>
      </c>
      <c r="C13645">
        <v>611.99999570846558</v>
      </c>
      <c r="D13645">
        <v>30</v>
      </c>
      <c r="E13645" s="80">
        <v>35849</v>
      </c>
    </row>
    <row r="13646" spans="1:5">
      <c r="A13646">
        <v>10902</v>
      </c>
      <c r="B13646" t="s">
        <v>176</v>
      </c>
      <c r="C13646">
        <v>611.99999570846558</v>
      </c>
      <c r="D13646">
        <v>30</v>
      </c>
      <c r="E13646" s="80">
        <v>35849</v>
      </c>
    </row>
    <row r="13647" spans="1:5">
      <c r="A13647">
        <v>10902</v>
      </c>
      <c r="B13647" t="s">
        <v>177</v>
      </c>
      <c r="C13647">
        <v>611.99999570846558</v>
      </c>
      <c r="D13647">
        <v>30</v>
      </c>
      <c r="E13647" s="80">
        <v>35849</v>
      </c>
    </row>
    <row r="13648" spans="1:5">
      <c r="A13648">
        <v>10902</v>
      </c>
      <c r="B13648" t="s">
        <v>178</v>
      </c>
      <c r="C13648">
        <v>611.99999570846558</v>
      </c>
      <c r="D13648">
        <v>30</v>
      </c>
      <c r="E13648" s="80">
        <v>35849</v>
      </c>
    </row>
    <row r="13649" spans="1:5">
      <c r="A13649">
        <v>10902</v>
      </c>
      <c r="B13649" t="s">
        <v>179</v>
      </c>
      <c r="C13649">
        <v>611.99999570846558</v>
      </c>
      <c r="D13649">
        <v>30</v>
      </c>
      <c r="E13649" s="80">
        <v>35849</v>
      </c>
    </row>
    <row r="13650" spans="1:5">
      <c r="A13650">
        <v>10902</v>
      </c>
      <c r="B13650" t="s">
        <v>172</v>
      </c>
      <c r="C13650">
        <v>251.42999823689462</v>
      </c>
      <c r="D13650">
        <v>6</v>
      </c>
      <c r="E13650" s="80">
        <v>35849</v>
      </c>
    </row>
    <row r="13651" spans="1:5">
      <c r="A13651">
        <v>10902</v>
      </c>
      <c r="B13651" t="s">
        <v>173</v>
      </c>
      <c r="C13651">
        <v>251.42999823689462</v>
      </c>
      <c r="D13651">
        <v>6</v>
      </c>
      <c r="E13651" s="80">
        <v>35849</v>
      </c>
    </row>
    <row r="13652" spans="1:5">
      <c r="A13652">
        <v>10902</v>
      </c>
      <c r="B13652" t="s">
        <v>174</v>
      </c>
      <c r="C13652">
        <v>251.42999823689462</v>
      </c>
      <c r="D13652">
        <v>6</v>
      </c>
      <c r="E13652" s="80">
        <v>35849</v>
      </c>
    </row>
    <row r="13653" spans="1:5">
      <c r="A13653">
        <v>10902</v>
      </c>
      <c r="B13653" t="s">
        <v>175</v>
      </c>
      <c r="C13653">
        <v>251.42999823689462</v>
      </c>
      <c r="D13653">
        <v>6</v>
      </c>
      <c r="E13653" s="80">
        <v>35849</v>
      </c>
    </row>
    <row r="13654" spans="1:5">
      <c r="A13654">
        <v>10902</v>
      </c>
      <c r="B13654" t="s">
        <v>176</v>
      </c>
      <c r="C13654">
        <v>251.42999823689462</v>
      </c>
      <c r="D13654">
        <v>6</v>
      </c>
      <c r="E13654" s="80">
        <v>35849</v>
      </c>
    </row>
    <row r="13655" spans="1:5">
      <c r="A13655">
        <v>10902</v>
      </c>
      <c r="B13655" t="s">
        <v>177</v>
      </c>
      <c r="C13655">
        <v>251.42999823689462</v>
      </c>
      <c r="D13655">
        <v>6</v>
      </c>
      <c r="E13655" s="80">
        <v>35849</v>
      </c>
    </row>
    <row r="13656" spans="1:5">
      <c r="A13656">
        <v>10902</v>
      </c>
      <c r="B13656" t="s">
        <v>178</v>
      </c>
      <c r="C13656">
        <v>251.42999823689462</v>
      </c>
      <c r="D13656">
        <v>6</v>
      </c>
      <c r="E13656" s="80">
        <v>35849</v>
      </c>
    </row>
    <row r="13657" spans="1:5">
      <c r="A13657">
        <v>10902</v>
      </c>
      <c r="B13657" t="s">
        <v>179</v>
      </c>
      <c r="C13657">
        <v>251.42999823689462</v>
      </c>
      <c r="D13657">
        <v>6</v>
      </c>
      <c r="E13657" s="80">
        <v>35849</v>
      </c>
    </row>
    <row r="13658" spans="1:5">
      <c r="A13658">
        <v>10903</v>
      </c>
      <c r="B13658" t="s">
        <v>172</v>
      </c>
      <c r="C13658">
        <v>240</v>
      </c>
      <c r="D13658">
        <v>40</v>
      </c>
      <c r="E13658" s="80">
        <v>35850</v>
      </c>
    </row>
    <row r="13659" spans="1:5">
      <c r="A13659">
        <v>10903</v>
      </c>
      <c r="B13659" t="s">
        <v>173</v>
      </c>
      <c r="C13659">
        <v>240</v>
      </c>
      <c r="D13659">
        <v>40</v>
      </c>
      <c r="E13659" s="80">
        <v>35850</v>
      </c>
    </row>
    <row r="13660" spans="1:5">
      <c r="A13660">
        <v>10903</v>
      </c>
      <c r="B13660" t="s">
        <v>174</v>
      </c>
      <c r="C13660">
        <v>240</v>
      </c>
      <c r="D13660">
        <v>40</v>
      </c>
      <c r="E13660" s="80">
        <v>35850</v>
      </c>
    </row>
    <row r="13661" spans="1:5">
      <c r="A13661">
        <v>10903</v>
      </c>
      <c r="B13661" t="s">
        <v>175</v>
      </c>
      <c r="C13661">
        <v>240</v>
      </c>
      <c r="D13661">
        <v>40</v>
      </c>
      <c r="E13661" s="80">
        <v>35850</v>
      </c>
    </row>
    <row r="13662" spans="1:5">
      <c r="A13662">
        <v>10903</v>
      </c>
      <c r="B13662" t="s">
        <v>176</v>
      </c>
      <c r="C13662">
        <v>240</v>
      </c>
      <c r="D13662">
        <v>40</v>
      </c>
      <c r="E13662" s="80">
        <v>35850</v>
      </c>
    </row>
    <row r="13663" spans="1:5">
      <c r="A13663">
        <v>10903</v>
      </c>
      <c r="B13663" t="s">
        <v>177</v>
      </c>
      <c r="C13663">
        <v>240</v>
      </c>
      <c r="D13663">
        <v>40</v>
      </c>
      <c r="E13663" s="80">
        <v>35850</v>
      </c>
    </row>
    <row r="13664" spans="1:5">
      <c r="A13664">
        <v>10903</v>
      </c>
      <c r="B13664" t="s">
        <v>178</v>
      </c>
      <c r="C13664">
        <v>240</v>
      </c>
      <c r="D13664">
        <v>40</v>
      </c>
      <c r="E13664" s="80">
        <v>35850</v>
      </c>
    </row>
    <row r="13665" spans="1:5">
      <c r="A13665">
        <v>10903</v>
      </c>
      <c r="B13665" t="s">
        <v>179</v>
      </c>
      <c r="C13665">
        <v>240</v>
      </c>
      <c r="D13665">
        <v>40</v>
      </c>
      <c r="E13665" s="80">
        <v>35850</v>
      </c>
    </row>
    <row r="13666" spans="1:5">
      <c r="A13666">
        <v>10903</v>
      </c>
      <c r="B13666" t="s">
        <v>172</v>
      </c>
      <c r="C13666">
        <v>442.05</v>
      </c>
      <c r="D13666">
        <v>21</v>
      </c>
      <c r="E13666" s="80">
        <v>35850</v>
      </c>
    </row>
    <row r="13667" spans="1:5">
      <c r="A13667">
        <v>10903</v>
      </c>
      <c r="B13667" t="s">
        <v>173</v>
      </c>
      <c r="C13667">
        <v>442.05</v>
      </c>
      <c r="D13667">
        <v>21</v>
      </c>
      <c r="E13667" s="80">
        <v>35850</v>
      </c>
    </row>
    <row r="13668" spans="1:5">
      <c r="A13668">
        <v>10903</v>
      </c>
      <c r="B13668" t="s">
        <v>174</v>
      </c>
      <c r="C13668">
        <v>442.05</v>
      </c>
      <c r="D13668">
        <v>21</v>
      </c>
      <c r="E13668" s="80">
        <v>35850</v>
      </c>
    </row>
    <row r="13669" spans="1:5">
      <c r="A13669">
        <v>10903</v>
      </c>
      <c r="B13669" t="s">
        <v>175</v>
      </c>
      <c r="C13669">
        <v>442.05</v>
      </c>
      <c r="D13669">
        <v>21</v>
      </c>
      <c r="E13669" s="80">
        <v>35850</v>
      </c>
    </row>
    <row r="13670" spans="1:5">
      <c r="A13670">
        <v>10903</v>
      </c>
      <c r="B13670" t="s">
        <v>176</v>
      </c>
      <c r="C13670">
        <v>442.05</v>
      </c>
      <c r="D13670">
        <v>21</v>
      </c>
      <c r="E13670" s="80">
        <v>35850</v>
      </c>
    </row>
    <row r="13671" spans="1:5">
      <c r="A13671">
        <v>10903</v>
      </c>
      <c r="B13671" t="s">
        <v>177</v>
      </c>
      <c r="C13671">
        <v>442.05</v>
      </c>
      <c r="D13671">
        <v>21</v>
      </c>
      <c r="E13671" s="80">
        <v>35850</v>
      </c>
    </row>
    <row r="13672" spans="1:5">
      <c r="A13672">
        <v>10903</v>
      </c>
      <c r="B13672" t="s">
        <v>178</v>
      </c>
      <c r="C13672">
        <v>442.05</v>
      </c>
      <c r="D13672">
        <v>21</v>
      </c>
      <c r="E13672" s="80">
        <v>35850</v>
      </c>
    </row>
    <row r="13673" spans="1:5">
      <c r="A13673">
        <v>10903</v>
      </c>
      <c r="B13673" t="s">
        <v>179</v>
      </c>
      <c r="C13673">
        <v>442.05</v>
      </c>
      <c r="D13673">
        <v>21</v>
      </c>
      <c r="E13673" s="80">
        <v>35850</v>
      </c>
    </row>
    <row r="13674" spans="1:5">
      <c r="A13674">
        <v>10903</v>
      </c>
      <c r="B13674" t="s">
        <v>172</v>
      </c>
      <c r="C13674">
        <v>250</v>
      </c>
      <c r="D13674">
        <v>20</v>
      </c>
      <c r="E13674" s="80">
        <v>35850</v>
      </c>
    </row>
    <row r="13675" spans="1:5">
      <c r="A13675">
        <v>10903</v>
      </c>
      <c r="B13675" t="s">
        <v>173</v>
      </c>
      <c r="C13675">
        <v>250</v>
      </c>
      <c r="D13675">
        <v>20</v>
      </c>
      <c r="E13675" s="80">
        <v>35850</v>
      </c>
    </row>
    <row r="13676" spans="1:5">
      <c r="A13676">
        <v>10903</v>
      </c>
      <c r="B13676" t="s">
        <v>174</v>
      </c>
      <c r="C13676">
        <v>250</v>
      </c>
      <c r="D13676">
        <v>20</v>
      </c>
      <c r="E13676" s="80">
        <v>35850</v>
      </c>
    </row>
    <row r="13677" spans="1:5">
      <c r="A13677">
        <v>10903</v>
      </c>
      <c r="B13677" t="s">
        <v>175</v>
      </c>
      <c r="C13677">
        <v>250</v>
      </c>
      <c r="D13677">
        <v>20</v>
      </c>
      <c r="E13677" s="80">
        <v>35850</v>
      </c>
    </row>
    <row r="13678" spans="1:5">
      <c r="A13678">
        <v>10903</v>
      </c>
      <c r="B13678" t="s">
        <v>176</v>
      </c>
      <c r="C13678">
        <v>250</v>
      </c>
      <c r="D13678">
        <v>20</v>
      </c>
      <c r="E13678" s="80">
        <v>35850</v>
      </c>
    </row>
    <row r="13679" spans="1:5">
      <c r="A13679">
        <v>10903</v>
      </c>
      <c r="B13679" t="s">
        <v>177</v>
      </c>
      <c r="C13679">
        <v>250</v>
      </c>
      <c r="D13679">
        <v>20</v>
      </c>
      <c r="E13679" s="80">
        <v>35850</v>
      </c>
    </row>
    <row r="13680" spans="1:5">
      <c r="A13680">
        <v>10903</v>
      </c>
      <c r="B13680" t="s">
        <v>178</v>
      </c>
      <c r="C13680">
        <v>250</v>
      </c>
      <c r="D13680">
        <v>20</v>
      </c>
      <c r="E13680" s="80">
        <v>35850</v>
      </c>
    </row>
    <row r="13681" spans="1:5">
      <c r="A13681">
        <v>10903</v>
      </c>
      <c r="B13681" t="s">
        <v>179</v>
      </c>
      <c r="C13681">
        <v>250</v>
      </c>
      <c r="D13681">
        <v>20</v>
      </c>
      <c r="E13681" s="80">
        <v>35850</v>
      </c>
    </row>
    <row r="13682" spans="1:5">
      <c r="A13682">
        <v>10904</v>
      </c>
      <c r="B13682" t="s">
        <v>172</v>
      </c>
      <c r="C13682">
        <v>198.75</v>
      </c>
      <c r="D13682">
        <v>15</v>
      </c>
      <c r="E13682" s="80">
        <v>35850</v>
      </c>
    </row>
    <row r="13683" spans="1:5">
      <c r="A13683">
        <v>10904</v>
      </c>
      <c r="B13683" t="s">
        <v>173</v>
      </c>
      <c r="C13683">
        <v>198.75</v>
      </c>
      <c r="D13683">
        <v>15</v>
      </c>
      <c r="E13683" s="80">
        <v>35850</v>
      </c>
    </row>
    <row r="13684" spans="1:5">
      <c r="A13684">
        <v>10904</v>
      </c>
      <c r="B13684" t="s">
        <v>174</v>
      </c>
      <c r="C13684">
        <v>198.75</v>
      </c>
      <c r="D13684">
        <v>15</v>
      </c>
      <c r="E13684" s="80">
        <v>35850</v>
      </c>
    </row>
    <row r="13685" spans="1:5">
      <c r="A13685">
        <v>10904</v>
      </c>
      <c r="B13685" t="s">
        <v>175</v>
      </c>
      <c r="C13685">
        <v>198.75</v>
      </c>
      <c r="D13685">
        <v>15</v>
      </c>
      <c r="E13685" s="80">
        <v>35850</v>
      </c>
    </row>
    <row r="13686" spans="1:5">
      <c r="A13686">
        <v>10904</v>
      </c>
      <c r="B13686" t="s">
        <v>176</v>
      </c>
      <c r="C13686">
        <v>198.75</v>
      </c>
      <c r="D13686">
        <v>15</v>
      </c>
      <c r="E13686" s="80">
        <v>35850</v>
      </c>
    </row>
    <row r="13687" spans="1:5">
      <c r="A13687">
        <v>10904</v>
      </c>
      <c r="B13687" t="s">
        <v>177</v>
      </c>
      <c r="C13687">
        <v>198.75</v>
      </c>
      <c r="D13687">
        <v>15</v>
      </c>
      <c r="E13687" s="80">
        <v>35850</v>
      </c>
    </row>
    <row r="13688" spans="1:5">
      <c r="A13688">
        <v>10904</v>
      </c>
      <c r="B13688" t="s">
        <v>178</v>
      </c>
      <c r="C13688">
        <v>198.75</v>
      </c>
      <c r="D13688">
        <v>15</v>
      </c>
      <c r="E13688" s="80">
        <v>35850</v>
      </c>
    </row>
    <row r="13689" spans="1:5">
      <c r="A13689">
        <v>10904</v>
      </c>
      <c r="B13689" t="s">
        <v>179</v>
      </c>
      <c r="C13689">
        <v>198.75</v>
      </c>
      <c r="D13689">
        <v>15</v>
      </c>
      <c r="E13689" s="80">
        <v>35850</v>
      </c>
    </row>
    <row r="13690" spans="1:5">
      <c r="A13690">
        <v>10904</v>
      </c>
      <c r="B13690" t="s">
        <v>172</v>
      </c>
      <c r="C13690">
        <v>1725.5</v>
      </c>
      <c r="D13690">
        <v>35</v>
      </c>
      <c r="E13690" s="80">
        <v>35850</v>
      </c>
    </row>
    <row r="13691" spans="1:5">
      <c r="A13691">
        <v>10904</v>
      </c>
      <c r="B13691" t="s">
        <v>173</v>
      </c>
      <c r="C13691">
        <v>1725.5</v>
      </c>
      <c r="D13691">
        <v>35</v>
      </c>
      <c r="E13691" s="80">
        <v>35850</v>
      </c>
    </row>
    <row r="13692" spans="1:5">
      <c r="A13692">
        <v>10904</v>
      </c>
      <c r="B13692" t="s">
        <v>174</v>
      </c>
      <c r="C13692">
        <v>1725.5</v>
      </c>
      <c r="D13692">
        <v>35</v>
      </c>
      <c r="E13692" s="80">
        <v>35850</v>
      </c>
    </row>
    <row r="13693" spans="1:5">
      <c r="A13693">
        <v>10904</v>
      </c>
      <c r="B13693" t="s">
        <v>175</v>
      </c>
      <c r="C13693">
        <v>1725.5</v>
      </c>
      <c r="D13693">
        <v>35</v>
      </c>
      <c r="E13693" s="80">
        <v>35850</v>
      </c>
    </row>
    <row r="13694" spans="1:5">
      <c r="A13694">
        <v>10904</v>
      </c>
      <c r="B13694" t="s">
        <v>176</v>
      </c>
      <c r="C13694">
        <v>1725.5</v>
      </c>
      <c r="D13694">
        <v>35</v>
      </c>
      <c r="E13694" s="80">
        <v>35850</v>
      </c>
    </row>
    <row r="13695" spans="1:5">
      <c r="A13695">
        <v>10904</v>
      </c>
      <c r="B13695" t="s">
        <v>177</v>
      </c>
      <c r="C13695">
        <v>1725.5</v>
      </c>
      <c r="D13695">
        <v>35</v>
      </c>
      <c r="E13695" s="80">
        <v>35850</v>
      </c>
    </row>
    <row r="13696" spans="1:5">
      <c r="A13696">
        <v>10904</v>
      </c>
      <c r="B13696" t="s">
        <v>178</v>
      </c>
      <c r="C13696">
        <v>1725.5</v>
      </c>
      <c r="D13696">
        <v>35</v>
      </c>
      <c r="E13696" s="80">
        <v>35850</v>
      </c>
    </row>
    <row r="13697" spans="1:5">
      <c r="A13697">
        <v>10904</v>
      </c>
      <c r="B13697" t="s">
        <v>179</v>
      </c>
      <c r="C13697">
        <v>1725.5</v>
      </c>
      <c r="D13697">
        <v>35</v>
      </c>
      <c r="E13697" s="80">
        <v>35850</v>
      </c>
    </row>
    <row r="13698" spans="1:5">
      <c r="A13698">
        <v>10905</v>
      </c>
      <c r="B13698" t="s">
        <v>172</v>
      </c>
      <c r="C13698">
        <v>341.9999997317791</v>
      </c>
      <c r="D13698">
        <v>20</v>
      </c>
      <c r="E13698" s="80">
        <v>35850</v>
      </c>
    </row>
    <row r="13699" spans="1:5">
      <c r="A13699">
        <v>10905</v>
      </c>
      <c r="B13699" t="s">
        <v>173</v>
      </c>
      <c r="C13699">
        <v>341.9999997317791</v>
      </c>
      <c r="D13699">
        <v>20</v>
      </c>
      <c r="E13699" s="80">
        <v>35850</v>
      </c>
    </row>
    <row r="13700" spans="1:5">
      <c r="A13700">
        <v>10905</v>
      </c>
      <c r="B13700" t="s">
        <v>174</v>
      </c>
      <c r="C13700">
        <v>341.9999997317791</v>
      </c>
      <c r="D13700">
        <v>20</v>
      </c>
      <c r="E13700" s="80">
        <v>35850</v>
      </c>
    </row>
    <row r="13701" spans="1:5">
      <c r="A13701">
        <v>10905</v>
      </c>
      <c r="B13701" t="s">
        <v>175</v>
      </c>
      <c r="C13701">
        <v>341.9999997317791</v>
      </c>
      <c r="D13701">
        <v>20</v>
      </c>
      <c r="E13701" s="80">
        <v>35850</v>
      </c>
    </row>
    <row r="13702" spans="1:5">
      <c r="A13702">
        <v>10905</v>
      </c>
      <c r="B13702" t="s">
        <v>176</v>
      </c>
      <c r="C13702">
        <v>341.9999997317791</v>
      </c>
      <c r="D13702">
        <v>20</v>
      </c>
      <c r="E13702" s="80">
        <v>35850</v>
      </c>
    </row>
    <row r="13703" spans="1:5">
      <c r="A13703">
        <v>10905</v>
      </c>
      <c r="B13703" t="s">
        <v>177</v>
      </c>
      <c r="C13703">
        <v>341.9999997317791</v>
      </c>
      <c r="D13703">
        <v>20</v>
      </c>
      <c r="E13703" s="80">
        <v>35850</v>
      </c>
    </row>
    <row r="13704" spans="1:5">
      <c r="A13704">
        <v>10905</v>
      </c>
      <c r="B13704" t="s">
        <v>178</v>
      </c>
      <c r="C13704">
        <v>341.9999997317791</v>
      </c>
      <c r="D13704">
        <v>20</v>
      </c>
      <c r="E13704" s="80">
        <v>35850</v>
      </c>
    </row>
    <row r="13705" spans="1:5">
      <c r="A13705">
        <v>10905</v>
      </c>
      <c r="B13705" t="s">
        <v>179</v>
      </c>
      <c r="C13705">
        <v>341.9999997317791</v>
      </c>
      <c r="D13705">
        <v>20</v>
      </c>
      <c r="E13705" s="80">
        <v>35850</v>
      </c>
    </row>
    <row r="13706" spans="1:5">
      <c r="A13706">
        <v>10906</v>
      </c>
      <c r="B13706" t="s">
        <v>172</v>
      </c>
      <c r="C13706">
        <v>427.5</v>
      </c>
      <c r="D13706">
        <v>15</v>
      </c>
      <c r="E13706" s="80">
        <v>35851</v>
      </c>
    </row>
    <row r="13707" spans="1:5">
      <c r="A13707">
        <v>10906</v>
      </c>
      <c r="B13707" t="s">
        <v>173</v>
      </c>
      <c r="C13707">
        <v>427.5</v>
      </c>
      <c r="D13707">
        <v>15</v>
      </c>
      <c r="E13707" s="80">
        <v>35851</v>
      </c>
    </row>
    <row r="13708" spans="1:5">
      <c r="A13708">
        <v>10906</v>
      </c>
      <c r="B13708" t="s">
        <v>174</v>
      </c>
      <c r="C13708">
        <v>427.5</v>
      </c>
      <c r="D13708">
        <v>15</v>
      </c>
      <c r="E13708" s="80">
        <v>35851</v>
      </c>
    </row>
    <row r="13709" spans="1:5">
      <c r="A13709">
        <v>10906</v>
      </c>
      <c r="B13709" t="s">
        <v>175</v>
      </c>
      <c r="C13709">
        <v>427.5</v>
      </c>
      <c r="D13709">
        <v>15</v>
      </c>
      <c r="E13709" s="80">
        <v>35851</v>
      </c>
    </row>
    <row r="13710" spans="1:5">
      <c r="A13710">
        <v>10906</v>
      </c>
      <c r="B13710" t="s">
        <v>176</v>
      </c>
      <c r="C13710">
        <v>427.5</v>
      </c>
      <c r="D13710">
        <v>15</v>
      </c>
      <c r="E13710" s="80">
        <v>35851</v>
      </c>
    </row>
    <row r="13711" spans="1:5">
      <c r="A13711">
        <v>10906</v>
      </c>
      <c r="B13711" t="s">
        <v>177</v>
      </c>
      <c r="C13711">
        <v>427.5</v>
      </c>
      <c r="D13711">
        <v>15</v>
      </c>
      <c r="E13711" s="80">
        <v>35851</v>
      </c>
    </row>
    <row r="13712" spans="1:5">
      <c r="A13712">
        <v>10906</v>
      </c>
      <c r="B13712" t="s">
        <v>178</v>
      </c>
      <c r="C13712">
        <v>427.5</v>
      </c>
      <c r="D13712">
        <v>15</v>
      </c>
      <c r="E13712" s="80">
        <v>35851</v>
      </c>
    </row>
    <row r="13713" spans="1:5">
      <c r="A13713">
        <v>10906</v>
      </c>
      <c r="B13713" t="s">
        <v>179</v>
      </c>
      <c r="C13713">
        <v>427.5</v>
      </c>
      <c r="D13713">
        <v>15</v>
      </c>
      <c r="E13713" s="80">
        <v>35851</v>
      </c>
    </row>
    <row r="13714" spans="1:5">
      <c r="A13714">
        <v>10907</v>
      </c>
      <c r="B13714" t="s">
        <v>172</v>
      </c>
      <c r="C13714">
        <v>108.5</v>
      </c>
      <c r="D13714">
        <v>14</v>
      </c>
      <c r="E13714" s="80">
        <v>35851</v>
      </c>
    </row>
    <row r="13715" spans="1:5">
      <c r="A13715">
        <v>10907</v>
      </c>
      <c r="B13715" t="s">
        <v>173</v>
      </c>
      <c r="C13715">
        <v>108.5</v>
      </c>
      <c r="D13715">
        <v>14</v>
      </c>
      <c r="E13715" s="80">
        <v>35851</v>
      </c>
    </row>
    <row r="13716" spans="1:5">
      <c r="A13716">
        <v>10907</v>
      </c>
      <c r="B13716" t="s">
        <v>174</v>
      </c>
      <c r="C13716">
        <v>108.5</v>
      </c>
      <c r="D13716">
        <v>14</v>
      </c>
      <c r="E13716" s="80">
        <v>35851</v>
      </c>
    </row>
    <row r="13717" spans="1:5">
      <c r="A13717">
        <v>10907</v>
      </c>
      <c r="B13717" t="s">
        <v>175</v>
      </c>
      <c r="C13717">
        <v>108.5</v>
      </c>
      <c r="D13717">
        <v>14</v>
      </c>
      <c r="E13717" s="80">
        <v>35851</v>
      </c>
    </row>
    <row r="13718" spans="1:5">
      <c r="A13718">
        <v>10907</v>
      </c>
      <c r="B13718" t="s">
        <v>176</v>
      </c>
      <c r="C13718">
        <v>108.5</v>
      </c>
      <c r="D13718">
        <v>14</v>
      </c>
      <c r="E13718" s="80">
        <v>35851</v>
      </c>
    </row>
    <row r="13719" spans="1:5">
      <c r="A13719">
        <v>10907</v>
      </c>
      <c r="B13719" t="s">
        <v>177</v>
      </c>
      <c r="C13719">
        <v>108.5</v>
      </c>
      <c r="D13719">
        <v>14</v>
      </c>
      <c r="E13719" s="80">
        <v>35851</v>
      </c>
    </row>
    <row r="13720" spans="1:5">
      <c r="A13720">
        <v>10907</v>
      </c>
      <c r="B13720" t="s">
        <v>178</v>
      </c>
      <c r="C13720">
        <v>108.5</v>
      </c>
      <c r="D13720">
        <v>14</v>
      </c>
      <c r="E13720" s="80">
        <v>35851</v>
      </c>
    </row>
    <row r="13721" spans="1:5">
      <c r="A13721">
        <v>10907</v>
      </c>
      <c r="B13721" t="s">
        <v>179</v>
      </c>
      <c r="C13721">
        <v>108.5</v>
      </c>
      <c r="D13721">
        <v>14</v>
      </c>
      <c r="E13721" s="80">
        <v>35851</v>
      </c>
    </row>
    <row r="13722" spans="1:5">
      <c r="A13722">
        <v>10908</v>
      </c>
      <c r="B13722" t="s">
        <v>172</v>
      </c>
      <c r="C13722">
        <v>569.99999955296516</v>
      </c>
      <c r="D13722">
        <v>20</v>
      </c>
      <c r="E13722" s="80">
        <v>35852</v>
      </c>
    </row>
    <row r="13723" spans="1:5">
      <c r="A13723">
        <v>10908</v>
      </c>
      <c r="B13723" t="s">
        <v>173</v>
      </c>
      <c r="C13723">
        <v>569.99999955296516</v>
      </c>
      <c r="D13723">
        <v>20</v>
      </c>
      <c r="E13723" s="80">
        <v>35852</v>
      </c>
    </row>
    <row r="13724" spans="1:5">
      <c r="A13724">
        <v>10908</v>
      </c>
      <c r="B13724" t="s">
        <v>174</v>
      </c>
      <c r="C13724">
        <v>569.99999955296516</v>
      </c>
      <c r="D13724">
        <v>20</v>
      </c>
      <c r="E13724" s="80">
        <v>35852</v>
      </c>
    </row>
    <row r="13725" spans="1:5">
      <c r="A13725">
        <v>10908</v>
      </c>
      <c r="B13725" t="s">
        <v>175</v>
      </c>
      <c r="C13725">
        <v>569.99999955296516</v>
      </c>
      <c r="D13725">
        <v>20</v>
      </c>
      <c r="E13725" s="80">
        <v>35852</v>
      </c>
    </row>
    <row r="13726" spans="1:5">
      <c r="A13726">
        <v>10908</v>
      </c>
      <c r="B13726" t="s">
        <v>176</v>
      </c>
      <c r="C13726">
        <v>569.99999955296516</v>
      </c>
      <c r="D13726">
        <v>20</v>
      </c>
      <c r="E13726" s="80">
        <v>35852</v>
      </c>
    </row>
    <row r="13727" spans="1:5">
      <c r="A13727">
        <v>10908</v>
      </c>
      <c r="B13727" t="s">
        <v>177</v>
      </c>
      <c r="C13727">
        <v>569.99999955296516</v>
      </c>
      <c r="D13727">
        <v>20</v>
      </c>
      <c r="E13727" s="80">
        <v>35852</v>
      </c>
    </row>
    <row r="13728" spans="1:5">
      <c r="A13728">
        <v>10908</v>
      </c>
      <c r="B13728" t="s">
        <v>178</v>
      </c>
      <c r="C13728">
        <v>569.99999955296516</v>
      </c>
      <c r="D13728">
        <v>20</v>
      </c>
      <c r="E13728" s="80">
        <v>35852</v>
      </c>
    </row>
    <row r="13729" spans="1:5">
      <c r="A13729">
        <v>10908</v>
      </c>
      <c r="B13729" t="s">
        <v>179</v>
      </c>
      <c r="C13729">
        <v>569.99999955296516</v>
      </c>
      <c r="D13729">
        <v>20</v>
      </c>
      <c r="E13729" s="80">
        <v>35852</v>
      </c>
    </row>
    <row r="13730" spans="1:5">
      <c r="A13730">
        <v>10908</v>
      </c>
      <c r="B13730" t="s">
        <v>172</v>
      </c>
      <c r="C13730">
        <v>93.09999992698431</v>
      </c>
      <c r="D13730">
        <v>14</v>
      </c>
      <c r="E13730" s="80">
        <v>35852</v>
      </c>
    </row>
    <row r="13731" spans="1:5">
      <c r="A13731">
        <v>10908</v>
      </c>
      <c r="B13731" t="s">
        <v>173</v>
      </c>
      <c r="C13731">
        <v>93.09999992698431</v>
      </c>
      <c r="D13731">
        <v>14</v>
      </c>
      <c r="E13731" s="80">
        <v>35852</v>
      </c>
    </row>
    <row r="13732" spans="1:5">
      <c r="A13732">
        <v>10908</v>
      </c>
      <c r="B13732" t="s">
        <v>174</v>
      </c>
      <c r="C13732">
        <v>93.09999992698431</v>
      </c>
      <c r="D13732">
        <v>14</v>
      </c>
      <c r="E13732" s="80">
        <v>35852</v>
      </c>
    </row>
    <row r="13733" spans="1:5">
      <c r="A13733">
        <v>10908</v>
      </c>
      <c r="B13733" t="s">
        <v>175</v>
      </c>
      <c r="C13733">
        <v>93.09999992698431</v>
      </c>
      <c r="D13733">
        <v>14</v>
      </c>
      <c r="E13733" s="80">
        <v>35852</v>
      </c>
    </row>
    <row r="13734" spans="1:5">
      <c r="A13734">
        <v>10908</v>
      </c>
      <c r="B13734" t="s">
        <v>176</v>
      </c>
      <c r="C13734">
        <v>93.09999992698431</v>
      </c>
      <c r="D13734">
        <v>14</v>
      </c>
      <c r="E13734" s="80">
        <v>35852</v>
      </c>
    </row>
    <row r="13735" spans="1:5">
      <c r="A13735">
        <v>10908</v>
      </c>
      <c r="B13735" t="s">
        <v>177</v>
      </c>
      <c r="C13735">
        <v>93.09999992698431</v>
      </c>
      <c r="D13735">
        <v>14</v>
      </c>
      <c r="E13735" s="80">
        <v>35852</v>
      </c>
    </row>
    <row r="13736" spans="1:5">
      <c r="A13736">
        <v>10908</v>
      </c>
      <c r="B13736" t="s">
        <v>178</v>
      </c>
      <c r="C13736">
        <v>93.09999992698431</v>
      </c>
      <c r="D13736">
        <v>14</v>
      </c>
      <c r="E13736" s="80">
        <v>35852</v>
      </c>
    </row>
    <row r="13737" spans="1:5">
      <c r="A13737">
        <v>10908</v>
      </c>
      <c r="B13737" t="s">
        <v>179</v>
      </c>
      <c r="C13737">
        <v>93.09999992698431</v>
      </c>
      <c r="D13737">
        <v>14</v>
      </c>
      <c r="E13737" s="80">
        <v>35852</v>
      </c>
    </row>
    <row r="13738" spans="1:5">
      <c r="A13738">
        <v>10909</v>
      </c>
      <c r="B13738" t="s">
        <v>172</v>
      </c>
      <c r="C13738">
        <v>360</v>
      </c>
      <c r="D13738">
        <v>12</v>
      </c>
      <c r="E13738" s="80">
        <v>35852</v>
      </c>
    </row>
    <row r="13739" spans="1:5">
      <c r="A13739">
        <v>10909</v>
      </c>
      <c r="B13739" t="s">
        <v>173</v>
      </c>
      <c r="C13739">
        <v>360</v>
      </c>
      <c r="D13739">
        <v>12</v>
      </c>
      <c r="E13739" s="80">
        <v>35852</v>
      </c>
    </row>
    <row r="13740" spans="1:5">
      <c r="A13740">
        <v>10909</v>
      </c>
      <c r="B13740" t="s">
        <v>174</v>
      </c>
      <c r="C13740">
        <v>360</v>
      </c>
      <c r="D13740">
        <v>12</v>
      </c>
      <c r="E13740" s="80">
        <v>35852</v>
      </c>
    </row>
    <row r="13741" spans="1:5">
      <c r="A13741">
        <v>10909</v>
      </c>
      <c r="B13741" t="s">
        <v>175</v>
      </c>
      <c r="C13741">
        <v>360</v>
      </c>
      <c r="D13741">
        <v>12</v>
      </c>
      <c r="E13741" s="80">
        <v>35852</v>
      </c>
    </row>
    <row r="13742" spans="1:5">
      <c r="A13742">
        <v>10909</v>
      </c>
      <c r="B13742" t="s">
        <v>176</v>
      </c>
      <c r="C13742">
        <v>360</v>
      </c>
      <c r="D13742">
        <v>12</v>
      </c>
      <c r="E13742" s="80">
        <v>35852</v>
      </c>
    </row>
    <row r="13743" spans="1:5">
      <c r="A13743">
        <v>10909</v>
      </c>
      <c r="B13743" t="s">
        <v>177</v>
      </c>
      <c r="C13743">
        <v>360</v>
      </c>
      <c r="D13743">
        <v>12</v>
      </c>
      <c r="E13743" s="80">
        <v>35852</v>
      </c>
    </row>
    <row r="13744" spans="1:5">
      <c r="A13744">
        <v>10909</v>
      </c>
      <c r="B13744" t="s">
        <v>178</v>
      </c>
      <c r="C13744">
        <v>360</v>
      </c>
      <c r="D13744">
        <v>12</v>
      </c>
      <c r="E13744" s="80">
        <v>35852</v>
      </c>
    </row>
    <row r="13745" spans="1:5">
      <c r="A13745">
        <v>10909</v>
      </c>
      <c r="B13745" t="s">
        <v>179</v>
      </c>
      <c r="C13745">
        <v>360</v>
      </c>
      <c r="D13745">
        <v>12</v>
      </c>
      <c r="E13745" s="80">
        <v>35852</v>
      </c>
    </row>
    <row r="13746" spans="1:5">
      <c r="A13746">
        <v>10909</v>
      </c>
      <c r="B13746" t="s">
        <v>172</v>
      </c>
      <c r="C13746">
        <v>261.75</v>
      </c>
      <c r="D13746">
        <v>15</v>
      </c>
      <c r="E13746" s="80">
        <v>35852</v>
      </c>
    </row>
    <row r="13747" spans="1:5">
      <c r="A13747">
        <v>10909</v>
      </c>
      <c r="B13747" t="s">
        <v>173</v>
      </c>
      <c r="C13747">
        <v>261.75</v>
      </c>
      <c r="D13747">
        <v>15</v>
      </c>
      <c r="E13747" s="80">
        <v>35852</v>
      </c>
    </row>
    <row r="13748" spans="1:5">
      <c r="A13748">
        <v>10909</v>
      </c>
      <c r="B13748" t="s">
        <v>174</v>
      </c>
      <c r="C13748">
        <v>261.75</v>
      </c>
      <c r="D13748">
        <v>15</v>
      </c>
      <c r="E13748" s="80">
        <v>35852</v>
      </c>
    </row>
    <row r="13749" spans="1:5">
      <c r="A13749">
        <v>10909</v>
      </c>
      <c r="B13749" t="s">
        <v>175</v>
      </c>
      <c r="C13749">
        <v>261.75</v>
      </c>
      <c r="D13749">
        <v>15</v>
      </c>
      <c r="E13749" s="80">
        <v>35852</v>
      </c>
    </row>
    <row r="13750" spans="1:5">
      <c r="A13750">
        <v>10909</v>
      </c>
      <c r="B13750" t="s">
        <v>176</v>
      </c>
      <c r="C13750">
        <v>261.75</v>
      </c>
      <c r="D13750">
        <v>15</v>
      </c>
      <c r="E13750" s="80">
        <v>35852</v>
      </c>
    </row>
    <row r="13751" spans="1:5">
      <c r="A13751">
        <v>10909</v>
      </c>
      <c r="B13751" t="s">
        <v>177</v>
      </c>
      <c r="C13751">
        <v>261.75</v>
      </c>
      <c r="D13751">
        <v>15</v>
      </c>
      <c r="E13751" s="80">
        <v>35852</v>
      </c>
    </row>
    <row r="13752" spans="1:5">
      <c r="A13752">
        <v>10909</v>
      </c>
      <c r="B13752" t="s">
        <v>178</v>
      </c>
      <c r="C13752">
        <v>261.75</v>
      </c>
      <c r="D13752">
        <v>15</v>
      </c>
      <c r="E13752" s="80">
        <v>35852</v>
      </c>
    </row>
    <row r="13753" spans="1:5">
      <c r="A13753">
        <v>10909</v>
      </c>
      <c r="B13753" t="s">
        <v>179</v>
      </c>
      <c r="C13753">
        <v>261.75</v>
      </c>
      <c r="D13753">
        <v>15</v>
      </c>
      <c r="E13753" s="80">
        <v>35852</v>
      </c>
    </row>
    <row r="13754" spans="1:5">
      <c r="A13754">
        <v>10909</v>
      </c>
      <c r="B13754" t="s">
        <v>172</v>
      </c>
      <c r="C13754">
        <v>48.25</v>
      </c>
      <c r="D13754">
        <v>5</v>
      </c>
      <c r="E13754" s="80">
        <v>35852</v>
      </c>
    </row>
    <row r="13755" spans="1:5">
      <c r="A13755">
        <v>10909</v>
      </c>
      <c r="B13755" t="s">
        <v>173</v>
      </c>
      <c r="C13755">
        <v>48.25</v>
      </c>
      <c r="D13755">
        <v>5</v>
      </c>
      <c r="E13755" s="80">
        <v>35852</v>
      </c>
    </row>
    <row r="13756" spans="1:5">
      <c r="A13756">
        <v>10909</v>
      </c>
      <c r="B13756" t="s">
        <v>174</v>
      </c>
      <c r="C13756">
        <v>48.25</v>
      </c>
      <c r="D13756">
        <v>5</v>
      </c>
      <c r="E13756" s="80">
        <v>35852</v>
      </c>
    </row>
    <row r="13757" spans="1:5">
      <c r="A13757">
        <v>10909</v>
      </c>
      <c r="B13757" t="s">
        <v>175</v>
      </c>
      <c r="C13757">
        <v>48.25</v>
      </c>
      <c r="D13757">
        <v>5</v>
      </c>
      <c r="E13757" s="80">
        <v>35852</v>
      </c>
    </row>
    <row r="13758" spans="1:5">
      <c r="A13758">
        <v>10909</v>
      </c>
      <c r="B13758" t="s">
        <v>176</v>
      </c>
      <c r="C13758">
        <v>48.25</v>
      </c>
      <c r="D13758">
        <v>5</v>
      </c>
      <c r="E13758" s="80">
        <v>35852</v>
      </c>
    </row>
    <row r="13759" spans="1:5">
      <c r="A13759">
        <v>10909</v>
      </c>
      <c r="B13759" t="s">
        <v>177</v>
      </c>
      <c r="C13759">
        <v>48.25</v>
      </c>
      <c r="D13759">
        <v>5</v>
      </c>
      <c r="E13759" s="80">
        <v>35852</v>
      </c>
    </row>
    <row r="13760" spans="1:5">
      <c r="A13760">
        <v>10909</v>
      </c>
      <c r="B13760" t="s">
        <v>178</v>
      </c>
      <c r="C13760">
        <v>48.25</v>
      </c>
      <c r="D13760">
        <v>5</v>
      </c>
      <c r="E13760" s="80">
        <v>35852</v>
      </c>
    </row>
    <row r="13761" spans="1:5">
      <c r="A13761">
        <v>10909</v>
      </c>
      <c r="B13761" t="s">
        <v>179</v>
      </c>
      <c r="C13761">
        <v>48.25</v>
      </c>
      <c r="D13761">
        <v>5</v>
      </c>
      <c r="E13761" s="80">
        <v>35852</v>
      </c>
    </row>
    <row r="13762" spans="1:5">
      <c r="A13762">
        <v>10910</v>
      </c>
      <c r="B13762" t="s">
        <v>172</v>
      </c>
      <c r="C13762">
        <v>110.4</v>
      </c>
      <c r="D13762">
        <v>12</v>
      </c>
      <c r="E13762" s="80">
        <v>35852</v>
      </c>
    </row>
    <row r="13763" spans="1:5">
      <c r="A13763">
        <v>10910</v>
      </c>
      <c r="B13763" t="s">
        <v>173</v>
      </c>
      <c r="C13763">
        <v>110.4</v>
      </c>
      <c r="D13763">
        <v>12</v>
      </c>
      <c r="E13763" s="80">
        <v>35852</v>
      </c>
    </row>
    <row r="13764" spans="1:5">
      <c r="A13764">
        <v>10910</v>
      </c>
      <c r="B13764" t="s">
        <v>174</v>
      </c>
      <c r="C13764">
        <v>110.4</v>
      </c>
      <c r="D13764">
        <v>12</v>
      </c>
      <c r="E13764" s="80">
        <v>35852</v>
      </c>
    </row>
    <row r="13765" spans="1:5">
      <c r="A13765">
        <v>10910</v>
      </c>
      <c r="B13765" t="s">
        <v>175</v>
      </c>
      <c r="C13765">
        <v>110.4</v>
      </c>
      <c r="D13765">
        <v>12</v>
      </c>
      <c r="E13765" s="80">
        <v>35852</v>
      </c>
    </row>
    <row r="13766" spans="1:5">
      <c r="A13766">
        <v>10910</v>
      </c>
      <c r="B13766" t="s">
        <v>176</v>
      </c>
      <c r="C13766">
        <v>110.4</v>
      </c>
      <c r="D13766">
        <v>12</v>
      </c>
      <c r="E13766" s="80">
        <v>35852</v>
      </c>
    </row>
    <row r="13767" spans="1:5">
      <c r="A13767">
        <v>10910</v>
      </c>
      <c r="B13767" t="s">
        <v>177</v>
      </c>
      <c r="C13767">
        <v>110.4</v>
      </c>
      <c r="D13767">
        <v>12</v>
      </c>
      <c r="E13767" s="80">
        <v>35852</v>
      </c>
    </row>
    <row r="13768" spans="1:5">
      <c r="A13768">
        <v>10910</v>
      </c>
      <c r="B13768" t="s">
        <v>178</v>
      </c>
      <c r="C13768">
        <v>110.4</v>
      </c>
      <c r="D13768">
        <v>12</v>
      </c>
      <c r="E13768" s="80">
        <v>35852</v>
      </c>
    </row>
    <row r="13769" spans="1:5">
      <c r="A13769">
        <v>10910</v>
      </c>
      <c r="B13769" t="s">
        <v>179</v>
      </c>
      <c r="C13769">
        <v>110.4</v>
      </c>
      <c r="D13769">
        <v>12</v>
      </c>
      <c r="E13769" s="80">
        <v>35852</v>
      </c>
    </row>
    <row r="13770" spans="1:5">
      <c r="A13770">
        <v>10910</v>
      </c>
      <c r="B13770" t="s">
        <v>172</v>
      </c>
      <c r="C13770">
        <v>200</v>
      </c>
      <c r="D13770">
        <v>10</v>
      </c>
      <c r="E13770" s="80">
        <v>35852</v>
      </c>
    </row>
    <row r="13771" spans="1:5">
      <c r="A13771">
        <v>10910</v>
      </c>
      <c r="B13771" t="s">
        <v>173</v>
      </c>
      <c r="C13771">
        <v>200</v>
      </c>
      <c r="D13771">
        <v>10</v>
      </c>
      <c r="E13771" s="80">
        <v>35852</v>
      </c>
    </row>
    <row r="13772" spans="1:5">
      <c r="A13772">
        <v>10910</v>
      </c>
      <c r="B13772" t="s">
        <v>174</v>
      </c>
      <c r="C13772">
        <v>200</v>
      </c>
      <c r="D13772">
        <v>10</v>
      </c>
      <c r="E13772" s="80">
        <v>35852</v>
      </c>
    </row>
    <row r="13773" spans="1:5">
      <c r="A13773">
        <v>10910</v>
      </c>
      <c r="B13773" t="s">
        <v>175</v>
      </c>
      <c r="C13773">
        <v>200</v>
      </c>
      <c r="D13773">
        <v>10</v>
      </c>
      <c r="E13773" s="80">
        <v>35852</v>
      </c>
    </row>
    <row r="13774" spans="1:5">
      <c r="A13774">
        <v>10910</v>
      </c>
      <c r="B13774" t="s">
        <v>176</v>
      </c>
      <c r="C13774">
        <v>200</v>
      </c>
      <c r="D13774">
        <v>10</v>
      </c>
      <c r="E13774" s="80">
        <v>35852</v>
      </c>
    </row>
    <row r="13775" spans="1:5">
      <c r="A13775">
        <v>10910</v>
      </c>
      <c r="B13775" t="s">
        <v>177</v>
      </c>
      <c r="C13775">
        <v>200</v>
      </c>
      <c r="D13775">
        <v>10</v>
      </c>
      <c r="E13775" s="80">
        <v>35852</v>
      </c>
    </row>
    <row r="13776" spans="1:5">
      <c r="A13776">
        <v>10910</v>
      </c>
      <c r="B13776" t="s">
        <v>178</v>
      </c>
      <c r="C13776">
        <v>200</v>
      </c>
      <c r="D13776">
        <v>10</v>
      </c>
      <c r="E13776" s="80">
        <v>35852</v>
      </c>
    </row>
    <row r="13777" spans="1:5">
      <c r="A13777">
        <v>10910</v>
      </c>
      <c r="B13777" t="s">
        <v>179</v>
      </c>
      <c r="C13777">
        <v>200</v>
      </c>
      <c r="D13777">
        <v>10</v>
      </c>
      <c r="E13777" s="80">
        <v>35852</v>
      </c>
    </row>
    <row r="13778" spans="1:5">
      <c r="A13778">
        <v>10910</v>
      </c>
      <c r="B13778" t="s">
        <v>172</v>
      </c>
      <c r="C13778">
        <v>142.5</v>
      </c>
      <c r="D13778">
        <v>5</v>
      </c>
      <c r="E13778" s="80">
        <v>35852</v>
      </c>
    </row>
    <row r="13779" spans="1:5">
      <c r="A13779">
        <v>10910</v>
      </c>
      <c r="B13779" t="s">
        <v>173</v>
      </c>
      <c r="C13779">
        <v>142.5</v>
      </c>
      <c r="D13779">
        <v>5</v>
      </c>
      <c r="E13779" s="80">
        <v>35852</v>
      </c>
    </row>
    <row r="13780" spans="1:5">
      <c r="A13780">
        <v>10910</v>
      </c>
      <c r="B13780" t="s">
        <v>174</v>
      </c>
      <c r="C13780">
        <v>142.5</v>
      </c>
      <c r="D13780">
        <v>5</v>
      </c>
      <c r="E13780" s="80">
        <v>35852</v>
      </c>
    </row>
    <row r="13781" spans="1:5">
      <c r="A13781">
        <v>10910</v>
      </c>
      <c r="B13781" t="s">
        <v>175</v>
      </c>
      <c r="C13781">
        <v>142.5</v>
      </c>
      <c r="D13781">
        <v>5</v>
      </c>
      <c r="E13781" s="80">
        <v>35852</v>
      </c>
    </row>
    <row r="13782" spans="1:5">
      <c r="A13782">
        <v>10910</v>
      </c>
      <c r="B13782" t="s">
        <v>176</v>
      </c>
      <c r="C13782">
        <v>142.5</v>
      </c>
      <c r="D13782">
        <v>5</v>
      </c>
      <c r="E13782" s="80">
        <v>35852</v>
      </c>
    </row>
    <row r="13783" spans="1:5">
      <c r="A13783">
        <v>10910</v>
      </c>
      <c r="B13783" t="s">
        <v>177</v>
      </c>
      <c r="C13783">
        <v>142.5</v>
      </c>
      <c r="D13783">
        <v>5</v>
      </c>
      <c r="E13783" s="80">
        <v>35852</v>
      </c>
    </row>
    <row r="13784" spans="1:5">
      <c r="A13784">
        <v>10910</v>
      </c>
      <c r="B13784" t="s">
        <v>178</v>
      </c>
      <c r="C13784">
        <v>142.5</v>
      </c>
      <c r="D13784">
        <v>5</v>
      </c>
      <c r="E13784" s="80">
        <v>35852</v>
      </c>
    </row>
    <row r="13785" spans="1:5">
      <c r="A13785">
        <v>10910</v>
      </c>
      <c r="B13785" t="s">
        <v>179</v>
      </c>
      <c r="C13785">
        <v>142.5</v>
      </c>
      <c r="D13785">
        <v>5</v>
      </c>
      <c r="E13785" s="80">
        <v>35852</v>
      </c>
    </row>
    <row r="13786" spans="1:5">
      <c r="A13786">
        <v>10911</v>
      </c>
      <c r="B13786" t="s">
        <v>172</v>
      </c>
      <c r="C13786">
        <v>180</v>
      </c>
      <c r="D13786">
        <v>10</v>
      </c>
      <c r="E13786" s="80">
        <v>35852</v>
      </c>
    </row>
    <row r="13787" spans="1:5">
      <c r="A13787">
        <v>10911</v>
      </c>
      <c r="B13787" t="s">
        <v>173</v>
      </c>
      <c r="C13787">
        <v>180</v>
      </c>
      <c r="D13787">
        <v>10</v>
      </c>
      <c r="E13787" s="80">
        <v>35852</v>
      </c>
    </row>
    <row r="13788" spans="1:5">
      <c r="A13788">
        <v>10911</v>
      </c>
      <c r="B13788" t="s">
        <v>174</v>
      </c>
      <c r="C13788">
        <v>180</v>
      </c>
      <c r="D13788">
        <v>10</v>
      </c>
      <c r="E13788" s="80">
        <v>35852</v>
      </c>
    </row>
    <row r="13789" spans="1:5">
      <c r="A13789">
        <v>10911</v>
      </c>
      <c r="B13789" t="s">
        <v>175</v>
      </c>
      <c r="C13789">
        <v>180</v>
      </c>
      <c r="D13789">
        <v>10</v>
      </c>
      <c r="E13789" s="80">
        <v>35852</v>
      </c>
    </row>
    <row r="13790" spans="1:5">
      <c r="A13790">
        <v>10911</v>
      </c>
      <c r="B13790" t="s">
        <v>176</v>
      </c>
      <c r="C13790">
        <v>180</v>
      </c>
      <c r="D13790">
        <v>10</v>
      </c>
      <c r="E13790" s="80">
        <v>35852</v>
      </c>
    </row>
    <row r="13791" spans="1:5">
      <c r="A13791">
        <v>10911</v>
      </c>
      <c r="B13791" t="s">
        <v>177</v>
      </c>
      <c r="C13791">
        <v>180</v>
      </c>
      <c r="D13791">
        <v>10</v>
      </c>
      <c r="E13791" s="80">
        <v>35852</v>
      </c>
    </row>
    <row r="13792" spans="1:5">
      <c r="A13792">
        <v>10911</v>
      </c>
      <c r="B13792" t="s">
        <v>178</v>
      </c>
      <c r="C13792">
        <v>180</v>
      </c>
      <c r="D13792">
        <v>10</v>
      </c>
      <c r="E13792" s="80">
        <v>35852</v>
      </c>
    </row>
    <row r="13793" spans="1:5">
      <c r="A13793">
        <v>10911</v>
      </c>
      <c r="B13793" t="s">
        <v>179</v>
      </c>
      <c r="C13793">
        <v>180</v>
      </c>
      <c r="D13793">
        <v>10</v>
      </c>
      <c r="E13793" s="80">
        <v>35852</v>
      </c>
    </row>
    <row r="13794" spans="1:5">
      <c r="A13794">
        <v>10911</v>
      </c>
      <c r="B13794" t="s">
        <v>172</v>
      </c>
      <c r="C13794">
        <v>468</v>
      </c>
      <c r="D13794">
        <v>12</v>
      </c>
      <c r="E13794" s="80">
        <v>35852</v>
      </c>
    </row>
    <row r="13795" spans="1:5">
      <c r="A13795">
        <v>10911</v>
      </c>
      <c r="B13795" t="s">
        <v>173</v>
      </c>
      <c r="C13795">
        <v>468</v>
      </c>
      <c r="D13795">
        <v>12</v>
      </c>
      <c r="E13795" s="80">
        <v>35852</v>
      </c>
    </row>
    <row r="13796" spans="1:5">
      <c r="A13796">
        <v>10911</v>
      </c>
      <c r="B13796" t="s">
        <v>174</v>
      </c>
      <c r="C13796">
        <v>468</v>
      </c>
      <c r="D13796">
        <v>12</v>
      </c>
      <c r="E13796" s="80">
        <v>35852</v>
      </c>
    </row>
    <row r="13797" spans="1:5">
      <c r="A13797">
        <v>10911</v>
      </c>
      <c r="B13797" t="s">
        <v>175</v>
      </c>
      <c r="C13797">
        <v>468</v>
      </c>
      <c r="D13797">
        <v>12</v>
      </c>
      <c r="E13797" s="80">
        <v>35852</v>
      </c>
    </row>
    <row r="13798" spans="1:5">
      <c r="A13798">
        <v>10911</v>
      </c>
      <c r="B13798" t="s">
        <v>176</v>
      </c>
      <c r="C13798">
        <v>468</v>
      </c>
      <c r="D13798">
        <v>12</v>
      </c>
      <c r="E13798" s="80">
        <v>35852</v>
      </c>
    </row>
    <row r="13799" spans="1:5">
      <c r="A13799">
        <v>10911</v>
      </c>
      <c r="B13799" t="s">
        <v>177</v>
      </c>
      <c r="C13799">
        <v>468</v>
      </c>
      <c r="D13799">
        <v>12</v>
      </c>
      <c r="E13799" s="80">
        <v>35852</v>
      </c>
    </row>
    <row r="13800" spans="1:5">
      <c r="A13800">
        <v>10911</v>
      </c>
      <c r="B13800" t="s">
        <v>178</v>
      </c>
      <c r="C13800">
        <v>468</v>
      </c>
      <c r="D13800">
        <v>12</v>
      </c>
      <c r="E13800" s="80">
        <v>35852</v>
      </c>
    </row>
    <row r="13801" spans="1:5">
      <c r="A13801">
        <v>10911</v>
      </c>
      <c r="B13801" t="s">
        <v>179</v>
      </c>
      <c r="C13801">
        <v>468</v>
      </c>
      <c r="D13801">
        <v>12</v>
      </c>
      <c r="E13801" s="80">
        <v>35852</v>
      </c>
    </row>
    <row r="13802" spans="1:5">
      <c r="A13802">
        <v>10911</v>
      </c>
      <c r="B13802" t="s">
        <v>172</v>
      </c>
      <c r="C13802">
        <v>210</v>
      </c>
      <c r="D13802">
        <v>15</v>
      </c>
      <c r="E13802" s="80">
        <v>35852</v>
      </c>
    </row>
    <row r="13803" spans="1:5">
      <c r="A13803">
        <v>10911</v>
      </c>
      <c r="B13803" t="s">
        <v>173</v>
      </c>
      <c r="C13803">
        <v>210</v>
      </c>
      <c r="D13803">
        <v>15</v>
      </c>
      <c r="E13803" s="80">
        <v>35852</v>
      </c>
    </row>
    <row r="13804" spans="1:5">
      <c r="A13804">
        <v>10911</v>
      </c>
      <c r="B13804" t="s">
        <v>174</v>
      </c>
      <c r="C13804">
        <v>210</v>
      </c>
      <c r="D13804">
        <v>15</v>
      </c>
      <c r="E13804" s="80">
        <v>35852</v>
      </c>
    </row>
    <row r="13805" spans="1:5">
      <c r="A13805">
        <v>10911</v>
      </c>
      <c r="B13805" t="s">
        <v>175</v>
      </c>
      <c r="C13805">
        <v>210</v>
      </c>
      <c r="D13805">
        <v>15</v>
      </c>
      <c r="E13805" s="80">
        <v>35852</v>
      </c>
    </row>
    <row r="13806" spans="1:5">
      <c r="A13806">
        <v>10911</v>
      </c>
      <c r="B13806" t="s">
        <v>176</v>
      </c>
      <c r="C13806">
        <v>210</v>
      </c>
      <c r="D13806">
        <v>15</v>
      </c>
      <c r="E13806" s="80">
        <v>35852</v>
      </c>
    </row>
    <row r="13807" spans="1:5">
      <c r="A13807">
        <v>10911</v>
      </c>
      <c r="B13807" t="s">
        <v>177</v>
      </c>
      <c r="C13807">
        <v>210</v>
      </c>
      <c r="D13807">
        <v>15</v>
      </c>
      <c r="E13807" s="80">
        <v>35852</v>
      </c>
    </row>
    <row r="13808" spans="1:5">
      <c r="A13808">
        <v>10911</v>
      </c>
      <c r="B13808" t="s">
        <v>178</v>
      </c>
      <c r="C13808">
        <v>210</v>
      </c>
      <c r="D13808">
        <v>15</v>
      </c>
      <c r="E13808" s="80">
        <v>35852</v>
      </c>
    </row>
    <row r="13809" spans="1:5">
      <c r="A13809">
        <v>10911</v>
      </c>
      <c r="B13809" t="s">
        <v>179</v>
      </c>
      <c r="C13809">
        <v>210</v>
      </c>
      <c r="D13809">
        <v>15</v>
      </c>
      <c r="E13809" s="80">
        <v>35852</v>
      </c>
    </row>
    <row r="13810" spans="1:5">
      <c r="A13810">
        <v>10912</v>
      </c>
      <c r="B13810" t="s">
        <v>172</v>
      </c>
      <c r="C13810">
        <v>630</v>
      </c>
      <c r="D13810">
        <v>40</v>
      </c>
      <c r="E13810" s="80">
        <v>35852</v>
      </c>
    </row>
    <row r="13811" spans="1:5">
      <c r="A13811">
        <v>10912</v>
      </c>
      <c r="B13811" t="s">
        <v>173</v>
      </c>
      <c r="C13811">
        <v>630</v>
      </c>
      <c r="D13811">
        <v>40</v>
      </c>
      <c r="E13811" s="80">
        <v>35852</v>
      </c>
    </row>
    <row r="13812" spans="1:5">
      <c r="A13812">
        <v>10912</v>
      </c>
      <c r="B13812" t="s">
        <v>174</v>
      </c>
      <c r="C13812">
        <v>630</v>
      </c>
      <c r="D13812">
        <v>40</v>
      </c>
      <c r="E13812" s="80">
        <v>35852</v>
      </c>
    </row>
    <row r="13813" spans="1:5">
      <c r="A13813">
        <v>10912</v>
      </c>
      <c r="B13813" t="s">
        <v>175</v>
      </c>
      <c r="C13813">
        <v>630</v>
      </c>
      <c r="D13813">
        <v>40</v>
      </c>
      <c r="E13813" s="80">
        <v>35852</v>
      </c>
    </row>
    <row r="13814" spans="1:5">
      <c r="A13814">
        <v>10912</v>
      </c>
      <c r="B13814" t="s">
        <v>176</v>
      </c>
      <c r="C13814">
        <v>630</v>
      </c>
      <c r="D13814">
        <v>40</v>
      </c>
      <c r="E13814" s="80">
        <v>35852</v>
      </c>
    </row>
    <row r="13815" spans="1:5">
      <c r="A13815">
        <v>10912</v>
      </c>
      <c r="B13815" t="s">
        <v>177</v>
      </c>
      <c r="C13815">
        <v>630</v>
      </c>
      <c r="D13815">
        <v>40</v>
      </c>
      <c r="E13815" s="80">
        <v>35852</v>
      </c>
    </row>
    <row r="13816" spans="1:5">
      <c r="A13816">
        <v>10912</v>
      </c>
      <c r="B13816" t="s">
        <v>178</v>
      </c>
      <c r="C13816">
        <v>630</v>
      </c>
      <c r="D13816">
        <v>40</v>
      </c>
      <c r="E13816" s="80">
        <v>35852</v>
      </c>
    </row>
    <row r="13817" spans="1:5">
      <c r="A13817">
        <v>10912</v>
      </c>
      <c r="B13817" t="s">
        <v>179</v>
      </c>
      <c r="C13817">
        <v>630</v>
      </c>
      <c r="D13817">
        <v>40</v>
      </c>
      <c r="E13817" s="80">
        <v>35852</v>
      </c>
    </row>
    <row r="13818" spans="1:5">
      <c r="A13818">
        <v>10912</v>
      </c>
      <c r="B13818" t="s">
        <v>172</v>
      </c>
      <c r="C13818">
        <v>5570.5499999999993</v>
      </c>
      <c r="D13818">
        <v>60</v>
      </c>
      <c r="E13818" s="80">
        <v>35852</v>
      </c>
    </row>
    <row r="13819" spans="1:5">
      <c r="A13819">
        <v>10912</v>
      </c>
      <c r="B13819" t="s">
        <v>173</v>
      </c>
      <c r="C13819">
        <v>5570.5499999999993</v>
      </c>
      <c r="D13819">
        <v>60</v>
      </c>
      <c r="E13819" s="80">
        <v>35852</v>
      </c>
    </row>
    <row r="13820" spans="1:5">
      <c r="A13820">
        <v>10912</v>
      </c>
      <c r="B13820" t="s">
        <v>174</v>
      </c>
      <c r="C13820">
        <v>5570.5499999999993</v>
      </c>
      <c r="D13820">
        <v>60</v>
      </c>
      <c r="E13820" s="80">
        <v>35852</v>
      </c>
    </row>
    <row r="13821" spans="1:5">
      <c r="A13821">
        <v>10912</v>
      </c>
      <c r="B13821" t="s">
        <v>175</v>
      </c>
      <c r="C13821">
        <v>5570.5499999999993</v>
      </c>
      <c r="D13821">
        <v>60</v>
      </c>
      <c r="E13821" s="80">
        <v>35852</v>
      </c>
    </row>
    <row r="13822" spans="1:5">
      <c r="A13822">
        <v>10912</v>
      </c>
      <c r="B13822" t="s">
        <v>176</v>
      </c>
      <c r="C13822">
        <v>5570.5499999999993</v>
      </c>
      <c r="D13822">
        <v>60</v>
      </c>
      <c r="E13822" s="80">
        <v>35852</v>
      </c>
    </row>
    <row r="13823" spans="1:5">
      <c r="A13823">
        <v>10912</v>
      </c>
      <c r="B13823" t="s">
        <v>177</v>
      </c>
      <c r="C13823">
        <v>5570.5499999999993</v>
      </c>
      <c r="D13823">
        <v>60</v>
      </c>
      <c r="E13823" s="80">
        <v>35852</v>
      </c>
    </row>
    <row r="13824" spans="1:5">
      <c r="A13824">
        <v>10912</v>
      </c>
      <c r="B13824" t="s">
        <v>178</v>
      </c>
      <c r="C13824">
        <v>5570.5499999999993</v>
      </c>
      <c r="D13824">
        <v>60</v>
      </c>
      <c r="E13824" s="80">
        <v>35852</v>
      </c>
    </row>
    <row r="13825" spans="1:5">
      <c r="A13825">
        <v>10912</v>
      </c>
      <c r="B13825" t="s">
        <v>179</v>
      </c>
      <c r="C13825">
        <v>5570.5499999999993</v>
      </c>
      <c r="D13825">
        <v>60</v>
      </c>
      <c r="E13825" s="80">
        <v>35852</v>
      </c>
    </row>
    <row r="13826" spans="1:5">
      <c r="A13826">
        <v>10913</v>
      </c>
      <c r="B13826" t="s">
        <v>172</v>
      </c>
      <c r="C13826">
        <v>495</v>
      </c>
      <c r="D13826">
        <v>30</v>
      </c>
      <c r="E13826" s="80">
        <v>35852</v>
      </c>
    </row>
    <row r="13827" spans="1:5">
      <c r="A13827">
        <v>10913</v>
      </c>
      <c r="B13827" t="s">
        <v>173</v>
      </c>
      <c r="C13827">
        <v>495</v>
      </c>
      <c r="D13827">
        <v>30</v>
      </c>
      <c r="E13827" s="80">
        <v>35852</v>
      </c>
    </row>
    <row r="13828" spans="1:5">
      <c r="A13828">
        <v>10913</v>
      </c>
      <c r="B13828" t="s">
        <v>174</v>
      </c>
      <c r="C13828">
        <v>495</v>
      </c>
      <c r="D13828">
        <v>30</v>
      </c>
      <c r="E13828" s="80">
        <v>35852</v>
      </c>
    </row>
    <row r="13829" spans="1:5">
      <c r="A13829">
        <v>10913</v>
      </c>
      <c r="B13829" t="s">
        <v>175</v>
      </c>
      <c r="C13829">
        <v>495</v>
      </c>
      <c r="D13829">
        <v>30</v>
      </c>
      <c r="E13829" s="80">
        <v>35852</v>
      </c>
    </row>
    <row r="13830" spans="1:5">
      <c r="A13830">
        <v>10913</v>
      </c>
      <c r="B13830" t="s">
        <v>176</v>
      </c>
      <c r="C13830">
        <v>495</v>
      </c>
      <c r="D13830">
        <v>30</v>
      </c>
      <c r="E13830" s="80">
        <v>35852</v>
      </c>
    </row>
    <row r="13831" spans="1:5">
      <c r="A13831">
        <v>10913</v>
      </c>
      <c r="B13831" t="s">
        <v>177</v>
      </c>
      <c r="C13831">
        <v>495</v>
      </c>
      <c r="D13831">
        <v>30</v>
      </c>
      <c r="E13831" s="80">
        <v>35852</v>
      </c>
    </row>
    <row r="13832" spans="1:5">
      <c r="A13832">
        <v>10913</v>
      </c>
      <c r="B13832" t="s">
        <v>178</v>
      </c>
      <c r="C13832">
        <v>495</v>
      </c>
      <c r="D13832">
        <v>30</v>
      </c>
      <c r="E13832" s="80">
        <v>35852</v>
      </c>
    </row>
    <row r="13833" spans="1:5">
      <c r="A13833">
        <v>10913</v>
      </c>
      <c r="B13833" t="s">
        <v>179</v>
      </c>
      <c r="C13833">
        <v>495</v>
      </c>
      <c r="D13833">
        <v>30</v>
      </c>
      <c r="E13833" s="80">
        <v>35852</v>
      </c>
    </row>
    <row r="13834" spans="1:5">
      <c r="A13834">
        <v>10913</v>
      </c>
      <c r="B13834" t="s">
        <v>172</v>
      </c>
      <c r="C13834">
        <v>75</v>
      </c>
      <c r="D13834">
        <v>40</v>
      </c>
      <c r="E13834" s="80">
        <v>35852</v>
      </c>
    </row>
    <row r="13835" spans="1:5">
      <c r="A13835">
        <v>10913</v>
      </c>
      <c r="B13835" t="s">
        <v>173</v>
      </c>
      <c r="C13835">
        <v>75</v>
      </c>
      <c r="D13835">
        <v>40</v>
      </c>
      <c r="E13835" s="80">
        <v>35852</v>
      </c>
    </row>
    <row r="13836" spans="1:5">
      <c r="A13836">
        <v>10913</v>
      </c>
      <c r="B13836" t="s">
        <v>174</v>
      </c>
      <c r="C13836">
        <v>75</v>
      </c>
      <c r="D13836">
        <v>40</v>
      </c>
      <c r="E13836" s="80">
        <v>35852</v>
      </c>
    </row>
    <row r="13837" spans="1:5">
      <c r="A13837">
        <v>10913</v>
      </c>
      <c r="B13837" t="s">
        <v>175</v>
      </c>
      <c r="C13837">
        <v>75</v>
      </c>
      <c r="D13837">
        <v>40</v>
      </c>
      <c r="E13837" s="80">
        <v>35852</v>
      </c>
    </row>
    <row r="13838" spans="1:5">
      <c r="A13838">
        <v>10913</v>
      </c>
      <c r="B13838" t="s">
        <v>176</v>
      </c>
      <c r="C13838">
        <v>75</v>
      </c>
      <c r="D13838">
        <v>40</v>
      </c>
      <c r="E13838" s="80">
        <v>35852</v>
      </c>
    </row>
    <row r="13839" spans="1:5">
      <c r="A13839">
        <v>10913</v>
      </c>
      <c r="B13839" t="s">
        <v>177</v>
      </c>
      <c r="C13839">
        <v>75</v>
      </c>
      <c r="D13839">
        <v>40</v>
      </c>
      <c r="E13839" s="80">
        <v>35852</v>
      </c>
    </row>
    <row r="13840" spans="1:5">
      <c r="A13840">
        <v>10913</v>
      </c>
      <c r="B13840" t="s">
        <v>178</v>
      </c>
      <c r="C13840">
        <v>75</v>
      </c>
      <c r="D13840">
        <v>40</v>
      </c>
      <c r="E13840" s="80">
        <v>35852</v>
      </c>
    </row>
    <row r="13841" spans="1:5">
      <c r="A13841">
        <v>10913</v>
      </c>
      <c r="B13841" t="s">
        <v>179</v>
      </c>
      <c r="C13841">
        <v>75</v>
      </c>
      <c r="D13841">
        <v>40</v>
      </c>
      <c r="E13841" s="80">
        <v>35852</v>
      </c>
    </row>
    <row r="13842" spans="1:5">
      <c r="A13842">
        <v>10913</v>
      </c>
      <c r="B13842" t="s">
        <v>172</v>
      </c>
      <c r="C13842">
        <v>198.75</v>
      </c>
      <c r="D13842">
        <v>15</v>
      </c>
      <c r="E13842" s="80">
        <v>35852</v>
      </c>
    </row>
    <row r="13843" spans="1:5">
      <c r="A13843">
        <v>10913</v>
      </c>
      <c r="B13843" t="s">
        <v>173</v>
      </c>
      <c r="C13843">
        <v>198.75</v>
      </c>
      <c r="D13843">
        <v>15</v>
      </c>
      <c r="E13843" s="80">
        <v>35852</v>
      </c>
    </row>
    <row r="13844" spans="1:5">
      <c r="A13844">
        <v>10913</v>
      </c>
      <c r="B13844" t="s">
        <v>174</v>
      </c>
      <c r="C13844">
        <v>198.75</v>
      </c>
      <c r="D13844">
        <v>15</v>
      </c>
      <c r="E13844" s="80">
        <v>35852</v>
      </c>
    </row>
    <row r="13845" spans="1:5">
      <c r="A13845">
        <v>10913</v>
      </c>
      <c r="B13845" t="s">
        <v>175</v>
      </c>
      <c r="C13845">
        <v>198.75</v>
      </c>
      <c r="D13845">
        <v>15</v>
      </c>
      <c r="E13845" s="80">
        <v>35852</v>
      </c>
    </row>
    <row r="13846" spans="1:5">
      <c r="A13846">
        <v>10913</v>
      </c>
      <c r="B13846" t="s">
        <v>176</v>
      </c>
      <c r="C13846">
        <v>198.75</v>
      </c>
      <c r="D13846">
        <v>15</v>
      </c>
      <c r="E13846" s="80">
        <v>35852</v>
      </c>
    </row>
    <row r="13847" spans="1:5">
      <c r="A13847">
        <v>10913</v>
      </c>
      <c r="B13847" t="s">
        <v>177</v>
      </c>
      <c r="C13847">
        <v>198.75</v>
      </c>
      <c r="D13847">
        <v>15</v>
      </c>
      <c r="E13847" s="80">
        <v>35852</v>
      </c>
    </row>
    <row r="13848" spans="1:5">
      <c r="A13848">
        <v>10913</v>
      </c>
      <c r="B13848" t="s">
        <v>178</v>
      </c>
      <c r="C13848">
        <v>198.75</v>
      </c>
      <c r="D13848">
        <v>15</v>
      </c>
      <c r="E13848" s="80">
        <v>35852</v>
      </c>
    </row>
    <row r="13849" spans="1:5">
      <c r="A13849">
        <v>10913</v>
      </c>
      <c r="B13849" t="s">
        <v>179</v>
      </c>
      <c r="C13849">
        <v>198.75</v>
      </c>
      <c r="D13849">
        <v>15</v>
      </c>
      <c r="E13849" s="80">
        <v>35852</v>
      </c>
    </row>
    <row r="13850" spans="1:5">
      <c r="A13850">
        <v>10914</v>
      </c>
      <c r="B13850" t="s">
        <v>172</v>
      </c>
      <c r="C13850">
        <v>537.5</v>
      </c>
      <c r="D13850">
        <v>25</v>
      </c>
      <c r="E13850" s="80">
        <v>35853</v>
      </c>
    </row>
    <row r="13851" spans="1:5">
      <c r="A13851">
        <v>10914</v>
      </c>
      <c r="B13851" t="s">
        <v>173</v>
      </c>
      <c r="C13851">
        <v>537.5</v>
      </c>
      <c r="D13851">
        <v>25</v>
      </c>
      <c r="E13851" s="80">
        <v>35853</v>
      </c>
    </row>
    <row r="13852" spans="1:5">
      <c r="A13852">
        <v>10914</v>
      </c>
      <c r="B13852" t="s">
        <v>174</v>
      </c>
      <c r="C13852">
        <v>537.5</v>
      </c>
      <c r="D13852">
        <v>25</v>
      </c>
      <c r="E13852" s="80">
        <v>35853</v>
      </c>
    </row>
    <row r="13853" spans="1:5">
      <c r="A13853">
        <v>10914</v>
      </c>
      <c r="B13853" t="s">
        <v>175</v>
      </c>
      <c r="C13853">
        <v>537.5</v>
      </c>
      <c r="D13853">
        <v>25</v>
      </c>
      <c r="E13853" s="80">
        <v>35853</v>
      </c>
    </row>
    <row r="13854" spans="1:5">
      <c r="A13854">
        <v>10914</v>
      </c>
      <c r="B13854" t="s">
        <v>176</v>
      </c>
      <c r="C13854">
        <v>537.5</v>
      </c>
      <c r="D13854">
        <v>25</v>
      </c>
      <c r="E13854" s="80">
        <v>35853</v>
      </c>
    </row>
    <row r="13855" spans="1:5">
      <c r="A13855">
        <v>10914</v>
      </c>
      <c r="B13855" t="s">
        <v>177</v>
      </c>
      <c r="C13855">
        <v>537.5</v>
      </c>
      <c r="D13855">
        <v>25</v>
      </c>
      <c r="E13855" s="80">
        <v>35853</v>
      </c>
    </row>
    <row r="13856" spans="1:5">
      <c r="A13856">
        <v>10914</v>
      </c>
      <c r="B13856" t="s">
        <v>178</v>
      </c>
      <c r="C13856">
        <v>537.5</v>
      </c>
      <c r="D13856">
        <v>25</v>
      </c>
      <c r="E13856" s="80">
        <v>35853</v>
      </c>
    </row>
    <row r="13857" spans="1:5">
      <c r="A13857">
        <v>10914</v>
      </c>
      <c r="B13857" t="s">
        <v>179</v>
      </c>
      <c r="C13857">
        <v>537.5</v>
      </c>
      <c r="D13857">
        <v>25</v>
      </c>
      <c r="E13857" s="80">
        <v>35853</v>
      </c>
    </row>
    <row r="13858" spans="1:5">
      <c r="A13858">
        <v>10915</v>
      </c>
      <c r="B13858" t="s">
        <v>172</v>
      </c>
      <c r="C13858">
        <v>390</v>
      </c>
      <c r="D13858">
        <v>10</v>
      </c>
      <c r="E13858" s="80">
        <v>35853</v>
      </c>
    </row>
    <row r="13859" spans="1:5">
      <c r="A13859">
        <v>10915</v>
      </c>
      <c r="B13859" t="s">
        <v>173</v>
      </c>
      <c r="C13859">
        <v>390</v>
      </c>
      <c r="D13859">
        <v>10</v>
      </c>
      <c r="E13859" s="80">
        <v>35853</v>
      </c>
    </row>
    <row r="13860" spans="1:5">
      <c r="A13860">
        <v>10915</v>
      </c>
      <c r="B13860" t="s">
        <v>174</v>
      </c>
      <c r="C13860">
        <v>390</v>
      </c>
      <c r="D13860">
        <v>10</v>
      </c>
      <c r="E13860" s="80">
        <v>35853</v>
      </c>
    </row>
    <row r="13861" spans="1:5">
      <c r="A13861">
        <v>10915</v>
      </c>
      <c r="B13861" t="s">
        <v>175</v>
      </c>
      <c r="C13861">
        <v>390</v>
      </c>
      <c r="D13861">
        <v>10</v>
      </c>
      <c r="E13861" s="80">
        <v>35853</v>
      </c>
    </row>
    <row r="13862" spans="1:5">
      <c r="A13862">
        <v>10915</v>
      </c>
      <c r="B13862" t="s">
        <v>176</v>
      </c>
      <c r="C13862">
        <v>390</v>
      </c>
      <c r="D13862">
        <v>10</v>
      </c>
      <c r="E13862" s="80">
        <v>35853</v>
      </c>
    </row>
    <row r="13863" spans="1:5">
      <c r="A13863">
        <v>10915</v>
      </c>
      <c r="B13863" t="s">
        <v>177</v>
      </c>
      <c r="C13863">
        <v>390</v>
      </c>
      <c r="D13863">
        <v>10</v>
      </c>
      <c r="E13863" s="80">
        <v>35853</v>
      </c>
    </row>
    <row r="13864" spans="1:5">
      <c r="A13864">
        <v>10915</v>
      </c>
      <c r="B13864" t="s">
        <v>178</v>
      </c>
      <c r="C13864">
        <v>390</v>
      </c>
      <c r="D13864">
        <v>10</v>
      </c>
      <c r="E13864" s="80">
        <v>35853</v>
      </c>
    </row>
    <row r="13865" spans="1:5">
      <c r="A13865">
        <v>10915</v>
      </c>
      <c r="B13865" t="s">
        <v>179</v>
      </c>
      <c r="C13865">
        <v>390</v>
      </c>
      <c r="D13865">
        <v>10</v>
      </c>
      <c r="E13865" s="80">
        <v>35853</v>
      </c>
    </row>
    <row r="13866" spans="1:5">
      <c r="A13866">
        <v>10915</v>
      </c>
      <c r="B13866" t="s">
        <v>172</v>
      </c>
      <c r="C13866">
        <v>75</v>
      </c>
      <c r="D13866">
        <v>30</v>
      </c>
      <c r="E13866" s="80">
        <v>35853</v>
      </c>
    </row>
    <row r="13867" spans="1:5">
      <c r="A13867">
        <v>10915</v>
      </c>
      <c r="B13867" t="s">
        <v>173</v>
      </c>
      <c r="C13867">
        <v>75</v>
      </c>
      <c r="D13867">
        <v>30</v>
      </c>
      <c r="E13867" s="80">
        <v>35853</v>
      </c>
    </row>
    <row r="13868" spans="1:5">
      <c r="A13868">
        <v>10915</v>
      </c>
      <c r="B13868" t="s">
        <v>174</v>
      </c>
      <c r="C13868">
        <v>75</v>
      </c>
      <c r="D13868">
        <v>30</v>
      </c>
      <c r="E13868" s="80">
        <v>35853</v>
      </c>
    </row>
    <row r="13869" spans="1:5">
      <c r="A13869">
        <v>10915</v>
      </c>
      <c r="B13869" t="s">
        <v>175</v>
      </c>
      <c r="C13869">
        <v>75</v>
      </c>
      <c r="D13869">
        <v>30</v>
      </c>
      <c r="E13869" s="80">
        <v>35853</v>
      </c>
    </row>
    <row r="13870" spans="1:5">
      <c r="A13870">
        <v>10915</v>
      </c>
      <c r="B13870" t="s">
        <v>176</v>
      </c>
      <c r="C13870">
        <v>75</v>
      </c>
      <c r="D13870">
        <v>30</v>
      </c>
      <c r="E13870" s="80">
        <v>35853</v>
      </c>
    </row>
    <row r="13871" spans="1:5">
      <c r="A13871">
        <v>10915</v>
      </c>
      <c r="B13871" t="s">
        <v>177</v>
      </c>
      <c r="C13871">
        <v>75</v>
      </c>
      <c r="D13871">
        <v>30</v>
      </c>
      <c r="E13871" s="80">
        <v>35853</v>
      </c>
    </row>
    <row r="13872" spans="1:5">
      <c r="A13872">
        <v>10915</v>
      </c>
      <c r="B13872" t="s">
        <v>178</v>
      </c>
      <c r="C13872">
        <v>75</v>
      </c>
      <c r="D13872">
        <v>30</v>
      </c>
      <c r="E13872" s="80">
        <v>35853</v>
      </c>
    </row>
    <row r="13873" spans="1:5">
      <c r="A13873">
        <v>10915</v>
      </c>
      <c r="B13873" t="s">
        <v>179</v>
      </c>
      <c r="C13873">
        <v>75</v>
      </c>
      <c r="D13873">
        <v>30</v>
      </c>
      <c r="E13873" s="80">
        <v>35853</v>
      </c>
    </row>
    <row r="13874" spans="1:5">
      <c r="A13874">
        <v>10915</v>
      </c>
      <c r="B13874" t="s">
        <v>172</v>
      </c>
      <c r="C13874">
        <v>74.5</v>
      </c>
      <c r="D13874">
        <v>10</v>
      </c>
      <c r="E13874" s="80">
        <v>35853</v>
      </c>
    </row>
    <row r="13875" spans="1:5">
      <c r="A13875">
        <v>10915</v>
      </c>
      <c r="B13875" t="s">
        <v>173</v>
      </c>
      <c r="C13875">
        <v>74.5</v>
      </c>
      <c r="D13875">
        <v>10</v>
      </c>
      <c r="E13875" s="80">
        <v>35853</v>
      </c>
    </row>
    <row r="13876" spans="1:5">
      <c r="A13876">
        <v>10915</v>
      </c>
      <c r="B13876" t="s">
        <v>174</v>
      </c>
      <c r="C13876">
        <v>74.5</v>
      </c>
      <c r="D13876">
        <v>10</v>
      </c>
      <c r="E13876" s="80">
        <v>35853</v>
      </c>
    </row>
    <row r="13877" spans="1:5">
      <c r="A13877">
        <v>10915</v>
      </c>
      <c r="B13877" t="s">
        <v>175</v>
      </c>
      <c r="C13877">
        <v>74.5</v>
      </c>
      <c r="D13877">
        <v>10</v>
      </c>
      <c r="E13877" s="80">
        <v>35853</v>
      </c>
    </row>
    <row r="13878" spans="1:5">
      <c r="A13878">
        <v>10915</v>
      </c>
      <c r="B13878" t="s">
        <v>176</v>
      </c>
      <c r="C13878">
        <v>74.5</v>
      </c>
      <c r="D13878">
        <v>10</v>
      </c>
      <c r="E13878" s="80">
        <v>35853</v>
      </c>
    </row>
    <row r="13879" spans="1:5">
      <c r="A13879">
        <v>10915</v>
      </c>
      <c r="B13879" t="s">
        <v>177</v>
      </c>
      <c r="C13879">
        <v>74.5</v>
      </c>
      <c r="D13879">
        <v>10</v>
      </c>
      <c r="E13879" s="80">
        <v>35853</v>
      </c>
    </row>
    <row r="13880" spans="1:5">
      <c r="A13880">
        <v>10915</v>
      </c>
      <c r="B13880" t="s">
        <v>178</v>
      </c>
      <c r="C13880">
        <v>74.5</v>
      </c>
      <c r="D13880">
        <v>10</v>
      </c>
      <c r="E13880" s="80">
        <v>35853</v>
      </c>
    </row>
    <row r="13881" spans="1:5">
      <c r="A13881">
        <v>10915</v>
      </c>
      <c r="B13881" t="s">
        <v>179</v>
      </c>
      <c r="C13881">
        <v>74.5</v>
      </c>
      <c r="D13881">
        <v>10</v>
      </c>
      <c r="E13881" s="80">
        <v>35853</v>
      </c>
    </row>
    <row r="13882" spans="1:5">
      <c r="A13882">
        <v>10916</v>
      </c>
      <c r="B13882" t="s">
        <v>172</v>
      </c>
      <c r="C13882">
        <v>104.7</v>
      </c>
      <c r="D13882">
        <v>6</v>
      </c>
      <c r="E13882" s="80">
        <v>35853</v>
      </c>
    </row>
    <row r="13883" spans="1:5">
      <c r="A13883">
        <v>10916</v>
      </c>
      <c r="B13883" t="s">
        <v>173</v>
      </c>
      <c r="C13883">
        <v>104.7</v>
      </c>
      <c r="D13883">
        <v>6</v>
      </c>
      <c r="E13883" s="80">
        <v>35853</v>
      </c>
    </row>
    <row r="13884" spans="1:5">
      <c r="A13884">
        <v>10916</v>
      </c>
      <c r="B13884" t="s">
        <v>174</v>
      </c>
      <c r="C13884">
        <v>104.7</v>
      </c>
      <c r="D13884">
        <v>6</v>
      </c>
      <c r="E13884" s="80">
        <v>35853</v>
      </c>
    </row>
    <row r="13885" spans="1:5">
      <c r="A13885">
        <v>10916</v>
      </c>
      <c r="B13885" t="s">
        <v>175</v>
      </c>
      <c r="C13885">
        <v>104.7</v>
      </c>
      <c r="D13885">
        <v>6</v>
      </c>
      <c r="E13885" s="80">
        <v>35853</v>
      </c>
    </row>
    <row r="13886" spans="1:5">
      <c r="A13886">
        <v>10916</v>
      </c>
      <c r="B13886" t="s">
        <v>176</v>
      </c>
      <c r="C13886">
        <v>104.7</v>
      </c>
      <c r="D13886">
        <v>6</v>
      </c>
      <c r="E13886" s="80">
        <v>35853</v>
      </c>
    </row>
    <row r="13887" spans="1:5">
      <c r="A13887">
        <v>10916</v>
      </c>
      <c r="B13887" t="s">
        <v>177</v>
      </c>
      <c r="C13887">
        <v>104.7</v>
      </c>
      <c r="D13887">
        <v>6</v>
      </c>
      <c r="E13887" s="80">
        <v>35853</v>
      </c>
    </row>
    <row r="13888" spans="1:5">
      <c r="A13888">
        <v>10916</v>
      </c>
      <c r="B13888" t="s">
        <v>178</v>
      </c>
      <c r="C13888">
        <v>104.7</v>
      </c>
      <c r="D13888">
        <v>6</v>
      </c>
      <c r="E13888" s="80">
        <v>35853</v>
      </c>
    </row>
    <row r="13889" spans="1:5">
      <c r="A13889">
        <v>10916</v>
      </c>
      <c r="B13889" t="s">
        <v>179</v>
      </c>
      <c r="C13889">
        <v>104.7</v>
      </c>
      <c r="D13889">
        <v>6</v>
      </c>
      <c r="E13889" s="80">
        <v>35853</v>
      </c>
    </row>
    <row r="13890" spans="1:5">
      <c r="A13890">
        <v>10916</v>
      </c>
      <c r="B13890" t="s">
        <v>172</v>
      </c>
      <c r="C13890">
        <v>192</v>
      </c>
      <c r="D13890">
        <v>6</v>
      </c>
      <c r="E13890" s="80">
        <v>35853</v>
      </c>
    </row>
    <row r="13891" spans="1:5">
      <c r="A13891">
        <v>10916</v>
      </c>
      <c r="B13891" t="s">
        <v>173</v>
      </c>
      <c r="C13891">
        <v>192</v>
      </c>
      <c r="D13891">
        <v>6</v>
      </c>
      <c r="E13891" s="80">
        <v>35853</v>
      </c>
    </row>
    <row r="13892" spans="1:5">
      <c r="A13892">
        <v>10916</v>
      </c>
      <c r="B13892" t="s">
        <v>174</v>
      </c>
      <c r="C13892">
        <v>192</v>
      </c>
      <c r="D13892">
        <v>6</v>
      </c>
      <c r="E13892" s="80">
        <v>35853</v>
      </c>
    </row>
    <row r="13893" spans="1:5">
      <c r="A13893">
        <v>10916</v>
      </c>
      <c r="B13893" t="s">
        <v>175</v>
      </c>
      <c r="C13893">
        <v>192</v>
      </c>
      <c r="D13893">
        <v>6</v>
      </c>
      <c r="E13893" s="80">
        <v>35853</v>
      </c>
    </row>
    <row r="13894" spans="1:5">
      <c r="A13894">
        <v>10916</v>
      </c>
      <c r="B13894" t="s">
        <v>176</v>
      </c>
      <c r="C13894">
        <v>192</v>
      </c>
      <c r="D13894">
        <v>6</v>
      </c>
      <c r="E13894" s="80">
        <v>35853</v>
      </c>
    </row>
    <row r="13895" spans="1:5">
      <c r="A13895">
        <v>10916</v>
      </c>
      <c r="B13895" t="s">
        <v>177</v>
      </c>
      <c r="C13895">
        <v>192</v>
      </c>
      <c r="D13895">
        <v>6</v>
      </c>
      <c r="E13895" s="80">
        <v>35853</v>
      </c>
    </row>
    <row r="13896" spans="1:5">
      <c r="A13896">
        <v>10916</v>
      </c>
      <c r="B13896" t="s">
        <v>178</v>
      </c>
      <c r="C13896">
        <v>192</v>
      </c>
      <c r="D13896">
        <v>6</v>
      </c>
      <c r="E13896" s="80">
        <v>35853</v>
      </c>
    </row>
    <row r="13897" spans="1:5">
      <c r="A13897">
        <v>10916</v>
      </c>
      <c r="B13897" t="s">
        <v>179</v>
      </c>
      <c r="C13897">
        <v>192</v>
      </c>
      <c r="D13897">
        <v>6</v>
      </c>
      <c r="E13897" s="80">
        <v>35853</v>
      </c>
    </row>
    <row r="13898" spans="1:5">
      <c r="A13898">
        <v>10916</v>
      </c>
      <c r="B13898" t="s">
        <v>172</v>
      </c>
      <c r="C13898">
        <v>390</v>
      </c>
      <c r="D13898">
        <v>20</v>
      </c>
      <c r="E13898" s="80">
        <v>35853</v>
      </c>
    </row>
    <row r="13899" spans="1:5">
      <c r="A13899">
        <v>10916</v>
      </c>
      <c r="B13899" t="s">
        <v>173</v>
      </c>
      <c r="C13899">
        <v>390</v>
      </c>
      <c r="D13899">
        <v>20</v>
      </c>
      <c r="E13899" s="80">
        <v>35853</v>
      </c>
    </row>
    <row r="13900" spans="1:5">
      <c r="A13900">
        <v>10916</v>
      </c>
      <c r="B13900" t="s">
        <v>174</v>
      </c>
      <c r="C13900">
        <v>390</v>
      </c>
      <c r="D13900">
        <v>20</v>
      </c>
      <c r="E13900" s="80">
        <v>35853</v>
      </c>
    </row>
    <row r="13901" spans="1:5">
      <c r="A13901">
        <v>10916</v>
      </c>
      <c r="B13901" t="s">
        <v>175</v>
      </c>
      <c r="C13901">
        <v>390</v>
      </c>
      <c r="D13901">
        <v>20</v>
      </c>
      <c r="E13901" s="80">
        <v>35853</v>
      </c>
    </row>
    <row r="13902" spans="1:5">
      <c r="A13902">
        <v>10916</v>
      </c>
      <c r="B13902" t="s">
        <v>176</v>
      </c>
      <c r="C13902">
        <v>390</v>
      </c>
      <c r="D13902">
        <v>20</v>
      </c>
      <c r="E13902" s="80">
        <v>35853</v>
      </c>
    </row>
    <row r="13903" spans="1:5">
      <c r="A13903">
        <v>10916</v>
      </c>
      <c r="B13903" t="s">
        <v>177</v>
      </c>
      <c r="C13903">
        <v>390</v>
      </c>
      <c r="D13903">
        <v>20</v>
      </c>
      <c r="E13903" s="80">
        <v>35853</v>
      </c>
    </row>
    <row r="13904" spans="1:5">
      <c r="A13904">
        <v>10916</v>
      </c>
      <c r="B13904" t="s">
        <v>178</v>
      </c>
      <c r="C13904">
        <v>390</v>
      </c>
      <c r="D13904">
        <v>20</v>
      </c>
      <c r="E13904" s="80">
        <v>35853</v>
      </c>
    </row>
    <row r="13905" spans="1:5">
      <c r="A13905">
        <v>10916</v>
      </c>
      <c r="B13905" t="s">
        <v>179</v>
      </c>
      <c r="C13905">
        <v>390</v>
      </c>
      <c r="D13905">
        <v>20</v>
      </c>
      <c r="E13905" s="80">
        <v>35853</v>
      </c>
    </row>
    <row r="13906" spans="1:5">
      <c r="A13906">
        <v>10917</v>
      </c>
      <c r="B13906" t="s">
        <v>172</v>
      </c>
      <c r="C13906">
        <v>25.89</v>
      </c>
      <c r="D13906">
        <v>1</v>
      </c>
      <c r="E13906" s="80">
        <v>35856</v>
      </c>
    </row>
    <row r="13907" spans="1:5">
      <c r="A13907">
        <v>10917</v>
      </c>
      <c r="B13907" t="s">
        <v>173</v>
      </c>
      <c r="C13907">
        <v>25.89</v>
      </c>
      <c r="D13907">
        <v>1</v>
      </c>
      <c r="E13907" s="80">
        <v>35856</v>
      </c>
    </row>
    <row r="13908" spans="1:5">
      <c r="A13908">
        <v>10917</v>
      </c>
      <c r="B13908" t="s">
        <v>174</v>
      </c>
      <c r="C13908">
        <v>25.89</v>
      </c>
      <c r="D13908">
        <v>1</v>
      </c>
      <c r="E13908" s="80">
        <v>35856</v>
      </c>
    </row>
    <row r="13909" spans="1:5">
      <c r="A13909">
        <v>10917</v>
      </c>
      <c r="B13909" t="s">
        <v>175</v>
      </c>
      <c r="C13909">
        <v>25.89</v>
      </c>
      <c r="D13909">
        <v>1</v>
      </c>
      <c r="E13909" s="80">
        <v>35856</v>
      </c>
    </row>
    <row r="13910" spans="1:5">
      <c r="A13910">
        <v>10917</v>
      </c>
      <c r="B13910" t="s">
        <v>176</v>
      </c>
      <c r="C13910">
        <v>25.89</v>
      </c>
      <c r="D13910">
        <v>1</v>
      </c>
      <c r="E13910" s="80">
        <v>35856</v>
      </c>
    </row>
    <row r="13911" spans="1:5">
      <c r="A13911">
        <v>10917</v>
      </c>
      <c r="B13911" t="s">
        <v>177</v>
      </c>
      <c r="C13911">
        <v>25.89</v>
      </c>
      <c r="D13911">
        <v>1</v>
      </c>
      <c r="E13911" s="80">
        <v>35856</v>
      </c>
    </row>
    <row r="13912" spans="1:5">
      <c r="A13912">
        <v>10917</v>
      </c>
      <c r="B13912" t="s">
        <v>178</v>
      </c>
      <c r="C13912">
        <v>25.89</v>
      </c>
      <c r="D13912">
        <v>1</v>
      </c>
      <c r="E13912" s="80">
        <v>35856</v>
      </c>
    </row>
    <row r="13913" spans="1:5">
      <c r="A13913">
        <v>10917</v>
      </c>
      <c r="B13913" t="s">
        <v>179</v>
      </c>
      <c r="C13913">
        <v>25.89</v>
      </c>
      <c r="D13913">
        <v>1</v>
      </c>
      <c r="E13913" s="80">
        <v>35856</v>
      </c>
    </row>
    <row r="13914" spans="1:5">
      <c r="A13914">
        <v>10917</v>
      </c>
      <c r="B13914" t="s">
        <v>172</v>
      </c>
      <c r="C13914">
        <v>340</v>
      </c>
      <c r="D13914">
        <v>10</v>
      </c>
      <c r="E13914" s="80">
        <v>35856</v>
      </c>
    </row>
    <row r="13915" spans="1:5">
      <c r="A13915">
        <v>10917</v>
      </c>
      <c r="B13915" t="s">
        <v>173</v>
      </c>
      <c r="C13915">
        <v>340</v>
      </c>
      <c r="D13915">
        <v>10</v>
      </c>
      <c r="E13915" s="80">
        <v>35856</v>
      </c>
    </row>
    <row r="13916" spans="1:5">
      <c r="A13916">
        <v>10917</v>
      </c>
      <c r="B13916" t="s">
        <v>174</v>
      </c>
      <c r="C13916">
        <v>340</v>
      </c>
      <c r="D13916">
        <v>10</v>
      </c>
      <c r="E13916" s="80">
        <v>35856</v>
      </c>
    </row>
    <row r="13917" spans="1:5">
      <c r="A13917">
        <v>10917</v>
      </c>
      <c r="B13917" t="s">
        <v>175</v>
      </c>
      <c r="C13917">
        <v>340</v>
      </c>
      <c r="D13917">
        <v>10</v>
      </c>
      <c r="E13917" s="80">
        <v>35856</v>
      </c>
    </row>
    <row r="13918" spans="1:5">
      <c r="A13918">
        <v>10917</v>
      </c>
      <c r="B13918" t="s">
        <v>176</v>
      </c>
      <c r="C13918">
        <v>340</v>
      </c>
      <c r="D13918">
        <v>10</v>
      </c>
      <c r="E13918" s="80">
        <v>35856</v>
      </c>
    </row>
    <row r="13919" spans="1:5">
      <c r="A13919">
        <v>10917</v>
      </c>
      <c r="B13919" t="s">
        <v>177</v>
      </c>
      <c r="C13919">
        <v>340</v>
      </c>
      <c r="D13919">
        <v>10</v>
      </c>
      <c r="E13919" s="80">
        <v>35856</v>
      </c>
    </row>
    <row r="13920" spans="1:5">
      <c r="A13920">
        <v>10917</v>
      </c>
      <c r="B13920" t="s">
        <v>178</v>
      </c>
      <c r="C13920">
        <v>340</v>
      </c>
      <c r="D13920">
        <v>10</v>
      </c>
      <c r="E13920" s="80">
        <v>35856</v>
      </c>
    </row>
    <row r="13921" spans="1:5">
      <c r="A13921">
        <v>10917</v>
      </c>
      <c r="B13921" t="s">
        <v>179</v>
      </c>
      <c r="C13921">
        <v>340</v>
      </c>
      <c r="D13921">
        <v>10</v>
      </c>
      <c r="E13921" s="80">
        <v>35856</v>
      </c>
    </row>
    <row r="13922" spans="1:5">
      <c r="A13922">
        <v>10918</v>
      </c>
      <c r="B13922" t="s">
        <v>172</v>
      </c>
      <c r="C13922">
        <v>810</v>
      </c>
      <c r="D13922">
        <v>60</v>
      </c>
      <c r="E13922" s="80">
        <v>35856</v>
      </c>
    </row>
    <row r="13923" spans="1:5">
      <c r="A13923">
        <v>10918</v>
      </c>
      <c r="B13923" t="s">
        <v>173</v>
      </c>
      <c r="C13923">
        <v>810</v>
      </c>
      <c r="D13923">
        <v>60</v>
      </c>
      <c r="E13923" s="80">
        <v>35856</v>
      </c>
    </row>
    <row r="13924" spans="1:5">
      <c r="A13924">
        <v>10918</v>
      </c>
      <c r="B13924" t="s">
        <v>174</v>
      </c>
      <c r="C13924">
        <v>810</v>
      </c>
      <c r="D13924">
        <v>60</v>
      </c>
      <c r="E13924" s="80">
        <v>35856</v>
      </c>
    </row>
    <row r="13925" spans="1:5">
      <c r="A13925">
        <v>10918</v>
      </c>
      <c r="B13925" t="s">
        <v>175</v>
      </c>
      <c r="C13925">
        <v>810</v>
      </c>
      <c r="D13925">
        <v>60</v>
      </c>
      <c r="E13925" s="80">
        <v>35856</v>
      </c>
    </row>
    <row r="13926" spans="1:5">
      <c r="A13926">
        <v>10918</v>
      </c>
      <c r="B13926" t="s">
        <v>176</v>
      </c>
      <c r="C13926">
        <v>810</v>
      </c>
      <c r="D13926">
        <v>60</v>
      </c>
      <c r="E13926" s="80">
        <v>35856</v>
      </c>
    </row>
    <row r="13927" spans="1:5">
      <c r="A13927">
        <v>10918</v>
      </c>
      <c r="B13927" t="s">
        <v>177</v>
      </c>
      <c r="C13927">
        <v>810</v>
      </c>
      <c r="D13927">
        <v>60</v>
      </c>
      <c r="E13927" s="80">
        <v>35856</v>
      </c>
    </row>
    <row r="13928" spans="1:5">
      <c r="A13928">
        <v>10918</v>
      </c>
      <c r="B13928" t="s">
        <v>178</v>
      </c>
      <c r="C13928">
        <v>810</v>
      </c>
      <c r="D13928">
        <v>60</v>
      </c>
      <c r="E13928" s="80">
        <v>35856</v>
      </c>
    </row>
    <row r="13929" spans="1:5">
      <c r="A13929">
        <v>10918</v>
      </c>
      <c r="B13929" t="s">
        <v>179</v>
      </c>
      <c r="C13929">
        <v>810</v>
      </c>
      <c r="D13929">
        <v>60</v>
      </c>
      <c r="E13929" s="80">
        <v>35856</v>
      </c>
    </row>
    <row r="13930" spans="1:5">
      <c r="A13930">
        <v>10918</v>
      </c>
      <c r="B13930" t="s">
        <v>172</v>
      </c>
      <c r="C13930">
        <v>637.5</v>
      </c>
      <c r="D13930">
        <v>25</v>
      </c>
      <c r="E13930" s="80">
        <v>35856</v>
      </c>
    </row>
    <row r="13931" spans="1:5">
      <c r="A13931">
        <v>10918</v>
      </c>
      <c r="B13931" t="s">
        <v>173</v>
      </c>
      <c r="C13931">
        <v>637.5</v>
      </c>
      <c r="D13931">
        <v>25</v>
      </c>
      <c r="E13931" s="80">
        <v>35856</v>
      </c>
    </row>
    <row r="13932" spans="1:5">
      <c r="A13932">
        <v>10918</v>
      </c>
      <c r="B13932" t="s">
        <v>174</v>
      </c>
      <c r="C13932">
        <v>637.5</v>
      </c>
      <c r="D13932">
        <v>25</v>
      </c>
      <c r="E13932" s="80">
        <v>35856</v>
      </c>
    </row>
    <row r="13933" spans="1:5">
      <c r="A13933">
        <v>10918</v>
      </c>
      <c r="B13933" t="s">
        <v>175</v>
      </c>
      <c r="C13933">
        <v>637.5</v>
      </c>
      <c r="D13933">
        <v>25</v>
      </c>
      <c r="E13933" s="80">
        <v>35856</v>
      </c>
    </row>
    <row r="13934" spans="1:5">
      <c r="A13934">
        <v>10918</v>
      </c>
      <c r="B13934" t="s">
        <v>176</v>
      </c>
      <c r="C13934">
        <v>637.5</v>
      </c>
      <c r="D13934">
        <v>25</v>
      </c>
      <c r="E13934" s="80">
        <v>35856</v>
      </c>
    </row>
    <row r="13935" spans="1:5">
      <c r="A13935">
        <v>10918</v>
      </c>
      <c r="B13935" t="s">
        <v>177</v>
      </c>
      <c r="C13935">
        <v>637.5</v>
      </c>
      <c r="D13935">
        <v>25</v>
      </c>
      <c r="E13935" s="80">
        <v>35856</v>
      </c>
    </row>
    <row r="13936" spans="1:5">
      <c r="A13936">
        <v>10918</v>
      </c>
      <c r="B13936" t="s">
        <v>178</v>
      </c>
      <c r="C13936">
        <v>637.5</v>
      </c>
      <c r="D13936">
        <v>25</v>
      </c>
      <c r="E13936" s="80">
        <v>35856</v>
      </c>
    </row>
    <row r="13937" spans="1:5">
      <c r="A13937">
        <v>10918</v>
      </c>
      <c r="B13937" t="s">
        <v>179</v>
      </c>
      <c r="C13937">
        <v>637.5</v>
      </c>
      <c r="D13937">
        <v>25</v>
      </c>
      <c r="E13937" s="80">
        <v>35856</v>
      </c>
    </row>
    <row r="13938" spans="1:5">
      <c r="A13938">
        <v>10919</v>
      </c>
      <c r="B13938" t="s">
        <v>172</v>
      </c>
      <c r="C13938">
        <v>418.8</v>
      </c>
      <c r="D13938">
        <v>24</v>
      </c>
      <c r="E13938" s="80">
        <v>35856</v>
      </c>
    </row>
    <row r="13939" spans="1:5">
      <c r="A13939">
        <v>10919</v>
      </c>
      <c r="B13939" t="s">
        <v>173</v>
      </c>
      <c r="C13939">
        <v>418.8</v>
      </c>
      <c r="D13939">
        <v>24</v>
      </c>
      <c r="E13939" s="80">
        <v>35856</v>
      </c>
    </row>
    <row r="13940" spans="1:5">
      <c r="A13940">
        <v>10919</v>
      </c>
      <c r="B13940" t="s">
        <v>174</v>
      </c>
      <c r="C13940">
        <v>418.8</v>
      </c>
      <c r="D13940">
        <v>24</v>
      </c>
      <c r="E13940" s="80">
        <v>35856</v>
      </c>
    </row>
    <row r="13941" spans="1:5">
      <c r="A13941">
        <v>10919</v>
      </c>
      <c r="B13941" t="s">
        <v>175</v>
      </c>
      <c r="C13941">
        <v>418.8</v>
      </c>
      <c r="D13941">
        <v>24</v>
      </c>
      <c r="E13941" s="80">
        <v>35856</v>
      </c>
    </row>
    <row r="13942" spans="1:5">
      <c r="A13942">
        <v>10919</v>
      </c>
      <c r="B13942" t="s">
        <v>176</v>
      </c>
      <c r="C13942">
        <v>418.8</v>
      </c>
      <c r="D13942">
        <v>24</v>
      </c>
      <c r="E13942" s="80">
        <v>35856</v>
      </c>
    </row>
    <row r="13943" spans="1:5">
      <c r="A13943">
        <v>10919</v>
      </c>
      <c r="B13943" t="s">
        <v>177</v>
      </c>
      <c r="C13943">
        <v>418.8</v>
      </c>
      <c r="D13943">
        <v>24</v>
      </c>
      <c r="E13943" s="80">
        <v>35856</v>
      </c>
    </row>
    <row r="13944" spans="1:5">
      <c r="A13944">
        <v>10919</v>
      </c>
      <c r="B13944" t="s">
        <v>178</v>
      </c>
      <c r="C13944">
        <v>418.8</v>
      </c>
      <c r="D13944">
        <v>24</v>
      </c>
      <c r="E13944" s="80">
        <v>35856</v>
      </c>
    </row>
    <row r="13945" spans="1:5">
      <c r="A13945">
        <v>10919</v>
      </c>
      <c r="B13945" t="s">
        <v>179</v>
      </c>
      <c r="C13945">
        <v>418.8</v>
      </c>
      <c r="D13945">
        <v>24</v>
      </c>
      <c r="E13945" s="80">
        <v>35856</v>
      </c>
    </row>
    <row r="13946" spans="1:5">
      <c r="A13946">
        <v>10919</v>
      </c>
      <c r="B13946" t="s">
        <v>172</v>
      </c>
      <c r="C13946">
        <v>336</v>
      </c>
      <c r="D13946">
        <v>24</v>
      </c>
      <c r="E13946" s="80">
        <v>35856</v>
      </c>
    </row>
    <row r="13947" spans="1:5">
      <c r="A13947">
        <v>10919</v>
      </c>
      <c r="B13947" t="s">
        <v>173</v>
      </c>
      <c r="C13947">
        <v>336</v>
      </c>
      <c r="D13947">
        <v>24</v>
      </c>
      <c r="E13947" s="80">
        <v>35856</v>
      </c>
    </row>
    <row r="13948" spans="1:5">
      <c r="A13948">
        <v>10919</v>
      </c>
      <c r="B13948" t="s">
        <v>174</v>
      </c>
      <c r="C13948">
        <v>336</v>
      </c>
      <c r="D13948">
        <v>24</v>
      </c>
      <c r="E13948" s="80">
        <v>35856</v>
      </c>
    </row>
    <row r="13949" spans="1:5">
      <c r="A13949">
        <v>10919</v>
      </c>
      <c r="B13949" t="s">
        <v>175</v>
      </c>
      <c r="C13949">
        <v>336</v>
      </c>
      <c r="D13949">
        <v>24</v>
      </c>
      <c r="E13949" s="80">
        <v>35856</v>
      </c>
    </row>
    <row r="13950" spans="1:5">
      <c r="A13950">
        <v>10919</v>
      </c>
      <c r="B13950" t="s">
        <v>176</v>
      </c>
      <c r="C13950">
        <v>336</v>
      </c>
      <c r="D13950">
        <v>24</v>
      </c>
      <c r="E13950" s="80">
        <v>35856</v>
      </c>
    </row>
    <row r="13951" spans="1:5">
      <c r="A13951">
        <v>10919</v>
      </c>
      <c r="B13951" t="s">
        <v>177</v>
      </c>
      <c r="C13951">
        <v>336</v>
      </c>
      <c r="D13951">
        <v>24</v>
      </c>
      <c r="E13951" s="80">
        <v>35856</v>
      </c>
    </row>
    <row r="13952" spans="1:5">
      <c r="A13952">
        <v>10919</v>
      </c>
      <c r="B13952" t="s">
        <v>178</v>
      </c>
      <c r="C13952">
        <v>336</v>
      </c>
      <c r="D13952">
        <v>24</v>
      </c>
      <c r="E13952" s="80">
        <v>35856</v>
      </c>
    </row>
    <row r="13953" spans="1:5">
      <c r="A13953">
        <v>10919</v>
      </c>
      <c r="B13953" t="s">
        <v>179</v>
      </c>
      <c r="C13953">
        <v>336</v>
      </c>
      <c r="D13953">
        <v>24</v>
      </c>
      <c r="E13953" s="80">
        <v>35856</v>
      </c>
    </row>
    <row r="13954" spans="1:5">
      <c r="A13954">
        <v>10919</v>
      </c>
      <c r="B13954" t="s">
        <v>172</v>
      </c>
      <c r="C13954">
        <v>368</v>
      </c>
      <c r="D13954">
        <v>20</v>
      </c>
      <c r="E13954" s="80">
        <v>35856</v>
      </c>
    </row>
    <row r="13955" spans="1:5">
      <c r="A13955">
        <v>10919</v>
      </c>
      <c r="B13955" t="s">
        <v>173</v>
      </c>
      <c r="C13955">
        <v>368</v>
      </c>
      <c r="D13955">
        <v>20</v>
      </c>
      <c r="E13955" s="80">
        <v>35856</v>
      </c>
    </row>
    <row r="13956" spans="1:5">
      <c r="A13956">
        <v>10919</v>
      </c>
      <c r="B13956" t="s">
        <v>174</v>
      </c>
      <c r="C13956">
        <v>368</v>
      </c>
      <c r="D13956">
        <v>20</v>
      </c>
      <c r="E13956" s="80">
        <v>35856</v>
      </c>
    </row>
    <row r="13957" spans="1:5">
      <c r="A13957">
        <v>10919</v>
      </c>
      <c r="B13957" t="s">
        <v>175</v>
      </c>
      <c r="C13957">
        <v>368</v>
      </c>
      <c r="D13957">
        <v>20</v>
      </c>
      <c r="E13957" s="80">
        <v>35856</v>
      </c>
    </row>
    <row r="13958" spans="1:5">
      <c r="A13958">
        <v>10919</v>
      </c>
      <c r="B13958" t="s">
        <v>176</v>
      </c>
      <c r="C13958">
        <v>368</v>
      </c>
      <c r="D13958">
        <v>20</v>
      </c>
      <c r="E13958" s="80">
        <v>35856</v>
      </c>
    </row>
    <row r="13959" spans="1:5">
      <c r="A13959">
        <v>10919</v>
      </c>
      <c r="B13959" t="s">
        <v>177</v>
      </c>
      <c r="C13959">
        <v>368</v>
      </c>
      <c r="D13959">
        <v>20</v>
      </c>
      <c r="E13959" s="80">
        <v>35856</v>
      </c>
    </row>
    <row r="13960" spans="1:5">
      <c r="A13960">
        <v>10919</v>
      </c>
      <c r="B13960" t="s">
        <v>178</v>
      </c>
      <c r="C13960">
        <v>368</v>
      </c>
      <c r="D13960">
        <v>20</v>
      </c>
      <c r="E13960" s="80">
        <v>35856</v>
      </c>
    </row>
    <row r="13961" spans="1:5">
      <c r="A13961">
        <v>10919</v>
      </c>
      <c r="B13961" t="s">
        <v>179</v>
      </c>
      <c r="C13961">
        <v>368</v>
      </c>
      <c r="D13961">
        <v>20</v>
      </c>
      <c r="E13961" s="80">
        <v>35856</v>
      </c>
    </row>
    <row r="13962" spans="1:5">
      <c r="A13962">
        <v>10920</v>
      </c>
      <c r="B13962" t="s">
        <v>172</v>
      </c>
      <c r="C13962">
        <v>390</v>
      </c>
      <c r="D13962">
        <v>24</v>
      </c>
      <c r="E13962" s="80">
        <v>35857</v>
      </c>
    </row>
    <row r="13963" spans="1:5">
      <c r="A13963">
        <v>10920</v>
      </c>
      <c r="B13963" t="s">
        <v>173</v>
      </c>
      <c r="C13963">
        <v>390</v>
      </c>
      <c r="D13963">
        <v>24</v>
      </c>
      <c r="E13963" s="80">
        <v>35857</v>
      </c>
    </row>
    <row r="13964" spans="1:5">
      <c r="A13964">
        <v>10920</v>
      </c>
      <c r="B13964" t="s">
        <v>174</v>
      </c>
      <c r="C13964">
        <v>390</v>
      </c>
      <c r="D13964">
        <v>24</v>
      </c>
      <c r="E13964" s="80">
        <v>35857</v>
      </c>
    </row>
    <row r="13965" spans="1:5">
      <c r="A13965">
        <v>10920</v>
      </c>
      <c r="B13965" t="s">
        <v>175</v>
      </c>
      <c r="C13965">
        <v>390</v>
      </c>
      <c r="D13965">
        <v>24</v>
      </c>
      <c r="E13965" s="80">
        <v>35857</v>
      </c>
    </row>
    <row r="13966" spans="1:5">
      <c r="A13966">
        <v>10920</v>
      </c>
      <c r="B13966" t="s">
        <v>176</v>
      </c>
      <c r="C13966">
        <v>390</v>
      </c>
      <c r="D13966">
        <v>24</v>
      </c>
      <c r="E13966" s="80">
        <v>35857</v>
      </c>
    </row>
    <row r="13967" spans="1:5">
      <c r="A13967">
        <v>10920</v>
      </c>
      <c r="B13967" t="s">
        <v>177</v>
      </c>
      <c r="C13967">
        <v>390</v>
      </c>
      <c r="D13967">
        <v>24</v>
      </c>
      <c r="E13967" s="80">
        <v>35857</v>
      </c>
    </row>
    <row r="13968" spans="1:5">
      <c r="A13968">
        <v>10920</v>
      </c>
      <c r="B13968" t="s">
        <v>178</v>
      </c>
      <c r="C13968">
        <v>390</v>
      </c>
      <c r="D13968">
        <v>24</v>
      </c>
      <c r="E13968" s="80">
        <v>35857</v>
      </c>
    </row>
    <row r="13969" spans="1:5">
      <c r="A13969">
        <v>10920</v>
      </c>
      <c r="B13969" t="s">
        <v>179</v>
      </c>
      <c r="C13969">
        <v>390</v>
      </c>
      <c r="D13969">
        <v>24</v>
      </c>
      <c r="E13969" s="80">
        <v>35857</v>
      </c>
    </row>
    <row r="13970" spans="1:5">
      <c r="A13970">
        <v>10921</v>
      </c>
      <c r="B13970" t="s">
        <v>172</v>
      </c>
      <c r="C13970">
        <v>180</v>
      </c>
      <c r="D13970">
        <v>10</v>
      </c>
      <c r="E13970" s="80">
        <v>35857</v>
      </c>
    </row>
    <row r="13971" spans="1:5">
      <c r="A13971">
        <v>10921</v>
      </c>
      <c r="B13971" t="s">
        <v>173</v>
      </c>
      <c r="C13971">
        <v>180</v>
      </c>
      <c r="D13971">
        <v>10</v>
      </c>
      <c r="E13971" s="80">
        <v>35857</v>
      </c>
    </row>
    <row r="13972" spans="1:5">
      <c r="A13972">
        <v>10921</v>
      </c>
      <c r="B13972" t="s">
        <v>174</v>
      </c>
      <c r="C13972">
        <v>180</v>
      </c>
      <c r="D13972">
        <v>10</v>
      </c>
      <c r="E13972" s="80">
        <v>35857</v>
      </c>
    </row>
    <row r="13973" spans="1:5">
      <c r="A13973">
        <v>10921</v>
      </c>
      <c r="B13973" t="s">
        <v>175</v>
      </c>
      <c r="C13973">
        <v>180</v>
      </c>
      <c r="D13973">
        <v>10</v>
      </c>
      <c r="E13973" s="80">
        <v>35857</v>
      </c>
    </row>
    <row r="13974" spans="1:5">
      <c r="A13974">
        <v>10921</v>
      </c>
      <c r="B13974" t="s">
        <v>176</v>
      </c>
      <c r="C13974">
        <v>180</v>
      </c>
      <c r="D13974">
        <v>10</v>
      </c>
      <c r="E13974" s="80">
        <v>35857</v>
      </c>
    </row>
    <row r="13975" spans="1:5">
      <c r="A13975">
        <v>10921</v>
      </c>
      <c r="B13975" t="s">
        <v>177</v>
      </c>
      <c r="C13975">
        <v>180</v>
      </c>
      <c r="D13975">
        <v>10</v>
      </c>
      <c r="E13975" s="80">
        <v>35857</v>
      </c>
    </row>
    <row r="13976" spans="1:5">
      <c r="A13976">
        <v>10921</v>
      </c>
      <c r="B13976" t="s">
        <v>178</v>
      </c>
      <c r="C13976">
        <v>180</v>
      </c>
      <c r="D13976">
        <v>10</v>
      </c>
      <c r="E13976" s="80">
        <v>35857</v>
      </c>
    </row>
    <row r="13977" spans="1:5">
      <c r="A13977">
        <v>10921</v>
      </c>
      <c r="B13977" t="s">
        <v>179</v>
      </c>
      <c r="C13977">
        <v>180</v>
      </c>
      <c r="D13977">
        <v>10</v>
      </c>
      <c r="E13977" s="80">
        <v>35857</v>
      </c>
    </row>
    <row r="13978" spans="1:5">
      <c r="A13978">
        <v>10921</v>
      </c>
      <c r="B13978" t="s">
        <v>172</v>
      </c>
      <c r="C13978">
        <v>1756</v>
      </c>
      <c r="D13978">
        <v>40</v>
      </c>
      <c r="E13978" s="80">
        <v>35857</v>
      </c>
    </row>
    <row r="13979" spans="1:5">
      <c r="A13979">
        <v>10921</v>
      </c>
      <c r="B13979" t="s">
        <v>173</v>
      </c>
      <c r="C13979">
        <v>1756</v>
      </c>
      <c r="D13979">
        <v>40</v>
      </c>
      <c r="E13979" s="80">
        <v>35857</v>
      </c>
    </row>
    <row r="13980" spans="1:5">
      <c r="A13980">
        <v>10921</v>
      </c>
      <c r="B13980" t="s">
        <v>174</v>
      </c>
      <c r="C13980">
        <v>1756</v>
      </c>
      <c r="D13980">
        <v>40</v>
      </c>
      <c r="E13980" s="80">
        <v>35857</v>
      </c>
    </row>
    <row r="13981" spans="1:5">
      <c r="A13981">
        <v>10921</v>
      </c>
      <c r="B13981" t="s">
        <v>175</v>
      </c>
      <c r="C13981">
        <v>1756</v>
      </c>
      <c r="D13981">
        <v>40</v>
      </c>
      <c r="E13981" s="80">
        <v>35857</v>
      </c>
    </row>
    <row r="13982" spans="1:5">
      <c r="A13982">
        <v>10921</v>
      </c>
      <c r="B13982" t="s">
        <v>176</v>
      </c>
      <c r="C13982">
        <v>1756</v>
      </c>
      <c r="D13982">
        <v>40</v>
      </c>
      <c r="E13982" s="80">
        <v>35857</v>
      </c>
    </row>
    <row r="13983" spans="1:5">
      <c r="A13983">
        <v>10921</v>
      </c>
      <c r="B13983" t="s">
        <v>177</v>
      </c>
      <c r="C13983">
        <v>1756</v>
      </c>
      <c r="D13983">
        <v>40</v>
      </c>
      <c r="E13983" s="80">
        <v>35857</v>
      </c>
    </row>
    <row r="13984" spans="1:5">
      <c r="A13984">
        <v>10921</v>
      </c>
      <c r="B13984" t="s">
        <v>178</v>
      </c>
      <c r="C13984">
        <v>1756</v>
      </c>
      <c r="D13984">
        <v>40</v>
      </c>
      <c r="E13984" s="80">
        <v>35857</v>
      </c>
    </row>
    <row r="13985" spans="1:5">
      <c r="A13985">
        <v>10921</v>
      </c>
      <c r="B13985" t="s">
        <v>179</v>
      </c>
      <c r="C13985">
        <v>1756</v>
      </c>
      <c r="D13985">
        <v>40</v>
      </c>
      <c r="E13985" s="80">
        <v>35857</v>
      </c>
    </row>
    <row r="13986" spans="1:5">
      <c r="A13986">
        <v>10922</v>
      </c>
      <c r="B13986" t="s">
        <v>172</v>
      </c>
      <c r="C13986">
        <v>585</v>
      </c>
      <c r="D13986">
        <v>15</v>
      </c>
      <c r="E13986" s="80">
        <v>35857</v>
      </c>
    </row>
    <row r="13987" spans="1:5">
      <c r="A13987">
        <v>10922</v>
      </c>
      <c r="B13987" t="s">
        <v>173</v>
      </c>
      <c r="C13987">
        <v>585</v>
      </c>
      <c r="D13987">
        <v>15</v>
      </c>
      <c r="E13987" s="80">
        <v>35857</v>
      </c>
    </row>
    <row r="13988" spans="1:5">
      <c r="A13988">
        <v>10922</v>
      </c>
      <c r="B13988" t="s">
        <v>174</v>
      </c>
      <c r="C13988">
        <v>585</v>
      </c>
      <c r="D13988">
        <v>15</v>
      </c>
      <c r="E13988" s="80">
        <v>35857</v>
      </c>
    </row>
    <row r="13989" spans="1:5">
      <c r="A13989">
        <v>10922</v>
      </c>
      <c r="B13989" t="s">
        <v>175</v>
      </c>
      <c r="C13989">
        <v>585</v>
      </c>
      <c r="D13989">
        <v>15</v>
      </c>
      <c r="E13989" s="80">
        <v>35857</v>
      </c>
    </row>
    <row r="13990" spans="1:5">
      <c r="A13990">
        <v>10922</v>
      </c>
      <c r="B13990" t="s">
        <v>176</v>
      </c>
      <c r="C13990">
        <v>585</v>
      </c>
      <c r="D13990">
        <v>15</v>
      </c>
      <c r="E13990" s="80">
        <v>35857</v>
      </c>
    </row>
    <row r="13991" spans="1:5">
      <c r="A13991">
        <v>10922</v>
      </c>
      <c r="B13991" t="s">
        <v>177</v>
      </c>
      <c r="C13991">
        <v>585</v>
      </c>
      <c r="D13991">
        <v>15</v>
      </c>
      <c r="E13991" s="80">
        <v>35857</v>
      </c>
    </row>
    <row r="13992" spans="1:5">
      <c r="A13992">
        <v>10922</v>
      </c>
      <c r="B13992" t="s">
        <v>178</v>
      </c>
      <c r="C13992">
        <v>585</v>
      </c>
      <c r="D13992">
        <v>15</v>
      </c>
      <c r="E13992" s="80">
        <v>35857</v>
      </c>
    </row>
    <row r="13993" spans="1:5">
      <c r="A13993">
        <v>10922</v>
      </c>
      <c r="B13993" t="s">
        <v>179</v>
      </c>
      <c r="C13993">
        <v>585</v>
      </c>
      <c r="D13993">
        <v>15</v>
      </c>
      <c r="E13993" s="80">
        <v>35857</v>
      </c>
    </row>
    <row r="13994" spans="1:5">
      <c r="A13994">
        <v>10922</v>
      </c>
      <c r="B13994" t="s">
        <v>172</v>
      </c>
      <c r="C13994">
        <v>157.5</v>
      </c>
      <c r="D13994">
        <v>35</v>
      </c>
      <c r="E13994" s="80">
        <v>35857</v>
      </c>
    </row>
    <row r="13995" spans="1:5">
      <c r="A13995">
        <v>10922</v>
      </c>
      <c r="B13995" t="s">
        <v>173</v>
      </c>
      <c r="C13995">
        <v>157.5</v>
      </c>
      <c r="D13995">
        <v>35</v>
      </c>
      <c r="E13995" s="80">
        <v>35857</v>
      </c>
    </row>
    <row r="13996" spans="1:5">
      <c r="A13996">
        <v>10922</v>
      </c>
      <c r="B13996" t="s">
        <v>174</v>
      </c>
      <c r="C13996">
        <v>157.5</v>
      </c>
      <c r="D13996">
        <v>35</v>
      </c>
      <c r="E13996" s="80">
        <v>35857</v>
      </c>
    </row>
    <row r="13997" spans="1:5">
      <c r="A13997">
        <v>10922</v>
      </c>
      <c r="B13997" t="s">
        <v>175</v>
      </c>
      <c r="C13997">
        <v>157.5</v>
      </c>
      <c r="D13997">
        <v>35</v>
      </c>
      <c r="E13997" s="80">
        <v>35857</v>
      </c>
    </row>
    <row r="13998" spans="1:5">
      <c r="A13998">
        <v>10922</v>
      </c>
      <c r="B13998" t="s">
        <v>176</v>
      </c>
      <c r="C13998">
        <v>157.5</v>
      </c>
      <c r="D13998">
        <v>35</v>
      </c>
      <c r="E13998" s="80">
        <v>35857</v>
      </c>
    </row>
    <row r="13999" spans="1:5">
      <c r="A13999">
        <v>10922</v>
      </c>
      <c r="B13999" t="s">
        <v>177</v>
      </c>
      <c r="C13999">
        <v>157.5</v>
      </c>
      <c r="D13999">
        <v>35</v>
      </c>
      <c r="E13999" s="80">
        <v>35857</v>
      </c>
    </row>
    <row r="14000" spans="1:5">
      <c r="A14000">
        <v>10922</v>
      </c>
      <c r="B14000" t="s">
        <v>178</v>
      </c>
      <c r="C14000">
        <v>157.5</v>
      </c>
      <c r="D14000">
        <v>35</v>
      </c>
      <c r="E14000" s="80">
        <v>35857</v>
      </c>
    </row>
    <row r="14001" spans="1:5">
      <c r="A14001">
        <v>10922</v>
      </c>
      <c r="B14001" t="s">
        <v>179</v>
      </c>
      <c r="C14001">
        <v>157.5</v>
      </c>
      <c r="D14001">
        <v>35</v>
      </c>
      <c r="E14001" s="80">
        <v>35857</v>
      </c>
    </row>
    <row r="14002" spans="1:5">
      <c r="A14002">
        <v>10923</v>
      </c>
      <c r="B14002" t="s">
        <v>172</v>
      </c>
      <c r="C14002">
        <v>111.99999958276749</v>
      </c>
      <c r="D14002">
        <v>10</v>
      </c>
      <c r="E14002" s="80">
        <v>35857</v>
      </c>
    </row>
    <row r="14003" spans="1:5">
      <c r="A14003">
        <v>10923</v>
      </c>
      <c r="B14003" t="s">
        <v>173</v>
      </c>
      <c r="C14003">
        <v>111.99999958276749</v>
      </c>
      <c r="D14003">
        <v>10</v>
      </c>
      <c r="E14003" s="80">
        <v>35857</v>
      </c>
    </row>
    <row r="14004" spans="1:5">
      <c r="A14004">
        <v>10923</v>
      </c>
      <c r="B14004" t="s">
        <v>174</v>
      </c>
      <c r="C14004">
        <v>111.99999958276749</v>
      </c>
      <c r="D14004">
        <v>10</v>
      </c>
      <c r="E14004" s="80">
        <v>35857</v>
      </c>
    </row>
    <row r="14005" spans="1:5">
      <c r="A14005">
        <v>10923</v>
      </c>
      <c r="B14005" t="s">
        <v>175</v>
      </c>
      <c r="C14005">
        <v>111.99999958276749</v>
      </c>
      <c r="D14005">
        <v>10</v>
      </c>
      <c r="E14005" s="80">
        <v>35857</v>
      </c>
    </row>
    <row r="14006" spans="1:5">
      <c r="A14006">
        <v>10923</v>
      </c>
      <c r="B14006" t="s">
        <v>176</v>
      </c>
      <c r="C14006">
        <v>111.99999958276749</v>
      </c>
      <c r="D14006">
        <v>10</v>
      </c>
      <c r="E14006" s="80">
        <v>35857</v>
      </c>
    </row>
    <row r="14007" spans="1:5">
      <c r="A14007">
        <v>10923</v>
      </c>
      <c r="B14007" t="s">
        <v>177</v>
      </c>
      <c r="C14007">
        <v>111.99999958276749</v>
      </c>
      <c r="D14007">
        <v>10</v>
      </c>
      <c r="E14007" s="80">
        <v>35857</v>
      </c>
    </row>
    <row r="14008" spans="1:5">
      <c r="A14008">
        <v>10923</v>
      </c>
      <c r="B14008" t="s">
        <v>178</v>
      </c>
      <c r="C14008">
        <v>111.99999958276749</v>
      </c>
      <c r="D14008">
        <v>10</v>
      </c>
      <c r="E14008" s="80">
        <v>35857</v>
      </c>
    </row>
    <row r="14009" spans="1:5">
      <c r="A14009">
        <v>10923</v>
      </c>
      <c r="B14009" t="s">
        <v>179</v>
      </c>
      <c r="C14009">
        <v>111.99999958276749</v>
      </c>
      <c r="D14009">
        <v>10</v>
      </c>
      <c r="E14009" s="80">
        <v>35857</v>
      </c>
    </row>
    <row r="14010" spans="1:5">
      <c r="A14010">
        <v>10923</v>
      </c>
      <c r="B14010" t="s">
        <v>172</v>
      </c>
      <c r="C14010">
        <v>367.99999862909317</v>
      </c>
      <c r="D14010">
        <v>10</v>
      </c>
      <c r="E14010" s="80">
        <v>35857</v>
      </c>
    </row>
    <row r="14011" spans="1:5">
      <c r="A14011">
        <v>10923</v>
      </c>
      <c r="B14011" t="s">
        <v>173</v>
      </c>
      <c r="C14011">
        <v>367.99999862909317</v>
      </c>
      <c r="D14011">
        <v>10</v>
      </c>
      <c r="E14011" s="80">
        <v>35857</v>
      </c>
    </row>
    <row r="14012" spans="1:5">
      <c r="A14012">
        <v>10923</v>
      </c>
      <c r="B14012" t="s">
        <v>174</v>
      </c>
      <c r="C14012">
        <v>367.99999862909317</v>
      </c>
      <c r="D14012">
        <v>10</v>
      </c>
      <c r="E14012" s="80">
        <v>35857</v>
      </c>
    </row>
    <row r="14013" spans="1:5">
      <c r="A14013">
        <v>10923</v>
      </c>
      <c r="B14013" t="s">
        <v>175</v>
      </c>
      <c r="C14013">
        <v>367.99999862909317</v>
      </c>
      <c r="D14013">
        <v>10</v>
      </c>
      <c r="E14013" s="80">
        <v>35857</v>
      </c>
    </row>
    <row r="14014" spans="1:5">
      <c r="A14014">
        <v>10923</v>
      </c>
      <c r="B14014" t="s">
        <v>176</v>
      </c>
      <c r="C14014">
        <v>367.99999862909317</v>
      </c>
      <c r="D14014">
        <v>10</v>
      </c>
      <c r="E14014" s="80">
        <v>35857</v>
      </c>
    </row>
    <row r="14015" spans="1:5">
      <c r="A14015">
        <v>10923</v>
      </c>
      <c r="B14015" t="s">
        <v>177</v>
      </c>
      <c r="C14015">
        <v>367.99999862909317</v>
      </c>
      <c r="D14015">
        <v>10</v>
      </c>
      <c r="E14015" s="80">
        <v>35857</v>
      </c>
    </row>
    <row r="14016" spans="1:5">
      <c r="A14016">
        <v>10923</v>
      </c>
      <c r="B14016" t="s">
        <v>178</v>
      </c>
      <c r="C14016">
        <v>367.99999862909317</v>
      </c>
      <c r="D14016">
        <v>10</v>
      </c>
      <c r="E14016" s="80">
        <v>35857</v>
      </c>
    </row>
    <row r="14017" spans="1:5">
      <c r="A14017">
        <v>10923</v>
      </c>
      <c r="B14017" t="s">
        <v>179</v>
      </c>
      <c r="C14017">
        <v>367.99999862909317</v>
      </c>
      <c r="D14017">
        <v>10</v>
      </c>
      <c r="E14017" s="80">
        <v>35857</v>
      </c>
    </row>
    <row r="14018" spans="1:5">
      <c r="A14018">
        <v>10923</v>
      </c>
      <c r="B14018" t="s">
        <v>172</v>
      </c>
      <c r="C14018">
        <v>268.79999899864197</v>
      </c>
      <c r="D14018">
        <v>24</v>
      </c>
      <c r="E14018" s="80">
        <v>35857</v>
      </c>
    </row>
    <row r="14019" spans="1:5">
      <c r="A14019">
        <v>10923</v>
      </c>
      <c r="B14019" t="s">
        <v>173</v>
      </c>
      <c r="C14019">
        <v>268.79999899864197</v>
      </c>
      <c r="D14019">
        <v>24</v>
      </c>
      <c r="E14019" s="80">
        <v>35857</v>
      </c>
    </row>
    <row r="14020" spans="1:5">
      <c r="A14020">
        <v>10923</v>
      </c>
      <c r="B14020" t="s">
        <v>174</v>
      </c>
      <c r="C14020">
        <v>268.79999899864197</v>
      </c>
      <c r="D14020">
        <v>24</v>
      </c>
      <c r="E14020" s="80">
        <v>35857</v>
      </c>
    </row>
    <row r="14021" spans="1:5">
      <c r="A14021">
        <v>10923</v>
      </c>
      <c r="B14021" t="s">
        <v>175</v>
      </c>
      <c r="C14021">
        <v>268.79999899864197</v>
      </c>
      <c r="D14021">
        <v>24</v>
      </c>
      <c r="E14021" s="80">
        <v>35857</v>
      </c>
    </row>
    <row r="14022" spans="1:5">
      <c r="A14022">
        <v>10923</v>
      </c>
      <c r="B14022" t="s">
        <v>176</v>
      </c>
      <c r="C14022">
        <v>268.79999899864197</v>
      </c>
      <c r="D14022">
        <v>24</v>
      </c>
      <c r="E14022" s="80">
        <v>35857</v>
      </c>
    </row>
    <row r="14023" spans="1:5">
      <c r="A14023">
        <v>10923</v>
      </c>
      <c r="B14023" t="s">
        <v>177</v>
      </c>
      <c r="C14023">
        <v>268.79999899864197</v>
      </c>
      <c r="D14023">
        <v>24</v>
      </c>
      <c r="E14023" s="80">
        <v>35857</v>
      </c>
    </row>
    <row r="14024" spans="1:5">
      <c r="A14024">
        <v>10923</v>
      </c>
      <c r="B14024" t="s">
        <v>178</v>
      </c>
      <c r="C14024">
        <v>268.79999899864197</v>
      </c>
      <c r="D14024">
        <v>24</v>
      </c>
      <c r="E14024" s="80">
        <v>35857</v>
      </c>
    </row>
    <row r="14025" spans="1:5">
      <c r="A14025">
        <v>10923</v>
      </c>
      <c r="B14025" t="s">
        <v>179</v>
      </c>
      <c r="C14025">
        <v>268.79999899864197</v>
      </c>
      <c r="D14025">
        <v>24</v>
      </c>
      <c r="E14025" s="80">
        <v>35857</v>
      </c>
    </row>
    <row r="14026" spans="1:5">
      <c r="A14026">
        <v>10924</v>
      </c>
      <c r="B14026" t="s">
        <v>172</v>
      </c>
      <c r="C14026">
        <v>557.99999907612801</v>
      </c>
      <c r="D14026">
        <v>20</v>
      </c>
      <c r="E14026" s="80">
        <v>35858</v>
      </c>
    </row>
    <row r="14027" spans="1:5">
      <c r="A14027">
        <v>10924</v>
      </c>
      <c r="B14027" t="s">
        <v>173</v>
      </c>
      <c r="C14027">
        <v>557.99999907612801</v>
      </c>
      <c r="D14027">
        <v>20</v>
      </c>
      <c r="E14027" s="80">
        <v>35858</v>
      </c>
    </row>
    <row r="14028" spans="1:5">
      <c r="A14028">
        <v>10924</v>
      </c>
      <c r="B14028" t="s">
        <v>174</v>
      </c>
      <c r="C14028">
        <v>557.99999907612801</v>
      </c>
      <c r="D14028">
        <v>20</v>
      </c>
      <c r="E14028" s="80">
        <v>35858</v>
      </c>
    </row>
    <row r="14029" spans="1:5">
      <c r="A14029">
        <v>10924</v>
      </c>
      <c r="B14029" t="s">
        <v>175</v>
      </c>
      <c r="C14029">
        <v>557.99999907612801</v>
      </c>
      <c r="D14029">
        <v>20</v>
      </c>
      <c r="E14029" s="80">
        <v>35858</v>
      </c>
    </row>
    <row r="14030" spans="1:5">
      <c r="A14030">
        <v>10924</v>
      </c>
      <c r="B14030" t="s">
        <v>176</v>
      </c>
      <c r="C14030">
        <v>557.99999907612801</v>
      </c>
      <c r="D14030">
        <v>20</v>
      </c>
      <c r="E14030" s="80">
        <v>35858</v>
      </c>
    </row>
    <row r="14031" spans="1:5">
      <c r="A14031">
        <v>10924</v>
      </c>
      <c r="B14031" t="s">
        <v>177</v>
      </c>
      <c r="C14031">
        <v>557.99999907612801</v>
      </c>
      <c r="D14031">
        <v>20</v>
      </c>
      <c r="E14031" s="80">
        <v>35858</v>
      </c>
    </row>
    <row r="14032" spans="1:5">
      <c r="A14032">
        <v>10924</v>
      </c>
      <c r="B14032" t="s">
        <v>178</v>
      </c>
      <c r="C14032">
        <v>557.99999907612801</v>
      </c>
      <c r="D14032">
        <v>20</v>
      </c>
      <c r="E14032" s="80">
        <v>35858</v>
      </c>
    </row>
    <row r="14033" spans="1:5">
      <c r="A14033">
        <v>10924</v>
      </c>
      <c r="B14033" t="s">
        <v>179</v>
      </c>
      <c r="C14033">
        <v>557.99999907612801</v>
      </c>
      <c r="D14033">
        <v>20</v>
      </c>
      <c r="E14033" s="80">
        <v>35858</v>
      </c>
    </row>
    <row r="14034" spans="1:5">
      <c r="A14034">
        <v>10924</v>
      </c>
      <c r="B14034" t="s">
        <v>172</v>
      </c>
      <c r="C14034">
        <v>1231.1999979615211</v>
      </c>
      <c r="D14034">
        <v>30</v>
      </c>
      <c r="E14034" s="80">
        <v>35858</v>
      </c>
    </row>
    <row r="14035" spans="1:5">
      <c r="A14035">
        <v>10924</v>
      </c>
      <c r="B14035" t="s">
        <v>173</v>
      </c>
      <c r="C14035">
        <v>1231.1999979615211</v>
      </c>
      <c r="D14035">
        <v>30</v>
      </c>
      <c r="E14035" s="80">
        <v>35858</v>
      </c>
    </row>
    <row r="14036" spans="1:5">
      <c r="A14036">
        <v>10924</v>
      </c>
      <c r="B14036" t="s">
        <v>174</v>
      </c>
      <c r="C14036">
        <v>1231.1999979615211</v>
      </c>
      <c r="D14036">
        <v>30</v>
      </c>
      <c r="E14036" s="80">
        <v>35858</v>
      </c>
    </row>
    <row r="14037" spans="1:5">
      <c r="A14037">
        <v>10924</v>
      </c>
      <c r="B14037" t="s">
        <v>175</v>
      </c>
      <c r="C14037">
        <v>1231.1999979615211</v>
      </c>
      <c r="D14037">
        <v>30</v>
      </c>
      <c r="E14037" s="80">
        <v>35858</v>
      </c>
    </row>
    <row r="14038" spans="1:5">
      <c r="A14038">
        <v>10924</v>
      </c>
      <c r="B14038" t="s">
        <v>176</v>
      </c>
      <c r="C14038">
        <v>1231.1999979615211</v>
      </c>
      <c r="D14038">
        <v>30</v>
      </c>
      <c r="E14038" s="80">
        <v>35858</v>
      </c>
    </row>
    <row r="14039" spans="1:5">
      <c r="A14039">
        <v>10924</v>
      </c>
      <c r="B14039" t="s">
        <v>177</v>
      </c>
      <c r="C14039">
        <v>1231.1999979615211</v>
      </c>
      <c r="D14039">
        <v>30</v>
      </c>
      <c r="E14039" s="80">
        <v>35858</v>
      </c>
    </row>
    <row r="14040" spans="1:5">
      <c r="A14040">
        <v>10924</v>
      </c>
      <c r="B14040" t="s">
        <v>178</v>
      </c>
      <c r="C14040">
        <v>1231.1999979615211</v>
      </c>
      <c r="D14040">
        <v>30</v>
      </c>
      <c r="E14040" s="80">
        <v>35858</v>
      </c>
    </row>
    <row r="14041" spans="1:5">
      <c r="A14041">
        <v>10924</v>
      </c>
      <c r="B14041" t="s">
        <v>179</v>
      </c>
      <c r="C14041">
        <v>1231.1999979615211</v>
      </c>
      <c r="D14041">
        <v>30</v>
      </c>
      <c r="E14041" s="80">
        <v>35858</v>
      </c>
    </row>
    <row r="14042" spans="1:5">
      <c r="A14042">
        <v>10924</v>
      </c>
      <c r="B14042" t="s">
        <v>172</v>
      </c>
      <c r="C14042">
        <v>46.5</v>
      </c>
      <c r="D14042">
        <v>6</v>
      </c>
      <c r="E14042" s="80">
        <v>35858</v>
      </c>
    </row>
    <row r="14043" spans="1:5">
      <c r="A14043">
        <v>10924</v>
      </c>
      <c r="B14043" t="s">
        <v>173</v>
      </c>
      <c r="C14043">
        <v>46.5</v>
      </c>
      <c r="D14043">
        <v>6</v>
      </c>
      <c r="E14043" s="80">
        <v>35858</v>
      </c>
    </row>
    <row r="14044" spans="1:5">
      <c r="A14044">
        <v>10924</v>
      </c>
      <c r="B14044" t="s">
        <v>174</v>
      </c>
      <c r="C14044">
        <v>46.5</v>
      </c>
      <c r="D14044">
        <v>6</v>
      </c>
      <c r="E14044" s="80">
        <v>35858</v>
      </c>
    </row>
    <row r="14045" spans="1:5">
      <c r="A14045">
        <v>10924</v>
      </c>
      <c r="B14045" t="s">
        <v>175</v>
      </c>
      <c r="C14045">
        <v>46.5</v>
      </c>
      <c r="D14045">
        <v>6</v>
      </c>
      <c r="E14045" s="80">
        <v>35858</v>
      </c>
    </row>
    <row r="14046" spans="1:5">
      <c r="A14046">
        <v>10924</v>
      </c>
      <c r="B14046" t="s">
        <v>176</v>
      </c>
      <c r="C14046">
        <v>46.5</v>
      </c>
      <c r="D14046">
        <v>6</v>
      </c>
      <c r="E14046" s="80">
        <v>35858</v>
      </c>
    </row>
    <row r="14047" spans="1:5">
      <c r="A14047">
        <v>10924</v>
      </c>
      <c r="B14047" t="s">
        <v>177</v>
      </c>
      <c r="C14047">
        <v>46.5</v>
      </c>
      <c r="D14047">
        <v>6</v>
      </c>
      <c r="E14047" s="80">
        <v>35858</v>
      </c>
    </row>
    <row r="14048" spans="1:5">
      <c r="A14048">
        <v>10924</v>
      </c>
      <c r="B14048" t="s">
        <v>178</v>
      </c>
      <c r="C14048">
        <v>46.5</v>
      </c>
      <c r="D14048">
        <v>6</v>
      </c>
      <c r="E14048" s="80">
        <v>35858</v>
      </c>
    </row>
    <row r="14049" spans="1:5">
      <c r="A14049">
        <v>10924</v>
      </c>
      <c r="B14049" t="s">
        <v>179</v>
      </c>
      <c r="C14049">
        <v>46.5</v>
      </c>
      <c r="D14049">
        <v>6</v>
      </c>
      <c r="E14049" s="80">
        <v>35858</v>
      </c>
    </row>
    <row r="14050" spans="1:5">
      <c r="A14050">
        <v>10925</v>
      </c>
      <c r="B14050" t="s">
        <v>172</v>
      </c>
      <c r="C14050">
        <v>403.74999716877937</v>
      </c>
      <c r="D14050">
        <v>25</v>
      </c>
      <c r="E14050" s="80">
        <v>35858</v>
      </c>
    </row>
    <row r="14051" spans="1:5">
      <c r="A14051">
        <v>10925</v>
      </c>
      <c r="B14051" t="s">
        <v>173</v>
      </c>
      <c r="C14051">
        <v>403.74999716877937</v>
      </c>
      <c r="D14051">
        <v>25</v>
      </c>
      <c r="E14051" s="80">
        <v>35858</v>
      </c>
    </row>
    <row r="14052" spans="1:5">
      <c r="A14052">
        <v>10925</v>
      </c>
      <c r="B14052" t="s">
        <v>174</v>
      </c>
      <c r="C14052">
        <v>403.74999716877937</v>
      </c>
      <c r="D14052">
        <v>25</v>
      </c>
      <c r="E14052" s="80">
        <v>35858</v>
      </c>
    </row>
    <row r="14053" spans="1:5">
      <c r="A14053">
        <v>10925</v>
      </c>
      <c r="B14053" t="s">
        <v>175</v>
      </c>
      <c r="C14053">
        <v>403.74999716877937</v>
      </c>
      <c r="D14053">
        <v>25</v>
      </c>
      <c r="E14053" s="80">
        <v>35858</v>
      </c>
    </row>
    <row r="14054" spans="1:5">
      <c r="A14054">
        <v>10925</v>
      </c>
      <c r="B14054" t="s">
        <v>176</v>
      </c>
      <c r="C14054">
        <v>403.74999716877937</v>
      </c>
      <c r="D14054">
        <v>25</v>
      </c>
      <c r="E14054" s="80">
        <v>35858</v>
      </c>
    </row>
    <row r="14055" spans="1:5">
      <c r="A14055">
        <v>10925</v>
      </c>
      <c r="B14055" t="s">
        <v>177</v>
      </c>
      <c r="C14055">
        <v>403.74999716877937</v>
      </c>
      <c r="D14055">
        <v>25</v>
      </c>
      <c r="E14055" s="80">
        <v>35858</v>
      </c>
    </row>
    <row r="14056" spans="1:5">
      <c r="A14056">
        <v>10925</v>
      </c>
      <c r="B14056" t="s">
        <v>178</v>
      </c>
      <c r="C14056">
        <v>403.74999716877937</v>
      </c>
      <c r="D14056">
        <v>25</v>
      </c>
      <c r="E14056" s="80">
        <v>35858</v>
      </c>
    </row>
    <row r="14057" spans="1:5">
      <c r="A14057">
        <v>10925</v>
      </c>
      <c r="B14057" t="s">
        <v>179</v>
      </c>
      <c r="C14057">
        <v>403.74999716877937</v>
      </c>
      <c r="D14057">
        <v>25</v>
      </c>
      <c r="E14057" s="80">
        <v>35858</v>
      </c>
    </row>
    <row r="14058" spans="1:5">
      <c r="A14058">
        <v>10925</v>
      </c>
      <c r="B14058" t="s">
        <v>172</v>
      </c>
      <c r="C14058">
        <v>71.399999499320984</v>
      </c>
      <c r="D14058">
        <v>12</v>
      </c>
      <c r="E14058" s="80">
        <v>35858</v>
      </c>
    </row>
    <row r="14059" spans="1:5">
      <c r="A14059">
        <v>10925</v>
      </c>
      <c r="B14059" t="s">
        <v>173</v>
      </c>
      <c r="C14059">
        <v>71.399999499320984</v>
      </c>
      <c r="D14059">
        <v>12</v>
      </c>
      <c r="E14059" s="80">
        <v>35858</v>
      </c>
    </row>
    <row r="14060" spans="1:5">
      <c r="A14060">
        <v>10925</v>
      </c>
      <c r="B14060" t="s">
        <v>174</v>
      </c>
      <c r="C14060">
        <v>71.399999499320984</v>
      </c>
      <c r="D14060">
        <v>12</v>
      </c>
      <c r="E14060" s="80">
        <v>35858</v>
      </c>
    </row>
    <row r="14061" spans="1:5">
      <c r="A14061">
        <v>10925</v>
      </c>
      <c r="B14061" t="s">
        <v>175</v>
      </c>
      <c r="C14061">
        <v>71.399999499320984</v>
      </c>
      <c r="D14061">
        <v>12</v>
      </c>
      <c r="E14061" s="80">
        <v>35858</v>
      </c>
    </row>
    <row r="14062" spans="1:5">
      <c r="A14062">
        <v>10925</v>
      </c>
      <c r="B14062" t="s">
        <v>176</v>
      </c>
      <c r="C14062">
        <v>71.399999499320984</v>
      </c>
      <c r="D14062">
        <v>12</v>
      </c>
      <c r="E14062" s="80">
        <v>35858</v>
      </c>
    </row>
    <row r="14063" spans="1:5">
      <c r="A14063">
        <v>10925</v>
      </c>
      <c r="B14063" t="s">
        <v>177</v>
      </c>
      <c r="C14063">
        <v>71.399999499320984</v>
      </c>
      <c r="D14063">
        <v>12</v>
      </c>
      <c r="E14063" s="80">
        <v>35858</v>
      </c>
    </row>
    <row r="14064" spans="1:5">
      <c r="A14064">
        <v>10925</v>
      </c>
      <c r="B14064" t="s">
        <v>178</v>
      </c>
      <c r="C14064">
        <v>71.399999499320984</v>
      </c>
      <c r="D14064">
        <v>12</v>
      </c>
      <c r="E14064" s="80">
        <v>35858</v>
      </c>
    </row>
    <row r="14065" spans="1:5">
      <c r="A14065">
        <v>10925</v>
      </c>
      <c r="B14065" t="s">
        <v>179</v>
      </c>
      <c r="C14065">
        <v>71.399999499320984</v>
      </c>
      <c r="D14065">
        <v>12</v>
      </c>
      <c r="E14065" s="80">
        <v>35858</v>
      </c>
    </row>
    <row r="14066" spans="1:5">
      <c r="A14066">
        <v>10926</v>
      </c>
      <c r="B14066" t="s">
        <v>172</v>
      </c>
      <c r="C14066">
        <v>42</v>
      </c>
      <c r="D14066">
        <v>2</v>
      </c>
      <c r="E14066" s="80">
        <v>35858</v>
      </c>
    </row>
    <row r="14067" spans="1:5">
      <c r="A14067">
        <v>10926</v>
      </c>
      <c r="B14067" t="s">
        <v>173</v>
      </c>
      <c r="C14067">
        <v>42</v>
      </c>
      <c r="D14067">
        <v>2</v>
      </c>
      <c r="E14067" s="80">
        <v>35858</v>
      </c>
    </row>
    <row r="14068" spans="1:5">
      <c r="A14068">
        <v>10926</v>
      </c>
      <c r="B14068" t="s">
        <v>174</v>
      </c>
      <c r="C14068">
        <v>42</v>
      </c>
      <c r="D14068">
        <v>2</v>
      </c>
      <c r="E14068" s="80">
        <v>35858</v>
      </c>
    </row>
    <row r="14069" spans="1:5">
      <c r="A14069">
        <v>10926</v>
      </c>
      <c r="B14069" t="s">
        <v>175</v>
      </c>
      <c r="C14069">
        <v>42</v>
      </c>
      <c r="D14069">
        <v>2</v>
      </c>
      <c r="E14069" s="80">
        <v>35858</v>
      </c>
    </row>
    <row r="14070" spans="1:5">
      <c r="A14070">
        <v>10926</v>
      </c>
      <c r="B14070" t="s">
        <v>176</v>
      </c>
      <c r="C14070">
        <v>42</v>
      </c>
      <c r="D14070">
        <v>2</v>
      </c>
      <c r="E14070" s="80">
        <v>35858</v>
      </c>
    </row>
    <row r="14071" spans="1:5">
      <c r="A14071">
        <v>10926</v>
      </c>
      <c r="B14071" t="s">
        <v>177</v>
      </c>
      <c r="C14071">
        <v>42</v>
      </c>
      <c r="D14071">
        <v>2</v>
      </c>
      <c r="E14071" s="80">
        <v>35858</v>
      </c>
    </row>
    <row r="14072" spans="1:5">
      <c r="A14072">
        <v>10926</v>
      </c>
      <c r="B14072" t="s">
        <v>178</v>
      </c>
      <c r="C14072">
        <v>42</v>
      </c>
      <c r="D14072">
        <v>2</v>
      </c>
      <c r="E14072" s="80">
        <v>35858</v>
      </c>
    </row>
    <row r="14073" spans="1:5">
      <c r="A14073">
        <v>10926</v>
      </c>
      <c r="B14073" t="s">
        <v>179</v>
      </c>
      <c r="C14073">
        <v>42</v>
      </c>
      <c r="D14073">
        <v>2</v>
      </c>
      <c r="E14073" s="80">
        <v>35858</v>
      </c>
    </row>
    <row r="14074" spans="1:5">
      <c r="A14074">
        <v>10926</v>
      </c>
      <c r="B14074" t="s">
        <v>172</v>
      </c>
      <c r="C14074">
        <v>60</v>
      </c>
      <c r="D14074">
        <v>10</v>
      </c>
      <c r="E14074" s="80">
        <v>35858</v>
      </c>
    </row>
    <row r="14075" spans="1:5">
      <c r="A14075">
        <v>10926</v>
      </c>
      <c r="B14075" t="s">
        <v>173</v>
      </c>
      <c r="C14075">
        <v>60</v>
      </c>
      <c r="D14075">
        <v>10</v>
      </c>
      <c r="E14075" s="80">
        <v>35858</v>
      </c>
    </row>
    <row r="14076" spans="1:5">
      <c r="A14076">
        <v>10926</v>
      </c>
      <c r="B14076" t="s">
        <v>174</v>
      </c>
      <c r="C14076">
        <v>60</v>
      </c>
      <c r="D14076">
        <v>10</v>
      </c>
      <c r="E14076" s="80">
        <v>35858</v>
      </c>
    </row>
    <row r="14077" spans="1:5">
      <c r="A14077">
        <v>10926</v>
      </c>
      <c r="B14077" t="s">
        <v>175</v>
      </c>
      <c r="C14077">
        <v>60</v>
      </c>
      <c r="D14077">
        <v>10</v>
      </c>
      <c r="E14077" s="80">
        <v>35858</v>
      </c>
    </row>
    <row r="14078" spans="1:5">
      <c r="A14078">
        <v>10926</v>
      </c>
      <c r="B14078" t="s">
        <v>176</v>
      </c>
      <c r="C14078">
        <v>60</v>
      </c>
      <c r="D14078">
        <v>10</v>
      </c>
      <c r="E14078" s="80">
        <v>35858</v>
      </c>
    </row>
    <row r="14079" spans="1:5">
      <c r="A14079">
        <v>10926</v>
      </c>
      <c r="B14079" t="s">
        <v>177</v>
      </c>
      <c r="C14079">
        <v>60</v>
      </c>
      <c r="D14079">
        <v>10</v>
      </c>
      <c r="E14079" s="80">
        <v>35858</v>
      </c>
    </row>
    <row r="14080" spans="1:5">
      <c r="A14080">
        <v>10926</v>
      </c>
      <c r="B14080" t="s">
        <v>178</v>
      </c>
      <c r="C14080">
        <v>60</v>
      </c>
      <c r="D14080">
        <v>10</v>
      </c>
      <c r="E14080" s="80">
        <v>35858</v>
      </c>
    </row>
    <row r="14081" spans="1:5">
      <c r="A14081">
        <v>10926</v>
      </c>
      <c r="B14081" t="s">
        <v>179</v>
      </c>
      <c r="C14081">
        <v>60</v>
      </c>
      <c r="D14081">
        <v>10</v>
      </c>
      <c r="E14081" s="80">
        <v>35858</v>
      </c>
    </row>
    <row r="14082" spans="1:5">
      <c r="A14082">
        <v>10926</v>
      </c>
      <c r="B14082" t="s">
        <v>172</v>
      </c>
      <c r="C14082">
        <v>64.400000000000006</v>
      </c>
      <c r="D14082">
        <v>7</v>
      </c>
      <c r="E14082" s="80">
        <v>35858</v>
      </c>
    </row>
    <row r="14083" spans="1:5">
      <c r="A14083">
        <v>10926</v>
      </c>
      <c r="B14083" t="s">
        <v>173</v>
      </c>
      <c r="C14083">
        <v>64.400000000000006</v>
      </c>
      <c r="D14083">
        <v>7</v>
      </c>
      <c r="E14083" s="80">
        <v>35858</v>
      </c>
    </row>
    <row r="14084" spans="1:5">
      <c r="A14084">
        <v>10926</v>
      </c>
      <c r="B14084" t="s">
        <v>174</v>
      </c>
      <c r="C14084">
        <v>64.400000000000006</v>
      </c>
      <c r="D14084">
        <v>7</v>
      </c>
      <c r="E14084" s="80">
        <v>35858</v>
      </c>
    </row>
    <row r="14085" spans="1:5">
      <c r="A14085">
        <v>10926</v>
      </c>
      <c r="B14085" t="s">
        <v>175</v>
      </c>
      <c r="C14085">
        <v>64.400000000000006</v>
      </c>
      <c r="D14085">
        <v>7</v>
      </c>
      <c r="E14085" s="80">
        <v>35858</v>
      </c>
    </row>
    <row r="14086" spans="1:5">
      <c r="A14086">
        <v>10926</v>
      </c>
      <c r="B14086" t="s">
        <v>176</v>
      </c>
      <c r="C14086">
        <v>64.400000000000006</v>
      </c>
      <c r="D14086">
        <v>7</v>
      </c>
      <c r="E14086" s="80">
        <v>35858</v>
      </c>
    </row>
    <row r="14087" spans="1:5">
      <c r="A14087">
        <v>10926</v>
      </c>
      <c r="B14087" t="s">
        <v>177</v>
      </c>
      <c r="C14087">
        <v>64.400000000000006</v>
      </c>
      <c r="D14087">
        <v>7</v>
      </c>
      <c r="E14087" s="80">
        <v>35858</v>
      </c>
    </row>
    <row r="14088" spans="1:5">
      <c r="A14088">
        <v>10926</v>
      </c>
      <c r="B14088" t="s">
        <v>178</v>
      </c>
      <c r="C14088">
        <v>64.400000000000006</v>
      </c>
      <c r="D14088">
        <v>7</v>
      </c>
      <c r="E14088" s="80">
        <v>35858</v>
      </c>
    </row>
    <row r="14089" spans="1:5">
      <c r="A14089">
        <v>10926</v>
      </c>
      <c r="B14089" t="s">
        <v>179</v>
      </c>
      <c r="C14089">
        <v>64.400000000000006</v>
      </c>
      <c r="D14089">
        <v>7</v>
      </c>
      <c r="E14089" s="80">
        <v>35858</v>
      </c>
    </row>
    <row r="14090" spans="1:5">
      <c r="A14090">
        <v>10926</v>
      </c>
      <c r="B14090" t="s">
        <v>172</v>
      </c>
      <c r="C14090">
        <v>348</v>
      </c>
      <c r="D14090">
        <v>10</v>
      </c>
      <c r="E14090" s="80">
        <v>35858</v>
      </c>
    </row>
    <row r="14091" spans="1:5">
      <c r="A14091">
        <v>10926</v>
      </c>
      <c r="B14091" t="s">
        <v>173</v>
      </c>
      <c r="C14091">
        <v>348</v>
      </c>
      <c r="D14091">
        <v>10</v>
      </c>
      <c r="E14091" s="80">
        <v>35858</v>
      </c>
    </row>
    <row r="14092" spans="1:5">
      <c r="A14092">
        <v>10926</v>
      </c>
      <c r="B14092" t="s">
        <v>174</v>
      </c>
      <c r="C14092">
        <v>348</v>
      </c>
      <c r="D14092">
        <v>10</v>
      </c>
      <c r="E14092" s="80">
        <v>35858</v>
      </c>
    </row>
    <row r="14093" spans="1:5">
      <c r="A14093">
        <v>10926</v>
      </c>
      <c r="B14093" t="s">
        <v>175</v>
      </c>
      <c r="C14093">
        <v>348</v>
      </c>
      <c r="D14093">
        <v>10</v>
      </c>
      <c r="E14093" s="80">
        <v>35858</v>
      </c>
    </row>
    <row r="14094" spans="1:5">
      <c r="A14094">
        <v>10926</v>
      </c>
      <c r="B14094" t="s">
        <v>176</v>
      </c>
      <c r="C14094">
        <v>348</v>
      </c>
      <c r="D14094">
        <v>10</v>
      </c>
      <c r="E14094" s="80">
        <v>35858</v>
      </c>
    </row>
    <row r="14095" spans="1:5">
      <c r="A14095">
        <v>10926</v>
      </c>
      <c r="B14095" t="s">
        <v>177</v>
      </c>
      <c r="C14095">
        <v>348</v>
      </c>
      <c r="D14095">
        <v>10</v>
      </c>
      <c r="E14095" s="80">
        <v>35858</v>
      </c>
    </row>
    <row r="14096" spans="1:5">
      <c r="A14096">
        <v>10926</v>
      </c>
      <c r="B14096" t="s">
        <v>178</v>
      </c>
      <c r="C14096">
        <v>348</v>
      </c>
      <c r="D14096">
        <v>10</v>
      </c>
      <c r="E14096" s="80">
        <v>35858</v>
      </c>
    </row>
    <row r="14097" spans="1:5">
      <c r="A14097">
        <v>10926</v>
      </c>
      <c r="B14097" t="s">
        <v>179</v>
      </c>
      <c r="C14097">
        <v>348</v>
      </c>
      <c r="D14097">
        <v>10</v>
      </c>
      <c r="E14097" s="80">
        <v>35858</v>
      </c>
    </row>
    <row r="14098" spans="1:5">
      <c r="A14098">
        <v>10927</v>
      </c>
      <c r="B14098" t="s">
        <v>172</v>
      </c>
      <c r="C14098">
        <v>405</v>
      </c>
      <c r="D14098">
        <v>5</v>
      </c>
      <c r="E14098" s="80">
        <v>35859</v>
      </c>
    </row>
    <row r="14099" spans="1:5">
      <c r="A14099">
        <v>10927</v>
      </c>
      <c r="B14099" t="s">
        <v>173</v>
      </c>
      <c r="C14099">
        <v>405</v>
      </c>
      <c r="D14099">
        <v>5</v>
      </c>
      <c r="E14099" s="80">
        <v>35859</v>
      </c>
    </row>
    <row r="14100" spans="1:5">
      <c r="A14100">
        <v>10927</v>
      </c>
      <c r="B14100" t="s">
        <v>174</v>
      </c>
      <c r="C14100">
        <v>405</v>
      </c>
      <c r="D14100">
        <v>5</v>
      </c>
      <c r="E14100" s="80">
        <v>35859</v>
      </c>
    </row>
    <row r="14101" spans="1:5">
      <c r="A14101">
        <v>10927</v>
      </c>
      <c r="B14101" t="s">
        <v>175</v>
      </c>
      <c r="C14101">
        <v>405</v>
      </c>
      <c r="D14101">
        <v>5</v>
      </c>
      <c r="E14101" s="80">
        <v>35859</v>
      </c>
    </row>
    <row r="14102" spans="1:5">
      <c r="A14102">
        <v>10927</v>
      </c>
      <c r="B14102" t="s">
        <v>176</v>
      </c>
      <c r="C14102">
        <v>405</v>
      </c>
      <c r="D14102">
        <v>5</v>
      </c>
      <c r="E14102" s="80">
        <v>35859</v>
      </c>
    </row>
    <row r="14103" spans="1:5">
      <c r="A14103">
        <v>10927</v>
      </c>
      <c r="B14103" t="s">
        <v>177</v>
      </c>
      <c r="C14103">
        <v>405</v>
      </c>
      <c r="D14103">
        <v>5</v>
      </c>
      <c r="E14103" s="80">
        <v>35859</v>
      </c>
    </row>
    <row r="14104" spans="1:5">
      <c r="A14104">
        <v>10927</v>
      </c>
      <c r="B14104" t="s">
        <v>178</v>
      </c>
      <c r="C14104">
        <v>405</v>
      </c>
      <c r="D14104">
        <v>5</v>
      </c>
      <c r="E14104" s="80">
        <v>35859</v>
      </c>
    </row>
    <row r="14105" spans="1:5">
      <c r="A14105">
        <v>10927</v>
      </c>
      <c r="B14105" t="s">
        <v>179</v>
      </c>
      <c r="C14105">
        <v>405</v>
      </c>
      <c r="D14105">
        <v>5</v>
      </c>
      <c r="E14105" s="80">
        <v>35859</v>
      </c>
    </row>
    <row r="14106" spans="1:5">
      <c r="A14106">
        <v>10927</v>
      </c>
      <c r="B14106" t="s">
        <v>172</v>
      </c>
      <c r="C14106">
        <v>35</v>
      </c>
      <c r="D14106">
        <v>5</v>
      </c>
      <c r="E14106" s="80">
        <v>35859</v>
      </c>
    </row>
    <row r="14107" spans="1:5">
      <c r="A14107">
        <v>10927</v>
      </c>
      <c r="B14107" t="s">
        <v>173</v>
      </c>
      <c r="C14107">
        <v>35</v>
      </c>
      <c r="D14107">
        <v>5</v>
      </c>
      <c r="E14107" s="80">
        <v>35859</v>
      </c>
    </row>
    <row r="14108" spans="1:5">
      <c r="A14108">
        <v>10927</v>
      </c>
      <c r="B14108" t="s">
        <v>174</v>
      </c>
      <c r="C14108">
        <v>35</v>
      </c>
      <c r="D14108">
        <v>5</v>
      </c>
      <c r="E14108" s="80">
        <v>35859</v>
      </c>
    </row>
    <row r="14109" spans="1:5">
      <c r="A14109">
        <v>10927</v>
      </c>
      <c r="B14109" t="s">
        <v>175</v>
      </c>
      <c r="C14109">
        <v>35</v>
      </c>
      <c r="D14109">
        <v>5</v>
      </c>
      <c r="E14109" s="80">
        <v>35859</v>
      </c>
    </row>
    <row r="14110" spans="1:5">
      <c r="A14110">
        <v>10927</v>
      </c>
      <c r="B14110" t="s">
        <v>176</v>
      </c>
      <c r="C14110">
        <v>35</v>
      </c>
      <c r="D14110">
        <v>5</v>
      </c>
      <c r="E14110" s="80">
        <v>35859</v>
      </c>
    </row>
    <row r="14111" spans="1:5">
      <c r="A14111">
        <v>10927</v>
      </c>
      <c r="B14111" t="s">
        <v>177</v>
      </c>
      <c r="C14111">
        <v>35</v>
      </c>
      <c r="D14111">
        <v>5</v>
      </c>
      <c r="E14111" s="80">
        <v>35859</v>
      </c>
    </row>
    <row r="14112" spans="1:5">
      <c r="A14112">
        <v>10927</v>
      </c>
      <c r="B14112" t="s">
        <v>178</v>
      </c>
      <c r="C14112">
        <v>35</v>
      </c>
      <c r="D14112">
        <v>5</v>
      </c>
      <c r="E14112" s="80">
        <v>35859</v>
      </c>
    </row>
    <row r="14113" spans="1:5">
      <c r="A14113">
        <v>10927</v>
      </c>
      <c r="B14113" t="s">
        <v>179</v>
      </c>
      <c r="C14113">
        <v>35</v>
      </c>
      <c r="D14113">
        <v>5</v>
      </c>
      <c r="E14113" s="80">
        <v>35859</v>
      </c>
    </row>
    <row r="14114" spans="1:5">
      <c r="A14114">
        <v>10927</v>
      </c>
      <c r="B14114" t="s">
        <v>172</v>
      </c>
      <c r="C14114">
        <v>360</v>
      </c>
      <c r="D14114">
        <v>20</v>
      </c>
      <c r="E14114" s="80">
        <v>35859</v>
      </c>
    </row>
    <row r="14115" spans="1:5">
      <c r="A14115">
        <v>10927</v>
      </c>
      <c r="B14115" t="s">
        <v>173</v>
      </c>
      <c r="C14115">
        <v>360</v>
      </c>
      <c r="D14115">
        <v>20</v>
      </c>
      <c r="E14115" s="80">
        <v>35859</v>
      </c>
    </row>
    <row r="14116" spans="1:5">
      <c r="A14116">
        <v>10927</v>
      </c>
      <c r="B14116" t="s">
        <v>174</v>
      </c>
      <c r="C14116">
        <v>360</v>
      </c>
      <c r="D14116">
        <v>20</v>
      </c>
      <c r="E14116" s="80">
        <v>35859</v>
      </c>
    </row>
    <row r="14117" spans="1:5">
      <c r="A14117">
        <v>10927</v>
      </c>
      <c r="B14117" t="s">
        <v>175</v>
      </c>
      <c r="C14117">
        <v>360</v>
      </c>
      <c r="D14117">
        <v>20</v>
      </c>
      <c r="E14117" s="80">
        <v>35859</v>
      </c>
    </row>
    <row r="14118" spans="1:5">
      <c r="A14118">
        <v>10927</v>
      </c>
      <c r="B14118" t="s">
        <v>176</v>
      </c>
      <c r="C14118">
        <v>360</v>
      </c>
      <c r="D14118">
        <v>20</v>
      </c>
      <c r="E14118" s="80">
        <v>35859</v>
      </c>
    </row>
    <row r="14119" spans="1:5">
      <c r="A14119">
        <v>10927</v>
      </c>
      <c r="B14119" t="s">
        <v>177</v>
      </c>
      <c r="C14119">
        <v>360</v>
      </c>
      <c r="D14119">
        <v>20</v>
      </c>
      <c r="E14119" s="80">
        <v>35859</v>
      </c>
    </row>
    <row r="14120" spans="1:5">
      <c r="A14120">
        <v>10927</v>
      </c>
      <c r="B14120" t="s">
        <v>178</v>
      </c>
      <c r="C14120">
        <v>360</v>
      </c>
      <c r="D14120">
        <v>20</v>
      </c>
      <c r="E14120" s="80">
        <v>35859</v>
      </c>
    </row>
    <row r="14121" spans="1:5">
      <c r="A14121">
        <v>10927</v>
      </c>
      <c r="B14121" t="s">
        <v>179</v>
      </c>
      <c r="C14121">
        <v>360</v>
      </c>
      <c r="D14121">
        <v>20</v>
      </c>
      <c r="E14121" s="80">
        <v>35859</v>
      </c>
    </row>
    <row r="14122" spans="1:5">
      <c r="A14122">
        <v>10928</v>
      </c>
      <c r="B14122" t="s">
        <v>172</v>
      </c>
      <c r="C14122">
        <v>47.5</v>
      </c>
      <c r="D14122">
        <v>5</v>
      </c>
      <c r="E14122" s="80">
        <v>35859</v>
      </c>
    </row>
    <row r="14123" spans="1:5">
      <c r="A14123">
        <v>10928</v>
      </c>
      <c r="B14123" t="s">
        <v>173</v>
      </c>
      <c r="C14123">
        <v>47.5</v>
      </c>
      <c r="D14123">
        <v>5</v>
      </c>
      <c r="E14123" s="80">
        <v>35859</v>
      </c>
    </row>
    <row r="14124" spans="1:5">
      <c r="A14124">
        <v>10928</v>
      </c>
      <c r="B14124" t="s">
        <v>174</v>
      </c>
      <c r="C14124">
        <v>47.5</v>
      </c>
      <c r="D14124">
        <v>5</v>
      </c>
      <c r="E14124" s="80">
        <v>35859</v>
      </c>
    </row>
    <row r="14125" spans="1:5">
      <c r="A14125">
        <v>10928</v>
      </c>
      <c r="B14125" t="s">
        <v>175</v>
      </c>
      <c r="C14125">
        <v>47.5</v>
      </c>
      <c r="D14125">
        <v>5</v>
      </c>
      <c r="E14125" s="80">
        <v>35859</v>
      </c>
    </row>
    <row r="14126" spans="1:5">
      <c r="A14126">
        <v>10928</v>
      </c>
      <c r="B14126" t="s">
        <v>176</v>
      </c>
      <c r="C14126">
        <v>47.5</v>
      </c>
      <c r="D14126">
        <v>5</v>
      </c>
      <c r="E14126" s="80">
        <v>35859</v>
      </c>
    </row>
    <row r="14127" spans="1:5">
      <c r="A14127">
        <v>10928</v>
      </c>
      <c r="B14127" t="s">
        <v>177</v>
      </c>
      <c r="C14127">
        <v>47.5</v>
      </c>
      <c r="D14127">
        <v>5</v>
      </c>
      <c r="E14127" s="80">
        <v>35859</v>
      </c>
    </row>
    <row r="14128" spans="1:5">
      <c r="A14128">
        <v>10928</v>
      </c>
      <c r="B14128" t="s">
        <v>178</v>
      </c>
      <c r="C14128">
        <v>47.5</v>
      </c>
      <c r="D14128">
        <v>5</v>
      </c>
      <c r="E14128" s="80">
        <v>35859</v>
      </c>
    </row>
    <row r="14129" spans="1:5">
      <c r="A14129">
        <v>10928</v>
      </c>
      <c r="B14129" t="s">
        <v>179</v>
      </c>
      <c r="C14129">
        <v>47.5</v>
      </c>
      <c r="D14129">
        <v>5</v>
      </c>
      <c r="E14129" s="80">
        <v>35859</v>
      </c>
    </row>
    <row r="14130" spans="1:5">
      <c r="A14130">
        <v>10928</v>
      </c>
      <c r="B14130" t="s">
        <v>172</v>
      </c>
      <c r="C14130">
        <v>90</v>
      </c>
      <c r="D14130">
        <v>5</v>
      </c>
      <c r="E14130" s="80">
        <v>35859</v>
      </c>
    </row>
    <row r="14131" spans="1:5">
      <c r="A14131">
        <v>10928</v>
      </c>
      <c r="B14131" t="s">
        <v>173</v>
      </c>
      <c r="C14131">
        <v>90</v>
      </c>
      <c r="D14131">
        <v>5</v>
      </c>
      <c r="E14131" s="80">
        <v>35859</v>
      </c>
    </row>
    <row r="14132" spans="1:5">
      <c r="A14132">
        <v>10928</v>
      </c>
      <c r="B14132" t="s">
        <v>174</v>
      </c>
      <c r="C14132">
        <v>90</v>
      </c>
      <c r="D14132">
        <v>5</v>
      </c>
      <c r="E14132" s="80">
        <v>35859</v>
      </c>
    </row>
    <row r="14133" spans="1:5">
      <c r="A14133">
        <v>10928</v>
      </c>
      <c r="B14133" t="s">
        <v>175</v>
      </c>
      <c r="C14133">
        <v>90</v>
      </c>
      <c r="D14133">
        <v>5</v>
      </c>
      <c r="E14133" s="80">
        <v>35859</v>
      </c>
    </row>
    <row r="14134" spans="1:5">
      <c r="A14134">
        <v>10928</v>
      </c>
      <c r="B14134" t="s">
        <v>176</v>
      </c>
      <c r="C14134">
        <v>90</v>
      </c>
      <c r="D14134">
        <v>5</v>
      </c>
      <c r="E14134" s="80">
        <v>35859</v>
      </c>
    </row>
    <row r="14135" spans="1:5">
      <c r="A14135">
        <v>10928</v>
      </c>
      <c r="B14135" t="s">
        <v>177</v>
      </c>
      <c r="C14135">
        <v>90</v>
      </c>
      <c r="D14135">
        <v>5</v>
      </c>
      <c r="E14135" s="80">
        <v>35859</v>
      </c>
    </row>
    <row r="14136" spans="1:5">
      <c r="A14136">
        <v>10928</v>
      </c>
      <c r="B14136" t="s">
        <v>178</v>
      </c>
      <c r="C14136">
        <v>90</v>
      </c>
      <c r="D14136">
        <v>5</v>
      </c>
      <c r="E14136" s="80">
        <v>35859</v>
      </c>
    </row>
    <row r="14137" spans="1:5">
      <c r="A14137">
        <v>10928</v>
      </c>
      <c r="B14137" t="s">
        <v>179</v>
      </c>
      <c r="C14137">
        <v>90</v>
      </c>
      <c r="D14137">
        <v>5</v>
      </c>
      <c r="E14137" s="80">
        <v>35859</v>
      </c>
    </row>
    <row r="14138" spans="1:5">
      <c r="A14138">
        <v>10929</v>
      </c>
      <c r="B14138" t="s">
        <v>172</v>
      </c>
      <c r="C14138">
        <v>600</v>
      </c>
      <c r="D14138">
        <v>60</v>
      </c>
      <c r="E14138" s="80">
        <v>35859</v>
      </c>
    </row>
    <row r="14139" spans="1:5">
      <c r="A14139">
        <v>10929</v>
      </c>
      <c r="B14139" t="s">
        <v>173</v>
      </c>
      <c r="C14139">
        <v>600</v>
      </c>
      <c r="D14139">
        <v>60</v>
      </c>
      <c r="E14139" s="80">
        <v>35859</v>
      </c>
    </row>
    <row r="14140" spans="1:5">
      <c r="A14140">
        <v>10929</v>
      </c>
      <c r="B14140" t="s">
        <v>174</v>
      </c>
      <c r="C14140">
        <v>600</v>
      </c>
      <c r="D14140">
        <v>60</v>
      </c>
      <c r="E14140" s="80">
        <v>35859</v>
      </c>
    </row>
    <row r="14141" spans="1:5">
      <c r="A14141">
        <v>10929</v>
      </c>
      <c r="B14141" t="s">
        <v>175</v>
      </c>
      <c r="C14141">
        <v>600</v>
      </c>
      <c r="D14141">
        <v>60</v>
      </c>
      <c r="E14141" s="80">
        <v>35859</v>
      </c>
    </row>
    <row r="14142" spans="1:5">
      <c r="A14142">
        <v>10929</v>
      </c>
      <c r="B14142" t="s">
        <v>176</v>
      </c>
      <c r="C14142">
        <v>600</v>
      </c>
      <c r="D14142">
        <v>60</v>
      </c>
      <c r="E14142" s="80">
        <v>35859</v>
      </c>
    </row>
    <row r="14143" spans="1:5">
      <c r="A14143">
        <v>10929</v>
      </c>
      <c r="B14143" t="s">
        <v>177</v>
      </c>
      <c r="C14143">
        <v>600</v>
      </c>
      <c r="D14143">
        <v>60</v>
      </c>
      <c r="E14143" s="80">
        <v>35859</v>
      </c>
    </row>
    <row r="14144" spans="1:5">
      <c r="A14144">
        <v>10929</v>
      </c>
      <c r="B14144" t="s">
        <v>178</v>
      </c>
      <c r="C14144">
        <v>600</v>
      </c>
      <c r="D14144">
        <v>60</v>
      </c>
      <c r="E14144" s="80">
        <v>35859</v>
      </c>
    </row>
    <row r="14145" spans="1:5">
      <c r="A14145">
        <v>10929</v>
      </c>
      <c r="B14145" t="s">
        <v>179</v>
      </c>
      <c r="C14145">
        <v>600</v>
      </c>
      <c r="D14145">
        <v>60</v>
      </c>
      <c r="E14145" s="80">
        <v>35859</v>
      </c>
    </row>
    <row r="14146" spans="1:5">
      <c r="A14146">
        <v>10929</v>
      </c>
      <c r="B14146" t="s">
        <v>172</v>
      </c>
      <c r="C14146">
        <v>379.75</v>
      </c>
      <c r="D14146">
        <v>49</v>
      </c>
      <c r="E14146" s="80">
        <v>35859</v>
      </c>
    </row>
    <row r="14147" spans="1:5">
      <c r="A14147">
        <v>10929</v>
      </c>
      <c r="B14147" t="s">
        <v>173</v>
      </c>
      <c r="C14147">
        <v>379.75</v>
      </c>
      <c r="D14147">
        <v>49</v>
      </c>
      <c r="E14147" s="80">
        <v>35859</v>
      </c>
    </row>
    <row r="14148" spans="1:5">
      <c r="A14148">
        <v>10929</v>
      </c>
      <c r="B14148" t="s">
        <v>174</v>
      </c>
      <c r="C14148">
        <v>379.75</v>
      </c>
      <c r="D14148">
        <v>49</v>
      </c>
      <c r="E14148" s="80">
        <v>35859</v>
      </c>
    </row>
    <row r="14149" spans="1:5">
      <c r="A14149">
        <v>10929</v>
      </c>
      <c r="B14149" t="s">
        <v>175</v>
      </c>
      <c r="C14149">
        <v>379.75</v>
      </c>
      <c r="D14149">
        <v>49</v>
      </c>
      <c r="E14149" s="80">
        <v>35859</v>
      </c>
    </row>
    <row r="14150" spans="1:5">
      <c r="A14150">
        <v>10929</v>
      </c>
      <c r="B14150" t="s">
        <v>176</v>
      </c>
      <c r="C14150">
        <v>379.75</v>
      </c>
      <c r="D14150">
        <v>49</v>
      </c>
      <c r="E14150" s="80">
        <v>35859</v>
      </c>
    </row>
    <row r="14151" spans="1:5">
      <c r="A14151">
        <v>10929</v>
      </c>
      <c r="B14151" t="s">
        <v>177</v>
      </c>
      <c r="C14151">
        <v>379.75</v>
      </c>
      <c r="D14151">
        <v>49</v>
      </c>
      <c r="E14151" s="80">
        <v>35859</v>
      </c>
    </row>
    <row r="14152" spans="1:5">
      <c r="A14152">
        <v>10929</v>
      </c>
      <c r="B14152" t="s">
        <v>178</v>
      </c>
      <c r="C14152">
        <v>379.75</v>
      </c>
      <c r="D14152">
        <v>49</v>
      </c>
      <c r="E14152" s="80">
        <v>35859</v>
      </c>
    </row>
    <row r="14153" spans="1:5">
      <c r="A14153">
        <v>10929</v>
      </c>
      <c r="B14153" t="s">
        <v>179</v>
      </c>
      <c r="C14153">
        <v>379.75</v>
      </c>
      <c r="D14153">
        <v>49</v>
      </c>
      <c r="E14153" s="80">
        <v>35859</v>
      </c>
    </row>
    <row r="14154" spans="1:5">
      <c r="A14154">
        <v>10929</v>
      </c>
      <c r="B14154" t="s">
        <v>172</v>
      </c>
      <c r="C14154">
        <v>195</v>
      </c>
      <c r="D14154">
        <v>15</v>
      </c>
      <c r="E14154" s="80">
        <v>35859</v>
      </c>
    </row>
    <row r="14155" spans="1:5">
      <c r="A14155">
        <v>10929</v>
      </c>
      <c r="B14155" t="s">
        <v>173</v>
      </c>
      <c r="C14155">
        <v>195</v>
      </c>
      <c r="D14155">
        <v>15</v>
      </c>
      <c r="E14155" s="80">
        <v>35859</v>
      </c>
    </row>
    <row r="14156" spans="1:5">
      <c r="A14156">
        <v>10929</v>
      </c>
      <c r="B14156" t="s">
        <v>174</v>
      </c>
      <c r="C14156">
        <v>195</v>
      </c>
      <c r="D14156">
        <v>15</v>
      </c>
      <c r="E14156" s="80">
        <v>35859</v>
      </c>
    </row>
    <row r="14157" spans="1:5">
      <c r="A14157">
        <v>10929</v>
      </c>
      <c r="B14157" t="s">
        <v>175</v>
      </c>
      <c r="C14157">
        <v>195</v>
      </c>
      <c r="D14157">
        <v>15</v>
      </c>
      <c r="E14157" s="80">
        <v>35859</v>
      </c>
    </row>
    <row r="14158" spans="1:5">
      <c r="A14158">
        <v>10929</v>
      </c>
      <c r="B14158" t="s">
        <v>176</v>
      </c>
      <c r="C14158">
        <v>195</v>
      </c>
      <c r="D14158">
        <v>15</v>
      </c>
      <c r="E14158" s="80">
        <v>35859</v>
      </c>
    </row>
    <row r="14159" spans="1:5">
      <c r="A14159">
        <v>10929</v>
      </c>
      <c r="B14159" t="s">
        <v>177</v>
      </c>
      <c r="C14159">
        <v>195</v>
      </c>
      <c r="D14159">
        <v>15</v>
      </c>
      <c r="E14159" s="80">
        <v>35859</v>
      </c>
    </row>
    <row r="14160" spans="1:5">
      <c r="A14160">
        <v>10929</v>
      </c>
      <c r="B14160" t="s">
        <v>178</v>
      </c>
      <c r="C14160">
        <v>195</v>
      </c>
      <c r="D14160">
        <v>15</v>
      </c>
      <c r="E14160" s="80">
        <v>35859</v>
      </c>
    </row>
    <row r="14161" spans="1:5">
      <c r="A14161">
        <v>10929</v>
      </c>
      <c r="B14161" t="s">
        <v>179</v>
      </c>
      <c r="C14161">
        <v>195</v>
      </c>
      <c r="D14161">
        <v>15</v>
      </c>
      <c r="E14161" s="80">
        <v>35859</v>
      </c>
    </row>
    <row r="14162" spans="1:5">
      <c r="A14162">
        <v>10930</v>
      </c>
      <c r="B14162" t="s">
        <v>172</v>
      </c>
      <c r="C14162">
        <v>360</v>
      </c>
      <c r="D14162">
        <v>36</v>
      </c>
      <c r="E14162" s="80">
        <v>35860</v>
      </c>
    </row>
    <row r="14163" spans="1:5">
      <c r="A14163">
        <v>10930</v>
      </c>
      <c r="B14163" t="s">
        <v>173</v>
      </c>
      <c r="C14163">
        <v>360</v>
      </c>
      <c r="D14163">
        <v>36</v>
      </c>
      <c r="E14163" s="80">
        <v>35860</v>
      </c>
    </row>
    <row r="14164" spans="1:5">
      <c r="A14164">
        <v>10930</v>
      </c>
      <c r="B14164" t="s">
        <v>174</v>
      </c>
      <c r="C14164">
        <v>360</v>
      </c>
      <c r="D14164">
        <v>36</v>
      </c>
      <c r="E14164" s="80">
        <v>35860</v>
      </c>
    </row>
    <row r="14165" spans="1:5">
      <c r="A14165">
        <v>10930</v>
      </c>
      <c r="B14165" t="s">
        <v>175</v>
      </c>
      <c r="C14165">
        <v>360</v>
      </c>
      <c r="D14165">
        <v>36</v>
      </c>
      <c r="E14165" s="80">
        <v>35860</v>
      </c>
    </row>
    <row r="14166" spans="1:5">
      <c r="A14166">
        <v>10930</v>
      </c>
      <c r="B14166" t="s">
        <v>176</v>
      </c>
      <c r="C14166">
        <v>360</v>
      </c>
      <c r="D14166">
        <v>36</v>
      </c>
      <c r="E14166" s="80">
        <v>35860</v>
      </c>
    </row>
    <row r="14167" spans="1:5">
      <c r="A14167">
        <v>10930</v>
      </c>
      <c r="B14167" t="s">
        <v>177</v>
      </c>
      <c r="C14167">
        <v>360</v>
      </c>
      <c r="D14167">
        <v>36</v>
      </c>
      <c r="E14167" s="80">
        <v>35860</v>
      </c>
    </row>
    <row r="14168" spans="1:5">
      <c r="A14168">
        <v>10930</v>
      </c>
      <c r="B14168" t="s">
        <v>178</v>
      </c>
      <c r="C14168">
        <v>360</v>
      </c>
      <c r="D14168">
        <v>36</v>
      </c>
      <c r="E14168" s="80">
        <v>35860</v>
      </c>
    </row>
    <row r="14169" spans="1:5">
      <c r="A14169">
        <v>10930</v>
      </c>
      <c r="B14169" t="s">
        <v>179</v>
      </c>
      <c r="C14169">
        <v>360</v>
      </c>
      <c r="D14169">
        <v>36</v>
      </c>
      <c r="E14169" s="80">
        <v>35860</v>
      </c>
    </row>
    <row r="14170" spans="1:5">
      <c r="A14170">
        <v>10930</v>
      </c>
      <c r="B14170" t="s">
        <v>172</v>
      </c>
      <c r="C14170">
        <v>1097.5</v>
      </c>
      <c r="D14170">
        <v>25</v>
      </c>
      <c r="E14170" s="80">
        <v>35860</v>
      </c>
    </row>
    <row r="14171" spans="1:5">
      <c r="A14171">
        <v>10930</v>
      </c>
      <c r="B14171" t="s">
        <v>173</v>
      </c>
      <c r="C14171">
        <v>1097.5</v>
      </c>
      <c r="D14171">
        <v>25</v>
      </c>
      <c r="E14171" s="80">
        <v>35860</v>
      </c>
    </row>
    <row r="14172" spans="1:5">
      <c r="A14172">
        <v>10930</v>
      </c>
      <c r="B14172" t="s">
        <v>174</v>
      </c>
      <c r="C14172">
        <v>1097.5</v>
      </c>
      <c r="D14172">
        <v>25</v>
      </c>
      <c r="E14172" s="80">
        <v>35860</v>
      </c>
    </row>
    <row r="14173" spans="1:5">
      <c r="A14173">
        <v>10930</v>
      </c>
      <c r="B14173" t="s">
        <v>175</v>
      </c>
      <c r="C14173">
        <v>1097.5</v>
      </c>
      <c r="D14173">
        <v>25</v>
      </c>
      <c r="E14173" s="80">
        <v>35860</v>
      </c>
    </row>
    <row r="14174" spans="1:5">
      <c r="A14174">
        <v>10930</v>
      </c>
      <c r="B14174" t="s">
        <v>176</v>
      </c>
      <c r="C14174">
        <v>1097.5</v>
      </c>
      <c r="D14174">
        <v>25</v>
      </c>
      <c r="E14174" s="80">
        <v>35860</v>
      </c>
    </row>
    <row r="14175" spans="1:5">
      <c r="A14175">
        <v>10930</v>
      </c>
      <c r="B14175" t="s">
        <v>177</v>
      </c>
      <c r="C14175">
        <v>1097.5</v>
      </c>
      <c r="D14175">
        <v>25</v>
      </c>
      <c r="E14175" s="80">
        <v>35860</v>
      </c>
    </row>
    <row r="14176" spans="1:5">
      <c r="A14176">
        <v>10930</v>
      </c>
      <c r="B14176" t="s">
        <v>178</v>
      </c>
      <c r="C14176">
        <v>1097.5</v>
      </c>
      <c r="D14176">
        <v>25</v>
      </c>
      <c r="E14176" s="80">
        <v>35860</v>
      </c>
    </row>
    <row r="14177" spans="1:5">
      <c r="A14177">
        <v>10930</v>
      </c>
      <c r="B14177" t="s">
        <v>179</v>
      </c>
      <c r="C14177">
        <v>1097.5</v>
      </c>
      <c r="D14177">
        <v>25</v>
      </c>
      <c r="E14177" s="80">
        <v>35860</v>
      </c>
    </row>
    <row r="14178" spans="1:5">
      <c r="A14178">
        <v>10930</v>
      </c>
      <c r="B14178" t="s">
        <v>172</v>
      </c>
      <c r="C14178">
        <v>479.99999821186066</v>
      </c>
      <c r="D14178">
        <v>25</v>
      </c>
      <c r="E14178" s="80">
        <v>35860</v>
      </c>
    </row>
    <row r="14179" spans="1:5">
      <c r="A14179">
        <v>10930</v>
      </c>
      <c r="B14179" t="s">
        <v>173</v>
      </c>
      <c r="C14179">
        <v>479.99999821186066</v>
      </c>
      <c r="D14179">
        <v>25</v>
      </c>
      <c r="E14179" s="80">
        <v>35860</v>
      </c>
    </row>
    <row r="14180" spans="1:5">
      <c r="A14180">
        <v>10930</v>
      </c>
      <c r="B14180" t="s">
        <v>174</v>
      </c>
      <c r="C14180">
        <v>479.99999821186066</v>
      </c>
      <c r="D14180">
        <v>25</v>
      </c>
      <c r="E14180" s="80">
        <v>35860</v>
      </c>
    </row>
    <row r="14181" spans="1:5">
      <c r="A14181">
        <v>10930</v>
      </c>
      <c r="B14181" t="s">
        <v>175</v>
      </c>
      <c r="C14181">
        <v>479.99999821186066</v>
      </c>
      <c r="D14181">
        <v>25</v>
      </c>
      <c r="E14181" s="80">
        <v>35860</v>
      </c>
    </row>
    <row r="14182" spans="1:5">
      <c r="A14182">
        <v>10930</v>
      </c>
      <c r="B14182" t="s">
        <v>176</v>
      </c>
      <c r="C14182">
        <v>479.99999821186066</v>
      </c>
      <c r="D14182">
        <v>25</v>
      </c>
      <c r="E14182" s="80">
        <v>35860</v>
      </c>
    </row>
    <row r="14183" spans="1:5">
      <c r="A14183">
        <v>10930</v>
      </c>
      <c r="B14183" t="s">
        <v>177</v>
      </c>
      <c r="C14183">
        <v>479.99999821186066</v>
      </c>
      <c r="D14183">
        <v>25</v>
      </c>
      <c r="E14183" s="80">
        <v>35860</v>
      </c>
    </row>
    <row r="14184" spans="1:5">
      <c r="A14184">
        <v>10930</v>
      </c>
      <c r="B14184" t="s">
        <v>178</v>
      </c>
      <c r="C14184">
        <v>479.99999821186066</v>
      </c>
      <c r="D14184">
        <v>25</v>
      </c>
      <c r="E14184" s="80">
        <v>35860</v>
      </c>
    </row>
    <row r="14185" spans="1:5">
      <c r="A14185">
        <v>10930</v>
      </c>
      <c r="B14185" t="s">
        <v>179</v>
      </c>
      <c r="C14185">
        <v>479.99999821186066</v>
      </c>
      <c r="D14185">
        <v>25</v>
      </c>
      <c r="E14185" s="80">
        <v>35860</v>
      </c>
    </row>
    <row r="14186" spans="1:5">
      <c r="A14186">
        <v>10930</v>
      </c>
      <c r="B14186" t="s">
        <v>172</v>
      </c>
      <c r="C14186">
        <v>317.99999881535769</v>
      </c>
      <c r="D14186">
        <v>30</v>
      </c>
      <c r="E14186" s="80">
        <v>35860</v>
      </c>
    </row>
    <row r="14187" spans="1:5">
      <c r="A14187">
        <v>10930</v>
      </c>
      <c r="B14187" t="s">
        <v>173</v>
      </c>
      <c r="C14187">
        <v>317.99999881535769</v>
      </c>
      <c r="D14187">
        <v>30</v>
      </c>
      <c r="E14187" s="80">
        <v>35860</v>
      </c>
    </row>
    <row r="14188" spans="1:5">
      <c r="A14188">
        <v>10930</v>
      </c>
      <c r="B14188" t="s">
        <v>174</v>
      </c>
      <c r="C14188">
        <v>317.99999881535769</v>
      </c>
      <c r="D14188">
        <v>30</v>
      </c>
      <c r="E14188" s="80">
        <v>35860</v>
      </c>
    </row>
    <row r="14189" spans="1:5">
      <c r="A14189">
        <v>10930</v>
      </c>
      <c r="B14189" t="s">
        <v>175</v>
      </c>
      <c r="C14189">
        <v>317.99999881535769</v>
      </c>
      <c r="D14189">
        <v>30</v>
      </c>
      <c r="E14189" s="80">
        <v>35860</v>
      </c>
    </row>
    <row r="14190" spans="1:5">
      <c r="A14190">
        <v>10930</v>
      </c>
      <c r="B14190" t="s">
        <v>176</v>
      </c>
      <c r="C14190">
        <v>317.99999881535769</v>
      </c>
      <c r="D14190">
        <v>30</v>
      </c>
      <c r="E14190" s="80">
        <v>35860</v>
      </c>
    </row>
    <row r="14191" spans="1:5">
      <c r="A14191">
        <v>10930</v>
      </c>
      <c r="B14191" t="s">
        <v>177</v>
      </c>
      <c r="C14191">
        <v>317.99999881535769</v>
      </c>
      <c r="D14191">
        <v>30</v>
      </c>
      <c r="E14191" s="80">
        <v>35860</v>
      </c>
    </row>
    <row r="14192" spans="1:5">
      <c r="A14192">
        <v>10930</v>
      </c>
      <c r="B14192" t="s">
        <v>178</v>
      </c>
      <c r="C14192">
        <v>317.99999881535769</v>
      </c>
      <c r="D14192">
        <v>30</v>
      </c>
      <c r="E14192" s="80">
        <v>35860</v>
      </c>
    </row>
    <row r="14193" spans="1:5">
      <c r="A14193">
        <v>10930</v>
      </c>
      <c r="B14193" t="s">
        <v>179</v>
      </c>
      <c r="C14193">
        <v>317.99999881535769</v>
      </c>
      <c r="D14193">
        <v>30</v>
      </c>
      <c r="E14193" s="80">
        <v>35860</v>
      </c>
    </row>
    <row r="14194" spans="1:5">
      <c r="A14194">
        <v>10931</v>
      </c>
      <c r="B14194" t="s">
        <v>172</v>
      </c>
      <c r="C14194">
        <v>214.19999849796295</v>
      </c>
      <c r="D14194">
        <v>42</v>
      </c>
      <c r="E14194" s="80">
        <v>35860</v>
      </c>
    </row>
    <row r="14195" spans="1:5">
      <c r="A14195">
        <v>10931</v>
      </c>
      <c r="B14195" t="s">
        <v>173</v>
      </c>
      <c r="C14195">
        <v>214.19999849796295</v>
      </c>
      <c r="D14195">
        <v>42</v>
      </c>
      <c r="E14195" s="80">
        <v>35860</v>
      </c>
    </row>
    <row r="14196" spans="1:5">
      <c r="A14196">
        <v>10931</v>
      </c>
      <c r="B14196" t="s">
        <v>174</v>
      </c>
      <c r="C14196">
        <v>214.19999849796295</v>
      </c>
      <c r="D14196">
        <v>42</v>
      </c>
      <c r="E14196" s="80">
        <v>35860</v>
      </c>
    </row>
    <row r="14197" spans="1:5">
      <c r="A14197">
        <v>10931</v>
      </c>
      <c r="B14197" t="s">
        <v>175</v>
      </c>
      <c r="C14197">
        <v>214.19999849796295</v>
      </c>
      <c r="D14197">
        <v>42</v>
      </c>
      <c r="E14197" s="80">
        <v>35860</v>
      </c>
    </row>
    <row r="14198" spans="1:5">
      <c r="A14198">
        <v>10931</v>
      </c>
      <c r="B14198" t="s">
        <v>176</v>
      </c>
      <c r="C14198">
        <v>214.19999849796295</v>
      </c>
      <c r="D14198">
        <v>42</v>
      </c>
      <c r="E14198" s="80">
        <v>35860</v>
      </c>
    </row>
    <row r="14199" spans="1:5">
      <c r="A14199">
        <v>10931</v>
      </c>
      <c r="B14199" t="s">
        <v>177</v>
      </c>
      <c r="C14199">
        <v>214.19999849796295</v>
      </c>
      <c r="D14199">
        <v>42</v>
      </c>
      <c r="E14199" s="80">
        <v>35860</v>
      </c>
    </row>
    <row r="14200" spans="1:5">
      <c r="A14200">
        <v>10931</v>
      </c>
      <c r="B14200" t="s">
        <v>178</v>
      </c>
      <c r="C14200">
        <v>214.19999849796295</v>
      </c>
      <c r="D14200">
        <v>42</v>
      </c>
      <c r="E14200" s="80">
        <v>35860</v>
      </c>
    </row>
    <row r="14201" spans="1:5">
      <c r="A14201">
        <v>10931</v>
      </c>
      <c r="B14201" t="s">
        <v>179</v>
      </c>
      <c r="C14201">
        <v>214.19999849796295</v>
      </c>
      <c r="D14201">
        <v>42</v>
      </c>
      <c r="E14201" s="80">
        <v>35860</v>
      </c>
    </row>
    <row r="14202" spans="1:5">
      <c r="A14202">
        <v>10931</v>
      </c>
      <c r="B14202" t="s">
        <v>172</v>
      </c>
      <c r="C14202">
        <v>585</v>
      </c>
      <c r="D14202">
        <v>30</v>
      </c>
      <c r="E14202" s="80">
        <v>35860</v>
      </c>
    </row>
    <row r="14203" spans="1:5">
      <c r="A14203">
        <v>10931</v>
      </c>
      <c r="B14203" t="s">
        <v>173</v>
      </c>
      <c r="C14203">
        <v>585</v>
      </c>
      <c r="D14203">
        <v>30</v>
      </c>
      <c r="E14203" s="80">
        <v>35860</v>
      </c>
    </row>
    <row r="14204" spans="1:5">
      <c r="A14204">
        <v>10931</v>
      </c>
      <c r="B14204" t="s">
        <v>174</v>
      </c>
      <c r="C14204">
        <v>585</v>
      </c>
      <c r="D14204">
        <v>30</v>
      </c>
      <c r="E14204" s="80">
        <v>35860</v>
      </c>
    </row>
    <row r="14205" spans="1:5">
      <c r="A14205">
        <v>10931</v>
      </c>
      <c r="B14205" t="s">
        <v>175</v>
      </c>
      <c r="C14205">
        <v>585</v>
      </c>
      <c r="D14205">
        <v>30</v>
      </c>
      <c r="E14205" s="80">
        <v>35860</v>
      </c>
    </row>
    <row r="14206" spans="1:5">
      <c r="A14206">
        <v>10931</v>
      </c>
      <c r="B14206" t="s">
        <v>176</v>
      </c>
      <c r="C14206">
        <v>585</v>
      </c>
      <c r="D14206">
        <v>30</v>
      </c>
      <c r="E14206" s="80">
        <v>35860</v>
      </c>
    </row>
    <row r="14207" spans="1:5">
      <c r="A14207">
        <v>10931</v>
      </c>
      <c r="B14207" t="s">
        <v>177</v>
      </c>
      <c r="C14207">
        <v>585</v>
      </c>
      <c r="D14207">
        <v>30</v>
      </c>
      <c r="E14207" s="80">
        <v>35860</v>
      </c>
    </row>
    <row r="14208" spans="1:5">
      <c r="A14208">
        <v>10931</v>
      </c>
      <c r="B14208" t="s">
        <v>178</v>
      </c>
      <c r="C14208">
        <v>585</v>
      </c>
      <c r="D14208">
        <v>30</v>
      </c>
      <c r="E14208" s="80">
        <v>35860</v>
      </c>
    </row>
    <row r="14209" spans="1:5">
      <c r="A14209">
        <v>10931</v>
      </c>
      <c r="B14209" t="s">
        <v>179</v>
      </c>
      <c r="C14209">
        <v>585</v>
      </c>
      <c r="D14209">
        <v>30</v>
      </c>
      <c r="E14209" s="80">
        <v>35860</v>
      </c>
    </row>
    <row r="14210" spans="1:5">
      <c r="A14210">
        <v>10932</v>
      </c>
      <c r="B14210" t="s">
        <v>172</v>
      </c>
      <c r="C14210">
        <v>471.14999921992421</v>
      </c>
      <c r="D14210">
        <v>30</v>
      </c>
      <c r="E14210" s="80">
        <v>35860</v>
      </c>
    </row>
    <row r="14211" spans="1:5">
      <c r="A14211">
        <v>10932</v>
      </c>
      <c r="B14211" t="s">
        <v>173</v>
      </c>
      <c r="C14211">
        <v>471.14999921992421</v>
      </c>
      <c r="D14211">
        <v>30</v>
      </c>
      <c r="E14211" s="80">
        <v>35860</v>
      </c>
    </row>
    <row r="14212" spans="1:5">
      <c r="A14212">
        <v>10932</v>
      </c>
      <c r="B14212" t="s">
        <v>174</v>
      </c>
      <c r="C14212">
        <v>471.14999921992421</v>
      </c>
      <c r="D14212">
        <v>30</v>
      </c>
      <c r="E14212" s="80">
        <v>35860</v>
      </c>
    </row>
    <row r="14213" spans="1:5">
      <c r="A14213">
        <v>10932</v>
      </c>
      <c r="B14213" t="s">
        <v>175</v>
      </c>
      <c r="C14213">
        <v>471.14999921992421</v>
      </c>
      <c r="D14213">
        <v>30</v>
      </c>
      <c r="E14213" s="80">
        <v>35860</v>
      </c>
    </row>
    <row r="14214" spans="1:5">
      <c r="A14214">
        <v>10932</v>
      </c>
      <c r="B14214" t="s">
        <v>176</v>
      </c>
      <c r="C14214">
        <v>471.14999921992421</v>
      </c>
      <c r="D14214">
        <v>30</v>
      </c>
      <c r="E14214" s="80">
        <v>35860</v>
      </c>
    </row>
    <row r="14215" spans="1:5">
      <c r="A14215">
        <v>10932</v>
      </c>
      <c r="B14215" t="s">
        <v>177</v>
      </c>
      <c r="C14215">
        <v>471.14999921992421</v>
      </c>
      <c r="D14215">
        <v>30</v>
      </c>
      <c r="E14215" s="80">
        <v>35860</v>
      </c>
    </row>
    <row r="14216" spans="1:5">
      <c r="A14216">
        <v>10932</v>
      </c>
      <c r="B14216" t="s">
        <v>178</v>
      </c>
      <c r="C14216">
        <v>471.14999921992421</v>
      </c>
      <c r="D14216">
        <v>30</v>
      </c>
      <c r="E14216" s="80">
        <v>35860</v>
      </c>
    </row>
    <row r="14217" spans="1:5">
      <c r="A14217">
        <v>10932</v>
      </c>
      <c r="B14217" t="s">
        <v>179</v>
      </c>
      <c r="C14217">
        <v>471.14999921992421</v>
      </c>
      <c r="D14217">
        <v>30</v>
      </c>
      <c r="E14217" s="80">
        <v>35860</v>
      </c>
    </row>
    <row r="14218" spans="1:5">
      <c r="A14218">
        <v>10932</v>
      </c>
      <c r="B14218" t="s">
        <v>172</v>
      </c>
      <c r="C14218">
        <v>621.17999897152185</v>
      </c>
      <c r="D14218">
        <v>14</v>
      </c>
      <c r="E14218" s="80">
        <v>35860</v>
      </c>
    </row>
    <row r="14219" spans="1:5">
      <c r="A14219">
        <v>10932</v>
      </c>
      <c r="B14219" t="s">
        <v>173</v>
      </c>
      <c r="C14219">
        <v>621.17999897152185</v>
      </c>
      <c r="D14219">
        <v>14</v>
      </c>
      <c r="E14219" s="80">
        <v>35860</v>
      </c>
    </row>
    <row r="14220" spans="1:5">
      <c r="A14220">
        <v>10932</v>
      </c>
      <c r="B14220" t="s">
        <v>174</v>
      </c>
      <c r="C14220">
        <v>621.17999897152185</v>
      </c>
      <c r="D14220">
        <v>14</v>
      </c>
      <c r="E14220" s="80">
        <v>35860</v>
      </c>
    </row>
    <row r="14221" spans="1:5">
      <c r="A14221">
        <v>10932</v>
      </c>
      <c r="B14221" t="s">
        <v>175</v>
      </c>
      <c r="C14221">
        <v>621.17999897152185</v>
      </c>
      <c r="D14221">
        <v>14</v>
      </c>
      <c r="E14221" s="80">
        <v>35860</v>
      </c>
    </row>
    <row r="14222" spans="1:5">
      <c r="A14222">
        <v>10932</v>
      </c>
      <c r="B14222" t="s">
        <v>176</v>
      </c>
      <c r="C14222">
        <v>621.17999897152185</v>
      </c>
      <c r="D14222">
        <v>14</v>
      </c>
      <c r="E14222" s="80">
        <v>35860</v>
      </c>
    </row>
    <row r="14223" spans="1:5">
      <c r="A14223">
        <v>10932</v>
      </c>
      <c r="B14223" t="s">
        <v>177</v>
      </c>
      <c r="C14223">
        <v>621.17999897152185</v>
      </c>
      <c r="D14223">
        <v>14</v>
      </c>
      <c r="E14223" s="80">
        <v>35860</v>
      </c>
    </row>
    <row r="14224" spans="1:5">
      <c r="A14224">
        <v>10932</v>
      </c>
      <c r="B14224" t="s">
        <v>178</v>
      </c>
      <c r="C14224">
        <v>621.17999897152185</v>
      </c>
      <c r="D14224">
        <v>14</v>
      </c>
      <c r="E14224" s="80">
        <v>35860</v>
      </c>
    </row>
    <row r="14225" spans="1:5">
      <c r="A14225">
        <v>10932</v>
      </c>
      <c r="B14225" t="s">
        <v>179</v>
      </c>
      <c r="C14225">
        <v>621.17999897152185</v>
      </c>
      <c r="D14225">
        <v>14</v>
      </c>
      <c r="E14225" s="80">
        <v>35860</v>
      </c>
    </row>
    <row r="14226" spans="1:5">
      <c r="A14226">
        <v>10932</v>
      </c>
      <c r="B14226" t="s">
        <v>172</v>
      </c>
      <c r="C14226">
        <v>556.79999999999995</v>
      </c>
      <c r="D14226">
        <v>16</v>
      </c>
      <c r="E14226" s="80">
        <v>35860</v>
      </c>
    </row>
    <row r="14227" spans="1:5">
      <c r="A14227">
        <v>10932</v>
      </c>
      <c r="B14227" t="s">
        <v>173</v>
      </c>
      <c r="C14227">
        <v>556.79999999999995</v>
      </c>
      <c r="D14227">
        <v>16</v>
      </c>
      <c r="E14227" s="80">
        <v>35860</v>
      </c>
    </row>
    <row r="14228" spans="1:5">
      <c r="A14228">
        <v>10932</v>
      </c>
      <c r="B14228" t="s">
        <v>174</v>
      </c>
      <c r="C14228">
        <v>556.79999999999995</v>
      </c>
      <c r="D14228">
        <v>16</v>
      </c>
      <c r="E14228" s="80">
        <v>35860</v>
      </c>
    </row>
    <row r="14229" spans="1:5">
      <c r="A14229">
        <v>10932</v>
      </c>
      <c r="B14229" t="s">
        <v>175</v>
      </c>
      <c r="C14229">
        <v>556.79999999999995</v>
      </c>
      <c r="D14229">
        <v>16</v>
      </c>
      <c r="E14229" s="80">
        <v>35860</v>
      </c>
    </row>
    <row r="14230" spans="1:5">
      <c r="A14230">
        <v>10932</v>
      </c>
      <c r="B14230" t="s">
        <v>176</v>
      </c>
      <c r="C14230">
        <v>556.79999999999995</v>
      </c>
      <c r="D14230">
        <v>16</v>
      </c>
      <c r="E14230" s="80">
        <v>35860</v>
      </c>
    </row>
    <row r="14231" spans="1:5">
      <c r="A14231">
        <v>10932</v>
      </c>
      <c r="B14231" t="s">
        <v>177</v>
      </c>
      <c r="C14231">
        <v>556.79999999999995</v>
      </c>
      <c r="D14231">
        <v>16</v>
      </c>
      <c r="E14231" s="80">
        <v>35860</v>
      </c>
    </row>
    <row r="14232" spans="1:5">
      <c r="A14232">
        <v>10932</v>
      </c>
      <c r="B14232" t="s">
        <v>178</v>
      </c>
      <c r="C14232">
        <v>556.79999999999995</v>
      </c>
      <c r="D14232">
        <v>16</v>
      </c>
      <c r="E14232" s="80">
        <v>35860</v>
      </c>
    </row>
    <row r="14233" spans="1:5">
      <c r="A14233">
        <v>10932</v>
      </c>
      <c r="B14233" t="s">
        <v>179</v>
      </c>
      <c r="C14233">
        <v>556.79999999999995</v>
      </c>
      <c r="D14233">
        <v>16</v>
      </c>
      <c r="E14233" s="80">
        <v>35860</v>
      </c>
    </row>
    <row r="14234" spans="1:5">
      <c r="A14234">
        <v>10932</v>
      </c>
      <c r="B14234" t="s">
        <v>172</v>
      </c>
      <c r="C14234">
        <v>139.499999769032</v>
      </c>
      <c r="D14234">
        <v>20</v>
      </c>
      <c r="E14234" s="80">
        <v>35860</v>
      </c>
    </row>
    <row r="14235" spans="1:5">
      <c r="A14235">
        <v>10932</v>
      </c>
      <c r="B14235" t="s">
        <v>173</v>
      </c>
      <c r="C14235">
        <v>139.499999769032</v>
      </c>
      <c r="D14235">
        <v>20</v>
      </c>
      <c r="E14235" s="80">
        <v>35860</v>
      </c>
    </row>
    <row r="14236" spans="1:5">
      <c r="A14236">
        <v>10932</v>
      </c>
      <c r="B14236" t="s">
        <v>174</v>
      </c>
      <c r="C14236">
        <v>139.499999769032</v>
      </c>
      <c r="D14236">
        <v>20</v>
      </c>
      <c r="E14236" s="80">
        <v>35860</v>
      </c>
    </row>
    <row r="14237" spans="1:5">
      <c r="A14237">
        <v>10932</v>
      </c>
      <c r="B14237" t="s">
        <v>175</v>
      </c>
      <c r="C14237">
        <v>139.499999769032</v>
      </c>
      <c r="D14237">
        <v>20</v>
      </c>
      <c r="E14237" s="80">
        <v>35860</v>
      </c>
    </row>
    <row r="14238" spans="1:5">
      <c r="A14238">
        <v>10932</v>
      </c>
      <c r="B14238" t="s">
        <v>176</v>
      </c>
      <c r="C14238">
        <v>139.499999769032</v>
      </c>
      <c r="D14238">
        <v>20</v>
      </c>
      <c r="E14238" s="80">
        <v>35860</v>
      </c>
    </row>
    <row r="14239" spans="1:5">
      <c r="A14239">
        <v>10932</v>
      </c>
      <c r="B14239" t="s">
        <v>177</v>
      </c>
      <c r="C14239">
        <v>139.499999769032</v>
      </c>
      <c r="D14239">
        <v>20</v>
      </c>
      <c r="E14239" s="80">
        <v>35860</v>
      </c>
    </row>
    <row r="14240" spans="1:5">
      <c r="A14240">
        <v>10932</v>
      </c>
      <c r="B14240" t="s">
        <v>178</v>
      </c>
      <c r="C14240">
        <v>139.499999769032</v>
      </c>
      <c r="D14240">
        <v>20</v>
      </c>
      <c r="E14240" s="80">
        <v>35860</v>
      </c>
    </row>
    <row r="14241" spans="1:5">
      <c r="A14241">
        <v>10932</v>
      </c>
      <c r="B14241" t="s">
        <v>179</v>
      </c>
      <c r="C14241">
        <v>139.499999769032</v>
      </c>
      <c r="D14241">
        <v>20</v>
      </c>
      <c r="E14241" s="80">
        <v>35860</v>
      </c>
    </row>
    <row r="14242" spans="1:5">
      <c r="A14242">
        <v>10933</v>
      </c>
      <c r="B14242" t="s">
        <v>172</v>
      </c>
      <c r="C14242">
        <v>65.599999999999994</v>
      </c>
      <c r="D14242">
        <v>2</v>
      </c>
      <c r="E14242" s="80">
        <v>35860</v>
      </c>
    </row>
    <row r="14243" spans="1:5">
      <c r="A14243">
        <v>10933</v>
      </c>
      <c r="B14243" t="s">
        <v>173</v>
      </c>
      <c r="C14243">
        <v>65.599999999999994</v>
      </c>
      <c r="D14243">
        <v>2</v>
      </c>
      <c r="E14243" s="80">
        <v>35860</v>
      </c>
    </row>
    <row r="14244" spans="1:5">
      <c r="A14244">
        <v>10933</v>
      </c>
      <c r="B14244" t="s">
        <v>174</v>
      </c>
      <c r="C14244">
        <v>65.599999999999994</v>
      </c>
      <c r="D14244">
        <v>2</v>
      </c>
      <c r="E14244" s="80">
        <v>35860</v>
      </c>
    </row>
    <row r="14245" spans="1:5">
      <c r="A14245">
        <v>10933</v>
      </c>
      <c r="B14245" t="s">
        <v>175</v>
      </c>
      <c r="C14245">
        <v>65.599999999999994</v>
      </c>
      <c r="D14245">
        <v>2</v>
      </c>
      <c r="E14245" s="80">
        <v>35860</v>
      </c>
    </row>
    <row r="14246" spans="1:5">
      <c r="A14246">
        <v>10933</v>
      </c>
      <c r="B14246" t="s">
        <v>176</v>
      </c>
      <c r="C14246">
        <v>65.599999999999994</v>
      </c>
      <c r="D14246">
        <v>2</v>
      </c>
      <c r="E14246" s="80">
        <v>35860</v>
      </c>
    </row>
    <row r="14247" spans="1:5">
      <c r="A14247">
        <v>10933</v>
      </c>
      <c r="B14247" t="s">
        <v>177</v>
      </c>
      <c r="C14247">
        <v>65.599999999999994</v>
      </c>
      <c r="D14247">
        <v>2</v>
      </c>
      <c r="E14247" s="80">
        <v>35860</v>
      </c>
    </row>
    <row r="14248" spans="1:5">
      <c r="A14248">
        <v>10933</v>
      </c>
      <c r="B14248" t="s">
        <v>178</v>
      </c>
      <c r="C14248">
        <v>65.599999999999994</v>
      </c>
      <c r="D14248">
        <v>2</v>
      </c>
      <c r="E14248" s="80">
        <v>35860</v>
      </c>
    </row>
    <row r="14249" spans="1:5">
      <c r="A14249">
        <v>10933</v>
      </c>
      <c r="B14249" t="s">
        <v>179</v>
      </c>
      <c r="C14249">
        <v>65.599999999999994</v>
      </c>
      <c r="D14249">
        <v>2</v>
      </c>
      <c r="E14249" s="80">
        <v>35860</v>
      </c>
    </row>
    <row r="14250" spans="1:5">
      <c r="A14250">
        <v>10933</v>
      </c>
      <c r="B14250" t="s">
        <v>172</v>
      </c>
      <c r="C14250">
        <v>855</v>
      </c>
      <c r="D14250">
        <v>30</v>
      </c>
      <c r="E14250" s="80">
        <v>35860</v>
      </c>
    </row>
    <row r="14251" spans="1:5">
      <c r="A14251">
        <v>10933</v>
      </c>
      <c r="B14251" t="s">
        <v>173</v>
      </c>
      <c r="C14251">
        <v>855</v>
      </c>
      <c r="D14251">
        <v>30</v>
      </c>
      <c r="E14251" s="80">
        <v>35860</v>
      </c>
    </row>
    <row r="14252" spans="1:5">
      <c r="A14252">
        <v>10933</v>
      </c>
      <c r="B14252" t="s">
        <v>174</v>
      </c>
      <c r="C14252">
        <v>855</v>
      </c>
      <c r="D14252">
        <v>30</v>
      </c>
      <c r="E14252" s="80">
        <v>35860</v>
      </c>
    </row>
    <row r="14253" spans="1:5">
      <c r="A14253">
        <v>10933</v>
      </c>
      <c r="B14253" t="s">
        <v>175</v>
      </c>
      <c r="C14253">
        <v>855</v>
      </c>
      <c r="D14253">
        <v>30</v>
      </c>
      <c r="E14253" s="80">
        <v>35860</v>
      </c>
    </row>
    <row r="14254" spans="1:5">
      <c r="A14254">
        <v>10933</v>
      </c>
      <c r="B14254" t="s">
        <v>176</v>
      </c>
      <c r="C14254">
        <v>855</v>
      </c>
      <c r="D14254">
        <v>30</v>
      </c>
      <c r="E14254" s="80">
        <v>35860</v>
      </c>
    </row>
    <row r="14255" spans="1:5">
      <c r="A14255">
        <v>10933</v>
      </c>
      <c r="B14255" t="s">
        <v>177</v>
      </c>
      <c r="C14255">
        <v>855</v>
      </c>
      <c r="D14255">
        <v>30</v>
      </c>
      <c r="E14255" s="80">
        <v>35860</v>
      </c>
    </row>
    <row r="14256" spans="1:5">
      <c r="A14256">
        <v>10933</v>
      </c>
      <c r="B14256" t="s">
        <v>178</v>
      </c>
      <c r="C14256">
        <v>855</v>
      </c>
      <c r="D14256">
        <v>30</v>
      </c>
      <c r="E14256" s="80">
        <v>35860</v>
      </c>
    </row>
    <row r="14257" spans="1:5">
      <c r="A14257">
        <v>10933</v>
      </c>
      <c r="B14257" t="s">
        <v>179</v>
      </c>
      <c r="C14257">
        <v>855</v>
      </c>
      <c r="D14257">
        <v>30</v>
      </c>
      <c r="E14257" s="80">
        <v>35860</v>
      </c>
    </row>
    <row r="14258" spans="1:5">
      <c r="A14258">
        <v>10934</v>
      </c>
      <c r="B14258" t="s">
        <v>172</v>
      </c>
      <c r="C14258">
        <v>500</v>
      </c>
      <c r="D14258">
        <v>20</v>
      </c>
      <c r="E14258" s="80">
        <v>35863</v>
      </c>
    </row>
    <row r="14259" spans="1:5">
      <c r="A14259">
        <v>10934</v>
      </c>
      <c r="B14259" t="s">
        <v>173</v>
      </c>
      <c r="C14259">
        <v>500</v>
      </c>
      <c r="D14259">
        <v>20</v>
      </c>
      <c r="E14259" s="80">
        <v>35863</v>
      </c>
    </row>
    <row r="14260" spans="1:5">
      <c r="A14260">
        <v>10934</v>
      </c>
      <c r="B14260" t="s">
        <v>174</v>
      </c>
      <c r="C14260">
        <v>500</v>
      </c>
      <c r="D14260">
        <v>20</v>
      </c>
      <c r="E14260" s="80">
        <v>35863</v>
      </c>
    </row>
    <row r="14261" spans="1:5">
      <c r="A14261">
        <v>10934</v>
      </c>
      <c r="B14261" t="s">
        <v>175</v>
      </c>
      <c r="C14261">
        <v>500</v>
      </c>
      <c r="D14261">
        <v>20</v>
      </c>
      <c r="E14261" s="80">
        <v>35863</v>
      </c>
    </row>
    <row r="14262" spans="1:5">
      <c r="A14262">
        <v>10934</v>
      </c>
      <c r="B14262" t="s">
        <v>176</v>
      </c>
      <c r="C14262">
        <v>500</v>
      </c>
      <c r="D14262">
        <v>20</v>
      </c>
      <c r="E14262" s="80">
        <v>35863</v>
      </c>
    </row>
    <row r="14263" spans="1:5">
      <c r="A14263">
        <v>10934</v>
      </c>
      <c r="B14263" t="s">
        <v>177</v>
      </c>
      <c r="C14263">
        <v>500</v>
      </c>
      <c r="D14263">
        <v>20</v>
      </c>
      <c r="E14263" s="80">
        <v>35863</v>
      </c>
    </row>
    <row r="14264" spans="1:5">
      <c r="A14264">
        <v>10934</v>
      </c>
      <c r="B14264" t="s">
        <v>178</v>
      </c>
      <c r="C14264">
        <v>500</v>
      </c>
      <c r="D14264">
        <v>20</v>
      </c>
      <c r="E14264" s="80">
        <v>35863</v>
      </c>
    </row>
    <row r="14265" spans="1:5">
      <c r="A14265">
        <v>10934</v>
      </c>
      <c r="B14265" t="s">
        <v>179</v>
      </c>
      <c r="C14265">
        <v>500</v>
      </c>
      <c r="D14265">
        <v>20</v>
      </c>
      <c r="E14265" s="80">
        <v>35863</v>
      </c>
    </row>
    <row r="14266" spans="1:5">
      <c r="A14266">
        <v>10935</v>
      </c>
      <c r="B14266" t="s">
        <v>172</v>
      </c>
      <c r="C14266">
        <v>378</v>
      </c>
      <c r="D14266">
        <v>21</v>
      </c>
      <c r="E14266" s="80">
        <v>35863</v>
      </c>
    </row>
    <row r="14267" spans="1:5">
      <c r="A14267">
        <v>10935</v>
      </c>
      <c r="B14267" t="s">
        <v>173</v>
      </c>
      <c r="C14267">
        <v>378</v>
      </c>
      <c r="D14267">
        <v>21</v>
      </c>
      <c r="E14267" s="80">
        <v>35863</v>
      </c>
    </row>
    <row r="14268" spans="1:5">
      <c r="A14268">
        <v>10935</v>
      </c>
      <c r="B14268" t="s">
        <v>174</v>
      </c>
      <c r="C14268">
        <v>378</v>
      </c>
      <c r="D14268">
        <v>21</v>
      </c>
      <c r="E14268" s="80">
        <v>35863</v>
      </c>
    </row>
    <row r="14269" spans="1:5">
      <c r="A14269">
        <v>10935</v>
      </c>
      <c r="B14269" t="s">
        <v>175</v>
      </c>
      <c r="C14269">
        <v>378</v>
      </c>
      <c r="D14269">
        <v>21</v>
      </c>
      <c r="E14269" s="80">
        <v>35863</v>
      </c>
    </row>
    <row r="14270" spans="1:5">
      <c r="A14270">
        <v>10935</v>
      </c>
      <c r="B14270" t="s">
        <v>176</v>
      </c>
      <c r="C14270">
        <v>378</v>
      </c>
      <c r="D14270">
        <v>21</v>
      </c>
      <c r="E14270" s="80">
        <v>35863</v>
      </c>
    </row>
    <row r="14271" spans="1:5">
      <c r="A14271">
        <v>10935</v>
      </c>
      <c r="B14271" t="s">
        <v>177</v>
      </c>
      <c r="C14271">
        <v>378</v>
      </c>
      <c r="D14271">
        <v>21</v>
      </c>
      <c r="E14271" s="80">
        <v>35863</v>
      </c>
    </row>
    <row r="14272" spans="1:5">
      <c r="A14272">
        <v>10935</v>
      </c>
      <c r="B14272" t="s">
        <v>178</v>
      </c>
      <c r="C14272">
        <v>378</v>
      </c>
      <c r="D14272">
        <v>21</v>
      </c>
      <c r="E14272" s="80">
        <v>35863</v>
      </c>
    </row>
    <row r="14273" spans="1:5">
      <c r="A14273">
        <v>10935</v>
      </c>
      <c r="B14273" t="s">
        <v>179</v>
      </c>
      <c r="C14273">
        <v>378</v>
      </c>
      <c r="D14273">
        <v>21</v>
      </c>
      <c r="E14273" s="80">
        <v>35863</v>
      </c>
    </row>
    <row r="14274" spans="1:5">
      <c r="A14274">
        <v>10935</v>
      </c>
      <c r="B14274" t="s">
        <v>172</v>
      </c>
      <c r="C14274">
        <v>187.5</v>
      </c>
      <c r="D14274">
        <v>4</v>
      </c>
      <c r="E14274" s="80">
        <v>35863</v>
      </c>
    </row>
    <row r="14275" spans="1:5">
      <c r="A14275">
        <v>10935</v>
      </c>
      <c r="B14275" t="s">
        <v>173</v>
      </c>
      <c r="C14275">
        <v>187.5</v>
      </c>
      <c r="D14275">
        <v>4</v>
      </c>
      <c r="E14275" s="80">
        <v>35863</v>
      </c>
    </row>
    <row r="14276" spans="1:5">
      <c r="A14276">
        <v>10935</v>
      </c>
      <c r="B14276" t="s">
        <v>174</v>
      </c>
      <c r="C14276">
        <v>187.5</v>
      </c>
      <c r="D14276">
        <v>4</v>
      </c>
      <c r="E14276" s="80">
        <v>35863</v>
      </c>
    </row>
    <row r="14277" spans="1:5">
      <c r="A14277">
        <v>10935</v>
      </c>
      <c r="B14277" t="s">
        <v>175</v>
      </c>
      <c r="C14277">
        <v>187.5</v>
      </c>
      <c r="D14277">
        <v>4</v>
      </c>
      <c r="E14277" s="80">
        <v>35863</v>
      </c>
    </row>
    <row r="14278" spans="1:5">
      <c r="A14278">
        <v>10935</v>
      </c>
      <c r="B14278" t="s">
        <v>176</v>
      </c>
      <c r="C14278">
        <v>187.5</v>
      </c>
      <c r="D14278">
        <v>4</v>
      </c>
      <c r="E14278" s="80">
        <v>35863</v>
      </c>
    </row>
    <row r="14279" spans="1:5">
      <c r="A14279">
        <v>10935</v>
      </c>
      <c r="B14279" t="s">
        <v>177</v>
      </c>
      <c r="C14279">
        <v>187.5</v>
      </c>
      <c r="D14279">
        <v>4</v>
      </c>
      <c r="E14279" s="80">
        <v>35863</v>
      </c>
    </row>
    <row r="14280" spans="1:5">
      <c r="A14280">
        <v>10935</v>
      </c>
      <c r="B14280" t="s">
        <v>178</v>
      </c>
      <c r="C14280">
        <v>187.5</v>
      </c>
      <c r="D14280">
        <v>4</v>
      </c>
      <c r="E14280" s="80">
        <v>35863</v>
      </c>
    </row>
    <row r="14281" spans="1:5">
      <c r="A14281">
        <v>10935</v>
      </c>
      <c r="B14281" t="s">
        <v>179</v>
      </c>
      <c r="C14281">
        <v>187.5</v>
      </c>
      <c r="D14281">
        <v>4</v>
      </c>
      <c r="E14281" s="80">
        <v>35863</v>
      </c>
    </row>
    <row r="14282" spans="1:5">
      <c r="A14282">
        <v>10935</v>
      </c>
      <c r="B14282" t="s">
        <v>172</v>
      </c>
      <c r="C14282">
        <v>54</v>
      </c>
      <c r="D14282">
        <v>8</v>
      </c>
      <c r="E14282" s="80">
        <v>35863</v>
      </c>
    </row>
    <row r="14283" spans="1:5">
      <c r="A14283">
        <v>10935</v>
      </c>
      <c r="B14283" t="s">
        <v>173</v>
      </c>
      <c r="C14283">
        <v>54</v>
      </c>
      <c r="D14283">
        <v>8</v>
      </c>
      <c r="E14283" s="80">
        <v>35863</v>
      </c>
    </row>
    <row r="14284" spans="1:5">
      <c r="A14284">
        <v>10935</v>
      </c>
      <c r="B14284" t="s">
        <v>174</v>
      </c>
      <c r="C14284">
        <v>54</v>
      </c>
      <c r="D14284">
        <v>8</v>
      </c>
      <c r="E14284" s="80">
        <v>35863</v>
      </c>
    </row>
    <row r="14285" spans="1:5">
      <c r="A14285">
        <v>10935</v>
      </c>
      <c r="B14285" t="s">
        <v>175</v>
      </c>
      <c r="C14285">
        <v>54</v>
      </c>
      <c r="D14285">
        <v>8</v>
      </c>
      <c r="E14285" s="80">
        <v>35863</v>
      </c>
    </row>
    <row r="14286" spans="1:5">
      <c r="A14286">
        <v>10935</v>
      </c>
      <c r="B14286" t="s">
        <v>176</v>
      </c>
      <c r="C14286">
        <v>54</v>
      </c>
      <c r="D14286">
        <v>8</v>
      </c>
      <c r="E14286" s="80">
        <v>35863</v>
      </c>
    </row>
    <row r="14287" spans="1:5">
      <c r="A14287">
        <v>10935</v>
      </c>
      <c r="B14287" t="s">
        <v>177</v>
      </c>
      <c r="C14287">
        <v>54</v>
      </c>
      <c r="D14287">
        <v>8</v>
      </c>
      <c r="E14287" s="80">
        <v>35863</v>
      </c>
    </row>
    <row r="14288" spans="1:5">
      <c r="A14288">
        <v>10935</v>
      </c>
      <c r="B14288" t="s">
        <v>178</v>
      </c>
      <c r="C14288">
        <v>54</v>
      </c>
      <c r="D14288">
        <v>8</v>
      </c>
      <c r="E14288" s="80">
        <v>35863</v>
      </c>
    </row>
    <row r="14289" spans="1:5">
      <c r="A14289">
        <v>10935</v>
      </c>
      <c r="B14289" t="s">
        <v>179</v>
      </c>
      <c r="C14289">
        <v>54</v>
      </c>
      <c r="D14289">
        <v>8</v>
      </c>
      <c r="E14289" s="80">
        <v>35863</v>
      </c>
    </row>
    <row r="14290" spans="1:5">
      <c r="A14290">
        <v>10936</v>
      </c>
      <c r="B14290" t="s">
        <v>172</v>
      </c>
      <c r="C14290">
        <v>455.99999830126762</v>
      </c>
      <c r="D14290">
        <v>30</v>
      </c>
      <c r="E14290" s="80">
        <v>35863</v>
      </c>
    </row>
    <row r="14291" spans="1:5">
      <c r="A14291">
        <v>10936</v>
      </c>
      <c r="B14291" t="s">
        <v>173</v>
      </c>
      <c r="C14291">
        <v>455.99999830126762</v>
      </c>
      <c r="D14291">
        <v>30</v>
      </c>
      <c r="E14291" s="80">
        <v>35863</v>
      </c>
    </row>
    <row r="14292" spans="1:5">
      <c r="A14292">
        <v>10936</v>
      </c>
      <c r="B14292" t="s">
        <v>174</v>
      </c>
      <c r="C14292">
        <v>455.99999830126762</v>
      </c>
      <c r="D14292">
        <v>30</v>
      </c>
      <c r="E14292" s="80">
        <v>35863</v>
      </c>
    </row>
    <row r="14293" spans="1:5">
      <c r="A14293">
        <v>10936</v>
      </c>
      <c r="B14293" t="s">
        <v>175</v>
      </c>
      <c r="C14293">
        <v>455.99999830126762</v>
      </c>
      <c r="D14293">
        <v>30</v>
      </c>
      <c r="E14293" s="80">
        <v>35863</v>
      </c>
    </row>
    <row r="14294" spans="1:5">
      <c r="A14294">
        <v>10936</v>
      </c>
      <c r="B14294" t="s">
        <v>176</v>
      </c>
      <c r="C14294">
        <v>455.99999830126762</v>
      </c>
      <c r="D14294">
        <v>30</v>
      </c>
      <c r="E14294" s="80">
        <v>35863</v>
      </c>
    </row>
    <row r="14295" spans="1:5">
      <c r="A14295">
        <v>10936</v>
      </c>
      <c r="B14295" t="s">
        <v>177</v>
      </c>
      <c r="C14295">
        <v>455.99999830126762</v>
      </c>
      <c r="D14295">
        <v>30</v>
      </c>
      <c r="E14295" s="80">
        <v>35863</v>
      </c>
    </row>
    <row r="14296" spans="1:5">
      <c r="A14296">
        <v>10936</v>
      </c>
      <c r="B14296" t="s">
        <v>178</v>
      </c>
      <c r="C14296">
        <v>455.99999830126762</v>
      </c>
      <c r="D14296">
        <v>30</v>
      </c>
      <c r="E14296" s="80">
        <v>35863</v>
      </c>
    </row>
    <row r="14297" spans="1:5">
      <c r="A14297">
        <v>10936</v>
      </c>
      <c r="B14297" t="s">
        <v>179</v>
      </c>
      <c r="C14297">
        <v>455.99999830126762</v>
      </c>
      <c r="D14297">
        <v>30</v>
      </c>
      <c r="E14297" s="80">
        <v>35863</v>
      </c>
    </row>
    <row r="14298" spans="1:5">
      <c r="A14298">
        <v>10937</v>
      </c>
      <c r="B14298" t="s">
        <v>172</v>
      </c>
      <c r="C14298">
        <v>364.8</v>
      </c>
      <c r="D14298">
        <v>8</v>
      </c>
      <c r="E14298" s="80">
        <v>35864</v>
      </c>
    </row>
    <row r="14299" spans="1:5">
      <c r="A14299">
        <v>10937</v>
      </c>
      <c r="B14299" t="s">
        <v>173</v>
      </c>
      <c r="C14299">
        <v>364.8</v>
      </c>
      <c r="D14299">
        <v>8</v>
      </c>
      <c r="E14299" s="80">
        <v>35864</v>
      </c>
    </row>
    <row r="14300" spans="1:5">
      <c r="A14300">
        <v>10937</v>
      </c>
      <c r="B14300" t="s">
        <v>174</v>
      </c>
      <c r="C14300">
        <v>364.8</v>
      </c>
      <c r="D14300">
        <v>8</v>
      </c>
      <c r="E14300" s="80">
        <v>35864</v>
      </c>
    </row>
    <row r="14301" spans="1:5">
      <c r="A14301">
        <v>10937</v>
      </c>
      <c r="B14301" t="s">
        <v>175</v>
      </c>
      <c r="C14301">
        <v>364.8</v>
      </c>
      <c r="D14301">
        <v>8</v>
      </c>
      <c r="E14301" s="80">
        <v>35864</v>
      </c>
    </row>
    <row r="14302" spans="1:5">
      <c r="A14302">
        <v>10937</v>
      </c>
      <c r="B14302" t="s">
        <v>176</v>
      </c>
      <c r="C14302">
        <v>364.8</v>
      </c>
      <c r="D14302">
        <v>8</v>
      </c>
      <c r="E14302" s="80">
        <v>35864</v>
      </c>
    </row>
    <row r="14303" spans="1:5">
      <c r="A14303">
        <v>10937</v>
      </c>
      <c r="B14303" t="s">
        <v>177</v>
      </c>
      <c r="C14303">
        <v>364.8</v>
      </c>
      <c r="D14303">
        <v>8</v>
      </c>
      <c r="E14303" s="80">
        <v>35864</v>
      </c>
    </row>
    <row r="14304" spans="1:5">
      <c r="A14304">
        <v>10937</v>
      </c>
      <c r="B14304" t="s">
        <v>178</v>
      </c>
      <c r="C14304">
        <v>364.8</v>
      </c>
      <c r="D14304">
        <v>8</v>
      </c>
      <c r="E14304" s="80">
        <v>35864</v>
      </c>
    </row>
    <row r="14305" spans="1:5">
      <c r="A14305">
        <v>10937</v>
      </c>
      <c r="B14305" t="s">
        <v>179</v>
      </c>
      <c r="C14305">
        <v>364.8</v>
      </c>
      <c r="D14305">
        <v>8</v>
      </c>
      <c r="E14305" s="80">
        <v>35864</v>
      </c>
    </row>
    <row r="14306" spans="1:5">
      <c r="A14306">
        <v>10937</v>
      </c>
      <c r="B14306" t="s">
        <v>172</v>
      </c>
      <c r="C14306">
        <v>280</v>
      </c>
      <c r="D14306">
        <v>20</v>
      </c>
      <c r="E14306" s="80">
        <v>35864</v>
      </c>
    </row>
    <row r="14307" spans="1:5">
      <c r="A14307">
        <v>10937</v>
      </c>
      <c r="B14307" t="s">
        <v>173</v>
      </c>
      <c r="C14307">
        <v>280</v>
      </c>
      <c r="D14307">
        <v>20</v>
      </c>
      <c r="E14307" s="80">
        <v>35864</v>
      </c>
    </row>
    <row r="14308" spans="1:5">
      <c r="A14308">
        <v>10937</v>
      </c>
      <c r="B14308" t="s">
        <v>174</v>
      </c>
      <c r="C14308">
        <v>280</v>
      </c>
      <c r="D14308">
        <v>20</v>
      </c>
      <c r="E14308" s="80">
        <v>35864</v>
      </c>
    </row>
    <row r="14309" spans="1:5">
      <c r="A14309">
        <v>10937</v>
      </c>
      <c r="B14309" t="s">
        <v>175</v>
      </c>
      <c r="C14309">
        <v>280</v>
      </c>
      <c r="D14309">
        <v>20</v>
      </c>
      <c r="E14309" s="80">
        <v>35864</v>
      </c>
    </row>
    <row r="14310" spans="1:5">
      <c r="A14310">
        <v>10937</v>
      </c>
      <c r="B14310" t="s">
        <v>176</v>
      </c>
      <c r="C14310">
        <v>280</v>
      </c>
      <c r="D14310">
        <v>20</v>
      </c>
      <c r="E14310" s="80">
        <v>35864</v>
      </c>
    </row>
    <row r="14311" spans="1:5">
      <c r="A14311">
        <v>10937</v>
      </c>
      <c r="B14311" t="s">
        <v>177</v>
      </c>
      <c r="C14311">
        <v>280</v>
      </c>
      <c r="D14311">
        <v>20</v>
      </c>
      <c r="E14311" s="80">
        <v>35864</v>
      </c>
    </row>
    <row r="14312" spans="1:5">
      <c r="A14312">
        <v>10937</v>
      </c>
      <c r="B14312" t="s">
        <v>178</v>
      </c>
      <c r="C14312">
        <v>280</v>
      </c>
      <c r="D14312">
        <v>20</v>
      </c>
      <c r="E14312" s="80">
        <v>35864</v>
      </c>
    </row>
    <row r="14313" spans="1:5">
      <c r="A14313">
        <v>10937</v>
      </c>
      <c r="B14313" t="s">
        <v>179</v>
      </c>
      <c r="C14313">
        <v>280</v>
      </c>
      <c r="D14313">
        <v>20</v>
      </c>
      <c r="E14313" s="80">
        <v>35864</v>
      </c>
    </row>
    <row r="14314" spans="1:5">
      <c r="A14314">
        <v>10938</v>
      </c>
      <c r="B14314" t="s">
        <v>172</v>
      </c>
      <c r="C14314">
        <v>90</v>
      </c>
      <c r="D14314">
        <v>20</v>
      </c>
      <c r="E14314" s="80">
        <v>35864</v>
      </c>
    </row>
    <row r="14315" spans="1:5">
      <c r="A14315">
        <v>10938</v>
      </c>
      <c r="B14315" t="s">
        <v>173</v>
      </c>
      <c r="C14315">
        <v>90</v>
      </c>
      <c r="D14315">
        <v>20</v>
      </c>
      <c r="E14315" s="80">
        <v>35864</v>
      </c>
    </row>
    <row r="14316" spans="1:5">
      <c r="A14316">
        <v>10938</v>
      </c>
      <c r="B14316" t="s">
        <v>174</v>
      </c>
      <c r="C14316">
        <v>90</v>
      </c>
      <c r="D14316">
        <v>20</v>
      </c>
      <c r="E14316" s="80">
        <v>35864</v>
      </c>
    </row>
    <row r="14317" spans="1:5">
      <c r="A14317">
        <v>10938</v>
      </c>
      <c r="B14317" t="s">
        <v>175</v>
      </c>
      <c r="C14317">
        <v>90</v>
      </c>
      <c r="D14317">
        <v>20</v>
      </c>
      <c r="E14317" s="80">
        <v>35864</v>
      </c>
    </row>
    <row r="14318" spans="1:5">
      <c r="A14318">
        <v>10938</v>
      </c>
      <c r="B14318" t="s">
        <v>176</v>
      </c>
      <c r="C14318">
        <v>90</v>
      </c>
      <c r="D14318">
        <v>20</v>
      </c>
      <c r="E14318" s="80">
        <v>35864</v>
      </c>
    </row>
    <row r="14319" spans="1:5">
      <c r="A14319">
        <v>10938</v>
      </c>
      <c r="B14319" t="s">
        <v>177</v>
      </c>
      <c r="C14319">
        <v>90</v>
      </c>
      <c r="D14319">
        <v>20</v>
      </c>
      <c r="E14319" s="80">
        <v>35864</v>
      </c>
    </row>
    <row r="14320" spans="1:5">
      <c r="A14320">
        <v>10938</v>
      </c>
      <c r="B14320" t="s">
        <v>178</v>
      </c>
      <c r="C14320">
        <v>90</v>
      </c>
      <c r="D14320">
        <v>20</v>
      </c>
      <c r="E14320" s="80">
        <v>35864</v>
      </c>
    </row>
    <row r="14321" spans="1:5">
      <c r="A14321">
        <v>10938</v>
      </c>
      <c r="B14321" t="s">
        <v>179</v>
      </c>
      <c r="C14321">
        <v>90</v>
      </c>
      <c r="D14321">
        <v>20</v>
      </c>
      <c r="E14321" s="80">
        <v>35864</v>
      </c>
    </row>
    <row r="14322" spans="1:5">
      <c r="A14322">
        <v>10938</v>
      </c>
      <c r="B14322" t="s">
        <v>172</v>
      </c>
      <c r="C14322">
        <v>828</v>
      </c>
      <c r="D14322">
        <v>24</v>
      </c>
      <c r="E14322" s="80">
        <v>35864</v>
      </c>
    </row>
    <row r="14323" spans="1:5">
      <c r="A14323">
        <v>10938</v>
      </c>
      <c r="B14323" t="s">
        <v>173</v>
      </c>
      <c r="C14323">
        <v>828</v>
      </c>
      <c r="D14323">
        <v>24</v>
      </c>
      <c r="E14323" s="80">
        <v>35864</v>
      </c>
    </row>
    <row r="14324" spans="1:5">
      <c r="A14324">
        <v>10938</v>
      </c>
      <c r="B14324" t="s">
        <v>174</v>
      </c>
      <c r="C14324">
        <v>828</v>
      </c>
      <c r="D14324">
        <v>24</v>
      </c>
      <c r="E14324" s="80">
        <v>35864</v>
      </c>
    </row>
    <row r="14325" spans="1:5">
      <c r="A14325">
        <v>10938</v>
      </c>
      <c r="B14325" t="s">
        <v>175</v>
      </c>
      <c r="C14325">
        <v>828</v>
      </c>
      <c r="D14325">
        <v>24</v>
      </c>
      <c r="E14325" s="80">
        <v>35864</v>
      </c>
    </row>
    <row r="14326" spans="1:5">
      <c r="A14326">
        <v>10938</v>
      </c>
      <c r="B14326" t="s">
        <v>176</v>
      </c>
      <c r="C14326">
        <v>828</v>
      </c>
      <c r="D14326">
        <v>24</v>
      </c>
      <c r="E14326" s="80">
        <v>35864</v>
      </c>
    </row>
    <row r="14327" spans="1:5">
      <c r="A14327">
        <v>10938</v>
      </c>
      <c r="B14327" t="s">
        <v>177</v>
      </c>
      <c r="C14327">
        <v>828</v>
      </c>
      <c r="D14327">
        <v>24</v>
      </c>
      <c r="E14327" s="80">
        <v>35864</v>
      </c>
    </row>
    <row r="14328" spans="1:5">
      <c r="A14328">
        <v>10938</v>
      </c>
      <c r="B14328" t="s">
        <v>178</v>
      </c>
      <c r="C14328">
        <v>828</v>
      </c>
      <c r="D14328">
        <v>24</v>
      </c>
      <c r="E14328" s="80">
        <v>35864</v>
      </c>
    </row>
    <row r="14329" spans="1:5">
      <c r="A14329">
        <v>10938</v>
      </c>
      <c r="B14329" t="s">
        <v>179</v>
      </c>
      <c r="C14329">
        <v>828</v>
      </c>
      <c r="D14329">
        <v>24</v>
      </c>
      <c r="E14329" s="80">
        <v>35864</v>
      </c>
    </row>
    <row r="14330" spans="1:5">
      <c r="A14330">
        <v>10938</v>
      </c>
      <c r="B14330" t="s">
        <v>172</v>
      </c>
      <c r="C14330">
        <v>1249.5</v>
      </c>
      <c r="D14330">
        <v>49</v>
      </c>
      <c r="E14330" s="80">
        <v>35864</v>
      </c>
    </row>
    <row r="14331" spans="1:5">
      <c r="A14331">
        <v>10938</v>
      </c>
      <c r="B14331" t="s">
        <v>173</v>
      </c>
      <c r="C14331">
        <v>1249.5</v>
      </c>
      <c r="D14331">
        <v>49</v>
      </c>
      <c r="E14331" s="80">
        <v>35864</v>
      </c>
    </row>
    <row r="14332" spans="1:5">
      <c r="A14332">
        <v>10938</v>
      </c>
      <c r="B14332" t="s">
        <v>174</v>
      </c>
      <c r="C14332">
        <v>1249.5</v>
      </c>
      <c r="D14332">
        <v>49</v>
      </c>
      <c r="E14332" s="80">
        <v>35864</v>
      </c>
    </row>
    <row r="14333" spans="1:5">
      <c r="A14333">
        <v>10938</v>
      </c>
      <c r="B14333" t="s">
        <v>175</v>
      </c>
      <c r="C14333">
        <v>1249.5</v>
      </c>
      <c r="D14333">
        <v>49</v>
      </c>
      <c r="E14333" s="80">
        <v>35864</v>
      </c>
    </row>
    <row r="14334" spans="1:5">
      <c r="A14334">
        <v>10938</v>
      </c>
      <c r="B14334" t="s">
        <v>176</v>
      </c>
      <c r="C14334">
        <v>1249.5</v>
      </c>
      <c r="D14334">
        <v>49</v>
      </c>
      <c r="E14334" s="80">
        <v>35864</v>
      </c>
    </row>
    <row r="14335" spans="1:5">
      <c r="A14335">
        <v>10938</v>
      </c>
      <c r="B14335" t="s">
        <v>177</v>
      </c>
      <c r="C14335">
        <v>1249.5</v>
      </c>
      <c r="D14335">
        <v>49</v>
      </c>
      <c r="E14335" s="80">
        <v>35864</v>
      </c>
    </row>
    <row r="14336" spans="1:5">
      <c r="A14336">
        <v>10938</v>
      </c>
      <c r="B14336" t="s">
        <v>178</v>
      </c>
      <c r="C14336">
        <v>1249.5</v>
      </c>
      <c r="D14336">
        <v>49</v>
      </c>
      <c r="E14336" s="80">
        <v>35864</v>
      </c>
    </row>
    <row r="14337" spans="1:5">
      <c r="A14337">
        <v>10938</v>
      </c>
      <c r="B14337" t="s">
        <v>179</v>
      </c>
      <c r="C14337">
        <v>1249.5</v>
      </c>
      <c r="D14337">
        <v>49</v>
      </c>
      <c r="E14337" s="80">
        <v>35864</v>
      </c>
    </row>
    <row r="14338" spans="1:5">
      <c r="A14338">
        <v>10938</v>
      </c>
      <c r="B14338" t="s">
        <v>172</v>
      </c>
      <c r="C14338">
        <v>564.375</v>
      </c>
      <c r="D14338">
        <v>35</v>
      </c>
      <c r="E14338" s="80">
        <v>35864</v>
      </c>
    </row>
    <row r="14339" spans="1:5">
      <c r="A14339">
        <v>10938</v>
      </c>
      <c r="B14339" t="s">
        <v>173</v>
      </c>
      <c r="C14339">
        <v>564.375</v>
      </c>
      <c r="D14339">
        <v>35</v>
      </c>
      <c r="E14339" s="80">
        <v>35864</v>
      </c>
    </row>
    <row r="14340" spans="1:5">
      <c r="A14340">
        <v>10938</v>
      </c>
      <c r="B14340" t="s">
        <v>174</v>
      </c>
      <c r="C14340">
        <v>564.375</v>
      </c>
      <c r="D14340">
        <v>35</v>
      </c>
      <c r="E14340" s="80">
        <v>35864</v>
      </c>
    </row>
    <row r="14341" spans="1:5">
      <c r="A14341">
        <v>10938</v>
      </c>
      <c r="B14341" t="s">
        <v>175</v>
      </c>
      <c r="C14341">
        <v>564.375</v>
      </c>
      <c r="D14341">
        <v>35</v>
      </c>
      <c r="E14341" s="80">
        <v>35864</v>
      </c>
    </row>
    <row r="14342" spans="1:5">
      <c r="A14342">
        <v>10938</v>
      </c>
      <c r="B14342" t="s">
        <v>176</v>
      </c>
      <c r="C14342">
        <v>564.375</v>
      </c>
      <c r="D14342">
        <v>35</v>
      </c>
      <c r="E14342" s="80">
        <v>35864</v>
      </c>
    </row>
    <row r="14343" spans="1:5">
      <c r="A14343">
        <v>10938</v>
      </c>
      <c r="B14343" t="s">
        <v>177</v>
      </c>
      <c r="C14343">
        <v>564.375</v>
      </c>
      <c r="D14343">
        <v>35</v>
      </c>
      <c r="E14343" s="80">
        <v>35864</v>
      </c>
    </row>
    <row r="14344" spans="1:5">
      <c r="A14344">
        <v>10938</v>
      </c>
      <c r="B14344" t="s">
        <v>178</v>
      </c>
      <c r="C14344">
        <v>564.375</v>
      </c>
      <c r="D14344">
        <v>35</v>
      </c>
      <c r="E14344" s="80">
        <v>35864</v>
      </c>
    </row>
    <row r="14345" spans="1:5">
      <c r="A14345">
        <v>10938</v>
      </c>
      <c r="B14345" t="s">
        <v>179</v>
      </c>
      <c r="C14345">
        <v>564.375</v>
      </c>
      <c r="D14345">
        <v>35</v>
      </c>
      <c r="E14345" s="80">
        <v>35864</v>
      </c>
    </row>
    <row r="14346" spans="1:5">
      <c r="A14346">
        <v>10939</v>
      </c>
      <c r="B14346" t="s">
        <v>172</v>
      </c>
      <c r="C14346">
        <v>161.49999886751175</v>
      </c>
      <c r="D14346">
        <v>10</v>
      </c>
      <c r="E14346" s="80">
        <v>35864</v>
      </c>
    </row>
    <row r="14347" spans="1:5">
      <c r="A14347">
        <v>10939</v>
      </c>
      <c r="B14347" t="s">
        <v>173</v>
      </c>
      <c r="C14347">
        <v>161.49999886751175</v>
      </c>
      <c r="D14347">
        <v>10</v>
      </c>
      <c r="E14347" s="80">
        <v>35864</v>
      </c>
    </row>
    <row r="14348" spans="1:5">
      <c r="A14348">
        <v>10939</v>
      </c>
      <c r="B14348" t="s">
        <v>174</v>
      </c>
      <c r="C14348">
        <v>161.49999886751175</v>
      </c>
      <c r="D14348">
        <v>10</v>
      </c>
      <c r="E14348" s="80">
        <v>35864</v>
      </c>
    </row>
    <row r="14349" spans="1:5">
      <c r="A14349">
        <v>10939</v>
      </c>
      <c r="B14349" t="s">
        <v>175</v>
      </c>
      <c r="C14349">
        <v>161.49999886751175</v>
      </c>
      <c r="D14349">
        <v>10</v>
      </c>
      <c r="E14349" s="80">
        <v>35864</v>
      </c>
    </row>
    <row r="14350" spans="1:5">
      <c r="A14350">
        <v>10939</v>
      </c>
      <c r="B14350" t="s">
        <v>176</v>
      </c>
      <c r="C14350">
        <v>161.49999886751175</v>
      </c>
      <c r="D14350">
        <v>10</v>
      </c>
      <c r="E14350" s="80">
        <v>35864</v>
      </c>
    </row>
    <row r="14351" spans="1:5">
      <c r="A14351">
        <v>10939</v>
      </c>
      <c r="B14351" t="s">
        <v>177</v>
      </c>
      <c r="C14351">
        <v>161.49999886751175</v>
      </c>
      <c r="D14351">
        <v>10</v>
      </c>
      <c r="E14351" s="80">
        <v>35864</v>
      </c>
    </row>
    <row r="14352" spans="1:5">
      <c r="A14352">
        <v>10939</v>
      </c>
      <c r="B14352" t="s">
        <v>178</v>
      </c>
      <c r="C14352">
        <v>161.49999886751175</v>
      </c>
      <c r="D14352">
        <v>10</v>
      </c>
      <c r="E14352" s="80">
        <v>35864</v>
      </c>
    </row>
    <row r="14353" spans="1:5">
      <c r="A14353">
        <v>10939</v>
      </c>
      <c r="B14353" t="s">
        <v>179</v>
      </c>
      <c r="C14353">
        <v>161.49999886751175</v>
      </c>
      <c r="D14353">
        <v>10</v>
      </c>
      <c r="E14353" s="80">
        <v>35864</v>
      </c>
    </row>
    <row r="14354" spans="1:5">
      <c r="A14354">
        <v>10939</v>
      </c>
      <c r="B14354" t="s">
        <v>172</v>
      </c>
      <c r="C14354">
        <v>475.99999666213989</v>
      </c>
      <c r="D14354">
        <v>40</v>
      </c>
      <c r="E14354" s="80">
        <v>35864</v>
      </c>
    </row>
    <row r="14355" spans="1:5">
      <c r="A14355">
        <v>10939</v>
      </c>
      <c r="B14355" t="s">
        <v>173</v>
      </c>
      <c r="C14355">
        <v>475.99999666213989</v>
      </c>
      <c r="D14355">
        <v>40</v>
      </c>
      <c r="E14355" s="80">
        <v>35864</v>
      </c>
    </row>
    <row r="14356" spans="1:5">
      <c r="A14356">
        <v>10939</v>
      </c>
      <c r="B14356" t="s">
        <v>174</v>
      </c>
      <c r="C14356">
        <v>475.99999666213989</v>
      </c>
      <c r="D14356">
        <v>40</v>
      </c>
      <c r="E14356" s="80">
        <v>35864</v>
      </c>
    </row>
    <row r="14357" spans="1:5">
      <c r="A14357">
        <v>10939</v>
      </c>
      <c r="B14357" t="s">
        <v>175</v>
      </c>
      <c r="C14357">
        <v>475.99999666213989</v>
      </c>
      <c r="D14357">
        <v>40</v>
      </c>
      <c r="E14357" s="80">
        <v>35864</v>
      </c>
    </row>
    <row r="14358" spans="1:5">
      <c r="A14358">
        <v>10939</v>
      </c>
      <c r="B14358" t="s">
        <v>176</v>
      </c>
      <c r="C14358">
        <v>475.99999666213989</v>
      </c>
      <c r="D14358">
        <v>40</v>
      </c>
      <c r="E14358" s="80">
        <v>35864</v>
      </c>
    </row>
    <row r="14359" spans="1:5">
      <c r="A14359">
        <v>10939</v>
      </c>
      <c r="B14359" t="s">
        <v>177</v>
      </c>
      <c r="C14359">
        <v>475.99999666213989</v>
      </c>
      <c r="D14359">
        <v>40</v>
      </c>
      <c r="E14359" s="80">
        <v>35864</v>
      </c>
    </row>
    <row r="14360" spans="1:5">
      <c r="A14360">
        <v>10939</v>
      </c>
      <c r="B14360" t="s">
        <v>178</v>
      </c>
      <c r="C14360">
        <v>475.99999666213989</v>
      </c>
      <c r="D14360">
        <v>40</v>
      </c>
      <c r="E14360" s="80">
        <v>35864</v>
      </c>
    </row>
    <row r="14361" spans="1:5">
      <c r="A14361">
        <v>10939</v>
      </c>
      <c r="B14361" t="s">
        <v>179</v>
      </c>
      <c r="C14361">
        <v>475.99999666213989</v>
      </c>
      <c r="D14361">
        <v>40</v>
      </c>
      <c r="E14361" s="80">
        <v>35864</v>
      </c>
    </row>
    <row r="14362" spans="1:5">
      <c r="A14362">
        <v>10940</v>
      </c>
      <c r="B14362" t="s">
        <v>172</v>
      </c>
      <c r="C14362">
        <v>240</v>
      </c>
      <c r="D14362">
        <v>8</v>
      </c>
      <c r="E14362" s="80">
        <v>35865</v>
      </c>
    </row>
    <row r="14363" spans="1:5">
      <c r="A14363">
        <v>10940</v>
      </c>
      <c r="B14363" t="s">
        <v>173</v>
      </c>
      <c r="C14363">
        <v>240</v>
      </c>
      <c r="D14363">
        <v>8</v>
      </c>
      <c r="E14363" s="80">
        <v>35865</v>
      </c>
    </row>
    <row r="14364" spans="1:5">
      <c r="A14364">
        <v>10940</v>
      </c>
      <c r="B14364" t="s">
        <v>174</v>
      </c>
      <c r="C14364">
        <v>240</v>
      </c>
      <c r="D14364">
        <v>8</v>
      </c>
      <c r="E14364" s="80">
        <v>35865</v>
      </c>
    </row>
    <row r="14365" spans="1:5">
      <c r="A14365">
        <v>10940</v>
      </c>
      <c r="B14365" t="s">
        <v>175</v>
      </c>
      <c r="C14365">
        <v>240</v>
      </c>
      <c r="D14365">
        <v>8</v>
      </c>
      <c r="E14365" s="80">
        <v>35865</v>
      </c>
    </row>
    <row r="14366" spans="1:5">
      <c r="A14366">
        <v>10940</v>
      </c>
      <c r="B14366" t="s">
        <v>176</v>
      </c>
      <c r="C14366">
        <v>240</v>
      </c>
      <c r="D14366">
        <v>8</v>
      </c>
      <c r="E14366" s="80">
        <v>35865</v>
      </c>
    </row>
    <row r="14367" spans="1:5">
      <c r="A14367">
        <v>10940</v>
      </c>
      <c r="B14367" t="s">
        <v>177</v>
      </c>
      <c r="C14367">
        <v>240</v>
      </c>
      <c r="D14367">
        <v>8</v>
      </c>
      <c r="E14367" s="80">
        <v>35865</v>
      </c>
    </row>
    <row r="14368" spans="1:5">
      <c r="A14368">
        <v>10940</v>
      </c>
      <c r="B14368" t="s">
        <v>178</v>
      </c>
      <c r="C14368">
        <v>240</v>
      </c>
      <c r="D14368">
        <v>8</v>
      </c>
      <c r="E14368" s="80">
        <v>35865</v>
      </c>
    </row>
    <row r="14369" spans="1:5">
      <c r="A14369">
        <v>10940</v>
      </c>
      <c r="B14369" t="s">
        <v>179</v>
      </c>
      <c r="C14369">
        <v>240</v>
      </c>
      <c r="D14369">
        <v>8</v>
      </c>
      <c r="E14369" s="80">
        <v>35865</v>
      </c>
    </row>
    <row r="14370" spans="1:5">
      <c r="A14370">
        <v>10940</v>
      </c>
      <c r="B14370" t="s">
        <v>172</v>
      </c>
      <c r="C14370">
        <v>120</v>
      </c>
      <c r="D14370">
        <v>20</v>
      </c>
      <c r="E14370" s="80">
        <v>35865</v>
      </c>
    </row>
    <row r="14371" spans="1:5">
      <c r="A14371">
        <v>10940</v>
      </c>
      <c r="B14371" t="s">
        <v>173</v>
      </c>
      <c r="C14371">
        <v>120</v>
      </c>
      <c r="D14371">
        <v>20</v>
      </c>
      <c r="E14371" s="80">
        <v>35865</v>
      </c>
    </row>
    <row r="14372" spans="1:5">
      <c r="A14372">
        <v>10940</v>
      </c>
      <c r="B14372" t="s">
        <v>174</v>
      </c>
      <c r="C14372">
        <v>120</v>
      </c>
      <c r="D14372">
        <v>20</v>
      </c>
      <c r="E14372" s="80">
        <v>35865</v>
      </c>
    </row>
    <row r="14373" spans="1:5">
      <c r="A14373">
        <v>10940</v>
      </c>
      <c r="B14373" t="s">
        <v>175</v>
      </c>
      <c r="C14373">
        <v>120</v>
      </c>
      <c r="D14373">
        <v>20</v>
      </c>
      <c r="E14373" s="80">
        <v>35865</v>
      </c>
    </row>
    <row r="14374" spans="1:5">
      <c r="A14374">
        <v>10940</v>
      </c>
      <c r="B14374" t="s">
        <v>176</v>
      </c>
      <c r="C14374">
        <v>120</v>
      </c>
      <c r="D14374">
        <v>20</v>
      </c>
      <c r="E14374" s="80">
        <v>35865</v>
      </c>
    </row>
    <row r="14375" spans="1:5">
      <c r="A14375">
        <v>10940</v>
      </c>
      <c r="B14375" t="s">
        <v>177</v>
      </c>
      <c r="C14375">
        <v>120</v>
      </c>
      <c r="D14375">
        <v>20</v>
      </c>
      <c r="E14375" s="80">
        <v>35865</v>
      </c>
    </row>
    <row r="14376" spans="1:5">
      <c r="A14376">
        <v>10940</v>
      </c>
      <c r="B14376" t="s">
        <v>178</v>
      </c>
      <c r="C14376">
        <v>120</v>
      </c>
      <c r="D14376">
        <v>20</v>
      </c>
      <c r="E14376" s="80">
        <v>35865</v>
      </c>
    </row>
    <row r="14377" spans="1:5">
      <c r="A14377">
        <v>10940</v>
      </c>
      <c r="B14377" t="s">
        <v>179</v>
      </c>
      <c r="C14377">
        <v>120</v>
      </c>
      <c r="D14377">
        <v>20</v>
      </c>
      <c r="E14377" s="80">
        <v>35865</v>
      </c>
    </row>
    <row r="14378" spans="1:5">
      <c r="A14378">
        <v>10941</v>
      </c>
      <c r="B14378" t="s">
        <v>172</v>
      </c>
      <c r="C14378">
        <v>412.5</v>
      </c>
      <c r="D14378">
        <v>44</v>
      </c>
      <c r="E14378" s="80">
        <v>35865</v>
      </c>
    </row>
    <row r="14379" spans="1:5">
      <c r="A14379">
        <v>10941</v>
      </c>
      <c r="B14379" t="s">
        <v>173</v>
      </c>
      <c r="C14379">
        <v>412.5</v>
      </c>
      <c r="D14379">
        <v>44</v>
      </c>
      <c r="E14379" s="80">
        <v>35865</v>
      </c>
    </row>
    <row r="14380" spans="1:5">
      <c r="A14380">
        <v>10941</v>
      </c>
      <c r="B14380" t="s">
        <v>174</v>
      </c>
      <c r="C14380">
        <v>412.5</v>
      </c>
      <c r="D14380">
        <v>44</v>
      </c>
      <c r="E14380" s="80">
        <v>35865</v>
      </c>
    </row>
    <row r="14381" spans="1:5">
      <c r="A14381">
        <v>10941</v>
      </c>
      <c r="B14381" t="s">
        <v>175</v>
      </c>
      <c r="C14381">
        <v>412.5</v>
      </c>
      <c r="D14381">
        <v>44</v>
      </c>
      <c r="E14381" s="80">
        <v>35865</v>
      </c>
    </row>
    <row r="14382" spans="1:5">
      <c r="A14382">
        <v>10941</v>
      </c>
      <c r="B14382" t="s">
        <v>176</v>
      </c>
      <c r="C14382">
        <v>412.5</v>
      </c>
      <c r="D14382">
        <v>44</v>
      </c>
      <c r="E14382" s="80">
        <v>35865</v>
      </c>
    </row>
    <row r="14383" spans="1:5">
      <c r="A14383">
        <v>10941</v>
      </c>
      <c r="B14383" t="s">
        <v>177</v>
      </c>
      <c r="C14383">
        <v>412.5</v>
      </c>
      <c r="D14383">
        <v>44</v>
      </c>
      <c r="E14383" s="80">
        <v>35865</v>
      </c>
    </row>
    <row r="14384" spans="1:5">
      <c r="A14384">
        <v>10941</v>
      </c>
      <c r="B14384" t="s">
        <v>178</v>
      </c>
      <c r="C14384">
        <v>412.5</v>
      </c>
      <c r="D14384">
        <v>44</v>
      </c>
      <c r="E14384" s="80">
        <v>35865</v>
      </c>
    </row>
    <row r="14385" spans="1:5">
      <c r="A14385">
        <v>10941</v>
      </c>
      <c r="B14385" t="s">
        <v>179</v>
      </c>
      <c r="C14385">
        <v>412.5</v>
      </c>
      <c r="D14385">
        <v>44</v>
      </c>
      <c r="E14385" s="80">
        <v>35865</v>
      </c>
    </row>
    <row r="14386" spans="1:5">
      <c r="A14386">
        <v>10941</v>
      </c>
      <c r="B14386" t="s">
        <v>172</v>
      </c>
      <c r="C14386">
        <v>1109.25</v>
      </c>
      <c r="D14386">
        <v>30</v>
      </c>
      <c r="E14386" s="80">
        <v>35865</v>
      </c>
    </row>
    <row r="14387" spans="1:5">
      <c r="A14387">
        <v>10941</v>
      </c>
      <c r="B14387" t="s">
        <v>173</v>
      </c>
      <c r="C14387">
        <v>1109.25</v>
      </c>
      <c r="D14387">
        <v>30</v>
      </c>
      <c r="E14387" s="80">
        <v>35865</v>
      </c>
    </row>
    <row r="14388" spans="1:5">
      <c r="A14388">
        <v>10941</v>
      </c>
      <c r="B14388" t="s">
        <v>174</v>
      </c>
      <c r="C14388">
        <v>1109.25</v>
      </c>
      <c r="D14388">
        <v>30</v>
      </c>
      <c r="E14388" s="80">
        <v>35865</v>
      </c>
    </row>
    <row r="14389" spans="1:5">
      <c r="A14389">
        <v>10941</v>
      </c>
      <c r="B14389" t="s">
        <v>175</v>
      </c>
      <c r="C14389">
        <v>1109.25</v>
      </c>
      <c r="D14389">
        <v>30</v>
      </c>
      <c r="E14389" s="80">
        <v>35865</v>
      </c>
    </row>
    <row r="14390" spans="1:5">
      <c r="A14390">
        <v>10941</v>
      </c>
      <c r="B14390" t="s">
        <v>176</v>
      </c>
      <c r="C14390">
        <v>1109.25</v>
      </c>
      <c r="D14390">
        <v>30</v>
      </c>
      <c r="E14390" s="80">
        <v>35865</v>
      </c>
    </row>
    <row r="14391" spans="1:5">
      <c r="A14391">
        <v>10941</v>
      </c>
      <c r="B14391" t="s">
        <v>177</v>
      </c>
      <c r="C14391">
        <v>1109.25</v>
      </c>
      <c r="D14391">
        <v>30</v>
      </c>
      <c r="E14391" s="80">
        <v>35865</v>
      </c>
    </row>
    <row r="14392" spans="1:5">
      <c r="A14392">
        <v>10941</v>
      </c>
      <c r="B14392" t="s">
        <v>178</v>
      </c>
      <c r="C14392">
        <v>1109.25</v>
      </c>
      <c r="D14392">
        <v>30</v>
      </c>
      <c r="E14392" s="80">
        <v>35865</v>
      </c>
    </row>
    <row r="14393" spans="1:5">
      <c r="A14393">
        <v>10941</v>
      </c>
      <c r="B14393" t="s">
        <v>179</v>
      </c>
      <c r="C14393">
        <v>1109.25</v>
      </c>
      <c r="D14393">
        <v>30</v>
      </c>
      <c r="E14393" s="80">
        <v>35865</v>
      </c>
    </row>
    <row r="14394" spans="1:5">
      <c r="A14394">
        <v>10941</v>
      </c>
      <c r="B14394" t="s">
        <v>172</v>
      </c>
      <c r="C14394">
        <v>750</v>
      </c>
      <c r="D14394">
        <v>80</v>
      </c>
      <c r="E14394" s="80">
        <v>35865</v>
      </c>
    </row>
    <row r="14395" spans="1:5">
      <c r="A14395">
        <v>10941</v>
      </c>
      <c r="B14395" t="s">
        <v>173</v>
      </c>
      <c r="C14395">
        <v>750</v>
      </c>
      <c r="D14395">
        <v>80</v>
      </c>
      <c r="E14395" s="80">
        <v>35865</v>
      </c>
    </row>
    <row r="14396" spans="1:5">
      <c r="A14396">
        <v>10941</v>
      </c>
      <c r="B14396" t="s">
        <v>174</v>
      </c>
      <c r="C14396">
        <v>750</v>
      </c>
      <c r="D14396">
        <v>80</v>
      </c>
      <c r="E14396" s="80">
        <v>35865</v>
      </c>
    </row>
    <row r="14397" spans="1:5">
      <c r="A14397">
        <v>10941</v>
      </c>
      <c r="B14397" t="s">
        <v>175</v>
      </c>
      <c r="C14397">
        <v>750</v>
      </c>
      <c r="D14397">
        <v>80</v>
      </c>
      <c r="E14397" s="80">
        <v>35865</v>
      </c>
    </row>
    <row r="14398" spans="1:5">
      <c r="A14398">
        <v>10941</v>
      </c>
      <c r="B14398" t="s">
        <v>176</v>
      </c>
      <c r="C14398">
        <v>750</v>
      </c>
      <c r="D14398">
        <v>80</v>
      </c>
      <c r="E14398" s="80">
        <v>35865</v>
      </c>
    </row>
    <row r="14399" spans="1:5">
      <c r="A14399">
        <v>10941</v>
      </c>
      <c r="B14399" t="s">
        <v>177</v>
      </c>
      <c r="C14399">
        <v>750</v>
      </c>
      <c r="D14399">
        <v>80</v>
      </c>
      <c r="E14399" s="80">
        <v>35865</v>
      </c>
    </row>
    <row r="14400" spans="1:5">
      <c r="A14400">
        <v>10941</v>
      </c>
      <c r="B14400" t="s">
        <v>178</v>
      </c>
      <c r="C14400">
        <v>750</v>
      </c>
      <c r="D14400">
        <v>80</v>
      </c>
      <c r="E14400" s="80">
        <v>35865</v>
      </c>
    </row>
    <row r="14401" spans="1:5">
      <c r="A14401">
        <v>10941</v>
      </c>
      <c r="B14401" t="s">
        <v>179</v>
      </c>
      <c r="C14401">
        <v>750</v>
      </c>
      <c r="D14401">
        <v>80</v>
      </c>
      <c r="E14401" s="80">
        <v>35865</v>
      </c>
    </row>
    <row r="14402" spans="1:5">
      <c r="A14402">
        <v>10941</v>
      </c>
      <c r="B14402" t="s">
        <v>172</v>
      </c>
      <c r="C14402">
        <v>1740</v>
      </c>
      <c r="D14402">
        <v>50</v>
      </c>
      <c r="E14402" s="80">
        <v>35865</v>
      </c>
    </row>
    <row r="14403" spans="1:5">
      <c r="A14403">
        <v>10941</v>
      </c>
      <c r="B14403" t="s">
        <v>173</v>
      </c>
      <c r="C14403">
        <v>1740</v>
      </c>
      <c r="D14403">
        <v>50</v>
      </c>
      <c r="E14403" s="80">
        <v>35865</v>
      </c>
    </row>
    <row r="14404" spans="1:5">
      <c r="A14404">
        <v>10941</v>
      </c>
      <c r="B14404" t="s">
        <v>174</v>
      </c>
      <c r="C14404">
        <v>1740</v>
      </c>
      <c r="D14404">
        <v>50</v>
      </c>
      <c r="E14404" s="80">
        <v>35865</v>
      </c>
    </row>
    <row r="14405" spans="1:5">
      <c r="A14405">
        <v>10941</v>
      </c>
      <c r="B14405" t="s">
        <v>175</v>
      </c>
      <c r="C14405">
        <v>1740</v>
      </c>
      <c r="D14405">
        <v>50</v>
      </c>
      <c r="E14405" s="80">
        <v>35865</v>
      </c>
    </row>
    <row r="14406" spans="1:5">
      <c r="A14406">
        <v>10941</v>
      </c>
      <c r="B14406" t="s">
        <v>176</v>
      </c>
      <c r="C14406">
        <v>1740</v>
      </c>
      <c r="D14406">
        <v>50</v>
      </c>
      <c r="E14406" s="80">
        <v>35865</v>
      </c>
    </row>
    <row r="14407" spans="1:5">
      <c r="A14407">
        <v>10941</v>
      </c>
      <c r="B14407" t="s">
        <v>177</v>
      </c>
      <c r="C14407">
        <v>1740</v>
      </c>
      <c r="D14407">
        <v>50</v>
      </c>
      <c r="E14407" s="80">
        <v>35865</v>
      </c>
    </row>
    <row r="14408" spans="1:5">
      <c r="A14408">
        <v>10941</v>
      </c>
      <c r="B14408" t="s">
        <v>178</v>
      </c>
      <c r="C14408">
        <v>1740</v>
      </c>
      <c r="D14408">
        <v>50</v>
      </c>
      <c r="E14408" s="80">
        <v>35865</v>
      </c>
    </row>
    <row r="14409" spans="1:5">
      <c r="A14409">
        <v>10941</v>
      </c>
      <c r="B14409" t="s">
        <v>179</v>
      </c>
      <c r="C14409">
        <v>1740</v>
      </c>
      <c r="D14409">
        <v>50</v>
      </c>
      <c r="E14409" s="80">
        <v>35865</v>
      </c>
    </row>
    <row r="14410" spans="1:5">
      <c r="A14410">
        <v>10942</v>
      </c>
      <c r="B14410" t="s">
        <v>172</v>
      </c>
      <c r="C14410">
        <v>560</v>
      </c>
      <c r="D14410">
        <v>28</v>
      </c>
      <c r="E14410" s="80">
        <v>35865</v>
      </c>
    </row>
    <row r="14411" spans="1:5">
      <c r="A14411">
        <v>10942</v>
      </c>
      <c r="B14411" t="s">
        <v>173</v>
      </c>
      <c r="C14411">
        <v>560</v>
      </c>
      <c r="D14411">
        <v>28</v>
      </c>
      <c r="E14411" s="80">
        <v>35865</v>
      </c>
    </row>
    <row r="14412" spans="1:5">
      <c r="A14412">
        <v>10942</v>
      </c>
      <c r="B14412" t="s">
        <v>174</v>
      </c>
      <c r="C14412">
        <v>560</v>
      </c>
      <c r="D14412">
        <v>28</v>
      </c>
      <c r="E14412" s="80">
        <v>35865</v>
      </c>
    </row>
    <row r="14413" spans="1:5">
      <c r="A14413">
        <v>10942</v>
      </c>
      <c r="B14413" t="s">
        <v>175</v>
      </c>
      <c r="C14413">
        <v>560</v>
      </c>
      <c r="D14413">
        <v>28</v>
      </c>
      <c r="E14413" s="80">
        <v>35865</v>
      </c>
    </row>
    <row r="14414" spans="1:5">
      <c r="A14414">
        <v>10942</v>
      </c>
      <c r="B14414" t="s">
        <v>176</v>
      </c>
      <c r="C14414">
        <v>560</v>
      </c>
      <c r="D14414">
        <v>28</v>
      </c>
      <c r="E14414" s="80">
        <v>35865</v>
      </c>
    </row>
    <row r="14415" spans="1:5">
      <c r="A14415">
        <v>10942</v>
      </c>
      <c r="B14415" t="s">
        <v>177</v>
      </c>
      <c r="C14415">
        <v>560</v>
      </c>
      <c r="D14415">
        <v>28</v>
      </c>
      <c r="E14415" s="80">
        <v>35865</v>
      </c>
    </row>
    <row r="14416" spans="1:5">
      <c r="A14416">
        <v>10942</v>
      </c>
      <c r="B14416" t="s">
        <v>178</v>
      </c>
      <c r="C14416">
        <v>560</v>
      </c>
      <c r="D14416">
        <v>28</v>
      </c>
      <c r="E14416" s="80">
        <v>35865</v>
      </c>
    </row>
    <row r="14417" spans="1:5">
      <c r="A14417">
        <v>10942</v>
      </c>
      <c r="B14417" t="s">
        <v>179</v>
      </c>
      <c r="C14417">
        <v>560</v>
      </c>
      <c r="D14417">
        <v>28</v>
      </c>
      <c r="E14417" s="80">
        <v>35865</v>
      </c>
    </row>
    <row r="14418" spans="1:5">
      <c r="A14418">
        <v>10943</v>
      </c>
      <c r="B14418" t="s">
        <v>172</v>
      </c>
      <c r="C14418">
        <v>90</v>
      </c>
      <c r="D14418">
        <v>15</v>
      </c>
      <c r="E14418" s="80">
        <v>35865</v>
      </c>
    </row>
    <row r="14419" spans="1:5">
      <c r="A14419">
        <v>10943</v>
      </c>
      <c r="B14419" t="s">
        <v>173</v>
      </c>
      <c r="C14419">
        <v>90</v>
      </c>
      <c r="D14419">
        <v>15</v>
      </c>
      <c r="E14419" s="80">
        <v>35865</v>
      </c>
    </row>
    <row r="14420" spans="1:5">
      <c r="A14420">
        <v>10943</v>
      </c>
      <c r="B14420" t="s">
        <v>174</v>
      </c>
      <c r="C14420">
        <v>90</v>
      </c>
      <c r="D14420">
        <v>15</v>
      </c>
      <c r="E14420" s="80">
        <v>35865</v>
      </c>
    </row>
    <row r="14421" spans="1:5">
      <c r="A14421">
        <v>10943</v>
      </c>
      <c r="B14421" t="s">
        <v>175</v>
      </c>
      <c r="C14421">
        <v>90</v>
      </c>
      <c r="D14421">
        <v>15</v>
      </c>
      <c r="E14421" s="80">
        <v>35865</v>
      </c>
    </row>
    <row r="14422" spans="1:5">
      <c r="A14422">
        <v>10943</v>
      </c>
      <c r="B14422" t="s">
        <v>176</v>
      </c>
      <c r="C14422">
        <v>90</v>
      </c>
      <c r="D14422">
        <v>15</v>
      </c>
      <c r="E14422" s="80">
        <v>35865</v>
      </c>
    </row>
    <row r="14423" spans="1:5">
      <c r="A14423">
        <v>10943</v>
      </c>
      <c r="B14423" t="s">
        <v>177</v>
      </c>
      <c r="C14423">
        <v>90</v>
      </c>
      <c r="D14423">
        <v>15</v>
      </c>
      <c r="E14423" s="80">
        <v>35865</v>
      </c>
    </row>
    <row r="14424" spans="1:5">
      <c r="A14424">
        <v>10943</v>
      </c>
      <c r="B14424" t="s">
        <v>178</v>
      </c>
      <c r="C14424">
        <v>90</v>
      </c>
      <c r="D14424">
        <v>15</v>
      </c>
      <c r="E14424" s="80">
        <v>35865</v>
      </c>
    </row>
    <row r="14425" spans="1:5">
      <c r="A14425">
        <v>10943</v>
      </c>
      <c r="B14425" t="s">
        <v>179</v>
      </c>
      <c r="C14425">
        <v>90</v>
      </c>
      <c r="D14425">
        <v>15</v>
      </c>
      <c r="E14425" s="80">
        <v>35865</v>
      </c>
    </row>
    <row r="14426" spans="1:5">
      <c r="A14426">
        <v>10943</v>
      </c>
      <c r="B14426" t="s">
        <v>172</v>
      </c>
      <c r="C14426">
        <v>441</v>
      </c>
      <c r="D14426">
        <v>21</v>
      </c>
      <c r="E14426" s="80">
        <v>35865</v>
      </c>
    </row>
    <row r="14427" spans="1:5">
      <c r="A14427">
        <v>10943</v>
      </c>
      <c r="B14427" t="s">
        <v>173</v>
      </c>
      <c r="C14427">
        <v>441</v>
      </c>
      <c r="D14427">
        <v>21</v>
      </c>
      <c r="E14427" s="80">
        <v>35865</v>
      </c>
    </row>
    <row r="14428" spans="1:5">
      <c r="A14428">
        <v>10943</v>
      </c>
      <c r="B14428" t="s">
        <v>174</v>
      </c>
      <c r="C14428">
        <v>441</v>
      </c>
      <c r="D14428">
        <v>21</v>
      </c>
      <c r="E14428" s="80">
        <v>35865</v>
      </c>
    </row>
    <row r="14429" spans="1:5">
      <c r="A14429">
        <v>10943</v>
      </c>
      <c r="B14429" t="s">
        <v>175</v>
      </c>
      <c r="C14429">
        <v>441</v>
      </c>
      <c r="D14429">
        <v>21</v>
      </c>
      <c r="E14429" s="80">
        <v>35865</v>
      </c>
    </row>
    <row r="14430" spans="1:5">
      <c r="A14430">
        <v>10943</v>
      </c>
      <c r="B14430" t="s">
        <v>176</v>
      </c>
      <c r="C14430">
        <v>441</v>
      </c>
      <c r="D14430">
        <v>21</v>
      </c>
      <c r="E14430" s="80">
        <v>35865</v>
      </c>
    </row>
    <row r="14431" spans="1:5">
      <c r="A14431">
        <v>10943</v>
      </c>
      <c r="B14431" t="s">
        <v>177</v>
      </c>
      <c r="C14431">
        <v>441</v>
      </c>
      <c r="D14431">
        <v>21</v>
      </c>
      <c r="E14431" s="80">
        <v>35865</v>
      </c>
    </row>
    <row r="14432" spans="1:5">
      <c r="A14432">
        <v>10943</v>
      </c>
      <c r="B14432" t="s">
        <v>178</v>
      </c>
      <c r="C14432">
        <v>441</v>
      </c>
      <c r="D14432">
        <v>21</v>
      </c>
      <c r="E14432" s="80">
        <v>35865</v>
      </c>
    </row>
    <row r="14433" spans="1:5">
      <c r="A14433">
        <v>10943</v>
      </c>
      <c r="B14433" t="s">
        <v>179</v>
      </c>
      <c r="C14433">
        <v>441</v>
      </c>
      <c r="D14433">
        <v>21</v>
      </c>
      <c r="E14433" s="80">
        <v>35865</v>
      </c>
    </row>
    <row r="14434" spans="1:5">
      <c r="A14434">
        <v>10943</v>
      </c>
      <c r="B14434" t="s">
        <v>172</v>
      </c>
      <c r="C14434">
        <v>180</v>
      </c>
      <c r="D14434">
        <v>15</v>
      </c>
      <c r="E14434" s="80">
        <v>35865</v>
      </c>
    </row>
    <row r="14435" spans="1:5">
      <c r="A14435">
        <v>10943</v>
      </c>
      <c r="B14435" t="s">
        <v>173</v>
      </c>
      <c r="C14435">
        <v>180</v>
      </c>
      <c r="D14435">
        <v>15</v>
      </c>
      <c r="E14435" s="80">
        <v>35865</v>
      </c>
    </row>
    <row r="14436" spans="1:5">
      <c r="A14436">
        <v>10943</v>
      </c>
      <c r="B14436" t="s">
        <v>174</v>
      </c>
      <c r="C14436">
        <v>180</v>
      </c>
      <c r="D14436">
        <v>15</v>
      </c>
      <c r="E14436" s="80">
        <v>35865</v>
      </c>
    </row>
    <row r="14437" spans="1:5">
      <c r="A14437">
        <v>10943</v>
      </c>
      <c r="B14437" t="s">
        <v>175</v>
      </c>
      <c r="C14437">
        <v>180</v>
      </c>
      <c r="D14437">
        <v>15</v>
      </c>
      <c r="E14437" s="80">
        <v>35865</v>
      </c>
    </row>
    <row r="14438" spans="1:5">
      <c r="A14438">
        <v>10943</v>
      </c>
      <c r="B14438" t="s">
        <v>176</v>
      </c>
      <c r="C14438">
        <v>180</v>
      </c>
      <c r="D14438">
        <v>15</v>
      </c>
      <c r="E14438" s="80">
        <v>35865</v>
      </c>
    </row>
    <row r="14439" spans="1:5">
      <c r="A14439">
        <v>10943</v>
      </c>
      <c r="B14439" t="s">
        <v>177</v>
      </c>
      <c r="C14439">
        <v>180</v>
      </c>
      <c r="D14439">
        <v>15</v>
      </c>
      <c r="E14439" s="80">
        <v>35865</v>
      </c>
    </row>
    <row r="14440" spans="1:5">
      <c r="A14440">
        <v>10943</v>
      </c>
      <c r="B14440" t="s">
        <v>178</v>
      </c>
      <c r="C14440">
        <v>180</v>
      </c>
      <c r="D14440">
        <v>15</v>
      </c>
      <c r="E14440" s="80">
        <v>35865</v>
      </c>
    </row>
    <row r="14441" spans="1:5">
      <c r="A14441">
        <v>10943</v>
      </c>
      <c r="B14441" t="s">
        <v>179</v>
      </c>
      <c r="C14441">
        <v>180</v>
      </c>
      <c r="D14441">
        <v>15</v>
      </c>
      <c r="E14441" s="80">
        <v>35865</v>
      </c>
    </row>
    <row r="14442" spans="1:5">
      <c r="A14442">
        <v>10944</v>
      </c>
      <c r="B14442" t="s">
        <v>172</v>
      </c>
      <c r="C14442">
        <v>78.75</v>
      </c>
      <c r="D14442">
        <v>5</v>
      </c>
      <c r="E14442" s="80">
        <v>35866</v>
      </c>
    </row>
    <row r="14443" spans="1:5">
      <c r="A14443">
        <v>10944</v>
      </c>
      <c r="B14443" t="s">
        <v>173</v>
      </c>
      <c r="C14443">
        <v>78.75</v>
      </c>
      <c r="D14443">
        <v>5</v>
      </c>
      <c r="E14443" s="80">
        <v>35866</v>
      </c>
    </row>
    <row r="14444" spans="1:5">
      <c r="A14444">
        <v>10944</v>
      </c>
      <c r="B14444" t="s">
        <v>174</v>
      </c>
      <c r="C14444">
        <v>78.75</v>
      </c>
      <c r="D14444">
        <v>5</v>
      </c>
      <c r="E14444" s="80">
        <v>35866</v>
      </c>
    </row>
    <row r="14445" spans="1:5">
      <c r="A14445">
        <v>10944</v>
      </c>
      <c r="B14445" t="s">
        <v>175</v>
      </c>
      <c r="C14445">
        <v>78.75</v>
      </c>
      <c r="D14445">
        <v>5</v>
      </c>
      <c r="E14445" s="80">
        <v>35866</v>
      </c>
    </row>
    <row r="14446" spans="1:5">
      <c r="A14446">
        <v>10944</v>
      </c>
      <c r="B14446" t="s">
        <v>176</v>
      </c>
      <c r="C14446">
        <v>78.75</v>
      </c>
      <c r="D14446">
        <v>5</v>
      </c>
      <c r="E14446" s="80">
        <v>35866</v>
      </c>
    </row>
    <row r="14447" spans="1:5">
      <c r="A14447">
        <v>10944</v>
      </c>
      <c r="B14447" t="s">
        <v>177</v>
      </c>
      <c r="C14447">
        <v>78.75</v>
      </c>
      <c r="D14447">
        <v>5</v>
      </c>
      <c r="E14447" s="80">
        <v>35866</v>
      </c>
    </row>
    <row r="14448" spans="1:5">
      <c r="A14448">
        <v>10944</v>
      </c>
      <c r="B14448" t="s">
        <v>178</v>
      </c>
      <c r="C14448">
        <v>78.75</v>
      </c>
      <c r="D14448">
        <v>5</v>
      </c>
      <c r="E14448" s="80">
        <v>35866</v>
      </c>
    </row>
    <row r="14449" spans="1:5">
      <c r="A14449">
        <v>10944</v>
      </c>
      <c r="B14449" t="s">
        <v>179</v>
      </c>
      <c r="C14449">
        <v>78.75</v>
      </c>
      <c r="D14449">
        <v>5</v>
      </c>
      <c r="E14449" s="80">
        <v>35866</v>
      </c>
    </row>
    <row r="14450" spans="1:5">
      <c r="A14450">
        <v>10944</v>
      </c>
      <c r="B14450" t="s">
        <v>172</v>
      </c>
      <c r="C14450">
        <v>262.57500000000005</v>
      </c>
      <c r="D14450">
        <v>18</v>
      </c>
      <c r="E14450" s="80">
        <v>35866</v>
      </c>
    </row>
    <row r="14451" spans="1:5">
      <c r="A14451">
        <v>10944</v>
      </c>
      <c r="B14451" t="s">
        <v>173</v>
      </c>
      <c r="C14451">
        <v>262.57500000000005</v>
      </c>
      <c r="D14451">
        <v>18</v>
      </c>
      <c r="E14451" s="80">
        <v>35866</v>
      </c>
    </row>
    <row r="14452" spans="1:5">
      <c r="A14452">
        <v>10944</v>
      </c>
      <c r="B14452" t="s">
        <v>174</v>
      </c>
      <c r="C14452">
        <v>262.57500000000005</v>
      </c>
      <c r="D14452">
        <v>18</v>
      </c>
      <c r="E14452" s="80">
        <v>35866</v>
      </c>
    </row>
    <row r="14453" spans="1:5">
      <c r="A14453">
        <v>10944</v>
      </c>
      <c r="B14453" t="s">
        <v>175</v>
      </c>
      <c r="C14453">
        <v>262.57500000000005</v>
      </c>
      <c r="D14453">
        <v>18</v>
      </c>
      <c r="E14453" s="80">
        <v>35866</v>
      </c>
    </row>
    <row r="14454" spans="1:5">
      <c r="A14454">
        <v>10944</v>
      </c>
      <c r="B14454" t="s">
        <v>176</v>
      </c>
      <c r="C14454">
        <v>262.57500000000005</v>
      </c>
      <c r="D14454">
        <v>18</v>
      </c>
      <c r="E14454" s="80">
        <v>35866</v>
      </c>
    </row>
    <row r="14455" spans="1:5">
      <c r="A14455">
        <v>10944</v>
      </c>
      <c r="B14455" t="s">
        <v>177</v>
      </c>
      <c r="C14455">
        <v>262.57500000000005</v>
      </c>
      <c r="D14455">
        <v>18</v>
      </c>
      <c r="E14455" s="80">
        <v>35866</v>
      </c>
    </row>
    <row r="14456" spans="1:5">
      <c r="A14456">
        <v>10944</v>
      </c>
      <c r="B14456" t="s">
        <v>178</v>
      </c>
      <c r="C14456">
        <v>262.57500000000005</v>
      </c>
      <c r="D14456">
        <v>18</v>
      </c>
      <c r="E14456" s="80">
        <v>35866</v>
      </c>
    </row>
    <row r="14457" spans="1:5">
      <c r="A14457">
        <v>10944</v>
      </c>
      <c r="B14457" t="s">
        <v>179</v>
      </c>
      <c r="C14457">
        <v>262.57500000000005</v>
      </c>
      <c r="D14457">
        <v>18</v>
      </c>
      <c r="E14457" s="80">
        <v>35866</v>
      </c>
    </row>
    <row r="14458" spans="1:5">
      <c r="A14458">
        <v>10944</v>
      </c>
      <c r="B14458" t="s">
        <v>172</v>
      </c>
      <c r="C14458">
        <v>684</v>
      </c>
      <c r="D14458">
        <v>18</v>
      </c>
      <c r="E14458" s="80">
        <v>35866</v>
      </c>
    </row>
    <row r="14459" spans="1:5">
      <c r="A14459">
        <v>10944</v>
      </c>
      <c r="B14459" t="s">
        <v>173</v>
      </c>
      <c r="C14459">
        <v>684</v>
      </c>
      <c r="D14459">
        <v>18</v>
      </c>
      <c r="E14459" s="80">
        <v>35866</v>
      </c>
    </row>
    <row r="14460" spans="1:5">
      <c r="A14460">
        <v>10944</v>
      </c>
      <c r="B14460" t="s">
        <v>174</v>
      </c>
      <c r="C14460">
        <v>684</v>
      </c>
      <c r="D14460">
        <v>18</v>
      </c>
      <c r="E14460" s="80">
        <v>35866</v>
      </c>
    </row>
    <row r="14461" spans="1:5">
      <c r="A14461">
        <v>10944</v>
      </c>
      <c r="B14461" t="s">
        <v>175</v>
      </c>
      <c r="C14461">
        <v>684</v>
      </c>
      <c r="D14461">
        <v>18</v>
      </c>
      <c r="E14461" s="80">
        <v>35866</v>
      </c>
    </row>
    <row r="14462" spans="1:5">
      <c r="A14462">
        <v>10944</v>
      </c>
      <c r="B14462" t="s">
        <v>176</v>
      </c>
      <c r="C14462">
        <v>684</v>
      </c>
      <c r="D14462">
        <v>18</v>
      </c>
      <c r="E14462" s="80">
        <v>35866</v>
      </c>
    </row>
    <row r="14463" spans="1:5">
      <c r="A14463">
        <v>10944</v>
      </c>
      <c r="B14463" t="s">
        <v>177</v>
      </c>
      <c r="C14463">
        <v>684</v>
      </c>
      <c r="D14463">
        <v>18</v>
      </c>
      <c r="E14463" s="80">
        <v>35866</v>
      </c>
    </row>
    <row r="14464" spans="1:5">
      <c r="A14464">
        <v>10944</v>
      </c>
      <c r="B14464" t="s">
        <v>178</v>
      </c>
      <c r="C14464">
        <v>684</v>
      </c>
      <c r="D14464">
        <v>18</v>
      </c>
      <c r="E14464" s="80">
        <v>35866</v>
      </c>
    </row>
    <row r="14465" spans="1:5">
      <c r="A14465">
        <v>10944</v>
      </c>
      <c r="B14465" t="s">
        <v>179</v>
      </c>
      <c r="C14465">
        <v>684</v>
      </c>
      <c r="D14465">
        <v>18</v>
      </c>
      <c r="E14465" s="80">
        <v>35866</v>
      </c>
    </row>
    <row r="14466" spans="1:5">
      <c r="A14466">
        <v>10945</v>
      </c>
      <c r="B14466" t="s">
        <v>172</v>
      </c>
      <c r="C14466">
        <v>120</v>
      </c>
      <c r="D14466">
        <v>20</v>
      </c>
      <c r="E14466" s="80">
        <v>35866</v>
      </c>
    </row>
    <row r="14467" spans="1:5">
      <c r="A14467">
        <v>10945</v>
      </c>
      <c r="B14467" t="s">
        <v>173</v>
      </c>
      <c r="C14467">
        <v>120</v>
      </c>
      <c r="D14467">
        <v>20</v>
      </c>
      <c r="E14467" s="80">
        <v>35866</v>
      </c>
    </row>
    <row r="14468" spans="1:5">
      <c r="A14468">
        <v>10945</v>
      </c>
      <c r="B14468" t="s">
        <v>174</v>
      </c>
      <c r="C14468">
        <v>120</v>
      </c>
      <c r="D14468">
        <v>20</v>
      </c>
      <c r="E14468" s="80">
        <v>35866</v>
      </c>
    </row>
    <row r="14469" spans="1:5">
      <c r="A14469">
        <v>10945</v>
      </c>
      <c r="B14469" t="s">
        <v>175</v>
      </c>
      <c r="C14469">
        <v>120</v>
      </c>
      <c r="D14469">
        <v>20</v>
      </c>
      <c r="E14469" s="80">
        <v>35866</v>
      </c>
    </row>
    <row r="14470" spans="1:5">
      <c r="A14470">
        <v>10945</v>
      </c>
      <c r="B14470" t="s">
        <v>176</v>
      </c>
      <c r="C14470">
        <v>120</v>
      </c>
      <c r="D14470">
        <v>20</v>
      </c>
      <c r="E14470" s="80">
        <v>35866</v>
      </c>
    </row>
    <row r="14471" spans="1:5">
      <c r="A14471">
        <v>10945</v>
      </c>
      <c r="B14471" t="s">
        <v>177</v>
      </c>
      <c r="C14471">
        <v>120</v>
      </c>
      <c r="D14471">
        <v>20</v>
      </c>
      <c r="E14471" s="80">
        <v>35866</v>
      </c>
    </row>
    <row r="14472" spans="1:5">
      <c r="A14472">
        <v>10945</v>
      </c>
      <c r="B14472" t="s">
        <v>178</v>
      </c>
      <c r="C14472">
        <v>120</v>
      </c>
      <c r="D14472">
        <v>20</v>
      </c>
      <c r="E14472" s="80">
        <v>35866</v>
      </c>
    </row>
    <row r="14473" spans="1:5">
      <c r="A14473">
        <v>10945</v>
      </c>
      <c r="B14473" t="s">
        <v>179</v>
      </c>
      <c r="C14473">
        <v>120</v>
      </c>
      <c r="D14473">
        <v>20</v>
      </c>
      <c r="E14473" s="80">
        <v>35866</v>
      </c>
    </row>
    <row r="14474" spans="1:5">
      <c r="A14474">
        <v>10945</v>
      </c>
      <c r="B14474" t="s">
        <v>172</v>
      </c>
      <c r="C14474">
        <v>125</v>
      </c>
      <c r="D14474">
        <v>10</v>
      </c>
      <c r="E14474" s="80">
        <v>35866</v>
      </c>
    </row>
    <row r="14475" spans="1:5">
      <c r="A14475">
        <v>10945</v>
      </c>
      <c r="B14475" t="s">
        <v>173</v>
      </c>
      <c r="C14475">
        <v>125</v>
      </c>
      <c r="D14475">
        <v>10</v>
      </c>
      <c r="E14475" s="80">
        <v>35866</v>
      </c>
    </row>
    <row r="14476" spans="1:5">
      <c r="A14476">
        <v>10945</v>
      </c>
      <c r="B14476" t="s">
        <v>174</v>
      </c>
      <c r="C14476">
        <v>125</v>
      </c>
      <c r="D14476">
        <v>10</v>
      </c>
      <c r="E14476" s="80">
        <v>35866</v>
      </c>
    </row>
    <row r="14477" spans="1:5">
      <c r="A14477">
        <v>10945</v>
      </c>
      <c r="B14477" t="s">
        <v>175</v>
      </c>
      <c r="C14477">
        <v>125</v>
      </c>
      <c r="D14477">
        <v>10</v>
      </c>
      <c r="E14477" s="80">
        <v>35866</v>
      </c>
    </row>
    <row r="14478" spans="1:5">
      <c r="A14478">
        <v>10945</v>
      </c>
      <c r="B14478" t="s">
        <v>176</v>
      </c>
      <c r="C14478">
        <v>125</v>
      </c>
      <c r="D14478">
        <v>10</v>
      </c>
      <c r="E14478" s="80">
        <v>35866</v>
      </c>
    </row>
    <row r="14479" spans="1:5">
      <c r="A14479">
        <v>10945</v>
      </c>
      <c r="B14479" t="s">
        <v>177</v>
      </c>
      <c r="C14479">
        <v>125</v>
      </c>
      <c r="D14479">
        <v>10</v>
      </c>
      <c r="E14479" s="80">
        <v>35866</v>
      </c>
    </row>
    <row r="14480" spans="1:5">
      <c r="A14480">
        <v>10945</v>
      </c>
      <c r="B14480" t="s">
        <v>178</v>
      </c>
      <c r="C14480">
        <v>125</v>
      </c>
      <c r="D14480">
        <v>10</v>
      </c>
      <c r="E14480" s="80">
        <v>35866</v>
      </c>
    </row>
    <row r="14481" spans="1:5">
      <c r="A14481">
        <v>10945</v>
      </c>
      <c r="B14481" t="s">
        <v>179</v>
      </c>
      <c r="C14481">
        <v>125</v>
      </c>
      <c r="D14481">
        <v>10</v>
      </c>
      <c r="E14481" s="80">
        <v>35866</v>
      </c>
    </row>
    <row r="14482" spans="1:5">
      <c r="A14482">
        <v>10946</v>
      </c>
      <c r="B14482" t="s">
        <v>172</v>
      </c>
      <c r="C14482">
        <v>775</v>
      </c>
      <c r="D14482">
        <v>25</v>
      </c>
      <c r="E14482" s="80">
        <v>35866</v>
      </c>
    </row>
    <row r="14483" spans="1:5">
      <c r="A14483">
        <v>10946</v>
      </c>
      <c r="B14483" t="s">
        <v>173</v>
      </c>
      <c r="C14483">
        <v>775</v>
      </c>
      <c r="D14483">
        <v>25</v>
      </c>
      <c r="E14483" s="80">
        <v>35866</v>
      </c>
    </row>
    <row r="14484" spans="1:5">
      <c r="A14484">
        <v>10946</v>
      </c>
      <c r="B14484" t="s">
        <v>174</v>
      </c>
      <c r="C14484">
        <v>775</v>
      </c>
      <c r="D14484">
        <v>25</v>
      </c>
      <c r="E14484" s="80">
        <v>35866</v>
      </c>
    </row>
    <row r="14485" spans="1:5">
      <c r="A14485">
        <v>10946</v>
      </c>
      <c r="B14485" t="s">
        <v>175</v>
      </c>
      <c r="C14485">
        <v>775</v>
      </c>
      <c r="D14485">
        <v>25</v>
      </c>
      <c r="E14485" s="80">
        <v>35866</v>
      </c>
    </row>
    <row r="14486" spans="1:5">
      <c r="A14486">
        <v>10946</v>
      </c>
      <c r="B14486" t="s">
        <v>176</v>
      </c>
      <c r="C14486">
        <v>775</v>
      </c>
      <c r="D14486">
        <v>25</v>
      </c>
      <c r="E14486" s="80">
        <v>35866</v>
      </c>
    </row>
    <row r="14487" spans="1:5">
      <c r="A14487">
        <v>10946</v>
      </c>
      <c r="B14487" t="s">
        <v>177</v>
      </c>
      <c r="C14487">
        <v>775</v>
      </c>
      <c r="D14487">
        <v>25</v>
      </c>
      <c r="E14487" s="80">
        <v>35866</v>
      </c>
    </row>
    <row r="14488" spans="1:5">
      <c r="A14488">
        <v>10946</v>
      </c>
      <c r="B14488" t="s">
        <v>178</v>
      </c>
      <c r="C14488">
        <v>775</v>
      </c>
      <c r="D14488">
        <v>25</v>
      </c>
      <c r="E14488" s="80">
        <v>35866</v>
      </c>
    </row>
    <row r="14489" spans="1:5">
      <c r="A14489">
        <v>10946</v>
      </c>
      <c r="B14489" t="s">
        <v>179</v>
      </c>
      <c r="C14489">
        <v>775</v>
      </c>
      <c r="D14489">
        <v>25</v>
      </c>
      <c r="E14489" s="80">
        <v>35866</v>
      </c>
    </row>
    <row r="14490" spans="1:5">
      <c r="A14490">
        <v>10946</v>
      </c>
      <c r="B14490" t="s">
        <v>172</v>
      </c>
      <c r="C14490">
        <v>112.5</v>
      </c>
      <c r="D14490">
        <v>25</v>
      </c>
      <c r="E14490" s="80">
        <v>35866</v>
      </c>
    </row>
    <row r="14491" spans="1:5">
      <c r="A14491">
        <v>10946</v>
      </c>
      <c r="B14491" t="s">
        <v>173</v>
      </c>
      <c r="C14491">
        <v>112.5</v>
      </c>
      <c r="D14491">
        <v>25</v>
      </c>
      <c r="E14491" s="80">
        <v>35866</v>
      </c>
    </row>
    <row r="14492" spans="1:5">
      <c r="A14492">
        <v>10946</v>
      </c>
      <c r="B14492" t="s">
        <v>174</v>
      </c>
      <c r="C14492">
        <v>112.5</v>
      </c>
      <c r="D14492">
        <v>25</v>
      </c>
      <c r="E14492" s="80">
        <v>35866</v>
      </c>
    </row>
    <row r="14493" spans="1:5">
      <c r="A14493">
        <v>10946</v>
      </c>
      <c r="B14493" t="s">
        <v>175</v>
      </c>
      <c r="C14493">
        <v>112.5</v>
      </c>
      <c r="D14493">
        <v>25</v>
      </c>
      <c r="E14493" s="80">
        <v>35866</v>
      </c>
    </row>
    <row r="14494" spans="1:5">
      <c r="A14494">
        <v>10946</v>
      </c>
      <c r="B14494" t="s">
        <v>176</v>
      </c>
      <c r="C14494">
        <v>112.5</v>
      </c>
      <c r="D14494">
        <v>25</v>
      </c>
      <c r="E14494" s="80">
        <v>35866</v>
      </c>
    </row>
    <row r="14495" spans="1:5">
      <c r="A14495">
        <v>10946</v>
      </c>
      <c r="B14495" t="s">
        <v>177</v>
      </c>
      <c r="C14495">
        <v>112.5</v>
      </c>
      <c r="D14495">
        <v>25</v>
      </c>
      <c r="E14495" s="80">
        <v>35866</v>
      </c>
    </row>
    <row r="14496" spans="1:5">
      <c r="A14496">
        <v>10946</v>
      </c>
      <c r="B14496" t="s">
        <v>178</v>
      </c>
      <c r="C14496">
        <v>112.5</v>
      </c>
      <c r="D14496">
        <v>25</v>
      </c>
      <c r="E14496" s="80">
        <v>35866</v>
      </c>
    </row>
    <row r="14497" spans="1:5">
      <c r="A14497">
        <v>10946</v>
      </c>
      <c r="B14497" t="s">
        <v>179</v>
      </c>
      <c r="C14497">
        <v>112.5</v>
      </c>
      <c r="D14497">
        <v>25</v>
      </c>
      <c r="E14497" s="80">
        <v>35866</v>
      </c>
    </row>
    <row r="14498" spans="1:5">
      <c r="A14498">
        <v>10946</v>
      </c>
      <c r="B14498" t="s">
        <v>172</v>
      </c>
      <c r="C14498">
        <v>520</v>
      </c>
      <c r="D14498">
        <v>40</v>
      </c>
      <c r="E14498" s="80">
        <v>35866</v>
      </c>
    </row>
    <row r="14499" spans="1:5">
      <c r="A14499">
        <v>10946</v>
      </c>
      <c r="B14499" t="s">
        <v>173</v>
      </c>
      <c r="C14499">
        <v>520</v>
      </c>
      <c r="D14499">
        <v>40</v>
      </c>
      <c r="E14499" s="80">
        <v>35866</v>
      </c>
    </row>
    <row r="14500" spans="1:5">
      <c r="A14500">
        <v>10946</v>
      </c>
      <c r="B14500" t="s">
        <v>174</v>
      </c>
      <c r="C14500">
        <v>520</v>
      </c>
      <c r="D14500">
        <v>40</v>
      </c>
      <c r="E14500" s="80">
        <v>35866</v>
      </c>
    </row>
    <row r="14501" spans="1:5">
      <c r="A14501">
        <v>10946</v>
      </c>
      <c r="B14501" t="s">
        <v>175</v>
      </c>
      <c r="C14501">
        <v>520</v>
      </c>
      <c r="D14501">
        <v>40</v>
      </c>
      <c r="E14501" s="80">
        <v>35866</v>
      </c>
    </row>
    <row r="14502" spans="1:5">
      <c r="A14502">
        <v>10946</v>
      </c>
      <c r="B14502" t="s">
        <v>176</v>
      </c>
      <c r="C14502">
        <v>520</v>
      </c>
      <c r="D14502">
        <v>40</v>
      </c>
      <c r="E14502" s="80">
        <v>35866</v>
      </c>
    </row>
    <row r="14503" spans="1:5">
      <c r="A14503">
        <v>10946</v>
      </c>
      <c r="B14503" t="s">
        <v>177</v>
      </c>
      <c r="C14503">
        <v>520</v>
      </c>
      <c r="D14503">
        <v>40</v>
      </c>
      <c r="E14503" s="80">
        <v>35866</v>
      </c>
    </row>
    <row r="14504" spans="1:5">
      <c r="A14504">
        <v>10946</v>
      </c>
      <c r="B14504" t="s">
        <v>178</v>
      </c>
      <c r="C14504">
        <v>520</v>
      </c>
      <c r="D14504">
        <v>40</v>
      </c>
      <c r="E14504" s="80">
        <v>35866</v>
      </c>
    </row>
    <row r="14505" spans="1:5">
      <c r="A14505">
        <v>10946</v>
      </c>
      <c r="B14505" t="s">
        <v>179</v>
      </c>
      <c r="C14505">
        <v>520</v>
      </c>
      <c r="D14505">
        <v>40</v>
      </c>
      <c r="E14505" s="80">
        <v>35866</v>
      </c>
    </row>
    <row r="14506" spans="1:5">
      <c r="A14506">
        <v>10947</v>
      </c>
      <c r="B14506" t="s">
        <v>172</v>
      </c>
      <c r="C14506">
        <v>220</v>
      </c>
      <c r="D14506">
        <v>4</v>
      </c>
      <c r="E14506" s="80">
        <v>35867</v>
      </c>
    </row>
    <row r="14507" spans="1:5">
      <c r="A14507">
        <v>10947</v>
      </c>
      <c r="B14507" t="s">
        <v>173</v>
      </c>
      <c r="C14507">
        <v>220</v>
      </c>
      <c r="D14507">
        <v>4</v>
      </c>
      <c r="E14507" s="80">
        <v>35867</v>
      </c>
    </row>
    <row r="14508" spans="1:5">
      <c r="A14508">
        <v>10947</v>
      </c>
      <c r="B14508" t="s">
        <v>174</v>
      </c>
      <c r="C14508">
        <v>220</v>
      </c>
      <c r="D14508">
        <v>4</v>
      </c>
      <c r="E14508" s="80">
        <v>35867</v>
      </c>
    </row>
    <row r="14509" spans="1:5">
      <c r="A14509">
        <v>10947</v>
      </c>
      <c r="B14509" t="s">
        <v>175</v>
      </c>
      <c r="C14509">
        <v>220</v>
      </c>
      <c r="D14509">
        <v>4</v>
      </c>
      <c r="E14509" s="80">
        <v>35867</v>
      </c>
    </row>
    <row r="14510" spans="1:5">
      <c r="A14510">
        <v>10947</v>
      </c>
      <c r="B14510" t="s">
        <v>176</v>
      </c>
      <c r="C14510">
        <v>220</v>
      </c>
      <c r="D14510">
        <v>4</v>
      </c>
      <c r="E14510" s="80">
        <v>35867</v>
      </c>
    </row>
    <row r="14511" spans="1:5">
      <c r="A14511">
        <v>10947</v>
      </c>
      <c r="B14511" t="s">
        <v>177</v>
      </c>
      <c r="C14511">
        <v>220</v>
      </c>
      <c r="D14511">
        <v>4</v>
      </c>
      <c r="E14511" s="80">
        <v>35867</v>
      </c>
    </row>
    <row r="14512" spans="1:5">
      <c r="A14512">
        <v>10947</v>
      </c>
      <c r="B14512" t="s">
        <v>178</v>
      </c>
      <c r="C14512">
        <v>220</v>
      </c>
      <c r="D14512">
        <v>4</v>
      </c>
      <c r="E14512" s="80">
        <v>35867</v>
      </c>
    </row>
    <row r="14513" spans="1:5">
      <c r="A14513">
        <v>10947</v>
      </c>
      <c r="B14513" t="s">
        <v>179</v>
      </c>
      <c r="C14513">
        <v>220</v>
      </c>
      <c r="D14513">
        <v>4</v>
      </c>
      <c r="E14513" s="80">
        <v>35867</v>
      </c>
    </row>
    <row r="14514" spans="1:5">
      <c r="A14514">
        <v>10948</v>
      </c>
      <c r="B14514" t="s">
        <v>172</v>
      </c>
      <c r="C14514">
        <v>146.25</v>
      </c>
      <c r="D14514">
        <v>9</v>
      </c>
      <c r="E14514" s="80">
        <v>35867</v>
      </c>
    </row>
    <row r="14515" spans="1:5">
      <c r="A14515">
        <v>10948</v>
      </c>
      <c r="B14515" t="s">
        <v>173</v>
      </c>
      <c r="C14515">
        <v>146.25</v>
      </c>
      <c r="D14515">
        <v>9</v>
      </c>
      <c r="E14515" s="80">
        <v>35867</v>
      </c>
    </row>
    <row r="14516" spans="1:5">
      <c r="A14516">
        <v>10948</v>
      </c>
      <c r="B14516" t="s">
        <v>174</v>
      </c>
      <c r="C14516">
        <v>146.25</v>
      </c>
      <c r="D14516">
        <v>9</v>
      </c>
      <c r="E14516" s="80">
        <v>35867</v>
      </c>
    </row>
    <row r="14517" spans="1:5">
      <c r="A14517">
        <v>10948</v>
      </c>
      <c r="B14517" t="s">
        <v>175</v>
      </c>
      <c r="C14517">
        <v>146.25</v>
      </c>
      <c r="D14517">
        <v>9</v>
      </c>
      <c r="E14517" s="80">
        <v>35867</v>
      </c>
    </row>
    <row r="14518" spans="1:5">
      <c r="A14518">
        <v>10948</v>
      </c>
      <c r="B14518" t="s">
        <v>176</v>
      </c>
      <c r="C14518">
        <v>146.25</v>
      </c>
      <c r="D14518">
        <v>9</v>
      </c>
      <c r="E14518" s="80">
        <v>35867</v>
      </c>
    </row>
    <row r="14519" spans="1:5">
      <c r="A14519">
        <v>10948</v>
      </c>
      <c r="B14519" t="s">
        <v>177</v>
      </c>
      <c r="C14519">
        <v>146.25</v>
      </c>
      <c r="D14519">
        <v>9</v>
      </c>
      <c r="E14519" s="80">
        <v>35867</v>
      </c>
    </row>
    <row r="14520" spans="1:5">
      <c r="A14520">
        <v>10948</v>
      </c>
      <c r="B14520" t="s">
        <v>178</v>
      </c>
      <c r="C14520">
        <v>146.25</v>
      </c>
      <c r="D14520">
        <v>9</v>
      </c>
      <c r="E14520" s="80">
        <v>35867</v>
      </c>
    </row>
    <row r="14521" spans="1:5">
      <c r="A14521">
        <v>10948</v>
      </c>
      <c r="B14521" t="s">
        <v>179</v>
      </c>
      <c r="C14521">
        <v>146.25</v>
      </c>
      <c r="D14521">
        <v>9</v>
      </c>
      <c r="E14521" s="80">
        <v>35867</v>
      </c>
    </row>
    <row r="14522" spans="1:5">
      <c r="A14522">
        <v>10948</v>
      </c>
      <c r="B14522" t="s">
        <v>172</v>
      </c>
      <c r="C14522">
        <v>2120</v>
      </c>
      <c r="D14522">
        <v>40</v>
      </c>
      <c r="E14522" s="80">
        <v>35867</v>
      </c>
    </row>
    <row r="14523" spans="1:5">
      <c r="A14523">
        <v>10948</v>
      </c>
      <c r="B14523" t="s">
        <v>173</v>
      </c>
      <c r="C14523">
        <v>2120</v>
      </c>
      <c r="D14523">
        <v>40</v>
      </c>
      <c r="E14523" s="80">
        <v>35867</v>
      </c>
    </row>
    <row r="14524" spans="1:5">
      <c r="A14524">
        <v>10948</v>
      </c>
      <c r="B14524" t="s">
        <v>174</v>
      </c>
      <c r="C14524">
        <v>2120</v>
      </c>
      <c r="D14524">
        <v>40</v>
      </c>
      <c r="E14524" s="80">
        <v>35867</v>
      </c>
    </row>
    <row r="14525" spans="1:5">
      <c r="A14525">
        <v>10948</v>
      </c>
      <c r="B14525" t="s">
        <v>175</v>
      </c>
      <c r="C14525">
        <v>2120</v>
      </c>
      <c r="D14525">
        <v>40</v>
      </c>
      <c r="E14525" s="80">
        <v>35867</v>
      </c>
    </row>
    <row r="14526" spans="1:5">
      <c r="A14526">
        <v>10948</v>
      </c>
      <c r="B14526" t="s">
        <v>176</v>
      </c>
      <c r="C14526">
        <v>2120</v>
      </c>
      <c r="D14526">
        <v>40</v>
      </c>
      <c r="E14526" s="80">
        <v>35867</v>
      </c>
    </row>
    <row r="14527" spans="1:5">
      <c r="A14527">
        <v>10948</v>
      </c>
      <c r="B14527" t="s">
        <v>177</v>
      </c>
      <c r="C14527">
        <v>2120</v>
      </c>
      <c r="D14527">
        <v>40</v>
      </c>
      <c r="E14527" s="80">
        <v>35867</v>
      </c>
    </row>
    <row r="14528" spans="1:5">
      <c r="A14528">
        <v>10948</v>
      </c>
      <c r="B14528" t="s">
        <v>178</v>
      </c>
      <c r="C14528">
        <v>2120</v>
      </c>
      <c r="D14528">
        <v>40</v>
      </c>
      <c r="E14528" s="80">
        <v>35867</v>
      </c>
    </row>
    <row r="14529" spans="1:5">
      <c r="A14529">
        <v>10948</v>
      </c>
      <c r="B14529" t="s">
        <v>179</v>
      </c>
      <c r="C14529">
        <v>2120</v>
      </c>
      <c r="D14529">
        <v>40</v>
      </c>
      <c r="E14529" s="80">
        <v>35867</v>
      </c>
    </row>
    <row r="14530" spans="1:5">
      <c r="A14530">
        <v>10948</v>
      </c>
      <c r="B14530" t="s">
        <v>172</v>
      </c>
      <c r="C14530">
        <v>96</v>
      </c>
      <c r="D14530">
        <v>4</v>
      </c>
      <c r="E14530" s="80">
        <v>35867</v>
      </c>
    </row>
    <row r="14531" spans="1:5">
      <c r="A14531">
        <v>10948</v>
      </c>
      <c r="B14531" t="s">
        <v>173</v>
      </c>
      <c r="C14531">
        <v>96</v>
      </c>
      <c r="D14531">
        <v>4</v>
      </c>
      <c r="E14531" s="80">
        <v>35867</v>
      </c>
    </row>
    <row r="14532" spans="1:5">
      <c r="A14532">
        <v>10948</v>
      </c>
      <c r="B14532" t="s">
        <v>174</v>
      </c>
      <c r="C14532">
        <v>96</v>
      </c>
      <c r="D14532">
        <v>4</v>
      </c>
      <c r="E14532" s="80">
        <v>35867</v>
      </c>
    </row>
    <row r="14533" spans="1:5">
      <c r="A14533">
        <v>10948</v>
      </c>
      <c r="B14533" t="s">
        <v>175</v>
      </c>
      <c r="C14533">
        <v>96</v>
      </c>
      <c r="D14533">
        <v>4</v>
      </c>
      <c r="E14533" s="80">
        <v>35867</v>
      </c>
    </row>
    <row r="14534" spans="1:5">
      <c r="A14534">
        <v>10948</v>
      </c>
      <c r="B14534" t="s">
        <v>176</v>
      </c>
      <c r="C14534">
        <v>96</v>
      </c>
      <c r="D14534">
        <v>4</v>
      </c>
      <c r="E14534" s="80">
        <v>35867</v>
      </c>
    </row>
    <row r="14535" spans="1:5">
      <c r="A14535">
        <v>10948</v>
      </c>
      <c r="B14535" t="s">
        <v>177</v>
      </c>
      <c r="C14535">
        <v>96</v>
      </c>
      <c r="D14535">
        <v>4</v>
      </c>
      <c r="E14535" s="80">
        <v>35867</v>
      </c>
    </row>
    <row r="14536" spans="1:5">
      <c r="A14536">
        <v>10948</v>
      </c>
      <c r="B14536" t="s">
        <v>178</v>
      </c>
      <c r="C14536">
        <v>96</v>
      </c>
      <c r="D14536">
        <v>4</v>
      </c>
      <c r="E14536" s="80">
        <v>35867</v>
      </c>
    </row>
    <row r="14537" spans="1:5">
      <c r="A14537">
        <v>10948</v>
      </c>
      <c r="B14537" t="s">
        <v>179</v>
      </c>
      <c r="C14537">
        <v>96</v>
      </c>
      <c r="D14537">
        <v>4</v>
      </c>
      <c r="E14537" s="80">
        <v>35867</v>
      </c>
    </row>
    <row r="14538" spans="1:5">
      <c r="A14538">
        <v>10949</v>
      </c>
      <c r="B14538" t="s">
        <v>172</v>
      </c>
      <c r="C14538">
        <v>300</v>
      </c>
      <c r="D14538">
        <v>12</v>
      </c>
      <c r="E14538" s="80">
        <v>35867</v>
      </c>
    </row>
    <row r="14539" spans="1:5">
      <c r="A14539">
        <v>10949</v>
      </c>
      <c r="B14539" t="s">
        <v>173</v>
      </c>
      <c r="C14539">
        <v>300</v>
      </c>
      <c r="D14539">
        <v>12</v>
      </c>
      <c r="E14539" s="80">
        <v>35867</v>
      </c>
    </row>
    <row r="14540" spans="1:5">
      <c r="A14540">
        <v>10949</v>
      </c>
      <c r="B14540" t="s">
        <v>174</v>
      </c>
      <c r="C14540">
        <v>300</v>
      </c>
      <c r="D14540">
        <v>12</v>
      </c>
      <c r="E14540" s="80">
        <v>35867</v>
      </c>
    </row>
    <row r="14541" spans="1:5">
      <c r="A14541">
        <v>10949</v>
      </c>
      <c r="B14541" t="s">
        <v>175</v>
      </c>
      <c r="C14541">
        <v>300</v>
      </c>
      <c r="D14541">
        <v>12</v>
      </c>
      <c r="E14541" s="80">
        <v>35867</v>
      </c>
    </row>
    <row r="14542" spans="1:5">
      <c r="A14542">
        <v>10949</v>
      </c>
      <c r="B14542" t="s">
        <v>176</v>
      </c>
      <c r="C14542">
        <v>300</v>
      </c>
      <c r="D14542">
        <v>12</v>
      </c>
      <c r="E14542" s="80">
        <v>35867</v>
      </c>
    </row>
    <row r="14543" spans="1:5">
      <c r="A14543">
        <v>10949</v>
      </c>
      <c r="B14543" t="s">
        <v>177</v>
      </c>
      <c r="C14543">
        <v>300</v>
      </c>
      <c r="D14543">
        <v>12</v>
      </c>
      <c r="E14543" s="80">
        <v>35867</v>
      </c>
    </row>
    <row r="14544" spans="1:5">
      <c r="A14544">
        <v>10949</v>
      </c>
      <c r="B14544" t="s">
        <v>178</v>
      </c>
      <c r="C14544">
        <v>300</v>
      </c>
      <c r="D14544">
        <v>12</v>
      </c>
      <c r="E14544" s="80">
        <v>35867</v>
      </c>
    </row>
    <row r="14545" spans="1:5">
      <c r="A14545">
        <v>10949</v>
      </c>
      <c r="B14545" t="s">
        <v>179</v>
      </c>
      <c r="C14545">
        <v>300</v>
      </c>
      <c r="D14545">
        <v>12</v>
      </c>
      <c r="E14545" s="80">
        <v>35867</v>
      </c>
    </row>
    <row r="14546" spans="1:5">
      <c r="A14546">
        <v>10949</v>
      </c>
      <c r="B14546" t="s">
        <v>172</v>
      </c>
      <c r="C14546">
        <v>930</v>
      </c>
      <c r="D14546">
        <v>30</v>
      </c>
      <c r="E14546" s="80">
        <v>35867</v>
      </c>
    </row>
    <row r="14547" spans="1:5">
      <c r="A14547">
        <v>10949</v>
      </c>
      <c r="B14547" t="s">
        <v>173</v>
      </c>
      <c r="C14547">
        <v>930</v>
      </c>
      <c r="D14547">
        <v>30</v>
      </c>
      <c r="E14547" s="80">
        <v>35867</v>
      </c>
    </row>
    <row r="14548" spans="1:5">
      <c r="A14548">
        <v>10949</v>
      </c>
      <c r="B14548" t="s">
        <v>174</v>
      </c>
      <c r="C14548">
        <v>930</v>
      </c>
      <c r="D14548">
        <v>30</v>
      </c>
      <c r="E14548" s="80">
        <v>35867</v>
      </c>
    </row>
    <row r="14549" spans="1:5">
      <c r="A14549">
        <v>10949</v>
      </c>
      <c r="B14549" t="s">
        <v>175</v>
      </c>
      <c r="C14549">
        <v>930</v>
      </c>
      <c r="D14549">
        <v>30</v>
      </c>
      <c r="E14549" s="80">
        <v>35867</v>
      </c>
    </row>
    <row r="14550" spans="1:5">
      <c r="A14550">
        <v>10949</v>
      </c>
      <c r="B14550" t="s">
        <v>176</v>
      </c>
      <c r="C14550">
        <v>930</v>
      </c>
      <c r="D14550">
        <v>30</v>
      </c>
      <c r="E14550" s="80">
        <v>35867</v>
      </c>
    </row>
    <row r="14551" spans="1:5">
      <c r="A14551">
        <v>10949</v>
      </c>
      <c r="B14551" t="s">
        <v>177</v>
      </c>
      <c r="C14551">
        <v>930</v>
      </c>
      <c r="D14551">
        <v>30</v>
      </c>
      <c r="E14551" s="80">
        <v>35867</v>
      </c>
    </row>
    <row r="14552" spans="1:5">
      <c r="A14552">
        <v>10949</v>
      </c>
      <c r="B14552" t="s">
        <v>178</v>
      </c>
      <c r="C14552">
        <v>930</v>
      </c>
      <c r="D14552">
        <v>30</v>
      </c>
      <c r="E14552" s="80">
        <v>35867</v>
      </c>
    </row>
    <row r="14553" spans="1:5">
      <c r="A14553">
        <v>10949</v>
      </c>
      <c r="B14553" t="s">
        <v>179</v>
      </c>
      <c r="C14553">
        <v>930</v>
      </c>
      <c r="D14553">
        <v>30</v>
      </c>
      <c r="E14553" s="80">
        <v>35867</v>
      </c>
    </row>
    <row r="14554" spans="1:5">
      <c r="A14554">
        <v>10949</v>
      </c>
      <c r="B14554" t="s">
        <v>172</v>
      </c>
      <c r="C14554">
        <v>234</v>
      </c>
      <c r="D14554">
        <v>6</v>
      </c>
      <c r="E14554" s="80">
        <v>35867</v>
      </c>
    </row>
    <row r="14555" spans="1:5">
      <c r="A14555">
        <v>10949</v>
      </c>
      <c r="B14555" t="s">
        <v>173</v>
      </c>
      <c r="C14555">
        <v>234</v>
      </c>
      <c r="D14555">
        <v>6</v>
      </c>
      <c r="E14555" s="80">
        <v>35867</v>
      </c>
    </row>
    <row r="14556" spans="1:5">
      <c r="A14556">
        <v>10949</v>
      </c>
      <c r="B14556" t="s">
        <v>174</v>
      </c>
      <c r="C14556">
        <v>234</v>
      </c>
      <c r="D14556">
        <v>6</v>
      </c>
      <c r="E14556" s="80">
        <v>35867</v>
      </c>
    </row>
    <row r="14557" spans="1:5">
      <c r="A14557">
        <v>10949</v>
      </c>
      <c r="B14557" t="s">
        <v>175</v>
      </c>
      <c r="C14557">
        <v>234</v>
      </c>
      <c r="D14557">
        <v>6</v>
      </c>
      <c r="E14557" s="80">
        <v>35867</v>
      </c>
    </row>
    <row r="14558" spans="1:5">
      <c r="A14558">
        <v>10949</v>
      </c>
      <c r="B14558" t="s">
        <v>176</v>
      </c>
      <c r="C14558">
        <v>234</v>
      </c>
      <c r="D14558">
        <v>6</v>
      </c>
      <c r="E14558" s="80">
        <v>35867</v>
      </c>
    </row>
    <row r="14559" spans="1:5">
      <c r="A14559">
        <v>10949</v>
      </c>
      <c r="B14559" t="s">
        <v>177</v>
      </c>
      <c r="C14559">
        <v>234</v>
      </c>
      <c r="D14559">
        <v>6</v>
      </c>
      <c r="E14559" s="80">
        <v>35867</v>
      </c>
    </row>
    <row r="14560" spans="1:5">
      <c r="A14560">
        <v>10949</v>
      </c>
      <c r="B14560" t="s">
        <v>178</v>
      </c>
      <c r="C14560">
        <v>234</v>
      </c>
      <c r="D14560">
        <v>6</v>
      </c>
      <c r="E14560" s="80">
        <v>35867</v>
      </c>
    </row>
    <row r="14561" spans="1:5">
      <c r="A14561">
        <v>10949</v>
      </c>
      <c r="B14561" t="s">
        <v>179</v>
      </c>
      <c r="C14561">
        <v>234</v>
      </c>
      <c r="D14561">
        <v>6</v>
      </c>
      <c r="E14561" s="80">
        <v>35867</v>
      </c>
    </row>
    <row r="14562" spans="1:5">
      <c r="A14562">
        <v>10949</v>
      </c>
      <c r="B14562" t="s">
        <v>172</v>
      </c>
      <c r="C14562">
        <v>2958</v>
      </c>
      <c r="D14562">
        <v>60</v>
      </c>
      <c r="E14562" s="80">
        <v>35867</v>
      </c>
    </row>
    <row r="14563" spans="1:5">
      <c r="A14563">
        <v>10949</v>
      </c>
      <c r="B14563" t="s">
        <v>173</v>
      </c>
      <c r="C14563">
        <v>2958</v>
      </c>
      <c r="D14563">
        <v>60</v>
      </c>
      <c r="E14563" s="80">
        <v>35867</v>
      </c>
    </row>
    <row r="14564" spans="1:5">
      <c r="A14564">
        <v>10949</v>
      </c>
      <c r="B14564" t="s">
        <v>174</v>
      </c>
      <c r="C14564">
        <v>2958</v>
      </c>
      <c r="D14564">
        <v>60</v>
      </c>
      <c r="E14564" s="80">
        <v>35867</v>
      </c>
    </row>
    <row r="14565" spans="1:5">
      <c r="A14565">
        <v>10949</v>
      </c>
      <c r="B14565" t="s">
        <v>175</v>
      </c>
      <c r="C14565">
        <v>2958</v>
      </c>
      <c r="D14565">
        <v>60</v>
      </c>
      <c r="E14565" s="80">
        <v>35867</v>
      </c>
    </row>
    <row r="14566" spans="1:5">
      <c r="A14566">
        <v>10949</v>
      </c>
      <c r="B14566" t="s">
        <v>176</v>
      </c>
      <c r="C14566">
        <v>2958</v>
      </c>
      <c r="D14566">
        <v>60</v>
      </c>
      <c r="E14566" s="80">
        <v>35867</v>
      </c>
    </row>
    <row r="14567" spans="1:5">
      <c r="A14567">
        <v>10949</v>
      </c>
      <c r="B14567" t="s">
        <v>177</v>
      </c>
      <c r="C14567">
        <v>2958</v>
      </c>
      <c r="D14567">
        <v>60</v>
      </c>
      <c r="E14567" s="80">
        <v>35867</v>
      </c>
    </row>
    <row r="14568" spans="1:5">
      <c r="A14568">
        <v>10949</v>
      </c>
      <c r="B14568" t="s">
        <v>178</v>
      </c>
      <c r="C14568">
        <v>2958</v>
      </c>
      <c r="D14568">
        <v>60</v>
      </c>
      <c r="E14568" s="80">
        <v>35867</v>
      </c>
    </row>
    <row r="14569" spans="1:5">
      <c r="A14569">
        <v>10949</v>
      </c>
      <c r="B14569" t="s">
        <v>179</v>
      </c>
      <c r="C14569">
        <v>2958</v>
      </c>
      <c r="D14569">
        <v>60</v>
      </c>
      <c r="E14569" s="80">
        <v>35867</v>
      </c>
    </row>
    <row r="14570" spans="1:5">
      <c r="A14570">
        <v>10950</v>
      </c>
      <c r="B14570" t="s">
        <v>172</v>
      </c>
      <c r="C14570">
        <v>110</v>
      </c>
      <c r="D14570">
        <v>5</v>
      </c>
      <c r="E14570" s="80">
        <v>35870</v>
      </c>
    </row>
    <row r="14571" spans="1:5">
      <c r="A14571">
        <v>10950</v>
      </c>
      <c r="B14571" t="s">
        <v>173</v>
      </c>
      <c r="C14571">
        <v>110</v>
      </c>
      <c r="D14571">
        <v>5</v>
      </c>
      <c r="E14571" s="80">
        <v>35870</v>
      </c>
    </row>
    <row r="14572" spans="1:5">
      <c r="A14572">
        <v>10950</v>
      </c>
      <c r="B14572" t="s">
        <v>174</v>
      </c>
      <c r="C14572">
        <v>110</v>
      </c>
      <c r="D14572">
        <v>5</v>
      </c>
      <c r="E14572" s="80">
        <v>35870</v>
      </c>
    </row>
    <row r="14573" spans="1:5">
      <c r="A14573">
        <v>10950</v>
      </c>
      <c r="B14573" t="s">
        <v>175</v>
      </c>
      <c r="C14573">
        <v>110</v>
      </c>
      <c r="D14573">
        <v>5</v>
      </c>
      <c r="E14573" s="80">
        <v>35870</v>
      </c>
    </row>
    <row r="14574" spans="1:5">
      <c r="A14574">
        <v>10950</v>
      </c>
      <c r="B14574" t="s">
        <v>176</v>
      </c>
      <c r="C14574">
        <v>110</v>
      </c>
      <c r="D14574">
        <v>5</v>
      </c>
      <c r="E14574" s="80">
        <v>35870</v>
      </c>
    </row>
    <row r="14575" spans="1:5">
      <c r="A14575">
        <v>10950</v>
      </c>
      <c r="B14575" t="s">
        <v>177</v>
      </c>
      <c r="C14575">
        <v>110</v>
      </c>
      <c r="D14575">
        <v>5</v>
      </c>
      <c r="E14575" s="80">
        <v>35870</v>
      </c>
    </row>
    <row r="14576" spans="1:5">
      <c r="A14576">
        <v>10950</v>
      </c>
      <c r="B14576" t="s">
        <v>178</v>
      </c>
      <c r="C14576">
        <v>110</v>
      </c>
      <c r="D14576">
        <v>5</v>
      </c>
      <c r="E14576" s="80">
        <v>35870</v>
      </c>
    </row>
    <row r="14577" spans="1:5">
      <c r="A14577">
        <v>10950</v>
      </c>
      <c r="B14577" t="s">
        <v>179</v>
      </c>
      <c r="C14577">
        <v>110</v>
      </c>
      <c r="D14577">
        <v>5</v>
      </c>
      <c r="E14577" s="80">
        <v>35870</v>
      </c>
    </row>
    <row r="14578" spans="1:5">
      <c r="A14578">
        <v>10951</v>
      </c>
      <c r="B14578" t="s">
        <v>172</v>
      </c>
      <c r="C14578">
        <v>35.624999972060323</v>
      </c>
      <c r="D14578">
        <v>15</v>
      </c>
      <c r="E14578" s="80">
        <v>35870</v>
      </c>
    </row>
    <row r="14579" spans="1:5">
      <c r="A14579">
        <v>10951</v>
      </c>
      <c r="B14579" t="s">
        <v>173</v>
      </c>
      <c r="C14579">
        <v>35.624999972060323</v>
      </c>
      <c r="D14579">
        <v>15</v>
      </c>
      <c r="E14579" s="80">
        <v>35870</v>
      </c>
    </row>
    <row r="14580" spans="1:5">
      <c r="A14580">
        <v>10951</v>
      </c>
      <c r="B14580" t="s">
        <v>174</v>
      </c>
      <c r="C14580">
        <v>35.624999972060323</v>
      </c>
      <c r="D14580">
        <v>15</v>
      </c>
      <c r="E14580" s="80">
        <v>35870</v>
      </c>
    </row>
    <row r="14581" spans="1:5">
      <c r="A14581">
        <v>10951</v>
      </c>
      <c r="B14581" t="s">
        <v>175</v>
      </c>
      <c r="C14581">
        <v>35.624999972060323</v>
      </c>
      <c r="D14581">
        <v>15</v>
      </c>
      <c r="E14581" s="80">
        <v>35870</v>
      </c>
    </row>
    <row r="14582" spans="1:5">
      <c r="A14582">
        <v>10951</v>
      </c>
      <c r="B14582" t="s">
        <v>176</v>
      </c>
      <c r="C14582">
        <v>35.624999972060323</v>
      </c>
      <c r="D14582">
        <v>15</v>
      </c>
      <c r="E14582" s="80">
        <v>35870</v>
      </c>
    </row>
    <row r="14583" spans="1:5">
      <c r="A14583">
        <v>10951</v>
      </c>
      <c r="B14583" t="s">
        <v>177</v>
      </c>
      <c r="C14583">
        <v>35.624999972060323</v>
      </c>
      <c r="D14583">
        <v>15</v>
      </c>
      <c r="E14583" s="80">
        <v>35870</v>
      </c>
    </row>
    <row r="14584" spans="1:5">
      <c r="A14584">
        <v>10951</v>
      </c>
      <c r="B14584" t="s">
        <v>178</v>
      </c>
      <c r="C14584">
        <v>35.624999972060323</v>
      </c>
      <c r="D14584">
        <v>15</v>
      </c>
      <c r="E14584" s="80">
        <v>35870</v>
      </c>
    </row>
    <row r="14585" spans="1:5">
      <c r="A14585">
        <v>10951</v>
      </c>
      <c r="B14585" t="s">
        <v>179</v>
      </c>
      <c r="C14585">
        <v>35.624999972060323</v>
      </c>
      <c r="D14585">
        <v>15</v>
      </c>
      <c r="E14585" s="80">
        <v>35870</v>
      </c>
    </row>
    <row r="14586" spans="1:5">
      <c r="A14586">
        <v>10951</v>
      </c>
      <c r="B14586" t="s">
        <v>172</v>
      </c>
      <c r="C14586">
        <v>55.004999956861134</v>
      </c>
      <c r="D14586">
        <v>6</v>
      </c>
      <c r="E14586" s="80">
        <v>35870</v>
      </c>
    </row>
    <row r="14587" spans="1:5">
      <c r="A14587">
        <v>10951</v>
      </c>
      <c r="B14587" t="s">
        <v>173</v>
      </c>
      <c r="C14587">
        <v>55.004999956861134</v>
      </c>
      <c r="D14587">
        <v>6</v>
      </c>
      <c r="E14587" s="80">
        <v>35870</v>
      </c>
    </row>
    <row r="14588" spans="1:5">
      <c r="A14588">
        <v>10951</v>
      </c>
      <c r="B14588" t="s">
        <v>174</v>
      </c>
      <c r="C14588">
        <v>55.004999956861134</v>
      </c>
      <c r="D14588">
        <v>6</v>
      </c>
      <c r="E14588" s="80">
        <v>35870</v>
      </c>
    </row>
    <row r="14589" spans="1:5">
      <c r="A14589">
        <v>10951</v>
      </c>
      <c r="B14589" t="s">
        <v>175</v>
      </c>
      <c r="C14589">
        <v>55.004999956861134</v>
      </c>
      <c r="D14589">
        <v>6</v>
      </c>
      <c r="E14589" s="80">
        <v>35870</v>
      </c>
    </row>
    <row r="14590" spans="1:5">
      <c r="A14590">
        <v>10951</v>
      </c>
      <c r="B14590" t="s">
        <v>176</v>
      </c>
      <c r="C14590">
        <v>55.004999956861134</v>
      </c>
      <c r="D14590">
        <v>6</v>
      </c>
      <c r="E14590" s="80">
        <v>35870</v>
      </c>
    </row>
    <row r="14591" spans="1:5">
      <c r="A14591">
        <v>10951</v>
      </c>
      <c r="B14591" t="s">
        <v>177</v>
      </c>
      <c r="C14591">
        <v>55.004999956861134</v>
      </c>
      <c r="D14591">
        <v>6</v>
      </c>
      <c r="E14591" s="80">
        <v>35870</v>
      </c>
    </row>
    <row r="14592" spans="1:5">
      <c r="A14592">
        <v>10951</v>
      </c>
      <c r="B14592" t="s">
        <v>178</v>
      </c>
      <c r="C14592">
        <v>55.004999956861134</v>
      </c>
      <c r="D14592">
        <v>6</v>
      </c>
      <c r="E14592" s="80">
        <v>35870</v>
      </c>
    </row>
    <row r="14593" spans="1:5">
      <c r="A14593">
        <v>10951</v>
      </c>
      <c r="B14593" t="s">
        <v>179</v>
      </c>
      <c r="C14593">
        <v>55.004999956861134</v>
      </c>
      <c r="D14593">
        <v>6</v>
      </c>
      <c r="E14593" s="80">
        <v>35870</v>
      </c>
    </row>
    <row r="14594" spans="1:5">
      <c r="A14594">
        <v>10951</v>
      </c>
      <c r="B14594" t="s">
        <v>172</v>
      </c>
      <c r="C14594">
        <v>368.12499971129</v>
      </c>
      <c r="D14594">
        <v>50</v>
      </c>
      <c r="E14594" s="80">
        <v>35870</v>
      </c>
    </row>
    <row r="14595" spans="1:5">
      <c r="A14595">
        <v>10951</v>
      </c>
      <c r="B14595" t="s">
        <v>173</v>
      </c>
      <c r="C14595">
        <v>368.12499971129</v>
      </c>
      <c r="D14595">
        <v>50</v>
      </c>
      <c r="E14595" s="80">
        <v>35870</v>
      </c>
    </row>
    <row r="14596" spans="1:5">
      <c r="A14596">
        <v>10951</v>
      </c>
      <c r="B14596" t="s">
        <v>174</v>
      </c>
      <c r="C14596">
        <v>368.12499971129</v>
      </c>
      <c r="D14596">
        <v>50</v>
      </c>
      <c r="E14596" s="80">
        <v>35870</v>
      </c>
    </row>
    <row r="14597" spans="1:5">
      <c r="A14597">
        <v>10951</v>
      </c>
      <c r="B14597" t="s">
        <v>175</v>
      </c>
      <c r="C14597">
        <v>368.12499971129</v>
      </c>
      <c r="D14597">
        <v>50</v>
      </c>
      <c r="E14597" s="80">
        <v>35870</v>
      </c>
    </row>
    <row r="14598" spans="1:5">
      <c r="A14598">
        <v>10951</v>
      </c>
      <c r="B14598" t="s">
        <v>176</v>
      </c>
      <c r="C14598">
        <v>368.12499971129</v>
      </c>
      <c r="D14598">
        <v>50</v>
      </c>
      <c r="E14598" s="80">
        <v>35870</v>
      </c>
    </row>
    <row r="14599" spans="1:5">
      <c r="A14599">
        <v>10951</v>
      </c>
      <c r="B14599" t="s">
        <v>177</v>
      </c>
      <c r="C14599">
        <v>368.12499971129</v>
      </c>
      <c r="D14599">
        <v>50</v>
      </c>
      <c r="E14599" s="80">
        <v>35870</v>
      </c>
    </row>
    <row r="14600" spans="1:5">
      <c r="A14600">
        <v>10951</v>
      </c>
      <c r="B14600" t="s">
        <v>178</v>
      </c>
      <c r="C14600">
        <v>368.12499971129</v>
      </c>
      <c r="D14600">
        <v>50</v>
      </c>
      <c r="E14600" s="80">
        <v>35870</v>
      </c>
    </row>
    <row r="14601" spans="1:5">
      <c r="A14601">
        <v>10951</v>
      </c>
      <c r="B14601" t="s">
        <v>179</v>
      </c>
      <c r="C14601">
        <v>368.12499971129</v>
      </c>
      <c r="D14601">
        <v>50</v>
      </c>
      <c r="E14601" s="80">
        <v>35870</v>
      </c>
    </row>
    <row r="14602" spans="1:5">
      <c r="A14602">
        <v>10952</v>
      </c>
      <c r="B14602" t="s">
        <v>172</v>
      </c>
      <c r="C14602">
        <v>379.99999970197678</v>
      </c>
      <c r="D14602">
        <v>16</v>
      </c>
      <c r="E14602" s="80">
        <v>35870</v>
      </c>
    </row>
    <row r="14603" spans="1:5">
      <c r="A14603">
        <v>10952</v>
      </c>
      <c r="B14603" t="s">
        <v>173</v>
      </c>
      <c r="C14603">
        <v>379.99999970197678</v>
      </c>
      <c r="D14603">
        <v>16</v>
      </c>
      <c r="E14603" s="80">
        <v>35870</v>
      </c>
    </row>
    <row r="14604" spans="1:5">
      <c r="A14604">
        <v>10952</v>
      </c>
      <c r="B14604" t="s">
        <v>174</v>
      </c>
      <c r="C14604">
        <v>379.99999970197678</v>
      </c>
      <c r="D14604">
        <v>16</v>
      </c>
      <c r="E14604" s="80">
        <v>35870</v>
      </c>
    </row>
    <row r="14605" spans="1:5">
      <c r="A14605">
        <v>10952</v>
      </c>
      <c r="B14605" t="s">
        <v>175</v>
      </c>
      <c r="C14605">
        <v>379.99999970197678</v>
      </c>
      <c r="D14605">
        <v>16</v>
      </c>
      <c r="E14605" s="80">
        <v>35870</v>
      </c>
    </row>
    <row r="14606" spans="1:5">
      <c r="A14606">
        <v>10952</v>
      </c>
      <c r="B14606" t="s">
        <v>176</v>
      </c>
      <c r="C14606">
        <v>379.99999970197678</v>
      </c>
      <c r="D14606">
        <v>16</v>
      </c>
      <c r="E14606" s="80">
        <v>35870</v>
      </c>
    </row>
    <row r="14607" spans="1:5">
      <c r="A14607">
        <v>10952</v>
      </c>
      <c r="B14607" t="s">
        <v>177</v>
      </c>
      <c r="C14607">
        <v>379.99999970197678</v>
      </c>
      <c r="D14607">
        <v>16</v>
      </c>
      <c r="E14607" s="80">
        <v>35870</v>
      </c>
    </row>
    <row r="14608" spans="1:5">
      <c r="A14608">
        <v>10952</v>
      </c>
      <c r="B14608" t="s">
        <v>178</v>
      </c>
      <c r="C14608">
        <v>379.99999970197678</v>
      </c>
      <c r="D14608">
        <v>16</v>
      </c>
      <c r="E14608" s="80">
        <v>35870</v>
      </c>
    </row>
    <row r="14609" spans="1:5">
      <c r="A14609">
        <v>10952</v>
      </c>
      <c r="B14609" t="s">
        <v>179</v>
      </c>
      <c r="C14609">
        <v>379.99999970197678</v>
      </c>
      <c r="D14609">
        <v>16</v>
      </c>
      <c r="E14609" s="80">
        <v>35870</v>
      </c>
    </row>
    <row r="14610" spans="1:5">
      <c r="A14610">
        <v>10952</v>
      </c>
      <c r="B14610" t="s">
        <v>172</v>
      </c>
      <c r="C14610">
        <v>91.2</v>
      </c>
      <c r="D14610">
        <v>2</v>
      </c>
      <c r="E14610" s="80">
        <v>35870</v>
      </c>
    </row>
    <row r="14611" spans="1:5">
      <c r="A14611">
        <v>10952</v>
      </c>
      <c r="B14611" t="s">
        <v>173</v>
      </c>
      <c r="C14611">
        <v>91.2</v>
      </c>
      <c r="D14611">
        <v>2</v>
      </c>
      <c r="E14611" s="80">
        <v>35870</v>
      </c>
    </row>
    <row r="14612" spans="1:5">
      <c r="A14612">
        <v>10952</v>
      </c>
      <c r="B14612" t="s">
        <v>174</v>
      </c>
      <c r="C14612">
        <v>91.2</v>
      </c>
      <c r="D14612">
        <v>2</v>
      </c>
      <c r="E14612" s="80">
        <v>35870</v>
      </c>
    </row>
    <row r="14613" spans="1:5">
      <c r="A14613">
        <v>10952</v>
      </c>
      <c r="B14613" t="s">
        <v>175</v>
      </c>
      <c r="C14613">
        <v>91.2</v>
      </c>
      <c r="D14613">
        <v>2</v>
      </c>
      <c r="E14613" s="80">
        <v>35870</v>
      </c>
    </row>
    <row r="14614" spans="1:5">
      <c r="A14614">
        <v>10952</v>
      </c>
      <c r="B14614" t="s">
        <v>176</v>
      </c>
      <c r="C14614">
        <v>91.2</v>
      </c>
      <c r="D14614">
        <v>2</v>
      </c>
      <c r="E14614" s="80">
        <v>35870</v>
      </c>
    </row>
    <row r="14615" spans="1:5">
      <c r="A14615">
        <v>10952</v>
      </c>
      <c r="B14615" t="s">
        <v>177</v>
      </c>
      <c r="C14615">
        <v>91.2</v>
      </c>
      <c r="D14615">
        <v>2</v>
      </c>
      <c r="E14615" s="80">
        <v>35870</v>
      </c>
    </row>
    <row r="14616" spans="1:5">
      <c r="A14616">
        <v>10952</v>
      </c>
      <c r="B14616" t="s">
        <v>178</v>
      </c>
      <c r="C14616">
        <v>91.2</v>
      </c>
      <c r="D14616">
        <v>2</v>
      </c>
      <c r="E14616" s="80">
        <v>35870</v>
      </c>
    </row>
    <row r="14617" spans="1:5">
      <c r="A14617">
        <v>10952</v>
      </c>
      <c r="B14617" t="s">
        <v>179</v>
      </c>
      <c r="C14617">
        <v>91.2</v>
      </c>
      <c r="D14617">
        <v>2</v>
      </c>
      <c r="E14617" s="80">
        <v>35870</v>
      </c>
    </row>
    <row r="14618" spans="1:5">
      <c r="A14618">
        <v>10952</v>
      </c>
      <c r="B14618" t="s">
        <v>172</v>
      </c>
      <c r="C14618">
        <v>9.5</v>
      </c>
      <c r="D14618">
        <v>1</v>
      </c>
      <c r="E14618" s="80">
        <v>35870</v>
      </c>
    </row>
    <row r="14619" spans="1:5">
      <c r="A14619">
        <v>10952</v>
      </c>
      <c r="B14619" t="s">
        <v>173</v>
      </c>
      <c r="C14619">
        <v>9.5</v>
      </c>
      <c r="D14619">
        <v>1</v>
      </c>
      <c r="E14619" s="80">
        <v>35870</v>
      </c>
    </row>
    <row r="14620" spans="1:5">
      <c r="A14620">
        <v>10952</v>
      </c>
      <c r="B14620" t="s">
        <v>174</v>
      </c>
      <c r="C14620">
        <v>9.5</v>
      </c>
      <c r="D14620">
        <v>1</v>
      </c>
      <c r="E14620" s="80">
        <v>35870</v>
      </c>
    </row>
    <row r="14621" spans="1:5">
      <c r="A14621">
        <v>10952</v>
      </c>
      <c r="B14621" t="s">
        <v>175</v>
      </c>
      <c r="C14621">
        <v>9.5</v>
      </c>
      <c r="D14621">
        <v>1</v>
      </c>
      <c r="E14621" s="80">
        <v>35870</v>
      </c>
    </row>
    <row r="14622" spans="1:5">
      <c r="A14622">
        <v>10952</v>
      </c>
      <c r="B14622" t="s">
        <v>176</v>
      </c>
      <c r="C14622">
        <v>9.5</v>
      </c>
      <c r="D14622">
        <v>1</v>
      </c>
      <c r="E14622" s="80">
        <v>35870</v>
      </c>
    </row>
    <row r="14623" spans="1:5">
      <c r="A14623">
        <v>10952</v>
      </c>
      <c r="B14623" t="s">
        <v>177</v>
      </c>
      <c r="C14623">
        <v>9.5</v>
      </c>
      <c r="D14623">
        <v>1</v>
      </c>
      <c r="E14623" s="80">
        <v>35870</v>
      </c>
    </row>
    <row r="14624" spans="1:5">
      <c r="A14624">
        <v>10952</v>
      </c>
      <c r="B14624" t="s">
        <v>178</v>
      </c>
      <c r="C14624">
        <v>9.5</v>
      </c>
      <c r="D14624">
        <v>1</v>
      </c>
      <c r="E14624" s="80">
        <v>35870</v>
      </c>
    </row>
    <row r="14625" spans="1:5">
      <c r="A14625">
        <v>10952</v>
      </c>
      <c r="B14625" t="s">
        <v>179</v>
      </c>
      <c r="C14625">
        <v>9.5</v>
      </c>
      <c r="D14625">
        <v>1</v>
      </c>
      <c r="E14625" s="80">
        <v>35870</v>
      </c>
    </row>
    <row r="14626" spans="1:5">
      <c r="A14626">
        <v>10952</v>
      </c>
      <c r="B14626" t="s">
        <v>172</v>
      </c>
      <c r="C14626">
        <v>38</v>
      </c>
      <c r="D14626">
        <v>1</v>
      </c>
      <c r="E14626" s="80">
        <v>35870</v>
      </c>
    </row>
    <row r="14627" spans="1:5">
      <c r="A14627">
        <v>10952</v>
      </c>
      <c r="B14627" t="s">
        <v>173</v>
      </c>
      <c r="C14627">
        <v>38</v>
      </c>
      <c r="D14627">
        <v>1</v>
      </c>
      <c r="E14627" s="80">
        <v>35870</v>
      </c>
    </row>
    <row r="14628" spans="1:5">
      <c r="A14628">
        <v>10952</v>
      </c>
      <c r="B14628" t="s">
        <v>174</v>
      </c>
      <c r="C14628">
        <v>38</v>
      </c>
      <c r="D14628">
        <v>1</v>
      </c>
      <c r="E14628" s="80">
        <v>35870</v>
      </c>
    </row>
    <row r="14629" spans="1:5">
      <c r="A14629">
        <v>10952</v>
      </c>
      <c r="B14629" t="s">
        <v>175</v>
      </c>
      <c r="C14629">
        <v>38</v>
      </c>
      <c r="D14629">
        <v>1</v>
      </c>
      <c r="E14629" s="80">
        <v>35870</v>
      </c>
    </row>
    <row r="14630" spans="1:5">
      <c r="A14630">
        <v>10952</v>
      </c>
      <c r="B14630" t="s">
        <v>176</v>
      </c>
      <c r="C14630">
        <v>38</v>
      </c>
      <c r="D14630">
        <v>1</v>
      </c>
      <c r="E14630" s="80">
        <v>35870</v>
      </c>
    </row>
    <row r="14631" spans="1:5">
      <c r="A14631">
        <v>10952</v>
      </c>
      <c r="B14631" t="s">
        <v>177</v>
      </c>
      <c r="C14631">
        <v>38</v>
      </c>
      <c r="D14631">
        <v>1</v>
      </c>
      <c r="E14631" s="80">
        <v>35870</v>
      </c>
    </row>
    <row r="14632" spans="1:5">
      <c r="A14632">
        <v>10952</v>
      </c>
      <c r="B14632" t="s">
        <v>178</v>
      </c>
      <c r="C14632">
        <v>38</v>
      </c>
      <c r="D14632">
        <v>1</v>
      </c>
      <c r="E14632" s="80">
        <v>35870</v>
      </c>
    </row>
    <row r="14633" spans="1:5">
      <c r="A14633">
        <v>10952</v>
      </c>
      <c r="B14633" t="s">
        <v>179</v>
      </c>
      <c r="C14633">
        <v>38</v>
      </c>
      <c r="D14633">
        <v>1</v>
      </c>
      <c r="E14633" s="80">
        <v>35870</v>
      </c>
    </row>
    <row r="14634" spans="1:5">
      <c r="A14634">
        <v>10953</v>
      </c>
      <c r="B14634" t="s">
        <v>172</v>
      </c>
      <c r="C14634">
        <v>3847.4999969825149</v>
      </c>
      <c r="D14634">
        <v>50</v>
      </c>
      <c r="E14634" s="80">
        <v>35870</v>
      </c>
    </row>
    <row r="14635" spans="1:5">
      <c r="A14635">
        <v>10953</v>
      </c>
      <c r="B14635" t="s">
        <v>173</v>
      </c>
      <c r="C14635">
        <v>3847.4999969825149</v>
      </c>
      <c r="D14635">
        <v>50</v>
      </c>
      <c r="E14635" s="80">
        <v>35870</v>
      </c>
    </row>
    <row r="14636" spans="1:5">
      <c r="A14636">
        <v>10953</v>
      </c>
      <c r="B14636" t="s">
        <v>174</v>
      </c>
      <c r="C14636">
        <v>3847.4999969825149</v>
      </c>
      <c r="D14636">
        <v>50</v>
      </c>
      <c r="E14636" s="80">
        <v>35870</v>
      </c>
    </row>
    <row r="14637" spans="1:5">
      <c r="A14637">
        <v>10953</v>
      </c>
      <c r="B14637" t="s">
        <v>175</v>
      </c>
      <c r="C14637">
        <v>3847.4999969825149</v>
      </c>
      <c r="D14637">
        <v>50</v>
      </c>
      <c r="E14637" s="80">
        <v>35870</v>
      </c>
    </row>
    <row r="14638" spans="1:5">
      <c r="A14638">
        <v>10953</v>
      </c>
      <c r="B14638" t="s">
        <v>176</v>
      </c>
      <c r="C14638">
        <v>3847.4999969825149</v>
      </c>
      <c r="D14638">
        <v>50</v>
      </c>
      <c r="E14638" s="80">
        <v>35870</v>
      </c>
    </row>
    <row r="14639" spans="1:5">
      <c r="A14639">
        <v>10953</v>
      </c>
      <c r="B14639" t="s">
        <v>177</v>
      </c>
      <c r="C14639">
        <v>3847.4999969825149</v>
      </c>
      <c r="D14639">
        <v>50</v>
      </c>
      <c r="E14639" s="80">
        <v>35870</v>
      </c>
    </row>
    <row r="14640" spans="1:5">
      <c r="A14640">
        <v>10953</v>
      </c>
      <c r="B14640" t="s">
        <v>178</v>
      </c>
      <c r="C14640">
        <v>3847.4999969825149</v>
      </c>
      <c r="D14640">
        <v>50</v>
      </c>
      <c r="E14640" s="80">
        <v>35870</v>
      </c>
    </row>
    <row r="14641" spans="1:5">
      <c r="A14641">
        <v>10953</v>
      </c>
      <c r="B14641" t="s">
        <v>179</v>
      </c>
      <c r="C14641">
        <v>3847.4999969825149</v>
      </c>
      <c r="D14641">
        <v>50</v>
      </c>
      <c r="E14641" s="80">
        <v>35870</v>
      </c>
    </row>
    <row r="14642" spans="1:5">
      <c r="A14642">
        <v>10953</v>
      </c>
      <c r="B14642" t="s">
        <v>172</v>
      </c>
      <c r="C14642">
        <v>593.74999953433871</v>
      </c>
      <c r="D14642">
        <v>50</v>
      </c>
      <c r="E14642" s="80">
        <v>35870</v>
      </c>
    </row>
    <row r="14643" spans="1:5">
      <c r="A14643">
        <v>10953</v>
      </c>
      <c r="B14643" t="s">
        <v>173</v>
      </c>
      <c r="C14643">
        <v>593.74999953433871</v>
      </c>
      <c r="D14643">
        <v>50</v>
      </c>
      <c r="E14643" s="80">
        <v>35870</v>
      </c>
    </row>
    <row r="14644" spans="1:5">
      <c r="A14644">
        <v>10953</v>
      </c>
      <c r="B14644" t="s">
        <v>174</v>
      </c>
      <c r="C14644">
        <v>593.74999953433871</v>
      </c>
      <c r="D14644">
        <v>50</v>
      </c>
      <c r="E14644" s="80">
        <v>35870</v>
      </c>
    </row>
    <row r="14645" spans="1:5">
      <c r="A14645">
        <v>10953</v>
      </c>
      <c r="B14645" t="s">
        <v>175</v>
      </c>
      <c r="C14645">
        <v>593.74999953433871</v>
      </c>
      <c r="D14645">
        <v>50</v>
      </c>
      <c r="E14645" s="80">
        <v>35870</v>
      </c>
    </row>
    <row r="14646" spans="1:5">
      <c r="A14646">
        <v>10953</v>
      </c>
      <c r="B14646" t="s">
        <v>176</v>
      </c>
      <c r="C14646">
        <v>593.74999953433871</v>
      </c>
      <c r="D14646">
        <v>50</v>
      </c>
      <c r="E14646" s="80">
        <v>35870</v>
      </c>
    </row>
    <row r="14647" spans="1:5">
      <c r="A14647">
        <v>10953</v>
      </c>
      <c r="B14647" t="s">
        <v>177</v>
      </c>
      <c r="C14647">
        <v>593.74999953433871</v>
      </c>
      <c r="D14647">
        <v>50</v>
      </c>
      <c r="E14647" s="80">
        <v>35870</v>
      </c>
    </row>
    <row r="14648" spans="1:5">
      <c r="A14648">
        <v>10953</v>
      </c>
      <c r="B14648" t="s">
        <v>178</v>
      </c>
      <c r="C14648">
        <v>593.74999953433871</v>
      </c>
      <c r="D14648">
        <v>50</v>
      </c>
      <c r="E14648" s="80">
        <v>35870</v>
      </c>
    </row>
    <row r="14649" spans="1:5">
      <c r="A14649">
        <v>10953</v>
      </c>
      <c r="B14649" t="s">
        <v>179</v>
      </c>
      <c r="C14649">
        <v>593.74999953433871</v>
      </c>
      <c r="D14649">
        <v>50</v>
      </c>
      <c r="E14649" s="80">
        <v>35870</v>
      </c>
    </row>
    <row r="14650" spans="1:5">
      <c r="A14650">
        <v>10954</v>
      </c>
      <c r="B14650" t="s">
        <v>172</v>
      </c>
      <c r="C14650">
        <v>415.30999708771708</v>
      </c>
      <c r="D14650">
        <v>28</v>
      </c>
      <c r="E14650" s="80">
        <v>35871</v>
      </c>
    </row>
    <row r="14651" spans="1:5">
      <c r="A14651">
        <v>10954</v>
      </c>
      <c r="B14651" t="s">
        <v>173</v>
      </c>
      <c r="C14651">
        <v>415.30999708771708</v>
      </c>
      <c r="D14651">
        <v>28</v>
      </c>
      <c r="E14651" s="80">
        <v>35871</v>
      </c>
    </row>
    <row r="14652" spans="1:5">
      <c r="A14652">
        <v>10954</v>
      </c>
      <c r="B14652" t="s">
        <v>174</v>
      </c>
      <c r="C14652">
        <v>415.30999708771708</v>
      </c>
      <c r="D14652">
        <v>28</v>
      </c>
      <c r="E14652" s="80">
        <v>35871</v>
      </c>
    </row>
    <row r="14653" spans="1:5">
      <c r="A14653">
        <v>10954</v>
      </c>
      <c r="B14653" t="s">
        <v>175</v>
      </c>
      <c r="C14653">
        <v>415.30999708771708</v>
      </c>
      <c r="D14653">
        <v>28</v>
      </c>
      <c r="E14653" s="80">
        <v>35871</v>
      </c>
    </row>
    <row r="14654" spans="1:5">
      <c r="A14654">
        <v>10954</v>
      </c>
      <c r="B14654" t="s">
        <v>176</v>
      </c>
      <c r="C14654">
        <v>415.30999708771708</v>
      </c>
      <c r="D14654">
        <v>28</v>
      </c>
      <c r="E14654" s="80">
        <v>35871</v>
      </c>
    </row>
    <row r="14655" spans="1:5">
      <c r="A14655">
        <v>10954</v>
      </c>
      <c r="B14655" t="s">
        <v>177</v>
      </c>
      <c r="C14655">
        <v>415.30999708771708</v>
      </c>
      <c r="D14655">
        <v>28</v>
      </c>
      <c r="E14655" s="80">
        <v>35871</v>
      </c>
    </row>
    <row r="14656" spans="1:5">
      <c r="A14656">
        <v>10954</v>
      </c>
      <c r="B14656" t="s">
        <v>178</v>
      </c>
      <c r="C14656">
        <v>415.30999708771708</v>
      </c>
      <c r="D14656">
        <v>28</v>
      </c>
      <c r="E14656" s="80">
        <v>35871</v>
      </c>
    </row>
    <row r="14657" spans="1:5">
      <c r="A14657">
        <v>10954</v>
      </c>
      <c r="B14657" t="s">
        <v>179</v>
      </c>
      <c r="C14657">
        <v>415.30999708771708</v>
      </c>
      <c r="D14657">
        <v>28</v>
      </c>
      <c r="E14657" s="80">
        <v>35871</v>
      </c>
    </row>
    <row r="14658" spans="1:5">
      <c r="A14658">
        <v>10954</v>
      </c>
      <c r="B14658" t="s">
        <v>172</v>
      </c>
      <c r="C14658">
        <v>265.62499813735485</v>
      </c>
      <c r="D14658">
        <v>25</v>
      </c>
      <c r="E14658" s="80">
        <v>35871</v>
      </c>
    </row>
    <row r="14659" spans="1:5">
      <c r="A14659">
        <v>10954</v>
      </c>
      <c r="B14659" t="s">
        <v>173</v>
      </c>
      <c r="C14659">
        <v>265.62499813735485</v>
      </c>
      <c r="D14659">
        <v>25</v>
      </c>
      <c r="E14659" s="80">
        <v>35871</v>
      </c>
    </row>
    <row r="14660" spans="1:5">
      <c r="A14660">
        <v>10954</v>
      </c>
      <c r="B14660" t="s">
        <v>174</v>
      </c>
      <c r="C14660">
        <v>265.62499813735485</v>
      </c>
      <c r="D14660">
        <v>25</v>
      </c>
      <c r="E14660" s="80">
        <v>35871</v>
      </c>
    </row>
    <row r="14661" spans="1:5">
      <c r="A14661">
        <v>10954</v>
      </c>
      <c r="B14661" t="s">
        <v>175</v>
      </c>
      <c r="C14661">
        <v>265.62499813735485</v>
      </c>
      <c r="D14661">
        <v>25</v>
      </c>
      <c r="E14661" s="80">
        <v>35871</v>
      </c>
    </row>
    <row r="14662" spans="1:5">
      <c r="A14662">
        <v>10954</v>
      </c>
      <c r="B14662" t="s">
        <v>176</v>
      </c>
      <c r="C14662">
        <v>265.62499813735485</v>
      </c>
      <c r="D14662">
        <v>25</v>
      </c>
      <c r="E14662" s="80">
        <v>35871</v>
      </c>
    </row>
    <row r="14663" spans="1:5">
      <c r="A14663">
        <v>10954</v>
      </c>
      <c r="B14663" t="s">
        <v>177</v>
      </c>
      <c r="C14663">
        <v>265.62499813735485</v>
      </c>
      <c r="D14663">
        <v>25</v>
      </c>
      <c r="E14663" s="80">
        <v>35871</v>
      </c>
    </row>
    <row r="14664" spans="1:5">
      <c r="A14664">
        <v>10954</v>
      </c>
      <c r="B14664" t="s">
        <v>178</v>
      </c>
      <c r="C14664">
        <v>265.62499813735485</v>
      </c>
      <c r="D14664">
        <v>25</v>
      </c>
      <c r="E14664" s="80">
        <v>35871</v>
      </c>
    </row>
    <row r="14665" spans="1:5">
      <c r="A14665">
        <v>10954</v>
      </c>
      <c r="B14665" t="s">
        <v>179</v>
      </c>
      <c r="C14665">
        <v>265.62499813735485</v>
      </c>
      <c r="D14665">
        <v>25</v>
      </c>
      <c r="E14665" s="80">
        <v>35871</v>
      </c>
    </row>
    <row r="14666" spans="1:5">
      <c r="A14666">
        <v>10954</v>
      </c>
      <c r="B14666" t="s">
        <v>172</v>
      </c>
      <c r="C14666">
        <v>285</v>
      </c>
      <c r="D14666">
        <v>30</v>
      </c>
      <c r="E14666" s="80">
        <v>35871</v>
      </c>
    </row>
    <row r="14667" spans="1:5">
      <c r="A14667">
        <v>10954</v>
      </c>
      <c r="B14667" t="s">
        <v>173</v>
      </c>
      <c r="C14667">
        <v>285</v>
      </c>
      <c r="D14667">
        <v>30</v>
      </c>
      <c r="E14667" s="80">
        <v>35871</v>
      </c>
    </row>
    <row r="14668" spans="1:5">
      <c r="A14668">
        <v>10954</v>
      </c>
      <c r="B14668" t="s">
        <v>174</v>
      </c>
      <c r="C14668">
        <v>285</v>
      </c>
      <c r="D14668">
        <v>30</v>
      </c>
      <c r="E14668" s="80">
        <v>35871</v>
      </c>
    </row>
    <row r="14669" spans="1:5">
      <c r="A14669">
        <v>10954</v>
      </c>
      <c r="B14669" t="s">
        <v>175</v>
      </c>
      <c r="C14669">
        <v>285</v>
      </c>
      <c r="D14669">
        <v>30</v>
      </c>
      <c r="E14669" s="80">
        <v>35871</v>
      </c>
    </row>
    <row r="14670" spans="1:5">
      <c r="A14670">
        <v>10954</v>
      </c>
      <c r="B14670" t="s">
        <v>176</v>
      </c>
      <c r="C14670">
        <v>285</v>
      </c>
      <c r="D14670">
        <v>30</v>
      </c>
      <c r="E14670" s="80">
        <v>35871</v>
      </c>
    </row>
    <row r="14671" spans="1:5">
      <c r="A14671">
        <v>10954</v>
      </c>
      <c r="B14671" t="s">
        <v>177</v>
      </c>
      <c r="C14671">
        <v>285</v>
      </c>
      <c r="D14671">
        <v>30</v>
      </c>
      <c r="E14671" s="80">
        <v>35871</v>
      </c>
    </row>
    <row r="14672" spans="1:5">
      <c r="A14672">
        <v>10954</v>
      </c>
      <c r="B14672" t="s">
        <v>178</v>
      </c>
      <c r="C14672">
        <v>285</v>
      </c>
      <c r="D14672">
        <v>30</v>
      </c>
      <c r="E14672" s="80">
        <v>35871</v>
      </c>
    </row>
    <row r="14673" spans="1:5">
      <c r="A14673">
        <v>10954</v>
      </c>
      <c r="B14673" t="s">
        <v>179</v>
      </c>
      <c r="C14673">
        <v>285</v>
      </c>
      <c r="D14673">
        <v>30</v>
      </c>
      <c r="E14673" s="80">
        <v>35871</v>
      </c>
    </row>
    <row r="14674" spans="1:5">
      <c r="A14674">
        <v>10954</v>
      </c>
      <c r="B14674" t="s">
        <v>172</v>
      </c>
      <c r="C14674">
        <v>693.59999513626099</v>
      </c>
      <c r="D14674">
        <v>24</v>
      </c>
      <c r="E14674" s="80">
        <v>35871</v>
      </c>
    </row>
    <row r="14675" spans="1:5">
      <c r="A14675">
        <v>10954</v>
      </c>
      <c r="B14675" t="s">
        <v>173</v>
      </c>
      <c r="C14675">
        <v>693.59999513626099</v>
      </c>
      <c r="D14675">
        <v>24</v>
      </c>
      <c r="E14675" s="80">
        <v>35871</v>
      </c>
    </row>
    <row r="14676" spans="1:5">
      <c r="A14676">
        <v>10954</v>
      </c>
      <c r="B14676" t="s">
        <v>174</v>
      </c>
      <c r="C14676">
        <v>693.59999513626099</v>
      </c>
      <c r="D14676">
        <v>24</v>
      </c>
      <c r="E14676" s="80">
        <v>35871</v>
      </c>
    </row>
    <row r="14677" spans="1:5">
      <c r="A14677">
        <v>10954</v>
      </c>
      <c r="B14677" t="s">
        <v>175</v>
      </c>
      <c r="C14677">
        <v>693.59999513626099</v>
      </c>
      <c r="D14677">
        <v>24</v>
      </c>
      <c r="E14677" s="80">
        <v>35871</v>
      </c>
    </row>
    <row r="14678" spans="1:5">
      <c r="A14678">
        <v>10954</v>
      </c>
      <c r="B14678" t="s">
        <v>176</v>
      </c>
      <c r="C14678">
        <v>693.59999513626099</v>
      </c>
      <c r="D14678">
        <v>24</v>
      </c>
      <c r="E14678" s="80">
        <v>35871</v>
      </c>
    </row>
    <row r="14679" spans="1:5">
      <c r="A14679">
        <v>10954</v>
      </c>
      <c r="B14679" t="s">
        <v>177</v>
      </c>
      <c r="C14679">
        <v>693.59999513626099</v>
      </c>
      <c r="D14679">
        <v>24</v>
      </c>
      <c r="E14679" s="80">
        <v>35871</v>
      </c>
    </row>
    <row r="14680" spans="1:5">
      <c r="A14680">
        <v>10954</v>
      </c>
      <c r="B14680" t="s">
        <v>178</v>
      </c>
      <c r="C14680">
        <v>693.59999513626099</v>
      </c>
      <c r="D14680">
        <v>24</v>
      </c>
      <c r="E14680" s="80">
        <v>35871</v>
      </c>
    </row>
    <row r="14681" spans="1:5">
      <c r="A14681">
        <v>10954</v>
      </c>
      <c r="B14681" t="s">
        <v>179</v>
      </c>
      <c r="C14681">
        <v>693.59999513626099</v>
      </c>
      <c r="D14681">
        <v>24</v>
      </c>
      <c r="E14681" s="80">
        <v>35871</v>
      </c>
    </row>
    <row r="14682" spans="1:5">
      <c r="A14682">
        <v>10955</v>
      </c>
      <c r="B14682" t="s">
        <v>172</v>
      </c>
      <c r="C14682">
        <v>74.399999722838402</v>
      </c>
      <c r="D14682">
        <v>12</v>
      </c>
      <c r="E14682" s="80">
        <v>35871</v>
      </c>
    </row>
    <row r="14683" spans="1:5">
      <c r="A14683">
        <v>10955</v>
      </c>
      <c r="B14683" t="s">
        <v>173</v>
      </c>
      <c r="C14683">
        <v>74.399999722838402</v>
      </c>
      <c r="D14683">
        <v>12</v>
      </c>
      <c r="E14683" s="80">
        <v>35871</v>
      </c>
    </row>
    <row r="14684" spans="1:5">
      <c r="A14684">
        <v>10955</v>
      </c>
      <c r="B14684" t="s">
        <v>174</v>
      </c>
      <c r="C14684">
        <v>74.399999722838402</v>
      </c>
      <c r="D14684">
        <v>12</v>
      </c>
      <c r="E14684" s="80">
        <v>35871</v>
      </c>
    </row>
    <row r="14685" spans="1:5">
      <c r="A14685">
        <v>10955</v>
      </c>
      <c r="B14685" t="s">
        <v>175</v>
      </c>
      <c r="C14685">
        <v>74.399999722838402</v>
      </c>
      <c r="D14685">
        <v>12</v>
      </c>
      <c r="E14685" s="80">
        <v>35871</v>
      </c>
    </row>
    <row r="14686" spans="1:5">
      <c r="A14686">
        <v>10955</v>
      </c>
      <c r="B14686" t="s">
        <v>176</v>
      </c>
      <c r="C14686">
        <v>74.399999722838402</v>
      </c>
      <c r="D14686">
        <v>12</v>
      </c>
      <c r="E14686" s="80">
        <v>35871</v>
      </c>
    </row>
    <row r="14687" spans="1:5">
      <c r="A14687">
        <v>10955</v>
      </c>
      <c r="B14687" t="s">
        <v>177</v>
      </c>
      <c r="C14687">
        <v>74.399999722838402</v>
      </c>
      <c r="D14687">
        <v>12</v>
      </c>
      <c r="E14687" s="80">
        <v>35871</v>
      </c>
    </row>
    <row r="14688" spans="1:5">
      <c r="A14688">
        <v>10955</v>
      </c>
      <c r="B14688" t="s">
        <v>178</v>
      </c>
      <c r="C14688">
        <v>74.399999722838402</v>
      </c>
      <c r="D14688">
        <v>12</v>
      </c>
      <c r="E14688" s="80">
        <v>35871</v>
      </c>
    </row>
    <row r="14689" spans="1:5">
      <c r="A14689">
        <v>10955</v>
      </c>
      <c r="B14689" t="s">
        <v>179</v>
      </c>
      <c r="C14689">
        <v>74.399999722838402</v>
      </c>
      <c r="D14689">
        <v>12</v>
      </c>
      <c r="E14689" s="80">
        <v>35871</v>
      </c>
    </row>
    <row r="14690" spans="1:5">
      <c r="A14690">
        <v>10956</v>
      </c>
      <c r="B14690" t="s">
        <v>172</v>
      </c>
      <c r="C14690">
        <v>120</v>
      </c>
      <c r="D14690">
        <v>12</v>
      </c>
      <c r="E14690" s="80">
        <v>35871</v>
      </c>
    </row>
    <row r="14691" spans="1:5">
      <c r="A14691">
        <v>10956</v>
      </c>
      <c r="B14691" t="s">
        <v>173</v>
      </c>
      <c r="C14691">
        <v>120</v>
      </c>
      <c r="D14691">
        <v>12</v>
      </c>
      <c r="E14691" s="80">
        <v>35871</v>
      </c>
    </row>
    <row r="14692" spans="1:5">
      <c r="A14692">
        <v>10956</v>
      </c>
      <c r="B14692" t="s">
        <v>174</v>
      </c>
      <c r="C14692">
        <v>120</v>
      </c>
      <c r="D14692">
        <v>12</v>
      </c>
      <c r="E14692" s="80">
        <v>35871</v>
      </c>
    </row>
    <row r="14693" spans="1:5">
      <c r="A14693">
        <v>10956</v>
      </c>
      <c r="B14693" t="s">
        <v>175</v>
      </c>
      <c r="C14693">
        <v>120</v>
      </c>
      <c r="D14693">
        <v>12</v>
      </c>
      <c r="E14693" s="80">
        <v>35871</v>
      </c>
    </row>
    <row r="14694" spans="1:5">
      <c r="A14694">
        <v>10956</v>
      </c>
      <c r="B14694" t="s">
        <v>176</v>
      </c>
      <c r="C14694">
        <v>120</v>
      </c>
      <c r="D14694">
        <v>12</v>
      </c>
      <c r="E14694" s="80">
        <v>35871</v>
      </c>
    </row>
    <row r="14695" spans="1:5">
      <c r="A14695">
        <v>10956</v>
      </c>
      <c r="B14695" t="s">
        <v>177</v>
      </c>
      <c r="C14695">
        <v>120</v>
      </c>
      <c r="D14695">
        <v>12</v>
      </c>
      <c r="E14695" s="80">
        <v>35871</v>
      </c>
    </row>
    <row r="14696" spans="1:5">
      <c r="A14696">
        <v>10956</v>
      </c>
      <c r="B14696" t="s">
        <v>178</v>
      </c>
      <c r="C14696">
        <v>120</v>
      </c>
      <c r="D14696">
        <v>12</v>
      </c>
      <c r="E14696" s="80">
        <v>35871</v>
      </c>
    </row>
    <row r="14697" spans="1:5">
      <c r="A14697">
        <v>10956</v>
      </c>
      <c r="B14697" t="s">
        <v>179</v>
      </c>
      <c r="C14697">
        <v>120</v>
      </c>
      <c r="D14697">
        <v>12</v>
      </c>
      <c r="E14697" s="80">
        <v>35871</v>
      </c>
    </row>
    <row r="14698" spans="1:5">
      <c r="A14698">
        <v>10956</v>
      </c>
      <c r="B14698" t="s">
        <v>172</v>
      </c>
      <c r="C14698">
        <v>133</v>
      </c>
      <c r="D14698">
        <v>14</v>
      </c>
      <c r="E14698" s="80">
        <v>35871</v>
      </c>
    </row>
    <row r="14699" spans="1:5">
      <c r="A14699">
        <v>10956</v>
      </c>
      <c r="B14699" t="s">
        <v>173</v>
      </c>
      <c r="C14699">
        <v>133</v>
      </c>
      <c r="D14699">
        <v>14</v>
      </c>
      <c r="E14699" s="80">
        <v>35871</v>
      </c>
    </row>
    <row r="14700" spans="1:5">
      <c r="A14700">
        <v>10956</v>
      </c>
      <c r="B14700" t="s">
        <v>174</v>
      </c>
      <c r="C14700">
        <v>133</v>
      </c>
      <c r="D14700">
        <v>14</v>
      </c>
      <c r="E14700" s="80">
        <v>35871</v>
      </c>
    </row>
    <row r="14701" spans="1:5">
      <c r="A14701">
        <v>10956</v>
      </c>
      <c r="B14701" t="s">
        <v>175</v>
      </c>
      <c r="C14701">
        <v>133</v>
      </c>
      <c r="D14701">
        <v>14</v>
      </c>
      <c r="E14701" s="80">
        <v>35871</v>
      </c>
    </row>
    <row r="14702" spans="1:5">
      <c r="A14702">
        <v>10956</v>
      </c>
      <c r="B14702" t="s">
        <v>176</v>
      </c>
      <c r="C14702">
        <v>133</v>
      </c>
      <c r="D14702">
        <v>14</v>
      </c>
      <c r="E14702" s="80">
        <v>35871</v>
      </c>
    </row>
    <row r="14703" spans="1:5">
      <c r="A14703">
        <v>10956</v>
      </c>
      <c r="B14703" t="s">
        <v>177</v>
      </c>
      <c r="C14703">
        <v>133</v>
      </c>
      <c r="D14703">
        <v>14</v>
      </c>
      <c r="E14703" s="80">
        <v>35871</v>
      </c>
    </row>
    <row r="14704" spans="1:5">
      <c r="A14704">
        <v>10956</v>
      </c>
      <c r="B14704" t="s">
        <v>178</v>
      </c>
      <c r="C14704">
        <v>133</v>
      </c>
      <c r="D14704">
        <v>14</v>
      </c>
      <c r="E14704" s="80">
        <v>35871</v>
      </c>
    </row>
    <row r="14705" spans="1:5">
      <c r="A14705">
        <v>10956</v>
      </c>
      <c r="B14705" t="s">
        <v>179</v>
      </c>
      <c r="C14705">
        <v>133</v>
      </c>
      <c r="D14705">
        <v>14</v>
      </c>
      <c r="E14705" s="80">
        <v>35871</v>
      </c>
    </row>
    <row r="14706" spans="1:5">
      <c r="A14706">
        <v>10956</v>
      </c>
      <c r="B14706" t="s">
        <v>172</v>
      </c>
      <c r="C14706">
        <v>424</v>
      </c>
      <c r="D14706">
        <v>8</v>
      </c>
      <c r="E14706" s="80">
        <v>35871</v>
      </c>
    </row>
    <row r="14707" spans="1:5">
      <c r="A14707">
        <v>10956</v>
      </c>
      <c r="B14707" t="s">
        <v>173</v>
      </c>
      <c r="C14707">
        <v>424</v>
      </c>
      <c r="D14707">
        <v>8</v>
      </c>
      <c r="E14707" s="80">
        <v>35871</v>
      </c>
    </row>
    <row r="14708" spans="1:5">
      <c r="A14708">
        <v>10956</v>
      </c>
      <c r="B14708" t="s">
        <v>174</v>
      </c>
      <c r="C14708">
        <v>424</v>
      </c>
      <c r="D14708">
        <v>8</v>
      </c>
      <c r="E14708" s="80">
        <v>35871</v>
      </c>
    </row>
    <row r="14709" spans="1:5">
      <c r="A14709">
        <v>10956</v>
      </c>
      <c r="B14709" t="s">
        <v>175</v>
      </c>
      <c r="C14709">
        <v>424</v>
      </c>
      <c r="D14709">
        <v>8</v>
      </c>
      <c r="E14709" s="80">
        <v>35871</v>
      </c>
    </row>
    <row r="14710" spans="1:5">
      <c r="A14710">
        <v>10956</v>
      </c>
      <c r="B14710" t="s">
        <v>176</v>
      </c>
      <c r="C14710">
        <v>424</v>
      </c>
      <c r="D14710">
        <v>8</v>
      </c>
      <c r="E14710" s="80">
        <v>35871</v>
      </c>
    </row>
    <row r="14711" spans="1:5">
      <c r="A14711">
        <v>10956</v>
      </c>
      <c r="B14711" t="s">
        <v>177</v>
      </c>
      <c r="C14711">
        <v>424</v>
      </c>
      <c r="D14711">
        <v>8</v>
      </c>
      <c r="E14711" s="80">
        <v>35871</v>
      </c>
    </row>
    <row r="14712" spans="1:5">
      <c r="A14712">
        <v>10956</v>
      </c>
      <c r="B14712" t="s">
        <v>178</v>
      </c>
      <c r="C14712">
        <v>424</v>
      </c>
      <c r="D14712">
        <v>8</v>
      </c>
      <c r="E14712" s="80">
        <v>35871</v>
      </c>
    </row>
    <row r="14713" spans="1:5">
      <c r="A14713">
        <v>10956</v>
      </c>
      <c r="B14713" t="s">
        <v>179</v>
      </c>
      <c r="C14713">
        <v>424</v>
      </c>
      <c r="D14713">
        <v>8</v>
      </c>
      <c r="E14713" s="80">
        <v>35871</v>
      </c>
    </row>
    <row r="14714" spans="1:5">
      <c r="A14714">
        <v>10957</v>
      </c>
      <c r="B14714" t="s">
        <v>172</v>
      </c>
      <c r="C14714">
        <v>776.7</v>
      </c>
      <c r="D14714">
        <v>30</v>
      </c>
      <c r="E14714" s="80">
        <v>35872</v>
      </c>
    </row>
    <row r="14715" spans="1:5">
      <c r="A14715">
        <v>10957</v>
      </c>
      <c r="B14715" t="s">
        <v>173</v>
      </c>
      <c r="C14715">
        <v>776.7</v>
      </c>
      <c r="D14715">
        <v>30</v>
      </c>
      <c r="E14715" s="80">
        <v>35872</v>
      </c>
    </row>
    <row r="14716" spans="1:5">
      <c r="A14716">
        <v>10957</v>
      </c>
      <c r="B14716" t="s">
        <v>174</v>
      </c>
      <c r="C14716">
        <v>776.7</v>
      </c>
      <c r="D14716">
        <v>30</v>
      </c>
      <c r="E14716" s="80">
        <v>35872</v>
      </c>
    </row>
    <row r="14717" spans="1:5">
      <c r="A14717">
        <v>10957</v>
      </c>
      <c r="B14717" t="s">
        <v>175</v>
      </c>
      <c r="C14717">
        <v>776.7</v>
      </c>
      <c r="D14717">
        <v>30</v>
      </c>
      <c r="E14717" s="80">
        <v>35872</v>
      </c>
    </row>
    <row r="14718" spans="1:5">
      <c r="A14718">
        <v>10957</v>
      </c>
      <c r="B14718" t="s">
        <v>176</v>
      </c>
      <c r="C14718">
        <v>776.7</v>
      </c>
      <c r="D14718">
        <v>30</v>
      </c>
      <c r="E14718" s="80">
        <v>35872</v>
      </c>
    </row>
    <row r="14719" spans="1:5">
      <c r="A14719">
        <v>10957</v>
      </c>
      <c r="B14719" t="s">
        <v>177</v>
      </c>
      <c r="C14719">
        <v>776.7</v>
      </c>
      <c r="D14719">
        <v>30</v>
      </c>
      <c r="E14719" s="80">
        <v>35872</v>
      </c>
    </row>
    <row r="14720" spans="1:5">
      <c r="A14720">
        <v>10957</v>
      </c>
      <c r="B14720" t="s">
        <v>178</v>
      </c>
      <c r="C14720">
        <v>776.7</v>
      </c>
      <c r="D14720">
        <v>30</v>
      </c>
      <c r="E14720" s="80">
        <v>35872</v>
      </c>
    </row>
    <row r="14721" spans="1:5">
      <c r="A14721">
        <v>10957</v>
      </c>
      <c r="B14721" t="s">
        <v>179</v>
      </c>
      <c r="C14721">
        <v>776.7</v>
      </c>
      <c r="D14721">
        <v>30</v>
      </c>
      <c r="E14721" s="80">
        <v>35872</v>
      </c>
    </row>
    <row r="14722" spans="1:5">
      <c r="A14722">
        <v>10957</v>
      </c>
      <c r="B14722" t="s">
        <v>172</v>
      </c>
      <c r="C14722">
        <v>720</v>
      </c>
      <c r="D14722">
        <v>40</v>
      </c>
      <c r="E14722" s="80">
        <v>35872</v>
      </c>
    </row>
    <row r="14723" spans="1:5">
      <c r="A14723">
        <v>10957</v>
      </c>
      <c r="B14723" t="s">
        <v>173</v>
      </c>
      <c r="C14723">
        <v>720</v>
      </c>
      <c r="D14723">
        <v>40</v>
      </c>
      <c r="E14723" s="80">
        <v>35872</v>
      </c>
    </row>
    <row r="14724" spans="1:5">
      <c r="A14724">
        <v>10957</v>
      </c>
      <c r="B14724" t="s">
        <v>174</v>
      </c>
      <c r="C14724">
        <v>720</v>
      </c>
      <c r="D14724">
        <v>40</v>
      </c>
      <c r="E14724" s="80">
        <v>35872</v>
      </c>
    </row>
    <row r="14725" spans="1:5">
      <c r="A14725">
        <v>10957</v>
      </c>
      <c r="B14725" t="s">
        <v>175</v>
      </c>
      <c r="C14725">
        <v>720</v>
      </c>
      <c r="D14725">
        <v>40</v>
      </c>
      <c r="E14725" s="80">
        <v>35872</v>
      </c>
    </row>
    <row r="14726" spans="1:5">
      <c r="A14726">
        <v>10957</v>
      </c>
      <c r="B14726" t="s">
        <v>176</v>
      </c>
      <c r="C14726">
        <v>720</v>
      </c>
      <c r="D14726">
        <v>40</v>
      </c>
      <c r="E14726" s="80">
        <v>35872</v>
      </c>
    </row>
    <row r="14727" spans="1:5">
      <c r="A14727">
        <v>10957</v>
      </c>
      <c r="B14727" t="s">
        <v>177</v>
      </c>
      <c r="C14727">
        <v>720</v>
      </c>
      <c r="D14727">
        <v>40</v>
      </c>
      <c r="E14727" s="80">
        <v>35872</v>
      </c>
    </row>
    <row r="14728" spans="1:5">
      <c r="A14728">
        <v>10957</v>
      </c>
      <c r="B14728" t="s">
        <v>178</v>
      </c>
      <c r="C14728">
        <v>720</v>
      </c>
      <c r="D14728">
        <v>40</v>
      </c>
      <c r="E14728" s="80">
        <v>35872</v>
      </c>
    </row>
    <row r="14729" spans="1:5">
      <c r="A14729">
        <v>10957</v>
      </c>
      <c r="B14729" t="s">
        <v>179</v>
      </c>
      <c r="C14729">
        <v>720</v>
      </c>
      <c r="D14729">
        <v>40</v>
      </c>
      <c r="E14729" s="80">
        <v>35872</v>
      </c>
    </row>
    <row r="14730" spans="1:5">
      <c r="A14730">
        <v>10957</v>
      </c>
      <c r="B14730" t="s">
        <v>172</v>
      </c>
      <c r="C14730">
        <v>266</v>
      </c>
      <c r="D14730">
        <v>8</v>
      </c>
      <c r="E14730" s="80">
        <v>35872</v>
      </c>
    </row>
    <row r="14731" spans="1:5">
      <c r="A14731">
        <v>10957</v>
      </c>
      <c r="B14731" t="s">
        <v>173</v>
      </c>
      <c r="C14731">
        <v>266</v>
      </c>
      <c r="D14731">
        <v>8</v>
      </c>
      <c r="E14731" s="80">
        <v>35872</v>
      </c>
    </row>
    <row r="14732" spans="1:5">
      <c r="A14732">
        <v>10957</v>
      </c>
      <c r="B14732" t="s">
        <v>174</v>
      </c>
      <c r="C14732">
        <v>266</v>
      </c>
      <c r="D14732">
        <v>8</v>
      </c>
      <c r="E14732" s="80">
        <v>35872</v>
      </c>
    </row>
    <row r="14733" spans="1:5">
      <c r="A14733">
        <v>10957</v>
      </c>
      <c r="B14733" t="s">
        <v>175</v>
      </c>
      <c r="C14733">
        <v>266</v>
      </c>
      <c r="D14733">
        <v>8</v>
      </c>
      <c r="E14733" s="80">
        <v>35872</v>
      </c>
    </row>
    <row r="14734" spans="1:5">
      <c r="A14734">
        <v>10957</v>
      </c>
      <c r="B14734" t="s">
        <v>176</v>
      </c>
      <c r="C14734">
        <v>266</v>
      </c>
      <c r="D14734">
        <v>8</v>
      </c>
      <c r="E14734" s="80">
        <v>35872</v>
      </c>
    </row>
    <row r="14735" spans="1:5">
      <c r="A14735">
        <v>10957</v>
      </c>
      <c r="B14735" t="s">
        <v>177</v>
      </c>
      <c r="C14735">
        <v>266</v>
      </c>
      <c r="D14735">
        <v>8</v>
      </c>
      <c r="E14735" s="80">
        <v>35872</v>
      </c>
    </row>
    <row r="14736" spans="1:5">
      <c r="A14736">
        <v>10957</v>
      </c>
      <c r="B14736" t="s">
        <v>178</v>
      </c>
      <c r="C14736">
        <v>266</v>
      </c>
      <c r="D14736">
        <v>8</v>
      </c>
      <c r="E14736" s="80">
        <v>35872</v>
      </c>
    </row>
    <row r="14737" spans="1:5">
      <c r="A14737">
        <v>10957</v>
      </c>
      <c r="B14737" t="s">
        <v>179</v>
      </c>
      <c r="C14737">
        <v>266</v>
      </c>
      <c r="D14737">
        <v>8</v>
      </c>
      <c r="E14737" s="80">
        <v>35872</v>
      </c>
    </row>
    <row r="14738" spans="1:5">
      <c r="A14738">
        <v>10958</v>
      </c>
      <c r="B14738" t="s">
        <v>172</v>
      </c>
      <c r="C14738">
        <v>427</v>
      </c>
      <c r="D14738">
        <v>20</v>
      </c>
      <c r="E14738" s="80">
        <v>35872</v>
      </c>
    </row>
    <row r="14739" spans="1:5">
      <c r="A14739">
        <v>10958</v>
      </c>
      <c r="B14739" t="s">
        <v>173</v>
      </c>
      <c r="C14739">
        <v>427</v>
      </c>
      <c r="D14739">
        <v>20</v>
      </c>
      <c r="E14739" s="80">
        <v>35872</v>
      </c>
    </row>
    <row r="14740" spans="1:5">
      <c r="A14740">
        <v>10958</v>
      </c>
      <c r="B14740" t="s">
        <v>174</v>
      </c>
      <c r="C14740">
        <v>427</v>
      </c>
      <c r="D14740">
        <v>20</v>
      </c>
      <c r="E14740" s="80">
        <v>35872</v>
      </c>
    </row>
    <row r="14741" spans="1:5">
      <c r="A14741">
        <v>10958</v>
      </c>
      <c r="B14741" t="s">
        <v>175</v>
      </c>
      <c r="C14741">
        <v>427</v>
      </c>
      <c r="D14741">
        <v>20</v>
      </c>
      <c r="E14741" s="80">
        <v>35872</v>
      </c>
    </row>
    <row r="14742" spans="1:5">
      <c r="A14742">
        <v>10958</v>
      </c>
      <c r="B14742" t="s">
        <v>176</v>
      </c>
      <c r="C14742">
        <v>427</v>
      </c>
      <c r="D14742">
        <v>20</v>
      </c>
      <c r="E14742" s="80">
        <v>35872</v>
      </c>
    </row>
    <row r="14743" spans="1:5">
      <c r="A14743">
        <v>10958</v>
      </c>
      <c r="B14743" t="s">
        <v>177</v>
      </c>
      <c r="C14743">
        <v>427</v>
      </c>
      <c r="D14743">
        <v>20</v>
      </c>
      <c r="E14743" s="80">
        <v>35872</v>
      </c>
    </row>
    <row r="14744" spans="1:5">
      <c r="A14744">
        <v>10958</v>
      </c>
      <c r="B14744" t="s">
        <v>178</v>
      </c>
      <c r="C14744">
        <v>427</v>
      </c>
      <c r="D14744">
        <v>20</v>
      </c>
      <c r="E14744" s="80">
        <v>35872</v>
      </c>
    </row>
    <row r="14745" spans="1:5">
      <c r="A14745">
        <v>10958</v>
      </c>
      <c r="B14745" t="s">
        <v>179</v>
      </c>
      <c r="C14745">
        <v>427</v>
      </c>
      <c r="D14745">
        <v>20</v>
      </c>
      <c r="E14745" s="80">
        <v>35872</v>
      </c>
    </row>
    <row r="14746" spans="1:5">
      <c r="A14746">
        <v>10958</v>
      </c>
      <c r="B14746" t="s">
        <v>172</v>
      </c>
      <c r="C14746">
        <v>180</v>
      </c>
      <c r="D14746">
        <v>6</v>
      </c>
      <c r="E14746" s="80">
        <v>35872</v>
      </c>
    </row>
    <row r="14747" spans="1:5">
      <c r="A14747">
        <v>10958</v>
      </c>
      <c r="B14747" t="s">
        <v>173</v>
      </c>
      <c r="C14747">
        <v>180</v>
      </c>
      <c r="D14747">
        <v>6</v>
      </c>
      <c r="E14747" s="80">
        <v>35872</v>
      </c>
    </row>
    <row r="14748" spans="1:5">
      <c r="A14748">
        <v>10958</v>
      </c>
      <c r="B14748" t="s">
        <v>174</v>
      </c>
      <c r="C14748">
        <v>180</v>
      </c>
      <c r="D14748">
        <v>6</v>
      </c>
      <c r="E14748" s="80">
        <v>35872</v>
      </c>
    </row>
    <row r="14749" spans="1:5">
      <c r="A14749">
        <v>10958</v>
      </c>
      <c r="B14749" t="s">
        <v>175</v>
      </c>
      <c r="C14749">
        <v>180</v>
      </c>
      <c r="D14749">
        <v>6</v>
      </c>
      <c r="E14749" s="80">
        <v>35872</v>
      </c>
    </row>
    <row r="14750" spans="1:5">
      <c r="A14750">
        <v>10958</v>
      </c>
      <c r="B14750" t="s">
        <v>176</v>
      </c>
      <c r="C14750">
        <v>180</v>
      </c>
      <c r="D14750">
        <v>6</v>
      </c>
      <c r="E14750" s="80">
        <v>35872</v>
      </c>
    </row>
    <row r="14751" spans="1:5">
      <c r="A14751">
        <v>10958</v>
      </c>
      <c r="B14751" t="s">
        <v>177</v>
      </c>
      <c r="C14751">
        <v>180</v>
      </c>
      <c r="D14751">
        <v>6</v>
      </c>
      <c r="E14751" s="80">
        <v>35872</v>
      </c>
    </row>
    <row r="14752" spans="1:5">
      <c r="A14752">
        <v>10958</v>
      </c>
      <c r="B14752" t="s">
        <v>178</v>
      </c>
      <c r="C14752">
        <v>180</v>
      </c>
      <c r="D14752">
        <v>6</v>
      </c>
      <c r="E14752" s="80">
        <v>35872</v>
      </c>
    </row>
    <row r="14753" spans="1:5">
      <c r="A14753">
        <v>10958</v>
      </c>
      <c r="B14753" t="s">
        <v>179</v>
      </c>
      <c r="C14753">
        <v>180</v>
      </c>
      <c r="D14753">
        <v>6</v>
      </c>
      <c r="E14753" s="80">
        <v>35872</v>
      </c>
    </row>
    <row r="14754" spans="1:5">
      <c r="A14754">
        <v>10958</v>
      </c>
      <c r="B14754" t="s">
        <v>172</v>
      </c>
      <c r="C14754">
        <v>174</v>
      </c>
      <c r="D14754">
        <v>5</v>
      </c>
      <c r="E14754" s="80">
        <v>35872</v>
      </c>
    </row>
    <row r="14755" spans="1:5">
      <c r="A14755">
        <v>10958</v>
      </c>
      <c r="B14755" t="s">
        <v>173</v>
      </c>
      <c r="C14755">
        <v>174</v>
      </c>
      <c r="D14755">
        <v>5</v>
      </c>
      <c r="E14755" s="80">
        <v>35872</v>
      </c>
    </row>
    <row r="14756" spans="1:5">
      <c r="A14756">
        <v>10958</v>
      </c>
      <c r="B14756" t="s">
        <v>174</v>
      </c>
      <c r="C14756">
        <v>174</v>
      </c>
      <c r="D14756">
        <v>5</v>
      </c>
      <c r="E14756" s="80">
        <v>35872</v>
      </c>
    </row>
    <row r="14757" spans="1:5">
      <c r="A14757">
        <v>10958</v>
      </c>
      <c r="B14757" t="s">
        <v>175</v>
      </c>
      <c r="C14757">
        <v>174</v>
      </c>
      <c r="D14757">
        <v>5</v>
      </c>
      <c r="E14757" s="80">
        <v>35872</v>
      </c>
    </row>
    <row r="14758" spans="1:5">
      <c r="A14758">
        <v>10958</v>
      </c>
      <c r="B14758" t="s">
        <v>176</v>
      </c>
      <c r="C14758">
        <v>174</v>
      </c>
      <c r="D14758">
        <v>5</v>
      </c>
      <c r="E14758" s="80">
        <v>35872</v>
      </c>
    </row>
    <row r="14759" spans="1:5">
      <c r="A14759">
        <v>10958</v>
      </c>
      <c r="B14759" t="s">
        <v>177</v>
      </c>
      <c r="C14759">
        <v>174</v>
      </c>
      <c r="D14759">
        <v>5</v>
      </c>
      <c r="E14759" s="80">
        <v>35872</v>
      </c>
    </row>
    <row r="14760" spans="1:5">
      <c r="A14760">
        <v>10958</v>
      </c>
      <c r="B14760" t="s">
        <v>178</v>
      </c>
      <c r="C14760">
        <v>174</v>
      </c>
      <c r="D14760">
        <v>5</v>
      </c>
      <c r="E14760" s="80">
        <v>35872</v>
      </c>
    </row>
    <row r="14761" spans="1:5">
      <c r="A14761">
        <v>10958</v>
      </c>
      <c r="B14761" t="s">
        <v>179</v>
      </c>
      <c r="C14761">
        <v>174</v>
      </c>
      <c r="D14761">
        <v>5</v>
      </c>
      <c r="E14761" s="80">
        <v>35872</v>
      </c>
    </row>
    <row r="14762" spans="1:5">
      <c r="A14762">
        <v>10959</v>
      </c>
      <c r="B14762" t="s">
        <v>172</v>
      </c>
      <c r="C14762">
        <v>131.74999907612801</v>
      </c>
      <c r="D14762">
        <v>20</v>
      </c>
      <c r="E14762" s="80">
        <v>35872</v>
      </c>
    </row>
    <row r="14763" spans="1:5">
      <c r="A14763">
        <v>10959</v>
      </c>
      <c r="B14763" t="s">
        <v>173</v>
      </c>
      <c r="C14763">
        <v>131.74999907612801</v>
      </c>
      <c r="D14763">
        <v>20</v>
      </c>
      <c r="E14763" s="80">
        <v>35872</v>
      </c>
    </row>
    <row r="14764" spans="1:5">
      <c r="A14764">
        <v>10959</v>
      </c>
      <c r="B14764" t="s">
        <v>174</v>
      </c>
      <c r="C14764">
        <v>131.74999907612801</v>
      </c>
      <c r="D14764">
        <v>20</v>
      </c>
      <c r="E14764" s="80">
        <v>35872</v>
      </c>
    </row>
    <row r="14765" spans="1:5">
      <c r="A14765">
        <v>10959</v>
      </c>
      <c r="B14765" t="s">
        <v>175</v>
      </c>
      <c r="C14765">
        <v>131.74999907612801</v>
      </c>
      <c r="D14765">
        <v>20</v>
      </c>
      <c r="E14765" s="80">
        <v>35872</v>
      </c>
    </row>
    <row r="14766" spans="1:5">
      <c r="A14766">
        <v>10959</v>
      </c>
      <c r="B14766" t="s">
        <v>176</v>
      </c>
      <c r="C14766">
        <v>131.74999907612801</v>
      </c>
      <c r="D14766">
        <v>20</v>
      </c>
      <c r="E14766" s="80">
        <v>35872</v>
      </c>
    </row>
    <row r="14767" spans="1:5">
      <c r="A14767">
        <v>10959</v>
      </c>
      <c r="B14767" t="s">
        <v>177</v>
      </c>
      <c r="C14767">
        <v>131.74999907612801</v>
      </c>
      <c r="D14767">
        <v>20</v>
      </c>
      <c r="E14767" s="80">
        <v>35872</v>
      </c>
    </row>
    <row r="14768" spans="1:5">
      <c r="A14768">
        <v>10959</v>
      </c>
      <c r="B14768" t="s">
        <v>178</v>
      </c>
      <c r="C14768">
        <v>131.74999907612801</v>
      </c>
      <c r="D14768">
        <v>20</v>
      </c>
      <c r="E14768" s="80">
        <v>35872</v>
      </c>
    </row>
    <row r="14769" spans="1:5">
      <c r="A14769">
        <v>10959</v>
      </c>
      <c r="B14769" t="s">
        <v>179</v>
      </c>
      <c r="C14769">
        <v>131.74999907612801</v>
      </c>
      <c r="D14769">
        <v>20</v>
      </c>
      <c r="E14769" s="80">
        <v>35872</v>
      </c>
    </row>
    <row r="14770" spans="1:5">
      <c r="A14770">
        <v>10960</v>
      </c>
      <c r="B14770" t="s">
        <v>172</v>
      </c>
      <c r="C14770">
        <v>33.75</v>
      </c>
      <c r="D14770">
        <v>10</v>
      </c>
      <c r="E14770" s="80">
        <v>35873</v>
      </c>
    </row>
    <row r="14771" spans="1:5">
      <c r="A14771">
        <v>10960</v>
      </c>
      <c r="B14771" t="s">
        <v>173</v>
      </c>
      <c r="C14771">
        <v>33.75</v>
      </c>
      <c r="D14771">
        <v>10</v>
      </c>
      <c r="E14771" s="80">
        <v>35873</v>
      </c>
    </row>
    <row r="14772" spans="1:5">
      <c r="A14772">
        <v>10960</v>
      </c>
      <c r="B14772" t="s">
        <v>174</v>
      </c>
      <c r="C14772">
        <v>33.75</v>
      </c>
      <c r="D14772">
        <v>10</v>
      </c>
      <c r="E14772" s="80">
        <v>35873</v>
      </c>
    </row>
    <row r="14773" spans="1:5">
      <c r="A14773">
        <v>10960</v>
      </c>
      <c r="B14773" t="s">
        <v>175</v>
      </c>
      <c r="C14773">
        <v>33.75</v>
      </c>
      <c r="D14773">
        <v>10</v>
      </c>
      <c r="E14773" s="80">
        <v>35873</v>
      </c>
    </row>
    <row r="14774" spans="1:5">
      <c r="A14774">
        <v>10960</v>
      </c>
      <c r="B14774" t="s">
        <v>176</v>
      </c>
      <c r="C14774">
        <v>33.75</v>
      </c>
      <c r="D14774">
        <v>10</v>
      </c>
      <c r="E14774" s="80">
        <v>35873</v>
      </c>
    </row>
    <row r="14775" spans="1:5">
      <c r="A14775">
        <v>10960</v>
      </c>
      <c r="B14775" t="s">
        <v>177</v>
      </c>
      <c r="C14775">
        <v>33.75</v>
      </c>
      <c r="D14775">
        <v>10</v>
      </c>
      <c r="E14775" s="80">
        <v>35873</v>
      </c>
    </row>
    <row r="14776" spans="1:5">
      <c r="A14776">
        <v>10960</v>
      </c>
      <c r="B14776" t="s">
        <v>178</v>
      </c>
      <c r="C14776">
        <v>33.75</v>
      </c>
      <c r="D14776">
        <v>10</v>
      </c>
      <c r="E14776" s="80">
        <v>35873</v>
      </c>
    </row>
    <row r="14777" spans="1:5">
      <c r="A14777">
        <v>10960</v>
      </c>
      <c r="B14777" t="s">
        <v>179</v>
      </c>
      <c r="C14777">
        <v>33.75</v>
      </c>
      <c r="D14777">
        <v>10</v>
      </c>
      <c r="E14777" s="80">
        <v>35873</v>
      </c>
    </row>
    <row r="14778" spans="1:5">
      <c r="A14778">
        <v>10960</v>
      </c>
      <c r="B14778" t="s">
        <v>172</v>
      </c>
      <c r="C14778">
        <v>231.6</v>
      </c>
      <c r="D14778">
        <v>24</v>
      </c>
      <c r="E14778" s="80">
        <v>35873</v>
      </c>
    </row>
    <row r="14779" spans="1:5">
      <c r="A14779">
        <v>10960</v>
      </c>
      <c r="B14779" t="s">
        <v>173</v>
      </c>
      <c r="C14779">
        <v>231.6</v>
      </c>
      <c r="D14779">
        <v>24</v>
      </c>
      <c r="E14779" s="80">
        <v>35873</v>
      </c>
    </row>
    <row r="14780" spans="1:5">
      <c r="A14780">
        <v>10960</v>
      </c>
      <c r="B14780" t="s">
        <v>174</v>
      </c>
      <c r="C14780">
        <v>231.6</v>
      </c>
      <c r="D14780">
        <v>24</v>
      </c>
      <c r="E14780" s="80">
        <v>35873</v>
      </c>
    </row>
    <row r="14781" spans="1:5">
      <c r="A14781">
        <v>10960</v>
      </c>
      <c r="B14781" t="s">
        <v>175</v>
      </c>
      <c r="C14781">
        <v>231.6</v>
      </c>
      <c r="D14781">
        <v>24</v>
      </c>
      <c r="E14781" s="80">
        <v>35873</v>
      </c>
    </row>
    <row r="14782" spans="1:5">
      <c r="A14782">
        <v>10960</v>
      </c>
      <c r="B14782" t="s">
        <v>176</v>
      </c>
      <c r="C14782">
        <v>231.6</v>
      </c>
      <c r="D14782">
        <v>24</v>
      </c>
      <c r="E14782" s="80">
        <v>35873</v>
      </c>
    </row>
    <row r="14783" spans="1:5">
      <c r="A14783">
        <v>10960</v>
      </c>
      <c r="B14783" t="s">
        <v>177</v>
      </c>
      <c r="C14783">
        <v>231.6</v>
      </c>
      <c r="D14783">
        <v>24</v>
      </c>
      <c r="E14783" s="80">
        <v>35873</v>
      </c>
    </row>
    <row r="14784" spans="1:5">
      <c r="A14784">
        <v>10960</v>
      </c>
      <c r="B14784" t="s">
        <v>178</v>
      </c>
      <c r="C14784">
        <v>231.6</v>
      </c>
      <c r="D14784">
        <v>24</v>
      </c>
      <c r="E14784" s="80">
        <v>35873</v>
      </c>
    </row>
    <row r="14785" spans="1:5">
      <c r="A14785">
        <v>10960</v>
      </c>
      <c r="B14785" t="s">
        <v>179</v>
      </c>
      <c r="C14785">
        <v>231.6</v>
      </c>
      <c r="D14785">
        <v>24</v>
      </c>
      <c r="E14785" s="80">
        <v>35873</v>
      </c>
    </row>
    <row r="14786" spans="1:5">
      <c r="A14786">
        <v>10961</v>
      </c>
      <c r="B14786" t="s">
        <v>172</v>
      </c>
      <c r="C14786">
        <v>39.899999968707561</v>
      </c>
      <c r="D14786">
        <v>6</v>
      </c>
      <c r="E14786" s="80">
        <v>35873</v>
      </c>
    </row>
    <row r="14787" spans="1:5">
      <c r="A14787">
        <v>10961</v>
      </c>
      <c r="B14787" t="s">
        <v>173</v>
      </c>
      <c r="C14787">
        <v>39.899999968707561</v>
      </c>
      <c r="D14787">
        <v>6</v>
      </c>
      <c r="E14787" s="80">
        <v>35873</v>
      </c>
    </row>
    <row r="14788" spans="1:5">
      <c r="A14788">
        <v>10961</v>
      </c>
      <c r="B14788" t="s">
        <v>174</v>
      </c>
      <c r="C14788">
        <v>39.899999968707561</v>
      </c>
      <c r="D14788">
        <v>6</v>
      </c>
      <c r="E14788" s="80">
        <v>35873</v>
      </c>
    </row>
    <row r="14789" spans="1:5">
      <c r="A14789">
        <v>10961</v>
      </c>
      <c r="B14789" t="s">
        <v>175</v>
      </c>
      <c r="C14789">
        <v>39.899999968707561</v>
      </c>
      <c r="D14789">
        <v>6</v>
      </c>
      <c r="E14789" s="80">
        <v>35873</v>
      </c>
    </row>
    <row r="14790" spans="1:5">
      <c r="A14790">
        <v>10961</v>
      </c>
      <c r="B14790" t="s">
        <v>176</v>
      </c>
      <c r="C14790">
        <v>39.899999968707561</v>
      </c>
      <c r="D14790">
        <v>6</v>
      </c>
      <c r="E14790" s="80">
        <v>35873</v>
      </c>
    </row>
    <row r="14791" spans="1:5">
      <c r="A14791">
        <v>10961</v>
      </c>
      <c r="B14791" t="s">
        <v>177</v>
      </c>
      <c r="C14791">
        <v>39.899999968707561</v>
      </c>
      <c r="D14791">
        <v>6</v>
      </c>
      <c r="E14791" s="80">
        <v>35873</v>
      </c>
    </row>
    <row r="14792" spans="1:5">
      <c r="A14792">
        <v>10961</v>
      </c>
      <c r="B14792" t="s">
        <v>178</v>
      </c>
      <c r="C14792">
        <v>39.899999968707561</v>
      </c>
      <c r="D14792">
        <v>6</v>
      </c>
      <c r="E14792" s="80">
        <v>35873</v>
      </c>
    </row>
    <row r="14793" spans="1:5">
      <c r="A14793">
        <v>10961</v>
      </c>
      <c r="B14793" t="s">
        <v>179</v>
      </c>
      <c r="C14793">
        <v>39.899999968707561</v>
      </c>
      <c r="D14793">
        <v>6</v>
      </c>
      <c r="E14793" s="80">
        <v>35873</v>
      </c>
    </row>
    <row r="14794" spans="1:5">
      <c r="A14794">
        <v>10961</v>
      </c>
      <c r="B14794" t="s">
        <v>172</v>
      </c>
      <c r="C14794">
        <v>1080</v>
      </c>
      <c r="D14794">
        <v>60</v>
      </c>
      <c r="E14794" s="80">
        <v>35873</v>
      </c>
    </row>
    <row r="14795" spans="1:5">
      <c r="A14795">
        <v>10961</v>
      </c>
      <c r="B14795" t="s">
        <v>173</v>
      </c>
      <c r="C14795">
        <v>1080</v>
      </c>
      <c r="D14795">
        <v>60</v>
      </c>
      <c r="E14795" s="80">
        <v>35873</v>
      </c>
    </row>
    <row r="14796" spans="1:5">
      <c r="A14796">
        <v>10961</v>
      </c>
      <c r="B14796" t="s">
        <v>174</v>
      </c>
      <c r="C14796">
        <v>1080</v>
      </c>
      <c r="D14796">
        <v>60</v>
      </c>
      <c r="E14796" s="80">
        <v>35873</v>
      </c>
    </row>
    <row r="14797" spans="1:5">
      <c r="A14797">
        <v>10961</v>
      </c>
      <c r="B14797" t="s">
        <v>175</v>
      </c>
      <c r="C14797">
        <v>1080</v>
      </c>
      <c r="D14797">
        <v>60</v>
      </c>
      <c r="E14797" s="80">
        <v>35873</v>
      </c>
    </row>
    <row r="14798" spans="1:5">
      <c r="A14798">
        <v>10961</v>
      </c>
      <c r="B14798" t="s">
        <v>176</v>
      </c>
      <c r="C14798">
        <v>1080</v>
      </c>
      <c r="D14798">
        <v>60</v>
      </c>
      <c r="E14798" s="80">
        <v>35873</v>
      </c>
    </row>
    <row r="14799" spans="1:5">
      <c r="A14799">
        <v>10961</v>
      </c>
      <c r="B14799" t="s">
        <v>177</v>
      </c>
      <c r="C14799">
        <v>1080</v>
      </c>
      <c r="D14799">
        <v>60</v>
      </c>
      <c r="E14799" s="80">
        <v>35873</v>
      </c>
    </row>
    <row r="14800" spans="1:5">
      <c r="A14800">
        <v>10961</v>
      </c>
      <c r="B14800" t="s">
        <v>178</v>
      </c>
      <c r="C14800">
        <v>1080</v>
      </c>
      <c r="D14800">
        <v>60</v>
      </c>
      <c r="E14800" s="80">
        <v>35873</v>
      </c>
    </row>
    <row r="14801" spans="1:5">
      <c r="A14801">
        <v>10961</v>
      </c>
      <c r="B14801" t="s">
        <v>179</v>
      </c>
      <c r="C14801">
        <v>1080</v>
      </c>
      <c r="D14801">
        <v>60</v>
      </c>
      <c r="E14801" s="80">
        <v>35873</v>
      </c>
    </row>
    <row r="14802" spans="1:5">
      <c r="A14802">
        <v>10962</v>
      </c>
      <c r="B14802" t="s">
        <v>172</v>
      </c>
      <c r="C14802">
        <v>1350</v>
      </c>
      <c r="D14802">
        <v>45</v>
      </c>
      <c r="E14802" s="80">
        <v>35873</v>
      </c>
    </row>
    <row r="14803" spans="1:5">
      <c r="A14803">
        <v>10962</v>
      </c>
      <c r="B14803" t="s">
        <v>173</v>
      </c>
      <c r="C14803">
        <v>1350</v>
      </c>
      <c r="D14803">
        <v>45</v>
      </c>
      <c r="E14803" s="80">
        <v>35873</v>
      </c>
    </row>
    <row r="14804" spans="1:5">
      <c r="A14804">
        <v>10962</v>
      </c>
      <c r="B14804" t="s">
        <v>174</v>
      </c>
      <c r="C14804">
        <v>1350</v>
      </c>
      <c r="D14804">
        <v>45</v>
      </c>
      <c r="E14804" s="80">
        <v>35873</v>
      </c>
    </row>
    <row r="14805" spans="1:5">
      <c r="A14805">
        <v>10962</v>
      </c>
      <c r="B14805" t="s">
        <v>175</v>
      </c>
      <c r="C14805">
        <v>1350</v>
      </c>
      <c r="D14805">
        <v>45</v>
      </c>
      <c r="E14805" s="80">
        <v>35873</v>
      </c>
    </row>
    <row r="14806" spans="1:5">
      <c r="A14806">
        <v>10962</v>
      </c>
      <c r="B14806" t="s">
        <v>176</v>
      </c>
      <c r="C14806">
        <v>1350</v>
      </c>
      <c r="D14806">
        <v>45</v>
      </c>
      <c r="E14806" s="80">
        <v>35873</v>
      </c>
    </row>
    <row r="14807" spans="1:5">
      <c r="A14807">
        <v>10962</v>
      </c>
      <c r="B14807" t="s">
        <v>177</v>
      </c>
      <c r="C14807">
        <v>1350</v>
      </c>
      <c r="D14807">
        <v>45</v>
      </c>
      <c r="E14807" s="80">
        <v>35873</v>
      </c>
    </row>
    <row r="14808" spans="1:5">
      <c r="A14808">
        <v>10962</v>
      </c>
      <c r="B14808" t="s">
        <v>178</v>
      </c>
      <c r="C14808">
        <v>1350</v>
      </c>
      <c r="D14808">
        <v>45</v>
      </c>
      <c r="E14808" s="80">
        <v>35873</v>
      </c>
    </row>
    <row r="14809" spans="1:5">
      <c r="A14809">
        <v>10962</v>
      </c>
      <c r="B14809" t="s">
        <v>179</v>
      </c>
      <c r="C14809">
        <v>1350</v>
      </c>
      <c r="D14809">
        <v>45</v>
      </c>
      <c r="E14809" s="80">
        <v>35873</v>
      </c>
    </row>
    <row r="14810" spans="1:5">
      <c r="A14810">
        <v>10962</v>
      </c>
      <c r="B14810" t="s">
        <v>172</v>
      </c>
      <c r="C14810">
        <v>462</v>
      </c>
      <c r="D14810">
        <v>77</v>
      </c>
      <c r="E14810" s="80">
        <v>35873</v>
      </c>
    </row>
    <row r="14811" spans="1:5">
      <c r="A14811">
        <v>10962</v>
      </c>
      <c r="B14811" t="s">
        <v>173</v>
      </c>
      <c r="C14811">
        <v>462</v>
      </c>
      <c r="D14811">
        <v>77</v>
      </c>
      <c r="E14811" s="80">
        <v>35873</v>
      </c>
    </row>
    <row r="14812" spans="1:5">
      <c r="A14812">
        <v>10962</v>
      </c>
      <c r="B14812" t="s">
        <v>174</v>
      </c>
      <c r="C14812">
        <v>462</v>
      </c>
      <c r="D14812">
        <v>77</v>
      </c>
      <c r="E14812" s="80">
        <v>35873</v>
      </c>
    </row>
    <row r="14813" spans="1:5">
      <c r="A14813">
        <v>10962</v>
      </c>
      <c r="B14813" t="s">
        <v>175</v>
      </c>
      <c r="C14813">
        <v>462</v>
      </c>
      <c r="D14813">
        <v>77</v>
      </c>
      <c r="E14813" s="80">
        <v>35873</v>
      </c>
    </row>
    <row r="14814" spans="1:5">
      <c r="A14814">
        <v>10962</v>
      </c>
      <c r="B14814" t="s">
        <v>176</v>
      </c>
      <c r="C14814">
        <v>462</v>
      </c>
      <c r="D14814">
        <v>77</v>
      </c>
      <c r="E14814" s="80">
        <v>35873</v>
      </c>
    </row>
    <row r="14815" spans="1:5">
      <c r="A14815">
        <v>10962</v>
      </c>
      <c r="B14815" t="s">
        <v>177</v>
      </c>
      <c r="C14815">
        <v>462</v>
      </c>
      <c r="D14815">
        <v>77</v>
      </c>
      <c r="E14815" s="80">
        <v>35873</v>
      </c>
    </row>
    <row r="14816" spans="1:5">
      <c r="A14816">
        <v>10962</v>
      </c>
      <c r="B14816" t="s">
        <v>178</v>
      </c>
      <c r="C14816">
        <v>462</v>
      </c>
      <c r="D14816">
        <v>77</v>
      </c>
      <c r="E14816" s="80">
        <v>35873</v>
      </c>
    </row>
    <row r="14817" spans="1:5">
      <c r="A14817">
        <v>10962</v>
      </c>
      <c r="B14817" t="s">
        <v>179</v>
      </c>
      <c r="C14817">
        <v>462</v>
      </c>
      <c r="D14817">
        <v>77</v>
      </c>
      <c r="E14817" s="80">
        <v>35873</v>
      </c>
    </row>
    <row r="14818" spans="1:5">
      <c r="A14818">
        <v>10962</v>
      </c>
      <c r="B14818" t="s">
        <v>172</v>
      </c>
      <c r="C14818">
        <v>656</v>
      </c>
      <c r="D14818">
        <v>20</v>
      </c>
      <c r="E14818" s="80">
        <v>35873</v>
      </c>
    </row>
    <row r="14819" spans="1:5">
      <c r="A14819">
        <v>10962</v>
      </c>
      <c r="B14819" t="s">
        <v>173</v>
      </c>
      <c r="C14819">
        <v>656</v>
      </c>
      <c r="D14819">
        <v>20</v>
      </c>
      <c r="E14819" s="80">
        <v>35873</v>
      </c>
    </row>
    <row r="14820" spans="1:5">
      <c r="A14820">
        <v>10962</v>
      </c>
      <c r="B14820" t="s">
        <v>174</v>
      </c>
      <c r="C14820">
        <v>656</v>
      </c>
      <c r="D14820">
        <v>20</v>
      </c>
      <c r="E14820" s="80">
        <v>35873</v>
      </c>
    </row>
    <row r="14821" spans="1:5">
      <c r="A14821">
        <v>10962</v>
      </c>
      <c r="B14821" t="s">
        <v>175</v>
      </c>
      <c r="C14821">
        <v>656</v>
      </c>
      <c r="D14821">
        <v>20</v>
      </c>
      <c r="E14821" s="80">
        <v>35873</v>
      </c>
    </row>
    <row r="14822" spans="1:5">
      <c r="A14822">
        <v>10962</v>
      </c>
      <c r="B14822" t="s">
        <v>176</v>
      </c>
      <c r="C14822">
        <v>656</v>
      </c>
      <c r="D14822">
        <v>20</v>
      </c>
      <c r="E14822" s="80">
        <v>35873</v>
      </c>
    </row>
    <row r="14823" spans="1:5">
      <c r="A14823">
        <v>10962</v>
      </c>
      <c r="B14823" t="s">
        <v>177</v>
      </c>
      <c r="C14823">
        <v>656</v>
      </c>
      <c r="D14823">
        <v>20</v>
      </c>
      <c r="E14823" s="80">
        <v>35873</v>
      </c>
    </row>
    <row r="14824" spans="1:5">
      <c r="A14824">
        <v>10962</v>
      </c>
      <c r="B14824" t="s">
        <v>178</v>
      </c>
      <c r="C14824">
        <v>656</v>
      </c>
      <c r="D14824">
        <v>20</v>
      </c>
      <c r="E14824" s="80">
        <v>35873</v>
      </c>
    </row>
    <row r="14825" spans="1:5">
      <c r="A14825">
        <v>10962</v>
      </c>
      <c r="B14825" t="s">
        <v>179</v>
      </c>
      <c r="C14825">
        <v>656</v>
      </c>
      <c r="D14825">
        <v>20</v>
      </c>
      <c r="E14825" s="80">
        <v>35873</v>
      </c>
    </row>
    <row r="14826" spans="1:5">
      <c r="A14826">
        <v>10962</v>
      </c>
      <c r="B14826" t="s">
        <v>172</v>
      </c>
      <c r="C14826">
        <v>324</v>
      </c>
      <c r="D14826">
        <v>9</v>
      </c>
      <c r="E14826" s="80">
        <v>35873</v>
      </c>
    </row>
    <row r="14827" spans="1:5">
      <c r="A14827">
        <v>10962</v>
      </c>
      <c r="B14827" t="s">
        <v>173</v>
      </c>
      <c r="C14827">
        <v>324</v>
      </c>
      <c r="D14827">
        <v>9</v>
      </c>
      <c r="E14827" s="80">
        <v>35873</v>
      </c>
    </row>
    <row r="14828" spans="1:5">
      <c r="A14828">
        <v>10962</v>
      </c>
      <c r="B14828" t="s">
        <v>174</v>
      </c>
      <c r="C14828">
        <v>324</v>
      </c>
      <c r="D14828">
        <v>9</v>
      </c>
      <c r="E14828" s="80">
        <v>35873</v>
      </c>
    </row>
    <row r="14829" spans="1:5">
      <c r="A14829">
        <v>10962</v>
      </c>
      <c r="B14829" t="s">
        <v>175</v>
      </c>
      <c r="C14829">
        <v>324</v>
      </c>
      <c r="D14829">
        <v>9</v>
      </c>
      <c r="E14829" s="80">
        <v>35873</v>
      </c>
    </row>
    <row r="14830" spans="1:5">
      <c r="A14830">
        <v>10962</v>
      </c>
      <c r="B14830" t="s">
        <v>176</v>
      </c>
      <c r="C14830">
        <v>324</v>
      </c>
      <c r="D14830">
        <v>9</v>
      </c>
      <c r="E14830" s="80">
        <v>35873</v>
      </c>
    </row>
    <row r="14831" spans="1:5">
      <c r="A14831">
        <v>10962</v>
      </c>
      <c r="B14831" t="s">
        <v>177</v>
      </c>
      <c r="C14831">
        <v>324</v>
      </c>
      <c r="D14831">
        <v>9</v>
      </c>
      <c r="E14831" s="80">
        <v>35873</v>
      </c>
    </row>
    <row r="14832" spans="1:5">
      <c r="A14832">
        <v>10962</v>
      </c>
      <c r="B14832" t="s">
        <v>178</v>
      </c>
      <c r="C14832">
        <v>324</v>
      </c>
      <c r="D14832">
        <v>9</v>
      </c>
      <c r="E14832" s="80">
        <v>35873</v>
      </c>
    </row>
    <row r="14833" spans="1:5">
      <c r="A14833">
        <v>10962</v>
      </c>
      <c r="B14833" t="s">
        <v>179</v>
      </c>
      <c r="C14833">
        <v>324</v>
      </c>
      <c r="D14833">
        <v>9</v>
      </c>
      <c r="E14833" s="80">
        <v>35873</v>
      </c>
    </row>
    <row r="14834" spans="1:5">
      <c r="A14834">
        <v>10962</v>
      </c>
      <c r="B14834" t="s">
        <v>172</v>
      </c>
      <c r="C14834">
        <v>792</v>
      </c>
      <c r="D14834">
        <v>44</v>
      </c>
      <c r="E14834" s="80">
        <v>35873</v>
      </c>
    </row>
    <row r="14835" spans="1:5">
      <c r="A14835">
        <v>10962</v>
      </c>
      <c r="B14835" t="s">
        <v>173</v>
      </c>
      <c r="C14835">
        <v>792</v>
      </c>
      <c r="D14835">
        <v>44</v>
      </c>
      <c r="E14835" s="80">
        <v>35873</v>
      </c>
    </row>
    <row r="14836" spans="1:5">
      <c r="A14836">
        <v>10962</v>
      </c>
      <c r="B14836" t="s">
        <v>174</v>
      </c>
      <c r="C14836">
        <v>792</v>
      </c>
      <c r="D14836">
        <v>44</v>
      </c>
      <c r="E14836" s="80">
        <v>35873</v>
      </c>
    </row>
    <row r="14837" spans="1:5">
      <c r="A14837">
        <v>10962</v>
      </c>
      <c r="B14837" t="s">
        <v>175</v>
      </c>
      <c r="C14837">
        <v>792</v>
      </c>
      <c r="D14837">
        <v>44</v>
      </c>
      <c r="E14837" s="80">
        <v>35873</v>
      </c>
    </row>
    <row r="14838" spans="1:5">
      <c r="A14838">
        <v>10962</v>
      </c>
      <c r="B14838" t="s">
        <v>176</v>
      </c>
      <c r="C14838">
        <v>792</v>
      </c>
      <c r="D14838">
        <v>44</v>
      </c>
      <c r="E14838" s="80">
        <v>35873</v>
      </c>
    </row>
    <row r="14839" spans="1:5">
      <c r="A14839">
        <v>10962</v>
      </c>
      <c r="B14839" t="s">
        <v>177</v>
      </c>
      <c r="C14839">
        <v>792</v>
      </c>
      <c r="D14839">
        <v>44</v>
      </c>
      <c r="E14839" s="80">
        <v>35873</v>
      </c>
    </row>
    <row r="14840" spans="1:5">
      <c r="A14840">
        <v>10962</v>
      </c>
      <c r="B14840" t="s">
        <v>178</v>
      </c>
      <c r="C14840">
        <v>792</v>
      </c>
      <c r="D14840">
        <v>44</v>
      </c>
      <c r="E14840" s="80">
        <v>35873</v>
      </c>
    </row>
    <row r="14841" spans="1:5">
      <c r="A14841">
        <v>10962</v>
      </c>
      <c r="B14841" t="s">
        <v>179</v>
      </c>
      <c r="C14841">
        <v>792</v>
      </c>
      <c r="D14841">
        <v>44</v>
      </c>
      <c r="E14841" s="80">
        <v>35873</v>
      </c>
    </row>
    <row r="14842" spans="1:5">
      <c r="A14842">
        <v>10963</v>
      </c>
      <c r="B14842" t="s">
        <v>172</v>
      </c>
      <c r="C14842">
        <v>57.799999594688416</v>
      </c>
      <c r="D14842">
        <v>2</v>
      </c>
      <c r="E14842" s="80">
        <v>35873</v>
      </c>
    </row>
    <row r="14843" spans="1:5">
      <c r="A14843">
        <v>10963</v>
      </c>
      <c r="B14843" t="s">
        <v>173</v>
      </c>
      <c r="C14843">
        <v>57.799999594688416</v>
      </c>
      <c r="D14843">
        <v>2</v>
      </c>
      <c r="E14843" s="80">
        <v>35873</v>
      </c>
    </row>
    <row r="14844" spans="1:5">
      <c r="A14844">
        <v>10963</v>
      </c>
      <c r="B14844" t="s">
        <v>174</v>
      </c>
      <c r="C14844">
        <v>57.799999594688416</v>
      </c>
      <c r="D14844">
        <v>2</v>
      </c>
      <c r="E14844" s="80">
        <v>35873</v>
      </c>
    </row>
    <row r="14845" spans="1:5">
      <c r="A14845">
        <v>10963</v>
      </c>
      <c r="B14845" t="s">
        <v>175</v>
      </c>
      <c r="C14845">
        <v>57.799999594688416</v>
      </c>
      <c r="D14845">
        <v>2</v>
      </c>
      <c r="E14845" s="80">
        <v>35873</v>
      </c>
    </row>
    <row r="14846" spans="1:5">
      <c r="A14846">
        <v>10963</v>
      </c>
      <c r="B14846" t="s">
        <v>176</v>
      </c>
      <c r="C14846">
        <v>57.799999594688416</v>
      </c>
      <c r="D14846">
        <v>2</v>
      </c>
      <c r="E14846" s="80">
        <v>35873</v>
      </c>
    </row>
    <row r="14847" spans="1:5">
      <c r="A14847">
        <v>10963</v>
      </c>
      <c r="B14847" t="s">
        <v>177</v>
      </c>
      <c r="C14847">
        <v>57.799999594688416</v>
      </c>
      <c r="D14847">
        <v>2</v>
      </c>
      <c r="E14847" s="80">
        <v>35873</v>
      </c>
    </row>
    <row r="14848" spans="1:5">
      <c r="A14848">
        <v>10963</v>
      </c>
      <c r="B14848" t="s">
        <v>178</v>
      </c>
      <c r="C14848">
        <v>57.799999594688416</v>
      </c>
      <c r="D14848">
        <v>2</v>
      </c>
      <c r="E14848" s="80">
        <v>35873</v>
      </c>
    </row>
    <row r="14849" spans="1:5">
      <c r="A14849">
        <v>10963</v>
      </c>
      <c r="B14849" t="s">
        <v>179</v>
      </c>
      <c r="C14849">
        <v>57.799999594688416</v>
      </c>
      <c r="D14849">
        <v>2</v>
      </c>
      <c r="E14849" s="80">
        <v>35873</v>
      </c>
    </row>
    <row r="14850" spans="1:5">
      <c r="A14850">
        <v>10964</v>
      </c>
      <c r="B14850" t="s">
        <v>172</v>
      </c>
      <c r="C14850">
        <v>375</v>
      </c>
      <c r="D14850">
        <v>6</v>
      </c>
      <c r="E14850" s="80">
        <v>35874</v>
      </c>
    </row>
    <row r="14851" spans="1:5">
      <c r="A14851">
        <v>10964</v>
      </c>
      <c r="B14851" t="s">
        <v>173</v>
      </c>
      <c r="C14851">
        <v>375</v>
      </c>
      <c r="D14851">
        <v>6</v>
      </c>
      <c r="E14851" s="80">
        <v>35874</v>
      </c>
    </row>
    <row r="14852" spans="1:5">
      <c r="A14852">
        <v>10964</v>
      </c>
      <c r="B14852" t="s">
        <v>174</v>
      </c>
      <c r="C14852">
        <v>375</v>
      </c>
      <c r="D14852">
        <v>6</v>
      </c>
      <c r="E14852" s="80">
        <v>35874</v>
      </c>
    </row>
    <row r="14853" spans="1:5">
      <c r="A14853">
        <v>10964</v>
      </c>
      <c r="B14853" t="s">
        <v>175</v>
      </c>
      <c r="C14853">
        <v>375</v>
      </c>
      <c r="D14853">
        <v>6</v>
      </c>
      <c r="E14853" s="80">
        <v>35874</v>
      </c>
    </row>
    <row r="14854" spans="1:5">
      <c r="A14854">
        <v>10964</v>
      </c>
      <c r="B14854" t="s">
        <v>176</v>
      </c>
      <c r="C14854">
        <v>375</v>
      </c>
      <c r="D14854">
        <v>6</v>
      </c>
      <c r="E14854" s="80">
        <v>35874</v>
      </c>
    </row>
    <row r="14855" spans="1:5">
      <c r="A14855">
        <v>10964</v>
      </c>
      <c r="B14855" t="s">
        <v>177</v>
      </c>
      <c r="C14855">
        <v>375</v>
      </c>
      <c r="D14855">
        <v>6</v>
      </c>
      <c r="E14855" s="80">
        <v>35874</v>
      </c>
    </row>
    <row r="14856" spans="1:5">
      <c r="A14856">
        <v>10964</v>
      </c>
      <c r="B14856" t="s">
        <v>178</v>
      </c>
      <c r="C14856">
        <v>375</v>
      </c>
      <c r="D14856">
        <v>6</v>
      </c>
      <c r="E14856" s="80">
        <v>35874</v>
      </c>
    </row>
    <row r="14857" spans="1:5">
      <c r="A14857">
        <v>10964</v>
      </c>
      <c r="B14857" t="s">
        <v>179</v>
      </c>
      <c r="C14857">
        <v>375</v>
      </c>
      <c r="D14857">
        <v>6</v>
      </c>
      <c r="E14857" s="80">
        <v>35874</v>
      </c>
    </row>
    <row r="14858" spans="1:5">
      <c r="A14858">
        <v>10964</v>
      </c>
      <c r="B14858" t="s">
        <v>172</v>
      </c>
      <c r="C14858">
        <v>1317.5</v>
      </c>
      <c r="D14858">
        <v>5</v>
      </c>
      <c r="E14858" s="80">
        <v>35874</v>
      </c>
    </row>
    <row r="14859" spans="1:5">
      <c r="A14859">
        <v>10964</v>
      </c>
      <c r="B14859" t="s">
        <v>173</v>
      </c>
      <c r="C14859">
        <v>1317.5</v>
      </c>
      <c r="D14859">
        <v>5</v>
      </c>
      <c r="E14859" s="80">
        <v>35874</v>
      </c>
    </row>
    <row r="14860" spans="1:5">
      <c r="A14860">
        <v>10964</v>
      </c>
      <c r="B14860" t="s">
        <v>174</v>
      </c>
      <c r="C14860">
        <v>1317.5</v>
      </c>
      <c r="D14860">
        <v>5</v>
      </c>
      <c r="E14860" s="80">
        <v>35874</v>
      </c>
    </row>
    <row r="14861" spans="1:5">
      <c r="A14861">
        <v>10964</v>
      </c>
      <c r="B14861" t="s">
        <v>175</v>
      </c>
      <c r="C14861">
        <v>1317.5</v>
      </c>
      <c r="D14861">
        <v>5</v>
      </c>
      <c r="E14861" s="80">
        <v>35874</v>
      </c>
    </row>
    <row r="14862" spans="1:5">
      <c r="A14862">
        <v>10964</v>
      </c>
      <c r="B14862" t="s">
        <v>176</v>
      </c>
      <c r="C14862">
        <v>1317.5</v>
      </c>
      <c r="D14862">
        <v>5</v>
      </c>
      <c r="E14862" s="80">
        <v>35874</v>
      </c>
    </row>
    <row r="14863" spans="1:5">
      <c r="A14863">
        <v>10964</v>
      </c>
      <c r="B14863" t="s">
        <v>177</v>
      </c>
      <c r="C14863">
        <v>1317.5</v>
      </c>
      <c r="D14863">
        <v>5</v>
      </c>
      <c r="E14863" s="80">
        <v>35874</v>
      </c>
    </row>
    <row r="14864" spans="1:5">
      <c r="A14864">
        <v>10964</v>
      </c>
      <c r="B14864" t="s">
        <v>178</v>
      </c>
      <c r="C14864">
        <v>1317.5</v>
      </c>
      <c r="D14864">
        <v>5</v>
      </c>
      <c r="E14864" s="80">
        <v>35874</v>
      </c>
    </row>
    <row r="14865" spans="1:5">
      <c r="A14865">
        <v>10964</v>
      </c>
      <c r="B14865" t="s">
        <v>179</v>
      </c>
      <c r="C14865">
        <v>1317.5</v>
      </c>
      <c r="D14865">
        <v>5</v>
      </c>
      <c r="E14865" s="80">
        <v>35874</v>
      </c>
    </row>
    <row r="14866" spans="1:5">
      <c r="A14866">
        <v>10964</v>
      </c>
      <c r="B14866" t="s">
        <v>172</v>
      </c>
      <c r="C14866">
        <v>360</v>
      </c>
      <c r="D14866">
        <v>10</v>
      </c>
      <c r="E14866" s="80">
        <v>35874</v>
      </c>
    </row>
    <row r="14867" spans="1:5">
      <c r="A14867">
        <v>10964</v>
      </c>
      <c r="B14867" t="s">
        <v>173</v>
      </c>
      <c r="C14867">
        <v>360</v>
      </c>
      <c r="D14867">
        <v>10</v>
      </c>
      <c r="E14867" s="80">
        <v>35874</v>
      </c>
    </row>
    <row r="14868" spans="1:5">
      <c r="A14868">
        <v>10964</v>
      </c>
      <c r="B14868" t="s">
        <v>174</v>
      </c>
      <c r="C14868">
        <v>360</v>
      </c>
      <c r="D14868">
        <v>10</v>
      </c>
      <c r="E14868" s="80">
        <v>35874</v>
      </c>
    </row>
    <row r="14869" spans="1:5">
      <c r="A14869">
        <v>10964</v>
      </c>
      <c r="B14869" t="s">
        <v>175</v>
      </c>
      <c r="C14869">
        <v>360</v>
      </c>
      <c r="D14869">
        <v>10</v>
      </c>
      <c r="E14869" s="80">
        <v>35874</v>
      </c>
    </row>
    <row r="14870" spans="1:5">
      <c r="A14870">
        <v>10964</v>
      </c>
      <c r="B14870" t="s">
        <v>176</v>
      </c>
      <c r="C14870">
        <v>360</v>
      </c>
      <c r="D14870">
        <v>10</v>
      </c>
      <c r="E14870" s="80">
        <v>35874</v>
      </c>
    </row>
    <row r="14871" spans="1:5">
      <c r="A14871">
        <v>10964</v>
      </c>
      <c r="B14871" t="s">
        <v>177</v>
      </c>
      <c r="C14871">
        <v>360</v>
      </c>
      <c r="D14871">
        <v>10</v>
      </c>
      <c r="E14871" s="80">
        <v>35874</v>
      </c>
    </row>
    <row r="14872" spans="1:5">
      <c r="A14872">
        <v>10964</v>
      </c>
      <c r="B14872" t="s">
        <v>178</v>
      </c>
      <c r="C14872">
        <v>360</v>
      </c>
      <c r="D14872">
        <v>10</v>
      </c>
      <c r="E14872" s="80">
        <v>35874</v>
      </c>
    </row>
    <row r="14873" spans="1:5">
      <c r="A14873">
        <v>10964</v>
      </c>
      <c r="B14873" t="s">
        <v>179</v>
      </c>
      <c r="C14873">
        <v>360</v>
      </c>
      <c r="D14873">
        <v>10</v>
      </c>
      <c r="E14873" s="80">
        <v>35874</v>
      </c>
    </row>
    <row r="14874" spans="1:5">
      <c r="A14874">
        <v>10965</v>
      </c>
      <c r="B14874" t="s">
        <v>172</v>
      </c>
      <c r="C14874">
        <v>848</v>
      </c>
      <c r="D14874">
        <v>16</v>
      </c>
      <c r="E14874" s="80">
        <v>35874</v>
      </c>
    </row>
    <row r="14875" spans="1:5">
      <c r="A14875">
        <v>10965</v>
      </c>
      <c r="B14875" t="s">
        <v>173</v>
      </c>
      <c r="C14875">
        <v>848</v>
      </c>
      <c r="D14875">
        <v>16</v>
      </c>
      <c r="E14875" s="80">
        <v>35874</v>
      </c>
    </row>
    <row r="14876" spans="1:5">
      <c r="A14876">
        <v>10965</v>
      </c>
      <c r="B14876" t="s">
        <v>174</v>
      </c>
      <c r="C14876">
        <v>848</v>
      </c>
      <c r="D14876">
        <v>16</v>
      </c>
      <c r="E14876" s="80">
        <v>35874</v>
      </c>
    </row>
    <row r="14877" spans="1:5">
      <c r="A14877">
        <v>10965</v>
      </c>
      <c r="B14877" t="s">
        <v>175</v>
      </c>
      <c r="C14877">
        <v>848</v>
      </c>
      <c r="D14877">
        <v>16</v>
      </c>
      <c r="E14877" s="80">
        <v>35874</v>
      </c>
    </row>
    <row r="14878" spans="1:5">
      <c r="A14878">
        <v>10965</v>
      </c>
      <c r="B14878" t="s">
        <v>176</v>
      </c>
      <c r="C14878">
        <v>848</v>
      </c>
      <c r="D14878">
        <v>16</v>
      </c>
      <c r="E14878" s="80">
        <v>35874</v>
      </c>
    </row>
    <row r="14879" spans="1:5">
      <c r="A14879">
        <v>10965</v>
      </c>
      <c r="B14879" t="s">
        <v>177</v>
      </c>
      <c r="C14879">
        <v>848</v>
      </c>
      <c r="D14879">
        <v>16</v>
      </c>
      <c r="E14879" s="80">
        <v>35874</v>
      </c>
    </row>
    <row r="14880" spans="1:5">
      <c r="A14880">
        <v>10965</v>
      </c>
      <c r="B14880" t="s">
        <v>178</v>
      </c>
      <c r="C14880">
        <v>848</v>
      </c>
      <c r="D14880">
        <v>16</v>
      </c>
      <c r="E14880" s="80">
        <v>35874</v>
      </c>
    </row>
    <row r="14881" spans="1:5">
      <c r="A14881">
        <v>10965</v>
      </c>
      <c r="B14881" t="s">
        <v>179</v>
      </c>
      <c r="C14881">
        <v>848</v>
      </c>
      <c r="D14881">
        <v>16</v>
      </c>
      <c r="E14881" s="80">
        <v>35874</v>
      </c>
    </row>
    <row r="14882" spans="1:5">
      <c r="A14882">
        <v>10966</v>
      </c>
      <c r="B14882" t="s">
        <v>172</v>
      </c>
      <c r="C14882">
        <v>208</v>
      </c>
      <c r="D14882">
        <v>8</v>
      </c>
      <c r="E14882" s="80">
        <v>35874</v>
      </c>
    </row>
    <row r="14883" spans="1:5">
      <c r="A14883">
        <v>10966</v>
      </c>
      <c r="B14883" t="s">
        <v>173</v>
      </c>
      <c r="C14883">
        <v>208</v>
      </c>
      <c r="D14883">
        <v>8</v>
      </c>
      <c r="E14883" s="80">
        <v>35874</v>
      </c>
    </row>
    <row r="14884" spans="1:5">
      <c r="A14884">
        <v>10966</v>
      </c>
      <c r="B14884" t="s">
        <v>174</v>
      </c>
      <c r="C14884">
        <v>208</v>
      </c>
      <c r="D14884">
        <v>8</v>
      </c>
      <c r="E14884" s="80">
        <v>35874</v>
      </c>
    </row>
    <row r="14885" spans="1:5">
      <c r="A14885">
        <v>10966</v>
      </c>
      <c r="B14885" t="s">
        <v>175</v>
      </c>
      <c r="C14885">
        <v>208</v>
      </c>
      <c r="D14885">
        <v>8</v>
      </c>
      <c r="E14885" s="80">
        <v>35874</v>
      </c>
    </row>
    <row r="14886" spans="1:5">
      <c r="A14886">
        <v>10966</v>
      </c>
      <c r="B14886" t="s">
        <v>176</v>
      </c>
      <c r="C14886">
        <v>208</v>
      </c>
      <c r="D14886">
        <v>8</v>
      </c>
      <c r="E14886" s="80">
        <v>35874</v>
      </c>
    </row>
    <row r="14887" spans="1:5">
      <c r="A14887">
        <v>10966</v>
      </c>
      <c r="B14887" t="s">
        <v>177</v>
      </c>
      <c r="C14887">
        <v>208</v>
      </c>
      <c r="D14887">
        <v>8</v>
      </c>
      <c r="E14887" s="80">
        <v>35874</v>
      </c>
    </row>
    <row r="14888" spans="1:5">
      <c r="A14888">
        <v>10966</v>
      </c>
      <c r="B14888" t="s">
        <v>178</v>
      </c>
      <c r="C14888">
        <v>208</v>
      </c>
      <c r="D14888">
        <v>8</v>
      </c>
      <c r="E14888" s="80">
        <v>35874</v>
      </c>
    </row>
    <row r="14889" spans="1:5">
      <c r="A14889">
        <v>10966</v>
      </c>
      <c r="B14889" t="s">
        <v>179</v>
      </c>
      <c r="C14889">
        <v>208</v>
      </c>
      <c r="D14889">
        <v>8</v>
      </c>
      <c r="E14889" s="80">
        <v>35874</v>
      </c>
    </row>
    <row r="14890" spans="1:5">
      <c r="A14890">
        <v>10966</v>
      </c>
      <c r="B14890" t="s">
        <v>172</v>
      </c>
      <c r="C14890">
        <v>387.5999972820282</v>
      </c>
      <c r="D14890">
        <v>12</v>
      </c>
      <c r="E14890" s="80">
        <v>35874</v>
      </c>
    </row>
    <row r="14891" spans="1:5">
      <c r="A14891">
        <v>10966</v>
      </c>
      <c r="B14891" t="s">
        <v>173</v>
      </c>
      <c r="C14891">
        <v>387.5999972820282</v>
      </c>
      <c r="D14891">
        <v>12</v>
      </c>
      <c r="E14891" s="80">
        <v>35874</v>
      </c>
    </row>
    <row r="14892" spans="1:5">
      <c r="A14892">
        <v>10966</v>
      </c>
      <c r="B14892" t="s">
        <v>174</v>
      </c>
      <c r="C14892">
        <v>387.5999972820282</v>
      </c>
      <c r="D14892">
        <v>12</v>
      </c>
      <c r="E14892" s="80">
        <v>35874</v>
      </c>
    </row>
    <row r="14893" spans="1:5">
      <c r="A14893">
        <v>10966</v>
      </c>
      <c r="B14893" t="s">
        <v>175</v>
      </c>
      <c r="C14893">
        <v>387.5999972820282</v>
      </c>
      <c r="D14893">
        <v>12</v>
      </c>
      <c r="E14893" s="80">
        <v>35874</v>
      </c>
    </row>
    <row r="14894" spans="1:5">
      <c r="A14894">
        <v>10966</v>
      </c>
      <c r="B14894" t="s">
        <v>176</v>
      </c>
      <c r="C14894">
        <v>387.5999972820282</v>
      </c>
      <c r="D14894">
        <v>12</v>
      </c>
      <c r="E14894" s="80">
        <v>35874</v>
      </c>
    </row>
    <row r="14895" spans="1:5">
      <c r="A14895">
        <v>10966</v>
      </c>
      <c r="B14895" t="s">
        <v>177</v>
      </c>
      <c r="C14895">
        <v>387.5999972820282</v>
      </c>
      <c r="D14895">
        <v>12</v>
      </c>
      <c r="E14895" s="80">
        <v>35874</v>
      </c>
    </row>
    <row r="14896" spans="1:5">
      <c r="A14896">
        <v>10966</v>
      </c>
      <c r="B14896" t="s">
        <v>178</v>
      </c>
      <c r="C14896">
        <v>387.5999972820282</v>
      </c>
      <c r="D14896">
        <v>12</v>
      </c>
      <c r="E14896" s="80">
        <v>35874</v>
      </c>
    </row>
    <row r="14897" spans="1:5">
      <c r="A14897">
        <v>10966</v>
      </c>
      <c r="B14897" t="s">
        <v>179</v>
      </c>
      <c r="C14897">
        <v>387.5999972820282</v>
      </c>
      <c r="D14897">
        <v>12</v>
      </c>
      <c r="E14897" s="80">
        <v>35874</v>
      </c>
    </row>
    <row r="14898" spans="1:5">
      <c r="A14898">
        <v>10966</v>
      </c>
      <c r="B14898" t="s">
        <v>172</v>
      </c>
      <c r="C14898">
        <v>502.85999647378924</v>
      </c>
      <c r="D14898">
        <v>12</v>
      </c>
      <c r="E14898" s="80">
        <v>35874</v>
      </c>
    </row>
    <row r="14899" spans="1:5">
      <c r="A14899">
        <v>10966</v>
      </c>
      <c r="B14899" t="s">
        <v>173</v>
      </c>
      <c r="C14899">
        <v>502.85999647378924</v>
      </c>
      <c r="D14899">
        <v>12</v>
      </c>
      <c r="E14899" s="80">
        <v>35874</v>
      </c>
    </row>
    <row r="14900" spans="1:5">
      <c r="A14900">
        <v>10966</v>
      </c>
      <c r="B14900" t="s">
        <v>174</v>
      </c>
      <c r="C14900">
        <v>502.85999647378924</v>
      </c>
      <c r="D14900">
        <v>12</v>
      </c>
      <c r="E14900" s="80">
        <v>35874</v>
      </c>
    </row>
    <row r="14901" spans="1:5">
      <c r="A14901">
        <v>10966</v>
      </c>
      <c r="B14901" t="s">
        <v>175</v>
      </c>
      <c r="C14901">
        <v>502.85999647378924</v>
      </c>
      <c r="D14901">
        <v>12</v>
      </c>
      <c r="E14901" s="80">
        <v>35874</v>
      </c>
    </row>
    <row r="14902" spans="1:5">
      <c r="A14902">
        <v>10966</v>
      </c>
      <c r="B14902" t="s">
        <v>176</v>
      </c>
      <c r="C14902">
        <v>502.85999647378924</v>
      </c>
      <c r="D14902">
        <v>12</v>
      </c>
      <c r="E14902" s="80">
        <v>35874</v>
      </c>
    </row>
    <row r="14903" spans="1:5">
      <c r="A14903">
        <v>10966</v>
      </c>
      <c r="B14903" t="s">
        <v>177</v>
      </c>
      <c r="C14903">
        <v>502.85999647378924</v>
      </c>
      <c r="D14903">
        <v>12</v>
      </c>
      <c r="E14903" s="80">
        <v>35874</v>
      </c>
    </row>
    <row r="14904" spans="1:5">
      <c r="A14904">
        <v>10966</v>
      </c>
      <c r="B14904" t="s">
        <v>178</v>
      </c>
      <c r="C14904">
        <v>502.85999647378924</v>
      </c>
      <c r="D14904">
        <v>12</v>
      </c>
      <c r="E14904" s="80">
        <v>35874</v>
      </c>
    </row>
    <row r="14905" spans="1:5">
      <c r="A14905">
        <v>10966</v>
      </c>
      <c r="B14905" t="s">
        <v>179</v>
      </c>
      <c r="C14905">
        <v>502.85999647378924</v>
      </c>
      <c r="D14905">
        <v>12</v>
      </c>
      <c r="E14905" s="80">
        <v>35874</v>
      </c>
    </row>
    <row r="14906" spans="1:5">
      <c r="A14906">
        <v>10967</v>
      </c>
      <c r="B14906" t="s">
        <v>172</v>
      </c>
      <c r="C14906">
        <v>110.4</v>
      </c>
      <c r="D14906">
        <v>12</v>
      </c>
      <c r="E14906" s="80">
        <v>35877</v>
      </c>
    </row>
    <row r="14907" spans="1:5">
      <c r="A14907">
        <v>10967</v>
      </c>
      <c r="B14907" t="s">
        <v>173</v>
      </c>
      <c r="C14907">
        <v>110.4</v>
      </c>
      <c r="D14907">
        <v>12</v>
      </c>
      <c r="E14907" s="80">
        <v>35877</v>
      </c>
    </row>
    <row r="14908" spans="1:5">
      <c r="A14908">
        <v>10967</v>
      </c>
      <c r="B14908" t="s">
        <v>174</v>
      </c>
      <c r="C14908">
        <v>110.4</v>
      </c>
      <c r="D14908">
        <v>12</v>
      </c>
      <c r="E14908" s="80">
        <v>35877</v>
      </c>
    </row>
    <row r="14909" spans="1:5">
      <c r="A14909">
        <v>10967</v>
      </c>
      <c r="B14909" t="s">
        <v>175</v>
      </c>
      <c r="C14909">
        <v>110.4</v>
      </c>
      <c r="D14909">
        <v>12</v>
      </c>
      <c r="E14909" s="80">
        <v>35877</v>
      </c>
    </row>
    <row r="14910" spans="1:5">
      <c r="A14910">
        <v>10967</v>
      </c>
      <c r="B14910" t="s">
        <v>176</v>
      </c>
      <c r="C14910">
        <v>110.4</v>
      </c>
      <c r="D14910">
        <v>12</v>
      </c>
      <c r="E14910" s="80">
        <v>35877</v>
      </c>
    </row>
    <row r="14911" spans="1:5">
      <c r="A14911">
        <v>10967</v>
      </c>
      <c r="B14911" t="s">
        <v>177</v>
      </c>
      <c r="C14911">
        <v>110.4</v>
      </c>
      <c r="D14911">
        <v>12</v>
      </c>
      <c r="E14911" s="80">
        <v>35877</v>
      </c>
    </row>
    <row r="14912" spans="1:5">
      <c r="A14912">
        <v>10967</v>
      </c>
      <c r="B14912" t="s">
        <v>178</v>
      </c>
      <c r="C14912">
        <v>110.4</v>
      </c>
      <c r="D14912">
        <v>12</v>
      </c>
      <c r="E14912" s="80">
        <v>35877</v>
      </c>
    </row>
    <row r="14913" spans="1:5">
      <c r="A14913">
        <v>10967</v>
      </c>
      <c r="B14913" t="s">
        <v>179</v>
      </c>
      <c r="C14913">
        <v>110.4</v>
      </c>
      <c r="D14913">
        <v>12</v>
      </c>
      <c r="E14913" s="80">
        <v>35877</v>
      </c>
    </row>
    <row r="14914" spans="1:5">
      <c r="A14914">
        <v>10967</v>
      </c>
      <c r="B14914" t="s">
        <v>172</v>
      </c>
      <c r="C14914">
        <v>800</v>
      </c>
      <c r="D14914">
        <v>40</v>
      </c>
      <c r="E14914" s="80">
        <v>35877</v>
      </c>
    </row>
    <row r="14915" spans="1:5">
      <c r="A14915">
        <v>10967</v>
      </c>
      <c r="B14915" t="s">
        <v>173</v>
      </c>
      <c r="C14915">
        <v>800</v>
      </c>
      <c r="D14915">
        <v>40</v>
      </c>
      <c r="E14915" s="80">
        <v>35877</v>
      </c>
    </row>
    <row r="14916" spans="1:5">
      <c r="A14916">
        <v>10967</v>
      </c>
      <c r="B14916" t="s">
        <v>174</v>
      </c>
      <c r="C14916">
        <v>800</v>
      </c>
      <c r="D14916">
        <v>40</v>
      </c>
      <c r="E14916" s="80">
        <v>35877</v>
      </c>
    </row>
    <row r="14917" spans="1:5">
      <c r="A14917">
        <v>10967</v>
      </c>
      <c r="B14917" t="s">
        <v>175</v>
      </c>
      <c r="C14917">
        <v>800</v>
      </c>
      <c r="D14917">
        <v>40</v>
      </c>
      <c r="E14917" s="80">
        <v>35877</v>
      </c>
    </row>
    <row r="14918" spans="1:5">
      <c r="A14918">
        <v>10967</v>
      </c>
      <c r="B14918" t="s">
        <v>176</v>
      </c>
      <c r="C14918">
        <v>800</v>
      </c>
      <c r="D14918">
        <v>40</v>
      </c>
      <c r="E14918" s="80">
        <v>35877</v>
      </c>
    </row>
    <row r="14919" spans="1:5">
      <c r="A14919">
        <v>10967</v>
      </c>
      <c r="B14919" t="s">
        <v>177</v>
      </c>
      <c r="C14919">
        <v>800</v>
      </c>
      <c r="D14919">
        <v>40</v>
      </c>
      <c r="E14919" s="80">
        <v>35877</v>
      </c>
    </row>
    <row r="14920" spans="1:5">
      <c r="A14920">
        <v>10967</v>
      </c>
      <c r="B14920" t="s">
        <v>178</v>
      </c>
      <c r="C14920">
        <v>800</v>
      </c>
      <c r="D14920">
        <v>40</v>
      </c>
      <c r="E14920" s="80">
        <v>35877</v>
      </c>
    </row>
    <row r="14921" spans="1:5">
      <c r="A14921">
        <v>10967</v>
      </c>
      <c r="B14921" t="s">
        <v>179</v>
      </c>
      <c r="C14921">
        <v>800</v>
      </c>
      <c r="D14921">
        <v>40</v>
      </c>
      <c r="E14921" s="80">
        <v>35877</v>
      </c>
    </row>
    <row r="14922" spans="1:5">
      <c r="A14922">
        <v>10968</v>
      </c>
      <c r="B14922" t="s">
        <v>172</v>
      </c>
      <c r="C14922">
        <v>1140</v>
      </c>
      <c r="D14922">
        <v>30</v>
      </c>
      <c r="E14922" s="80">
        <v>35877</v>
      </c>
    </row>
    <row r="14923" spans="1:5">
      <c r="A14923">
        <v>10968</v>
      </c>
      <c r="B14923" t="s">
        <v>173</v>
      </c>
      <c r="C14923">
        <v>1140</v>
      </c>
      <c r="D14923">
        <v>30</v>
      </c>
      <c r="E14923" s="80">
        <v>35877</v>
      </c>
    </row>
    <row r="14924" spans="1:5">
      <c r="A14924">
        <v>10968</v>
      </c>
      <c r="B14924" t="s">
        <v>174</v>
      </c>
      <c r="C14924">
        <v>1140</v>
      </c>
      <c r="D14924">
        <v>30</v>
      </c>
      <c r="E14924" s="80">
        <v>35877</v>
      </c>
    </row>
    <row r="14925" spans="1:5">
      <c r="A14925">
        <v>10968</v>
      </c>
      <c r="B14925" t="s">
        <v>175</v>
      </c>
      <c r="C14925">
        <v>1140</v>
      </c>
      <c r="D14925">
        <v>30</v>
      </c>
      <c r="E14925" s="80">
        <v>35877</v>
      </c>
    </row>
    <row r="14926" spans="1:5">
      <c r="A14926">
        <v>10968</v>
      </c>
      <c r="B14926" t="s">
        <v>176</v>
      </c>
      <c r="C14926">
        <v>1140</v>
      </c>
      <c r="D14926">
        <v>30</v>
      </c>
      <c r="E14926" s="80">
        <v>35877</v>
      </c>
    </row>
    <row r="14927" spans="1:5">
      <c r="A14927">
        <v>10968</v>
      </c>
      <c r="B14927" t="s">
        <v>177</v>
      </c>
      <c r="C14927">
        <v>1140</v>
      </c>
      <c r="D14927">
        <v>30</v>
      </c>
      <c r="E14927" s="80">
        <v>35877</v>
      </c>
    </row>
    <row r="14928" spans="1:5">
      <c r="A14928">
        <v>10968</v>
      </c>
      <c r="B14928" t="s">
        <v>178</v>
      </c>
      <c r="C14928">
        <v>1140</v>
      </c>
      <c r="D14928">
        <v>30</v>
      </c>
      <c r="E14928" s="80">
        <v>35877</v>
      </c>
    </row>
    <row r="14929" spans="1:5">
      <c r="A14929">
        <v>10968</v>
      </c>
      <c r="B14929" t="s">
        <v>179</v>
      </c>
      <c r="C14929">
        <v>1140</v>
      </c>
      <c r="D14929">
        <v>30</v>
      </c>
      <c r="E14929" s="80">
        <v>35877</v>
      </c>
    </row>
    <row r="14930" spans="1:5">
      <c r="A14930">
        <v>10968</v>
      </c>
      <c r="B14930" t="s">
        <v>172</v>
      </c>
      <c r="C14930">
        <v>135</v>
      </c>
      <c r="D14930">
        <v>30</v>
      </c>
      <c r="E14930" s="80">
        <v>35877</v>
      </c>
    </row>
    <row r="14931" spans="1:5">
      <c r="A14931">
        <v>10968</v>
      </c>
      <c r="B14931" t="s">
        <v>173</v>
      </c>
      <c r="C14931">
        <v>135</v>
      </c>
      <c r="D14931">
        <v>30</v>
      </c>
      <c r="E14931" s="80">
        <v>35877</v>
      </c>
    </row>
    <row r="14932" spans="1:5">
      <c r="A14932">
        <v>10968</v>
      </c>
      <c r="B14932" t="s">
        <v>174</v>
      </c>
      <c r="C14932">
        <v>135</v>
      </c>
      <c r="D14932">
        <v>30</v>
      </c>
      <c r="E14932" s="80">
        <v>35877</v>
      </c>
    </row>
    <row r="14933" spans="1:5">
      <c r="A14933">
        <v>10968</v>
      </c>
      <c r="B14933" t="s">
        <v>175</v>
      </c>
      <c r="C14933">
        <v>135</v>
      </c>
      <c r="D14933">
        <v>30</v>
      </c>
      <c r="E14933" s="80">
        <v>35877</v>
      </c>
    </row>
    <row r="14934" spans="1:5">
      <c r="A14934">
        <v>10968</v>
      </c>
      <c r="B14934" t="s">
        <v>176</v>
      </c>
      <c r="C14934">
        <v>135</v>
      </c>
      <c r="D14934">
        <v>30</v>
      </c>
      <c r="E14934" s="80">
        <v>35877</v>
      </c>
    </row>
    <row r="14935" spans="1:5">
      <c r="A14935">
        <v>10968</v>
      </c>
      <c r="B14935" t="s">
        <v>177</v>
      </c>
      <c r="C14935">
        <v>135</v>
      </c>
      <c r="D14935">
        <v>30</v>
      </c>
      <c r="E14935" s="80">
        <v>35877</v>
      </c>
    </row>
    <row r="14936" spans="1:5">
      <c r="A14936">
        <v>10968</v>
      </c>
      <c r="B14936" t="s">
        <v>178</v>
      </c>
      <c r="C14936">
        <v>135</v>
      </c>
      <c r="D14936">
        <v>30</v>
      </c>
      <c r="E14936" s="80">
        <v>35877</v>
      </c>
    </row>
    <row r="14937" spans="1:5">
      <c r="A14937">
        <v>10968</v>
      </c>
      <c r="B14937" t="s">
        <v>179</v>
      </c>
      <c r="C14937">
        <v>135</v>
      </c>
      <c r="D14937">
        <v>30</v>
      </c>
      <c r="E14937" s="80">
        <v>35877</v>
      </c>
    </row>
    <row r="14938" spans="1:5">
      <c r="A14938">
        <v>10968</v>
      </c>
      <c r="B14938" t="s">
        <v>172</v>
      </c>
      <c r="C14938">
        <v>133</v>
      </c>
      <c r="D14938">
        <v>4</v>
      </c>
      <c r="E14938" s="80">
        <v>35877</v>
      </c>
    </row>
    <row r="14939" spans="1:5">
      <c r="A14939">
        <v>10968</v>
      </c>
      <c r="B14939" t="s">
        <v>173</v>
      </c>
      <c r="C14939">
        <v>133</v>
      </c>
      <c r="D14939">
        <v>4</v>
      </c>
      <c r="E14939" s="80">
        <v>35877</v>
      </c>
    </row>
    <row r="14940" spans="1:5">
      <c r="A14940">
        <v>10968</v>
      </c>
      <c r="B14940" t="s">
        <v>174</v>
      </c>
      <c r="C14940">
        <v>133</v>
      </c>
      <c r="D14940">
        <v>4</v>
      </c>
      <c r="E14940" s="80">
        <v>35877</v>
      </c>
    </row>
    <row r="14941" spans="1:5">
      <c r="A14941">
        <v>10968</v>
      </c>
      <c r="B14941" t="s">
        <v>175</v>
      </c>
      <c r="C14941">
        <v>133</v>
      </c>
      <c r="D14941">
        <v>4</v>
      </c>
      <c r="E14941" s="80">
        <v>35877</v>
      </c>
    </row>
    <row r="14942" spans="1:5">
      <c r="A14942">
        <v>10968</v>
      </c>
      <c r="B14942" t="s">
        <v>176</v>
      </c>
      <c r="C14942">
        <v>133</v>
      </c>
      <c r="D14942">
        <v>4</v>
      </c>
      <c r="E14942" s="80">
        <v>35877</v>
      </c>
    </row>
    <row r="14943" spans="1:5">
      <c r="A14943">
        <v>10968</v>
      </c>
      <c r="B14943" t="s">
        <v>177</v>
      </c>
      <c r="C14943">
        <v>133</v>
      </c>
      <c r="D14943">
        <v>4</v>
      </c>
      <c r="E14943" s="80">
        <v>35877</v>
      </c>
    </row>
    <row r="14944" spans="1:5">
      <c r="A14944">
        <v>10968</v>
      </c>
      <c r="B14944" t="s">
        <v>178</v>
      </c>
      <c r="C14944">
        <v>133</v>
      </c>
      <c r="D14944">
        <v>4</v>
      </c>
      <c r="E14944" s="80">
        <v>35877</v>
      </c>
    </row>
    <row r="14945" spans="1:5">
      <c r="A14945">
        <v>10968</v>
      </c>
      <c r="B14945" t="s">
        <v>179</v>
      </c>
      <c r="C14945">
        <v>133</v>
      </c>
      <c r="D14945">
        <v>4</v>
      </c>
      <c r="E14945" s="80">
        <v>35877</v>
      </c>
    </row>
    <row r="14946" spans="1:5">
      <c r="A14946">
        <v>10969</v>
      </c>
      <c r="B14946" t="s">
        <v>172</v>
      </c>
      <c r="C14946">
        <v>108</v>
      </c>
      <c r="D14946">
        <v>9</v>
      </c>
      <c r="E14946" s="80">
        <v>35877</v>
      </c>
    </row>
    <row r="14947" spans="1:5">
      <c r="A14947">
        <v>10969</v>
      </c>
      <c r="B14947" t="s">
        <v>173</v>
      </c>
      <c r="C14947">
        <v>108</v>
      </c>
      <c r="D14947">
        <v>9</v>
      </c>
      <c r="E14947" s="80">
        <v>35877</v>
      </c>
    </row>
    <row r="14948" spans="1:5">
      <c r="A14948">
        <v>10969</v>
      </c>
      <c r="B14948" t="s">
        <v>174</v>
      </c>
      <c r="C14948">
        <v>108</v>
      </c>
      <c r="D14948">
        <v>9</v>
      </c>
      <c r="E14948" s="80">
        <v>35877</v>
      </c>
    </row>
    <row r="14949" spans="1:5">
      <c r="A14949">
        <v>10969</v>
      </c>
      <c r="B14949" t="s">
        <v>175</v>
      </c>
      <c r="C14949">
        <v>108</v>
      </c>
      <c r="D14949">
        <v>9</v>
      </c>
      <c r="E14949" s="80">
        <v>35877</v>
      </c>
    </row>
    <row r="14950" spans="1:5">
      <c r="A14950">
        <v>10969</v>
      </c>
      <c r="B14950" t="s">
        <v>176</v>
      </c>
      <c r="C14950">
        <v>108</v>
      </c>
      <c r="D14950">
        <v>9</v>
      </c>
      <c r="E14950" s="80">
        <v>35877</v>
      </c>
    </row>
    <row r="14951" spans="1:5">
      <c r="A14951">
        <v>10969</v>
      </c>
      <c r="B14951" t="s">
        <v>177</v>
      </c>
      <c r="C14951">
        <v>108</v>
      </c>
      <c r="D14951">
        <v>9</v>
      </c>
      <c r="E14951" s="80">
        <v>35877</v>
      </c>
    </row>
    <row r="14952" spans="1:5">
      <c r="A14952">
        <v>10969</v>
      </c>
      <c r="B14952" t="s">
        <v>178</v>
      </c>
      <c r="C14952">
        <v>108</v>
      </c>
      <c r="D14952">
        <v>9</v>
      </c>
      <c r="E14952" s="80">
        <v>35877</v>
      </c>
    </row>
    <row r="14953" spans="1:5">
      <c r="A14953">
        <v>10969</v>
      </c>
      <c r="B14953" t="s">
        <v>179</v>
      </c>
      <c r="C14953">
        <v>108</v>
      </c>
      <c r="D14953">
        <v>9</v>
      </c>
      <c r="E14953" s="80">
        <v>35877</v>
      </c>
    </row>
    <row r="14954" spans="1:5">
      <c r="A14954">
        <v>10970</v>
      </c>
      <c r="B14954" t="s">
        <v>172</v>
      </c>
      <c r="C14954">
        <v>223.99999916553497</v>
      </c>
      <c r="D14954">
        <v>40</v>
      </c>
      <c r="E14954" s="80">
        <v>35878</v>
      </c>
    </row>
    <row r="14955" spans="1:5">
      <c r="A14955">
        <v>10970</v>
      </c>
      <c r="B14955" t="s">
        <v>173</v>
      </c>
      <c r="C14955">
        <v>223.99999916553497</v>
      </c>
      <c r="D14955">
        <v>40</v>
      </c>
      <c r="E14955" s="80">
        <v>35878</v>
      </c>
    </row>
    <row r="14956" spans="1:5">
      <c r="A14956">
        <v>10970</v>
      </c>
      <c r="B14956" t="s">
        <v>174</v>
      </c>
      <c r="C14956">
        <v>223.99999916553497</v>
      </c>
      <c r="D14956">
        <v>40</v>
      </c>
      <c r="E14956" s="80">
        <v>35878</v>
      </c>
    </row>
    <row r="14957" spans="1:5">
      <c r="A14957">
        <v>10970</v>
      </c>
      <c r="B14957" t="s">
        <v>175</v>
      </c>
      <c r="C14957">
        <v>223.99999916553497</v>
      </c>
      <c r="D14957">
        <v>40</v>
      </c>
      <c r="E14957" s="80">
        <v>35878</v>
      </c>
    </row>
    <row r="14958" spans="1:5">
      <c r="A14958">
        <v>10970</v>
      </c>
      <c r="B14958" t="s">
        <v>176</v>
      </c>
      <c r="C14958">
        <v>223.99999916553497</v>
      </c>
      <c r="D14958">
        <v>40</v>
      </c>
      <c r="E14958" s="80">
        <v>35878</v>
      </c>
    </row>
    <row r="14959" spans="1:5">
      <c r="A14959">
        <v>10970</v>
      </c>
      <c r="B14959" t="s">
        <v>177</v>
      </c>
      <c r="C14959">
        <v>223.99999916553497</v>
      </c>
      <c r="D14959">
        <v>40</v>
      </c>
      <c r="E14959" s="80">
        <v>35878</v>
      </c>
    </row>
    <row r="14960" spans="1:5">
      <c r="A14960">
        <v>10970</v>
      </c>
      <c r="B14960" t="s">
        <v>178</v>
      </c>
      <c r="C14960">
        <v>223.99999916553497</v>
      </c>
      <c r="D14960">
        <v>40</v>
      </c>
      <c r="E14960" s="80">
        <v>35878</v>
      </c>
    </row>
    <row r="14961" spans="1:5">
      <c r="A14961">
        <v>10970</v>
      </c>
      <c r="B14961" t="s">
        <v>179</v>
      </c>
      <c r="C14961">
        <v>223.99999916553497</v>
      </c>
      <c r="D14961">
        <v>40</v>
      </c>
      <c r="E14961" s="80">
        <v>35878</v>
      </c>
    </row>
    <row r="14962" spans="1:5">
      <c r="A14962">
        <v>10971</v>
      </c>
      <c r="B14962" t="s">
        <v>172</v>
      </c>
      <c r="C14962">
        <v>1733.06</v>
      </c>
      <c r="D14962">
        <v>14</v>
      </c>
      <c r="E14962" s="80">
        <v>35878</v>
      </c>
    </row>
    <row r="14963" spans="1:5">
      <c r="A14963">
        <v>10971</v>
      </c>
      <c r="B14963" t="s">
        <v>173</v>
      </c>
      <c r="C14963">
        <v>1733.06</v>
      </c>
      <c r="D14963">
        <v>14</v>
      </c>
      <c r="E14963" s="80">
        <v>35878</v>
      </c>
    </row>
    <row r="14964" spans="1:5">
      <c r="A14964">
        <v>10971</v>
      </c>
      <c r="B14964" t="s">
        <v>174</v>
      </c>
      <c r="C14964">
        <v>1733.06</v>
      </c>
      <c r="D14964">
        <v>14</v>
      </c>
      <c r="E14964" s="80">
        <v>35878</v>
      </c>
    </row>
    <row r="14965" spans="1:5">
      <c r="A14965">
        <v>10971</v>
      </c>
      <c r="B14965" t="s">
        <v>175</v>
      </c>
      <c r="C14965">
        <v>1733.06</v>
      </c>
      <c r="D14965">
        <v>14</v>
      </c>
      <c r="E14965" s="80">
        <v>35878</v>
      </c>
    </row>
    <row r="14966" spans="1:5">
      <c r="A14966">
        <v>10971</v>
      </c>
      <c r="B14966" t="s">
        <v>176</v>
      </c>
      <c r="C14966">
        <v>1733.06</v>
      </c>
      <c r="D14966">
        <v>14</v>
      </c>
      <c r="E14966" s="80">
        <v>35878</v>
      </c>
    </row>
    <row r="14967" spans="1:5">
      <c r="A14967">
        <v>10971</v>
      </c>
      <c r="B14967" t="s">
        <v>177</v>
      </c>
      <c r="C14967">
        <v>1733.06</v>
      </c>
      <c r="D14967">
        <v>14</v>
      </c>
      <c r="E14967" s="80">
        <v>35878</v>
      </c>
    </row>
    <row r="14968" spans="1:5">
      <c r="A14968">
        <v>10971</v>
      </c>
      <c r="B14968" t="s">
        <v>178</v>
      </c>
      <c r="C14968">
        <v>1733.06</v>
      </c>
      <c r="D14968">
        <v>14</v>
      </c>
      <c r="E14968" s="80">
        <v>35878</v>
      </c>
    </row>
    <row r="14969" spans="1:5">
      <c r="A14969">
        <v>10971</v>
      </c>
      <c r="B14969" t="s">
        <v>179</v>
      </c>
      <c r="C14969">
        <v>1733.06</v>
      </c>
      <c r="D14969">
        <v>14</v>
      </c>
      <c r="E14969" s="80">
        <v>35878</v>
      </c>
    </row>
    <row r="14970" spans="1:5">
      <c r="A14970">
        <v>10972</v>
      </c>
      <c r="B14970" t="s">
        <v>172</v>
      </c>
      <c r="C14970">
        <v>234</v>
      </c>
      <c r="D14970">
        <v>6</v>
      </c>
      <c r="E14970" s="80">
        <v>35878</v>
      </c>
    </row>
    <row r="14971" spans="1:5">
      <c r="A14971">
        <v>10972</v>
      </c>
      <c r="B14971" t="s">
        <v>173</v>
      </c>
      <c r="C14971">
        <v>234</v>
      </c>
      <c r="D14971">
        <v>6</v>
      </c>
      <c r="E14971" s="80">
        <v>35878</v>
      </c>
    </row>
    <row r="14972" spans="1:5">
      <c r="A14972">
        <v>10972</v>
      </c>
      <c r="B14972" t="s">
        <v>174</v>
      </c>
      <c r="C14972">
        <v>234</v>
      </c>
      <c r="D14972">
        <v>6</v>
      </c>
      <c r="E14972" s="80">
        <v>35878</v>
      </c>
    </row>
    <row r="14973" spans="1:5">
      <c r="A14973">
        <v>10972</v>
      </c>
      <c r="B14973" t="s">
        <v>175</v>
      </c>
      <c r="C14973">
        <v>234</v>
      </c>
      <c r="D14973">
        <v>6</v>
      </c>
      <c r="E14973" s="80">
        <v>35878</v>
      </c>
    </row>
    <row r="14974" spans="1:5">
      <c r="A14974">
        <v>10972</v>
      </c>
      <c r="B14974" t="s">
        <v>176</v>
      </c>
      <c r="C14974">
        <v>234</v>
      </c>
      <c r="D14974">
        <v>6</v>
      </c>
      <c r="E14974" s="80">
        <v>35878</v>
      </c>
    </row>
    <row r="14975" spans="1:5">
      <c r="A14975">
        <v>10972</v>
      </c>
      <c r="B14975" t="s">
        <v>177</v>
      </c>
      <c r="C14975">
        <v>234</v>
      </c>
      <c r="D14975">
        <v>6</v>
      </c>
      <c r="E14975" s="80">
        <v>35878</v>
      </c>
    </row>
    <row r="14976" spans="1:5">
      <c r="A14976">
        <v>10972</v>
      </c>
      <c r="B14976" t="s">
        <v>178</v>
      </c>
      <c r="C14976">
        <v>234</v>
      </c>
      <c r="D14976">
        <v>6</v>
      </c>
      <c r="E14976" s="80">
        <v>35878</v>
      </c>
    </row>
    <row r="14977" spans="1:5">
      <c r="A14977">
        <v>10972</v>
      </c>
      <c r="B14977" t="s">
        <v>179</v>
      </c>
      <c r="C14977">
        <v>234</v>
      </c>
      <c r="D14977">
        <v>6</v>
      </c>
      <c r="E14977" s="80">
        <v>35878</v>
      </c>
    </row>
    <row r="14978" spans="1:5">
      <c r="A14978">
        <v>10972</v>
      </c>
      <c r="B14978" t="s">
        <v>172</v>
      </c>
      <c r="C14978">
        <v>17.5</v>
      </c>
      <c r="D14978">
        <v>7</v>
      </c>
      <c r="E14978" s="80">
        <v>35878</v>
      </c>
    </row>
    <row r="14979" spans="1:5">
      <c r="A14979">
        <v>10972</v>
      </c>
      <c r="B14979" t="s">
        <v>173</v>
      </c>
      <c r="C14979">
        <v>17.5</v>
      </c>
      <c r="D14979">
        <v>7</v>
      </c>
      <c r="E14979" s="80">
        <v>35878</v>
      </c>
    </row>
    <row r="14980" spans="1:5">
      <c r="A14980">
        <v>10972</v>
      </c>
      <c r="B14980" t="s">
        <v>174</v>
      </c>
      <c r="C14980">
        <v>17.5</v>
      </c>
      <c r="D14980">
        <v>7</v>
      </c>
      <c r="E14980" s="80">
        <v>35878</v>
      </c>
    </row>
    <row r="14981" spans="1:5">
      <c r="A14981">
        <v>10972</v>
      </c>
      <c r="B14981" t="s">
        <v>175</v>
      </c>
      <c r="C14981">
        <v>17.5</v>
      </c>
      <c r="D14981">
        <v>7</v>
      </c>
      <c r="E14981" s="80">
        <v>35878</v>
      </c>
    </row>
    <row r="14982" spans="1:5">
      <c r="A14982">
        <v>10972</v>
      </c>
      <c r="B14982" t="s">
        <v>176</v>
      </c>
      <c r="C14982">
        <v>17.5</v>
      </c>
      <c r="D14982">
        <v>7</v>
      </c>
      <c r="E14982" s="80">
        <v>35878</v>
      </c>
    </row>
    <row r="14983" spans="1:5">
      <c r="A14983">
        <v>10972</v>
      </c>
      <c r="B14983" t="s">
        <v>177</v>
      </c>
      <c r="C14983">
        <v>17.5</v>
      </c>
      <c r="D14983">
        <v>7</v>
      </c>
      <c r="E14983" s="80">
        <v>35878</v>
      </c>
    </row>
    <row r="14984" spans="1:5">
      <c r="A14984">
        <v>10972</v>
      </c>
      <c r="B14984" t="s">
        <v>178</v>
      </c>
      <c r="C14984">
        <v>17.5</v>
      </c>
      <c r="D14984">
        <v>7</v>
      </c>
      <c r="E14984" s="80">
        <v>35878</v>
      </c>
    </row>
    <row r="14985" spans="1:5">
      <c r="A14985">
        <v>10972</v>
      </c>
      <c r="B14985" t="s">
        <v>179</v>
      </c>
      <c r="C14985">
        <v>17.5</v>
      </c>
      <c r="D14985">
        <v>7</v>
      </c>
      <c r="E14985" s="80">
        <v>35878</v>
      </c>
    </row>
    <row r="14986" spans="1:5">
      <c r="A14986">
        <v>10973</v>
      </c>
      <c r="B14986" t="s">
        <v>172</v>
      </c>
      <c r="C14986">
        <v>156.15</v>
      </c>
      <c r="D14986">
        <v>5</v>
      </c>
      <c r="E14986" s="80">
        <v>35878</v>
      </c>
    </row>
    <row r="14987" spans="1:5">
      <c r="A14987">
        <v>10973</v>
      </c>
      <c r="B14987" t="s">
        <v>173</v>
      </c>
      <c r="C14987">
        <v>156.15</v>
      </c>
      <c r="D14987">
        <v>5</v>
      </c>
      <c r="E14987" s="80">
        <v>35878</v>
      </c>
    </row>
    <row r="14988" spans="1:5">
      <c r="A14988">
        <v>10973</v>
      </c>
      <c r="B14988" t="s">
        <v>174</v>
      </c>
      <c r="C14988">
        <v>156.15</v>
      </c>
      <c r="D14988">
        <v>5</v>
      </c>
      <c r="E14988" s="80">
        <v>35878</v>
      </c>
    </row>
    <row r="14989" spans="1:5">
      <c r="A14989">
        <v>10973</v>
      </c>
      <c r="B14989" t="s">
        <v>175</v>
      </c>
      <c r="C14989">
        <v>156.15</v>
      </c>
      <c r="D14989">
        <v>5</v>
      </c>
      <c r="E14989" s="80">
        <v>35878</v>
      </c>
    </row>
    <row r="14990" spans="1:5">
      <c r="A14990">
        <v>10973</v>
      </c>
      <c r="B14990" t="s">
        <v>176</v>
      </c>
      <c r="C14990">
        <v>156.15</v>
      </c>
      <c r="D14990">
        <v>5</v>
      </c>
      <c r="E14990" s="80">
        <v>35878</v>
      </c>
    </row>
    <row r="14991" spans="1:5">
      <c r="A14991">
        <v>10973</v>
      </c>
      <c r="B14991" t="s">
        <v>177</v>
      </c>
      <c r="C14991">
        <v>156.15</v>
      </c>
      <c r="D14991">
        <v>5</v>
      </c>
      <c r="E14991" s="80">
        <v>35878</v>
      </c>
    </row>
    <row r="14992" spans="1:5">
      <c r="A14992">
        <v>10973</v>
      </c>
      <c r="B14992" t="s">
        <v>178</v>
      </c>
      <c r="C14992">
        <v>156.15</v>
      </c>
      <c r="D14992">
        <v>5</v>
      </c>
      <c r="E14992" s="80">
        <v>35878</v>
      </c>
    </row>
    <row r="14993" spans="1:5">
      <c r="A14993">
        <v>10973</v>
      </c>
      <c r="B14993" t="s">
        <v>179</v>
      </c>
      <c r="C14993">
        <v>156.15</v>
      </c>
      <c r="D14993">
        <v>5</v>
      </c>
      <c r="E14993" s="80">
        <v>35878</v>
      </c>
    </row>
    <row r="14994" spans="1:5">
      <c r="A14994">
        <v>10973</v>
      </c>
      <c r="B14994" t="s">
        <v>172</v>
      </c>
      <c r="C14994">
        <v>57.9</v>
      </c>
      <c r="D14994">
        <v>6</v>
      </c>
      <c r="E14994" s="80">
        <v>35878</v>
      </c>
    </row>
    <row r="14995" spans="1:5">
      <c r="A14995">
        <v>10973</v>
      </c>
      <c r="B14995" t="s">
        <v>173</v>
      </c>
      <c r="C14995">
        <v>57.9</v>
      </c>
      <c r="D14995">
        <v>6</v>
      </c>
      <c r="E14995" s="80">
        <v>35878</v>
      </c>
    </row>
    <row r="14996" spans="1:5">
      <c r="A14996">
        <v>10973</v>
      </c>
      <c r="B14996" t="s">
        <v>174</v>
      </c>
      <c r="C14996">
        <v>57.9</v>
      </c>
      <c r="D14996">
        <v>6</v>
      </c>
      <c r="E14996" s="80">
        <v>35878</v>
      </c>
    </row>
    <row r="14997" spans="1:5">
      <c r="A14997">
        <v>10973</v>
      </c>
      <c r="B14997" t="s">
        <v>175</v>
      </c>
      <c r="C14997">
        <v>57.9</v>
      </c>
      <c r="D14997">
        <v>6</v>
      </c>
      <c r="E14997" s="80">
        <v>35878</v>
      </c>
    </row>
    <row r="14998" spans="1:5">
      <c r="A14998">
        <v>10973</v>
      </c>
      <c r="B14998" t="s">
        <v>176</v>
      </c>
      <c r="C14998">
        <v>57.9</v>
      </c>
      <c r="D14998">
        <v>6</v>
      </c>
      <c r="E14998" s="80">
        <v>35878</v>
      </c>
    </row>
    <row r="14999" spans="1:5">
      <c r="A14999">
        <v>10973</v>
      </c>
      <c r="B14999" t="s">
        <v>177</v>
      </c>
      <c r="C14999">
        <v>57.9</v>
      </c>
      <c r="D14999">
        <v>6</v>
      </c>
      <c r="E14999" s="80">
        <v>35878</v>
      </c>
    </row>
    <row r="15000" spans="1:5">
      <c r="A15000">
        <v>10973</v>
      </c>
      <c r="B15000" t="s">
        <v>178</v>
      </c>
      <c r="C15000">
        <v>57.9</v>
      </c>
      <c r="D15000">
        <v>6</v>
      </c>
      <c r="E15000" s="80">
        <v>35878</v>
      </c>
    </row>
    <row r="15001" spans="1:5">
      <c r="A15001">
        <v>10973</v>
      </c>
      <c r="B15001" t="s">
        <v>179</v>
      </c>
      <c r="C15001">
        <v>57.9</v>
      </c>
      <c r="D15001">
        <v>6</v>
      </c>
      <c r="E15001" s="80">
        <v>35878</v>
      </c>
    </row>
    <row r="15002" spans="1:5">
      <c r="A15002">
        <v>10973</v>
      </c>
      <c r="B15002" t="s">
        <v>172</v>
      </c>
      <c r="C15002">
        <v>77.5</v>
      </c>
      <c r="D15002">
        <v>10</v>
      </c>
      <c r="E15002" s="80">
        <v>35878</v>
      </c>
    </row>
    <row r="15003" spans="1:5">
      <c r="A15003">
        <v>10973</v>
      </c>
      <c r="B15003" t="s">
        <v>173</v>
      </c>
      <c r="C15003">
        <v>77.5</v>
      </c>
      <c r="D15003">
        <v>10</v>
      </c>
      <c r="E15003" s="80">
        <v>35878</v>
      </c>
    </row>
    <row r="15004" spans="1:5">
      <c r="A15004">
        <v>10973</v>
      </c>
      <c r="B15004" t="s">
        <v>174</v>
      </c>
      <c r="C15004">
        <v>77.5</v>
      </c>
      <c r="D15004">
        <v>10</v>
      </c>
      <c r="E15004" s="80">
        <v>35878</v>
      </c>
    </row>
    <row r="15005" spans="1:5">
      <c r="A15005">
        <v>10973</v>
      </c>
      <c r="B15005" t="s">
        <v>175</v>
      </c>
      <c r="C15005">
        <v>77.5</v>
      </c>
      <c r="D15005">
        <v>10</v>
      </c>
      <c r="E15005" s="80">
        <v>35878</v>
      </c>
    </row>
    <row r="15006" spans="1:5">
      <c r="A15006">
        <v>10973</v>
      </c>
      <c r="B15006" t="s">
        <v>176</v>
      </c>
      <c r="C15006">
        <v>77.5</v>
      </c>
      <c r="D15006">
        <v>10</v>
      </c>
      <c r="E15006" s="80">
        <v>35878</v>
      </c>
    </row>
    <row r="15007" spans="1:5">
      <c r="A15007">
        <v>10973</v>
      </c>
      <c r="B15007" t="s">
        <v>177</v>
      </c>
      <c r="C15007">
        <v>77.5</v>
      </c>
      <c r="D15007">
        <v>10</v>
      </c>
      <c r="E15007" s="80">
        <v>35878</v>
      </c>
    </row>
    <row r="15008" spans="1:5">
      <c r="A15008">
        <v>10973</v>
      </c>
      <c r="B15008" t="s">
        <v>178</v>
      </c>
      <c r="C15008">
        <v>77.5</v>
      </c>
      <c r="D15008">
        <v>10</v>
      </c>
      <c r="E15008" s="80">
        <v>35878</v>
      </c>
    </row>
    <row r="15009" spans="1:5">
      <c r="A15009">
        <v>10973</v>
      </c>
      <c r="B15009" t="s">
        <v>179</v>
      </c>
      <c r="C15009">
        <v>77.5</v>
      </c>
      <c r="D15009">
        <v>10</v>
      </c>
      <c r="E15009" s="80">
        <v>35878</v>
      </c>
    </row>
    <row r="15010" spans="1:5">
      <c r="A15010">
        <v>10974</v>
      </c>
      <c r="B15010" t="s">
        <v>172</v>
      </c>
      <c r="C15010">
        <v>439</v>
      </c>
      <c r="D15010">
        <v>10</v>
      </c>
      <c r="E15010" s="80">
        <v>35879</v>
      </c>
    </row>
    <row r="15011" spans="1:5">
      <c r="A15011">
        <v>10974</v>
      </c>
      <c r="B15011" t="s">
        <v>173</v>
      </c>
      <c r="C15011">
        <v>439</v>
      </c>
      <c r="D15011">
        <v>10</v>
      </c>
      <c r="E15011" s="80">
        <v>35879</v>
      </c>
    </row>
    <row r="15012" spans="1:5">
      <c r="A15012">
        <v>10974</v>
      </c>
      <c r="B15012" t="s">
        <v>174</v>
      </c>
      <c r="C15012">
        <v>439</v>
      </c>
      <c r="D15012">
        <v>10</v>
      </c>
      <c r="E15012" s="80">
        <v>35879</v>
      </c>
    </row>
    <row r="15013" spans="1:5">
      <c r="A15013">
        <v>10974</v>
      </c>
      <c r="B15013" t="s">
        <v>175</v>
      </c>
      <c r="C15013">
        <v>439</v>
      </c>
      <c r="D15013">
        <v>10</v>
      </c>
      <c r="E15013" s="80">
        <v>35879</v>
      </c>
    </row>
    <row r="15014" spans="1:5">
      <c r="A15014">
        <v>10974</v>
      </c>
      <c r="B15014" t="s">
        <v>176</v>
      </c>
      <c r="C15014">
        <v>439</v>
      </c>
      <c r="D15014">
        <v>10</v>
      </c>
      <c r="E15014" s="80">
        <v>35879</v>
      </c>
    </row>
    <row r="15015" spans="1:5">
      <c r="A15015">
        <v>10974</v>
      </c>
      <c r="B15015" t="s">
        <v>177</v>
      </c>
      <c r="C15015">
        <v>439</v>
      </c>
      <c r="D15015">
        <v>10</v>
      </c>
      <c r="E15015" s="80">
        <v>35879</v>
      </c>
    </row>
    <row r="15016" spans="1:5">
      <c r="A15016">
        <v>10974</v>
      </c>
      <c r="B15016" t="s">
        <v>178</v>
      </c>
      <c r="C15016">
        <v>439</v>
      </c>
      <c r="D15016">
        <v>10</v>
      </c>
      <c r="E15016" s="80">
        <v>35879</v>
      </c>
    </row>
    <row r="15017" spans="1:5">
      <c r="A15017">
        <v>10974</v>
      </c>
      <c r="B15017" t="s">
        <v>179</v>
      </c>
      <c r="C15017">
        <v>439</v>
      </c>
      <c r="D15017">
        <v>10</v>
      </c>
      <c r="E15017" s="80">
        <v>35879</v>
      </c>
    </row>
    <row r="15018" spans="1:5">
      <c r="A15018">
        <v>10975</v>
      </c>
      <c r="B15018" t="s">
        <v>172</v>
      </c>
      <c r="C15018">
        <v>640</v>
      </c>
      <c r="D15018">
        <v>16</v>
      </c>
      <c r="E15018" s="80">
        <v>35879</v>
      </c>
    </row>
    <row r="15019" spans="1:5">
      <c r="A15019">
        <v>10975</v>
      </c>
      <c r="B15019" t="s">
        <v>173</v>
      </c>
      <c r="C15019">
        <v>640</v>
      </c>
      <c r="D15019">
        <v>16</v>
      </c>
      <c r="E15019" s="80">
        <v>35879</v>
      </c>
    </row>
    <row r="15020" spans="1:5">
      <c r="A15020">
        <v>10975</v>
      </c>
      <c r="B15020" t="s">
        <v>174</v>
      </c>
      <c r="C15020">
        <v>640</v>
      </c>
      <c r="D15020">
        <v>16</v>
      </c>
      <c r="E15020" s="80">
        <v>35879</v>
      </c>
    </row>
    <row r="15021" spans="1:5">
      <c r="A15021">
        <v>10975</v>
      </c>
      <c r="B15021" t="s">
        <v>175</v>
      </c>
      <c r="C15021">
        <v>640</v>
      </c>
      <c r="D15021">
        <v>16</v>
      </c>
      <c r="E15021" s="80">
        <v>35879</v>
      </c>
    </row>
    <row r="15022" spans="1:5">
      <c r="A15022">
        <v>10975</v>
      </c>
      <c r="B15022" t="s">
        <v>176</v>
      </c>
      <c r="C15022">
        <v>640</v>
      </c>
      <c r="D15022">
        <v>16</v>
      </c>
      <c r="E15022" s="80">
        <v>35879</v>
      </c>
    </row>
    <row r="15023" spans="1:5">
      <c r="A15023">
        <v>10975</v>
      </c>
      <c r="B15023" t="s">
        <v>177</v>
      </c>
      <c r="C15023">
        <v>640</v>
      </c>
      <c r="D15023">
        <v>16</v>
      </c>
      <c r="E15023" s="80">
        <v>35879</v>
      </c>
    </row>
    <row r="15024" spans="1:5">
      <c r="A15024">
        <v>10975</v>
      </c>
      <c r="B15024" t="s">
        <v>178</v>
      </c>
      <c r="C15024">
        <v>640</v>
      </c>
      <c r="D15024">
        <v>16</v>
      </c>
      <c r="E15024" s="80">
        <v>35879</v>
      </c>
    </row>
    <row r="15025" spans="1:5">
      <c r="A15025">
        <v>10975</v>
      </c>
      <c r="B15025" t="s">
        <v>179</v>
      </c>
      <c r="C15025">
        <v>640</v>
      </c>
      <c r="D15025">
        <v>16</v>
      </c>
      <c r="E15025" s="80">
        <v>35879</v>
      </c>
    </row>
    <row r="15026" spans="1:5">
      <c r="A15026">
        <v>10975</v>
      </c>
      <c r="B15026" t="s">
        <v>172</v>
      </c>
      <c r="C15026">
        <v>77.5</v>
      </c>
      <c r="D15026">
        <v>10</v>
      </c>
      <c r="E15026" s="80">
        <v>35879</v>
      </c>
    </row>
    <row r="15027" spans="1:5">
      <c r="A15027">
        <v>10975</v>
      </c>
      <c r="B15027" t="s">
        <v>173</v>
      </c>
      <c r="C15027">
        <v>77.5</v>
      </c>
      <c r="D15027">
        <v>10</v>
      </c>
      <c r="E15027" s="80">
        <v>35879</v>
      </c>
    </row>
    <row r="15028" spans="1:5">
      <c r="A15028">
        <v>10975</v>
      </c>
      <c r="B15028" t="s">
        <v>174</v>
      </c>
      <c r="C15028">
        <v>77.5</v>
      </c>
      <c r="D15028">
        <v>10</v>
      </c>
      <c r="E15028" s="80">
        <v>35879</v>
      </c>
    </row>
    <row r="15029" spans="1:5">
      <c r="A15029">
        <v>10975</v>
      </c>
      <c r="B15029" t="s">
        <v>175</v>
      </c>
      <c r="C15029">
        <v>77.5</v>
      </c>
      <c r="D15029">
        <v>10</v>
      </c>
      <c r="E15029" s="80">
        <v>35879</v>
      </c>
    </row>
    <row r="15030" spans="1:5">
      <c r="A15030">
        <v>10975</v>
      </c>
      <c r="B15030" t="s">
        <v>176</v>
      </c>
      <c r="C15030">
        <v>77.5</v>
      </c>
      <c r="D15030">
        <v>10</v>
      </c>
      <c r="E15030" s="80">
        <v>35879</v>
      </c>
    </row>
    <row r="15031" spans="1:5">
      <c r="A15031">
        <v>10975</v>
      </c>
      <c r="B15031" t="s">
        <v>177</v>
      </c>
      <c r="C15031">
        <v>77.5</v>
      </c>
      <c r="D15031">
        <v>10</v>
      </c>
      <c r="E15031" s="80">
        <v>35879</v>
      </c>
    </row>
    <row r="15032" spans="1:5">
      <c r="A15032">
        <v>10975</v>
      </c>
      <c r="B15032" t="s">
        <v>178</v>
      </c>
      <c r="C15032">
        <v>77.5</v>
      </c>
      <c r="D15032">
        <v>10</v>
      </c>
      <c r="E15032" s="80">
        <v>35879</v>
      </c>
    </row>
    <row r="15033" spans="1:5">
      <c r="A15033">
        <v>10975</v>
      </c>
      <c r="B15033" t="s">
        <v>179</v>
      </c>
      <c r="C15033">
        <v>77.5</v>
      </c>
      <c r="D15033">
        <v>10</v>
      </c>
      <c r="E15033" s="80">
        <v>35879</v>
      </c>
    </row>
    <row r="15034" spans="1:5">
      <c r="A15034">
        <v>10976</v>
      </c>
      <c r="B15034" t="s">
        <v>172</v>
      </c>
      <c r="C15034">
        <v>912</v>
      </c>
      <c r="D15034">
        <v>20</v>
      </c>
      <c r="E15034" s="80">
        <v>35879</v>
      </c>
    </row>
    <row r="15035" spans="1:5">
      <c r="A15035">
        <v>10976</v>
      </c>
      <c r="B15035" t="s">
        <v>173</v>
      </c>
      <c r="C15035">
        <v>912</v>
      </c>
      <c r="D15035">
        <v>20</v>
      </c>
      <c r="E15035" s="80">
        <v>35879</v>
      </c>
    </row>
    <row r="15036" spans="1:5">
      <c r="A15036">
        <v>10976</v>
      </c>
      <c r="B15036" t="s">
        <v>174</v>
      </c>
      <c r="C15036">
        <v>912</v>
      </c>
      <c r="D15036">
        <v>20</v>
      </c>
      <c r="E15036" s="80">
        <v>35879</v>
      </c>
    </row>
    <row r="15037" spans="1:5">
      <c r="A15037">
        <v>10976</v>
      </c>
      <c r="B15037" t="s">
        <v>175</v>
      </c>
      <c r="C15037">
        <v>912</v>
      </c>
      <c r="D15037">
        <v>20</v>
      </c>
      <c r="E15037" s="80">
        <v>35879</v>
      </c>
    </row>
    <row r="15038" spans="1:5">
      <c r="A15038">
        <v>10976</v>
      </c>
      <c r="B15038" t="s">
        <v>176</v>
      </c>
      <c r="C15038">
        <v>912</v>
      </c>
      <c r="D15038">
        <v>20</v>
      </c>
      <c r="E15038" s="80">
        <v>35879</v>
      </c>
    </row>
    <row r="15039" spans="1:5">
      <c r="A15039">
        <v>10976</v>
      </c>
      <c r="B15039" t="s">
        <v>177</v>
      </c>
      <c r="C15039">
        <v>912</v>
      </c>
      <c r="D15039">
        <v>20</v>
      </c>
      <c r="E15039" s="80">
        <v>35879</v>
      </c>
    </row>
    <row r="15040" spans="1:5">
      <c r="A15040">
        <v>10976</v>
      </c>
      <c r="B15040" t="s">
        <v>178</v>
      </c>
      <c r="C15040">
        <v>912</v>
      </c>
      <c r="D15040">
        <v>20</v>
      </c>
      <c r="E15040" s="80">
        <v>35879</v>
      </c>
    </row>
    <row r="15041" spans="1:5">
      <c r="A15041">
        <v>10976</v>
      </c>
      <c r="B15041" t="s">
        <v>179</v>
      </c>
      <c r="C15041">
        <v>912</v>
      </c>
      <c r="D15041">
        <v>20</v>
      </c>
      <c r="E15041" s="80">
        <v>35879</v>
      </c>
    </row>
    <row r="15042" spans="1:5">
      <c r="A15042">
        <v>10977</v>
      </c>
      <c r="B15042" t="s">
        <v>172</v>
      </c>
      <c r="C15042">
        <v>540</v>
      </c>
      <c r="D15042">
        <v>30</v>
      </c>
      <c r="E15042" s="80">
        <v>35880</v>
      </c>
    </row>
    <row r="15043" spans="1:5">
      <c r="A15043">
        <v>10977</v>
      </c>
      <c r="B15043" t="s">
        <v>173</v>
      </c>
      <c r="C15043">
        <v>540</v>
      </c>
      <c r="D15043">
        <v>30</v>
      </c>
      <c r="E15043" s="80">
        <v>35880</v>
      </c>
    </row>
    <row r="15044" spans="1:5">
      <c r="A15044">
        <v>10977</v>
      </c>
      <c r="B15044" t="s">
        <v>174</v>
      </c>
      <c r="C15044">
        <v>540</v>
      </c>
      <c r="D15044">
        <v>30</v>
      </c>
      <c r="E15044" s="80">
        <v>35880</v>
      </c>
    </row>
    <row r="15045" spans="1:5">
      <c r="A15045">
        <v>10977</v>
      </c>
      <c r="B15045" t="s">
        <v>175</v>
      </c>
      <c r="C15045">
        <v>540</v>
      </c>
      <c r="D15045">
        <v>30</v>
      </c>
      <c r="E15045" s="80">
        <v>35880</v>
      </c>
    </row>
    <row r="15046" spans="1:5">
      <c r="A15046">
        <v>10977</v>
      </c>
      <c r="B15046" t="s">
        <v>176</v>
      </c>
      <c r="C15046">
        <v>540</v>
      </c>
      <c r="D15046">
        <v>30</v>
      </c>
      <c r="E15046" s="80">
        <v>35880</v>
      </c>
    </row>
    <row r="15047" spans="1:5">
      <c r="A15047">
        <v>10977</v>
      </c>
      <c r="B15047" t="s">
        <v>177</v>
      </c>
      <c r="C15047">
        <v>540</v>
      </c>
      <c r="D15047">
        <v>30</v>
      </c>
      <c r="E15047" s="80">
        <v>35880</v>
      </c>
    </row>
    <row r="15048" spans="1:5">
      <c r="A15048">
        <v>10977</v>
      </c>
      <c r="B15048" t="s">
        <v>178</v>
      </c>
      <c r="C15048">
        <v>540</v>
      </c>
      <c r="D15048">
        <v>30</v>
      </c>
      <c r="E15048" s="80">
        <v>35880</v>
      </c>
    </row>
    <row r="15049" spans="1:5">
      <c r="A15049">
        <v>10977</v>
      </c>
      <c r="B15049" t="s">
        <v>179</v>
      </c>
      <c r="C15049">
        <v>540</v>
      </c>
      <c r="D15049">
        <v>30</v>
      </c>
      <c r="E15049" s="80">
        <v>35880</v>
      </c>
    </row>
    <row r="15050" spans="1:5">
      <c r="A15050">
        <v>10977</v>
      </c>
      <c r="B15050" t="s">
        <v>172</v>
      </c>
      <c r="C15050">
        <v>285</v>
      </c>
      <c r="D15050">
        <v>30</v>
      </c>
      <c r="E15050" s="80">
        <v>35880</v>
      </c>
    </row>
    <row r="15051" spans="1:5">
      <c r="A15051">
        <v>10977</v>
      </c>
      <c r="B15051" t="s">
        <v>173</v>
      </c>
      <c r="C15051">
        <v>285</v>
      </c>
      <c r="D15051">
        <v>30</v>
      </c>
      <c r="E15051" s="80">
        <v>35880</v>
      </c>
    </row>
    <row r="15052" spans="1:5">
      <c r="A15052">
        <v>10977</v>
      </c>
      <c r="B15052" t="s">
        <v>174</v>
      </c>
      <c r="C15052">
        <v>285</v>
      </c>
      <c r="D15052">
        <v>30</v>
      </c>
      <c r="E15052" s="80">
        <v>35880</v>
      </c>
    </row>
    <row r="15053" spans="1:5">
      <c r="A15053">
        <v>10977</v>
      </c>
      <c r="B15053" t="s">
        <v>175</v>
      </c>
      <c r="C15053">
        <v>285</v>
      </c>
      <c r="D15053">
        <v>30</v>
      </c>
      <c r="E15053" s="80">
        <v>35880</v>
      </c>
    </row>
    <row r="15054" spans="1:5">
      <c r="A15054">
        <v>10977</v>
      </c>
      <c r="B15054" t="s">
        <v>176</v>
      </c>
      <c r="C15054">
        <v>285</v>
      </c>
      <c r="D15054">
        <v>30</v>
      </c>
      <c r="E15054" s="80">
        <v>35880</v>
      </c>
    </row>
    <row r="15055" spans="1:5">
      <c r="A15055">
        <v>10977</v>
      </c>
      <c r="B15055" t="s">
        <v>177</v>
      </c>
      <c r="C15055">
        <v>285</v>
      </c>
      <c r="D15055">
        <v>30</v>
      </c>
      <c r="E15055" s="80">
        <v>35880</v>
      </c>
    </row>
    <row r="15056" spans="1:5">
      <c r="A15056">
        <v>10977</v>
      </c>
      <c r="B15056" t="s">
        <v>178</v>
      </c>
      <c r="C15056">
        <v>285</v>
      </c>
      <c r="D15056">
        <v>30</v>
      </c>
      <c r="E15056" s="80">
        <v>35880</v>
      </c>
    </row>
    <row r="15057" spans="1:5">
      <c r="A15057">
        <v>10977</v>
      </c>
      <c r="B15057" t="s">
        <v>179</v>
      </c>
      <c r="C15057">
        <v>285</v>
      </c>
      <c r="D15057">
        <v>30</v>
      </c>
      <c r="E15057" s="80">
        <v>35880</v>
      </c>
    </row>
    <row r="15058" spans="1:5">
      <c r="A15058">
        <v>10977</v>
      </c>
      <c r="B15058" t="s">
        <v>172</v>
      </c>
      <c r="C15058">
        <v>530</v>
      </c>
      <c r="D15058">
        <v>10</v>
      </c>
      <c r="E15058" s="80">
        <v>35880</v>
      </c>
    </row>
    <row r="15059" spans="1:5">
      <c r="A15059">
        <v>10977</v>
      </c>
      <c r="B15059" t="s">
        <v>173</v>
      </c>
      <c r="C15059">
        <v>530</v>
      </c>
      <c r="D15059">
        <v>10</v>
      </c>
      <c r="E15059" s="80">
        <v>35880</v>
      </c>
    </row>
    <row r="15060" spans="1:5">
      <c r="A15060">
        <v>10977</v>
      </c>
      <c r="B15060" t="s">
        <v>174</v>
      </c>
      <c r="C15060">
        <v>530</v>
      </c>
      <c r="D15060">
        <v>10</v>
      </c>
      <c r="E15060" s="80">
        <v>35880</v>
      </c>
    </row>
    <row r="15061" spans="1:5">
      <c r="A15061">
        <v>10977</v>
      </c>
      <c r="B15061" t="s">
        <v>175</v>
      </c>
      <c r="C15061">
        <v>530</v>
      </c>
      <c r="D15061">
        <v>10</v>
      </c>
      <c r="E15061" s="80">
        <v>35880</v>
      </c>
    </row>
    <row r="15062" spans="1:5">
      <c r="A15062">
        <v>10977</v>
      </c>
      <c r="B15062" t="s">
        <v>176</v>
      </c>
      <c r="C15062">
        <v>530</v>
      </c>
      <c r="D15062">
        <v>10</v>
      </c>
      <c r="E15062" s="80">
        <v>35880</v>
      </c>
    </row>
    <row r="15063" spans="1:5">
      <c r="A15063">
        <v>10977</v>
      </c>
      <c r="B15063" t="s">
        <v>177</v>
      </c>
      <c r="C15063">
        <v>530</v>
      </c>
      <c r="D15063">
        <v>10</v>
      </c>
      <c r="E15063" s="80">
        <v>35880</v>
      </c>
    </row>
    <row r="15064" spans="1:5">
      <c r="A15064">
        <v>10977</v>
      </c>
      <c r="B15064" t="s">
        <v>178</v>
      </c>
      <c r="C15064">
        <v>530</v>
      </c>
      <c r="D15064">
        <v>10</v>
      </c>
      <c r="E15064" s="80">
        <v>35880</v>
      </c>
    </row>
    <row r="15065" spans="1:5">
      <c r="A15065">
        <v>10977</v>
      </c>
      <c r="B15065" t="s">
        <v>179</v>
      </c>
      <c r="C15065">
        <v>530</v>
      </c>
      <c r="D15065">
        <v>10</v>
      </c>
      <c r="E15065" s="80">
        <v>35880</v>
      </c>
    </row>
    <row r="15066" spans="1:5">
      <c r="A15066">
        <v>10977</v>
      </c>
      <c r="B15066" t="s">
        <v>172</v>
      </c>
      <c r="C15066">
        <v>878</v>
      </c>
      <c r="D15066">
        <v>20</v>
      </c>
      <c r="E15066" s="80">
        <v>35880</v>
      </c>
    </row>
    <row r="15067" spans="1:5">
      <c r="A15067">
        <v>10977</v>
      </c>
      <c r="B15067" t="s">
        <v>173</v>
      </c>
      <c r="C15067">
        <v>878</v>
      </c>
      <c r="D15067">
        <v>20</v>
      </c>
      <c r="E15067" s="80">
        <v>35880</v>
      </c>
    </row>
    <row r="15068" spans="1:5">
      <c r="A15068">
        <v>10977</v>
      </c>
      <c r="B15068" t="s">
        <v>174</v>
      </c>
      <c r="C15068">
        <v>878</v>
      </c>
      <c r="D15068">
        <v>20</v>
      </c>
      <c r="E15068" s="80">
        <v>35880</v>
      </c>
    </row>
    <row r="15069" spans="1:5">
      <c r="A15069">
        <v>10977</v>
      </c>
      <c r="B15069" t="s">
        <v>175</v>
      </c>
      <c r="C15069">
        <v>878</v>
      </c>
      <c r="D15069">
        <v>20</v>
      </c>
      <c r="E15069" s="80">
        <v>35880</v>
      </c>
    </row>
    <row r="15070" spans="1:5">
      <c r="A15070">
        <v>10977</v>
      </c>
      <c r="B15070" t="s">
        <v>176</v>
      </c>
      <c r="C15070">
        <v>878</v>
      </c>
      <c r="D15070">
        <v>20</v>
      </c>
      <c r="E15070" s="80">
        <v>35880</v>
      </c>
    </row>
    <row r="15071" spans="1:5">
      <c r="A15071">
        <v>10977</v>
      </c>
      <c r="B15071" t="s">
        <v>177</v>
      </c>
      <c r="C15071">
        <v>878</v>
      </c>
      <c r="D15071">
        <v>20</v>
      </c>
      <c r="E15071" s="80">
        <v>35880</v>
      </c>
    </row>
    <row r="15072" spans="1:5">
      <c r="A15072">
        <v>10977</v>
      </c>
      <c r="B15072" t="s">
        <v>178</v>
      </c>
      <c r="C15072">
        <v>878</v>
      </c>
      <c r="D15072">
        <v>20</v>
      </c>
      <c r="E15072" s="80">
        <v>35880</v>
      </c>
    </row>
    <row r="15073" spans="1:5">
      <c r="A15073">
        <v>10977</v>
      </c>
      <c r="B15073" t="s">
        <v>179</v>
      </c>
      <c r="C15073">
        <v>878</v>
      </c>
      <c r="D15073">
        <v>20</v>
      </c>
      <c r="E15073" s="80">
        <v>35880</v>
      </c>
    </row>
    <row r="15074" spans="1:5">
      <c r="A15074">
        <v>10978</v>
      </c>
      <c r="B15074" t="s">
        <v>172</v>
      </c>
      <c r="C15074">
        <v>679.99999523162842</v>
      </c>
      <c r="D15074">
        <v>20</v>
      </c>
      <c r="E15074" s="80">
        <v>35880</v>
      </c>
    </row>
    <row r="15075" spans="1:5">
      <c r="A15075">
        <v>10978</v>
      </c>
      <c r="B15075" t="s">
        <v>173</v>
      </c>
      <c r="C15075">
        <v>679.99999523162842</v>
      </c>
      <c r="D15075">
        <v>20</v>
      </c>
      <c r="E15075" s="80">
        <v>35880</v>
      </c>
    </row>
    <row r="15076" spans="1:5">
      <c r="A15076">
        <v>10978</v>
      </c>
      <c r="B15076" t="s">
        <v>174</v>
      </c>
      <c r="C15076">
        <v>679.99999523162842</v>
      </c>
      <c r="D15076">
        <v>20</v>
      </c>
      <c r="E15076" s="80">
        <v>35880</v>
      </c>
    </row>
    <row r="15077" spans="1:5">
      <c r="A15077">
        <v>10978</v>
      </c>
      <c r="B15077" t="s">
        <v>175</v>
      </c>
      <c r="C15077">
        <v>679.99999523162842</v>
      </c>
      <c r="D15077">
        <v>20</v>
      </c>
      <c r="E15077" s="80">
        <v>35880</v>
      </c>
    </row>
    <row r="15078" spans="1:5">
      <c r="A15078">
        <v>10978</v>
      </c>
      <c r="B15078" t="s">
        <v>176</v>
      </c>
      <c r="C15078">
        <v>679.99999523162842</v>
      </c>
      <c r="D15078">
        <v>20</v>
      </c>
      <c r="E15078" s="80">
        <v>35880</v>
      </c>
    </row>
    <row r="15079" spans="1:5">
      <c r="A15079">
        <v>10978</v>
      </c>
      <c r="B15079" t="s">
        <v>177</v>
      </c>
      <c r="C15079">
        <v>679.99999523162842</v>
      </c>
      <c r="D15079">
        <v>20</v>
      </c>
      <c r="E15079" s="80">
        <v>35880</v>
      </c>
    </row>
    <row r="15080" spans="1:5">
      <c r="A15080">
        <v>10978</v>
      </c>
      <c r="B15080" t="s">
        <v>178</v>
      </c>
      <c r="C15080">
        <v>679.99999523162842</v>
      </c>
      <c r="D15080">
        <v>20</v>
      </c>
      <c r="E15080" s="80">
        <v>35880</v>
      </c>
    </row>
    <row r="15081" spans="1:5">
      <c r="A15081">
        <v>10978</v>
      </c>
      <c r="B15081" t="s">
        <v>179</v>
      </c>
      <c r="C15081">
        <v>679.99999523162842</v>
      </c>
      <c r="D15081">
        <v>20</v>
      </c>
      <c r="E15081" s="80">
        <v>35880</v>
      </c>
    </row>
    <row r="15082" spans="1:5">
      <c r="A15082">
        <v>10978</v>
      </c>
      <c r="B15082" t="s">
        <v>172</v>
      </c>
      <c r="C15082">
        <v>339.99999761581421</v>
      </c>
      <c r="D15082">
        <v>40</v>
      </c>
      <c r="E15082" s="80">
        <v>35880</v>
      </c>
    </row>
    <row r="15083" spans="1:5">
      <c r="A15083">
        <v>10978</v>
      </c>
      <c r="B15083" t="s">
        <v>173</v>
      </c>
      <c r="C15083">
        <v>339.99999761581421</v>
      </c>
      <c r="D15083">
        <v>40</v>
      </c>
      <c r="E15083" s="80">
        <v>35880</v>
      </c>
    </row>
    <row r="15084" spans="1:5">
      <c r="A15084">
        <v>10978</v>
      </c>
      <c r="B15084" t="s">
        <v>174</v>
      </c>
      <c r="C15084">
        <v>339.99999761581421</v>
      </c>
      <c r="D15084">
        <v>40</v>
      </c>
      <c r="E15084" s="80">
        <v>35880</v>
      </c>
    </row>
    <row r="15085" spans="1:5">
      <c r="A15085">
        <v>10978</v>
      </c>
      <c r="B15085" t="s">
        <v>175</v>
      </c>
      <c r="C15085">
        <v>339.99999761581421</v>
      </c>
      <c r="D15085">
        <v>40</v>
      </c>
      <c r="E15085" s="80">
        <v>35880</v>
      </c>
    </row>
    <row r="15086" spans="1:5">
      <c r="A15086">
        <v>10978</v>
      </c>
      <c r="B15086" t="s">
        <v>176</v>
      </c>
      <c r="C15086">
        <v>339.99999761581421</v>
      </c>
      <c r="D15086">
        <v>40</v>
      </c>
      <c r="E15086" s="80">
        <v>35880</v>
      </c>
    </row>
    <row r="15087" spans="1:5">
      <c r="A15087">
        <v>10978</v>
      </c>
      <c r="B15087" t="s">
        <v>177</v>
      </c>
      <c r="C15087">
        <v>339.99999761581421</v>
      </c>
      <c r="D15087">
        <v>40</v>
      </c>
      <c r="E15087" s="80">
        <v>35880</v>
      </c>
    </row>
    <row r="15088" spans="1:5">
      <c r="A15088">
        <v>10978</v>
      </c>
      <c r="B15088" t="s">
        <v>178</v>
      </c>
      <c r="C15088">
        <v>339.99999761581421</v>
      </c>
      <c r="D15088">
        <v>40</v>
      </c>
      <c r="E15088" s="80">
        <v>35880</v>
      </c>
    </row>
    <row r="15089" spans="1:5">
      <c r="A15089">
        <v>10978</v>
      </c>
      <c r="B15089" t="s">
        <v>179</v>
      </c>
      <c r="C15089">
        <v>339.99999761581421</v>
      </c>
      <c r="D15089">
        <v>40</v>
      </c>
      <c r="E15089" s="80">
        <v>35880</v>
      </c>
    </row>
    <row r="15090" spans="1:5">
      <c r="A15090">
        <v>10978</v>
      </c>
      <c r="B15090" t="s">
        <v>172</v>
      </c>
      <c r="C15090">
        <v>184</v>
      </c>
      <c r="D15090">
        <v>10</v>
      </c>
      <c r="E15090" s="80">
        <v>35880</v>
      </c>
    </row>
    <row r="15091" spans="1:5">
      <c r="A15091">
        <v>10978</v>
      </c>
      <c r="B15091" t="s">
        <v>173</v>
      </c>
      <c r="C15091">
        <v>184</v>
      </c>
      <c r="D15091">
        <v>10</v>
      </c>
      <c r="E15091" s="80">
        <v>35880</v>
      </c>
    </row>
    <row r="15092" spans="1:5">
      <c r="A15092">
        <v>10978</v>
      </c>
      <c r="B15092" t="s">
        <v>174</v>
      </c>
      <c r="C15092">
        <v>184</v>
      </c>
      <c r="D15092">
        <v>10</v>
      </c>
      <c r="E15092" s="80">
        <v>35880</v>
      </c>
    </row>
    <row r="15093" spans="1:5">
      <c r="A15093">
        <v>10978</v>
      </c>
      <c r="B15093" t="s">
        <v>175</v>
      </c>
      <c r="C15093">
        <v>184</v>
      </c>
      <c r="D15093">
        <v>10</v>
      </c>
      <c r="E15093" s="80">
        <v>35880</v>
      </c>
    </row>
    <row r="15094" spans="1:5">
      <c r="A15094">
        <v>10978</v>
      </c>
      <c r="B15094" t="s">
        <v>176</v>
      </c>
      <c r="C15094">
        <v>184</v>
      </c>
      <c r="D15094">
        <v>10</v>
      </c>
      <c r="E15094" s="80">
        <v>35880</v>
      </c>
    </row>
    <row r="15095" spans="1:5">
      <c r="A15095">
        <v>10978</v>
      </c>
      <c r="B15095" t="s">
        <v>177</v>
      </c>
      <c r="C15095">
        <v>184</v>
      </c>
      <c r="D15095">
        <v>10</v>
      </c>
      <c r="E15095" s="80">
        <v>35880</v>
      </c>
    </row>
    <row r="15096" spans="1:5">
      <c r="A15096">
        <v>10978</v>
      </c>
      <c r="B15096" t="s">
        <v>178</v>
      </c>
      <c r="C15096">
        <v>184</v>
      </c>
      <c r="D15096">
        <v>10</v>
      </c>
      <c r="E15096" s="80">
        <v>35880</v>
      </c>
    </row>
    <row r="15097" spans="1:5">
      <c r="A15097">
        <v>10978</v>
      </c>
      <c r="B15097" t="s">
        <v>179</v>
      </c>
      <c r="C15097">
        <v>184</v>
      </c>
      <c r="D15097">
        <v>10</v>
      </c>
      <c r="E15097" s="80">
        <v>35880</v>
      </c>
    </row>
    <row r="15098" spans="1:5">
      <c r="A15098">
        <v>10978</v>
      </c>
      <c r="B15098" t="s">
        <v>172</v>
      </c>
      <c r="C15098">
        <v>99.194999304413798</v>
      </c>
      <c r="D15098">
        <v>6</v>
      </c>
      <c r="E15098" s="80">
        <v>35880</v>
      </c>
    </row>
    <row r="15099" spans="1:5">
      <c r="A15099">
        <v>10978</v>
      </c>
      <c r="B15099" t="s">
        <v>173</v>
      </c>
      <c r="C15099">
        <v>99.194999304413798</v>
      </c>
      <c r="D15099">
        <v>6</v>
      </c>
      <c r="E15099" s="80">
        <v>35880</v>
      </c>
    </row>
    <row r="15100" spans="1:5">
      <c r="A15100">
        <v>10978</v>
      </c>
      <c r="B15100" t="s">
        <v>174</v>
      </c>
      <c r="C15100">
        <v>99.194999304413798</v>
      </c>
      <c r="D15100">
        <v>6</v>
      </c>
      <c r="E15100" s="80">
        <v>35880</v>
      </c>
    </row>
    <row r="15101" spans="1:5">
      <c r="A15101">
        <v>10978</v>
      </c>
      <c r="B15101" t="s">
        <v>175</v>
      </c>
      <c r="C15101">
        <v>99.194999304413798</v>
      </c>
      <c r="D15101">
        <v>6</v>
      </c>
      <c r="E15101" s="80">
        <v>35880</v>
      </c>
    </row>
    <row r="15102" spans="1:5">
      <c r="A15102">
        <v>10978</v>
      </c>
      <c r="B15102" t="s">
        <v>176</v>
      </c>
      <c r="C15102">
        <v>99.194999304413798</v>
      </c>
      <c r="D15102">
        <v>6</v>
      </c>
      <c r="E15102" s="80">
        <v>35880</v>
      </c>
    </row>
    <row r="15103" spans="1:5">
      <c r="A15103">
        <v>10978</v>
      </c>
      <c r="B15103" t="s">
        <v>177</v>
      </c>
      <c r="C15103">
        <v>99.194999304413798</v>
      </c>
      <c r="D15103">
        <v>6</v>
      </c>
      <c r="E15103" s="80">
        <v>35880</v>
      </c>
    </row>
    <row r="15104" spans="1:5">
      <c r="A15104">
        <v>10978</v>
      </c>
      <c r="B15104" t="s">
        <v>178</v>
      </c>
      <c r="C15104">
        <v>99.194999304413798</v>
      </c>
      <c r="D15104">
        <v>6</v>
      </c>
      <c r="E15104" s="80">
        <v>35880</v>
      </c>
    </row>
    <row r="15105" spans="1:5">
      <c r="A15105">
        <v>10978</v>
      </c>
      <c r="B15105" t="s">
        <v>179</v>
      </c>
      <c r="C15105">
        <v>99.194999304413798</v>
      </c>
      <c r="D15105">
        <v>6</v>
      </c>
      <c r="E15105" s="80">
        <v>35880</v>
      </c>
    </row>
    <row r="15106" spans="1:5">
      <c r="A15106">
        <v>10979</v>
      </c>
      <c r="B15106" t="s">
        <v>172</v>
      </c>
      <c r="C15106">
        <v>540</v>
      </c>
      <c r="D15106">
        <v>18</v>
      </c>
      <c r="E15106" s="80">
        <v>35880</v>
      </c>
    </row>
    <row r="15107" spans="1:5">
      <c r="A15107">
        <v>10979</v>
      </c>
      <c r="B15107" t="s">
        <v>173</v>
      </c>
      <c r="C15107">
        <v>540</v>
      </c>
      <c r="D15107">
        <v>18</v>
      </c>
      <c r="E15107" s="80">
        <v>35880</v>
      </c>
    </row>
    <row r="15108" spans="1:5">
      <c r="A15108">
        <v>10979</v>
      </c>
      <c r="B15108" t="s">
        <v>174</v>
      </c>
      <c r="C15108">
        <v>540</v>
      </c>
      <c r="D15108">
        <v>18</v>
      </c>
      <c r="E15108" s="80">
        <v>35880</v>
      </c>
    </row>
    <row r="15109" spans="1:5">
      <c r="A15109">
        <v>10979</v>
      </c>
      <c r="B15109" t="s">
        <v>175</v>
      </c>
      <c r="C15109">
        <v>540</v>
      </c>
      <c r="D15109">
        <v>18</v>
      </c>
      <c r="E15109" s="80">
        <v>35880</v>
      </c>
    </row>
    <row r="15110" spans="1:5">
      <c r="A15110">
        <v>10979</v>
      </c>
      <c r="B15110" t="s">
        <v>176</v>
      </c>
      <c r="C15110">
        <v>540</v>
      </c>
      <c r="D15110">
        <v>18</v>
      </c>
      <c r="E15110" s="80">
        <v>35880</v>
      </c>
    </row>
    <row r="15111" spans="1:5">
      <c r="A15111">
        <v>10979</v>
      </c>
      <c r="B15111" t="s">
        <v>177</v>
      </c>
      <c r="C15111">
        <v>540</v>
      </c>
      <c r="D15111">
        <v>18</v>
      </c>
      <c r="E15111" s="80">
        <v>35880</v>
      </c>
    </row>
    <row r="15112" spans="1:5">
      <c r="A15112">
        <v>10979</v>
      </c>
      <c r="B15112" t="s">
        <v>178</v>
      </c>
      <c r="C15112">
        <v>540</v>
      </c>
      <c r="D15112">
        <v>18</v>
      </c>
      <c r="E15112" s="80">
        <v>35880</v>
      </c>
    </row>
    <row r="15113" spans="1:5">
      <c r="A15113">
        <v>10979</v>
      </c>
      <c r="B15113" t="s">
        <v>179</v>
      </c>
      <c r="C15113">
        <v>540</v>
      </c>
      <c r="D15113">
        <v>18</v>
      </c>
      <c r="E15113" s="80">
        <v>35880</v>
      </c>
    </row>
    <row r="15114" spans="1:5">
      <c r="A15114">
        <v>10979</v>
      </c>
      <c r="B15114" t="s">
        <v>172</v>
      </c>
      <c r="C15114">
        <v>760</v>
      </c>
      <c r="D15114">
        <v>20</v>
      </c>
      <c r="E15114" s="80">
        <v>35880</v>
      </c>
    </row>
    <row r="15115" spans="1:5">
      <c r="A15115">
        <v>10979</v>
      </c>
      <c r="B15115" t="s">
        <v>173</v>
      </c>
      <c r="C15115">
        <v>760</v>
      </c>
      <c r="D15115">
        <v>20</v>
      </c>
      <c r="E15115" s="80">
        <v>35880</v>
      </c>
    </row>
    <row r="15116" spans="1:5">
      <c r="A15116">
        <v>10979</v>
      </c>
      <c r="B15116" t="s">
        <v>174</v>
      </c>
      <c r="C15116">
        <v>760</v>
      </c>
      <c r="D15116">
        <v>20</v>
      </c>
      <c r="E15116" s="80">
        <v>35880</v>
      </c>
    </row>
    <row r="15117" spans="1:5">
      <c r="A15117">
        <v>10979</v>
      </c>
      <c r="B15117" t="s">
        <v>175</v>
      </c>
      <c r="C15117">
        <v>760</v>
      </c>
      <c r="D15117">
        <v>20</v>
      </c>
      <c r="E15117" s="80">
        <v>35880</v>
      </c>
    </row>
    <row r="15118" spans="1:5">
      <c r="A15118">
        <v>10979</v>
      </c>
      <c r="B15118" t="s">
        <v>176</v>
      </c>
      <c r="C15118">
        <v>760</v>
      </c>
      <c r="D15118">
        <v>20</v>
      </c>
      <c r="E15118" s="80">
        <v>35880</v>
      </c>
    </row>
    <row r="15119" spans="1:5">
      <c r="A15119">
        <v>10979</v>
      </c>
      <c r="B15119" t="s">
        <v>177</v>
      </c>
      <c r="C15119">
        <v>760</v>
      </c>
      <c r="D15119">
        <v>20</v>
      </c>
      <c r="E15119" s="80">
        <v>35880</v>
      </c>
    </row>
    <row r="15120" spans="1:5">
      <c r="A15120">
        <v>10979</v>
      </c>
      <c r="B15120" t="s">
        <v>178</v>
      </c>
      <c r="C15120">
        <v>760</v>
      </c>
      <c r="D15120">
        <v>20</v>
      </c>
      <c r="E15120" s="80">
        <v>35880</v>
      </c>
    </row>
    <row r="15121" spans="1:5">
      <c r="A15121">
        <v>10979</v>
      </c>
      <c r="B15121" t="s">
        <v>179</v>
      </c>
      <c r="C15121">
        <v>760</v>
      </c>
      <c r="D15121">
        <v>20</v>
      </c>
      <c r="E15121" s="80">
        <v>35880</v>
      </c>
    </row>
    <row r="15122" spans="1:5">
      <c r="A15122">
        <v>10979</v>
      </c>
      <c r="B15122" t="s">
        <v>172</v>
      </c>
      <c r="C15122">
        <v>360</v>
      </c>
      <c r="D15122">
        <v>80</v>
      </c>
      <c r="E15122" s="80">
        <v>35880</v>
      </c>
    </row>
    <row r="15123" spans="1:5">
      <c r="A15123">
        <v>10979</v>
      </c>
      <c r="B15123" t="s">
        <v>173</v>
      </c>
      <c r="C15123">
        <v>360</v>
      </c>
      <c r="D15123">
        <v>80</v>
      </c>
      <c r="E15123" s="80">
        <v>35880</v>
      </c>
    </row>
    <row r="15124" spans="1:5">
      <c r="A15124">
        <v>10979</v>
      </c>
      <c r="B15124" t="s">
        <v>174</v>
      </c>
      <c r="C15124">
        <v>360</v>
      </c>
      <c r="D15124">
        <v>80</v>
      </c>
      <c r="E15124" s="80">
        <v>35880</v>
      </c>
    </row>
    <row r="15125" spans="1:5">
      <c r="A15125">
        <v>10979</v>
      </c>
      <c r="B15125" t="s">
        <v>175</v>
      </c>
      <c r="C15125">
        <v>360</v>
      </c>
      <c r="D15125">
        <v>80</v>
      </c>
      <c r="E15125" s="80">
        <v>35880</v>
      </c>
    </row>
    <row r="15126" spans="1:5">
      <c r="A15126">
        <v>10979</v>
      </c>
      <c r="B15126" t="s">
        <v>176</v>
      </c>
      <c r="C15126">
        <v>360</v>
      </c>
      <c r="D15126">
        <v>80</v>
      </c>
      <c r="E15126" s="80">
        <v>35880</v>
      </c>
    </row>
    <row r="15127" spans="1:5">
      <c r="A15127">
        <v>10979</v>
      </c>
      <c r="B15127" t="s">
        <v>177</v>
      </c>
      <c r="C15127">
        <v>360</v>
      </c>
      <c r="D15127">
        <v>80</v>
      </c>
      <c r="E15127" s="80">
        <v>35880</v>
      </c>
    </row>
    <row r="15128" spans="1:5">
      <c r="A15128">
        <v>10979</v>
      </c>
      <c r="B15128" t="s">
        <v>178</v>
      </c>
      <c r="C15128">
        <v>360</v>
      </c>
      <c r="D15128">
        <v>80</v>
      </c>
      <c r="E15128" s="80">
        <v>35880</v>
      </c>
    </row>
    <row r="15129" spans="1:5">
      <c r="A15129">
        <v>10979</v>
      </c>
      <c r="B15129" t="s">
        <v>179</v>
      </c>
      <c r="C15129">
        <v>360</v>
      </c>
      <c r="D15129">
        <v>80</v>
      </c>
      <c r="E15129" s="80">
        <v>35880</v>
      </c>
    </row>
    <row r="15130" spans="1:5">
      <c r="A15130">
        <v>10979</v>
      </c>
      <c r="B15130" t="s">
        <v>172</v>
      </c>
      <c r="C15130">
        <v>1317</v>
      </c>
      <c r="D15130">
        <v>30</v>
      </c>
      <c r="E15130" s="80">
        <v>35880</v>
      </c>
    </row>
    <row r="15131" spans="1:5">
      <c r="A15131">
        <v>10979</v>
      </c>
      <c r="B15131" t="s">
        <v>173</v>
      </c>
      <c r="C15131">
        <v>1317</v>
      </c>
      <c r="D15131">
        <v>30</v>
      </c>
      <c r="E15131" s="80">
        <v>35880</v>
      </c>
    </row>
    <row r="15132" spans="1:5">
      <c r="A15132">
        <v>10979</v>
      </c>
      <c r="B15132" t="s">
        <v>174</v>
      </c>
      <c r="C15132">
        <v>1317</v>
      </c>
      <c r="D15132">
        <v>30</v>
      </c>
      <c r="E15132" s="80">
        <v>35880</v>
      </c>
    </row>
    <row r="15133" spans="1:5">
      <c r="A15133">
        <v>10979</v>
      </c>
      <c r="B15133" t="s">
        <v>175</v>
      </c>
      <c r="C15133">
        <v>1317</v>
      </c>
      <c r="D15133">
        <v>30</v>
      </c>
      <c r="E15133" s="80">
        <v>35880</v>
      </c>
    </row>
    <row r="15134" spans="1:5">
      <c r="A15134">
        <v>10979</v>
      </c>
      <c r="B15134" t="s">
        <v>176</v>
      </c>
      <c r="C15134">
        <v>1317</v>
      </c>
      <c r="D15134">
        <v>30</v>
      </c>
      <c r="E15134" s="80">
        <v>35880</v>
      </c>
    </row>
    <row r="15135" spans="1:5">
      <c r="A15135">
        <v>10979</v>
      </c>
      <c r="B15135" t="s">
        <v>177</v>
      </c>
      <c r="C15135">
        <v>1317</v>
      </c>
      <c r="D15135">
        <v>30</v>
      </c>
      <c r="E15135" s="80">
        <v>35880</v>
      </c>
    </row>
    <row r="15136" spans="1:5">
      <c r="A15136">
        <v>10979</v>
      </c>
      <c r="B15136" t="s">
        <v>178</v>
      </c>
      <c r="C15136">
        <v>1317</v>
      </c>
      <c r="D15136">
        <v>30</v>
      </c>
      <c r="E15136" s="80">
        <v>35880</v>
      </c>
    </row>
    <row r="15137" spans="1:5">
      <c r="A15137">
        <v>10979</v>
      </c>
      <c r="B15137" t="s">
        <v>179</v>
      </c>
      <c r="C15137">
        <v>1317</v>
      </c>
      <c r="D15137">
        <v>30</v>
      </c>
      <c r="E15137" s="80">
        <v>35880</v>
      </c>
    </row>
    <row r="15138" spans="1:5">
      <c r="A15138">
        <v>10979</v>
      </c>
      <c r="B15138" t="s">
        <v>172</v>
      </c>
      <c r="C15138">
        <v>300</v>
      </c>
      <c r="D15138">
        <v>24</v>
      </c>
      <c r="E15138" s="80">
        <v>35880</v>
      </c>
    </row>
    <row r="15139" spans="1:5">
      <c r="A15139">
        <v>10979</v>
      </c>
      <c r="B15139" t="s">
        <v>173</v>
      </c>
      <c r="C15139">
        <v>300</v>
      </c>
      <c r="D15139">
        <v>24</v>
      </c>
      <c r="E15139" s="80">
        <v>35880</v>
      </c>
    </row>
    <row r="15140" spans="1:5">
      <c r="A15140">
        <v>10979</v>
      </c>
      <c r="B15140" t="s">
        <v>174</v>
      </c>
      <c r="C15140">
        <v>300</v>
      </c>
      <c r="D15140">
        <v>24</v>
      </c>
      <c r="E15140" s="80">
        <v>35880</v>
      </c>
    </row>
    <row r="15141" spans="1:5">
      <c r="A15141">
        <v>10979</v>
      </c>
      <c r="B15141" t="s">
        <v>175</v>
      </c>
      <c r="C15141">
        <v>300</v>
      </c>
      <c r="D15141">
        <v>24</v>
      </c>
      <c r="E15141" s="80">
        <v>35880</v>
      </c>
    </row>
    <row r="15142" spans="1:5">
      <c r="A15142">
        <v>10979</v>
      </c>
      <c r="B15142" t="s">
        <v>176</v>
      </c>
      <c r="C15142">
        <v>300</v>
      </c>
      <c r="D15142">
        <v>24</v>
      </c>
      <c r="E15142" s="80">
        <v>35880</v>
      </c>
    </row>
    <row r="15143" spans="1:5">
      <c r="A15143">
        <v>10979</v>
      </c>
      <c r="B15143" t="s">
        <v>177</v>
      </c>
      <c r="C15143">
        <v>300</v>
      </c>
      <c r="D15143">
        <v>24</v>
      </c>
      <c r="E15143" s="80">
        <v>35880</v>
      </c>
    </row>
    <row r="15144" spans="1:5">
      <c r="A15144">
        <v>10979</v>
      </c>
      <c r="B15144" t="s">
        <v>178</v>
      </c>
      <c r="C15144">
        <v>300</v>
      </c>
      <c r="D15144">
        <v>24</v>
      </c>
      <c r="E15144" s="80">
        <v>35880</v>
      </c>
    </row>
    <row r="15145" spans="1:5">
      <c r="A15145">
        <v>10979</v>
      </c>
      <c r="B15145" t="s">
        <v>179</v>
      </c>
      <c r="C15145">
        <v>300</v>
      </c>
      <c r="D15145">
        <v>24</v>
      </c>
      <c r="E15145" s="80">
        <v>35880</v>
      </c>
    </row>
    <row r="15146" spans="1:5">
      <c r="A15146">
        <v>10979</v>
      </c>
      <c r="B15146" t="s">
        <v>172</v>
      </c>
      <c r="C15146">
        <v>1536.5</v>
      </c>
      <c r="D15146">
        <v>35</v>
      </c>
      <c r="E15146" s="80">
        <v>35880</v>
      </c>
    </row>
    <row r="15147" spans="1:5">
      <c r="A15147">
        <v>10979</v>
      </c>
      <c r="B15147" t="s">
        <v>173</v>
      </c>
      <c r="C15147">
        <v>1536.5</v>
      </c>
      <c r="D15147">
        <v>35</v>
      </c>
      <c r="E15147" s="80">
        <v>35880</v>
      </c>
    </row>
    <row r="15148" spans="1:5">
      <c r="A15148">
        <v>10979</v>
      </c>
      <c r="B15148" t="s">
        <v>174</v>
      </c>
      <c r="C15148">
        <v>1536.5</v>
      </c>
      <c r="D15148">
        <v>35</v>
      </c>
      <c r="E15148" s="80">
        <v>35880</v>
      </c>
    </row>
    <row r="15149" spans="1:5">
      <c r="A15149">
        <v>10979</v>
      </c>
      <c r="B15149" t="s">
        <v>175</v>
      </c>
      <c r="C15149">
        <v>1536.5</v>
      </c>
      <c r="D15149">
        <v>35</v>
      </c>
      <c r="E15149" s="80">
        <v>35880</v>
      </c>
    </row>
    <row r="15150" spans="1:5">
      <c r="A15150">
        <v>10979</v>
      </c>
      <c r="B15150" t="s">
        <v>176</v>
      </c>
      <c r="C15150">
        <v>1536.5</v>
      </c>
      <c r="D15150">
        <v>35</v>
      </c>
      <c r="E15150" s="80">
        <v>35880</v>
      </c>
    </row>
    <row r="15151" spans="1:5">
      <c r="A15151">
        <v>10979</v>
      </c>
      <c r="B15151" t="s">
        <v>177</v>
      </c>
      <c r="C15151">
        <v>1536.5</v>
      </c>
      <c r="D15151">
        <v>35</v>
      </c>
      <c r="E15151" s="80">
        <v>35880</v>
      </c>
    </row>
    <row r="15152" spans="1:5">
      <c r="A15152">
        <v>10979</v>
      </c>
      <c r="B15152" t="s">
        <v>178</v>
      </c>
      <c r="C15152">
        <v>1536.5</v>
      </c>
      <c r="D15152">
        <v>35</v>
      </c>
      <c r="E15152" s="80">
        <v>35880</v>
      </c>
    </row>
    <row r="15153" spans="1:5">
      <c r="A15153">
        <v>10979</v>
      </c>
      <c r="B15153" t="s">
        <v>179</v>
      </c>
      <c r="C15153">
        <v>1536.5</v>
      </c>
      <c r="D15153">
        <v>35</v>
      </c>
      <c r="E15153" s="80">
        <v>35880</v>
      </c>
    </row>
    <row r="15154" spans="1:5">
      <c r="A15154">
        <v>10980</v>
      </c>
      <c r="B15154" t="s">
        <v>172</v>
      </c>
      <c r="C15154">
        <v>247.99999907612801</v>
      </c>
      <c r="D15154">
        <v>40</v>
      </c>
      <c r="E15154" s="80">
        <v>35881</v>
      </c>
    </row>
    <row r="15155" spans="1:5">
      <c r="A15155">
        <v>10980</v>
      </c>
      <c r="B15155" t="s">
        <v>173</v>
      </c>
      <c r="C15155">
        <v>247.99999907612801</v>
      </c>
      <c r="D15155">
        <v>40</v>
      </c>
      <c r="E15155" s="80">
        <v>35881</v>
      </c>
    </row>
    <row r="15156" spans="1:5">
      <c r="A15156">
        <v>10980</v>
      </c>
      <c r="B15156" t="s">
        <v>174</v>
      </c>
      <c r="C15156">
        <v>247.99999907612801</v>
      </c>
      <c r="D15156">
        <v>40</v>
      </c>
      <c r="E15156" s="80">
        <v>35881</v>
      </c>
    </row>
    <row r="15157" spans="1:5">
      <c r="A15157">
        <v>10980</v>
      </c>
      <c r="B15157" t="s">
        <v>175</v>
      </c>
      <c r="C15157">
        <v>247.99999907612801</v>
      </c>
      <c r="D15157">
        <v>40</v>
      </c>
      <c r="E15157" s="80">
        <v>35881</v>
      </c>
    </row>
    <row r="15158" spans="1:5">
      <c r="A15158">
        <v>10980</v>
      </c>
      <c r="B15158" t="s">
        <v>176</v>
      </c>
      <c r="C15158">
        <v>247.99999907612801</v>
      </c>
      <c r="D15158">
        <v>40</v>
      </c>
      <c r="E15158" s="80">
        <v>35881</v>
      </c>
    </row>
    <row r="15159" spans="1:5">
      <c r="A15159">
        <v>10980</v>
      </c>
      <c r="B15159" t="s">
        <v>177</v>
      </c>
      <c r="C15159">
        <v>247.99999907612801</v>
      </c>
      <c r="D15159">
        <v>40</v>
      </c>
      <c r="E15159" s="80">
        <v>35881</v>
      </c>
    </row>
    <row r="15160" spans="1:5">
      <c r="A15160">
        <v>10980</v>
      </c>
      <c r="B15160" t="s">
        <v>178</v>
      </c>
      <c r="C15160">
        <v>247.99999907612801</v>
      </c>
      <c r="D15160">
        <v>40</v>
      </c>
      <c r="E15160" s="80">
        <v>35881</v>
      </c>
    </row>
    <row r="15161" spans="1:5">
      <c r="A15161">
        <v>10980</v>
      </c>
      <c r="B15161" t="s">
        <v>179</v>
      </c>
      <c r="C15161">
        <v>247.99999907612801</v>
      </c>
      <c r="D15161">
        <v>40</v>
      </c>
      <c r="E15161" s="80">
        <v>35881</v>
      </c>
    </row>
    <row r="15162" spans="1:5">
      <c r="A15162">
        <v>10981</v>
      </c>
      <c r="B15162" t="s">
        <v>172</v>
      </c>
      <c r="C15162">
        <v>15810</v>
      </c>
      <c r="D15162">
        <v>60</v>
      </c>
      <c r="E15162" s="80">
        <v>35881</v>
      </c>
    </row>
    <row r="15163" spans="1:5">
      <c r="A15163">
        <v>10981</v>
      </c>
      <c r="B15163" t="s">
        <v>173</v>
      </c>
      <c r="C15163">
        <v>15810</v>
      </c>
      <c r="D15163">
        <v>60</v>
      </c>
      <c r="E15163" s="80">
        <v>35881</v>
      </c>
    </row>
    <row r="15164" spans="1:5">
      <c r="A15164">
        <v>10981</v>
      </c>
      <c r="B15164" t="s">
        <v>174</v>
      </c>
      <c r="C15164">
        <v>15810</v>
      </c>
      <c r="D15164">
        <v>60</v>
      </c>
      <c r="E15164" s="80">
        <v>35881</v>
      </c>
    </row>
    <row r="15165" spans="1:5">
      <c r="A15165">
        <v>10981</v>
      </c>
      <c r="B15165" t="s">
        <v>175</v>
      </c>
      <c r="C15165">
        <v>15810</v>
      </c>
      <c r="D15165">
        <v>60</v>
      </c>
      <c r="E15165" s="80">
        <v>35881</v>
      </c>
    </row>
    <row r="15166" spans="1:5">
      <c r="A15166">
        <v>10981</v>
      </c>
      <c r="B15166" t="s">
        <v>176</v>
      </c>
      <c r="C15166">
        <v>15810</v>
      </c>
      <c r="D15166">
        <v>60</v>
      </c>
      <c r="E15166" s="80">
        <v>35881</v>
      </c>
    </row>
    <row r="15167" spans="1:5">
      <c r="A15167">
        <v>10981</v>
      </c>
      <c r="B15167" t="s">
        <v>177</v>
      </c>
      <c r="C15167">
        <v>15810</v>
      </c>
      <c r="D15167">
        <v>60</v>
      </c>
      <c r="E15167" s="80">
        <v>35881</v>
      </c>
    </row>
    <row r="15168" spans="1:5">
      <c r="A15168">
        <v>10981</v>
      </c>
      <c r="B15168" t="s">
        <v>178</v>
      </c>
      <c r="C15168">
        <v>15810</v>
      </c>
      <c r="D15168">
        <v>60</v>
      </c>
      <c r="E15168" s="80">
        <v>35881</v>
      </c>
    </row>
    <row r="15169" spans="1:5">
      <c r="A15169">
        <v>10981</v>
      </c>
      <c r="B15169" t="s">
        <v>179</v>
      </c>
      <c r="C15169">
        <v>15810</v>
      </c>
      <c r="D15169">
        <v>60</v>
      </c>
      <c r="E15169" s="80">
        <v>35881</v>
      </c>
    </row>
    <row r="15170" spans="1:5">
      <c r="A15170">
        <v>10982</v>
      </c>
      <c r="B15170" t="s">
        <v>172</v>
      </c>
      <c r="C15170">
        <v>600</v>
      </c>
      <c r="D15170">
        <v>20</v>
      </c>
      <c r="E15170" s="80">
        <v>35881</v>
      </c>
    </row>
    <row r="15171" spans="1:5">
      <c r="A15171">
        <v>10982</v>
      </c>
      <c r="B15171" t="s">
        <v>173</v>
      </c>
      <c r="C15171">
        <v>600</v>
      </c>
      <c r="D15171">
        <v>20</v>
      </c>
      <c r="E15171" s="80">
        <v>35881</v>
      </c>
    </row>
    <row r="15172" spans="1:5">
      <c r="A15172">
        <v>10982</v>
      </c>
      <c r="B15172" t="s">
        <v>174</v>
      </c>
      <c r="C15172">
        <v>600</v>
      </c>
      <c r="D15172">
        <v>20</v>
      </c>
      <c r="E15172" s="80">
        <v>35881</v>
      </c>
    </row>
    <row r="15173" spans="1:5">
      <c r="A15173">
        <v>10982</v>
      </c>
      <c r="B15173" t="s">
        <v>175</v>
      </c>
      <c r="C15173">
        <v>600</v>
      </c>
      <c r="D15173">
        <v>20</v>
      </c>
      <c r="E15173" s="80">
        <v>35881</v>
      </c>
    </row>
    <row r="15174" spans="1:5">
      <c r="A15174">
        <v>10982</v>
      </c>
      <c r="B15174" t="s">
        <v>176</v>
      </c>
      <c r="C15174">
        <v>600</v>
      </c>
      <c r="D15174">
        <v>20</v>
      </c>
      <c r="E15174" s="80">
        <v>35881</v>
      </c>
    </row>
    <row r="15175" spans="1:5">
      <c r="A15175">
        <v>10982</v>
      </c>
      <c r="B15175" t="s">
        <v>177</v>
      </c>
      <c r="C15175">
        <v>600</v>
      </c>
      <c r="D15175">
        <v>20</v>
      </c>
      <c r="E15175" s="80">
        <v>35881</v>
      </c>
    </row>
    <row r="15176" spans="1:5">
      <c r="A15176">
        <v>10982</v>
      </c>
      <c r="B15176" t="s">
        <v>178</v>
      </c>
      <c r="C15176">
        <v>600</v>
      </c>
      <c r="D15176">
        <v>20</v>
      </c>
      <c r="E15176" s="80">
        <v>35881</v>
      </c>
    </row>
    <row r="15177" spans="1:5">
      <c r="A15177">
        <v>10982</v>
      </c>
      <c r="B15177" t="s">
        <v>179</v>
      </c>
      <c r="C15177">
        <v>600</v>
      </c>
      <c r="D15177">
        <v>20</v>
      </c>
      <c r="E15177" s="80">
        <v>35881</v>
      </c>
    </row>
    <row r="15178" spans="1:5">
      <c r="A15178">
        <v>10982</v>
      </c>
      <c r="B15178" t="s">
        <v>172</v>
      </c>
      <c r="C15178">
        <v>414</v>
      </c>
      <c r="D15178">
        <v>9</v>
      </c>
      <c r="E15178" s="80">
        <v>35881</v>
      </c>
    </row>
    <row r="15179" spans="1:5">
      <c r="A15179">
        <v>10982</v>
      </c>
      <c r="B15179" t="s">
        <v>173</v>
      </c>
      <c r="C15179">
        <v>414</v>
      </c>
      <c r="D15179">
        <v>9</v>
      </c>
      <c r="E15179" s="80">
        <v>35881</v>
      </c>
    </row>
    <row r="15180" spans="1:5">
      <c r="A15180">
        <v>10982</v>
      </c>
      <c r="B15180" t="s">
        <v>174</v>
      </c>
      <c r="C15180">
        <v>414</v>
      </c>
      <c r="D15180">
        <v>9</v>
      </c>
      <c r="E15180" s="80">
        <v>35881</v>
      </c>
    </row>
    <row r="15181" spans="1:5">
      <c r="A15181">
        <v>10982</v>
      </c>
      <c r="B15181" t="s">
        <v>175</v>
      </c>
      <c r="C15181">
        <v>414</v>
      </c>
      <c r="D15181">
        <v>9</v>
      </c>
      <c r="E15181" s="80">
        <v>35881</v>
      </c>
    </row>
    <row r="15182" spans="1:5">
      <c r="A15182">
        <v>10982</v>
      </c>
      <c r="B15182" t="s">
        <v>176</v>
      </c>
      <c r="C15182">
        <v>414</v>
      </c>
      <c r="D15182">
        <v>9</v>
      </c>
      <c r="E15182" s="80">
        <v>35881</v>
      </c>
    </row>
    <row r="15183" spans="1:5">
      <c r="A15183">
        <v>10982</v>
      </c>
      <c r="B15183" t="s">
        <v>177</v>
      </c>
      <c r="C15183">
        <v>414</v>
      </c>
      <c r="D15183">
        <v>9</v>
      </c>
      <c r="E15183" s="80">
        <v>35881</v>
      </c>
    </row>
    <row r="15184" spans="1:5">
      <c r="A15184">
        <v>10982</v>
      </c>
      <c r="B15184" t="s">
        <v>178</v>
      </c>
      <c r="C15184">
        <v>414</v>
      </c>
      <c r="D15184">
        <v>9</v>
      </c>
      <c r="E15184" s="80">
        <v>35881</v>
      </c>
    </row>
    <row r="15185" spans="1:5">
      <c r="A15185">
        <v>10982</v>
      </c>
      <c r="B15185" t="s">
        <v>179</v>
      </c>
      <c r="C15185">
        <v>414</v>
      </c>
      <c r="D15185">
        <v>9</v>
      </c>
      <c r="E15185" s="80">
        <v>35881</v>
      </c>
    </row>
    <row r="15186" spans="1:5">
      <c r="A15186">
        <v>10983</v>
      </c>
      <c r="B15186" t="s">
        <v>172</v>
      </c>
      <c r="C15186">
        <v>428.3999969959259</v>
      </c>
      <c r="D15186">
        <v>84</v>
      </c>
      <c r="E15186" s="80">
        <v>35881</v>
      </c>
    </row>
    <row r="15187" spans="1:5">
      <c r="A15187">
        <v>10983</v>
      </c>
      <c r="B15187" t="s">
        <v>173</v>
      </c>
      <c r="C15187">
        <v>428.3999969959259</v>
      </c>
      <c r="D15187">
        <v>84</v>
      </c>
      <c r="E15187" s="80">
        <v>35881</v>
      </c>
    </row>
    <row r="15188" spans="1:5">
      <c r="A15188">
        <v>10983</v>
      </c>
      <c r="B15188" t="s">
        <v>174</v>
      </c>
      <c r="C15188">
        <v>428.3999969959259</v>
      </c>
      <c r="D15188">
        <v>84</v>
      </c>
      <c r="E15188" s="80">
        <v>35881</v>
      </c>
    </row>
    <row r="15189" spans="1:5">
      <c r="A15189">
        <v>10983</v>
      </c>
      <c r="B15189" t="s">
        <v>175</v>
      </c>
      <c r="C15189">
        <v>428.3999969959259</v>
      </c>
      <c r="D15189">
        <v>84</v>
      </c>
      <c r="E15189" s="80">
        <v>35881</v>
      </c>
    </row>
    <row r="15190" spans="1:5">
      <c r="A15190">
        <v>10983</v>
      </c>
      <c r="B15190" t="s">
        <v>176</v>
      </c>
      <c r="C15190">
        <v>428.3999969959259</v>
      </c>
      <c r="D15190">
        <v>84</v>
      </c>
      <c r="E15190" s="80">
        <v>35881</v>
      </c>
    </row>
    <row r="15191" spans="1:5">
      <c r="A15191">
        <v>10983</v>
      </c>
      <c r="B15191" t="s">
        <v>177</v>
      </c>
      <c r="C15191">
        <v>428.3999969959259</v>
      </c>
      <c r="D15191">
        <v>84</v>
      </c>
      <c r="E15191" s="80">
        <v>35881</v>
      </c>
    </row>
    <row r="15192" spans="1:5">
      <c r="A15192">
        <v>10983</v>
      </c>
      <c r="B15192" t="s">
        <v>178</v>
      </c>
      <c r="C15192">
        <v>428.3999969959259</v>
      </c>
      <c r="D15192">
        <v>84</v>
      </c>
      <c r="E15192" s="80">
        <v>35881</v>
      </c>
    </row>
    <row r="15193" spans="1:5">
      <c r="A15193">
        <v>10983</v>
      </c>
      <c r="B15193" t="s">
        <v>179</v>
      </c>
      <c r="C15193">
        <v>428.3999969959259</v>
      </c>
      <c r="D15193">
        <v>84</v>
      </c>
      <c r="E15193" s="80">
        <v>35881</v>
      </c>
    </row>
    <row r="15194" spans="1:5">
      <c r="A15194">
        <v>10983</v>
      </c>
      <c r="B15194" t="s">
        <v>172</v>
      </c>
      <c r="C15194">
        <v>292.5</v>
      </c>
      <c r="D15194">
        <v>15</v>
      </c>
      <c r="E15194" s="80">
        <v>35881</v>
      </c>
    </row>
    <row r="15195" spans="1:5">
      <c r="A15195">
        <v>10983</v>
      </c>
      <c r="B15195" t="s">
        <v>173</v>
      </c>
      <c r="C15195">
        <v>292.5</v>
      </c>
      <c r="D15195">
        <v>15</v>
      </c>
      <c r="E15195" s="80">
        <v>35881</v>
      </c>
    </row>
    <row r="15196" spans="1:5">
      <c r="A15196">
        <v>10983</v>
      </c>
      <c r="B15196" t="s">
        <v>174</v>
      </c>
      <c r="C15196">
        <v>292.5</v>
      </c>
      <c r="D15196">
        <v>15</v>
      </c>
      <c r="E15196" s="80">
        <v>35881</v>
      </c>
    </row>
    <row r="15197" spans="1:5">
      <c r="A15197">
        <v>10983</v>
      </c>
      <c r="B15197" t="s">
        <v>175</v>
      </c>
      <c r="C15197">
        <v>292.5</v>
      </c>
      <c r="D15197">
        <v>15</v>
      </c>
      <c r="E15197" s="80">
        <v>35881</v>
      </c>
    </row>
    <row r="15198" spans="1:5">
      <c r="A15198">
        <v>10983</v>
      </c>
      <c r="B15198" t="s">
        <v>176</v>
      </c>
      <c r="C15198">
        <v>292.5</v>
      </c>
      <c r="D15198">
        <v>15</v>
      </c>
      <c r="E15198" s="80">
        <v>35881</v>
      </c>
    </row>
    <row r="15199" spans="1:5">
      <c r="A15199">
        <v>10983</v>
      </c>
      <c r="B15199" t="s">
        <v>177</v>
      </c>
      <c r="C15199">
        <v>292.5</v>
      </c>
      <c r="D15199">
        <v>15</v>
      </c>
      <c r="E15199" s="80">
        <v>35881</v>
      </c>
    </row>
    <row r="15200" spans="1:5">
      <c r="A15200">
        <v>10983</v>
      </c>
      <c r="B15200" t="s">
        <v>178</v>
      </c>
      <c r="C15200">
        <v>292.5</v>
      </c>
      <c r="D15200">
        <v>15</v>
      </c>
      <c r="E15200" s="80">
        <v>35881</v>
      </c>
    </row>
    <row r="15201" spans="1:5">
      <c r="A15201">
        <v>10983</v>
      </c>
      <c r="B15201" t="s">
        <v>179</v>
      </c>
      <c r="C15201">
        <v>292.5</v>
      </c>
      <c r="D15201">
        <v>15</v>
      </c>
      <c r="E15201" s="80">
        <v>35881</v>
      </c>
    </row>
    <row r="15202" spans="1:5">
      <c r="A15202">
        <v>10984</v>
      </c>
      <c r="B15202" t="s">
        <v>172</v>
      </c>
      <c r="C15202">
        <v>959.75</v>
      </c>
      <c r="D15202">
        <v>55</v>
      </c>
      <c r="E15202" s="80">
        <v>35884</v>
      </c>
    </row>
    <row r="15203" spans="1:5">
      <c r="A15203">
        <v>10984</v>
      </c>
      <c r="B15203" t="s">
        <v>173</v>
      </c>
      <c r="C15203">
        <v>959.75</v>
      </c>
      <c r="D15203">
        <v>55</v>
      </c>
      <c r="E15203" s="80">
        <v>35884</v>
      </c>
    </row>
    <row r="15204" spans="1:5">
      <c r="A15204">
        <v>10984</v>
      </c>
      <c r="B15204" t="s">
        <v>174</v>
      </c>
      <c r="C15204">
        <v>959.75</v>
      </c>
      <c r="D15204">
        <v>55</v>
      </c>
      <c r="E15204" s="80">
        <v>35884</v>
      </c>
    </row>
    <row r="15205" spans="1:5">
      <c r="A15205">
        <v>10984</v>
      </c>
      <c r="B15205" t="s">
        <v>175</v>
      </c>
      <c r="C15205">
        <v>959.75</v>
      </c>
      <c r="D15205">
        <v>55</v>
      </c>
      <c r="E15205" s="80">
        <v>35884</v>
      </c>
    </row>
    <row r="15206" spans="1:5">
      <c r="A15206">
        <v>10984</v>
      </c>
      <c r="B15206" t="s">
        <v>176</v>
      </c>
      <c r="C15206">
        <v>959.75</v>
      </c>
      <c r="D15206">
        <v>55</v>
      </c>
      <c r="E15206" s="80">
        <v>35884</v>
      </c>
    </row>
    <row r="15207" spans="1:5">
      <c r="A15207">
        <v>10984</v>
      </c>
      <c r="B15207" t="s">
        <v>177</v>
      </c>
      <c r="C15207">
        <v>959.75</v>
      </c>
      <c r="D15207">
        <v>55</v>
      </c>
      <c r="E15207" s="80">
        <v>35884</v>
      </c>
    </row>
    <row r="15208" spans="1:5">
      <c r="A15208">
        <v>10984</v>
      </c>
      <c r="B15208" t="s">
        <v>178</v>
      </c>
      <c r="C15208">
        <v>959.75</v>
      </c>
      <c r="D15208">
        <v>55</v>
      </c>
      <c r="E15208" s="80">
        <v>35884</v>
      </c>
    </row>
    <row r="15209" spans="1:5">
      <c r="A15209">
        <v>10984</v>
      </c>
      <c r="B15209" t="s">
        <v>179</v>
      </c>
      <c r="C15209">
        <v>959.75</v>
      </c>
      <c r="D15209">
        <v>55</v>
      </c>
      <c r="E15209" s="80">
        <v>35884</v>
      </c>
    </row>
    <row r="15210" spans="1:5">
      <c r="A15210">
        <v>10984</v>
      </c>
      <c r="B15210" t="s">
        <v>172</v>
      </c>
      <c r="C15210">
        <v>90</v>
      </c>
      <c r="D15210">
        <v>20</v>
      </c>
      <c r="E15210" s="80">
        <v>35884</v>
      </c>
    </row>
    <row r="15211" spans="1:5">
      <c r="A15211">
        <v>10984</v>
      </c>
      <c r="B15211" t="s">
        <v>173</v>
      </c>
      <c r="C15211">
        <v>90</v>
      </c>
      <c r="D15211">
        <v>20</v>
      </c>
      <c r="E15211" s="80">
        <v>35884</v>
      </c>
    </row>
    <row r="15212" spans="1:5">
      <c r="A15212">
        <v>10984</v>
      </c>
      <c r="B15212" t="s">
        <v>174</v>
      </c>
      <c r="C15212">
        <v>90</v>
      </c>
      <c r="D15212">
        <v>20</v>
      </c>
      <c r="E15212" s="80">
        <v>35884</v>
      </c>
    </row>
    <row r="15213" spans="1:5">
      <c r="A15213">
        <v>10984</v>
      </c>
      <c r="B15213" t="s">
        <v>175</v>
      </c>
      <c r="C15213">
        <v>90</v>
      </c>
      <c r="D15213">
        <v>20</v>
      </c>
      <c r="E15213" s="80">
        <v>35884</v>
      </c>
    </row>
    <row r="15214" spans="1:5">
      <c r="A15214">
        <v>10984</v>
      </c>
      <c r="B15214" t="s">
        <v>176</v>
      </c>
      <c r="C15214">
        <v>90</v>
      </c>
      <c r="D15214">
        <v>20</v>
      </c>
      <c r="E15214" s="80">
        <v>35884</v>
      </c>
    </row>
    <row r="15215" spans="1:5">
      <c r="A15215">
        <v>10984</v>
      </c>
      <c r="B15215" t="s">
        <v>177</v>
      </c>
      <c r="C15215">
        <v>90</v>
      </c>
      <c r="D15215">
        <v>20</v>
      </c>
      <c r="E15215" s="80">
        <v>35884</v>
      </c>
    </row>
    <row r="15216" spans="1:5">
      <c r="A15216">
        <v>10984</v>
      </c>
      <c r="B15216" t="s">
        <v>178</v>
      </c>
      <c r="C15216">
        <v>90</v>
      </c>
      <c r="D15216">
        <v>20</v>
      </c>
      <c r="E15216" s="80">
        <v>35884</v>
      </c>
    </row>
    <row r="15217" spans="1:5">
      <c r="A15217">
        <v>10984</v>
      </c>
      <c r="B15217" t="s">
        <v>179</v>
      </c>
      <c r="C15217">
        <v>90</v>
      </c>
      <c r="D15217">
        <v>20</v>
      </c>
      <c r="E15217" s="80">
        <v>35884</v>
      </c>
    </row>
    <row r="15218" spans="1:5">
      <c r="A15218">
        <v>10984</v>
      </c>
      <c r="B15218" t="s">
        <v>172</v>
      </c>
      <c r="C15218">
        <v>760</v>
      </c>
      <c r="D15218">
        <v>40</v>
      </c>
      <c r="E15218" s="80">
        <v>35884</v>
      </c>
    </row>
    <row r="15219" spans="1:5">
      <c r="A15219">
        <v>10984</v>
      </c>
      <c r="B15219" t="s">
        <v>173</v>
      </c>
      <c r="C15219">
        <v>760</v>
      </c>
      <c r="D15219">
        <v>40</v>
      </c>
      <c r="E15219" s="80">
        <v>35884</v>
      </c>
    </row>
    <row r="15220" spans="1:5">
      <c r="A15220">
        <v>10984</v>
      </c>
      <c r="B15220" t="s">
        <v>174</v>
      </c>
      <c r="C15220">
        <v>760</v>
      </c>
      <c r="D15220">
        <v>40</v>
      </c>
      <c r="E15220" s="80">
        <v>35884</v>
      </c>
    </row>
    <row r="15221" spans="1:5">
      <c r="A15221">
        <v>10984</v>
      </c>
      <c r="B15221" t="s">
        <v>175</v>
      </c>
      <c r="C15221">
        <v>760</v>
      </c>
      <c r="D15221">
        <v>40</v>
      </c>
      <c r="E15221" s="80">
        <v>35884</v>
      </c>
    </row>
    <row r="15222" spans="1:5">
      <c r="A15222">
        <v>10984</v>
      </c>
      <c r="B15222" t="s">
        <v>176</v>
      </c>
      <c r="C15222">
        <v>760</v>
      </c>
      <c r="D15222">
        <v>40</v>
      </c>
      <c r="E15222" s="80">
        <v>35884</v>
      </c>
    </row>
    <row r="15223" spans="1:5">
      <c r="A15223">
        <v>10984</v>
      </c>
      <c r="B15223" t="s">
        <v>177</v>
      </c>
      <c r="C15223">
        <v>760</v>
      </c>
      <c r="D15223">
        <v>40</v>
      </c>
      <c r="E15223" s="80">
        <v>35884</v>
      </c>
    </row>
    <row r="15224" spans="1:5">
      <c r="A15224">
        <v>10984</v>
      </c>
      <c r="B15224" t="s">
        <v>178</v>
      </c>
      <c r="C15224">
        <v>760</v>
      </c>
      <c r="D15224">
        <v>40</v>
      </c>
      <c r="E15224" s="80">
        <v>35884</v>
      </c>
    </row>
    <row r="15225" spans="1:5">
      <c r="A15225">
        <v>10984</v>
      </c>
      <c r="B15225" t="s">
        <v>179</v>
      </c>
      <c r="C15225">
        <v>760</v>
      </c>
      <c r="D15225">
        <v>40</v>
      </c>
      <c r="E15225" s="80">
        <v>35884</v>
      </c>
    </row>
    <row r="15226" spans="1:5">
      <c r="A15226">
        <v>10985</v>
      </c>
      <c r="B15226" t="s">
        <v>172</v>
      </c>
      <c r="C15226">
        <v>565.37999906390905</v>
      </c>
      <c r="D15226">
        <v>36</v>
      </c>
      <c r="E15226" s="80">
        <v>35884</v>
      </c>
    </row>
    <row r="15227" spans="1:5">
      <c r="A15227">
        <v>10985</v>
      </c>
      <c r="B15227" t="s">
        <v>173</v>
      </c>
      <c r="C15227">
        <v>565.37999906390905</v>
      </c>
      <c r="D15227">
        <v>36</v>
      </c>
      <c r="E15227" s="80">
        <v>35884</v>
      </c>
    </row>
    <row r="15228" spans="1:5">
      <c r="A15228">
        <v>10985</v>
      </c>
      <c r="B15228" t="s">
        <v>174</v>
      </c>
      <c r="C15228">
        <v>565.37999906390905</v>
      </c>
      <c r="D15228">
        <v>36</v>
      </c>
      <c r="E15228" s="80">
        <v>35884</v>
      </c>
    </row>
    <row r="15229" spans="1:5">
      <c r="A15229">
        <v>10985</v>
      </c>
      <c r="B15229" t="s">
        <v>175</v>
      </c>
      <c r="C15229">
        <v>565.37999906390905</v>
      </c>
      <c r="D15229">
        <v>36</v>
      </c>
      <c r="E15229" s="80">
        <v>35884</v>
      </c>
    </row>
    <row r="15230" spans="1:5">
      <c r="A15230">
        <v>10985</v>
      </c>
      <c r="B15230" t="s">
        <v>176</v>
      </c>
      <c r="C15230">
        <v>565.37999906390905</v>
      </c>
      <c r="D15230">
        <v>36</v>
      </c>
      <c r="E15230" s="80">
        <v>35884</v>
      </c>
    </row>
    <row r="15231" spans="1:5">
      <c r="A15231">
        <v>10985</v>
      </c>
      <c r="B15231" t="s">
        <v>177</v>
      </c>
      <c r="C15231">
        <v>565.37999906390905</v>
      </c>
      <c r="D15231">
        <v>36</v>
      </c>
      <c r="E15231" s="80">
        <v>35884</v>
      </c>
    </row>
    <row r="15232" spans="1:5">
      <c r="A15232">
        <v>10985</v>
      </c>
      <c r="B15232" t="s">
        <v>178</v>
      </c>
      <c r="C15232">
        <v>565.37999906390905</v>
      </c>
      <c r="D15232">
        <v>36</v>
      </c>
      <c r="E15232" s="80">
        <v>35884</v>
      </c>
    </row>
    <row r="15233" spans="1:5">
      <c r="A15233">
        <v>10985</v>
      </c>
      <c r="B15233" t="s">
        <v>179</v>
      </c>
      <c r="C15233">
        <v>565.37999906390905</v>
      </c>
      <c r="D15233">
        <v>36</v>
      </c>
      <c r="E15233" s="80">
        <v>35884</v>
      </c>
    </row>
    <row r="15234" spans="1:5">
      <c r="A15234">
        <v>10985</v>
      </c>
      <c r="B15234" t="s">
        <v>172</v>
      </c>
      <c r="C15234">
        <v>449.99999925494194</v>
      </c>
      <c r="D15234">
        <v>8</v>
      </c>
      <c r="E15234" s="80">
        <v>35884</v>
      </c>
    </row>
    <row r="15235" spans="1:5">
      <c r="A15235">
        <v>10985</v>
      </c>
      <c r="B15235" t="s">
        <v>173</v>
      </c>
      <c r="C15235">
        <v>449.99999925494194</v>
      </c>
      <c r="D15235">
        <v>8</v>
      </c>
      <c r="E15235" s="80">
        <v>35884</v>
      </c>
    </row>
    <row r="15236" spans="1:5">
      <c r="A15236">
        <v>10985</v>
      </c>
      <c r="B15236" t="s">
        <v>174</v>
      </c>
      <c r="C15236">
        <v>449.99999925494194</v>
      </c>
      <c r="D15236">
        <v>8</v>
      </c>
      <c r="E15236" s="80">
        <v>35884</v>
      </c>
    </row>
    <row r="15237" spans="1:5">
      <c r="A15237">
        <v>10985</v>
      </c>
      <c r="B15237" t="s">
        <v>175</v>
      </c>
      <c r="C15237">
        <v>449.99999925494194</v>
      </c>
      <c r="D15237">
        <v>8</v>
      </c>
      <c r="E15237" s="80">
        <v>35884</v>
      </c>
    </row>
    <row r="15238" spans="1:5">
      <c r="A15238">
        <v>10985</v>
      </c>
      <c r="B15238" t="s">
        <v>176</v>
      </c>
      <c r="C15238">
        <v>449.99999925494194</v>
      </c>
      <c r="D15238">
        <v>8</v>
      </c>
      <c r="E15238" s="80">
        <v>35884</v>
      </c>
    </row>
    <row r="15239" spans="1:5">
      <c r="A15239">
        <v>10985</v>
      </c>
      <c r="B15239" t="s">
        <v>177</v>
      </c>
      <c r="C15239">
        <v>449.99999925494194</v>
      </c>
      <c r="D15239">
        <v>8</v>
      </c>
      <c r="E15239" s="80">
        <v>35884</v>
      </c>
    </row>
    <row r="15240" spans="1:5">
      <c r="A15240">
        <v>10985</v>
      </c>
      <c r="B15240" t="s">
        <v>178</v>
      </c>
      <c r="C15240">
        <v>449.99999925494194</v>
      </c>
      <c r="D15240">
        <v>8</v>
      </c>
      <c r="E15240" s="80">
        <v>35884</v>
      </c>
    </row>
    <row r="15241" spans="1:5">
      <c r="A15241">
        <v>10985</v>
      </c>
      <c r="B15241" t="s">
        <v>179</v>
      </c>
      <c r="C15241">
        <v>449.99999925494194</v>
      </c>
      <c r="D15241">
        <v>8</v>
      </c>
      <c r="E15241" s="80">
        <v>35884</v>
      </c>
    </row>
    <row r="15242" spans="1:5">
      <c r="A15242">
        <v>10985</v>
      </c>
      <c r="B15242" t="s">
        <v>172</v>
      </c>
      <c r="C15242">
        <v>1007.9999983310699</v>
      </c>
      <c r="D15242">
        <v>35</v>
      </c>
      <c r="E15242" s="80">
        <v>35884</v>
      </c>
    </row>
    <row r="15243" spans="1:5">
      <c r="A15243">
        <v>10985</v>
      </c>
      <c r="B15243" t="s">
        <v>173</v>
      </c>
      <c r="C15243">
        <v>1007.9999983310699</v>
      </c>
      <c r="D15243">
        <v>35</v>
      </c>
      <c r="E15243" s="80">
        <v>35884</v>
      </c>
    </row>
    <row r="15244" spans="1:5">
      <c r="A15244">
        <v>10985</v>
      </c>
      <c r="B15244" t="s">
        <v>174</v>
      </c>
      <c r="C15244">
        <v>1007.9999983310699</v>
      </c>
      <c r="D15244">
        <v>35</v>
      </c>
      <c r="E15244" s="80">
        <v>35884</v>
      </c>
    </row>
    <row r="15245" spans="1:5">
      <c r="A15245">
        <v>10985</v>
      </c>
      <c r="B15245" t="s">
        <v>175</v>
      </c>
      <c r="C15245">
        <v>1007.9999983310699</v>
      </c>
      <c r="D15245">
        <v>35</v>
      </c>
      <c r="E15245" s="80">
        <v>35884</v>
      </c>
    </row>
    <row r="15246" spans="1:5">
      <c r="A15246">
        <v>10985</v>
      </c>
      <c r="B15246" t="s">
        <v>176</v>
      </c>
      <c r="C15246">
        <v>1007.9999983310699</v>
      </c>
      <c r="D15246">
        <v>35</v>
      </c>
      <c r="E15246" s="80">
        <v>35884</v>
      </c>
    </row>
    <row r="15247" spans="1:5">
      <c r="A15247">
        <v>10985</v>
      </c>
      <c r="B15247" t="s">
        <v>177</v>
      </c>
      <c r="C15247">
        <v>1007.9999983310699</v>
      </c>
      <c r="D15247">
        <v>35</v>
      </c>
      <c r="E15247" s="80">
        <v>35884</v>
      </c>
    </row>
    <row r="15248" spans="1:5">
      <c r="A15248">
        <v>10985</v>
      </c>
      <c r="B15248" t="s">
        <v>178</v>
      </c>
      <c r="C15248">
        <v>1007.9999983310699</v>
      </c>
      <c r="D15248">
        <v>35</v>
      </c>
      <c r="E15248" s="80">
        <v>35884</v>
      </c>
    </row>
    <row r="15249" spans="1:5">
      <c r="A15249">
        <v>10985</v>
      </c>
      <c r="B15249" t="s">
        <v>179</v>
      </c>
      <c r="C15249">
        <v>1007.9999983310699</v>
      </c>
      <c r="D15249">
        <v>35</v>
      </c>
      <c r="E15249" s="80">
        <v>35884</v>
      </c>
    </row>
    <row r="15250" spans="1:5">
      <c r="A15250">
        <v>10986</v>
      </c>
      <c r="B15250" t="s">
        <v>172</v>
      </c>
      <c r="C15250">
        <v>630</v>
      </c>
      <c r="D15250">
        <v>30</v>
      </c>
      <c r="E15250" s="80">
        <v>35884</v>
      </c>
    </row>
    <row r="15251" spans="1:5">
      <c r="A15251">
        <v>10986</v>
      </c>
      <c r="B15251" t="s">
        <v>173</v>
      </c>
      <c r="C15251">
        <v>630</v>
      </c>
      <c r="D15251">
        <v>30</v>
      </c>
      <c r="E15251" s="80">
        <v>35884</v>
      </c>
    </row>
    <row r="15252" spans="1:5">
      <c r="A15252">
        <v>10986</v>
      </c>
      <c r="B15252" t="s">
        <v>174</v>
      </c>
      <c r="C15252">
        <v>630</v>
      </c>
      <c r="D15252">
        <v>30</v>
      </c>
      <c r="E15252" s="80">
        <v>35884</v>
      </c>
    </row>
    <row r="15253" spans="1:5">
      <c r="A15253">
        <v>10986</v>
      </c>
      <c r="B15253" t="s">
        <v>175</v>
      </c>
      <c r="C15253">
        <v>630</v>
      </c>
      <c r="D15253">
        <v>30</v>
      </c>
      <c r="E15253" s="80">
        <v>35884</v>
      </c>
    </row>
    <row r="15254" spans="1:5">
      <c r="A15254">
        <v>10986</v>
      </c>
      <c r="B15254" t="s">
        <v>176</v>
      </c>
      <c r="C15254">
        <v>630</v>
      </c>
      <c r="D15254">
        <v>30</v>
      </c>
      <c r="E15254" s="80">
        <v>35884</v>
      </c>
    </row>
    <row r="15255" spans="1:5">
      <c r="A15255">
        <v>10986</v>
      </c>
      <c r="B15255" t="s">
        <v>177</v>
      </c>
      <c r="C15255">
        <v>630</v>
      </c>
      <c r="D15255">
        <v>30</v>
      </c>
      <c r="E15255" s="80">
        <v>35884</v>
      </c>
    </row>
    <row r="15256" spans="1:5">
      <c r="A15256">
        <v>10986</v>
      </c>
      <c r="B15256" t="s">
        <v>178</v>
      </c>
      <c r="C15256">
        <v>630</v>
      </c>
      <c r="D15256">
        <v>30</v>
      </c>
      <c r="E15256" s="80">
        <v>35884</v>
      </c>
    </row>
    <row r="15257" spans="1:5">
      <c r="A15257">
        <v>10986</v>
      </c>
      <c r="B15257" t="s">
        <v>179</v>
      </c>
      <c r="C15257">
        <v>630</v>
      </c>
      <c r="D15257">
        <v>30</v>
      </c>
      <c r="E15257" s="80">
        <v>35884</v>
      </c>
    </row>
    <row r="15258" spans="1:5">
      <c r="A15258">
        <v>10986</v>
      </c>
      <c r="B15258" t="s">
        <v>172</v>
      </c>
      <c r="C15258">
        <v>1215</v>
      </c>
      <c r="D15258">
        <v>15</v>
      </c>
      <c r="E15258" s="80">
        <v>35884</v>
      </c>
    </row>
    <row r="15259" spans="1:5">
      <c r="A15259">
        <v>10986</v>
      </c>
      <c r="B15259" t="s">
        <v>173</v>
      </c>
      <c r="C15259">
        <v>1215</v>
      </c>
      <c r="D15259">
        <v>15</v>
      </c>
      <c r="E15259" s="80">
        <v>35884</v>
      </c>
    </row>
    <row r="15260" spans="1:5">
      <c r="A15260">
        <v>10986</v>
      </c>
      <c r="B15260" t="s">
        <v>174</v>
      </c>
      <c r="C15260">
        <v>1215</v>
      </c>
      <c r="D15260">
        <v>15</v>
      </c>
      <c r="E15260" s="80">
        <v>35884</v>
      </c>
    </row>
    <row r="15261" spans="1:5">
      <c r="A15261">
        <v>10986</v>
      </c>
      <c r="B15261" t="s">
        <v>175</v>
      </c>
      <c r="C15261">
        <v>1215</v>
      </c>
      <c r="D15261">
        <v>15</v>
      </c>
      <c r="E15261" s="80">
        <v>35884</v>
      </c>
    </row>
    <row r="15262" spans="1:5">
      <c r="A15262">
        <v>10986</v>
      </c>
      <c r="B15262" t="s">
        <v>176</v>
      </c>
      <c r="C15262">
        <v>1215</v>
      </c>
      <c r="D15262">
        <v>15</v>
      </c>
      <c r="E15262" s="80">
        <v>35884</v>
      </c>
    </row>
    <row r="15263" spans="1:5">
      <c r="A15263">
        <v>10986</v>
      </c>
      <c r="B15263" t="s">
        <v>177</v>
      </c>
      <c r="C15263">
        <v>1215</v>
      </c>
      <c r="D15263">
        <v>15</v>
      </c>
      <c r="E15263" s="80">
        <v>35884</v>
      </c>
    </row>
    <row r="15264" spans="1:5">
      <c r="A15264">
        <v>10986</v>
      </c>
      <c r="B15264" t="s">
        <v>178</v>
      </c>
      <c r="C15264">
        <v>1215</v>
      </c>
      <c r="D15264">
        <v>15</v>
      </c>
      <c r="E15264" s="80">
        <v>35884</v>
      </c>
    </row>
    <row r="15265" spans="1:5">
      <c r="A15265">
        <v>10986</v>
      </c>
      <c r="B15265" t="s">
        <v>179</v>
      </c>
      <c r="C15265">
        <v>1215</v>
      </c>
      <c r="D15265">
        <v>15</v>
      </c>
      <c r="E15265" s="80">
        <v>35884</v>
      </c>
    </row>
    <row r="15266" spans="1:5">
      <c r="A15266">
        <v>10986</v>
      </c>
      <c r="B15266" t="s">
        <v>172</v>
      </c>
      <c r="C15266">
        <v>180</v>
      </c>
      <c r="D15266">
        <v>10</v>
      </c>
      <c r="E15266" s="80">
        <v>35884</v>
      </c>
    </row>
    <row r="15267" spans="1:5">
      <c r="A15267">
        <v>10986</v>
      </c>
      <c r="B15267" t="s">
        <v>173</v>
      </c>
      <c r="C15267">
        <v>180</v>
      </c>
      <c r="D15267">
        <v>10</v>
      </c>
      <c r="E15267" s="80">
        <v>35884</v>
      </c>
    </row>
    <row r="15268" spans="1:5">
      <c r="A15268">
        <v>10986</v>
      </c>
      <c r="B15268" t="s">
        <v>174</v>
      </c>
      <c r="C15268">
        <v>180</v>
      </c>
      <c r="D15268">
        <v>10</v>
      </c>
      <c r="E15268" s="80">
        <v>35884</v>
      </c>
    </row>
    <row r="15269" spans="1:5">
      <c r="A15269">
        <v>10986</v>
      </c>
      <c r="B15269" t="s">
        <v>175</v>
      </c>
      <c r="C15269">
        <v>180</v>
      </c>
      <c r="D15269">
        <v>10</v>
      </c>
      <c r="E15269" s="80">
        <v>35884</v>
      </c>
    </row>
    <row r="15270" spans="1:5">
      <c r="A15270">
        <v>10986</v>
      </c>
      <c r="B15270" t="s">
        <v>176</v>
      </c>
      <c r="C15270">
        <v>180</v>
      </c>
      <c r="D15270">
        <v>10</v>
      </c>
      <c r="E15270" s="80">
        <v>35884</v>
      </c>
    </row>
    <row r="15271" spans="1:5">
      <c r="A15271">
        <v>10986</v>
      </c>
      <c r="B15271" t="s">
        <v>177</v>
      </c>
      <c r="C15271">
        <v>180</v>
      </c>
      <c r="D15271">
        <v>10</v>
      </c>
      <c r="E15271" s="80">
        <v>35884</v>
      </c>
    </row>
    <row r="15272" spans="1:5">
      <c r="A15272">
        <v>10986</v>
      </c>
      <c r="B15272" t="s">
        <v>178</v>
      </c>
      <c r="C15272">
        <v>180</v>
      </c>
      <c r="D15272">
        <v>10</v>
      </c>
      <c r="E15272" s="80">
        <v>35884</v>
      </c>
    </row>
    <row r="15273" spans="1:5">
      <c r="A15273">
        <v>10986</v>
      </c>
      <c r="B15273" t="s">
        <v>179</v>
      </c>
      <c r="C15273">
        <v>180</v>
      </c>
      <c r="D15273">
        <v>10</v>
      </c>
      <c r="E15273" s="80">
        <v>35884</v>
      </c>
    </row>
    <row r="15274" spans="1:5">
      <c r="A15274">
        <v>10986</v>
      </c>
      <c r="B15274" t="s">
        <v>172</v>
      </c>
      <c r="C15274">
        <v>195</v>
      </c>
      <c r="D15274">
        <v>15</v>
      </c>
      <c r="E15274" s="80">
        <v>35884</v>
      </c>
    </row>
    <row r="15275" spans="1:5">
      <c r="A15275">
        <v>10986</v>
      </c>
      <c r="B15275" t="s">
        <v>173</v>
      </c>
      <c r="C15275">
        <v>195</v>
      </c>
      <c r="D15275">
        <v>15</v>
      </c>
      <c r="E15275" s="80">
        <v>35884</v>
      </c>
    </row>
    <row r="15276" spans="1:5">
      <c r="A15276">
        <v>10986</v>
      </c>
      <c r="B15276" t="s">
        <v>174</v>
      </c>
      <c r="C15276">
        <v>195</v>
      </c>
      <c r="D15276">
        <v>15</v>
      </c>
      <c r="E15276" s="80">
        <v>35884</v>
      </c>
    </row>
    <row r="15277" spans="1:5">
      <c r="A15277">
        <v>10986</v>
      </c>
      <c r="B15277" t="s">
        <v>175</v>
      </c>
      <c r="C15277">
        <v>195</v>
      </c>
      <c r="D15277">
        <v>15</v>
      </c>
      <c r="E15277" s="80">
        <v>35884</v>
      </c>
    </row>
    <row r="15278" spans="1:5">
      <c r="A15278">
        <v>10986</v>
      </c>
      <c r="B15278" t="s">
        <v>176</v>
      </c>
      <c r="C15278">
        <v>195</v>
      </c>
      <c r="D15278">
        <v>15</v>
      </c>
      <c r="E15278" s="80">
        <v>35884</v>
      </c>
    </row>
    <row r="15279" spans="1:5">
      <c r="A15279">
        <v>10986</v>
      </c>
      <c r="B15279" t="s">
        <v>177</v>
      </c>
      <c r="C15279">
        <v>195</v>
      </c>
      <c r="D15279">
        <v>15</v>
      </c>
      <c r="E15279" s="80">
        <v>35884</v>
      </c>
    </row>
    <row r="15280" spans="1:5">
      <c r="A15280">
        <v>10986</v>
      </c>
      <c r="B15280" t="s">
        <v>178</v>
      </c>
      <c r="C15280">
        <v>195</v>
      </c>
      <c r="D15280">
        <v>15</v>
      </c>
      <c r="E15280" s="80">
        <v>35884</v>
      </c>
    </row>
    <row r="15281" spans="1:5">
      <c r="A15281">
        <v>10986</v>
      </c>
      <c r="B15281" t="s">
        <v>179</v>
      </c>
      <c r="C15281">
        <v>195</v>
      </c>
      <c r="D15281">
        <v>15</v>
      </c>
      <c r="E15281" s="80">
        <v>35884</v>
      </c>
    </row>
    <row r="15282" spans="1:5">
      <c r="A15282">
        <v>10987</v>
      </c>
      <c r="B15282" t="s">
        <v>172</v>
      </c>
      <c r="C15282">
        <v>1800</v>
      </c>
      <c r="D15282">
        <v>60</v>
      </c>
      <c r="E15282" s="80">
        <v>35885</v>
      </c>
    </row>
    <row r="15283" spans="1:5">
      <c r="A15283">
        <v>10987</v>
      </c>
      <c r="B15283" t="s">
        <v>173</v>
      </c>
      <c r="C15283">
        <v>1800</v>
      </c>
      <c r="D15283">
        <v>60</v>
      </c>
      <c r="E15283" s="80">
        <v>35885</v>
      </c>
    </row>
    <row r="15284" spans="1:5">
      <c r="A15284">
        <v>10987</v>
      </c>
      <c r="B15284" t="s">
        <v>174</v>
      </c>
      <c r="C15284">
        <v>1800</v>
      </c>
      <c r="D15284">
        <v>60</v>
      </c>
      <c r="E15284" s="80">
        <v>35885</v>
      </c>
    </row>
    <row r="15285" spans="1:5">
      <c r="A15285">
        <v>10987</v>
      </c>
      <c r="B15285" t="s">
        <v>175</v>
      </c>
      <c r="C15285">
        <v>1800</v>
      </c>
      <c r="D15285">
        <v>60</v>
      </c>
      <c r="E15285" s="80">
        <v>35885</v>
      </c>
    </row>
    <row r="15286" spans="1:5">
      <c r="A15286">
        <v>10987</v>
      </c>
      <c r="B15286" t="s">
        <v>176</v>
      </c>
      <c r="C15286">
        <v>1800</v>
      </c>
      <c r="D15286">
        <v>60</v>
      </c>
      <c r="E15286" s="80">
        <v>35885</v>
      </c>
    </row>
    <row r="15287" spans="1:5">
      <c r="A15287">
        <v>10987</v>
      </c>
      <c r="B15287" t="s">
        <v>177</v>
      </c>
      <c r="C15287">
        <v>1800</v>
      </c>
      <c r="D15287">
        <v>60</v>
      </c>
      <c r="E15287" s="80">
        <v>35885</v>
      </c>
    </row>
    <row r="15288" spans="1:5">
      <c r="A15288">
        <v>10987</v>
      </c>
      <c r="B15288" t="s">
        <v>178</v>
      </c>
      <c r="C15288">
        <v>1800</v>
      </c>
      <c r="D15288">
        <v>60</v>
      </c>
      <c r="E15288" s="80">
        <v>35885</v>
      </c>
    </row>
    <row r="15289" spans="1:5">
      <c r="A15289">
        <v>10987</v>
      </c>
      <c r="B15289" t="s">
        <v>179</v>
      </c>
      <c r="C15289">
        <v>1800</v>
      </c>
      <c r="D15289">
        <v>60</v>
      </c>
      <c r="E15289" s="80">
        <v>35885</v>
      </c>
    </row>
    <row r="15290" spans="1:5">
      <c r="A15290">
        <v>10987</v>
      </c>
      <c r="B15290" t="s">
        <v>172</v>
      </c>
      <c r="C15290">
        <v>276</v>
      </c>
      <c r="D15290">
        <v>6</v>
      </c>
      <c r="E15290" s="80">
        <v>35885</v>
      </c>
    </row>
    <row r="15291" spans="1:5">
      <c r="A15291">
        <v>10987</v>
      </c>
      <c r="B15291" t="s">
        <v>173</v>
      </c>
      <c r="C15291">
        <v>276</v>
      </c>
      <c r="D15291">
        <v>6</v>
      </c>
      <c r="E15291" s="80">
        <v>35885</v>
      </c>
    </row>
    <row r="15292" spans="1:5">
      <c r="A15292">
        <v>10987</v>
      </c>
      <c r="B15292" t="s">
        <v>174</v>
      </c>
      <c r="C15292">
        <v>276</v>
      </c>
      <c r="D15292">
        <v>6</v>
      </c>
      <c r="E15292" s="80">
        <v>35885</v>
      </c>
    </row>
    <row r="15293" spans="1:5">
      <c r="A15293">
        <v>10987</v>
      </c>
      <c r="B15293" t="s">
        <v>175</v>
      </c>
      <c r="C15293">
        <v>276</v>
      </c>
      <c r="D15293">
        <v>6</v>
      </c>
      <c r="E15293" s="80">
        <v>35885</v>
      </c>
    </row>
    <row r="15294" spans="1:5">
      <c r="A15294">
        <v>10987</v>
      </c>
      <c r="B15294" t="s">
        <v>176</v>
      </c>
      <c r="C15294">
        <v>276</v>
      </c>
      <c r="D15294">
        <v>6</v>
      </c>
      <c r="E15294" s="80">
        <v>35885</v>
      </c>
    </row>
    <row r="15295" spans="1:5">
      <c r="A15295">
        <v>10987</v>
      </c>
      <c r="B15295" t="s">
        <v>177</v>
      </c>
      <c r="C15295">
        <v>276</v>
      </c>
      <c r="D15295">
        <v>6</v>
      </c>
      <c r="E15295" s="80">
        <v>35885</v>
      </c>
    </row>
    <row r="15296" spans="1:5">
      <c r="A15296">
        <v>10987</v>
      </c>
      <c r="B15296" t="s">
        <v>178</v>
      </c>
      <c r="C15296">
        <v>276</v>
      </c>
      <c r="D15296">
        <v>6</v>
      </c>
      <c r="E15296" s="80">
        <v>35885</v>
      </c>
    </row>
    <row r="15297" spans="1:5">
      <c r="A15297">
        <v>10987</v>
      </c>
      <c r="B15297" t="s">
        <v>179</v>
      </c>
      <c r="C15297">
        <v>276</v>
      </c>
      <c r="D15297">
        <v>6</v>
      </c>
      <c r="E15297" s="80">
        <v>35885</v>
      </c>
    </row>
    <row r="15298" spans="1:5">
      <c r="A15298">
        <v>10987</v>
      </c>
      <c r="B15298" t="s">
        <v>172</v>
      </c>
      <c r="C15298">
        <v>696</v>
      </c>
      <c r="D15298">
        <v>20</v>
      </c>
      <c r="E15298" s="80">
        <v>35885</v>
      </c>
    </row>
    <row r="15299" spans="1:5">
      <c r="A15299">
        <v>10987</v>
      </c>
      <c r="B15299" t="s">
        <v>173</v>
      </c>
      <c r="C15299">
        <v>696</v>
      </c>
      <c r="D15299">
        <v>20</v>
      </c>
      <c r="E15299" s="80">
        <v>35885</v>
      </c>
    </row>
    <row r="15300" spans="1:5">
      <c r="A15300">
        <v>10987</v>
      </c>
      <c r="B15300" t="s">
        <v>174</v>
      </c>
      <c r="C15300">
        <v>696</v>
      </c>
      <c r="D15300">
        <v>20</v>
      </c>
      <c r="E15300" s="80">
        <v>35885</v>
      </c>
    </row>
    <row r="15301" spans="1:5">
      <c r="A15301">
        <v>10987</v>
      </c>
      <c r="B15301" t="s">
        <v>175</v>
      </c>
      <c r="C15301">
        <v>696</v>
      </c>
      <c r="D15301">
        <v>20</v>
      </c>
      <c r="E15301" s="80">
        <v>35885</v>
      </c>
    </row>
    <row r="15302" spans="1:5">
      <c r="A15302">
        <v>10987</v>
      </c>
      <c r="B15302" t="s">
        <v>176</v>
      </c>
      <c r="C15302">
        <v>696</v>
      </c>
      <c r="D15302">
        <v>20</v>
      </c>
      <c r="E15302" s="80">
        <v>35885</v>
      </c>
    </row>
    <row r="15303" spans="1:5">
      <c r="A15303">
        <v>10987</v>
      </c>
      <c r="B15303" t="s">
        <v>177</v>
      </c>
      <c r="C15303">
        <v>696</v>
      </c>
      <c r="D15303">
        <v>20</v>
      </c>
      <c r="E15303" s="80">
        <v>35885</v>
      </c>
    </row>
    <row r="15304" spans="1:5">
      <c r="A15304">
        <v>10987</v>
      </c>
      <c r="B15304" t="s">
        <v>178</v>
      </c>
      <c r="C15304">
        <v>696</v>
      </c>
      <c r="D15304">
        <v>20</v>
      </c>
      <c r="E15304" s="80">
        <v>35885</v>
      </c>
    </row>
    <row r="15305" spans="1:5">
      <c r="A15305">
        <v>10987</v>
      </c>
      <c r="B15305" t="s">
        <v>179</v>
      </c>
      <c r="C15305">
        <v>696</v>
      </c>
      <c r="D15305">
        <v>20</v>
      </c>
      <c r="E15305" s="80">
        <v>35885</v>
      </c>
    </row>
    <row r="15306" spans="1:5">
      <c r="A15306">
        <v>10988</v>
      </c>
      <c r="B15306" t="s">
        <v>172</v>
      </c>
      <c r="C15306">
        <v>1800</v>
      </c>
      <c r="D15306">
        <v>60</v>
      </c>
      <c r="E15306" s="80">
        <v>35885</v>
      </c>
    </row>
    <row r="15307" spans="1:5">
      <c r="A15307">
        <v>10988</v>
      </c>
      <c r="B15307" t="s">
        <v>173</v>
      </c>
      <c r="C15307">
        <v>1800</v>
      </c>
      <c r="D15307">
        <v>60</v>
      </c>
      <c r="E15307" s="80">
        <v>35885</v>
      </c>
    </row>
    <row r="15308" spans="1:5">
      <c r="A15308">
        <v>10988</v>
      </c>
      <c r="B15308" t="s">
        <v>174</v>
      </c>
      <c r="C15308">
        <v>1800</v>
      </c>
      <c r="D15308">
        <v>60</v>
      </c>
      <c r="E15308" s="80">
        <v>35885</v>
      </c>
    </row>
    <row r="15309" spans="1:5">
      <c r="A15309">
        <v>10988</v>
      </c>
      <c r="B15309" t="s">
        <v>175</v>
      </c>
      <c r="C15309">
        <v>1800</v>
      </c>
      <c r="D15309">
        <v>60</v>
      </c>
      <c r="E15309" s="80">
        <v>35885</v>
      </c>
    </row>
    <row r="15310" spans="1:5">
      <c r="A15310">
        <v>10988</v>
      </c>
      <c r="B15310" t="s">
        <v>176</v>
      </c>
      <c r="C15310">
        <v>1800</v>
      </c>
      <c r="D15310">
        <v>60</v>
      </c>
      <c r="E15310" s="80">
        <v>35885</v>
      </c>
    </row>
    <row r="15311" spans="1:5">
      <c r="A15311">
        <v>10988</v>
      </c>
      <c r="B15311" t="s">
        <v>177</v>
      </c>
      <c r="C15311">
        <v>1800</v>
      </c>
      <c r="D15311">
        <v>60</v>
      </c>
      <c r="E15311" s="80">
        <v>35885</v>
      </c>
    </row>
    <row r="15312" spans="1:5">
      <c r="A15312">
        <v>10988</v>
      </c>
      <c r="B15312" t="s">
        <v>178</v>
      </c>
      <c r="C15312">
        <v>1800</v>
      </c>
      <c r="D15312">
        <v>60</v>
      </c>
      <c r="E15312" s="80">
        <v>35885</v>
      </c>
    </row>
    <row r="15313" spans="1:5">
      <c r="A15313">
        <v>10988</v>
      </c>
      <c r="B15313" t="s">
        <v>179</v>
      </c>
      <c r="C15313">
        <v>1800</v>
      </c>
      <c r="D15313">
        <v>60</v>
      </c>
      <c r="E15313" s="80">
        <v>35885</v>
      </c>
    </row>
    <row r="15314" spans="1:5">
      <c r="A15314">
        <v>10988</v>
      </c>
      <c r="B15314" t="s">
        <v>172</v>
      </c>
      <c r="C15314">
        <v>1774.799997061491</v>
      </c>
      <c r="D15314">
        <v>40</v>
      </c>
      <c r="E15314" s="80">
        <v>35885</v>
      </c>
    </row>
    <row r="15315" spans="1:5">
      <c r="A15315">
        <v>10988</v>
      </c>
      <c r="B15315" t="s">
        <v>173</v>
      </c>
      <c r="C15315">
        <v>1774.799997061491</v>
      </c>
      <c r="D15315">
        <v>40</v>
      </c>
      <c r="E15315" s="80">
        <v>35885</v>
      </c>
    </row>
    <row r="15316" spans="1:5">
      <c r="A15316">
        <v>10988</v>
      </c>
      <c r="B15316" t="s">
        <v>174</v>
      </c>
      <c r="C15316">
        <v>1774.799997061491</v>
      </c>
      <c r="D15316">
        <v>40</v>
      </c>
      <c r="E15316" s="80">
        <v>35885</v>
      </c>
    </row>
    <row r="15317" spans="1:5">
      <c r="A15317">
        <v>10988</v>
      </c>
      <c r="B15317" t="s">
        <v>175</v>
      </c>
      <c r="C15317">
        <v>1774.799997061491</v>
      </c>
      <c r="D15317">
        <v>40</v>
      </c>
      <c r="E15317" s="80">
        <v>35885</v>
      </c>
    </row>
    <row r="15318" spans="1:5">
      <c r="A15318">
        <v>10988</v>
      </c>
      <c r="B15318" t="s">
        <v>176</v>
      </c>
      <c r="C15318">
        <v>1774.799997061491</v>
      </c>
      <c r="D15318">
        <v>40</v>
      </c>
      <c r="E15318" s="80">
        <v>35885</v>
      </c>
    </row>
    <row r="15319" spans="1:5">
      <c r="A15319">
        <v>10988</v>
      </c>
      <c r="B15319" t="s">
        <v>177</v>
      </c>
      <c r="C15319">
        <v>1774.799997061491</v>
      </c>
      <c r="D15319">
        <v>40</v>
      </c>
      <c r="E15319" s="80">
        <v>35885</v>
      </c>
    </row>
    <row r="15320" spans="1:5">
      <c r="A15320">
        <v>10988</v>
      </c>
      <c r="B15320" t="s">
        <v>178</v>
      </c>
      <c r="C15320">
        <v>1774.799997061491</v>
      </c>
      <c r="D15320">
        <v>40</v>
      </c>
      <c r="E15320" s="80">
        <v>35885</v>
      </c>
    </row>
    <row r="15321" spans="1:5">
      <c r="A15321">
        <v>10988</v>
      </c>
      <c r="B15321" t="s">
        <v>179</v>
      </c>
      <c r="C15321">
        <v>1774.799997061491</v>
      </c>
      <c r="D15321">
        <v>40</v>
      </c>
      <c r="E15321" s="80">
        <v>35885</v>
      </c>
    </row>
    <row r="15322" spans="1:5">
      <c r="A15322">
        <v>10989</v>
      </c>
      <c r="B15322" t="s">
        <v>172</v>
      </c>
      <c r="C15322">
        <v>1000</v>
      </c>
      <c r="D15322">
        <v>40</v>
      </c>
      <c r="E15322" s="80">
        <v>35885</v>
      </c>
    </row>
    <row r="15323" spans="1:5">
      <c r="A15323">
        <v>10989</v>
      </c>
      <c r="B15323" t="s">
        <v>173</v>
      </c>
      <c r="C15323">
        <v>1000</v>
      </c>
      <c r="D15323">
        <v>40</v>
      </c>
      <c r="E15323" s="80">
        <v>35885</v>
      </c>
    </row>
    <row r="15324" spans="1:5">
      <c r="A15324">
        <v>10989</v>
      </c>
      <c r="B15324" t="s">
        <v>174</v>
      </c>
      <c r="C15324">
        <v>1000</v>
      </c>
      <c r="D15324">
        <v>40</v>
      </c>
      <c r="E15324" s="80">
        <v>35885</v>
      </c>
    </row>
    <row r="15325" spans="1:5">
      <c r="A15325">
        <v>10989</v>
      </c>
      <c r="B15325" t="s">
        <v>175</v>
      </c>
      <c r="C15325">
        <v>1000</v>
      </c>
      <c r="D15325">
        <v>40</v>
      </c>
      <c r="E15325" s="80">
        <v>35885</v>
      </c>
    </row>
    <row r="15326" spans="1:5">
      <c r="A15326">
        <v>10989</v>
      </c>
      <c r="B15326" t="s">
        <v>176</v>
      </c>
      <c r="C15326">
        <v>1000</v>
      </c>
      <c r="D15326">
        <v>40</v>
      </c>
      <c r="E15326" s="80">
        <v>35885</v>
      </c>
    </row>
    <row r="15327" spans="1:5">
      <c r="A15327">
        <v>10989</v>
      </c>
      <c r="B15327" t="s">
        <v>177</v>
      </c>
      <c r="C15327">
        <v>1000</v>
      </c>
      <c r="D15327">
        <v>40</v>
      </c>
      <c r="E15327" s="80">
        <v>35885</v>
      </c>
    </row>
    <row r="15328" spans="1:5">
      <c r="A15328">
        <v>10989</v>
      </c>
      <c r="B15328" t="s">
        <v>178</v>
      </c>
      <c r="C15328">
        <v>1000</v>
      </c>
      <c r="D15328">
        <v>40</v>
      </c>
      <c r="E15328" s="80">
        <v>35885</v>
      </c>
    </row>
    <row r="15329" spans="1:5">
      <c r="A15329">
        <v>10989</v>
      </c>
      <c r="B15329" t="s">
        <v>179</v>
      </c>
      <c r="C15329">
        <v>1000</v>
      </c>
      <c r="D15329">
        <v>40</v>
      </c>
      <c r="E15329" s="80">
        <v>35885</v>
      </c>
    </row>
    <row r="15330" spans="1:5">
      <c r="A15330">
        <v>10989</v>
      </c>
      <c r="B15330" t="s">
        <v>172</v>
      </c>
      <c r="C15330">
        <v>315</v>
      </c>
      <c r="D15330">
        <v>15</v>
      </c>
      <c r="E15330" s="80">
        <v>35885</v>
      </c>
    </row>
    <row r="15331" spans="1:5">
      <c r="A15331">
        <v>10989</v>
      </c>
      <c r="B15331" t="s">
        <v>173</v>
      </c>
      <c r="C15331">
        <v>315</v>
      </c>
      <c r="D15331">
        <v>15</v>
      </c>
      <c r="E15331" s="80">
        <v>35885</v>
      </c>
    </row>
    <row r="15332" spans="1:5">
      <c r="A15332">
        <v>10989</v>
      </c>
      <c r="B15332" t="s">
        <v>174</v>
      </c>
      <c r="C15332">
        <v>315</v>
      </c>
      <c r="D15332">
        <v>15</v>
      </c>
      <c r="E15332" s="80">
        <v>35885</v>
      </c>
    </row>
    <row r="15333" spans="1:5">
      <c r="A15333">
        <v>10989</v>
      </c>
      <c r="B15333" t="s">
        <v>175</v>
      </c>
      <c r="C15333">
        <v>315</v>
      </c>
      <c r="D15333">
        <v>15</v>
      </c>
      <c r="E15333" s="80">
        <v>35885</v>
      </c>
    </row>
    <row r="15334" spans="1:5">
      <c r="A15334">
        <v>10989</v>
      </c>
      <c r="B15334" t="s">
        <v>176</v>
      </c>
      <c r="C15334">
        <v>315</v>
      </c>
      <c r="D15334">
        <v>15</v>
      </c>
      <c r="E15334" s="80">
        <v>35885</v>
      </c>
    </row>
    <row r="15335" spans="1:5">
      <c r="A15335">
        <v>10989</v>
      </c>
      <c r="B15335" t="s">
        <v>177</v>
      </c>
      <c r="C15335">
        <v>315</v>
      </c>
      <c r="D15335">
        <v>15</v>
      </c>
      <c r="E15335" s="80">
        <v>35885</v>
      </c>
    </row>
    <row r="15336" spans="1:5">
      <c r="A15336">
        <v>10989</v>
      </c>
      <c r="B15336" t="s">
        <v>178</v>
      </c>
      <c r="C15336">
        <v>315</v>
      </c>
      <c r="D15336">
        <v>15</v>
      </c>
      <c r="E15336" s="80">
        <v>35885</v>
      </c>
    </row>
    <row r="15337" spans="1:5">
      <c r="A15337">
        <v>10989</v>
      </c>
      <c r="B15337" t="s">
        <v>179</v>
      </c>
      <c r="C15337">
        <v>315</v>
      </c>
      <c r="D15337">
        <v>15</v>
      </c>
      <c r="E15337" s="80">
        <v>35885</v>
      </c>
    </row>
    <row r="15338" spans="1:5">
      <c r="A15338">
        <v>10989</v>
      </c>
      <c r="B15338" t="s">
        <v>172</v>
      </c>
      <c r="C15338">
        <v>38.6</v>
      </c>
      <c r="D15338">
        <v>4</v>
      </c>
      <c r="E15338" s="80">
        <v>35885</v>
      </c>
    </row>
    <row r="15339" spans="1:5">
      <c r="A15339">
        <v>10989</v>
      </c>
      <c r="B15339" t="s">
        <v>173</v>
      </c>
      <c r="C15339">
        <v>38.6</v>
      </c>
      <c r="D15339">
        <v>4</v>
      </c>
      <c r="E15339" s="80">
        <v>35885</v>
      </c>
    </row>
    <row r="15340" spans="1:5">
      <c r="A15340">
        <v>10989</v>
      </c>
      <c r="B15340" t="s">
        <v>174</v>
      </c>
      <c r="C15340">
        <v>38.6</v>
      </c>
      <c r="D15340">
        <v>4</v>
      </c>
      <c r="E15340" s="80">
        <v>35885</v>
      </c>
    </row>
    <row r="15341" spans="1:5">
      <c r="A15341">
        <v>10989</v>
      </c>
      <c r="B15341" t="s">
        <v>175</v>
      </c>
      <c r="C15341">
        <v>38.6</v>
      </c>
      <c r="D15341">
        <v>4</v>
      </c>
      <c r="E15341" s="80">
        <v>35885</v>
      </c>
    </row>
    <row r="15342" spans="1:5">
      <c r="A15342">
        <v>10989</v>
      </c>
      <c r="B15342" t="s">
        <v>176</v>
      </c>
      <c r="C15342">
        <v>38.6</v>
      </c>
      <c r="D15342">
        <v>4</v>
      </c>
      <c r="E15342" s="80">
        <v>35885</v>
      </c>
    </row>
    <row r="15343" spans="1:5">
      <c r="A15343">
        <v>10989</v>
      </c>
      <c r="B15343" t="s">
        <v>177</v>
      </c>
      <c r="C15343">
        <v>38.6</v>
      </c>
      <c r="D15343">
        <v>4</v>
      </c>
      <c r="E15343" s="80">
        <v>35885</v>
      </c>
    </row>
    <row r="15344" spans="1:5">
      <c r="A15344">
        <v>10989</v>
      </c>
      <c r="B15344" t="s">
        <v>178</v>
      </c>
      <c r="C15344">
        <v>38.6</v>
      </c>
      <c r="D15344">
        <v>4</v>
      </c>
      <c r="E15344" s="80">
        <v>35885</v>
      </c>
    </row>
    <row r="15345" spans="1:5">
      <c r="A15345">
        <v>10989</v>
      </c>
      <c r="B15345" t="s">
        <v>179</v>
      </c>
      <c r="C15345">
        <v>38.6</v>
      </c>
      <c r="D15345">
        <v>4</v>
      </c>
      <c r="E15345" s="80">
        <v>35885</v>
      </c>
    </row>
    <row r="15346" spans="1:5">
      <c r="A15346">
        <v>10990</v>
      </c>
      <c r="B15346" t="s">
        <v>172</v>
      </c>
      <c r="C15346">
        <v>650</v>
      </c>
      <c r="D15346">
        <v>65</v>
      </c>
      <c r="E15346" s="80">
        <v>35886</v>
      </c>
    </row>
    <row r="15347" spans="1:5">
      <c r="A15347">
        <v>10990</v>
      </c>
      <c r="B15347" t="s">
        <v>173</v>
      </c>
      <c r="C15347">
        <v>650</v>
      </c>
      <c r="D15347">
        <v>65</v>
      </c>
      <c r="E15347" s="80">
        <v>35886</v>
      </c>
    </row>
    <row r="15348" spans="1:5">
      <c r="A15348">
        <v>10990</v>
      </c>
      <c r="B15348" t="s">
        <v>174</v>
      </c>
      <c r="C15348">
        <v>650</v>
      </c>
      <c r="D15348">
        <v>65</v>
      </c>
      <c r="E15348" s="80">
        <v>35886</v>
      </c>
    </row>
    <row r="15349" spans="1:5">
      <c r="A15349">
        <v>10990</v>
      </c>
      <c r="B15349" t="s">
        <v>175</v>
      </c>
      <c r="C15349">
        <v>650</v>
      </c>
      <c r="D15349">
        <v>65</v>
      </c>
      <c r="E15349" s="80">
        <v>35886</v>
      </c>
    </row>
    <row r="15350" spans="1:5">
      <c r="A15350">
        <v>10990</v>
      </c>
      <c r="B15350" t="s">
        <v>176</v>
      </c>
      <c r="C15350">
        <v>650</v>
      </c>
      <c r="D15350">
        <v>65</v>
      </c>
      <c r="E15350" s="80">
        <v>35886</v>
      </c>
    </row>
    <row r="15351" spans="1:5">
      <c r="A15351">
        <v>10990</v>
      </c>
      <c r="B15351" t="s">
        <v>177</v>
      </c>
      <c r="C15351">
        <v>650</v>
      </c>
      <c r="D15351">
        <v>65</v>
      </c>
      <c r="E15351" s="80">
        <v>35886</v>
      </c>
    </row>
    <row r="15352" spans="1:5">
      <c r="A15352">
        <v>10990</v>
      </c>
      <c r="B15352" t="s">
        <v>178</v>
      </c>
      <c r="C15352">
        <v>650</v>
      </c>
      <c r="D15352">
        <v>65</v>
      </c>
      <c r="E15352" s="80">
        <v>35886</v>
      </c>
    </row>
    <row r="15353" spans="1:5">
      <c r="A15353">
        <v>10990</v>
      </c>
      <c r="B15353" t="s">
        <v>179</v>
      </c>
      <c r="C15353">
        <v>650</v>
      </c>
      <c r="D15353">
        <v>65</v>
      </c>
      <c r="E15353" s="80">
        <v>35886</v>
      </c>
    </row>
    <row r="15354" spans="1:5">
      <c r="A15354">
        <v>10990</v>
      </c>
      <c r="B15354" t="s">
        <v>172</v>
      </c>
      <c r="C15354">
        <v>713.99999499320984</v>
      </c>
      <c r="D15354">
        <v>60</v>
      </c>
      <c r="E15354" s="80">
        <v>35886</v>
      </c>
    </row>
    <row r="15355" spans="1:5">
      <c r="A15355">
        <v>10990</v>
      </c>
      <c r="B15355" t="s">
        <v>173</v>
      </c>
      <c r="C15355">
        <v>713.99999499320984</v>
      </c>
      <c r="D15355">
        <v>60</v>
      </c>
      <c r="E15355" s="80">
        <v>35886</v>
      </c>
    </row>
    <row r="15356" spans="1:5">
      <c r="A15356">
        <v>10990</v>
      </c>
      <c r="B15356" t="s">
        <v>174</v>
      </c>
      <c r="C15356">
        <v>713.99999499320984</v>
      </c>
      <c r="D15356">
        <v>60</v>
      </c>
      <c r="E15356" s="80">
        <v>35886</v>
      </c>
    </row>
    <row r="15357" spans="1:5">
      <c r="A15357">
        <v>10990</v>
      </c>
      <c r="B15357" t="s">
        <v>175</v>
      </c>
      <c r="C15357">
        <v>713.99999499320984</v>
      </c>
      <c r="D15357">
        <v>60</v>
      </c>
      <c r="E15357" s="80">
        <v>35886</v>
      </c>
    </row>
    <row r="15358" spans="1:5">
      <c r="A15358">
        <v>10990</v>
      </c>
      <c r="B15358" t="s">
        <v>176</v>
      </c>
      <c r="C15358">
        <v>713.99999499320984</v>
      </c>
      <c r="D15358">
        <v>60</v>
      </c>
      <c r="E15358" s="80">
        <v>35886</v>
      </c>
    </row>
    <row r="15359" spans="1:5">
      <c r="A15359">
        <v>10990</v>
      </c>
      <c r="B15359" t="s">
        <v>177</v>
      </c>
      <c r="C15359">
        <v>713.99999499320984</v>
      </c>
      <c r="D15359">
        <v>60</v>
      </c>
      <c r="E15359" s="80">
        <v>35886</v>
      </c>
    </row>
    <row r="15360" spans="1:5">
      <c r="A15360">
        <v>10990</v>
      </c>
      <c r="B15360" t="s">
        <v>178</v>
      </c>
      <c r="C15360">
        <v>713.99999499320984</v>
      </c>
      <c r="D15360">
        <v>60</v>
      </c>
      <c r="E15360" s="80">
        <v>35886</v>
      </c>
    </row>
    <row r="15361" spans="1:5">
      <c r="A15361">
        <v>10990</v>
      </c>
      <c r="B15361" t="s">
        <v>179</v>
      </c>
      <c r="C15361">
        <v>713.99999499320984</v>
      </c>
      <c r="D15361">
        <v>60</v>
      </c>
      <c r="E15361" s="80">
        <v>35886</v>
      </c>
    </row>
    <row r="15362" spans="1:5">
      <c r="A15362">
        <v>10990</v>
      </c>
      <c r="B15362" t="s">
        <v>172</v>
      </c>
      <c r="C15362">
        <v>1325.9999907016754</v>
      </c>
      <c r="D15362">
        <v>65</v>
      </c>
      <c r="E15362" s="80">
        <v>35886</v>
      </c>
    </row>
    <row r="15363" spans="1:5">
      <c r="A15363">
        <v>10990</v>
      </c>
      <c r="B15363" t="s">
        <v>173</v>
      </c>
      <c r="C15363">
        <v>1325.9999907016754</v>
      </c>
      <c r="D15363">
        <v>65</v>
      </c>
      <c r="E15363" s="80">
        <v>35886</v>
      </c>
    </row>
    <row r="15364" spans="1:5">
      <c r="A15364">
        <v>10990</v>
      </c>
      <c r="B15364" t="s">
        <v>174</v>
      </c>
      <c r="C15364">
        <v>1325.9999907016754</v>
      </c>
      <c r="D15364">
        <v>65</v>
      </c>
      <c r="E15364" s="80">
        <v>35886</v>
      </c>
    </row>
    <row r="15365" spans="1:5">
      <c r="A15365">
        <v>10990</v>
      </c>
      <c r="B15365" t="s">
        <v>175</v>
      </c>
      <c r="C15365">
        <v>1325.9999907016754</v>
      </c>
      <c r="D15365">
        <v>65</v>
      </c>
      <c r="E15365" s="80">
        <v>35886</v>
      </c>
    </row>
    <row r="15366" spans="1:5">
      <c r="A15366">
        <v>10990</v>
      </c>
      <c r="B15366" t="s">
        <v>176</v>
      </c>
      <c r="C15366">
        <v>1325.9999907016754</v>
      </c>
      <c r="D15366">
        <v>65</v>
      </c>
      <c r="E15366" s="80">
        <v>35886</v>
      </c>
    </row>
    <row r="15367" spans="1:5">
      <c r="A15367">
        <v>10990</v>
      </c>
      <c r="B15367" t="s">
        <v>177</v>
      </c>
      <c r="C15367">
        <v>1325.9999907016754</v>
      </c>
      <c r="D15367">
        <v>65</v>
      </c>
      <c r="E15367" s="80">
        <v>35886</v>
      </c>
    </row>
    <row r="15368" spans="1:5">
      <c r="A15368">
        <v>10990</v>
      </c>
      <c r="B15368" t="s">
        <v>178</v>
      </c>
      <c r="C15368">
        <v>1325.9999907016754</v>
      </c>
      <c r="D15368">
        <v>65</v>
      </c>
      <c r="E15368" s="80">
        <v>35886</v>
      </c>
    </row>
    <row r="15369" spans="1:5">
      <c r="A15369">
        <v>10990</v>
      </c>
      <c r="B15369" t="s">
        <v>179</v>
      </c>
      <c r="C15369">
        <v>1325.9999907016754</v>
      </c>
      <c r="D15369">
        <v>65</v>
      </c>
      <c r="E15369" s="80">
        <v>35886</v>
      </c>
    </row>
    <row r="15370" spans="1:5">
      <c r="A15370">
        <v>10990</v>
      </c>
      <c r="B15370" t="s">
        <v>172</v>
      </c>
      <c r="C15370">
        <v>1598.8499887883663</v>
      </c>
      <c r="D15370">
        <v>66</v>
      </c>
      <c r="E15370" s="80">
        <v>35886</v>
      </c>
    </row>
    <row r="15371" spans="1:5">
      <c r="A15371">
        <v>10990</v>
      </c>
      <c r="B15371" t="s">
        <v>173</v>
      </c>
      <c r="C15371">
        <v>1598.8499887883663</v>
      </c>
      <c r="D15371">
        <v>66</v>
      </c>
      <c r="E15371" s="80">
        <v>35886</v>
      </c>
    </row>
    <row r="15372" spans="1:5">
      <c r="A15372">
        <v>10990</v>
      </c>
      <c r="B15372" t="s">
        <v>174</v>
      </c>
      <c r="C15372">
        <v>1598.8499887883663</v>
      </c>
      <c r="D15372">
        <v>66</v>
      </c>
      <c r="E15372" s="80">
        <v>35886</v>
      </c>
    </row>
    <row r="15373" spans="1:5">
      <c r="A15373">
        <v>10990</v>
      </c>
      <c r="B15373" t="s">
        <v>175</v>
      </c>
      <c r="C15373">
        <v>1598.8499887883663</v>
      </c>
      <c r="D15373">
        <v>66</v>
      </c>
      <c r="E15373" s="80">
        <v>35886</v>
      </c>
    </row>
    <row r="15374" spans="1:5">
      <c r="A15374">
        <v>10990</v>
      </c>
      <c r="B15374" t="s">
        <v>176</v>
      </c>
      <c r="C15374">
        <v>1598.8499887883663</v>
      </c>
      <c r="D15374">
        <v>66</v>
      </c>
      <c r="E15374" s="80">
        <v>35886</v>
      </c>
    </row>
    <row r="15375" spans="1:5">
      <c r="A15375">
        <v>10990</v>
      </c>
      <c r="B15375" t="s">
        <v>177</v>
      </c>
      <c r="C15375">
        <v>1598.8499887883663</v>
      </c>
      <c r="D15375">
        <v>66</v>
      </c>
      <c r="E15375" s="80">
        <v>35886</v>
      </c>
    </row>
    <row r="15376" spans="1:5">
      <c r="A15376">
        <v>10990</v>
      </c>
      <c r="B15376" t="s">
        <v>178</v>
      </c>
      <c r="C15376">
        <v>1598.8499887883663</v>
      </c>
      <c r="D15376">
        <v>66</v>
      </c>
      <c r="E15376" s="80">
        <v>35886</v>
      </c>
    </row>
    <row r="15377" spans="1:5">
      <c r="A15377">
        <v>10990</v>
      </c>
      <c r="B15377" t="s">
        <v>179</v>
      </c>
      <c r="C15377">
        <v>1598.8499887883663</v>
      </c>
      <c r="D15377">
        <v>66</v>
      </c>
      <c r="E15377" s="80">
        <v>35886</v>
      </c>
    </row>
    <row r="15378" spans="1:5">
      <c r="A15378">
        <v>10991</v>
      </c>
      <c r="B15378" t="s">
        <v>172</v>
      </c>
      <c r="C15378">
        <v>759.99999716877937</v>
      </c>
      <c r="D15378">
        <v>50</v>
      </c>
      <c r="E15378" s="80">
        <v>35886</v>
      </c>
    </row>
    <row r="15379" spans="1:5">
      <c r="A15379">
        <v>10991</v>
      </c>
      <c r="B15379" t="s">
        <v>173</v>
      </c>
      <c r="C15379">
        <v>759.99999716877937</v>
      </c>
      <c r="D15379">
        <v>50</v>
      </c>
      <c r="E15379" s="80">
        <v>35886</v>
      </c>
    </row>
    <row r="15380" spans="1:5">
      <c r="A15380">
        <v>10991</v>
      </c>
      <c r="B15380" t="s">
        <v>174</v>
      </c>
      <c r="C15380">
        <v>759.99999716877937</v>
      </c>
      <c r="D15380">
        <v>50</v>
      </c>
      <c r="E15380" s="80">
        <v>35886</v>
      </c>
    </row>
    <row r="15381" spans="1:5">
      <c r="A15381">
        <v>10991</v>
      </c>
      <c r="B15381" t="s">
        <v>175</v>
      </c>
      <c r="C15381">
        <v>759.99999716877937</v>
      </c>
      <c r="D15381">
        <v>50</v>
      </c>
      <c r="E15381" s="80">
        <v>35886</v>
      </c>
    </row>
    <row r="15382" spans="1:5">
      <c r="A15382">
        <v>10991</v>
      </c>
      <c r="B15382" t="s">
        <v>176</v>
      </c>
      <c r="C15382">
        <v>759.99999716877937</v>
      </c>
      <c r="D15382">
        <v>50</v>
      </c>
      <c r="E15382" s="80">
        <v>35886</v>
      </c>
    </row>
    <row r="15383" spans="1:5">
      <c r="A15383">
        <v>10991</v>
      </c>
      <c r="B15383" t="s">
        <v>177</v>
      </c>
      <c r="C15383">
        <v>759.99999716877937</v>
      </c>
      <c r="D15383">
        <v>50</v>
      </c>
      <c r="E15383" s="80">
        <v>35886</v>
      </c>
    </row>
    <row r="15384" spans="1:5">
      <c r="A15384">
        <v>10991</v>
      </c>
      <c r="B15384" t="s">
        <v>178</v>
      </c>
      <c r="C15384">
        <v>759.99999716877937</v>
      </c>
      <c r="D15384">
        <v>50</v>
      </c>
      <c r="E15384" s="80">
        <v>35886</v>
      </c>
    </row>
    <row r="15385" spans="1:5">
      <c r="A15385">
        <v>10991</v>
      </c>
      <c r="B15385" t="s">
        <v>179</v>
      </c>
      <c r="C15385">
        <v>759.99999716877937</v>
      </c>
      <c r="D15385">
        <v>50</v>
      </c>
      <c r="E15385" s="80">
        <v>35886</v>
      </c>
    </row>
    <row r="15386" spans="1:5">
      <c r="A15386">
        <v>10991</v>
      </c>
      <c r="B15386" t="s">
        <v>172</v>
      </c>
      <c r="C15386">
        <v>239.99999910593033</v>
      </c>
      <c r="D15386">
        <v>20</v>
      </c>
      <c r="E15386" s="80">
        <v>35886</v>
      </c>
    </row>
    <row r="15387" spans="1:5">
      <c r="A15387">
        <v>10991</v>
      </c>
      <c r="B15387" t="s">
        <v>173</v>
      </c>
      <c r="C15387">
        <v>239.99999910593033</v>
      </c>
      <c r="D15387">
        <v>20</v>
      </c>
      <c r="E15387" s="80">
        <v>35886</v>
      </c>
    </row>
    <row r="15388" spans="1:5">
      <c r="A15388">
        <v>10991</v>
      </c>
      <c r="B15388" t="s">
        <v>174</v>
      </c>
      <c r="C15388">
        <v>239.99999910593033</v>
      </c>
      <c r="D15388">
        <v>20</v>
      </c>
      <c r="E15388" s="80">
        <v>35886</v>
      </c>
    </row>
    <row r="15389" spans="1:5">
      <c r="A15389">
        <v>10991</v>
      </c>
      <c r="B15389" t="s">
        <v>175</v>
      </c>
      <c r="C15389">
        <v>239.99999910593033</v>
      </c>
      <c r="D15389">
        <v>20</v>
      </c>
      <c r="E15389" s="80">
        <v>35886</v>
      </c>
    </row>
    <row r="15390" spans="1:5">
      <c r="A15390">
        <v>10991</v>
      </c>
      <c r="B15390" t="s">
        <v>176</v>
      </c>
      <c r="C15390">
        <v>239.99999910593033</v>
      </c>
      <c r="D15390">
        <v>20</v>
      </c>
      <c r="E15390" s="80">
        <v>35886</v>
      </c>
    </row>
    <row r="15391" spans="1:5">
      <c r="A15391">
        <v>10991</v>
      </c>
      <c r="B15391" t="s">
        <v>177</v>
      </c>
      <c r="C15391">
        <v>239.99999910593033</v>
      </c>
      <c r="D15391">
        <v>20</v>
      </c>
      <c r="E15391" s="80">
        <v>35886</v>
      </c>
    </row>
    <row r="15392" spans="1:5">
      <c r="A15392">
        <v>10991</v>
      </c>
      <c r="B15392" t="s">
        <v>178</v>
      </c>
      <c r="C15392">
        <v>239.99999910593033</v>
      </c>
      <c r="D15392">
        <v>20</v>
      </c>
      <c r="E15392" s="80">
        <v>35886</v>
      </c>
    </row>
    <row r="15393" spans="1:5">
      <c r="A15393">
        <v>10991</v>
      </c>
      <c r="B15393" t="s">
        <v>179</v>
      </c>
      <c r="C15393">
        <v>239.99999910593033</v>
      </c>
      <c r="D15393">
        <v>20</v>
      </c>
      <c r="E15393" s="80">
        <v>35886</v>
      </c>
    </row>
    <row r="15394" spans="1:5">
      <c r="A15394">
        <v>10991</v>
      </c>
      <c r="B15394" t="s">
        <v>172</v>
      </c>
      <c r="C15394">
        <v>1295.9999951720238</v>
      </c>
      <c r="D15394">
        <v>90</v>
      </c>
      <c r="E15394" s="80">
        <v>35886</v>
      </c>
    </row>
    <row r="15395" spans="1:5">
      <c r="A15395">
        <v>10991</v>
      </c>
      <c r="B15395" t="s">
        <v>173</v>
      </c>
      <c r="C15395">
        <v>1295.9999951720238</v>
      </c>
      <c r="D15395">
        <v>90</v>
      </c>
      <c r="E15395" s="80">
        <v>35886</v>
      </c>
    </row>
    <row r="15396" spans="1:5">
      <c r="A15396">
        <v>10991</v>
      </c>
      <c r="B15396" t="s">
        <v>174</v>
      </c>
      <c r="C15396">
        <v>1295.9999951720238</v>
      </c>
      <c r="D15396">
        <v>90</v>
      </c>
      <c r="E15396" s="80">
        <v>35886</v>
      </c>
    </row>
    <row r="15397" spans="1:5">
      <c r="A15397">
        <v>10991</v>
      </c>
      <c r="B15397" t="s">
        <v>175</v>
      </c>
      <c r="C15397">
        <v>1295.9999951720238</v>
      </c>
      <c r="D15397">
        <v>90</v>
      </c>
      <c r="E15397" s="80">
        <v>35886</v>
      </c>
    </row>
    <row r="15398" spans="1:5">
      <c r="A15398">
        <v>10991</v>
      </c>
      <c r="B15398" t="s">
        <v>176</v>
      </c>
      <c r="C15398">
        <v>1295.9999951720238</v>
      </c>
      <c r="D15398">
        <v>90</v>
      </c>
      <c r="E15398" s="80">
        <v>35886</v>
      </c>
    </row>
    <row r="15399" spans="1:5">
      <c r="A15399">
        <v>10991</v>
      </c>
      <c r="B15399" t="s">
        <v>177</v>
      </c>
      <c r="C15399">
        <v>1295.9999951720238</v>
      </c>
      <c r="D15399">
        <v>90</v>
      </c>
      <c r="E15399" s="80">
        <v>35886</v>
      </c>
    </row>
    <row r="15400" spans="1:5">
      <c r="A15400">
        <v>10991</v>
      </c>
      <c r="B15400" t="s">
        <v>178</v>
      </c>
      <c r="C15400">
        <v>1295.9999951720238</v>
      </c>
      <c r="D15400">
        <v>90</v>
      </c>
      <c r="E15400" s="80">
        <v>35886</v>
      </c>
    </row>
    <row r="15401" spans="1:5">
      <c r="A15401">
        <v>10991</v>
      </c>
      <c r="B15401" t="s">
        <v>179</v>
      </c>
      <c r="C15401">
        <v>1295.9999951720238</v>
      </c>
      <c r="D15401">
        <v>90</v>
      </c>
      <c r="E15401" s="80">
        <v>35886</v>
      </c>
    </row>
    <row r="15402" spans="1:5">
      <c r="A15402">
        <v>10992</v>
      </c>
      <c r="B15402" t="s">
        <v>172</v>
      </c>
      <c r="C15402">
        <v>69.599999999999994</v>
      </c>
      <c r="D15402">
        <v>2</v>
      </c>
      <c r="E15402" s="80">
        <v>35886</v>
      </c>
    </row>
    <row r="15403" spans="1:5">
      <c r="A15403">
        <v>10992</v>
      </c>
      <c r="B15403" t="s">
        <v>173</v>
      </c>
      <c r="C15403">
        <v>69.599999999999994</v>
      </c>
      <c r="D15403">
        <v>2</v>
      </c>
      <c r="E15403" s="80">
        <v>35886</v>
      </c>
    </row>
    <row r="15404" spans="1:5">
      <c r="A15404">
        <v>10992</v>
      </c>
      <c r="B15404" t="s">
        <v>174</v>
      </c>
      <c r="C15404">
        <v>69.599999999999994</v>
      </c>
      <c r="D15404">
        <v>2</v>
      </c>
      <c r="E15404" s="80">
        <v>35886</v>
      </c>
    </row>
    <row r="15405" spans="1:5">
      <c r="A15405">
        <v>10992</v>
      </c>
      <c r="B15405" t="s">
        <v>175</v>
      </c>
      <c r="C15405">
        <v>69.599999999999994</v>
      </c>
      <c r="D15405">
        <v>2</v>
      </c>
      <c r="E15405" s="80">
        <v>35886</v>
      </c>
    </row>
    <row r="15406" spans="1:5">
      <c r="A15406">
        <v>10992</v>
      </c>
      <c r="B15406" t="s">
        <v>176</v>
      </c>
      <c r="C15406">
        <v>69.599999999999994</v>
      </c>
      <c r="D15406">
        <v>2</v>
      </c>
      <c r="E15406" s="80">
        <v>35886</v>
      </c>
    </row>
    <row r="15407" spans="1:5">
      <c r="A15407">
        <v>10992</v>
      </c>
      <c r="B15407" t="s">
        <v>177</v>
      </c>
      <c r="C15407">
        <v>69.599999999999994</v>
      </c>
      <c r="D15407">
        <v>2</v>
      </c>
      <c r="E15407" s="80">
        <v>35886</v>
      </c>
    </row>
    <row r="15408" spans="1:5">
      <c r="A15408">
        <v>10992</v>
      </c>
      <c r="B15408" t="s">
        <v>178</v>
      </c>
      <c r="C15408">
        <v>69.599999999999994</v>
      </c>
      <c r="D15408">
        <v>2</v>
      </c>
      <c r="E15408" s="80">
        <v>35886</v>
      </c>
    </row>
    <row r="15409" spans="1:5">
      <c r="A15409">
        <v>10992</v>
      </c>
      <c r="B15409" t="s">
        <v>179</v>
      </c>
      <c r="C15409">
        <v>69.599999999999994</v>
      </c>
      <c r="D15409">
        <v>2</v>
      </c>
      <c r="E15409" s="80">
        <v>35886</v>
      </c>
    </row>
    <row r="15410" spans="1:5">
      <c r="A15410">
        <v>10993</v>
      </c>
      <c r="B15410" t="s">
        <v>172</v>
      </c>
      <c r="C15410">
        <v>4642.125</v>
      </c>
      <c r="D15410">
        <v>50</v>
      </c>
      <c r="E15410" s="80">
        <v>35886</v>
      </c>
    </row>
    <row r="15411" spans="1:5">
      <c r="A15411">
        <v>10993</v>
      </c>
      <c r="B15411" t="s">
        <v>173</v>
      </c>
      <c r="C15411">
        <v>4642.125</v>
      </c>
      <c r="D15411">
        <v>50</v>
      </c>
      <c r="E15411" s="80">
        <v>35886</v>
      </c>
    </row>
    <row r="15412" spans="1:5">
      <c r="A15412">
        <v>10993</v>
      </c>
      <c r="B15412" t="s">
        <v>174</v>
      </c>
      <c r="C15412">
        <v>4642.125</v>
      </c>
      <c r="D15412">
        <v>50</v>
      </c>
      <c r="E15412" s="80">
        <v>35886</v>
      </c>
    </row>
    <row r="15413" spans="1:5">
      <c r="A15413">
        <v>10993</v>
      </c>
      <c r="B15413" t="s">
        <v>175</v>
      </c>
      <c r="C15413">
        <v>4642.125</v>
      </c>
      <c r="D15413">
        <v>50</v>
      </c>
      <c r="E15413" s="80">
        <v>35886</v>
      </c>
    </row>
    <row r="15414" spans="1:5">
      <c r="A15414">
        <v>10993</v>
      </c>
      <c r="B15414" t="s">
        <v>176</v>
      </c>
      <c r="C15414">
        <v>4642.125</v>
      </c>
      <c r="D15414">
        <v>50</v>
      </c>
      <c r="E15414" s="80">
        <v>35886</v>
      </c>
    </row>
    <row r="15415" spans="1:5">
      <c r="A15415">
        <v>10993</v>
      </c>
      <c r="B15415" t="s">
        <v>177</v>
      </c>
      <c r="C15415">
        <v>4642.125</v>
      </c>
      <c r="D15415">
        <v>50</v>
      </c>
      <c r="E15415" s="80">
        <v>35886</v>
      </c>
    </row>
    <row r="15416" spans="1:5">
      <c r="A15416">
        <v>10993</v>
      </c>
      <c r="B15416" t="s">
        <v>178</v>
      </c>
      <c r="C15416">
        <v>4642.125</v>
      </c>
      <c r="D15416">
        <v>50</v>
      </c>
      <c r="E15416" s="80">
        <v>35886</v>
      </c>
    </row>
    <row r="15417" spans="1:5">
      <c r="A15417">
        <v>10993</v>
      </c>
      <c r="B15417" t="s">
        <v>179</v>
      </c>
      <c r="C15417">
        <v>4642.125</v>
      </c>
      <c r="D15417">
        <v>50</v>
      </c>
      <c r="E15417" s="80">
        <v>35886</v>
      </c>
    </row>
    <row r="15418" spans="1:5">
      <c r="A15418">
        <v>10993</v>
      </c>
      <c r="B15418" t="s">
        <v>172</v>
      </c>
      <c r="C15418">
        <v>253.3125</v>
      </c>
      <c r="D15418">
        <v>35</v>
      </c>
      <c r="E15418" s="80">
        <v>35886</v>
      </c>
    </row>
    <row r="15419" spans="1:5">
      <c r="A15419">
        <v>10993</v>
      </c>
      <c r="B15419" t="s">
        <v>173</v>
      </c>
      <c r="C15419">
        <v>253.3125</v>
      </c>
      <c r="D15419">
        <v>35</v>
      </c>
      <c r="E15419" s="80">
        <v>35886</v>
      </c>
    </row>
    <row r="15420" spans="1:5">
      <c r="A15420">
        <v>10993</v>
      </c>
      <c r="B15420" t="s">
        <v>174</v>
      </c>
      <c r="C15420">
        <v>253.3125</v>
      </c>
      <c r="D15420">
        <v>35</v>
      </c>
      <c r="E15420" s="80">
        <v>35886</v>
      </c>
    </row>
    <row r="15421" spans="1:5">
      <c r="A15421">
        <v>10993</v>
      </c>
      <c r="B15421" t="s">
        <v>175</v>
      </c>
      <c r="C15421">
        <v>253.3125</v>
      </c>
      <c r="D15421">
        <v>35</v>
      </c>
      <c r="E15421" s="80">
        <v>35886</v>
      </c>
    </row>
    <row r="15422" spans="1:5">
      <c r="A15422">
        <v>10993</v>
      </c>
      <c r="B15422" t="s">
        <v>176</v>
      </c>
      <c r="C15422">
        <v>253.3125</v>
      </c>
      <c r="D15422">
        <v>35</v>
      </c>
      <c r="E15422" s="80">
        <v>35886</v>
      </c>
    </row>
    <row r="15423" spans="1:5">
      <c r="A15423">
        <v>10993</v>
      </c>
      <c r="B15423" t="s">
        <v>177</v>
      </c>
      <c r="C15423">
        <v>253.3125</v>
      </c>
      <c r="D15423">
        <v>35</v>
      </c>
      <c r="E15423" s="80">
        <v>35886</v>
      </c>
    </row>
    <row r="15424" spans="1:5">
      <c r="A15424">
        <v>10993</v>
      </c>
      <c r="B15424" t="s">
        <v>178</v>
      </c>
      <c r="C15424">
        <v>253.3125</v>
      </c>
      <c r="D15424">
        <v>35</v>
      </c>
      <c r="E15424" s="80">
        <v>35886</v>
      </c>
    </row>
    <row r="15425" spans="1:5">
      <c r="A15425">
        <v>10993</v>
      </c>
      <c r="B15425" t="s">
        <v>179</v>
      </c>
      <c r="C15425">
        <v>253.3125</v>
      </c>
      <c r="D15425">
        <v>35</v>
      </c>
      <c r="E15425" s="80">
        <v>35886</v>
      </c>
    </row>
    <row r="15426" spans="1:5">
      <c r="A15426">
        <v>10994</v>
      </c>
      <c r="B15426" t="s">
        <v>172</v>
      </c>
      <c r="C15426">
        <v>940.49999926239252</v>
      </c>
      <c r="D15426">
        <v>18</v>
      </c>
      <c r="E15426" s="80">
        <v>35887</v>
      </c>
    </row>
    <row r="15427" spans="1:5">
      <c r="A15427">
        <v>10994</v>
      </c>
      <c r="B15427" t="s">
        <v>173</v>
      </c>
      <c r="C15427">
        <v>940.49999926239252</v>
      </c>
      <c r="D15427">
        <v>18</v>
      </c>
      <c r="E15427" s="80">
        <v>35887</v>
      </c>
    </row>
    <row r="15428" spans="1:5">
      <c r="A15428">
        <v>10994</v>
      </c>
      <c r="B15428" t="s">
        <v>174</v>
      </c>
      <c r="C15428">
        <v>940.49999926239252</v>
      </c>
      <c r="D15428">
        <v>18</v>
      </c>
      <c r="E15428" s="80">
        <v>35887</v>
      </c>
    </row>
    <row r="15429" spans="1:5">
      <c r="A15429">
        <v>10994</v>
      </c>
      <c r="B15429" t="s">
        <v>175</v>
      </c>
      <c r="C15429">
        <v>940.49999926239252</v>
      </c>
      <c r="D15429">
        <v>18</v>
      </c>
      <c r="E15429" s="80">
        <v>35887</v>
      </c>
    </row>
    <row r="15430" spans="1:5">
      <c r="A15430">
        <v>10994</v>
      </c>
      <c r="B15430" t="s">
        <v>176</v>
      </c>
      <c r="C15430">
        <v>940.49999926239252</v>
      </c>
      <c r="D15430">
        <v>18</v>
      </c>
      <c r="E15430" s="80">
        <v>35887</v>
      </c>
    </row>
    <row r="15431" spans="1:5">
      <c r="A15431">
        <v>10994</v>
      </c>
      <c r="B15431" t="s">
        <v>177</v>
      </c>
      <c r="C15431">
        <v>940.49999926239252</v>
      </c>
      <c r="D15431">
        <v>18</v>
      </c>
      <c r="E15431" s="80">
        <v>35887</v>
      </c>
    </row>
    <row r="15432" spans="1:5">
      <c r="A15432">
        <v>10994</v>
      </c>
      <c r="B15432" t="s">
        <v>178</v>
      </c>
      <c r="C15432">
        <v>940.49999926239252</v>
      </c>
      <c r="D15432">
        <v>18</v>
      </c>
      <c r="E15432" s="80">
        <v>35887</v>
      </c>
    </row>
    <row r="15433" spans="1:5">
      <c r="A15433">
        <v>10994</v>
      </c>
      <c r="B15433" t="s">
        <v>179</v>
      </c>
      <c r="C15433">
        <v>940.49999926239252</v>
      </c>
      <c r="D15433">
        <v>18</v>
      </c>
      <c r="E15433" s="80">
        <v>35887</v>
      </c>
    </row>
    <row r="15434" spans="1:5">
      <c r="A15434">
        <v>10995</v>
      </c>
      <c r="B15434" t="s">
        <v>172</v>
      </c>
      <c r="C15434">
        <v>1060</v>
      </c>
      <c r="D15434">
        <v>20</v>
      </c>
      <c r="E15434" s="80">
        <v>35887</v>
      </c>
    </row>
    <row r="15435" spans="1:5">
      <c r="A15435">
        <v>10995</v>
      </c>
      <c r="B15435" t="s">
        <v>173</v>
      </c>
      <c r="C15435">
        <v>1060</v>
      </c>
      <c r="D15435">
        <v>20</v>
      </c>
      <c r="E15435" s="80">
        <v>35887</v>
      </c>
    </row>
    <row r="15436" spans="1:5">
      <c r="A15436">
        <v>10995</v>
      </c>
      <c r="B15436" t="s">
        <v>174</v>
      </c>
      <c r="C15436">
        <v>1060</v>
      </c>
      <c r="D15436">
        <v>20</v>
      </c>
      <c r="E15436" s="80">
        <v>35887</v>
      </c>
    </row>
    <row r="15437" spans="1:5">
      <c r="A15437">
        <v>10995</v>
      </c>
      <c r="B15437" t="s">
        <v>175</v>
      </c>
      <c r="C15437">
        <v>1060</v>
      </c>
      <c r="D15437">
        <v>20</v>
      </c>
      <c r="E15437" s="80">
        <v>35887</v>
      </c>
    </row>
    <row r="15438" spans="1:5">
      <c r="A15438">
        <v>10995</v>
      </c>
      <c r="B15438" t="s">
        <v>176</v>
      </c>
      <c r="C15438">
        <v>1060</v>
      </c>
      <c r="D15438">
        <v>20</v>
      </c>
      <c r="E15438" s="80">
        <v>35887</v>
      </c>
    </row>
    <row r="15439" spans="1:5">
      <c r="A15439">
        <v>10995</v>
      </c>
      <c r="B15439" t="s">
        <v>177</v>
      </c>
      <c r="C15439">
        <v>1060</v>
      </c>
      <c r="D15439">
        <v>20</v>
      </c>
      <c r="E15439" s="80">
        <v>35887</v>
      </c>
    </row>
    <row r="15440" spans="1:5">
      <c r="A15440">
        <v>10995</v>
      </c>
      <c r="B15440" t="s">
        <v>178</v>
      </c>
      <c r="C15440">
        <v>1060</v>
      </c>
      <c r="D15440">
        <v>20</v>
      </c>
      <c r="E15440" s="80">
        <v>35887</v>
      </c>
    </row>
    <row r="15441" spans="1:5">
      <c r="A15441">
        <v>10995</v>
      </c>
      <c r="B15441" t="s">
        <v>179</v>
      </c>
      <c r="C15441">
        <v>1060</v>
      </c>
      <c r="D15441">
        <v>20</v>
      </c>
      <c r="E15441" s="80">
        <v>35887</v>
      </c>
    </row>
    <row r="15442" spans="1:5">
      <c r="A15442">
        <v>10995</v>
      </c>
      <c r="B15442" t="s">
        <v>172</v>
      </c>
      <c r="C15442">
        <v>136</v>
      </c>
      <c r="D15442">
        <v>4</v>
      </c>
      <c r="E15442" s="80">
        <v>35887</v>
      </c>
    </row>
    <row r="15443" spans="1:5">
      <c r="A15443">
        <v>10995</v>
      </c>
      <c r="B15443" t="s">
        <v>173</v>
      </c>
      <c r="C15443">
        <v>136</v>
      </c>
      <c r="D15443">
        <v>4</v>
      </c>
      <c r="E15443" s="80">
        <v>35887</v>
      </c>
    </row>
    <row r="15444" spans="1:5">
      <c r="A15444">
        <v>10995</v>
      </c>
      <c r="B15444" t="s">
        <v>174</v>
      </c>
      <c r="C15444">
        <v>136</v>
      </c>
      <c r="D15444">
        <v>4</v>
      </c>
      <c r="E15444" s="80">
        <v>35887</v>
      </c>
    </row>
    <row r="15445" spans="1:5">
      <c r="A15445">
        <v>10995</v>
      </c>
      <c r="B15445" t="s">
        <v>175</v>
      </c>
      <c r="C15445">
        <v>136</v>
      </c>
      <c r="D15445">
        <v>4</v>
      </c>
      <c r="E15445" s="80">
        <v>35887</v>
      </c>
    </row>
    <row r="15446" spans="1:5">
      <c r="A15446">
        <v>10995</v>
      </c>
      <c r="B15446" t="s">
        <v>176</v>
      </c>
      <c r="C15446">
        <v>136</v>
      </c>
      <c r="D15446">
        <v>4</v>
      </c>
      <c r="E15446" s="80">
        <v>35887</v>
      </c>
    </row>
    <row r="15447" spans="1:5">
      <c r="A15447">
        <v>10995</v>
      </c>
      <c r="B15447" t="s">
        <v>177</v>
      </c>
      <c r="C15447">
        <v>136</v>
      </c>
      <c r="D15447">
        <v>4</v>
      </c>
      <c r="E15447" s="80">
        <v>35887</v>
      </c>
    </row>
    <row r="15448" spans="1:5">
      <c r="A15448">
        <v>10995</v>
      </c>
      <c r="B15448" t="s">
        <v>178</v>
      </c>
      <c r="C15448">
        <v>136</v>
      </c>
      <c r="D15448">
        <v>4</v>
      </c>
      <c r="E15448" s="80">
        <v>35887</v>
      </c>
    </row>
    <row r="15449" spans="1:5">
      <c r="A15449">
        <v>10995</v>
      </c>
      <c r="B15449" t="s">
        <v>179</v>
      </c>
      <c r="C15449">
        <v>136</v>
      </c>
      <c r="D15449">
        <v>4</v>
      </c>
      <c r="E15449" s="80">
        <v>35887</v>
      </c>
    </row>
    <row r="15450" spans="1:5">
      <c r="A15450">
        <v>10996</v>
      </c>
      <c r="B15450" t="s">
        <v>172</v>
      </c>
      <c r="C15450">
        <v>560</v>
      </c>
      <c r="D15450">
        <v>40</v>
      </c>
      <c r="E15450" s="80">
        <v>35887</v>
      </c>
    </row>
    <row r="15451" spans="1:5">
      <c r="A15451">
        <v>10996</v>
      </c>
      <c r="B15451" t="s">
        <v>173</v>
      </c>
      <c r="C15451">
        <v>560</v>
      </c>
      <c r="D15451">
        <v>40</v>
      </c>
      <c r="E15451" s="80">
        <v>35887</v>
      </c>
    </row>
    <row r="15452" spans="1:5">
      <c r="A15452">
        <v>10996</v>
      </c>
      <c r="B15452" t="s">
        <v>174</v>
      </c>
      <c r="C15452">
        <v>560</v>
      </c>
      <c r="D15452">
        <v>40</v>
      </c>
      <c r="E15452" s="80">
        <v>35887</v>
      </c>
    </row>
    <row r="15453" spans="1:5">
      <c r="A15453">
        <v>10996</v>
      </c>
      <c r="B15453" t="s">
        <v>175</v>
      </c>
      <c r="C15453">
        <v>560</v>
      </c>
      <c r="D15453">
        <v>40</v>
      </c>
      <c r="E15453" s="80">
        <v>35887</v>
      </c>
    </row>
    <row r="15454" spans="1:5">
      <c r="A15454">
        <v>10996</v>
      </c>
      <c r="B15454" t="s">
        <v>176</v>
      </c>
      <c r="C15454">
        <v>560</v>
      </c>
      <c r="D15454">
        <v>40</v>
      </c>
      <c r="E15454" s="80">
        <v>35887</v>
      </c>
    </row>
    <row r="15455" spans="1:5">
      <c r="A15455">
        <v>10996</v>
      </c>
      <c r="B15455" t="s">
        <v>177</v>
      </c>
      <c r="C15455">
        <v>560</v>
      </c>
      <c r="D15455">
        <v>40</v>
      </c>
      <c r="E15455" s="80">
        <v>35887</v>
      </c>
    </row>
    <row r="15456" spans="1:5">
      <c r="A15456">
        <v>10996</v>
      </c>
      <c r="B15456" t="s">
        <v>178</v>
      </c>
      <c r="C15456">
        <v>560</v>
      </c>
      <c r="D15456">
        <v>40</v>
      </c>
      <c r="E15456" s="80">
        <v>35887</v>
      </c>
    </row>
    <row r="15457" spans="1:5">
      <c r="A15457">
        <v>10996</v>
      </c>
      <c r="B15457" t="s">
        <v>179</v>
      </c>
      <c r="C15457">
        <v>560</v>
      </c>
      <c r="D15457">
        <v>40</v>
      </c>
      <c r="E15457" s="80">
        <v>35887</v>
      </c>
    </row>
    <row r="15458" spans="1:5">
      <c r="A15458">
        <v>10997</v>
      </c>
      <c r="B15458" t="s">
        <v>172</v>
      </c>
      <c r="C15458">
        <v>1600</v>
      </c>
      <c r="D15458">
        <v>50</v>
      </c>
      <c r="E15458" s="80">
        <v>35888</v>
      </c>
    </row>
    <row r="15459" spans="1:5">
      <c r="A15459">
        <v>10997</v>
      </c>
      <c r="B15459" t="s">
        <v>173</v>
      </c>
      <c r="C15459">
        <v>1600</v>
      </c>
      <c r="D15459">
        <v>50</v>
      </c>
      <c r="E15459" s="80">
        <v>35888</v>
      </c>
    </row>
    <row r="15460" spans="1:5">
      <c r="A15460">
        <v>10997</v>
      </c>
      <c r="B15460" t="s">
        <v>174</v>
      </c>
      <c r="C15460">
        <v>1600</v>
      </c>
      <c r="D15460">
        <v>50</v>
      </c>
      <c r="E15460" s="80">
        <v>35888</v>
      </c>
    </row>
    <row r="15461" spans="1:5">
      <c r="A15461">
        <v>10997</v>
      </c>
      <c r="B15461" t="s">
        <v>175</v>
      </c>
      <c r="C15461">
        <v>1600</v>
      </c>
      <c r="D15461">
        <v>50</v>
      </c>
      <c r="E15461" s="80">
        <v>35888</v>
      </c>
    </row>
    <row r="15462" spans="1:5">
      <c r="A15462">
        <v>10997</v>
      </c>
      <c r="B15462" t="s">
        <v>176</v>
      </c>
      <c r="C15462">
        <v>1600</v>
      </c>
      <c r="D15462">
        <v>50</v>
      </c>
      <c r="E15462" s="80">
        <v>35888</v>
      </c>
    </row>
    <row r="15463" spans="1:5">
      <c r="A15463">
        <v>10997</v>
      </c>
      <c r="B15463" t="s">
        <v>177</v>
      </c>
      <c r="C15463">
        <v>1600</v>
      </c>
      <c r="D15463">
        <v>50</v>
      </c>
      <c r="E15463" s="80">
        <v>35888</v>
      </c>
    </row>
    <row r="15464" spans="1:5">
      <c r="A15464">
        <v>10997</v>
      </c>
      <c r="B15464" t="s">
        <v>178</v>
      </c>
      <c r="C15464">
        <v>1600</v>
      </c>
      <c r="D15464">
        <v>50</v>
      </c>
      <c r="E15464" s="80">
        <v>35888</v>
      </c>
    </row>
    <row r="15465" spans="1:5">
      <c r="A15465">
        <v>10997</v>
      </c>
      <c r="B15465" t="s">
        <v>179</v>
      </c>
      <c r="C15465">
        <v>1600</v>
      </c>
      <c r="D15465">
        <v>50</v>
      </c>
      <c r="E15465" s="80">
        <v>35888</v>
      </c>
    </row>
    <row r="15466" spans="1:5">
      <c r="A15466">
        <v>10997</v>
      </c>
      <c r="B15466" t="s">
        <v>172</v>
      </c>
      <c r="C15466">
        <v>180</v>
      </c>
      <c r="D15466">
        <v>20</v>
      </c>
      <c r="E15466" s="80">
        <v>35888</v>
      </c>
    </row>
    <row r="15467" spans="1:5">
      <c r="A15467">
        <v>10997</v>
      </c>
      <c r="B15467" t="s">
        <v>173</v>
      </c>
      <c r="C15467">
        <v>180</v>
      </c>
      <c r="D15467">
        <v>20</v>
      </c>
      <c r="E15467" s="80">
        <v>35888</v>
      </c>
    </row>
    <row r="15468" spans="1:5">
      <c r="A15468">
        <v>10997</v>
      </c>
      <c r="B15468" t="s">
        <v>174</v>
      </c>
      <c r="C15468">
        <v>180</v>
      </c>
      <c r="D15468">
        <v>20</v>
      </c>
      <c r="E15468" s="80">
        <v>35888</v>
      </c>
    </row>
    <row r="15469" spans="1:5">
      <c r="A15469">
        <v>10997</v>
      </c>
      <c r="B15469" t="s">
        <v>175</v>
      </c>
      <c r="C15469">
        <v>180</v>
      </c>
      <c r="D15469">
        <v>20</v>
      </c>
      <c r="E15469" s="80">
        <v>35888</v>
      </c>
    </row>
    <row r="15470" spans="1:5">
      <c r="A15470">
        <v>10997</v>
      </c>
      <c r="B15470" t="s">
        <v>176</v>
      </c>
      <c r="C15470">
        <v>180</v>
      </c>
      <c r="D15470">
        <v>20</v>
      </c>
      <c r="E15470" s="80">
        <v>35888</v>
      </c>
    </row>
    <row r="15471" spans="1:5">
      <c r="A15471">
        <v>10997</v>
      </c>
      <c r="B15471" t="s">
        <v>177</v>
      </c>
      <c r="C15471">
        <v>180</v>
      </c>
      <c r="D15471">
        <v>20</v>
      </c>
      <c r="E15471" s="80">
        <v>35888</v>
      </c>
    </row>
    <row r="15472" spans="1:5">
      <c r="A15472">
        <v>10997</v>
      </c>
      <c r="B15472" t="s">
        <v>178</v>
      </c>
      <c r="C15472">
        <v>180</v>
      </c>
      <c r="D15472">
        <v>20</v>
      </c>
      <c r="E15472" s="80">
        <v>35888</v>
      </c>
    </row>
    <row r="15473" spans="1:5">
      <c r="A15473">
        <v>10997</v>
      </c>
      <c r="B15473" t="s">
        <v>179</v>
      </c>
      <c r="C15473">
        <v>180</v>
      </c>
      <c r="D15473">
        <v>20</v>
      </c>
      <c r="E15473" s="80">
        <v>35888</v>
      </c>
    </row>
    <row r="15474" spans="1:5">
      <c r="A15474">
        <v>10997</v>
      </c>
      <c r="B15474" t="s">
        <v>172</v>
      </c>
      <c r="C15474">
        <v>105</v>
      </c>
      <c r="D15474">
        <v>20</v>
      </c>
      <c r="E15474" s="80">
        <v>35888</v>
      </c>
    </row>
    <row r="15475" spans="1:5">
      <c r="A15475">
        <v>10997</v>
      </c>
      <c r="B15475" t="s">
        <v>173</v>
      </c>
      <c r="C15475">
        <v>105</v>
      </c>
      <c r="D15475">
        <v>20</v>
      </c>
      <c r="E15475" s="80">
        <v>35888</v>
      </c>
    </row>
    <row r="15476" spans="1:5">
      <c r="A15476">
        <v>10997</v>
      </c>
      <c r="B15476" t="s">
        <v>174</v>
      </c>
      <c r="C15476">
        <v>105</v>
      </c>
      <c r="D15476">
        <v>20</v>
      </c>
      <c r="E15476" s="80">
        <v>35888</v>
      </c>
    </row>
    <row r="15477" spans="1:5">
      <c r="A15477">
        <v>10997</v>
      </c>
      <c r="B15477" t="s">
        <v>175</v>
      </c>
      <c r="C15477">
        <v>105</v>
      </c>
      <c r="D15477">
        <v>20</v>
      </c>
      <c r="E15477" s="80">
        <v>35888</v>
      </c>
    </row>
    <row r="15478" spans="1:5">
      <c r="A15478">
        <v>10997</v>
      </c>
      <c r="B15478" t="s">
        <v>176</v>
      </c>
      <c r="C15478">
        <v>105</v>
      </c>
      <c r="D15478">
        <v>20</v>
      </c>
      <c r="E15478" s="80">
        <v>35888</v>
      </c>
    </row>
    <row r="15479" spans="1:5">
      <c r="A15479">
        <v>10997</v>
      </c>
      <c r="B15479" t="s">
        <v>177</v>
      </c>
      <c r="C15479">
        <v>105</v>
      </c>
      <c r="D15479">
        <v>20</v>
      </c>
      <c r="E15479" s="80">
        <v>35888</v>
      </c>
    </row>
    <row r="15480" spans="1:5">
      <c r="A15480">
        <v>10997</v>
      </c>
      <c r="B15480" t="s">
        <v>178</v>
      </c>
      <c r="C15480">
        <v>105</v>
      </c>
      <c r="D15480">
        <v>20</v>
      </c>
      <c r="E15480" s="80">
        <v>35888</v>
      </c>
    </row>
    <row r="15481" spans="1:5">
      <c r="A15481">
        <v>10997</v>
      </c>
      <c r="B15481" t="s">
        <v>179</v>
      </c>
      <c r="C15481">
        <v>105</v>
      </c>
      <c r="D15481">
        <v>20</v>
      </c>
      <c r="E15481" s="80">
        <v>35888</v>
      </c>
    </row>
    <row r="15482" spans="1:5">
      <c r="A15482">
        <v>10998</v>
      </c>
      <c r="B15482" t="s">
        <v>172</v>
      </c>
      <c r="C15482">
        <v>54</v>
      </c>
      <c r="D15482">
        <v>12</v>
      </c>
      <c r="E15482" s="80">
        <v>35888</v>
      </c>
    </row>
    <row r="15483" spans="1:5">
      <c r="A15483">
        <v>10998</v>
      </c>
      <c r="B15483" t="s">
        <v>173</v>
      </c>
      <c r="C15483">
        <v>54</v>
      </c>
      <c r="D15483">
        <v>12</v>
      </c>
      <c r="E15483" s="80">
        <v>35888</v>
      </c>
    </row>
    <row r="15484" spans="1:5">
      <c r="A15484">
        <v>10998</v>
      </c>
      <c r="B15484" t="s">
        <v>174</v>
      </c>
      <c r="C15484">
        <v>54</v>
      </c>
      <c r="D15484">
        <v>12</v>
      </c>
      <c r="E15484" s="80">
        <v>35888</v>
      </c>
    </row>
    <row r="15485" spans="1:5">
      <c r="A15485">
        <v>10998</v>
      </c>
      <c r="B15485" t="s">
        <v>175</v>
      </c>
      <c r="C15485">
        <v>54</v>
      </c>
      <c r="D15485">
        <v>12</v>
      </c>
      <c r="E15485" s="80">
        <v>35888</v>
      </c>
    </row>
    <row r="15486" spans="1:5">
      <c r="A15486">
        <v>10998</v>
      </c>
      <c r="B15486" t="s">
        <v>176</v>
      </c>
      <c r="C15486">
        <v>54</v>
      </c>
      <c r="D15486">
        <v>12</v>
      </c>
      <c r="E15486" s="80">
        <v>35888</v>
      </c>
    </row>
    <row r="15487" spans="1:5">
      <c r="A15487">
        <v>10998</v>
      </c>
      <c r="B15487" t="s">
        <v>177</v>
      </c>
      <c r="C15487">
        <v>54</v>
      </c>
      <c r="D15487">
        <v>12</v>
      </c>
      <c r="E15487" s="80">
        <v>35888</v>
      </c>
    </row>
    <row r="15488" spans="1:5">
      <c r="A15488">
        <v>10998</v>
      </c>
      <c r="B15488" t="s">
        <v>178</v>
      </c>
      <c r="C15488">
        <v>54</v>
      </c>
      <c r="D15488">
        <v>12</v>
      </c>
      <c r="E15488" s="80">
        <v>35888</v>
      </c>
    </row>
    <row r="15489" spans="1:5">
      <c r="A15489">
        <v>10998</v>
      </c>
      <c r="B15489" t="s">
        <v>179</v>
      </c>
      <c r="C15489">
        <v>54</v>
      </c>
      <c r="D15489">
        <v>12</v>
      </c>
      <c r="E15489" s="80">
        <v>35888</v>
      </c>
    </row>
    <row r="15490" spans="1:5">
      <c r="A15490">
        <v>10998</v>
      </c>
      <c r="B15490" t="s">
        <v>172</v>
      </c>
      <c r="C15490">
        <v>199.5</v>
      </c>
      <c r="D15490">
        <v>7</v>
      </c>
      <c r="E15490" s="80">
        <v>35888</v>
      </c>
    </row>
    <row r="15491" spans="1:5">
      <c r="A15491">
        <v>10998</v>
      </c>
      <c r="B15491" t="s">
        <v>173</v>
      </c>
      <c r="C15491">
        <v>199.5</v>
      </c>
      <c r="D15491">
        <v>7</v>
      </c>
      <c r="E15491" s="80">
        <v>35888</v>
      </c>
    </row>
    <row r="15492" spans="1:5">
      <c r="A15492">
        <v>10998</v>
      </c>
      <c r="B15492" t="s">
        <v>174</v>
      </c>
      <c r="C15492">
        <v>199.5</v>
      </c>
      <c r="D15492">
        <v>7</v>
      </c>
      <c r="E15492" s="80">
        <v>35888</v>
      </c>
    </row>
    <row r="15493" spans="1:5">
      <c r="A15493">
        <v>10998</v>
      </c>
      <c r="B15493" t="s">
        <v>175</v>
      </c>
      <c r="C15493">
        <v>199.5</v>
      </c>
      <c r="D15493">
        <v>7</v>
      </c>
      <c r="E15493" s="80">
        <v>35888</v>
      </c>
    </row>
    <row r="15494" spans="1:5">
      <c r="A15494">
        <v>10998</v>
      </c>
      <c r="B15494" t="s">
        <v>176</v>
      </c>
      <c r="C15494">
        <v>199.5</v>
      </c>
      <c r="D15494">
        <v>7</v>
      </c>
      <c r="E15494" s="80">
        <v>35888</v>
      </c>
    </row>
    <row r="15495" spans="1:5">
      <c r="A15495">
        <v>10998</v>
      </c>
      <c r="B15495" t="s">
        <v>177</v>
      </c>
      <c r="C15495">
        <v>199.5</v>
      </c>
      <c r="D15495">
        <v>7</v>
      </c>
      <c r="E15495" s="80">
        <v>35888</v>
      </c>
    </row>
    <row r="15496" spans="1:5">
      <c r="A15496">
        <v>10998</v>
      </c>
      <c r="B15496" t="s">
        <v>178</v>
      </c>
      <c r="C15496">
        <v>199.5</v>
      </c>
      <c r="D15496">
        <v>7</v>
      </c>
      <c r="E15496" s="80">
        <v>35888</v>
      </c>
    </row>
    <row r="15497" spans="1:5">
      <c r="A15497">
        <v>10998</v>
      </c>
      <c r="B15497" t="s">
        <v>179</v>
      </c>
      <c r="C15497">
        <v>199.5</v>
      </c>
      <c r="D15497">
        <v>7</v>
      </c>
      <c r="E15497" s="80">
        <v>35888</v>
      </c>
    </row>
    <row r="15498" spans="1:5">
      <c r="A15498">
        <v>10998</v>
      </c>
      <c r="B15498" t="s">
        <v>172</v>
      </c>
      <c r="C15498">
        <v>200</v>
      </c>
      <c r="D15498">
        <v>20</v>
      </c>
      <c r="E15498" s="80">
        <v>35888</v>
      </c>
    </row>
    <row r="15499" spans="1:5">
      <c r="A15499">
        <v>10998</v>
      </c>
      <c r="B15499" t="s">
        <v>173</v>
      </c>
      <c r="C15499">
        <v>200</v>
      </c>
      <c r="D15499">
        <v>20</v>
      </c>
      <c r="E15499" s="80">
        <v>35888</v>
      </c>
    </row>
    <row r="15500" spans="1:5">
      <c r="A15500">
        <v>10998</v>
      </c>
      <c r="B15500" t="s">
        <v>174</v>
      </c>
      <c r="C15500">
        <v>200</v>
      </c>
      <c r="D15500">
        <v>20</v>
      </c>
      <c r="E15500" s="80">
        <v>35888</v>
      </c>
    </row>
    <row r="15501" spans="1:5">
      <c r="A15501">
        <v>10998</v>
      </c>
      <c r="B15501" t="s">
        <v>175</v>
      </c>
      <c r="C15501">
        <v>200</v>
      </c>
      <c r="D15501">
        <v>20</v>
      </c>
      <c r="E15501" s="80">
        <v>35888</v>
      </c>
    </row>
    <row r="15502" spans="1:5">
      <c r="A15502">
        <v>10998</v>
      </c>
      <c r="B15502" t="s">
        <v>176</v>
      </c>
      <c r="C15502">
        <v>200</v>
      </c>
      <c r="D15502">
        <v>20</v>
      </c>
      <c r="E15502" s="80">
        <v>35888</v>
      </c>
    </row>
    <row r="15503" spans="1:5">
      <c r="A15503">
        <v>10998</v>
      </c>
      <c r="B15503" t="s">
        <v>177</v>
      </c>
      <c r="C15503">
        <v>200</v>
      </c>
      <c r="D15503">
        <v>20</v>
      </c>
      <c r="E15503" s="80">
        <v>35888</v>
      </c>
    </row>
    <row r="15504" spans="1:5">
      <c r="A15504">
        <v>10998</v>
      </c>
      <c r="B15504" t="s">
        <v>178</v>
      </c>
      <c r="C15504">
        <v>200</v>
      </c>
      <c r="D15504">
        <v>20</v>
      </c>
      <c r="E15504" s="80">
        <v>35888</v>
      </c>
    </row>
    <row r="15505" spans="1:5">
      <c r="A15505">
        <v>10998</v>
      </c>
      <c r="B15505" t="s">
        <v>179</v>
      </c>
      <c r="C15505">
        <v>200</v>
      </c>
      <c r="D15505">
        <v>20</v>
      </c>
      <c r="E15505" s="80">
        <v>35888</v>
      </c>
    </row>
    <row r="15506" spans="1:5">
      <c r="A15506">
        <v>10998</v>
      </c>
      <c r="B15506" t="s">
        <v>172</v>
      </c>
      <c r="C15506">
        <v>232.5</v>
      </c>
      <c r="D15506">
        <v>30</v>
      </c>
      <c r="E15506" s="80">
        <v>35888</v>
      </c>
    </row>
    <row r="15507" spans="1:5">
      <c r="A15507">
        <v>10998</v>
      </c>
      <c r="B15507" t="s">
        <v>173</v>
      </c>
      <c r="C15507">
        <v>232.5</v>
      </c>
      <c r="D15507">
        <v>30</v>
      </c>
      <c r="E15507" s="80">
        <v>35888</v>
      </c>
    </row>
    <row r="15508" spans="1:5">
      <c r="A15508">
        <v>10998</v>
      </c>
      <c r="B15508" t="s">
        <v>174</v>
      </c>
      <c r="C15508">
        <v>232.5</v>
      </c>
      <c r="D15508">
        <v>30</v>
      </c>
      <c r="E15508" s="80">
        <v>35888</v>
      </c>
    </row>
    <row r="15509" spans="1:5">
      <c r="A15509">
        <v>10998</v>
      </c>
      <c r="B15509" t="s">
        <v>175</v>
      </c>
      <c r="C15509">
        <v>232.5</v>
      </c>
      <c r="D15509">
        <v>30</v>
      </c>
      <c r="E15509" s="80">
        <v>35888</v>
      </c>
    </row>
    <row r="15510" spans="1:5">
      <c r="A15510">
        <v>10998</v>
      </c>
      <c r="B15510" t="s">
        <v>176</v>
      </c>
      <c r="C15510">
        <v>232.5</v>
      </c>
      <c r="D15510">
        <v>30</v>
      </c>
      <c r="E15510" s="80">
        <v>35888</v>
      </c>
    </row>
    <row r="15511" spans="1:5">
      <c r="A15511">
        <v>10998</v>
      </c>
      <c r="B15511" t="s">
        <v>177</v>
      </c>
      <c r="C15511">
        <v>232.5</v>
      </c>
      <c r="D15511">
        <v>30</v>
      </c>
      <c r="E15511" s="80">
        <v>35888</v>
      </c>
    </row>
    <row r="15512" spans="1:5">
      <c r="A15512">
        <v>10998</v>
      </c>
      <c r="B15512" t="s">
        <v>178</v>
      </c>
      <c r="C15512">
        <v>232.5</v>
      </c>
      <c r="D15512">
        <v>30</v>
      </c>
      <c r="E15512" s="80">
        <v>35888</v>
      </c>
    </row>
    <row r="15513" spans="1:5">
      <c r="A15513">
        <v>10998</v>
      </c>
      <c r="B15513" t="s">
        <v>179</v>
      </c>
      <c r="C15513">
        <v>232.5</v>
      </c>
      <c r="D15513">
        <v>30</v>
      </c>
      <c r="E15513" s="80">
        <v>35888</v>
      </c>
    </row>
    <row r="15514" spans="1:5">
      <c r="A15514">
        <v>10999</v>
      </c>
      <c r="B15514" t="s">
        <v>172</v>
      </c>
      <c r="C15514">
        <v>183.34999985620379</v>
      </c>
      <c r="D15514">
        <v>20</v>
      </c>
      <c r="E15514" s="80">
        <v>35888</v>
      </c>
    </row>
    <row r="15515" spans="1:5">
      <c r="A15515">
        <v>10999</v>
      </c>
      <c r="B15515" t="s">
        <v>173</v>
      </c>
      <c r="C15515">
        <v>183.34999985620379</v>
      </c>
      <c r="D15515">
        <v>20</v>
      </c>
      <c r="E15515" s="80">
        <v>35888</v>
      </c>
    </row>
    <row r="15516" spans="1:5">
      <c r="A15516">
        <v>10999</v>
      </c>
      <c r="B15516" t="s">
        <v>174</v>
      </c>
      <c r="C15516">
        <v>183.34999985620379</v>
      </c>
      <c r="D15516">
        <v>20</v>
      </c>
      <c r="E15516" s="80">
        <v>35888</v>
      </c>
    </row>
    <row r="15517" spans="1:5">
      <c r="A15517">
        <v>10999</v>
      </c>
      <c r="B15517" t="s">
        <v>175</v>
      </c>
      <c r="C15517">
        <v>183.34999985620379</v>
      </c>
      <c r="D15517">
        <v>20</v>
      </c>
      <c r="E15517" s="80">
        <v>35888</v>
      </c>
    </row>
    <row r="15518" spans="1:5">
      <c r="A15518">
        <v>10999</v>
      </c>
      <c r="B15518" t="s">
        <v>176</v>
      </c>
      <c r="C15518">
        <v>183.34999985620379</v>
      </c>
      <c r="D15518">
        <v>20</v>
      </c>
      <c r="E15518" s="80">
        <v>35888</v>
      </c>
    </row>
    <row r="15519" spans="1:5">
      <c r="A15519">
        <v>10999</v>
      </c>
      <c r="B15519" t="s">
        <v>177</v>
      </c>
      <c r="C15519">
        <v>183.34999985620379</v>
      </c>
      <c r="D15519">
        <v>20</v>
      </c>
      <c r="E15519" s="80">
        <v>35888</v>
      </c>
    </row>
    <row r="15520" spans="1:5">
      <c r="A15520">
        <v>10999</v>
      </c>
      <c r="B15520" t="s">
        <v>178</v>
      </c>
      <c r="C15520">
        <v>183.34999985620379</v>
      </c>
      <c r="D15520">
        <v>20</v>
      </c>
      <c r="E15520" s="80">
        <v>35888</v>
      </c>
    </row>
    <row r="15521" spans="1:5">
      <c r="A15521">
        <v>10999</v>
      </c>
      <c r="B15521" t="s">
        <v>179</v>
      </c>
      <c r="C15521">
        <v>183.34999985620379</v>
      </c>
      <c r="D15521">
        <v>20</v>
      </c>
      <c r="E15521" s="80">
        <v>35888</v>
      </c>
    </row>
    <row r="15522" spans="1:5">
      <c r="A15522">
        <v>10999</v>
      </c>
      <c r="B15522" t="s">
        <v>172</v>
      </c>
      <c r="C15522">
        <v>755.24999940767884</v>
      </c>
      <c r="D15522">
        <v>15</v>
      </c>
      <c r="E15522" s="80">
        <v>35888</v>
      </c>
    </row>
    <row r="15523" spans="1:5">
      <c r="A15523">
        <v>10999</v>
      </c>
      <c r="B15523" t="s">
        <v>173</v>
      </c>
      <c r="C15523">
        <v>755.24999940767884</v>
      </c>
      <c r="D15523">
        <v>15</v>
      </c>
      <c r="E15523" s="80">
        <v>35888</v>
      </c>
    </row>
    <row r="15524" spans="1:5">
      <c r="A15524">
        <v>10999</v>
      </c>
      <c r="B15524" t="s">
        <v>174</v>
      </c>
      <c r="C15524">
        <v>755.24999940767884</v>
      </c>
      <c r="D15524">
        <v>15</v>
      </c>
      <c r="E15524" s="80">
        <v>35888</v>
      </c>
    </row>
    <row r="15525" spans="1:5">
      <c r="A15525">
        <v>10999</v>
      </c>
      <c r="B15525" t="s">
        <v>175</v>
      </c>
      <c r="C15525">
        <v>755.24999940767884</v>
      </c>
      <c r="D15525">
        <v>15</v>
      </c>
      <c r="E15525" s="80">
        <v>35888</v>
      </c>
    </row>
    <row r="15526" spans="1:5">
      <c r="A15526">
        <v>10999</v>
      </c>
      <c r="B15526" t="s">
        <v>176</v>
      </c>
      <c r="C15526">
        <v>755.24999940767884</v>
      </c>
      <c r="D15526">
        <v>15</v>
      </c>
      <c r="E15526" s="80">
        <v>35888</v>
      </c>
    </row>
    <row r="15527" spans="1:5">
      <c r="A15527">
        <v>10999</v>
      </c>
      <c r="B15527" t="s">
        <v>177</v>
      </c>
      <c r="C15527">
        <v>755.24999940767884</v>
      </c>
      <c r="D15527">
        <v>15</v>
      </c>
      <c r="E15527" s="80">
        <v>35888</v>
      </c>
    </row>
    <row r="15528" spans="1:5">
      <c r="A15528">
        <v>10999</v>
      </c>
      <c r="B15528" t="s">
        <v>178</v>
      </c>
      <c r="C15528">
        <v>755.24999940767884</v>
      </c>
      <c r="D15528">
        <v>15</v>
      </c>
      <c r="E15528" s="80">
        <v>35888</v>
      </c>
    </row>
    <row r="15529" spans="1:5">
      <c r="A15529">
        <v>10999</v>
      </c>
      <c r="B15529" t="s">
        <v>179</v>
      </c>
      <c r="C15529">
        <v>755.24999940767884</v>
      </c>
      <c r="D15529">
        <v>15</v>
      </c>
      <c r="E15529" s="80">
        <v>35888</v>
      </c>
    </row>
    <row r="15530" spans="1:5">
      <c r="A15530">
        <v>10999</v>
      </c>
      <c r="B15530" t="s">
        <v>172</v>
      </c>
      <c r="C15530">
        <v>259.34999979659915</v>
      </c>
      <c r="D15530">
        <v>21</v>
      </c>
      <c r="E15530" s="80">
        <v>35888</v>
      </c>
    </row>
    <row r="15531" spans="1:5">
      <c r="A15531">
        <v>10999</v>
      </c>
      <c r="B15531" t="s">
        <v>173</v>
      </c>
      <c r="C15531">
        <v>259.34999979659915</v>
      </c>
      <c r="D15531">
        <v>21</v>
      </c>
      <c r="E15531" s="80">
        <v>35888</v>
      </c>
    </row>
    <row r="15532" spans="1:5">
      <c r="A15532">
        <v>10999</v>
      </c>
      <c r="B15532" t="s">
        <v>174</v>
      </c>
      <c r="C15532">
        <v>259.34999979659915</v>
      </c>
      <c r="D15532">
        <v>21</v>
      </c>
      <c r="E15532" s="80">
        <v>35888</v>
      </c>
    </row>
    <row r="15533" spans="1:5">
      <c r="A15533">
        <v>10999</v>
      </c>
      <c r="B15533" t="s">
        <v>175</v>
      </c>
      <c r="C15533">
        <v>259.34999979659915</v>
      </c>
      <c r="D15533">
        <v>21</v>
      </c>
      <c r="E15533" s="80">
        <v>35888</v>
      </c>
    </row>
    <row r="15534" spans="1:5">
      <c r="A15534">
        <v>10999</v>
      </c>
      <c r="B15534" t="s">
        <v>176</v>
      </c>
      <c r="C15534">
        <v>259.34999979659915</v>
      </c>
      <c r="D15534">
        <v>21</v>
      </c>
      <c r="E15534" s="80">
        <v>35888</v>
      </c>
    </row>
    <row r="15535" spans="1:5">
      <c r="A15535">
        <v>10999</v>
      </c>
      <c r="B15535" t="s">
        <v>177</v>
      </c>
      <c r="C15535">
        <v>259.34999979659915</v>
      </c>
      <c r="D15535">
        <v>21</v>
      </c>
      <c r="E15535" s="80">
        <v>35888</v>
      </c>
    </row>
    <row r="15536" spans="1:5">
      <c r="A15536">
        <v>10999</v>
      </c>
      <c r="B15536" t="s">
        <v>178</v>
      </c>
      <c r="C15536">
        <v>259.34999979659915</v>
      </c>
      <c r="D15536">
        <v>21</v>
      </c>
      <c r="E15536" s="80">
        <v>35888</v>
      </c>
    </row>
    <row r="15537" spans="1:5">
      <c r="A15537">
        <v>10999</v>
      </c>
      <c r="B15537" t="s">
        <v>179</v>
      </c>
      <c r="C15537">
        <v>259.34999979659915</v>
      </c>
      <c r="D15537">
        <v>21</v>
      </c>
      <c r="E15537" s="80">
        <v>35888</v>
      </c>
    </row>
    <row r="15538" spans="1:5">
      <c r="A15538">
        <v>11000</v>
      </c>
      <c r="B15538" t="s">
        <v>172</v>
      </c>
      <c r="C15538">
        <v>412.5</v>
      </c>
      <c r="D15538">
        <v>25</v>
      </c>
      <c r="E15538" s="80">
        <v>35891</v>
      </c>
    </row>
    <row r="15539" spans="1:5">
      <c r="A15539">
        <v>11000</v>
      </c>
      <c r="B15539" t="s">
        <v>173</v>
      </c>
      <c r="C15539">
        <v>412.5</v>
      </c>
      <c r="D15539">
        <v>25</v>
      </c>
      <c r="E15539" s="80">
        <v>35891</v>
      </c>
    </row>
    <row r="15540" spans="1:5">
      <c r="A15540">
        <v>11000</v>
      </c>
      <c r="B15540" t="s">
        <v>174</v>
      </c>
      <c r="C15540">
        <v>412.5</v>
      </c>
      <c r="D15540">
        <v>25</v>
      </c>
      <c r="E15540" s="80">
        <v>35891</v>
      </c>
    </row>
    <row r="15541" spans="1:5">
      <c r="A15541">
        <v>11000</v>
      </c>
      <c r="B15541" t="s">
        <v>175</v>
      </c>
      <c r="C15541">
        <v>412.5</v>
      </c>
      <c r="D15541">
        <v>25</v>
      </c>
      <c r="E15541" s="80">
        <v>35891</v>
      </c>
    </row>
    <row r="15542" spans="1:5">
      <c r="A15542">
        <v>11000</v>
      </c>
      <c r="B15542" t="s">
        <v>176</v>
      </c>
      <c r="C15542">
        <v>412.5</v>
      </c>
      <c r="D15542">
        <v>25</v>
      </c>
      <c r="E15542" s="80">
        <v>35891</v>
      </c>
    </row>
    <row r="15543" spans="1:5">
      <c r="A15543">
        <v>11000</v>
      </c>
      <c r="B15543" t="s">
        <v>177</v>
      </c>
      <c r="C15543">
        <v>412.5</v>
      </c>
      <c r="D15543">
        <v>25</v>
      </c>
      <c r="E15543" s="80">
        <v>35891</v>
      </c>
    </row>
    <row r="15544" spans="1:5">
      <c r="A15544">
        <v>11000</v>
      </c>
      <c r="B15544" t="s">
        <v>178</v>
      </c>
      <c r="C15544">
        <v>412.5</v>
      </c>
      <c r="D15544">
        <v>25</v>
      </c>
      <c r="E15544" s="80">
        <v>35891</v>
      </c>
    </row>
    <row r="15545" spans="1:5">
      <c r="A15545">
        <v>11000</v>
      </c>
      <c r="B15545" t="s">
        <v>179</v>
      </c>
      <c r="C15545">
        <v>412.5</v>
      </c>
      <c r="D15545">
        <v>25</v>
      </c>
      <c r="E15545" s="80">
        <v>35891</v>
      </c>
    </row>
    <row r="15546" spans="1:5">
      <c r="A15546">
        <v>11000</v>
      </c>
      <c r="B15546" t="s">
        <v>172</v>
      </c>
      <c r="C15546">
        <v>101.25</v>
      </c>
      <c r="D15546">
        <v>30</v>
      </c>
      <c r="E15546" s="80">
        <v>35891</v>
      </c>
    </row>
    <row r="15547" spans="1:5">
      <c r="A15547">
        <v>11000</v>
      </c>
      <c r="B15547" t="s">
        <v>173</v>
      </c>
      <c r="C15547">
        <v>101.25</v>
      </c>
      <c r="D15547">
        <v>30</v>
      </c>
      <c r="E15547" s="80">
        <v>35891</v>
      </c>
    </row>
    <row r="15548" spans="1:5">
      <c r="A15548">
        <v>11000</v>
      </c>
      <c r="B15548" t="s">
        <v>174</v>
      </c>
      <c r="C15548">
        <v>101.25</v>
      </c>
      <c r="D15548">
        <v>30</v>
      </c>
      <c r="E15548" s="80">
        <v>35891</v>
      </c>
    </row>
    <row r="15549" spans="1:5">
      <c r="A15549">
        <v>11000</v>
      </c>
      <c r="B15549" t="s">
        <v>175</v>
      </c>
      <c r="C15549">
        <v>101.25</v>
      </c>
      <c r="D15549">
        <v>30</v>
      </c>
      <c r="E15549" s="80">
        <v>35891</v>
      </c>
    </row>
    <row r="15550" spans="1:5">
      <c r="A15550">
        <v>11000</v>
      </c>
      <c r="B15550" t="s">
        <v>176</v>
      </c>
      <c r="C15550">
        <v>101.25</v>
      </c>
      <c r="D15550">
        <v>30</v>
      </c>
      <c r="E15550" s="80">
        <v>35891</v>
      </c>
    </row>
    <row r="15551" spans="1:5">
      <c r="A15551">
        <v>11000</v>
      </c>
      <c r="B15551" t="s">
        <v>177</v>
      </c>
      <c r="C15551">
        <v>101.25</v>
      </c>
      <c r="D15551">
        <v>30</v>
      </c>
      <c r="E15551" s="80">
        <v>35891</v>
      </c>
    </row>
    <row r="15552" spans="1:5">
      <c r="A15552">
        <v>11000</v>
      </c>
      <c r="B15552" t="s">
        <v>178</v>
      </c>
      <c r="C15552">
        <v>101.25</v>
      </c>
      <c r="D15552">
        <v>30</v>
      </c>
      <c r="E15552" s="80">
        <v>35891</v>
      </c>
    </row>
    <row r="15553" spans="1:5">
      <c r="A15553">
        <v>11000</v>
      </c>
      <c r="B15553" t="s">
        <v>179</v>
      </c>
      <c r="C15553">
        <v>101.25</v>
      </c>
      <c r="D15553">
        <v>30</v>
      </c>
      <c r="E15553" s="80">
        <v>35891</v>
      </c>
    </row>
    <row r="15554" spans="1:5">
      <c r="A15554">
        <v>11000</v>
      </c>
      <c r="B15554" t="s">
        <v>172</v>
      </c>
      <c r="C15554">
        <v>390</v>
      </c>
      <c r="D15554">
        <v>30</v>
      </c>
      <c r="E15554" s="80">
        <v>35891</v>
      </c>
    </row>
    <row r="15555" spans="1:5">
      <c r="A15555">
        <v>11000</v>
      </c>
      <c r="B15555" t="s">
        <v>173</v>
      </c>
      <c r="C15555">
        <v>390</v>
      </c>
      <c r="D15555">
        <v>30</v>
      </c>
      <c r="E15555" s="80">
        <v>35891</v>
      </c>
    </row>
    <row r="15556" spans="1:5">
      <c r="A15556">
        <v>11000</v>
      </c>
      <c r="B15556" t="s">
        <v>174</v>
      </c>
      <c r="C15556">
        <v>390</v>
      </c>
      <c r="D15556">
        <v>30</v>
      </c>
      <c r="E15556" s="80">
        <v>35891</v>
      </c>
    </row>
    <row r="15557" spans="1:5">
      <c r="A15557">
        <v>11000</v>
      </c>
      <c r="B15557" t="s">
        <v>175</v>
      </c>
      <c r="C15557">
        <v>390</v>
      </c>
      <c r="D15557">
        <v>30</v>
      </c>
      <c r="E15557" s="80">
        <v>35891</v>
      </c>
    </row>
    <row r="15558" spans="1:5">
      <c r="A15558">
        <v>11000</v>
      </c>
      <c r="B15558" t="s">
        <v>176</v>
      </c>
      <c r="C15558">
        <v>390</v>
      </c>
      <c r="D15558">
        <v>30</v>
      </c>
      <c r="E15558" s="80">
        <v>35891</v>
      </c>
    </row>
    <row r="15559" spans="1:5">
      <c r="A15559">
        <v>11000</v>
      </c>
      <c r="B15559" t="s">
        <v>177</v>
      </c>
      <c r="C15559">
        <v>390</v>
      </c>
      <c r="D15559">
        <v>30</v>
      </c>
      <c r="E15559" s="80">
        <v>35891</v>
      </c>
    </row>
    <row r="15560" spans="1:5">
      <c r="A15560">
        <v>11000</v>
      </c>
      <c r="B15560" t="s">
        <v>178</v>
      </c>
      <c r="C15560">
        <v>390</v>
      </c>
      <c r="D15560">
        <v>30</v>
      </c>
      <c r="E15560" s="80">
        <v>35891</v>
      </c>
    </row>
    <row r="15561" spans="1:5">
      <c r="A15561">
        <v>11000</v>
      </c>
      <c r="B15561" t="s">
        <v>179</v>
      </c>
      <c r="C15561">
        <v>390</v>
      </c>
      <c r="D15561">
        <v>30</v>
      </c>
      <c r="E15561" s="80">
        <v>35891</v>
      </c>
    </row>
    <row r="15562" spans="1:5">
      <c r="A15562">
        <v>11001</v>
      </c>
      <c r="B15562" t="s">
        <v>172</v>
      </c>
      <c r="C15562">
        <v>1800</v>
      </c>
      <c r="D15562">
        <v>60</v>
      </c>
      <c r="E15562" s="80">
        <v>35891</v>
      </c>
    </row>
    <row r="15563" spans="1:5">
      <c r="A15563">
        <v>11001</v>
      </c>
      <c r="B15563" t="s">
        <v>173</v>
      </c>
      <c r="C15563">
        <v>1800</v>
      </c>
      <c r="D15563">
        <v>60</v>
      </c>
      <c r="E15563" s="80">
        <v>35891</v>
      </c>
    </row>
    <row r="15564" spans="1:5">
      <c r="A15564">
        <v>11001</v>
      </c>
      <c r="B15564" t="s">
        <v>174</v>
      </c>
      <c r="C15564">
        <v>1800</v>
      </c>
      <c r="D15564">
        <v>60</v>
      </c>
      <c r="E15564" s="80">
        <v>35891</v>
      </c>
    </row>
    <row r="15565" spans="1:5">
      <c r="A15565">
        <v>11001</v>
      </c>
      <c r="B15565" t="s">
        <v>175</v>
      </c>
      <c r="C15565">
        <v>1800</v>
      </c>
      <c r="D15565">
        <v>60</v>
      </c>
      <c r="E15565" s="80">
        <v>35891</v>
      </c>
    </row>
    <row r="15566" spans="1:5">
      <c r="A15566">
        <v>11001</v>
      </c>
      <c r="B15566" t="s">
        <v>176</v>
      </c>
      <c r="C15566">
        <v>1800</v>
      </c>
      <c r="D15566">
        <v>60</v>
      </c>
      <c r="E15566" s="80">
        <v>35891</v>
      </c>
    </row>
    <row r="15567" spans="1:5">
      <c r="A15567">
        <v>11001</v>
      </c>
      <c r="B15567" t="s">
        <v>177</v>
      </c>
      <c r="C15567">
        <v>1800</v>
      </c>
      <c r="D15567">
        <v>60</v>
      </c>
      <c r="E15567" s="80">
        <v>35891</v>
      </c>
    </row>
    <row r="15568" spans="1:5">
      <c r="A15568">
        <v>11001</v>
      </c>
      <c r="B15568" t="s">
        <v>178</v>
      </c>
      <c r="C15568">
        <v>1800</v>
      </c>
      <c r="D15568">
        <v>60</v>
      </c>
      <c r="E15568" s="80">
        <v>35891</v>
      </c>
    </row>
    <row r="15569" spans="1:5">
      <c r="A15569">
        <v>11001</v>
      </c>
      <c r="B15569" t="s">
        <v>179</v>
      </c>
      <c r="C15569">
        <v>1800</v>
      </c>
      <c r="D15569">
        <v>60</v>
      </c>
      <c r="E15569" s="80">
        <v>35891</v>
      </c>
    </row>
    <row r="15570" spans="1:5">
      <c r="A15570">
        <v>11001</v>
      </c>
      <c r="B15570" t="s">
        <v>172</v>
      </c>
      <c r="C15570">
        <v>525</v>
      </c>
      <c r="D15570">
        <v>25</v>
      </c>
      <c r="E15570" s="80">
        <v>35891</v>
      </c>
    </row>
    <row r="15571" spans="1:5">
      <c r="A15571">
        <v>11001</v>
      </c>
      <c r="B15571" t="s">
        <v>173</v>
      </c>
      <c r="C15571">
        <v>525</v>
      </c>
      <c r="D15571">
        <v>25</v>
      </c>
      <c r="E15571" s="80">
        <v>35891</v>
      </c>
    </row>
    <row r="15572" spans="1:5">
      <c r="A15572">
        <v>11001</v>
      </c>
      <c r="B15572" t="s">
        <v>174</v>
      </c>
      <c r="C15572">
        <v>525</v>
      </c>
      <c r="D15572">
        <v>25</v>
      </c>
      <c r="E15572" s="80">
        <v>35891</v>
      </c>
    </row>
    <row r="15573" spans="1:5">
      <c r="A15573">
        <v>11001</v>
      </c>
      <c r="B15573" t="s">
        <v>175</v>
      </c>
      <c r="C15573">
        <v>525</v>
      </c>
      <c r="D15573">
        <v>25</v>
      </c>
      <c r="E15573" s="80">
        <v>35891</v>
      </c>
    </row>
    <row r="15574" spans="1:5">
      <c r="A15574">
        <v>11001</v>
      </c>
      <c r="B15574" t="s">
        <v>176</v>
      </c>
      <c r="C15574">
        <v>525</v>
      </c>
      <c r="D15574">
        <v>25</v>
      </c>
      <c r="E15574" s="80">
        <v>35891</v>
      </c>
    </row>
    <row r="15575" spans="1:5">
      <c r="A15575">
        <v>11001</v>
      </c>
      <c r="B15575" t="s">
        <v>177</v>
      </c>
      <c r="C15575">
        <v>525</v>
      </c>
      <c r="D15575">
        <v>25</v>
      </c>
      <c r="E15575" s="80">
        <v>35891</v>
      </c>
    </row>
    <row r="15576" spans="1:5">
      <c r="A15576">
        <v>11001</v>
      </c>
      <c r="B15576" t="s">
        <v>178</v>
      </c>
      <c r="C15576">
        <v>525</v>
      </c>
      <c r="D15576">
        <v>25</v>
      </c>
      <c r="E15576" s="80">
        <v>35891</v>
      </c>
    </row>
    <row r="15577" spans="1:5">
      <c r="A15577">
        <v>11001</v>
      </c>
      <c r="B15577" t="s">
        <v>179</v>
      </c>
      <c r="C15577">
        <v>525</v>
      </c>
      <c r="D15577">
        <v>25</v>
      </c>
      <c r="E15577" s="80">
        <v>35891</v>
      </c>
    </row>
    <row r="15578" spans="1:5">
      <c r="A15578">
        <v>11001</v>
      </c>
      <c r="B15578" t="s">
        <v>172</v>
      </c>
      <c r="C15578">
        <v>300</v>
      </c>
      <c r="D15578">
        <v>25</v>
      </c>
      <c r="E15578" s="80">
        <v>35891</v>
      </c>
    </row>
    <row r="15579" spans="1:5">
      <c r="A15579">
        <v>11001</v>
      </c>
      <c r="B15579" t="s">
        <v>173</v>
      </c>
      <c r="C15579">
        <v>300</v>
      </c>
      <c r="D15579">
        <v>25</v>
      </c>
      <c r="E15579" s="80">
        <v>35891</v>
      </c>
    </row>
    <row r="15580" spans="1:5">
      <c r="A15580">
        <v>11001</v>
      </c>
      <c r="B15580" t="s">
        <v>174</v>
      </c>
      <c r="C15580">
        <v>300</v>
      </c>
      <c r="D15580">
        <v>25</v>
      </c>
      <c r="E15580" s="80">
        <v>35891</v>
      </c>
    </row>
    <row r="15581" spans="1:5">
      <c r="A15581">
        <v>11001</v>
      </c>
      <c r="B15581" t="s">
        <v>175</v>
      </c>
      <c r="C15581">
        <v>300</v>
      </c>
      <c r="D15581">
        <v>25</v>
      </c>
      <c r="E15581" s="80">
        <v>35891</v>
      </c>
    </row>
    <row r="15582" spans="1:5">
      <c r="A15582">
        <v>11001</v>
      </c>
      <c r="B15582" t="s">
        <v>176</v>
      </c>
      <c r="C15582">
        <v>300</v>
      </c>
      <c r="D15582">
        <v>25</v>
      </c>
      <c r="E15582" s="80">
        <v>35891</v>
      </c>
    </row>
    <row r="15583" spans="1:5">
      <c r="A15583">
        <v>11001</v>
      </c>
      <c r="B15583" t="s">
        <v>177</v>
      </c>
      <c r="C15583">
        <v>300</v>
      </c>
      <c r="D15583">
        <v>25</v>
      </c>
      <c r="E15583" s="80">
        <v>35891</v>
      </c>
    </row>
    <row r="15584" spans="1:5">
      <c r="A15584">
        <v>11001</v>
      </c>
      <c r="B15584" t="s">
        <v>178</v>
      </c>
      <c r="C15584">
        <v>300</v>
      </c>
      <c r="D15584">
        <v>25</v>
      </c>
      <c r="E15584" s="80">
        <v>35891</v>
      </c>
    </row>
    <row r="15585" spans="1:5">
      <c r="A15585">
        <v>11001</v>
      </c>
      <c r="B15585" t="s">
        <v>179</v>
      </c>
      <c r="C15585">
        <v>300</v>
      </c>
      <c r="D15585">
        <v>25</v>
      </c>
      <c r="E15585" s="80">
        <v>35891</v>
      </c>
    </row>
    <row r="15586" spans="1:5">
      <c r="A15586">
        <v>11001</v>
      </c>
      <c r="B15586" t="s">
        <v>172</v>
      </c>
      <c r="C15586">
        <v>144</v>
      </c>
      <c r="D15586">
        <v>6</v>
      </c>
      <c r="E15586" s="80">
        <v>35891</v>
      </c>
    </row>
    <row r="15587" spans="1:5">
      <c r="A15587">
        <v>11001</v>
      </c>
      <c r="B15587" t="s">
        <v>173</v>
      </c>
      <c r="C15587">
        <v>144</v>
      </c>
      <c r="D15587">
        <v>6</v>
      </c>
      <c r="E15587" s="80">
        <v>35891</v>
      </c>
    </row>
    <row r="15588" spans="1:5">
      <c r="A15588">
        <v>11001</v>
      </c>
      <c r="B15588" t="s">
        <v>174</v>
      </c>
      <c r="C15588">
        <v>144</v>
      </c>
      <c r="D15588">
        <v>6</v>
      </c>
      <c r="E15588" s="80">
        <v>35891</v>
      </c>
    </row>
    <row r="15589" spans="1:5">
      <c r="A15589">
        <v>11001</v>
      </c>
      <c r="B15589" t="s">
        <v>175</v>
      </c>
      <c r="C15589">
        <v>144</v>
      </c>
      <c r="D15589">
        <v>6</v>
      </c>
      <c r="E15589" s="80">
        <v>35891</v>
      </c>
    </row>
    <row r="15590" spans="1:5">
      <c r="A15590">
        <v>11001</v>
      </c>
      <c r="B15590" t="s">
        <v>176</v>
      </c>
      <c r="C15590">
        <v>144</v>
      </c>
      <c r="D15590">
        <v>6</v>
      </c>
      <c r="E15590" s="80">
        <v>35891</v>
      </c>
    </row>
    <row r="15591" spans="1:5">
      <c r="A15591">
        <v>11001</v>
      </c>
      <c r="B15591" t="s">
        <v>177</v>
      </c>
      <c r="C15591">
        <v>144</v>
      </c>
      <c r="D15591">
        <v>6</v>
      </c>
      <c r="E15591" s="80">
        <v>35891</v>
      </c>
    </row>
    <row r="15592" spans="1:5">
      <c r="A15592">
        <v>11001</v>
      </c>
      <c r="B15592" t="s">
        <v>178</v>
      </c>
      <c r="C15592">
        <v>144</v>
      </c>
      <c r="D15592">
        <v>6</v>
      </c>
      <c r="E15592" s="80">
        <v>35891</v>
      </c>
    </row>
    <row r="15593" spans="1:5">
      <c r="A15593">
        <v>11001</v>
      </c>
      <c r="B15593" t="s">
        <v>179</v>
      </c>
      <c r="C15593">
        <v>144</v>
      </c>
      <c r="D15593">
        <v>6</v>
      </c>
      <c r="E15593" s="80">
        <v>35891</v>
      </c>
    </row>
    <row r="15594" spans="1:5">
      <c r="A15594">
        <v>11002</v>
      </c>
      <c r="B15594" t="s">
        <v>172</v>
      </c>
      <c r="C15594">
        <v>336</v>
      </c>
      <c r="D15594">
        <v>56</v>
      </c>
      <c r="E15594" s="80">
        <v>35891</v>
      </c>
    </row>
    <row r="15595" spans="1:5">
      <c r="A15595">
        <v>11002</v>
      </c>
      <c r="B15595" t="s">
        <v>173</v>
      </c>
      <c r="C15595">
        <v>336</v>
      </c>
      <c r="D15595">
        <v>56</v>
      </c>
      <c r="E15595" s="80">
        <v>35891</v>
      </c>
    </row>
    <row r="15596" spans="1:5">
      <c r="A15596">
        <v>11002</v>
      </c>
      <c r="B15596" t="s">
        <v>174</v>
      </c>
      <c r="C15596">
        <v>336</v>
      </c>
      <c r="D15596">
        <v>56</v>
      </c>
      <c r="E15596" s="80">
        <v>35891</v>
      </c>
    </row>
    <row r="15597" spans="1:5">
      <c r="A15597">
        <v>11002</v>
      </c>
      <c r="B15597" t="s">
        <v>175</v>
      </c>
      <c r="C15597">
        <v>336</v>
      </c>
      <c r="D15597">
        <v>56</v>
      </c>
      <c r="E15597" s="80">
        <v>35891</v>
      </c>
    </row>
    <row r="15598" spans="1:5">
      <c r="A15598">
        <v>11002</v>
      </c>
      <c r="B15598" t="s">
        <v>176</v>
      </c>
      <c r="C15598">
        <v>336</v>
      </c>
      <c r="D15598">
        <v>56</v>
      </c>
      <c r="E15598" s="80">
        <v>35891</v>
      </c>
    </row>
    <row r="15599" spans="1:5">
      <c r="A15599">
        <v>11002</v>
      </c>
      <c r="B15599" t="s">
        <v>177</v>
      </c>
      <c r="C15599">
        <v>336</v>
      </c>
      <c r="D15599">
        <v>56</v>
      </c>
      <c r="E15599" s="80">
        <v>35891</v>
      </c>
    </row>
    <row r="15600" spans="1:5">
      <c r="A15600">
        <v>11002</v>
      </c>
      <c r="B15600" t="s">
        <v>178</v>
      </c>
      <c r="C15600">
        <v>336</v>
      </c>
      <c r="D15600">
        <v>56</v>
      </c>
      <c r="E15600" s="80">
        <v>35891</v>
      </c>
    </row>
    <row r="15601" spans="1:5">
      <c r="A15601">
        <v>11002</v>
      </c>
      <c r="B15601" t="s">
        <v>179</v>
      </c>
      <c r="C15601">
        <v>336</v>
      </c>
      <c r="D15601">
        <v>56</v>
      </c>
      <c r="E15601" s="80">
        <v>35891</v>
      </c>
    </row>
    <row r="15602" spans="1:5">
      <c r="A15602">
        <v>11002</v>
      </c>
      <c r="B15602" t="s">
        <v>172</v>
      </c>
      <c r="C15602">
        <v>229.49999839067459</v>
      </c>
      <c r="D15602">
        <v>15</v>
      </c>
      <c r="E15602" s="80">
        <v>35891</v>
      </c>
    </row>
    <row r="15603" spans="1:5">
      <c r="A15603">
        <v>11002</v>
      </c>
      <c r="B15603" t="s">
        <v>173</v>
      </c>
      <c r="C15603">
        <v>229.49999839067459</v>
      </c>
      <c r="D15603">
        <v>15</v>
      </c>
      <c r="E15603" s="80">
        <v>35891</v>
      </c>
    </row>
    <row r="15604" spans="1:5">
      <c r="A15604">
        <v>11002</v>
      </c>
      <c r="B15604" t="s">
        <v>174</v>
      </c>
      <c r="C15604">
        <v>229.49999839067459</v>
      </c>
      <c r="D15604">
        <v>15</v>
      </c>
      <c r="E15604" s="80">
        <v>35891</v>
      </c>
    </row>
    <row r="15605" spans="1:5">
      <c r="A15605">
        <v>11002</v>
      </c>
      <c r="B15605" t="s">
        <v>175</v>
      </c>
      <c r="C15605">
        <v>229.49999839067459</v>
      </c>
      <c r="D15605">
        <v>15</v>
      </c>
      <c r="E15605" s="80">
        <v>35891</v>
      </c>
    </row>
    <row r="15606" spans="1:5">
      <c r="A15606">
        <v>11002</v>
      </c>
      <c r="B15606" t="s">
        <v>176</v>
      </c>
      <c r="C15606">
        <v>229.49999839067459</v>
      </c>
      <c r="D15606">
        <v>15</v>
      </c>
      <c r="E15606" s="80">
        <v>35891</v>
      </c>
    </row>
    <row r="15607" spans="1:5">
      <c r="A15607">
        <v>11002</v>
      </c>
      <c r="B15607" t="s">
        <v>177</v>
      </c>
      <c r="C15607">
        <v>229.49999839067459</v>
      </c>
      <c r="D15607">
        <v>15</v>
      </c>
      <c r="E15607" s="80">
        <v>35891</v>
      </c>
    </row>
    <row r="15608" spans="1:5">
      <c r="A15608">
        <v>11002</v>
      </c>
      <c r="B15608" t="s">
        <v>178</v>
      </c>
      <c r="C15608">
        <v>229.49999839067459</v>
      </c>
      <c r="D15608">
        <v>15</v>
      </c>
      <c r="E15608" s="80">
        <v>35891</v>
      </c>
    </row>
    <row r="15609" spans="1:5">
      <c r="A15609">
        <v>11002</v>
      </c>
      <c r="B15609" t="s">
        <v>179</v>
      </c>
      <c r="C15609">
        <v>229.49999839067459</v>
      </c>
      <c r="D15609">
        <v>15</v>
      </c>
      <c r="E15609" s="80">
        <v>35891</v>
      </c>
    </row>
    <row r="15610" spans="1:5">
      <c r="A15610">
        <v>11002</v>
      </c>
      <c r="B15610" t="s">
        <v>172</v>
      </c>
      <c r="C15610">
        <v>285.59999799728394</v>
      </c>
      <c r="D15610">
        <v>24</v>
      </c>
      <c r="E15610" s="80">
        <v>35891</v>
      </c>
    </row>
    <row r="15611" spans="1:5">
      <c r="A15611">
        <v>11002</v>
      </c>
      <c r="B15611" t="s">
        <v>173</v>
      </c>
      <c r="C15611">
        <v>285.59999799728394</v>
      </c>
      <c r="D15611">
        <v>24</v>
      </c>
      <c r="E15611" s="80">
        <v>35891</v>
      </c>
    </row>
    <row r="15612" spans="1:5">
      <c r="A15612">
        <v>11002</v>
      </c>
      <c r="B15612" t="s">
        <v>174</v>
      </c>
      <c r="C15612">
        <v>285.59999799728394</v>
      </c>
      <c r="D15612">
        <v>24</v>
      </c>
      <c r="E15612" s="80">
        <v>35891</v>
      </c>
    </row>
    <row r="15613" spans="1:5">
      <c r="A15613">
        <v>11002</v>
      </c>
      <c r="B15613" t="s">
        <v>175</v>
      </c>
      <c r="C15613">
        <v>285.59999799728394</v>
      </c>
      <c r="D15613">
        <v>24</v>
      </c>
      <c r="E15613" s="80">
        <v>35891</v>
      </c>
    </row>
    <row r="15614" spans="1:5">
      <c r="A15614">
        <v>11002</v>
      </c>
      <c r="B15614" t="s">
        <v>176</v>
      </c>
      <c r="C15614">
        <v>285.59999799728394</v>
      </c>
      <c r="D15614">
        <v>24</v>
      </c>
      <c r="E15614" s="80">
        <v>35891</v>
      </c>
    </row>
    <row r="15615" spans="1:5">
      <c r="A15615">
        <v>11002</v>
      </c>
      <c r="B15615" t="s">
        <v>177</v>
      </c>
      <c r="C15615">
        <v>285.59999799728394</v>
      </c>
      <c r="D15615">
        <v>24</v>
      </c>
      <c r="E15615" s="80">
        <v>35891</v>
      </c>
    </row>
    <row r="15616" spans="1:5">
      <c r="A15616">
        <v>11002</v>
      </c>
      <c r="B15616" t="s">
        <v>178</v>
      </c>
      <c r="C15616">
        <v>285.59999799728394</v>
      </c>
      <c r="D15616">
        <v>24</v>
      </c>
      <c r="E15616" s="80">
        <v>35891</v>
      </c>
    </row>
    <row r="15617" spans="1:5">
      <c r="A15617">
        <v>11002</v>
      </c>
      <c r="B15617" t="s">
        <v>179</v>
      </c>
      <c r="C15617">
        <v>285.59999799728394</v>
      </c>
      <c r="D15617">
        <v>24</v>
      </c>
      <c r="E15617" s="80">
        <v>35891</v>
      </c>
    </row>
    <row r="15618" spans="1:5">
      <c r="A15618">
        <v>11002</v>
      </c>
      <c r="B15618" t="s">
        <v>172</v>
      </c>
      <c r="C15618">
        <v>960</v>
      </c>
      <c r="D15618">
        <v>40</v>
      </c>
      <c r="E15618" s="80">
        <v>35891</v>
      </c>
    </row>
    <row r="15619" spans="1:5">
      <c r="A15619">
        <v>11002</v>
      </c>
      <c r="B15619" t="s">
        <v>173</v>
      </c>
      <c r="C15619">
        <v>960</v>
      </c>
      <c r="D15619">
        <v>40</v>
      </c>
      <c r="E15619" s="80">
        <v>35891</v>
      </c>
    </row>
    <row r="15620" spans="1:5">
      <c r="A15620">
        <v>11002</v>
      </c>
      <c r="B15620" t="s">
        <v>174</v>
      </c>
      <c r="C15620">
        <v>960</v>
      </c>
      <c r="D15620">
        <v>40</v>
      </c>
      <c r="E15620" s="80">
        <v>35891</v>
      </c>
    </row>
    <row r="15621" spans="1:5">
      <c r="A15621">
        <v>11002</v>
      </c>
      <c r="B15621" t="s">
        <v>175</v>
      </c>
      <c r="C15621">
        <v>960</v>
      </c>
      <c r="D15621">
        <v>40</v>
      </c>
      <c r="E15621" s="80">
        <v>35891</v>
      </c>
    </row>
    <row r="15622" spans="1:5">
      <c r="A15622">
        <v>11002</v>
      </c>
      <c r="B15622" t="s">
        <v>176</v>
      </c>
      <c r="C15622">
        <v>960</v>
      </c>
      <c r="D15622">
        <v>40</v>
      </c>
      <c r="E15622" s="80">
        <v>35891</v>
      </c>
    </row>
    <row r="15623" spans="1:5">
      <c r="A15623">
        <v>11002</v>
      </c>
      <c r="B15623" t="s">
        <v>177</v>
      </c>
      <c r="C15623">
        <v>960</v>
      </c>
      <c r="D15623">
        <v>40</v>
      </c>
      <c r="E15623" s="80">
        <v>35891</v>
      </c>
    </row>
    <row r="15624" spans="1:5">
      <c r="A15624">
        <v>11002</v>
      </c>
      <c r="B15624" t="s">
        <v>178</v>
      </c>
      <c r="C15624">
        <v>960</v>
      </c>
      <c r="D15624">
        <v>40</v>
      </c>
      <c r="E15624" s="80">
        <v>35891</v>
      </c>
    </row>
    <row r="15625" spans="1:5">
      <c r="A15625">
        <v>11002</v>
      </c>
      <c r="B15625" t="s">
        <v>179</v>
      </c>
      <c r="C15625">
        <v>960</v>
      </c>
      <c r="D15625">
        <v>40</v>
      </c>
      <c r="E15625" s="80">
        <v>35891</v>
      </c>
    </row>
    <row r="15626" spans="1:5">
      <c r="A15626">
        <v>11003</v>
      </c>
      <c r="B15626" t="s">
        <v>172</v>
      </c>
      <c r="C15626">
        <v>72</v>
      </c>
      <c r="D15626">
        <v>4</v>
      </c>
      <c r="E15626" s="80">
        <v>35891</v>
      </c>
    </row>
    <row r="15627" spans="1:5">
      <c r="A15627">
        <v>11003</v>
      </c>
      <c r="B15627" t="s">
        <v>173</v>
      </c>
      <c r="C15627">
        <v>72</v>
      </c>
      <c r="D15627">
        <v>4</v>
      </c>
      <c r="E15627" s="80">
        <v>35891</v>
      </c>
    </row>
    <row r="15628" spans="1:5">
      <c r="A15628">
        <v>11003</v>
      </c>
      <c r="B15628" t="s">
        <v>174</v>
      </c>
      <c r="C15628">
        <v>72</v>
      </c>
      <c r="D15628">
        <v>4</v>
      </c>
      <c r="E15628" s="80">
        <v>35891</v>
      </c>
    </row>
    <row r="15629" spans="1:5">
      <c r="A15629">
        <v>11003</v>
      </c>
      <c r="B15629" t="s">
        <v>175</v>
      </c>
      <c r="C15629">
        <v>72</v>
      </c>
      <c r="D15629">
        <v>4</v>
      </c>
      <c r="E15629" s="80">
        <v>35891</v>
      </c>
    </row>
    <row r="15630" spans="1:5">
      <c r="A15630">
        <v>11003</v>
      </c>
      <c r="B15630" t="s">
        <v>176</v>
      </c>
      <c r="C15630">
        <v>72</v>
      </c>
      <c r="D15630">
        <v>4</v>
      </c>
      <c r="E15630" s="80">
        <v>35891</v>
      </c>
    </row>
    <row r="15631" spans="1:5">
      <c r="A15631">
        <v>11003</v>
      </c>
      <c r="B15631" t="s">
        <v>177</v>
      </c>
      <c r="C15631">
        <v>72</v>
      </c>
      <c r="D15631">
        <v>4</v>
      </c>
      <c r="E15631" s="80">
        <v>35891</v>
      </c>
    </row>
    <row r="15632" spans="1:5">
      <c r="A15632">
        <v>11003</v>
      </c>
      <c r="B15632" t="s">
        <v>178</v>
      </c>
      <c r="C15632">
        <v>72</v>
      </c>
      <c r="D15632">
        <v>4</v>
      </c>
      <c r="E15632" s="80">
        <v>35891</v>
      </c>
    </row>
    <row r="15633" spans="1:5">
      <c r="A15633">
        <v>11003</v>
      </c>
      <c r="B15633" t="s">
        <v>179</v>
      </c>
      <c r="C15633">
        <v>72</v>
      </c>
      <c r="D15633">
        <v>4</v>
      </c>
      <c r="E15633" s="80">
        <v>35891</v>
      </c>
    </row>
    <row r="15634" spans="1:5">
      <c r="A15634">
        <v>11003</v>
      </c>
      <c r="B15634" t="s">
        <v>172</v>
      </c>
      <c r="C15634">
        <v>184</v>
      </c>
      <c r="D15634">
        <v>10</v>
      </c>
      <c r="E15634" s="80">
        <v>35891</v>
      </c>
    </row>
    <row r="15635" spans="1:5">
      <c r="A15635">
        <v>11003</v>
      </c>
      <c r="B15635" t="s">
        <v>173</v>
      </c>
      <c r="C15635">
        <v>184</v>
      </c>
      <c r="D15635">
        <v>10</v>
      </c>
      <c r="E15635" s="80">
        <v>35891</v>
      </c>
    </row>
    <row r="15636" spans="1:5">
      <c r="A15636">
        <v>11003</v>
      </c>
      <c r="B15636" t="s">
        <v>174</v>
      </c>
      <c r="C15636">
        <v>184</v>
      </c>
      <c r="D15636">
        <v>10</v>
      </c>
      <c r="E15636" s="80">
        <v>35891</v>
      </c>
    </row>
    <row r="15637" spans="1:5">
      <c r="A15637">
        <v>11003</v>
      </c>
      <c r="B15637" t="s">
        <v>175</v>
      </c>
      <c r="C15637">
        <v>184</v>
      </c>
      <c r="D15637">
        <v>10</v>
      </c>
      <c r="E15637" s="80">
        <v>35891</v>
      </c>
    </row>
    <row r="15638" spans="1:5">
      <c r="A15638">
        <v>11003</v>
      </c>
      <c r="B15638" t="s">
        <v>176</v>
      </c>
      <c r="C15638">
        <v>184</v>
      </c>
      <c r="D15638">
        <v>10</v>
      </c>
      <c r="E15638" s="80">
        <v>35891</v>
      </c>
    </row>
    <row r="15639" spans="1:5">
      <c r="A15639">
        <v>11003</v>
      </c>
      <c r="B15639" t="s">
        <v>177</v>
      </c>
      <c r="C15639">
        <v>184</v>
      </c>
      <c r="D15639">
        <v>10</v>
      </c>
      <c r="E15639" s="80">
        <v>35891</v>
      </c>
    </row>
    <row r="15640" spans="1:5">
      <c r="A15640">
        <v>11003</v>
      </c>
      <c r="B15640" t="s">
        <v>178</v>
      </c>
      <c r="C15640">
        <v>184</v>
      </c>
      <c r="D15640">
        <v>10</v>
      </c>
      <c r="E15640" s="80">
        <v>35891</v>
      </c>
    </row>
    <row r="15641" spans="1:5">
      <c r="A15641">
        <v>11003</v>
      </c>
      <c r="B15641" t="s">
        <v>179</v>
      </c>
      <c r="C15641">
        <v>184</v>
      </c>
      <c r="D15641">
        <v>10</v>
      </c>
      <c r="E15641" s="80">
        <v>35891</v>
      </c>
    </row>
    <row r="15642" spans="1:5">
      <c r="A15642">
        <v>11003</v>
      </c>
      <c r="B15642" t="s">
        <v>172</v>
      </c>
      <c r="C15642">
        <v>70</v>
      </c>
      <c r="D15642">
        <v>10</v>
      </c>
      <c r="E15642" s="80">
        <v>35891</v>
      </c>
    </row>
    <row r="15643" spans="1:5">
      <c r="A15643">
        <v>11003</v>
      </c>
      <c r="B15643" t="s">
        <v>173</v>
      </c>
      <c r="C15643">
        <v>70</v>
      </c>
      <c r="D15643">
        <v>10</v>
      </c>
      <c r="E15643" s="80">
        <v>35891</v>
      </c>
    </row>
    <row r="15644" spans="1:5">
      <c r="A15644">
        <v>11003</v>
      </c>
      <c r="B15644" t="s">
        <v>174</v>
      </c>
      <c r="C15644">
        <v>70</v>
      </c>
      <c r="D15644">
        <v>10</v>
      </c>
      <c r="E15644" s="80">
        <v>35891</v>
      </c>
    </row>
    <row r="15645" spans="1:5">
      <c r="A15645">
        <v>11003</v>
      </c>
      <c r="B15645" t="s">
        <v>175</v>
      </c>
      <c r="C15645">
        <v>70</v>
      </c>
      <c r="D15645">
        <v>10</v>
      </c>
      <c r="E15645" s="80">
        <v>35891</v>
      </c>
    </row>
    <row r="15646" spans="1:5">
      <c r="A15646">
        <v>11003</v>
      </c>
      <c r="B15646" t="s">
        <v>176</v>
      </c>
      <c r="C15646">
        <v>70</v>
      </c>
      <c r="D15646">
        <v>10</v>
      </c>
      <c r="E15646" s="80">
        <v>35891</v>
      </c>
    </row>
    <row r="15647" spans="1:5">
      <c r="A15647">
        <v>11003</v>
      </c>
      <c r="B15647" t="s">
        <v>177</v>
      </c>
      <c r="C15647">
        <v>70</v>
      </c>
      <c r="D15647">
        <v>10</v>
      </c>
      <c r="E15647" s="80">
        <v>35891</v>
      </c>
    </row>
    <row r="15648" spans="1:5">
      <c r="A15648">
        <v>11003</v>
      </c>
      <c r="B15648" t="s">
        <v>178</v>
      </c>
      <c r="C15648">
        <v>70</v>
      </c>
      <c r="D15648">
        <v>10</v>
      </c>
      <c r="E15648" s="80">
        <v>35891</v>
      </c>
    </row>
    <row r="15649" spans="1:5">
      <c r="A15649">
        <v>11003</v>
      </c>
      <c r="B15649" t="s">
        <v>179</v>
      </c>
      <c r="C15649">
        <v>70</v>
      </c>
      <c r="D15649">
        <v>10</v>
      </c>
      <c r="E15649" s="80">
        <v>35891</v>
      </c>
    </row>
    <row r="15650" spans="1:5">
      <c r="A15650">
        <v>11004</v>
      </c>
      <c r="B15650" t="s">
        <v>172</v>
      </c>
      <c r="C15650">
        <v>187.38</v>
      </c>
      <c r="D15650">
        <v>6</v>
      </c>
      <c r="E15650" s="80">
        <v>35892</v>
      </c>
    </row>
    <row r="15651" spans="1:5">
      <c r="A15651">
        <v>11004</v>
      </c>
      <c r="B15651" t="s">
        <v>173</v>
      </c>
      <c r="C15651">
        <v>187.38</v>
      </c>
      <c r="D15651">
        <v>6</v>
      </c>
      <c r="E15651" s="80">
        <v>35892</v>
      </c>
    </row>
    <row r="15652" spans="1:5">
      <c r="A15652">
        <v>11004</v>
      </c>
      <c r="B15652" t="s">
        <v>174</v>
      </c>
      <c r="C15652">
        <v>187.38</v>
      </c>
      <c r="D15652">
        <v>6</v>
      </c>
      <c r="E15652" s="80">
        <v>35892</v>
      </c>
    </row>
    <row r="15653" spans="1:5">
      <c r="A15653">
        <v>11004</v>
      </c>
      <c r="B15653" t="s">
        <v>175</v>
      </c>
      <c r="C15653">
        <v>187.38</v>
      </c>
      <c r="D15653">
        <v>6</v>
      </c>
      <c r="E15653" s="80">
        <v>35892</v>
      </c>
    </row>
    <row r="15654" spans="1:5">
      <c r="A15654">
        <v>11004</v>
      </c>
      <c r="B15654" t="s">
        <v>176</v>
      </c>
      <c r="C15654">
        <v>187.38</v>
      </c>
      <c r="D15654">
        <v>6</v>
      </c>
      <c r="E15654" s="80">
        <v>35892</v>
      </c>
    </row>
    <row r="15655" spans="1:5">
      <c r="A15655">
        <v>11004</v>
      </c>
      <c r="B15655" t="s">
        <v>177</v>
      </c>
      <c r="C15655">
        <v>187.38</v>
      </c>
      <c r="D15655">
        <v>6</v>
      </c>
      <c r="E15655" s="80">
        <v>35892</v>
      </c>
    </row>
    <row r="15656" spans="1:5">
      <c r="A15656">
        <v>11004</v>
      </c>
      <c r="B15656" t="s">
        <v>178</v>
      </c>
      <c r="C15656">
        <v>187.38</v>
      </c>
      <c r="D15656">
        <v>6</v>
      </c>
      <c r="E15656" s="80">
        <v>35892</v>
      </c>
    </row>
    <row r="15657" spans="1:5">
      <c r="A15657">
        <v>11004</v>
      </c>
      <c r="B15657" t="s">
        <v>179</v>
      </c>
      <c r="C15657">
        <v>187.38</v>
      </c>
      <c r="D15657">
        <v>6</v>
      </c>
      <c r="E15657" s="80">
        <v>35892</v>
      </c>
    </row>
    <row r="15658" spans="1:5">
      <c r="A15658">
        <v>11004</v>
      </c>
      <c r="B15658" t="s">
        <v>172</v>
      </c>
      <c r="C15658">
        <v>108</v>
      </c>
      <c r="D15658">
        <v>6</v>
      </c>
      <c r="E15658" s="80">
        <v>35892</v>
      </c>
    </row>
    <row r="15659" spans="1:5">
      <c r="A15659">
        <v>11004</v>
      </c>
      <c r="B15659" t="s">
        <v>173</v>
      </c>
      <c r="C15659">
        <v>108</v>
      </c>
      <c r="D15659">
        <v>6</v>
      </c>
      <c r="E15659" s="80">
        <v>35892</v>
      </c>
    </row>
    <row r="15660" spans="1:5">
      <c r="A15660">
        <v>11004</v>
      </c>
      <c r="B15660" t="s">
        <v>174</v>
      </c>
      <c r="C15660">
        <v>108</v>
      </c>
      <c r="D15660">
        <v>6</v>
      </c>
      <c r="E15660" s="80">
        <v>35892</v>
      </c>
    </row>
    <row r="15661" spans="1:5">
      <c r="A15661">
        <v>11004</v>
      </c>
      <c r="B15661" t="s">
        <v>175</v>
      </c>
      <c r="C15661">
        <v>108</v>
      </c>
      <c r="D15661">
        <v>6</v>
      </c>
      <c r="E15661" s="80">
        <v>35892</v>
      </c>
    </row>
    <row r="15662" spans="1:5">
      <c r="A15662">
        <v>11004</v>
      </c>
      <c r="B15662" t="s">
        <v>176</v>
      </c>
      <c r="C15662">
        <v>108</v>
      </c>
      <c r="D15662">
        <v>6</v>
      </c>
      <c r="E15662" s="80">
        <v>35892</v>
      </c>
    </row>
    <row r="15663" spans="1:5">
      <c r="A15663">
        <v>11004</v>
      </c>
      <c r="B15663" t="s">
        <v>177</v>
      </c>
      <c r="C15663">
        <v>108</v>
      </c>
      <c r="D15663">
        <v>6</v>
      </c>
      <c r="E15663" s="80">
        <v>35892</v>
      </c>
    </row>
    <row r="15664" spans="1:5">
      <c r="A15664">
        <v>11004</v>
      </c>
      <c r="B15664" t="s">
        <v>178</v>
      </c>
      <c r="C15664">
        <v>108</v>
      </c>
      <c r="D15664">
        <v>6</v>
      </c>
      <c r="E15664" s="80">
        <v>35892</v>
      </c>
    </row>
    <row r="15665" spans="1:5">
      <c r="A15665">
        <v>11004</v>
      </c>
      <c r="B15665" t="s">
        <v>179</v>
      </c>
      <c r="C15665">
        <v>108</v>
      </c>
      <c r="D15665">
        <v>6</v>
      </c>
      <c r="E15665" s="80">
        <v>35892</v>
      </c>
    </row>
    <row r="15666" spans="1:5">
      <c r="A15666">
        <v>11005</v>
      </c>
      <c r="B15666" t="s">
        <v>172</v>
      </c>
      <c r="C15666">
        <v>36</v>
      </c>
      <c r="D15666">
        <v>2</v>
      </c>
      <c r="E15666" s="80">
        <v>35892</v>
      </c>
    </row>
    <row r="15667" spans="1:5">
      <c r="A15667">
        <v>11005</v>
      </c>
      <c r="B15667" t="s">
        <v>173</v>
      </c>
      <c r="C15667">
        <v>36</v>
      </c>
      <c r="D15667">
        <v>2</v>
      </c>
      <c r="E15667" s="80">
        <v>35892</v>
      </c>
    </row>
    <row r="15668" spans="1:5">
      <c r="A15668">
        <v>11005</v>
      </c>
      <c r="B15668" t="s">
        <v>174</v>
      </c>
      <c r="C15668">
        <v>36</v>
      </c>
      <c r="D15668">
        <v>2</v>
      </c>
      <c r="E15668" s="80">
        <v>35892</v>
      </c>
    </row>
    <row r="15669" spans="1:5">
      <c r="A15669">
        <v>11005</v>
      </c>
      <c r="B15669" t="s">
        <v>175</v>
      </c>
      <c r="C15669">
        <v>36</v>
      </c>
      <c r="D15669">
        <v>2</v>
      </c>
      <c r="E15669" s="80">
        <v>35892</v>
      </c>
    </row>
    <row r="15670" spans="1:5">
      <c r="A15670">
        <v>11005</v>
      </c>
      <c r="B15670" t="s">
        <v>176</v>
      </c>
      <c r="C15670">
        <v>36</v>
      </c>
      <c r="D15670">
        <v>2</v>
      </c>
      <c r="E15670" s="80">
        <v>35892</v>
      </c>
    </row>
    <row r="15671" spans="1:5">
      <c r="A15671">
        <v>11005</v>
      </c>
      <c r="B15671" t="s">
        <v>177</v>
      </c>
      <c r="C15671">
        <v>36</v>
      </c>
      <c r="D15671">
        <v>2</v>
      </c>
      <c r="E15671" s="80">
        <v>35892</v>
      </c>
    </row>
    <row r="15672" spans="1:5">
      <c r="A15672">
        <v>11005</v>
      </c>
      <c r="B15672" t="s">
        <v>178</v>
      </c>
      <c r="C15672">
        <v>36</v>
      </c>
      <c r="D15672">
        <v>2</v>
      </c>
      <c r="E15672" s="80">
        <v>35892</v>
      </c>
    </row>
    <row r="15673" spans="1:5">
      <c r="A15673">
        <v>11005</v>
      </c>
      <c r="B15673" t="s">
        <v>179</v>
      </c>
      <c r="C15673">
        <v>36</v>
      </c>
      <c r="D15673">
        <v>2</v>
      </c>
      <c r="E15673" s="80">
        <v>35892</v>
      </c>
    </row>
    <row r="15674" spans="1:5">
      <c r="A15674">
        <v>11005</v>
      </c>
      <c r="B15674" t="s">
        <v>172</v>
      </c>
      <c r="C15674">
        <v>550</v>
      </c>
      <c r="D15674">
        <v>10</v>
      </c>
      <c r="E15674" s="80">
        <v>35892</v>
      </c>
    </row>
    <row r="15675" spans="1:5">
      <c r="A15675">
        <v>11005</v>
      </c>
      <c r="B15675" t="s">
        <v>173</v>
      </c>
      <c r="C15675">
        <v>550</v>
      </c>
      <c r="D15675">
        <v>10</v>
      </c>
      <c r="E15675" s="80">
        <v>35892</v>
      </c>
    </row>
    <row r="15676" spans="1:5">
      <c r="A15676">
        <v>11005</v>
      </c>
      <c r="B15676" t="s">
        <v>174</v>
      </c>
      <c r="C15676">
        <v>550</v>
      </c>
      <c r="D15676">
        <v>10</v>
      </c>
      <c r="E15676" s="80">
        <v>35892</v>
      </c>
    </row>
    <row r="15677" spans="1:5">
      <c r="A15677">
        <v>11005</v>
      </c>
      <c r="B15677" t="s">
        <v>175</v>
      </c>
      <c r="C15677">
        <v>550</v>
      </c>
      <c r="D15677">
        <v>10</v>
      </c>
      <c r="E15677" s="80">
        <v>35892</v>
      </c>
    </row>
    <row r="15678" spans="1:5">
      <c r="A15678">
        <v>11005</v>
      </c>
      <c r="B15678" t="s">
        <v>176</v>
      </c>
      <c r="C15678">
        <v>550</v>
      </c>
      <c r="D15678">
        <v>10</v>
      </c>
      <c r="E15678" s="80">
        <v>35892</v>
      </c>
    </row>
    <row r="15679" spans="1:5">
      <c r="A15679">
        <v>11005</v>
      </c>
      <c r="B15679" t="s">
        <v>177</v>
      </c>
      <c r="C15679">
        <v>550</v>
      </c>
      <c r="D15679">
        <v>10</v>
      </c>
      <c r="E15679" s="80">
        <v>35892</v>
      </c>
    </row>
    <row r="15680" spans="1:5">
      <c r="A15680">
        <v>11005</v>
      </c>
      <c r="B15680" t="s">
        <v>178</v>
      </c>
      <c r="C15680">
        <v>550</v>
      </c>
      <c r="D15680">
        <v>10</v>
      </c>
      <c r="E15680" s="80">
        <v>35892</v>
      </c>
    </row>
    <row r="15681" spans="1:5">
      <c r="A15681">
        <v>11005</v>
      </c>
      <c r="B15681" t="s">
        <v>179</v>
      </c>
      <c r="C15681">
        <v>550</v>
      </c>
      <c r="D15681">
        <v>10</v>
      </c>
      <c r="E15681" s="80">
        <v>35892</v>
      </c>
    </row>
    <row r="15682" spans="1:5">
      <c r="A15682">
        <v>11006</v>
      </c>
      <c r="B15682" t="s">
        <v>172</v>
      </c>
      <c r="C15682">
        <v>144</v>
      </c>
      <c r="D15682">
        <v>8</v>
      </c>
      <c r="E15682" s="80">
        <v>35892</v>
      </c>
    </row>
    <row r="15683" spans="1:5">
      <c r="A15683">
        <v>11006</v>
      </c>
      <c r="B15683" t="s">
        <v>173</v>
      </c>
      <c r="C15683">
        <v>144</v>
      </c>
      <c r="D15683">
        <v>8</v>
      </c>
      <c r="E15683" s="80">
        <v>35892</v>
      </c>
    </row>
    <row r="15684" spans="1:5">
      <c r="A15684">
        <v>11006</v>
      </c>
      <c r="B15684" t="s">
        <v>174</v>
      </c>
      <c r="C15684">
        <v>144</v>
      </c>
      <c r="D15684">
        <v>8</v>
      </c>
      <c r="E15684" s="80">
        <v>35892</v>
      </c>
    </row>
    <row r="15685" spans="1:5">
      <c r="A15685">
        <v>11006</v>
      </c>
      <c r="B15685" t="s">
        <v>175</v>
      </c>
      <c r="C15685">
        <v>144</v>
      </c>
      <c r="D15685">
        <v>8</v>
      </c>
      <c r="E15685" s="80">
        <v>35892</v>
      </c>
    </row>
    <row r="15686" spans="1:5">
      <c r="A15686">
        <v>11006</v>
      </c>
      <c r="B15686" t="s">
        <v>176</v>
      </c>
      <c r="C15686">
        <v>144</v>
      </c>
      <c r="D15686">
        <v>8</v>
      </c>
      <c r="E15686" s="80">
        <v>35892</v>
      </c>
    </row>
    <row r="15687" spans="1:5">
      <c r="A15687">
        <v>11006</v>
      </c>
      <c r="B15687" t="s">
        <v>177</v>
      </c>
      <c r="C15687">
        <v>144</v>
      </c>
      <c r="D15687">
        <v>8</v>
      </c>
      <c r="E15687" s="80">
        <v>35892</v>
      </c>
    </row>
    <row r="15688" spans="1:5">
      <c r="A15688">
        <v>11006</v>
      </c>
      <c r="B15688" t="s">
        <v>178</v>
      </c>
      <c r="C15688">
        <v>144</v>
      </c>
      <c r="D15688">
        <v>8</v>
      </c>
      <c r="E15688" s="80">
        <v>35892</v>
      </c>
    </row>
    <row r="15689" spans="1:5">
      <c r="A15689">
        <v>11006</v>
      </c>
      <c r="B15689" t="s">
        <v>179</v>
      </c>
      <c r="C15689">
        <v>144</v>
      </c>
      <c r="D15689">
        <v>8</v>
      </c>
      <c r="E15689" s="80">
        <v>35892</v>
      </c>
    </row>
    <row r="15690" spans="1:5">
      <c r="A15690">
        <v>11006</v>
      </c>
      <c r="B15690" t="s">
        <v>172</v>
      </c>
      <c r="C15690">
        <v>185.685</v>
      </c>
      <c r="D15690">
        <v>2</v>
      </c>
      <c r="E15690" s="80">
        <v>35892</v>
      </c>
    </row>
    <row r="15691" spans="1:5">
      <c r="A15691">
        <v>11006</v>
      </c>
      <c r="B15691" t="s">
        <v>173</v>
      </c>
      <c r="C15691">
        <v>185.685</v>
      </c>
      <c r="D15691">
        <v>2</v>
      </c>
      <c r="E15691" s="80">
        <v>35892</v>
      </c>
    </row>
    <row r="15692" spans="1:5">
      <c r="A15692">
        <v>11006</v>
      </c>
      <c r="B15692" t="s">
        <v>174</v>
      </c>
      <c r="C15692">
        <v>185.685</v>
      </c>
      <c r="D15692">
        <v>2</v>
      </c>
      <c r="E15692" s="80">
        <v>35892</v>
      </c>
    </row>
    <row r="15693" spans="1:5">
      <c r="A15693">
        <v>11006</v>
      </c>
      <c r="B15693" t="s">
        <v>175</v>
      </c>
      <c r="C15693">
        <v>185.685</v>
      </c>
      <c r="D15693">
        <v>2</v>
      </c>
      <c r="E15693" s="80">
        <v>35892</v>
      </c>
    </row>
    <row r="15694" spans="1:5">
      <c r="A15694">
        <v>11006</v>
      </c>
      <c r="B15694" t="s">
        <v>176</v>
      </c>
      <c r="C15694">
        <v>185.685</v>
      </c>
      <c r="D15694">
        <v>2</v>
      </c>
      <c r="E15694" s="80">
        <v>35892</v>
      </c>
    </row>
    <row r="15695" spans="1:5">
      <c r="A15695">
        <v>11006</v>
      </c>
      <c r="B15695" t="s">
        <v>177</v>
      </c>
      <c r="C15695">
        <v>185.685</v>
      </c>
      <c r="D15695">
        <v>2</v>
      </c>
      <c r="E15695" s="80">
        <v>35892</v>
      </c>
    </row>
    <row r="15696" spans="1:5">
      <c r="A15696">
        <v>11006</v>
      </c>
      <c r="B15696" t="s">
        <v>178</v>
      </c>
      <c r="C15696">
        <v>185.685</v>
      </c>
      <c r="D15696">
        <v>2</v>
      </c>
      <c r="E15696" s="80">
        <v>35892</v>
      </c>
    </row>
    <row r="15697" spans="1:5">
      <c r="A15697">
        <v>11006</v>
      </c>
      <c r="B15697" t="s">
        <v>179</v>
      </c>
      <c r="C15697">
        <v>185.685</v>
      </c>
      <c r="D15697">
        <v>2</v>
      </c>
      <c r="E15697" s="80">
        <v>35892</v>
      </c>
    </row>
    <row r="15698" spans="1:5">
      <c r="A15698">
        <v>11007</v>
      </c>
      <c r="B15698" t="s">
        <v>172</v>
      </c>
      <c r="C15698">
        <v>1200</v>
      </c>
      <c r="D15698">
        <v>30</v>
      </c>
      <c r="E15698" s="80">
        <v>35893</v>
      </c>
    </row>
    <row r="15699" spans="1:5">
      <c r="A15699">
        <v>11007</v>
      </c>
      <c r="B15699" t="s">
        <v>173</v>
      </c>
      <c r="C15699">
        <v>1200</v>
      </c>
      <c r="D15699">
        <v>30</v>
      </c>
      <c r="E15699" s="80">
        <v>35893</v>
      </c>
    </row>
    <row r="15700" spans="1:5">
      <c r="A15700">
        <v>11007</v>
      </c>
      <c r="B15700" t="s">
        <v>174</v>
      </c>
      <c r="C15700">
        <v>1200</v>
      </c>
      <c r="D15700">
        <v>30</v>
      </c>
      <c r="E15700" s="80">
        <v>35893</v>
      </c>
    </row>
    <row r="15701" spans="1:5">
      <c r="A15701">
        <v>11007</v>
      </c>
      <c r="B15701" t="s">
        <v>175</v>
      </c>
      <c r="C15701">
        <v>1200</v>
      </c>
      <c r="D15701">
        <v>30</v>
      </c>
      <c r="E15701" s="80">
        <v>35893</v>
      </c>
    </row>
    <row r="15702" spans="1:5">
      <c r="A15702">
        <v>11007</v>
      </c>
      <c r="B15702" t="s">
        <v>176</v>
      </c>
      <c r="C15702">
        <v>1200</v>
      </c>
      <c r="D15702">
        <v>30</v>
      </c>
      <c r="E15702" s="80">
        <v>35893</v>
      </c>
    </row>
    <row r="15703" spans="1:5">
      <c r="A15703">
        <v>11007</v>
      </c>
      <c r="B15703" t="s">
        <v>177</v>
      </c>
      <c r="C15703">
        <v>1200</v>
      </c>
      <c r="D15703">
        <v>30</v>
      </c>
      <c r="E15703" s="80">
        <v>35893</v>
      </c>
    </row>
    <row r="15704" spans="1:5">
      <c r="A15704">
        <v>11007</v>
      </c>
      <c r="B15704" t="s">
        <v>178</v>
      </c>
      <c r="C15704">
        <v>1200</v>
      </c>
      <c r="D15704">
        <v>30</v>
      </c>
      <c r="E15704" s="80">
        <v>35893</v>
      </c>
    </row>
    <row r="15705" spans="1:5">
      <c r="A15705">
        <v>11007</v>
      </c>
      <c r="B15705" t="s">
        <v>179</v>
      </c>
      <c r="C15705">
        <v>1200</v>
      </c>
      <c r="D15705">
        <v>30</v>
      </c>
      <c r="E15705" s="80">
        <v>35893</v>
      </c>
    </row>
    <row r="15706" spans="1:5">
      <c r="A15706">
        <v>11007</v>
      </c>
      <c r="B15706" t="s">
        <v>172</v>
      </c>
      <c r="C15706">
        <v>1237.9000000000001</v>
      </c>
      <c r="D15706">
        <v>10</v>
      </c>
      <c r="E15706" s="80">
        <v>35893</v>
      </c>
    </row>
    <row r="15707" spans="1:5">
      <c r="A15707">
        <v>11007</v>
      </c>
      <c r="B15707" t="s">
        <v>173</v>
      </c>
      <c r="C15707">
        <v>1237.9000000000001</v>
      </c>
      <c r="D15707">
        <v>10</v>
      </c>
      <c r="E15707" s="80">
        <v>35893</v>
      </c>
    </row>
    <row r="15708" spans="1:5">
      <c r="A15708">
        <v>11007</v>
      </c>
      <c r="B15708" t="s">
        <v>174</v>
      </c>
      <c r="C15708">
        <v>1237.9000000000001</v>
      </c>
      <c r="D15708">
        <v>10</v>
      </c>
      <c r="E15708" s="80">
        <v>35893</v>
      </c>
    </row>
    <row r="15709" spans="1:5">
      <c r="A15709">
        <v>11007</v>
      </c>
      <c r="B15709" t="s">
        <v>175</v>
      </c>
      <c r="C15709">
        <v>1237.9000000000001</v>
      </c>
      <c r="D15709">
        <v>10</v>
      </c>
      <c r="E15709" s="80">
        <v>35893</v>
      </c>
    </row>
    <row r="15710" spans="1:5">
      <c r="A15710">
        <v>11007</v>
      </c>
      <c r="B15710" t="s">
        <v>176</v>
      </c>
      <c r="C15710">
        <v>1237.9000000000001</v>
      </c>
      <c r="D15710">
        <v>10</v>
      </c>
      <c r="E15710" s="80">
        <v>35893</v>
      </c>
    </row>
    <row r="15711" spans="1:5">
      <c r="A15711">
        <v>11007</v>
      </c>
      <c r="B15711" t="s">
        <v>177</v>
      </c>
      <c r="C15711">
        <v>1237.9000000000001</v>
      </c>
      <c r="D15711">
        <v>10</v>
      </c>
      <c r="E15711" s="80">
        <v>35893</v>
      </c>
    </row>
    <row r="15712" spans="1:5">
      <c r="A15712">
        <v>11007</v>
      </c>
      <c r="B15712" t="s">
        <v>178</v>
      </c>
      <c r="C15712">
        <v>1237.9000000000001</v>
      </c>
      <c r="D15712">
        <v>10</v>
      </c>
      <c r="E15712" s="80">
        <v>35893</v>
      </c>
    </row>
    <row r="15713" spans="1:5">
      <c r="A15713">
        <v>11007</v>
      </c>
      <c r="B15713" t="s">
        <v>179</v>
      </c>
      <c r="C15713">
        <v>1237.9000000000001</v>
      </c>
      <c r="D15713">
        <v>10</v>
      </c>
      <c r="E15713" s="80">
        <v>35893</v>
      </c>
    </row>
    <row r="15714" spans="1:5">
      <c r="A15714">
        <v>11007</v>
      </c>
      <c r="B15714" t="s">
        <v>172</v>
      </c>
      <c r="C15714">
        <v>196</v>
      </c>
      <c r="D15714">
        <v>14</v>
      </c>
      <c r="E15714" s="80">
        <v>35893</v>
      </c>
    </row>
    <row r="15715" spans="1:5">
      <c r="A15715">
        <v>11007</v>
      </c>
      <c r="B15715" t="s">
        <v>173</v>
      </c>
      <c r="C15715">
        <v>196</v>
      </c>
      <c r="D15715">
        <v>14</v>
      </c>
      <c r="E15715" s="80">
        <v>35893</v>
      </c>
    </row>
    <row r="15716" spans="1:5">
      <c r="A15716">
        <v>11007</v>
      </c>
      <c r="B15716" t="s">
        <v>174</v>
      </c>
      <c r="C15716">
        <v>196</v>
      </c>
      <c r="D15716">
        <v>14</v>
      </c>
      <c r="E15716" s="80">
        <v>35893</v>
      </c>
    </row>
    <row r="15717" spans="1:5">
      <c r="A15717">
        <v>11007</v>
      </c>
      <c r="B15717" t="s">
        <v>175</v>
      </c>
      <c r="C15717">
        <v>196</v>
      </c>
      <c r="D15717">
        <v>14</v>
      </c>
      <c r="E15717" s="80">
        <v>35893</v>
      </c>
    </row>
    <row r="15718" spans="1:5">
      <c r="A15718">
        <v>11007</v>
      </c>
      <c r="B15718" t="s">
        <v>176</v>
      </c>
      <c r="C15718">
        <v>196</v>
      </c>
      <c r="D15718">
        <v>14</v>
      </c>
      <c r="E15718" s="80">
        <v>35893</v>
      </c>
    </row>
    <row r="15719" spans="1:5">
      <c r="A15719">
        <v>11007</v>
      </c>
      <c r="B15719" t="s">
        <v>177</v>
      </c>
      <c r="C15719">
        <v>196</v>
      </c>
      <c r="D15719">
        <v>14</v>
      </c>
      <c r="E15719" s="80">
        <v>35893</v>
      </c>
    </row>
    <row r="15720" spans="1:5">
      <c r="A15720">
        <v>11007</v>
      </c>
      <c r="B15720" t="s">
        <v>178</v>
      </c>
      <c r="C15720">
        <v>196</v>
      </c>
      <c r="D15720">
        <v>14</v>
      </c>
      <c r="E15720" s="80">
        <v>35893</v>
      </c>
    </row>
    <row r="15721" spans="1:5">
      <c r="A15721">
        <v>11007</v>
      </c>
      <c r="B15721" t="s">
        <v>179</v>
      </c>
      <c r="C15721">
        <v>196</v>
      </c>
      <c r="D15721">
        <v>14</v>
      </c>
      <c r="E15721" s="80">
        <v>35893</v>
      </c>
    </row>
    <row r="15722" spans="1:5">
      <c r="A15722">
        <v>11008</v>
      </c>
      <c r="B15722" t="s">
        <v>172</v>
      </c>
      <c r="C15722">
        <v>3032.3999976217747</v>
      </c>
      <c r="D15722">
        <v>70</v>
      </c>
      <c r="E15722" s="80">
        <v>35893</v>
      </c>
    </row>
    <row r="15723" spans="1:5">
      <c r="A15723">
        <v>11008</v>
      </c>
      <c r="B15723" t="s">
        <v>173</v>
      </c>
      <c r="C15723">
        <v>3032.3999976217747</v>
      </c>
      <c r="D15723">
        <v>70</v>
      </c>
      <c r="E15723" s="80">
        <v>35893</v>
      </c>
    </row>
    <row r="15724" spans="1:5">
      <c r="A15724">
        <v>11008</v>
      </c>
      <c r="B15724" t="s">
        <v>174</v>
      </c>
      <c r="C15724">
        <v>3032.3999976217747</v>
      </c>
      <c r="D15724">
        <v>70</v>
      </c>
      <c r="E15724" s="80">
        <v>35893</v>
      </c>
    </row>
    <row r="15725" spans="1:5">
      <c r="A15725">
        <v>11008</v>
      </c>
      <c r="B15725" t="s">
        <v>175</v>
      </c>
      <c r="C15725">
        <v>3032.3999976217747</v>
      </c>
      <c r="D15725">
        <v>70</v>
      </c>
      <c r="E15725" s="80">
        <v>35893</v>
      </c>
    </row>
    <row r="15726" spans="1:5">
      <c r="A15726">
        <v>11008</v>
      </c>
      <c r="B15726" t="s">
        <v>176</v>
      </c>
      <c r="C15726">
        <v>3032.3999976217747</v>
      </c>
      <c r="D15726">
        <v>70</v>
      </c>
      <c r="E15726" s="80">
        <v>35893</v>
      </c>
    </row>
    <row r="15727" spans="1:5">
      <c r="A15727">
        <v>11008</v>
      </c>
      <c r="B15727" t="s">
        <v>177</v>
      </c>
      <c r="C15727">
        <v>3032.3999976217747</v>
      </c>
      <c r="D15727">
        <v>70</v>
      </c>
      <c r="E15727" s="80">
        <v>35893</v>
      </c>
    </row>
    <row r="15728" spans="1:5">
      <c r="A15728">
        <v>11008</v>
      </c>
      <c r="B15728" t="s">
        <v>178</v>
      </c>
      <c r="C15728">
        <v>3032.3999976217747</v>
      </c>
      <c r="D15728">
        <v>70</v>
      </c>
      <c r="E15728" s="80">
        <v>35893</v>
      </c>
    </row>
    <row r="15729" spans="1:5">
      <c r="A15729">
        <v>11008</v>
      </c>
      <c r="B15729" t="s">
        <v>179</v>
      </c>
      <c r="C15729">
        <v>3032.3999976217747</v>
      </c>
      <c r="D15729">
        <v>70</v>
      </c>
      <c r="E15729" s="80">
        <v>35893</v>
      </c>
    </row>
    <row r="15730" spans="1:5">
      <c r="A15730">
        <v>11008</v>
      </c>
      <c r="B15730" t="s">
        <v>172</v>
      </c>
      <c r="C15730">
        <v>1196.9999990612268</v>
      </c>
      <c r="D15730">
        <v>90</v>
      </c>
      <c r="E15730" s="80">
        <v>35893</v>
      </c>
    </row>
    <row r="15731" spans="1:5">
      <c r="A15731">
        <v>11008</v>
      </c>
      <c r="B15731" t="s">
        <v>173</v>
      </c>
      <c r="C15731">
        <v>1196.9999990612268</v>
      </c>
      <c r="D15731">
        <v>90</v>
      </c>
      <c r="E15731" s="80">
        <v>35893</v>
      </c>
    </row>
    <row r="15732" spans="1:5">
      <c r="A15732">
        <v>11008</v>
      </c>
      <c r="B15732" t="s">
        <v>174</v>
      </c>
      <c r="C15732">
        <v>1196.9999990612268</v>
      </c>
      <c r="D15732">
        <v>90</v>
      </c>
      <c r="E15732" s="80">
        <v>35893</v>
      </c>
    </row>
    <row r="15733" spans="1:5">
      <c r="A15733">
        <v>11008</v>
      </c>
      <c r="B15733" t="s">
        <v>175</v>
      </c>
      <c r="C15733">
        <v>1196.9999990612268</v>
      </c>
      <c r="D15733">
        <v>90</v>
      </c>
      <c r="E15733" s="80">
        <v>35893</v>
      </c>
    </row>
    <row r="15734" spans="1:5">
      <c r="A15734">
        <v>11008</v>
      </c>
      <c r="B15734" t="s">
        <v>176</v>
      </c>
      <c r="C15734">
        <v>1196.9999990612268</v>
      </c>
      <c r="D15734">
        <v>90</v>
      </c>
      <c r="E15734" s="80">
        <v>35893</v>
      </c>
    </row>
    <row r="15735" spans="1:5">
      <c r="A15735">
        <v>11008</v>
      </c>
      <c r="B15735" t="s">
        <v>177</v>
      </c>
      <c r="C15735">
        <v>1196.9999990612268</v>
      </c>
      <c r="D15735">
        <v>90</v>
      </c>
      <c r="E15735" s="80">
        <v>35893</v>
      </c>
    </row>
    <row r="15736" spans="1:5">
      <c r="A15736">
        <v>11008</v>
      </c>
      <c r="B15736" t="s">
        <v>178</v>
      </c>
      <c r="C15736">
        <v>1196.9999990612268</v>
      </c>
      <c r="D15736">
        <v>90</v>
      </c>
      <c r="E15736" s="80">
        <v>35893</v>
      </c>
    </row>
    <row r="15737" spans="1:5">
      <c r="A15737">
        <v>11008</v>
      </c>
      <c r="B15737" t="s">
        <v>179</v>
      </c>
      <c r="C15737">
        <v>1196.9999990612268</v>
      </c>
      <c r="D15737">
        <v>90</v>
      </c>
      <c r="E15737" s="80">
        <v>35893</v>
      </c>
    </row>
    <row r="15738" spans="1:5">
      <c r="A15738">
        <v>11008</v>
      </c>
      <c r="B15738" t="s">
        <v>172</v>
      </c>
      <c r="C15738">
        <v>451.5</v>
      </c>
      <c r="D15738">
        <v>21</v>
      </c>
      <c r="E15738" s="80">
        <v>35893</v>
      </c>
    </row>
    <row r="15739" spans="1:5">
      <c r="A15739">
        <v>11008</v>
      </c>
      <c r="B15739" t="s">
        <v>173</v>
      </c>
      <c r="C15739">
        <v>451.5</v>
      </c>
      <c r="D15739">
        <v>21</v>
      </c>
      <c r="E15739" s="80">
        <v>35893</v>
      </c>
    </row>
    <row r="15740" spans="1:5">
      <c r="A15740">
        <v>11008</v>
      </c>
      <c r="B15740" t="s">
        <v>174</v>
      </c>
      <c r="C15740">
        <v>451.5</v>
      </c>
      <c r="D15740">
        <v>21</v>
      </c>
      <c r="E15740" s="80">
        <v>35893</v>
      </c>
    </row>
    <row r="15741" spans="1:5">
      <c r="A15741">
        <v>11008</v>
      </c>
      <c r="B15741" t="s">
        <v>175</v>
      </c>
      <c r="C15741">
        <v>451.5</v>
      </c>
      <c r="D15741">
        <v>21</v>
      </c>
      <c r="E15741" s="80">
        <v>35893</v>
      </c>
    </row>
    <row r="15742" spans="1:5">
      <c r="A15742">
        <v>11008</v>
      </c>
      <c r="B15742" t="s">
        <v>176</v>
      </c>
      <c r="C15742">
        <v>451.5</v>
      </c>
      <c r="D15742">
        <v>21</v>
      </c>
      <c r="E15742" s="80">
        <v>35893</v>
      </c>
    </row>
    <row r="15743" spans="1:5">
      <c r="A15743">
        <v>11008</v>
      </c>
      <c r="B15743" t="s">
        <v>177</v>
      </c>
      <c r="C15743">
        <v>451.5</v>
      </c>
      <c r="D15743">
        <v>21</v>
      </c>
      <c r="E15743" s="80">
        <v>35893</v>
      </c>
    </row>
    <row r="15744" spans="1:5">
      <c r="A15744">
        <v>11008</v>
      </c>
      <c r="B15744" t="s">
        <v>178</v>
      </c>
      <c r="C15744">
        <v>451.5</v>
      </c>
      <c r="D15744">
        <v>21</v>
      </c>
      <c r="E15744" s="80">
        <v>35893</v>
      </c>
    </row>
    <row r="15745" spans="1:5">
      <c r="A15745">
        <v>11008</v>
      </c>
      <c r="B15745" t="s">
        <v>179</v>
      </c>
      <c r="C15745">
        <v>451.5</v>
      </c>
      <c r="D15745">
        <v>21</v>
      </c>
      <c r="E15745" s="80">
        <v>35893</v>
      </c>
    </row>
    <row r="15746" spans="1:5">
      <c r="A15746">
        <v>11009</v>
      </c>
      <c r="B15746" t="s">
        <v>172</v>
      </c>
      <c r="C15746">
        <v>54</v>
      </c>
      <c r="D15746">
        <v>12</v>
      </c>
      <c r="E15746" s="80">
        <v>35893</v>
      </c>
    </row>
    <row r="15747" spans="1:5">
      <c r="A15747">
        <v>11009</v>
      </c>
      <c r="B15747" t="s">
        <v>173</v>
      </c>
      <c r="C15747">
        <v>54</v>
      </c>
      <c r="D15747">
        <v>12</v>
      </c>
      <c r="E15747" s="80">
        <v>35893</v>
      </c>
    </row>
    <row r="15748" spans="1:5">
      <c r="A15748">
        <v>11009</v>
      </c>
      <c r="B15748" t="s">
        <v>174</v>
      </c>
      <c r="C15748">
        <v>54</v>
      </c>
      <c r="D15748">
        <v>12</v>
      </c>
      <c r="E15748" s="80">
        <v>35893</v>
      </c>
    </row>
    <row r="15749" spans="1:5">
      <c r="A15749">
        <v>11009</v>
      </c>
      <c r="B15749" t="s">
        <v>175</v>
      </c>
      <c r="C15749">
        <v>54</v>
      </c>
      <c r="D15749">
        <v>12</v>
      </c>
      <c r="E15749" s="80">
        <v>35893</v>
      </c>
    </row>
    <row r="15750" spans="1:5">
      <c r="A15750">
        <v>11009</v>
      </c>
      <c r="B15750" t="s">
        <v>176</v>
      </c>
      <c r="C15750">
        <v>54</v>
      </c>
      <c r="D15750">
        <v>12</v>
      </c>
      <c r="E15750" s="80">
        <v>35893</v>
      </c>
    </row>
    <row r="15751" spans="1:5">
      <c r="A15751">
        <v>11009</v>
      </c>
      <c r="B15751" t="s">
        <v>177</v>
      </c>
      <c r="C15751">
        <v>54</v>
      </c>
      <c r="D15751">
        <v>12</v>
      </c>
      <c r="E15751" s="80">
        <v>35893</v>
      </c>
    </row>
    <row r="15752" spans="1:5">
      <c r="A15752">
        <v>11009</v>
      </c>
      <c r="B15752" t="s">
        <v>178</v>
      </c>
      <c r="C15752">
        <v>54</v>
      </c>
      <c r="D15752">
        <v>12</v>
      </c>
      <c r="E15752" s="80">
        <v>35893</v>
      </c>
    </row>
    <row r="15753" spans="1:5">
      <c r="A15753">
        <v>11009</v>
      </c>
      <c r="B15753" t="s">
        <v>179</v>
      </c>
      <c r="C15753">
        <v>54</v>
      </c>
      <c r="D15753">
        <v>12</v>
      </c>
      <c r="E15753" s="80">
        <v>35893</v>
      </c>
    </row>
    <row r="15754" spans="1:5">
      <c r="A15754">
        <v>11009</v>
      </c>
      <c r="B15754" t="s">
        <v>172</v>
      </c>
      <c r="C15754">
        <v>256.5</v>
      </c>
      <c r="D15754">
        <v>18</v>
      </c>
      <c r="E15754" s="80">
        <v>35893</v>
      </c>
    </row>
    <row r="15755" spans="1:5">
      <c r="A15755">
        <v>11009</v>
      </c>
      <c r="B15755" t="s">
        <v>173</v>
      </c>
      <c r="C15755">
        <v>256.5</v>
      </c>
      <c r="D15755">
        <v>18</v>
      </c>
      <c r="E15755" s="80">
        <v>35893</v>
      </c>
    </row>
    <row r="15756" spans="1:5">
      <c r="A15756">
        <v>11009</v>
      </c>
      <c r="B15756" t="s">
        <v>174</v>
      </c>
      <c r="C15756">
        <v>256.5</v>
      </c>
      <c r="D15756">
        <v>18</v>
      </c>
      <c r="E15756" s="80">
        <v>35893</v>
      </c>
    </row>
    <row r="15757" spans="1:5">
      <c r="A15757">
        <v>11009</v>
      </c>
      <c r="B15757" t="s">
        <v>175</v>
      </c>
      <c r="C15757">
        <v>256.5</v>
      </c>
      <c r="D15757">
        <v>18</v>
      </c>
      <c r="E15757" s="80">
        <v>35893</v>
      </c>
    </row>
    <row r="15758" spans="1:5">
      <c r="A15758">
        <v>11009</v>
      </c>
      <c r="B15758" t="s">
        <v>176</v>
      </c>
      <c r="C15758">
        <v>256.5</v>
      </c>
      <c r="D15758">
        <v>18</v>
      </c>
      <c r="E15758" s="80">
        <v>35893</v>
      </c>
    </row>
    <row r="15759" spans="1:5">
      <c r="A15759">
        <v>11009</v>
      </c>
      <c r="B15759" t="s">
        <v>177</v>
      </c>
      <c r="C15759">
        <v>256.5</v>
      </c>
      <c r="D15759">
        <v>18</v>
      </c>
      <c r="E15759" s="80">
        <v>35893</v>
      </c>
    </row>
    <row r="15760" spans="1:5">
      <c r="A15760">
        <v>11009</v>
      </c>
      <c r="B15760" t="s">
        <v>178</v>
      </c>
      <c r="C15760">
        <v>256.5</v>
      </c>
      <c r="D15760">
        <v>18</v>
      </c>
      <c r="E15760" s="80">
        <v>35893</v>
      </c>
    </row>
    <row r="15761" spans="1:5">
      <c r="A15761">
        <v>11009</v>
      </c>
      <c r="B15761" t="s">
        <v>179</v>
      </c>
      <c r="C15761">
        <v>256.5</v>
      </c>
      <c r="D15761">
        <v>18</v>
      </c>
      <c r="E15761" s="80">
        <v>35893</v>
      </c>
    </row>
    <row r="15762" spans="1:5">
      <c r="A15762">
        <v>11009</v>
      </c>
      <c r="B15762" t="s">
        <v>172</v>
      </c>
      <c r="C15762">
        <v>306</v>
      </c>
      <c r="D15762">
        <v>9</v>
      </c>
      <c r="E15762" s="80">
        <v>35893</v>
      </c>
    </row>
    <row r="15763" spans="1:5">
      <c r="A15763">
        <v>11009</v>
      </c>
      <c r="B15763" t="s">
        <v>173</v>
      </c>
      <c r="C15763">
        <v>306</v>
      </c>
      <c r="D15763">
        <v>9</v>
      </c>
      <c r="E15763" s="80">
        <v>35893</v>
      </c>
    </row>
    <row r="15764" spans="1:5">
      <c r="A15764">
        <v>11009</v>
      </c>
      <c r="B15764" t="s">
        <v>174</v>
      </c>
      <c r="C15764">
        <v>306</v>
      </c>
      <c r="D15764">
        <v>9</v>
      </c>
      <c r="E15764" s="80">
        <v>35893</v>
      </c>
    </row>
    <row r="15765" spans="1:5">
      <c r="A15765">
        <v>11009</v>
      </c>
      <c r="B15765" t="s">
        <v>175</v>
      </c>
      <c r="C15765">
        <v>306</v>
      </c>
      <c r="D15765">
        <v>9</v>
      </c>
      <c r="E15765" s="80">
        <v>35893</v>
      </c>
    </row>
    <row r="15766" spans="1:5">
      <c r="A15766">
        <v>11009</v>
      </c>
      <c r="B15766" t="s">
        <v>176</v>
      </c>
      <c r="C15766">
        <v>306</v>
      </c>
      <c r="D15766">
        <v>9</v>
      </c>
      <c r="E15766" s="80">
        <v>35893</v>
      </c>
    </row>
    <row r="15767" spans="1:5">
      <c r="A15767">
        <v>11009</v>
      </c>
      <c r="B15767" t="s">
        <v>177</v>
      </c>
      <c r="C15767">
        <v>306</v>
      </c>
      <c r="D15767">
        <v>9</v>
      </c>
      <c r="E15767" s="80">
        <v>35893</v>
      </c>
    </row>
    <row r="15768" spans="1:5">
      <c r="A15768">
        <v>11009</v>
      </c>
      <c r="B15768" t="s">
        <v>178</v>
      </c>
      <c r="C15768">
        <v>306</v>
      </c>
      <c r="D15768">
        <v>9</v>
      </c>
      <c r="E15768" s="80">
        <v>35893</v>
      </c>
    </row>
    <row r="15769" spans="1:5">
      <c r="A15769">
        <v>11009</v>
      </c>
      <c r="B15769" t="s">
        <v>179</v>
      </c>
      <c r="C15769">
        <v>306</v>
      </c>
      <c r="D15769">
        <v>9</v>
      </c>
      <c r="E15769" s="80">
        <v>35893</v>
      </c>
    </row>
    <row r="15770" spans="1:5">
      <c r="A15770">
        <v>11010</v>
      </c>
      <c r="B15770" t="s">
        <v>172</v>
      </c>
      <c r="C15770">
        <v>600</v>
      </c>
      <c r="D15770">
        <v>20</v>
      </c>
      <c r="E15770" s="80">
        <v>35894</v>
      </c>
    </row>
    <row r="15771" spans="1:5">
      <c r="A15771">
        <v>11010</v>
      </c>
      <c r="B15771" t="s">
        <v>173</v>
      </c>
      <c r="C15771">
        <v>600</v>
      </c>
      <c r="D15771">
        <v>20</v>
      </c>
      <c r="E15771" s="80">
        <v>35894</v>
      </c>
    </row>
    <row r="15772" spans="1:5">
      <c r="A15772">
        <v>11010</v>
      </c>
      <c r="B15772" t="s">
        <v>174</v>
      </c>
      <c r="C15772">
        <v>600</v>
      </c>
      <c r="D15772">
        <v>20</v>
      </c>
      <c r="E15772" s="80">
        <v>35894</v>
      </c>
    </row>
    <row r="15773" spans="1:5">
      <c r="A15773">
        <v>11010</v>
      </c>
      <c r="B15773" t="s">
        <v>175</v>
      </c>
      <c r="C15773">
        <v>600</v>
      </c>
      <c r="D15773">
        <v>20</v>
      </c>
      <c r="E15773" s="80">
        <v>35894</v>
      </c>
    </row>
    <row r="15774" spans="1:5">
      <c r="A15774">
        <v>11010</v>
      </c>
      <c r="B15774" t="s">
        <v>176</v>
      </c>
      <c r="C15774">
        <v>600</v>
      </c>
      <c r="D15774">
        <v>20</v>
      </c>
      <c r="E15774" s="80">
        <v>35894</v>
      </c>
    </row>
    <row r="15775" spans="1:5">
      <c r="A15775">
        <v>11010</v>
      </c>
      <c r="B15775" t="s">
        <v>177</v>
      </c>
      <c r="C15775">
        <v>600</v>
      </c>
      <c r="D15775">
        <v>20</v>
      </c>
      <c r="E15775" s="80">
        <v>35894</v>
      </c>
    </row>
    <row r="15776" spans="1:5">
      <c r="A15776">
        <v>11010</v>
      </c>
      <c r="B15776" t="s">
        <v>178</v>
      </c>
      <c r="C15776">
        <v>600</v>
      </c>
      <c r="D15776">
        <v>20</v>
      </c>
      <c r="E15776" s="80">
        <v>35894</v>
      </c>
    </row>
    <row r="15777" spans="1:5">
      <c r="A15777">
        <v>11010</v>
      </c>
      <c r="B15777" t="s">
        <v>179</v>
      </c>
      <c r="C15777">
        <v>600</v>
      </c>
      <c r="D15777">
        <v>20</v>
      </c>
      <c r="E15777" s="80">
        <v>35894</v>
      </c>
    </row>
    <row r="15778" spans="1:5">
      <c r="A15778">
        <v>11010</v>
      </c>
      <c r="B15778" t="s">
        <v>172</v>
      </c>
      <c r="C15778">
        <v>45</v>
      </c>
      <c r="D15778">
        <v>10</v>
      </c>
      <c r="E15778" s="80">
        <v>35894</v>
      </c>
    </row>
    <row r="15779" spans="1:5">
      <c r="A15779">
        <v>11010</v>
      </c>
      <c r="B15779" t="s">
        <v>173</v>
      </c>
      <c r="C15779">
        <v>45</v>
      </c>
      <c r="D15779">
        <v>10</v>
      </c>
      <c r="E15779" s="80">
        <v>35894</v>
      </c>
    </row>
    <row r="15780" spans="1:5">
      <c r="A15780">
        <v>11010</v>
      </c>
      <c r="B15780" t="s">
        <v>174</v>
      </c>
      <c r="C15780">
        <v>45</v>
      </c>
      <c r="D15780">
        <v>10</v>
      </c>
      <c r="E15780" s="80">
        <v>35894</v>
      </c>
    </row>
    <row r="15781" spans="1:5">
      <c r="A15781">
        <v>11010</v>
      </c>
      <c r="B15781" t="s">
        <v>175</v>
      </c>
      <c r="C15781">
        <v>45</v>
      </c>
      <c r="D15781">
        <v>10</v>
      </c>
      <c r="E15781" s="80">
        <v>35894</v>
      </c>
    </row>
    <row r="15782" spans="1:5">
      <c r="A15782">
        <v>11010</v>
      </c>
      <c r="B15782" t="s">
        <v>176</v>
      </c>
      <c r="C15782">
        <v>45</v>
      </c>
      <c r="D15782">
        <v>10</v>
      </c>
      <c r="E15782" s="80">
        <v>35894</v>
      </c>
    </row>
    <row r="15783" spans="1:5">
      <c r="A15783">
        <v>11010</v>
      </c>
      <c r="B15783" t="s">
        <v>177</v>
      </c>
      <c r="C15783">
        <v>45</v>
      </c>
      <c r="D15783">
        <v>10</v>
      </c>
      <c r="E15783" s="80">
        <v>35894</v>
      </c>
    </row>
    <row r="15784" spans="1:5">
      <c r="A15784">
        <v>11010</v>
      </c>
      <c r="B15784" t="s">
        <v>178</v>
      </c>
      <c r="C15784">
        <v>45</v>
      </c>
      <c r="D15784">
        <v>10</v>
      </c>
      <c r="E15784" s="80">
        <v>35894</v>
      </c>
    </row>
    <row r="15785" spans="1:5">
      <c r="A15785">
        <v>11010</v>
      </c>
      <c r="B15785" t="s">
        <v>179</v>
      </c>
      <c r="C15785">
        <v>45</v>
      </c>
      <c r="D15785">
        <v>10</v>
      </c>
      <c r="E15785" s="80">
        <v>35894</v>
      </c>
    </row>
    <row r="15786" spans="1:5">
      <c r="A15786">
        <v>11011</v>
      </c>
      <c r="B15786" t="s">
        <v>172</v>
      </c>
      <c r="C15786">
        <v>503.49999960511923</v>
      </c>
      <c r="D15786">
        <v>40</v>
      </c>
      <c r="E15786" s="80">
        <v>35894</v>
      </c>
    </row>
    <row r="15787" spans="1:5">
      <c r="A15787">
        <v>11011</v>
      </c>
      <c r="B15787" t="s">
        <v>173</v>
      </c>
      <c r="C15787">
        <v>503.49999960511923</v>
      </c>
      <c r="D15787">
        <v>40</v>
      </c>
      <c r="E15787" s="80">
        <v>35894</v>
      </c>
    </row>
    <row r="15788" spans="1:5">
      <c r="A15788">
        <v>11011</v>
      </c>
      <c r="B15788" t="s">
        <v>174</v>
      </c>
      <c r="C15788">
        <v>503.49999960511923</v>
      </c>
      <c r="D15788">
        <v>40</v>
      </c>
      <c r="E15788" s="80">
        <v>35894</v>
      </c>
    </row>
    <row r="15789" spans="1:5">
      <c r="A15789">
        <v>11011</v>
      </c>
      <c r="B15789" t="s">
        <v>175</v>
      </c>
      <c r="C15789">
        <v>503.49999960511923</v>
      </c>
      <c r="D15789">
        <v>40</v>
      </c>
      <c r="E15789" s="80">
        <v>35894</v>
      </c>
    </row>
    <row r="15790" spans="1:5">
      <c r="A15790">
        <v>11011</v>
      </c>
      <c r="B15790" t="s">
        <v>176</v>
      </c>
      <c r="C15790">
        <v>503.49999960511923</v>
      </c>
      <c r="D15790">
        <v>40</v>
      </c>
      <c r="E15790" s="80">
        <v>35894</v>
      </c>
    </row>
    <row r="15791" spans="1:5">
      <c r="A15791">
        <v>11011</v>
      </c>
      <c r="B15791" t="s">
        <v>177</v>
      </c>
      <c r="C15791">
        <v>503.49999960511923</v>
      </c>
      <c r="D15791">
        <v>40</v>
      </c>
      <c r="E15791" s="80">
        <v>35894</v>
      </c>
    </row>
    <row r="15792" spans="1:5">
      <c r="A15792">
        <v>11011</v>
      </c>
      <c r="B15792" t="s">
        <v>178</v>
      </c>
      <c r="C15792">
        <v>503.49999960511923</v>
      </c>
      <c r="D15792">
        <v>40</v>
      </c>
      <c r="E15792" s="80">
        <v>35894</v>
      </c>
    </row>
    <row r="15793" spans="1:5">
      <c r="A15793">
        <v>11011</v>
      </c>
      <c r="B15793" t="s">
        <v>179</v>
      </c>
      <c r="C15793">
        <v>503.49999960511923</v>
      </c>
      <c r="D15793">
        <v>40</v>
      </c>
      <c r="E15793" s="80">
        <v>35894</v>
      </c>
    </row>
    <row r="15794" spans="1:5">
      <c r="A15794">
        <v>11011</v>
      </c>
      <c r="B15794" t="s">
        <v>172</v>
      </c>
      <c r="C15794">
        <v>430</v>
      </c>
      <c r="D15794">
        <v>20</v>
      </c>
      <c r="E15794" s="80">
        <v>35894</v>
      </c>
    </row>
    <row r="15795" spans="1:5">
      <c r="A15795">
        <v>11011</v>
      </c>
      <c r="B15795" t="s">
        <v>173</v>
      </c>
      <c r="C15795">
        <v>430</v>
      </c>
      <c r="D15795">
        <v>20</v>
      </c>
      <c r="E15795" s="80">
        <v>35894</v>
      </c>
    </row>
    <row r="15796" spans="1:5">
      <c r="A15796">
        <v>11011</v>
      </c>
      <c r="B15796" t="s">
        <v>174</v>
      </c>
      <c r="C15796">
        <v>430</v>
      </c>
      <c r="D15796">
        <v>20</v>
      </c>
      <c r="E15796" s="80">
        <v>35894</v>
      </c>
    </row>
    <row r="15797" spans="1:5">
      <c r="A15797">
        <v>11011</v>
      </c>
      <c r="B15797" t="s">
        <v>175</v>
      </c>
      <c r="C15797">
        <v>430</v>
      </c>
      <c r="D15797">
        <v>20</v>
      </c>
      <c r="E15797" s="80">
        <v>35894</v>
      </c>
    </row>
    <row r="15798" spans="1:5">
      <c r="A15798">
        <v>11011</v>
      </c>
      <c r="B15798" t="s">
        <v>176</v>
      </c>
      <c r="C15798">
        <v>430</v>
      </c>
      <c r="D15798">
        <v>20</v>
      </c>
      <c r="E15798" s="80">
        <v>35894</v>
      </c>
    </row>
    <row r="15799" spans="1:5">
      <c r="A15799">
        <v>11011</v>
      </c>
      <c r="B15799" t="s">
        <v>177</v>
      </c>
      <c r="C15799">
        <v>430</v>
      </c>
      <c r="D15799">
        <v>20</v>
      </c>
      <c r="E15799" s="80">
        <v>35894</v>
      </c>
    </row>
    <row r="15800" spans="1:5">
      <c r="A15800">
        <v>11011</v>
      </c>
      <c r="B15800" t="s">
        <v>178</v>
      </c>
      <c r="C15800">
        <v>430</v>
      </c>
      <c r="D15800">
        <v>20</v>
      </c>
      <c r="E15800" s="80">
        <v>35894</v>
      </c>
    </row>
    <row r="15801" spans="1:5">
      <c r="A15801">
        <v>11011</v>
      </c>
      <c r="B15801" t="s">
        <v>179</v>
      </c>
      <c r="C15801">
        <v>430</v>
      </c>
      <c r="D15801">
        <v>20</v>
      </c>
      <c r="E15801" s="80">
        <v>35894</v>
      </c>
    </row>
    <row r="15802" spans="1:5">
      <c r="A15802">
        <v>11012</v>
      </c>
      <c r="B15802" t="s">
        <v>172</v>
      </c>
      <c r="C15802">
        <v>436.99999965727329</v>
      </c>
      <c r="D15802">
        <v>50</v>
      </c>
      <c r="E15802" s="80">
        <v>35894</v>
      </c>
    </row>
    <row r="15803" spans="1:5">
      <c r="A15803">
        <v>11012</v>
      </c>
      <c r="B15803" t="s">
        <v>173</v>
      </c>
      <c r="C15803">
        <v>436.99999965727329</v>
      </c>
      <c r="D15803">
        <v>50</v>
      </c>
      <c r="E15803" s="80">
        <v>35894</v>
      </c>
    </row>
    <row r="15804" spans="1:5">
      <c r="A15804">
        <v>11012</v>
      </c>
      <c r="B15804" t="s">
        <v>174</v>
      </c>
      <c r="C15804">
        <v>436.99999965727329</v>
      </c>
      <c r="D15804">
        <v>50</v>
      </c>
      <c r="E15804" s="80">
        <v>35894</v>
      </c>
    </row>
    <row r="15805" spans="1:5">
      <c r="A15805">
        <v>11012</v>
      </c>
      <c r="B15805" t="s">
        <v>175</v>
      </c>
      <c r="C15805">
        <v>436.99999965727329</v>
      </c>
      <c r="D15805">
        <v>50</v>
      </c>
      <c r="E15805" s="80">
        <v>35894</v>
      </c>
    </row>
    <row r="15806" spans="1:5">
      <c r="A15806">
        <v>11012</v>
      </c>
      <c r="B15806" t="s">
        <v>176</v>
      </c>
      <c r="C15806">
        <v>436.99999965727329</v>
      </c>
      <c r="D15806">
        <v>50</v>
      </c>
      <c r="E15806" s="80">
        <v>35894</v>
      </c>
    </row>
    <row r="15807" spans="1:5">
      <c r="A15807">
        <v>11012</v>
      </c>
      <c r="B15807" t="s">
        <v>177</v>
      </c>
      <c r="C15807">
        <v>436.99999965727329</v>
      </c>
      <c r="D15807">
        <v>50</v>
      </c>
      <c r="E15807" s="80">
        <v>35894</v>
      </c>
    </row>
    <row r="15808" spans="1:5">
      <c r="A15808">
        <v>11012</v>
      </c>
      <c r="B15808" t="s">
        <v>178</v>
      </c>
      <c r="C15808">
        <v>436.99999965727329</v>
      </c>
      <c r="D15808">
        <v>50</v>
      </c>
      <c r="E15808" s="80">
        <v>35894</v>
      </c>
    </row>
    <row r="15809" spans="1:5">
      <c r="A15809">
        <v>11012</v>
      </c>
      <c r="B15809" t="s">
        <v>179</v>
      </c>
      <c r="C15809">
        <v>436.99999965727329</v>
      </c>
      <c r="D15809">
        <v>50</v>
      </c>
      <c r="E15809" s="80">
        <v>35894</v>
      </c>
    </row>
    <row r="15810" spans="1:5">
      <c r="A15810">
        <v>11012</v>
      </c>
      <c r="B15810" t="s">
        <v>172</v>
      </c>
      <c r="C15810">
        <v>1162.7999990880489</v>
      </c>
      <c r="D15810">
        <v>36</v>
      </c>
      <c r="E15810" s="80">
        <v>35894</v>
      </c>
    </row>
    <row r="15811" spans="1:5">
      <c r="A15811">
        <v>11012</v>
      </c>
      <c r="B15811" t="s">
        <v>173</v>
      </c>
      <c r="C15811">
        <v>1162.7999990880489</v>
      </c>
      <c r="D15811">
        <v>36</v>
      </c>
      <c r="E15811" s="80">
        <v>35894</v>
      </c>
    </row>
    <row r="15812" spans="1:5">
      <c r="A15812">
        <v>11012</v>
      </c>
      <c r="B15812" t="s">
        <v>174</v>
      </c>
      <c r="C15812">
        <v>1162.7999990880489</v>
      </c>
      <c r="D15812">
        <v>36</v>
      </c>
      <c r="E15812" s="80">
        <v>35894</v>
      </c>
    </row>
    <row r="15813" spans="1:5">
      <c r="A15813">
        <v>11012</v>
      </c>
      <c r="B15813" t="s">
        <v>175</v>
      </c>
      <c r="C15813">
        <v>1162.7999990880489</v>
      </c>
      <c r="D15813">
        <v>36</v>
      </c>
      <c r="E15813" s="80">
        <v>35894</v>
      </c>
    </row>
    <row r="15814" spans="1:5">
      <c r="A15814">
        <v>11012</v>
      </c>
      <c r="B15814" t="s">
        <v>176</v>
      </c>
      <c r="C15814">
        <v>1162.7999990880489</v>
      </c>
      <c r="D15814">
        <v>36</v>
      </c>
      <c r="E15814" s="80">
        <v>35894</v>
      </c>
    </row>
    <row r="15815" spans="1:5">
      <c r="A15815">
        <v>11012</v>
      </c>
      <c r="B15815" t="s">
        <v>177</v>
      </c>
      <c r="C15815">
        <v>1162.7999990880489</v>
      </c>
      <c r="D15815">
        <v>36</v>
      </c>
      <c r="E15815" s="80">
        <v>35894</v>
      </c>
    </row>
    <row r="15816" spans="1:5">
      <c r="A15816">
        <v>11012</v>
      </c>
      <c r="B15816" t="s">
        <v>178</v>
      </c>
      <c r="C15816">
        <v>1162.7999990880489</v>
      </c>
      <c r="D15816">
        <v>36</v>
      </c>
      <c r="E15816" s="80">
        <v>35894</v>
      </c>
    </row>
    <row r="15817" spans="1:5">
      <c r="A15817">
        <v>11012</v>
      </c>
      <c r="B15817" t="s">
        <v>179</v>
      </c>
      <c r="C15817">
        <v>1162.7999990880489</v>
      </c>
      <c r="D15817">
        <v>36</v>
      </c>
      <c r="E15817" s="80">
        <v>35894</v>
      </c>
    </row>
    <row r="15818" spans="1:5">
      <c r="A15818">
        <v>11012</v>
      </c>
      <c r="B15818" t="s">
        <v>172</v>
      </c>
      <c r="C15818">
        <v>1225.4999990388751</v>
      </c>
      <c r="D15818">
        <v>60</v>
      </c>
      <c r="E15818" s="80">
        <v>35894</v>
      </c>
    </row>
    <row r="15819" spans="1:5">
      <c r="A15819">
        <v>11012</v>
      </c>
      <c r="B15819" t="s">
        <v>173</v>
      </c>
      <c r="C15819">
        <v>1225.4999990388751</v>
      </c>
      <c r="D15819">
        <v>60</v>
      </c>
      <c r="E15819" s="80">
        <v>35894</v>
      </c>
    </row>
    <row r="15820" spans="1:5">
      <c r="A15820">
        <v>11012</v>
      </c>
      <c r="B15820" t="s">
        <v>174</v>
      </c>
      <c r="C15820">
        <v>1225.4999990388751</v>
      </c>
      <c r="D15820">
        <v>60</v>
      </c>
      <c r="E15820" s="80">
        <v>35894</v>
      </c>
    </row>
    <row r="15821" spans="1:5">
      <c r="A15821">
        <v>11012</v>
      </c>
      <c r="B15821" t="s">
        <v>175</v>
      </c>
      <c r="C15821">
        <v>1225.4999990388751</v>
      </c>
      <c r="D15821">
        <v>60</v>
      </c>
      <c r="E15821" s="80">
        <v>35894</v>
      </c>
    </row>
    <row r="15822" spans="1:5">
      <c r="A15822">
        <v>11012</v>
      </c>
      <c r="B15822" t="s">
        <v>176</v>
      </c>
      <c r="C15822">
        <v>1225.4999990388751</v>
      </c>
      <c r="D15822">
        <v>60</v>
      </c>
      <c r="E15822" s="80">
        <v>35894</v>
      </c>
    </row>
    <row r="15823" spans="1:5">
      <c r="A15823">
        <v>11012</v>
      </c>
      <c r="B15823" t="s">
        <v>177</v>
      </c>
      <c r="C15823">
        <v>1225.4999990388751</v>
      </c>
      <c r="D15823">
        <v>60</v>
      </c>
      <c r="E15823" s="80">
        <v>35894</v>
      </c>
    </row>
    <row r="15824" spans="1:5">
      <c r="A15824">
        <v>11012</v>
      </c>
      <c r="B15824" t="s">
        <v>178</v>
      </c>
      <c r="C15824">
        <v>1225.4999990388751</v>
      </c>
      <c r="D15824">
        <v>60</v>
      </c>
      <c r="E15824" s="80">
        <v>35894</v>
      </c>
    </row>
    <row r="15825" spans="1:5">
      <c r="A15825">
        <v>11012</v>
      </c>
      <c r="B15825" t="s">
        <v>179</v>
      </c>
      <c r="C15825">
        <v>1225.4999990388751</v>
      </c>
      <c r="D15825">
        <v>60</v>
      </c>
      <c r="E15825" s="80">
        <v>35894</v>
      </c>
    </row>
    <row r="15826" spans="1:5">
      <c r="A15826">
        <v>11013</v>
      </c>
      <c r="B15826" t="s">
        <v>172</v>
      </c>
      <c r="C15826">
        <v>90</v>
      </c>
      <c r="D15826">
        <v>10</v>
      </c>
      <c r="E15826" s="80">
        <v>35894</v>
      </c>
    </row>
    <row r="15827" spans="1:5">
      <c r="A15827">
        <v>11013</v>
      </c>
      <c r="B15827" t="s">
        <v>173</v>
      </c>
      <c r="C15827">
        <v>90</v>
      </c>
      <c r="D15827">
        <v>10</v>
      </c>
      <c r="E15827" s="80">
        <v>35894</v>
      </c>
    </row>
    <row r="15828" spans="1:5">
      <c r="A15828">
        <v>11013</v>
      </c>
      <c r="B15828" t="s">
        <v>174</v>
      </c>
      <c r="C15828">
        <v>90</v>
      </c>
      <c r="D15828">
        <v>10</v>
      </c>
      <c r="E15828" s="80">
        <v>35894</v>
      </c>
    </row>
    <row r="15829" spans="1:5">
      <c r="A15829">
        <v>11013</v>
      </c>
      <c r="B15829" t="s">
        <v>175</v>
      </c>
      <c r="C15829">
        <v>90</v>
      </c>
      <c r="D15829">
        <v>10</v>
      </c>
      <c r="E15829" s="80">
        <v>35894</v>
      </c>
    </row>
    <row r="15830" spans="1:5">
      <c r="A15830">
        <v>11013</v>
      </c>
      <c r="B15830" t="s">
        <v>176</v>
      </c>
      <c r="C15830">
        <v>90</v>
      </c>
      <c r="D15830">
        <v>10</v>
      </c>
      <c r="E15830" s="80">
        <v>35894</v>
      </c>
    </row>
    <row r="15831" spans="1:5">
      <c r="A15831">
        <v>11013</v>
      </c>
      <c r="B15831" t="s">
        <v>177</v>
      </c>
      <c r="C15831">
        <v>90</v>
      </c>
      <c r="D15831">
        <v>10</v>
      </c>
      <c r="E15831" s="80">
        <v>35894</v>
      </c>
    </row>
    <row r="15832" spans="1:5">
      <c r="A15832">
        <v>11013</v>
      </c>
      <c r="B15832" t="s">
        <v>178</v>
      </c>
      <c r="C15832">
        <v>90</v>
      </c>
      <c r="D15832">
        <v>10</v>
      </c>
      <c r="E15832" s="80">
        <v>35894</v>
      </c>
    </row>
    <row r="15833" spans="1:5">
      <c r="A15833">
        <v>11013</v>
      </c>
      <c r="B15833" t="s">
        <v>179</v>
      </c>
      <c r="C15833">
        <v>90</v>
      </c>
      <c r="D15833">
        <v>10</v>
      </c>
      <c r="E15833" s="80">
        <v>35894</v>
      </c>
    </row>
    <row r="15834" spans="1:5">
      <c r="A15834">
        <v>11013</v>
      </c>
      <c r="B15834" t="s">
        <v>172</v>
      </c>
      <c r="C15834">
        <v>56</v>
      </c>
      <c r="D15834">
        <v>4</v>
      </c>
      <c r="E15834" s="80">
        <v>35894</v>
      </c>
    </row>
    <row r="15835" spans="1:5">
      <c r="A15835">
        <v>11013</v>
      </c>
      <c r="B15835" t="s">
        <v>173</v>
      </c>
      <c r="C15835">
        <v>56</v>
      </c>
      <c r="D15835">
        <v>4</v>
      </c>
      <c r="E15835" s="80">
        <v>35894</v>
      </c>
    </row>
    <row r="15836" spans="1:5">
      <c r="A15836">
        <v>11013</v>
      </c>
      <c r="B15836" t="s">
        <v>174</v>
      </c>
      <c r="C15836">
        <v>56</v>
      </c>
      <c r="D15836">
        <v>4</v>
      </c>
      <c r="E15836" s="80">
        <v>35894</v>
      </c>
    </row>
    <row r="15837" spans="1:5">
      <c r="A15837">
        <v>11013</v>
      </c>
      <c r="B15837" t="s">
        <v>175</v>
      </c>
      <c r="C15837">
        <v>56</v>
      </c>
      <c r="D15837">
        <v>4</v>
      </c>
      <c r="E15837" s="80">
        <v>35894</v>
      </c>
    </row>
    <row r="15838" spans="1:5">
      <c r="A15838">
        <v>11013</v>
      </c>
      <c r="B15838" t="s">
        <v>176</v>
      </c>
      <c r="C15838">
        <v>56</v>
      </c>
      <c r="D15838">
        <v>4</v>
      </c>
      <c r="E15838" s="80">
        <v>35894</v>
      </c>
    </row>
    <row r="15839" spans="1:5">
      <c r="A15839">
        <v>11013</v>
      </c>
      <c r="B15839" t="s">
        <v>177</v>
      </c>
      <c r="C15839">
        <v>56</v>
      </c>
      <c r="D15839">
        <v>4</v>
      </c>
      <c r="E15839" s="80">
        <v>35894</v>
      </c>
    </row>
    <row r="15840" spans="1:5">
      <c r="A15840">
        <v>11013</v>
      </c>
      <c r="B15840" t="s">
        <v>178</v>
      </c>
      <c r="C15840">
        <v>56</v>
      </c>
      <c r="D15840">
        <v>4</v>
      </c>
      <c r="E15840" s="80">
        <v>35894</v>
      </c>
    </row>
    <row r="15841" spans="1:5">
      <c r="A15841">
        <v>11013</v>
      </c>
      <c r="B15841" t="s">
        <v>179</v>
      </c>
      <c r="C15841">
        <v>56</v>
      </c>
      <c r="D15841">
        <v>4</v>
      </c>
      <c r="E15841" s="80">
        <v>35894</v>
      </c>
    </row>
    <row r="15842" spans="1:5">
      <c r="A15842">
        <v>11013</v>
      </c>
      <c r="B15842" t="s">
        <v>172</v>
      </c>
      <c r="C15842">
        <v>190</v>
      </c>
      <c r="D15842">
        <v>20</v>
      </c>
      <c r="E15842" s="80">
        <v>35894</v>
      </c>
    </row>
    <row r="15843" spans="1:5">
      <c r="A15843">
        <v>11013</v>
      </c>
      <c r="B15843" t="s">
        <v>173</v>
      </c>
      <c r="C15843">
        <v>190</v>
      </c>
      <c r="D15843">
        <v>20</v>
      </c>
      <c r="E15843" s="80">
        <v>35894</v>
      </c>
    </row>
    <row r="15844" spans="1:5">
      <c r="A15844">
        <v>11013</v>
      </c>
      <c r="B15844" t="s">
        <v>174</v>
      </c>
      <c r="C15844">
        <v>190</v>
      </c>
      <c r="D15844">
        <v>20</v>
      </c>
      <c r="E15844" s="80">
        <v>35894</v>
      </c>
    </row>
    <row r="15845" spans="1:5">
      <c r="A15845">
        <v>11013</v>
      </c>
      <c r="B15845" t="s">
        <v>175</v>
      </c>
      <c r="C15845">
        <v>190</v>
      </c>
      <c r="D15845">
        <v>20</v>
      </c>
      <c r="E15845" s="80">
        <v>35894</v>
      </c>
    </row>
    <row r="15846" spans="1:5">
      <c r="A15846">
        <v>11013</v>
      </c>
      <c r="B15846" t="s">
        <v>176</v>
      </c>
      <c r="C15846">
        <v>190</v>
      </c>
      <c r="D15846">
        <v>20</v>
      </c>
      <c r="E15846" s="80">
        <v>35894</v>
      </c>
    </row>
    <row r="15847" spans="1:5">
      <c r="A15847">
        <v>11013</v>
      </c>
      <c r="B15847" t="s">
        <v>177</v>
      </c>
      <c r="C15847">
        <v>190</v>
      </c>
      <c r="D15847">
        <v>20</v>
      </c>
      <c r="E15847" s="80">
        <v>35894</v>
      </c>
    </row>
    <row r="15848" spans="1:5">
      <c r="A15848">
        <v>11013</v>
      </c>
      <c r="B15848" t="s">
        <v>178</v>
      </c>
      <c r="C15848">
        <v>190</v>
      </c>
      <c r="D15848">
        <v>20</v>
      </c>
      <c r="E15848" s="80">
        <v>35894</v>
      </c>
    </row>
    <row r="15849" spans="1:5">
      <c r="A15849">
        <v>11013</v>
      </c>
      <c r="B15849" t="s">
        <v>179</v>
      </c>
      <c r="C15849">
        <v>190</v>
      </c>
      <c r="D15849">
        <v>20</v>
      </c>
      <c r="E15849" s="80">
        <v>35894</v>
      </c>
    </row>
    <row r="15850" spans="1:5">
      <c r="A15850">
        <v>11013</v>
      </c>
      <c r="B15850" t="s">
        <v>172</v>
      </c>
      <c r="C15850">
        <v>25</v>
      </c>
      <c r="D15850">
        <v>2</v>
      </c>
      <c r="E15850" s="80">
        <v>35894</v>
      </c>
    </row>
    <row r="15851" spans="1:5">
      <c r="A15851">
        <v>11013</v>
      </c>
      <c r="B15851" t="s">
        <v>173</v>
      </c>
      <c r="C15851">
        <v>25</v>
      </c>
      <c r="D15851">
        <v>2</v>
      </c>
      <c r="E15851" s="80">
        <v>35894</v>
      </c>
    </row>
    <row r="15852" spans="1:5">
      <c r="A15852">
        <v>11013</v>
      </c>
      <c r="B15852" t="s">
        <v>174</v>
      </c>
      <c r="C15852">
        <v>25</v>
      </c>
      <c r="D15852">
        <v>2</v>
      </c>
      <c r="E15852" s="80">
        <v>35894</v>
      </c>
    </row>
    <row r="15853" spans="1:5">
      <c r="A15853">
        <v>11013</v>
      </c>
      <c r="B15853" t="s">
        <v>175</v>
      </c>
      <c r="C15853">
        <v>25</v>
      </c>
      <c r="D15853">
        <v>2</v>
      </c>
      <c r="E15853" s="80">
        <v>35894</v>
      </c>
    </row>
    <row r="15854" spans="1:5">
      <c r="A15854">
        <v>11013</v>
      </c>
      <c r="B15854" t="s">
        <v>176</v>
      </c>
      <c r="C15854">
        <v>25</v>
      </c>
      <c r="D15854">
        <v>2</v>
      </c>
      <c r="E15854" s="80">
        <v>35894</v>
      </c>
    </row>
    <row r="15855" spans="1:5">
      <c r="A15855">
        <v>11013</v>
      </c>
      <c r="B15855" t="s">
        <v>177</v>
      </c>
      <c r="C15855">
        <v>25</v>
      </c>
      <c r="D15855">
        <v>2</v>
      </c>
      <c r="E15855" s="80">
        <v>35894</v>
      </c>
    </row>
    <row r="15856" spans="1:5">
      <c r="A15856">
        <v>11013</v>
      </c>
      <c r="B15856" t="s">
        <v>178</v>
      </c>
      <c r="C15856">
        <v>25</v>
      </c>
      <c r="D15856">
        <v>2</v>
      </c>
      <c r="E15856" s="80">
        <v>35894</v>
      </c>
    </row>
    <row r="15857" spans="1:5">
      <c r="A15857">
        <v>11013</v>
      </c>
      <c r="B15857" t="s">
        <v>179</v>
      </c>
      <c r="C15857">
        <v>25</v>
      </c>
      <c r="D15857">
        <v>2</v>
      </c>
      <c r="E15857" s="80">
        <v>35894</v>
      </c>
    </row>
    <row r="15858" spans="1:5">
      <c r="A15858">
        <v>11014</v>
      </c>
      <c r="B15858" t="s">
        <v>172</v>
      </c>
      <c r="C15858">
        <v>243.17999959737062</v>
      </c>
      <c r="D15858">
        <v>28</v>
      </c>
      <c r="E15858" s="80">
        <v>35895</v>
      </c>
    </row>
    <row r="15859" spans="1:5">
      <c r="A15859">
        <v>11014</v>
      </c>
      <c r="B15859" t="s">
        <v>173</v>
      </c>
      <c r="C15859">
        <v>243.17999959737062</v>
      </c>
      <c r="D15859">
        <v>28</v>
      </c>
      <c r="E15859" s="80">
        <v>35895</v>
      </c>
    </row>
    <row r="15860" spans="1:5">
      <c r="A15860">
        <v>11014</v>
      </c>
      <c r="B15860" t="s">
        <v>174</v>
      </c>
      <c r="C15860">
        <v>243.17999959737062</v>
      </c>
      <c r="D15860">
        <v>28</v>
      </c>
      <c r="E15860" s="80">
        <v>35895</v>
      </c>
    </row>
    <row r="15861" spans="1:5">
      <c r="A15861">
        <v>11014</v>
      </c>
      <c r="B15861" t="s">
        <v>175</v>
      </c>
      <c r="C15861">
        <v>243.17999959737062</v>
      </c>
      <c r="D15861">
        <v>28</v>
      </c>
      <c r="E15861" s="80">
        <v>35895</v>
      </c>
    </row>
    <row r="15862" spans="1:5">
      <c r="A15862">
        <v>11014</v>
      </c>
      <c r="B15862" t="s">
        <v>176</v>
      </c>
      <c r="C15862">
        <v>243.17999959737062</v>
      </c>
      <c r="D15862">
        <v>28</v>
      </c>
      <c r="E15862" s="80">
        <v>35895</v>
      </c>
    </row>
    <row r="15863" spans="1:5">
      <c r="A15863">
        <v>11014</v>
      </c>
      <c r="B15863" t="s">
        <v>177</v>
      </c>
      <c r="C15863">
        <v>243.17999959737062</v>
      </c>
      <c r="D15863">
        <v>28</v>
      </c>
      <c r="E15863" s="80">
        <v>35895</v>
      </c>
    </row>
    <row r="15864" spans="1:5">
      <c r="A15864">
        <v>11014</v>
      </c>
      <c r="B15864" t="s">
        <v>178</v>
      </c>
      <c r="C15864">
        <v>243.17999959737062</v>
      </c>
      <c r="D15864">
        <v>28</v>
      </c>
      <c r="E15864" s="80">
        <v>35895</v>
      </c>
    </row>
    <row r="15865" spans="1:5">
      <c r="A15865">
        <v>11014</v>
      </c>
      <c r="B15865" t="s">
        <v>179</v>
      </c>
      <c r="C15865">
        <v>243.17999959737062</v>
      </c>
      <c r="D15865">
        <v>28</v>
      </c>
      <c r="E15865" s="80">
        <v>35895</v>
      </c>
    </row>
    <row r="15866" spans="1:5">
      <c r="A15866">
        <v>11015</v>
      </c>
      <c r="B15866" t="s">
        <v>172</v>
      </c>
      <c r="C15866">
        <v>388.35</v>
      </c>
      <c r="D15866">
        <v>15</v>
      </c>
      <c r="E15866" s="80">
        <v>35895</v>
      </c>
    </row>
    <row r="15867" spans="1:5">
      <c r="A15867">
        <v>11015</v>
      </c>
      <c r="B15867" t="s">
        <v>173</v>
      </c>
      <c r="C15867">
        <v>388.35</v>
      </c>
      <c r="D15867">
        <v>15</v>
      </c>
      <c r="E15867" s="80">
        <v>35895</v>
      </c>
    </row>
    <row r="15868" spans="1:5">
      <c r="A15868">
        <v>11015</v>
      </c>
      <c r="B15868" t="s">
        <v>174</v>
      </c>
      <c r="C15868">
        <v>388.35</v>
      </c>
      <c r="D15868">
        <v>15</v>
      </c>
      <c r="E15868" s="80">
        <v>35895</v>
      </c>
    </row>
    <row r="15869" spans="1:5">
      <c r="A15869">
        <v>11015</v>
      </c>
      <c r="B15869" t="s">
        <v>175</v>
      </c>
      <c r="C15869">
        <v>388.35</v>
      </c>
      <c r="D15869">
        <v>15</v>
      </c>
      <c r="E15869" s="80">
        <v>35895</v>
      </c>
    </row>
    <row r="15870" spans="1:5">
      <c r="A15870">
        <v>11015</v>
      </c>
      <c r="B15870" t="s">
        <v>176</v>
      </c>
      <c r="C15870">
        <v>388.35</v>
      </c>
      <c r="D15870">
        <v>15</v>
      </c>
      <c r="E15870" s="80">
        <v>35895</v>
      </c>
    </row>
    <row r="15871" spans="1:5">
      <c r="A15871">
        <v>11015</v>
      </c>
      <c r="B15871" t="s">
        <v>177</v>
      </c>
      <c r="C15871">
        <v>388.35</v>
      </c>
      <c r="D15871">
        <v>15</v>
      </c>
      <c r="E15871" s="80">
        <v>35895</v>
      </c>
    </row>
    <row r="15872" spans="1:5">
      <c r="A15872">
        <v>11015</v>
      </c>
      <c r="B15872" t="s">
        <v>178</v>
      </c>
      <c r="C15872">
        <v>388.35</v>
      </c>
      <c r="D15872">
        <v>15</v>
      </c>
      <c r="E15872" s="80">
        <v>35895</v>
      </c>
    </row>
    <row r="15873" spans="1:5">
      <c r="A15873">
        <v>11015</v>
      </c>
      <c r="B15873" t="s">
        <v>179</v>
      </c>
      <c r="C15873">
        <v>388.35</v>
      </c>
      <c r="D15873">
        <v>15</v>
      </c>
      <c r="E15873" s="80">
        <v>35895</v>
      </c>
    </row>
    <row r="15874" spans="1:5">
      <c r="A15874">
        <v>11015</v>
      </c>
      <c r="B15874" t="s">
        <v>172</v>
      </c>
      <c r="C15874">
        <v>234</v>
      </c>
      <c r="D15874">
        <v>18</v>
      </c>
      <c r="E15874" s="80">
        <v>35895</v>
      </c>
    </row>
    <row r="15875" spans="1:5">
      <c r="A15875">
        <v>11015</v>
      </c>
      <c r="B15875" t="s">
        <v>173</v>
      </c>
      <c r="C15875">
        <v>234</v>
      </c>
      <c r="D15875">
        <v>18</v>
      </c>
      <c r="E15875" s="80">
        <v>35895</v>
      </c>
    </row>
    <row r="15876" spans="1:5">
      <c r="A15876">
        <v>11015</v>
      </c>
      <c r="B15876" t="s">
        <v>174</v>
      </c>
      <c r="C15876">
        <v>234</v>
      </c>
      <c r="D15876">
        <v>18</v>
      </c>
      <c r="E15876" s="80">
        <v>35895</v>
      </c>
    </row>
    <row r="15877" spans="1:5">
      <c r="A15877">
        <v>11015</v>
      </c>
      <c r="B15877" t="s">
        <v>175</v>
      </c>
      <c r="C15877">
        <v>234</v>
      </c>
      <c r="D15877">
        <v>18</v>
      </c>
      <c r="E15877" s="80">
        <v>35895</v>
      </c>
    </row>
    <row r="15878" spans="1:5">
      <c r="A15878">
        <v>11015</v>
      </c>
      <c r="B15878" t="s">
        <v>176</v>
      </c>
      <c r="C15878">
        <v>234</v>
      </c>
      <c r="D15878">
        <v>18</v>
      </c>
      <c r="E15878" s="80">
        <v>35895</v>
      </c>
    </row>
    <row r="15879" spans="1:5">
      <c r="A15879">
        <v>11015</v>
      </c>
      <c r="B15879" t="s">
        <v>177</v>
      </c>
      <c r="C15879">
        <v>234</v>
      </c>
      <c r="D15879">
        <v>18</v>
      </c>
      <c r="E15879" s="80">
        <v>35895</v>
      </c>
    </row>
    <row r="15880" spans="1:5">
      <c r="A15880">
        <v>11015</v>
      </c>
      <c r="B15880" t="s">
        <v>178</v>
      </c>
      <c r="C15880">
        <v>234</v>
      </c>
      <c r="D15880">
        <v>18</v>
      </c>
      <c r="E15880" s="80">
        <v>35895</v>
      </c>
    </row>
    <row r="15881" spans="1:5">
      <c r="A15881">
        <v>11015</v>
      </c>
      <c r="B15881" t="s">
        <v>179</v>
      </c>
      <c r="C15881">
        <v>234</v>
      </c>
      <c r="D15881">
        <v>18</v>
      </c>
      <c r="E15881" s="80">
        <v>35895</v>
      </c>
    </row>
    <row r="15882" spans="1:5">
      <c r="A15882">
        <v>11016</v>
      </c>
      <c r="B15882" t="s">
        <v>172</v>
      </c>
      <c r="C15882">
        <v>187.5</v>
      </c>
      <c r="D15882">
        <v>15</v>
      </c>
      <c r="E15882" s="80">
        <v>35895</v>
      </c>
    </row>
    <row r="15883" spans="1:5">
      <c r="A15883">
        <v>11016</v>
      </c>
      <c r="B15883" t="s">
        <v>173</v>
      </c>
      <c r="C15883">
        <v>187.5</v>
      </c>
      <c r="D15883">
        <v>15</v>
      </c>
      <c r="E15883" s="80">
        <v>35895</v>
      </c>
    </row>
    <row r="15884" spans="1:5">
      <c r="A15884">
        <v>11016</v>
      </c>
      <c r="B15884" t="s">
        <v>174</v>
      </c>
      <c r="C15884">
        <v>187.5</v>
      </c>
      <c r="D15884">
        <v>15</v>
      </c>
      <c r="E15884" s="80">
        <v>35895</v>
      </c>
    </row>
    <row r="15885" spans="1:5">
      <c r="A15885">
        <v>11016</v>
      </c>
      <c r="B15885" t="s">
        <v>175</v>
      </c>
      <c r="C15885">
        <v>187.5</v>
      </c>
      <c r="D15885">
        <v>15</v>
      </c>
      <c r="E15885" s="80">
        <v>35895</v>
      </c>
    </row>
    <row r="15886" spans="1:5">
      <c r="A15886">
        <v>11016</v>
      </c>
      <c r="B15886" t="s">
        <v>176</v>
      </c>
      <c r="C15886">
        <v>187.5</v>
      </c>
      <c r="D15886">
        <v>15</v>
      </c>
      <c r="E15886" s="80">
        <v>35895</v>
      </c>
    </row>
    <row r="15887" spans="1:5">
      <c r="A15887">
        <v>11016</v>
      </c>
      <c r="B15887" t="s">
        <v>177</v>
      </c>
      <c r="C15887">
        <v>187.5</v>
      </c>
      <c r="D15887">
        <v>15</v>
      </c>
      <c r="E15887" s="80">
        <v>35895</v>
      </c>
    </row>
    <row r="15888" spans="1:5">
      <c r="A15888">
        <v>11016</v>
      </c>
      <c r="B15888" t="s">
        <v>178</v>
      </c>
      <c r="C15888">
        <v>187.5</v>
      </c>
      <c r="D15888">
        <v>15</v>
      </c>
      <c r="E15888" s="80">
        <v>35895</v>
      </c>
    </row>
    <row r="15889" spans="1:5">
      <c r="A15889">
        <v>11016</v>
      </c>
      <c r="B15889" t="s">
        <v>179</v>
      </c>
      <c r="C15889">
        <v>187.5</v>
      </c>
      <c r="D15889">
        <v>15</v>
      </c>
      <c r="E15889" s="80">
        <v>35895</v>
      </c>
    </row>
    <row r="15890" spans="1:5">
      <c r="A15890">
        <v>11016</v>
      </c>
      <c r="B15890" t="s">
        <v>172</v>
      </c>
      <c r="C15890">
        <v>304</v>
      </c>
      <c r="D15890">
        <v>16</v>
      </c>
      <c r="E15890" s="80">
        <v>35895</v>
      </c>
    </row>
    <row r="15891" spans="1:5">
      <c r="A15891">
        <v>11016</v>
      </c>
      <c r="B15891" t="s">
        <v>173</v>
      </c>
      <c r="C15891">
        <v>304</v>
      </c>
      <c r="D15891">
        <v>16</v>
      </c>
      <c r="E15891" s="80">
        <v>35895</v>
      </c>
    </row>
    <row r="15892" spans="1:5">
      <c r="A15892">
        <v>11016</v>
      </c>
      <c r="B15892" t="s">
        <v>174</v>
      </c>
      <c r="C15892">
        <v>304</v>
      </c>
      <c r="D15892">
        <v>16</v>
      </c>
      <c r="E15892" s="80">
        <v>35895</v>
      </c>
    </row>
    <row r="15893" spans="1:5">
      <c r="A15893">
        <v>11016</v>
      </c>
      <c r="B15893" t="s">
        <v>175</v>
      </c>
      <c r="C15893">
        <v>304</v>
      </c>
      <c r="D15893">
        <v>16</v>
      </c>
      <c r="E15893" s="80">
        <v>35895</v>
      </c>
    </row>
    <row r="15894" spans="1:5">
      <c r="A15894">
        <v>11016</v>
      </c>
      <c r="B15894" t="s">
        <v>176</v>
      </c>
      <c r="C15894">
        <v>304</v>
      </c>
      <c r="D15894">
        <v>16</v>
      </c>
      <c r="E15894" s="80">
        <v>35895</v>
      </c>
    </row>
    <row r="15895" spans="1:5">
      <c r="A15895">
        <v>11016</v>
      </c>
      <c r="B15895" t="s">
        <v>177</v>
      </c>
      <c r="C15895">
        <v>304</v>
      </c>
      <c r="D15895">
        <v>16</v>
      </c>
      <c r="E15895" s="80">
        <v>35895</v>
      </c>
    </row>
    <row r="15896" spans="1:5">
      <c r="A15896">
        <v>11016</v>
      </c>
      <c r="B15896" t="s">
        <v>178</v>
      </c>
      <c r="C15896">
        <v>304</v>
      </c>
      <c r="D15896">
        <v>16</v>
      </c>
      <c r="E15896" s="80">
        <v>35895</v>
      </c>
    </row>
    <row r="15897" spans="1:5">
      <c r="A15897">
        <v>11016</v>
      </c>
      <c r="B15897" t="s">
        <v>179</v>
      </c>
      <c r="C15897">
        <v>304</v>
      </c>
      <c r="D15897">
        <v>16</v>
      </c>
      <c r="E15897" s="80">
        <v>35895</v>
      </c>
    </row>
    <row r="15898" spans="1:5">
      <c r="A15898">
        <v>11017</v>
      </c>
      <c r="B15898" t="s">
        <v>172</v>
      </c>
      <c r="C15898">
        <v>250</v>
      </c>
      <c r="D15898">
        <v>25</v>
      </c>
      <c r="E15898" s="80">
        <v>35898</v>
      </c>
    </row>
    <row r="15899" spans="1:5">
      <c r="A15899">
        <v>11017</v>
      </c>
      <c r="B15899" t="s">
        <v>173</v>
      </c>
      <c r="C15899">
        <v>250</v>
      </c>
      <c r="D15899">
        <v>25</v>
      </c>
      <c r="E15899" s="80">
        <v>35898</v>
      </c>
    </row>
    <row r="15900" spans="1:5">
      <c r="A15900">
        <v>11017</v>
      </c>
      <c r="B15900" t="s">
        <v>174</v>
      </c>
      <c r="C15900">
        <v>250</v>
      </c>
      <c r="D15900">
        <v>25</v>
      </c>
      <c r="E15900" s="80">
        <v>35898</v>
      </c>
    </row>
    <row r="15901" spans="1:5">
      <c r="A15901">
        <v>11017</v>
      </c>
      <c r="B15901" t="s">
        <v>175</v>
      </c>
      <c r="C15901">
        <v>250</v>
      </c>
      <c r="D15901">
        <v>25</v>
      </c>
      <c r="E15901" s="80">
        <v>35898</v>
      </c>
    </row>
    <row r="15902" spans="1:5">
      <c r="A15902">
        <v>11017</v>
      </c>
      <c r="B15902" t="s">
        <v>176</v>
      </c>
      <c r="C15902">
        <v>250</v>
      </c>
      <c r="D15902">
        <v>25</v>
      </c>
      <c r="E15902" s="80">
        <v>35898</v>
      </c>
    </row>
    <row r="15903" spans="1:5">
      <c r="A15903">
        <v>11017</v>
      </c>
      <c r="B15903" t="s">
        <v>177</v>
      </c>
      <c r="C15903">
        <v>250</v>
      </c>
      <c r="D15903">
        <v>25</v>
      </c>
      <c r="E15903" s="80">
        <v>35898</v>
      </c>
    </row>
    <row r="15904" spans="1:5">
      <c r="A15904">
        <v>11017</v>
      </c>
      <c r="B15904" t="s">
        <v>178</v>
      </c>
      <c r="C15904">
        <v>250</v>
      </c>
      <c r="D15904">
        <v>25</v>
      </c>
      <c r="E15904" s="80">
        <v>35898</v>
      </c>
    </row>
    <row r="15905" spans="1:5">
      <c r="A15905">
        <v>11017</v>
      </c>
      <c r="B15905" t="s">
        <v>179</v>
      </c>
      <c r="C15905">
        <v>250</v>
      </c>
      <c r="D15905">
        <v>25</v>
      </c>
      <c r="E15905" s="80">
        <v>35898</v>
      </c>
    </row>
    <row r="15906" spans="1:5">
      <c r="A15906">
        <v>11017</v>
      </c>
      <c r="B15906" t="s">
        <v>172</v>
      </c>
      <c r="C15906">
        <v>6050</v>
      </c>
      <c r="D15906">
        <v>110</v>
      </c>
      <c r="E15906" s="80">
        <v>35898</v>
      </c>
    </row>
    <row r="15907" spans="1:5">
      <c r="A15907">
        <v>11017</v>
      </c>
      <c r="B15907" t="s">
        <v>173</v>
      </c>
      <c r="C15907">
        <v>6050</v>
      </c>
      <c r="D15907">
        <v>110</v>
      </c>
      <c r="E15907" s="80">
        <v>35898</v>
      </c>
    </row>
    <row r="15908" spans="1:5">
      <c r="A15908">
        <v>11017</v>
      </c>
      <c r="B15908" t="s">
        <v>174</v>
      </c>
      <c r="C15908">
        <v>6050</v>
      </c>
      <c r="D15908">
        <v>110</v>
      </c>
      <c r="E15908" s="80">
        <v>35898</v>
      </c>
    </row>
    <row r="15909" spans="1:5">
      <c r="A15909">
        <v>11017</v>
      </c>
      <c r="B15909" t="s">
        <v>175</v>
      </c>
      <c r="C15909">
        <v>6050</v>
      </c>
      <c r="D15909">
        <v>110</v>
      </c>
      <c r="E15909" s="80">
        <v>35898</v>
      </c>
    </row>
    <row r="15910" spans="1:5">
      <c r="A15910">
        <v>11017</v>
      </c>
      <c r="B15910" t="s">
        <v>176</v>
      </c>
      <c r="C15910">
        <v>6050</v>
      </c>
      <c r="D15910">
        <v>110</v>
      </c>
      <c r="E15910" s="80">
        <v>35898</v>
      </c>
    </row>
    <row r="15911" spans="1:5">
      <c r="A15911">
        <v>11017</v>
      </c>
      <c r="B15911" t="s">
        <v>177</v>
      </c>
      <c r="C15911">
        <v>6050</v>
      </c>
      <c r="D15911">
        <v>110</v>
      </c>
      <c r="E15911" s="80">
        <v>35898</v>
      </c>
    </row>
    <row r="15912" spans="1:5">
      <c r="A15912">
        <v>11017</v>
      </c>
      <c r="B15912" t="s">
        <v>178</v>
      </c>
      <c r="C15912">
        <v>6050</v>
      </c>
      <c r="D15912">
        <v>110</v>
      </c>
      <c r="E15912" s="80">
        <v>35898</v>
      </c>
    </row>
    <row r="15913" spans="1:5">
      <c r="A15913">
        <v>11017</v>
      </c>
      <c r="B15913" t="s">
        <v>179</v>
      </c>
      <c r="C15913">
        <v>6050</v>
      </c>
      <c r="D15913">
        <v>110</v>
      </c>
      <c r="E15913" s="80">
        <v>35898</v>
      </c>
    </row>
    <row r="15914" spans="1:5">
      <c r="A15914">
        <v>11017</v>
      </c>
      <c r="B15914" t="s">
        <v>172</v>
      </c>
      <c r="C15914">
        <v>450</v>
      </c>
      <c r="D15914">
        <v>30</v>
      </c>
      <c r="E15914" s="80">
        <v>35898</v>
      </c>
    </row>
    <row r="15915" spans="1:5">
      <c r="A15915">
        <v>11017</v>
      </c>
      <c r="B15915" t="s">
        <v>173</v>
      </c>
      <c r="C15915">
        <v>450</v>
      </c>
      <c r="D15915">
        <v>30</v>
      </c>
      <c r="E15915" s="80">
        <v>35898</v>
      </c>
    </row>
    <row r="15916" spans="1:5">
      <c r="A15916">
        <v>11017</v>
      </c>
      <c r="B15916" t="s">
        <v>174</v>
      </c>
      <c r="C15916">
        <v>450</v>
      </c>
      <c r="D15916">
        <v>30</v>
      </c>
      <c r="E15916" s="80">
        <v>35898</v>
      </c>
    </row>
    <row r="15917" spans="1:5">
      <c r="A15917">
        <v>11017</v>
      </c>
      <c r="B15917" t="s">
        <v>175</v>
      </c>
      <c r="C15917">
        <v>450</v>
      </c>
      <c r="D15917">
        <v>30</v>
      </c>
      <c r="E15917" s="80">
        <v>35898</v>
      </c>
    </row>
    <row r="15918" spans="1:5">
      <c r="A15918">
        <v>11017</v>
      </c>
      <c r="B15918" t="s">
        <v>176</v>
      </c>
      <c r="C15918">
        <v>450</v>
      </c>
      <c r="D15918">
        <v>30</v>
      </c>
      <c r="E15918" s="80">
        <v>35898</v>
      </c>
    </row>
    <row r="15919" spans="1:5">
      <c r="A15919">
        <v>11017</v>
      </c>
      <c r="B15919" t="s">
        <v>177</v>
      </c>
      <c r="C15919">
        <v>450</v>
      </c>
      <c r="D15919">
        <v>30</v>
      </c>
      <c r="E15919" s="80">
        <v>35898</v>
      </c>
    </row>
    <row r="15920" spans="1:5">
      <c r="A15920">
        <v>11017</v>
      </c>
      <c r="B15920" t="s">
        <v>178</v>
      </c>
      <c r="C15920">
        <v>450</v>
      </c>
      <c r="D15920">
        <v>30</v>
      </c>
      <c r="E15920" s="80">
        <v>35898</v>
      </c>
    </row>
    <row r="15921" spans="1:5">
      <c r="A15921">
        <v>11017</v>
      </c>
      <c r="B15921" t="s">
        <v>179</v>
      </c>
      <c r="C15921">
        <v>450</v>
      </c>
      <c r="D15921">
        <v>30</v>
      </c>
      <c r="E15921" s="80">
        <v>35898</v>
      </c>
    </row>
    <row r="15922" spans="1:5">
      <c r="A15922">
        <v>11018</v>
      </c>
      <c r="B15922" t="s">
        <v>172</v>
      </c>
      <c r="C15922">
        <v>760</v>
      </c>
      <c r="D15922">
        <v>20</v>
      </c>
      <c r="E15922" s="80">
        <v>35898</v>
      </c>
    </row>
    <row r="15923" spans="1:5">
      <c r="A15923">
        <v>11018</v>
      </c>
      <c r="B15923" t="s">
        <v>173</v>
      </c>
      <c r="C15923">
        <v>760</v>
      </c>
      <c r="D15923">
        <v>20</v>
      </c>
      <c r="E15923" s="80">
        <v>35898</v>
      </c>
    </row>
    <row r="15924" spans="1:5">
      <c r="A15924">
        <v>11018</v>
      </c>
      <c r="B15924" t="s">
        <v>174</v>
      </c>
      <c r="C15924">
        <v>760</v>
      </c>
      <c r="D15924">
        <v>20</v>
      </c>
      <c r="E15924" s="80">
        <v>35898</v>
      </c>
    </row>
    <row r="15925" spans="1:5">
      <c r="A15925">
        <v>11018</v>
      </c>
      <c r="B15925" t="s">
        <v>175</v>
      </c>
      <c r="C15925">
        <v>760</v>
      </c>
      <c r="D15925">
        <v>20</v>
      </c>
      <c r="E15925" s="80">
        <v>35898</v>
      </c>
    </row>
    <row r="15926" spans="1:5">
      <c r="A15926">
        <v>11018</v>
      </c>
      <c r="B15926" t="s">
        <v>176</v>
      </c>
      <c r="C15926">
        <v>760</v>
      </c>
      <c r="D15926">
        <v>20</v>
      </c>
      <c r="E15926" s="80">
        <v>35898</v>
      </c>
    </row>
    <row r="15927" spans="1:5">
      <c r="A15927">
        <v>11018</v>
      </c>
      <c r="B15927" t="s">
        <v>177</v>
      </c>
      <c r="C15927">
        <v>760</v>
      </c>
      <c r="D15927">
        <v>20</v>
      </c>
      <c r="E15927" s="80">
        <v>35898</v>
      </c>
    </row>
    <row r="15928" spans="1:5">
      <c r="A15928">
        <v>11018</v>
      </c>
      <c r="B15928" t="s">
        <v>178</v>
      </c>
      <c r="C15928">
        <v>760</v>
      </c>
      <c r="D15928">
        <v>20</v>
      </c>
      <c r="E15928" s="80">
        <v>35898</v>
      </c>
    </row>
    <row r="15929" spans="1:5">
      <c r="A15929">
        <v>11018</v>
      </c>
      <c r="B15929" t="s">
        <v>179</v>
      </c>
      <c r="C15929">
        <v>760</v>
      </c>
      <c r="D15929">
        <v>20</v>
      </c>
      <c r="E15929" s="80">
        <v>35898</v>
      </c>
    </row>
    <row r="15930" spans="1:5">
      <c r="A15930">
        <v>11018</v>
      </c>
      <c r="B15930" t="s">
        <v>172</v>
      </c>
      <c r="C15930">
        <v>625</v>
      </c>
      <c r="D15930">
        <v>10</v>
      </c>
      <c r="E15930" s="80">
        <v>35898</v>
      </c>
    </row>
    <row r="15931" spans="1:5">
      <c r="A15931">
        <v>11018</v>
      </c>
      <c r="B15931" t="s">
        <v>173</v>
      </c>
      <c r="C15931">
        <v>625</v>
      </c>
      <c r="D15931">
        <v>10</v>
      </c>
      <c r="E15931" s="80">
        <v>35898</v>
      </c>
    </row>
    <row r="15932" spans="1:5">
      <c r="A15932">
        <v>11018</v>
      </c>
      <c r="B15932" t="s">
        <v>174</v>
      </c>
      <c r="C15932">
        <v>625</v>
      </c>
      <c r="D15932">
        <v>10</v>
      </c>
      <c r="E15932" s="80">
        <v>35898</v>
      </c>
    </row>
    <row r="15933" spans="1:5">
      <c r="A15933">
        <v>11018</v>
      </c>
      <c r="B15933" t="s">
        <v>175</v>
      </c>
      <c r="C15933">
        <v>625</v>
      </c>
      <c r="D15933">
        <v>10</v>
      </c>
      <c r="E15933" s="80">
        <v>35898</v>
      </c>
    </row>
    <row r="15934" spans="1:5">
      <c r="A15934">
        <v>11018</v>
      </c>
      <c r="B15934" t="s">
        <v>176</v>
      </c>
      <c r="C15934">
        <v>625</v>
      </c>
      <c r="D15934">
        <v>10</v>
      </c>
      <c r="E15934" s="80">
        <v>35898</v>
      </c>
    </row>
    <row r="15935" spans="1:5">
      <c r="A15935">
        <v>11018</v>
      </c>
      <c r="B15935" t="s">
        <v>177</v>
      </c>
      <c r="C15935">
        <v>625</v>
      </c>
      <c r="D15935">
        <v>10</v>
      </c>
      <c r="E15935" s="80">
        <v>35898</v>
      </c>
    </row>
    <row r="15936" spans="1:5">
      <c r="A15936">
        <v>11018</v>
      </c>
      <c r="B15936" t="s">
        <v>178</v>
      </c>
      <c r="C15936">
        <v>625</v>
      </c>
      <c r="D15936">
        <v>10</v>
      </c>
      <c r="E15936" s="80">
        <v>35898</v>
      </c>
    </row>
    <row r="15937" spans="1:5">
      <c r="A15937">
        <v>11018</v>
      </c>
      <c r="B15937" t="s">
        <v>179</v>
      </c>
      <c r="C15937">
        <v>625</v>
      </c>
      <c r="D15937">
        <v>10</v>
      </c>
      <c r="E15937" s="80">
        <v>35898</v>
      </c>
    </row>
    <row r="15938" spans="1:5">
      <c r="A15938">
        <v>11018</v>
      </c>
      <c r="B15938" t="s">
        <v>172</v>
      </c>
      <c r="C15938">
        <v>190</v>
      </c>
      <c r="D15938">
        <v>5</v>
      </c>
      <c r="E15938" s="80">
        <v>35898</v>
      </c>
    </row>
    <row r="15939" spans="1:5">
      <c r="A15939">
        <v>11018</v>
      </c>
      <c r="B15939" t="s">
        <v>173</v>
      </c>
      <c r="C15939">
        <v>190</v>
      </c>
      <c r="D15939">
        <v>5</v>
      </c>
      <c r="E15939" s="80">
        <v>35898</v>
      </c>
    </row>
    <row r="15940" spans="1:5">
      <c r="A15940">
        <v>11018</v>
      </c>
      <c r="B15940" t="s">
        <v>174</v>
      </c>
      <c r="C15940">
        <v>190</v>
      </c>
      <c r="D15940">
        <v>5</v>
      </c>
      <c r="E15940" s="80">
        <v>35898</v>
      </c>
    </row>
    <row r="15941" spans="1:5">
      <c r="A15941">
        <v>11018</v>
      </c>
      <c r="B15941" t="s">
        <v>175</v>
      </c>
      <c r="C15941">
        <v>190</v>
      </c>
      <c r="D15941">
        <v>5</v>
      </c>
      <c r="E15941" s="80">
        <v>35898</v>
      </c>
    </row>
    <row r="15942" spans="1:5">
      <c r="A15942">
        <v>11018</v>
      </c>
      <c r="B15942" t="s">
        <v>176</v>
      </c>
      <c r="C15942">
        <v>190</v>
      </c>
      <c r="D15942">
        <v>5</v>
      </c>
      <c r="E15942" s="80">
        <v>35898</v>
      </c>
    </row>
    <row r="15943" spans="1:5">
      <c r="A15943">
        <v>11018</v>
      </c>
      <c r="B15943" t="s">
        <v>177</v>
      </c>
      <c r="C15943">
        <v>190</v>
      </c>
      <c r="D15943">
        <v>5</v>
      </c>
      <c r="E15943" s="80">
        <v>35898</v>
      </c>
    </row>
    <row r="15944" spans="1:5">
      <c r="A15944">
        <v>11018</v>
      </c>
      <c r="B15944" t="s">
        <v>178</v>
      </c>
      <c r="C15944">
        <v>190</v>
      </c>
      <c r="D15944">
        <v>5</v>
      </c>
      <c r="E15944" s="80">
        <v>35898</v>
      </c>
    </row>
    <row r="15945" spans="1:5">
      <c r="A15945">
        <v>11018</v>
      </c>
      <c r="B15945" t="s">
        <v>179</v>
      </c>
      <c r="C15945">
        <v>190</v>
      </c>
      <c r="D15945">
        <v>5</v>
      </c>
      <c r="E15945" s="80">
        <v>35898</v>
      </c>
    </row>
    <row r="15946" spans="1:5">
      <c r="A15946">
        <v>11019</v>
      </c>
      <c r="B15946" t="s">
        <v>172</v>
      </c>
      <c r="C15946">
        <v>36</v>
      </c>
      <c r="D15946">
        <v>3</v>
      </c>
      <c r="E15946" s="80">
        <v>35898</v>
      </c>
    </row>
    <row r="15947" spans="1:5">
      <c r="A15947">
        <v>11019</v>
      </c>
      <c r="B15947" t="s">
        <v>173</v>
      </c>
      <c r="C15947">
        <v>36</v>
      </c>
      <c r="D15947">
        <v>3</v>
      </c>
      <c r="E15947" s="80">
        <v>35898</v>
      </c>
    </row>
    <row r="15948" spans="1:5">
      <c r="A15948">
        <v>11019</v>
      </c>
      <c r="B15948" t="s">
        <v>174</v>
      </c>
      <c r="C15948">
        <v>36</v>
      </c>
      <c r="D15948">
        <v>3</v>
      </c>
      <c r="E15948" s="80">
        <v>35898</v>
      </c>
    </row>
    <row r="15949" spans="1:5">
      <c r="A15949">
        <v>11019</v>
      </c>
      <c r="B15949" t="s">
        <v>175</v>
      </c>
      <c r="C15949">
        <v>36</v>
      </c>
      <c r="D15949">
        <v>3</v>
      </c>
      <c r="E15949" s="80">
        <v>35898</v>
      </c>
    </row>
    <row r="15950" spans="1:5">
      <c r="A15950">
        <v>11019</v>
      </c>
      <c r="B15950" t="s">
        <v>176</v>
      </c>
      <c r="C15950">
        <v>36</v>
      </c>
      <c r="D15950">
        <v>3</v>
      </c>
      <c r="E15950" s="80">
        <v>35898</v>
      </c>
    </row>
    <row r="15951" spans="1:5">
      <c r="A15951">
        <v>11019</v>
      </c>
      <c r="B15951" t="s">
        <v>177</v>
      </c>
      <c r="C15951">
        <v>36</v>
      </c>
      <c r="D15951">
        <v>3</v>
      </c>
      <c r="E15951" s="80">
        <v>35898</v>
      </c>
    </row>
    <row r="15952" spans="1:5">
      <c r="A15952">
        <v>11019</v>
      </c>
      <c r="B15952" t="s">
        <v>178</v>
      </c>
      <c r="C15952">
        <v>36</v>
      </c>
      <c r="D15952">
        <v>3</v>
      </c>
      <c r="E15952" s="80">
        <v>35898</v>
      </c>
    </row>
    <row r="15953" spans="1:5">
      <c r="A15953">
        <v>11019</v>
      </c>
      <c r="B15953" t="s">
        <v>179</v>
      </c>
      <c r="C15953">
        <v>36</v>
      </c>
      <c r="D15953">
        <v>3</v>
      </c>
      <c r="E15953" s="80">
        <v>35898</v>
      </c>
    </row>
    <row r="15954" spans="1:5">
      <c r="A15954">
        <v>11019</v>
      </c>
      <c r="B15954" t="s">
        <v>172</v>
      </c>
      <c r="C15954">
        <v>40</v>
      </c>
      <c r="D15954">
        <v>2</v>
      </c>
      <c r="E15954" s="80">
        <v>35898</v>
      </c>
    </row>
    <row r="15955" spans="1:5">
      <c r="A15955">
        <v>11019</v>
      </c>
      <c r="B15955" t="s">
        <v>173</v>
      </c>
      <c r="C15955">
        <v>40</v>
      </c>
      <c r="D15955">
        <v>2</v>
      </c>
      <c r="E15955" s="80">
        <v>35898</v>
      </c>
    </row>
    <row r="15956" spans="1:5">
      <c r="A15956">
        <v>11019</v>
      </c>
      <c r="B15956" t="s">
        <v>174</v>
      </c>
      <c r="C15956">
        <v>40</v>
      </c>
      <c r="D15956">
        <v>2</v>
      </c>
      <c r="E15956" s="80">
        <v>35898</v>
      </c>
    </row>
    <row r="15957" spans="1:5">
      <c r="A15957">
        <v>11019</v>
      </c>
      <c r="B15957" t="s">
        <v>175</v>
      </c>
      <c r="C15957">
        <v>40</v>
      </c>
      <c r="D15957">
        <v>2</v>
      </c>
      <c r="E15957" s="80">
        <v>35898</v>
      </c>
    </row>
    <row r="15958" spans="1:5">
      <c r="A15958">
        <v>11019</v>
      </c>
      <c r="B15958" t="s">
        <v>176</v>
      </c>
      <c r="C15958">
        <v>40</v>
      </c>
      <c r="D15958">
        <v>2</v>
      </c>
      <c r="E15958" s="80">
        <v>35898</v>
      </c>
    </row>
    <row r="15959" spans="1:5">
      <c r="A15959">
        <v>11019</v>
      </c>
      <c r="B15959" t="s">
        <v>177</v>
      </c>
      <c r="C15959">
        <v>40</v>
      </c>
      <c r="D15959">
        <v>2</v>
      </c>
      <c r="E15959" s="80">
        <v>35898</v>
      </c>
    </row>
    <row r="15960" spans="1:5">
      <c r="A15960">
        <v>11019</v>
      </c>
      <c r="B15960" t="s">
        <v>178</v>
      </c>
      <c r="C15960">
        <v>40</v>
      </c>
      <c r="D15960">
        <v>2</v>
      </c>
      <c r="E15960" s="80">
        <v>35898</v>
      </c>
    </row>
    <row r="15961" spans="1:5">
      <c r="A15961">
        <v>11019</v>
      </c>
      <c r="B15961" t="s">
        <v>179</v>
      </c>
      <c r="C15961">
        <v>40</v>
      </c>
      <c r="D15961">
        <v>2</v>
      </c>
      <c r="E15961" s="80">
        <v>35898</v>
      </c>
    </row>
    <row r="15962" spans="1:5">
      <c r="A15962">
        <v>11020</v>
      </c>
      <c r="B15962" t="s">
        <v>172</v>
      </c>
      <c r="C15962">
        <v>632.39999556541443</v>
      </c>
      <c r="D15962">
        <v>24</v>
      </c>
      <c r="E15962" s="80">
        <v>35899</v>
      </c>
    </row>
    <row r="15963" spans="1:5">
      <c r="A15963">
        <v>11020</v>
      </c>
      <c r="B15963" t="s">
        <v>173</v>
      </c>
      <c r="C15963">
        <v>632.39999556541443</v>
      </c>
      <c r="D15963">
        <v>24</v>
      </c>
      <c r="E15963" s="80">
        <v>35899</v>
      </c>
    </row>
    <row r="15964" spans="1:5">
      <c r="A15964">
        <v>11020</v>
      </c>
      <c r="B15964" t="s">
        <v>174</v>
      </c>
      <c r="C15964">
        <v>632.39999556541443</v>
      </c>
      <c r="D15964">
        <v>24</v>
      </c>
      <c r="E15964" s="80">
        <v>35899</v>
      </c>
    </row>
    <row r="15965" spans="1:5">
      <c r="A15965">
        <v>11020</v>
      </c>
      <c r="B15965" t="s">
        <v>175</v>
      </c>
      <c r="C15965">
        <v>632.39999556541443</v>
      </c>
      <c r="D15965">
        <v>24</v>
      </c>
      <c r="E15965" s="80">
        <v>35899</v>
      </c>
    </row>
    <row r="15966" spans="1:5">
      <c r="A15966">
        <v>11020</v>
      </c>
      <c r="B15966" t="s">
        <v>176</v>
      </c>
      <c r="C15966">
        <v>632.39999556541443</v>
      </c>
      <c r="D15966">
        <v>24</v>
      </c>
      <c r="E15966" s="80">
        <v>35899</v>
      </c>
    </row>
    <row r="15967" spans="1:5">
      <c r="A15967">
        <v>11020</v>
      </c>
      <c r="B15967" t="s">
        <v>177</v>
      </c>
      <c r="C15967">
        <v>632.39999556541443</v>
      </c>
      <c r="D15967">
        <v>24</v>
      </c>
      <c r="E15967" s="80">
        <v>35899</v>
      </c>
    </row>
    <row r="15968" spans="1:5">
      <c r="A15968">
        <v>11020</v>
      </c>
      <c r="B15968" t="s">
        <v>178</v>
      </c>
      <c r="C15968">
        <v>632.39999556541443</v>
      </c>
      <c r="D15968">
        <v>24</v>
      </c>
      <c r="E15968" s="80">
        <v>35899</v>
      </c>
    </row>
    <row r="15969" spans="1:5">
      <c r="A15969">
        <v>11020</v>
      </c>
      <c r="B15969" t="s">
        <v>179</v>
      </c>
      <c r="C15969">
        <v>632.39999556541443</v>
      </c>
      <c r="D15969">
        <v>24</v>
      </c>
      <c r="E15969" s="80">
        <v>35899</v>
      </c>
    </row>
    <row r="15970" spans="1:5">
      <c r="A15970">
        <v>11021</v>
      </c>
      <c r="B15970" t="s">
        <v>172</v>
      </c>
      <c r="C15970">
        <v>156.75</v>
      </c>
      <c r="D15970">
        <v>11</v>
      </c>
      <c r="E15970" s="80">
        <v>35899</v>
      </c>
    </row>
    <row r="15971" spans="1:5">
      <c r="A15971">
        <v>11021</v>
      </c>
      <c r="B15971" t="s">
        <v>173</v>
      </c>
      <c r="C15971">
        <v>156.75</v>
      </c>
      <c r="D15971">
        <v>11</v>
      </c>
      <c r="E15971" s="80">
        <v>35899</v>
      </c>
    </row>
    <row r="15972" spans="1:5">
      <c r="A15972">
        <v>11021</v>
      </c>
      <c r="B15972" t="s">
        <v>174</v>
      </c>
      <c r="C15972">
        <v>156.75</v>
      </c>
      <c r="D15972">
        <v>11</v>
      </c>
      <c r="E15972" s="80">
        <v>35899</v>
      </c>
    </row>
    <row r="15973" spans="1:5">
      <c r="A15973">
        <v>11021</v>
      </c>
      <c r="B15973" t="s">
        <v>175</v>
      </c>
      <c r="C15973">
        <v>156.75</v>
      </c>
      <c r="D15973">
        <v>11</v>
      </c>
      <c r="E15973" s="80">
        <v>35899</v>
      </c>
    </row>
    <row r="15974" spans="1:5">
      <c r="A15974">
        <v>11021</v>
      </c>
      <c r="B15974" t="s">
        <v>176</v>
      </c>
      <c r="C15974">
        <v>156.75</v>
      </c>
      <c r="D15974">
        <v>11</v>
      </c>
      <c r="E15974" s="80">
        <v>35899</v>
      </c>
    </row>
    <row r="15975" spans="1:5">
      <c r="A15975">
        <v>11021</v>
      </c>
      <c r="B15975" t="s">
        <v>177</v>
      </c>
      <c r="C15975">
        <v>156.75</v>
      </c>
      <c r="D15975">
        <v>11</v>
      </c>
      <c r="E15975" s="80">
        <v>35899</v>
      </c>
    </row>
    <row r="15976" spans="1:5">
      <c r="A15976">
        <v>11021</v>
      </c>
      <c r="B15976" t="s">
        <v>178</v>
      </c>
      <c r="C15976">
        <v>156.75</v>
      </c>
      <c r="D15976">
        <v>11</v>
      </c>
      <c r="E15976" s="80">
        <v>35899</v>
      </c>
    </row>
    <row r="15977" spans="1:5">
      <c r="A15977">
        <v>11021</v>
      </c>
      <c r="B15977" t="s">
        <v>179</v>
      </c>
      <c r="C15977">
        <v>156.75</v>
      </c>
      <c r="D15977">
        <v>11</v>
      </c>
      <c r="E15977" s="80">
        <v>35899</v>
      </c>
    </row>
    <row r="15978" spans="1:5">
      <c r="A15978">
        <v>11021</v>
      </c>
      <c r="B15978" t="s">
        <v>172</v>
      </c>
      <c r="C15978">
        <v>1215</v>
      </c>
      <c r="D15978">
        <v>15</v>
      </c>
      <c r="E15978" s="80">
        <v>35899</v>
      </c>
    </row>
    <row r="15979" spans="1:5">
      <c r="A15979">
        <v>11021</v>
      </c>
      <c r="B15979" t="s">
        <v>173</v>
      </c>
      <c r="C15979">
        <v>1215</v>
      </c>
      <c r="D15979">
        <v>15</v>
      </c>
      <c r="E15979" s="80">
        <v>35899</v>
      </c>
    </row>
    <row r="15980" spans="1:5">
      <c r="A15980">
        <v>11021</v>
      </c>
      <c r="B15980" t="s">
        <v>174</v>
      </c>
      <c r="C15980">
        <v>1215</v>
      </c>
      <c r="D15980">
        <v>15</v>
      </c>
      <c r="E15980" s="80">
        <v>35899</v>
      </c>
    </row>
    <row r="15981" spans="1:5">
      <c r="A15981">
        <v>11021</v>
      </c>
      <c r="B15981" t="s">
        <v>175</v>
      </c>
      <c r="C15981">
        <v>1215</v>
      </c>
      <c r="D15981">
        <v>15</v>
      </c>
      <c r="E15981" s="80">
        <v>35899</v>
      </c>
    </row>
    <row r="15982" spans="1:5">
      <c r="A15982">
        <v>11021</v>
      </c>
      <c r="B15982" t="s">
        <v>176</v>
      </c>
      <c r="C15982">
        <v>1215</v>
      </c>
      <c r="D15982">
        <v>15</v>
      </c>
      <c r="E15982" s="80">
        <v>35899</v>
      </c>
    </row>
    <row r="15983" spans="1:5">
      <c r="A15983">
        <v>11021</v>
      </c>
      <c r="B15983" t="s">
        <v>177</v>
      </c>
      <c r="C15983">
        <v>1215</v>
      </c>
      <c r="D15983">
        <v>15</v>
      </c>
      <c r="E15983" s="80">
        <v>35899</v>
      </c>
    </row>
    <row r="15984" spans="1:5">
      <c r="A15984">
        <v>11021</v>
      </c>
      <c r="B15984" t="s">
        <v>178</v>
      </c>
      <c r="C15984">
        <v>1215</v>
      </c>
      <c r="D15984">
        <v>15</v>
      </c>
      <c r="E15984" s="80">
        <v>35899</v>
      </c>
    </row>
    <row r="15985" spans="1:5">
      <c r="A15985">
        <v>11021</v>
      </c>
      <c r="B15985" t="s">
        <v>179</v>
      </c>
      <c r="C15985">
        <v>1215</v>
      </c>
      <c r="D15985">
        <v>15</v>
      </c>
      <c r="E15985" s="80">
        <v>35899</v>
      </c>
    </row>
    <row r="15986" spans="1:5">
      <c r="A15986">
        <v>11021</v>
      </c>
      <c r="B15986" t="s">
        <v>172</v>
      </c>
      <c r="C15986">
        <v>1967.49</v>
      </c>
      <c r="D15986">
        <v>63</v>
      </c>
      <c r="E15986" s="80">
        <v>35899</v>
      </c>
    </row>
    <row r="15987" spans="1:5">
      <c r="A15987">
        <v>11021</v>
      </c>
      <c r="B15987" t="s">
        <v>173</v>
      </c>
      <c r="C15987">
        <v>1967.49</v>
      </c>
      <c r="D15987">
        <v>63</v>
      </c>
      <c r="E15987" s="80">
        <v>35899</v>
      </c>
    </row>
    <row r="15988" spans="1:5">
      <c r="A15988">
        <v>11021</v>
      </c>
      <c r="B15988" t="s">
        <v>174</v>
      </c>
      <c r="C15988">
        <v>1967.49</v>
      </c>
      <c r="D15988">
        <v>63</v>
      </c>
      <c r="E15988" s="80">
        <v>35899</v>
      </c>
    </row>
    <row r="15989" spans="1:5">
      <c r="A15989">
        <v>11021</v>
      </c>
      <c r="B15989" t="s">
        <v>175</v>
      </c>
      <c r="C15989">
        <v>1967.49</v>
      </c>
      <c r="D15989">
        <v>63</v>
      </c>
      <c r="E15989" s="80">
        <v>35899</v>
      </c>
    </row>
    <row r="15990" spans="1:5">
      <c r="A15990">
        <v>11021</v>
      </c>
      <c r="B15990" t="s">
        <v>176</v>
      </c>
      <c r="C15990">
        <v>1967.49</v>
      </c>
      <c r="D15990">
        <v>63</v>
      </c>
      <c r="E15990" s="80">
        <v>35899</v>
      </c>
    </row>
    <row r="15991" spans="1:5">
      <c r="A15991">
        <v>11021</v>
      </c>
      <c r="B15991" t="s">
        <v>177</v>
      </c>
      <c r="C15991">
        <v>1967.49</v>
      </c>
      <c r="D15991">
        <v>63</v>
      </c>
      <c r="E15991" s="80">
        <v>35899</v>
      </c>
    </row>
    <row r="15992" spans="1:5">
      <c r="A15992">
        <v>11021</v>
      </c>
      <c r="B15992" t="s">
        <v>178</v>
      </c>
      <c r="C15992">
        <v>1967.49</v>
      </c>
      <c r="D15992">
        <v>63</v>
      </c>
      <c r="E15992" s="80">
        <v>35899</v>
      </c>
    </row>
    <row r="15993" spans="1:5">
      <c r="A15993">
        <v>11021</v>
      </c>
      <c r="B15993" t="s">
        <v>179</v>
      </c>
      <c r="C15993">
        <v>1967.49</v>
      </c>
      <c r="D15993">
        <v>63</v>
      </c>
      <c r="E15993" s="80">
        <v>35899</v>
      </c>
    </row>
    <row r="15994" spans="1:5">
      <c r="A15994">
        <v>11021</v>
      </c>
      <c r="B15994" t="s">
        <v>172</v>
      </c>
      <c r="C15994">
        <v>1749</v>
      </c>
      <c r="D15994">
        <v>44</v>
      </c>
      <c r="E15994" s="80">
        <v>35899</v>
      </c>
    </row>
    <row r="15995" spans="1:5">
      <c r="A15995">
        <v>11021</v>
      </c>
      <c r="B15995" t="s">
        <v>173</v>
      </c>
      <c r="C15995">
        <v>1749</v>
      </c>
      <c r="D15995">
        <v>44</v>
      </c>
      <c r="E15995" s="80">
        <v>35899</v>
      </c>
    </row>
    <row r="15996" spans="1:5">
      <c r="A15996">
        <v>11021</v>
      </c>
      <c r="B15996" t="s">
        <v>174</v>
      </c>
      <c r="C15996">
        <v>1749</v>
      </c>
      <c r="D15996">
        <v>44</v>
      </c>
      <c r="E15996" s="80">
        <v>35899</v>
      </c>
    </row>
    <row r="15997" spans="1:5">
      <c r="A15997">
        <v>11021</v>
      </c>
      <c r="B15997" t="s">
        <v>175</v>
      </c>
      <c r="C15997">
        <v>1749</v>
      </c>
      <c r="D15997">
        <v>44</v>
      </c>
      <c r="E15997" s="80">
        <v>35899</v>
      </c>
    </row>
    <row r="15998" spans="1:5">
      <c r="A15998">
        <v>11021</v>
      </c>
      <c r="B15998" t="s">
        <v>176</v>
      </c>
      <c r="C15998">
        <v>1749</v>
      </c>
      <c r="D15998">
        <v>44</v>
      </c>
      <c r="E15998" s="80">
        <v>35899</v>
      </c>
    </row>
    <row r="15999" spans="1:5">
      <c r="A15999">
        <v>11021</v>
      </c>
      <c r="B15999" t="s">
        <v>177</v>
      </c>
      <c r="C15999">
        <v>1749</v>
      </c>
      <c r="D15999">
        <v>44</v>
      </c>
      <c r="E15999" s="80">
        <v>35899</v>
      </c>
    </row>
    <row r="16000" spans="1:5">
      <c r="A16000">
        <v>11021</v>
      </c>
      <c r="B16000" t="s">
        <v>178</v>
      </c>
      <c r="C16000">
        <v>1749</v>
      </c>
      <c r="D16000">
        <v>44</v>
      </c>
      <c r="E16000" s="80">
        <v>35899</v>
      </c>
    </row>
    <row r="16001" spans="1:5">
      <c r="A16001">
        <v>11021</v>
      </c>
      <c r="B16001" t="s">
        <v>179</v>
      </c>
      <c r="C16001">
        <v>1749</v>
      </c>
      <c r="D16001">
        <v>44</v>
      </c>
      <c r="E16001" s="80">
        <v>35899</v>
      </c>
    </row>
    <row r="16002" spans="1:5">
      <c r="A16002">
        <v>11021</v>
      </c>
      <c r="B16002" t="s">
        <v>172</v>
      </c>
      <c r="C16002">
        <v>1218</v>
      </c>
      <c r="D16002">
        <v>35</v>
      </c>
      <c r="E16002" s="80">
        <v>35899</v>
      </c>
    </row>
    <row r="16003" spans="1:5">
      <c r="A16003">
        <v>11021</v>
      </c>
      <c r="B16003" t="s">
        <v>173</v>
      </c>
      <c r="C16003">
        <v>1218</v>
      </c>
      <c r="D16003">
        <v>35</v>
      </c>
      <c r="E16003" s="80">
        <v>35899</v>
      </c>
    </row>
    <row r="16004" spans="1:5">
      <c r="A16004">
        <v>11021</v>
      </c>
      <c r="B16004" t="s">
        <v>174</v>
      </c>
      <c r="C16004">
        <v>1218</v>
      </c>
      <c r="D16004">
        <v>35</v>
      </c>
      <c r="E16004" s="80">
        <v>35899</v>
      </c>
    </row>
    <row r="16005" spans="1:5">
      <c r="A16005">
        <v>11021</v>
      </c>
      <c r="B16005" t="s">
        <v>175</v>
      </c>
      <c r="C16005">
        <v>1218</v>
      </c>
      <c r="D16005">
        <v>35</v>
      </c>
      <c r="E16005" s="80">
        <v>35899</v>
      </c>
    </row>
    <row r="16006" spans="1:5">
      <c r="A16006">
        <v>11021</v>
      </c>
      <c r="B16006" t="s">
        <v>176</v>
      </c>
      <c r="C16006">
        <v>1218</v>
      </c>
      <c r="D16006">
        <v>35</v>
      </c>
      <c r="E16006" s="80">
        <v>35899</v>
      </c>
    </row>
    <row r="16007" spans="1:5">
      <c r="A16007">
        <v>11021</v>
      </c>
      <c r="B16007" t="s">
        <v>177</v>
      </c>
      <c r="C16007">
        <v>1218</v>
      </c>
      <c r="D16007">
        <v>35</v>
      </c>
      <c r="E16007" s="80">
        <v>35899</v>
      </c>
    </row>
    <row r="16008" spans="1:5">
      <c r="A16008">
        <v>11021</v>
      </c>
      <c r="B16008" t="s">
        <v>178</v>
      </c>
      <c r="C16008">
        <v>1218</v>
      </c>
      <c r="D16008">
        <v>35</v>
      </c>
      <c r="E16008" s="80">
        <v>35899</v>
      </c>
    </row>
    <row r="16009" spans="1:5">
      <c r="A16009">
        <v>11021</v>
      </c>
      <c r="B16009" t="s">
        <v>179</v>
      </c>
      <c r="C16009">
        <v>1218</v>
      </c>
      <c r="D16009">
        <v>35</v>
      </c>
      <c r="E16009" s="80">
        <v>35899</v>
      </c>
    </row>
    <row r="16010" spans="1:5">
      <c r="A16010">
        <v>11022</v>
      </c>
      <c r="B16010" t="s">
        <v>172</v>
      </c>
      <c r="C16010">
        <v>322</v>
      </c>
      <c r="D16010">
        <v>35</v>
      </c>
      <c r="E16010" s="80">
        <v>35899</v>
      </c>
    </row>
    <row r="16011" spans="1:5">
      <c r="A16011">
        <v>11022</v>
      </c>
      <c r="B16011" t="s">
        <v>173</v>
      </c>
      <c r="C16011">
        <v>322</v>
      </c>
      <c r="D16011">
        <v>35</v>
      </c>
      <c r="E16011" s="80">
        <v>35899</v>
      </c>
    </row>
    <row r="16012" spans="1:5">
      <c r="A16012">
        <v>11022</v>
      </c>
      <c r="B16012" t="s">
        <v>174</v>
      </c>
      <c r="C16012">
        <v>322</v>
      </c>
      <c r="D16012">
        <v>35</v>
      </c>
      <c r="E16012" s="80">
        <v>35899</v>
      </c>
    </row>
    <row r="16013" spans="1:5">
      <c r="A16013">
        <v>11022</v>
      </c>
      <c r="B16013" t="s">
        <v>175</v>
      </c>
      <c r="C16013">
        <v>322</v>
      </c>
      <c r="D16013">
        <v>35</v>
      </c>
      <c r="E16013" s="80">
        <v>35899</v>
      </c>
    </row>
    <row r="16014" spans="1:5">
      <c r="A16014">
        <v>11022</v>
      </c>
      <c r="B16014" t="s">
        <v>176</v>
      </c>
      <c r="C16014">
        <v>322</v>
      </c>
      <c r="D16014">
        <v>35</v>
      </c>
      <c r="E16014" s="80">
        <v>35899</v>
      </c>
    </row>
    <row r="16015" spans="1:5">
      <c r="A16015">
        <v>11022</v>
      </c>
      <c r="B16015" t="s">
        <v>177</v>
      </c>
      <c r="C16015">
        <v>322</v>
      </c>
      <c r="D16015">
        <v>35</v>
      </c>
      <c r="E16015" s="80">
        <v>35899</v>
      </c>
    </row>
    <row r="16016" spans="1:5">
      <c r="A16016">
        <v>11022</v>
      </c>
      <c r="B16016" t="s">
        <v>178</v>
      </c>
      <c r="C16016">
        <v>322</v>
      </c>
      <c r="D16016">
        <v>35</v>
      </c>
      <c r="E16016" s="80">
        <v>35899</v>
      </c>
    </row>
    <row r="16017" spans="1:5">
      <c r="A16017">
        <v>11022</v>
      </c>
      <c r="B16017" t="s">
        <v>179</v>
      </c>
      <c r="C16017">
        <v>322</v>
      </c>
      <c r="D16017">
        <v>35</v>
      </c>
      <c r="E16017" s="80">
        <v>35899</v>
      </c>
    </row>
    <row r="16018" spans="1:5">
      <c r="A16018">
        <v>11022</v>
      </c>
      <c r="B16018" t="s">
        <v>172</v>
      </c>
      <c r="C16018">
        <v>1080</v>
      </c>
      <c r="D16018">
        <v>30</v>
      </c>
      <c r="E16018" s="80">
        <v>35899</v>
      </c>
    </row>
    <row r="16019" spans="1:5">
      <c r="A16019">
        <v>11022</v>
      </c>
      <c r="B16019" t="s">
        <v>173</v>
      </c>
      <c r="C16019">
        <v>1080</v>
      </c>
      <c r="D16019">
        <v>30</v>
      </c>
      <c r="E16019" s="80">
        <v>35899</v>
      </c>
    </row>
    <row r="16020" spans="1:5">
      <c r="A16020">
        <v>11022</v>
      </c>
      <c r="B16020" t="s">
        <v>174</v>
      </c>
      <c r="C16020">
        <v>1080</v>
      </c>
      <c r="D16020">
        <v>30</v>
      </c>
      <c r="E16020" s="80">
        <v>35899</v>
      </c>
    </row>
    <row r="16021" spans="1:5">
      <c r="A16021">
        <v>11022</v>
      </c>
      <c r="B16021" t="s">
        <v>175</v>
      </c>
      <c r="C16021">
        <v>1080</v>
      </c>
      <c r="D16021">
        <v>30</v>
      </c>
      <c r="E16021" s="80">
        <v>35899</v>
      </c>
    </row>
    <row r="16022" spans="1:5">
      <c r="A16022">
        <v>11022</v>
      </c>
      <c r="B16022" t="s">
        <v>176</v>
      </c>
      <c r="C16022">
        <v>1080</v>
      </c>
      <c r="D16022">
        <v>30</v>
      </c>
      <c r="E16022" s="80">
        <v>35899</v>
      </c>
    </row>
    <row r="16023" spans="1:5">
      <c r="A16023">
        <v>11022</v>
      </c>
      <c r="B16023" t="s">
        <v>177</v>
      </c>
      <c r="C16023">
        <v>1080</v>
      </c>
      <c r="D16023">
        <v>30</v>
      </c>
      <c r="E16023" s="80">
        <v>35899</v>
      </c>
    </row>
    <row r="16024" spans="1:5">
      <c r="A16024">
        <v>11022</v>
      </c>
      <c r="B16024" t="s">
        <v>178</v>
      </c>
      <c r="C16024">
        <v>1080</v>
      </c>
      <c r="D16024">
        <v>30</v>
      </c>
      <c r="E16024" s="80">
        <v>35899</v>
      </c>
    </row>
    <row r="16025" spans="1:5">
      <c r="A16025">
        <v>11022</v>
      </c>
      <c r="B16025" t="s">
        <v>179</v>
      </c>
      <c r="C16025">
        <v>1080</v>
      </c>
      <c r="D16025">
        <v>30</v>
      </c>
      <c r="E16025" s="80">
        <v>35899</v>
      </c>
    </row>
    <row r="16026" spans="1:5">
      <c r="A16026">
        <v>11023</v>
      </c>
      <c r="B16026" t="s">
        <v>172</v>
      </c>
      <c r="C16026">
        <v>120</v>
      </c>
      <c r="D16026">
        <v>4</v>
      </c>
      <c r="E16026" s="80">
        <v>35899</v>
      </c>
    </row>
    <row r="16027" spans="1:5">
      <c r="A16027">
        <v>11023</v>
      </c>
      <c r="B16027" t="s">
        <v>173</v>
      </c>
      <c r="C16027">
        <v>120</v>
      </c>
      <c r="D16027">
        <v>4</v>
      </c>
      <c r="E16027" s="80">
        <v>35899</v>
      </c>
    </row>
    <row r="16028" spans="1:5">
      <c r="A16028">
        <v>11023</v>
      </c>
      <c r="B16028" t="s">
        <v>174</v>
      </c>
      <c r="C16028">
        <v>120</v>
      </c>
      <c r="D16028">
        <v>4</v>
      </c>
      <c r="E16028" s="80">
        <v>35899</v>
      </c>
    </row>
    <row r="16029" spans="1:5">
      <c r="A16029">
        <v>11023</v>
      </c>
      <c r="B16029" t="s">
        <v>175</v>
      </c>
      <c r="C16029">
        <v>120</v>
      </c>
      <c r="D16029">
        <v>4</v>
      </c>
      <c r="E16029" s="80">
        <v>35899</v>
      </c>
    </row>
    <row r="16030" spans="1:5">
      <c r="A16030">
        <v>11023</v>
      </c>
      <c r="B16030" t="s">
        <v>176</v>
      </c>
      <c r="C16030">
        <v>120</v>
      </c>
      <c r="D16030">
        <v>4</v>
      </c>
      <c r="E16030" s="80">
        <v>35899</v>
      </c>
    </row>
    <row r="16031" spans="1:5">
      <c r="A16031">
        <v>11023</v>
      </c>
      <c r="B16031" t="s">
        <v>177</v>
      </c>
      <c r="C16031">
        <v>120</v>
      </c>
      <c r="D16031">
        <v>4</v>
      </c>
      <c r="E16031" s="80">
        <v>35899</v>
      </c>
    </row>
    <row r="16032" spans="1:5">
      <c r="A16032">
        <v>11023</v>
      </c>
      <c r="B16032" t="s">
        <v>178</v>
      </c>
      <c r="C16032">
        <v>120</v>
      </c>
      <c r="D16032">
        <v>4</v>
      </c>
      <c r="E16032" s="80">
        <v>35899</v>
      </c>
    </row>
    <row r="16033" spans="1:5">
      <c r="A16033">
        <v>11023</v>
      </c>
      <c r="B16033" t="s">
        <v>179</v>
      </c>
      <c r="C16033">
        <v>120</v>
      </c>
      <c r="D16033">
        <v>4</v>
      </c>
      <c r="E16033" s="80">
        <v>35899</v>
      </c>
    </row>
    <row r="16034" spans="1:5">
      <c r="A16034">
        <v>11023</v>
      </c>
      <c r="B16034" t="s">
        <v>172</v>
      </c>
      <c r="C16034">
        <v>1380</v>
      </c>
      <c r="D16034">
        <v>30</v>
      </c>
      <c r="E16034" s="80">
        <v>35899</v>
      </c>
    </row>
    <row r="16035" spans="1:5">
      <c r="A16035">
        <v>11023</v>
      </c>
      <c r="B16035" t="s">
        <v>173</v>
      </c>
      <c r="C16035">
        <v>1380</v>
      </c>
      <c r="D16035">
        <v>30</v>
      </c>
      <c r="E16035" s="80">
        <v>35899</v>
      </c>
    </row>
    <row r="16036" spans="1:5">
      <c r="A16036">
        <v>11023</v>
      </c>
      <c r="B16036" t="s">
        <v>174</v>
      </c>
      <c r="C16036">
        <v>1380</v>
      </c>
      <c r="D16036">
        <v>30</v>
      </c>
      <c r="E16036" s="80">
        <v>35899</v>
      </c>
    </row>
    <row r="16037" spans="1:5">
      <c r="A16037">
        <v>11023</v>
      </c>
      <c r="B16037" t="s">
        <v>175</v>
      </c>
      <c r="C16037">
        <v>1380</v>
      </c>
      <c r="D16037">
        <v>30</v>
      </c>
      <c r="E16037" s="80">
        <v>35899</v>
      </c>
    </row>
    <row r="16038" spans="1:5">
      <c r="A16038">
        <v>11023</v>
      </c>
      <c r="B16038" t="s">
        <v>176</v>
      </c>
      <c r="C16038">
        <v>1380</v>
      </c>
      <c r="D16038">
        <v>30</v>
      </c>
      <c r="E16038" s="80">
        <v>35899</v>
      </c>
    </row>
    <row r="16039" spans="1:5">
      <c r="A16039">
        <v>11023</v>
      </c>
      <c r="B16039" t="s">
        <v>177</v>
      </c>
      <c r="C16039">
        <v>1380</v>
      </c>
      <c r="D16039">
        <v>30</v>
      </c>
      <c r="E16039" s="80">
        <v>35899</v>
      </c>
    </row>
    <row r="16040" spans="1:5">
      <c r="A16040">
        <v>11023</v>
      </c>
      <c r="B16040" t="s">
        <v>178</v>
      </c>
      <c r="C16040">
        <v>1380</v>
      </c>
      <c r="D16040">
        <v>30</v>
      </c>
      <c r="E16040" s="80">
        <v>35899</v>
      </c>
    </row>
    <row r="16041" spans="1:5">
      <c r="A16041">
        <v>11023</v>
      </c>
      <c r="B16041" t="s">
        <v>179</v>
      </c>
      <c r="C16041">
        <v>1380</v>
      </c>
      <c r="D16041">
        <v>30</v>
      </c>
      <c r="E16041" s="80">
        <v>35899</v>
      </c>
    </row>
    <row r="16042" spans="1:5">
      <c r="A16042">
        <v>11024</v>
      </c>
      <c r="B16042" t="s">
        <v>172</v>
      </c>
      <c r="C16042">
        <v>374.76</v>
      </c>
      <c r="D16042">
        <v>12</v>
      </c>
      <c r="E16042" s="80">
        <v>35900</v>
      </c>
    </row>
    <row r="16043" spans="1:5">
      <c r="A16043">
        <v>11024</v>
      </c>
      <c r="B16043" t="s">
        <v>173</v>
      </c>
      <c r="C16043">
        <v>374.76</v>
      </c>
      <c r="D16043">
        <v>12</v>
      </c>
      <c r="E16043" s="80">
        <v>35900</v>
      </c>
    </row>
    <row r="16044" spans="1:5">
      <c r="A16044">
        <v>11024</v>
      </c>
      <c r="B16044" t="s">
        <v>174</v>
      </c>
      <c r="C16044">
        <v>374.76</v>
      </c>
      <c r="D16044">
        <v>12</v>
      </c>
      <c r="E16044" s="80">
        <v>35900</v>
      </c>
    </row>
    <row r="16045" spans="1:5">
      <c r="A16045">
        <v>11024</v>
      </c>
      <c r="B16045" t="s">
        <v>175</v>
      </c>
      <c r="C16045">
        <v>374.76</v>
      </c>
      <c r="D16045">
        <v>12</v>
      </c>
      <c r="E16045" s="80">
        <v>35900</v>
      </c>
    </row>
    <row r="16046" spans="1:5">
      <c r="A16046">
        <v>11024</v>
      </c>
      <c r="B16046" t="s">
        <v>176</v>
      </c>
      <c r="C16046">
        <v>374.76</v>
      </c>
      <c r="D16046">
        <v>12</v>
      </c>
      <c r="E16046" s="80">
        <v>35900</v>
      </c>
    </row>
    <row r="16047" spans="1:5">
      <c r="A16047">
        <v>11024</v>
      </c>
      <c r="B16047" t="s">
        <v>177</v>
      </c>
      <c r="C16047">
        <v>374.76</v>
      </c>
      <c r="D16047">
        <v>12</v>
      </c>
      <c r="E16047" s="80">
        <v>35900</v>
      </c>
    </row>
    <row r="16048" spans="1:5">
      <c r="A16048">
        <v>11024</v>
      </c>
      <c r="B16048" t="s">
        <v>178</v>
      </c>
      <c r="C16048">
        <v>374.76</v>
      </c>
      <c r="D16048">
        <v>12</v>
      </c>
      <c r="E16048" s="80">
        <v>35900</v>
      </c>
    </row>
    <row r="16049" spans="1:5">
      <c r="A16049">
        <v>11024</v>
      </c>
      <c r="B16049" t="s">
        <v>179</v>
      </c>
      <c r="C16049">
        <v>374.76</v>
      </c>
      <c r="D16049">
        <v>12</v>
      </c>
      <c r="E16049" s="80">
        <v>35900</v>
      </c>
    </row>
    <row r="16050" spans="1:5">
      <c r="A16050">
        <v>11024</v>
      </c>
      <c r="B16050" t="s">
        <v>172</v>
      </c>
      <c r="C16050">
        <v>75</v>
      </c>
      <c r="D16050">
        <v>30</v>
      </c>
      <c r="E16050" s="80">
        <v>35900</v>
      </c>
    </row>
    <row r="16051" spans="1:5">
      <c r="A16051">
        <v>11024</v>
      </c>
      <c r="B16051" t="s">
        <v>173</v>
      </c>
      <c r="C16051">
        <v>75</v>
      </c>
      <c r="D16051">
        <v>30</v>
      </c>
      <c r="E16051" s="80">
        <v>35900</v>
      </c>
    </row>
    <row r="16052" spans="1:5">
      <c r="A16052">
        <v>11024</v>
      </c>
      <c r="B16052" t="s">
        <v>174</v>
      </c>
      <c r="C16052">
        <v>75</v>
      </c>
      <c r="D16052">
        <v>30</v>
      </c>
      <c r="E16052" s="80">
        <v>35900</v>
      </c>
    </row>
    <row r="16053" spans="1:5">
      <c r="A16053">
        <v>11024</v>
      </c>
      <c r="B16053" t="s">
        <v>175</v>
      </c>
      <c r="C16053">
        <v>75</v>
      </c>
      <c r="D16053">
        <v>30</v>
      </c>
      <c r="E16053" s="80">
        <v>35900</v>
      </c>
    </row>
    <row r="16054" spans="1:5">
      <c r="A16054">
        <v>11024</v>
      </c>
      <c r="B16054" t="s">
        <v>176</v>
      </c>
      <c r="C16054">
        <v>75</v>
      </c>
      <c r="D16054">
        <v>30</v>
      </c>
      <c r="E16054" s="80">
        <v>35900</v>
      </c>
    </row>
    <row r="16055" spans="1:5">
      <c r="A16055">
        <v>11024</v>
      </c>
      <c r="B16055" t="s">
        <v>177</v>
      </c>
      <c r="C16055">
        <v>75</v>
      </c>
      <c r="D16055">
        <v>30</v>
      </c>
      <c r="E16055" s="80">
        <v>35900</v>
      </c>
    </row>
    <row r="16056" spans="1:5">
      <c r="A16056">
        <v>11024</v>
      </c>
      <c r="B16056" t="s">
        <v>178</v>
      </c>
      <c r="C16056">
        <v>75</v>
      </c>
      <c r="D16056">
        <v>30</v>
      </c>
      <c r="E16056" s="80">
        <v>35900</v>
      </c>
    </row>
    <row r="16057" spans="1:5">
      <c r="A16057">
        <v>11024</v>
      </c>
      <c r="B16057" t="s">
        <v>179</v>
      </c>
      <c r="C16057">
        <v>75</v>
      </c>
      <c r="D16057">
        <v>30</v>
      </c>
      <c r="E16057" s="80">
        <v>35900</v>
      </c>
    </row>
    <row r="16058" spans="1:5">
      <c r="A16058">
        <v>11024</v>
      </c>
      <c r="B16058" t="s">
        <v>172</v>
      </c>
      <c r="C16058">
        <v>442.05</v>
      </c>
      <c r="D16058">
        <v>21</v>
      </c>
      <c r="E16058" s="80">
        <v>35900</v>
      </c>
    </row>
    <row r="16059" spans="1:5">
      <c r="A16059">
        <v>11024</v>
      </c>
      <c r="B16059" t="s">
        <v>173</v>
      </c>
      <c r="C16059">
        <v>442.05</v>
      </c>
      <c r="D16059">
        <v>21</v>
      </c>
      <c r="E16059" s="80">
        <v>35900</v>
      </c>
    </row>
    <row r="16060" spans="1:5">
      <c r="A16060">
        <v>11024</v>
      </c>
      <c r="B16060" t="s">
        <v>174</v>
      </c>
      <c r="C16060">
        <v>442.05</v>
      </c>
      <c r="D16060">
        <v>21</v>
      </c>
      <c r="E16060" s="80">
        <v>35900</v>
      </c>
    </row>
    <row r="16061" spans="1:5">
      <c r="A16061">
        <v>11024</v>
      </c>
      <c r="B16061" t="s">
        <v>175</v>
      </c>
      <c r="C16061">
        <v>442.05</v>
      </c>
      <c r="D16061">
        <v>21</v>
      </c>
      <c r="E16061" s="80">
        <v>35900</v>
      </c>
    </row>
    <row r="16062" spans="1:5">
      <c r="A16062">
        <v>11024</v>
      </c>
      <c r="B16062" t="s">
        <v>176</v>
      </c>
      <c r="C16062">
        <v>442.05</v>
      </c>
      <c r="D16062">
        <v>21</v>
      </c>
      <c r="E16062" s="80">
        <v>35900</v>
      </c>
    </row>
    <row r="16063" spans="1:5">
      <c r="A16063">
        <v>11024</v>
      </c>
      <c r="B16063" t="s">
        <v>177</v>
      </c>
      <c r="C16063">
        <v>442.05</v>
      </c>
      <c r="D16063">
        <v>21</v>
      </c>
      <c r="E16063" s="80">
        <v>35900</v>
      </c>
    </row>
    <row r="16064" spans="1:5">
      <c r="A16064">
        <v>11024</v>
      </c>
      <c r="B16064" t="s">
        <v>178</v>
      </c>
      <c r="C16064">
        <v>442.05</v>
      </c>
      <c r="D16064">
        <v>21</v>
      </c>
      <c r="E16064" s="80">
        <v>35900</v>
      </c>
    </row>
    <row r="16065" spans="1:5">
      <c r="A16065">
        <v>11024</v>
      </c>
      <c r="B16065" t="s">
        <v>179</v>
      </c>
      <c r="C16065">
        <v>442.05</v>
      </c>
      <c r="D16065">
        <v>21</v>
      </c>
      <c r="E16065" s="80">
        <v>35900</v>
      </c>
    </row>
    <row r="16066" spans="1:5">
      <c r="A16066">
        <v>11024</v>
      </c>
      <c r="B16066" t="s">
        <v>172</v>
      </c>
      <c r="C16066">
        <v>1075</v>
      </c>
      <c r="D16066">
        <v>50</v>
      </c>
      <c r="E16066" s="80">
        <v>35900</v>
      </c>
    </row>
    <row r="16067" spans="1:5">
      <c r="A16067">
        <v>11024</v>
      </c>
      <c r="B16067" t="s">
        <v>173</v>
      </c>
      <c r="C16067">
        <v>1075</v>
      </c>
      <c r="D16067">
        <v>50</v>
      </c>
      <c r="E16067" s="80">
        <v>35900</v>
      </c>
    </row>
    <row r="16068" spans="1:5">
      <c r="A16068">
        <v>11024</v>
      </c>
      <c r="B16068" t="s">
        <v>174</v>
      </c>
      <c r="C16068">
        <v>1075</v>
      </c>
      <c r="D16068">
        <v>50</v>
      </c>
      <c r="E16068" s="80">
        <v>35900</v>
      </c>
    </row>
    <row r="16069" spans="1:5">
      <c r="A16069">
        <v>11024</v>
      </c>
      <c r="B16069" t="s">
        <v>175</v>
      </c>
      <c r="C16069">
        <v>1075</v>
      </c>
      <c r="D16069">
        <v>50</v>
      </c>
      <c r="E16069" s="80">
        <v>35900</v>
      </c>
    </row>
    <row r="16070" spans="1:5">
      <c r="A16070">
        <v>11024</v>
      </c>
      <c r="B16070" t="s">
        <v>176</v>
      </c>
      <c r="C16070">
        <v>1075</v>
      </c>
      <c r="D16070">
        <v>50</v>
      </c>
      <c r="E16070" s="80">
        <v>35900</v>
      </c>
    </row>
    <row r="16071" spans="1:5">
      <c r="A16071">
        <v>11024</v>
      </c>
      <c r="B16071" t="s">
        <v>177</v>
      </c>
      <c r="C16071">
        <v>1075</v>
      </c>
      <c r="D16071">
        <v>50</v>
      </c>
      <c r="E16071" s="80">
        <v>35900</v>
      </c>
    </row>
    <row r="16072" spans="1:5">
      <c r="A16072">
        <v>11024</v>
      </c>
      <c r="B16072" t="s">
        <v>178</v>
      </c>
      <c r="C16072">
        <v>1075</v>
      </c>
      <c r="D16072">
        <v>50</v>
      </c>
      <c r="E16072" s="80">
        <v>35900</v>
      </c>
    </row>
    <row r="16073" spans="1:5">
      <c r="A16073">
        <v>11024</v>
      </c>
      <c r="B16073" t="s">
        <v>179</v>
      </c>
      <c r="C16073">
        <v>1075</v>
      </c>
      <c r="D16073">
        <v>50</v>
      </c>
      <c r="E16073" s="80">
        <v>35900</v>
      </c>
    </row>
    <row r="16074" spans="1:5">
      <c r="A16074">
        <v>11025</v>
      </c>
      <c r="B16074" t="s">
        <v>172</v>
      </c>
      <c r="C16074">
        <v>161.9999997317791</v>
      </c>
      <c r="D16074">
        <v>10</v>
      </c>
      <c r="E16074" s="80">
        <v>35900</v>
      </c>
    </row>
    <row r="16075" spans="1:5">
      <c r="A16075">
        <v>11025</v>
      </c>
      <c r="B16075" t="s">
        <v>173</v>
      </c>
      <c r="C16075">
        <v>161.9999997317791</v>
      </c>
      <c r="D16075">
        <v>10</v>
      </c>
      <c r="E16075" s="80">
        <v>35900</v>
      </c>
    </row>
    <row r="16076" spans="1:5">
      <c r="A16076">
        <v>11025</v>
      </c>
      <c r="B16076" t="s">
        <v>174</v>
      </c>
      <c r="C16076">
        <v>161.9999997317791</v>
      </c>
      <c r="D16076">
        <v>10</v>
      </c>
      <c r="E16076" s="80">
        <v>35900</v>
      </c>
    </row>
    <row r="16077" spans="1:5">
      <c r="A16077">
        <v>11025</v>
      </c>
      <c r="B16077" t="s">
        <v>175</v>
      </c>
      <c r="C16077">
        <v>161.9999997317791</v>
      </c>
      <c r="D16077">
        <v>10</v>
      </c>
      <c r="E16077" s="80">
        <v>35900</v>
      </c>
    </row>
    <row r="16078" spans="1:5">
      <c r="A16078">
        <v>11025</v>
      </c>
      <c r="B16078" t="s">
        <v>176</v>
      </c>
      <c r="C16078">
        <v>161.9999997317791</v>
      </c>
      <c r="D16078">
        <v>10</v>
      </c>
      <c r="E16078" s="80">
        <v>35900</v>
      </c>
    </row>
    <row r="16079" spans="1:5">
      <c r="A16079">
        <v>11025</v>
      </c>
      <c r="B16079" t="s">
        <v>177</v>
      </c>
      <c r="C16079">
        <v>161.9999997317791</v>
      </c>
      <c r="D16079">
        <v>10</v>
      </c>
      <c r="E16079" s="80">
        <v>35900</v>
      </c>
    </row>
    <row r="16080" spans="1:5">
      <c r="A16080">
        <v>11025</v>
      </c>
      <c r="B16080" t="s">
        <v>178</v>
      </c>
      <c r="C16080">
        <v>161.9999997317791</v>
      </c>
      <c r="D16080">
        <v>10</v>
      </c>
      <c r="E16080" s="80">
        <v>35900</v>
      </c>
    </row>
    <row r="16081" spans="1:5">
      <c r="A16081">
        <v>11025</v>
      </c>
      <c r="B16081" t="s">
        <v>179</v>
      </c>
      <c r="C16081">
        <v>161.9999997317791</v>
      </c>
      <c r="D16081">
        <v>10</v>
      </c>
      <c r="E16081" s="80">
        <v>35900</v>
      </c>
    </row>
    <row r="16082" spans="1:5">
      <c r="A16082">
        <v>11025</v>
      </c>
      <c r="B16082" t="s">
        <v>172</v>
      </c>
      <c r="C16082">
        <v>107.99999982118607</v>
      </c>
      <c r="D16082">
        <v>20</v>
      </c>
      <c r="E16082" s="80">
        <v>35900</v>
      </c>
    </row>
    <row r="16083" spans="1:5">
      <c r="A16083">
        <v>11025</v>
      </c>
      <c r="B16083" t="s">
        <v>173</v>
      </c>
      <c r="C16083">
        <v>107.99999982118607</v>
      </c>
      <c r="D16083">
        <v>20</v>
      </c>
      <c r="E16083" s="80">
        <v>35900</v>
      </c>
    </row>
    <row r="16084" spans="1:5">
      <c r="A16084">
        <v>11025</v>
      </c>
      <c r="B16084" t="s">
        <v>174</v>
      </c>
      <c r="C16084">
        <v>107.99999982118607</v>
      </c>
      <c r="D16084">
        <v>20</v>
      </c>
      <c r="E16084" s="80">
        <v>35900</v>
      </c>
    </row>
    <row r="16085" spans="1:5">
      <c r="A16085">
        <v>11025</v>
      </c>
      <c r="B16085" t="s">
        <v>175</v>
      </c>
      <c r="C16085">
        <v>107.99999982118607</v>
      </c>
      <c r="D16085">
        <v>20</v>
      </c>
      <c r="E16085" s="80">
        <v>35900</v>
      </c>
    </row>
    <row r="16086" spans="1:5">
      <c r="A16086">
        <v>11025</v>
      </c>
      <c r="B16086" t="s">
        <v>176</v>
      </c>
      <c r="C16086">
        <v>107.99999982118607</v>
      </c>
      <c r="D16086">
        <v>20</v>
      </c>
      <c r="E16086" s="80">
        <v>35900</v>
      </c>
    </row>
    <row r="16087" spans="1:5">
      <c r="A16087">
        <v>11025</v>
      </c>
      <c r="B16087" t="s">
        <v>177</v>
      </c>
      <c r="C16087">
        <v>107.99999982118607</v>
      </c>
      <c r="D16087">
        <v>20</v>
      </c>
      <c r="E16087" s="80">
        <v>35900</v>
      </c>
    </row>
    <row r="16088" spans="1:5">
      <c r="A16088">
        <v>11025</v>
      </c>
      <c r="B16088" t="s">
        <v>178</v>
      </c>
      <c r="C16088">
        <v>107.99999982118607</v>
      </c>
      <c r="D16088">
        <v>20</v>
      </c>
      <c r="E16088" s="80">
        <v>35900</v>
      </c>
    </row>
    <row r="16089" spans="1:5">
      <c r="A16089">
        <v>11025</v>
      </c>
      <c r="B16089" t="s">
        <v>179</v>
      </c>
      <c r="C16089">
        <v>107.99999982118607</v>
      </c>
      <c r="D16089">
        <v>20</v>
      </c>
      <c r="E16089" s="80">
        <v>35900</v>
      </c>
    </row>
    <row r="16090" spans="1:5">
      <c r="A16090">
        <v>11026</v>
      </c>
      <c r="B16090" t="s">
        <v>172</v>
      </c>
      <c r="C16090">
        <v>500</v>
      </c>
      <c r="D16090">
        <v>8</v>
      </c>
      <c r="E16090" s="80">
        <v>35900</v>
      </c>
    </row>
    <row r="16091" spans="1:5">
      <c r="A16091">
        <v>11026</v>
      </c>
      <c r="B16091" t="s">
        <v>173</v>
      </c>
      <c r="C16091">
        <v>500</v>
      </c>
      <c r="D16091">
        <v>8</v>
      </c>
      <c r="E16091" s="80">
        <v>35900</v>
      </c>
    </row>
    <row r="16092" spans="1:5">
      <c r="A16092">
        <v>11026</v>
      </c>
      <c r="B16092" t="s">
        <v>174</v>
      </c>
      <c r="C16092">
        <v>500</v>
      </c>
      <c r="D16092">
        <v>8</v>
      </c>
      <c r="E16092" s="80">
        <v>35900</v>
      </c>
    </row>
    <row r="16093" spans="1:5">
      <c r="A16093">
        <v>11026</v>
      </c>
      <c r="B16093" t="s">
        <v>175</v>
      </c>
      <c r="C16093">
        <v>500</v>
      </c>
      <c r="D16093">
        <v>8</v>
      </c>
      <c r="E16093" s="80">
        <v>35900</v>
      </c>
    </row>
    <row r="16094" spans="1:5">
      <c r="A16094">
        <v>11026</v>
      </c>
      <c r="B16094" t="s">
        <v>176</v>
      </c>
      <c r="C16094">
        <v>500</v>
      </c>
      <c r="D16094">
        <v>8</v>
      </c>
      <c r="E16094" s="80">
        <v>35900</v>
      </c>
    </row>
    <row r="16095" spans="1:5">
      <c r="A16095">
        <v>11026</v>
      </c>
      <c r="B16095" t="s">
        <v>177</v>
      </c>
      <c r="C16095">
        <v>500</v>
      </c>
      <c r="D16095">
        <v>8</v>
      </c>
      <c r="E16095" s="80">
        <v>35900</v>
      </c>
    </row>
    <row r="16096" spans="1:5">
      <c r="A16096">
        <v>11026</v>
      </c>
      <c r="B16096" t="s">
        <v>178</v>
      </c>
      <c r="C16096">
        <v>500</v>
      </c>
      <c r="D16096">
        <v>8</v>
      </c>
      <c r="E16096" s="80">
        <v>35900</v>
      </c>
    </row>
    <row r="16097" spans="1:5">
      <c r="A16097">
        <v>11026</v>
      </c>
      <c r="B16097" t="s">
        <v>179</v>
      </c>
      <c r="C16097">
        <v>500</v>
      </c>
      <c r="D16097">
        <v>8</v>
      </c>
      <c r="E16097" s="80">
        <v>35900</v>
      </c>
    </row>
    <row r="16098" spans="1:5">
      <c r="A16098">
        <v>11026</v>
      </c>
      <c r="B16098" t="s">
        <v>172</v>
      </c>
      <c r="C16098">
        <v>530</v>
      </c>
      <c r="D16098">
        <v>10</v>
      </c>
      <c r="E16098" s="80">
        <v>35900</v>
      </c>
    </row>
    <row r="16099" spans="1:5">
      <c r="A16099">
        <v>11026</v>
      </c>
      <c r="B16099" t="s">
        <v>173</v>
      </c>
      <c r="C16099">
        <v>530</v>
      </c>
      <c r="D16099">
        <v>10</v>
      </c>
      <c r="E16099" s="80">
        <v>35900</v>
      </c>
    </row>
    <row r="16100" spans="1:5">
      <c r="A16100">
        <v>11026</v>
      </c>
      <c r="B16100" t="s">
        <v>174</v>
      </c>
      <c r="C16100">
        <v>530</v>
      </c>
      <c r="D16100">
        <v>10</v>
      </c>
      <c r="E16100" s="80">
        <v>35900</v>
      </c>
    </row>
    <row r="16101" spans="1:5">
      <c r="A16101">
        <v>11026</v>
      </c>
      <c r="B16101" t="s">
        <v>175</v>
      </c>
      <c r="C16101">
        <v>530</v>
      </c>
      <c r="D16101">
        <v>10</v>
      </c>
      <c r="E16101" s="80">
        <v>35900</v>
      </c>
    </row>
    <row r="16102" spans="1:5">
      <c r="A16102">
        <v>11026</v>
      </c>
      <c r="B16102" t="s">
        <v>176</v>
      </c>
      <c r="C16102">
        <v>530</v>
      </c>
      <c r="D16102">
        <v>10</v>
      </c>
      <c r="E16102" s="80">
        <v>35900</v>
      </c>
    </row>
    <row r="16103" spans="1:5">
      <c r="A16103">
        <v>11026</v>
      </c>
      <c r="B16103" t="s">
        <v>177</v>
      </c>
      <c r="C16103">
        <v>530</v>
      </c>
      <c r="D16103">
        <v>10</v>
      </c>
      <c r="E16103" s="80">
        <v>35900</v>
      </c>
    </row>
    <row r="16104" spans="1:5">
      <c r="A16104">
        <v>11026</v>
      </c>
      <c r="B16104" t="s">
        <v>178</v>
      </c>
      <c r="C16104">
        <v>530</v>
      </c>
      <c r="D16104">
        <v>10</v>
      </c>
      <c r="E16104" s="80">
        <v>35900</v>
      </c>
    </row>
    <row r="16105" spans="1:5">
      <c r="A16105">
        <v>11026</v>
      </c>
      <c r="B16105" t="s">
        <v>179</v>
      </c>
      <c r="C16105">
        <v>530</v>
      </c>
      <c r="D16105">
        <v>10</v>
      </c>
      <c r="E16105" s="80">
        <v>35900</v>
      </c>
    </row>
    <row r="16106" spans="1:5">
      <c r="A16106">
        <v>11027</v>
      </c>
      <c r="B16106" t="s">
        <v>172</v>
      </c>
      <c r="C16106">
        <v>101.25</v>
      </c>
      <c r="D16106">
        <v>30</v>
      </c>
      <c r="E16106" s="80">
        <v>35901</v>
      </c>
    </row>
    <row r="16107" spans="1:5">
      <c r="A16107">
        <v>11027</v>
      </c>
      <c r="B16107" t="s">
        <v>173</v>
      </c>
      <c r="C16107">
        <v>101.25</v>
      </c>
      <c r="D16107">
        <v>30</v>
      </c>
      <c r="E16107" s="80">
        <v>35901</v>
      </c>
    </row>
    <row r="16108" spans="1:5">
      <c r="A16108">
        <v>11027</v>
      </c>
      <c r="B16108" t="s">
        <v>174</v>
      </c>
      <c r="C16108">
        <v>101.25</v>
      </c>
      <c r="D16108">
        <v>30</v>
      </c>
      <c r="E16108" s="80">
        <v>35901</v>
      </c>
    </row>
    <row r="16109" spans="1:5">
      <c r="A16109">
        <v>11027</v>
      </c>
      <c r="B16109" t="s">
        <v>175</v>
      </c>
      <c r="C16109">
        <v>101.25</v>
      </c>
      <c r="D16109">
        <v>30</v>
      </c>
      <c r="E16109" s="80">
        <v>35901</v>
      </c>
    </row>
    <row r="16110" spans="1:5">
      <c r="A16110">
        <v>11027</v>
      </c>
      <c r="B16110" t="s">
        <v>176</v>
      </c>
      <c r="C16110">
        <v>101.25</v>
      </c>
      <c r="D16110">
        <v>30</v>
      </c>
      <c r="E16110" s="80">
        <v>35901</v>
      </c>
    </row>
    <row r="16111" spans="1:5">
      <c r="A16111">
        <v>11027</v>
      </c>
      <c r="B16111" t="s">
        <v>177</v>
      </c>
      <c r="C16111">
        <v>101.25</v>
      </c>
      <c r="D16111">
        <v>30</v>
      </c>
      <c r="E16111" s="80">
        <v>35901</v>
      </c>
    </row>
    <row r="16112" spans="1:5">
      <c r="A16112">
        <v>11027</v>
      </c>
      <c r="B16112" t="s">
        <v>178</v>
      </c>
      <c r="C16112">
        <v>101.25</v>
      </c>
      <c r="D16112">
        <v>30</v>
      </c>
      <c r="E16112" s="80">
        <v>35901</v>
      </c>
    </row>
    <row r="16113" spans="1:5">
      <c r="A16113">
        <v>11027</v>
      </c>
      <c r="B16113" t="s">
        <v>179</v>
      </c>
      <c r="C16113">
        <v>101.25</v>
      </c>
      <c r="D16113">
        <v>30</v>
      </c>
      <c r="E16113" s="80">
        <v>35901</v>
      </c>
    </row>
    <row r="16114" spans="1:5">
      <c r="A16114">
        <v>11027</v>
      </c>
      <c r="B16114" t="s">
        <v>172</v>
      </c>
      <c r="C16114">
        <v>776.47499999999991</v>
      </c>
      <c r="D16114">
        <v>21</v>
      </c>
      <c r="E16114" s="80">
        <v>35901</v>
      </c>
    </row>
    <row r="16115" spans="1:5">
      <c r="A16115">
        <v>11027</v>
      </c>
      <c r="B16115" t="s">
        <v>173</v>
      </c>
      <c r="C16115">
        <v>776.47499999999991</v>
      </c>
      <c r="D16115">
        <v>21</v>
      </c>
      <c r="E16115" s="80">
        <v>35901</v>
      </c>
    </row>
    <row r="16116" spans="1:5">
      <c r="A16116">
        <v>11027</v>
      </c>
      <c r="B16116" t="s">
        <v>174</v>
      </c>
      <c r="C16116">
        <v>776.47499999999991</v>
      </c>
      <c r="D16116">
        <v>21</v>
      </c>
      <c r="E16116" s="80">
        <v>35901</v>
      </c>
    </row>
    <row r="16117" spans="1:5">
      <c r="A16117">
        <v>11027</v>
      </c>
      <c r="B16117" t="s">
        <v>175</v>
      </c>
      <c r="C16117">
        <v>776.47499999999991</v>
      </c>
      <c r="D16117">
        <v>21</v>
      </c>
      <c r="E16117" s="80">
        <v>35901</v>
      </c>
    </row>
    <row r="16118" spans="1:5">
      <c r="A16118">
        <v>11027</v>
      </c>
      <c r="B16118" t="s">
        <v>176</v>
      </c>
      <c r="C16118">
        <v>776.47499999999991</v>
      </c>
      <c r="D16118">
        <v>21</v>
      </c>
      <c r="E16118" s="80">
        <v>35901</v>
      </c>
    </row>
    <row r="16119" spans="1:5">
      <c r="A16119">
        <v>11027</v>
      </c>
      <c r="B16119" t="s">
        <v>177</v>
      </c>
      <c r="C16119">
        <v>776.47499999999991</v>
      </c>
      <c r="D16119">
        <v>21</v>
      </c>
      <c r="E16119" s="80">
        <v>35901</v>
      </c>
    </row>
    <row r="16120" spans="1:5">
      <c r="A16120">
        <v>11027</v>
      </c>
      <c r="B16120" t="s">
        <v>178</v>
      </c>
      <c r="C16120">
        <v>776.47499999999991</v>
      </c>
      <c r="D16120">
        <v>21</v>
      </c>
      <c r="E16120" s="80">
        <v>35901</v>
      </c>
    </row>
    <row r="16121" spans="1:5">
      <c r="A16121">
        <v>11027</v>
      </c>
      <c r="B16121" t="s">
        <v>179</v>
      </c>
      <c r="C16121">
        <v>776.47499999999991</v>
      </c>
      <c r="D16121">
        <v>21</v>
      </c>
      <c r="E16121" s="80">
        <v>35901</v>
      </c>
    </row>
    <row r="16122" spans="1:5">
      <c r="A16122">
        <v>11028</v>
      </c>
      <c r="B16122" t="s">
        <v>172</v>
      </c>
      <c r="C16122">
        <v>840</v>
      </c>
      <c r="D16122">
        <v>35</v>
      </c>
      <c r="E16122" s="80">
        <v>35901</v>
      </c>
    </row>
    <row r="16123" spans="1:5">
      <c r="A16123">
        <v>11028</v>
      </c>
      <c r="B16123" t="s">
        <v>173</v>
      </c>
      <c r="C16123">
        <v>840</v>
      </c>
      <c r="D16123">
        <v>35</v>
      </c>
      <c r="E16123" s="80">
        <v>35901</v>
      </c>
    </row>
    <row r="16124" spans="1:5">
      <c r="A16124">
        <v>11028</v>
      </c>
      <c r="B16124" t="s">
        <v>174</v>
      </c>
      <c r="C16124">
        <v>840</v>
      </c>
      <c r="D16124">
        <v>35</v>
      </c>
      <c r="E16124" s="80">
        <v>35901</v>
      </c>
    </row>
    <row r="16125" spans="1:5">
      <c r="A16125">
        <v>11028</v>
      </c>
      <c r="B16125" t="s">
        <v>175</v>
      </c>
      <c r="C16125">
        <v>840</v>
      </c>
      <c r="D16125">
        <v>35</v>
      </c>
      <c r="E16125" s="80">
        <v>35901</v>
      </c>
    </row>
    <row r="16126" spans="1:5">
      <c r="A16126">
        <v>11028</v>
      </c>
      <c r="B16126" t="s">
        <v>176</v>
      </c>
      <c r="C16126">
        <v>840</v>
      </c>
      <c r="D16126">
        <v>35</v>
      </c>
      <c r="E16126" s="80">
        <v>35901</v>
      </c>
    </row>
    <row r="16127" spans="1:5">
      <c r="A16127">
        <v>11028</v>
      </c>
      <c r="B16127" t="s">
        <v>177</v>
      </c>
      <c r="C16127">
        <v>840</v>
      </c>
      <c r="D16127">
        <v>35</v>
      </c>
      <c r="E16127" s="80">
        <v>35901</v>
      </c>
    </row>
    <row r="16128" spans="1:5">
      <c r="A16128">
        <v>11028</v>
      </c>
      <c r="B16128" t="s">
        <v>178</v>
      </c>
      <c r="C16128">
        <v>840</v>
      </c>
      <c r="D16128">
        <v>35</v>
      </c>
      <c r="E16128" s="80">
        <v>35901</v>
      </c>
    </row>
    <row r="16129" spans="1:5">
      <c r="A16129">
        <v>11028</v>
      </c>
      <c r="B16129" t="s">
        <v>179</v>
      </c>
      <c r="C16129">
        <v>840</v>
      </c>
      <c r="D16129">
        <v>35</v>
      </c>
      <c r="E16129" s="80">
        <v>35901</v>
      </c>
    </row>
    <row r="16130" spans="1:5">
      <c r="A16130">
        <v>11028</v>
      </c>
      <c r="B16130" t="s">
        <v>172</v>
      </c>
      <c r="C16130">
        <v>1320</v>
      </c>
      <c r="D16130">
        <v>24</v>
      </c>
      <c r="E16130" s="80">
        <v>35901</v>
      </c>
    </row>
    <row r="16131" spans="1:5">
      <c r="A16131">
        <v>11028</v>
      </c>
      <c r="B16131" t="s">
        <v>173</v>
      </c>
      <c r="C16131">
        <v>1320</v>
      </c>
      <c r="D16131">
        <v>24</v>
      </c>
      <c r="E16131" s="80">
        <v>35901</v>
      </c>
    </row>
    <row r="16132" spans="1:5">
      <c r="A16132">
        <v>11028</v>
      </c>
      <c r="B16132" t="s">
        <v>174</v>
      </c>
      <c r="C16132">
        <v>1320</v>
      </c>
      <c r="D16132">
        <v>24</v>
      </c>
      <c r="E16132" s="80">
        <v>35901</v>
      </c>
    </row>
    <row r="16133" spans="1:5">
      <c r="A16133">
        <v>11028</v>
      </c>
      <c r="B16133" t="s">
        <v>175</v>
      </c>
      <c r="C16133">
        <v>1320</v>
      </c>
      <c r="D16133">
        <v>24</v>
      </c>
      <c r="E16133" s="80">
        <v>35901</v>
      </c>
    </row>
    <row r="16134" spans="1:5">
      <c r="A16134">
        <v>11028</v>
      </c>
      <c r="B16134" t="s">
        <v>176</v>
      </c>
      <c r="C16134">
        <v>1320</v>
      </c>
      <c r="D16134">
        <v>24</v>
      </c>
      <c r="E16134" s="80">
        <v>35901</v>
      </c>
    </row>
    <row r="16135" spans="1:5">
      <c r="A16135">
        <v>11028</v>
      </c>
      <c r="B16135" t="s">
        <v>177</v>
      </c>
      <c r="C16135">
        <v>1320</v>
      </c>
      <c r="D16135">
        <v>24</v>
      </c>
      <c r="E16135" s="80">
        <v>35901</v>
      </c>
    </row>
    <row r="16136" spans="1:5">
      <c r="A16136">
        <v>11028</v>
      </c>
      <c r="B16136" t="s">
        <v>178</v>
      </c>
      <c r="C16136">
        <v>1320</v>
      </c>
      <c r="D16136">
        <v>24</v>
      </c>
      <c r="E16136" s="80">
        <v>35901</v>
      </c>
    </row>
    <row r="16137" spans="1:5">
      <c r="A16137">
        <v>11028</v>
      </c>
      <c r="B16137" t="s">
        <v>179</v>
      </c>
      <c r="C16137">
        <v>1320</v>
      </c>
      <c r="D16137">
        <v>24</v>
      </c>
      <c r="E16137" s="80">
        <v>35901</v>
      </c>
    </row>
    <row r="16138" spans="1:5">
      <c r="A16138">
        <v>11029</v>
      </c>
      <c r="B16138" t="s">
        <v>172</v>
      </c>
      <c r="C16138">
        <v>760</v>
      </c>
      <c r="D16138">
        <v>20</v>
      </c>
      <c r="E16138" s="80">
        <v>35901</v>
      </c>
    </row>
    <row r="16139" spans="1:5">
      <c r="A16139">
        <v>11029</v>
      </c>
      <c r="B16139" t="s">
        <v>173</v>
      </c>
      <c r="C16139">
        <v>760</v>
      </c>
      <c r="D16139">
        <v>20</v>
      </c>
      <c r="E16139" s="80">
        <v>35901</v>
      </c>
    </row>
    <row r="16140" spans="1:5">
      <c r="A16140">
        <v>11029</v>
      </c>
      <c r="B16140" t="s">
        <v>174</v>
      </c>
      <c r="C16140">
        <v>760</v>
      </c>
      <c r="D16140">
        <v>20</v>
      </c>
      <c r="E16140" s="80">
        <v>35901</v>
      </c>
    </row>
    <row r="16141" spans="1:5">
      <c r="A16141">
        <v>11029</v>
      </c>
      <c r="B16141" t="s">
        <v>175</v>
      </c>
      <c r="C16141">
        <v>760</v>
      </c>
      <c r="D16141">
        <v>20</v>
      </c>
      <c r="E16141" s="80">
        <v>35901</v>
      </c>
    </row>
    <row r="16142" spans="1:5">
      <c r="A16142">
        <v>11029</v>
      </c>
      <c r="B16142" t="s">
        <v>176</v>
      </c>
      <c r="C16142">
        <v>760</v>
      </c>
      <c r="D16142">
        <v>20</v>
      </c>
      <c r="E16142" s="80">
        <v>35901</v>
      </c>
    </row>
    <row r="16143" spans="1:5">
      <c r="A16143">
        <v>11029</v>
      </c>
      <c r="B16143" t="s">
        <v>177</v>
      </c>
      <c r="C16143">
        <v>760</v>
      </c>
      <c r="D16143">
        <v>20</v>
      </c>
      <c r="E16143" s="80">
        <v>35901</v>
      </c>
    </row>
    <row r="16144" spans="1:5">
      <c r="A16144">
        <v>11029</v>
      </c>
      <c r="B16144" t="s">
        <v>178</v>
      </c>
      <c r="C16144">
        <v>760</v>
      </c>
      <c r="D16144">
        <v>20</v>
      </c>
      <c r="E16144" s="80">
        <v>35901</v>
      </c>
    </row>
    <row r="16145" spans="1:5">
      <c r="A16145">
        <v>11029</v>
      </c>
      <c r="B16145" t="s">
        <v>179</v>
      </c>
      <c r="C16145">
        <v>760</v>
      </c>
      <c r="D16145">
        <v>20</v>
      </c>
      <c r="E16145" s="80">
        <v>35901</v>
      </c>
    </row>
    <row r="16146" spans="1:5">
      <c r="A16146">
        <v>11029</v>
      </c>
      <c r="B16146" t="s">
        <v>172</v>
      </c>
      <c r="C16146">
        <v>526.79999999999995</v>
      </c>
      <c r="D16146">
        <v>12</v>
      </c>
      <c r="E16146" s="80">
        <v>35901</v>
      </c>
    </row>
    <row r="16147" spans="1:5">
      <c r="A16147">
        <v>11029</v>
      </c>
      <c r="B16147" t="s">
        <v>173</v>
      </c>
      <c r="C16147">
        <v>526.79999999999995</v>
      </c>
      <c r="D16147">
        <v>12</v>
      </c>
      <c r="E16147" s="80">
        <v>35901</v>
      </c>
    </row>
    <row r="16148" spans="1:5">
      <c r="A16148">
        <v>11029</v>
      </c>
      <c r="B16148" t="s">
        <v>174</v>
      </c>
      <c r="C16148">
        <v>526.79999999999995</v>
      </c>
      <c r="D16148">
        <v>12</v>
      </c>
      <c r="E16148" s="80">
        <v>35901</v>
      </c>
    </row>
    <row r="16149" spans="1:5">
      <c r="A16149">
        <v>11029</v>
      </c>
      <c r="B16149" t="s">
        <v>175</v>
      </c>
      <c r="C16149">
        <v>526.79999999999995</v>
      </c>
      <c r="D16149">
        <v>12</v>
      </c>
      <c r="E16149" s="80">
        <v>35901</v>
      </c>
    </row>
    <row r="16150" spans="1:5">
      <c r="A16150">
        <v>11029</v>
      </c>
      <c r="B16150" t="s">
        <v>176</v>
      </c>
      <c r="C16150">
        <v>526.79999999999995</v>
      </c>
      <c r="D16150">
        <v>12</v>
      </c>
      <c r="E16150" s="80">
        <v>35901</v>
      </c>
    </row>
    <row r="16151" spans="1:5">
      <c r="A16151">
        <v>11029</v>
      </c>
      <c r="B16151" t="s">
        <v>177</v>
      </c>
      <c r="C16151">
        <v>526.79999999999995</v>
      </c>
      <c r="D16151">
        <v>12</v>
      </c>
      <c r="E16151" s="80">
        <v>35901</v>
      </c>
    </row>
    <row r="16152" spans="1:5">
      <c r="A16152">
        <v>11029</v>
      </c>
      <c r="B16152" t="s">
        <v>178</v>
      </c>
      <c r="C16152">
        <v>526.79999999999995</v>
      </c>
      <c r="D16152">
        <v>12</v>
      </c>
      <c r="E16152" s="80">
        <v>35901</v>
      </c>
    </row>
    <row r="16153" spans="1:5">
      <c r="A16153">
        <v>11029</v>
      </c>
      <c r="B16153" t="s">
        <v>179</v>
      </c>
      <c r="C16153">
        <v>526.79999999999995</v>
      </c>
      <c r="D16153">
        <v>12</v>
      </c>
      <c r="E16153" s="80">
        <v>35901</v>
      </c>
    </row>
    <row r="16154" spans="1:5">
      <c r="A16154">
        <v>11030</v>
      </c>
      <c r="B16154" t="s">
        <v>172</v>
      </c>
      <c r="C16154">
        <v>1425</v>
      </c>
      <c r="D16154">
        <v>100</v>
      </c>
      <c r="E16154" s="80">
        <v>35902</v>
      </c>
    </row>
    <row r="16155" spans="1:5">
      <c r="A16155">
        <v>11030</v>
      </c>
      <c r="B16155" t="s">
        <v>173</v>
      </c>
      <c r="C16155">
        <v>1425</v>
      </c>
      <c r="D16155">
        <v>100</v>
      </c>
      <c r="E16155" s="80">
        <v>35902</v>
      </c>
    </row>
    <row r="16156" spans="1:5">
      <c r="A16156">
        <v>11030</v>
      </c>
      <c r="B16156" t="s">
        <v>174</v>
      </c>
      <c r="C16156">
        <v>1425</v>
      </c>
      <c r="D16156">
        <v>100</v>
      </c>
      <c r="E16156" s="80">
        <v>35902</v>
      </c>
    </row>
    <row r="16157" spans="1:5">
      <c r="A16157">
        <v>11030</v>
      </c>
      <c r="B16157" t="s">
        <v>175</v>
      </c>
      <c r="C16157">
        <v>1425</v>
      </c>
      <c r="D16157">
        <v>100</v>
      </c>
      <c r="E16157" s="80">
        <v>35902</v>
      </c>
    </row>
    <row r="16158" spans="1:5">
      <c r="A16158">
        <v>11030</v>
      </c>
      <c r="B16158" t="s">
        <v>176</v>
      </c>
      <c r="C16158">
        <v>1425</v>
      </c>
      <c r="D16158">
        <v>100</v>
      </c>
      <c r="E16158" s="80">
        <v>35902</v>
      </c>
    </row>
    <row r="16159" spans="1:5">
      <c r="A16159">
        <v>11030</v>
      </c>
      <c r="B16159" t="s">
        <v>177</v>
      </c>
      <c r="C16159">
        <v>1425</v>
      </c>
      <c r="D16159">
        <v>100</v>
      </c>
      <c r="E16159" s="80">
        <v>35902</v>
      </c>
    </row>
    <row r="16160" spans="1:5">
      <c r="A16160">
        <v>11030</v>
      </c>
      <c r="B16160" t="s">
        <v>178</v>
      </c>
      <c r="C16160">
        <v>1425</v>
      </c>
      <c r="D16160">
        <v>100</v>
      </c>
      <c r="E16160" s="80">
        <v>35902</v>
      </c>
    </row>
    <row r="16161" spans="1:5">
      <c r="A16161">
        <v>11030</v>
      </c>
      <c r="B16161" t="s">
        <v>179</v>
      </c>
      <c r="C16161">
        <v>1425</v>
      </c>
      <c r="D16161">
        <v>100</v>
      </c>
      <c r="E16161" s="80">
        <v>35902</v>
      </c>
    </row>
    <row r="16162" spans="1:5">
      <c r="A16162">
        <v>11030</v>
      </c>
      <c r="B16162" t="s">
        <v>172</v>
      </c>
      <c r="C16162">
        <v>1494.5</v>
      </c>
      <c r="D16162">
        <v>70</v>
      </c>
      <c r="E16162" s="80">
        <v>35902</v>
      </c>
    </row>
    <row r="16163" spans="1:5">
      <c r="A16163">
        <v>11030</v>
      </c>
      <c r="B16163" t="s">
        <v>173</v>
      </c>
      <c r="C16163">
        <v>1494.5</v>
      </c>
      <c r="D16163">
        <v>70</v>
      </c>
      <c r="E16163" s="80">
        <v>35902</v>
      </c>
    </row>
    <row r="16164" spans="1:5">
      <c r="A16164">
        <v>11030</v>
      </c>
      <c r="B16164" t="s">
        <v>174</v>
      </c>
      <c r="C16164">
        <v>1494.5</v>
      </c>
      <c r="D16164">
        <v>70</v>
      </c>
      <c r="E16164" s="80">
        <v>35902</v>
      </c>
    </row>
    <row r="16165" spans="1:5">
      <c r="A16165">
        <v>11030</v>
      </c>
      <c r="B16165" t="s">
        <v>175</v>
      </c>
      <c r="C16165">
        <v>1494.5</v>
      </c>
      <c r="D16165">
        <v>70</v>
      </c>
      <c r="E16165" s="80">
        <v>35902</v>
      </c>
    </row>
    <row r="16166" spans="1:5">
      <c r="A16166">
        <v>11030</v>
      </c>
      <c r="B16166" t="s">
        <v>176</v>
      </c>
      <c r="C16166">
        <v>1494.5</v>
      </c>
      <c r="D16166">
        <v>70</v>
      </c>
      <c r="E16166" s="80">
        <v>35902</v>
      </c>
    </row>
    <row r="16167" spans="1:5">
      <c r="A16167">
        <v>11030</v>
      </c>
      <c r="B16167" t="s">
        <v>177</v>
      </c>
      <c r="C16167">
        <v>1494.5</v>
      </c>
      <c r="D16167">
        <v>70</v>
      </c>
      <c r="E16167" s="80">
        <v>35902</v>
      </c>
    </row>
    <row r="16168" spans="1:5">
      <c r="A16168">
        <v>11030</v>
      </c>
      <c r="B16168" t="s">
        <v>178</v>
      </c>
      <c r="C16168">
        <v>1494.5</v>
      </c>
      <c r="D16168">
        <v>70</v>
      </c>
      <c r="E16168" s="80">
        <v>35902</v>
      </c>
    </row>
    <row r="16169" spans="1:5">
      <c r="A16169">
        <v>11030</v>
      </c>
      <c r="B16169" t="s">
        <v>179</v>
      </c>
      <c r="C16169">
        <v>1494.5</v>
      </c>
      <c r="D16169">
        <v>70</v>
      </c>
      <c r="E16169" s="80">
        <v>35902</v>
      </c>
    </row>
    <row r="16170" spans="1:5">
      <c r="A16170">
        <v>11030</v>
      </c>
      <c r="B16170" t="s">
        <v>172</v>
      </c>
      <c r="C16170">
        <v>5570.5499999999993</v>
      </c>
      <c r="D16170">
        <v>60</v>
      </c>
      <c r="E16170" s="80">
        <v>35902</v>
      </c>
    </row>
    <row r="16171" spans="1:5">
      <c r="A16171">
        <v>11030</v>
      </c>
      <c r="B16171" t="s">
        <v>173</v>
      </c>
      <c r="C16171">
        <v>5570.5499999999993</v>
      </c>
      <c r="D16171">
        <v>60</v>
      </c>
      <c r="E16171" s="80">
        <v>35902</v>
      </c>
    </row>
    <row r="16172" spans="1:5">
      <c r="A16172">
        <v>11030</v>
      </c>
      <c r="B16172" t="s">
        <v>174</v>
      </c>
      <c r="C16172">
        <v>5570.5499999999993</v>
      </c>
      <c r="D16172">
        <v>60</v>
      </c>
      <c r="E16172" s="80">
        <v>35902</v>
      </c>
    </row>
    <row r="16173" spans="1:5">
      <c r="A16173">
        <v>11030</v>
      </c>
      <c r="B16173" t="s">
        <v>175</v>
      </c>
      <c r="C16173">
        <v>5570.5499999999993</v>
      </c>
      <c r="D16173">
        <v>60</v>
      </c>
      <c r="E16173" s="80">
        <v>35902</v>
      </c>
    </row>
    <row r="16174" spans="1:5">
      <c r="A16174">
        <v>11030</v>
      </c>
      <c r="B16174" t="s">
        <v>176</v>
      </c>
      <c r="C16174">
        <v>5570.5499999999993</v>
      </c>
      <c r="D16174">
        <v>60</v>
      </c>
      <c r="E16174" s="80">
        <v>35902</v>
      </c>
    </row>
    <row r="16175" spans="1:5">
      <c r="A16175">
        <v>11030</v>
      </c>
      <c r="B16175" t="s">
        <v>177</v>
      </c>
      <c r="C16175">
        <v>5570.5499999999993</v>
      </c>
      <c r="D16175">
        <v>60</v>
      </c>
      <c r="E16175" s="80">
        <v>35902</v>
      </c>
    </row>
    <row r="16176" spans="1:5">
      <c r="A16176">
        <v>11030</v>
      </c>
      <c r="B16176" t="s">
        <v>178</v>
      </c>
      <c r="C16176">
        <v>5570.5499999999993</v>
      </c>
      <c r="D16176">
        <v>60</v>
      </c>
      <c r="E16176" s="80">
        <v>35902</v>
      </c>
    </row>
    <row r="16177" spans="1:5">
      <c r="A16177">
        <v>11030</v>
      </c>
      <c r="B16177" t="s">
        <v>179</v>
      </c>
      <c r="C16177">
        <v>5570.5499999999993</v>
      </c>
      <c r="D16177">
        <v>60</v>
      </c>
      <c r="E16177" s="80">
        <v>35902</v>
      </c>
    </row>
    <row r="16178" spans="1:5">
      <c r="A16178">
        <v>11030</v>
      </c>
      <c r="B16178" t="s">
        <v>172</v>
      </c>
      <c r="C16178">
        <v>4125</v>
      </c>
      <c r="D16178">
        <v>100</v>
      </c>
      <c r="E16178" s="80">
        <v>35902</v>
      </c>
    </row>
    <row r="16179" spans="1:5">
      <c r="A16179">
        <v>11030</v>
      </c>
      <c r="B16179" t="s">
        <v>173</v>
      </c>
      <c r="C16179">
        <v>4125</v>
      </c>
      <c r="D16179">
        <v>100</v>
      </c>
      <c r="E16179" s="80">
        <v>35902</v>
      </c>
    </row>
    <row r="16180" spans="1:5">
      <c r="A16180">
        <v>11030</v>
      </c>
      <c r="B16180" t="s">
        <v>174</v>
      </c>
      <c r="C16180">
        <v>4125</v>
      </c>
      <c r="D16180">
        <v>100</v>
      </c>
      <c r="E16180" s="80">
        <v>35902</v>
      </c>
    </row>
    <row r="16181" spans="1:5">
      <c r="A16181">
        <v>11030</v>
      </c>
      <c r="B16181" t="s">
        <v>175</v>
      </c>
      <c r="C16181">
        <v>4125</v>
      </c>
      <c r="D16181">
        <v>100</v>
      </c>
      <c r="E16181" s="80">
        <v>35902</v>
      </c>
    </row>
    <row r="16182" spans="1:5">
      <c r="A16182">
        <v>11030</v>
      </c>
      <c r="B16182" t="s">
        <v>176</v>
      </c>
      <c r="C16182">
        <v>4125</v>
      </c>
      <c r="D16182">
        <v>100</v>
      </c>
      <c r="E16182" s="80">
        <v>35902</v>
      </c>
    </row>
    <row r="16183" spans="1:5">
      <c r="A16183">
        <v>11030</v>
      </c>
      <c r="B16183" t="s">
        <v>177</v>
      </c>
      <c r="C16183">
        <v>4125</v>
      </c>
      <c r="D16183">
        <v>100</v>
      </c>
      <c r="E16183" s="80">
        <v>35902</v>
      </c>
    </row>
    <row r="16184" spans="1:5">
      <c r="A16184">
        <v>11030</v>
      </c>
      <c r="B16184" t="s">
        <v>178</v>
      </c>
      <c r="C16184">
        <v>4125</v>
      </c>
      <c r="D16184">
        <v>100</v>
      </c>
      <c r="E16184" s="80">
        <v>35902</v>
      </c>
    </row>
    <row r="16185" spans="1:5">
      <c r="A16185">
        <v>11030</v>
      </c>
      <c r="B16185" t="s">
        <v>179</v>
      </c>
      <c r="C16185">
        <v>4125</v>
      </c>
      <c r="D16185">
        <v>100</v>
      </c>
      <c r="E16185" s="80">
        <v>35902</v>
      </c>
    </row>
    <row r="16186" spans="1:5">
      <c r="A16186">
        <v>11031</v>
      </c>
      <c r="B16186" t="s">
        <v>172</v>
      </c>
      <c r="C16186">
        <v>810</v>
      </c>
      <c r="D16186">
        <v>45</v>
      </c>
      <c r="E16186" s="80">
        <v>35902</v>
      </c>
    </row>
    <row r="16187" spans="1:5">
      <c r="A16187">
        <v>11031</v>
      </c>
      <c r="B16187" t="s">
        <v>173</v>
      </c>
      <c r="C16187">
        <v>810</v>
      </c>
      <c r="D16187">
        <v>45</v>
      </c>
      <c r="E16187" s="80">
        <v>35902</v>
      </c>
    </row>
    <row r="16188" spans="1:5">
      <c r="A16188">
        <v>11031</v>
      </c>
      <c r="B16188" t="s">
        <v>174</v>
      </c>
      <c r="C16188">
        <v>810</v>
      </c>
      <c r="D16188">
        <v>45</v>
      </c>
      <c r="E16188" s="80">
        <v>35902</v>
      </c>
    </row>
    <row r="16189" spans="1:5">
      <c r="A16189">
        <v>11031</v>
      </c>
      <c r="B16189" t="s">
        <v>175</v>
      </c>
      <c r="C16189">
        <v>810</v>
      </c>
      <c r="D16189">
        <v>45</v>
      </c>
      <c r="E16189" s="80">
        <v>35902</v>
      </c>
    </row>
    <row r="16190" spans="1:5">
      <c r="A16190">
        <v>11031</v>
      </c>
      <c r="B16190" t="s">
        <v>176</v>
      </c>
      <c r="C16190">
        <v>810</v>
      </c>
      <c r="D16190">
        <v>45</v>
      </c>
      <c r="E16190" s="80">
        <v>35902</v>
      </c>
    </row>
    <row r="16191" spans="1:5">
      <c r="A16191">
        <v>11031</v>
      </c>
      <c r="B16191" t="s">
        <v>177</v>
      </c>
      <c r="C16191">
        <v>810</v>
      </c>
      <c r="D16191">
        <v>45</v>
      </c>
      <c r="E16191" s="80">
        <v>35902</v>
      </c>
    </row>
    <row r="16192" spans="1:5">
      <c r="A16192">
        <v>11031</v>
      </c>
      <c r="B16192" t="s">
        <v>178</v>
      </c>
      <c r="C16192">
        <v>810</v>
      </c>
      <c r="D16192">
        <v>45</v>
      </c>
      <c r="E16192" s="80">
        <v>35902</v>
      </c>
    </row>
    <row r="16193" spans="1:5">
      <c r="A16193">
        <v>11031</v>
      </c>
      <c r="B16193" t="s">
        <v>179</v>
      </c>
      <c r="C16193">
        <v>810</v>
      </c>
      <c r="D16193">
        <v>45</v>
      </c>
      <c r="E16193" s="80">
        <v>35902</v>
      </c>
    </row>
    <row r="16194" spans="1:5">
      <c r="A16194">
        <v>11031</v>
      </c>
      <c r="B16194" t="s">
        <v>172</v>
      </c>
      <c r="C16194">
        <v>480</v>
      </c>
      <c r="D16194">
        <v>80</v>
      </c>
      <c r="E16194" s="80">
        <v>35902</v>
      </c>
    </row>
    <row r="16195" spans="1:5">
      <c r="A16195">
        <v>11031</v>
      </c>
      <c r="B16195" t="s">
        <v>173</v>
      </c>
      <c r="C16195">
        <v>480</v>
      </c>
      <c r="D16195">
        <v>80</v>
      </c>
      <c r="E16195" s="80">
        <v>35902</v>
      </c>
    </row>
    <row r="16196" spans="1:5">
      <c r="A16196">
        <v>11031</v>
      </c>
      <c r="B16196" t="s">
        <v>174</v>
      </c>
      <c r="C16196">
        <v>480</v>
      </c>
      <c r="D16196">
        <v>80</v>
      </c>
      <c r="E16196" s="80">
        <v>35902</v>
      </c>
    </row>
    <row r="16197" spans="1:5">
      <c r="A16197">
        <v>11031</v>
      </c>
      <c r="B16197" t="s">
        <v>175</v>
      </c>
      <c r="C16197">
        <v>480</v>
      </c>
      <c r="D16197">
        <v>80</v>
      </c>
      <c r="E16197" s="80">
        <v>35902</v>
      </c>
    </row>
    <row r="16198" spans="1:5">
      <c r="A16198">
        <v>11031</v>
      </c>
      <c r="B16198" t="s">
        <v>176</v>
      </c>
      <c r="C16198">
        <v>480</v>
      </c>
      <c r="D16198">
        <v>80</v>
      </c>
      <c r="E16198" s="80">
        <v>35902</v>
      </c>
    </row>
    <row r="16199" spans="1:5">
      <c r="A16199">
        <v>11031</v>
      </c>
      <c r="B16199" t="s">
        <v>177</v>
      </c>
      <c r="C16199">
        <v>480</v>
      </c>
      <c r="D16199">
        <v>80</v>
      </c>
      <c r="E16199" s="80">
        <v>35902</v>
      </c>
    </row>
    <row r="16200" spans="1:5">
      <c r="A16200">
        <v>11031</v>
      </c>
      <c r="B16200" t="s">
        <v>178</v>
      </c>
      <c r="C16200">
        <v>480</v>
      </c>
      <c r="D16200">
        <v>80</v>
      </c>
      <c r="E16200" s="80">
        <v>35902</v>
      </c>
    </row>
    <row r="16201" spans="1:5">
      <c r="A16201">
        <v>11031</v>
      </c>
      <c r="B16201" t="s">
        <v>179</v>
      </c>
      <c r="C16201">
        <v>480</v>
      </c>
      <c r="D16201">
        <v>80</v>
      </c>
      <c r="E16201" s="80">
        <v>35902</v>
      </c>
    </row>
    <row r="16202" spans="1:5">
      <c r="A16202">
        <v>11031</v>
      </c>
      <c r="B16202" t="s">
        <v>172</v>
      </c>
      <c r="C16202">
        <v>94.5</v>
      </c>
      <c r="D16202">
        <v>21</v>
      </c>
      <c r="E16202" s="80">
        <v>35902</v>
      </c>
    </row>
    <row r="16203" spans="1:5">
      <c r="A16203">
        <v>11031</v>
      </c>
      <c r="B16203" t="s">
        <v>173</v>
      </c>
      <c r="C16203">
        <v>94.5</v>
      </c>
      <c r="D16203">
        <v>21</v>
      </c>
      <c r="E16203" s="80">
        <v>35902</v>
      </c>
    </row>
    <row r="16204" spans="1:5">
      <c r="A16204">
        <v>11031</v>
      </c>
      <c r="B16204" t="s">
        <v>174</v>
      </c>
      <c r="C16204">
        <v>94.5</v>
      </c>
      <c r="D16204">
        <v>21</v>
      </c>
      <c r="E16204" s="80">
        <v>35902</v>
      </c>
    </row>
    <row r="16205" spans="1:5">
      <c r="A16205">
        <v>11031</v>
      </c>
      <c r="B16205" t="s">
        <v>175</v>
      </c>
      <c r="C16205">
        <v>94.5</v>
      </c>
      <c r="D16205">
        <v>21</v>
      </c>
      <c r="E16205" s="80">
        <v>35902</v>
      </c>
    </row>
    <row r="16206" spans="1:5">
      <c r="A16206">
        <v>11031</v>
      </c>
      <c r="B16206" t="s">
        <v>176</v>
      </c>
      <c r="C16206">
        <v>94.5</v>
      </c>
      <c r="D16206">
        <v>21</v>
      </c>
      <c r="E16206" s="80">
        <v>35902</v>
      </c>
    </row>
    <row r="16207" spans="1:5">
      <c r="A16207">
        <v>11031</v>
      </c>
      <c r="B16207" t="s">
        <v>177</v>
      </c>
      <c r="C16207">
        <v>94.5</v>
      </c>
      <c r="D16207">
        <v>21</v>
      </c>
      <c r="E16207" s="80">
        <v>35902</v>
      </c>
    </row>
    <row r="16208" spans="1:5">
      <c r="A16208">
        <v>11031</v>
      </c>
      <c r="B16208" t="s">
        <v>178</v>
      </c>
      <c r="C16208">
        <v>94.5</v>
      </c>
      <c r="D16208">
        <v>21</v>
      </c>
      <c r="E16208" s="80">
        <v>35902</v>
      </c>
    </row>
    <row r="16209" spans="1:5">
      <c r="A16209">
        <v>11031</v>
      </c>
      <c r="B16209" t="s">
        <v>179</v>
      </c>
      <c r="C16209">
        <v>94.5</v>
      </c>
      <c r="D16209">
        <v>21</v>
      </c>
      <c r="E16209" s="80">
        <v>35902</v>
      </c>
    </row>
    <row r="16210" spans="1:5">
      <c r="A16210">
        <v>11031</v>
      </c>
      <c r="B16210" t="s">
        <v>172</v>
      </c>
      <c r="C16210">
        <v>665</v>
      </c>
      <c r="D16210">
        <v>20</v>
      </c>
      <c r="E16210" s="80">
        <v>35902</v>
      </c>
    </row>
    <row r="16211" spans="1:5">
      <c r="A16211">
        <v>11031</v>
      </c>
      <c r="B16211" t="s">
        <v>173</v>
      </c>
      <c r="C16211">
        <v>665</v>
      </c>
      <c r="D16211">
        <v>20</v>
      </c>
      <c r="E16211" s="80">
        <v>35902</v>
      </c>
    </row>
    <row r="16212" spans="1:5">
      <c r="A16212">
        <v>11031</v>
      </c>
      <c r="B16212" t="s">
        <v>174</v>
      </c>
      <c r="C16212">
        <v>665</v>
      </c>
      <c r="D16212">
        <v>20</v>
      </c>
      <c r="E16212" s="80">
        <v>35902</v>
      </c>
    </row>
    <row r="16213" spans="1:5">
      <c r="A16213">
        <v>11031</v>
      </c>
      <c r="B16213" t="s">
        <v>175</v>
      </c>
      <c r="C16213">
        <v>665</v>
      </c>
      <c r="D16213">
        <v>20</v>
      </c>
      <c r="E16213" s="80">
        <v>35902</v>
      </c>
    </row>
    <row r="16214" spans="1:5">
      <c r="A16214">
        <v>11031</v>
      </c>
      <c r="B16214" t="s">
        <v>176</v>
      </c>
      <c r="C16214">
        <v>665</v>
      </c>
      <c r="D16214">
        <v>20</v>
      </c>
      <c r="E16214" s="80">
        <v>35902</v>
      </c>
    </row>
    <row r="16215" spans="1:5">
      <c r="A16215">
        <v>11031</v>
      </c>
      <c r="B16215" t="s">
        <v>177</v>
      </c>
      <c r="C16215">
        <v>665</v>
      </c>
      <c r="D16215">
        <v>20</v>
      </c>
      <c r="E16215" s="80">
        <v>35902</v>
      </c>
    </row>
    <row r="16216" spans="1:5">
      <c r="A16216">
        <v>11031</v>
      </c>
      <c r="B16216" t="s">
        <v>178</v>
      </c>
      <c r="C16216">
        <v>665</v>
      </c>
      <c r="D16216">
        <v>20</v>
      </c>
      <c r="E16216" s="80">
        <v>35902</v>
      </c>
    </row>
    <row r="16217" spans="1:5">
      <c r="A16217">
        <v>11031</v>
      </c>
      <c r="B16217" t="s">
        <v>179</v>
      </c>
      <c r="C16217">
        <v>665</v>
      </c>
      <c r="D16217">
        <v>20</v>
      </c>
      <c r="E16217" s="80">
        <v>35902</v>
      </c>
    </row>
    <row r="16218" spans="1:5">
      <c r="A16218">
        <v>11031</v>
      </c>
      <c r="B16218" t="s">
        <v>172</v>
      </c>
      <c r="C16218">
        <v>344</v>
      </c>
      <c r="D16218">
        <v>16</v>
      </c>
      <c r="E16218" s="80">
        <v>35902</v>
      </c>
    </row>
    <row r="16219" spans="1:5">
      <c r="A16219">
        <v>11031</v>
      </c>
      <c r="B16219" t="s">
        <v>173</v>
      </c>
      <c r="C16219">
        <v>344</v>
      </c>
      <c r="D16219">
        <v>16</v>
      </c>
      <c r="E16219" s="80">
        <v>35902</v>
      </c>
    </row>
    <row r="16220" spans="1:5">
      <c r="A16220">
        <v>11031</v>
      </c>
      <c r="B16220" t="s">
        <v>174</v>
      </c>
      <c r="C16220">
        <v>344</v>
      </c>
      <c r="D16220">
        <v>16</v>
      </c>
      <c r="E16220" s="80">
        <v>35902</v>
      </c>
    </row>
    <row r="16221" spans="1:5">
      <c r="A16221">
        <v>11031</v>
      </c>
      <c r="B16221" t="s">
        <v>175</v>
      </c>
      <c r="C16221">
        <v>344</v>
      </c>
      <c r="D16221">
        <v>16</v>
      </c>
      <c r="E16221" s="80">
        <v>35902</v>
      </c>
    </row>
    <row r="16222" spans="1:5">
      <c r="A16222">
        <v>11031</v>
      </c>
      <c r="B16222" t="s">
        <v>176</v>
      </c>
      <c r="C16222">
        <v>344</v>
      </c>
      <c r="D16222">
        <v>16</v>
      </c>
      <c r="E16222" s="80">
        <v>35902</v>
      </c>
    </row>
    <row r="16223" spans="1:5">
      <c r="A16223">
        <v>11031</v>
      </c>
      <c r="B16223" t="s">
        <v>177</v>
      </c>
      <c r="C16223">
        <v>344</v>
      </c>
      <c r="D16223">
        <v>16</v>
      </c>
      <c r="E16223" s="80">
        <v>35902</v>
      </c>
    </row>
    <row r="16224" spans="1:5">
      <c r="A16224">
        <v>11031</v>
      </c>
      <c r="B16224" t="s">
        <v>178</v>
      </c>
      <c r="C16224">
        <v>344</v>
      </c>
      <c r="D16224">
        <v>16</v>
      </c>
      <c r="E16224" s="80">
        <v>35902</v>
      </c>
    </row>
    <row r="16225" spans="1:5">
      <c r="A16225">
        <v>11031</v>
      </c>
      <c r="B16225" t="s">
        <v>179</v>
      </c>
      <c r="C16225">
        <v>344</v>
      </c>
      <c r="D16225">
        <v>16</v>
      </c>
      <c r="E16225" s="80">
        <v>35902</v>
      </c>
    </row>
    <row r="16226" spans="1:5">
      <c r="A16226">
        <v>11032</v>
      </c>
      <c r="B16226" t="s">
        <v>172</v>
      </c>
      <c r="C16226">
        <v>665</v>
      </c>
      <c r="D16226">
        <v>35</v>
      </c>
      <c r="E16226" s="80">
        <v>35902</v>
      </c>
    </row>
    <row r="16227" spans="1:5">
      <c r="A16227">
        <v>11032</v>
      </c>
      <c r="B16227" t="s">
        <v>173</v>
      </c>
      <c r="C16227">
        <v>665</v>
      </c>
      <c r="D16227">
        <v>35</v>
      </c>
      <c r="E16227" s="80">
        <v>35902</v>
      </c>
    </row>
    <row r="16228" spans="1:5">
      <c r="A16228">
        <v>11032</v>
      </c>
      <c r="B16228" t="s">
        <v>174</v>
      </c>
      <c r="C16228">
        <v>665</v>
      </c>
      <c r="D16228">
        <v>35</v>
      </c>
      <c r="E16228" s="80">
        <v>35902</v>
      </c>
    </row>
    <row r="16229" spans="1:5">
      <c r="A16229">
        <v>11032</v>
      </c>
      <c r="B16229" t="s">
        <v>175</v>
      </c>
      <c r="C16229">
        <v>665</v>
      </c>
      <c r="D16229">
        <v>35</v>
      </c>
      <c r="E16229" s="80">
        <v>35902</v>
      </c>
    </row>
    <row r="16230" spans="1:5">
      <c r="A16230">
        <v>11032</v>
      </c>
      <c r="B16230" t="s">
        <v>176</v>
      </c>
      <c r="C16230">
        <v>665</v>
      </c>
      <c r="D16230">
        <v>35</v>
      </c>
      <c r="E16230" s="80">
        <v>35902</v>
      </c>
    </row>
    <row r="16231" spans="1:5">
      <c r="A16231">
        <v>11032</v>
      </c>
      <c r="B16231" t="s">
        <v>177</v>
      </c>
      <c r="C16231">
        <v>665</v>
      </c>
      <c r="D16231">
        <v>35</v>
      </c>
      <c r="E16231" s="80">
        <v>35902</v>
      </c>
    </row>
    <row r="16232" spans="1:5">
      <c r="A16232">
        <v>11032</v>
      </c>
      <c r="B16232" t="s">
        <v>178</v>
      </c>
      <c r="C16232">
        <v>665</v>
      </c>
      <c r="D16232">
        <v>35</v>
      </c>
      <c r="E16232" s="80">
        <v>35902</v>
      </c>
    </row>
    <row r="16233" spans="1:5">
      <c r="A16233">
        <v>11032</v>
      </c>
      <c r="B16233" t="s">
        <v>179</v>
      </c>
      <c r="C16233">
        <v>665</v>
      </c>
      <c r="D16233">
        <v>35</v>
      </c>
      <c r="E16233" s="80">
        <v>35902</v>
      </c>
    </row>
    <row r="16234" spans="1:5">
      <c r="A16234">
        <v>11032</v>
      </c>
      <c r="B16234" t="s">
        <v>172</v>
      </c>
      <c r="C16234">
        <v>6587.5</v>
      </c>
      <c r="D16234">
        <v>25</v>
      </c>
      <c r="E16234" s="80">
        <v>35902</v>
      </c>
    </row>
    <row r="16235" spans="1:5">
      <c r="A16235">
        <v>11032</v>
      </c>
      <c r="B16235" t="s">
        <v>173</v>
      </c>
      <c r="C16235">
        <v>6587.5</v>
      </c>
      <c r="D16235">
        <v>25</v>
      </c>
      <c r="E16235" s="80">
        <v>35902</v>
      </c>
    </row>
    <row r="16236" spans="1:5">
      <c r="A16236">
        <v>11032</v>
      </c>
      <c r="B16236" t="s">
        <v>174</v>
      </c>
      <c r="C16236">
        <v>6587.5</v>
      </c>
      <c r="D16236">
        <v>25</v>
      </c>
      <c r="E16236" s="80">
        <v>35902</v>
      </c>
    </row>
    <row r="16237" spans="1:5">
      <c r="A16237">
        <v>11032</v>
      </c>
      <c r="B16237" t="s">
        <v>175</v>
      </c>
      <c r="C16237">
        <v>6587.5</v>
      </c>
      <c r="D16237">
        <v>25</v>
      </c>
      <c r="E16237" s="80">
        <v>35902</v>
      </c>
    </row>
    <row r="16238" spans="1:5">
      <c r="A16238">
        <v>11032</v>
      </c>
      <c r="B16238" t="s">
        <v>176</v>
      </c>
      <c r="C16238">
        <v>6587.5</v>
      </c>
      <c r="D16238">
        <v>25</v>
      </c>
      <c r="E16238" s="80">
        <v>35902</v>
      </c>
    </row>
    <row r="16239" spans="1:5">
      <c r="A16239">
        <v>11032</v>
      </c>
      <c r="B16239" t="s">
        <v>177</v>
      </c>
      <c r="C16239">
        <v>6587.5</v>
      </c>
      <c r="D16239">
        <v>25</v>
      </c>
      <c r="E16239" s="80">
        <v>35902</v>
      </c>
    </row>
    <row r="16240" spans="1:5">
      <c r="A16240">
        <v>11032</v>
      </c>
      <c r="B16240" t="s">
        <v>178</v>
      </c>
      <c r="C16240">
        <v>6587.5</v>
      </c>
      <c r="D16240">
        <v>25</v>
      </c>
      <c r="E16240" s="80">
        <v>35902</v>
      </c>
    </row>
    <row r="16241" spans="1:5">
      <c r="A16241">
        <v>11032</v>
      </c>
      <c r="B16241" t="s">
        <v>179</v>
      </c>
      <c r="C16241">
        <v>6587.5</v>
      </c>
      <c r="D16241">
        <v>25</v>
      </c>
      <c r="E16241" s="80">
        <v>35902</v>
      </c>
    </row>
    <row r="16242" spans="1:5">
      <c r="A16242">
        <v>11032</v>
      </c>
      <c r="B16242" t="s">
        <v>172</v>
      </c>
      <c r="C16242">
        <v>1650</v>
      </c>
      <c r="D16242">
        <v>30</v>
      </c>
      <c r="E16242" s="80">
        <v>35902</v>
      </c>
    </row>
    <row r="16243" spans="1:5">
      <c r="A16243">
        <v>11032</v>
      </c>
      <c r="B16243" t="s">
        <v>173</v>
      </c>
      <c r="C16243">
        <v>1650</v>
      </c>
      <c r="D16243">
        <v>30</v>
      </c>
      <c r="E16243" s="80">
        <v>35902</v>
      </c>
    </row>
    <row r="16244" spans="1:5">
      <c r="A16244">
        <v>11032</v>
      </c>
      <c r="B16244" t="s">
        <v>174</v>
      </c>
      <c r="C16244">
        <v>1650</v>
      </c>
      <c r="D16244">
        <v>30</v>
      </c>
      <c r="E16244" s="80">
        <v>35902</v>
      </c>
    </row>
    <row r="16245" spans="1:5">
      <c r="A16245">
        <v>11032</v>
      </c>
      <c r="B16245" t="s">
        <v>175</v>
      </c>
      <c r="C16245">
        <v>1650</v>
      </c>
      <c r="D16245">
        <v>30</v>
      </c>
      <c r="E16245" s="80">
        <v>35902</v>
      </c>
    </row>
    <row r="16246" spans="1:5">
      <c r="A16246">
        <v>11032</v>
      </c>
      <c r="B16246" t="s">
        <v>176</v>
      </c>
      <c r="C16246">
        <v>1650</v>
      </c>
      <c r="D16246">
        <v>30</v>
      </c>
      <c r="E16246" s="80">
        <v>35902</v>
      </c>
    </row>
    <row r="16247" spans="1:5">
      <c r="A16247">
        <v>11032</v>
      </c>
      <c r="B16247" t="s">
        <v>177</v>
      </c>
      <c r="C16247">
        <v>1650</v>
      </c>
      <c r="D16247">
        <v>30</v>
      </c>
      <c r="E16247" s="80">
        <v>35902</v>
      </c>
    </row>
    <row r="16248" spans="1:5">
      <c r="A16248">
        <v>11032</v>
      </c>
      <c r="B16248" t="s">
        <v>178</v>
      </c>
      <c r="C16248">
        <v>1650</v>
      </c>
      <c r="D16248">
        <v>30</v>
      </c>
      <c r="E16248" s="80">
        <v>35902</v>
      </c>
    </row>
    <row r="16249" spans="1:5">
      <c r="A16249">
        <v>11032</v>
      </c>
      <c r="B16249" t="s">
        <v>179</v>
      </c>
      <c r="C16249">
        <v>1650</v>
      </c>
      <c r="D16249">
        <v>30</v>
      </c>
      <c r="E16249" s="80">
        <v>35902</v>
      </c>
    </row>
    <row r="16250" spans="1:5">
      <c r="A16250">
        <v>11033</v>
      </c>
      <c r="B16250" t="s">
        <v>172</v>
      </c>
      <c r="C16250">
        <v>2066.3999965786934</v>
      </c>
      <c r="D16250">
        <v>70</v>
      </c>
      <c r="E16250" s="80">
        <v>35902</v>
      </c>
    </row>
    <row r="16251" spans="1:5">
      <c r="A16251">
        <v>11033</v>
      </c>
      <c r="B16251" t="s">
        <v>173</v>
      </c>
      <c r="C16251">
        <v>2066.3999965786934</v>
      </c>
      <c r="D16251">
        <v>70</v>
      </c>
      <c r="E16251" s="80">
        <v>35902</v>
      </c>
    </row>
    <row r="16252" spans="1:5">
      <c r="A16252">
        <v>11033</v>
      </c>
      <c r="B16252" t="s">
        <v>174</v>
      </c>
      <c r="C16252">
        <v>2066.3999965786934</v>
      </c>
      <c r="D16252">
        <v>70</v>
      </c>
      <c r="E16252" s="80">
        <v>35902</v>
      </c>
    </row>
    <row r="16253" spans="1:5">
      <c r="A16253">
        <v>11033</v>
      </c>
      <c r="B16253" t="s">
        <v>175</v>
      </c>
      <c r="C16253">
        <v>2066.3999965786934</v>
      </c>
      <c r="D16253">
        <v>70</v>
      </c>
      <c r="E16253" s="80">
        <v>35902</v>
      </c>
    </row>
    <row r="16254" spans="1:5">
      <c r="A16254">
        <v>11033</v>
      </c>
      <c r="B16254" t="s">
        <v>176</v>
      </c>
      <c r="C16254">
        <v>2066.3999965786934</v>
      </c>
      <c r="D16254">
        <v>70</v>
      </c>
      <c r="E16254" s="80">
        <v>35902</v>
      </c>
    </row>
    <row r="16255" spans="1:5">
      <c r="A16255">
        <v>11033</v>
      </c>
      <c r="B16255" t="s">
        <v>177</v>
      </c>
      <c r="C16255">
        <v>2066.3999965786934</v>
      </c>
      <c r="D16255">
        <v>70</v>
      </c>
      <c r="E16255" s="80">
        <v>35902</v>
      </c>
    </row>
    <row r="16256" spans="1:5">
      <c r="A16256">
        <v>11033</v>
      </c>
      <c r="B16256" t="s">
        <v>178</v>
      </c>
      <c r="C16256">
        <v>2066.3999965786934</v>
      </c>
      <c r="D16256">
        <v>70</v>
      </c>
      <c r="E16256" s="80">
        <v>35902</v>
      </c>
    </row>
    <row r="16257" spans="1:5">
      <c r="A16257">
        <v>11033</v>
      </c>
      <c r="B16257" t="s">
        <v>179</v>
      </c>
      <c r="C16257">
        <v>2066.3999965786934</v>
      </c>
      <c r="D16257">
        <v>70</v>
      </c>
      <c r="E16257" s="80">
        <v>35902</v>
      </c>
    </row>
    <row r="16258" spans="1:5">
      <c r="A16258">
        <v>11033</v>
      </c>
      <c r="B16258" t="s">
        <v>172</v>
      </c>
      <c r="C16258">
        <v>1166.3999980688095</v>
      </c>
      <c r="D16258">
        <v>36</v>
      </c>
      <c r="E16258" s="80">
        <v>35902</v>
      </c>
    </row>
    <row r="16259" spans="1:5">
      <c r="A16259">
        <v>11033</v>
      </c>
      <c r="B16259" t="s">
        <v>173</v>
      </c>
      <c r="C16259">
        <v>1166.3999980688095</v>
      </c>
      <c r="D16259">
        <v>36</v>
      </c>
      <c r="E16259" s="80">
        <v>35902</v>
      </c>
    </row>
    <row r="16260" spans="1:5">
      <c r="A16260">
        <v>11033</v>
      </c>
      <c r="B16260" t="s">
        <v>174</v>
      </c>
      <c r="C16260">
        <v>1166.3999980688095</v>
      </c>
      <c r="D16260">
        <v>36</v>
      </c>
      <c r="E16260" s="80">
        <v>35902</v>
      </c>
    </row>
    <row r="16261" spans="1:5">
      <c r="A16261">
        <v>11033</v>
      </c>
      <c r="B16261" t="s">
        <v>175</v>
      </c>
      <c r="C16261">
        <v>1166.3999980688095</v>
      </c>
      <c r="D16261">
        <v>36</v>
      </c>
      <c r="E16261" s="80">
        <v>35902</v>
      </c>
    </row>
    <row r="16262" spans="1:5">
      <c r="A16262">
        <v>11033</v>
      </c>
      <c r="B16262" t="s">
        <v>176</v>
      </c>
      <c r="C16262">
        <v>1166.3999980688095</v>
      </c>
      <c r="D16262">
        <v>36</v>
      </c>
      <c r="E16262" s="80">
        <v>35902</v>
      </c>
    </row>
    <row r="16263" spans="1:5">
      <c r="A16263">
        <v>11033</v>
      </c>
      <c r="B16263" t="s">
        <v>177</v>
      </c>
      <c r="C16263">
        <v>1166.3999980688095</v>
      </c>
      <c r="D16263">
        <v>36</v>
      </c>
      <c r="E16263" s="80">
        <v>35902</v>
      </c>
    </row>
    <row r="16264" spans="1:5">
      <c r="A16264">
        <v>11033</v>
      </c>
      <c r="B16264" t="s">
        <v>178</v>
      </c>
      <c r="C16264">
        <v>1166.3999980688095</v>
      </c>
      <c r="D16264">
        <v>36</v>
      </c>
      <c r="E16264" s="80">
        <v>35902</v>
      </c>
    </row>
    <row r="16265" spans="1:5">
      <c r="A16265">
        <v>11033</v>
      </c>
      <c r="B16265" t="s">
        <v>179</v>
      </c>
      <c r="C16265">
        <v>1166.3999980688095</v>
      </c>
      <c r="D16265">
        <v>36</v>
      </c>
      <c r="E16265" s="80">
        <v>35902</v>
      </c>
    </row>
    <row r="16266" spans="1:5">
      <c r="A16266">
        <v>11034</v>
      </c>
      <c r="B16266" t="s">
        <v>172</v>
      </c>
      <c r="C16266">
        <v>134.99999977648258</v>
      </c>
      <c r="D16266">
        <v>15</v>
      </c>
      <c r="E16266" s="80">
        <v>35905</v>
      </c>
    </row>
    <row r="16267" spans="1:5">
      <c r="A16267">
        <v>11034</v>
      </c>
      <c r="B16267" t="s">
        <v>173</v>
      </c>
      <c r="C16267">
        <v>134.99999977648258</v>
      </c>
      <c r="D16267">
        <v>15</v>
      </c>
      <c r="E16267" s="80">
        <v>35905</v>
      </c>
    </row>
    <row r="16268" spans="1:5">
      <c r="A16268">
        <v>11034</v>
      </c>
      <c r="B16268" t="s">
        <v>174</v>
      </c>
      <c r="C16268">
        <v>134.99999977648258</v>
      </c>
      <c r="D16268">
        <v>15</v>
      </c>
      <c r="E16268" s="80">
        <v>35905</v>
      </c>
    </row>
    <row r="16269" spans="1:5">
      <c r="A16269">
        <v>11034</v>
      </c>
      <c r="B16269" t="s">
        <v>175</v>
      </c>
      <c r="C16269">
        <v>134.99999977648258</v>
      </c>
      <c r="D16269">
        <v>15</v>
      </c>
      <c r="E16269" s="80">
        <v>35905</v>
      </c>
    </row>
    <row r="16270" spans="1:5">
      <c r="A16270">
        <v>11034</v>
      </c>
      <c r="B16270" t="s">
        <v>176</v>
      </c>
      <c r="C16270">
        <v>134.99999977648258</v>
      </c>
      <c r="D16270">
        <v>15</v>
      </c>
      <c r="E16270" s="80">
        <v>35905</v>
      </c>
    </row>
    <row r="16271" spans="1:5">
      <c r="A16271">
        <v>11034</v>
      </c>
      <c r="B16271" t="s">
        <v>177</v>
      </c>
      <c r="C16271">
        <v>134.99999977648258</v>
      </c>
      <c r="D16271">
        <v>15</v>
      </c>
      <c r="E16271" s="80">
        <v>35905</v>
      </c>
    </row>
    <row r="16272" spans="1:5">
      <c r="A16272">
        <v>11034</v>
      </c>
      <c r="B16272" t="s">
        <v>178</v>
      </c>
      <c r="C16272">
        <v>134.99999977648258</v>
      </c>
      <c r="D16272">
        <v>15</v>
      </c>
      <c r="E16272" s="80">
        <v>35905</v>
      </c>
    </row>
    <row r="16273" spans="1:5">
      <c r="A16273">
        <v>11034</v>
      </c>
      <c r="B16273" t="s">
        <v>179</v>
      </c>
      <c r="C16273">
        <v>134.99999977648258</v>
      </c>
      <c r="D16273">
        <v>15</v>
      </c>
      <c r="E16273" s="80">
        <v>35905</v>
      </c>
    </row>
    <row r="16274" spans="1:5">
      <c r="A16274">
        <v>11034</v>
      </c>
      <c r="B16274" t="s">
        <v>172</v>
      </c>
      <c r="C16274">
        <v>233.4</v>
      </c>
      <c r="D16274">
        <v>12</v>
      </c>
      <c r="E16274" s="80">
        <v>35905</v>
      </c>
    </row>
    <row r="16275" spans="1:5">
      <c r="A16275">
        <v>11034</v>
      </c>
      <c r="B16275" t="s">
        <v>173</v>
      </c>
      <c r="C16275">
        <v>233.4</v>
      </c>
      <c r="D16275">
        <v>12</v>
      </c>
      <c r="E16275" s="80">
        <v>35905</v>
      </c>
    </row>
    <row r="16276" spans="1:5">
      <c r="A16276">
        <v>11034</v>
      </c>
      <c r="B16276" t="s">
        <v>174</v>
      </c>
      <c r="C16276">
        <v>233.4</v>
      </c>
      <c r="D16276">
        <v>12</v>
      </c>
      <c r="E16276" s="80">
        <v>35905</v>
      </c>
    </row>
    <row r="16277" spans="1:5">
      <c r="A16277">
        <v>11034</v>
      </c>
      <c r="B16277" t="s">
        <v>175</v>
      </c>
      <c r="C16277">
        <v>233.4</v>
      </c>
      <c r="D16277">
        <v>12</v>
      </c>
      <c r="E16277" s="80">
        <v>35905</v>
      </c>
    </row>
    <row r="16278" spans="1:5">
      <c r="A16278">
        <v>11034</v>
      </c>
      <c r="B16278" t="s">
        <v>176</v>
      </c>
      <c r="C16278">
        <v>233.4</v>
      </c>
      <c r="D16278">
        <v>12</v>
      </c>
      <c r="E16278" s="80">
        <v>35905</v>
      </c>
    </row>
    <row r="16279" spans="1:5">
      <c r="A16279">
        <v>11034</v>
      </c>
      <c r="B16279" t="s">
        <v>177</v>
      </c>
      <c r="C16279">
        <v>233.4</v>
      </c>
      <c r="D16279">
        <v>12</v>
      </c>
      <c r="E16279" s="80">
        <v>35905</v>
      </c>
    </row>
    <row r="16280" spans="1:5">
      <c r="A16280">
        <v>11034</v>
      </c>
      <c r="B16280" t="s">
        <v>178</v>
      </c>
      <c r="C16280">
        <v>233.4</v>
      </c>
      <c r="D16280">
        <v>12</v>
      </c>
      <c r="E16280" s="80">
        <v>35905</v>
      </c>
    </row>
    <row r="16281" spans="1:5">
      <c r="A16281">
        <v>11034</v>
      </c>
      <c r="B16281" t="s">
        <v>179</v>
      </c>
      <c r="C16281">
        <v>233.4</v>
      </c>
      <c r="D16281">
        <v>12</v>
      </c>
      <c r="E16281" s="80">
        <v>35905</v>
      </c>
    </row>
    <row r="16282" spans="1:5">
      <c r="A16282">
        <v>11034</v>
      </c>
      <c r="B16282" t="s">
        <v>172</v>
      </c>
      <c r="C16282">
        <v>171</v>
      </c>
      <c r="D16282">
        <v>6</v>
      </c>
      <c r="E16282" s="80">
        <v>35905</v>
      </c>
    </row>
    <row r="16283" spans="1:5">
      <c r="A16283">
        <v>11034</v>
      </c>
      <c r="B16283" t="s">
        <v>173</v>
      </c>
      <c r="C16283">
        <v>171</v>
      </c>
      <c r="D16283">
        <v>6</v>
      </c>
      <c r="E16283" s="80">
        <v>35905</v>
      </c>
    </row>
    <row r="16284" spans="1:5">
      <c r="A16284">
        <v>11034</v>
      </c>
      <c r="B16284" t="s">
        <v>174</v>
      </c>
      <c r="C16284">
        <v>171</v>
      </c>
      <c r="D16284">
        <v>6</v>
      </c>
      <c r="E16284" s="80">
        <v>35905</v>
      </c>
    </row>
    <row r="16285" spans="1:5">
      <c r="A16285">
        <v>11034</v>
      </c>
      <c r="B16285" t="s">
        <v>175</v>
      </c>
      <c r="C16285">
        <v>171</v>
      </c>
      <c r="D16285">
        <v>6</v>
      </c>
      <c r="E16285" s="80">
        <v>35905</v>
      </c>
    </row>
    <row r="16286" spans="1:5">
      <c r="A16286">
        <v>11034</v>
      </c>
      <c r="B16286" t="s">
        <v>176</v>
      </c>
      <c r="C16286">
        <v>171</v>
      </c>
      <c r="D16286">
        <v>6</v>
      </c>
      <c r="E16286" s="80">
        <v>35905</v>
      </c>
    </row>
    <row r="16287" spans="1:5">
      <c r="A16287">
        <v>11034</v>
      </c>
      <c r="B16287" t="s">
        <v>177</v>
      </c>
      <c r="C16287">
        <v>171</v>
      </c>
      <c r="D16287">
        <v>6</v>
      </c>
      <c r="E16287" s="80">
        <v>35905</v>
      </c>
    </row>
    <row r="16288" spans="1:5">
      <c r="A16288">
        <v>11034</v>
      </c>
      <c r="B16288" t="s">
        <v>178</v>
      </c>
      <c r="C16288">
        <v>171</v>
      </c>
      <c r="D16288">
        <v>6</v>
      </c>
      <c r="E16288" s="80">
        <v>35905</v>
      </c>
    </row>
    <row r="16289" spans="1:5">
      <c r="A16289">
        <v>11034</v>
      </c>
      <c r="B16289" t="s">
        <v>179</v>
      </c>
      <c r="C16289">
        <v>171</v>
      </c>
      <c r="D16289">
        <v>6</v>
      </c>
      <c r="E16289" s="80">
        <v>35905</v>
      </c>
    </row>
    <row r="16290" spans="1:5">
      <c r="A16290">
        <v>11035</v>
      </c>
      <c r="B16290" t="s">
        <v>172</v>
      </c>
      <c r="C16290">
        <v>180</v>
      </c>
      <c r="D16290">
        <v>10</v>
      </c>
      <c r="E16290" s="80">
        <v>35905</v>
      </c>
    </row>
    <row r="16291" spans="1:5">
      <c r="A16291">
        <v>11035</v>
      </c>
      <c r="B16291" t="s">
        <v>173</v>
      </c>
      <c r="C16291">
        <v>180</v>
      </c>
      <c r="D16291">
        <v>10</v>
      </c>
      <c r="E16291" s="80">
        <v>35905</v>
      </c>
    </row>
    <row r="16292" spans="1:5">
      <c r="A16292">
        <v>11035</v>
      </c>
      <c r="B16292" t="s">
        <v>174</v>
      </c>
      <c r="C16292">
        <v>180</v>
      </c>
      <c r="D16292">
        <v>10</v>
      </c>
      <c r="E16292" s="80">
        <v>35905</v>
      </c>
    </row>
    <row r="16293" spans="1:5">
      <c r="A16293">
        <v>11035</v>
      </c>
      <c r="B16293" t="s">
        <v>175</v>
      </c>
      <c r="C16293">
        <v>180</v>
      </c>
      <c r="D16293">
        <v>10</v>
      </c>
      <c r="E16293" s="80">
        <v>35905</v>
      </c>
    </row>
    <row r="16294" spans="1:5">
      <c r="A16294">
        <v>11035</v>
      </c>
      <c r="B16294" t="s">
        <v>176</v>
      </c>
      <c r="C16294">
        <v>180</v>
      </c>
      <c r="D16294">
        <v>10</v>
      </c>
      <c r="E16294" s="80">
        <v>35905</v>
      </c>
    </row>
    <row r="16295" spans="1:5">
      <c r="A16295">
        <v>11035</v>
      </c>
      <c r="B16295" t="s">
        <v>177</v>
      </c>
      <c r="C16295">
        <v>180</v>
      </c>
      <c r="D16295">
        <v>10</v>
      </c>
      <c r="E16295" s="80">
        <v>35905</v>
      </c>
    </row>
    <row r="16296" spans="1:5">
      <c r="A16296">
        <v>11035</v>
      </c>
      <c r="B16296" t="s">
        <v>178</v>
      </c>
      <c r="C16296">
        <v>180</v>
      </c>
      <c r="D16296">
        <v>10</v>
      </c>
      <c r="E16296" s="80">
        <v>35905</v>
      </c>
    </row>
    <row r="16297" spans="1:5">
      <c r="A16297">
        <v>11035</v>
      </c>
      <c r="B16297" t="s">
        <v>179</v>
      </c>
      <c r="C16297">
        <v>180</v>
      </c>
      <c r="D16297">
        <v>10</v>
      </c>
      <c r="E16297" s="80">
        <v>35905</v>
      </c>
    </row>
    <row r="16298" spans="1:5">
      <c r="A16298">
        <v>11035</v>
      </c>
      <c r="B16298" t="s">
        <v>172</v>
      </c>
      <c r="C16298">
        <v>1080</v>
      </c>
      <c r="D16298">
        <v>60</v>
      </c>
      <c r="E16298" s="80">
        <v>35905</v>
      </c>
    </row>
    <row r="16299" spans="1:5">
      <c r="A16299">
        <v>11035</v>
      </c>
      <c r="B16299" t="s">
        <v>173</v>
      </c>
      <c r="C16299">
        <v>1080</v>
      </c>
      <c r="D16299">
        <v>60</v>
      </c>
      <c r="E16299" s="80">
        <v>35905</v>
      </c>
    </row>
    <row r="16300" spans="1:5">
      <c r="A16300">
        <v>11035</v>
      </c>
      <c r="B16300" t="s">
        <v>174</v>
      </c>
      <c r="C16300">
        <v>1080</v>
      </c>
      <c r="D16300">
        <v>60</v>
      </c>
      <c r="E16300" s="80">
        <v>35905</v>
      </c>
    </row>
    <row r="16301" spans="1:5">
      <c r="A16301">
        <v>11035</v>
      </c>
      <c r="B16301" t="s">
        <v>175</v>
      </c>
      <c r="C16301">
        <v>1080</v>
      </c>
      <c r="D16301">
        <v>60</v>
      </c>
      <c r="E16301" s="80">
        <v>35905</v>
      </c>
    </row>
    <row r="16302" spans="1:5">
      <c r="A16302">
        <v>11035</v>
      </c>
      <c r="B16302" t="s">
        <v>176</v>
      </c>
      <c r="C16302">
        <v>1080</v>
      </c>
      <c r="D16302">
        <v>60</v>
      </c>
      <c r="E16302" s="80">
        <v>35905</v>
      </c>
    </row>
    <row r="16303" spans="1:5">
      <c r="A16303">
        <v>11035</v>
      </c>
      <c r="B16303" t="s">
        <v>177</v>
      </c>
      <c r="C16303">
        <v>1080</v>
      </c>
      <c r="D16303">
        <v>60</v>
      </c>
      <c r="E16303" s="80">
        <v>35905</v>
      </c>
    </row>
    <row r="16304" spans="1:5">
      <c r="A16304">
        <v>11035</v>
      </c>
      <c r="B16304" t="s">
        <v>178</v>
      </c>
      <c r="C16304">
        <v>1080</v>
      </c>
      <c r="D16304">
        <v>60</v>
      </c>
      <c r="E16304" s="80">
        <v>35905</v>
      </c>
    </row>
    <row r="16305" spans="1:5">
      <c r="A16305">
        <v>11035</v>
      </c>
      <c r="B16305" t="s">
        <v>179</v>
      </c>
      <c r="C16305">
        <v>1080</v>
      </c>
      <c r="D16305">
        <v>60</v>
      </c>
      <c r="E16305" s="80">
        <v>35905</v>
      </c>
    </row>
    <row r="16306" spans="1:5">
      <c r="A16306">
        <v>11035</v>
      </c>
      <c r="B16306" t="s">
        <v>172</v>
      </c>
      <c r="C16306">
        <v>420</v>
      </c>
      <c r="D16306">
        <v>30</v>
      </c>
      <c r="E16306" s="80">
        <v>35905</v>
      </c>
    </row>
    <row r="16307" spans="1:5">
      <c r="A16307">
        <v>11035</v>
      </c>
      <c r="B16307" t="s">
        <v>173</v>
      </c>
      <c r="C16307">
        <v>420</v>
      </c>
      <c r="D16307">
        <v>30</v>
      </c>
      <c r="E16307" s="80">
        <v>35905</v>
      </c>
    </row>
    <row r="16308" spans="1:5">
      <c r="A16308">
        <v>11035</v>
      </c>
      <c r="B16308" t="s">
        <v>174</v>
      </c>
      <c r="C16308">
        <v>420</v>
      </c>
      <c r="D16308">
        <v>30</v>
      </c>
      <c r="E16308" s="80">
        <v>35905</v>
      </c>
    </row>
    <row r="16309" spans="1:5">
      <c r="A16309">
        <v>11035</v>
      </c>
      <c r="B16309" t="s">
        <v>175</v>
      </c>
      <c r="C16309">
        <v>420</v>
      </c>
      <c r="D16309">
        <v>30</v>
      </c>
      <c r="E16309" s="80">
        <v>35905</v>
      </c>
    </row>
    <row r="16310" spans="1:5">
      <c r="A16310">
        <v>11035</v>
      </c>
      <c r="B16310" t="s">
        <v>176</v>
      </c>
      <c r="C16310">
        <v>420</v>
      </c>
      <c r="D16310">
        <v>30</v>
      </c>
      <c r="E16310" s="80">
        <v>35905</v>
      </c>
    </row>
    <row r="16311" spans="1:5">
      <c r="A16311">
        <v>11035</v>
      </c>
      <c r="B16311" t="s">
        <v>177</v>
      </c>
      <c r="C16311">
        <v>420</v>
      </c>
      <c r="D16311">
        <v>30</v>
      </c>
      <c r="E16311" s="80">
        <v>35905</v>
      </c>
    </row>
    <row r="16312" spans="1:5">
      <c r="A16312">
        <v>11035</v>
      </c>
      <c r="B16312" t="s">
        <v>178</v>
      </c>
      <c r="C16312">
        <v>420</v>
      </c>
      <c r="D16312">
        <v>30</v>
      </c>
      <c r="E16312" s="80">
        <v>35905</v>
      </c>
    </row>
    <row r="16313" spans="1:5">
      <c r="A16313">
        <v>11035</v>
      </c>
      <c r="B16313" t="s">
        <v>179</v>
      </c>
      <c r="C16313">
        <v>420</v>
      </c>
      <c r="D16313">
        <v>30</v>
      </c>
      <c r="E16313" s="80">
        <v>35905</v>
      </c>
    </row>
    <row r="16314" spans="1:5">
      <c r="A16314">
        <v>11035</v>
      </c>
      <c r="B16314" t="s">
        <v>172</v>
      </c>
      <c r="C16314">
        <v>74.5</v>
      </c>
      <c r="D16314">
        <v>10</v>
      </c>
      <c r="E16314" s="80">
        <v>35905</v>
      </c>
    </row>
    <row r="16315" spans="1:5">
      <c r="A16315">
        <v>11035</v>
      </c>
      <c r="B16315" t="s">
        <v>173</v>
      </c>
      <c r="C16315">
        <v>74.5</v>
      </c>
      <c r="D16315">
        <v>10</v>
      </c>
      <c r="E16315" s="80">
        <v>35905</v>
      </c>
    </row>
    <row r="16316" spans="1:5">
      <c r="A16316">
        <v>11035</v>
      </c>
      <c r="B16316" t="s">
        <v>174</v>
      </c>
      <c r="C16316">
        <v>74.5</v>
      </c>
      <c r="D16316">
        <v>10</v>
      </c>
      <c r="E16316" s="80">
        <v>35905</v>
      </c>
    </row>
    <row r="16317" spans="1:5">
      <c r="A16317">
        <v>11035</v>
      </c>
      <c r="B16317" t="s">
        <v>175</v>
      </c>
      <c r="C16317">
        <v>74.5</v>
      </c>
      <c r="D16317">
        <v>10</v>
      </c>
      <c r="E16317" s="80">
        <v>35905</v>
      </c>
    </row>
    <row r="16318" spans="1:5">
      <c r="A16318">
        <v>11035</v>
      </c>
      <c r="B16318" t="s">
        <v>176</v>
      </c>
      <c r="C16318">
        <v>74.5</v>
      </c>
      <c r="D16318">
        <v>10</v>
      </c>
      <c r="E16318" s="80">
        <v>35905</v>
      </c>
    </row>
    <row r="16319" spans="1:5">
      <c r="A16319">
        <v>11035</v>
      </c>
      <c r="B16319" t="s">
        <v>177</v>
      </c>
      <c r="C16319">
        <v>74.5</v>
      </c>
      <c r="D16319">
        <v>10</v>
      </c>
      <c r="E16319" s="80">
        <v>35905</v>
      </c>
    </row>
    <row r="16320" spans="1:5">
      <c r="A16320">
        <v>11035</v>
      </c>
      <c r="B16320" t="s">
        <v>178</v>
      </c>
      <c r="C16320">
        <v>74.5</v>
      </c>
      <c r="D16320">
        <v>10</v>
      </c>
      <c r="E16320" s="80">
        <v>35905</v>
      </c>
    </row>
    <row r="16321" spans="1:5">
      <c r="A16321">
        <v>11035</v>
      </c>
      <c r="B16321" t="s">
        <v>179</v>
      </c>
      <c r="C16321">
        <v>74.5</v>
      </c>
      <c r="D16321">
        <v>10</v>
      </c>
      <c r="E16321" s="80">
        <v>35905</v>
      </c>
    </row>
    <row r="16322" spans="1:5">
      <c r="A16322">
        <v>11036</v>
      </c>
      <c r="B16322" t="s">
        <v>172</v>
      </c>
      <c r="C16322">
        <v>42</v>
      </c>
      <c r="D16322">
        <v>7</v>
      </c>
      <c r="E16322" s="80">
        <v>35905</v>
      </c>
    </row>
    <row r="16323" spans="1:5">
      <c r="A16323">
        <v>11036</v>
      </c>
      <c r="B16323" t="s">
        <v>173</v>
      </c>
      <c r="C16323">
        <v>42</v>
      </c>
      <c r="D16323">
        <v>7</v>
      </c>
      <c r="E16323" s="80">
        <v>35905</v>
      </c>
    </row>
    <row r="16324" spans="1:5">
      <c r="A16324">
        <v>11036</v>
      </c>
      <c r="B16324" t="s">
        <v>174</v>
      </c>
      <c r="C16324">
        <v>42</v>
      </c>
      <c r="D16324">
        <v>7</v>
      </c>
      <c r="E16324" s="80">
        <v>35905</v>
      </c>
    </row>
    <row r="16325" spans="1:5">
      <c r="A16325">
        <v>11036</v>
      </c>
      <c r="B16325" t="s">
        <v>175</v>
      </c>
      <c r="C16325">
        <v>42</v>
      </c>
      <c r="D16325">
        <v>7</v>
      </c>
      <c r="E16325" s="80">
        <v>35905</v>
      </c>
    </row>
    <row r="16326" spans="1:5">
      <c r="A16326">
        <v>11036</v>
      </c>
      <c r="B16326" t="s">
        <v>176</v>
      </c>
      <c r="C16326">
        <v>42</v>
      </c>
      <c r="D16326">
        <v>7</v>
      </c>
      <c r="E16326" s="80">
        <v>35905</v>
      </c>
    </row>
    <row r="16327" spans="1:5">
      <c r="A16327">
        <v>11036</v>
      </c>
      <c r="B16327" t="s">
        <v>177</v>
      </c>
      <c r="C16327">
        <v>42</v>
      </c>
      <c r="D16327">
        <v>7</v>
      </c>
      <c r="E16327" s="80">
        <v>35905</v>
      </c>
    </row>
    <row r="16328" spans="1:5">
      <c r="A16328">
        <v>11036</v>
      </c>
      <c r="B16328" t="s">
        <v>178</v>
      </c>
      <c r="C16328">
        <v>42</v>
      </c>
      <c r="D16328">
        <v>7</v>
      </c>
      <c r="E16328" s="80">
        <v>35905</v>
      </c>
    </row>
    <row r="16329" spans="1:5">
      <c r="A16329">
        <v>11036</v>
      </c>
      <c r="B16329" t="s">
        <v>179</v>
      </c>
      <c r="C16329">
        <v>42</v>
      </c>
      <c r="D16329">
        <v>7</v>
      </c>
      <c r="E16329" s="80">
        <v>35905</v>
      </c>
    </row>
    <row r="16330" spans="1:5">
      <c r="A16330">
        <v>11036</v>
      </c>
      <c r="B16330" t="s">
        <v>172</v>
      </c>
      <c r="C16330">
        <v>1650</v>
      </c>
      <c r="D16330">
        <v>30</v>
      </c>
      <c r="E16330" s="80">
        <v>35905</v>
      </c>
    </row>
    <row r="16331" spans="1:5">
      <c r="A16331">
        <v>11036</v>
      </c>
      <c r="B16331" t="s">
        <v>173</v>
      </c>
      <c r="C16331">
        <v>1650</v>
      </c>
      <c r="D16331">
        <v>30</v>
      </c>
      <c r="E16331" s="80">
        <v>35905</v>
      </c>
    </row>
    <row r="16332" spans="1:5">
      <c r="A16332">
        <v>11036</v>
      </c>
      <c r="B16332" t="s">
        <v>174</v>
      </c>
      <c r="C16332">
        <v>1650</v>
      </c>
      <c r="D16332">
        <v>30</v>
      </c>
      <c r="E16332" s="80">
        <v>35905</v>
      </c>
    </row>
    <row r="16333" spans="1:5">
      <c r="A16333">
        <v>11036</v>
      </c>
      <c r="B16333" t="s">
        <v>175</v>
      </c>
      <c r="C16333">
        <v>1650</v>
      </c>
      <c r="D16333">
        <v>30</v>
      </c>
      <c r="E16333" s="80">
        <v>35905</v>
      </c>
    </row>
    <row r="16334" spans="1:5">
      <c r="A16334">
        <v>11036</v>
      </c>
      <c r="B16334" t="s">
        <v>176</v>
      </c>
      <c r="C16334">
        <v>1650</v>
      </c>
      <c r="D16334">
        <v>30</v>
      </c>
      <c r="E16334" s="80">
        <v>35905</v>
      </c>
    </row>
    <row r="16335" spans="1:5">
      <c r="A16335">
        <v>11036</v>
      </c>
      <c r="B16335" t="s">
        <v>177</v>
      </c>
      <c r="C16335">
        <v>1650</v>
      </c>
      <c r="D16335">
        <v>30</v>
      </c>
      <c r="E16335" s="80">
        <v>35905</v>
      </c>
    </row>
    <row r="16336" spans="1:5">
      <c r="A16336">
        <v>11036</v>
      </c>
      <c r="B16336" t="s">
        <v>178</v>
      </c>
      <c r="C16336">
        <v>1650</v>
      </c>
      <c r="D16336">
        <v>30</v>
      </c>
      <c r="E16336" s="80">
        <v>35905</v>
      </c>
    </row>
    <row r="16337" spans="1:5">
      <c r="A16337">
        <v>11036</v>
      </c>
      <c r="B16337" t="s">
        <v>179</v>
      </c>
      <c r="C16337">
        <v>1650</v>
      </c>
      <c r="D16337">
        <v>30</v>
      </c>
      <c r="E16337" s="80">
        <v>35905</v>
      </c>
    </row>
    <row r="16338" spans="1:5">
      <c r="A16338">
        <v>11037</v>
      </c>
      <c r="B16338" t="s">
        <v>172</v>
      </c>
      <c r="C16338">
        <v>60</v>
      </c>
      <c r="D16338">
        <v>4</v>
      </c>
      <c r="E16338" s="80">
        <v>35906</v>
      </c>
    </row>
    <row r="16339" spans="1:5">
      <c r="A16339">
        <v>11037</v>
      </c>
      <c r="B16339" t="s">
        <v>173</v>
      </c>
      <c r="C16339">
        <v>60</v>
      </c>
      <c r="D16339">
        <v>4</v>
      </c>
      <c r="E16339" s="80">
        <v>35906</v>
      </c>
    </row>
    <row r="16340" spans="1:5">
      <c r="A16340">
        <v>11037</v>
      </c>
      <c r="B16340" t="s">
        <v>174</v>
      </c>
      <c r="C16340">
        <v>60</v>
      </c>
      <c r="D16340">
        <v>4</v>
      </c>
      <c r="E16340" s="80">
        <v>35906</v>
      </c>
    </row>
    <row r="16341" spans="1:5">
      <c r="A16341">
        <v>11037</v>
      </c>
      <c r="B16341" t="s">
        <v>175</v>
      </c>
      <c r="C16341">
        <v>60</v>
      </c>
      <c r="D16341">
        <v>4</v>
      </c>
      <c r="E16341" s="80">
        <v>35906</v>
      </c>
    </row>
    <row r="16342" spans="1:5">
      <c r="A16342">
        <v>11037</v>
      </c>
      <c r="B16342" t="s">
        <v>176</v>
      </c>
      <c r="C16342">
        <v>60</v>
      </c>
      <c r="D16342">
        <v>4</v>
      </c>
      <c r="E16342" s="80">
        <v>35906</v>
      </c>
    </row>
    <row r="16343" spans="1:5">
      <c r="A16343">
        <v>11037</v>
      </c>
      <c r="B16343" t="s">
        <v>177</v>
      </c>
      <c r="C16343">
        <v>60</v>
      </c>
      <c r="D16343">
        <v>4</v>
      </c>
      <c r="E16343" s="80">
        <v>35906</v>
      </c>
    </row>
    <row r="16344" spans="1:5">
      <c r="A16344">
        <v>11037</v>
      </c>
      <c r="B16344" t="s">
        <v>178</v>
      </c>
      <c r="C16344">
        <v>60</v>
      </c>
      <c r="D16344">
        <v>4</v>
      </c>
      <c r="E16344" s="80">
        <v>35906</v>
      </c>
    </row>
    <row r="16345" spans="1:5">
      <c r="A16345">
        <v>11037</v>
      </c>
      <c r="B16345" t="s">
        <v>179</v>
      </c>
      <c r="C16345">
        <v>60</v>
      </c>
      <c r="D16345">
        <v>4</v>
      </c>
      <c r="E16345" s="80">
        <v>35906</v>
      </c>
    </row>
    <row r="16346" spans="1:5">
      <c r="A16346">
        <v>11038</v>
      </c>
      <c r="B16346" t="s">
        <v>172</v>
      </c>
      <c r="C16346">
        <v>73.599999725818634</v>
      </c>
      <c r="D16346">
        <v>5</v>
      </c>
      <c r="E16346" s="80">
        <v>35906</v>
      </c>
    </row>
    <row r="16347" spans="1:5">
      <c r="A16347">
        <v>11038</v>
      </c>
      <c r="B16347" t="s">
        <v>173</v>
      </c>
      <c r="C16347">
        <v>73.599999725818634</v>
      </c>
      <c r="D16347">
        <v>5</v>
      </c>
      <c r="E16347" s="80">
        <v>35906</v>
      </c>
    </row>
    <row r="16348" spans="1:5">
      <c r="A16348">
        <v>11038</v>
      </c>
      <c r="B16348" t="s">
        <v>174</v>
      </c>
      <c r="C16348">
        <v>73.599999725818634</v>
      </c>
      <c r="D16348">
        <v>5</v>
      </c>
      <c r="E16348" s="80">
        <v>35906</v>
      </c>
    </row>
    <row r="16349" spans="1:5">
      <c r="A16349">
        <v>11038</v>
      </c>
      <c r="B16349" t="s">
        <v>175</v>
      </c>
      <c r="C16349">
        <v>73.599999725818634</v>
      </c>
      <c r="D16349">
        <v>5</v>
      </c>
      <c r="E16349" s="80">
        <v>35906</v>
      </c>
    </row>
    <row r="16350" spans="1:5">
      <c r="A16350">
        <v>11038</v>
      </c>
      <c r="B16350" t="s">
        <v>176</v>
      </c>
      <c r="C16350">
        <v>73.599999725818634</v>
      </c>
      <c r="D16350">
        <v>5</v>
      </c>
      <c r="E16350" s="80">
        <v>35906</v>
      </c>
    </row>
    <row r="16351" spans="1:5">
      <c r="A16351">
        <v>11038</v>
      </c>
      <c r="B16351" t="s">
        <v>177</v>
      </c>
      <c r="C16351">
        <v>73.599999725818634</v>
      </c>
      <c r="D16351">
        <v>5</v>
      </c>
      <c r="E16351" s="80">
        <v>35906</v>
      </c>
    </row>
    <row r="16352" spans="1:5">
      <c r="A16352">
        <v>11038</v>
      </c>
      <c r="B16352" t="s">
        <v>178</v>
      </c>
      <c r="C16352">
        <v>73.599999725818634</v>
      </c>
      <c r="D16352">
        <v>5</v>
      </c>
      <c r="E16352" s="80">
        <v>35906</v>
      </c>
    </row>
    <row r="16353" spans="1:5">
      <c r="A16353">
        <v>11038</v>
      </c>
      <c r="B16353" t="s">
        <v>179</v>
      </c>
      <c r="C16353">
        <v>73.599999725818634</v>
      </c>
      <c r="D16353">
        <v>5</v>
      </c>
      <c r="E16353" s="80">
        <v>35906</v>
      </c>
    </row>
    <row r="16354" spans="1:5">
      <c r="A16354">
        <v>11038</v>
      </c>
      <c r="B16354" t="s">
        <v>172</v>
      </c>
      <c r="C16354">
        <v>14</v>
      </c>
      <c r="D16354">
        <v>2</v>
      </c>
      <c r="E16354" s="80">
        <v>35906</v>
      </c>
    </row>
    <row r="16355" spans="1:5">
      <c r="A16355">
        <v>11038</v>
      </c>
      <c r="B16355" t="s">
        <v>173</v>
      </c>
      <c r="C16355">
        <v>14</v>
      </c>
      <c r="D16355">
        <v>2</v>
      </c>
      <c r="E16355" s="80">
        <v>35906</v>
      </c>
    </row>
    <row r="16356" spans="1:5">
      <c r="A16356">
        <v>11038</v>
      </c>
      <c r="B16356" t="s">
        <v>174</v>
      </c>
      <c r="C16356">
        <v>14</v>
      </c>
      <c r="D16356">
        <v>2</v>
      </c>
      <c r="E16356" s="80">
        <v>35906</v>
      </c>
    </row>
    <row r="16357" spans="1:5">
      <c r="A16357">
        <v>11038</v>
      </c>
      <c r="B16357" t="s">
        <v>175</v>
      </c>
      <c r="C16357">
        <v>14</v>
      </c>
      <c r="D16357">
        <v>2</v>
      </c>
      <c r="E16357" s="80">
        <v>35906</v>
      </c>
    </row>
    <row r="16358" spans="1:5">
      <c r="A16358">
        <v>11038</v>
      </c>
      <c r="B16358" t="s">
        <v>176</v>
      </c>
      <c r="C16358">
        <v>14</v>
      </c>
      <c r="D16358">
        <v>2</v>
      </c>
      <c r="E16358" s="80">
        <v>35906</v>
      </c>
    </row>
    <row r="16359" spans="1:5">
      <c r="A16359">
        <v>11038</v>
      </c>
      <c r="B16359" t="s">
        <v>177</v>
      </c>
      <c r="C16359">
        <v>14</v>
      </c>
      <c r="D16359">
        <v>2</v>
      </c>
      <c r="E16359" s="80">
        <v>35906</v>
      </c>
    </row>
    <row r="16360" spans="1:5">
      <c r="A16360">
        <v>11038</v>
      </c>
      <c r="B16360" t="s">
        <v>178</v>
      </c>
      <c r="C16360">
        <v>14</v>
      </c>
      <c r="D16360">
        <v>2</v>
      </c>
      <c r="E16360" s="80">
        <v>35906</v>
      </c>
    </row>
    <row r="16361" spans="1:5">
      <c r="A16361">
        <v>11038</v>
      </c>
      <c r="B16361" t="s">
        <v>179</v>
      </c>
      <c r="C16361">
        <v>14</v>
      </c>
      <c r="D16361">
        <v>2</v>
      </c>
      <c r="E16361" s="80">
        <v>35906</v>
      </c>
    </row>
    <row r="16362" spans="1:5">
      <c r="A16362">
        <v>11038</v>
      </c>
      <c r="B16362" t="s">
        <v>172</v>
      </c>
      <c r="C16362">
        <v>645</v>
      </c>
      <c r="D16362">
        <v>30</v>
      </c>
      <c r="E16362" s="80">
        <v>35906</v>
      </c>
    </row>
    <row r="16363" spans="1:5">
      <c r="A16363">
        <v>11038</v>
      </c>
      <c r="B16363" t="s">
        <v>173</v>
      </c>
      <c r="C16363">
        <v>645</v>
      </c>
      <c r="D16363">
        <v>30</v>
      </c>
      <c r="E16363" s="80">
        <v>35906</v>
      </c>
    </row>
    <row r="16364" spans="1:5">
      <c r="A16364">
        <v>11038</v>
      </c>
      <c r="B16364" t="s">
        <v>174</v>
      </c>
      <c r="C16364">
        <v>645</v>
      </c>
      <c r="D16364">
        <v>30</v>
      </c>
      <c r="E16364" s="80">
        <v>35906</v>
      </c>
    </row>
    <row r="16365" spans="1:5">
      <c r="A16365">
        <v>11038</v>
      </c>
      <c r="B16365" t="s">
        <v>175</v>
      </c>
      <c r="C16365">
        <v>645</v>
      </c>
      <c r="D16365">
        <v>30</v>
      </c>
      <c r="E16365" s="80">
        <v>35906</v>
      </c>
    </row>
    <row r="16366" spans="1:5">
      <c r="A16366">
        <v>11038</v>
      </c>
      <c r="B16366" t="s">
        <v>176</v>
      </c>
      <c r="C16366">
        <v>645</v>
      </c>
      <c r="D16366">
        <v>30</v>
      </c>
      <c r="E16366" s="80">
        <v>35906</v>
      </c>
    </row>
    <row r="16367" spans="1:5">
      <c r="A16367">
        <v>11038</v>
      </c>
      <c r="B16367" t="s">
        <v>177</v>
      </c>
      <c r="C16367">
        <v>645</v>
      </c>
      <c r="D16367">
        <v>30</v>
      </c>
      <c r="E16367" s="80">
        <v>35906</v>
      </c>
    </row>
    <row r="16368" spans="1:5">
      <c r="A16368">
        <v>11038</v>
      </c>
      <c r="B16368" t="s">
        <v>178</v>
      </c>
      <c r="C16368">
        <v>645</v>
      </c>
      <c r="D16368">
        <v>30</v>
      </c>
      <c r="E16368" s="80">
        <v>35906</v>
      </c>
    </row>
    <row r="16369" spans="1:5">
      <c r="A16369">
        <v>11038</v>
      </c>
      <c r="B16369" t="s">
        <v>179</v>
      </c>
      <c r="C16369">
        <v>645</v>
      </c>
      <c r="D16369">
        <v>30</v>
      </c>
      <c r="E16369" s="80">
        <v>35906</v>
      </c>
    </row>
    <row r="16370" spans="1:5">
      <c r="A16370">
        <v>11039</v>
      </c>
      <c r="B16370" t="s">
        <v>172</v>
      </c>
      <c r="C16370">
        <v>912</v>
      </c>
      <c r="D16370">
        <v>20</v>
      </c>
      <c r="E16370" s="80">
        <v>35906</v>
      </c>
    </row>
    <row r="16371" spans="1:5">
      <c r="A16371">
        <v>11039</v>
      </c>
      <c r="B16371" t="s">
        <v>173</v>
      </c>
      <c r="C16371">
        <v>912</v>
      </c>
      <c r="D16371">
        <v>20</v>
      </c>
      <c r="E16371" s="80">
        <v>35906</v>
      </c>
    </row>
    <row r="16372" spans="1:5">
      <c r="A16372">
        <v>11039</v>
      </c>
      <c r="B16372" t="s">
        <v>174</v>
      </c>
      <c r="C16372">
        <v>912</v>
      </c>
      <c r="D16372">
        <v>20</v>
      </c>
      <c r="E16372" s="80">
        <v>35906</v>
      </c>
    </row>
    <row r="16373" spans="1:5">
      <c r="A16373">
        <v>11039</v>
      </c>
      <c r="B16373" t="s">
        <v>175</v>
      </c>
      <c r="C16373">
        <v>912</v>
      </c>
      <c r="D16373">
        <v>20</v>
      </c>
      <c r="E16373" s="80">
        <v>35906</v>
      </c>
    </row>
    <row r="16374" spans="1:5">
      <c r="A16374">
        <v>11039</v>
      </c>
      <c r="B16374" t="s">
        <v>176</v>
      </c>
      <c r="C16374">
        <v>912</v>
      </c>
      <c r="D16374">
        <v>20</v>
      </c>
      <c r="E16374" s="80">
        <v>35906</v>
      </c>
    </row>
    <row r="16375" spans="1:5">
      <c r="A16375">
        <v>11039</v>
      </c>
      <c r="B16375" t="s">
        <v>177</v>
      </c>
      <c r="C16375">
        <v>912</v>
      </c>
      <c r="D16375">
        <v>20</v>
      </c>
      <c r="E16375" s="80">
        <v>35906</v>
      </c>
    </row>
    <row r="16376" spans="1:5">
      <c r="A16376">
        <v>11039</v>
      </c>
      <c r="B16376" t="s">
        <v>178</v>
      </c>
      <c r="C16376">
        <v>912</v>
      </c>
      <c r="D16376">
        <v>20</v>
      </c>
      <c r="E16376" s="80">
        <v>35906</v>
      </c>
    </row>
    <row r="16377" spans="1:5">
      <c r="A16377">
        <v>11039</v>
      </c>
      <c r="B16377" t="s">
        <v>179</v>
      </c>
      <c r="C16377">
        <v>912</v>
      </c>
      <c r="D16377">
        <v>20</v>
      </c>
      <c r="E16377" s="80">
        <v>35906</v>
      </c>
    </row>
    <row r="16378" spans="1:5">
      <c r="A16378">
        <v>11039</v>
      </c>
      <c r="B16378" t="s">
        <v>172</v>
      </c>
      <c r="C16378">
        <v>432</v>
      </c>
      <c r="D16378">
        <v>24</v>
      </c>
      <c r="E16378" s="80">
        <v>35906</v>
      </c>
    </row>
    <row r="16379" spans="1:5">
      <c r="A16379">
        <v>11039</v>
      </c>
      <c r="B16379" t="s">
        <v>173</v>
      </c>
      <c r="C16379">
        <v>432</v>
      </c>
      <c r="D16379">
        <v>24</v>
      </c>
      <c r="E16379" s="80">
        <v>35906</v>
      </c>
    </row>
    <row r="16380" spans="1:5">
      <c r="A16380">
        <v>11039</v>
      </c>
      <c r="B16380" t="s">
        <v>174</v>
      </c>
      <c r="C16380">
        <v>432</v>
      </c>
      <c r="D16380">
        <v>24</v>
      </c>
      <c r="E16380" s="80">
        <v>35906</v>
      </c>
    </row>
    <row r="16381" spans="1:5">
      <c r="A16381">
        <v>11039</v>
      </c>
      <c r="B16381" t="s">
        <v>175</v>
      </c>
      <c r="C16381">
        <v>432</v>
      </c>
      <c r="D16381">
        <v>24</v>
      </c>
      <c r="E16381" s="80">
        <v>35906</v>
      </c>
    </row>
    <row r="16382" spans="1:5">
      <c r="A16382">
        <v>11039</v>
      </c>
      <c r="B16382" t="s">
        <v>176</v>
      </c>
      <c r="C16382">
        <v>432</v>
      </c>
      <c r="D16382">
        <v>24</v>
      </c>
      <c r="E16382" s="80">
        <v>35906</v>
      </c>
    </row>
    <row r="16383" spans="1:5">
      <c r="A16383">
        <v>11039</v>
      </c>
      <c r="B16383" t="s">
        <v>177</v>
      </c>
      <c r="C16383">
        <v>432</v>
      </c>
      <c r="D16383">
        <v>24</v>
      </c>
      <c r="E16383" s="80">
        <v>35906</v>
      </c>
    </row>
    <row r="16384" spans="1:5">
      <c r="A16384">
        <v>11039</v>
      </c>
      <c r="B16384" t="s">
        <v>178</v>
      </c>
      <c r="C16384">
        <v>432</v>
      </c>
      <c r="D16384">
        <v>24</v>
      </c>
      <c r="E16384" s="80">
        <v>35906</v>
      </c>
    </row>
    <row r="16385" spans="1:5">
      <c r="A16385">
        <v>11039</v>
      </c>
      <c r="B16385" t="s">
        <v>179</v>
      </c>
      <c r="C16385">
        <v>432</v>
      </c>
      <c r="D16385">
        <v>24</v>
      </c>
      <c r="E16385" s="80">
        <v>35906</v>
      </c>
    </row>
    <row r="16386" spans="1:5">
      <c r="A16386">
        <v>11039</v>
      </c>
      <c r="B16386" t="s">
        <v>172</v>
      </c>
      <c r="C16386">
        <v>1200</v>
      </c>
      <c r="D16386">
        <v>60</v>
      </c>
      <c r="E16386" s="80">
        <v>35906</v>
      </c>
    </row>
    <row r="16387" spans="1:5">
      <c r="A16387">
        <v>11039</v>
      </c>
      <c r="B16387" t="s">
        <v>173</v>
      </c>
      <c r="C16387">
        <v>1200</v>
      </c>
      <c r="D16387">
        <v>60</v>
      </c>
      <c r="E16387" s="80">
        <v>35906</v>
      </c>
    </row>
    <row r="16388" spans="1:5">
      <c r="A16388">
        <v>11039</v>
      </c>
      <c r="B16388" t="s">
        <v>174</v>
      </c>
      <c r="C16388">
        <v>1200</v>
      </c>
      <c r="D16388">
        <v>60</v>
      </c>
      <c r="E16388" s="80">
        <v>35906</v>
      </c>
    </row>
    <row r="16389" spans="1:5">
      <c r="A16389">
        <v>11039</v>
      </c>
      <c r="B16389" t="s">
        <v>175</v>
      </c>
      <c r="C16389">
        <v>1200</v>
      </c>
      <c r="D16389">
        <v>60</v>
      </c>
      <c r="E16389" s="80">
        <v>35906</v>
      </c>
    </row>
    <row r="16390" spans="1:5">
      <c r="A16390">
        <v>11039</v>
      </c>
      <c r="B16390" t="s">
        <v>176</v>
      </c>
      <c r="C16390">
        <v>1200</v>
      </c>
      <c r="D16390">
        <v>60</v>
      </c>
      <c r="E16390" s="80">
        <v>35906</v>
      </c>
    </row>
    <row r="16391" spans="1:5">
      <c r="A16391">
        <v>11039</v>
      </c>
      <c r="B16391" t="s">
        <v>177</v>
      </c>
      <c r="C16391">
        <v>1200</v>
      </c>
      <c r="D16391">
        <v>60</v>
      </c>
      <c r="E16391" s="80">
        <v>35906</v>
      </c>
    </row>
    <row r="16392" spans="1:5">
      <c r="A16392">
        <v>11039</v>
      </c>
      <c r="B16392" t="s">
        <v>178</v>
      </c>
      <c r="C16392">
        <v>1200</v>
      </c>
      <c r="D16392">
        <v>60</v>
      </c>
      <c r="E16392" s="80">
        <v>35906</v>
      </c>
    </row>
    <row r="16393" spans="1:5">
      <c r="A16393">
        <v>11039</v>
      </c>
      <c r="B16393" t="s">
        <v>179</v>
      </c>
      <c r="C16393">
        <v>1200</v>
      </c>
      <c r="D16393">
        <v>60</v>
      </c>
      <c r="E16393" s="80">
        <v>35906</v>
      </c>
    </row>
    <row r="16394" spans="1:5">
      <c r="A16394">
        <v>11039</v>
      </c>
      <c r="B16394" t="s">
        <v>172</v>
      </c>
      <c r="C16394">
        <v>546</v>
      </c>
      <c r="D16394">
        <v>28</v>
      </c>
      <c r="E16394" s="80">
        <v>35906</v>
      </c>
    </row>
    <row r="16395" spans="1:5">
      <c r="A16395">
        <v>11039</v>
      </c>
      <c r="B16395" t="s">
        <v>173</v>
      </c>
      <c r="C16395">
        <v>546</v>
      </c>
      <c r="D16395">
        <v>28</v>
      </c>
      <c r="E16395" s="80">
        <v>35906</v>
      </c>
    </row>
    <row r="16396" spans="1:5">
      <c r="A16396">
        <v>11039</v>
      </c>
      <c r="B16396" t="s">
        <v>174</v>
      </c>
      <c r="C16396">
        <v>546</v>
      </c>
      <c r="D16396">
        <v>28</v>
      </c>
      <c r="E16396" s="80">
        <v>35906</v>
      </c>
    </row>
    <row r="16397" spans="1:5">
      <c r="A16397">
        <v>11039</v>
      </c>
      <c r="B16397" t="s">
        <v>175</v>
      </c>
      <c r="C16397">
        <v>546</v>
      </c>
      <c r="D16397">
        <v>28</v>
      </c>
      <c r="E16397" s="80">
        <v>35906</v>
      </c>
    </row>
    <row r="16398" spans="1:5">
      <c r="A16398">
        <v>11039</v>
      </c>
      <c r="B16398" t="s">
        <v>176</v>
      </c>
      <c r="C16398">
        <v>546</v>
      </c>
      <c r="D16398">
        <v>28</v>
      </c>
      <c r="E16398" s="80">
        <v>35906</v>
      </c>
    </row>
    <row r="16399" spans="1:5">
      <c r="A16399">
        <v>11039</v>
      </c>
      <c r="B16399" t="s">
        <v>177</v>
      </c>
      <c r="C16399">
        <v>546</v>
      </c>
      <c r="D16399">
        <v>28</v>
      </c>
      <c r="E16399" s="80">
        <v>35906</v>
      </c>
    </row>
    <row r="16400" spans="1:5">
      <c r="A16400">
        <v>11039</v>
      </c>
      <c r="B16400" t="s">
        <v>178</v>
      </c>
      <c r="C16400">
        <v>546</v>
      </c>
      <c r="D16400">
        <v>28</v>
      </c>
      <c r="E16400" s="80">
        <v>35906</v>
      </c>
    </row>
    <row r="16401" spans="1:5">
      <c r="A16401">
        <v>11039</v>
      </c>
      <c r="B16401" t="s">
        <v>179</v>
      </c>
      <c r="C16401">
        <v>546</v>
      </c>
      <c r="D16401">
        <v>28</v>
      </c>
      <c r="E16401" s="80">
        <v>35906</v>
      </c>
    </row>
    <row r="16402" spans="1:5">
      <c r="A16402">
        <v>11040</v>
      </c>
      <c r="B16402" t="s">
        <v>172</v>
      </c>
      <c r="C16402">
        <v>200</v>
      </c>
      <c r="D16402">
        <v>20</v>
      </c>
      <c r="E16402" s="80">
        <v>35907</v>
      </c>
    </row>
    <row r="16403" spans="1:5">
      <c r="A16403">
        <v>11040</v>
      </c>
      <c r="B16403" t="s">
        <v>173</v>
      </c>
      <c r="C16403">
        <v>200</v>
      </c>
      <c r="D16403">
        <v>20</v>
      </c>
      <c r="E16403" s="80">
        <v>35907</v>
      </c>
    </row>
    <row r="16404" spans="1:5">
      <c r="A16404">
        <v>11040</v>
      </c>
      <c r="B16404" t="s">
        <v>174</v>
      </c>
      <c r="C16404">
        <v>200</v>
      </c>
      <c r="D16404">
        <v>20</v>
      </c>
      <c r="E16404" s="80">
        <v>35907</v>
      </c>
    </row>
    <row r="16405" spans="1:5">
      <c r="A16405">
        <v>11040</v>
      </c>
      <c r="B16405" t="s">
        <v>175</v>
      </c>
      <c r="C16405">
        <v>200</v>
      </c>
      <c r="D16405">
        <v>20</v>
      </c>
      <c r="E16405" s="80">
        <v>35907</v>
      </c>
    </row>
    <row r="16406" spans="1:5">
      <c r="A16406">
        <v>11040</v>
      </c>
      <c r="B16406" t="s">
        <v>176</v>
      </c>
      <c r="C16406">
        <v>200</v>
      </c>
      <c r="D16406">
        <v>20</v>
      </c>
      <c r="E16406" s="80">
        <v>35907</v>
      </c>
    </row>
    <row r="16407" spans="1:5">
      <c r="A16407">
        <v>11040</v>
      </c>
      <c r="B16407" t="s">
        <v>177</v>
      </c>
      <c r="C16407">
        <v>200</v>
      </c>
      <c r="D16407">
        <v>20</v>
      </c>
      <c r="E16407" s="80">
        <v>35907</v>
      </c>
    </row>
    <row r="16408" spans="1:5">
      <c r="A16408">
        <v>11040</v>
      </c>
      <c r="B16408" t="s">
        <v>178</v>
      </c>
      <c r="C16408">
        <v>200</v>
      </c>
      <c r="D16408">
        <v>20</v>
      </c>
      <c r="E16408" s="80">
        <v>35907</v>
      </c>
    </row>
    <row r="16409" spans="1:5">
      <c r="A16409">
        <v>11040</v>
      </c>
      <c r="B16409" t="s">
        <v>179</v>
      </c>
      <c r="C16409">
        <v>200</v>
      </c>
      <c r="D16409">
        <v>20</v>
      </c>
      <c r="E16409" s="80">
        <v>35907</v>
      </c>
    </row>
    <row r="16410" spans="1:5">
      <c r="A16410">
        <v>11041</v>
      </c>
      <c r="B16410" t="s">
        <v>172</v>
      </c>
      <c r="C16410">
        <v>455.99999830126762</v>
      </c>
      <c r="D16410">
        <v>30</v>
      </c>
      <c r="E16410" s="80">
        <v>35907</v>
      </c>
    </row>
    <row r="16411" spans="1:5">
      <c r="A16411">
        <v>11041</v>
      </c>
      <c r="B16411" t="s">
        <v>173</v>
      </c>
      <c r="C16411">
        <v>455.99999830126762</v>
      </c>
      <c r="D16411">
        <v>30</v>
      </c>
      <c r="E16411" s="80">
        <v>35907</v>
      </c>
    </row>
    <row r="16412" spans="1:5">
      <c r="A16412">
        <v>11041</v>
      </c>
      <c r="B16412" t="s">
        <v>174</v>
      </c>
      <c r="C16412">
        <v>455.99999830126762</v>
      </c>
      <c r="D16412">
        <v>30</v>
      </c>
      <c r="E16412" s="80">
        <v>35907</v>
      </c>
    </row>
    <row r="16413" spans="1:5">
      <c r="A16413">
        <v>11041</v>
      </c>
      <c r="B16413" t="s">
        <v>175</v>
      </c>
      <c r="C16413">
        <v>455.99999830126762</v>
      </c>
      <c r="D16413">
        <v>30</v>
      </c>
      <c r="E16413" s="80">
        <v>35907</v>
      </c>
    </row>
    <row r="16414" spans="1:5">
      <c r="A16414">
        <v>11041</v>
      </c>
      <c r="B16414" t="s">
        <v>176</v>
      </c>
      <c r="C16414">
        <v>455.99999830126762</v>
      </c>
      <c r="D16414">
        <v>30</v>
      </c>
      <c r="E16414" s="80">
        <v>35907</v>
      </c>
    </row>
    <row r="16415" spans="1:5">
      <c r="A16415">
        <v>11041</v>
      </c>
      <c r="B16415" t="s">
        <v>177</v>
      </c>
      <c r="C16415">
        <v>455.99999830126762</v>
      </c>
      <c r="D16415">
        <v>30</v>
      </c>
      <c r="E16415" s="80">
        <v>35907</v>
      </c>
    </row>
    <row r="16416" spans="1:5">
      <c r="A16416">
        <v>11041</v>
      </c>
      <c r="B16416" t="s">
        <v>178</v>
      </c>
      <c r="C16416">
        <v>455.99999830126762</v>
      </c>
      <c r="D16416">
        <v>30</v>
      </c>
      <c r="E16416" s="80">
        <v>35907</v>
      </c>
    </row>
    <row r="16417" spans="1:5">
      <c r="A16417">
        <v>11041</v>
      </c>
      <c r="B16417" t="s">
        <v>179</v>
      </c>
      <c r="C16417">
        <v>455.99999830126762</v>
      </c>
      <c r="D16417">
        <v>30</v>
      </c>
      <c r="E16417" s="80">
        <v>35907</v>
      </c>
    </row>
    <row r="16418" spans="1:5">
      <c r="A16418">
        <v>11041</v>
      </c>
      <c r="B16418" t="s">
        <v>172</v>
      </c>
      <c r="C16418">
        <v>1317</v>
      </c>
      <c r="D16418">
        <v>30</v>
      </c>
      <c r="E16418" s="80">
        <v>35907</v>
      </c>
    </row>
    <row r="16419" spans="1:5">
      <c r="A16419">
        <v>11041</v>
      </c>
      <c r="B16419" t="s">
        <v>173</v>
      </c>
      <c r="C16419">
        <v>1317</v>
      </c>
      <c r="D16419">
        <v>30</v>
      </c>
      <c r="E16419" s="80">
        <v>35907</v>
      </c>
    </row>
    <row r="16420" spans="1:5">
      <c r="A16420">
        <v>11041</v>
      </c>
      <c r="B16420" t="s">
        <v>174</v>
      </c>
      <c r="C16420">
        <v>1317</v>
      </c>
      <c r="D16420">
        <v>30</v>
      </c>
      <c r="E16420" s="80">
        <v>35907</v>
      </c>
    </row>
    <row r="16421" spans="1:5">
      <c r="A16421">
        <v>11041</v>
      </c>
      <c r="B16421" t="s">
        <v>175</v>
      </c>
      <c r="C16421">
        <v>1317</v>
      </c>
      <c r="D16421">
        <v>30</v>
      </c>
      <c r="E16421" s="80">
        <v>35907</v>
      </c>
    </row>
    <row r="16422" spans="1:5">
      <c r="A16422">
        <v>11041</v>
      </c>
      <c r="B16422" t="s">
        <v>176</v>
      </c>
      <c r="C16422">
        <v>1317</v>
      </c>
      <c r="D16422">
        <v>30</v>
      </c>
      <c r="E16422" s="80">
        <v>35907</v>
      </c>
    </row>
    <row r="16423" spans="1:5">
      <c r="A16423">
        <v>11041</v>
      </c>
      <c r="B16423" t="s">
        <v>177</v>
      </c>
      <c r="C16423">
        <v>1317</v>
      </c>
      <c r="D16423">
        <v>30</v>
      </c>
      <c r="E16423" s="80">
        <v>35907</v>
      </c>
    </row>
    <row r="16424" spans="1:5">
      <c r="A16424">
        <v>11041</v>
      </c>
      <c r="B16424" t="s">
        <v>178</v>
      </c>
      <c r="C16424">
        <v>1317</v>
      </c>
      <c r="D16424">
        <v>30</v>
      </c>
      <c r="E16424" s="80">
        <v>35907</v>
      </c>
    </row>
    <row r="16425" spans="1:5">
      <c r="A16425">
        <v>11041</v>
      </c>
      <c r="B16425" t="s">
        <v>179</v>
      </c>
      <c r="C16425">
        <v>1317</v>
      </c>
      <c r="D16425">
        <v>30</v>
      </c>
      <c r="E16425" s="80">
        <v>35907</v>
      </c>
    </row>
    <row r="16426" spans="1:5">
      <c r="A16426">
        <v>11042</v>
      </c>
      <c r="B16426" t="s">
        <v>172</v>
      </c>
      <c r="C16426">
        <v>291.75</v>
      </c>
      <c r="D16426">
        <v>15</v>
      </c>
      <c r="E16426" s="80">
        <v>35907</v>
      </c>
    </row>
    <row r="16427" spans="1:5">
      <c r="A16427">
        <v>11042</v>
      </c>
      <c r="B16427" t="s">
        <v>173</v>
      </c>
      <c r="C16427">
        <v>291.75</v>
      </c>
      <c r="D16427">
        <v>15</v>
      </c>
      <c r="E16427" s="80">
        <v>35907</v>
      </c>
    </row>
    <row r="16428" spans="1:5">
      <c r="A16428">
        <v>11042</v>
      </c>
      <c r="B16428" t="s">
        <v>174</v>
      </c>
      <c r="C16428">
        <v>291.75</v>
      </c>
      <c r="D16428">
        <v>15</v>
      </c>
      <c r="E16428" s="80">
        <v>35907</v>
      </c>
    </row>
    <row r="16429" spans="1:5">
      <c r="A16429">
        <v>11042</v>
      </c>
      <c r="B16429" t="s">
        <v>175</v>
      </c>
      <c r="C16429">
        <v>291.75</v>
      </c>
      <c r="D16429">
        <v>15</v>
      </c>
      <c r="E16429" s="80">
        <v>35907</v>
      </c>
    </row>
    <row r="16430" spans="1:5">
      <c r="A16430">
        <v>11042</v>
      </c>
      <c r="B16430" t="s">
        <v>176</v>
      </c>
      <c r="C16430">
        <v>291.75</v>
      </c>
      <c r="D16430">
        <v>15</v>
      </c>
      <c r="E16430" s="80">
        <v>35907</v>
      </c>
    </row>
    <row r="16431" spans="1:5">
      <c r="A16431">
        <v>11042</v>
      </c>
      <c r="B16431" t="s">
        <v>177</v>
      </c>
      <c r="C16431">
        <v>291.75</v>
      </c>
      <c r="D16431">
        <v>15</v>
      </c>
      <c r="E16431" s="80">
        <v>35907</v>
      </c>
    </row>
    <row r="16432" spans="1:5">
      <c r="A16432">
        <v>11042</v>
      </c>
      <c r="B16432" t="s">
        <v>178</v>
      </c>
      <c r="C16432">
        <v>291.75</v>
      </c>
      <c r="D16432">
        <v>15</v>
      </c>
      <c r="E16432" s="80">
        <v>35907</v>
      </c>
    </row>
    <row r="16433" spans="1:5">
      <c r="A16433">
        <v>11042</v>
      </c>
      <c r="B16433" t="s">
        <v>179</v>
      </c>
      <c r="C16433">
        <v>291.75</v>
      </c>
      <c r="D16433">
        <v>15</v>
      </c>
      <c r="E16433" s="80">
        <v>35907</v>
      </c>
    </row>
    <row r="16434" spans="1:5">
      <c r="A16434">
        <v>11042</v>
      </c>
      <c r="B16434" t="s">
        <v>172</v>
      </c>
      <c r="C16434">
        <v>114</v>
      </c>
      <c r="D16434">
        <v>4</v>
      </c>
      <c r="E16434" s="80">
        <v>35907</v>
      </c>
    </row>
    <row r="16435" spans="1:5">
      <c r="A16435">
        <v>11042</v>
      </c>
      <c r="B16435" t="s">
        <v>173</v>
      </c>
      <c r="C16435">
        <v>114</v>
      </c>
      <c r="D16435">
        <v>4</v>
      </c>
      <c r="E16435" s="80">
        <v>35907</v>
      </c>
    </row>
    <row r="16436" spans="1:5">
      <c r="A16436">
        <v>11042</v>
      </c>
      <c r="B16436" t="s">
        <v>174</v>
      </c>
      <c r="C16436">
        <v>114</v>
      </c>
      <c r="D16436">
        <v>4</v>
      </c>
      <c r="E16436" s="80">
        <v>35907</v>
      </c>
    </row>
    <row r="16437" spans="1:5">
      <c r="A16437">
        <v>11042</v>
      </c>
      <c r="B16437" t="s">
        <v>175</v>
      </c>
      <c r="C16437">
        <v>114</v>
      </c>
      <c r="D16437">
        <v>4</v>
      </c>
      <c r="E16437" s="80">
        <v>35907</v>
      </c>
    </row>
    <row r="16438" spans="1:5">
      <c r="A16438">
        <v>11042</v>
      </c>
      <c r="B16438" t="s">
        <v>176</v>
      </c>
      <c r="C16438">
        <v>114</v>
      </c>
      <c r="D16438">
        <v>4</v>
      </c>
      <c r="E16438" s="80">
        <v>35907</v>
      </c>
    </row>
    <row r="16439" spans="1:5">
      <c r="A16439">
        <v>11042</v>
      </c>
      <c r="B16439" t="s">
        <v>177</v>
      </c>
      <c r="C16439">
        <v>114</v>
      </c>
      <c r="D16439">
        <v>4</v>
      </c>
      <c r="E16439" s="80">
        <v>35907</v>
      </c>
    </row>
    <row r="16440" spans="1:5">
      <c r="A16440">
        <v>11042</v>
      </c>
      <c r="B16440" t="s">
        <v>178</v>
      </c>
      <c r="C16440">
        <v>114</v>
      </c>
      <c r="D16440">
        <v>4</v>
      </c>
      <c r="E16440" s="80">
        <v>35907</v>
      </c>
    </row>
    <row r="16441" spans="1:5">
      <c r="A16441">
        <v>11042</v>
      </c>
      <c r="B16441" t="s">
        <v>179</v>
      </c>
      <c r="C16441">
        <v>114</v>
      </c>
      <c r="D16441">
        <v>4</v>
      </c>
      <c r="E16441" s="80">
        <v>35907</v>
      </c>
    </row>
    <row r="16442" spans="1:5">
      <c r="A16442">
        <v>11043</v>
      </c>
      <c r="B16442" t="s">
        <v>172</v>
      </c>
      <c r="C16442">
        <v>210</v>
      </c>
      <c r="D16442">
        <v>10</v>
      </c>
      <c r="E16442" s="80">
        <v>35907</v>
      </c>
    </row>
    <row r="16443" spans="1:5">
      <c r="A16443">
        <v>11043</v>
      </c>
      <c r="B16443" t="s">
        <v>173</v>
      </c>
      <c r="C16443">
        <v>210</v>
      </c>
      <c r="D16443">
        <v>10</v>
      </c>
      <c r="E16443" s="80">
        <v>35907</v>
      </c>
    </row>
    <row r="16444" spans="1:5">
      <c r="A16444">
        <v>11043</v>
      </c>
      <c r="B16444" t="s">
        <v>174</v>
      </c>
      <c r="C16444">
        <v>210</v>
      </c>
      <c r="D16444">
        <v>10</v>
      </c>
      <c r="E16444" s="80">
        <v>35907</v>
      </c>
    </row>
    <row r="16445" spans="1:5">
      <c r="A16445">
        <v>11043</v>
      </c>
      <c r="B16445" t="s">
        <v>175</v>
      </c>
      <c r="C16445">
        <v>210</v>
      </c>
      <c r="D16445">
        <v>10</v>
      </c>
      <c r="E16445" s="80">
        <v>35907</v>
      </c>
    </row>
    <row r="16446" spans="1:5">
      <c r="A16446">
        <v>11043</v>
      </c>
      <c r="B16446" t="s">
        <v>176</v>
      </c>
      <c r="C16446">
        <v>210</v>
      </c>
      <c r="D16446">
        <v>10</v>
      </c>
      <c r="E16446" s="80">
        <v>35907</v>
      </c>
    </row>
    <row r="16447" spans="1:5">
      <c r="A16447">
        <v>11043</v>
      </c>
      <c r="B16447" t="s">
        <v>177</v>
      </c>
      <c r="C16447">
        <v>210</v>
      </c>
      <c r="D16447">
        <v>10</v>
      </c>
      <c r="E16447" s="80">
        <v>35907</v>
      </c>
    </row>
    <row r="16448" spans="1:5">
      <c r="A16448">
        <v>11043</v>
      </c>
      <c r="B16448" t="s">
        <v>178</v>
      </c>
      <c r="C16448">
        <v>210</v>
      </c>
      <c r="D16448">
        <v>10</v>
      </c>
      <c r="E16448" s="80">
        <v>35907</v>
      </c>
    </row>
    <row r="16449" spans="1:5">
      <c r="A16449">
        <v>11043</v>
      </c>
      <c r="B16449" t="s">
        <v>179</v>
      </c>
      <c r="C16449">
        <v>210</v>
      </c>
      <c r="D16449">
        <v>10</v>
      </c>
      <c r="E16449" s="80">
        <v>35907</v>
      </c>
    </row>
    <row r="16450" spans="1:5">
      <c r="A16450">
        <v>11044</v>
      </c>
      <c r="B16450" t="s">
        <v>172</v>
      </c>
      <c r="C16450">
        <v>591.6</v>
      </c>
      <c r="D16450">
        <v>12</v>
      </c>
      <c r="E16450" s="80">
        <v>35908</v>
      </c>
    </row>
    <row r="16451" spans="1:5">
      <c r="A16451">
        <v>11044</v>
      </c>
      <c r="B16451" t="s">
        <v>173</v>
      </c>
      <c r="C16451">
        <v>591.6</v>
      </c>
      <c r="D16451">
        <v>12</v>
      </c>
      <c r="E16451" s="80">
        <v>35908</v>
      </c>
    </row>
    <row r="16452" spans="1:5">
      <c r="A16452">
        <v>11044</v>
      </c>
      <c r="B16452" t="s">
        <v>174</v>
      </c>
      <c r="C16452">
        <v>591.6</v>
      </c>
      <c r="D16452">
        <v>12</v>
      </c>
      <c r="E16452" s="80">
        <v>35908</v>
      </c>
    </row>
    <row r="16453" spans="1:5">
      <c r="A16453">
        <v>11044</v>
      </c>
      <c r="B16453" t="s">
        <v>175</v>
      </c>
      <c r="C16453">
        <v>591.6</v>
      </c>
      <c r="D16453">
        <v>12</v>
      </c>
      <c r="E16453" s="80">
        <v>35908</v>
      </c>
    </row>
    <row r="16454" spans="1:5">
      <c r="A16454">
        <v>11044</v>
      </c>
      <c r="B16454" t="s">
        <v>176</v>
      </c>
      <c r="C16454">
        <v>591.6</v>
      </c>
      <c r="D16454">
        <v>12</v>
      </c>
      <c r="E16454" s="80">
        <v>35908</v>
      </c>
    </row>
    <row r="16455" spans="1:5">
      <c r="A16455">
        <v>11044</v>
      </c>
      <c r="B16455" t="s">
        <v>177</v>
      </c>
      <c r="C16455">
        <v>591.6</v>
      </c>
      <c r="D16455">
        <v>12</v>
      </c>
      <c r="E16455" s="80">
        <v>35908</v>
      </c>
    </row>
    <row r="16456" spans="1:5">
      <c r="A16456">
        <v>11044</v>
      </c>
      <c r="B16456" t="s">
        <v>178</v>
      </c>
      <c r="C16456">
        <v>591.6</v>
      </c>
      <c r="D16456">
        <v>12</v>
      </c>
      <c r="E16456" s="80">
        <v>35908</v>
      </c>
    </row>
    <row r="16457" spans="1:5">
      <c r="A16457">
        <v>11044</v>
      </c>
      <c r="B16457" t="s">
        <v>179</v>
      </c>
      <c r="C16457">
        <v>591.6</v>
      </c>
      <c r="D16457">
        <v>12</v>
      </c>
      <c r="E16457" s="80">
        <v>35908</v>
      </c>
    </row>
    <row r="16458" spans="1:5">
      <c r="A16458">
        <v>11045</v>
      </c>
      <c r="B16458" t="s">
        <v>172</v>
      </c>
      <c r="C16458">
        <v>37.5</v>
      </c>
      <c r="D16458">
        <v>15</v>
      </c>
      <c r="E16458" s="80">
        <v>35908</v>
      </c>
    </row>
    <row r="16459" spans="1:5">
      <c r="A16459">
        <v>11045</v>
      </c>
      <c r="B16459" t="s">
        <v>173</v>
      </c>
      <c r="C16459">
        <v>37.5</v>
      </c>
      <c r="D16459">
        <v>15</v>
      </c>
      <c r="E16459" s="80">
        <v>35908</v>
      </c>
    </row>
    <row r="16460" spans="1:5">
      <c r="A16460">
        <v>11045</v>
      </c>
      <c r="B16460" t="s">
        <v>174</v>
      </c>
      <c r="C16460">
        <v>37.5</v>
      </c>
      <c r="D16460">
        <v>15</v>
      </c>
      <c r="E16460" s="80">
        <v>35908</v>
      </c>
    </row>
    <row r="16461" spans="1:5">
      <c r="A16461">
        <v>11045</v>
      </c>
      <c r="B16461" t="s">
        <v>175</v>
      </c>
      <c r="C16461">
        <v>37.5</v>
      </c>
      <c r="D16461">
        <v>15</v>
      </c>
      <c r="E16461" s="80">
        <v>35908</v>
      </c>
    </row>
    <row r="16462" spans="1:5">
      <c r="A16462">
        <v>11045</v>
      </c>
      <c r="B16462" t="s">
        <v>176</v>
      </c>
      <c r="C16462">
        <v>37.5</v>
      </c>
      <c r="D16462">
        <v>15</v>
      </c>
      <c r="E16462" s="80">
        <v>35908</v>
      </c>
    </row>
    <row r="16463" spans="1:5">
      <c r="A16463">
        <v>11045</v>
      </c>
      <c r="B16463" t="s">
        <v>177</v>
      </c>
      <c r="C16463">
        <v>37.5</v>
      </c>
      <c r="D16463">
        <v>15</v>
      </c>
      <c r="E16463" s="80">
        <v>35908</v>
      </c>
    </row>
    <row r="16464" spans="1:5">
      <c r="A16464">
        <v>11045</v>
      </c>
      <c r="B16464" t="s">
        <v>178</v>
      </c>
      <c r="C16464">
        <v>37.5</v>
      </c>
      <c r="D16464">
        <v>15</v>
      </c>
      <c r="E16464" s="80">
        <v>35908</v>
      </c>
    </row>
    <row r="16465" spans="1:5">
      <c r="A16465">
        <v>11045</v>
      </c>
      <c r="B16465" t="s">
        <v>179</v>
      </c>
      <c r="C16465">
        <v>37.5</v>
      </c>
      <c r="D16465">
        <v>15</v>
      </c>
      <c r="E16465" s="80">
        <v>35908</v>
      </c>
    </row>
    <row r="16466" spans="1:5">
      <c r="A16466">
        <v>11045</v>
      </c>
      <c r="B16466" t="s">
        <v>172</v>
      </c>
      <c r="C16466">
        <v>1272</v>
      </c>
      <c r="D16466">
        <v>24</v>
      </c>
      <c r="E16466" s="80">
        <v>35908</v>
      </c>
    </row>
    <row r="16467" spans="1:5">
      <c r="A16467">
        <v>11045</v>
      </c>
      <c r="B16467" t="s">
        <v>173</v>
      </c>
      <c r="C16467">
        <v>1272</v>
      </c>
      <c r="D16467">
        <v>24</v>
      </c>
      <c r="E16467" s="80">
        <v>35908</v>
      </c>
    </row>
    <row r="16468" spans="1:5">
      <c r="A16468">
        <v>11045</v>
      </c>
      <c r="B16468" t="s">
        <v>174</v>
      </c>
      <c r="C16468">
        <v>1272</v>
      </c>
      <c r="D16468">
        <v>24</v>
      </c>
      <c r="E16468" s="80">
        <v>35908</v>
      </c>
    </row>
    <row r="16469" spans="1:5">
      <c r="A16469">
        <v>11045</v>
      </c>
      <c r="B16469" t="s">
        <v>175</v>
      </c>
      <c r="C16469">
        <v>1272</v>
      </c>
      <c r="D16469">
        <v>24</v>
      </c>
      <c r="E16469" s="80">
        <v>35908</v>
      </c>
    </row>
    <row r="16470" spans="1:5">
      <c r="A16470">
        <v>11045</v>
      </c>
      <c r="B16470" t="s">
        <v>176</v>
      </c>
      <c r="C16470">
        <v>1272</v>
      </c>
      <c r="D16470">
        <v>24</v>
      </c>
      <c r="E16470" s="80">
        <v>35908</v>
      </c>
    </row>
    <row r="16471" spans="1:5">
      <c r="A16471">
        <v>11045</v>
      </c>
      <c r="B16471" t="s">
        <v>177</v>
      </c>
      <c r="C16471">
        <v>1272</v>
      </c>
      <c r="D16471">
        <v>24</v>
      </c>
      <c r="E16471" s="80">
        <v>35908</v>
      </c>
    </row>
    <row r="16472" spans="1:5">
      <c r="A16472">
        <v>11045</v>
      </c>
      <c r="B16472" t="s">
        <v>178</v>
      </c>
      <c r="C16472">
        <v>1272</v>
      </c>
      <c r="D16472">
        <v>24</v>
      </c>
      <c r="E16472" s="80">
        <v>35908</v>
      </c>
    </row>
    <row r="16473" spans="1:5">
      <c r="A16473">
        <v>11045</v>
      </c>
      <c r="B16473" t="s">
        <v>179</v>
      </c>
      <c r="C16473">
        <v>1272</v>
      </c>
      <c r="D16473">
        <v>24</v>
      </c>
      <c r="E16473" s="80">
        <v>35908</v>
      </c>
    </row>
    <row r="16474" spans="1:5">
      <c r="A16474">
        <v>11046</v>
      </c>
      <c r="B16474" t="s">
        <v>172</v>
      </c>
      <c r="C16474">
        <v>721.99999943375587</v>
      </c>
      <c r="D16474">
        <v>20</v>
      </c>
      <c r="E16474" s="80">
        <v>35908</v>
      </c>
    </row>
    <row r="16475" spans="1:5">
      <c r="A16475">
        <v>11046</v>
      </c>
      <c r="B16475" t="s">
        <v>173</v>
      </c>
      <c r="C16475">
        <v>721.99999943375587</v>
      </c>
      <c r="D16475">
        <v>20</v>
      </c>
      <c r="E16475" s="80">
        <v>35908</v>
      </c>
    </row>
    <row r="16476" spans="1:5">
      <c r="A16476">
        <v>11046</v>
      </c>
      <c r="B16476" t="s">
        <v>174</v>
      </c>
      <c r="C16476">
        <v>721.99999943375587</v>
      </c>
      <c r="D16476">
        <v>20</v>
      </c>
      <c r="E16476" s="80">
        <v>35908</v>
      </c>
    </row>
    <row r="16477" spans="1:5">
      <c r="A16477">
        <v>11046</v>
      </c>
      <c r="B16477" t="s">
        <v>175</v>
      </c>
      <c r="C16477">
        <v>721.99999943375587</v>
      </c>
      <c r="D16477">
        <v>20</v>
      </c>
      <c r="E16477" s="80">
        <v>35908</v>
      </c>
    </row>
    <row r="16478" spans="1:5">
      <c r="A16478">
        <v>11046</v>
      </c>
      <c r="B16478" t="s">
        <v>176</v>
      </c>
      <c r="C16478">
        <v>721.99999943375587</v>
      </c>
      <c r="D16478">
        <v>20</v>
      </c>
      <c r="E16478" s="80">
        <v>35908</v>
      </c>
    </row>
    <row r="16479" spans="1:5">
      <c r="A16479">
        <v>11046</v>
      </c>
      <c r="B16479" t="s">
        <v>177</v>
      </c>
      <c r="C16479">
        <v>721.99999943375587</v>
      </c>
      <c r="D16479">
        <v>20</v>
      </c>
      <c r="E16479" s="80">
        <v>35908</v>
      </c>
    </row>
    <row r="16480" spans="1:5">
      <c r="A16480">
        <v>11046</v>
      </c>
      <c r="B16480" t="s">
        <v>178</v>
      </c>
      <c r="C16480">
        <v>721.99999943375587</v>
      </c>
      <c r="D16480">
        <v>20</v>
      </c>
      <c r="E16480" s="80">
        <v>35908</v>
      </c>
    </row>
    <row r="16481" spans="1:5">
      <c r="A16481">
        <v>11046</v>
      </c>
      <c r="B16481" t="s">
        <v>179</v>
      </c>
      <c r="C16481">
        <v>721.99999943375587</v>
      </c>
      <c r="D16481">
        <v>20</v>
      </c>
      <c r="E16481" s="80">
        <v>35908</v>
      </c>
    </row>
    <row r="16482" spans="1:5">
      <c r="A16482">
        <v>11046</v>
      </c>
      <c r="B16482" t="s">
        <v>172</v>
      </c>
      <c r="C16482">
        <v>455.99999964237213</v>
      </c>
      <c r="D16482">
        <v>15</v>
      </c>
      <c r="E16482" s="80">
        <v>35908</v>
      </c>
    </row>
    <row r="16483" spans="1:5">
      <c r="A16483">
        <v>11046</v>
      </c>
      <c r="B16483" t="s">
        <v>173</v>
      </c>
      <c r="C16483">
        <v>455.99999964237213</v>
      </c>
      <c r="D16483">
        <v>15</v>
      </c>
      <c r="E16483" s="80">
        <v>35908</v>
      </c>
    </row>
    <row r="16484" spans="1:5">
      <c r="A16484">
        <v>11046</v>
      </c>
      <c r="B16484" t="s">
        <v>174</v>
      </c>
      <c r="C16484">
        <v>455.99999964237213</v>
      </c>
      <c r="D16484">
        <v>15</v>
      </c>
      <c r="E16484" s="80">
        <v>35908</v>
      </c>
    </row>
    <row r="16485" spans="1:5">
      <c r="A16485">
        <v>11046</v>
      </c>
      <c r="B16485" t="s">
        <v>175</v>
      </c>
      <c r="C16485">
        <v>455.99999964237213</v>
      </c>
      <c r="D16485">
        <v>15</v>
      </c>
      <c r="E16485" s="80">
        <v>35908</v>
      </c>
    </row>
    <row r="16486" spans="1:5">
      <c r="A16486">
        <v>11046</v>
      </c>
      <c r="B16486" t="s">
        <v>176</v>
      </c>
      <c r="C16486">
        <v>455.99999964237213</v>
      </c>
      <c r="D16486">
        <v>15</v>
      </c>
      <c r="E16486" s="80">
        <v>35908</v>
      </c>
    </row>
    <row r="16487" spans="1:5">
      <c r="A16487">
        <v>11046</v>
      </c>
      <c r="B16487" t="s">
        <v>177</v>
      </c>
      <c r="C16487">
        <v>455.99999964237213</v>
      </c>
      <c r="D16487">
        <v>15</v>
      </c>
      <c r="E16487" s="80">
        <v>35908</v>
      </c>
    </row>
    <row r="16488" spans="1:5">
      <c r="A16488">
        <v>11046</v>
      </c>
      <c r="B16488" t="s">
        <v>178</v>
      </c>
      <c r="C16488">
        <v>455.99999964237213</v>
      </c>
      <c r="D16488">
        <v>15</v>
      </c>
      <c r="E16488" s="80">
        <v>35908</v>
      </c>
    </row>
    <row r="16489" spans="1:5">
      <c r="A16489">
        <v>11046</v>
      </c>
      <c r="B16489" t="s">
        <v>179</v>
      </c>
      <c r="C16489">
        <v>455.99999964237213</v>
      </c>
      <c r="D16489">
        <v>15</v>
      </c>
      <c r="E16489" s="80">
        <v>35908</v>
      </c>
    </row>
    <row r="16490" spans="1:5">
      <c r="A16490">
        <v>11046</v>
      </c>
      <c r="B16490" t="s">
        <v>172</v>
      </c>
      <c r="C16490">
        <v>307.79999975860119</v>
      </c>
      <c r="D16490">
        <v>18</v>
      </c>
      <c r="E16490" s="80">
        <v>35908</v>
      </c>
    </row>
    <row r="16491" spans="1:5">
      <c r="A16491">
        <v>11046</v>
      </c>
      <c r="B16491" t="s">
        <v>173</v>
      </c>
      <c r="C16491">
        <v>307.79999975860119</v>
      </c>
      <c r="D16491">
        <v>18</v>
      </c>
      <c r="E16491" s="80">
        <v>35908</v>
      </c>
    </row>
    <row r="16492" spans="1:5">
      <c r="A16492">
        <v>11046</v>
      </c>
      <c r="B16492" t="s">
        <v>174</v>
      </c>
      <c r="C16492">
        <v>307.79999975860119</v>
      </c>
      <c r="D16492">
        <v>18</v>
      </c>
      <c r="E16492" s="80">
        <v>35908</v>
      </c>
    </row>
    <row r="16493" spans="1:5">
      <c r="A16493">
        <v>11046</v>
      </c>
      <c r="B16493" t="s">
        <v>175</v>
      </c>
      <c r="C16493">
        <v>307.79999975860119</v>
      </c>
      <c r="D16493">
        <v>18</v>
      </c>
      <c r="E16493" s="80">
        <v>35908</v>
      </c>
    </row>
    <row r="16494" spans="1:5">
      <c r="A16494">
        <v>11046</v>
      </c>
      <c r="B16494" t="s">
        <v>176</v>
      </c>
      <c r="C16494">
        <v>307.79999975860119</v>
      </c>
      <c r="D16494">
        <v>18</v>
      </c>
      <c r="E16494" s="80">
        <v>35908</v>
      </c>
    </row>
    <row r="16495" spans="1:5">
      <c r="A16495">
        <v>11046</v>
      </c>
      <c r="B16495" t="s">
        <v>177</v>
      </c>
      <c r="C16495">
        <v>307.79999975860119</v>
      </c>
      <c r="D16495">
        <v>18</v>
      </c>
      <c r="E16495" s="80">
        <v>35908</v>
      </c>
    </row>
    <row r="16496" spans="1:5">
      <c r="A16496">
        <v>11046</v>
      </c>
      <c r="B16496" t="s">
        <v>178</v>
      </c>
      <c r="C16496">
        <v>307.79999975860119</v>
      </c>
      <c r="D16496">
        <v>18</v>
      </c>
      <c r="E16496" s="80">
        <v>35908</v>
      </c>
    </row>
    <row r="16497" spans="1:5">
      <c r="A16497">
        <v>11046</v>
      </c>
      <c r="B16497" t="s">
        <v>179</v>
      </c>
      <c r="C16497">
        <v>307.79999975860119</v>
      </c>
      <c r="D16497">
        <v>18</v>
      </c>
      <c r="E16497" s="80">
        <v>35908</v>
      </c>
    </row>
    <row r="16498" spans="1:5">
      <c r="A16498">
        <v>11047</v>
      </c>
      <c r="B16498" t="s">
        <v>172</v>
      </c>
      <c r="C16498">
        <v>337.5</v>
      </c>
      <c r="D16498">
        <v>25</v>
      </c>
      <c r="E16498" s="80">
        <v>35909</v>
      </c>
    </row>
    <row r="16499" spans="1:5">
      <c r="A16499">
        <v>11047</v>
      </c>
      <c r="B16499" t="s">
        <v>173</v>
      </c>
      <c r="C16499">
        <v>337.5</v>
      </c>
      <c r="D16499">
        <v>25</v>
      </c>
      <c r="E16499" s="80">
        <v>35909</v>
      </c>
    </row>
    <row r="16500" spans="1:5">
      <c r="A16500">
        <v>11047</v>
      </c>
      <c r="B16500" t="s">
        <v>174</v>
      </c>
      <c r="C16500">
        <v>337.5</v>
      </c>
      <c r="D16500">
        <v>25</v>
      </c>
      <c r="E16500" s="80">
        <v>35909</v>
      </c>
    </row>
    <row r="16501" spans="1:5">
      <c r="A16501">
        <v>11047</v>
      </c>
      <c r="B16501" t="s">
        <v>175</v>
      </c>
      <c r="C16501">
        <v>337.5</v>
      </c>
      <c r="D16501">
        <v>25</v>
      </c>
      <c r="E16501" s="80">
        <v>35909</v>
      </c>
    </row>
    <row r="16502" spans="1:5">
      <c r="A16502">
        <v>11047</v>
      </c>
      <c r="B16502" t="s">
        <v>176</v>
      </c>
      <c r="C16502">
        <v>337.5</v>
      </c>
      <c r="D16502">
        <v>25</v>
      </c>
      <c r="E16502" s="80">
        <v>35909</v>
      </c>
    </row>
    <row r="16503" spans="1:5">
      <c r="A16503">
        <v>11047</v>
      </c>
      <c r="B16503" t="s">
        <v>177</v>
      </c>
      <c r="C16503">
        <v>337.5</v>
      </c>
      <c r="D16503">
        <v>25</v>
      </c>
      <c r="E16503" s="80">
        <v>35909</v>
      </c>
    </row>
    <row r="16504" spans="1:5">
      <c r="A16504">
        <v>11047</v>
      </c>
      <c r="B16504" t="s">
        <v>178</v>
      </c>
      <c r="C16504">
        <v>337.5</v>
      </c>
      <c r="D16504">
        <v>25</v>
      </c>
      <c r="E16504" s="80">
        <v>35909</v>
      </c>
    </row>
    <row r="16505" spans="1:5">
      <c r="A16505">
        <v>11047</v>
      </c>
      <c r="B16505" t="s">
        <v>179</v>
      </c>
      <c r="C16505">
        <v>337.5</v>
      </c>
      <c r="D16505">
        <v>25</v>
      </c>
      <c r="E16505" s="80">
        <v>35909</v>
      </c>
    </row>
    <row r="16506" spans="1:5">
      <c r="A16506">
        <v>11047</v>
      </c>
      <c r="B16506" t="s">
        <v>172</v>
      </c>
      <c r="C16506">
        <v>480.375</v>
      </c>
      <c r="D16506">
        <v>30</v>
      </c>
      <c r="E16506" s="80">
        <v>35909</v>
      </c>
    </row>
    <row r="16507" spans="1:5">
      <c r="A16507">
        <v>11047</v>
      </c>
      <c r="B16507" t="s">
        <v>173</v>
      </c>
      <c r="C16507">
        <v>480.375</v>
      </c>
      <c r="D16507">
        <v>30</v>
      </c>
      <c r="E16507" s="80">
        <v>35909</v>
      </c>
    </row>
    <row r="16508" spans="1:5">
      <c r="A16508">
        <v>11047</v>
      </c>
      <c r="B16508" t="s">
        <v>174</v>
      </c>
      <c r="C16508">
        <v>480.375</v>
      </c>
      <c r="D16508">
        <v>30</v>
      </c>
      <c r="E16508" s="80">
        <v>35909</v>
      </c>
    </row>
    <row r="16509" spans="1:5">
      <c r="A16509">
        <v>11047</v>
      </c>
      <c r="B16509" t="s">
        <v>175</v>
      </c>
      <c r="C16509">
        <v>480.375</v>
      </c>
      <c r="D16509">
        <v>30</v>
      </c>
      <c r="E16509" s="80">
        <v>35909</v>
      </c>
    </row>
    <row r="16510" spans="1:5">
      <c r="A16510">
        <v>11047</v>
      </c>
      <c r="B16510" t="s">
        <v>176</v>
      </c>
      <c r="C16510">
        <v>480.375</v>
      </c>
      <c r="D16510">
        <v>30</v>
      </c>
      <c r="E16510" s="80">
        <v>35909</v>
      </c>
    </row>
    <row r="16511" spans="1:5">
      <c r="A16511">
        <v>11047</v>
      </c>
      <c r="B16511" t="s">
        <v>177</v>
      </c>
      <c r="C16511">
        <v>480.375</v>
      </c>
      <c r="D16511">
        <v>30</v>
      </c>
      <c r="E16511" s="80">
        <v>35909</v>
      </c>
    </row>
    <row r="16512" spans="1:5">
      <c r="A16512">
        <v>11047</v>
      </c>
      <c r="B16512" t="s">
        <v>178</v>
      </c>
      <c r="C16512">
        <v>480.375</v>
      </c>
      <c r="D16512">
        <v>30</v>
      </c>
      <c r="E16512" s="80">
        <v>35909</v>
      </c>
    </row>
    <row r="16513" spans="1:5">
      <c r="A16513">
        <v>11047</v>
      </c>
      <c r="B16513" t="s">
        <v>179</v>
      </c>
      <c r="C16513">
        <v>480.375</v>
      </c>
      <c r="D16513">
        <v>30</v>
      </c>
      <c r="E16513" s="80">
        <v>35909</v>
      </c>
    </row>
    <row r="16514" spans="1:5">
      <c r="A16514">
        <v>11048</v>
      </c>
      <c r="B16514" t="s">
        <v>172</v>
      </c>
      <c r="C16514">
        <v>525</v>
      </c>
      <c r="D16514">
        <v>42</v>
      </c>
      <c r="E16514" s="80">
        <v>35909</v>
      </c>
    </row>
    <row r="16515" spans="1:5">
      <c r="A16515">
        <v>11048</v>
      </c>
      <c r="B16515" t="s">
        <v>173</v>
      </c>
      <c r="C16515">
        <v>525</v>
      </c>
      <c r="D16515">
        <v>42</v>
      </c>
      <c r="E16515" s="80">
        <v>35909</v>
      </c>
    </row>
    <row r="16516" spans="1:5">
      <c r="A16516">
        <v>11048</v>
      </c>
      <c r="B16516" t="s">
        <v>174</v>
      </c>
      <c r="C16516">
        <v>525</v>
      </c>
      <c r="D16516">
        <v>42</v>
      </c>
      <c r="E16516" s="80">
        <v>35909</v>
      </c>
    </row>
    <row r="16517" spans="1:5">
      <c r="A16517">
        <v>11048</v>
      </c>
      <c r="B16517" t="s">
        <v>175</v>
      </c>
      <c r="C16517">
        <v>525</v>
      </c>
      <c r="D16517">
        <v>42</v>
      </c>
      <c r="E16517" s="80">
        <v>35909</v>
      </c>
    </row>
    <row r="16518" spans="1:5">
      <c r="A16518">
        <v>11048</v>
      </c>
      <c r="B16518" t="s">
        <v>176</v>
      </c>
      <c r="C16518">
        <v>525</v>
      </c>
      <c r="D16518">
        <v>42</v>
      </c>
      <c r="E16518" s="80">
        <v>35909</v>
      </c>
    </row>
    <row r="16519" spans="1:5">
      <c r="A16519">
        <v>11048</v>
      </c>
      <c r="B16519" t="s">
        <v>177</v>
      </c>
      <c r="C16519">
        <v>525</v>
      </c>
      <c r="D16519">
        <v>42</v>
      </c>
      <c r="E16519" s="80">
        <v>35909</v>
      </c>
    </row>
    <row r="16520" spans="1:5">
      <c r="A16520">
        <v>11048</v>
      </c>
      <c r="B16520" t="s">
        <v>178</v>
      </c>
      <c r="C16520">
        <v>525</v>
      </c>
      <c r="D16520">
        <v>42</v>
      </c>
      <c r="E16520" s="80">
        <v>35909</v>
      </c>
    </row>
    <row r="16521" spans="1:5">
      <c r="A16521">
        <v>11048</v>
      </c>
      <c r="B16521" t="s">
        <v>179</v>
      </c>
      <c r="C16521">
        <v>525</v>
      </c>
      <c r="D16521">
        <v>42</v>
      </c>
      <c r="E16521" s="80">
        <v>35909</v>
      </c>
    </row>
    <row r="16522" spans="1:5">
      <c r="A16522">
        <v>11049</v>
      </c>
      <c r="B16522" t="s">
        <v>172</v>
      </c>
      <c r="C16522">
        <v>151.99999943375587</v>
      </c>
      <c r="D16522">
        <v>10</v>
      </c>
      <c r="E16522" s="80">
        <v>35909</v>
      </c>
    </row>
    <row r="16523" spans="1:5">
      <c r="A16523">
        <v>11049</v>
      </c>
      <c r="B16523" t="s">
        <v>173</v>
      </c>
      <c r="C16523">
        <v>151.99999943375587</v>
      </c>
      <c r="D16523">
        <v>10</v>
      </c>
      <c r="E16523" s="80">
        <v>35909</v>
      </c>
    </row>
    <row r="16524" spans="1:5">
      <c r="A16524">
        <v>11049</v>
      </c>
      <c r="B16524" t="s">
        <v>174</v>
      </c>
      <c r="C16524">
        <v>151.99999943375587</v>
      </c>
      <c r="D16524">
        <v>10</v>
      </c>
      <c r="E16524" s="80">
        <v>35909</v>
      </c>
    </row>
    <row r="16525" spans="1:5">
      <c r="A16525">
        <v>11049</v>
      </c>
      <c r="B16525" t="s">
        <v>175</v>
      </c>
      <c r="C16525">
        <v>151.99999943375587</v>
      </c>
      <c r="D16525">
        <v>10</v>
      </c>
      <c r="E16525" s="80">
        <v>35909</v>
      </c>
    </row>
    <row r="16526" spans="1:5">
      <c r="A16526">
        <v>11049</v>
      </c>
      <c r="B16526" t="s">
        <v>176</v>
      </c>
      <c r="C16526">
        <v>151.99999943375587</v>
      </c>
      <c r="D16526">
        <v>10</v>
      </c>
      <c r="E16526" s="80">
        <v>35909</v>
      </c>
    </row>
    <row r="16527" spans="1:5">
      <c r="A16527">
        <v>11049</v>
      </c>
      <c r="B16527" t="s">
        <v>177</v>
      </c>
      <c r="C16527">
        <v>151.99999943375587</v>
      </c>
      <c r="D16527">
        <v>10</v>
      </c>
      <c r="E16527" s="80">
        <v>35909</v>
      </c>
    </row>
    <row r="16528" spans="1:5">
      <c r="A16528">
        <v>11049</v>
      </c>
      <c r="B16528" t="s">
        <v>178</v>
      </c>
      <c r="C16528">
        <v>151.99999943375587</v>
      </c>
      <c r="D16528">
        <v>10</v>
      </c>
      <c r="E16528" s="80">
        <v>35909</v>
      </c>
    </row>
    <row r="16529" spans="1:5">
      <c r="A16529">
        <v>11049</v>
      </c>
      <c r="B16529" t="s">
        <v>179</v>
      </c>
      <c r="C16529">
        <v>151.99999943375587</v>
      </c>
      <c r="D16529">
        <v>10</v>
      </c>
      <c r="E16529" s="80">
        <v>35909</v>
      </c>
    </row>
    <row r="16530" spans="1:5">
      <c r="A16530">
        <v>11049</v>
      </c>
      <c r="B16530" t="s">
        <v>172</v>
      </c>
      <c r="C16530">
        <v>121.5999995470047</v>
      </c>
      <c r="D16530">
        <v>4</v>
      </c>
      <c r="E16530" s="80">
        <v>35909</v>
      </c>
    </row>
    <row r="16531" spans="1:5">
      <c r="A16531">
        <v>11049</v>
      </c>
      <c r="B16531" t="s">
        <v>173</v>
      </c>
      <c r="C16531">
        <v>121.5999995470047</v>
      </c>
      <c r="D16531">
        <v>4</v>
      </c>
      <c r="E16531" s="80">
        <v>35909</v>
      </c>
    </row>
    <row r="16532" spans="1:5">
      <c r="A16532">
        <v>11049</v>
      </c>
      <c r="B16532" t="s">
        <v>174</v>
      </c>
      <c r="C16532">
        <v>121.5999995470047</v>
      </c>
      <c r="D16532">
        <v>4</v>
      </c>
      <c r="E16532" s="80">
        <v>35909</v>
      </c>
    </row>
    <row r="16533" spans="1:5">
      <c r="A16533">
        <v>11049</v>
      </c>
      <c r="B16533" t="s">
        <v>175</v>
      </c>
      <c r="C16533">
        <v>121.5999995470047</v>
      </c>
      <c r="D16533">
        <v>4</v>
      </c>
      <c r="E16533" s="80">
        <v>35909</v>
      </c>
    </row>
    <row r="16534" spans="1:5">
      <c r="A16534">
        <v>11049</v>
      </c>
      <c r="B16534" t="s">
        <v>176</v>
      </c>
      <c r="C16534">
        <v>121.5999995470047</v>
      </c>
      <c r="D16534">
        <v>4</v>
      </c>
      <c r="E16534" s="80">
        <v>35909</v>
      </c>
    </row>
    <row r="16535" spans="1:5">
      <c r="A16535">
        <v>11049</v>
      </c>
      <c r="B16535" t="s">
        <v>177</v>
      </c>
      <c r="C16535">
        <v>121.5999995470047</v>
      </c>
      <c r="D16535">
        <v>4</v>
      </c>
      <c r="E16535" s="80">
        <v>35909</v>
      </c>
    </row>
    <row r="16536" spans="1:5">
      <c r="A16536">
        <v>11049</v>
      </c>
      <c r="B16536" t="s">
        <v>178</v>
      </c>
      <c r="C16536">
        <v>121.5999995470047</v>
      </c>
      <c r="D16536">
        <v>4</v>
      </c>
      <c r="E16536" s="80">
        <v>35909</v>
      </c>
    </row>
    <row r="16537" spans="1:5">
      <c r="A16537">
        <v>11049</v>
      </c>
      <c r="B16537" t="s">
        <v>179</v>
      </c>
      <c r="C16537">
        <v>121.5999995470047</v>
      </c>
      <c r="D16537">
        <v>4</v>
      </c>
      <c r="E16537" s="80">
        <v>35909</v>
      </c>
    </row>
    <row r="16538" spans="1:5">
      <c r="A16538">
        <v>11050</v>
      </c>
      <c r="B16538" t="s">
        <v>172</v>
      </c>
      <c r="C16538">
        <v>809.99999865889549</v>
      </c>
      <c r="D16538">
        <v>50</v>
      </c>
      <c r="E16538" s="80">
        <v>35912</v>
      </c>
    </row>
    <row r="16539" spans="1:5">
      <c r="A16539">
        <v>11050</v>
      </c>
      <c r="B16539" t="s">
        <v>173</v>
      </c>
      <c r="C16539">
        <v>809.99999865889549</v>
      </c>
      <c r="D16539">
        <v>50</v>
      </c>
      <c r="E16539" s="80">
        <v>35912</v>
      </c>
    </row>
    <row r="16540" spans="1:5">
      <c r="A16540">
        <v>11050</v>
      </c>
      <c r="B16540" t="s">
        <v>174</v>
      </c>
      <c r="C16540">
        <v>809.99999865889549</v>
      </c>
      <c r="D16540">
        <v>50</v>
      </c>
      <c r="E16540" s="80">
        <v>35912</v>
      </c>
    </row>
    <row r="16541" spans="1:5">
      <c r="A16541">
        <v>11050</v>
      </c>
      <c r="B16541" t="s">
        <v>175</v>
      </c>
      <c r="C16541">
        <v>809.99999865889549</v>
      </c>
      <c r="D16541">
        <v>50</v>
      </c>
      <c r="E16541" s="80">
        <v>35912</v>
      </c>
    </row>
    <row r="16542" spans="1:5">
      <c r="A16542">
        <v>11050</v>
      </c>
      <c r="B16542" t="s">
        <v>176</v>
      </c>
      <c r="C16542">
        <v>809.99999865889549</v>
      </c>
      <c r="D16542">
        <v>50</v>
      </c>
      <c r="E16542" s="80">
        <v>35912</v>
      </c>
    </row>
    <row r="16543" spans="1:5">
      <c r="A16543">
        <v>11050</v>
      </c>
      <c r="B16543" t="s">
        <v>177</v>
      </c>
      <c r="C16543">
        <v>809.99999865889549</v>
      </c>
      <c r="D16543">
        <v>50</v>
      </c>
      <c r="E16543" s="80">
        <v>35912</v>
      </c>
    </row>
    <row r="16544" spans="1:5">
      <c r="A16544">
        <v>11050</v>
      </c>
      <c r="B16544" t="s">
        <v>178</v>
      </c>
      <c r="C16544">
        <v>809.99999865889549</v>
      </c>
      <c r="D16544">
        <v>50</v>
      </c>
      <c r="E16544" s="80">
        <v>35912</v>
      </c>
    </row>
    <row r="16545" spans="1:5">
      <c r="A16545">
        <v>11050</v>
      </c>
      <c r="B16545" t="s">
        <v>179</v>
      </c>
      <c r="C16545">
        <v>809.99999865889549</v>
      </c>
      <c r="D16545">
        <v>50</v>
      </c>
      <c r="E16545" s="80">
        <v>35912</v>
      </c>
    </row>
    <row r="16546" spans="1:5">
      <c r="A16546">
        <v>11051</v>
      </c>
      <c r="B16546" t="s">
        <v>172</v>
      </c>
      <c r="C16546">
        <v>35.999999865889549</v>
      </c>
      <c r="D16546">
        <v>10</v>
      </c>
      <c r="E16546" s="80">
        <v>35912</v>
      </c>
    </row>
    <row r="16547" spans="1:5">
      <c r="A16547">
        <v>11051</v>
      </c>
      <c r="B16547" t="s">
        <v>173</v>
      </c>
      <c r="C16547">
        <v>35.999999865889549</v>
      </c>
      <c r="D16547">
        <v>10</v>
      </c>
      <c r="E16547" s="80">
        <v>35912</v>
      </c>
    </row>
    <row r="16548" spans="1:5">
      <c r="A16548">
        <v>11051</v>
      </c>
      <c r="B16548" t="s">
        <v>174</v>
      </c>
      <c r="C16548">
        <v>35.999999865889549</v>
      </c>
      <c r="D16548">
        <v>10</v>
      </c>
      <c r="E16548" s="80">
        <v>35912</v>
      </c>
    </row>
    <row r="16549" spans="1:5">
      <c r="A16549">
        <v>11051</v>
      </c>
      <c r="B16549" t="s">
        <v>175</v>
      </c>
      <c r="C16549">
        <v>35.999999865889549</v>
      </c>
      <c r="D16549">
        <v>10</v>
      </c>
      <c r="E16549" s="80">
        <v>35912</v>
      </c>
    </row>
    <row r="16550" spans="1:5">
      <c r="A16550">
        <v>11051</v>
      </c>
      <c r="B16550" t="s">
        <v>176</v>
      </c>
      <c r="C16550">
        <v>35.999999865889549</v>
      </c>
      <c r="D16550">
        <v>10</v>
      </c>
      <c r="E16550" s="80">
        <v>35912</v>
      </c>
    </row>
    <row r="16551" spans="1:5">
      <c r="A16551">
        <v>11051</v>
      </c>
      <c r="B16551" t="s">
        <v>177</v>
      </c>
      <c r="C16551">
        <v>35.999999865889549</v>
      </c>
      <c r="D16551">
        <v>10</v>
      </c>
      <c r="E16551" s="80">
        <v>35912</v>
      </c>
    </row>
    <row r="16552" spans="1:5">
      <c r="A16552">
        <v>11051</v>
      </c>
      <c r="B16552" t="s">
        <v>178</v>
      </c>
      <c r="C16552">
        <v>35.999999865889549</v>
      </c>
      <c r="D16552">
        <v>10</v>
      </c>
      <c r="E16552" s="80">
        <v>35912</v>
      </c>
    </row>
    <row r="16553" spans="1:5">
      <c r="A16553">
        <v>11051</v>
      </c>
      <c r="B16553" t="s">
        <v>179</v>
      </c>
      <c r="C16553">
        <v>35.999999865889549</v>
      </c>
      <c r="D16553">
        <v>10</v>
      </c>
      <c r="E16553" s="80">
        <v>35912</v>
      </c>
    </row>
    <row r="16554" spans="1:5">
      <c r="A16554">
        <v>11052</v>
      </c>
      <c r="B16554" t="s">
        <v>172</v>
      </c>
      <c r="C16554">
        <v>1103.9999958872795</v>
      </c>
      <c r="D16554">
        <v>30</v>
      </c>
      <c r="E16554" s="80">
        <v>35912</v>
      </c>
    </row>
    <row r="16555" spans="1:5">
      <c r="A16555">
        <v>11052</v>
      </c>
      <c r="B16555" t="s">
        <v>173</v>
      </c>
      <c r="C16555">
        <v>1103.9999958872795</v>
      </c>
      <c r="D16555">
        <v>30</v>
      </c>
      <c r="E16555" s="80">
        <v>35912</v>
      </c>
    </row>
    <row r="16556" spans="1:5">
      <c r="A16556">
        <v>11052</v>
      </c>
      <c r="B16556" t="s">
        <v>174</v>
      </c>
      <c r="C16556">
        <v>1103.9999958872795</v>
      </c>
      <c r="D16556">
        <v>30</v>
      </c>
      <c r="E16556" s="80">
        <v>35912</v>
      </c>
    </row>
    <row r="16557" spans="1:5">
      <c r="A16557">
        <v>11052</v>
      </c>
      <c r="B16557" t="s">
        <v>175</v>
      </c>
      <c r="C16557">
        <v>1103.9999958872795</v>
      </c>
      <c r="D16557">
        <v>30</v>
      </c>
      <c r="E16557" s="80">
        <v>35912</v>
      </c>
    </row>
    <row r="16558" spans="1:5">
      <c r="A16558">
        <v>11052</v>
      </c>
      <c r="B16558" t="s">
        <v>176</v>
      </c>
      <c r="C16558">
        <v>1103.9999958872795</v>
      </c>
      <c r="D16558">
        <v>30</v>
      </c>
      <c r="E16558" s="80">
        <v>35912</v>
      </c>
    </row>
    <row r="16559" spans="1:5">
      <c r="A16559">
        <v>11052</v>
      </c>
      <c r="B16559" t="s">
        <v>177</v>
      </c>
      <c r="C16559">
        <v>1103.9999958872795</v>
      </c>
      <c r="D16559">
        <v>30</v>
      </c>
      <c r="E16559" s="80">
        <v>35912</v>
      </c>
    </row>
    <row r="16560" spans="1:5">
      <c r="A16560">
        <v>11052</v>
      </c>
      <c r="B16560" t="s">
        <v>178</v>
      </c>
      <c r="C16560">
        <v>1103.9999958872795</v>
      </c>
      <c r="D16560">
        <v>30</v>
      </c>
      <c r="E16560" s="80">
        <v>35912</v>
      </c>
    </row>
    <row r="16561" spans="1:5">
      <c r="A16561">
        <v>11052</v>
      </c>
      <c r="B16561" t="s">
        <v>179</v>
      </c>
      <c r="C16561">
        <v>1103.9999958872795</v>
      </c>
      <c r="D16561">
        <v>30</v>
      </c>
      <c r="E16561" s="80">
        <v>35912</v>
      </c>
    </row>
    <row r="16562" spans="1:5">
      <c r="A16562">
        <v>11052</v>
      </c>
      <c r="B16562" t="s">
        <v>172</v>
      </c>
      <c r="C16562">
        <v>227.99999915063381</v>
      </c>
      <c r="D16562">
        <v>10</v>
      </c>
      <c r="E16562" s="80">
        <v>35912</v>
      </c>
    </row>
    <row r="16563" spans="1:5">
      <c r="A16563">
        <v>11052</v>
      </c>
      <c r="B16563" t="s">
        <v>173</v>
      </c>
      <c r="C16563">
        <v>227.99999915063381</v>
      </c>
      <c r="D16563">
        <v>10</v>
      </c>
      <c r="E16563" s="80">
        <v>35912</v>
      </c>
    </row>
    <row r="16564" spans="1:5">
      <c r="A16564">
        <v>11052</v>
      </c>
      <c r="B16564" t="s">
        <v>174</v>
      </c>
      <c r="C16564">
        <v>227.99999915063381</v>
      </c>
      <c r="D16564">
        <v>10</v>
      </c>
      <c r="E16564" s="80">
        <v>35912</v>
      </c>
    </row>
    <row r="16565" spans="1:5">
      <c r="A16565">
        <v>11052</v>
      </c>
      <c r="B16565" t="s">
        <v>175</v>
      </c>
      <c r="C16565">
        <v>227.99999915063381</v>
      </c>
      <c r="D16565">
        <v>10</v>
      </c>
      <c r="E16565" s="80">
        <v>35912</v>
      </c>
    </row>
    <row r="16566" spans="1:5">
      <c r="A16566">
        <v>11052</v>
      </c>
      <c r="B16566" t="s">
        <v>176</v>
      </c>
      <c r="C16566">
        <v>227.99999915063381</v>
      </c>
      <c r="D16566">
        <v>10</v>
      </c>
      <c r="E16566" s="80">
        <v>35912</v>
      </c>
    </row>
    <row r="16567" spans="1:5">
      <c r="A16567">
        <v>11052</v>
      </c>
      <c r="B16567" t="s">
        <v>177</v>
      </c>
      <c r="C16567">
        <v>227.99999915063381</v>
      </c>
      <c r="D16567">
        <v>10</v>
      </c>
      <c r="E16567" s="80">
        <v>35912</v>
      </c>
    </row>
    <row r="16568" spans="1:5">
      <c r="A16568">
        <v>11052</v>
      </c>
      <c r="B16568" t="s">
        <v>178</v>
      </c>
      <c r="C16568">
        <v>227.99999915063381</v>
      </c>
      <c r="D16568">
        <v>10</v>
      </c>
      <c r="E16568" s="80">
        <v>35912</v>
      </c>
    </row>
    <row r="16569" spans="1:5">
      <c r="A16569">
        <v>11052</v>
      </c>
      <c r="B16569" t="s">
        <v>179</v>
      </c>
      <c r="C16569">
        <v>227.99999915063381</v>
      </c>
      <c r="D16569">
        <v>10</v>
      </c>
      <c r="E16569" s="80">
        <v>35912</v>
      </c>
    </row>
    <row r="16570" spans="1:5">
      <c r="A16570">
        <v>11053</v>
      </c>
      <c r="B16570" t="s">
        <v>172</v>
      </c>
      <c r="C16570">
        <v>1749.999993480742</v>
      </c>
      <c r="D16570">
        <v>35</v>
      </c>
      <c r="E16570" s="80">
        <v>35912</v>
      </c>
    </row>
    <row r="16571" spans="1:5">
      <c r="A16571">
        <v>11053</v>
      </c>
      <c r="B16571" t="s">
        <v>173</v>
      </c>
      <c r="C16571">
        <v>1749.999993480742</v>
      </c>
      <c r="D16571">
        <v>35</v>
      </c>
      <c r="E16571" s="80">
        <v>35912</v>
      </c>
    </row>
    <row r="16572" spans="1:5">
      <c r="A16572">
        <v>11053</v>
      </c>
      <c r="B16572" t="s">
        <v>174</v>
      </c>
      <c r="C16572">
        <v>1749.999993480742</v>
      </c>
      <c r="D16572">
        <v>35</v>
      </c>
      <c r="E16572" s="80">
        <v>35912</v>
      </c>
    </row>
    <row r="16573" spans="1:5">
      <c r="A16573">
        <v>11053</v>
      </c>
      <c r="B16573" t="s">
        <v>175</v>
      </c>
      <c r="C16573">
        <v>1749.999993480742</v>
      </c>
      <c r="D16573">
        <v>35</v>
      </c>
      <c r="E16573" s="80">
        <v>35912</v>
      </c>
    </row>
    <row r="16574" spans="1:5">
      <c r="A16574">
        <v>11053</v>
      </c>
      <c r="B16574" t="s">
        <v>176</v>
      </c>
      <c r="C16574">
        <v>1749.999993480742</v>
      </c>
      <c r="D16574">
        <v>35</v>
      </c>
      <c r="E16574" s="80">
        <v>35912</v>
      </c>
    </row>
    <row r="16575" spans="1:5">
      <c r="A16575">
        <v>11053</v>
      </c>
      <c r="B16575" t="s">
        <v>177</v>
      </c>
      <c r="C16575">
        <v>1749.999993480742</v>
      </c>
      <c r="D16575">
        <v>35</v>
      </c>
      <c r="E16575" s="80">
        <v>35912</v>
      </c>
    </row>
    <row r="16576" spans="1:5">
      <c r="A16576">
        <v>11053</v>
      </c>
      <c r="B16576" t="s">
        <v>178</v>
      </c>
      <c r="C16576">
        <v>1749.999993480742</v>
      </c>
      <c r="D16576">
        <v>35</v>
      </c>
      <c r="E16576" s="80">
        <v>35912</v>
      </c>
    </row>
    <row r="16577" spans="1:5">
      <c r="A16577">
        <v>11053</v>
      </c>
      <c r="B16577" t="s">
        <v>179</v>
      </c>
      <c r="C16577">
        <v>1749.999993480742</v>
      </c>
      <c r="D16577">
        <v>35</v>
      </c>
      <c r="E16577" s="80">
        <v>35912</v>
      </c>
    </row>
    <row r="16578" spans="1:5">
      <c r="A16578">
        <v>11053</v>
      </c>
      <c r="B16578" t="s">
        <v>172</v>
      </c>
      <c r="C16578">
        <v>640</v>
      </c>
      <c r="D16578">
        <v>20</v>
      </c>
      <c r="E16578" s="80">
        <v>35912</v>
      </c>
    </row>
    <row r="16579" spans="1:5">
      <c r="A16579">
        <v>11053</v>
      </c>
      <c r="B16579" t="s">
        <v>173</v>
      </c>
      <c r="C16579">
        <v>640</v>
      </c>
      <c r="D16579">
        <v>20</v>
      </c>
      <c r="E16579" s="80">
        <v>35912</v>
      </c>
    </row>
    <row r="16580" spans="1:5">
      <c r="A16580">
        <v>11053</v>
      </c>
      <c r="B16580" t="s">
        <v>174</v>
      </c>
      <c r="C16580">
        <v>640</v>
      </c>
      <c r="D16580">
        <v>20</v>
      </c>
      <c r="E16580" s="80">
        <v>35912</v>
      </c>
    </row>
    <row r="16581" spans="1:5">
      <c r="A16581">
        <v>11053</v>
      </c>
      <c r="B16581" t="s">
        <v>175</v>
      </c>
      <c r="C16581">
        <v>640</v>
      </c>
      <c r="D16581">
        <v>20</v>
      </c>
      <c r="E16581" s="80">
        <v>35912</v>
      </c>
    </row>
    <row r="16582" spans="1:5">
      <c r="A16582">
        <v>11053</v>
      </c>
      <c r="B16582" t="s">
        <v>176</v>
      </c>
      <c r="C16582">
        <v>640</v>
      </c>
      <c r="D16582">
        <v>20</v>
      </c>
      <c r="E16582" s="80">
        <v>35912</v>
      </c>
    </row>
    <row r="16583" spans="1:5">
      <c r="A16583">
        <v>11053</v>
      </c>
      <c r="B16583" t="s">
        <v>177</v>
      </c>
      <c r="C16583">
        <v>640</v>
      </c>
      <c r="D16583">
        <v>20</v>
      </c>
      <c r="E16583" s="80">
        <v>35912</v>
      </c>
    </row>
    <row r="16584" spans="1:5">
      <c r="A16584">
        <v>11053</v>
      </c>
      <c r="B16584" t="s">
        <v>178</v>
      </c>
      <c r="C16584">
        <v>640</v>
      </c>
      <c r="D16584">
        <v>20</v>
      </c>
      <c r="E16584" s="80">
        <v>35912</v>
      </c>
    </row>
    <row r="16585" spans="1:5">
      <c r="A16585">
        <v>11053</v>
      </c>
      <c r="B16585" t="s">
        <v>179</v>
      </c>
      <c r="C16585">
        <v>640</v>
      </c>
      <c r="D16585">
        <v>20</v>
      </c>
      <c r="E16585" s="80">
        <v>35912</v>
      </c>
    </row>
    <row r="16586" spans="1:5">
      <c r="A16586">
        <v>11053</v>
      </c>
      <c r="B16586" t="s">
        <v>172</v>
      </c>
      <c r="C16586">
        <v>664.99999752268195</v>
      </c>
      <c r="D16586">
        <v>25</v>
      </c>
      <c r="E16586" s="80">
        <v>35912</v>
      </c>
    </row>
    <row r="16587" spans="1:5">
      <c r="A16587">
        <v>11053</v>
      </c>
      <c r="B16587" t="s">
        <v>173</v>
      </c>
      <c r="C16587">
        <v>664.99999752268195</v>
      </c>
      <c r="D16587">
        <v>25</v>
      </c>
      <c r="E16587" s="80">
        <v>35912</v>
      </c>
    </row>
    <row r="16588" spans="1:5">
      <c r="A16588">
        <v>11053</v>
      </c>
      <c r="B16588" t="s">
        <v>174</v>
      </c>
      <c r="C16588">
        <v>664.99999752268195</v>
      </c>
      <c r="D16588">
        <v>25</v>
      </c>
      <c r="E16588" s="80">
        <v>35912</v>
      </c>
    </row>
    <row r="16589" spans="1:5">
      <c r="A16589">
        <v>11053</v>
      </c>
      <c r="B16589" t="s">
        <v>175</v>
      </c>
      <c r="C16589">
        <v>664.99999752268195</v>
      </c>
      <c r="D16589">
        <v>25</v>
      </c>
      <c r="E16589" s="80">
        <v>35912</v>
      </c>
    </row>
    <row r="16590" spans="1:5">
      <c r="A16590">
        <v>11053</v>
      </c>
      <c r="B16590" t="s">
        <v>176</v>
      </c>
      <c r="C16590">
        <v>664.99999752268195</v>
      </c>
      <c r="D16590">
        <v>25</v>
      </c>
      <c r="E16590" s="80">
        <v>35912</v>
      </c>
    </row>
    <row r="16591" spans="1:5">
      <c r="A16591">
        <v>11053</v>
      </c>
      <c r="B16591" t="s">
        <v>177</v>
      </c>
      <c r="C16591">
        <v>664.99999752268195</v>
      </c>
      <c r="D16591">
        <v>25</v>
      </c>
      <c r="E16591" s="80">
        <v>35912</v>
      </c>
    </row>
    <row r="16592" spans="1:5">
      <c r="A16592">
        <v>11053</v>
      </c>
      <c r="B16592" t="s">
        <v>178</v>
      </c>
      <c r="C16592">
        <v>664.99999752268195</v>
      </c>
      <c r="D16592">
        <v>25</v>
      </c>
      <c r="E16592" s="80">
        <v>35912</v>
      </c>
    </row>
    <row r="16593" spans="1:5">
      <c r="A16593">
        <v>11053</v>
      </c>
      <c r="B16593" t="s">
        <v>179</v>
      </c>
      <c r="C16593">
        <v>664.99999752268195</v>
      </c>
      <c r="D16593">
        <v>25</v>
      </c>
      <c r="E16593" s="80">
        <v>35912</v>
      </c>
    </row>
    <row r="16594" spans="1:5">
      <c r="A16594">
        <v>11054</v>
      </c>
      <c r="B16594" t="s">
        <v>172</v>
      </c>
      <c r="C16594">
        <v>25</v>
      </c>
      <c r="D16594">
        <v>10</v>
      </c>
      <c r="E16594" s="80">
        <v>35913</v>
      </c>
    </row>
    <row r="16595" spans="1:5">
      <c r="A16595">
        <v>11054</v>
      </c>
      <c r="B16595" t="s">
        <v>173</v>
      </c>
      <c r="C16595">
        <v>25</v>
      </c>
      <c r="D16595">
        <v>10</v>
      </c>
      <c r="E16595" s="80">
        <v>35913</v>
      </c>
    </row>
    <row r="16596" spans="1:5">
      <c r="A16596">
        <v>11054</v>
      </c>
      <c r="B16596" t="s">
        <v>174</v>
      </c>
      <c r="C16596">
        <v>25</v>
      </c>
      <c r="D16596">
        <v>10</v>
      </c>
      <c r="E16596" s="80">
        <v>35913</v>
      </c>
    </row>
    <row r="16597" spans="1:5">
      <c r="A16597">
        <v>11054</v>
      </c>
      <c r="B16597" t="s">
        <v>175</v>
      </c>
      <c r="C16597">
        <v>25</v>
      </c>
      <c r="D16597">
        <v>10</v>
      </c>
      <c r="E16597" s="80">
        <v>35913</v>
      </c>
    </row>
    <row r="16598" spans="1:5">
      <c r="A16598">
        <v>11054</v>
      </c>
      <c r="B16598" t="s">
        <v>176</v>
      </c>
      <c r="C16598">
        <v>25</v>
      </c>
      <c r="D16598">
        <v>10</v>
      </c>
      <c r="E16598" s="80">
        <v>35913</v>
      </c>
    </row>
    <row r="16599" spans="1:5">
      <c r="A16599">
        <v>11054</v>
      </c>
      <c r="B16599" t="s">
        <v>177</v>
      </c>
      <c r="C16599">
        <v>25</v>
      </c>
      <c r="D16599">
        <v>10</v>
      </c>
      <c r="E16599" s="80">
        <v>35913</v>
      </c>
    </row>
    <row r="16600" spans="1:5">
      <c r="A16600">
        <v>11054</v>
      </c>
      <c r="B16600" t="s">
        <v>178</v>
      </c>
      <c r="C16600">
        <v>25</v>
      </c>
      <c r="D16600">
        <v>10</v>
      </c>
      <c r="E16600" s="80">
        <v>35913</v>
      </c>
    </row>
    <row r="16601" spans="1:5">
      <c r="A16601">
        <v>11054</v>
      </c>
      <c r="B16601" t="s">
        <v>179</v>
      </c>
      <c r="C16601">
        <v>25</v>
      </c>
      <c r="D16601">
        <v>10</v>
      </c>
      <c r="E16601" s="80">
        <v>35913</v>
      </c>
    </row>
    <row r="16602" spans="1:5">
      <c r="A16602">
        <v>11054</v>
      </c>
      <c r="B16602" t="s">
        <v>172</v>
      </c>
      <c r="C16602">
        <v>280</v>
      </c>
      <c r="D16602">
        <v>20</v>
      </c>
      <c r="E16602" s="80">
        <v>35913</v>
      </c>
    </row>
    <row r="16603" spans="1:5">
      <c r="A16603">
        <v>11054</v>
      </c>
      <c r="B16603" t="s">
        <v>173</v>
      </c>
      <c r="C16603">
        <v>280</v>
      </c>
      <c r="D16603">
        <v>20</v>
      </c>
      <c r="E16603" s="80">
        <v>35913</v>
      </c>
    </row>
    <row r="16604" spans="1:5">
      <c r="A16604">
        <v>11054</v>
      </c>
      <c r="B16604" t="s">
        <v>174</v>
      </c>
      <c r="C16604">
        <v>280</v>
      </c>
      <c r="D16604">
        <v>20</v>
      </c>
      <c r="E16604" s="80">
        <v>35913</v>
      </c>
    </row>
    <row r="16605" spans="1:5">
      <c r="A16605">
        <v>11054</v>
      </c>
      <c r="B16605" t="s">
        <v>175</v>
      </c>
      <c r="C16605">
        <v>280</v>
      </c>
      <c r="D16605">
        <v>20</v>
      </c>
      <c r="E16605" s="80">
        <v>35913</v>
      </c>
    </row>
    <row r="16606" spans="1:5">
      <c r="A16606">
        <v>11054</v>
      </c>
      <c r="B16606" t="s">
        <v>176</v>
      </c>
      <c r="C16606">
        <v>280</v>
      </c>
      <c r="D16606">
        <v>20</v>
      </c>
      <c r="E16606" s="80">
        <v>35913</v>
      </c>
    </row>
    <row r="16607" spans="1:5">
      <c r="A16607">
        <v>11054</v>
      </c>
      <c r="B16607" t="s">
        <v>177</v>
      </c>
      <c r="C16607">
        <v>280</v>
      </c>
      <c r="D16607">
        <v>20</v>
      </c>
      <c r="E16607" s="80">
        <v>35913</v>
      </c>
    </row>
    <row r="16608" spans="1:5">
      <c r="A16608">
        <v>11054</v>
      </c>
      <c r="B16608" t="s">
        <v>178</v>
      </c>
      <c r="C16608">
        <v>280</v>
      </c>
      <c r="D16608">
        <v>20</v>
      </c>
      <c r="E16608" s="80">
        <v>35913</v>
      </c>
    </row>
    <row r="16609" spans="1:5">
      <c r="A16609">
        <v>11054</v>
      </c>
      <c r="B16609" t="s">
        <v>179</v>
      </c>
      <c r="C16609">
        <v>280</v>
      </c>
      <c r="D16609">
        <v>20</v>
      </c>
      <c r="E16609" s="80">
        <v>35913</v>
      </c>
    </row>
    <row r="16610" spans="1:5">
      <c r="A16610">
        <v>11055</v>
      </c>
      <c r="B16610" t="s">
        <v>172</v>
      </c>
      <c r="C16610">
        <v>67.5</v>
      </c>
      <c r="D16610">
        <v>15</v>
      </c>
      <c r="E16610" s="80">
        <v>35913</v>
      </c>
    </row>
    <row r="16611" spans="1:5">
      <c r="A16611">
        <v>11055</v>
      </c>
      <c r="B16611" t="s">
        <v>173</v>
      </c>
      <c r="C16611">
        <v>67.5</v>
      </c>
      <c r="D16611">
        <v>15</v>
      </c>
      <c r="E16611" s="80">
        <v>35913</v>
      </c>
    </row>
    <row r="16612" spans="1:5">
      <c r="A16612">
        <v>11055</v>
      </c>
      <c r="B16612" t="s">
        <v>174</v>
      </c>
      <c r="C16612">
        <v>67.5</v>
      </c>
      <c r="D16612">
        <v>15</v>
      </c>
      <c r="E16612" s="80">
        <v>35913</v>
      </c>
    </row>
    <row r="16613" spans="1:5">
      <c r="A16613">
        <v>11055</v>
      </c>
      <c r="B16613" t="s">
        <v>175</v>
      </c>
      <c r="C16613">
        <v>67.5</v>
      </c>
      <c r="D16613">
        <v>15</v>
      </c>
      <c r="E16613" s="80">
        <v>35913</v>
      </c>
    </row>
    <row r="16614" spans="1:5">
      <c r="A16614">
        <v>11055</v>
      </c>
      <c r="B16614" t="s">
        <v>176</v>
      </c>
      <c r="C16614">
        <v>67.5</v>
      </c>
      <c r="D16614">
        <v>15</v>
      </c>
      <c r="E16614" s="80">
        <v>35913</v>
      </c>
    </row>
    <row r="16615" spans="1:5">
      <c r="A16615">
        <v>11055</v>
      </c>
      <c r="B16615" t="s">
        <v>177</v>
      </c>
      <c r="C16615">
        <v>67.5</v>
      </c>
      <c r="D16615">
        <v>15</v>
      </c>
      <c r="E16615" s="80">
        <v>35913</v>
      </c>
    </row>
    <row r="16616" spans="1:5">
      <c r="A16616">
        <v>11055</v>
      </c>
      <c r="B16616" t="s">
        <v>178</v>
      </c>
      <c r="C16616">
        <v>67.5</v>
      </c>
      <c r="D16616">
        <v>15</v>
      </c>
      <c r="E16616" s="80">
        <v>35913</v>
      </c>
    </row>
    <row r="16617" spans="1:5">
      <c r="A16617">
        <v>11055</v>
      </c>
      <c r="B16617" t="s">
        <v>179</v>
      </c>
      <c r="C16617">
        <v>67.5</v>
      </c>
      <c r="D16617">
        <v>15</v>
      </c>
      <c r="E16617" s="80">
        <v>35913</v>
      </c>
    </row>
    <row r="16618" spans="1:5">
      <c r="A16618">
        <v>11055</v>
      </c>
      <c r="B16618" t="s">
        <v>172</v>
      </c>
      <c r="C16618">
        <v>210</v>
      </c>
      <c r="D16618">
        <v>15</v>
      </c>
      <c r="E16618" s="80">
        <v>35913</v>
      </c>
    </row>
    <row r="16619" spans="1:5">
      <c r="A16619">
        <v>11055</v>
      </c>
      <c r="B16619" t="s">
        <v>173</v>
      </c>
      <c r="C16619">
        <v>210</v>
      </c>
      <c r="D16619">
        <v>15</v>
      </c>
      <c r="E16619" s="80">
        <v>35913</v>
      </c>
    </row>
    <row r="16620" spans="1:5">
      <c r="A16620">
        <v>11055</v>
      </c>
      <c r="B16620" t="s">
        <v>174</v>
      </c>
      <c r="C16620">
        <v>210</v>
      </c>
      <c r="D16620">
        <v>15</v>
      </c>
      <c r="E16620" s="80">
        <v>35913</v>
      </c>
    </row>
    <row r="16621" spans="1:5">
      <c r="A16621">
        <v>11055</v>
      </c>
      <c r="B16621" t="s">
        <v>175</v>
      </c>
      <c r="C16621">
        <v>210</v>
      </c>
      <c r="D16621">
        <v>15</v>
      </c>
      <c r="E16621" s="80">
        <v>35913</v>
      </c>
    </row>
    <row r="16622" spans="1:5">
      <c r="A16622">
        <v>11055</v>
      </c>
      <c r="B16622" t="s">
        <v>176</v>
      </c>
      <c r="C16622">
        <v>210</v>
      </c>
      <c r="D16622">
        <v>15</v>
      </c>
      <c r="E16622" s="80">
        <v>35913</v>
      </c>
    </row>
    <row r="16623" spans="1:5">
      <c r="A16623">
        <v>11055</v>
      </c>
      <c r="B16623" t="s">
        <v>177</v>
      </c>
      <c r="C16623">
        <v>210</v>
      </c>
      <c r="D16623">
        <v>15</v>
      </c>
      <c r="E16623" s="80">
        <v>35913</v>
      </c>
    </row>
    <row r="16624" spans="1:5">
      <c r="A16624">
        <v>11055</v>
      </c>
      <c r="B16624" t="s">
        <v>178</v>
      </c>
      <c r="C16624">
        <v>210</v>
      </c>
      <c r="D16624">
        <v>15</v>
      </c>
      <c r="E16624" s="80">
        <v>35913</v>
      </c>
    </row>
    <row r="16625" spans="1:5">
      <c r="A16625">
        <v>11055</v>
      </c>
      <c r="B16625" t="s">
        <v>179</v>
      </c>
      <c r="C16625">
        <v>210</v>
      </c>
      <c r="D16625">
        <v>15</v>
      </c>
      <c r="E16625" s="80">
        <v>35913</v>
      </c>
    </row>
    <row r="16626" spans="1:5">
      <c r="A16626">
        <v>11055</v>
      </c>
      <c r="B16626" t="s">
        <v>172</v>
      </c>
      <c r="C16626">
        <v>1060</v>
      </c>
      <c r="D16626">
        <v>20</v>
      </c>
      <c r="E16626" s="80">
        <v>35913</v>
      </c>
    </row>
    <row r="16627" spans="1:5">
      <c r="A16627">
        <v>11055</v>
      </c>
      <c r="B16627" t="s">
        <v>173</v>
      </c>
      <c r="C16627">
        <v>1060</v>
      </c>
      <c r="D16627">
        <v>20</v>
      </c>
      <c r="E16627" s="80">
        <v>35913</v>
      </c>
    </row>
    <row r="16628" spans="1:5">
      <c r="A16628">
        <v>11055</v>
      </c>
      <c r="B16628" t="s">
        <v>174</v>
      </c>
      <c r="C16628">
        <v>1060</v>
      </c>
      <c r="D16628">
        <v>20</v>
      </c>
      <c r="E16628" s="80">
        <v>35913</v>
      </c>
    </row>
    <row r="16629" spans="1:5">
      <c r="A16629">
        <v>11055</v>
      </c>
      <c r="B16629" t="s">
        <v>175</v>
      </c>
      <c r="C16629">
        <v>1060</v>
      </c>
      <c r="D16629">
        <v>20</v>
      </c>
      <c r="E16629" s="80">
        <v>35913</v>
      </c>
    </row>
    <row r="16630" spans="1:5">
      <c r="A16630">
        <v>11055</v>
      </c>
      <c r="B16630" t="s">
        <v>176</v>
      </c>
      <c r="C16630">
        <v>1060</v>
      </c>
      <c r="D16630">
        <v>20</v>
      </c>
      <c r="E16630" s="80">
        <v>35913</v>
      </c>
    </row>
    <row r="16631" spans="1:5">
      <c r="A16631">
        <v>11055</v>
      </c>
      <c r="B16631" t="s">
        <v>177</v>
      </c>
      <c r="C16631">
        <v>1060</v>
      </c>
      <c r="D16631">
        <v>20</v>
      </c>
      <c r="E16631" s="80">
        <v>35913</v>
      </c>
    </row>
    <row r="16632" spans="1:5">
      <c r="A16632">
        <v>11055</v>
      </c>
      <c r="B16632" t="s">
        <v>178</v>
      </c>
      <c r="C16632">
        <v>1060</v>
      </c>
      <c r="D16632">
        <v>20</v>
      </c>
      <c r="E16632" s="80">
        <v>35913</v>
      </c>
    </row>
    <row r="16633" spans="1:5">
      <c r="A16633">
        <v>11055</v>
      </c>
      <c r="B16633" t="s">
        <v>179</v>
      </c>
      <c r="C16633">
        <v>1060</v>
      </c>
      <c r="D16633">
        <v>20</v>
      </c>
      <c r="E16633" s="80">
        <v>35913</v>
      </c>
    </row>
    <row r="16634" spans="1:5">
      <c r="A16634">
        <v>11055</v>
      </c>
      <c r="B16634" t="s">
        <v>172</v>
      </c>
      <c r="C16634">
        <v>390</v>
      </c>
      <c r="D16634">
        <v>20</v>
      </c>
      <c r="E16634" s="80">
        <v>35913</v>
      </c>
    </row>
    <row r="16635" spans="1:5">
      <c r="A16635">
        <v>11055</v>
      </c>
      <c r="B16635" t="s">
        <v>173</v>
      </c>
      <c r="C16635">
        <v>390</v>
      </c>
      <c r="D16635">
        <v>20</v>
      </c>
      <c r="E16635" s="80">
        <v>35913</v>
      </c>
    </row>
    <row r="16636" spans="1:5">
      <c r="A16636">
        <v>11055</v>
      </c>
      <c r="B16636" t="s">
        <v>174</v>
      </c>
      <c r="C16636">
        <v>390</v>
      </c>
      <c r="D16636">
        <v>20</v>
      </c>
      <c r="E16636" s="80">
        <v>35913</v>
      </c>
    </row>
    <row r="16637" spans="1:5">
      <c r="A16637">
        <v>11055</v>
      </c>
      <c r="B16637" t="s">
        <v>175</v>
      </c>
      <c r="C16637">
        <v>390</v>
      </c>
      <c r="D16637">
        <v>20</v>
      </c>
      <c r="E16637" s="80">
        <v>35913</v>
      </c>
    </row>
    <row r="16638" spans="1:5">
      <c r="A16638">
        <v>11055</v>
      </c>
      <c r="B16638" t="s">
        <v>176</v>
      </c>
      <c r="C16638">
        <v>390</v>
      </c>
      <c r="D16638">
        <v>20</v>
      </c>
      <c r="E16638" s="80">
        <v>35913</v>
      </c>
    </row>
    <row r="16639" spans="1:5">
      <c r="A16639">
        <v>11055</v>
      </c>
      <c r="B16639" t="s">
        <v>177</v>
      </c>
      <c r="C16639">
        <v>390</v>
      </c>
      <c r="D16639">
        <v>20</v>
      </c>
      <c r="E16639" s="80">
        <v>35913</v>
      </c>
    </row>
    <row r="16640" spans="1:5">
      <c r="A16640">
        <v>11055</v>
      </c>
      <c r="B16640" t="s">
        <v>178</v>
      </c>
      <c r="C16640">
        <v>390</v>
      </c>
      <c r="D16640">
        <v>20</v>
      </c>
      <c r="E16640" s="80">
        <v>35913</v>
      </c>
    </row>
    <row r="16641" spans="1:5">
      <c r="A16641">
        <v>11055</v>
      </c>
      <c r="B16641" t="s">
        <v>179</v>
      </c>
      <c r="C16641">
        <v>390</v>
      </c>
      <c r="D16641">
        <v>20</v>
      </c>
      <c r="E16641" s="80">
        <v>35913</v>
      </c>
    </row>
    <row r="16642" spans="1:5">
      <c r="A16642">
        <v>11056</v>
      </c>
      <c r="B16642" t="s">
        <v>172</v>
      </c>
      <c r="C16642">
        <v>1200</v>
      </c>
      <c r="D16642">
        <v>40</v>
      </c>
      <c r="E16642" s="80">
        <v>35913</v>
      </c>
    </row>
    <row r="16643" spans="1:5">
      <c r="A16643">
        <v>11056</v>
      </c>
      <c r="B16643" t="s">
        <v>173</v>
      </c>
      <c r="C16643">
        <v>1200</v>
      </c>
      <c r="D16643">
        <v>40</v>
      </c>
      <c r="E16643" s="80">
        <v>35913</v>
      </c>
    </row>
    <row r="16644" spans="1:5">
      <c r="A16644">
        <v>11056</v>
      </c>
      <c r="B16644" t="s">
        <v>174</v>
      </c>
      <c r="C16644">
        <v>1200</v>
      </c>
      <c r="D16644">
        <v>40</v>
      </c>
      <c r="E16644" s="80">
        <v>35913</v>
      </c>
    </row>
    <row r="16645" spans="1:5">
      <c r="A16645">
        <v>11056</v>
      </c>
      <c r="B16645" t="s">
        <v>175</v>
      </c>
      <c r="C16645">
        <v>1200</v>
      </c>
      <c r="D16645">
        <v>40</v>
      </c>
      <c r="E16645" s="80">
        <v>35913</v>
      </c>
    </row>
    <row r="16646" spans="1:5">
      <c r="A16646">
        <v>11056</v>
      </c>
      <c r="B16646" t="s">
        <v>176</v>
      </c>
      <c r="C16646">
        <v>1200</v>
      </c>
      <c r="D16646">
        <v>40</v>
      </c>
      <c r="E16646" s="80">
        <v>35913</v>
      </c>
    </row>
    <row r="16647" spans="1:5">
      <c r="A16647">
        <v>11056</v>
      </c>
      <c r="B16647" t="s">
        <v>177</v>
      </c>
      <c r="C16647">
        <v>1200</v>
      </c>
      <c r="D16647">
        <v>40</v>
      </c>
      <c r="E16647" s="80">
        <v>35913</v>
      </c>
    </row>
    <row r="16648" spans="1:5">
      <c r="A16648">
        <v>11056</v>
      </c>
      <c r="B16648" t="s">
        <v>178</v>
      </c>
      <c r="C16648">
        <v>1200</v>
      </c>
      <c r="D16648">
        <v>40</v>
      </c>
      <c r="E16648" s="80">
        <v>35913</v>
      </c>
    </row>
    <row r="16649" spans="1:5">
      <c r="A16649">
        <v>11056</v>
      </c>
      <c r="B16649" t="s">
        <v>179</v>
      </c>
      <c r="C16649">
        <v>1200</v>
      </c>
      <c r="D16649">
        <v>40</v>
      </c>
      <c r="E16649" s="80">
        <v>35913</v>
      </c>
    </row>
    <row r="16650" spans="1:5">
      <c r="A16650">
        <v>11056</v>
      </c>
      <c r="B16650" t="s">
        <v>172</v>
      </c>
      <c r="C16650">
        <v>840</v>
      </c>
      <c r="D16650">
        <v>35</v>
      </c>
      <c r="E16650" s="80">
        <v>35913</v>
      </c>
    </row>
    <row r="16651" spans="1:5">
      <c r="A16651">
        <v>11056</v>
      </c>
      <c r="B16651" t="s">
        <v>173</v>
      </c>
      <c r="C16651">
        <v>840</v>
      </c>
      <c r="D16651">
        <v>35</v>
      </c>
      <c r="E16651" s="80">
        <v>35913</v>
      </c>
    </row>
    <row r="16652" spans="1:5">
      <c r="A16652">
        <v>11056</v>
      </c>
      <c r="B16652" t="s">
        <v>174</v>
      </c>
      <c r="C16652">
        <v>840</v>
      </c>
      <c r="D16652">
        <v>35</v>
      </c>
      <c r="E16652" s="80">
        <v>35913</v>
      </c>
    </row>
    <row r="16653" spans="1:5">
      <c r="A16653">
        <v>11056</v>
      </c>
      <c r="B16653" t="s">
        <v>175</v>
      </c>
      <c r="C16653">
        <v>840</v>
      </c>
      <c r="D16653">
        <v>35</v>
      </c>
      <c r="E16653" s="80">
        <v>35913</v>
      </c>
    </row>
    <row r="16654" spans="1:5">
      <c r="A16654">
        <v>11056</v>
      </c>
      <c r="B16654" t="s">
        <v>176</v>
      </c>
      <c r="C16654">
        <v>840</v>
      </c>
      <c r="D16654">
        <v>35</v>
      </c>
      <c r="E16654" s="80">
        <v>35913</v>
      </c>
    </row>
    <row r="16655" spans="1:5">
      <c r="A16655">
        <v>11056</v>
      </c>
      <c r="B16655" t="s">
        <v>177</v>
      </c>
      <c r="C16655">
        <v>840</v>
      </c>
      <c r="D16655">
        <v>35</v>
      </c>
      <c r="E16655" s="80">
        <v>35913</v>
      </c>
    </row>
    <row r="16656" spans="1:5">
      <c r="A16656">
        <v>11056</v>
      </c>
      <c r="B16656" t="s">
        <v>178</v>
      </c>
      <c r="C16656">
        <v>840</v>
      </c>
      <c r="D16656">
        <v>35</v>
      </c>
      <c r="E16656" s="80">
        <v>35913</v>
      </c>
    </row>
    <row r="16657" spans="1:5">
      <c r="A16657">
        <v>11056</v>
      </c>
      <c r="B16657" t="s">
        <v>179</v>
      </c>
      <c r="C16657">
        <v>840</v>
      </c>
      <c r="D16657">
        <v>35</v>
      </c>
      <c r="E16657" s="80">
        <v>35913</v>
      </c>
    </row>
    <row r="16658" spans="1:5">
      <c r="A16658">
        <v>11056</v>
      </c>
      <c r="B16658" t="s">
        <v>172</v>
      </c>
      <c r="C16658">
        <v>1700</v>
      </c>
      <c r="D16658">
        <v>50</v>
      </c>
      <c r="E16658" s="80">
        <v>35913</v>
      </c>
    </row>
    <row r="16659" spans="1:5">
      <c r="A16659">
        <v>11056</v>
      </c>
      <c r="B16659" t="s">
        <v>173</v>
      </c>
      <c r="C16659">
        <v>1700</v>
      </c>
      <c r="D16659">
        <v>50</v>
      </c>
      <c r="E16659" s="80">
        <v>35913</v>
      </c>
    </row>
    <row r="16660" spans="1:5">
      <c r="A16660">
        <v>11056</v>
      </c>
      <c r="B16660" t="s">
        <v>174</v>
      </c>
      <c r="C16660">
        <v>1700</v>
      </c>
      <c r="D16660">
        <v>50</v>
      </c>
      <c r="E16660" s="80">
        <v>35913</v>
      </c>
    </row>
    <row r="16661" spans="1:5">
      <c r="A16661">
        <v>11056</v>
      </c>
      <c r="B16661" t="s">
        <v>175</v>
      </c>
      <c r="C16661">
        <v>1700</v>
      </c>
      <c r="D16661">
        <v>50</v>
      </c>
      <c r="E16661" s="80">
        <v>35913</v>
      </c>
    </row>
    <row r="16662" spans="1:5">
      <c r="A16662">
        <v>11056</v>
      </c>
      <c r="B16662" t="s">
        <v>176</v>
      </c>
      <c r="C16662">
        <v>1700</v>
      </c>
      <c r="D16662">
        <v>50</v>
      </c>
      <c r="E16662" s="80">
        <v>35913</v>
      </c>
    </row>
    <row r="16663" spans="1:5">
      <c r="A16663">
        <v>11056</v>
      </c>
      <c r="B16663" t="s">
        <v>177</v>
      </c>
      <c r="C16663">
        <v>1700</v>
      </c>
      <c r="D16663">
        <v>50</v>
      </c>
      <c r="E16663" s="80">
        <v>35913</v>
      </c>
    </row>
    <row r="16664" spans="1:5">
      <c r="A16664">
        <v>11056</v>
      </c>
      <c r="B16664" t="s">
        <v>178</v>
      </c>
      <c r="C16664">
        <v>1700</v>
      </c>
      <c r="D16664">
        <v>50</v>
      </c>
      <c r="E16664" s="80">
        <v>35913</v>
      </c>
    </row>
    <row r="16665" spans="1:5">
      <c r="A16665">
        <v>11056</v>
      </c>
      <c r="B16665" t="s">
        <v>179</v>
      </c>
      <c r="C16665">
        <v>1700</v>
      </c>
      <c r="D16665">
        <v>50</v>
      </c>
      <c r="E16665" s="80">
        <v>35913</v>
      </c>
    </row>
    <row r="16666" spans="1:5">
      <c r="A16666">
        <v>11057</v>
      </c>
      <c r="B16666" t="s">
        <v>172</v>
      </c>
      <c r="C16666">
        <v>45</v>
      </c>
      <c r="D16666">
        <v>3</v>
      </c>
      <c r="E16666" s="80">
        <v>35914</v>
      </c>
    </row>
    <row r="16667" spans="1:5">
      <c r="A16667">
        <v>11057</v>
      </c>
      <c r="B16667" t="s">
        <v>173</v>
      </c>
      <c r="C16667">
        <v>45</v>
      </c>
      <c r="D16667">
        <v>3</v>
      </c>
      <c r="E16667" s="80">
        <v>35914</v>
      </c>
    </row>
    <row r="16668" spans="1:5">
      <c r="A16668">
        <v>11057</v>
      </c>
      <c r="B16668" t="s">
        <v>174</v>
      </c>
      <c r="C16668">
        <v>45</v>
      </c>
      <c r="D16668">
        <v>3</v>
      </c>
      <c r="E16668" s="80">
        <v>35914</v>
      </c>
    </row>
    <row r="16669" spans="1:5">
      <c r="A16669">
        <v>11057</v>
      </c>
      <c r="B16669" t="s">
        <v>175</v>
      </c>
      <c r="C16669">
        <v>45</v>
      </c>
      <c r="D16669">
        <v>3</v>
      </c>
      <c r="E16669" s="80">
        <v>35914</v>
      </c>
    </row>
    <row r="16670" spans="1:5">
      <c r="A16670">
        <v>11057</v>
      </c>
      <c r="B16670" t="s">
        <v>176</v>
      </c>
      <c r="C16670">
        <v>45</v>
      </c>
      <c r="D16670">
        <v>3</v>
      </c>
      <c r="E16670" s="80">
        <v>35914</v>
      </c>
    </row>
    <row r="16671" spans="1:5">
      <c r="A16671">
        <v>11057</v>
      </c>
      <c r="B16671" t="s">
        <v>177</v>
      </c>
      <c r="C16671">
        <v>45</v>
      </c>
      <c r="D16671">
        <v>3</v>
      </c>
      <c r="E16671" s="80">
        <v>35914</v>
      </c>
    </row>
    <row r="16672" spans="1:5">
      <c r="A16672">
        <v>11057</v>
      </c>
      <c r="B16672" t="s">
        <v>178</v>
      </c>
      <c r="C16672">
        <v>45</v>
      </c>
      <c r="D16672">
        <v>3</v>
      </c>
      <c r="E16672" s="80">
        <v>35914</v>
      </c>
    </row>
    <row r="16673" spans="1:5">
      <c r="A16673">
        <v>11057</v>
      </c>
      <c r="B16673" t="s">
        <v>179</v>
      </c>
      <c r="C16673">
        <v>45</v>
      </c>
      <c r="D16673">
        <v>3</v>
      </c>
      <c r="E16673" s="80">
        <v>35914</v>
      </c>
    </row>
    <row r="16674" spans="1:5">
      <c r="A16674">
        <v>11058</v>
      </c>
      <c r="B16674" t="s">
        <v>172</v>
      </c>
      <c r="C16674">
        <v>30</v>
      </c>
      <c r="D16674">
        <v>3</v>
      </c>
      <c r="E16674" s="80">
        <v>35914</v>
      </c>
    </row>
    <row r="16675" spans="1:5">
      <c r="A16675">
        <v>11058</v>
      </c>
      <c r="B16675" t="s">
        <v>173</v>
      </c>
      <c r="C16675">
        <v>30</v>
      </c>
      <c r="D16675">
        <v>3</v>
      </c>
      <c r="E16675" s="80">
        <v>35914</v>
      </c>
    </row>
    <row r="16676" spans="1:5">
      <c r="A16676">
        <v>11058</v>
      </c>
      <c r="B16676" t="s">
        <v>174</v>
      </c>
      <c r="C16676">
        <v>30</v>
      </c>
      <c r="D16676">
        <v>3</v>
      </c>
      <c r="E16676" s="80">
        <v>35914</v>
      </c>
    </row>
    <row r="16677" spans="1:5">
      <c r="A16677">
        <v>11058</v>
      </c>
      <c r="B16677" t="s">
        <v>175</v>
      </c>
      <c r="C16677">
        <v>30</v>
      </c>
      <c r="D16677">
        <v>3</v>
      </c>
      <c r="E16677" s="80">
        <v>35914</v>
      </c>
    </row>
    <row r="16678" spans="1:5">
      <c r="A16678">
        <v>11058</v>
      </c>
      <c r="B16678" t="s">
        <v>176</v>
      </c>
      <c r="C16678">
        <v>30</v>
      </c>
      <c r="D16678">
        <v>3</v>
      </c>
      <c r="E16678" s="80">
        <v>35914</v>
      </c>
    </row>
    <row r="16679" spans="1:5">
      <c r="A16679">
        <v>11058</v>
      </c>
      <c r="B16679" t="s">
        <v>177</v>
      </c>
      <c r="C16679">
        <v>30</v>
      </c>
      <c r="D16679">
        <v>3</v>
      </c>
      <c r="E16679" s="80">
        <v>35914</v>
      </c>
    </row>
    <row r="16680" spans="1:5">
      <c r="A16680">
        <v>11058</v>
      </c>
      <c r="B16680" t="s">
        <v>178</v>
      </c>
      <c r="C16680">
        <v>30</v>
      </c>
      <c r="D16680">
        <v>3</v>
      </c>
      <c r="E16680" s="80">
        <v>35914</v>
      </c>
    </row>
    <row r="16681" spans="1:5">
      <c r="A16681">
        <v>11058</v>
      </c>
      <c r="B16681" t="s">
        <v>179</v>
      </c>
      <c r="C16681">
        <v>30</v>
      </c>
      <c r="D16681">
        <v>3</v>
      </c>
      <c r="E16681" s="80">
        <v>35914</v>
      </c>
    </row>
    <row r="16682" spans="1:5">
      <c r="A16682">
        <v>11058</v>
      </c>
      <c r="B16682" t="s">
        <v>172</v>
      </c>
      <c r="C16682">
        <v>714</v>
      </c>
      <c r="D16682">
        <v>21</v>
      </c>
      <c r="E16682" s="80">
        <v>35914</v>
      </c>
    </row>
    <row r="16683" spans="1:5">
      <c r="A16683">
        <v>11058</v>
      </c>
      <c r="B16683" t="s">
        <v>173</v>
      </c>
      <c r="C16683">
        <v>714</v>
      </c>
      <c r="D16683">
        <v>21</v>
      </c>
      <c r="E16683" s="80">
        <v>35914</v>
      </c>
    </row>
    <row r="16684" spans="1:5">
      <c r="A16684">
        <v>11058</v>
      </c>
      <c r="B16684" t="s">
        <v>174</v>
      </c>
      <c r="C16684">
        <v>714</v>
      </c>
      <c r="D16684">
        <v>21</v>
      </c>
      <c r="E16684" s="80">
        <v>35914</v>
      </c>
    </row>
    <row r="16685" spans="1:5">
      <c r="A16685">
        <v>11058</v>
      </c>
      <c r="B16685" t="s">
        <v>175</v>
      </c>
      <c r="C16685">
        <v>714</v>
      </c>
      <c r="D16685">
        <v>21</v>
      </c>
      <c r="E16685" s="80">
        <v>35914</v>
      </c>
    </row>
    <row r="16686" spans="1:5">
      <c r="A16686">
        <v>11058</v>
      </c>
      <c r="B16686" t="s">
        <v>176</v>
      </c>
      <c r="C16686">
        <v>714</v>
      </c>
      <c r="D16686">
        <v>21</v>
      </c>
      <c r="E16686" s="80">
        <v>35914</v>
      </c>
    </row>
    <row r="16687" spans="1:5">
      <c r="A16687">
        <v>11058</v>
      </c>
      <c r="B16687" t="s">
        <v>177</v>
      </c>
      <c r="C16687">
        <v>714</v>
      </c>
      <c r="D16687">
        <v>21</v>
      </c>
      <c r="E16687" s="80">
        <v>35914</v>
      </c>
    </row>
    <row r="16688" spans="1:5">
      <c r="A16688">
        <v>11058</v>
      </c>
      <c r="B16688" t="s">
        <v>178</v>
      </c>
      <c r="C16688">
        <v>714</v>
      </c>
      <c r="D16688">
        <v>21</v>
      </c>
      <c r="E16688" s="80">
        <v>35914</v>
      </c>
    </row>
    <row r="16689" spans="1:5">
      <c r="A16689">
        <v>11058</v>
      </c>
      <c r="B16689" t="s">
        <v>179</v>
      </c>
      <c r="C16689">
        <v>714</v>
      </c>
      <c r="D16689">
        <v>21</v>
      </c>
      <c r="E16689" s="80">
        <v>35914</v>
      </c>
    </row>
    <row r="16690" spans="1:5">
      <c r="A16690">
        <v>11058</v>
      </c>
      <c r="B16690" t="s">
        <v>172</v>
      </c>
      <c r="C16690">
        <v>114</v>
      </c>
      <c r="D16690">
        <v>4</v>
      </c>
      <c r="E16690" s="80">
        <v>35914</v>
      </c>
    </row>
    <row r="16691" spans="1:5">
      <c r="A16691">
        <v>11058</v>
      </c>
      <c r="B16691" t="s">
        <v>173</v>
      </c>
      <c r="C16691">
        <v>114</v>
      </c>
      <c r="D16691">
        <v>4</v>
      </c>
      <c r="E16691" s="80">
        <v>35914</v>
      </c>
    </row>
    <row r="16692" spans="1:5">
      <c r="A16692">
        <v>11058</v>
      </c>
      <c r="B16692" t="s">
        <v>174</v>
      </c>
      <c r="C16692">
        <v>114</v>
      </c>
      <c r="D16692">
        <v>4</v>
      </c>
      <c r="E16692" s="80">
        <v>35914</v>
      </c>
    </row>
    <row r="16693" spans="1:5">
      <c r="A16693">
        <v>11058</v>
      </c>
      <c r="B16693" t="s">
        <v>175</v>
      </c>
      <c r="C16693">
        <v>114</v>
      </c>
      <c r="D16693">
        <v>4</v>
      </c>
      <c r="E16693" s="80">
        <v>35914</v>
      </c>
    </row>
    <row r="16694" spans="1:5">
      <c r="A16694">
        <v>11058</v>
      </c>
      <c r="B16694" t="s">
        <v>176</v>
      </c>
      <c r="C16694">
        <v>114</v>
      </c>
      <c r="D16694">
        <v>4</v>
      </c>
      <c r="E16694" s="80">
        <v>35914</v>
      </c>
    </row>
    <row r="16695" spans="1:5">
      <c r="A16695">
        <v>11058</v>
      </c>
      <c r="B16695" t="s">
        <v>177</v>
      </c>
      <c r="C16695">
        <v>114</v>
      </c>
      <c r="D16695">
        <v>4</v>
      </c>
      <c r="E16695" s="80">
        <v>35914</v>
      </c>
    </row>
    <row r="16696" spans="1:5">
      <c r="A16696">
        <v>11058</v>
      </c>
      <c r="B16696" t="s">
        <v>178</v>
      </c>
      <c r="C16696">
        <v>114</v>
      </c>
      <c r="D16696">
        <v>4</v>
      </c>
      <c r="E16696" s="80">
        <v>35914</v>
      </c>
    </row>
    <row r="16697" spans="1:5">
      <c r="A16697">
        <v>11058</v>
      </c>
      <c r="B16697" t="s">
        <v>179</v>
      </c>
      <c r="C16697">
        <v>114</v>
      </c>
      <c r="D16697">
        <v>4</v>
      </c>
      <c r="E16697" s="80">
        <v>35914</v>
      </c>
    </row>
    <row r="16698" spans="1:5">
      <c r="A16698">
        <v>11059</v>
      </c>
      <c r="B16698" t="s">
        <v>172</v>
      </c>
      <c r="C16698">
        <v>180</v>
      </c>
      <c r="D16698">
        <v>30</v>
      </c>
      <c r="E16698" s="80">
        <v>35914</v>
      </c>
    </row>
    <row r="16699" spans="1:5">
      <c r="A16699">
        <v>11059</v>
      </c>
      <c r="B16699" t="s">
        <v>173</v>
      </c>
      <c r="C16699">
        <v>180</v>
      </c>
      <c r="D16699">
        <v>30</v>
      </c>
      <c r="E16699" s="80">
        <v>35914</v>
      </c>
    </row>
    <row r="16700" spans="1:5">
      <c r="A16700">
        <v>11059</v>
      </c>
      <c r="B16700" t="s">
        <v>174</v>
      </c>
      <c r="C16700">
        <v>180</v>
      </c>
      <c r="D16700">
        <v>30</v>
      </c>
      <c r="E16700" s="80">
        <v>35914</v>
      </c>
    </row>
    <row r="16701" spans="1:5">
      <c r="A16701">
        <v>11059</v>
      </c>
      <c r="B16701" t="s">
        <v>175</v>
      </c>
      <c r="C16701">
        <v>180</v>
      </c>
      <c r="D16701">
        <v>30</v>
      </c>
      <c r="E16701" s="80">
        <v>35914</v>
      </c>
    </row>
    <row r="16702" spans="1:5">
      <c r="A16702">
        <v>11059</v>
      </c>
      <c r="B16702" t="s">
        <v>176</v>
      </c>
      <c r="C16702">
        <v>180</v>
      </c>
      <c r="D16702">
        <v>30</v>
      </c>
      <c r="E16702" s="80">
        <v>35914</v>
      </c>
    </row>
    <row r="16703" spans="1:5">
      <c r="A16703">
        <v>11059</v>
      </c>
      <c r="B16703" t="s">
        <v>177</v>
      </c>
      <c r="C16703">
        <v>180</v>
      </c>
      <c r="D16703">
        <v>30</v>
      </c>
      <c r="E16703" s="80">
        <v>35914</v>
      </c>
    </row>
    <row r="16704" spans="1:5">
      <c r="A16704">
        <v>11059</v>
      </c>
      <c r="B16704" t="s">
        <v>178</v>
      </c>
      <c r="C16704">
        <v>180</v>
      </c>
      <c r="D16704">
        <v>30</v>
      </c>
      <c r="E16704" s="80">
        <v>35914</v>
      </c>
    </row>
    <row r="16705" spans="1:5">
      <c r="A16705">
        <v>11059</v>
      </c>
      <c r="B16705" t="s">
        <v>179</v>
      </c>
      <c r="C16705">
        <v>180</v>
      </c>
      <c r="D16705">
        <v>30</v>
      </c>
      <c r="E16705" s="80">
        <v>35914</v>
      </c>
    </row>
    <row r="16706" spans="1:5">
      <c r="A16706">
        <v>11059</v>
      </c>
      <c r="B16706" t="s">
        <v>172</v>
      </c>
      <c r="C16706">
        <v>468</v>
      </c>
      <c r="D16706">
        <v>12</v>
      </c>
      <c r="E16706" s="80">
        <v>35914</v>
      </c>
    </row>
    <row r="16707" spans="1:5">
      <c r="A16707">
        <v>11059</v>
      </c>
      <c r="B16707" t="s">
        <v>173</v>
      </c>
      <c r="C16707">
        <v>468</v>
      </c>
      <c r="D16707">
        <v>12</v>
      </c>
      <c r="E16707" s="80">
        <v>35914</v>
      </c>
    </row>
    <row r="16708" spans="1:5">
      <c r="A16708">
        <v>11059</v>
      </c>
      <c r="B16708" t="s">
        <v>174</v>
      </c>
      <c r="C16708">
        <v>468</v>
      </c>
      <c r="D16708">
        <v>12</v>
      </c>
      <c r="E16708" s="80">
        <v>35914</v>
      </c>
    </row>
    <row r="16709" spans="1:5">
      <c r="A16709">
        <v>11059</v>
      </c>
      <c r="B16709" t="s">
        <v>175</v>
      </c>
      <c r="C16709">
        <v>468</v>
      </c>
      <c r="D16709">
        <v>12</v>
      </c>
      <c r="E16709" s="80">
        <v>35914</v>
      </c>
    </row>
    <row r="16710" spans="1:5">
      <c r="A16710">
        <v>11059</v>
      </c>
      <c r="B16710" t="s">
        <v>176</v>
      </c>
      <c r="C16710">
        <v>468</v>
      </c>
      <c r="D16710">
        <v>12</v>
      </c>
      <c r="E16710" s="80">
        <v>35914</v>
      </c>
    </row>
    <row r="16711" spans="1:5">
      <c r="A16711">
        <v>11059</v>
      </c>
      <c r="B16711" t="s">
        <v>177</v>
      </c>
      <c r="C16711">
        <v>468</v>
      </c>
      <c r="D16711">
        <v>12</v>
      </c>
      <c r="E16711" s="80">
        <v>35914</v>
      </c>
    </row>
    <row r="16712" spans="1:5">
      <c r="A16712">
        <v>11059</v>
      </c>
      <c r="B16712" t="s">
        <v>178</v>
      </c>
      <c r="C16712">
        <v>468</v>
      </c>
      <c r="D16712">
        <v>12</v>
      </c>
      <c r="E16712" s="80">
        <v>35914</v>
      </c>
    </row>
    <row r="16713" spans="1:5">
      <c r="A16713">
        <v>11059</v>
      </c>
      <c r="B16713" t="s">
        <v>179</v>
      </c>
      <c r="C16713">
        <v>468</v>
      </c>
      <c r="D16713">
        <v>12</v>
      </c>
      <c r="E16713" s="80">
        <v>35914</v>
      </c>
    </row>
    <row r="16714" spans="1:5">
      <c r="A16714">
        <v>11059</v>
      </c>
      <c r="B16714" t="s">
        <v>172</v>
      </c>
      <c r="C16714">
        <v>1190</v>
      </c>
      <c r="D16714">
        <v>35</v>
      </c>
      <c r="E16714" s="80">
        <v>35914</v>
      </c>
    </row>
    <row r="16715" spans="1:5">
      <c r="A16715">
        <v>11059</v>
      </c>
      <c r="B16715" t="s">
        <v>173</v>
      </c>
      <c r="C16715">
        <v>1190</v>
      </c>
      <c r="D16715">
        <v>35</v>
      </c>
      <c r="E16715" s="80">
        <v>35914</v>
      </c>
    </row>
    <row r="16716" spans="1:5">
      <c r="A16716">
        <v>11059</v>
      </c>
      <c r="B16716" t="s">
        <v>174</v>
      </c>
      <c r="C16716">
        <v>1190</v>
      </c>
      <c r="D16716">
        <v>35</v>
      </c>
      <c r="E16716" s="80">
        <v>35914</v>
      </c>
    </row>
    <row r="16717" spans="1:5">
      <c r="A16717">
        <v>11059</v>
      </c>
      <c r="B16717" t="s">
        <v>175</v>
      </c>
      <c r="C16717">
        <v>1190</v>
      </c>
      <c r="D16717">
        <v>35</v>
      </c>
      <c r="E16717" s="80">
        <v>35914</v>
      </c>
    </row>
    <row r="16718" spans="1:5">
      <c r="A16718">
        <v>11059</v>
      </c>
      <c r="B16718" t="s">
        <v>176</v>
      </c>
      <c r="C16718">
        <v>1190</v>
      </c>
      <c r="D16718">
        <v>35</v>
      </c>
      <c r="E16718" s="80">
        <v>35914</v>
      </c>
    </row>
    <row r="16719" spans="1:5">
      <c r="A16719">
        <v>11059</v>
      </c>
      <c r="B16719" t="s">
        <v>177</v>
      </c>
      <c r="C16719">
        <v>1190</v>
      </c>
      <c r="D16719">
        <v>35</v>
      </c>
      <c r="E16719" s="80">
        <v>35914</v>
      </c>
    </row>
    <row r="16720" spans="1:5">
      <c r="A16720">
        <v>11059</v>
      </c>
      <c r="B16720" t="s">
        <v>178</v>
      </c>
      <c r="C16720">
        <v>1190</v>
      </c>
      <c r="D16720">
        <v>35</v>
      </c>
      <c r="E16720" s="80">
        <v>35914</v>
      </c>
    </row>
    <row r="16721" spans="1:5">
      <c r="A16721">
        <v>11059</v>
      </c>
      <c r="B16721" t="s">
        <v>179</v>
      </c>
      <c r="C16721">
        <v>1190</v>
      </c>
      <c r="D16721">
        <v>35</v>
      </c>
      <c r="E16721" s="80">
        <v>35914</v>
      </c>
    </row>
    <row r="16722" spans="1:5">
      <c r="A16722">
        <v>11060</v>
      </c>
      <c r="B16722" t="s">
        <v>172</v>
      </c>
      <c r="C16722">
        <v>136</v>
      </c>
      <c r="D16722">
        <v>4</v>
      </c>
      <c r="E16722" s="80">
        <v>35915</v>
      </c>
    </row>
    <row r="16723" spans="1:5">
      <c r="A16723">
        <v>11060</v>
      </c>
      <c r="B16723" t="s">
        <v>173</v>
      </c>
      <c r="C16723">
        <v>136</v>
      </c>
      <c r="D16723">
        <v>4</v>
      </c>
      <c r="E16723" s="80">
        <v>35915</v>
      </c>
    </row>
    <row r="16724" spans="1:5">
      <c r="A16724">
        <v>11060</v>
      </c>
      <c r="B16724" t="s">
        <v>174</v>
      </c>
      <c r="C16724">
        <v>136</v>
      </c>
      <c r="D16724">
        <v>4</v>
      </c>
      <c r="E16724" s="80">
        <v>35915</v>
      </c>
    </row>
    <row r="16725" spans="1:5">
      <c r="A16725">
        <v>11060</v>
      </c>
      <c r="B16725" t="s">
        <v>175</v>
      </c>
      <c r="C16725">
        <v>136</v>
      </c>
      <c r="D16725">
        <v>4</v>
      </c>
      <c r="E16725" s="80">
        <v>35915</v>
      </c>
    </row>
    <row r="16726" spans="1:5">
      <c r="A16726">
        <v>11060</v>
      </c>
      <c r="B16726" t="s">
        <v>176</v>
      </c>
      <c r="C16726">
        <v>136</v>
      </c>
      <c r="D16726">
        <v>4</v>
      </c>
      <c r="E16726" s="80">
        <v>35915</v>
      </c>
    </row>
    <row r="16727" spans="1:5">
      <c r="A16727">
        <v>11060</v>
      </c>
      <c r="B16727" t="s">
        <v>177</v>
      </c>
      <c r="C16727">
        <v>136</v>
      </c>
      <c r="D16727">
        <v>4</v>
      </c>
      <c r="E16727" s="80">
        <v>35915</v>
      </c>
    </row>
    <row r="16728" spans="1:5">
      <c r="A16728">
        <v>11060</v>
      </c>
      <c r="B16728" t="s">
        <v>178</v>
      </c>
      <c r="C16728">
        <v>136</v>
      </c>
      <c r="D16728">
        <v>4</v>
      </c>
      <c r="E16728" s="80">
        <v>35915</v>
      </c>
    </row>
    <row r="16729" spans="1:5">
      <c r="A16729">
        <v>11060</v>
      </c>
      <c r="B16729" t="s">
        <v>179</v>
      </c>
      <c r="C16729">
        <v>136</v>
      </c>
      <c r="D16729">
        <v>4</v>
      </c>
      <c r="E16729" s="80">
        <v>35915</v>
      </c>
    </row>
    <row r="16730" spans="1:5">
      <c r="A16730">
        <v>11060</v>
      </c>
      <c r="B16730" t="s">
        <v>172</v>
      </c>
      <c r="C16730">
        <v>130</v>
      </c>
      <c r="D16730">
        <v>10</v>
      </c>
      <c r="E16730" s="80">
        <v>35915</v>
      </c>
    </row>
    <row r="16731" spans="1:5">
      <c r="A16731">
        <v>11060</v>
      </c>
      <c r="B16731" t="s">
        <v>173</v>
      </c>
      <c r="C16731">
        <v>130</v>
      </c>
      <c r="D16731">
        <v>10</v>
      </c>
      <c r="E16731" s="80">
        <v>35915</v>
      </c>
    </row>
    <row r="16732" spans="1:5">
      <c r="A16732">
        <v>11060</v>
      </c>
      <c r="B16732" t="s">
        <v>174</v>
      </c>
      <c r="C16732">
        <v>130</v>
      </c>
      <c r="D16732">
        <v>10</v>
      </c>
      <c r="E16732" s="80">
        <v>35915</v>
      </c>
    </row>
    <row r="16733" spans="1:5">
      <c r="A16733">
        <v>11060</v>
      </c>
      <c r="B16733" t="s">
        <v>175</v>
      </c>
      <c r="C16733">
        <v>130</v>
      </c>
      <c r="D16733">
        <v>10</v>
      </c>
      <c r="E16733" s="80">
        <v>35915</v>
      </c>
    </row>
    <row r="16734" spans="1:5">
      <c r="A16734">
        <v>11060</v>
      </c>
      <c r="B16734" t="s">
        <v>176</v>
      </c>
      <c r="C16734">
        <v>130</v>
      </c>
      <c r="D16734">
        <v>10</v>
      </c>
      <c r="E16734" s="80">
        <v>35915</v>
      </c>
    </row>
    <row r="16735" spans="1:5">
      <c r="A16735">
        <v>11060</v>
      </c>
      <c r="B16735" t="s">
        <v>177</v>
      </c>
      <c r="C16735">
        <v>130</v>
      </c>
      <c r="D16735">
        <v>10</v>
      </c>
      <c r="E16735" s="80">
        <v>35915</v>
      </c>
    </row>
    <row r="16736" spans="1:5">
      <c r="A16736">
        <v>11060</v>
      </c>
      <c r="B16736" t="s">
        <v>178</v>
      </c>
      <c r="C16736">
        <v>130</v>
      </c>
      <c r="D16736">
        <v>10</v>
      </c>
      <c r="E16736" s="80">
        <v>35915</v>
      </c>
    </row>
    <row r="16737" spans="1:5">
      <c r="A16737">
        <v>11060</v>
      </c>
      <c r="B16737" t="s">
        <v>179</v>
      </c>
      <c r="C16737">
        <v>130</v>
      </c>
      <c r="D16737">
        <v>10</v>
      </c>
      <c r="E16737" s="80">
        <v>35915</v>
      </c>
    </row>
    <row r="16738" spans="1:5">
      <c r="A16738">
        <v>11061</v>
      </c>
      <c r="B16738" t="s">
        <v>172</v>
      </c>
      <c r="C16738">
        <v>510</v>
      </c>
      <c r="D16738">
        <v>15</v>
      </c>
      <c r="E16738" s="80">
        <v>35915</v>
      </c>
    </row>
    <row r="16739" spans="1:5">
      <c r="A16739">
        <v>11061</v>
      </c>
      <c r="B16739" t="s">
        <v>173</v>
      </c>
      <c r="C16739">
        <v>510</v>
      </c>
      <c r="D16739">
        <v>15</v>
      </c>
      <c r="E16739" s="80">
        <v>35915</v>
      </c>
    </row>
    <row r="16740" spans="1:5">
      <c r="A16740">
        <v>11061</v>
      </c>
      <c r="B16740" t="s">
        <v>174</v>
      </c>
      <c r="C16740">
        <v>510</v>
      </c>
      <c r="D16740">
        <v>15</v>
      </c>
      <c r="E16740" s="80">
        <v>35915</v>
      </c>
    </row>
    <row r="16741" spans="1:5">
      <c r="A16741">
        <v>11061</v>
      </c>
      <c r="B16741" t="s">
        <v>175</v>
      </c>
      <c r="C16741">
        <v>510</v>
      </c>
      <c r="D16741">
        <v>15</v>
      </c>
      <c r="E16741" s="80">
        <v>35915</v>
      </c>
    </row>
    <row r="16742" spans="1:5">
      <c r="A16742">
        <v>11061</v>
      </c>
      <c r="B16742" t="s">
        <v>176</v>
      </c>
      <c r="C16742">
        <v>510</v>
      </c>
      <c r="D16742">
        <v>15</v>
      </c>
      <c r="E16742" s="80">
        <v>35915</v>
      </c>
    </row>
    <row r="16743" spans="1:5">
      <c r="A16743">
        <v>11061</v>
      </c>
      <c r="B16743" t="s">
        <v>177</v>
      </c>
      <c r="C16743">
        <v>510</v>
      </c>
      <c r="D16743">
        <v>15</v>
      </c>
      <c r="E16743" s="80">
        <v>35915</v>
      </c>
    </row>
    <row r="16744" spans="1:5">
      <c r="A16744">
        <v>11061</v>
      </c>
      <c r="B16744" t="s">
        <v>178</v>
      </c>
      <c r="C16744">
        <v>510</v>
      </c>
      <c r="D16744">
        <v>15</v>
      </c>
      <c r="E16744" s="80">
        <v>35915</v>
      </c>
    </row>
    <row r="16745" spans="1:5">
      <c r="A16745">
        <v>11061</v>
      </c>
      <c r="B16745" t="s">
        <v>179</v>
      </c>
      <c r="C16745">
        <v>510</v>
      </c>
      <c r="D16745">
        <v>15</v>
      </c>
      <c r="E16745" s="80">
        <v>35915</v>
      </c>
    </row>
    <row r="16746" spans="1:5">
      <c r="A16746">
        <v>11062</v>
      </c>
      <c r="B16746" t="s">
        <v>172</v>
      </c>
      <c r="C16746">
        <v>262.39999902248383</v>
      </c>
      <c r="D16746">
        <v>10</v>
      </c>
      <c r="E16746" s="80">
        <v>35915</v>
      </c>
    </row>
    <row r="16747" spans="1:5">
      <c r="A16747">
        <v>11062</v>
      </c>
      <c r="B16747" t="s">
        <v>173</v>
      </c>
      <c r="C16747">
        <v>262.39999902248383</v>
      </c>
      <c r="D16747">
        <v>10</v>
      </c>
      <c r="E16747" s="80">
        <v>35915</v>
      </c>
    </row>
    <row r="16748" spans="1:5">
      <c r="A16748">
        <v>11062</v>
      </c>
      <c r="B16748" t="s">
        <v>174</v>
      </c>
      <c r="C16748">
        <v>262.39999902248383</v>
      </c>
      <c r="D16748">
        <v>10</v>
      </c>
      <c r="E16748" s="80">
        <v>35915</v>
      </c>
    </row>
    <row r="16749" spans="1:5">
      <c r="A16749">
        <v>11062</v>
      </c>
      <c r="B16749" t="s">
        <v>175</v>
      </c>
      <c r="C16749">
        <v>262.39999902248383</v>
      </c>
      <c r="D16749">
        <v>10</v>
      </c>
      <c r="E16749" s="80">
        <v>35915</v>
      </c>
    </row>
    <row r="16750" spans="1:5">
      <c r="A16750">
        <v>11062</v>
      </c>
      <c r="B16750" t="s">
        <v>176</v>
      </c>
      <c r="C16750">
        <v>262.39999902248383</v>
      </c>
      <c r="D16750">
        <v>10</v>
      </c>
      <c r="E16750" s="80">
        <v>35915</v>
      </c>
    </row>
    <row r="16751" spans="1:5">
      <c r="A16751">
        <v>11062</v>
      </c>
      <c r="B16751" t="s">
        <v>177</v>
      </c>
      <c r="C16751">
        <v>262.39999902248383</v>
      </c>
      <c r="D16751">
        <v>10</v>
      </c>
      <c r="E16751" s="80">
        <v>35915</v>
      </c>
    </row>
    <row r="16752" spans="1:5">
      <c r="A16752">
        <v>11062</v>
      </c>
      <c r="B16752" t="s">
        <v>178</v>
      </c>
      <c r="C16752">
        <v>262.39999902248383</v>
      </c>
      <c r="D16752">
        <v>10</v>
      </c>
      <c r="E16752" s="80">
        <v>35915</v>
      </c>
    </row>
    <row r="16753" spans="1:5">
      <c r="A16753">
        <v>11062</v>
      </c>
      <c r="B16753" t="s">
        <v>179</v>
      </c>
      <c r="C16753">
        <v>262.39999902248383</v>
      </c>
      <c r="D16753">
        <v>10</v>
      </c>
      <c r="E16753" s="80">
        <v>35915</v>
      </c>
    </row>
    <row r="16754" spans="1:5">
      <c r="A16754">
        <v>11062</v>
      </c>
      <c r="B16754" t="s">
        <v>172</v>
      </c>
      <c r="C16754">
        <v>143.9999994635582</v>
      </c>
      <c r="D16754">
        <v>12</v>
      </c>
      <c r="E16754" s="80">
        <v>35915</v>
      </c>
    </row>
    <row r="16755" spans="1:5">
      <c r="A16755">
        <v>11062</v>
      </c>
      <c r="B16755" t="s">
        <v>173</v>
      </c>
      <c r="C16755">
        <v>143.9999994635582</v>
      </c>
      <c r="D16755">
        <v>12</v>
      </c>
      <c r="E16755" s="80">
        <v>35915</v>
      </c>
    </row>
    <row r="16756" spans="1:5">
      <c r="A16756">
        <v>11062</v>
      </c>
      <c r="B16756" t="s">
        <v>174</v>
      </c>
      <c r="C16756">
        <v>143.9999994635582</v>
      </c>
      <c r="D16756">
        <v>12</v>
      </c>
      <c r="E16756" s="80">
        <v>35915</v>
      </c>
    </row>
    <row r="16757" spans="1:5">
      <c r="A16757">
        <v>11062</v>
      </c>
      <c r="B16757" t="s">
        <v>175</v>
      </c>
      <c r="C16757">
        <v>143.9999994635582</v>
      </c>
      <c r="D16757">
        <v>12</v>
      </c>
      <c r="E16757" s="80">
        <v>35915</v>
      </c>
    </row>
    <row r="16758" spans="1:5">
      <c r="A16758">
        <v>11062</v>
      </c>
      <c r="B16758" t="s">
        <v>176</v>
      </c>
      <c r="C16758">
        <v>143.9999994635582</v>
      </c>
      <c r="D16758">
        <v>12</v>
      </c>
      <c r="E16758" s="80">
        <v>35915</v>
      </c>
    </row>
    <row r="16759" spans="1:5">
      <c r="A16759">
        <v>11062</v>
      </c>
      <c r="B16759" t="s">
        <v>177</v>
      </c>
      <c r="C16759">
        <v>143.9999994635582</v>
      </c>
      <c r="D16759">
        <v>12</v>
      </c>
      <c r="E16759" s="80">
        <v>35915</v>
      </c>
    </row>
    <row r="16760" spans="1:5">
      <c r="A16760">
        <v>11062</v>
      </c>
      <c r="B16760" t="s">
        <v>178</v>
      </c>
      <c r="C16760">
        <v>143.9999994635582</v>
      </c>
      <c r="D16760">
        <v>12</v>
      </c>
      <c r="E16760" s="80">
        <v>35915</v>
      </c>
    </row>
    <row r="16761" spans="1:5">
      <c r="A16761">
        <v>11062</v>
      </c>
      <c r="B16761" t="s">
        <v>179</v>
      </c>
      <c r="C16761">
        <v>143.9999994635582</v>
      </c>
      <c r="D16761">
        <v>12</v>
      </c>
      <c r="E16761" s="80">
        <v>35915</v>
      </c>
    </row>
    <row r="16762" spans="1:5">
      <c r="A16762">
        <v>11063</v>
      </c>
      <c r="B16762" t="s">
        <v>172</v>
      </c>
      <c r="C16762">
        <v>420</v>
      </c>
      <c r="D16762">
        <v>30</v>
      </c>
      <c r="E16762" s="80">
        <v>35915</v>
      </c>
    </row>
    <row r="16763" spans="1:5">
      <c r="A16763">
        <v>11063</v>
      </c>
      <c r="B16763" t="s">
        <v>173</v>
      </c>
      <c r="C16763">
        <v>420</v>
      </c>
      <c r="D16763">
        <v>30</v>
      </c>
      <c r="E16763" s="80">
        <v>35915</v>
      </c>
    </row>
    <row r="16764" spans="1:5">
      <c r="A16764">
        <v>11063</v>
      </c>
      <c r="B16764" t="s">
        <v>174</v>
      </c>
      <c r="C16764">
        <v>420</v>
      </c>
      <c r="D16764">
        <v>30</v>
      </c>
      <c r="E16764" s="80">
        <v>35915</v>
      </c>
    </row>
    <row r="16765" spans="1:5">
      <c r="A16765">
        <v>11063</v>
      </c>
      <c r="B16765" t="s">
        <v>175</v>
      </c>
      <c r="C16765">
        <v>420</v>
      </c>
      <c r="D16765">
        <v>30</v>
      </c>
      <c r="E16765" s="80">
        <v>35915</v>
      </c>
    </row>
    <row r="16766" spans="1:5">
      <c r="A16766">
        <v>11063</v>
      </c>
      <c r="B16766" t="s">
        <v>176</v>
      </c>
      <c r="C16766">
        <v>420</v>
      </c>
      <c r="D16766">
        <v>30</v>
      </c>
      <c r="E16766" s="80">
        <v>35915</v>
      </c>
    </row>
    <row r="16767" spans="1:5">
      <c r="A16767">
        <v>11063</v>
      </c>
      <c r="B16767" t="s">
        <v>177</v>
      </c>
      <c r="C16767">
        <v>420</v>
      </c>
      <c r="D16767">
        <v>30</v>
      </c>
      <c r="E16767" s="80">
        <v>35915</v>
      </c>
    </row>
    <row r="16768" spans="1:5">
      <c r="A16768">
        <v>11063</v>
      </c>
      <c r="B16768" t="s">
        <v>178</v>
      </c>
      <c r="C16768">
        <v>420</v>
      </c>
      <c r="D16768">
        <v>30</v>
      </c>
      <c r="E16768" s="80">
        <v>35915</v>
      </c>
    </row>
    <row r="16769" spans="1:5">
      <c r="A16769">
        <v>11063</v>
      </c>
      <c r="B16769" t="s">
        <v>179</v>
      </c>
      <c r="C16769">
        <v>420</v>
      </c>
      <c r="D16769">
        <v>30</v>
      </c>
      <c r="E16769" s="80">
        <v>35915</v>
      </c>
    </row>
    <row r="16770" spans="1:5">
      <c r="A16770">
        <v>11063</v>
      </c>
      <c r="B16770" t="s">
        <v>172</v>
      </c>
      <c r="C16770">
        <v>662.39999890327454</v>
      </c>
      <c r="D16770">
        <v>40</v>
      </c>
      <c r="E16770" s="80">
        <v>35915</v>
      </c>
    </row>
    <row r="16771" spans="1:5">
      <c r="A16771">
        <v>11063</v>
      </c>
      <c r="B16771" t="s">
        <v>173</v>
      </c>
      <c r="C16771">
        <v>662.39999890327454</v>
      </c>
      <c r="D16771">
        <v>40</v>
      </c>
      <c r="E16771" s="80">
        <v>35915</v>
      </c>
    </row>
    <row r="16772" spans="1:5">
      <c r="A16772">
        <v>11063</v>
      </c>
      <c r="B16772" t="s">
        <v>174</v>
      </c>
      <c r="C16772">
        <v>662.39999890327454</v>
      </c>
      <c r="D16772">
        <v>40</v>
      </c>
      <c r="E16772" s="80">
        <v>35915</v>
      </c>
    </row>
    <row r="16773" spans="1:5">
      <c r="A16773">
        <v>11063</v>
      </c>
      <c r="B16773" t="s">
        <v>175</v>
      </c>
      <c r="C16773">
        <v>662.39999890327454</v>
      </c>
      <c r="D16773">
        <v>40</v>
      </c>
      <c r="E16773" s="80">
        <v>35915</v>
      </c>
    </row>
    <row r="16774" spans="1:5">
      <c r="A16774">
        <v>11063</v>
      </c>
      <c r="B16774" t="s">
        <v>176</v>
      </c>
      <c r="C16774">
        <v>662.39999890327454</v>
      </c>
      <c r="D16774">
        <v>40</v>
      </c>
      <c r="E16774" s="80">
        <v>35915</v>
      </c>
    </row>
    <row r="16775" spans="1:5">
      <c r="A16775">
        <v>11063</v>
      </c>
      <c r="B16775" t="s">
        <v>177</v>
      </c>
      <c r="C16775">
        <v>662.39999890327454</v>
      </c>
      <c r="D16775">
        <v>40</v>
      </c>
      <c r="E16775" s="80">
        <v>35915</v>
      </c>
    </row>
    <row r="16776" spans="1:5">
      <c r="A16776">
        <v>11063</v>
      </c>
      <c r="B16776" t="s">
        <v>178</v>
      </c>
      <c r="C16776">
        <v>662.39999890327454</v>
      </c>
      <c r="D16776">
        <v>40</v>
      </c>
      <c r="E16776" s="80">
        <v>35915</v>
      </c>
    </row>
    <row r="16777" spans="1:5">
      <c r="A16777">
        <v>11063</v>
      </c>
      <c r="B16777" t="s">
        <v>179</v>
      </c>
      <c r="C16777">
        <v>662.39999890327454</v>
      </c>
      <c r="D16777">
        <v>40</v>
      </c>
      <c r="E16777" s="80">
        <v>35915</v>
      </c>
    </row>
    <row r="16778" spans="1:5">
      <c r="A16778">
        <v>11063</v>
      </c>
      <c r="B16778" t="s">
        <v>172</v>
      </c>
      <c r="C16778">
        <v>260.54999956861138</v>
      </c>
      <c r="D16778">
        <v>30</v>
      </c>
      <c r="E16778" s="80">
        <v>35915</v>
      </c>
    </row>
    <row r="16779" spans="1:5">
      <c r="A16779">
        <v>11063</v>
      </c>
      <c r="B16779" t="s">
        <v>173</v>
      </c>
      <c r="C16779">
        <v>260.54999956861138</v>
      </c>
      <c r="D16779">
        <v>30</v>
      </c>
      <c r="E16779" s="80">
        <v>35915</v>
      </c>
    </row>
    <row r="16780" spans="1:5">
      <c r="A16780">
        <v>11063</v>
      </c>
      <c r="B16780" t="s">
        <v>174</v>
      </c>
      <c r="C16780">
        <v>260.54999956861138</v>
      </c>
      <c r="D16780">
        <v>30</v>
      </c>
      <c r="E16780" s="80">
        <v>35915</v>
      </c>
    </row>
    <row r="16781" spans="1:5">
      <c r="A16781">
        <v>11063</v>
      </c>
      <c r="B16781" t="s">
        <v>175</v>
      </c>
      <c r="C16781">
        <v>260.54999956861138</v>
      </c>
      <c r="D16781">
        <v>30</v>
      </c>
      <c r="E16781" s="80">
        <v>35915</v>
      </c>
    </row>
    <row r="16782" spans="1:5">
      <c r="A16782">
        <v>11063</v>
      </c>
      <c r="B16782" t="s">
        <v>176</v>
      </c>
      <c r="C16782">
        <v>260.54999956861138</v>
      </c>
      <c r="D16782">
        <v>30</v>
      </c>
      <c r="E16782" s="80">
        <v>35915</v>
      </c>
    </row>
    <row r="16783" spans="1:5">
      <c r="A16783">
        <v>11063</v>
      </c>
      <c r="B16783" t="s">
        <v>177</v>
      </c>
      <c r="C16783">
        <v>260.54999956861138</v>
      </c>
      <c r="D16783">
        <v>30</v>
      </c>
      <c r="E16783" s="80">
        <v>35915</v>
      </c>
    </row>
    <row r="16784" spans="1:5">
      <c r="A16784">
        <v>11063</v>
      </c>
      <c r="B16784" t="s">
        <v>178</v>
      </c>
      <c r="C16784">
        <v>260.54999956861138</v>
      </c>
      <c r="D16784">
        <v>30</v>
      </c>
      <c r="E16784" s="80">
        <v>35915</v>
      </c>
    </row>
    <row r="16785" spans="1:5">
      <c r="A16785">
        <v>11063</v>
      </c>
      <c r="B16785" t="s">
        <v>179</v>
      </c>
      <c r="C16785">
        <v>260.54999956861138</v>
      </c>
      <c r="D16785">
        <v>30</v>
      </c>
      <c r="E16785" s="80">
        <v>35915</v>
      </c>
    </row>
    <row r="16786" spans="1:5">
      <c r="A16786">
        <v>11064</v>
      </c>
      <c r="B16786" t="s">
        <v>172</v>
      </c>
      <c r="C16786">
        <v>2702.6999955251813</v>
      </c>
      <c r="D16786">
        <v>77</v>
      </c>
      <c r="E16786" s="80">
        <v>35916</v>
      </c>
    </row>
    <row r="16787" spans="1:5">
      <c r="A16787">
        <v>11064</v>
      </c>
      <c r="B16787" t="s">
        <v>173</v>
      </c>
      <c r="C16787">
        <v>2702.6999955251813</v>
      </c>
      <c r="D16787">
        <v>77</v>
      </c>
      <c r="E16787" s="80">
        <v>35916</v>
      </c>
    </row>
    <row r="16788" spans="1:5">
      <c r="A16788">
        <v>11064</v>
      </c>
      <c r="B16788" t="s">
        <v>174</v>
      </c>
      <c r="C16788">
        <v>2702.6999955251813</v>
      </c>
      <c r="D16788">
        <v>77</v>
      </c>
      <c r="E16788" s="80">
        <v>35916</v>
      </c>
    </row>
    <row r="16789" spans="1:5">
      <c r="A16789">
        <v>11064</v>
      </c>
      <c r="B16789" t="s">
        <v>175</v>
      </c>
      <c r="C16789">
        <v>2702.6999955251813</v>
      </c>
      <c r="D16789">
        <v>77</v>
      </c>
      <c r="E16789" s="80">
        <v>35916</v>
      </c>
    </row>
    <row r="16790" spans="1:5">
      <c r="A16790">
        <v>11064</v>
      </c>
      <c r="B16790" t="s">
        <v>176</v>
      </c>
      <c r="C16790">
        <v>2702.6999955251813</v>
      </c>
      <c r="D16790">
        <v>77</v>
      </c>
      <c r="E16790" s="80">
        <v>35916</v>
      </c>
    </row>
    <row r="16791" spans="1:5">
      <c r="A16791">
        <v>11064</v>
      </c>
      <c r="B16791" t="s">
        <v>177</v>
      </c>
      <c r="C16791">
        <v>2702.6999955251813</v>
      </c>
      <c r="D16791">
        <v>77</v>
      </c>
      <c r="E16791" s="80">
        <v>35916</v>
      </c>
    </row>
    <row r="16792" spans="1:5">
      <c r="A16792">
        <v>11064</v>
      </c>
      <c r="B16792" t="s">
        <v>178</v>
      </c>
      <c r="C16792">
        <v>2702.6999955251813</v>
      </c>
      <c r="D16792">
        <v>77</v>
      </c>
      <c r="E16792" s="80">
        <v>35916</v>
      </c>
    </row>
    <row r="16793" spans="1:5">
      <c r="A16793">
        <v>11064</v>
      </c>
      <c r="B16793" t="s">
        <v>179</v>
      </c>
      <c r="C16793">
        <v>2702.6999955251813</v>
      </c>
      <c r="D16793">
        <v>77</v>
      </c>
      <c r="E16793" s="80">
        <v>35916</v>
      </c>
    </row>
    <row r="16794" spans="1:5">
      <c r="A16794">
        <v>11064</v>
      </c>
      <c r="B16794" t="s">
        <v>172</v>
      </c>
      <c r="C16794">
        <v>115.8</v>
      </c>
      <c r="D16794">
        <v>12</v>
      </c>
      <c r="E16794" s="80">
        <v>35916</v>
      </c>
    </row>
    <row r="16795" spans="1:5">
      <c r="A16795">
        <v>11064</v>
      </c>
      <c r="B16795" t="s">
        <v>173</v>
      </c>
      <c r="C16795">
        <v>115.8</v>
      </c>
      <c r="D16795">
        <v>12</v>
      </c>
      <c r="E16795" s="80">
        <v>35916</v>
      </c>
    </row>
    <row r="16796" spans="1:5">
      <c r="A16796">
        <v>11064</v>
      </c>
      <c r="B16796" t="s">
        <v>174</v>
      </c>
      <c r="C16796">
        <v>115.8</v>
      </c>
      <c r="D16796">
        <v>12</v>
      </c>
      <c r="E16796" s="80">
        <v>35916</v>
      </c>
    </row>
    <row r="16797" spans="1:5">
      <c r="A16797">
        <v>11064</v>
      </c>
      <c r="B16797" t="s">
        <v>175</v>
      </c>
      <c r="C16797">
        <v>115.8</v>
      </c>
      <c r="D16797">
        <v>12</v>
      </c>
      <c r="E16797" s="80">
        <v>35916</v>
      </c>
    </row>
    <row r="16798" spans="1:5">
      <c r="A16798">
        <v>11064</v>
      </c>
      <c r="B16798" t="s">
        <v>176</v>
      </c>
      <c r="C16798">
        <v>115.8</v>
      </c>
      <c r="D16798">
        <v>12</v>
      </c>
      <c r="E16798" s="80">
        <v>35916</v>
      </c>
    </row>
    <row r="16799" spans="1:5">
      <c r="A16799">
        <v>11064</v>
      </c>
      <c r="B16799" t="s">
        <v>177</v>
      </c>
      <c r="C16799">
        <v>115.8</v>
      </c>
      <c r="D16799">
        <v>12</v>
      </c>
      <c r="E16799" s="80">
        <v>35916</v>
      </c>
    </row>
    <row r="16800" spans="1:5">
      <c r="A16800">
        <v>11064</v>
      </c>
      <c r="B16800" t="s">
        <v>178</v>
      </c>
      <c r="C16800">
        <v>115.8</v>
      </c>
      <c r="D16800">
        <v>12</v>
      </c>
      <c r="E16800" s="80">
        <v>35916</v>
      </c>
    </row>
    <row r="16801" spans="1:5">
      <c r="A16801">
        <v>11064</v>
      </c>
      <c r="B16801" t="s">
        <v>179</v>
      </c>
      <c r="C16801">
        <v>115.8</v>
      </c>
      <c r="D16801">
        <v>12</v>
      </c>
      <c r="E16801" s="80">
        <v>35916</v>
      </c>
    </row>
    <row r="16802" spans="1:5">
      <c r="A16802">
        <v>11064</v>
      </c>
      <c r="B16802" t="s">
        <v>172</v>
      </c>
      <c r="C16802">
        <v>737.99999877810478</v>
      </c>
      <c r="D16802">
        <v>25</v>
      </c>
      <c r="E16802" s="80">
        <v>35916</v>
      </c>
    </row>
    <row r="16803" spans="1:5">
      <c r="A16803">
        <v>11064</v>
      </c>
      <c r="B16803" t="s">
        <v>173</v>
      </c>
      <c r="C16803">
        <v>737.99999877810478</v>
      </c>
      <c r="D16803">
        <v>25</v>
      </c>
      <c r="E16803" s="80">
        <v>35916</v>
      </c>
    </row>
    <row r="16804" spans="1:5">
      <c r="A16804">
        <v>11064</v>
      </c>
      <c r="B16804" t="s">
        <v>174</v>
      </c>
      <c r="C16804">
        <v>737.99999877810478</v>
      </c>
      <c r="D16804">
        <v>25</v>
      </c>
      <c r="E16804" s="80">
        <v>35916</v>
      </c>
    </row>
    <row r="16805" spans="1:5">
      <c r="A16805">
        <v>11064</v>
      </c>
      <c r="B16805" t="s">
        <v>175</v>
      </c>
      <c r="C16805">
        <v>737.99999877810478</v>
      </c>
      <c r="D16805">
        <v>25</v>
      </c>
      <c r="E16805" s="80">
        <v>35916</v>
      </c>
    </row>
    <row r="16806" spans="1:5">
      <c r="A16806">
        <v>11064</v>
      </c>
      <c r="B16806" t="s">
        <v>176</v>
      </c>
      <c r="C16806">
        <v>737.99999877810478</v>
      </c>
      <c r="D16806">
        <v>25</v>
      </c>
      <c r="E16806" s="80">
        <v>35916</v>
      </c>
    </row>
    <row r="16807" spans="1:5">
      <c r="A16807">
        <v>11064</v>
      </c>
      <c r="B16807" t="s">
        <v>177</v>
      </c>
      <c r="C16807">
        <v>737.99999877810478</v>
      </c>
      <c r="D16807">
        <v>25</v>
      </c>
      <c r="E16807" s="80">
        <v>35916</v>
      </c>
    </row>
    <row r="16808" spans="1:5">
      <c r="A16808">
        <v>11064</v>
      </c>
      <c r="B16808" t="s">
        <v>178</v>
      </c>
      <c r="C16808">
        <v>737.99999877810478</v>
      </c>
      <c r="D16808">
        <v>25</v>
      </c>
      <c r="E16808" s="80">
        <v>35916</v>
      </c>
    </row>
    <row r="16809" spans="1:5">
      <c r="A16809">
        <v>11064</v>
      </c>
      <c r="B16809" t="s">
        <v>179</v>
      </c>
      <c r="C16809">
        <v>737.99999877810478</v>
      </c>
      <c r="D16809">
        <v>25</v>
      </c>
      <c r="E16809" s="80">
        <v>35916</v>
      </c>
    </row>
    <row r="16810" spans="1:5">
      <c r="A16810">
        <v>11064</v>
      </c>
      <c r="B16810" t="s">
        <v>172</v>
      </c>
      <c r="C16810">
        <v>86.399999856948853</v>
      </c>
      <c r="D16810">
        <v>4</v>
      </c>
      <c r="E16810" s="80">
        <v>35916</v>
      </c>
    </row>
    <row r="16811" spans="1:5">
      <c r="A16811">
        <v>11064</v>
      </c>
      <c r="B16811" t="s">
        <v>173</v>
      </c>
      <c r="C16811">
        <v>86.399999856948853</v>
      </c>
      <c r="D16811">
        <v>4</v>
      </c>
      <c r="E16811" s="80">
        <v>35916</v>
      </c>
    </row>
    <row r="16812" spans="1:5">
      <c r="A16812">
        <v>11064</v>
      </c>
      <c r="B16812" t="s">
        <v>174</v>
      </c>
      <c r="C16812">
        <v>86.399999856948853</v>
      </c>
      <c r="D16812">
        <v>4</v>
      </c>
      <c r="E16812" s="80">
        <v>35916</v>
      </c>
    </row>
    <row r="16813" spans="1:5">
      <c r="A16813">
        <v>11064</v>
      </c>
      <c r="B16813" t="s">
        <v>175</v>
      </c>
      <c r="C16813">
        <v>86.399999856948853</v>
      </c>
      <c r="D16813">
        <v>4</v>
      </c>
      <c r="E16813" s="80">
        <v>35916</v>
      </c>
    </row>
    <row r="16814" spans="1:5">
      <c r="A16814">
        <v>11064</v>
      </c>
      <c r="B16814" t="s">
        <v>176</v>
      </c>
      <c r="C16814">
        <v>86.399999856948853</v>
      </c>
      <c r="D16814">
        <v>4</v>
      </c>
      <c r="E16814" s="80">
        <v>35916</v>
      </c>
    </row>
    <row r="16815" spans="1:5">
      <c r="A16815">
        <v>11064</v>
      </c>
      <c r="B16815" t="s">
        <v>177</v>
      </c>
      <c r="C16815">
        <v>86.399999856948853</v>
      </c>
      <c r="D16815">
        <v>4</v>
      </c>
      <c r="E16815" s="80">
        <v>35916</v>
      </c>
    </row>
    <row r="16816" spans="1:5">
      <c r="A16816">
        <v>11064</v>
      </c>
      <c r="B16816" t="s">
        <v>178</v>
      </c>
      <c r="C16816">
        <v>86.399999856948853</v>
      </c>
      <c r="D16816">
        <v>4</v>
      </c>
      <c r="E16816" s="80">
        <v>35916</v>
      </c>
    </row>
    <row r="16817" spans="1:5">
      <c r="A16817">
        <v>11064</v>
      </c>
      <c r="B16817" t="s">
        <v>179</v>
      </c>
      <c r="C16817">
        <v>86.399999856948853</v>
      </c>
      <c r="D16817">
        <v>4</v>
      </c>
      <c r="E16817" s="80">
        <v>35916</v>
      </c>
    </row>
    <row r="16818" spans="1:5">
      <c r="A16818">
        <v>11064</v>
      </c>
      <c r="B16818" t="s">
        <v>172</v>
      </c>
      <c r="C16818">
        <v>687.5</v>
      </c>
      <c r="D16818">
        <v>55</v>
      </c>
      <c r="E16818" s="80">
        <v>35916</v>
      </c>
    </row>
    <row r="16819" spans="1:5">
      <c r="A16819">
        <v>11064</v>
      </c>
      <c r="B16819" t="s">
        <v>173</v>
      </c>
      <c r="C16819">
        <v>687.5</v>
      </c>
      <c r="D16819">
        <v>55</v>
      </c>
      <c r="E16819" s="80">
        <v>35916</v>
      </c>
    </row>
    <row r="16820" spans="1:5">
      <c r="A16820">
        <v>11064</v>
      </c>
      <c r="B16820" t="s">
        <v>174</v>
      </c>
      <c r="C16820">
        <v>687.5</v>
      </c>
      <c r="D16820">
        <v>55</v>
      </c>
      <c r="E16820" s="80">
        <v>35916</v>
      </c>
    </row>
    <row r="16821" spans="1:5">
      <c r="A16821">
        <v>11064</v>
      </c>
      <c r="B16821" t="s">
        <v>175</v>
      </c>
      <c r="C16821">
        <v>687.5</v>
      </c>
      <c r="D16821">
        <v>55</v>
      </c>
      <c r="E16821" s="80">
        <v>35916</v>
      </c>
    </row>
    <row r="16822" spans="1:5">
      <c r="A16822">
        <v>11064</v>
      </c>
      <c r="B16822" t="s">
        <v>176</v>
      </c>
      <c r="C16822">
        <v>687.5</v>
      </c>
      <c r="D16822">
        <v>55</v>
      </c>
      <c r="E16822" s="80">
        <v>35916</v>
      </c>
    </row>
    <row r="16823" spans="1:5">
      <c r="A16823">
        <v>11064</v>
      </c>
      <c r="B16823" t="s">
        <v>177</v>
      </c>
      <c r="C16823">
        <v>687.5</v>
      </c>
      <c r="D16823">
        <v>55</v>
      </c>
      <c r="E16823" s="80">
        <v>35916</v>
      </c>
    </row>
    <row r="16824" spans="1:5">
      <c r="A16824">
        <v>11064</v>
      </c>
      <c r="B16824" t="s">
        <v>178</v>
      </c>
      <c r="C16824">
        <v>687.5</v>
      </c>
      <c r="D16824">
        <v>55</v>
      </c>
      <c r="E16824" s="80">
        <v>35916</v>
      </c>
    </row>
    <row r="16825" spans="1:5">
      <c r="A16825">
        <v>11064</v>
      </c>
      <c r="B16825" t="s">
        <v>179</v>
      </c>
      <c r="C16825">
        <v>687.5</v>
      </c>
      <c r="D16825">
        <v>55</v>
      </c>
      <c r="E16825" s="80">
        <v>35916</v>
      </c>
    </row>
    <row r="16826" spans="1:5">
      <c r="A16826">
        <v>11065</v>
      </c>
      <c r="B16826" t="s">
        <v>172</v>
      </c>
      <c r="C16826">
        <v>77.67</v>
      </c>
      <c r="D16826">
        <v>4</v>
      </c>
      <c r="E16826" s="80">
        <v>35916</v>
      </c>
    </row>
    <row r="16827" spans="1:5">
      <c r="A16827">
        <v>11065</v>
      </c>
      <c r="B16827" t="s">
        <v>173</v>
      </c>
      <c r="C16827">
        <v>77.67</v>
      </c>
      <c r="D16827">
        <v>4</v>
      </c>
      <c r="E16827" s="80">
        <v>35916</v>
      </c>
    </row>
    <row r="16828" spans="1:5">
      <c r="A16828">
        <v>11065</v>
      </c>
      <c r="B16828" t="s">
        <v>174</v>
      </c>
      <c r="C16828">
        <v>77.67</v>
      </c>
      <c r="D16828">
        <v>4</v>
      </c>
      <c r="E16828" s="80">
        <v>35916</v>
      </c>
    </row>
    <row r="16829" spans="1:5">
      <c r="A16829">
        <v>11065</v>
      </c>
      <c r="B16829" t="s">
        <v>175</v>
      </c>
      <c r="C16829">
        <v>77.67</v>
      </c>
      <c r="D16829">
        <v>4</v>
      </c>
      <c r="E16829" s="80">
        <v>35916</v>
      </c>
    </row>
    <row r="16830" spans="1:5">
      <c r="A16830">
        <v>11065</v>
      </c>
      <c r="B16830" t="s">
        <v>176</v>
      </c>
      <c r="C16830">
        <v>77.67</v>
      </c>
      <c r="D16830">
        <v>4</v>
      </c>
      <c r="E16830" s="80">
        <v>35916</v>
      </c>
    </row>
    <row r="16831" spans="1:5">
      <c r="A16831">
        <v>11065</v>
      </c>
      <c r="B16831" t="s">
        <v>177</v>
      </c>
      <c r="C16831">
        <v>77.67</v>
      </c>
      <c r="D16831">
        <v>4</v>
      </c>
      <c r="E16831" s="80">
        <v>35916</v>
      </c>
    </row>
    <row r="16832" spans="1:5">
      <c r="A16832">
        <v>11065</v>
      </c>
      <c r="B16832" t="s">
        <v>178</v>
      </c>
      <c r="C16832">
        <v>77.67</v>
      </c>
      <c r="D16832">
        <v>4</v>
      </c>
      <c r="E16832" s="80">
        <v>35916</v>
      </c>
    </row>
    <row r="16833" spans="1:5">
      <c r="A16833">
        <v>11065</v>
      </c>
      <c r="B16833" t="s">
        <v>179</v>
      </c>
      <c r="C16833">
        <v>77.67</v>
      </c>
      <c r="D16833">
        <v>4</v>
      </c>
      <c r="E16833" s="80">
        <v>35916</v>
      </c>
    </row>
    <row r="16834" spans="1:5">
      <c r="A16834">
        <v>11065</v>
      </c>
      <c r="B16834" t="s">
        <v>172</v>
      </c>
      <c r="C16834">
        <v>111.75</v>
      </c>
      <c r="D16834">
        <v>20</v>
      </c>
      <c r="E16834" s="80">
        <v>35916</v>
      </c>
    </row>
    <row r="16835" spans="1:5">
      <c r="A16835">
        <v>11065</v>
      </c>
      <c r="B16835" t="s">
        <v>173</v>
      </c>
      <c r="C16835">
        <v>111.75</v>
      </c>
      <c r="D16835">
        <v>20</v>
      </c>
      <c r="E16835" s="80">
        <v>35916</v>
      </c>
    </row>
    <row r="16836" spans="1:5">
      <c r="A16836">
        <v>11065</v>
      </c>
      <c r="B16836" t="s">
        <v>174</v>
      </c>
      <c r="C16836">
        <v>111.75</v>
      </c>
      <c r="D16836">
        <v>20</v>
      </c>
      <c r="E16836" s="80">
        <v>35916</v>
      </c>
    </row>
    <row r="16837" spans="1:5">
      <c r="A16837">
        <v>11065</v>
      </c>
      <c r="B16837" t="s">
        <v>175</v>
      </c>
      <c r="C16837">
        <v>111.75</v>
      </c>
      <c r="D16837">
        <v>20</v>
      </c>
      <c r="E16837" s="80">
        <v>35916</v>
      </c>
    </row>
    <row r="16838" spans="1:5">
      <c r="A16838">
        <v>11065</v>
      </c>
      <c r="B16838" t="s">
        <v>176</v>
      </c>
      <c r="C16838">
        <v>111.75</v>
      </c>
      <c r="D16838">
        <v>20</v>
      </c>
      <c r="E16838" s="80">
        <v>35916</v>
      </c>
    </row>
    <row r="16839" spans="1:5">
      <c r="A16839">
        <v>11065</v>
      </c>
      <c r="B16839" t="s">
        <v>177</v>
      </c>
      <c r="C16839">
        <v>111.75</v>
      </c>
      <c r="D16839">
        <v>20</v>
      </c>
      <c r="E16839" s="80">
        <v>35916</v>
      </c>
    </row>
    <row r="16840" spans="1:5">
      <c r="A16840">
        <v>11065</v>
      </c>
      <c r="B16840" t="s">
        <v>178</v>
      </c>
      <c r="C16840">
        <v>111.75</v>
      </c>
      <c r="D16840">
        <v>20</v>
      </c>
      <c r="E16840" s="80">
        <v>35916</v>
      </c>
    </row>
    <row r="16841" spans="1:5">
      <c r="A16841">
        <v>11065</v>
      </c>
      <c r="B16841" t="s">
        <v>179</v>
      </c>
      <c r="C16841">
        <v>111.75</v>
      </c>
      <c r="D16841">
        <v>20</v>
      </c>
      <c r="E16841" s="80">
        <v>35916</v>
      </c>
    </row>
    <row r="16842" spans="1:5">
      <c r="A16842">
        <v>11066</v>
      </c>
      <c r="B16842" t="s">
        <v>172</v>
      </c>
      <c r="C16842">
        <v>52.35</v>
      </c>
      <c r="D16842">
        <v>3</v>
      </c>
      <c r="E16842" s="80">
        <v>35916</v>
      </c>
    </row>
    <row r="16843" spans="1:5">
      <c r="A16843">
        <v>11066</v>
      </c>
      <c r="B16843" t="s">
        <v>173</v>
      </c>
      <c r="C16843">
        <v>52.35</v>
      </c>
      <c r="D16843">
        <v>3</v>
      </c>
      <c r="E16843" s="80">
        <v>35916</v>
      </c>
    </row>
    <row r="16844" spans="1:5">
      <c r="A16844">
        <v>11066</v>
      </c>
      <c r="B16844" t="s">
        <v>174</v>
      </c>
      <c r="C16844">
        <v>52.35</v>
      </c>
      <c r="D16844">
        <v>3</v>
      </c>
      <c r="E16844" s="80">
        <v>35916</v>
      </c>
    </row>
    <row r="16845" spans="1:5">
      <c r="A16845">
        <v>11066</v>
      </c>
      <c r="B16845" t="s">
        <v>175</v>
      </c>
      <c r="C16845">
        <v>52.35</v>
      </c>
      <c r="D16845">
        <v>3</v>
      </c>
      <c r="E16845" s="80">
        <v>35916</v>
      </c>
    </row>
    <row r="16846" spans="1:5">
      <c r="A16846">
        <v>11066</v>
      </c>
      <c r="B16846" t="s">
        <v>176</v>
      </c>
      <c r="C16846">
        <v>52.35</v>
      </c>
      <c r="D16846">
        <v>3</v>
      </c>
      <c r="E16846" s="80">
        <v>35916</v>
      </c>
    </row>
    <row r="16847" spans="1:5">
      <c r="A16847">
        <v>11066</v>
      </c>
      <c r="B16847" t="s">
        <v>177</v>
      </c>
      <c r="C16847">
        <v>52.35</v>
      </c>
      <c r="D16847">
        <v>3</v>
      </c>
      <c r="E16847" s="80">
        <v>35916</v>
      </c>
    </row>
    <row r="16848" spans="1:5">
      <c r="A16848">
        <v>11066</v>
      </c>
      <c r="B16848" t="s">
        <v>178</v>
      </c>
      <c r="C16848">
        <v>52.35</v>
      </c>
      <c r="D16848">
        <v>3</v>
      </c>
      <c r="E16848" s="80">
        <v>35916</v>
      </c>
    </row>
    <row r="16849" spans="1:5">
      <c r="A16849">
        <v>11066</v>
      </c>
      <c r="B16849" t="s">
        <v>179</v>
      </c>
      <c r="C16849">
        <v>52.35</v>
      </c>
      <c r="D16849">
        <v>3</v>
      </c>
      <c r="E16849" s="80">
        <v>35916</v>
      </c>
    </row>
    <row r="16850" spans="1:5">
      <c r="A16850">
        <v>11066</v>
      </c>
      <c r="B16850" t="s">
        <v>172</v>
      </c>
      <c r="C16850">
        <v>386.4</v>
      </c>
      <c r="D16850">
        <v>42</v>
      </c>
      <c r="E16850" s="80">
        <v>35916</v>
      </c>
    </row>
    <row r="16851" spans="1:5">
      <c r="A16851">
        <v>11066</v>
      </c>
      <c r="B16851" t="s">
        <v>173</v>
      </c>
      <c r="C16851">
        <v>386.4</v>
      </c>
      <c r="D16851">
        <v>42</v>
      </c>
      <c r="E16851" s="80">
        <v>35916</v>
      </c>
    </row>
    <row r="16852" spans="1:5">
      <c r="A16852">
        <v>11066</v>
      </c>
      <c r="B16852" t="s">
        <v>174</v>
      </c>
      <c r="C16852">
        <v>386.4</v>
      </c>
      <c r="D16852">
        <v>42</v>
      </c>
      <c r="E16852" s="80">
        <v>35916</v>
      </c>
    </row>
    <row r="16853" spans="1:5">
      <c r="A16853">
        <v>11066</v>
      </c>
      <c r="B16853" t="s">
        <v>175</v>
      </c>
      <c r="C16853">
        <v>386.4</v>
      </c>
      <c r="D16853">
        <v>42</v>
      </c>
      <c r="E16853" s="80">
        <v>35916</v>
      </c>
    </row>
    <row r="16854" spans="1:5">
      <c r="A16854">
        <v>11066</v>
      </c>
      <c r="B16854" t="s">
        <v>176</v>
      </c>
      <c r="C16854">
        <v>386.4</v>
      </c>
      <c r="D16854">
        <v>42</v>
      </c>
      <c r="E16854" s="80">
        <v>35916</v>
      </c>
    </row>
    <row r="16855" spans="1:5">
      <c r="A16855">
        <v>11066</v>
      </c>
      <c r="B16855" t="s">
        <v>177</v>
      </c>
      <c r="C16855">
        <v>386.4</v>
      </c>
      <c r="D16855">
        <v>42</v>
      </c>
      <c r="E16855" s="80">
        <v>35916</v>
      </c>
    </row>
    <row r="16856" spans="1:5">
      <c r="A16856">
        <v>11066</v>
      </c>
      <c r="B16856" t="s">
        <v>178</v>
      </c>
      <c r="C16856">
        <v>386.4</v>
      </c>
      <c r="D16856">
        <v>42</v>
      </c>
      <c r="E16856" s="80">
        <v>35916</v>
      </c>
    </row>
    <row r="16857" spans="1:5">
      <c r="A16857">
        <v>11066</v>
      </c>
      <c r="B16857" t="s">
        <v>179</v>
      </c>
      <c r="C16857">
        <v>386.4</v>
      </c>
      <c r="D16857">
        <v>42</v>
      </c>
      <c r="E16857" s="80">
        <v>35916</v>
      </c>
    </row>
    <row r="16858" spans="1:5">
      <c r="A16858">
        <v>11066</v>
      </c>
      <c r="B16858" t="s">
        <v>172</v>
      </c>
      <c r="C16858">
        <v>490</v>
      </c>
      <c r="D16858">
        <v>35</v>
      </c>
      <c r="E16858" s="80">
        <v>35916</v>
      </c>
    </row>
    <row r="16859" spans="1:5">
      <c r="A16859">
        <v>11066</v>
      </c>
      <c r="B16859" t="s">
        <v>173</v>
      </c>
      <c r="C16859">
        <v>490</v>
      </c>
      <c r="D16859">
        <v>35</v>
      </c>
      <c r="E16859" s="80">
        <v>35916</v>
      </c>
    </row>
    <row r="16860" spans="1:5">
      <c r="A16860">
        <v>11066</v>
      </c>
      <c r="B16860" t="s">
        <v>174</v>
      </c>
      <c r="C16860">
        <v>490</v>
      </c>
      <c r="D16860">
        <v>35</v>
      </c>
      <c r="E16860" s="80">
        <v>35916</v>
      </c>
    </row>
    <row r="16861" spans="1:5">
      <c r="A16861">
        <v>11066</v>
      </c>
      <c r="B16861" t="s">
        <v>175</v>
      </c>
      <c r="C16861">
        <v>490</v>
      </c>
      <c r="D16861">
        <v>35</v>
      </c>
      <c r="E16861" s="80">
        <v>35916</v>
      </c>
    </row>
    <row r="16862" spans="1:5">
      <c r="A16862">
        <v>11066</v>
      </c>
      <c r="B16862" t="s">
        <v>176</v>
      </c>
      <c r="C16862">
        <v>490</v>
      </c>
      <c r="D16862">
        <v>35</v>
      </c>
      <c r="E16862" s="80">
        <v>35916</v>
      </c>
    </row>
    <row r="16863" spans="1:5">
      <c r="A16863">
        <v>11066</v>
      </c>
      <c r="B16863" t="s">
        <v>177</v>
      </c>
      <c r="C16863">
        <v>490</v>
      </c>
      <c r="D16863">
        <v>35</v>
      </c>
      <c r="E16863" s="80">
        <v>35916</v>
      </c>
    </row>
    <row r="16864" spans="1:5">
      <c r="A16864">
        <v>11066</v>
      </c>
      <c r="B16864" t="s">
        <v>178</v>
      </c>
      <c r="C16864">
        <v>490</v>
      </c>
      <c r="D16864">
        <v>35</v>
      </c>
      <c r="E16864" s="80">
        <v>35916</v>
      </c>
    </row>
    <row r="16865" spans="1:5">
      <c r="A16865">
        <v>11066</v>
      </c>
      <c r="B16865" t="s">
        <v>179</v>
      </c>
      <c r="C16865">
        <v>490</v>
      </c>
      <c r="D16865">
        <v>35</v>
      </c>
      <c r="E16865" s="80">
        <v>35916</v>
      </c>
    </row>
    <row r="16866" spans="1:5">
      <c r="A16866">
        <v>11067</v>
      </c>
      <c r="B16866" t="s">
        <v>172</v>
      </c>
      <c r="C16866">
        <v>86.85</v>
      </c>
      <c r="D16866">
        <v>9</v>
      </c>
      <c r="E16866" s="80">
        <v>35919</v>
      </c>
    </row>
    <row r="16867" spans="1:5">
      <c r="A16867">
        <v>11067</v>
      </c>
      <c r="B16867" t="s">
        <v>173</v>
      </c>
      <c r="C16867">
        <v>86.85</v>
      </c>
      <c r="D16867">
        <v>9</v>
      </c>
      <c r="E16867" s="80">
        <v>35919</v>
      </c>
    </row>
    <row r="16868" spans="1:5">
      <c r="A16868">
        <v>11067</v>
      </c>
      <c r="B16868" t="s">
        <v>174</v>
      </c>
      <c r="C16868">
        <v>86.85</v>
      </c>
      <c r="D16868">
        <v>9</v>
      </c>
      <c r="E16868" s="80">
        <v>35919</v>
      </c>
    </row>
    <row r="16869" spans="1:5">
      <c r="A16869">
        <v>11067</v>
      </c>
      <c r="B16869" t="s">
        <v>175</v>
      </c>
      <c r="C16869">
        <v>86.85</v>
      </c>
      <c r="D16869">
        <v>9</v>
      </c>
      <c r="E16869" s="80">
        <v>35919</v>
      </c>
    </row>
    <row r="16870" spans="1:5">
      <c r="A16870">
        <v>11067</v>
      </c>
      <c r="B16870" t="s">
        <v>176</v>
      </c>
      <c r="C16870">
        <v>86.85</v>
      </c>
      <c r="D16870">
        <v>9</v>
      </c>
      <c r="E16870" s="80">
        <v>35919</v>
      </c>
    </row>
    <row r="16871" spans="1:5">
      <c r="A16871">
        <v>11067</v>
      </c>
      <c r="B16871" t="s">
        <v>177</v>
      </c>
      <c r="C16871">
        <v>86.85</v>
      </c>
      <c r="D16871">
        <v>9</v>
      </c>
      <c r="E16871" s="80">
        <v>35919</v>
      </c>
    </row>
    <row r="16872" spans="1:5">
      <c r="A16872">
        <v>11067</v>
      </c>
      <c r="B16872" t="s">
        <v>178</v>
      </c>
      <c r="C16872">
        <v>86.85</v>
      </c>
      <c r="D16872">
        <v>9</v>
      </c>
      <c r="E16872" s="80">
        <v>35919</v>
      </c>
    </row>
    <row r="16873" spans="1:5">
      <c r="A16873">
        <v>11067</v>
      </c>
      <c r="B16873" t="s">
        <v>179</v>
      </c>
      <c r="C16873">
        <v>86.85</v>
      </c>
      <c r="D16873">
        <v>9</v>
      </c>
      <c r="E16873" s="80">
        <v>35919</v>
      </c>
    </row>
    <row r="16874" spans="1:5">
      <c r="A16874">
        <v>11068</v>
      </c>
      <c r="B16874" t="s">
        <v>172</v>
      </c>
      <c r="C16874">
        <v>310.07999782562257</v>
      </c>
      <c r="D16874">
        <v>8</v>
      </c>
      <c r="E16874" s="80">
        <v>35919</v>
      </c>
    </row>
    <row r="16875" spans="1:5">
      <c r="A16875">
        <v>11068</v>
      </c>
      <c r="B16875" t="s">
        <v>173</v>
      </c>
      <c r="C16875">
        <v>310.07999782562257</v>
      </c>
      <c r="D16875">
        <v>8</v>
      </c>
      <c r="E16875" s="80">
        <v>35919</v>
      </c>
    </row>
    <row r="16876" spans="1:5">
      <c r="A16876">
        <v>11068</v>
      </c>
      <c r="B16876" t="s">
        <v>174</v>
      </c>
      <c r="C16876">
        <v>310.07999782562257</v>
      </c>
      <c r="D16876">
        <v>8</v>
      </c>
      <c r="E16876" s="80">
        <v>35919</v>
      </c>
    </row>
    <row r="16877" spans="1:5">
      <c r="A16877">
        <v>11068</v>
      </c>
      <c r="B16877" t="s">
        <v>175</v>
      </c>
      <c r="C16877">
        <v>310.07999782562257</v>
      </c>
      <c r="D16877">
        <v>8</v>
      </c>
      <c r="E16877" s="80">
        <v>35919</v>
      </c>
    </row>
    <row r="16878" spans="1:5">
      <c r="A16878">
        <v>11068</v>
      </c>
      <c r="B16878" t="s">
        <v>176</v>
      </c>
      <c r="C16878">
        <v>310.07999782562257</v>
      </c>
      <c r="D16878">
        <v>8</v>
      </c>
      <c r="E16878" s="80">
        <v>35919</v>
      </c>
    </row>
    <row r="16879" spans="1:5">
      <c r="A16879">
        <v>11068</v>
      </c>
      <c r="B16879" t="s">
        <v>177</v>
      </c>
      <c r="C16879">
        <v>310.07999782562257</v>
      </c>
      <c r="D16879">
        <v>8</v>
      </c>
      <c r="E16879" s="80">
        <v>35919</v>
      </c>
    </row>
    <row r="16880" spans="1:5">
      <c r="A16880">
        <v>11068</v>
      </c>
      <c r="B16880" t="s">
        <v>178</v>
      </c>
      <c r="C16880">
        <v>310.07999782562257</v>
      </c>
      <c r="D16880">
        <v>8</v>
      </c>
      <c r="E16880" s="80">
        <v>35919</v>
      </c>
    </row>
    <row r="16881" spans="1:5">
      <c r="A16881">
        <v>11068</v>
      </c>
      <c r="B16881" t="s">
        <v>179</v>
      </c>
      <c r="C16881">
        <v>310.07999782562257</v>
      </c>
      <c r="D16881">
        <v>8</v>
      </c>
      <c r="E16881" s="80">
        <v>35919</v>
      </c>
    </row>
    <row r="16882" spans="1:5">
      <c r="A16882">
        <v>11068</v>
      </c>
      <c r="B16882" t="s">
        <v>172</v>
      </c>
      <c r="C16882">
        <v>1407.5999901294708</v>
      </c>
      <c r="D16882">
        <v>36</v>
      </c>
      <c r="E16882" s="80">
        <v>35919</v>
      </c>
    </row>
    <row r="16883" spans="1:5">
      <c r="A16883">
        <v>11068</v>
      </c>
      <c r="B16883" t="s">
        <v>173</v>
      </c>
      <c r="C16883">
        <v>1407.5999901294708</v>
      </c>
      <c r="D16883">
        <v>36</v>
      </c>
      <c r="E16883" s="80">
        <v>35919</v>
      </c>
    </row>
    <row r="16884" spans="1:5">
      <c r="A16884">
        <v>11068</v>
      </c>
      <c r="B16884" t="s">
        <v>174</v>
      </c>
      <c r="C16884">
        <v>1407.5999901294708</v>
      </c>
      <c r="D16884">
        <v>36</v>
      </c>
      <c r="E16884" s="80">
        <v>35919</v>
      </c>
    </row>
    <row r="16885" spans="1:5">
      <c r="A16885">
        <v>11068</v>
      </c>
      <c r="B16885" t="s">
        <v>175</v>
      </c>
      <c r="C16885">
        <v>1407.5999901294708</v>
      </c>
      <c r="D16885">
        <v>36</v>
      </c>
      <c r="E16885" s="80">
        <v>35919</v>
      </c>
    </row>
    <row r="16886" spans="1:5">
      <c r="A16886">
        <v>11068</v>
      </c>
      <c r="B16886" t="s">
        <v>176</v>
      </c>
      <c r="C16886">
        <v>1407.5999901294708</v>
      </c>
      <c r="D16886">
        <v>36</v>
      </c>
      <c r="E16886" s="80">
        <v>35919</v>
      </c>
    </row>
    <row r="16887" spans="1:5">
      <c r="A16887">
        <v>11068</v>
      </c>
      <c r="B16887" t="s">
        <v>177</v>
      </c>
      <c r="C16887">
        <v>1407.5999901294708</v>
      </c>
      <c r="D16887">
        <v>36</v>
      </c>
      <c r="E16887" s="80">
        <v>35919</v>
      </c>
    </row>
    <row r="16888" spans="1:5">
      <c r="A16888">
        <v>11068</v>
      </c>
      <c r="B16888" t="s">
        <v>178</v>
      </c>
      <c r="C16888">
        <v>1407.5999901294708</v>
      </c>
      <c r="D16888">
        <v>36</v>
      </c>
      <c r="E16888" s="80">
        <v>35919</v>
      </c>
    </row>
    <row r="16889" spans="1:5">
      <c r="A16889">
        <v>11068</v>
      </c>
      <c r="B16889" t="s">
        <v>179</v>
      </c>
      <c r="C16889">
        <v>1407.5999901294708</v>
      </c>
      <c r="D16889">
        <v>36</v>
      </c>
      <c r="E16889" s="80">
        <v>35919</v>
      </c>
    </row>
    <row r="16890" spans="1:5">
      <c r="A16890">
        <v>11068</v>
      </c>
      <c r="B16890" t="s">
        <v>172</v>
      </c>
      <c r="C16890">
        <v>309.39999783039093</v>
      </c>
      <c r="D16890">
        <v>28</v>
      </c>
      <c r="E16890" s="80">
        <v>35919</v>
      </c>
    </row>
    <row r="16891" spans="1:5">
      <c r="A16891">
        <v>11068</v>
      </c>
      <c r="B16891" t="s">
        <v>173</v>
      </c>
      <c r="C16891">
        <v>309.39999783039093</v>
      </c>
      <c r="D16891">
        <v>28</v>
      </c>
      <c r="E16891" s="80">
        <v>35919</v>
      </c>
    </row>
    <row r="16892" spans="1:5">
      <c r="A16892">
        <v>11068</v>
      </c>
      <c r="B16892" t="s">
        <v>174</v>
      </c>
      <c r="C16892">
        <v>309.39999783039093</v>
      </c>
      <c r="D16892">
        <v>28</v>
      </c>
      <c r="E16892" s="80">
        <v>35919</v>
      </c>
    </row>
    <row r="16893" spans="1:5">
      <c r="A16893">
        <v>11068</v>
      </c>
      <c r="B16893" t="s">
        <v>175</v>
      </c>
      <c r="C16893">
        <v>309.39999783039093</v>
      </c>
      <c r="D16893">
        <v>28</v>
      </c>
      <c r="E16893" s="80">
        <v>35919</v>
      </c>
    </row>
    <row r="16894" spans="1:5">
      <c r="A16894">
        <v>11068</v>
      </c>
      <c r="B16894" t="s">
        <v>176</v>
      </c>
      <c r="C16894">
        <v>309.39999783039093</v>
      </c>
      <c r="D16894">
        <v>28</v>
      </c>
      <c r="E16894" s="80">
        <v>35919</v>
      </c>
    </row>
    <row r="16895" spans="1:5">
      <c r="A16895">
        <v>11068</v>
      </c>
      <c r="B16895" t="s">
        <v>177</v>
      </c>
      <c r="C16895">
        <v>309.39999783039093</v>
      </c>
      <c r="D16895">
        <v>28</v>
      </c>
      <c r="E16895" s="80">
        <v>35919</v>
      </c>
    </row>
    <row r="16896" spans="1:5">
      <c r="A16896">
        <v>11068</v>
      </c>
      <c r="B16896" t="s">
        <v>178</v>
      </c>
      <c r="C16896">
        <v>309.39999783039093</v>
      </c>
      <c r="D16896">
        <v>28</v>
      </c>
      <c r="E16896" s="80">
        <v>35919</v>
      </c>
    </row>
    <row r="16897" spans="1:5">
      <c r="A16897">
        <v>11068</v>
      </c>
      <c r="B16897" t="s">
        <v>179</v>
      </c>
      <c r="C16897">
        <v>309.39999783039093</v>
      </c>
      <c r="D16897">
        <v>28</v>
      </c>
      <c r="E16897" s="80">
        <v>35919</v>
      </c>
    </row>
    <row r="16898" spans="1:5">
      <c r="A16898">
        <v>11069</v>
      </c>
      <c r="B16898" t="s">
        <v>172</v>
      </c>
      <c r="C16898">
        <v>360</v>
      </c>
      <c r="D16898">
        <v>20</v>
      </c>
      <c r="E16898" s="80">
        <v>35919</v>
      </c>
    </row>
    <row r="16899" spans="1:5">
      <c r="A16899">
        <v>11069</v>
      </c>
      <c r="B16899" t="s">
        <v>173</v>
      </c>
      <c r="C16899">
        <v>360</v>
      </c>
      <c r="D16899">
        <v>20</v>
      </c>
      <c r="E16899" s="80">
        <v>35919</v>
      </c>
    </row>
    <row r="16900" spans="1:5">
      <c r="A16900">
        <v>11069</v>
      </c>
      <c r="B16900" t="s">
        <v>174</v>
      </c>
      <c r="C16900">
        <v>360</v>
      </c>
      <c r="D16900">
        <v>20</v>
      </c>
      <c r="E16900" s="80">
        <v>35919</v>
      </c>
    </row>
    <row r="16901" spans="1:5">
      <c r="A16901">
        <v>11069</v>
      </c>
      <c r="B16901" t="s">
        <v>175</v>
      </c>
      <c r="C16901">
        <v>360</v>
      </c>
      <c r="D16901">
        <v>20</v>
      </c>
      <c r="E16901" s="80">
        <v>35919</v>
      </c>
    </row>
    <row r="16902" spans="1:5">
      <c r="A16902">
        <v>11069</v>
      </c>
      <c r="B16902" t="s">
        <v>176</v>
      </c>
      <c r="C16902">
        <v>360</v>
      </c>
      <c r="D16902">
        <v>20</v>
      </c>
      <c r="E16902" s="80">
        <v>35919</v>
      </c>
    </row>
    <row r="16903" spans="1:5">
      <c r="A16903">
        <v>11069</v>
      </c>
      <c r="B16903" t="s">
        <v>177</v>
      </c>
      <c r="C16903">
        <v>360</v>
      </c>
      <c r="D16903">
        <v>20</v>
      </c>
      <c r="E16903" s="80">
        <v>35919</v>
      </c>
    </row>
    <row r="16904" spans="1:5">
      <c r="A16904">
        <v>11069</v>
      </c>
      <c r="B16904" t="s">
        <v>178</v>
      </c>
      <c r="C16904">
        <v>360</v>
      </c>
      <c r="D16904">
        <v>20</v>
      </c>
      <c r="E16904" s="80">
        <v>35919</v>
      </c>
    </row>
    <row r="16905" spans="1:5">
      <c r="A16905">
        <v>11069</v>
      </c>
      <c r="B16905" t="s">
        <v>179</v>
      </c>
      <c r="C16905">
        <v>360</v>
      </c>
      <c r="D16905">
        <v>20</v>
      </c>
      <c r="E16905" s="80">
        <v>35919</v>
      </c>
    </row>
    <row r="16906" spans="1:5">
      <c r="A16906">
        <v>11070</v>
      </c>
      <c r="B16906" t="s">
        <v>172</v>
      </c>
      <c r="C16906">
        <v>611.99999570846558</v>
      </c>
      <c r="D16906">
        <v>40</v>
      </c>
      <c r="E16906" s="80">
        <v>35920</v>
      </c>
    </row>
    <row r="16907" spans="1:5">
      <c r="A16907">
        <v>11070</v>
      </c>
      <c r="B16907" t="s">
        <v>173</v>
      </c>
      <c r="C16907">
        <v>611.99999570846558</v>
      </c>
      <c r="D16907">
        <v>40</v>
      </c>
      <c r="E16907" s="80">
        <v>35920</v>
      </c>
    </row>
    <row r="16908" spans="1:5">
      <c r="A16908">
        <v>11070</v>
      </c>
      <c r="B16908" t="s">
        <v>174</v>
      </c>
      <c r="C16908">
        <v>611.99999570846558</v>
      </c>
      <c r="D16908">
        <v>40</v>
      </c>
      <c r="E16908" s="80">
        <v>35920</v>
      </c>
    </row>
    <row r="16909" spans="1:5">
      <c r="A16909">
        <v>11070</v>
      </c>
      <c r="B16909" t="s">
        <v>175</v>
      </c>
      <c r="C16909">
        <v>611.99999570846558</v>
      </c>
      <c r="D16909">
        <v>40</v>
      </c>
      <c r="E16909" s="80">
        <v>35920</v>
      </c>
    </row>
    <row r="16910" spans="1:5">
      <c r="A16910">
        <v>11070</v>
      </c>
      <c r="B16910" t="s">
        <v>176</v>
      </c>
      <c r="C16910">
        <v>611.99999570846558</v>
      </c>
      <c r="D16910">
        <v>40</v>
      </c>
      <c r="E16910" s="80">
        <v>35920</v>
      </c>
    </row>
    <row r="16911" spans="1:5">
      <c r="A16911">
        <v>11070</v>
      </c>
      <c r="B16911" t="s">
        <v>177</v>
      </c>
      <c r="C16911">
        <v>611.99999570846558</v>
      </c>
      <c r="D16911">
        <v>40</v>
      </c>
      <c r="E16911" s="80">
        <v>35920</v>
      </c>
    </row>
    <row r="16912" spans="1:5">
      <c r="A16912">
        <v>11070</v>
      </c>
      <c r="B16912" t="s">
        <v>178</v>
      </c>
      <c r="C16912">
        <v>611.99999570846558</v>
      </c>
      <c r="D16912">
        <v>40</v>
      </c>
      <c r="E16912" s="80">
        <v>35920</v>
      </c>
    </row>
    <row r="16913" spans="1:5">
      <c r="A16913">
        <v>11070</v>
      </c>
      <c r="B16913" t="s">
        <v>179</v>
      </c>
      <c r="C16913">
        <v>611.99999570846558</v>
      </c>
      <c r="D16913">
        <v>40</v>
      </c>
      <c r="E16913" s="80">
        <v>35920</v>
      </c>
    </row>
    <row r="16914" spans="1:5">
      <c r="A16914">
        <v>11070</v>
      </c>
      <c r="B16914" t="s">
        <v>172</v>
      </c>
      <c r="C16914">
        <v>322.9999977350235</v>
      </c>
      <c r="D16914">
        <v>20</v>
      </c>
      <c r="E16914" s="80">
        <v>35920</v>
      </c>
    </row>
    <row r="16915" spans="1:5">
      <c r="A16915">
        <v>11070</v>
      </c>
      <c r="B16915" t="s">
        <v>173</v>
      </c>
      <c r="C16915">
        <v>322.9999977350235</v>
      </c>
      <c r="D16915">
        <v>20</v>
      </c>
      <c r="E16915" s="80">
        <v>35920</v>
      </c>
    </row>
    <row r="16916" spans="1:5">
      <c r="A16916">
        <v>11070</v>
      </c>
      <c r="B16916" t="s">
        <v>174</v>
      </c>
      <c r="C16916">
        <v>322.9999977350235</v>
      </c>
      <c r="D16916">
        <v>20</v>
      </c>
      <c r="E16916" s="80">
        <v>35920</v>
      </c>
    </row>
    <row r="16917" spans="1:5">
      <c r="A16917">
        <v>11070</v>
      </c>
      <c r="B16917" t="s">
        <v>175</v>
      </c>
      <c r="C16917">
        <v>322.9999977350235</v>
      </c>
      <c r="D16917">
        <v>20</v>
      </c>
      <c r="E16917" s="80">
        <v>35920</v>
      </c>
    </row>
    <row r="16918" spans="1:5">
      <c r="A16918">
        <v>11070</v>
      </c>
      <c r="B16918" t="s">
        <v>176</v>
      </c>
      <c r="C16918">
        <v>322.9999977350235</v>
      </c>
      <c r="D16918">
        <v>20</v>
      </c>
      <c r="E16918" s="80">
        <v>35920</v>
      </c>
    </row>
    <row r="16919" spans="1:5">
      <c r="A16919">
        <v>11070</v>
      </c>
      <c r="B16919" t="s">
        <v>177</v>
      </c>
      <c r="C16919">
        <v>322.9999977350235</v>
      </c>
      <c r="D16919">
        <v>20</v>
      </c>
      <c r="E16919" s="80">
        <v>35920</v>
      </c>
    </row>
    <row r="16920" spans="1:5">
      <c r="A16920">
        <v>11070</v>
      </c>
      <c r="B16920" t="s">
        <v>178</v>
      </c>
      <c r="C16920">
        <v>322.9999977350235</v>
      </c>
      <c r="D16920">
        <v>20</v>
      </c>
      <c r="E16920" s="80">
        <v>35920</v>
      </c>
    </row>
    <row r="16921" spans="1:5">
      <c r="A16921">
        <v>11070</v>
      </c>
      <c r="B16921" t="s">
        <v>179</v>
      </c>
      <c r="C16921">
        <v>322.9999977350235</v>
      </c>
      <c r="D16921">
        <v>20</v>
      </c>
      <c r="E16921" s="80">
        <v>35920</v>
      </c>
    </row>
    <row r="16922" spans="1:5">
      <c r="A16922">
        <v>11070</v>
      </c>
      <c r="B16922" t="s">
        <v>172</v>
      </c>
      <c r="C16922">
        <v>444.97499687969685</v>
      </c>
      <c r="D16922">
        <v>30</v>
      </c>
      <c r="E16922" s="80">
        <v>35920</v>
      </c>
    </row>
    <row r="16923" spans="1:5">
      <c r="A16923">
        <v>11070</v>
      </c>
      <c r="B16923" t="s">
        <v>173</v>
      </c>
      <c r="C16923">
        <v>444.97499687969685</v>
      </c>
      <c r="D16923">
        <v>30</v>
      </c>
      <c r="E16923" s="80">
        <v>35920</v>
      </c>
    </row>
    <row r="16924" spans="1:5">
      <c r="A16924">
        <v>11070</v>
      </c>
      <c r="B16924" t="s">
        <v>174</v>
      </c>
      <c r="C16924">
        <v>444.97499687969685</v>
      </c>
      <c r="D16924">
        <v>30</v>
      </c>
      <c r="E16924" s="80">
        <v>35920</v>
      </c>
    </row>
    <row r="16925" spans="1:5">
      <c r="A16925">
        <v>11070</v>
      </c>
      <c r="B16925" t="s">
        <v>175</v>
      </c>
      <c r="C16925">
        <v>444.97499687969685</v>
      </c>
      <c r="D16925">
        <v>30</v>
      </c>
      <c r="E16925" s="80">
        <v>35920</v>
      </c>
    </row>
    <row r="16926" spans="1:5">
      <c r="A16926">
        <v>11070</v>
      </c>
      <c r="B16926" t="s">
        <v>176</v>
      </c>
      <c r="C16926">
        <v>444.97499687969685</v>
      </c>
      <c r="D16926">
        <v>30</v>
      </c>
      <c r="E16926" s="80">
        <v>35920</v>
      </c>
    </row>
    <row r="16927" spans="1:5">
      <c r="A16927">
        <v>11070</v>
      </c>
      <c r="B16927" t="s">
        <v>177</v>
      </c>
      <c r="C16927">
        <v>444.97499687969685</v>
      </c>
      <c r="D16927">
        <v>30</v>
      </c>
      <c r="E16927" s="80">
        <v>35920</v>
      </c>
    </row>
    <row r="16928" spans="1:5">
      <c r="A16928">
        <v>11070</v>
      </c>
      <c r="B16928" t="s">
        <v>178</v>
      </c>
      <c r="C16928">
        <v>444.97499687969685</v>
      </c>
      <c r="D16928">
        <v>30</v>
      </c>
      <c r="E16928" s="80">
        <v>35920</v>
      </c>
    </row>
    <row r="16929" spans="1:5">
      <c r="A16929">
        <v>11070</v>
      </c>
      <c r="B16929" t="s">
        <v>179</v>
      </c>
      <c r="C16929">
        <v>444.97499687969685</v>
      </c>
      <c r="D16929">
        <v>30</v>
      </c>
      <c r="E16929" s="80">
        <v>35920</v>
      </c>
    </row>
    <row r="16930" spans="1:5">
      <c r="A16930">
        <v>11070</v>
      </c>
      <c r="B16930" t="s">
        <v>172</v>
      </c>
      <c r="C16930">
        <v>250</v>
      </c>
      <c r="D16930">
        <v>20</v>
      </c>
      <c r="E16930" s="80">
        <v>35920</v>
      </c>
    </row>
    <row r="16931" spans="1:5">
      <c r="A16931">
        <v>11070</v>
      </c>
      <c r="B16931" t="s">
        <v>173</v>
      </c>
      <c r="C16931">
        <v>250</v>
      </c>
      <c r="D16931">
        <v>20</v>
      </c>
      <c r="E16931" s="80">
        <v>35920</v>
      </c>
    </row>
    <row r="16932" spans="1:5">
      <c r="A16932">
        <v>11070</v>
      </c>
      <c r="B16932" t="s">
        <v>174</v>
      </c>
      <c r="C16932">
        <v>250</v>
      </c>
      <c r="D16932">
        <v>20</v>
      </c>
      <c r="E16932" s="80">
        <v>35920</v>
      </c>
    </row>
    <row r="16933" spans="1:5">
      <c r="A16933">
        <v>11070</v>
      </c>
      <c r="B16933" t="s">
        <v>175</v>
      </c>
      <c r="C16933">
        <v>250</v>
      </c>
      <c r="D16933">
        <v>20</v>
      </c>
      <c r="E16933" s="80">
        <v>35920</v>
      </c>
    </row>
    <row r="16934" spans="1:5">
      <c r="A16934">
        <v>11070</v>
      </c>
      <c r="B16934" t="s">
        <v>176</v>
      </c>
      <c r="C16934">
        <v>250</v>
      </c>
      <c r="D16934">
        <v>20</v>
      </c>
      <c r="E16934" s="80">
        <v>35920</v>
      </c>
    </row>
    <row r="16935" spans="1:5">
      <c r="A16935">
        <v>11070</v>
      </c>
      <c r="B16935" t="s">
        <v>177</v>
      </c>
      <c r="C16935">
        <v>250</v>
      </c>
      <c r="D16935">
        <v>20</v>
      </c>
      <c r="E16935" s="80">
        <v>35920</v>
      </c>
    </row>
    <row r="16936" spans="1:5">
      <c r="A16936">
        <v>11070</v>
      </c>
      <c r="B16936" t="s">
        <v>178</v>
      </c>
      <c r="C16936">
        <v>250</v>
      </c>
      <c r="D16936">
        <v>20</v>
      </c>
      <c r="E16936" s="80">
        <v>35920</v>
      </c>
    </row>
    <row r="16937" spans="1:5">
      <c r="A16937">
        <v>11070</v>
      </c>
      <c r="B16937" t="s">
        <v>179</v>
      </c>
      <c r="C16937">
        <v>250</v>
      </c>
      <c r="D16937">
        <v>20</v>
      </c>
      <c r="E16937" s="80">
        <v>35920</v>
      </c>
    </row>
    <row r="16938" spans="1:5">
      <c r="A16938">
        <v>11071</v>
      </c>
      <c r="B16938" t="s">
        <v>172</v>
      </c>
      <c r="C16938">
        <v>427.49999966472387</v>
      </c>
      <c r="D16938">
        <v>15</v>
      </c>
      <c r="E16938" s="80">
        <v>35920</v>
      </c>
    </row>
    <row r="16939" spans="1:5">
      <c r="A16939">
        <v>11071</v>
      </c>
      <c r="B16939" t="s">
        <v>173</v>
      </c>
      <c r="C16939">
        <v>427.49999966472387</v>
      </c>
      <c r="D16939">
        <v>15</v>
      </c>
      <c r="E16939" s="80">
        <v>35920</v>
      </c>
    </row>
    <row r="16940" spans="1:5">
      <c r="A16940">
        <v>11071</v>
      </c>
      <c r="B16940" t="s">
        <v>174</v>
      </c>
      <c r="C16940">
        <v>427.49999966472387</v>
      </c>
      <c r="D16940">
        <v>15</v>
      </c>
      <c r="E16940" s="80">
        <v>35920</v>
      </c>
    </row>
    <row r="16941" spans="1:5">
      <c r="A16941">
        <v>11071</v>
      </c>
      <c r="B16941" t="s">
        <v>175</v>
      </c>
      <c r="C16941">
        <v>427.49999966472387</v>
      </c>
      <c r="D16941">
        <v>15</v>
      </c>
      <c r="E16941" s="80">
        <v>35920</v>
      </c>
    </row>
    <row r="16942" spans="1:5">
      <c r="A16942">
        <v>11071</v>
      </c>
      <c r="B16942" t="s">
        <v>176</v>
      </c>
      <c r="C16942">
        <v>427.49999966472387</v>
      </c>
      <c r="D16942">
        <v>15</v>
      </c>
      <c r="E16942" s="80">
        <v>35920</v>
      </c>
    </row>
    <row r="16943" spans="1:5">
      <c r="A16943">
        <v>11071</v>
      </c>
      <c r="B16943" t="s">
        <v>177</v>
      </c>
      <c r="C16943">
        <v>427.49999966472387</v>
      </c>
      <c r="D16943">
        <v>15</v>
      </c>
      <c r="E16943" s="80">
        <v>35920</v>
      </c>
    </row>
    <row r="16944" spans="1:5">
      <c r="A16944">
        <v>11071</v>
      </c>
      <c r="B16944" t="s">
        <v>178</v>
      </c>
      <c r="C16944">
        <v>427.49999966472387</v>
      </c>
      <c r="D16944">
        <v>15</v>
      </c>
      <c r="E16944" s="80">
        <v>35920</v>
      </c>
    </row>
    <row r="16945" spans="1:5">
      <c r="A16945">
        <v>11071</v>
      </c>
      <c r="B16945" t="s">
        <v>179</v>
      </c>
      <c r="C16945">
        <v>427.49999966472387</v>
      </c>
      <c r="D16945">
        <v>15</v>
      </c>
      <c r="E16945" s="80">
        <v>35920</v>
      </c>
    </row>
    <row r="16946" spans="1:5">
      <c r="A16946">
        <v>11071</v>
      </c>
      <c r="B16946" t="s">
        <v>172</v>
      </c>
      <c r="C16946">
        <v>56.999999955296516</v>
      </c>
      <c r="D16946">
        <v>10</v>
      </c>
      <c r="E16946" s="80">
        <v>35920</v>
      </c>
    </row>
    <row r="16947" spans="1:5">
      <c r="A16947">
        <v>11071</v>
      </c>
      <c r="B16947" t="s">
        <v>173</v>
      </c>
      <c r="C16947">
        <v>56.999999955296516</v>
      </c>
      <c r="D16947">
        <v>10</v>
      </c>
      <c r="E16947" s="80">
        <v>35920</v>
      </c>
    </row>
    <row r="16948" spans="1:5">
      <c r="A16948">
        <v>11071</v>
      </c>
      <c r="B16948" t="s">
        <v>174</v>
      </c>
      <c r="C16948">
        <v>56.999999955296516</v>
      </c>
      <c r="D16948">
        <v>10</v>
      </c>
      <c r="E16948" s="80">
        <v>35920</v>
      </c>
    </row>
    <row r="16949" spans="1:5">
      <c r="A16949">
        <v>11071</v>
      </c>
      <c r="B16949" t="s">
        <v>175</v>
      </c>
      <c r="C16949">
        <v>56.999999955296516</v>
      </c>
      <c r="D16949">
        <v>10</v>
      </c>
      <c r="E16949" s="80">
        <v>35920</v>
      </c>
    </row>
    <row r="16950" spans="1:5">
      <c r="A16950">
        <v>11071</v>
      </c>
      <c r="B16950" t="s">
        <v>176</v>
      </c>
      <c r="C16950">
        <v>56.999999955296516</v>
      </c>
      <c r="D16950">
        <v>10</v>
      </c>
      <c r="E16950" s="80">
        <v>35920</v>
      </c>
    </row>
    <row r="16951" spans="1:5">
      <c r="A16951">
        <v>11071</v>
      </c>
      <c r="B16951" t="s">
        <v>177</v>
      </c>
      <c r="C16951">
        <v>56.999999955296516</v>
      </c>
      <c r="D16951">
        <v>10</v>
      </c>
      <c r="E16951" s="80">
        <v>35920</v>
      </c>
    </row>
    <row r="16952" spans="1:5">
      <c r="A16952">
        <v>11071</v>
      </c>
      <c r="B16952" t="s">
        <v>178</v>
      </c>
      <c r="C16952">
        <v>56.999999955296516</v>
      </c>
      <c r="D16952">
        <v>10</v>
      </c>
      <c r="E16952" s="80">
        <v>35920</v>
      </c>
    </row>
    <row r="16953" spans="1:5">
      <c r="A16953">
        <v>11071</v>
      </c>
      <c r="B16953" t="s">
        <v>179</v>
      </c>
      <c r="C16953">
        <v>56.999999955296516</v>
      </c>
      <c r="D16953">
        <v>10</v>
      </c>
      <c r="E16953" s="80">
        <v>35920</v>
      </c>
    </row>
    <row r="16954" spans="1:5">
      <c r="A16954">
        <v>11072</v>
      </c>
      <c r="B16954" t="s">
        <v>172</v>
      </c>
      <c r="C16954">
        <v>152</v>
      </c>
      <c r="D16954">
        <v>8</v>
      </c>
      <c r="E16954" s="80">
        <v>35920</v>
      </c>
    </row>
    <row r="16955" spans="1:5">
      <c r="A16955">
        <v>11072</v>
      </c>
      <c r="B16955" t="s">
        <v>173</v>
      </c>
      <c r="C16955">
        <v>152</v>
      </c>
      <c r="D16955">
        <v>8</v>
      </c>
      <c r="E16955" s="80">
        <v>35920</v>
      </c>
    </row>
    <row r="16956" spans="1:5">
      <c r="A16956">
        <v>11072</v>
      </c>
      <c r="B16956" t="s">
        <v>174</v>
      </c>
      <c r="C16956">
        <v>152</v>
      </c>
      <c r="D16956">
        <v>8</v>
      </c>
      <c r="E16956" s="80">
        <v>35920</v>
      </c>
    </row>
    <row r="16957" spans="1:5">
      <c r="A16957">
        <v>11072</v>
      </c>
      <c r="B16957" t="s">
        <v>175</v>
      </c>
      <c r="C16957">
        <v>152</v>
      </c>
      <c r="D16957">
        <v>8</v>
      </c>
      <c r="E16957" s="80">
        <v>35920</v>
      </c>
    </row>
    <row r="16958" spans="1:5">
      <c r="A16958">
        <v>11072</v>
      </c>
      <c r="B16958" t="s">
        <v>176</v>
      </c>
      <c r="C16958">
        <v>152</v>
      </c>
      <c r="D16958">
        <v>8</v>
      </c>
      <c r="E16958" s="80">
        <v>35920</v>
      </c>
    </row>
    <row r="16959" spans="1:5">
      <c r="A16959">
        <v>11072</v>
      </c>
      <c r="B16959" t="s">
        <v>177</v>
      </c>
      <c r="C16959">
        <v>152</v>
      </c>
      <c r="D16959">
        <v>8</v>
      </c>
      <c r="E16959" s="80">
        <v>35920</v>
      </c>
    </row>
    <row r="16960" spans="1:5">
      <c r="A16960">
        <v>11072</v>
      </c>
      <c r="B16960" t="s">
        <v>178</v>
      </c>
      <c r="C16960">
        <v>152</v>
      </c>
      <c r="D16960">
        <v>8</v>
      </c>
      <c r="E16960" s="80">
        <v>35920</v>
      </c>
    </row>
    <row r="16961" spans="1:5">
      <c r="A16961">
        <v>11072</v>
      </c>
      <c r="B16961" t="s">
        <v>179</v>
      </c>
      <c r="C16961">
        <v>152</v>
      </c>
      <c r="D16961">
        <v>8</v>
      </c>
      <c r="E16961" s="80">
        <v>35920</v>
      </c>
    </row>
    <row r="16962" spans="1:5">
      <c r="A16962">
        <v>11072</v>
      </c>
      <c r="B16962" t="s">
        <v>172</v>
      </c>
      <c r="C16962">
        <v>386</v>
      </c>
      <c r="D16962">
        <v>40</v>
      </c>
      <c r="E16962" s="80">
        <v>35920</v>
      </c>
    </row>
    <row r="16963" spans="1:5">
      <c r="A16963">
        <v>11072</v>
      </c>
      <c r="B16963" t="s">
        <v>173</v>
      </c>
      <c r="C16963">
        <v>386</v>
      </c>
      <c r="D16963">
        <v>40</v>
      </c>
      <c r="E16963" s="80">
        <v>35920</v>
      </c>
    </row>
    <row r="16964" spans="1:5">
      <c r="A16964">
        <v>11072</v>
      </c>
      <c r="B16964" t="s">
        <v>174</v>
      </c>
      <c r="C16964">
        <v>386</v>
      </c>
      <c r="D16964">
        <v>40</v>
      </c>
      <c r="E16964" s="80">
        <v>35920</v>
      </c>
    </row>
    <row r="16965" spans="1:5">
      <c r="A16965">
        <v>11072</v>
      </c>
      <c r="B16965" t="s">
        <v>175</v>
      </c>
      <c r="C16965">
        <v>386</v>
      </c>
      <c r="D16965">
        <v>40</v>
      </c>
      <c r="E16965" s="80">
        <v>35920</v>
      </c>
    </row>
    <row r="16966" spans="1:5">
      <c r="A16966">
        <v>11072</v>
      </c>
      <c r="B16966" t="s">
        <v>176</v>
      </c>
      <c r="C16966">
        <v>386</v>
      </c>
      <c r="D16966">
        <v>40</v>
      </c>
      <c r="E16966" s="80">
        <v>35920</v>
      </c>
    </row>
    <row r="16967" spans="1:5">
      <c r="A16967">
        <v>11072</v>
      </c>
      <c r="B16967" t="s">
        <v>177</v>
      </c>
      <c r="C16967">
        <v>386</v>
      </c>
      <c r="D16967">
        <v>40</v>
      </c>
      <c r="E16967" s="80">
        <v>35920</v>
      </c>
    </row>
    <row r="16968" spans="1:5">
      <c r="A16968">
        <v>11072</v>
      </c>
      <c r="B16968" t="s">
        <v>178</v>
      </c>
      <c r="C16968">
        <v>386</v>
      </c>
      <c r="D16968">
        <v>40</v>
      </c>
      <c r="E16968" s="80">
        <v>35920</v>
      </c>
    </row>
    <row r="16969" spans="1:5">
      <c r="A16969">
        <v>11072</v>
      </c>
      <c r="B16969" t="s">
        <v>179</v>
      </c>
      <c r="C16969">
        <v>386</v>
      </c>
      <c r="D16969">
        <v>40</v>
      </c>
      <c r="E16969" s="80">
        <v>35920</v>
      </c>
    </row>
    <row r="16970" spans="1:5">
      <c r="A16970">
        <v>11072</v>
      </c>
      <c r="B16970" t="s">
        <v>172</v>
      </c>
      <c r="C16970">
        <v>357.5</v>
      </c>
      <c r="D16970">
        <v>22</v>
      </c>
      <c r="E16970" s="80">
        <v>35920</v>
      </c>
    </row>
    <row r="16971" spans="1:5">
      <c r="A16971">
        <v>11072</v>
      </c>
      <c r="B16971" t="s">
        <v>173</v>
      </c>
      <c r="C16971">
        <v>357.5</v>
      </c>
      <c r="D16971">
        <v>22</v>
      </c>
      <c r="E16971" s="80">
        <v>35920</v>
      </c>
    </row>
    <row r="16972" spans="1:5">
      <c r="A16972">
        <v>11072</v>
      </c>
      <c r="B16972" t="s">
        <v>174</v>
      </c>
      <c r="C16972">
        <v>357.5</v>
      </c>
      <c r="D16972">
        <v>22</v>
      </c>
      <c r="E16972" s="80">
        <v>35920</v>
      </c>
    </row>
    <row r="16973" spans="1:5">
      <c r="A16973">
        <v>11072</v>
      </c>
      <c r="B16973" t="s">
        <v>175</v>
      </c>
      <c r="C16973">
        <v>357.5</v>
      </c>
      <c r="D16973">
        <v>22</v>
      </c>
      <c r="E16973" s="80">
        <v>35920</v>
      </c>
    </row>
    <row r="16974" spans="1:5">
      <c r="A16974">
        <v>11072</v>
      </c>
      <c r="B16974" t="s">
        <v>176</v>
      </c>
      <c r="C16974">
        <v>357.5</v>
      </c>
      <c r="D16974">
        <v>22</v>
      </c>
      <c r="E16974" s="80">
        <v>35920</v>
      </c>
    </row>
    <row r="16975" spans="1:5">
      <c r="A16975">
        <v>11072</v>
      </c>
      <c r="B16975" t="s">
        <v>177</v>
      </c>
      <c r="C16975">
        <v>357.5</v>
      </c>
      <c r="D16975">
        <v>22</v>
      </c>
      <c r="E16975" s="80">
        <v>35920</v>
      </c>
    </row>
    <row r="16976" spans="1:5">
      <c r="A16976">
        <v>11072</v>
      </c>
      <c r="B16976" t="s">
        <v>178</v>
      </c>
      <c r="C16976">
        <v>357.5</v>
      </c>
      <c r="D16976">
        <v>22</v>
      </c>
      <c r="E16976" s="80">
        <v>35920</v>
      </c>
    </row>
    <row r="16977" spans="1:5">
      <c r="A16977">
        <v>11072</v>
      </c>
      <c r="B16977" t="s">
        <v>179</v>
      </c>
      <c r="C16977">
        <v>357.5</v>
      </c>
      <c r="D16977">
        <v>22</v>
      </c>
      <c r="E16977" s="80">
        <v>35920</v>
      </c>
    </row>
    <row r="16978" spans="1:5">
      <c r="A16978">
        <v>11072</v>
      </c>
      <c r="B16978" t="s">
        <v>172</v>
      </c>
      <c r="C16978">
        <v>4322.5</v>
      </c>
      <c r="D16978">
        <v>130</v>
      </c>
      <c r="E16978" s="80">
        <v>35920</v>
      </c>
    </row>
    <row r="16979" spans="1:5">
      <c r="A16979">
        <v>11072</v>
      </c>
      <c r="B16979" t="s">
        <v>173</v>
      </c>
      <c r="C16979">
        <v>4322.5</v>
      </c>
      <c r="D16979">
        <v>130</v>
      </c>
      <c r="E16979" s="80">
        <v>35920</v>
      </c>
    </row>
    <row r="16980" spans="1:5">
      <c r="A16980">
        <v>11072</v>
      </c>
      <c r="B16980" t="s">
        <v>174</v>
      </c>
      <c r="C16980">
        <v>4322.5</v>
      </c>
      <c r="D16980">
        <v>130</v>
      </c>
      <c r="E16980" s="80">
        <v>35920</v>
      </c>
    </row>
    <row r="16981" spans="1:5">
      <c r="A16981">
        <v>11072</v>
      </c>
      <c r="B16981" t="s">
        <v>175</v>
      </c>
      <c r="C16981">
        <v>4322.5</v>
      </c>
      <c r="D16981">
        <v>130</v>
      </c>
      <c r="E16981" s="80">
        <v>35920</v>
      </c>
    </row>
    <row r="16982" spans="1:5">
      <c r="A16982">
        <v>11072</v>
      </c>
      <c r="B16982" t="s">
        <v>176</v>
      </c>
      <c r="C16982">
        <v>4322.5</v>
      </c>
      <c r="D16982">
        <v>130</v>
      </c>
      <c r="E16982" s="80">
        <v>35920</v>
      </c>
    </row>
    <row r="16983" spans="1:5">
      <c r="A16983">
        <v>11072</v>
      </c>
      <c r="B16983" t="s">
        <v>177</v>
      </c>
      <c r="C16983">
        <v>4322.5</v>
      </c>
      <c r="D16983">
        <v>130</v>
      </c>
      <c r="E16983" s="80">
        <v>35920</v>
      </c>
    </row>
    <row r="16984" spans="1:5">
      <c r="A16984">
        <v>11072</v>
      </c>
      <c r="B16984" t="s">
        <v>178</v>
      </c>
      <c r="C16984">
        <v>4322.5</v>
      </c>
      <c r="D16984">
        <v>130</v>
      </c>
      <c r="E16984" s="80">
        <v>35920</v>
      </c>
    </row>
    <row r="16985" spans="1:5">
      <c r="A16985">
        <v>11072</v>
      </c>
      <c r="B16985" t="s">
        <v>179</v>
      </c>
      <c r="C16985">
        <v>4322.5</v>
      </c>
      <c r="D16985">
        <v>130</v>
      </c>
      <c r="E16985" s="80">
        <v>35920</v>
      </c>
    </row>
    <row r="16986" spans="1:5">
      <c r="A16986">
        <v>11073</v>
      </c>
      <c r="B16986" t="s">
        <v>172</v>
      </c>
      <c r="C16986">
        <v>210</v>
      </c>
      <c r="D16986">
        <v>10</v>
      </c>
      <c r="E16986" s="80">
        <v>35920</v>
      </c>
    </row>
    <row r="16987" spans="1:5">
      <c r="A16987">
        <v>11073</v>
      </c>
      <c r="B16987" t="s">
        <v>173</v>
      </c>
      <c r="C16987">
        <v>210</v>
      </c>
      <c r="D16987">
        <v>10</v>
      </c>
      <c r="E16987" s="80">
        <v>35920</v>
      </c>
    </row>
    <row r="16988" spans="1:5">
      <c r="A16988">
        <v>11073</v>
      </c>
      <c r="B16988" t="s">
        <v>174</v>
      </c>
      <c r="C16988">
        <v>210</v>
      </c>
      <c r="D16988">
        <v>10</v>
      </c>
      <c r="E16988" s="80">
        <v>35920</v>
      </c>
    </row>
    <row r="16989" spans="1:5">
      <c r="A16989">
        <v>11073</v>
      </c>
      <c r="B16989" t="s">
        <v>175</v>
      </c>
      <c r="C16989">
        <v>210</v>
      </c>
      <c r="D16989">
        <v>10</v>
      </c>
      <c r="E16989" s="80">
        <v>35920</v>
      </c>
    </row>
    <row r="16990" spans="1:5">
      <c r="A16990">
        <v>11073</v>
      </c>
      <c r="B16990" t="s">
        <v>176</v>
      </c>
      <c r="C16990">
        <v>210</v>
      </c>
      <c r="D16990">
        <v>10</v>
      </c>
      <c r="E16990" s="80">
        <v>35920</v>
      </c>
    </row>
    <row r="16991" spans="1:5">
      <c r="A16991">
        <v>11073</v>
      </c>
      <c r="B16991" t="s">
        <v>177</v>
      </c>
      <c r="C16991">
        <v>210</v>
      </c>
      <c r="D16991">
        <v>10</v>
      </c>
      <c r="E16991" s="80">
        <v>35920</v>
      </c>
    </row>
    <row r="16992" spans="1:5">
      <c r="A16992">
        <v>11073</v>
      </c>
      <c r="B16992" t="s">
        <v>178</v>
      </c>
      <c r="C16992">
        <v>210</v>
      </c>
      <c r="D16992">
        <v>10</v>
      </c>
      <c r="E16992" s="80">
        <v>35920</v>
      </c>
    </row>
    <row r="16993" spans="1:5">
      <c r="A16993">
        <v>11073</v>
      </c>
      <c r="B16993" t="s">
        <v>179</v>
      </c>
      <c r="C16993">
        <v>210</v>
      </c>
      <c r="D16993">
        <v>10</v>
      </c>
      <c r="E16993" s="80">
        <v>35920</v>
      </c>
    </row>
    <row r="16994" spans="1:5">
      <c r="A16994">
        <v>11073</v>
      </c>
      <c r="B16994" t="s">
        <v>172</v>
      </c>
      <c r="C16994">
        <v>90</v>
      </c>
      <c r="D16994">
        <v>20</v>
      </c>
      <c r="E16994" s="80">
        <v>35920</v>
      </c>
    </row>
    <row r="16995" spans="1:5">
      <c r="A16995">
        <v>11073</v>
      </c>
      <c r="B16995" t="s">
        <v>173</v>
      </c>
      <c r="C16995">
        <v>90</v>
      </c>
      <c r="D16995">
        <v>20</v>
      </c>
      <c r="E16995" s="80">
        <v>35920</v>
      </c>
    </row>
    <row r="16996" spans="1:5">
      <c r="A16996">
        <v>11073</v>
      </c>
      <c r="B16996" t="s">
        <v>174</v>
      </c>
      <c r="C16996">
        <v>90</v>
      </c>
      <c r="D16996">
        <v>20</v>
      </c>
      <c r="E16996" s="80">
        <v>35920</v>
      </c>
    </row>
    <row r="16997" spans="1:5">
      <c r="A16997">
        <v>11073</v>
      </c>
      <c r="B16997" t="s">
        <v>175</v>
      </c>
      <c r="C16997">
        <v>90</v>
      </c>
      <c r="D16997">
        <v>20</v>
      </c>
      <c r="E16997" s="80">
        <v>35920</v>
      </c>
    </row>
    <row r="16998" spans="1:5">
      <c r="A16998">
        <v>11073</v>
      </c>
      <c r="B16998" t="s">
        <v>176</v>
      </c>
      <c r="C16998">
        <v>90</v>
      </c>
      <c r="D16998">
        <v>20</v>
      </c>
      <c r="E16998" s="80">
        <v>35920</v>
      </c>
    </row>
    <row r="16999" spans="1:5">
      <c r="A16999">
        <v>11073</v>
      </c>
      <c r="B16999" t="s">
        <v>177</v>
      </c>
      <c r="C16999">
        <v>90</v>
      </c>
      <c r="D16999">
        <v>20</v>
      </c>
      <c r="E16999" s="80">
        <v>35920</v>
      </c>
    </row>
    <row r="17000" spans="1:5">
      <c r="A17000">
        <v>11073</v>
      </c>
      <c r="B17000" t="s">
        <v>178</v>
      </c>
      <c r="C17000">
        <v>90</v>
      </c>
      <c r="D17000">
        <v>20</v>
      </c>
      <c r="E17000" s="80">
        <v>35920</v>
      </c>
    </row>
    <row r="17001" spans="1:5">
      <c r="A17001">
        <v>11073</v>
      </c>
      <c r="B17001" t="s">
        <v>179</v>
      </c>
      <c r="C17001">
        <v>90</v>
      </c>
      <c r="D17001">
        <v>20</v>
      </c>
      <c r="E17001" s="80">
        <v>35920</v>
      </c>
    </row>
    <row r="17002" spans="1:5">
      <c r="A17002">
        <v>11074</v>
      </c>
      <c r="B17002" t="s">
        <v>172</v>
      </c>
      <c r="C17002">
        <v>232.08499981798232</v>
      </c>
      <c r="D17002">
        <v>14</v>
      </c>
      <c r="E17002" s="80">
        <v>35921</v>
      </c>
    </row>
    <row r="17003" spans="1:5">
      <c r="A17003">
        <v>11074</v>
      </c>
      <c r="B17003" t="s">
        <v>173</v>
      </c>
      <c r="C17003">
        <v>232.08499981798232</v>
      </c>
      <c r="D17003">
        <v>14</v>
      </c>
      <c r="E17003" s="80">
        <v>35921</v>
      </c>
    </row>
    <row r="17004" spans="1:5">
      <c r="A17004">
        <v>11074</v>
      </c>
      <c r="B17004" t="s">
        <v>174</v>
      </c>
      <c r="C17004">
        <v>232.08499981798232</v>
      </c>
      <c r="D17004">
        <v>14</v>
      </c>
      <c r="E17004" s="80">
        <v>35921</v>
      </c>
    </row>
    <row r="17005" spans="1:5">
      <c r="A17005">
        <v>11074</v>
      </c>
      <c r="B17005" t="s">
        <v>175</v>
      </c>
      <c r="C17005">
        <v>232.08499981798232</v>
      </c>
      <c r="D17005">
        <v>14</v>
      </c>
      <c r="E17005" s="80">
        <v>35921</v>
      </c>
    </row>
    <row r="17006" spans="1:5">
      <c r="A17006">
        <v>11074</v>
      </c>
      <c r="B17006" t="s">
        <v>176</v>
      </c>
      <c r="C17006">
        <v>232.08499981798232</v>
      </c>
      <c r="D17006">
        <v>14</v>
      </c>
      <c r="E17006" s="80">
        <v>35921</v>
      </c>
    </row>
    <row r="17007" spans="1:5">
      <c r="A17007">
        <v>11074</v>
      </c>
      <c r="B17007" t="s">
        <v>177</v>
      </c>
      <c r="C17007">
        <v>232.08499981798232</v>
      </c>
      <c r="D17007">
        <v>14</v>
      </c>
      <c r="E17007" s="80">
        <v>35921</v>
      </c>
    </row>
    <row r="17008" spans="1:5">
      <c r="A17008">
        <v>11074</v>
      </c>
      <c r="B17008" t="s">
        <v>178</v>
      </c>
      <c r="C17008">
        <v>232.08499981798232</v>
      </c>
      <c r="D17008">
        <v>14</v>
      </c>
      <c r="E17008" s="80">
        <v>35921</v>
      </c>
    </row>
    <row r="17009" spans="1:5">
      <c r="A17009">
        <v>11074</v>
      </c>
      <c r="B17009" t="s">
        <v>179</v>
      </c>
      <c r="C17009">
        <v>232.08499981798232</v>
      </c>
      <c r="D17009">
        <v>14</v>
      </c>
      <c r="E17009" s="80">
        <v>35921</v>
      </c>
    </row>
    <row r="17010" spans="1:5">
      <c r="A17010">
        <v>11075</v>
      </c>
      <c r="B17010" t="s">
        <v>172</v>
      </c>
      <c r="C17010">
        <v>161.49999886751175</v>
      </c>
      <c r="D17010">
        <v>10</v>
      </c>
      <c r="E17010" s="80">
        <v>35921</v>
      </c>
    </row>
    <row r="17011" spans="1:5">
      <c r="A17011">
        <v>11075</v>
      </c>
      <c r="B17011" t="s">
        <v>173</v>
      </c>
      <c r="C17011">
        <v>161.49999886751175</v>
      </c>
      <c r="D17011">
        <v>10</v>
      </c>
      <c r="E17011" s="80">
        <v>35921</v>
      </c>
    </row>
    <row r="17012" spans="1:5">
      <c r="A17012">
        <v>11075</v>
      </c>
      <c r="B17012" t="s">
        <v>174</v>
      </c>
      <c r="C17012">
        <v>161.49999886751175</v>
      </c>
      <c r="D17012">
        <v>10</v>
      </c>
      <c r="E17012" s="80">
        <v>35921</v>
      </c>
    </row>
    <row r="17013" spans="1:5">
      <c r="A17013">
        <v>11075</v>
      </c>
      <c r="B17013" t="s">
        <v>175</v>
      </c>
      <c r="C17013">
        <v>161.49999886751175</v>
      </c>
      <c r="D17013">
        <v>10</v>
      </c>
      <c r="E17013" s="80">
        <v>35921</v>
      </c>
    </row>
    <row r="17014" spans="1:5">
      <c r="A17014">
        <v>11075</v>
      </c>
      <c r="B17014" t="s">
        <v>176</v>
      </c>
      <c r="C17014">
        <v>161.49999886751175</v>
      </c>
      <c r="D17014">
        <v>10</v>
      </c>
      <c r="E17014" s="80">
        <v>35921</v>
      </c>
    </row>
    <row r="17015" spans="1:5">
      <c r="A17015">
        <v>11075</v>
      </c>
      <c r="B17015" t="s">
        <v>177</v>
      </c>
      <c r="C17015">
        <v>161.49999886751175</v>
      </c>
      <c r="D17015">
        <v>10</v>
      </c>
      <c r="E17015" s="80">
        <v>35921</v>
      </c>
    </row>
    <row r="17016" spans="1:5">
      <c r="A17016">
        <v>11075</v>
      </c>
      <c r="B17016" t="s">
        <v>178</v>
      </c>
      <c r="C17016">
        <v>161.49999886751175</v>
      </c>
      <c r="D17016">
        <v>10</v>
      </c>
      <c r="E17016" s="80">
        <v>35921</v>
      </c>
    </row>
    <row r="17017" spans="1:5">
      <c r="A17017">
        <v>11075</v>
      </c>
      <c r="B17017" t="s">
        <v>179</v>
      </c>
      <c r="C17017">
        <v>161.49999886751175</v>
      </c>
      <c r="D17017">
        <v>10</v>
      </c>
      <c r="E17017" s="80">
        <v>35921</v>
      </c>
    </row>
    <row r="17018" spans="1:5">
      <c r="A17018">
        <v>11075</v>
      </c>
      <c r="B17018" t="s">
        <v>172</v>
      </c>
      <c r="C17018">
        <v>305.99999785423279</v>
      </c>
      <c r="D17018">
        <v>30</v>
      </c>
      <c r="E17018" s="80">
        <v>35921</v>
      </c>
    </row>
    <row r="17019" spans="1:5">
      <c r="A17019">
        <v>11075</v>
      </c>
      <c r="B17019" t="s">
        <v>173</v>
      </c>
      <c r="C17019">
        <v>305.99999785423279</v>
      </c>
      <c r="D17019">
        <v>30</v>
      </c>
      <c r="E17019" s="80">
        <v>35921</v>
      </c>
    </row>
    <row r="17020" spans="1:5">
      <c r="A17020">
        <v>11075</v>
      </c>
      <c r="B17020" t="s">
        <v>174</v>
      </c>
      <c r="C17020">
        <v>305.99999785423279</v>
      </c>
      <c r="D17020">
        <v>30</v>
      </c>
      <c r="E17020" s="80">
        <v>35921</v>
      </c>
    </row>
    <row r="17021" spans="1:5">
      <c r="A17021">
        <v>11075</v>
      </c>
      <c r="B17021" t="s">
        <v>175</v>
      </c>
      <c r="C17021">
        <v>305.99999785423279</v>
      </c>
      <c r="D17021">
        <v>30</v>
      </c>
      <c r="E17021" s="80">
        <v>35921</v>
      </c>
    </row>
    <row r="17022" spans="1:5">
      <c r="A17022">
        <v>11075</v>
      </c>
      <c r="B17022" t="s">
        <v>176</v>
      </c>
      <c r="C17022">
        <v>305.99999785423279</v>
      </c>
      <c r="D17022">
        <v>30</v>
      </c>
      <c r="E17022" s="80">
        <v>35921</v>
      </c>
    </row>
    <row r="17023" spans="1:5">
      <c r="A17023">
        <v>11075</v>
      </c>
      <c r="B17023" t="s">
        <v>177</v>
      </c>
      <c r="C17023">
        <v>305.99999785423279</v>
      </c>
      <c r="D17023">
        <v>30</v>
      </c>
      <c r="E17023" s="80">
        <v>35921</v>
      </c>
    </row>
    <row r="17024" spans="1:5">
      <c r="A17024">
        <v>11075</v>
      </c>
      <c r="B17024" t="s">
        <v>178</v>
      </c>
      <c r="C17024">
        <v>305.99999785423279</v>
      </c>
      <c r="D17024">
        <v>30</v>
      </c>
      <c r="E17024" s="80">
        <v>35921</v>
      </c>
    </row>
    <row r="17025" spans="1:5">
      <c r="A17025">
        <v>11075</v>
      </c>
      <c r="B17025" t="s">
        <v>179</v>
      </c>
      <c r="C17025">
        <v>305.99999785423279</v>
      </c>
      <c r="D17025">
        <v>30</v>
      </c>
      <c r="E17025" s="80">
        <v>35921</v>
      </c>
    </row>
    <row r="17026" spans="1:5">
      <c r="A17026">
        <v>11075</v>
      </c>
      <c r="B17026" t="s">
        <v>172</v>
      </c>
      <c r="C17026">
        <v>30.599999785423279</v>
      </c>
      <c r="D17026">
        <v>2</v>
      </c>
      <c r="E17026" s="80">
        <v>35921</v>
      </c>
    </row>
    <row r="17027" spans="1:5">
      <c r="A17027">
        <v>11075</v>
      </c>
      <c r="B17027" t="s">
        <v>173</v>
      </c>
      <c r="C17027">
        <v>30.599999785423279</v>
      </c>
      <c r="D17027">
        <v>2</v>
      </c>
      <c r="E17027" s="80">
        <v>35921</v>
      </c>
    </row>
    <row r="17028" spans="1:5">
      <c r="A17028">
        <v>11075</v>
      </c>
      <c r="B17028" t="s">
        <v>174</v>
      </c>
      <c r="C17028">
        <v>30.599999785423279</v>
      </c>
      <c r="D17028">
        <v>2</v>
      </c>
      <c r="E17028" s="80">
        <v>35921</v>
      </c>
    </row>
    <row r="17029" spans="1:5">
      <c r="A17029">
        <v>11075</v>
      </c>
      <c r="B17029" t="s">
        <v>175</v>
      </c>
      <c r="C17029">
        <v>30.599999785423279</v>
      </c>
      <c r="D17029">
        <v>2</v>
      </c>
      <c r="E17029" s="80">
        <v>35921</v>
      </c>
    </row>
    <row r="17030" spans="1:5">
      <c r="A17030">
        <v>11075</v>
      </c>
      <c r="B17030" t="s">
        <v>176</v>
      </c>
      <c r="C17030">
        <v>30.599999785423279</v>
      </c>
      <c r="D17030">
        <v>2</v>
      </c>
      <c r="E17030" s="80">
        <v>35921</v>
      </c>
    </row>
    <row r="17031" spans="1:5">
      <c r="A17031">
        <v>11075</v>
      </c>
      <c r="B17031" t="s">
        <v>177</v>
      </c>
      <c r="C17031">
        <v>30.599999785423279</v>
      </c>
      <c r="D17031">
        <v>2</v>
      </c>
      <c r="E17031" s="80">
        <v>35921</v>
      </c>
    </row>
    <row r="17032" spans="1:5">
      <c r="A17032">
        <v>11075</v>
      </c>
      <c r="B17032" t="s">
        <v>178</v>
      </c>
      <c r="C17032">
        <v>30.599999785423279</v>
      </c>
      <c r="D17032">
        <v>2</v>
      </c>
      <c r="E17032" s="80">
        <v>35921</v>
      </c>
    </row>
    <row r="17033" spans="1:5">
      <c r="A17033">
        <v>11075</v>
      </c>
      <c r="B17033" t="s">
        <v>179</v>
      </c>
      <c r="C17033">
        <v>30.599999785423279</v>
      </c>
      <c r="D17033">
        <v>2</v>
      </c>
      <c r="E17033" s="80">
        <v>35921</v>
      </c>
    </row>
    <row r="17034" spans="1:5">
      <c r="A17034">
        <v>11076</v>
      </c>
      <c r="B17034" t="s">
        <v>172</v>
      </c>
      <c r="C17034">
        <v>375</v>
      </c>
      <c r="D17034">
        <v>20</v>
      </c>
      <c r="E17034" s="80">
        <v>35921</v>
      </c>
    </row>
    <row r="17035" spans="1:5">
      <c r="A17035">
        <v>11076</v>
      </c>
      <c r="B17035" t="s">
        <v>173</v>
      </c>
      <c r="C17035">
        <v>375</v>
      </c>
      <c r="D17035">
        <v>20</v>
      </c>
      <c r="E17035" s="80">
        <v>35921</v>
      </c>
    </row>
    <row r="17036" spans="1:5">
      <c r="A17036">
        <v>11076</v>
      </c>
      <c r="B17036" t="s">
        <v>174</v>
      </c>
      <c r="C17036">
        <v>375</v>
      </c>
      <c r="D17036">
        <v>20</v>
      </c>
      <c r="E17036" s="80">
        <v>35921</v>
      </c>
    </row>
    <row r="17037" spans="1:5">
      <c r="A17037">
        <v>11076</v>
      </c>
      <c r="B17037" t="s">
        <v>175</v>
      </c>
      <c r="C17037">
        <v>375</v>
      </c>
      <c r="D17037">
        <v>20</v>
      </c>
      <c r="E17037" s="80">
        <v>35921</v>
      </c>
    </row>
    <row r="17038" spans="1:5">
      <c r="A17038">
        <v>11076</v>
      </c>
      <c r="B17038" t="s">
        <v>176</v>
      </c>
      <c r="C17038">
        <v>375</v>
      </c>
      <c r="D17038">
        <v>20</v>
      </c>
      <c r="E17038" s="80">
        <v>35921</v>
      </c>
    </row>
    <row r="17039" spans="1:5">
      <c r="A17039">
        <v>11076</v>
      </c>
      <c r="B17039" t="s">
        <v>177</v>
      </c>
      <c r="C17039">
        <v>375</v>
      </c>
      <c r="D17039">
        <v>20</v>
      </c>
      <c r="E17039" s="80">
        <v>35921</v>
      </c>
    </row>
    <row r="17040" spans="1:5">
      <c r="A17040">
        <v>11076</v>
      </c>
      <c r="B17040" t="s">
        <v>178</v>
      </c>
      <c r="C17040">
        <v>375</v>
      </c>
      <c r="D17040">
        <v>20</v>
      </c>
      <c r="E17040" s="80">
        <v>35921</v>
      </c>
    </row>
    <row r="17041" spans="1:5">
      <c r="A17041">
        <v>11076</v>
      </c>
      <c r="B17041" t="s">
        <v>179</v>
      </c>
      <c r="C17041">
        <v>375</v>
      </c>
      <c r="D17041">
        <v>20</v>
      </c>
      <c r="E17041" s="80">
        <v>35921</v>
      </c>
    </row>
    <row r="17042" spans="1:5">
      <c r="A17042">
        <v>11076</v>
      </c>
      <c r="B17042" t="s">
        <v>172</v>
      </c>
      <c r="C17042">
        <v>348.75</v>
      </c>
      <c r="D17042">
        <v>20</v>
      </c>
      <c r="E17042" s="80">
        <v>35921</v>
      </c>
    </row>
    <row r="17043" spans="1:5">
      <c r="A17043">
        <v>11076</v>
      </c>
      <c r="B17043" t="s">
        <v>173</v>
      </c>
      <c r="C17043">
        <v>348.75</v>
      </c>
      <c r="D17043">
        <v>20</v>
      </c>
      <c r="E17043" s="80">
        <v>35921</v>
      </c>
    </row>
    <row r="17044" spans="1:5">
      <c r="A17044">
        <v>11076</v>
      </c>
      <c r="B17044" t="s">
        <v>174</v>
      </c>
      <c r="C17044">
        <v>348.75</v>
      </c>
      <c r="D17044">
        <v>20</v>
      </c>
      <c r="E17044" s="80">
        <v>35921</v>
      </c>
    </row>
    <row r="17045" spans="1:5">
      <c r="A17045">
        <v>11076</v>
      </c>
      <c r="B17045" t="s">
        <v>175</v>
      </c>
      <c r="C17045">
        <v>348.75</v>
      </c>
      <c r="D17045">
        <v>20</v>
      </c>
      <c r="E17045" s="80">
        <v>35921</v>
      </c>
    </row>
    <row r="17046" spans="1:5">
      <c r="A17046">
        <v>11076</v>
      </c>
      <c r="B17046" t="s">
        <v>176</v>
      </c>
      <c r="C17046">
        <v>348.75</v>
      </c>
      <c r="D17046">
        <v>20</v>
      </c>
      <c r="E17046" s="80">
        <v>35921</v>
      </c>
    </row>
    <row r="17047" spans="1:5">
      <c r="A17047">
        <v>11076</v>
      </c>
      <c r="B17047" t="s">
        <v>177</v>
      </c>
      <c r="C17047">
        <v>348.75</v>
      </c>
      <c r="D17047">
        <v>20</v>
      </c>
      <c r="E17047" s="80">
        <v>35921</v>
      </c>
    </row>
    <row r="17048" spans="1:5">
      <c r="A17048">
        <v>11076</v>
      </c>
      <c r="B17048" t="s">
        <v>178</v>
      </c>
      <c r="C17048">
        <v>348.75</v>
      </c>
      <c r="D17048">
        <v>20</v>
      </c>
      <c r="E17048" s="80">
        <v>35921</v>
      </c>
    </row>
    <row r="17049" spans="1:5">
      <c r="A17049">
        <v>11076</v>
      </c>
      <c r="B17049" t="s">
        <v>179</v>
      </c>
      <c r="C17049">
        <v>348.75</v>
      </c>
      <c r="D17049">
        <v>20</v>
      </c>
      <c r="E17049" s="80">
        <v>35921</v>
      </c>
    </row>
    <row r="17050" spans="1:5">
      <c r="A17050">
        <v>11076</v>
      </c>
      <c r="B17050" t="s">
        <v>172</v>
      </c>
      <c r="C17050">
        <v>69</v>
      </c>
      <c r="D17050">
        <v>10</v>
      </c>
      <c r="E17050" s="80">
        <v>35921</v>
      </c>
    </row>
    <row r="17051" spans="1:5">
      <c r="A17051">
        <v>11076</v>
      </c>
      <c r="B17051" t="s">
        <v>173</v>
      </c>
      <c r="C17051">
        <v>69</v>
      </c>
      <c r="D17051">
        <v>10</v>
      </c>
      <c r="E17051" s="80">
        <v>35921</v>
      </c>
    </row>
    <row r="17052" spans="1:5">
      <c r="A17052">
        <v>11076</v>
      </c>
      <c r="B17052" t="s">
        <v>174</v>
      </c>
      <c r="C17052">
        <v>69</v>
      </c>
      <c r="D17052">
        <v>10</v>
      </c>
      <c r="E17052" s="80">
        <v>35921</v>
      </c>
    </row>
    <row r="17053" spans="1:5">
      <c r="A17053">
        <v>11076</v>
      </c>
      <c r="B17053" t="s">
        <v>175</v>
      </c>
      <c r="C17053">
        <v>69</v>
      </c>
      <c r="D17053">
        <v>10</v>
      </c>
      <c r="E17053" s="80">
        <v>35921</v>
      </c>
    </row>
    <row r="17054" spans="1:5">
      <c r="A17054">
        <v>11076</v>
      </c>
      <c r="B17054" t="s">
        <v>176</v>
      </c>
      <c r="C17054">
        <v>69</v>
      </c>
      <c r="D17054">
        <v>10</v>
      </c>
      <c r="E17054" s="80">
        <v>35921</v>
      </c>
    </row>
    <row r="17055" spans="1:5">
      <c r="A17055">
        <v>11076</v>
      </c>
      <c r="B17055" t="s">
        <v>177</v>
      </c>
      <c r="C17055">
        <v>69</v>
      </c>
      <c r="D17055">
        <v>10</v>
      </c>
      <c r="E17055" s="80">
        <v>35921</v>
      </c>
    </row>
    <row r="17056" spans="1:5">
      <c r="A17056">
        <v>11076</v>
      </c>
      <c r="B17056" t="s">
        <v>178</v>
      </c>
      <c r="C17056">
        <v>69</v>
      </c>
      <c r="D17056">
        <v>10</v>
      </c>
      <c r="E17056" s="80">
        <v>35921</v>
      </c>
    </row>
    <row r="17057" spans="1:5">
      <c r="A17057">
        <v>11076</v>
      </c>
      <c r="B17057" t="s">
        <v>179</v>
      </c>
      <c r="C17057">
        <v>69</v>
      </c>
      <c r="D17057">
        <v>10</v>
      </c>
      <c r="E17057" s="80">
        <v>35921</v>
      </c>
    </row>
    <row r="17058" spans="1:5">
      <c r="A17058">
        <v>11077</v>
      </c>
      <c r="B17058" t="s">
        <v>172</v>
      </c>
      <c r="C17058">
        <v>364.7999986410141</v>
      </c>
      <c r="D17058">
        <v>24</v>
      </c>
      <c r="E17058" s="80">
        <v>35921</v>
      </c>
    </row>
    <row r="17059" spans="1:5">
      <c r="A17059">
        <v>11077</v>
      </c>
      <c r="B17059" t="s">
        <v>173</v>
      </c>
      <c r="C17059">
        <v>364.7999986410141</v>
      </c>
      <c r="D17059">
        <v>24</v>
      </c>
      <c r="E17059" s="80">
        <v>35921</v>
      </c>
    </row>
    <row r="17060" spans="1:5">
      <c r="A17060">
        <v>11077</v>
      </c>
      <c r="B17060" t="s">
        <v>174</v>
      </c>
      <c r="C17060">
        <v>364.7999986410141</v>
      </c>
      <c r="D17060">
        <v>24</v>
      </c>
      <c r="E17060" s="80">
        <v>35921</v>
      </c>
    </row>
    <row r="17061" spans="1:5">
      <c r="A17061">
        <v>11077</v>
      </c>
      <c r="B17061" t="s">
        <v>175</v>
      </c>
      <c r="C17061">
        <v>364.7999986410141</v>
      </c>
      <c r="D17061">
        <v>24</v>
      </c>
      <c r="E17061" s="80">
        <v>35921</v>
      </c>
    </row>
    <row r="17062" spans="1:5">
      <c r="A17062">
        <v>11077</v>
      </c>
      <c r="B17062" t="s">
        <v>176</v>
      </c>
      <c r="C17062">
        <v>364.7999986410141</v>
      </c>
      <c r="D17062">
        <v>24</v>
      </c>
      <c r="E17062" s="80">
        <v>35921</v>
      </c>
    </row>
    <row r="17063" spans="1:5">
      <c r="A17063">
        <v>11077</v>
      </c>
      <c r="B17063" t="s">
        <v>177</v>
      </c>
      <c r="C17063">
        <v>364.7999986410141</v>
      </c>
      <c r="D17063">
        <v>24</v>
      </c>
      <c r="E17063" s="80">
        <v>35921</v>
      </c>
    </row>
    <row r="17064" spans="1:5">
      <c r="A17064">
        <v>11077</v>
      </c>
      <c r="B17064" t="s">
        <v>178</v>
      </c>
      <c r="C17064">
        <v>364.7999986410141</v>
      </c>
      <c r="D17064">
        <v>24</v>
      </c>
      <c r="E17064" s="80">
        <v>35921</v>
      </c>
    </row>
    <row r="17065" spans="1:5">
      <c r="A17065">
        <v>11077</v>
      </c>
      <c r="B17065" t="s">
        <v>179</v>
      </c>
      <c r="C17065">
        <v>364.7999986410141</v>
      </c>
      <c r="D17065">
        <v>24</v>
      </c>
      <c r="E17065" s="80">
        <v>35921</v>
      </c>
    </row>
    <row r="17066" spans="1:5">
      <c r="A17066">
        <v>11077</v>
      </c>
      <c r="B17066" t="s">
        <v>172</v>
      </c>
      <c r="C17066">
        <v>40</v>
      </c>
      <c r="D17066">
        <v>4</v>
      </c>
      <c r="E17066" s="80">
        <v>35921</v>
      </c>
    </row>
    <row r="17067" spans="1:5">
      <c r="A17067">
        <v>11077</v>
      </c>
      <c r="B17067" t="s">
        <v>173</v>
      </c>
      <c r="C17067">
        <v>40</v>
      </c>
      <c r="D17067">
        <v>4</v>
      </c>
      <c r="E17067" s="80">
        <v>35921</v>
      </c>
    </row>
    <row r="17068" spans="1:5">
      <c r="A17068">
        <v>11077</v>
      </c>
      <c r="B17068" t="s">
        <v>174</v>
      </c>
      <c r="C17068">
        <v>40</v>
      </c>
      <c r="D17068">
        <v>4</v>
      </c>
      <c r="E17068" s="80">
        <v>35921</v>
      </c>
    </row>
    <row r="17069" spans="1:5">
      <c r="A17069">
        <v>11077</v>
      </c>
      <c r="B17069" t="s">
        <v>175</v>
      </c>
      <c r="C17069">
        <v>40</v>
      </c>
      <c r="D17069">
        <v>4</v>
      </c>
      <c r="E17069" s="80">
        <v>35921</v>
      </c>
    </row>
    <row r="17070" spans="1:5">
      <c r="A17070">
        <v>11077</v>
      </c>
      <c r="B17070" t="s">
        <v>176</v>
      </c>
      <c r="C17070">
        <v>40</v>
      </c>
      <c r="D17070">
        <v>4</v>
      </c>
      <c r="E17070" s="80">
        <v>35921</v>
      </c>
    </row>
    <row r="17071" spans="1:5">
      <c r="A17071">
        <v>11077</v>
      </c>
      <c r="B17071" t="s">
        <v>177</v>
      </c>
      <c r="C17071">
        <v>40</v>
      </c>
      <c r="D17071">
        <v>4</v>
      </c>
      <c r="E17071" s="80">
        <v>35921</v>
      </c>
    </row>
    <row r="17072" spans="1:5">
      <c r="A17072">
        <v>11077</v>
      </c>
      <c r="B17072" t="s">
        <v>178</v>
      </c>
      <c r="C17072">
        <v>40</v>
      </c>
      <c r="D17072">
        <v>4</v>
      </c>
      <c r="E17072" s="80">
        <v>35921</v>
      </c>
    </row>
    <row r="17073" spans="1:5">
      <c r="A17073">
        <v>11077</v>
      </c>
      <c r="B17073" t="s">
        <v>179</v>
      </c>
      <c r="C17073">
        <v>40</v>
      </c>
      <c r="D17073">
        <v>4</v>
      </c>
      <c r="E17073" s="80">
        <v>35921</v>
      </c>
    </row>
    <row r="17074" spans="1:5">
      <c r="A17074">
        <v>11077</v>
      </c>
      <c r="B17074" t="s">
        <v>172</v>
      </c>
      <c r="C17074">
        <v>22</v>
      </c>
      <c r="D17074">
        <v>1</v>
      </c>
      <c r="E17074" s="80">
        <v>35921</v>
      </c>
    </row>
    <row r="17075" spans="1:5">
      <c r="A17075">
        <v>11077</v>
      </c>
      <c r="B17075" t="s">
        <v>173</v>
      </c>
      <c r="C17075">
        <v>22</v>
      </c>
      <c r="D17075">
        <v>1</v>
      </c>
      <c r="E17075" s="80">
        <v>35921</v>
      </c>
    </row>
    <row r="17076" spans="1:5">
      <c r="A17076">
        <v>11077</v>
      </c>
      <c r="B17076" t="s">
        <v>174</v>
      </c>
      <c r="C17076">
        <v>22</v>
      </c>
      <c r="D17076">
        <v>1</v>
      </c>
      <c r="E17076" s="80">
        <v>35921</v>
      </c>
    </row>
    <row r="17077" spans="1:5">
      <c r="A17077">
        <v>11077</v>
      </c>
      <c r="B17077" t="s">
        <v>175</v>
      </c>
      <c r="C17077">
        <v>22</v>
      </c>
      <c r="D17077">
        <v>1</v>
      </c>
      <c r="E17077" s="80">
        <v>35921</v>
      </c>
    </row>
    <row r="17078" spans="1:5">
      <c r="A17078">
        <v>11077</v>
      </c>
      <c r="B17078" t="s">
        <v>176</v>
      </c>
      <c r="C17078">
        <v>22</v>
      </c>
      <c r="D17078">
        <v>1</v>
      </c>
      <c r="E17078" s="80">
        <v>35921</v>
      </c>
    </row>
    <row r="17079" spans="1:5">
      <c r="A17079">
        <v>11077</v>
      </c>
      <c r="B17079" t="s">
        <v>177</v>
      </c>
      <c r="C17079">
        <v>22</v>
      </c>
      <c r="D17079">
        <v>1</v>
      </c>
      <c r="E17079" s="80">
        <v>35921</v>
      </c>
    </row>
    <row r="17080" spans="1:5">
      <c r="A17080">
        <v>11077</v>
      </c>
      <c r="B17080" t="s">
        <v>178</v>
      </c>
      <c r="C17080">
        <v>22</v>
      </c>
      <c r="D17080">
        <v>1</v>
      </c>
      <c r="E17080" s="80">
        <v>35921</v>
      </c>
    </row>
    <row r="17081" spans="1:5">
      <c r="A17081">
        <v>11077</v>
      </c>
      <c r="B17081" t="s">
        <v>179</v>
      </c>
      <c r="C17081">
        <v>22</v>
      </c>
      <c r="D17081">
        <v>1</v>
      </c>
      <c r="E17081" s="80">
        <v>35921</v>
      </c>
    </row>
    <row r="17082" spans="1:5">
      <c r="A17082">
        <v>11077</v>
      </c>
      <c r="B17082" t="s">
        <v>172</v>
      </c>
      <c r="C17082">
        <v>24.500000011175871</v>
      </c>
      <c r="D17082">
        <v>1</v>
      </c>
      <c r="E17082" s="80">
        <v>35921</v>
      </c>
    </row>
    <row r="17083" spans="1:5">
      <c r="A17083">
        <v>11077</v>
      </c>
      <c r="B17083" t="s">
        <v>173</v>
      </c>
      <c r="C17083">
        <v>24.500000011175871</v>
      </c>
      <c r="D17083">
        <v>1</v>
      </c>
      <c r="E17083" s="80">
        <v>35921</v>
      </c>
    </row>
    <row r="17084" spans="1:5">
      <c r="A17084">
        <v>11077</v>
      </c>
      <c r="B17084" t="s">
        <v>174</v>
      </c>
      <c r="C17084">
        <v>24.500000011175871</v>
      </c>
      <c r="D17084">
        <v>1</v>
      </c>
      <c r="E17084" s="80">
        <v>35921</v>
      </c>
    </row>
    <row r="17085" spans="1:5">
      <c r="A17085">
        <v>11077</v>
      </c>
      <c r="B17085" t="s">
        <v>175</v>
      </c>
      <c r="C17085">
        <v>24.500000011175871</v>
      </c>
      <c r="D17085">
        <v>1</v>
      </c>
      <c r="E17085" s="80">
        <v>35921</v>
      </c>
    </row>
    <row r="17086" spans="1:5">
      <c r="A17086">
        <v>11077</v>
      </c>
      <c r="B17086" t="s">
        <v>176</v>
      </c>
      <c r="C17086">
        <v>24.500000011175871</v>
      </c>
      <c r="D17086">
        <v>1</v>
      </c>
      <c r="E17086" s="80">
        <v>35921</v>
      </c>
    </row>
    <row r="17087" spans="1:5">
      <c r="A17087">
        <v>11077</v>
      </c>
      <c r="B17087" t="s">
        <v>177</v>
      </c>
      <c r="C17087">
        <v>24.500000011175871</v>
      </c>
      <c r="D17087">
        <v>1</v>
      </c>
      <c r="E17087" s="80">
        <v>35921</v>
      </c>
    </row>
    <row r="17088" spans="1:5">
      <c r="A17088">
        <v>11077</v>
      </c>
      <c r="B17088" t="s">
        <v>178</v>
      </c>
      <c r="C17088">
        <v>24.500000011175871</v>
      </c>
      <c r="D17088">
        <v>1</v>
      </c>
      <c r="E17088" s="80">
        <v>35921</v>
      </c>
    </row>
    <row r="17089" spans="1:5">
      <c r="A17089">
        <v>11077</v>
      </c>
      <c r="B17089" t="s">
        <v>179</v>
      </c>
      <c r="C17089">
        <v>24.500000011175871</v>
      </c>
      <c r="D17089">
        <v>1</v>
      </c>
      <c r="E17089" s="80">
        <v>35921</v>
      </c>
    </row>
    <row r="17090" spans="1:5">
      <c r="A17090">
        <v>11077</v>
      </c>
      <c r="B17090" t="s">
        <v>172</v>
      </c>
      <c r="C17090">
        <v>28.499999977648258</v>
      </c>
      <c r="D17090">
        <v>1</v>
      </c>
      <c r="E17090" s="80">
        <v>35921</v>
      </c>
    </row>
    <row r="17091" spans="1:5">
      <c r="A17091">
        <v>11077</v>
      </c>
      <c r="B17091" t="s">
        <v>173</v>
      </c>
      <c r="C17091">
        <v>28.499999977648258</v>
      </c>
      <c r="D17091">
        <v>1</v>
      </c>
      <c r="E17091" s="80">
        <v>35921</v>
      </c>
    </row>
    <row r="17092" spans="1:5">
      <c r="A17092">
        <v>11077</v>
      </c>
      <c r="B17092" t="s">
        <v>174</v>
      </c>
      <c r="C17092">
        <v>28.499999977648258</v>
      </c>
      <c r="D17092">
        <v>1</v>
      </c>
      <c r="E17092" s="80">
        <v>35921</v>
      </c>
    </row>
    <row r="17093" spans="1:5">
      <c r="A17093">
        <v>11077</v>
      </c>
      <c r="B17093" t="s">
        <v>175</v>
      </c>
      <c r="C17093">
        <v>28.499999977648258</v>
      </c>
      <c r="D17093">
        <v>1</v>
      </c>
      <c r="E17093" s="80">
        <v>35921</v>
      </c>
    </row>
    <row r="17094" spans="1:5">
      <c r="A17094">
        <v>11077</v>
      </c>
      <c r="B17094" t="s">
        <v>176</v>
      </c>
      <c r="C17094">
        <v>28.499999977648258</v>
      </c>
      <c r="D17094">
        <v>1</v>
      </c>
      <c r="E17094" s="80">
        <v>35921</v>
      </c>
    </row>
    <row r="17095" spans="1:5">
      <c r="A17095">
        <v>11077</v>
      </c>
      <c r="B17095" t="s">
        <v>177</v>
      </c>
      <c r="C17095">
        <v>28.499999977648258</v>
      </c>
      <c r="D17095">
        <v>1</v>
      </c>
      <c r="E17095" s="80">
        <v>35921</v>
      </c>
    </row>
    <row r="17096" spans="1:5">
      <c r="A17096">
        <v>11077</v>
      </c>
      <c r="B17096" t="s">
        <v>178</v>
      </c>
      <c r="C17096">
        <v>28.499999977648258</v>
      </c>
      <c r="D17096">
        <v>1</v>
      </c>
      <c r="E17096" s="80">
        <v>35921</v>
      </c>
    </row>
    <row r="17097" spans="1:5">
      <c r="A17097">
        <v>11077</v>
      </c>
      <c r="B17097" t="s">
        <v>179</v>
      </c>
      <c r="C17097">
        <v>28.499999977648258</v>
      </c>
      <c r="D17097">
        <v>1</v>
      </c>
      <c r="E17097" s="80">
        <v>35921</v>
      </c>
    </row>
    <row r="17098" spans="1:5">
      <c r="A17098">
        <v>11077</v>
      </c>
      <c r="B17098" t="s">
        <v>172</v>
      </c>
      <c r="C17098">
        <v>71.99999988079071</v>
      </c>
      <c r="D17098">
        <v>2</v>
      </c>
      <c r="E17098" s="80">
        <v>35921</v>
      </c>
    </row>
    <row r="17099" spans="1:5">
      <c r="A17099">
        <v>11077</v>
      </c>
      <c r="B17099" t="s">
        <v>173</v>
      </c>
      <c r="C17099">
        <v>71.99999988079071</v>
      </c>
      <c r="D17099">
        <v>2</v>
      </c>
      <c r="E17099" s="80">
        <v>35921</v>
      </c>
    </row>
    <row r="17100" spans="1:5">
      <c r="A17100">
        <v>11077</v>
      </c>
      <c r="B17100" t="s">
        <v>174</v>
      </c>
      <c r="C17100">
        <v>71.99999988079071</v>
      </c>
      <c r="D17100">
        <v>2</v>
      </c>
      <c r="E17100" s="80">
        <v>35921</v>
      </c>
    </row>
    <row r="17101" spans="1:5">
      <c r="A17101">
        <v>11077</v>
      </c>
      <c r="B17101" t="s">
        <v>175</v>
      </c>
      <c r="C17101">
        <v>71.99999988079071</v>
      </c>
      <c r="D17101">
        <v>2</v>
      </c>
      <c r="E17101" s="80">
        <v>35921</v>
      </c>
    </row>
    <row r="17102" spans="1:5">
      <c r="A17102">
        <v>11077</v>
      </c>
      <c r="B17102" t="s">
        <v>176</v>
      </c>
      <c r="C17102">
        <v>71.99999988079071</v>
      </c>
      <c r="D17102">
        <v>2</v>
      </c>
      <c r="E17102" s="80">
        <v>35921</v>
      </c>
    </row>
    <row r="17103" spans="1:5">
      <c r="A17103">
        <v>11077</v>
      </c>
      <c r="B17103" t="s">
        <v>177</v>
      </c>
      <c r="C17103">
        <v>71.99999988079071</v>
      </c>
      <c r="D17103">
        <v>2</v>
      </c>
      <c r="E17103" s="80">
        <v>35921</v>
      </c>
    </row>
    <row r="17104" spans="1:5">
      <c r="A17104">
        <v>11077</v>
      </c>
      <c r="B17104" t="s">
        <v>178</v>
      </c>
      <c r="C17104">
        <v>71.99999988079071</v>
      </c>
      <c r="D17104">
        <v>2</v>
      </c>
      <c r="E17104" s="80">
        <v>35921</v>
      </c>
    </row>
    <row r="17105" spans="1:5">
      <c r="A17105">
        <v>11077</v>
      </c>
      <c r="B17105" t="s">
        <v>179</v>
      </c>
      <c r="C17105">
        <v>71.99999988079071</v>
      </c>
      <c r="D17105">
        <v>2</v>
      </c>
      <c r="E17105" s="80">
        <v>35921</v>
      </c>
    </row>
    <row r="17106" spans="1:5">
      <c r="A17106">
        <v>11077</v>
      </c>
      <c r="B17106" t="s">
        <v>172</v>
      </c>
      <c r="C17106">
        <v>31</v>
      </c>
      <c r="D17106">
        <v>1</v>
      </c>
      <c r="E17106" s="80">
        <v>35921</v>
      </c>
    </row>
    <row r="17107" spans="1:5">
      <c r="A17107">
        <v>11077</v>
      </c>
      <c r="B17107" t="s">
        <v>173</v>
      </c>
      <c r="C17107">
        <v>31</v>
      </c>
      <c r="D17107">
        <v>1</v>
      </c>
      <c r="E17107" s="80">
        <v>35921</v>
      </c>
    </row>
    <row r="17108" spans="1:5">
      <c r="A17108">
        <v>11077</v>
      </c>
      <c r="B17108" t="s">
        <v>174</v>
      </c>
      <c r="C17108">
        <v>31</v>
      </c>
      <c r="D17108">
        <v>1</v>
      </c>
      <c r="E17108" s="80">
        <v>35921</v>
      </c>
    </row>
    <row r="17109" spans="1:5">
      <c r="A17109">
        <v>11077</v>
      </c>
      <c r="B17109" t="s">
        <v>175</v>
      </c>
      <c r="C17109">
        <v>31</v>
      </c>
      <c r="D17109">
        <v>1</v>
      </c>
      <c r="E17109" s="80">
        <v>35921</v>
      </c>
    </row>
    <row r="17110" spans="1:5">
      <c r="A17110">
        <v>11077</v>
      </c>
      <c r="B17110" t="s">
        <v>176</v>
      </c>
      <c r="C17110">
        <v>31</v>
      </c>
      <c r="D17110">
        <v>1</v>
      </c>
      <c r="E17110" s="80">
        <v>35921</v>
      </c>
    </row>
    <row r="17111" spans="1:5">
      <c r="A17111">
        <v>11077</v>
      </c>
      <c r="B17111" t="s">
        <v>177</v>
      </c>
      <c r="C17111">
        <v>31</v>
      </c>
      <c r="D17111">
        <v>1</v>
      </c>
      <c r="E17111" s="80">
        <v>35921</v>
      </c>
    </row>
    <row r="17112" spans="1:5">
      <c r="A17112">
        <v>11077</v>
      </c>
      <c r="B17112" t="s">
        <v>178</v>
      </c>
      <c r="C17112">
        <v>31</v>
      </c>
      <c r="D17112">
        <v>1</v>
      </c>
      <c r="E17112" s="80">
        <v>35921</v>
      </c>
    </row>
    <row r="17113" spans="1:5">
      <c r="A17113">
        <v>11077</v>
      </c>
      <c r="B17113" t="s">
        <v>179</v>
      </c>
      <c r="C17113">
        <v>31</v>
      </c>
      <c r="D17113">
        <v>1</v>
      </c>
      <c r="E17113" s="80">
        <v>35921</v>
      </c>
    </row>
    <row r="17114" spans="1:5">
      <c r="A17114">
        <v>11077</v>
      </c>
      <c r="B17114" t="s">
        <v>172</v>
      </c>
      <c r="C17114">
        <v>72.199999943375587</v>
      </c>
      <c r="D17114">
        <v>2</v>
      </c>
      <c r="E17114" s="80">
        <v>35921</v>
      </c>
    </row>
    <row r="17115" spans="1:5">
      <c r="A17115">
        <v>11077</v>
      </c>
      <c r="B17115" t="s">
        <v>173</v>
      </c>
      <c r="C17115">
        <v>72.199999943375587</v>
      </c>
      <c r="D17115">
        <v>2</v>
      </c>
      <c r="E17115" s="80">
        <v>35921</v>
      </c>
    </row>
    <row r="17116" spans="1:5">
      <c r="A17116">
        <v>11077</v>
      </c>
      <c r="B17116" t="s">
        <v>174</v>
      </c>
      <c r="C17116">
        <v>72.199999943375587</v>
      </c>
      <c r="D17116">
        <v>2</v>
      </c>
      <c r="E17116" s="80">
        <v>35921</v>
      </c>
    </row>
    <row r="17117" spans="1:5">
      <c r="A17117">
        <v>11077</v>
      </c>
      <c r="B17117" t="s">
        <v>175</v>
      </c>
      <c r="C17117">
        <v>72.199999943375587</v>
      </c>
      <c r="D17117">
        <v>2</v>
      </c>
      <c r="E17117" s="80">
        <v>35921</v>
      </c>
    </row>
    <row r="17118" spans="1:5">
      <c r="A17118">
        <v>11077</v>
      </c>
      <c r="B17118" t="s">
        <v>176</v>
      </c>
      <c r="C17118">
        <v>72.199999943375587</v>
      </c>
      <c r="D17118">
        <v>2</v>
      </c>
      <c r="E17118" s="80">
        <v>35921</v>
      </c>
    </row>
    <row r="17119" spans="1:5">
      <c r="A17119">
        <v>11077</v>
      </c>
      <c r="B17119" t="s">
        <v>177</v>
      </c>
      <c r="C17119">
        <v>72.199999943375587</v>
      </c>
      <c r="D17119">
        <v>2</v>
      </c>
      <c r="E17119" s="80">
        <v>35921</v>
      </c>
    </row>
    <row r="17120" spans="1:5">
      <c r="A17120">
        <v>11077</v>
      </c>
      <c r="B17120" t="s">
        <v>178</v>
      </c>
      <c r="C17120">
        <v>72.199999943375587</v>
      </c>
      <c r="D17120">
        <v>2</v>
      </c>
      <c r="E17120" s="80">
        <v>35921</v>
      </c>
    </row>
    <row r="17121" spans="1:5">
      <c r="A17121">
        <v>11077</v>
      </c>
      <c r="B17121" t="s">
        <v>179</v>
      </c>
      <c r="C17121">
        <v>72.199999943375587</v>
      </c>
      <c r="D17121">
        <v>2</v>
      </c>
      <c r="E17121" s="80">
        <v>35921</v>
      </c>
    </row>
    <row r="17122" spans="1:5">
      <c r="A17122">
        <v>11077</v>
      </c>
      <c r="B17122" t="s">
        <v>172</v>
      </c>
      <c r="C17122">
        <v>24</v>
      </c>
      <c r="D17122">
        <v>4</v>
      </c>
      <c r="E17122" s="80">
        <v>35921</v>
      </c>
    </row>
    <row r="17123" spans="1:5">
      <c r="A17123">
        <v>11077</v>
      </c>
      <c r="B17123" t="s">
        <v>173</v>
      </c>
      <c r="C17123">
        <v>24</v>
      </c>
      <c r="D17123">
        <v>4</v>
      </c>
      <c r="E17123" s="80">
        <v>35921</v>
      </c>
    </row>
    <row r="17124" spans="1:5">
      <c r="A17124">
        <v>11077</v>
      </c>
      <c r="B17124" t="s">
        <v>174</v>
      </c>
      <c r="C17124">
        <v>24</v>
      </c>
      <c r="D17124">
        <v>4</v>
      </c>
      <c r="E17124" s="80">
        <v>35921</v>
      </c>
    </row>
    <row r="17125" spans="1:5">
      <c r="A17125">
        <v>11077</v>
      </c>
      <c r="B17125" t="s">
        <v>175</v>
      </c>
      <c r="C17125">
        <v>24</v>
      </c>
      <c r="D17125">
        <v>4</v>
      </c>
      <c r="E17125" s="80">
        <v>35921</v>
      </c>
    </row>
    <row r="17126" spans="1:5">
      <c r="A17126">
        <v>11077</v>
      </c>
      <c r="B17126" t="s">
        <v>176</v>
      </c>
      <c r="C17126">
        <v>24</v>
      </c>
      <c r="D17126">
        <v>4</v>
      </c>
      <c r="E17126" s="80">
        <v>35921</v>
      </c>
    </row>
    <row r="17127" spans="1:5">
      <c r="A17127">
        <v>11077</v>
      </c>
      <c r="B17127" t="s">
        <v>177</v>
      </c>
      <c r="C17127">
        <v>24</v>
      </c>
      <c r="D17127">
        <v>4</v>
      </c>
      <c r="E17127" s="80">
        <v>35921</v>
      </c>
    </row>
    <row r="17128" spans="1:5">
      <c r="A17128">
        <v>11077</v>
      </c>
      <c r="B17128" t="s">
        <v>178</v>
      </c>
      <c r="C17128">
        <v>24</v>
      </c>
      <c r="D17128">
        <v>4</v>
      </c>
      <c r="E17128" s="80">
        <v>35921</v>
      </c>
    </row>
    <row r="17129" spans="1:5">
      <c r="A17129">
        <v>11077</v>
      </c>
      <c r="B17129" t="s">
        <v>179</v>
      </c>
      <c r="C17129">
        <v>24</v>
      </c>
      <c r="D17129">
        <v>4</v>
      </c>
      <c r="E17129" s="80">
        <v>35921</v>
      </c>
    </row>
    <row r="17130" spans="1:5">
      <c r="A17130">
        <v>11077</v>
      </c>
      <c r="B17130" t="s">
        <v>172</v>
      </c>
      <c r="C17130">
        <v>22.55250001559034</v>
      </c>
      <c r="D17130">
        <v>1</v>
      </c>
      <c r="E17130" s="80">
        <v>35921</v>
      </c>
    </row>
    <row r="17131" spans="1:5">
      <c r="A17131">
        <v>11077</v>
      </c>
      <c r="B17131" t="s">
        <v>173</v>
      </c>
      <c r="C17131">
        <v>22.55250001559034</v>
      </c>
      <c r="D17131">
        <v>1</v>
      </c>
      <c r="E17131" s="80">
        <v>35921</v>
      </c>
    </row>
    <row r="17132" spans="1:5">
      <c r="A17132">
        <v>11077</v>
      </c>
      <c r="B17132" t="s">
        <v>174</v>
      </c>
      <c r="C17132">
        <v>22.55250001559034</v>
      </c>
      <c r="D17132">
        <v>1</v>
      </c>
      <c r="E17132" s="80">
        <v>35921</v>
      </c>
    </row>
    <row r="17133" spans="1:5">
      <c r="A17133">
        <v>11077</v>
      </c>
      <c r="B17133" t="s">
        <v>175</v>
      </c>
      <c r="C17133">
        <v>22.55250001559034</v>
      </c>
      <c r="D17133">
        <v>1</v>
      </c>
      <c r="E17133" s="80">
        <v>35921</v>
      </c>
    </row>
    <row r="17134" spans="1:5">
      <c r="A17134">
        <v>11077</v>
      </c>
      <c r="B17134" t="s">
        <v>176</v>
      </c>
      <c r="C17134">
        <v>22.55250001559034</v>
      </c>
      <c r="D17134">
        <v>1</v>
      </c>
      <c r="E17134" s="80">
        <v>35921</v>
      </c>
    </row>
    <row r="17135" spans="1:5">
      <c r="A17135">
        <v>11077</v>
      </c>
      <c r="B17135" t="s">
        <v>177</v>
      </c>
      <c r="C17135">
        <v>22.55250001559034</v>
      </c>
      <c r="D17135">
        <v>1</v>
      </c>
      <c r="E17135" s="80">
        <v>35921</v>
      </c>
    </row>
    <row r="17136" spans="1:5">
      <c r="A17136">
        <v>11077</v>
      </c>
      <c r="B17136" t="s">
        <v>178</v>
      </c>
      <c r="C17136">
        <v>22.55250001559034</v>
      </c>
      <c r="D17136">
        <v>1</v>
      </c>
      <c r="E17136" s="80">
        <v>35921</v>
      </c>
    </row>
    <row r="17137" spans="1:5">
      <c r="A17137">
        <v>11077</v>
      </c>
      <c r="B17137" t="s">
        <v>179</v>
      </c>
      <c r="C17137">
        <v>22.55250001559034</v>
      </c>
      <c r="D17137">
        <v>1</v>
      </c>
      <c r="E17137" s="80">
        <v>35921</v>
      </c>
    </row>
    <row r="17138" spans="1:5">
      <c r="A17138">
        <v>11077</v>
      </c>
      <c r="B17138" t="s">
        <v>172</v>
      </c>
      <c r="C17138">
        <v>33.853000023402274</v>
      </c>
      <c r="D17138">
        <v>2</v>
      </c>
      <c r="E17138" s="80">
        <v>35921</v>
      </c>
    </row>
    <row r="17139" spans="1:5">
      <c r="A17139">
        <v>11077</v>
      </c>
      <c r="B17139" t="s">
        <v>173</v>
      </c>
      <c r="C17139">
        <v>33.853000023402274</v>
      </c>
      <c r="D17139">
        <v>2</v>
      </c>
      <c r="E17139" s="80">
        <v>35921</v>
      </c>
    </row>
    <row r="17140" spans="1:5">
      <c r="A17140">
        <v>11077</v>
      </c>
      <c r="B17140" t="s">
        <v>174</v>
      </c>
      <c r="C17140">
        <v>33.853000023402274</v>
      </c>
      <c r="D17140">
        <v>2</v>
      </c>
      <c r="E17140" s="80">
        <v>35921</v>
      </c>
    </row>
    <row r="17141" spans="1:5">
      <c r="A17141">
        <v>11077</v>
      </c>
      <c r="B17141" t="s">
        <v>175</v>
      </c>
      <c r="C17141">
        <v>33.853000023402274</v>
      </c>
      <c r="D17141">
        <v>2</v>
      </c>
      <c r="E17141" s="80">
        <v>35921</v>
      </c>
    </row>
    <row r="17142" spans="1:5">
      <c r="A17142">
        <v>11077</v>
      </c>
      <c r="B17142" t="s">
        <v>176</v>
      </c>
      <c r="C17142">
        <v>33.853000023402274</v>
      </c>
      <c r="D17142">
        <v>2</v>
      </c>
      <c r="E17142" s="80">
        <v>35921</v>
      </c>
    </row>
    <row r="17143" spans="1:5">
      <c r="A17143">
        <v>11077</v>
      </c>
      <c r="B17143" t="s">
        <v>177</v>
      </c>
      <c r="C17143">
        <v>33.853000023402274</v>
      </c>
      <c r="D17143">
        <v>2</v>
      </c>
      <c r="E17143" s="80">
        <v>35921</v>
      </c>
    </row>
    <row r="17144" spans="1:5">
      <c r="A17144">
        <v>11077</v>
      </c>
      <c r="B17144" t="s">
        <v>178</v>
      </c>
      <c r="C17144">
        <v>33.853000023402274</v>
      </c>
      <c r="D17144">
        <v>2</v>
      </c>
      <c r="E17144" s="80">
        <v>35921</v>
      </c>
    </row>
    <row r="17145" spans="1:5">
      <c r="A17145">
        <v>11077</v>
      </c>
      <c r="B17145" t="s">
        <v>179</v>
      </c>
      <c r="C17145">
        <v>33.853000023402274</v>
      </c>
      <c r="D17145">
        <v>2</v>
      </c>
      <c r="E17145" s="80">
        <v>35921</v>
      </c>
    </row>
    <row r="17146" spans="1:5">
      <c r="A17146">
        <v>11077</v>
      </c>
      <c r="B17146" t="s">
        <v>172</v>
      </c>
      <c r="C17146">
        <v>77.760000072419643</v>
      </c>
      <c r="D17146">
        <v>1</v>
      </c>
      <c r="E17146" s="80">
        <v>35921</v>
      </c>
    </row>
    <row r="17147" spans="1:5">
      <c r="A17147">
        <v>11077</v>
      </c>
      <c r="B17147" t="s">
        <v>173</v>
      </c>
      <c r="C17147">
        <v>77.760000072419643</v>
      </c>
      <c r="D17147">
        <v>1</v>
      </c>
      <c r="E17147" s="80">
        <v>35921</v>
      </c>
    </row>
    <row r="17148" spans="1:5">
      <c r="A17148">
        <v>11077</v>
      </c>
      <c r="B17148" t="s">
        <v>174</v>
      </c>
      <c r="C17148">
        <v>77.760000072419643</v>
      </c>
      <c r="D17148">
        <v>1</v>
      </c>
      <c r="E17148" s="80">
        <v>35921</v>
      </c>
    </row>
    <row r="17149" spans="1:5">
      <c r="A17149">
        <v>11077</v>
      </c>
      <c r="B17149" t="s">
        <v>175</v>
      </c>
      <c r="C17149">
        <v>77.760000072419643</v>
      </c>
      <c r="D17149">
        <v>1</v>
      </c>
      <c r="E17149" s="80">
        <v>35921</v>
      </c>
    </row>
    <row r="17150" spans="1:5">
      <c r="A17150">
        <v>11077</v>
      </c>
      <c r="B17150" t="s">
        <v>176</v>
      </c>
      <c r="C17150">
        <v>77.760000072419643</v>
      </c>
      <c r="D17150">
        <v>1</v>
      </c>
      <c r="E17150" s="80">
        <v>35921</v>
      </c>
    </row>
    <row r="17151" spans="1:5">
      <c r="A17151">
        <v>11077</v>
      </c>
      <c r="B17151" t="s">
        <v>177</v>
      </c>
      <c r="C17151">
        <v>77.760000072419643</v>
      </c>
      <c r="D17151">
        <v>1</v>
      </c>
      <c r="E17151" s="80">
        <v>35921</v>
      </c>
    </row>
    <row r="17152" spans="1:5">
      <c r="A17152">
        <v>11077</v>
      </c>
      <c r="B17152" t="s">
        <v>178</v>
      </c>
      <c r="C17152">
        <v>77.760000072419643</v>
      </c>
      <c r="D17152">
        <v>1</v>
      </c>
      <c r="E17152" s="80">
        <v>35921</v>
      </c>
    </row>
    <row r="17153" spans="1:5">
      <c r="A17153">
        <v>11077</v>
      </c>
      <c r="B17153" t="s">
        <v>179</v>
      </c>
      <c r="C17153">
        <v>77.760000072419643</v>
      </c>
      <c r="D17153">
        <v>1</v>
      </c>
      <c r="E17153" s="80">
        <v>35921</v>
      </c>
    </row>
    <row r="17154" spans="1:5">
      <c r="A17154">
        <v>11077</v>
      </c>
      <c r="B17154" t="s">
        <v>172</v>
      </c>
      <c r="C17154">
        <v>18</v>
      </c>
      <c r="D17154">
        <v>2</v>
      </c>
      <c r="E17154" s="80">
        <v>35921</v>
      </c>
    </row>
    <row r="17155" spans="1:5">
      <c r="A17155">
        <v>11077</v>
      </c>
      <c r="B17155" t="s">
        <v>173</v>
      </c>
      <c r="C17155">
        <v>18</v>
      </c>
      <c r="D17155">
        <v>2</v>
      </c>
      <c r="E17155" s="80">
        <v>35921</v>
      </c>
    </row>
    <row r="17156" spans="1:5">
      <c r="A17156">
        <v>11077</v>
      </c>
      <c r="B17156" t="s">
        <v>174</v>
      </c>
      <c r="C17156">
        <v>18</v>
      </c>
      <c r="D17156">
        <v>2</v>
      </c>
      <c r="E17156" s="80">
        <v>35921</v>
      </c>
    </row>
    <row r="17157" spans="1:5">
      <c r="A17157">
        <v>11077</v>
      </c>
      <c r="B17157" t="s">
        <v>175</v>
      </c>
      <c r="C17157">
        <v>18</v>
      </c>
      <c r="D17157">
        <v>2</v>
      </c>
      <c r="E17157" s="80">
        <v>35921</v>
      </c>
    </row>
    <row r="17158" spans="1:5">
      <c r="A17158">
        <v>11077</v>
      </c>
      <c r="B17158" t="s">
        <v>176</v>
      </c>
      <c r="C17158">
        <v>18</v>
      </c>
      <c r="D17158">
        <v>2</v>
      </c>
      <c r="E17158" s="80">
        <v>35921</v>
      </c>
    </row>
    <row r="17159" spans="1:5">
      <c r="A17159">
        <v>11077</v>
      </c>
      <c r="B17159" t="s">
        <v>177</v>
      </c>
      <c r="C17159">
        <v>18</v>
      </c>
      <c r="D17159">
        <v>2</v>
      </c>
      <c r="E17159" s="80">
        <v>35921</v>
      </c>
    </row>
    <row r="17160" spans="1:5">
      <c r="A17160">
        <v>11077</v>
      </c>
      <c r="B17160" t="s">
        <v>178</v>
      </c>
      <c r="C17160">
        <v>18</v>
      </c>
      <c r="D17160">
        <v>2</v>
      </c>
      <c r="E17160" s="80">
        <v>35921</v>
      </c>
    </row>
    <row r="17161" spans="1:5">
      <c r="A17161">
        <v>11077</v>
      </c>
      <c r="B17161" t="s">
        <v>179</v>
      </c>
      <c r="C17161">
        <v>18</v>
      </c>
      <c r="D17161">
        <v>2</v>
      </c>
      <c r="E17161" s="80">
        <v>35921</v>
      </c>
    </row>
    <row r="17162" spans="1:5">
      <c r="A17162">
        <v>11077</v>
      </c>
      <c r="B17162" t="s">
        <v>172</v>
      </c>
      <c r="C17162">
        <v>32</v>
      </c>
      <c r="D17162">
        <v>1</v>
      </c>
      <c r="E17162" s="80">
        <v>35921</v>
      </c>
    </row>
    <row r="17163" spans="1:5">
      <c r="A17163">
        <v>11077</v>
      </c>
      <c r="B17163" t="s">
        <v>173</v>
      </c>
      <c r="C17163">
        <v>32</v>
      </c>
      <c r="D17163">
        <v>1</v>
      </c>
      <c r="E17163" s="80">
        <v>35921</v>
      </c>
    </row>
    <row r="17164" spans="1:5">
      <c r="A17164">
        <v>11077</v>
      </c>
      <c r="B17164" t="s">
        <v>174</v>
      </c>
      <c r="C17164">
        <v>32</v>
      </c>
      <c r="D17164">
        <v>1</v>
      </c>
      <c r="E17164" s="80">
        <v>35921</v>
      </c>
    </row>
    <row r="17165" spans="1:5">
      <c r="A17165">
        <v>11077</v>
      </c>
      <c r="B17165" t="s">
        <v>175</v>
      </c>
      <c r="C17165">
        <v>32</v>
      </c>
      <c r="D17165">
        <v>1</v>
      </c>
      <c r="E17165" s="80">
        <v>35921</v>
      </c>
    </row>
    <row r="17166" spans="1:5">
      <c r="A17166">
        <v>11077</v>
      </c>
      <c r="B17166" t="s">
        <v>176</v>
      </c>
      <c r="C17166">
        <v>32</v>
      </c>
      <c r="D17166">
        <v>1</v>
      </c>
      <c r="E17166" s="80">
        <v>35921</v>
      </c>
    </row>
    <row r="17167" spans="1:5">
      <c r="A17167">
        <v>11077</v>
      </c>
      <c r="B17167" t="s">
        <v>177</v>
      </c>
      <c r="C17167">
        <v>32</v>
      </c>
      <c r="D17167">
        <v>1</v>
      </c>
      <c r="E17167" s="80">
        <v>35921</v>
      </c>
    </row>
    <row r="17168" spans="1:5">
      <c r="A17168">
        <v>11077</v>
      </c>
      <c r="B17168" t="s">
        <v>178</v>
      </c>
      <c r="C17168">
        <v>32</v>
      </c>
      <c r="D17168">
        <v>1</v>
      </c>
      <c r="E17168" s="80">
        <v>35921</v>
      </c>
    </row>
    <row r="17169" spans="1:5">
      <c r="A17169">
        <v>11077</v>
      </c>
      <c r="B17169" t="s">
        <v>179</v>
      </c>
      <c r="C17169">
        <v>32</v>
      </c>
      <c r="D17169">
        <v>1</v>
      </c>
      <c r="E17169" s="80">
        <v>35921</v>
      </c>
    </row>
    <row r="17170" spans="1:5">
      <c r="A17170">
        <v>11077</v>
      </c>
      <c r="B17170" t="s">
        <v>172</v>
      </c>
      <c r="C17170">
        <v>34.19999997317791</v>
      </c>
      <c r="D17170">
        <v>2</v>
      </c>
      <c r="E17170" s="80">
        <v>35921</v>
      </c>
    </row>
    <row r="17171" spans="1:5">
      <c r="A17171">
        <v>11077</v>
      </c>
      <c r="B17171" t="s">
        <v>173</v>
      </c>
      <c r="C17171">
        <v>34.19999997317791</v>
      </c>
      <c r="D17171">
        <v>2</v>
      </c>
      <c r="E17171" s="80">
        <v>35921</v>
      </c>
    </row>
    <row r="17172" spans="1:5">
      <c r="A17172">
        <v>11077</v>
      </c>
      <c r="B17172" t="s">
        <v>174</v>
      </c>
      <c r="C17172">
        <v>34.19999997317791</v>
      </c>
      <c r="D17172">
        <v>2</v>
      </c>
      <c r="E17172" s="80">
        <v>35921</v>
      </c>
    </row>
    <row r="17173" spans="1:5">
      <c r="A17173">
        <v>11077</v>
      </c>
      <c r="B17173" t="s">
        <v>175</v>
      </c>
      <c r="C17173">
        <v>34.19999997317791</v>
      </c>
      <c r="D17173">
        <v>2</v>
      </c>
      <c r="E17173" s="80">
        <v>35921</v>
      </c>
    </row>
    <row r="17174" spans="1:5">
      <c r="A17174">
        <v>11077</v>
      </c>
      <c r="B17174" t="s">
        <v>176</v>
      </c>
      <c r="C17174">
        <v>34.19999997317791</v>
      </c>
      <c r="D17174">
        <v>2</v>
      </c>
      <c r="E17174" s="80">
        <v>35921</v>
      </c>
    </row>
    <row r="17175" spans="1:5">
      <c r="A17175">
        <v>11077</v>
      </c>
      <c r="B17175" t="s">
        <v>177</v>
      </c>
      <c r="C17175">
        <v>34.19999997317791</v>
      </c>
      <c r="D17175">
        <v>2</v>
      </c>
      <c r="E17175" s="80">
        <v>35921</v>
      </c>
    </row>
    <row r="17176" spans="1:5">
      <c r="A17176">
        <v>11077</v>
      </c>
      <c r="B17176" t="s">
        <v>178</v>
      </c>
      <c r="C17176">
        <v>34.19999997317791</v>
      </c>
      <c r="D17176">
        <v>2</v>
      </c>
      <c r="E17176" s="80">
        <v>35921</v>
      </c>
    </row>
    <row r="17177" spans="1:5">
      <c r="A17177">
        <v>11077</v>
      </c>
      <c r="B17177" t="s">
        <v>179</v>
      </c>
      <c r="C17177">
        <v>34.19999997317791</v>
      </c>
      <c r="D17177">
        <v>2</v>
      </c>
      <c r="E17177" s="80">
        <v>35921</v>
      </c>
    </row>
    <row r="17178" spans="1:5">
      <c r="A17178">
        <v>11077</v>
      </c>
      <c r="B17178" t="s">
        <v>172</v>
      </c>
      <c r="C17178">
        <v>28.95</v>
      </c>
      <c r="D17178">
        <v>3</v>
      </c>
      <c r="E17178" s="80">
        <v>35921</v>
      </c>
    </row>
    <row r="17179" spans="1:5">
      <c r="A17179">
        <v>11077</v>
      </c>
      <c r="B17179" t="s">
        <v>173</v>
      </c>
      <c r="C17179">
        <v>28.95</v>
      </c>
      <c r="D17179">
        <v>3</v>
      </c>
      <c r="E17179" s="80">
        <v>35921</v>
      </c>
    </row>
    <row r="17180" spans="1:5">
      <c r="A17180">
        <v>11077</v>
      </c>
      <c r="B17180" t="s">
        <v>174</v>
      </c>
      <c r="C17180">
        <v>28.95</v>
      </c>
      <c r="D17180">
        <v>3</v>
      </c>
      <c r="E17180" s="80">
        <v>35921</v>
      </c>
    </row>
    <row r="17181" spans="1:5">
      <c r="A17181">
        <v>11077</v>
      </c>
      <c r="B17181" t="s">
        <v>175</v>
      </c>
      <c r="C17181">
        <v>28.95</v>
      </c>
      <c r="D17181">
        <v>3</v>
      </c>
      <c r="E17181" s="80">
        <v>35921</v>
      </c>
    </row>
    <row r="17182" spans="1:5">
      <c r="A17182">
        <v>11077</v>
      </c>
      <c r="B17182" t="s">
        <v>176</v>
      </c>
      <c r="C17182">
        <v>28.95</v>
      </c>
      <c r="D17182">
        <v>3</v>
      </c>
      <c r="E17182" s="80">
        <v>35921</v>
      </c>
    </row>
    <row r="17183" spans="1:5">
      <c r="A17183">
        <v>11077</v>
      </c>
      <c r="B17183" t="s">
        <v>177</v>
      </c>
      <c r="C17183">
        <v>28.95</v>
      </c>
      <c r="D17183">
        <v>3</v>
      </c>
      <c r="E17183" s="80">
        <v>35921</v>
      </c>
    </row>
    <row r="17184" spans="1:5">
      <c r="A17184">
        <v>11077</v>
      </c>
      <c r="B17184" t="s">
        <v>178</v>
      </c>
      <c r="C17184">
        <v>28.95</v>
      </c>
      <c r="D17184">
        <v>3</v>
      </c>
      <c r="E17184" s="80">
        <v>35921</v>
      </c>
    </row>
    <row r="17185" spans="1:5">
      <c r="A17185">
        <v>11077</v>
      </c>
      <c r="B17185" t="s">
        <v>179</v>
      </c>
      <c r="C17185">
        <v>28.95</v>
      </c>
      <c r="D17185">
        <v>3</v>
      </c>
      <c r="E17185" s="80">
        <v>35921</v>
      </c>
    </row>
    <row r="17186" spans="1:5">
      <c r="A17186">
        <v>11077</v>
      </c>
      <c r="B17186" t="s">
        <v>172</v>
      </c>
      <c r="C17186">
        <v>35.280000016093254</v>
      </c>
      <c r="D17186">
        <v>3</v>
      </c>
      <c r="E17186" s="80">
        <v>35921</v>
      </c>
    </row>
    <row r="17187" spans="1:5">
      <c r="A17187">
        <v>11077</v>
      </c>
      <c r="B17187" t="s">
        <v>173</v>
      </c>
      <c r="C17187">
        <v>35.280000016093254</v>
      </c>
      <c r="D17187">
        <v>3</v>
      </c>
      <c r="E17187" s="80">
        <v>35921</v>
      </c>
    </row>
    <row r="17188" spans="1:5">
      <c r="A17188">
        <v>11077</v>
      </c>
      <c r="B17188" t="s">
        <v>174</v>
      </c>
      <c r="C17188">
        <v>35.280000016093254</v>
      </c>
      <c r="D17188">
        <v>3</v>
      </c>
      <c r="E17188" s="80">
        <v>35921</v>
      </c>
    </row>
    <row r="17189" spans="1:5">
      <c r="A17189">
        <v>11077</v>
      </c>
      <c r="B17189" t="s">
        <v>175</v>
      </c>
      <c r="C17189">
        <v>35.280000016093254</v>
      </c>
      <c r="D17189">
        <v>3</v>
      </c>
      <c r="E17189" s="80">
        <v>35921</v>
      </c>
    </row>
    <row r="17190" spans="1:5">
      <c r="A17190">
        <v>11077</v>
      </c>
      <c r="B17190" t="s">
        <v>176</v>
      </c>
      <c r="C17190">
        <v>35.280000016093254</v>
      </c>
      <c r="D17190">
        <v>3</v>
      </c>
      <c r="E17190" s="80">
        <v>35921</v>
      </c>
    </row>
    <row r="17191" spans="1:5">
      <c r="A17191">
        <v>11077</v>
      </c>
      <c r="B17191" t="s">
        <v>177</v>
      </c>
      <c r="C17191">
        <v>35.280000016093254</v>
      </c>
      <c r="D17191">
        <v>3</v>
      </c>
      <c r="E17191" s="80">
        <v>35921</v>
      </c>
    </row>
    <row r="17192" spans="1:5">
      <c r="A17192">
        <v>11077</v>
      </c>
      <c r="B17192" t="s">
        <v>178</v>
      </c>
      <c r="C17192">
        <v>35.280000016093254</v>
      </c>
      <c r="D17192">
        <v>3</v>
      </c>
      <c r="E17192" s="80">
        <v>35921</v>
      </c>
    </row>
    <row r="17193" spans="1:5">
      <c r="A17193">
        <v>11077</v>
      </c>
      <c r="B17193" t="s">
        <v>179</v>
      </c>
      <c r="C17193">
        <v>35.280000016093254</v>
      </c>
      <c r="D17193">
        <v>3</v>
      </c>
      <c r="E17193" s="80">
        <v>35921</v>
      </c>
    </row>
    <row r="17194" spans="1:5">
      <c r="A17194">
        <v>11077</v>
      </c>
      <c r="B17194" t="s">
        <v>172</v>
      </c>
      <c r="C17194">
        <v>14</v>
      </c>
      <c r="D17194">
        <v>2</v>
      </c>
      <c r="E17194" s="80">
        <v>35921</v>
      </c>
    </row>
    <row r="17195" spans="1:5">
      <c r="A17195">
        <v>11077</v>
      </c>
      <c r="B17195" t="s">
        <v>173</v>
      </c>
      <c r="C17195">
        <v>14</v>
      </c>
      <c r="D17195">
        <v>2</v>
      </c>
      <c r="E17195" s="80">
        <v>35921</v>
      </c>
    </row>
    <row r="17196" spans="1:5">
      <c r="A17196">
        <v>11077</v>
      </c>
      <c r="B17196" t="s">
        <v>174</v>
      </c>
      <c r="C17196">
        <v>14</v>
      </c>
      <c r="D17196">
        <v>2</v>
      </c>
      <c r="E17196" s="80">
        <v>35921</v>
      </c>
    </row>
    <row r="17197" spans="1:5">
      <c r="A17197">
        <v>11077</v>
      </c>
      <c r="B17197" t="s">
        <v>175</v>
      </c>
      <c r="C17197">
        <v>14</v>
      </c>
      <c r="D17197">
        <v>2</v>
      </c>
      <c r="E17197" s="80">
        <v>35921</v>
      </c>
    </row>
    <row r="17198" spans="1:5">
      <c r="A17198">
        <v>11077</v>
      </c>
      <c r="B17198" t="s">
        <v>176</v>
      </c>
      <c r="C17198">
        <v>14</v>
      </c>
      <c r="D17198">
        <v>2</v>
      </c>
      <c r="E17198" s="80">
        <v>35921</v>
      </c>
    </row>
    <row r="17199" spans="1:5">
      <c r="A17199">
        <v>11077</v>
      </c>
      <c r="B17199" t="s">
        <v>177</v>
      </c>
      <c r="C17199">
        <v>14</v>
      </c>
      <c r="D17199">
        <v>2</v>
      </c>
      <c r="E17199" s="80">
        <v>35921</v>
      </c>
    </row>
    <row r="17200" spans="1:5">
      <c r="A17200">
        <v>11077</v>
      </c>
      <c r="B17200" t="s">
        <v>178</v>
      </c>
      <c r="C17200">
        <v>14</v>
      </c>
      <c r="D17200">
        <v>2</v>
      </c>
      <c r="E17200" s="80">
        <v>35921</v>
      </c>
    </row>
    <row r="17201" spans="1:5">
      <c r="A17201">
        <v>11077</v>
      </c>
      <c r="B17201" t="s">
        <v>179</v>
      </c>
      <c r="C17201">
        <v>14</v>
      </c>
      <c r="D17201">
        <v>2</v>
      </c>
      <c r="E17201" s="80">
        <v>35921</v>
      </c>
    </row>
    <row r="17202" spans="1:5">
      <c r="A17202">
        <v>11077</v>
      </c>
      <c r="B17202" t="s">
        <v>172</v>
      </c>
      <c r="C17202">
        <v>48</v>
      </c>
      <c r="D17202">
        <v>2</v>
      </c>
      <c r="E17202" s="80">
        <v>35921</v>
      </c>
    </row>
    <row r="17203" spans="1:5">
      <c r="A17203">
        <v>11077</v>
      </c>
      <c r="B17203" t="s">
        <v>173</v>
      </c>
      <c r="C17203">
        <v>48</v>
      </c>
      <c r="D17203">
        <v>2</v>
      </c>
      <c r="E17203" s="80">
        <v>35921</v>
      </c>
    </row>
    <row r="17204" spans="1:5">
      <c r="A17204">
        <v>11077</v>
      </c>
      <c r="B17204" t="s">
        <v>174</v>
      </c>
      <c r="C17204">
        <v>48</v>
      </c>
      <c r="D17204">
        <v>2</v>
      </c>
      <c r="E17204" s="80">
        <v>35921</v>
      </c>
    </row>
    <row r="17205" spans="1:5">
      <c r="A17205">
        <v>11077</v>
      </c>
      <c r="B17205" t="s">
        <v>175</v>
      </c>
      <c r="C17205">
        <v>48</v>
      </c>
      <c r="D17205">
        <v>2</v>
      </c>
      <c r="E17205" s="80">
        <v>35921</v>
      </c>
    </row>
    <row r="17206" spans="1:5">
      <c r="A17206">
        <v>11077</v>
      </c>
      <c r="B17206" t="s">
        <v>176</v>
      </c>
      <c r="C17206">
        <v>48</v>
      </c>
      <c r="D17206">
        <v>2</v>
      </c>
      <c r="E17206" s="80">
        <v>35921</v>
      </c>
    </row>
    <row r="17207" spans="1:5">
      <c r="A17207">
        <v>11077</v>
      </c>
      <c r="B17207" t="s">
        <v>177</v>
      </c>
      <c r="C17207">
        <v>48</v>
      </c>
      <c r="D17207">
        <v>2</v>
      </c>
      <c r="E17207" s="80">
        <v>35921</v>
      </c>
    </row>
    <row r="17208" spans="1:5">
      <c r="A17208">
        <v>11077</v>
      </c>
      <c r="B17208" t="s">
        <v>178</v>
      </c>
      <c r="C17208">
        <v>48</v>
      </c>
      <c r="D17208">
        <v>2</v>
      </c>
      <c r="E17208" s="80">
        <v>35921</v>
      </c>
    </row>
    <row r="17209" spans="1:5">
      <c r="A17209">
        <v>11077</v>
      </c>
      <c r="B17209" t="s">
        <v>179</v>
      </c>
      <c r="C17209">
        <v>48</v>
      </c>
      <c r="D17209">
        <v>2</v>
      </c>
      <c r="E17209" s="80">
        <v>35921</v>
      </c>
    </row>
    <row r="17210" spans="1:5">
      <c r="A17210">
        <v>11077</v>
      </c>
      <c r="B17210" t="s">
        <v>172</v>
      </c>
      <c r="C17210">
        <v>63.920000091195107</v>
      </c>
      <c r="D17210">
        <v>2</v>
      </c>
      <c r="E17210" s="80">
        <v>35921</v>
      </c>
    </row>
    <row r="17211" spans="1:5">
      <c r="A17211">
        <v>11077</v>
      </c>
      <c r="B17211" t="s">
        <v>173</v>
      </c>
      <c r="C17211">
        <v>63.920000091195107</v>
      </c>
      <c r="D17211">
        <v>2</v>
      </c>
      <c r="E17211" s="80">
        <v>35921</v>
      </c>
    </row>
    <row r="17212" spans="1:5">
      <c r="A17212">
        <v>11077</v>
      </c>
      <c r="B17212" t="s">
        <v>174</v>
      </c>
      <c r="C17212">
        <v>63.920000091195107</v>
      </c>
      <c r="D17212">
        <v>2</v>
      </c>
      <c r="E17212" s="80">
        <v>35921</v>
      </c>
    </row>
    <row r="17213" spans="1:5">
      <c r="A17213">
        <v>11077</v>
      </c>
      <c r="B17213" t="s">
        <v>175</v>
      </c>
      <c r="C17213">
        <v>63.920000091195107</v>
      </c>
      <c r="D17213">
        <v>2</v>
      </c>
      <c r="E17213" s="80">
        <v>35921</v>
      </c>
    </row>
    <row r="17214" spans="1:5">
      <c r="A17214">
        <v>11077</v>
      </c>
      <c r="B17214" t="s">
        <v>176</v>
      </c>
      <c r="C17214">
        <v>63.920000091195107</v>
      </c>
      <c r="D17214">
        <v>2</v>
      </c>
      <c r="E17214" s="80">
        <v>35921</v>
      </c>
    </row>
    <row r="17215" spans="1:5">
      <c r="A17215">
        <v>11077</v>
      </c>
      <c r="B17215" t="s">
        <v>177</v>
      </c>
      <c r="C17215">
        <v>63.920000091195107</v>
      </c>
      <c r="D17215">
        <v>2</v>
      </c>
      <c r="E17215" s="80">
        <v>35921</v>
      </c>
    </row>
    <row r="17216" spans="1:5">
      <c r="A17216">
        <v>11077</v>
      </c>
      <c r="B17216" t="s">
        <v>178</v>
      </c>
      <c r="C17216">
        <v>63.920000091195107</v>
      </c>
      <c r="D17216">
        <v>2</v>
      </c>
      <c r="E17216" s="80">
        <v>35921</v>
      </c>
    </row>
    <row r="17217" spans="1:5">
      <c r="A17217">
        <v>11077</v>
      </c>
      <c r="B17217" t="s">
        <v>179</v>
      </c>
      <c r="C17217">
        <v>63.920000091195107</v>
      </c>
      <c r="D17217">
        <v>2</v>
      </c>
      <c r="E17217" s="80">
        <v>35921</v>
      </c>
    </row>
    <row r="17218" spans="1:5">
      <c r="A17218">
        <v>11077</v>
      </c>
      <c r="B17218" t="s">
        <v>172</v>
      </c>
      <c r="C17218">
        <v>64.505000044591725</v>
      </c>
      <c r="D17218">
        <v>2</v>
      </c>
      <c r="E17218" s="80">
        <v>35921</v>
      </c>
    </row>
    <row r="17219" spans="1:5">
      <c r="A17219">
        <v>11077</v>
      </c>
      <c r="B17219" t="s">
        <v>173</v>
      </c>
      <c r="C17219">
        <v>64.505000044591725</v>
      </c>
      <c r="D17219">
        <v>2</v>
      </c>
      <c r="E17219" s="80">
        <v>35921</v>
      </c>
    </row>
    <row r="17220" spans="1:5">
      <c r="A17220">
        <v>11077</v>
      </c>
      <c r="B17220" t="s">
        <v>174</v>
      </c>
      <c r="C17220">
        <v>64.505000044591725</v>
      </c>
      <c r="D17220">
        <v>2</v>
      </c>
      <c r="E17220" s="80">
        <v>35921</v>
      </c>
    </row>
    <row r="17221" spans="1:5">
      <c r="A17221">
        <v>11077</v>
      </c>
      <c r="B17221" t="s">
        <v>175</v>
      </c>
      <c r="C17221">
        <v>64.505000044591725</v>
      </c>
      <c r="D17221">
        <v>2</v>
      </c>
      <c r="E17221" s="80">
        <v>35921</v>
      </c>
    </row>
    <row r="17222" spans="1:5">
      <c r="A17222">
        <v>11077</v>
      </c>
      <c r="B17222" t="s">
        <v>176</v>
      </c>
      <c r="C17222">
        <v>64.505000044591725</v>
      </c>
      <c r="D17222">
        <v>2</v>
      </c>
      <c r="E17222" s="80">
        <v>35921</v>
      </c>
    </row>
    <row r="17223" spans="1:5">
      <c r="A17223">
        <v>11077</v>
      </c>
      <c r="B17223" t="s">
        <v>177</v>
      </c>
      <c r="C17223">
        <v>64.505000044591725</v>
      </c>
      <c r="D17223">
        <v>2</v>
      </c>
      <c r="E17223" s="80">
        <v>35921</v>
      </c>
    </row>
    <row r="17224" spans="1:5">
      <c r="A17224">
        <v>11077</v>
      </c>
      <c r="B17224" t="s">
        <v>178</v>
      </c>
      <c r="C17224">
        <v>64.505000044591725</v>
      </c>
      <c r="D17224">
        <v>2</v>
      </c>
      <c r="E17224" s="80">
        <v>35921</v>
      </c>
    </row>
    <row r="17225" spans="1:5">
      <c r="A17225">
        <v>11077</v>
      </c>
      <c r="B17225" t="s">
        <v>179</v>
      </c>
      <c r="C17225">
        <v>64.505000044591725</v>
      </c>
      <c r="D17225">
        <v>2</v>
      </c>
      <c r="E17225" s="80">
        <v>35921</v>
      </c>
    </row>
    <row r="17226" spans="1:5">
      <c r="A17226">
        <v>11077</v>
      </c>
      <c r="B17226" t="s">
        <v>172</v>
      </c>
      <c r="C17226">
        <v>17</v>
      </c>
      <c r="D17226">
        <v>1</v>
      </c>
      <c r="E17226" s="80">
        <v>35921</v>
      </c>
    </row>
    <row r="17227" spans="1:5">
      <c r="A17227">
        <v>11077</v>
      </c>
      <c r="B17227" t="s">
        <v>173</v>
      </c>
      <c r="C17227">
        <v>17</v>
      </c>
      <c r="D17227">
        <v>1</v>
      </c>
      <c r="E17227" s="80">
        <v>35921</v>
      </c>
    </row>
    <row r="17228" spans="1:5">
      <c r="A17228">
        <v>11077</v>
      </c>
      <c r="B17228" t="s">
        <v>174</v>
      </c>
      <c r="C17228">
        <v>17</v>
      </c>
      <c r="D17228">
        <v>1</v>
      </c>
      <c r="E17228" s="80">
        <v>35921</v>
      </c>
    </row>
    <row r="17229" spans="1:5">
      <c r="A17229">
        <v>11077</v>
      </c>
      <c r="B17229" t="s">
        <v>175</v>
      </c>
      <c r="C17229">
        <v>17</v>
      </c>
      <c r="D17229">
        <v>1</v>
      </c>
      <c r="E17229" s="80">
        <v>35921</v>
      </c>
    </row>
    <row r="17230" spans="1:5">
      <c r="A17230">
        <v>11077</v>
      </c>
      <c r="B17230" t="s">
        <v>176</v>
      </c>
      <c r="C17230">
        <v>17</v>
      </c>
      <c r="D17230">
        <v>1</v>
      </c>
      <c r="E17230" s="80">
        <v>35921</v>
      </c>
    </row>
    <row r="17231" spans="1:5">
      <c r="A17231">
        <v>11077</v>
      </c>
      <c r="B17231" t="s">
        <v>177</v>
      </c>
      <c r="C17231">
        <v>17</v>
      </c>
      <c r="D17231">
        <v>1</v>
      </c>
      <c r="E17231" s="80">
        <v>35921</v>
      </c>
    </row>
    <row r="17232" spans="1:5">
      <c r="A17232">
        <v>11077</v>
      </c>
      <c r="B17232" t="s">
        <v>178</v>
      </c>
      <c r="C17232">
        <v>17</v>
      </c>
      <c r="D17232">
        <v>1</v>
      </c>
      <c r="E17232" s="80">
        <v>35921</v>
      </c>
    </row>
    <row r="17233" spans="1:5">
      <c r="A17233">
        <v>11077</v>
      </c>
      <c r="B17233" t="s">
        <v>179</v>
      </c>
      <c r="C17233">
        <v>17</v>
      </c>
      <c r="D17233">
        <v>1</v>
      </c>
      <c r="E17233" s="80">
        <v>35921</v>
      </c>
    </row>
    <row r="17234" spans="1:5">
      <c r="A17234">
        <v>11077</v>
      </c>
      <c r="B17234" t="s">
        <v>172</v>
      </c>
      <c r="C17234">
        <v>29.700000006705523</v>
      </c>
      <c r="D17234">
        <v>2</v>
      </c>
      <c r="E17234" s="80">
        <v>35921</v>
      </c>
    </row>
    <row r="17235" spans="1:5">
      <c r="A17235">
        <v>11077</v>
      </c>
      <c r="B17235" t="s">
        <v>173</v>
      </c>
      <c r="C17235">
        <v>29.700000006705523</v>
      </c>
      <c r="D17235">
        <v>2</v>
      </c>
      <c r="E17235" s="80">
        <v>35921</v>
      </c>
    </row>
    <row r="17236" spans="1:5">
      <c r="A17236">
        <v>11077</v>
      </c>
      <c r="B17236" t="s">
        <v>174</v>
      </c>
      <c r="C17236">
        <v>29.700000006705523</v>
      </c>
      <c r="D17236">
        <v>2</v>
      </c>
      <c r="E17236" s="80">
        <v>35921</v>
      </c>
    </row>
    <row r="17237" spans="1:5">
      <c r="A17237">
        <v>11077</v>
      </c>
      <c r="B17237" t="s">
        <v>175</v>
      </c>
      <c r="C17237">
        <v>29.700000006705523</v>
      </c>
      <c r="D17237">
        <v>2</v>
      </c>
      <c r="E17237" s="80">
        <v>35921</v>
      </c>
    </row>
    <row r="17238" spans="1:5">
      <c r="A17238">
        <v>11077</v>
      </c>
      <c r="B17238" t="s">
        <v>176</v>
      </c>
      <c r="C17238">
        <v>29.700000006705523</v>
      </c>
      <c r="D17238">
        <v>2</v>
      </c>
      <c r="E17238" s="80">
        <v>35921</v>
      </c>
    </row>
    <row r="17239" spans="1:5">
      <c r="A17239">
        <v>11077</v>
      </c>
      <c r="B17239" t="s">
        <v>177</v>
      </c>
      <c r="C17239">
        <v>29.700000006705523</v>
      </c>
      <c r="D17239">
        <v>2</v>
      </c>
      <c r="E17239" s="80">
        <v>35921</v>
      </c>
    </row>
    <row r="17240" spans="1:5">
      <c r="A17240">
        <v>11077</v>
      </c>
      <c r="B17240" t="s">
        <v>178</v>
      </c>
      <c r="C17240">
        <v>29.700000006705523</v>
      </c>
      <c r="D17240">
        <v>2</v>
      </c>
      <c r="E17240" s="80">
        <v>35921</v>
      </c>
    </row>
    <row r="17241" spans="1:5">
      <c r="A17241">
        <v>11077</v>
      </c>
      <c r="B17241" t="s">
        <v>179</v>
      </c>
      <c r="C17241">
        <v>29.700000006705523</v>
      </c>
      <c r="D17241">
        <v>2</v>
      </c>
      <c r="E17241" s="80">
        <v>35921</v>
      </c>
    </row>
    <row r="17242" spans="1:5">
      <c r="A17242">
        <v>11077</v>
      </c>
      <c r="B17242" t="s">
        <v>172</v>
      </c>
      <c r="C17242">
        <v>31</v>
      </c>
      <c r="D17242">
        <v>4</v>
      </c>
      <c r="E17242" s="80">
        <v>35921</v>
      </c>
    </row>
    <row r="17243" spans="1:5">
      <c r="A17243">
        <v>11077</v>
      </c>
      <c r="B17243" t="s">
        <v>173</v>
      </c>
      <c r="C17243">
        <v>31</v>
      </c>
      <c r="D17243">
        <v>4</v>
      </c>
      <c r="E17243" s="80">
        <v>35921</v>
      </c>
    </row>
    <row r="17244" spans="1:5">
      <c r="A17244">
        <v>11077</v>
      </c>
      <c r="B17244" t="s">
        <v>174</v>
      </c>
      <c r="C17244">
        <v>31</v>
      </c>
      <c r="D17244">
        <v>4</v>
      </c>
      <c r="E17244" s="80">
        <v>35921</v>
      </c>
    </row>
    <row r="17245" spans="1:5">
      <c r="A17245">
        <v>11077</v>
      </c>
      <c r="B17245" t="s">
        <v>175</v>
      </c>
      <c r="C17245">
        <v>31</v>
      </c>
      <c r="D17245">
        <v>4</v>
      </c>
      <c r="E17245" s="80">
        <v>35921</v>
      </c>
    </row>
    <row r="17246" spans="1:5">
      <c r="A17246">
        <v>11077</v>
      </c>
      <c r="B17246" t="s">
        <v>176</v>
      </c>
      <c r="C17246">
        <v>31</v>
      </c>
      <c r="D17246">
        <v>4</v>
      </c>
      <c r="E17246" s="80">
        <v>35921</v>
      </c>
    </row>
    <row r="17247" spans="1:5">
      <c r="A17247">
        <v>11077</v>
      </c>
      <c r="B17247" t="s">
        <v>177</v>
      </c>
      <c r="C17247">
        <v>31</v>
      </c>
      <c r="D17247">
        <v>4</v>
      </c>
      <c r="E17247" s="80">
        <v>35921</v>
      </c>
    </row>
    <row r="17248" spans="1:5">
      <c r="A17248">
        <v>11077</v>
      </c>
      <c r="B17248" t="s">
        <v>178</v>
      </c>
      <c r="C17248">
        <v>31</v>
      </c>
      <c r="D17248">
        <v>4</v>
      </c>
      <c r="E17248" s="80">
        <v>35921</v>
      </c>
    </row>
    <row r="17249" spans="1:5">
      <c r="A17249">
        <v>11077</v>
      </c>
      <c r="B17249" t="s">
        <v>179</v>
      </c>
      <c r="C17249">
        <v>31</v>
      </c>
      <c r="D17249">
        <v>4</v>
      </c>
      <c r="E17249" s="80">
        <v>35921</v>
      </c>
    </row>
    <row r="17250" spans="1:5">
      <c r="A17250">
        <v>11077</v>
      </c>
      <c r="B17250" t="s">
        <v>172</v>
      </c>
      <c r="C17250">
        <v>26</v>
      </c>
      <c r="D17250">
        <v>2</v>
      </c>
      <c r="E17250" s="80">
        <v>35921</v>
      </c>
    </row>
    <row r="17251" spans="1:5">
      <c r="A17251">
        <v>11077</v>
      </c>
      <c r="B17251" t="s">
        <v>173</v>
      </c>
      <c r="C17251">
        <v>26</v>
      </c>
      <c r="D17251">
        <v>2</v>
      </c>
      <c r="E17251" s="80">
        <v>35921</v>
      </c>
    </row>
    <row r="17252" spans="1:5">
      <c r="A17252">
        <v>11077</v>
      </c>
      <c r="B17252" t="s">
        <v>174</v>
      </c>
      <c r="C17252">
        <v>26</v>
      </c>
      <c r="D17252">
        <v>2</v>
      </c>
      <c r="E17252" s="80">
        <v>35921</v>
      </c>
    </row>
    <row r="17253" spans="1:5">
      <c r="A17253">
        <v>11077</v>
      </c>
      <c r="B17253" t="s">
        <v>175</v>
      </c>
      <c r="C17253">
        <v>26</v>
      </c>
      <c r="D17253">
        <v>2</v>
      </c>
      <c r="E17253" s="80">
        <v>35921</v>
      </c>
    </row>
    <row r="17254" spans="1:5">
      <c r="A17254">
        <v>11077</v>
      </c>
      <c r="B17254" t="s">
        <v>176</v>
      </c>
      <c r="C17254">
        <v>26</v>
      </c>
      <c r="D17254">
        <v>2</v>
      </c>
      <c r="E17254" s="80">
        <v>35921</v>
      </c>
    </row>
    <row r="17255" spans="1:5">
      <c r="A17255">
        <v>11077</v>
      </c>
      <c r="B17255" t="s">
        <v>177</v>
      </c>
      <c r="C17255">
        <v>26</v>
      </c>
      <c r="D17255">
        <v>2</v>
      </c>
      <c r="E17255" s="80">
        <v>35921</v>
      </c>
    </row>
    <row r="17256" spans="1:5">
      <c r="A17256">
        <v>11077</v>
      </c>
      <c r="B17256" t="s">
        <v>178</v>
      </c>
      <c r="C17256">
        <v>26</v>
      </c>
      <c r="D17256">
        <v>2</v>
      </c>
      <c r="E17256" s="80">
        <v>35921</v>
      </c>
    </row>
    <row r="17257" spans="1:5">
      <c r="A17257">
        <v>11077</v>
      </c>
      <c r="B17257" t="s">
        <v>179</v>
      </c>
      <c r="C17257">
        <v>26</v>
      </c>
      <c r="D17257">
        <v>2</v>
      </c>
      <c r="E17257" s="80">
        <v>35921</v>
      </c>
    </row>
  </sheetData>
  <phoneticPr fontId="9" type="noConversion"/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8BC4-A4CC-4AAD-8928-5431E6E1DA06}">
  <dimension ref="A1:O3241"/>
  <sheetViews>
    <sheetView workbookViewId="0">
      <selection activeCell="H1" sqref="H1"/>
    </sheetView>
  </sheetViews>
  <sheetFormatPr defaultRowHeight="14"/>
  <cols>
    <col min="1" max="1" width="9.90625" bestFit="1" customWidth="1"/>
    <col min="2" max="2" width="16.81640625" bestFit="1" customWidth="1"/>
    <col min="3" max="3" width="12.453125" bestFit="1" customWidth="1"/>
    <col min="4" max="4" width="7.7265625" bestFit="1" customWidth="1"/>
    <col min="5" max="5" width="11.90625" bestFit="1" customWidth="1"/>
    <col min="8" max="8" width="10.26953125" bestFit="1" customWidth="1"/>
    <col min="9" max="9" width="9.81640625" bestFit="1" customWidth="1"/>
    <col min="10" max="11" width="4.453125" bestFit="1" customWidth="1"/>
    <col min="12" max="14" width="5.54296875" bestFit="1" customWidth="1"/>
    <col min="15" max="15" width="5.453125" bestFit="1" customWidth="1"/>
    <col min="16" max="28" width="8.7265625" bestFit="1" customWidth="1"/>
    <col min="29" max="29" width="9.7265625" bestFit="1" customWidth="1"/>
    <col min="30" max="36" width="7.6328125" bestFit="1" customWidth="1"/>
    <col min="37" max="51" width="8.7265625" bestFit="1" customWidth="1"/>
    <col min="52" max="52" width="9.7265625" bestFit="1" customWidth="1"/>
    <col min="53" max="58" width="7.6328125" bestFit="1" customWidth="1"/>
    <col min="59" max="73" width="8.7265625" bestFit="1" customWidth="1"/>
    <col min="74" max="74" width="9.7265625" bestFit="1" customWidth="1"/>
    <col min="75" max="81" width="8.7265625" bestFit="1" customWidth="1"/>
    <col min="82" max="97" width="9.81640625" bestFit="1" customWidth="1"/>
    <col min="98" max="98" width="10.90625" bestFit="1" customWidth="1"/>
    <col min="99" max="104" width="8.7265625" bestFit="1" customWidth="1"/>
    <col min="105" max="119" width="9.81640625" bestFit="1" customWidth="1"/>
    <col min="120" max="120" width="10.90625" bestFit="1" customWidth="1"/>
    <col min="121" max="126" width="8.7265625" bestFit="1" customWidth="1"/>
    <col min="127" max="142" width="9.81640625" bestFit="1" customWidth="1"/>
    <col min="143" max="143" width="10.90625" bestFit="1" customWidth="1"/>
    <col min="144" max="144" width="5.453125" bestFit="1" customWidth="1"/>
  </cols>
  <sheetData>
    <row r="1" spans="1:15">
      <c r="A1" t="s">
        <v>167</v>
      </c>
      <c r="B1" t="s">
        <v>171</v>
      </c>
      <c r="C1" t="s">
        <v>169</v>
      </c>
      <c r="D1" t="s">
        <v>170</v>
      </c>
      <c r="E1" t="s">
        <v>168</v>
      </c>
      <c r="I1" s="82" t="s">
        <v>181</v>
      </c>
    </row>
    <row r="2" spans="1:15">
      <c r="A2">
        <v>10248</v>
      </c>
      <c r="B2" s="80">
        <v>35250</v>
      </c>
      <c r="C2">
        <v>174</v>
      </c>
      <c r="D2">
        <v>5</v>
      </c>
      <c r="E2" t="s">
        <v>178</v>
      </c>
      <c r="H2" s="82" t="s">
        <v>183</v>
      </c>
      <c r="I2" t="s">
        <v>188</v>
      </c>
      <c r="J2" t="s">
        <v>189</v>
      </c>
      <c r="K2" t="s">
        <v>190</v>
      </c>
      <c r="L2" t="s">
        <v>191</v>
      </c>
      <c r="M2" t="s">
        <v>192</v>
      </c>
      <c r="N2" t="s">
        <v>193</v>
      </c>
      <c r="O2" t="s">
        <v>182</v>
      </c>
    </row>
    <row r="3" spans="1:15">
      <c r="A3">
        <v>10248</v>
      </c>
      <c r="B3" s="80">
        <v>35250</v>
      </c>
      <c r="C3">
        <v>168</v>
      </c>
      <c r="D3">
        <v>12</v>
      </c>
      <c r="E3" t="s">
        <v>176</v>
      </c>
      <c r="H3" s="83" t="s">
        <v>174</v>
      </c>
    </row>
    <row r="4" spans="1:15">
      <c r="A4">
        <v>10248</v>
      </c>
      <c r="B4" s="80">
        <v>35250</v>
      </c>
      <c r="C4">
        <v>174</v>
      </c>
      <c r="D4">
        <v>5</v>
      </c>
      <c r="E4" t="s">
        <v>179</v>
      </c>
      <c r="H4" s="83" t="s">
        <v>176</v>
      </c>
    </row>
    <row r="5" spans="1:15">
      <c r="A5">
        <v>10248</v>
      </c>
      <c r="B5" s="80">
        <v>35250</v>
      </c>
      <c r="C5">
        <v>168</v>
      </c>
      <c r="D5">
        <v>12</v>
      </c>
      <c r="E5" t="s">
        <v>175</v>
      </c>
      <c r="H5" s="83" t="s">
        <v>179</v>
      </c>
    </row>
    <row r="6" spans="1:15">
      <c r="A6">
        <v>10248</v>
      </c>
      <c r="B6" s="80">
        <v>35250</v>
      </c>
      <c r="C6">
        <v>98</v>
      </c>
      <c r="D6">
        <v>10</v>
      </c>
      <c r="E6" t="s">
        <v>175</v>
      </c>
      <c r="H6" s="83" t="s">
        <v>175</v>
      </c>
    </row>
    <row r="7" spans="1:15">
      <c r="A7">
        <v>10248</v>
      </c>
      <c r="B7" s="80">
        <v>35250</v>
      </c>
      <c r="C7">
        <v>174</v>
      </c>
      <c r="D7">
        <v>5</v>
      </c>
      <c r="E7" t="s">
        <v>175</v>
      </c>
      <c r="H7" s="83" t="s">
        <v>177</v>
      </c>
    </row>
    <row r="8" spans="1:15">
      <c r="A8">
        <v>10248</v>
      </c>
      <c r="B8" s="80">
        <v>35250</v>
      </c>
      <c r="C8">
        <v>174</v>
      </c>
      <c r="D8">
        <v>5</v>
      </c>
      <c r="E8" t="s">
        <v>174</v>
      </c>
      <c r="H8" s="83" t="s">
        <v>178</v>
      </c>
    </row>
    <row r="9" spans="1:15">
      <c r="A9">
        <v>10248</v>
      </c>
      <c r="B9" s="80">
        <v>35250</v>
      </c>
      <c r="C9">
        <v>98</v>
      </c>
      <c r="D9">
        <v>10</v>
      </c>
      <c r="E9" t="s">
        <v>174</v>
      </c>
      <c r="H9" s="83" t="s">
        <v>173</v>
      </c>
    </row>
    <row r="10" spans="1:15">
      <c r="A10">
        <v>10248</v>
      </c>
      <c r="B10" s="80">
        <v>35250</v>
      </c>
      <c r="C10">
        <v>168</v>
      </c>
      <c r="D10">
        <v>12</v>
      </c>
      <c r="E10" t="s">
        <v>174</v>
      </c>
      <c r="H10" s="83" t="s">
        <v>172</v>
      </c>
    </row>
    <row r="11" spans="1:15">
      <c r="A11">
        <v>10248</v>
      </c>
      <c r="B11" s="80">
        <v>35250</v>
      </c>
      <c r="C11">
        <v>174</v>
      </c>
      <c r="D11">
        <v>5</v>
      </c>
      <c r="E11" t="s">
        <v>177</v>
      </c>
      <c r="H11" s="83" t="s">
        <v>182</v>
      </c>
    </row>
    <row r="12" spans="1:15">
      <c r="A12">
        <v>10248</v>
      </c>
      <c r="B12" s="80">
        <v>35250</v>
      </c>
      <c r="C12">
        <v>98</v>
      </c>
      <c r="D12">
        <v>10</v>
      </c>
      <c r="E12" t="s">
        <v>179</v>
      </c>
    </row>
    <row r="13" spans="1:15">
      <c r="A13">
        <v>10248</v>
      </c>
      <c r="B13" s="80">
        <v>35250</v>
      </c>
      <c r="C13">
        <v>168</v>
      </c>
      <c r="D13">
        <v>12</v>
      </c>
      <c r="E13" t="s">
        <v>179</v>
      </c>
    </row>
    <row r="14" spans="1:15">
      <c r="A14">
        <v>10248</v>
      </c>
      <c r="B14" s="80">
        <v>35250</v>
      </c>
      <c r="C14">
        <v>98</v>
      </c>
      <c r="D14">
        <v>10</v>
      </c>
      <c r="E14" t="s">
        <v>178</v>
      </c>
    </row>
    <row r="15" spans="1:15">
      <c r="A15">
        <v>10248</v>
      </c>
      <c r="B15" s="80">
        <v>35250</v>
      </c>
      <c r="C15">
        <v>168</v>
      </c>
      <c r="D15">
        <v>12</v>
      </c>
      <c r="E15" t="s">
        <v>178</v>
      </c>
    </row>
    <row r="16" spans="1:15">
      <c r="A16">
        <v>10248</v>
      </c>
      <c r="B16" s="80">
        <v>35250</v>
      </c>
      <c r="C16">
        <v>174</v>
      </c>
      <c r="D16">
        <v>5</v>
      </c>
      <c r="E16" t="s">
        <v>173</v>
      </c>
    </row>
    <row r="17" spans="1:5">
      <c r="A17">
        <v>10248</v>
      </c>
      <c r="B17" s="80">
        <v>35250</v>
      </c>
      <c r="C17">
        <v>98</v>
      </c>
      <c r="D17">
        <v>10</v>
      </c>
      <c r="E17" t="s">
        <v>177</v>
      </c>
    </row>
    <row r="18" spans="1:5">
      <c r="A18">
        <v>10248</v>
      </c>
      <c r="B18" s="80">
        <v>35250</v>
      </c>
      <c r="C18">
        <v>98</v>
      </c>
      <c r="D18">
        <v>10</v>
      </c>
      <c r="E18" t="s">
        <v>172</v>
      </c>
    </row>
    <row r="19" spans="1:5">
      <c r="A19">
        <v>10248</v>
      </c>
      <c r="B19" s="80">
        <v>35250</v>
      </c>
      <c r="C19">
        <v>98</v>
      </c>
      <c r="D19">
        <v>10</v>
      </c>
      <c r="E19" t="s">
        <v>176</v>
      </c>
    </row>
    <row r="20" spans="1:5">
      <c r="A20">
        <v>10248</v>
      </c>
      <c r="B20" s="80">
        <v>35250</v>
      </c>
      <c r="C20">
        <v>174</v>
      </c>
      <c r="D20">
        <v>5</v>
      </c>
      <c r="E20" t="s">
        <v>172</v>
      </c>
    </row>
    <row r="21" spans="1:5">
      <c r="A21">
        <v>10248</v>
      </c>
      <c r="B21" s="80">
        <v>35250</v>
      </c>
      <c r="C21">
        <v>174</v>
      </c>
      <c r="D21">
        <v>5</v>
      </c>
      <c r="E21" t="s">
        <v>176</v>
      </c>
    </row>
    <row r="22" spans="1:5">
      <c r="A22">
        <v>10248</v>
      </c>
      <c r="B22" s="80">
        <v>35250</v>
      </c>
      <c r="C22">
        <v>168</v>
      </c>
      <c r="D22">
        <v>12</v>
      </c>
      <c r="E22" t="s">
        <v>173</v>
      </c>
    </row>
    <row r="23" spans="1:5">
      <c r="A23">
        <v>10248</v>
      </c>
      <c r="B23" s="80">
        <v>35250</v>
      </c>
      <c r="C23">
        <v>168</v>
      </c>
      <c r="D23">
        <v>12</v>
      </c>
      <c r="E23" t="s">
        <v>177</v>
      </c>
    </row>
    <row r="24" spans="1:5">
      <c r="A24">
        <v>10248</v>
      </c>
      <c r="B24" s="80">
        <v>35250</v>
      </c>
      <c r="C24">
        <v>168</v>
      </c>
      <c r="D24">
        <v>12</v>
      </c>
      <c r="E24" t="s">
        <v>172</v>
      </c>
    </row>
    <row r="25" spans="1:5">
      <c r="A25">
        <v>10248</v>
      </c>
      <c r="B25" s="80">
        <v>35250</v>
      </c>
      <c r="C25">
        <v>98</v>
      </c>
      <c r="D25">
        <v>10</v>
      </c>
      <c r="E25" t="s">
        <v>173</v>
      </c>
    </row>
    <row r="26" spans="1:5">
      <c r="A26">
        <v>10249</v>
      </c>
      <c r="B26" s="80">
        <v>35251</v>
      </c>
      <c r="C26">
        <v>1696</v>
      </c>
      <c r="D26">
        <v>40</v>
      </c>
      <c r="E26" t="s">
        <v>178</v>
      </c>
    </row>
    <row r="27" spans="1:5">
      <c r="A27">
        <v>10249</v>
      </c>
      <c r="B27" s="80">
        <v>35251</v>
      </c>
      <c r="C27">
        <v>167.4</v>
      </c>
      <c r="D27">
        <v>9</v>
      </c>
      <c r="E27" t="s">
        <v>175</v>
      </c>
    </row>
    <row r="28" spans="1:5">
      <c r="A28">
        <v>10249</v>
      </c>
      <c r="B28" s="80">
        <v>35251</v>
      </c>
      <c r="C28">
        <v>1696</v>
      </c>
      <c r="D28">
        <v>40</v>
      </c>
      <c r="E28" t="s">
        <v>175</v>
      </c>
    </row>
    <row r="29" spans="1:5">
      <c r="A29">
        <v>10249</v>
      </c>
      <c r="B29" s="80">
        <v>35251</v>
      </c>
      <c r="C29">
        <v>1696</v>
      </c>
      <c r="D29">
        <v>40</v>
      </c>
      <c r="E29" t="s">
        <v>172</v>
      </c>
    </row>
    <row r="30" spans="1:5">
      <c r="A30">
        <v>10249</v>
      </c>
      <c r="B30" s="80">
        <v>35251</v>
      </c>
      <c r="C30">
        <v>167.4</v>
      </c>
      <c r="D30">
        <v>9</v>
      </c>
      <c r="E30" t="s">
        <v>177</v>
      </c>
    </row>
    <row r="31" spans="1:5">
      <c r="A31">
        <v>10249</v>
      </c>
      <c r="B31" s="80">
        <v>35251</v>
      </c>
      <c r="C31">
        <v>1696</v>
      </c>
      <c r="D31">
        <v>40</v>
      </c>
      <c r="E31" t="s">
        <v>176</v>
      </c>
    </row>
    <row r="32" spans="1:5">
      <c r="A32">
        <v>10249</v>
      </c>
      <c r="B32" s="80">
        <v>35251</v>
      </c>
      <c r="C32">
        <v>167.4</v>
      </c>
      <c r="D32">
        <v>9</v>
      </c>
      <c r="E32" t="s">
        <v>176</v>
      </c>
    </row>
    <row r="33" spans="1:5">
      <c r="A33">
        <v>10249</v>
      </c>
      <c r="B33" s="80">
        <v>35251</v>
      </c>
      <c r="C33">
        <v>167.4</v>
      </c>
      <c r="D33">
        <v>9</v>
      </c>
      <c r="E33" t="s">
        <v>179</v>
      </c>
    </row>
    <row r="34" spans="1:5">
      <c r="A34">
        <v>10249</v>
      </c>
      <c r="B34" s="80">
        <v>35251</v>
      </c>
      <c r="C34">
        <v>1696</v>
      </c>
      <c r="D34">
        <v>40</v>
      </c>
      <c r="E34" t="s">
        <v>179</v>
      </c>
    </row>
    <row r="35" spans="1:5">
      <c r="A35">
        <v>10249</v>
      </c>
      <c r="B35" s="80">
        <v>35251</v>
      </c>
      <c r="C35">
        <v>1696</v>
      </c>
      <c r="D35">
        <v>40</v>
      </c>
      <c r="E35" t="s">
        <v>177</v>
      </c>
    </row>
    <row r="36" spans="1:5">
      <c r="A36">
        <v>10249</v>
      </c>
      <c r="B36" s="80">
        <v>35251</v>
      </c>
      <c r="C36">
        <v>1696</v>
      </c>
      <c r="D36">
        <v>40</v>
      </c>
      <c r="E36" t="s">
        <v>173</v>
      </c>
    </row>
    <row r="37" spans="1:5">
      <c r="A37">
        <v>10249</v>
      </c>
      <c r="B37" s="80">
        <v>35251</v>
      </c>
      <c r="C37">
        <v>167.4</v>
      </c>
      <c r="D37">
        <v>9</v>
      </c>
      <c r="E37" t="s">
        <v>172</v>
      </c>
    </row>
    <row r="38" spans="1:5">
      <c r="A38">
        <v>10249</v>
      </c>
      <c r="B38" s="80">
        <v>35251</v>
      </c>
      <c r="C38">
        <v>167.4</v>
      </c>
      <c r="D38">
        <v>9</v>
      </c>
      <c r="E38" t="s">
        <v>173</v>
      </c>
    </row>
    <row r="39" spans="1:5">
      <c r="A39">
        <v>10249</v>
      </c>
      <c r="B39" s="80">
        <v>35251</v>
      </c>
      <c r="C39">
        <v>167.4</v>
      </c>
      <c r="D39">
        <v>9</v>
      </c>
      <c r="E39" t="s">
        <v>174</v>
      </c>
    </row>
    <row r="40" spans="1:5">
      <c r="A40">
        <v>10249</v>
      </c>
      <c r="B40" s="80">
        <v>35251</v>
      </c>
      <c r="C40">
        <v>1696</v>
      </c>
      <c r="D40">
        <v>40</v>
      </c>
      <c r="E40" t="s">
        <v>174</v>
      </c>
    </row>
    <row r="41" spans="1:5">
      <c r="A41">
        <v>10249</v>
      </c>
      <c r="B41" s="80">
        <v>35251</v>
      </c>
      <c r="C41">
        <v>167.4</v>
      </c>
      <c r="D41">
        <v>9</v>
      </c>
      <c r="E41" t="s">
        <v>178</v>
      </c>
    </row>
    <row r="42" spans="1:5">
      <c r="A42">
        <v>10250</v>
      </c>
      <c r="B42" s="80">
        <v>35254</v>
      </c>
      <c r="C42">
        <v>77</v>
      </c>
      <c r="D42">
        <v>10</v>
      </c>
      <c r="E42" t="s">
        <v>179</v>
      </c>
    </row>
    <row r="43" spans="1:5">
      <c r="A43">
        <v>10250</v>
      </c>
      <c r="B43" s="80">
        <v>35254</v>
      </c>
      <c r="C43">
        <v>214.19999849796295</v>
      </c>
      <c r="D43">
        <v>15</v>
      </c>
      <c r="E43" t="s">
        <v>172</v>
      </c>
    </row>
    <row r="44" spans="1:5">
      <c r="A44">
        <v>10250</v>
      </c>
      <c r="B44" s="80">
        <v>35254</v>
      </c>
      <c r="C44">
        <v>214.19999849796295</v>
      </c>
      <c r="D44">
        <v>15</v>
      </c>
      <c r="E44" t="s">
        <v>173</v>
      </c>
    </row>
    <row r="45" spans="1:5">
      <c r="A45">
        <v>10250</v>
      </c>
      <c r="B45" s="80">
        <v>35254</v>
      </c>
      <c r="C45">
        <v>1261.3999911546707</v>
      </c>
      <c r="D45">
        <v>35</v>
      </c>
      <c r="E45" t="s">
        <v>173</v>
      </c>
    </row>
    <row r="46" spans="1:5">
      <c r="A46">
        <v>10250</v>
      </c>
      <c r="B46" s="80">
        <v>35254</v>
      </c>
      <c r="C46">
        <v>77</v>
      </c>
      <c r="D46">
        <v>10</v>
      </c>
      <c r="E46" t="s">
        <v>172</v>
      </c>
    </row>
    <row r="47" spans="1:5">
      <c r="A47">
        <v>10250</v>
      </c>
      <c r="B47" s="80">
        <v>35254</v>
      </c>
      <c r="C47">
        <v>77</v>
      </c>
      <c r="D47">
        <v>10</v>
      </c>
      <c r="E47" t="s">
        <v>176</v>
      </c>
    </row>
    <row r="48" spans="1:5">
      <c r="A48">
        <v>10250</v>
      </c>
      <c r="B48" s="80">
        <v>35254</v>
      </c>
      <c r="C48">
        <v>1261.3999911546707</v>
      </c>
      <c r="D48">
        <v>35</v>
      </c>
      <c r="E48" t="s">
        <v>176</v>
      </c>
    </row>
    <row r="49" spans="1:5">
      <c r="A49">
        <v>10250</v>
      </c>
      <c r="B49" s="80">
        <v>35254</v>
      </c>
      <c r="C49">
        <v>214.19999849796295</v>
      </c>
      <c r="D49">
        <v>15</v>
      </c>
      <c r="E49" t="s">
        <v>176</v>
      </c>
    </row>
    <row r="50" spans="1:5">
      <c r="A50">
        <v>10250</v>
      </c>
      <c r="B50" s="80">
        <v>35254</v>
      </c>
      <c r="C50">
        <v>77</v>
      </c>
      <c r="D50">
        <v>10</v>
      </c>
      <c r="E50" t="s">
        <v>178</v>
      </c>
    </row>
    <row r="51" spans="1:5">
      <c r="A51">
        <v>10250</v>
      </c>
      <c r="B51" s="80">
        <v>35254</v>
      </c>
      <c r="C51">
        <v>1261.3999911546707</v>
      </c>
      <c r="D51">
        <v>35</v>
      </c>
      <c r="E51" t="s">
        <v>178</v>
      </c>
    </row>
    <row r="52" spans="1:5">
      <c r="A52">
        <v>10250</v>
      </c>
      <c r="B52" s="80">
        <v>35254</v>
      </c>
      <c r="C52">
        <v>214.19999849796295</v>
      </c>
      <c r="D52">
        <v>15</v>
      </c>
      <c r="E52" t="s">
        <v>178</v>
      </c>
    </row>
    <row r="53" spans="1:5">
      <c r="A53">
        <v>10250</v>
      </c>
      <c r="B53" s="80">
        <v>35254</v>
      </c>
      <c r="C53">
        <v>77</v>
      </c>
      <c r="D53">
        <v>10</v>
      </c>
      <c r="E53" t="s">
        <v>173</v>
      </c>
    </row>
    <row r="54" spans="1:5">
      <c r="A54">
        <v>10250</v>
      </c>
      <c r="B54" s="80">
        <v>35254</v>
      </c>
      <c r="C54">
        <v>77</v>
      </c>
      <c r="D54">
        <v>10</v>
      </c>
      <c r="E54" t="s">
        <v>175</v>
      </c>
    </row>
    <row r="55" spans="1:5">
      <c r="A55">
        <v>10250</v>
      </c>
      <c r="B55" s="80">
        <v>35254</v>
      </c>
      <c r="C55">
        <v>1261.3999911546707</v>
      </c>
      <c r="D55">
        <v>35</v>
      </c>
      <c r="E55" t="s">
        <v>179</v>
      </c>
    </row>
    <row r="56" spans="1:5">
      <c r="A56">
        <v>10250</v>
      </c>
      <c r="B56" s="80">
        <v>35254</v>
      </c>
      <c r="C56">
        <v>214.19999849796295</v>
      </c>
      <c r="D56">
        <v>15</v>
      </c>
      <c r="E56" t="s">
        <v>179</v>
      </c>
    </row>
    <row r="57" spans="1:5">
      <c r="A57">
        <v>10250</v>
      </c>
      <c r="B57" s="80">
        <v>35254</v>
      </c>
      <c r="C57">
        <v>77</v>
      </c>
      <c r="D57">
        <v>10</v>
      </c>
      <c r="E57" t="s">
        <v>177</v>
      </c>
    </row>
    <row r="58" spans="1:5">
      <c r="A58">
        <v>10250</v>
      </c>
      <c r="B58" s="80">
        <v>35254</v>
      </c>
      <c r="C58">
        <v>1261.3999911546707</v>
      </c>
      <c r="D58">
        <v>35</v>
      </c>
      <c r="E58" t="s">
        <v>177</v>
      </c>
    </row>
    <row r="59" spans="1:5">
      <c r="A59">
        <v>10250</v>
      </c>
      <c r="B59" s="80">
        <v>35254</v>
      </c>
      <c r="C59">
        <v>214.19999849796295</v>
      </c>
      <c r="D59">
        <v>15</v>
      </c>
      <c r="E59" t="s">
        <v>177</v>
      </c>
    </row>
    <row r="60" spans="1:5">
      <c r="A60">
        <v>10250</v>
      </c>
      <c r="B60" s="80">
        <v>35254</v>
      </c>
      <c r="C60">
        <v>214.19999849796295</v>
      </c>
      <c r="D60">
        <v>15</v>
      </c>
      <c r="E60" t="s">
        <v>174</v>
      </c>
    </row>
    <row r="61" spans="1:5">
      <c r="A61">
        <v>10250</v>
      </c>
      <c r="B61" s="80">
        <v>35254</v>
      </c>
      <c r="C61">
        <v>1261.3999911546707</v>
      </c>
      <c r="D61">
        <v>35</v>
      </c>
      <c r="E61" t="s">
        <v>172</v>
      </c>
    </row>
    <row r="62" spans="1:5">
      <c r="A62">
        <v>10250</v>
      </c>
      <c r="B62" s="80">
        <v>35254</v>
      </c>
      <c r="C62">
        <v>77</v>
      </c>
      <c r="D62">
        <v>10</v>
      </c>
      <c r="E62" t="s">
        <v>174</v>
      </c>
    </row>
    <row r="63" spans="1:5">
      <c r="A63">
        <v>10250</v>
      </c>
      <c r="B63" s="80">
        <v>35254</v>
      </c>
      <c r="C63">
        <v>1261.3999911546707</v>
      </c>
      <c r="D63">
        <v>35</v>
      </c>
      <c r="E63" t="s">
        <v>175</v>
      </c>
    </row>
    <row r="64" spans="1:5">
      <c r="A64">
        <v>10250</v>
      </c>
      <c r="B64" s="80">
        <v>35254</v>
      </c>
      <c r="C64">
        <v>214.19999849796295</v>
      </c>
      <c r="D64">
        <v>15</v>
      </c>
      <c r="E64" t="s">
        <v>175</v>
      </c>
    </row>
    <row r="65" spans="1:5">
      <c r="A65">
        <v>10250</v>
      </c>
      <c r="B65" s="80">
        <v>35254</v>
      </c>
      <c r="C65">
        <v>1261.3999911546707</v>
      </c>
      <c r="D65">
        <v>35</v>
      </c>
      <c r="E65" t="s">
        <v>174</v>
      </c>
    </row>
    <row r="66" spans="1:5">
      <c r="A66">
        <v>10251</v>
      </c>
      <c r="B66" s="80">
        <v>35254</v>
      </c>
      <c r="C66">
        <v>95.759999924898139</v>
      </c>
      <c r="D66">
        <v>6</v>
      </c>
      <c r="E66" t="s">
        <v>175</v>
      </c>
    </row>
    <row r="67" spans="1:5">
      <c r="A67">
        <v>10251</v>
      </c>
      <c r="B67" s="80">
        <v>35254</v>
      </c>
      <c r="C67">
        <v>95.759999924898139</v>
      </c>
      <c r="D67">
        <v>6</v>
      </c>
      <c r="E67" t="s">
        <v>177</v>
      </c>
    </row>
    <row r="68" spans="1:5">
      <c r="A68">
        <v>10251</v>
      </c>
      <c r="B68" s="80">
        <v>35254</v>
      </c>
      <c r="C68">
        <v>222.29999982565641</v>
      </c>
      <c r="D68">
        <v>15</v>
      </c>
      <c r="E68" t="s">
        <v>172</v>
      </c>
    </row>
    <row r="69" spans="1:5">
      <c r="A69">
        <v>10251</v>
      </c>
      <c r="B69" s="80">
        <v>35254</v>
      </c>
      <c r="C69">
        <v>95.759999924898139</v>
      </c>
      <c r="D69">
        <v>6</v>
      </c>
      <c r="E69" t="s">
        <v>172</v>
      </c>
    </row>
    <row r="70" spans="1:5">
      <c r="A70">
        <v>10251</v>
      </c>
      <c r="B70" s="80">
        <v>35254</v>
      </c>
      <c r="C70">
        <v>222.29999982565641</v>
      </c>
      <c r="D70">
        <v>15</v>
      </c>
      <c r="E70" t="s">
        <v>177</v>
      </c>
    </row>
    <row r="71" spans="1:5">
      <c r="A71">
        <v>10251</v>
      </c>
      <c r="B71" s="80">
        <v>35254</v>
      </c>
      <c r="C71">
        <v>336</v>
      </c>
      <c r="D71">
        <v>20</v>
      </c>
      <c r="E71" t="s">
        <v>177</v>
      </c>
    </row>
    <row r="72" spans="1:5">
      <c r="A72">
        <v>10251</v>
      </c>
      <c r="B72" s="80">
        <v>35254</v>
      </c>
      <c r="C72">
        <v>336</v>
      </c>
      <c r="D72">
        <v>20</v>
      </c>
      <c r="E72" t="s">
        <v>174</v>
      </c>
    </row>
    <row r="73" spans="1:5">
      <c r="A73">
        <v>10251</v>
      </c>
      <c r="B73" s="80">
        <v>35254</v>
      </c>
      <c r="C73">
        <v>95.759999924898139</v>
      </c>
      <c r="D73">
        <v>6</v>
      </c>
      <c r="E73" t="s">
        <v>173</v>
      </c>
    </row>
    <row r="74" spans="1:5">
      <c r="A74">
        <v>10251</v>
      </c>
      <c r="B74" s="80">
        <v>35254</v>
      </c>
      <c r="C74">
        <v>222.29999982565641</v>
      </c>
      <c r="D74">
        <v>15</v>
      </c>
      <c r="E74" t="s">
        <v>173</v>
      </c>
    </row>
    <row r="75" spans="1:5">
      <c r="A75">
        <v>10251</v>
      </c>
      <c r="B75" s="80">
        <v>35254</v>
      </c>
      <c r="C75">
        <v>336</v>
      </c>
      <c r="D75">
        <v>20</v>
      </c>
      <c r="E75" t="s">
        <v>173</v>
      </c>
    </row>
    <row r="76" spans="1:5">
      <c r="A76">
        <v>10251</v>
      </c>
      <c r="B76" s="80">
        <v>35254</v>
      </c>
      <c r="C76">
        <v>336</v>
      </c>
      <c r="D76">
        <v>20</v>
      </c>
      <c r="E76" t="s">
        <v>179</v>
      </c>
    </row>
    <row r="77" spans="1:5">
      <c r="A77">
        <v>10251</v>
      </c>
      <c r="B77" s="80">
        <v>35254</v>
      </c>
      <c r="C77">
        <v>222.29999982565641</v>
      </c>
      <c r="D77">
        <v>15</v>
      </c>
      <c r="E77" t="s">
        <v>179</v>
      </c>
    </row>
    <row r="78" spans="1:5">
      <c r="A78">
        <v>10251</v>
      </c>
      <c r="B78" s="80">
        <v>35254</v>
      </c>
      <c r="C78">
        <v>95.759999924898139</v>
      </c>
      <c r="D78">
        <v>6</v>
      </c>
      <c r="E78" t="s">
        <v>179</v>
      </c>
    </row>
    <row r="79" spans="1:5">
      <c r="A79">
        <v>10251</v>
      </c>
      <c r="B79" s="80">
        <v>35254</v>
      </c>
      <c r="C79">
        <v>336</v>
      </c>
      <c r="D79">
        <v>20</v>
      </c>
      <c r="E79" t="s">
        <v>175</v>
      </c>
    </row>
    <row r="80" spans="1:5">
      <c r="A80">
        <v>10251</v>
      </c>
      <c r="B80" s="80">
        <v>35254</v>
      </c>
      <c r="C80">
        <v>222.29999982565641</v>
      </c>
      <c r="D80">
        <v>15</v>
      </c>
      <c r="E80" t="s">
        <v>174</v>
      </c>
    </row>
    <row r="81" spans="1:5">
      <c r="A81">
        <v>10251</v>
      </c>
      <c r="B81" s="80">
        <v>35254</v>
      </c>
      <c r="C81">
        <v>95.759999924898139</v>
      </c>
      <c r="D81">
        <v>6</v>
      </c>
      <c r="E81" t="s">
        <v>178</v>
      </c>
    </row>
    <row r="82" spans="1:5">
      <c r="A82">
        <v>10251</v>
      </c>
      <c r="B82" s="80">
        <v>35254</v>
      </c>
      <c r="C82">
        <v>336</v>
      </c>
      <c r="D82">
        <v>20</v>
      </c>
      <c r="E82" t="s">
        <v>176</v>
      </c>
    </row>
    <row r="83" spans="1:5">
      <c r="A83">
        <v>10251</v>
      </c>
      <c r="B83" s="80">
        <v>35254</v>
      </c>
      <c r="C83">
        <v>222.29999982565641</v>
      </c>
      <c r="D83">
        <v>15</v>
      </c>
      <c r="E83" t="s">
        <v>175</v>
      </c>
    </row>
    <row r="84" spans="1:5">
      <c r="A84">
        <v>10251</v>
      </c>
      <c r="B84" s="80">
        <v>35254</v>
      </c>
      <c r="C84">
        <v>336</v>
      </c>
      <c r="D84">
        <v>20</v>
      </c>
      <c r="E84" t="s">
        <v>172</v>
      </c>
    </row>
    <row r="85" spans="1:5">
      <c r="A85">
        <v>10251</v>
      </c>
      <c r="B85" s="80">
        <v>35254</v>
      </c>
      <c r="C85">
        <v>95.759999924898139</v>
      </c>
      <c r="D85">
        <v>6</v>
      </c>
      <c r="E85" t="s">
        <v>176</v>
      </c>
    </row>
    <row r="86" spans="1:5">
      <c r="A86">
        <v>10251</v>
      </c>
      <c r="B86" s="80">
        <v>35254</v>
      </c>
      <c r="C86">
        <v>222.29999982565641</v>
      </c>
      <c r="D86">
        <v>15</v>
      </c>
      <c r="E86" t="s">
        <v>176</v>
      </c>
    </row>
    <row r="87" spans="1:5">
      <c r="A87">
        <v>10251</v>
      </c>
      <c r="B87" s="80">
        <v>35254</v>
      </c>
      <c r="C87">
        <v>336</v>
      </c>
      <c r="D87">
        <v>20</v>
      </c>
      <c r="E87" t="s">
        <v>178</v>
      </c>
    </row>
    <row r="88" spans="1:5">
      <c r="A88">
        <v>10251</v>
      </c>
      <c r="B88" s="80">
        <v>35254</v>
      </c>
      <c r="C88">
        <v>222.29999982565641</v>
      </c>
      <c r="D88">
        <v>15</v>
      </c>
      <c r="E88" t="s">
        <v>178</v>
      </c>
    </row>
    <row r="89" spans="1:5">
      <c r="A89">
        <v>10251</v>
      </c>
      <c r="B89" s="80">
        <v>35254</v>
      </c>
      <c r="C89">
        <v>95.759999924898139</v>
      </c>
      <c r="D89">
        <v>6</v>
      </c>
      <c r="E89" t="s">
        <v>174</v>
      </c>
    </row>
    <row r="90" spans="1:5">
      <c r="A90">
        <v>10252</v>
      </c>
      <c r="B90" s="80">
        <v>35255</v>
      </c>
      <c r="C90">
        <v>1088</v>
      </c>
      <c r="D90">
        <v>40</v>
      </c>
      <c r="E90" t="s">
        <v>178</v>
      </c>
    </row>
    <row r="91" spans="1:5">
      <c r="A91">
        <v>10252</v>
      </c>
      <c r="B91" s="80">
        <v>35255</v>
      </c>
      <c r="C91">
        <v>47.499999962747097</v>
      </c>
      <c r="D91">
        <v>25</v>
      </c>
      <c r="E91" t="s">
        <v>178</v>
      </c>
    </row>
    <row r="92" spans="1:5">
      <c r="A92">
        <v>10252</v>
      </c>
      <c r="B92" s="80">
        <v>35255</v>
      </c>
      <c r="C92">
        <v>2462.3999980688095</v>
      </c>
      <c r="D92">
        <v>40</v>
      </c>
      <c r="E92" t="s">
        <v>179</v>
      </c>
    </row>
    <row r="93" spans="1:5">
      <c r="A93">
        <v>10252</v>
      </c>
      <c r="B93" s="80">
        <v>35255</v>
      </c>
      <c r="C93">
        <v>47.499999962747097</v>
      </c>
      <c r="D93">
        <v>25</v>
      </c>
      <c r="E93" t="s">
        <v>179</v>
      </c>
    </row>
    <row r="94" spans="1:5">
      <c r="A94">
        <v>10252</v>
      </c>
      <c r="B94" s="80">
        <v>35255</v>
      </c>
      <c r="C94">
        <v>1088</v>
      </c>
      <c r="D94">
        <v>40</v>
      </c>
      <c r="E94" t="s">
        <v>179</v>
      </c>
    </row>
    <row r="95" spans="1:5">
      <c r="A95">
        <v>10252</v>
      </c>
      <c r="B95" s="80">
        <v>35255</v>
      </c>
      <c r="C95">
        <v>2462.3999980688095</v>
      </c>
      <c r="D95">
        <v>40</v>
      </c>
      <c r="E95" t="s">
        <v>178</v>
      </c>
    </row>
    <row r="96" spans="1:5">
      <c r="A96">
        <v>10252</v>
      </c>
      <c r="B96" s="80">
        <v>35255</v>
      </c>
      <c r="C96">
        <v>1088</v>
      </c>
      <c r="D96">
        <v>40</v>
      </c>
      <c r="E96" t="s">
        <v>176</v>
      </c>
    </row>
    <row r="97" spans="1:5">
      <c r="A97">
        <v>10252</v>
      </c>
      <c r="B97" s="80">
        <v>35255</v>
      </c>
      <c r="C97">
        <v>47.499999962747097</v>
      </c>
      <c r="D97">
        <v>25</v>
      </c>
      <c r="E97" t="s">
        <v>175</v>
      </c>
    </row>
    <row r="98" spans="1:5">
      <c r="A98">
        <v>10252</v>
      </c>
      <c r="B98" s="80">
        <v>35255</v>
      </c>
      <c r="C98">
        <v>1088</v>
      </c>
      <c r="D98">
        <v>40</v>
      </c>
      <c r="E98" t="s">
        <v>175</v>
      </c>
    </row>
    <row r="99" spans="1:5">
      <c r="A99">
        <v>10252</v>
      </c>
      <c r="B99" s="80">
        <v>35255</v>
      </c>
      <c r="C99">
        <v>47.499999962747097</v>
      </c>
      <c r="D99">
        <v>25</v>
      </c>
      <c r="E99" t="s">
        <v>176</v>
      </c>
    </row>
    <row r="100" spans="1:5">
      <c r="A100">
        <v>10252</v>
      </c>
      <c r="B100" s="80">
        <v>35255</v>
      </c>
      <c r="C100">
        <v>2462.3999980688095</v>
      </c>
      <c r="D100">
        <v>40</v>
      </c>
      <c r="E100" t="s">
        <v>172</v>
      </c>
    </row>
    <row r="101" spans="1:5">
      <c r="A101">
        <v>10252</v>
      </c>
      <c r="B101" s="80">
        <v>35255</v>
      </c>
      <c r="C101">
        <v>1088</v>
      </c>
      <c r="D101">
        <v>40</v>
      </c>
      <c r="E101" t="s">
        <v>174</v>
      </c>
    </row>
    <row r="102" spans="1:5">
      <c r="A102">
        <v>10252</v>
      </c>
      <c r="B102" s="80">
        <v>35255</v>
      </c>
      <c r="C102">
        <v>47.499999962747097</v>
      </c>
      <c r="D102">
        <v>25</v>
      </c>
      <c r="E102" t="s">
        <v>174</v>
      </c>
    </row>
    <row r="103" spans="1:5">
      <c r="A103">
        <v>10252</v>
      </c>
      <c r="B103" s="80">
        <v>35255</v>
      </c>
      <c r="C103">
        <v>2462.3999980688095</v>
      </c>
      <c r="D103">
        <v>40</v>
      </c>
      <c r="E103" t="s">
        <v>174</v>
      </c>
    </row>
    <row r="104" spans="1:5">
      <c r="A104">
        <v>10252</v>
      </c>
      <c r="B104" s="80">
        <v>35255</v>
      </c>
      <c r="C104">
        <v>2462.3999980688095</v>
      </c>
      <c r="D104">
        <v>40</v>
      </c>
      <c r="E104" t="s">
        <v>175</v>
      </c>
    </row>
    <row r="105" spans="1:5">
      <c r="A105">
        <v>10252</v>
      </c>
      <c r="B105" s="80">
        <v>35255</v>
      </c>
      <c r="C105">
        <v>2462.3999980688095</v>
      </c>
      <c r="D105">
        <v>40</v>
      </c>
      <c r="E105" t="s">
        <v>176</v>
      </c>
    </row>
    <row r="106" spans="1:5">
      <c r="A106">
        <v>10252</v>
      </c>
      <c r="B106" s="80">
        <v>35255</v>
      </c>
      <c r="C106">
        <v>2462.3999980688095</v>
      </c>
      <c r="D106">
        <v>40</v>
      </c>
      <c r="E106" t="s">
        <v>177</v>
      </c>
    </row>
    <row r="107" spans="1:5">
      <c r="A107">
        <v>10252</v>
      </c>
      <c r="B107" s="80">
        <v>35255</v>
      </c>
      <c r="C107">
        <v>2462.3999980688095</v>
      </c>
      <c r="D107">
        <v>40</v>
      </c>
      <c r="E107" t="s">
        <v>173</v>
      </c>
    </row>
    <row r="108" spans="1:5">
      <c r="A108">
        <v>10252</v>
      </c>
      <c r="B108" s="80">
        <v>35255</v>
      </c>
      <c r="C108">
        <v>47.499999962747097</v>
      </c>
      <c r="D108">
        <v>25</v>
      </c>
      <c r="E108" t="s">
        <v>177</v>
      </c>
    </row>
    <row r="109" spans="1:5">
      <c r="A109">
        <v>10252</v>
      </c>
      <c r="B109" s="80">
        <v>35255</v>
      </c>
      <c r="C109">
        <v>1088</v>
      </c>
      <c r="D109">
        <v>40</v>
      </c>
      <c r="E109" t="s">
        <v>173</v>
      </c>
    </row>
    <row r="110" spans="1:5">
      <c r="A110">
        <v>10252</v>
      </c>
      <c r="B110" s="80">
        <v>35255</v>
      </c>
      <c r="C110">
        <v>47.499999962747097</v>
      </c>
      <c r="D110">
        <v>25</v>
      </c>
      <c r="E110" t="s">
        <v>172</v>
      </c>
    </row>
    <row r="111" spans="1:5">
      <c r="A111">
        <v>10252</v>
      </c>
      <c r="B111" s="80">
        <v>35255</v>
      </c>
      <c r="C111">
        <v>1088</v>
      </c>
      <c r="D111">
        <v>40</v>
      </c>
      <c r="E111" t="s">
        <v>172</v>
      </c>
    </row>
    <row r="112" spans="1:5">
      <c r="A112">
        <v>10252</v>
      </c>
      <c r="B112" s="80">
        <v>35255</v>
      </c>
      <c r="C112">
        <v>47.499999962747097</v>
      </c>
      <c r="D112">
        <v>25</v>
      </c>
      <c r="E112" t="s">
        <v>173</v>
      </c>
    </row>
    <row r="113" spans="1:5">
      <c r="A113">
        <v>10252</v>
      </c>
      <c r="B113" s="80">
        <v>35255</v>
      </c>
      <c r="C113">
        <v>1088</v>
      </c>
      <c r="D113">
        <v>40</v>
      </c>
      <c r="E113" t="s">
        <v>177</v>
      </c>
    </row>
    <row r="114" spans="1:5">
      <c r="A114">
        <v>10253</v>
      </c>
      <c r="B114" s="80">
        <v>35256</v>
      </c>
      <c r="C114">
        <v>640</v>
      </c>
      <c r="D114">
        <v>40</v>
      </c>
      <c r="E114" t="s">
        <v>173</v>
      </c>
    </row>
    <row r="115" spans="1:5">
      <c r="A115">
        <v>10253</v>
      </c>
      <c r="B115" s="80">
        <v>35256</v>
      </c>
      <c r="C115">
        <v>640</v>
      </c>
      <c r="D115">
        <v>40</v>
      </c>
      <c r="E115" t="s">
        <v>178</v>
      </c>
    </row>
    <row r="116" spans="1:5">
      <c r="A116">
        <v>10253</v>
      </c>
      <c r="B116" s="80">
        <v>35256</v>
      </c>
      <c r="C116">
        <v>604.79999999999995</v>
      </c>
      <c r="D116">
        <v>42</v>
      </c>
      <c r="E116" t="s">
        <v>173</v>
      </c>
    </row>
    <row r="117" spans="1:5">
      <c r="A117">
        <v>10253</v>
      </c>
      <c r="B117" s="80">
        <v>35256</v>
      </c>
      <c r="C117">
        <v>200</v>
      </c>
      <c r="D117">
        <v>20</v>
      </c>
      <c r="E117" t="s">
        <v>174</v>
      </c>
    </row>
    <row r="118" spans="1:5">
      <c r="A118">
        <v>10253</v>
      </c>
      <c r="B118" s="80">
        <v>35256</v>
      </c>
      <c r="C118">
        <v>200</v>
      </c>
      <c r="D118">
        <v>20</v>
      </c>
      <c r="E118" t="s">
        <v>173</v>
      </c>
    </row>
    <row r="119" spans="1:5">
      <c r="A119">
        <v>10253</v>
      </c>
      <c r="B119" s="80">
        <v>35256</v>
      </c>
      <c r="C119">
        <v>604.79999999999995</v>
      </c>
      <c r="D119">
        <v>42</v>
      </c>
      <c r="E119" t="s">
        <v>174</v>
      </c>
    </row>
    <row r="120" spans="1:5">
      <c r="A120">
        <v>10253</v>
      </c>
      <c r="B120" s="80">
        <v>35256</v>
      </c>
      <c r="C120">
        <v>200</v>
      </c>
      <c r="D120">
        <v>20</v>
      </c>
      <c r="E120" t="s">
        <v>179</v>
      </c>
    </row>
    <row r="121" spans="1:5">
      <c r="A121">
        <v>10253</v>
      </c>
      <c r="B121" s="80">
        <v>35256</v>
      </c>
      <c r="C121">
        <v>604.79999999999995</v>
      </c>
      <c r="D121">
        <v>42</v>
      </c>
      <c r="E121" t="s">
        <v>179</v>
      </c>
    </row>
    <row r="122" spans="1:5">
      <c r="A122">
        <v>10253</v>
      </c>
      <c r="B122" s="80">
        <v>35256</v>
      </c>
      <c r="C122">
        <v>640</v>
      </c>
      <c r="D122">
        <v>40</v>
      </c>
      <c r="E122" t="s">
        <v>174</v>
      </c>
    </row>
    <row r="123" spans="1:5">
      <c r="A123">
        <v>10253</v>
      </c>
      <c r="B123" s="80">
        <v>35256</v>
      </c>
      <c r="C123">
        <v>200</v>
      </c>
      <c r="D123">
        <v>20</v>
      </c>
      <c r="E123" t="s">
        <v>175</v>
      </c>
    </row>
    <row r="124" spans="1:5">
      <c r="A124">
        <v>10253</v>
      </c>
      <c r="B124" s="80">
        <v>35256</v>
      </c>
      <c r="C124">
        <v>640</v>
      </c>
      <c r="D124">
        <v>40</v>
      </c>
      <c r="E124" t="s">
        <v>175</v>
      </c>
    </row>
    <row r="125" spans="1:5">
      <c r="A125">
        <v>10253</v>
      </c>
      <c r="B125" s="80">
        <v>35256</v>
      </c>
      <c r="C125">
        <v>604.79999999999995</v>
      </c>
      <c r="D125">
        <v>42</v>
      </c>
      <c r="E125" t="s">
        <v>178</v>
      </c>
    </row>
    <row r="126" spans="1:5">
      <c r="A126">
        <v>10253</v>
      </c>
      <c r="B126" s="80">
        <v>35256</v>
      </c>
      <c r="C126">
        <v>200</v>
      </c>
      <c r="D126">
        <v>20</v>
      </c>
      <c r="E126" t="s">
        <v>178</v>
      </c>
    </row>
    <row r="127" spans="1:5">
      <c r="A127">
        <v>10253</v>
      </c>
      <c r="B127" s="80">
        <v>35256</v>
      </c>
      <c r="C127">
        <v>640</v>
      </c>
      <c r="D127">
        <v>40</v>
      </c>
      <c r="E127" t="s">
        <v>172</v>
      </c>
    </row>
    <row r="128" spans="1:5">
      <c r="A128">
        <v>10253</v>
      </c>
      <c r="B128" s="80">
        <v>35256</v>
      </c>
      <c r="C128">
        <v>640</v>
      </c>
      <c r="D128">
        <v>40</v>
      </c>
      <c r="E128" t="s">
        <v>176</v>
      </c>
    </row>
    <row r="129" spans="1:5">
      <c r="A129">
        <v>10253</v>
      </c>
      <c r="B129" s="80">
        <v>35256</v>
      </c>
      <c r="C129">
        <v>640</v>
      </c>
      <c r="D129">
        <v>40</v>
      </c>
      <c r="E129" t="s">
        <v>179</v>
      </c>
    </row>
    <row r="130" spans="1:5">
      <c r="A130">
        <v>10253</v>
      </c>
      <c r="B130" s="80">
        <v>35256</v>
      </c>
      <c r="C130">
        <v>604.79999999999995</v>
      </c>
      <c r="D130">
        <v>42</v>
      </c>
      <c r="E130" t="s">
        <v>176</v>
      </c>
    </row>
    <row r="131" spans="1:5">
      <c r="A131">
        <v>10253</v>
      </c>
      <c r="B131" s="80">
        <v>35256</v>
      </c>
      <c r="C131">
        <v>604.79999999999995</v>
      </c>
      <c r="D131">
        <v>42</v>
      </c>
      <c r="E131" t="s">
        <v>172</v>
      </c>
    </row>
    <row r="132" spans="1:5">
      <c r="A132">
        <v>10253</v>
      </c>
      <c r="B132" s="80">
        <v>35256</v>
      </c>
      <c r="C132">
        <v>200</v>
      </c>
      <c r="D132">
        <v>20</v>
      </c>
      <c r="E132" t="s">
        <v>172</v>
      </c>
    </row>
    <row r="133" spans="1:5">
      <c r="A133">
        <v>10253</v>
      </c>
      <c r="B133" s="80">
        <v>35256</v>
      </c>
      <c r="C133">
        <v>200</v>
      </c>
      <c r="D133">
        <v>20</v>
      </c>
      <c r="E133" t="s">
        <v>177</v>
      </c>
    </row>
    <row r="134" spans="1:5">
      <c r="A134">
        <v>10253</v>
      </c>
      <c r="B134" s="80">
        <v>35256</v>
      </c>
      <c r="C134">
        <v>604.79999999999995</v>
      </c>
      <c r="D134">
        <v>42</v>
      </c>
      <c r="E134" t="s">
        <v>177</v>
      </c>
    </row>
    <row r="135" spans="1:5">
      <c r="A135">
        <v>10253</v>
      </c>
      <c r="B135" s="80">
        <v>35256</v>
      </c>
      <c r="C135">
        <v>640</v>
      </c>
      <c r="D135">
        <v>40</v>
      </c>
      <c r="E135" t="s">
        <v>177</v>
      </c>
    </row>
    <row r="136" spans="1:5">
      <c r="A136">
        <v>10253</v>
      </c>
      <c r="B136" s="80">
        <v>35256</v>
      </c>
      <c r="C136">
        <v>604.79999999999995</v>
      </c>
      <c r="D136">
        <v>42</v>
      </c>
      <c r="E136" t="s">
        <v>175</v>
      </c>
    </row>
    <row r="137" spans="1:5">
      <c r="A137">
        <v>10253</v>
      </c>
      <c r="B137" s="80">
        <v>35256</v>
      </c>
      <c r="C137">
        <v>200</v>
      </c>
      <c r="D137">
        <v>20</v>
      </c>
      <c r="E137" t="s">
        <v>176</v>
      </c>
    </row>
    <row r="138" spans="1:5">
      <c r="A138">
        <v>10254</v>
      </c>
      <c r="B138" s="80">
        <v>35257</v>
      </c>
      <c r="C138">
        <v>342.71999759674071</v>
      </c>
      <c r="D138">
        <v>21</v>
      </c>
      <c r="E138" t="s">
        <v>172</v>
      </c>
    </row>
    <row r="139" spans="1:5">
      <c r="A139">
        <v>10254</v>
      </c>
      <c r="B139" s="80">
        <v>35257</v>
      </c>
      <c r="C139">
        <v>342.71999759674071</v>
      </c>
      <c r="D139">
        <v>21</v>
      </c>
      <c r="E139" t="s">
        <v>177</v>
      </c>
    </row>
    <row r="140" spans="1:5">
      <c r="A140">
        <v>10254</v>
      </c>
      <c r="B140" s="80">
        <v>35257</v>
      </c>
      <c r="C140">
        <v>45.899999678134918</v>
      </c>
      <c r="D140">
        <v>15</v>
      </c>
      <c r="E140" t="s">
        <v>177</v>
      </c>
    </row>
    <row r="141" spans="1:5">
      <c r="A141">
        <v>10254</v>
      </c>
      <c r="B141" s="80">
        <v>35257</v>
      </c>
      <c r="C141">
        <v>342.71999759674071</v>
      </c>
      <c r="D141">
        <v>21</v>
      </c>
      <c r="E141" t="s">
        <v>179</v>
      </c>
    </row>
    <row r="142" spans="1:5">
      <c r="A142">
        <v>10254</v>
      </c>
      <c r="B142" s="80">
        <v>35257</v>
      </c>
      <c r="C142">
        <v>45.899999678134918</v>
      </c>
      <c r="D142">
        <v>15</v>
      </c>
      <c r="E142" t="s">
        <v>174</v>
      </c>
    </row>
    <row r="143" spans="1:5">
      <c r="A143">
        <v>10254</v>
      </c>
      <c r="B143" s="80">
        <v>35257</v>
      </c>
      <c r="C143">
        <v>342.71999759674071</v>
      </c>
      <c r="D143">
        <v>21</v>
      </c>
      <c r="E143" t="s">
        <v>174</v>
      </c>
    </row>
    <row r="144" spans="1:5">
      <c r="A144">
        <v>10254</v>
      </c>
      <c r="B144" s="80">
        <v>35257</v>
      </c>
      <c r="C144">
        <v>168</v>
      </c>
      <c r="D144">
        <v>21</v>
      </c>
      <c r="E144" t="s">
        <v>174</v>
      </c>
    </row>
    <row r="145" spans="1:5">
      <c r="A145">
        <v>10254</v>
      </c>
      <c r="B145" s="80">
        <v>35257</v>
      </c>
      <c r="C145">
        <v>168</v>
      </c>
      <c r="D145">
        <v>21</v>
      </c>
      <c r="E145" t="s">
        <v>176</v>
      </c>
    </row>
    <row r="146" spans="1:5">
      <c r="A146">
        <v>10254</v>
      </c>
      <c r="B146" s="80">
        <v>35257</v>
      </c>
      <c r="C146">
        <v>342.71999759674071</v>
      </c>
      <c r="D146">
        <v>21</v>
      </c>
      <c r="E146" t="s">
        <v>176</v>
      </c>
    </row>
    <row r="147" spans="1:5">
      <c r="A147">
        <v>10254</v>
      </c>
      <c r="B147" s="80">
        <v>35257</v>
      </c>
      <c r="C147">
        <v>168</v>
      </c>
      <c r="D147">
        <v>21</v>
      </c>
      <c r="E147" t="s">
        <v>177</v>
      </c>
    </row>
    <row r="148" spans="1:5">
      <c r="A148">
        <v>10254</v>
      </c>
      <c r="B148" s="80">
        <v>35257</v>
      </c>
      <c r="C148">
        <v>45.899999678134918</v>
      </c>
      <c r="D148">
        <v>15</v>
      </c>
      <c r="E148" t="s">
        <v>172</v>
      </c>
    </row>
    <row r="149" spans="1:5">
      <c r="A149">
        <v>10254</v>
      </c>
      <c r="B149" s="80">
        <v>35257</v>
      </c>
      <c r="C149">
        <v>168</v>
      </c>
      <c r="D149">
        <v>21</v>
      </c>
      <c r="E149" t="s">
        <v>179</v>
      </c>
    </row>
    <row r="150" spans="1:5">
      <c r="A150">
        <v>10254</v>
      </c>
      <c r="B150" s="80">
        <v>35257</v>
      </c>
      <c r="C150">
        <v>168</v>
      </c>
      <c r="D150">
        <v>21</v>
      </c>
      <c r="E150" t="s">
        <v>172</v>
      </c>
    </row>
    <row r="151" spans="1:5">
      <c r="A151">
        <v>10254</v>
      </c>
      <c r="B151" s="80">
        <v>35257</v>
      </c>
      <c r="C151">
        <v>45.899999678134918</v>
      </c>
      <c r="D151">
        <v>15</v>
      </c>
      <c r="E151" t="s">
        <v>178</v>
      </c>
    </row>
    <row r="152" spans="1:5">
      <c r="A152">
        <v>10254</v>
      </c>
      <c r="B152" s="80">
        <v>35257</v>
      </c>
      <c r="C152">
        <v>342.71999759674071</v>
      </c>
      <c r="D152">
        <v>21</v>
      </c>
      <c r="E152" t="s">
        <v>178</v>
      </c>
    </row>
    <row r="153" spans="1:5">
      <c r="A153">
        <v>10254</v>
      </c>
      <c r="B153" s="80">
        <v>35257</v>
      </c>
      <c r="C153">
        <v>168</v>
      </c>
      <c r="D153">
        <v>21</v>
      </c>
      <c r="E153" t="s">
        <v>178</v>
      </c>
    </row>
    <row r="154" spans="1:5">
      <c r="A154">
        <v>10254</v>
      </c>
      <c r="B154" s="80">
        <v>35257</v>
      </c>
      <c r="C154">
        <v>45.899999678134918</v>
      </c>
      <c r="D154">
        <v>15</v>
      </c>
      <c r="E154" t="s">
        <v>175</v>
      </c>
    </row>
    <row r="155" spans="1:5">
      <c r="A155">
        <v>10254</v>
      </c>
      <c r="B155" s="80">
        <v>35257</v>
      </c>
      <c r="C155">
        <v>342.71999759674071</v>
      </c>
      <c r="D155">
        <v>21</v>
      </c>
      <c r="E155" t="s">
        <v>175</v>
      </c>
    </row>
    <row r="156" spans="1:5">
      <c r="A156">
        <v>10254</v>
      </c>
      <c r="B156" s="80">
        <v>35257</v>
      </c>
      <c r="C156">
        <v>168</v>
      </c>
      <c r="D156">
        <v>21</v>
      </c>
      <c r="E156" t="s">
        <v>175</v>
      </c>
    </row>
    <row r="157" spans="1:5">
      <c r="A157">
        <v>10254</v>
      </c>
      <c r="B157" s="80">
        <v>35257</v>
      </c>
      <c r="C157">
        <v>45.899999678134918</v>
      </c>
      <c r="D157">
        <v>15</v>
      </c>
      <c r="E157" t="s">
        <v>176</v>
      </c>
    </row>
    <row r="158" spans="1:5">
      <c r="A158">
        <v>10254</v>
      </c>
      <c r="B158" s="80">
        <v>35257</v>
      </c>
      <c r="C158">
        <v>168</v>
      </c>
      <c r="D158">
        <v>21</v>
      </c>
      <c r="E158" t="s">
        <v>173</v>
      </c>
    </row>
    <row r="159" spans="1:5">
      <c r="A159">
        <v>10254</v>
      </c>
      <c r="B159" s="80">
        <v>35257</v>
      </c>
      <c r="C159">
        <v>342.71999759674071</v>
      </c>
      <c r="D159">
        <v>21</v>
      </c>
      <c r="E159" t="s">
        <v>173</v>
      </c>
    </row>
    <row r="160" spans="1:5">
      <c r="A160">
        <v>10254</v>
      </c>
      <c r="B160" s="80">
        <v>35257</v>
      </c>
      <c r="C160">
        <v>45.899999678134918</v>
      </c>
      <c r="D160">
        <v>15</v>
      </c>
      <c r="E160" t="s">
        <v>173</v>
      </c>
    </row>
    <row r="161" spans="1:5">
      <c r="A161">
        <v>10254</v>
      </c>
      <c r="B161" s="80">
        <v>35257</v>
      </c>
      <c r="C161">
        <v>45.899999678134918</v>
      </c>
      <c r="D161">
        <v>15</v>
      </c>
      <c r="E161" t="s">
        <v>179</v>
      </c>
    </row>
    <row r="162" spans="1:5">
      <c r="A162">
        <v>10255</v>
      </c>
      <c r="B162" s="80">
        <v>35258</v>
      </c>
      <c r="C162">
        <v>486.5</v>
      </c>
      <c r="D162">
        <v>35</v>
      </c>
      <c r="E162" t="s">
        <v>179</v>
      </c>
    </row>
    <row r="163" spans="1:5">
      <c r="A163">
        <v>10255</v>
      </c>
      <c r="B163" s="80">
        <v>35258</v>
      </c>
      <c r="C163">
        <v>304</v>
      </c>
      <c r="D163">
        <v>20</v>
      </c>
      <c r="E163" t="s">
        <v>176</v>
      </c>
    </row>
    <row r="164" spans="1:5">
      <c r="A164">
        <v>10255</v>
      </c>
      <c r="B164" s="80">
        <v>35258</v>
      </c>
      <c r="C164">
        <v>486.5</v>
      </c>
      <c r="D164">
        <v>35</v>
      </c>
      <c r="E164" t="s">
        <v>176</v>
      </c>
    </row>
    <row r="165" spans="1:5">
      <c r="A165">
        <v>10255</v>
      </c>
      <c r="B165" s="80">
        <v>35258</v>
      </c>
      <c r="C165">
        <v>380</v>
      </c>
      <c r="D165">
        <v>25</v>
      </c>
      <c r="E165" t="s">
        <v>174</v>
      </c>
    </row>
    <row r="166" spans="1:5">
      <c r="A166">
        <v>10255</v>
      </c>
      <c r="B166" s="80">
        <v>35258</v>
      </c>
      <c r="C166">
        <v>1320</v>
      </c>
      <c r="D166">
        <v>30</v>
      </c>
      <c r="E166" t="s">
        <v>173</v>
      </c>
    </row>
    <row r="167" spans="1:5">
      <c r="A167">
        <v>10255</v>
      </c>
      <c r="B167" s="80">
        <v>35258</v>
      </c>
      <c r="C167">
        <v>304</v>
      </c>
      <c r="D167">
        <v>20</v>
      </c>
      <c r="E167" t="s">
        <v>179</v>
      </c>
    </row>
    <row r="168" spans="1:5">
      <c r="A168">
        <v>10255</v>
      </c>
      <c r="B168" s="80">
        <v>35258</v>
      </c>
      <c r="C168">
        <v>304</v>
      </c>
      <c r="D168">
        <v>20</v>
      </c>
      <c r="E168" t="s">
        <v>173</v>
      </c>
    </row>
    <row r="169" spans="1:5">
      <c r="A169">
        <v>10255</v>
      </c>
      <c r="B169" s="80">
        <v>35258</v>
      </c>
      <c r="C169">
        <v>380</v>
      </c>
      <c r="D169">
        <v>25</v>
      </c>
      <c r="E169" t="s">
        <v>179</v>
      </c>
    </row>
    <row r="170" spans="1:5">
      <c r="A170">
        <v>10255</v>
      </c>
      <c r="B170" s="80">
        <v>35258</v>
      </c>
      <c r="C170">
        <v>1320</v>
      </c>
      <c r="D170">
        <v>30</v>
      </c>
      <c r="E170" t="s">
        <v>179</v>
      </c>
    </row>
    <row r="171" spans="1:5">
      <c r="A171">
        <v>10255</v>
      </c>
      <c r="B171" s="80">
        <v>35258</v>
      </c>
      <c r="C171">
        <v>380</v>
      </c>
      <c r="D171">
        <v>25</v>
      </c>
      <c r="E171" t="s">
        <v>176</v>
      </c>
    </row>
    <row r="172" spans="1:5">
      <c r="A172">
        <v>10255</v>
      </c>
      <c r="B172" s="80">
        <v>35258</v>
      </c>
      <c r="C172">
        <v>1320</v>
      </c>
      <c r="D172">
        <v>30</v>
      </c>
      <c r="E172" t="s">
        <v>176</v>
      </c>
    </row>
    <row r="173" spans="1:5">
      <c r="A173">
        <v>10255</v>
      </c>
      <c r="B173" s="80">
        <v>35258</v>
      </c>
      <c r="C173">
        <v>304</v>
      </c>
      <c r="D173">
        <v>20</v>
      </c>
      <c r="E173" t="s">
        <v>177</v>
      </c>
    </row>
    <row r="174" spans="1:5">
      <c r="A174">
        <v>10255</v>
      </c>
      <c r="B174" s="80">
        <v>35258</v>
      </c>
      <c r="C174">
        <v>486.5</v>
      </c>
      <c r="D174">
        <v>35</v>
      </c>
      <c r="E174" t="s">
        <v>177</v>
      </c>
    </row>
    <row r="175" spans="1:5">
      <c r="A175">
        <v>10255</v>
      </c>
      <c r="B175" s="80">
        <v>35258</v>
      </c>
      <c r="C175">
        <v>380</v>
      </c>
      <c r="D175">
        <v>25</v>
      </c>
      <c r="E175" t="s">
        <v>177</v>
      </c>
    </row>
    <row r="176" spans="1:5">
      <c r="A176">
        <v>10255</v>
      </c>
      <c r="B176" s="80">
        <v>35258</v>
      </c>
      <c r="C176">
        <v>304</v>
      </c>
      <c r="D176">
        <v>20</v>
      </c>
      <c r="E176" t="s">
        <v>174</v>
      </c>
    </row>
    <row r="177" spans="1:5">
      <c r="A177">
        <v>10255</v>
      </c>
      <c r="B177" s="80">
        <v>35258</v>
      </c>
      <c r="C177">
        <v>1320</v>
      </c>
      <c r="D177">
        <v>30</v>
      </c>
      <c r="E177" t="s">
        <v>172</v>
      </c>
    </row>
    <row r="178" spans="1:5">
      <c r="A178">
        <v>10255</v>
      </c>
      <c r="B178" s="80">
        <v>35258</v>
      </c>
      <c r="C178">
        <v>1320</v>
      </c>
      <c r="D178">
        <v>30</v>
      </c>
      <c r="E178" t="s">
        <v>175</v>
      </c>
    </row>
    <row r="179" spans="1:5">
      <c r="A179">
        <v>10255</v>
      </c>
      <c r="B179" s="80">
        <v>35258</v>
      </c>
      <c r="C179">
        <v>380</v>
      </c>
      <c r="D179">
        <v>25</v>
      </c>
      <c r="E179" t="s">
        <v>175</v>
      </c>
    </row>
    <row r="180" spans="1:5">
      <c r="A180">
        <v>10255</v>
      </c>
      <c r="B180" s="80">
        <v>35258</v>
      </c>
      <c r="C180">
        <v>486.5</v>
      </c>
      <c r="D180">
        <v>35</v>
      </c>
      <c r="E180" t="s">
        <v>175</v>
      </c>
    </row>
    <row r="181" spans="1:5">
      <c r="A181">
        <v>10255</v>
      </c>
      <c r="B181" s="80">
        <v>35258</v>
      </c>
      <c r="C181">
        <v>304</v>
      </c>
      <c r="D181">
        <v>20</v>
      </c>
      <c r="E181" t="s">
        <v>175</v>
      </c>
    </row>
    <row r="182" spans="1:5">
      <c r="A182">
        <v>10255</v>
      </c>
      <c r="B182" s="80">
        <v>35258</v>
      </c>
      <c r="C182">
        <v>304</v>
      </c>
      <c r="D182">
        <v>20</v>
      </c>
      <c r="E182" t="s">
        <v>172</v>
      </c>
    </row>
    <row r="183" spans="1:5">
      <c r="A183">
        <v>10255</v>
      </c>
      <c r="B183" s="80">
        <v>35258</v>
      </c>
      <c r="C183">
        <v>380</v>
      </c>
      <c r="D183">
        <v>25</v>
      </c>
      <c r="E183" t="s">
        <v>173</v>
      </c>
    </row>
    <row r="184" spans="1:5">
      <c r="A184">
        <v>10255</v>
      </c>
      <c r="B184" s="80">
        <v>35258</v>
      </c>
      <c r="C184">
        <v>380</v>
      </c>
      <c r="D184">
        <v>25</v>
      </c>
      <c r="E184" t="s">
        <v>172</v>
      </c>
    </row>
    <row r="185" spans="1:5">
      <c r="A185">
        <v>10255</v>
      </c>
      <c r="B185" s="80">
        <v>35258</v>
      </c>
      <c r="C185">
        <v>1320</v>
      </c>
      <c r="D185">
        <v>30</v>
      </c>
      <c r="E185" t="s">
        <v>177</v>
      </c>
    </row>
    <row r="186" spans="1:5">
      <c r="A186">
        <v>10255</v>
      </c>
      <c r="B186" s="80">
        <v>35258</v>
      </c>
      <c r="C186">
        <v>1320</v>
      </c>
      <c r="D186">
        <v>30</v>
      </c>
      <c r="E186" t="s">
        <v>178</v>
      </c>
    </row>
    <row r="187" spans="1:5">
      <c r="A187">
        <v>10255</v>
      </c>
      <c r="B187" s="80">
        <v>35258</v>
      </c>
      <c r="C187">
        <v>380</v>
      </c>
      <c r="D187">
        <v>25</v>
      </c>
      <c r="E187" t="s">
        <v>178</v>
      </c>
    </row>
    <row r="188" spans="1:5">
      <c r="A188">
        <v>10255</v>
      </c>
      <c r="B188" s="80">
        <v>35258</v>
      </c>
      <c r="C188">
        <v>486.5</v>
      </c>
      <c r="D188">
        <v>35</v>
      </c>
      <c r="E188" t="s">
        <v>178</v>
      </c>
    </row>
    <row r="189" spans="1:5">
      <c r="A189">
        <v>10255</v>
      </c>
      <c r="B189" s="80">
        <v>35258</v>
      </c>
      <c r="C189">
        <v>304</v>
      </c>
      <c r="D189">
        <v>20</v>
      </c>
      <c r="E189" t="s">
        <v>178</v>
      </c>
    </row>
    <row r="190" spans="1:5">
      <c r="A190">
        <v>10255</v>
      </c>
      <c r="B190" s="80">
        <v>35258</v>
      </c>
      <c r="C190">
        <v>486.5</v>
      </c>
      <c r="D190">
        <v>35</v>
      </c>
      <c r="E190" t="s">
        <v>174</v>
      </c>
    </row>
    <row r="191" spans="1:5">
      <c r="A191">
        <v>10255</v>
      </c>
      <c r="B191" s="80">
        <v>35258</v>
      </c>
      <c r="C191">
        <v>486.5</v>
      </c>
      <c r="D191">
        <v>35</v>
      </c>
      <c r="E191" t="s">
        <v>173</v>
      </c>
    </row>
    <row r="192" spans="1:5">
      <c r="A192">
        <v>10255</v>
      </c>
      <c r="B192" s="80">
        <v>35258</v>
      </c>
      <c r="C192">
        <v>486.5</v>
      </c>
      <c r="D192">
        <v>35</v>
      </c>
      <c r="E192" t="s">
        <v>172</v>
      </c>
    </row>
    <row r="193" spans="1:5">
      <c r="A193">
        <v>10255</v>
      </c>
      <c r="B193" s="80">
        <v>35258</v>
      </c>
      <c r="C193">
        <v>1320</v>
      </c>
      <c r="D193">
        <v>30</v>
      </c>
      <c r="E193" t="s">
        <v>174</v>
      </c>
    </row>
    <row r="194" spans="1:5">
      <c r="A194">
        <v>10256</v>
      </c>
      <c r="B194" s="80">
        <v>35261</v>
      </c>
      <c r="C194">
        <v>393</v>
      </c>
      <c r="D194">
        <v>15</v>
      </c>
      <c r="E194" t="s">
        <v>174</v>
      </c>
    </row>
    <row r="195" spans="1:5">
      <c r="A195">
        <v>10256</v>
      </c>
      <c r="B195" s="80">
        <v>35261</v>
      </c>
      <c r="C195">
        <v>124.8</v>
      </c>
      <c r="D195">
        <v>12</v>
      </c>
      <c r="E195" t="s">
        <v>178</v>
      </c>
    </row>
    <row r="196" spans="1:5">
      <c r="A196">
        <v>10256</v>
      </c>
      <c r="B196" s="80">
        <v>35261</v>
      </c>
      <c r="C196">
        <v>393</v>
      </c>
      <c r="D196">
        <v>15</v>
      </c>
      <c r="E196" t="s">
        <v>178</v>
      </c>
    </row>
    <row r="197" spans="1:5">
      <c r="A197">
        <v>10256</v>
      </c>
      <c r="B197" s="80">
        <v>35261</v>
      </c>
      <c r="C197">
        <v>393</v>
      </c>
      <c r="D197">
        <v>15</v>
      </c>
      <c r="E197" t="s">
        <v>173</v>
      </c>
    </row>
    <row r="198" spans="1:5">
      <c r="A198">
        <v>10256</v>
      </c>
      <c r="B198" s="80">
        <v>35261</v>
      </c>
      <c r="C198">
        <v>124.8</v>
      </c>
      <c r="D198">
        <v>12</v>
      </c>
      <c r="E198" t="s">
        <v>173</v>
      </c>
    </row>
    <row r="199" spans="1:5">
      <c r="A199">
        <v>10256</v>
      </c>
      <c r="B199" s="80">
        <v>35261</v>
      </c>
      <c r="C199">
        <v>124.8</v>
      </c>
      <c r="D199">
        <v>12</v>
      </c>
      <c r="E199" t="s">
        <v>177</v>
      </c>
    </row>
    <row r="200" spans="1:5">
      <c r="A200">
        <v>10256</v>
      </c>
      <c r="B200" s="80">
        <v>35261</v>
      </c>
      <c r="C200">
        <v>393</v>
      </c>
      <c r="D200">
        <v>15</v>
      </c>
      <c r="E200" t="s">
        <v>177</v>
      </c>
    </row>
    <row r="201" spans="1:5">
      <c r="A201">
        <v>10256</v>
      </c>
      <c r="B201" s="80">
        <v>35261</v>
      </c>
      <c r="C201">
        <v>124.8</v>
      </c>
      <c r="D201">
        <v>12</v>
      </c>
      <c r="E201" t="s">
        <v>174</v>
      </c>
    </row>
    <row r="202" spans="1:5">
      <c r="A202">
        <v>10256</v>
      </c>
      <c r="B202" s="80">
        <v>35261</v>
      </c>
      <c r="C202">
        <v>393</v>
      </c>
      <c r="D202">
        <v>15</v>
      </c>
      <c r="E202" t="s">
        <v>175</v>
      </c>
    </row>
    <row r="203" spans="1:5">
      <c r="A203">
        <v>10256</v>
      </c>
      <c r="B203" s="80">
        <v>35261</v>
      </c>
      <c r="C203">
        <v>124.8</v>
      </c>
      <c r="D203">
        <v>12</v>
      </c>
      <c r="E203" t="s">
        <v>175</v>
      </c>
    </row>
    <row r="204" spans="1:5">
      <c r="A204">
        <v>10256</v>
      </c>
      <c r="B204" s="80">
        <v>35261</v>
      </c>
      <c r="C204">
        <v>393</v>
      </c>
      <c r="D204">
        <v>15</v>
      </c>
      <c r="E204" t="s">
        <v>172</v>
      </c>
    </row>
    <row r="205" spans="1:5">
      <c r="A205">
        <v>10256</v>
      </c>
      <c r="B205" s="80">
        <v>35261</v>
      </c>
      <c r="C205">
        <v>393</v>
      </c>
      <c r="D205">
        <v>15</v>
      </c>
      <c r="E205" t="s">
        <v>179</v>
      </c>
    </row>
    <row r="206" spans="1:5">
      <c r="A206">
        <v>10256</v>
      </c>
      <c r="B206" s="80">
        <v>35261</v>
      </c>
      <c r="C206">
        <v>124.8</v>
      </c>
      <c r="D206">
        <v>12</v>
      </c>
      <c r="E206" t="s">
        <v>179</v>
      </c>
    </row>
    <row r="207" spans="1:5">
      <c r="A207">
        <v>10256</v>
      </c>
      <c r="B207" s="80">
        <v>35261</v>
      </c>
      <c r="C207">
        <v>124.8</v>
      </c>
      <c r="D207">
        <v>12</v>
      </c>
      <c r="E207" t="s">
        <v>176</v>
      </c>
    </row>
    <row r="208" spans="1:5">
      <c r="A208">
        <v>10256</v>
      </c>
      <c r="B208" s="80">
        <v>35261</v>
      </c>
      <c r="C208">
        <v>393</v>
      </c>
      <c r="D208">
        <v>15</v>
      </c>
      <c r="E208" t="s">
        <v>176</v>
      </c>
    </row>
    <row r="209" spans="1:5">
      <c r="A209">
        <v>10256</v>
      </c>
      <c r="B209" s="80">
        <v>35261</v>
      </c>
      <c r="C209">
        <v>124.8</v>
      </c>
      <c r="D209">
        <v>12</v>
      </c>
      <c r="E209" t="s">
        <v>172</v>
      </c>
    </row>
    <row r="210" spans="1:5">
      <c r="A210">
        <v>10257</v>
      </c>
      <c r="B210" s="80">
        <v>35262</v>
      </c>
      <c r="C210">
        <v>156</v>
      </c>
      <c r="D210">
        <v>15</v>
      </c>
      <c r="E210" t="s">
        <v>172</v>
      </c>
    </row>
    <row r="211" spans="1:5">
      <c r="A211">
        <v>10257</v>
      </c>
      <c r="B211" s="80">
        <v>35262</v>
      </c>
      <c r="C211">
        <v>877.5</v>
      </c>
      <c r="D211">
        <v>25</v>
      </c>
      <c r="E211" t="s">
        <v>178</v>
      </c>
    </row>
    <row r="212" spans="1:5">
      <c r="A212">
        <v>10257</v>
      </c>
      <c r="B212" s="80">
        <v>35262</v>
      </c>
      <c r="C212">
        <v>156</v>
      </c>
      <c r="D212">
        <v>15</v>
      </c>
      <c r="E212" t="s">
        <v>176</v>
      </c>
    </row>
    <row r="213" spans="1:5">
      <c r="A213">
        <v>10257</v>
      </c>
      <c r="B213" s="80">
        <v>35262</v>
      </c>
      <c r="C213">
        <v>86.4</v>
      </c>
      <c r="D213">
        <v>6</v>
      </c>
      <c r="E213" t="s">
        <v>176</v>
      </c>
    </row>
    <row r="214" spans="1:5">
      <c r="A214">
        <v>10257</v>
      </c>
      <c r="B214" s="80">
        <v>35262</v>
      </c>
      <c r="C214">
        <v>877.5</v>
      </c>
      <c r="D214">
        <v>25</v>
      </c>
      <c r="E214" t="s">
        <v>176</v>
      </c>
    </row>
    <row r="215" spans="1:5">
      <c r="A215">
        <v>10257</v>
      </c>
      <c r="B215" s="80">
        <v>35262</v>
      </c>
      <c r="C215">
        <v>877.5</v>
      </c>
      <c r="D215">
        <v>25</v>
      </c>
      <c r="E215" t="s">
        <v>173</v>
      </c>
    </row>
    <row r="216" spans="1:5">
      <c r="A216">
        <v>10257</v>
      </c>
      <c r="B216" s="80">
        <v>35262</v>
      </c>
      <c r="C216">
        <v>86.4</v>
      </c>
      <c r="D216">
        <v>6</v>
      </c>
      <c r="E216" t="s">
        <v>177</v>
      </c>
    </row>
    <row r="217" spans="1:5">
      <c r="A217">
        <v>10257</v>
      </c>
      <c r="B217" s="80">
        <v>35262</v>
      </c>
      <c r="C217">
        <v>877.5</v>
      </c>
      <c r="D217">
        <v>25</v>
      </c>
      <c r="E217" t="s">
        <v>177</v>
      </c>
    </row>
    <row r="218" spans="1:5">
      <c r="A218">
        <v>10257</v>
      </c>
      <c r="B218" s="80">
        <v>35262</v>
      </c>
      <c r="C218">
        <v>156</v>
      </c>
      <c r="D218">
        <v>15</v>
      </c>
      <c r="E218" t="s">
        <v>179</v>
      </c>
    </row>
    <row r="219" spans="1:5">
      <c r="A219">
        <v>10257</v>
      </c>
      <c r="B219" s="80">
        <v>35262</v>
      </c>
      <c r="C219">
        <v>86.4</v>
      </c>
      <c r="D219">
        <v>6</v>
      </c>
      <c r="E219" t="s">
        <v>173</v>
      </c>
    </row>
    <row r="220" spans="1:5">
      <c r="A220">
        <v>10257</v>
      </c>
      <c r="B220" s="80">
        <v>35262</v>
      </c>
      <c r="C220">
        <v>86.4</v>
      </c>
      <c r="D220">
        <v>6</v>
      </c>
      <c r="E220" t="s">
        <v>172</v>
      </c>
    </row>
    <row r="221" spans="1:5">
      <c r="A221">
        <v>10257</v>
      </c>
      <c r="B221" s="80">
        <v>35262</v>
      </c>
      <c r="C221">
        <v>156</v>
      </c>
      <c r="D221">
        <v>15</v>
      </c>
      <c r="E221" t="s">
        <v>174</v>
      </c>
    </row>
    <row r="222" spans="1:5">
      <c r="A222">
        <v>10257</v>
      </c>
      <c r="B222" s="80">
        <v>35262</v>
      </c>
      <c r="C222">
        <v>86.4</v>
      </c>
      <c r="D222">
        <v>6</v>
      </c>
      <c r="E222" t="s">
        <v>174</v>
      </c>
    </row>
    <row r="223" spans="1:5">
      <c r="A223">
        <v>10257</v>
      </c>
      <c r="B223" s="80">
        <v>35262</v>
      </c>
      <c r="C223">
        <v>877.5</v>
      </c>
      <c r="D223">
        <v>25</v>
      </c>
      <c r="E223" t="s">
        <v>174</v>
      </c>
    </row>
    <row r="224" spans="1:5">
      <c r="A224">
        <v>10257</v>
      </c>
      <c r="B224" s="80">
        <v>35262</v>
      </c>
      <c r="C224">
        <v>86.4</v>
      </c>
      <c r="D224">
        <v>6</v>
      </c>
      <c r="E224" t="s">
        <v>178</v>
      </c>
    </row>
    <row r="225" spans="1:5">
      <c r="A225">
        <v>10257</v>
      </c>
      <c r="B225" s="80">
        <v>35262</v>
      </c>
      <c r="C225">
        <v>877.5</v>
      </c>
      <c r="D225">
        <v>25</v>
      </c>
      <c r="E225" t="s">
        <v>179</v>
      </c>
    </row>
    <row r="226" spans="1:5">
      <c r="A226">
        <v>10257</v>
      </c>
      <c r="B226" s="80">
        <v>35262</v>
      </c>
      <c r="C226">
        <v>156</v>
      </c>
      <c r="D226">
        <v>15</v>
      </c>
      <c r="E226" t="s">
        <v>177</v>
      </c>
    </row>
    <row r="227" spans="1:5">
      <c r="A227">
        <v>10257</v>
      </c>
      <c r="B227" s="80">
        <v>35262</v>
      </c>
      <c r="C227">
        <v>156</v>
      </c>
      <c r="D227">
        <v>15</v>
      </c>
      <c r="E227" t="s">
        <v>173</v>
      </c>
    </row>
    <row r="228" spans="1:5">
      <c r="A228">
        <v>10257</v>
      </c>
      <c r="B228" s="80">
        <v>35262</v>
      </c>
      <c r="C228">
        <v>877.5</v>
      </c>
      <c r="D228">
        <v>25</v>
      </c>
      <c r="E228" t="s">
        <v>172</v>
      </c>
    </row>
    <row r="229" spans="1:5">
      <c r="A229">
        <v>10257</v>
      </c>
      <c r="B229" s="80">
        <v>35262</v>
      </c>
      <c r="C229">
        <v>86.4</v>
      </c>
      <c r="D229">
        <v>6</v>
      </c>
      <c r="E229" t="s">
        <v>179</v>
      </c>
    </row>
    <row r="230" spans="1:5">
      <c r="A230">
        <v>10257</v>
      </c>
      <c r="B230" s="80">
        <v>35262</v>
      </c>
      <c r="C230">
        <v>156</v>
      </c>
      <c r="D230">
        <v>15</v>
      </c>
      <c r="E230" t="s">
        <v>175</v>
      </c>
    </row>
    <row r="231" spans="1:5">
      <c r="A231">
        <v>10257</v>
      </c>
      <c r="B231" s="80">
        <v>35262</v>
      </c>
      <c r="C231">
        <v>156</v>
      </c>
      <c r="D231">
        <v>15</v>
      </c>
      <c r="E231" t="s">
        <v>178</v>
      </c>
    </row>
    <row r="232" spans="1:5">
      <c r="A232">
        <v>10257</v>
      </c>
      <c r="B232" s="80">
        <v>35262</v>
      </c>
      <c r="C232">
        <v>877.5</v>
      </c>
      <c r="D232">
        <v>25</v>
      </c>
      <c r="E232" t="s">
        <v>175</v>
      </c>
    </row>
    <row r="233" spans="1:5">
      <c r="A233">
        <v>10257</v>
      </c>
      <c r="B233" s="80">
        <v>35262</v>
      </c>
      <c r="C233">
        <v>86.4</v>
      </c>
      <c r="D233">
        <v>6</v>
      </c>
      <c r="E233" t="s">
        <v>175</v>
      </c>
    </row>
    <row r="234" spans="1:5">
      <c r="A234">
        <v>10258</v>
      </c>
      <c r="B234" s="80">
        <v>35263</v>
      </c>
      <c r="C234">
        <v>883.99999670684338</v>
      </c>
      <c r="D234">
        <v>65</v>
      </c>
      <c r="E234" t="s">
        <v>177</v>
      </c>
    </row>
    <row r="235" spans="1:5">
      <c r="A235">
        <v>10258</v>
      </c>
      <c r="B235" s="80">
        <v>35263</v>
      </c>
      <c r="C235">
        <v>122.87999954223632</v>
      </c>
      <c r="D235">
        <v>6</v>
      </c>
      <c r="E235" t="s">
        <v>173</v>
      </c>
    </row>
    <row r="236" spans="1:5">
      <c r="A236">
        <v>10258</v>
      </c>
      <c r="B236" s="80">
        <v>35263</v>
      </c>
      <c r="C236">
        <v>122.87999954223632</v>
      </c>
      <c r="D236">
        <v>6</v>
      </c>
      <c r="E236" t="s">
        <v>172</v>
      </c>
    </row>
    <row r="237" spans="1:5">
      <c r="A237">
        <v>10258</v>
      </c>
      <c r="B237" s="80">
        <v>35263</v>
      </c>
      <c r="C237">
        <v>122.87999954223632</v>
      </c>
      <c r="D237">
        <v>6</v>
      </c>
      <c r="E237" t="s">
        <v>174</v>
      </c>
    </row>
    <row r="238" spans="1:5">
      <c r="A238">
        <v>10258</v>
      </c>
      <c r="B238" s="80">
        <v>35263</v>
      </c>
      <c r="C238">
        <v>122.87999954223632</v>
      </c>
      <c r="D238">
        <v>6</v>
      </c>
      <c r="E238" t="s">
        <v>176</v>
      </c>
    </row>
    <row r="239" spans="1:5">
      <c r="A239">
        <v>10258</v>
      </c>
      <c r="B239" s="80">
        <v>35263</v>
      </c>
      <c r="C239">
        <v>607.9999977350235</v>
      </c>
      <c r="D239">
        <v>50</v>
      </c>
      <c r="E239" t="s">
        <v>174</v>
      </c>
    </row>
    <row r="240" spans="1:5">
      <c r="A240">
        <v>10258</v>
      </c>
      <c r="B240" s="80">
        <v>35263</v>
      </c>
      <c r="C240">
        <v>607.9999977350235</v>
      </c>
      <c r="D240">
        <v>50</v>
      </c>
      <c r="E240" t="s">
        <v>177</v>
      </c>
    </row>
    <row r="241" spans="1:5">
      <c r="A241">
        <v>10258</v>
      </c>
      <c r="B241" s="80">
        <v>35263</v>
      </c>
      <c r="C241">
        <v>607.9999977350235</v>
      </c>
      <c r="D241">
        <v>50</v>
      </c>
      <c r="E241" t="s">
        <v>172</v>
      </c>
    </row>
    <row r="242" spans="1:5">
      <c r="A242">
        <v>10258</v>
      </c>
      <c r="B242" s="80">
        <v>35263</v>
      </c>
      <c r="C242">
        <v>607.9999977350235</v>
      </c>
      <c r="D242">
        <v>50</v>
      </c>
      <c r="E242" t="s">
        <v>175</v>
      </c>
    </row>
    <row r="243" spans="1:5">
      <c r="A243">
        <v>10258</v>
      </c>
      <c r="B243" s="80">
        <v>35263</v>
      </c>
      <c r="C243">
        <v>607.9999977350235</v>
      </c>
      <c r="D243">
        <v>50</v>
      </c>
      <c r="E243" t="s">
        <v>173</v>
      </c>
    </row>
    <row r="244" spans="1:5">
      <c r="A244">
        <v>10258</v>
      </c>
      <c r="B244" s="80">
        <v>35263</v>
      </c>
      <c r="C244">
        <v>122.87999954223632</v>
      </c>
      <c r="D244">
        <v>6</v>
      </c>
      <c r="E244" t="s">
        <v>179</v>
      </c>
    </row>
    <row r="245" spans="1:5">
      <c r="A245">
        <v>10258</v>
      </c>
      <c r="B245" s="80">
        <v>35263</v>
      </c>
      <c r="C245">
        <v>607.9999977350235</v>
      </c>
      <c r="D245">
        <v>50</v>
      </c>
      <c r="E245" t="s">
        <v>176</v>
      </c>
    </row>
    <row r="246" spans="1:5">
      <c r="A246">
        <v>10258</v>
      </c>
      <c r="B246" s="80">
        <v>35263</v>
      </c>
      <c r="C246">
        <v>883.99999670684338</v>
      </c>
      <c r="D246">
        <v>65</v>
      </c>
      <c r="E246" t="s">
        <v>174</v>
      </c>
    </row>
    <row r="247" spans="1:5">
      <c r="A247">
        <v>10258</v>
      </c>
      <c r="B247" s="80">
        <v>35263</v>
      </c>
      <c r="C247">
        <v>883.99999670684338</v>
      </c>
      <c r="D247">
        <v>65</v>
      </c>
      <c r="E247" t="s">
        <v>173</v>
      </c>
    </row>
    <row r="248" spans="1:5">
      <c r="A248">
        <v>10258</v>
      </c>
      <c r="B248" s="80">
        <v>35263</v>
      </c>
      <c r="C248">
        <v>883.99999670684338</v>
      </c>
      <c r="D248">
        <v>65</v>
      </c>
      <c r="E248" t="s">
        <v>175</v>
      </c>
    </row>
    <row r="249" spans="1:5">
      <c r="A249">
        <v>10258</v>
      </c>
      <c r="B249" s="80">
        <v>35263</v>
      </c>
      <c r="C249">
        <v>122.87999954223632</v>
      </c>
      <c r="D249">
        <v>6</v>
      </c>
      <c r="E249" t="s">
        <v>175</v>
      </c>
    </row>
    <row r="250" spans="1:5">
      <c r="A250">
        <v>10258</v>
      </c>
      <c r="B250" s="80">
        <v>35263</v>
      </c>
      <c r="C250">
        <v>607.9999977350235</v>
      </c>
      <c r="D250">
        <v>50</v>
      </c>
      <c r="E250" t="s">
        <v>179</v>
      </c>
    </row>
    <row r="251" spans="1:5">
      <c r="A251">
        <v>10258</v>
      </c>
      <c r="B251" s="80">
        <v>35263</v>
      </c>
      <c r="C251">
        <v>883.99999670684338</v>
      </c>
      <c r="D251">
        <v>65</v>
      </c>
      <c r="E251" t="s">
        <v>179</v>
      </c>
    </row>
    <row r="252" spans="1:5">
      <c r="A252">
        <v>10258</v>
      </c>
      <c r="B252" s="80">
        <v>35263</v>
      </c>
      <c r="C252">
        <v>883.99999670684338</v>
      </c>
      <c r="D252">
        <v>65</v>
      </c>
      <c r="E252" t="s">
        <v>176</v>
      </c>
    </row>
    <row r="253" spans="1:5">
      <c r="A253">
        <v>10258</v>
      </c>
      <c r="B253" s="80">
        <v>35263</v>
      </c>
      <c r="C253">
        <v>122.87999954223632</v>
      </c>
      <c r="D253">
        <v>6</v>
      </c>
      <c r="E253" t="s">
        <v>177</v>
      </c>
    </row>
    <row r="254" spans="1:5">
      <c r="A254">
        <v>10258</v>
      </c>
      <c r="B254" s="80">
        <v>35263</v>
      </c>
      <c r="C254">
        <v>607.9999977350235</v>
      </c>
      <c r="D254">
        <v>50</v>
      </c>
      <c r="E254" t="s">
        <v>178</v>
      </c>
    </row>
    <row r="255" spans="1:5">
      <c r="A255">
        <v>10258</v>
      </c>
      <c r="B255" s="80">
        <v>35263</v>
      </c>
      <c r="C255">
        <v>883.99999670684338</v>
      </c>
      <c r="D255">
        <v>65</v>
      </c>
      <c r="E255" t="s">
        <v>178</v>
      </c>
    </row>
    <row r="256" spans="1:5">
      <c r="A256">
        <v>10258</v>
      </c>
      <c r="B256" s="80">
        <v>35263</v>
      </c>
      <c r="C256">
        <v>122.87999954223632</v>
      </c>
      <c r="D256">
        <v>6</v>
      </c>
      <c r="E256" t="s">
        <v>178</v>
      </c>
    </row>
    <row r="257" spans="1:5">
      <c r="A257">
        <v>10258</v>
      </c>
      <c r="B257" s="80">
        <v>35263</v>
      </c>
      <c r="C257">
        <v>883.99999670684338</v>
      </c>
      <c r="D257">
        <v>65</v>
      </c>
      <c r="E257" t="s">
        <v>172</v>
      </c>
    </row>
    <row r="258" spans="1:5">
      <c r="A258">
        <v>10259</v>
      </c>
      <c r="B258" s="80">
        <v>35264</v>
      </c>
      <c r="C258">
        <v>20.8</v>
      </c>
      <c r="D258">
        <v>1</v>
      </c>
      <c r="E258" t="s">
        <v>177</v>
      </c>
    </row>
    <row r="259" spans="1:5">
      <c r="A259">
        <v>10259</v>
      </c>
      <c r="B259" s="80">
        <v>35264</v>
      </c>
      <c r="C259">
        <v>80</v>
      </c>
      <c r="D259">
        <v>10</v>
      </c>
      <c r="E259" t="s">
        <v>175</v>
      </c>
    </row>
    <row r="260" spans="1:5">
      <c r="A260">
        <v>10259</v>
      </c>
      <c r="B260" s="80">
        <v>35264</v>
      </c>
      <c r="C260">
        <v>20.8</v>
      </c>
      <c r="D260">
        <v>1</v>
      </c>
      <c r="E260" t="s">
        <v>175</v>
      </c>
    </row>
    <row r="261" spans="1:5">
      <c r="A261">
        <v>10259</v>
      </c>
      <c r="B261" s="80">
        <v>35264</v>
      </c>
      <c r="C261">
        <v>80</v>
      </c>
      <c r="D261">
        <v>10</v>
      </c>
      <c r="E261" t="s">
        <v>178</v>
      </c>
    </row>
    <row r="262" spans="1:5">
      <c r="A262">
        <v>10259</v>
      </c>
      <c r="B262" s="80">
        <v>35264</v>
      </c>
      <c r="C262">
        <v>80</v>
      </c>
      <c r="D262">
        <v>10</v>
      </c>
      <c r="E262" t="s">
        <v>172</v>
      </c>
    </row>
    <row r="263" spans="1:5">
      <c r="A263">
        <v>10259</v>
      </c>
      <c r="B263" s="80">
        <v>35264</v>
      </c>
      <c r="C263">
        <v>80</v>
      </c>
      <c r="D263">
        <v>10</v>
      </c>
      <c r="E263" t="s">
        <v>179</v>
      </c>
    </row>
    <row r="264" spans="1:5">
      <c r="A264">
        <v>10259</v>
      </c>
      <c r="B264" s="80">
        <v>35264</v>
      </c>
      <c r="C264">
        <v>20.8</v>
      </c>
      <c r="D264">
        <v>1</v>
      </c>
      <c r="E264" t="s">
        <v>179</v>
      </c>
    </row>
    <row r="265" spans="1:5">
      <c r="A265">
        <v>10259</v>
      </c>
      <c r="B265" s="80">
        <v>35264</v>
      </c>
      <c r="C265">
        <v>20.8</v>
      </c>
      <c r="D265">
        <v>1</v>
      </c>
      <c r="E265" t="s">
        <v>174</v>
      </c>
    </row>
    <row r="266" spans="1:5">
      <c r="A266">
        <v>10259</v>
      </c>
      <c r="B266" s="80">
        <v>35264</v>
      </c>
      <c r="C266">
        <v>20.8</v>
      </c>
      <c r="D266">
        <v>1</v>
      </c>
      <c r="E266" t="s">
        <v>178</v>
      </c>
    </row>
    <row r="267" spans="1:5">
      <c r="A267">
        <v>10259</v>
      </c>
      <c r="B267" s="80">
        <v>35264</v>
      </c>
      <c r="C267">
        <v>20.8</v>
      </c>
      <c r="D267">
        <v>1</v>
      </c>
      <c r="E267" t="s">
        <v>172</v>
      </c>
    </row>
    <row r="268" spans="1:5">
      <c r="A268">
        <v>10259</v>
      </c>
      <c r="B268" s="80">
        <v>35264</v>
      </c>
      <c r="C268">
        <v>80</v>
      </c>
      <c r="D268">
        <v>10</v>
      </c>
      <c r="E268" t="s">
        <v>173</v>
      </c>
    </row>
    <row r="269" spans="1:5">
      <c r="A269">
        <v>10259</v>
      </c>
      <c r="B269" s="80">
        <v>35264</v>
      </c>
      <c r="C269">
        <v>20.8</v>
      </c>
      <c r="D269">
        <v>1</v>
      </c>
      <c r="E269" t="s">
        <v>173</v>
      </c>
    </row>
    <row r="270" spans="1:5">
      <c r="A270">
        <v>10259</v>
      </c>
      <c r="B270" s="80">
        <v>35264</v>
      </c>
      <c r="C270">
        <v>80</v>
      </c>
      <c r="D270">
        <v>10</v>
      </c>
      <c r="E270" t="s">
        <v>177</v>
      </c>
    </row>
    <row r="271" spans="1:5">
      <c r="A271">
        <v>10259</v>
      </c>
      <c r="B271" s="80">
        <v>35264</v>
      </c>
      <c r="C271">
        <v>20.8</v>
      </c>
      <c r="D271">
        <v>1</v>
      </c>
      <c r="E271" t="s">
        <v>176</v>
      </c>
    </row>
    <row r="272" spans="1:5">
      <c r="A272">
        <v>10259</v>
      </c>
      <c r="B272" s="80">
        <v>35264</v>
      </c>
      <c r="C272">
        <v>80</v>
      </c>
      <c r="D272">
        <v>10</v>
      </c>
      <c r="E272" t="s">
        <v>174</v>
      </c>
    </row>
    <row r="273" spans="1:5">
      <c r="A273">
        <v>10259</v>
      </c>
      <c r="B273" s="80">
        <v>35264</v>
      </c>
      <c r="C273">
        <v>80</v>
      </c>
      <c r="D273">
        <v>10</v>
      </c>
      <c r="E273" t="s">
        <v>176</v>
      </c>
    </row>
    <row r="274" spans="1:5">
      <c r="A274">
        <v>10260</v>
      </c>
      <c r="B274" s="80">
        <v>35265</v>
      </c>
      <c r="C274">
        <v>780</v>
      </c>
      <c r="D274">
        <v>50</v>
      </c>
      <c r="E274" t="s">
        <v>176</v>
      </c>
    </row>
    <row r="275" spans="1:5">
      <c r="A275">
        <v>10260</v>
      </c>
      <c r="B275" s="80">
        <v>35265</v>
      </c>
      <c r="C275">
        <v>189</v>
      </c>
      <c r="D275">
        <v>21</v>
      </c>
      <c r="E275" t="s">
        <v>174</v>
      </c>
    </row>
    <row r="276" spans="1:5">
      <c r="A276">
        <v>10260</v>
      </c>
      <c r="B276" s="80">
        <v>35265</v>
      </c>
      <c r="C276">
        <v>443.25</v>
      </c>
      <c r="D276">
        <v>15</v>
      </c>
      <c r="E276" t="s">
        <v>176</v>
      </c>
    </row>
    <row r="277" spans="1:5">
      <c r="A277">
        <v>10260</v>
      </c>
      <c r="B277" s="80">
        <v>35265</v>
      </c>
      <c r="C277">
        <v>189</v>
      </c>
      <c r="D277">
        <v>21</v>
      </c>
      <c r="E277" t="s">
        <v>176</v>
      </c>
    </row>
    <row r="278" spans="1:5">
      <c r="A278">
        <v>10260</v>
      </c>
      <c r="B278" s="80">
        <v>35265</v>
      </c>
      <c r="C278">
        <v>92.4</v>
      </c>
      <c r="D278">
        <v>16</v>
      </c>
      <c r="E278" t="s">
        <v>175</v>
      </c>
    </row>
    <row r="279" spans="1:5">
      <c r="A279">
        <v>10260</v>
      </c>
      <c r="B279" s="80">
        <v>35265</v>
      </c>
      <c r="C279">
        <v>92.4</v>
      </c>
      <c r="D279">
        <v>16</v>
      </c>
      <c r="E279" t="s">
        <v>179</v>
      </c>
    </row>
    <row r="280" spans="1:5">
      <c r="A280">
        <v>10260</v>
      </c>
      <c r="B280" s="80">
        <v>35265</v>
      </c>
      <c r="C280">
        <v>780</v>
      </c>
      <c r="D280">
        <v>50</v>
      </c>
      <c r="E280" t="s">
        <v>179</v>
      </c>
    </row>
    <row r="281" spans="1:5">
      <c r="A281">
        <v>10260</v>
      </c>
      <c r="B281" s="80">
        <v>35265</v>
      </c>
      <c r="C281">
        <v>443.25</v>
      </c>
      <c r="D281">
        <v>15</v>
      </c>
      <c r="E281" t="s">
        <v>179</v>
      </c>
    </row>
    <row r="282" spans="1:5">
      <c r="A282">
        <v>10260</v>
      </c>
      <c r="B282" s="80">
        <v>35265</v>
      </c>
      <c r="C282">
        <v>189</v>
      </c>
      <c r="D282">
        <v>21</v>
      </c>
      <c r="E282" t="s">
        <v>179</v>
      </c>
    </row>
    <row r="283" spans="1:5">
      <c r="A283">
        <v>10260</v>
      </c>
      <c r="B283" s="80">
        <v>35265</v>
      </c>
      <c r="C283">
        <v>780</v>
      </c>
      <c r="D283">
        <v>50</v>
      </c>
      <c r="E283" t="s">
        <v>175</v>
      </c>
    </row>
    <row r="284" spans="1:5">
      <c r="A284">
        <v>10260</v>
      </c>
      <c r="B284" s="80">
        <v>35265</v>
      </c>
      <c r="C284">
        <v>443.25</v>
      </c>
      <c r="D284">
        <v>15</v>
      </c>
      <c r="E284" t="s">
        <v>175</v>
      </c>
    </row>
    <row r="285" spans="1:5">
      <c r="A285">
        <v>10260</v>
      </c>
      <c r="B285" s="80">
        <v>35265</v>
      </c>
      <c r="C285">
        <v>189</v>
      </c>
      <c r="D285">
        <v>21</v>
      </c>
      <c r="E285" t="s">
        <v>175</v>
      </c>
    </row>
    <row r="286" spans="1:5">
      <c r="A286">
        <v>10260</v>
      </c>
      <c r="B286" s="80">
        <v>35265</v>
      </c>
      <c r="C286">
        <v>189</v>
      </c>
      <c r="D286">
        <v>21</v>
      </c>
      <c r="E286" t="s">
        <v>178</v>
      </c>
    </row>
    <row r="287" spans="1:5">
      <c r="A287">
        <v>10260</v>
      </c>
      <c r="B287" s="80">
        <v>35265</v>
      </c>
      <c r="C287">
        <v>780</v>
      </c>
      <c r="D287">
        <v>50</v>
      </c>
      <c r="E287" t="s">
        <v>172</v>
      </c>
    </row>
    <row r="288" spans="1:5">
      <c r="A288">
        <v>10260</v>
      </c>
      <c r="B288" s="80">
        <v>35265</v>
      </c>
      <c r="C288">
        <v>92.4</v>
      </c>
      <c r="D288">
        <v>16</v>
      </c>
      <c r="E288" t="s">
        <v>174</v>
      </c>
    </row>
    <row r="289" spans="1:5">
      <c r="A289">
        <v>10260</v>
      </c>
      <c r="B289" s="80">
        <v>35265</v>
      </c>
      <c r="C289">
        <v>92.4</v>
      </c>
      <c r="D289">
        <v>16</v>
      </c>
      <c r="E289" t="s">
        <v>177</v>
      </c>
    </row>
    <row r="290" spans="1:5">
      <c r="A290">
        <v>10260</v>
      </c>
      <c r="B290" s="80">
        <v>35265</v>
      </c>
      <c r="C290">
        <v>443.25</v>
      </c>
      <c r="D290">
        <v>15</v>
      </c>
      <c r="E290" t="s">
        <v>174</v>
      </c>
    </row>
    <row r="291" spans="1:5">
      <c r="A291">
        <v>10260</v>
      </c>
      <c r="B291" s="80">
        <v>35265</v>
      </c>
      <c r="C291">
        <v>780</v>
      </c>
      <c r="D291">
        <v>50</v>
      </c>
      <c r="E291" t="s">
        <v>174</v>
      </c>
    </row>
    <row r="292" spans="1:5">
      <c r="A292">
        <v>10260</v>
      </c>
      <c r="B292" s="80">
        <v>35265</v>
      </c>
      <c r="C292">
        <v>443.25</v>
      </c>
      <c r="D292">
        <v>15</v>
      </c>
      <c r="E292" t="s">
        <v>177</v>
      </c>
    </row>
    <row r="293" spans="1:5">
      <c r="A293">
        <v>10260</v>
      </c>
      <c r="B293" s="80">
        <v>35265</v>
      </c>
      <c r="C293">
        <v>92.4</v>
      </c>
      <c r="D293">
        <v>16</v>
      </c>
      <c r="E293" t="s">
        <v>172</v>
      </c>
    </row>
    <row r="294" spans="1:5">
      <c r="A294">
        <v>10260</v>
      </c>
      <c r="B294" s="80">
        <v>35265</v>
      </c>
      <c r="C294">
        <v>443.25</v>
      </c>
      <c r="D294">
        <v>15</v>
      </c>
      <c r="E294" t="s">
        <v>172</v>
      </c>
    </row>
    <row r="295" spans="1:5">
      <c r="A295">
        <v>10260</v>
      </c>
      <c r="B295" s="80">
        <v>35265</v>
      </c>
      <c r="C295">
        <v>780</v>
      </c>
      <c r="D295">
        <v>50</v>
      </c>
      <c r="E295" t="s">
        <v>177</v>
      </c>
    </row>
    <row r="296" spans="1:5">
      <c r="A296">
        <v>10260</v>
      </c>
      <c r="B296" s="80">
        <v>35265</v>
      </c>
      <c r="C296">
        <v>189</v>
      </c>
      <c r="D296">
        <v>21</v>
      </c>
      <c r="E296" t="s">
        <v>173</v>
      </c>
    </row>
    <row r="297" spans="1:5">
      <c r="A297">
        <v>10260</v>
      </c>
      <c r="B297" s="80">
        <v>35265</v>
      </c>
      <c r="C297">
        <v>443.25</v>
      </c>
      <c r="D297">
        <v>15</v>
      </c>
      <c r="E297" t="s">
        <v>173</v>
      </c>
    </row>
    <row r="298" spans="1:5">
      <c r="A298">
        <v>10260</v>
      </c>
      <c r="B298" s="80">
        <v>35265</v>
      </c>
      <c r="C298">
        <v>92.4</v>
      </c>
      <c r="D298">
        <v>16</v>
      </c>
      <c r="E298" t="s">
        <v>173</v>
      </c>
    </row>
    <row r="299" spans="1:5">
      <c r="A299">
        <v>10260</v>
      </c>
      <c r="B299" s="80">
        <v>35265</v>
      </c>
      <c r="C299">
        <v>92.4</v>
      </c>
      <c r="D299">
        <v>16</v>
      </c>
      <c r="E299" t="s">
        <v>176</v>
      </c>
    </row>
    <row r="300" spans="1:5">
      <c r="A300">
        <v>10260</v>
      </c>
      <c r="B300" s="80">
        <v>35265</v>
      </c>
      <c r="C300">
        <v>780</v>
      </c>
      <c r="D300">
        <v>50</v>
      </c>
      <c r="E300" t="s">
        <v>173</v>
      </c>
    </row>
    <row r="301" spans="1:5">
      <c r="A301">
        <v>10260</v>
      </c>
      <c r="B301" s="80">
        <v>35265</v>
      </c>
      <c r="C301">
        <v>443.25</v>
      </c>
      <c r="D301">
        <v>15</v>
      </c>
      <c r="E301" t="s">
        <v>178</v>
      </c>
    </row>
    <row r="302" spans="1:5">
      <c r="A302">
        <v>10260</v>
      </c>
      <c r="B302" s="80">
        <v>35265</v>
      </c>
      <c r="C302">
        <v>780</v>
      </c>
      <c r="D302">
        <v>50</v>
      </c>
      <c r="E302" t="s">
        <v>178</v>
      </c>
    </row>
    <row r="303" spans="1:5">
      <c r="A303">
        <v>10260</v>
      </c>
      <c r="B303" s="80">
        <v>35265</v>
      </c>
      <c r="C303">
        <v>189</v>
      </c>
      <c r="D303">
        <v>21</v>
      </c>
      <c r="E303" t="s">
        <v>172</v>
      </c>
    </row>
    <row r="304" spans="1:5">
      <c r="A304">
        <v>10260</v>
      </c>
      <c r="B304" s="80">
        <v>35265</v>
      </c>
      <c r="C304">
        <v>92.4</v>
      </c>
      <c r="D304">
        <v>16</v>
      </c>
      <c r="E304" t="s">
        <v>178</v>
      </c>
    </row>
    <row r="305" spans="1:5">
      <c r="A305">
        <v>10260</v>
      </c>
      <c r="B305" s="80">
        <v>35265</v>
      </c>
      <c r="C305">
        <v>189</v>
      </c>
      <c r="D305">
        <v>21</v>
      </c>
      <c r="E305" t="s">
        <v>177</v>
      </c>
    </row>
    <row r="306" spans="1:5">
      <c r="A306">
        <v>10261</v>
      </c>
      <c r="B306" s="80">
        <v>35265</v>
      </c>
      <c r="C306">
        <v>160</v>
      </c>
      <c r="D306">
        <v>20</v>
      </c>
      <c r="E306" t="s">
        <v>178</v>
      </c>
    </row>
    <row r="307" spans="1:5">
      <c r="A307">
        <v>10261</v>
      </c>
      <c r="B307" s="80">
        <v>35265</v>
      </c>
      <c r="C307">
        <v>288</v>
      </c>
      <c r="D307">
        <v>20</v>
      </c>
      <c r="E307" t="s">
        <v>178</v>
      </c>
    </row>
    <row r="308" spans="1:5">
      <c r="A308">
        <v>10261</v>
      </c>
      <c r="B308" s="80">
        <v>35265</v>
      </c>
      <c r="C308">
        <v>288</v>
      </c>
      <c r="D308">
        <v>20</v>
      </c>
      <c r="E308" t="s">
        <v>175</v>
      </c>
    </row>
    <row r="309" spans="1:5">
      <c r="A309">
        <v>10261</v>
      </c>
      <c r="B309" s="80">
        <v>35265</v>
      </c>
      <c r="C309">
        <v>160</v>
      </c>
      <c r="D309">
        <v>20</v>
      </c>
      <c r="E309" t="s">
        <v>175</v>
      </c>
    </row>
    <row r="310" spans="1:5">
      <c r="A310">
        <v>10261</v>
      </c>
      <c r="B310" s="80">
        <v>35265</v>
      </c>
      <c r="C310">
        <v>288</v>
      </c>
      <c r="D310">
        <v>20</v>
      </c>
      <c r="E310" t="s">
        <v>173</v>
      </c>
    </row>
    <row r="311" spans="1:5">
      <c r="A311">
        <v>10261</v>
      </c>
      <c r="B311" s="80">
        <v>35265</v>
      </c>
      <c r="C311">
        <v>160</v>
      </c>
      <c r="D311">
        <v>20</v>
      </c>
      <c r="E311" t="s">
        <v>179</v>
      </c>
    </row>
    <row r="312" spans="1:5">
      <c r="A312">
        <v>10261</v>
      </c>
      <c r="B312" s="80">
        <v>35265</v>
      </c>
      <c r="C312">
        <v>160</v>
      </c>
      <c r="D312">
        <v>20</v>
      </c>
      <c r="E312" t="s">
        <v>173</v>
      </c>
    </row>
    <row r="313" spans="1:5">
      <c r="A313">
        <v>10261</v>
      </c>
      <c r="B313" s="80">
        <v>35265</v>
      </c>
      <c r="C313">
        <v>288</v>
      </c>
      <c r="D313">
        <v>20</v>
      </c>
      <c r="E313" t="s">
        <v>174</v>
      </c>
    </row>
    <row r="314" spans="1:5">
      <c r="A314">
        <v>10261</v>
      </c>
      <c r="B314" s="80">
        <v>35265</v>
      </c>
      <c r="C314">
        <v>160</v>
      </c>
      <c r="D314">
        <v>20</v>
      </c>
      <c r="E314" t="s">
        <v>172</v>
      </c>
    </row>
    <row r="315" spans="1:5">
      <c r="A315">
        <v>10261</v>
      </c>
      <c r="B315" s="80">
        <v>35265</v>
      </c>
      <c r="C315">
        <v>160</v>
      </c>
      <c r="D315">
        <v>20</v>
      </c>
      <c r="E315" t="s">
        <v>174</v>
      </c>
    </row>
    <row r="316" spans="1:5">
      <c r="A316">
        <v>10261</v>
      </c>
      <c r="B316" s="80">
        <v>35265</v>
      </c>
      <c r="C316">
        <v>288</v>
      </c>
      <c r="D316">
        <v>20</v>
      </c>
      <c r="E316" t="s">
        <v>179</v>
      </c>
    </row>
    <row r="317" spans="1:5">
      <c r="A317">
        <v>10261</v>
      </c>
      <c r="B317" s="80">
        <v>35265</v>
      </c>
      <c r="C317">
        <v>288</v>
      </c>
      <c r="D317">
        <v>20</v>
      </c>
      <c r="E317" t="s">
        <v>176</v>
      </c>
    </row>
    <row r="318" spans="1:5">
      <c r="A318">
        <v>10261</v>
      </c>
      <c r="B318" s="80">
        <v>35265</v>
      </c>
      <c r="C318">
        <v>288</v>
      </c>
      <c r="D318">
        <v>20</v>
      </c>
      <c r="E318" t="s">
        <v>177</v>
      </c>
    </row>
    <row r="319" spans="1:5">
      <c r="A319">
        <v>10261</v>
      </c>
      <c r="B319" s="80">
        <v>35265</v>
      </c>
      <c r="C319">
        <v>160</v>
      </c>
      <c r="D319">
        <v>20</v>
      </c>
      <c r="E319" t="s">
        <v>177</v>
      </c>
    </row>
    <row r="320" spans="1:5">
      <c r="A320">
        <v>10261</v>
      </c>
      <c r="B320" s="80">
        <v>35265</v>
      </c>
      <c r="C320">
        <v>288</v>
      </c>
      <c r="D320">
        <v>20</v>
      </c>
      <c r="E320" t="s">
        <v>172</v>
      </c>
    </row>
    <row r="321" spans="1:5">
      <c r="A321">
        <v>10261</v>
      </c>
      <c r="B321" s="80">
        <v>35265</v>
      </c>
      <c r="C321">
        <v>160</v>
      </c>
      <c r="D321">
        <v>20</v>
      </c>
      <c r="E321" t="s">
        <v>176</v>
      </c>
    </row>
    <row r="322" spans="1:5">
      <c r="A322">
        <v>10262</v>
      </c>
      <c r="B322" s="80">
        <v>35268</v>
      </c>
      <c r="C322">
        <v>163.19999939203262</v>
      </c>
      <c r="D322">
        <v>12</v>
      </c>
      <c r="E322" t="s">
        <v>174</v>
      </c>
    </row>
    <row r="323" spans="1:5">
      <c r="A323">
        <v>10262</v>
      </c>
      <c r="B323" s="80">
        <v>35268</v>
      </c>
      <c r="C323">
        <v>163.19999939203262</v>
      </c>
      <c r="D323">
        <v>12</v>
      </c>
      <c r="E323" t="s">
        <v>173</v>
      </c>
    </row>
    <row r="324" spans="1:5">
      <c r="A324">
        <v>10262</v>
      </c>
      <c r="B324" s="80">
        <v>35268</v>
      </c>
      <c r="C324">
        <v>360</v>
      </c>
      <c r="D324">
        <v>15</v>
      </c>
      <c r="E324" t="s">
        <v>173</v>
      </c>
    </row>
    <row r="325" spans="1:5">
      <c r="A325">
        <v>10262</v>
      </c>
      <c r="B325" s="80">
        <v>35268</v>
      </c>
      <c r="C325">
        <v>60.8</v>
      </c>
      <c r="D325">
        <v>2</v>
      </c>
      <c r="E325" t="s">
        <v>173</v>
      </c>
    </row>
    <row r="326" spans="1:5">
      <c r="A326">
        <v>10262</v>
      </c>
      <c r="B326" s="80">
        <v>35268</v>
      </c>
      <c r="C326">
        <v>60.8</v>
      </c>
      <c r="D326">
        <v>2</v>
      </c>
      <c r="E326" t="s">
        <v>179</v>
      </c>
    </row>
    <row r="327" spans="1:5">
      <c r="A327">
        <v>10262</v>
      </c>
      <c r="B327" s="80">
        <v>35268</v>
      </c>
      <c r="C327">
        <v>360</v>
      </c>
      <c r="D327">
        <v>15</v>
      </c>
      <c r="E327" t="s">
        <v>179</v>
      </c>
    </row>
    <row r="328" spans="1:5">
      <c r="A328">
        <v>10262</v>
      </c>
      <c r="B328" s="80">
        <v>35268</v>
      </c>
      <c r="C328">
        <v>163.19999939203262</v>
      </c>
      <c r="D328">
        <v>12</v>
      </c>
      <c r="E328" t="s">
        <v>179</v>
      </c>
    </row>
    <row r="329" spans="1:5">
      <c r="A329">
        <v>10262</v>
      </c>
      <c r="B329" s="80">
        <v>35268</v>
      </c>
      <c r="C329">
        <v>360</v>
      </c>
      <c r="D329">
        <v>15</v>
      </c>
      <c r="E329" t="s">
        <v>178</v>
      </c>
    </row>
    <row r="330" spans="1:5">
      <c r="A330">
        <v>10262</v>
      </c>
      <c r="B330" s="80">
        <v>35268</v>
      </c>
      <c r="C330">
        <v>163.19999939203262</v>
      </c>
      <c r="D330">
        <v>12</v>
      </c>
      <c r="E330" t="s">
        <v>175</v>
      </c>
    </row>
    <row r="331" spans="1:5">
      <c r="A331">
        <v>10262</v>
      </c>
      <c r="B331" s="80">
        <v>35268</v>
      </c>
      <c r="C331">
        <v>360</v>
      </c>
      <c r="D331">
        <v>15</v>
      </c>
      <c r="E331" t="s">
        <v>174</v>
      </c>
    </row>
    <row r="332" spans="1:5">
      <c r="A332">
        <v>10262</v>
      </c>
      <c r="B332" s="80">
        <v>35268</v>
      </c>
      <c r="C332">
        <v>60.8</v>
      </c>
      <c r="D332">
        <v>2</v>
      </c>
      <c r="E332" t="s">
        <v>178</v>
      </c>
    </row>
    <row r="333" spans="1:5">
      <c r="A333">
        <v>10262</v>
      </c>
      <c r="B333" s="80">
        <v>35268</v>
      </c>
      <c r="C333">
        <v>60.8</v>
      </c>
      <c r="D333">
        <v>2</v>
      </c>
      <c r="E333" t="s">
        <v>177</v>
      </c>
    </row>
    <row r="334" spans="1:5">
      <c r="A334">
        <v>10262</v>
      </c>
      <c r="B334" s="80">
        <v>35268</v>
      </c>
      <c r="C334">
        <v>163.19999939203262</v>
      </c>
      <c r="D334">
        <v>12</v>
      </c>
      <c r="E334" t="s">
        <v>177</v>
      </c>
    </row>
    <row r="335" spans="1:5">
      <c r="A335">
        <v>10262</v>
      </c>
      <c r="B335" s="80">
        <v>35268</v>
      </c>
      <c r="C335">
        <v>163.19999939203262</v>
      </c>
      <c r="D335">
        <v>12</v>
      </c>
      <c r="E335" t="s">
        <v>172</v>
      </c>
    </row>
    <row r="336" spans="1:5">
      <c r="A336">
        <v>10262</v>
      </c>
      <c r="B336" s="80">
        <v>35268</v>
      </c>
      <c r="C336">
        <v>360</v>
      </c>
      <c r="D336">
        <v>15</v>
      </c>
      <c r="E336" t="s">
        <v>172</v>
      </c>
    </row>
    <row r="337" spans="1:5">
      <c r="A337">
        <v>10262</v>
      </c>
      <c r="B337" s="80">
        <v>35268</v>
      </c>
      <c r="C337">
        <v>60.8</v>
      </c>
      <c r="D337">
        <v>2</v>
      </c>
      <c r="E337" t="s">
        <v>172</v>
      </c>
    </row>
    <row r="338" spans="1:5">
      <c r="A338">
        <v>10262</v>
      </c>
      <c r="B338" s="80">
        <v>35268</v>
      </c>
      <c r="C338">
        <v>360</v>
      </c>
      <c r="D338">
        <v>15</v>
      </c>
      <c r="E338" t="s">
        <v>177</v>
      </c>
    </row>
    <row r="339" spans="1:5">
      <c r="A339">
        <v>10262</v>
      </c>
      <c r="B339" s="80">
        <v>35268</v>
      </c>
      <c r="C339">
        <v>60.8</v>
      </c>
      <c r="D339">
        <v>2</v>
      </c>
      <c r="E339" t="s">
        <v>174</v>
      </c>
    </row>
    <row r="340" spans="1:5">
      <c r="A340">
        <v>10262</v>
      </c>
      <c r="B340" s="80">
        <v>35268</v>
      </c>
      <c r="C340">
        <v>360</v>
      </c>
      <c r="D340">
        <v>15</v>
      </c>
      <c r="E340" t="s">
        <v>176</v>
      </c>
    </row>
    <row r="341" spans="1:5">
      <c r="A341">
        <v>10262</v>
      </c>
      <c r="B341" s="80">
        <v>35268</v>
      </c>
      <c r="C341">
        <v>60.8</v>
      </c>
      <c r="D341">
        <v>2</v>
      </c>
      <c r="E341" t="s">
        <v>175</v>
      </c>
    </row>
    <row r="342" spans="1:5">
      <c r="A342">
        <v>10262</v>
      </c>
      <c r="B342" s="80">
        <v>35268</v>
      </c>
      <c r="C342">
        <v>360</v>
      </c>
      <c r="D342">
        <v>15</v>
      </c>
      <c r="E342" t="s">
        <v>175</v>
      </c>
    </row>
    <row r="343" spans="1:5">
      <c r="A343">
        <v>10262</v>
      </c>
      <c r="B343" s="80">
        <v>35268</v>
      </c>
      <c r="C343">
        <v>163.19999939203262</v>
      </c>
      <c r="D343">
        <v>12</v>
      </c>
      <c r="E343" t="s">
        <v>176</v>
      </c>
    </row>
    <row r="344" spans="1:5">
      <c r="A344">
        <v>10262</v>
      </c>
      <c r="B344" s="80">
        <v>35268</v>
      </c>
      <c r="C344">
        <v>163.19999939203262</v>
      </c>
      <c r="D344">
        <v>12</v>
      </c>
      <c r="E344" t="s">
        <v>178</v>
      </c>
    </row>
    <row r="345" spans="1:5">
      <c r="A345">
        <v>10262</v>
      </c>
      <c r="B345" s="80">
        <v>35268</v>
      </c>
      <c r="C345">
        <v>60.8</v>
      </c>
      <c r="D345">
        <v>2</v>
      </c>
      <c r="E345" t="s">
        <v>176</v>
      </c>
    </row>
    <row r="346" spans="1:5">
      <c r="A346">
        <v>10263</v>
      </c>
      <c r="B346" s="80">
        <v>35269</v>
      </c>
      <c r="C346">
        <v>625.5</v>
      </c>
      <c r="D346">
        <v>60</v>
      </c>
      <c r="E346" t="s">
        <v>177</v>
      </c>
    </row>
    <row r="347" spans="1:5">
      <c r="A347">
        <v>10263</v>
      </c>
      <c r="B347" s="80">
        <v>35269</v>
      </c>
      <c r="C347">
        <v>100.8</v>
      </c>
      <c r="D347">
        <v>28</v>
      </c>
      <c r="E347" t="s">
        <v>177</v>
      </c>
    </row>
    <row r="348" spans="1:5">
      <c r="A348">
        <v>10263</v>
      </c>
      <c r="B348" s="80">
        <v>35269</v>
      </c>
      <c r="C348">
        <v>931.5</v>
      </c>
      <c r="D348">
        <v>60</v>
      </c>
      <c r="E348" t="s">
        <v>177</v>
      </c>
    </row>
    <row r="349" spans="1:5">
      <c r="A349">
        <v>10263</v>
      </c>
      <c r="B349" s="80">
        <v>35269</v>
      </c>
      <c r="C349">
        <v>216</v>
      </c>
      <c r="D349">
        <v>36</v>
      </c>
      <c r="E349" t="s">
        <v>177</v>
      </c>
    </row>
    <row r="350" spans="1:5">
      <c r="A350">
        <v>10263</v>
      </c>
      <c r="B350" s="80">
        <v>35269</v>
      </c>
      <c r="C350">
        <v>100.8</v>
      </c>
      <c r="D350">
        <v>28</v>
      </c>
      <c r="E350" t="s">
        <v>178</v>
      </c>
    </row>
    <row r="351" spans="1:5">
      <c r="A351">
        <v>10263</v>
      </c>
      <c r="B351" s="80">
        <v>35269</v>
      </c>
      <c r="C351">
        <v>625.5</v>
      </c>
      <c r="D351">
        <v>60</v>
      </c>
      <c r="E351" t="s">
        <v>178</v>
      </c>
    </row>
    <row r="352" spans="1:5">
      <c r="A352">
        <v>10263</v>
      </c>
      <c r="B352" s="80">
        <v>35269</v>
      </c>
      <c r="C352">
        <v>625.5</v>
      </c>
      <c r="D352">
        <v>60</v>
      </c>
      <c r="E352" t="s">
        <v>179</v>
      </c>
    </row>
    <row r="353" spans="1:5">
      <c r="A353">
        <v>10263</v>
      </c>
      <c r="B353" s="80">
        <v>35269</v>
      </c>
      <c r="C353">
        <v>100.8</v>
      </c>
      <c r="D353">
        <v>28</v>
      </c>
      <c r="E353" t="s">
        <v>174</v>
      </c>
    </row>
    <row r="354" spans="1:5">
      <c r="A354">
        <v>10263</v>
      </c>
      <c r="B354" s="80">
        <v>35269</v>
      </c>
      <c r="C354">
        <v>100.8</v>
      </c>
      <c r="D354">
        <v>28</v>
      </c>
      <c r="E354" t="s">
        <v>179</v>
      </c>
    </row>
    <row r="355" spans="1:5">
      <c r="A355">
        <v>10263</v>
      </c>
      <c r="B355" s="80">
        <v>35269</v>
      </c>
      <c r="C355">
        <v>931.5</v>
      </c>
      <c r="D355">
        <v>60</v>
      </c>
      <c r="E355" t="s">
        <v>174</v>
      </c>
    </row>
    <row r="356" spans="1:5">
      <c r="A356">
        <v>10263</v>
      </c>
      <c r="B356" s="80">
        <v>35269</v>
      </c>
      <c r="C356">
        <v>216</v>
      </c>
      <c r="D356">
        <v>36</v>
      </c>
      <c r="E356" t="s">
        <v>174</v>
      </c>
    </row>
    <row r="357" spans="1:5">
      <c r="A357">
        <v>10263</v>
      </c>
      <c r="B357" s="80">
        <v>35269</v>
      </c>
      <c r="C357">
        <v>625.5</v>
      </c>
      <c r="D357">
        <v>60</v>
      </c>
      <c r="E357" t="s">
        <v>173</v>
      </c>
    </row>
    <row r="358" spans="1:5">
      <c r="A358">
        <v>10263</v>
      </c>
      <c r="B358" s="80">
        <v>35269</v>
      </c>
      <c r="C358">
        <v>100.8</v>
      </c>
      <c r="D358">
        <v>28</v>
      </c>
      <c r="E358" t="s">
        <v>173</v>
      </c>
    </row>
    <row r="359" spans="1:5">
      <c r="A359">
        <v>10263</v>
      </c>
      <c r="B359" s="80">
        <v>35269</v>
      </c>
      <c r="C359">
        <v>931.5</v>
      </c>
      <c r="D359">
        <v>60</v>
      </c>
      <c r="E359" t="s">
        <v>173</v>
      </c>
    </row>
    <row r="360" spans="1:5">
      <c r="A360">
        <v>10263</v>
      </c>
      <c r="B360" s="80">
        <v>35269</v>
      </c>
      <c r="C360">
        <v>216</v>
      </c>
      <c r="D360">
        <v>36</v>
      </c>
      <c r="E360" t="s">
        <v>173</v>
      </c>
    </row>
    <row r="361" spans="1:5">
      <c r="A361">
        <v>10263</v>
      </c>
      <c r="B361" s="80">
        <v>35269</v>
      </c>
      <c r="C361">
        <v>625.5</v>
      </c>
      <c r="D361">
        <v>60</v>
      </c>
      <c r="E361" t="s">
        <v>174</v>
      </c>
    </row>
    <row r="362" spans="1:5">
      <c r="A362">
        <v>10263</v>
      </c>
      <c r="B362" s="80">
        <v>35269</v>
      </c>
      <c r="C362">
        <v>625.5</v>
      </c>
      <c r="D362">
        <v>60</v>
      </c>
      <c r="E362" t="s">
        <v>172</v>
      </c>
    </row>
    <row r="363" spans="1:5">
      <c r="A363">
        <v>10263</v>
      </c>
      <c r="B363" s="80">
        <v>35269</v>
      </c>
      <c r="C363">
        <v>625.5</v>
      </c>
      <c r="D363">
        <v>60</v>
      </c>
      <c r="E363" t="s">
        <v>175</v>
      </c>
    </row>
    <row r="364" spans="1:5">
      <c r="A364">
        <v>10263</v>
      </c>
      <c r="B364" s="80">
        <v>35269</v>
      </c>
      <c r="C364">
        <v>100.8</v>
      </c>
      <c r="D364">
        <v>28</v>
      </c>
      <c r="E364" t="s">
        <v>175</v>
      </c>
    </row>
    <row r="365" spans="1:5">
      <c r="A365">
        <v>10263</v>
      </c>
      <c r="B365" s="80">
        <v>35269</v>
      </c>
      <c r="C365">
        <v>931.5</v>
      </c>
      <c r="D365">
        <v>60</v>
      </c>
      <c r="E365" t="s">
        <v>175</v>
      </c>
    </row>
    <row r="366" spans="1:5">
      <c r="A366">
        <v>10263</v>
      </c>
      <c r="B366" s="80">
        <v>35269</v>
      </c>
      <c r="C366">
        <v>216</v>
      </c>
      <c r="D366">
        <v>36</v>
      </c>
      <c r="E366" t="s">
        <v>172</v>
      </c>
    </row>
    <row r="367" spans="1:5">
      <c r="A367">
        <v>10263</v>
      </c>
      <c r="B367" s="80">
        <v>35269</v>
      </c>
      <c r="C367">
        <v>216</v>
      </c>
      <c r="D367">
        <v>36</v>
      </c>
      <c r="E367" t="s">
        <v>175</v>
      </c>
    </row>
    <row r="368" spans="1:5">
      <c r="A368">
        <v>10263</v>
      </c>
      <c r="B368" s="80">
        <v>35269</v>
      </c>
      <c r="C368">
        <v>100.8</v>
      </c>
      <c r="D368">
        <v>28</v>
      </c>
      <c r="E368" t="s">
        <v>172</v>
      </c>
    </row>
    <row r="369" spans="1:5">
      <c r="A369">
        <v>10263</v>
      </c>
      <c r="B369" s="80">
        <v>35269</v>
      </c>
      <c r="C369">
        <v>216</v>
      </c>
      <c r="D369">
        <v>36</v>
      </c>
      <c r="E369" t="s">
        <v>178</v>
      </c>
    </row>
    <row r="370" spans="1:5">
      <c r="A370">
        <v>10263</v>
      </c>
      <c r="B370" s="80">
        <v>35269</v>
      </c>
      <c r="C370">
        <v>931.5</v>
      </c>
      <c r="D370">
        <v>60</v>
      </c>
      <c r="E370" t="s">
        <v>178</v>
      </c>
    </row>
    <row r="371" spans="1:5">
      <c r="A371">
        <v>10263</v>
      </c>
      <c r="B371" s="80">
        <v>35269</v>
      </c>
      <c r="C371">
        <v>625.5</v>
      </c>
      <c r="D371">
        <v>60</v>
      </c>
      <c r="E371" t="s">
        <v>176</v>
      </c>
    </row>
    <row r="372" spans="1:5">
      <c r="A372">
        <v>10263</v>
      </c>
      <c r="B372" s="80">
        <v>35269</v>
      </c>
      <c r="C372">
        <v>100.8</v>
      </c>
      <c r="D372">
        <v>28</v>
      </c>
      <c r="E372" t="s">
        <v>176</v>
      </c>
    </row>
    <row r="373" spans="1:5">
      <c r="A373">
        <v>10263</v>
      </c>
      <c r="B373" s="80">
        <v>35269</v>
      </c>
      <c r="C373">
        <v>931.5</v>
      </c>
      <c r="D373">
        <v>60</v>
      </c>
      <c r="E373" t="s">
        <v>176</v>
      </c>
    </row>
    <row r="374" spans="1:5">
      <c r="A374">
        <v>10263</v>
      </c>
      <c r="B374" s="80">
        <v>35269</v>
      </c>
      <c r="C374">
        <v>216</v>
      </c>
      <c r="D374">
        <v>36</v>
      </c>
      <c r="E374" t="s">
        <v>176</v>
      </c>
    </row>
    <row r="375" spans="1:5">
      <c r="A375">
        <v>10263</v>
      </c>
      <c r="B375" s="80">
        <v>35269</v>
      </c>
      <c r="C375">
        <v>216</v>
      </c>
      <c r="D375">
        <v>36</v>
      </c>
      <c r="E375" t="s">
        <v>179</v>
      </c>
    </row>
    <row r="376" spans="1:5">
      <c r="A376">
        <v>10263</v>
      </c>
      <c r="B376" s="80">
        <v>35269</v>
      </c>
      <c r="C376">
        <v>931.5</v>
      </c>
      <c r="D376">
        <v>60</v>
      </c>
      <c r="E376" t="s">
        <v>179</v>
      </c>
    </row>
    <row r="377" spans="1:5">
      <c r="A377">
        <v>10263</v>
      </c>
      <c r="B377" s="80">
        <v>35269</v>
      </c>
      <c r="C377">
        <v>931.5</v>
      </c>
      <c r="D377">
        <v>60</v>
      </c>
      <c r="E377" t="s">
        <v>172</v>
      </c>
    </row>
    <row r="378" spans="1:5">
      <c r="A378">
        <v>10264</v>
      </c>
      <c r="B378" s="80">
        <v>35270</v>
      </c>
      <c r="C378">
        <v>532</v>
      </c>
      <c r="D378">
        <v>35</v>
      </c>
      <c r="E378" t="s">
        <v>177</v>
      </c>
    </row>
    <row r="379" spans="1:5">
      <c r="A379">
        <v>10264</v>
      </c>
      <c r="B379" s="80">
        <v>35270</v>
      </c>
      <c r="C379">
        <v>532</v>
      </c>
      <c r="D379">
        <v>35</v>
      </c>
      <c r="E379" t="s">
        <v>173</v>
      </c>
    </row>
    <row r="380" spans="1:5">
      <c r="A380">
        <v>10264</v>
      </c>
      <c r="B380" s="80">
        <v>35270</v>
      </c>
      <c r="C380">
        <v>532</v>
      </c>
      <c r="D380">
        <v>35</v>
      </c>
      <c r="E380" t="s">
        <v>174</v>
      </c>
    </row>
    <row r="381" spans="1:5">
      <c r="A381">
        <v>10264</v>
      </c>
      <c r="B381" s="80">
        <v>35270</v>
      </c>
      <c r="C381">
        <v>163.62499885261059</v>
      </c>
      <c r="D381">
        <v>25</v>
      </c>
      <c r="E381" t="s">
        <v>174</v>
      </c>
    </row>
    <row r="382" spans="1:5">
      <c r="A382">
        <v>10264</v>
      </c>
      <c r="B382" s="80">
        <v>35270</v>
      </c>
      <c r="C382">
        <v>163.62499885261059</v>
      </c>
      <c r="D382">
        <v>25</v>
      </c>
      <c r="E382" t="s">
        <v>177</v>
      </c>
    </row>
    <row r="383" spans="1:5">
      <c r="A383">
        <v>10264</v>
      </c>
      <c r="B383" s="80">
        <v>35270</v>
      </c>
      <c r="C383">
        <v>532</v>
      </c>
      <c r="D383">
        <v>35</v>
      </c>
      <c r="E383" t="s">
        <v>172</v>
      </c>
    </row>
    <row r="384" spans="1:5">
      <c r="A384">
        <v>10264</v>
      </c>
      <c r="B384" s="80">
        <v>35270</v>
      </c>
      <c r="C384">
        <v>163.62499885261059</v>
      </c>
      <c r="D384">
        <v>25</v>
      </c>
      <c r="E384" t="s">
        <v>172</v>
      </c>
    </row>
    <row r="385" spans="1:5">
      <c r="A385">
        <v>10264</v>
      </c>
      <c r="B385" s="80">
        <v>35270</v>
      </c>
      <c r="C385">
        <v>532</v>
      </c>
      <c r="D385">
        <v>35</v>
      </c>
      <c r="E385" t="s">
        <v>176</v>
      </c>
    </row>
    <row r="386" spans="1:5">
      <c r="A386">
        <v>10264</v>
      </c>
      <c r="B386" s="80">
        <v>35270</v>
      </c>
      <c r="C386">
        <v>532</v>
      </c>
      <c r="D386">
        <v>35</v>
      </c>
      <c r="E386" t="s">
        <v>178</v>
      </c>
    </row>
    <row r="387" spans="1:5">
      <c r="A387">
        <v>10264</v>
      </c>
      <c r="B387" s="80">
        <v>35270</v>
      </c>
      <c r="C387">
        <v>163.62499885261059</v>
      </c>
      <c r="D387">
        <v>25</v>
      </c>
      <c r="E387" t="s">
        <v>175</v>
      </c>
    </row>
    <row r="388" spans="1:5">
      <c r="A388">
        <v>10264</v>
      </c>
      <c r="B388" s="80">
        <v>35270</v>
      </c>
      <c r="C388">
        <v>163.62499885261059</v>
      </c>
      <c r="D388">
        <v>25</v>
      </c>
      <c r="E388" t="s">
        <v>173</v>
      </c>
    </row>
    <row r="389" spans="1:5">
      <c r="A389">
        <v>10264</v>
      </c>
      <c r="B389" s="80">
        <v>35270</v>
      </c>
      <c r="C389">
        <v>532</v>
      </c>
      <c r="D389">
        <v>35</v>
      </c>
      <c r="E389" t="s">
        <v>175</v>
      </c>
    </row>
    <row r="390" spans="1:5">
      <c r="A390">
        <v>10264</v>
      </c>
      <c r="B390" s="80">
        <v>35270</v>
      </c>
      <c r="C390">
        <v>532</v>
      </c>
      <c r="D390">
        <v>35</v>
      </c>
      <c r="E390" t="s">
        <v>179</v>
      </c>
    </row>
    <row r="391" spans="1:5">
      <c r="A391">
        <v>10264</v>
      </c>
      <c r="B391" s="80">
        <v>35270</v>
      </c>
      <c r="C391">
        <v>163.62499885261059</v>
      </c>
      <c r="D391">
        <v>25</v>
      </c>
      <c r="E391" t="s">
        <v>179</v>
      </c>
    </row>
    <row r="392" spans="1:5">
      <c r="A392">
        <v>10264</v>
      </c>
      <c r="B392" s="80">
        <v>35270</v>
      </c>
      <c r="C392">
        <v>163.62499885261059</v>
      </c>
      <c r="D392">
        <v>25</v>
      </c>
      <c r="E392" t="s">
        <v>178</v>
      </c>
    </row>
    <row r="393" spans="1:5">
      <c r="A393">
        <v>10264</v>
      </c>
      <c r="B393" s="80">
        <v>35270</v>
      </c>
      <c r="C393">
        <v>163.62499885261059</v>
      </c>
      <c r="D393">
        <v>25</v>
      </c>
      <c r="E393" t="s">
        <v>176</v>
      </c>
    </row>
    <row r="394" spans="1:5">
      <c r="A394">
        <v>10265</v>
      </c>
      <c r="B394" s="80">
        <v>35271</v>
      </c>
      <c r="C394">
        <v>936</v>
      </c>
      <c r="D394">
        <v>30</v>
      </c>
      <c r="E394" t="s">
        <v>176</v>
      </c>
    </row>
    <row r="395" spans="1:5">
      <c r="A395">
        <v>10265</v>
      </c>
      <c r="B395" s="80">
        <v>35271</v>
      </c>
      <c r="C395">
        <v>936</v>
      </c>
      <c r="D395">
        <v>30</v>
      </c>
      <c r="E395" t="s">
        <v>173</v>
      </c>
    </row>
    <row r="396" spans="1:5">
      <c r="A396">
        <v>10265</v>
      </c>
      <c r="B396" s="80">
        <v>35271</v>
      </c>
      <c r="C396">
        <v>936</v>
      </c>
      <c r="D396">
        <v>30</v>
      </c>
      <c r="E396" t="s">
        <v>175</v>
      </c>
    </row>
    <row r="397" spans="1:5">
      <c r="A397">
        <v>10265</v>
      </c>
      <c r="B397" s="80">
        <v>35271</v>
      </c>
      <c r="C397">
        <v>936</v>
      </c>
      <c r="D397">
        <v>30</v>
      </c>
      <c r="E397" t="s">
        <v>179</v>
      </c>
    </row>
    <row r="398" spans="1:5">
      <c r="A398">
        <v>10265</v>
      </c>
      <c r="B398" s="80">
        <v>35271</v>
      </c>
      <c r="C398">
        <v>240</v>
      </c>
      <c r="D398">
        <v>20</v>
      </c>
      <c r="E398" t="s">
        <v>179</v>
      </c>
    </row>
    <row r="399" spans="1:5">
      <c r="A399">
        <v>10265</v>
      </c>
      <c r="B399" s="80">
        <v>35271</v>
      </c>
      <c r="C399">
        <v>240</v>
      </c>
      <c r="D399">
        <v>20</v>
      </c>
      <c r="E399" t="s">
        <v>174</v>
      </c>
    </row>
    <row r="400" spans="1:5">
      <c r="A400">
        <v>10265</v>
      </c>
      <c r="B400" s="80">
        <v>35271</v>
      </c>
      <c r="C400">
        <v>240</v>
      </c>
      <c r="D400">
        <v>20</v>
      </c>
      <c r="E400" t="s">
        <v>176</v>
      </c>
    </row>
    <row r="401" spans="1:5">
      <c r="A401">
        <v>10265</v>
      </c>
      <c r="B401" s="80">
        <v>35271</v>
      </c>
      <c r="C401">
        <v>936</v>
      </c>
      <c r="D401">
        <v>30</v>
      </c>
      <c r="E401" t="s">
        <v>178</v>
      </c>
    </row>
    <row r="402" spans="1:5">
      <c r="A402">
        <v>10265</v>
      </c>
      <c r="B402" s="80">
        <v>35271</v>
      </c>
      <c r="C402">
        <v>240</v>
      </c>
      <c r="D402">
        <v>20</v>
      </c>
      <c r="E402" t="s">
        <v>178</v>
      </c>
    </row>
    <row r="403" spans="1:5">
      <c r="A403">
        <v>10265</v>
      </c>
      <c r="B403" s="80">
        <v>35271</v>
      </c>
      <c r="C403">
        <v>240</v>
      </c>
      <c r="D403">
        <v>20</v>
      </c>
      <c r="E403" t="s">
        <v>175</v>
      </c>
    </row>
    <row r="404" spans="1:5">
      <c r="A404">
        <v>10265</v>
      </c>
      <c r="B404" s="80">
        <v>35271</v>
      </c>
      <c r="C404">
        <v>936</v>
      </c>
      <c r="D404">
        <v>30</v>
      </c>
      <c r="E404" t="s">
        <v>177</v>
      </c>
    </row>
    <row r="405" spans="1:5">
      <c r="A405">
        <v>10265</v>
      </c>
      <c r="B405" s="80">
        <v>35271</v>
      </c>
      <c r="C405">
        <v>936</v>
      </c>
      <c r="D405">
        <v>30</v>
      </c>
      <c r="E405" t="s">
        <v>172</v>
      </c>
    </row>
    <row r="406" spans="1:5">
      <c r="A406">
        <v>10265</v>
      </c>
      <c r="B406" s="80">
        <v>35271</v>
      </c>
      <c r="C406">
        <v>240</v>
      </c>
      <c r="D406">
        <v>20</v>
      </c>
      <c r="E406" t="s">
        <v>172</v>
      </c>
    </row>
    <row r="407" spans="1:5">
      <c r="A407">
        <v>10265</v>
      </c>
      <c r="B407" s="80">
        <v>35271</v>
      </c>
      <c r="C407">
        <v>240</v>
      </c>
      <c r="D407">
        <v>20</v>
      </c>
      <c r="E407" t="s">
        <v>173</v>
      </c>
    </row>
    <row r="408" spans="1:5">
      <c r="A408">
        <v>10265</v>
      </c>
      <c r="B408" s="80">
        <v>35271</v>
      </c>
      <c r="C408">
        <v>240</v>
      </c>
      <c r="D408">
        <v>20</v>
      </c>
      <c r="E408" t="s">
        <v>177</v>
      </c>
    </row>
    <row r="409" spans="1:5">
      <c r="A409">
        <v>10265</v>
      </c>
      <c r="B409" s="80">
        <v>35271</v>
      </c>
      <c r="C409">
        <v>936</v>
      </c>
      <c r="D409">
        <v>30</v>
      </c>
      <c r="E409" t="s">
        <v>174</v>
      </c>
    </row>
    <row r="410" spans="1:5">
      <c r="A410">
        <v>10266</v>
      </c>
      <c r="B410" s="80">
        <v>35272</v>
      </c>
      <c r="C410">
        <v>346.55999972820285</v>
      </c>
      <c r="D410">
        <v>12</v>
      </c>
      <c r="E410" t="s">
        <v>179</v>
      </c>
    </row>
    <row r="411" spans="1:5">
      <c r="A411">
        <v>10266</v>
      </c>
      <c r="B411" s="80">
        <v>35272</v>
      </c>
      <c r="C411">
        <v>346.55999972820285</v>
      </c>
      <c r="D411">
        <v>12</v>
      </c>
      <c r="E411" t="s">
        <v>178</v>
      </c>
    </row>
    <row r="412" spans="1:5">
      <c r="A412">
        <v>10266</v>
      </c>
      <c r="B412" s="80">
        <v>35272</v>
      </c>
      <c r="C412">
        <v>346.55999972820285</v>
      </c>
      <c r="D412">
        <v>12</v>
      </c>
      <c r="E412" t="s">
        <v>172</v>
      </c>
    </row>
    <row r="413" spans="1:5">
      <c r="A413">
        <v>10266</v>
      </c>
      <c r="B413" s="80">
        <v>35272</v>
      </c>
      <c r="C413">
        <v>346.55999972820285</v>
      </c>
      <c r="D413">
        <v>12</v>
      </c>
      <c r="E413" t="s">
        <v>174</v>
      </c>
    </row>
    <row r="414" spans="1:5">
      <c r="A414">
        <v>10266</v>
      </c>
      <c r="B414" s="80">
        <v>35272</v>
      </c>
      <c r="C414">
        <v>346.55999972820285</v>
      </c>
      <c r="D414">
        <v>12</v>
      </c>
      <c r="E414" t="s">
        <v>173</v>
      </c>
    </row>
    <row r="415" spans="1:5">
      <c r="A415">
        <v>10266</v>
      </c>
      <c r="B415" s="80">
        <v>35272</v>
      </c>
      <c r="C415">
        <v>346.55999972820285</v>
      </c>
      <c r="D415">
        <v>12</v>
      </c>
      <c r="E415" t="s">
        <v>177</v>
      </c>
    </row>
    <row r="416" spans="1:5">
      <c r="A416">
        <v>10266</v>
      </c>
      <c r="B416" s="80">
        <v>35272</v>
      </c>
      <c r="C416">
        <v>346.55999972820285</v>
      </c>
      <c r="D416">
        <v>12</v>
      </c>
      <c r="E416" t="s">
        <v>175</v>
      </c>
    </row>
    <row r="417" spans="1:5">
      <c r="A417">
        <v>10266</v>
      </c>
      <c r="B417" s="80">
        <v>35272</v>
      </c>
      <c r="C417">
        <v>346.55999972820285</v>
      </c>
      <c r="D417">
        <v>12</v>
      </c>
      <c r="E417" t="s">
        <v>176</v>
      </c>
    </row>
    <row r="418" spans="1:5">
      <c r="A418">
        <v>10267</v>
      </c>
      <c r="B418" s="80">
        <v>35275</v>
      </c>
      <c r="C418">
        <v>183.59999871253967</v>
      </c>
      <c r="D418">
        <v>15</v>
      </c>
      <c r="E418" t="s">
        <v>177</v>
      </c>
    </row>
    <row r="419" spans="1:5">
      <c r="A419">
        <v>10267</v>
      </c>
      <c r="B419" s="80">
        <v>35275</v>
      </c>
      <c r="C419">
        <v>2617.9999816417694</v>
      </c>
      <c r="D419">
        <v>70</v>
      </c>
      <c r="E419" t="s">
        <v>177</v>
      </c>
    </row>
    <row r="420" spans="1:5">
      <c r="A420">
        <v>10267</v>
      </c>
      <c r="B420" s="80">
        <v>35275</v>
      </c>
      <c r="C420">
        <v>735</v>
      </c>
      <c r="D420">
        <v>50</v>
      </c>
      <c r="E420" t="s">
        <v>177</v>
      </c>
    </row>
    <row r="421" spans="1:5">
      <c r="A421">
        <v>10267</v>
      </c>
      <c r="B421" s="80">
        <v>35275</v>
      </c>
      <c r="C421">
        <v>183.59999871253967</v>
      </c>
      <c r="D421">
        <v>15</v>
      </c>
      <c r="E421" t="s">
        <v>173</v>
      </c>
    </row>
    <row r="422" spans="1:5">
      <c r="A422">
        <v>10267</v>
      </c>
      <c r="B422" s="80">
        <v>35275</v>
      </c>
      <c r="C422">
        <v>735</v>
      </c>
      <c r="D422">
        <v>50</v>
      </c>
      <c r="E422" t="s">
        <v>174</v>
      </c>
    </row>
    <row r="423" spans="1:5">
      <c r="A423">
        <v>10267</v>
      </c>
      <c r="B423" s="80">
        <v>35275</v>
      </c>
      <c r="C423">
        <v>183.59999871253967</v>
      </c>
      <c r="D423">
        <v>15</v>
      </c>
      <c r="E423" t="s">
        <v>175</v>
      </c>
    </row>
    <row r="424" spans="1:5">
      <c r="A424">
        <v>10267</v>
      </c>
      <c r="B424" s="80">
        <v>35275</v>
      </c>
      <c r="C424">
        <v>735</v>
      </c>
      <c r="D424">
        <v>50</v>
      </c>
      <c r="E424" t="s">
        <v>175</v>
      </c>
    </row>
    <row r="425" spans="1:5">
      <c r="A425">
        <v>10267</v>
      </c>
      <c r="B425" s="80">
        <v>35275</v>
      </c>
      <c r="C425">
        <v>735</v>
      </c>
      <c r="D425">
        <v>50</v>
      </c>
      <c r="E425" t="s">
        <v>178</v>
      </c>
    </row>
    <row r="426" spans="1:5">
      <c r="A426">
        <v>10267</v>
      </c>
      <c r="B426" s="80">
        <v>35275</v>
      </c>
      <c r="C426">
        <v>2617.9999816417694</v>
      </c>
      <c r="D426">
        <v>70</v>
      </c>
      <c r="E426" t="s">
        <v>178</v>
      </c>
    </row>
    <row r="427" spans="1:5">
      <c r="A427">
        <v>10267</v>
      </c>
      <c r="B427" s="80">
        <v>35275</v>
      </c>
      <c r="C427">
        <v>2617.9999816417694</v>
      </c>
      <c r="D427">
        <v>70</v>
      </c>
      <c r="E427" t="s">
        <v>173</v>
      </c>
    </row>
    <row r="428" spans="1:5">
      <c r="A428">
        <v>10267</v>
      </c>
      <c r="B428" s="80">
        <v>35275</v>
      </c>
      <c r="C428">
        <v>735</v>
      </c>
      <c r="D428">
        <v>50</v>
      </c>
      <c r="E428" t="s">
        <v>173</v>
      </c>
    </row>
    <row r="429" spans="1:5">
      <c r="A429">
        <v>10267</v>
      </c>
      <c r="B429" s="80">
        <v>35275</v>
      </c>
      <c r="C429">
        <v>2617.9999816417694</v>
      </c>
      <c r="D429">
        <v>70</v>
      </c>
      <c r="E429" t="s">
        <v>175</v>
      </c>
    </row>
    <row r="430" spans="1:5">
      <c r="A430">
        <v>10267</v>
      </c>
      <c r="B430" s="80">
        <v>35275</v>
      </c>
      <c r="C430">
        <v>183.59999871253967</v>
      </c>
      <c r="D430">
        <v>15</v>
      </c>
      <c r="E430" t="s">
        <v>178</v>
      </c>
    </row>
    <row r="431" spans="1:5">
      <c r="A431">
        <v>10267</v>
      </c>
      <c r="B431" s="80">
        <v>35275</v>
      </c>
      <c r="C431">
        <v>2617.9999816417694</v>
      </c>
      <c r="D431">
        <v>70</v>
      </c>
      <c r="E431" t="s">
        <v>174</v>
      </c>
    </row>
    <row r="432" spans="1:5">
      <c r="A432">
        <v>10267</v>
      </c>
      <c r="B432" s="80">
        <v>35275</v>
      </c>
      <c r="C432">
        <v>183.59999871253967</v>
      </c>
      <c r="D432">
        <v>15</v>
      </c>
      <c r="E432" t="s">
        <v>176</v>
      </c>
    </row>
    <row r="433" spans="1:5">
      <c r="A433">
        <v>10267</v>
      </c>
      <c r="B433" s="80">
        <v>35275</v>
      </c>
      <c r="C433">
        <v>183.59999871253967</v>
      </c>
      <c r="D433">
        <v>15</v>
      </c>
      <c r="E433" t="s">
        <v>179</v>
      </c>
    </row>
    <row r="434" spans="1:5">
      <c r="A434">
        <v>10267</v>
      </c>
      <c r="B434" s="80">
        <v>35275</v>
      </c>
      <c r="C434">
        <v>2617.9999816417694</v>
      </c>
      <c r="D434">
        <v>70</v>
      </c>
      <c r="E434" t="s">
        <v>179</v>
      </c>
    </row>
    <row r="435" spans="1:5">
      <c r="A435">
        <v>10267</v>
      </c>
      <c r="B435" s="80">
        <v>35275</v>
      </c>
      <c r="C435">
        <v>735</v>
      </c>
      <c r="D435">
        <v>50</v>
      </c>
      <c r="E435" t="s">
        <v>179</v>
      </c>
    </row>
    <row r="436" spans="1:5">
      <c r="A436">
        <v>10267</v>
      </c>
      <c r="B436" s="80">
        <v>35275</v>
      </c>
      <c r="C436">
        <v>183.59999871253967</v>
      </c>
      <c r="D436">
        <v>15</v>
      </c>
      <c r="E436" t="s">
        <v>174</v>
      </c>
    </row>
    <row r="437" spans="1:5">
      <c r="A437">
        <v>10267</v>
      </c>
      <c r="B437" s="80">
        <v>35275</v>
      </c>
      <c r="C437">
        <v>2617.9999816417694</v>
      </c>
      <c r="D437">
        <v>70</v>
      </c>
      <c r="E437" t="s">
        <v>176</v>
      </c>
    </row>
    <row r="438" spans="1:5">
      <c r="A438">
        <v>10267</v>
      </c>
      <c r="B438" s="80">
        <v>35275</v>
      </c>
      <c r="C438">
        <v>183.59999871253967</v>
      </c>
      <c r="D438">
        <v>15</v>
      </c>
      <c r="E438" t="s">
        <v>172</v>
      </c>
    </row>
    <row r="439" spans="1:5">
      <c r="A439">
        <v>10267</v>
      </c>
      <c r="B439" s="80">
        <v>35275</v>
      </c>
      <c r="C439">
        <v>735</v>
      </c>
      <c r="D439">
        <v>50</v>
      </c>
      <c r="E439" t="s">
        <v>172</v>
      </c>
    </row>
    <row r="440" spans="1:5">
      <c r="A440">
        <v>10267</v>
      </c>
      <c r="B440" s="80">
        <v>35275</v>
      </c>
      <c r="C440">
        <v>2617.9999816417694</v>
      </c>
      <c r="D440">
        <v>70</v>
      </c>
      <c r="E440" t="s">
        <v>172</v>
      </c>
    </row>
    <row r="441" spans="1:5">
      <c r="A441">
        <v>10267</v>
      </c>
      <c r="B441" s="80">
        <v>35275</v>
      </c>
      <c r="C441">
        <v>735</v>
      </c>
      <c r="D441">
        <v>50</v>
      </c>
      <c r="E441" t="s">
        <v>176</v>
      </c>
    </row>
    <row r="442" spans="1:5">
      <c r="A442">
        <v>10268</v>
      </c>
      <c r="B442" s="80">
        <v>35276</v>
      </c>
      <c r="C442">
        <v>990</v>
      </c>
      <c r="D442">
        <v>10</v>
      </c>
      <c r="E442" t="s">
        <v>172</v>
      </c>
    </row>
    <row r="443" spans="1:5">
      <c r="A443">
        <v>10268</v>
      </c>
      <c r="B443" s="80">
        <v>35276</v>
      </c>
      <c r="C443">
        <v>111.2</v>
      </c>
      <c r="D443">
        <v>4</v>
      </c>
      <c r="E443" t="s">
        <v>175</v>
      </c>
    </row>
    <row r="444" spans="1:5">
      <c r="A444">
        <v>10268</v>
      </c>
      <c r="B444" s="80">
        <v>35276</v>
      </c>
      <c r="C444">
        <v>990</v>
      </c>
      <c r="D444">
        <v>10</v>
      </c>
      <c r="E444" t="s">
        <v>175</v>
      </c>
    </row>
    <row r="445" spans="1:5">
      <c r="A445">
        <v>10268</v>
      </c>
      <c r="B445" s="80">
        <v>35276</v>
      </c>
      <c r="C445">
        <v>111.2</v>
      </c>
      <c r="D445">
        <v>4</v>
      </c>
      <c r="E445" t="s">
        <v>178</v>
      </c>
    </row>
    <row r="446" spans="1:5">
      <c r="A446">
        <v>10268</v>
      </c>
      <c r="B446" s="80">
        <v>35276</v>
      </c>
      <c r="C446">
        <v>990</v>
      </c>
      <c r="D446">
        <v>10</v>
      </c>
      <c r="E446" t="s">
        <v>178</v>
      </c>
    </row>
    <row r="447" spans="1:5">
      <c r="A447">
        <v>10268</v>
      </c>
      <c r="B447" s="80">
        <v>35276</v>
      </c>
      <c r="C447">
        <v>990</v>
      </c>
      <c r="D447">
        <v>10</v>
      </c>
      <c r="E447" t="s">
        <v>179</v>
      </c>
    </row>
    <row r="448" spans="1:5">
      <c r="A448">
        <v>10268</v>
      </c>
      <c r="B448" s="80">
        <v>35276</v>
      </c>
      <c r="C448">
        <v>111.2</v>
      </c>
      <c r="D448">
        <v>4</v>
      </c>
      <c r="E448" t="s">
        <v>172</v>
      </c>
    </row>
    <row r="449" spans="1:5">
      <c r="A449">
        <v>10268</v>
      </c>
      <c r="B449" s="80">
        <v>35276</v>
      </c>
      <c r="C449">
        <v>990</v>
      </c>
      <c r="D449">
        <v>10</v>
      </c>
      <c r="E449" t="s">
        <v>176</v>
      </c>
    </row>
    <row r="450" spans="1:5">
      <c r="A450">
        <v>10268</v>
      </c>
      <c r="B450" s="80">
        <v>35276</v>
      </c>
      <c r="C450">
        <v>111.2</v>
      </c>
      <c r="D450">
        <v>4</v>
      </c>
      <c r="E450" t="s">
        <v>176</v>
      </c>
    </row>
    <row r="451" spans="1:5">
      <c r="A451">
        <v>10268</v>
      </c>
      <c r="B451" s="80">
        <v>35276</v>
      </c>
      <c r="C451">
        <v>111.2</v>
      </c>
      <c r="D451">
        <v>4</v>
      </c>
      <c r="E451" t="s">
        <v>177</v>
      </c>
    </row>
    <row r="452" spans="1:5">
      <c r="A452">
        <v>10268</v>
      </c>
      <c r="B452" s="80">
        <v>35276</v>
      </c>
      <c r="C452">
        <v>990</v>
      </c>
      <c r="D452">
        <v>10</v>
      </c>
      <c r="E452" t="s">
        <v>177</v>
      </c>
    </row>
    <row r="453" spans="1:5">
      <c r="A453">
        <v>10268</v>
      </c>
      <c r="B453" s="80">
        <v>35276</v>
      </c>
      <c r="C453">
        <v>111.2</v>
      </c>
      <c r="D453">
        <v>4</v>
      </c>
      <c r="E453" t="s">
        <v>174</v>
      </c>
    </row>
    <row r="454" spans="1:5">
      <c r="A454">
        <v>10268</v>
      </c>
      <c r="B454" s="80">
        <v>35276</v>
      </c>
      <c r="C454">
        <v>990</v>
      </c>
      <c r="D454">
        <v>10</v>
      </c>
      <c r="E454" t="s">
        <v>174</v>
      </c>
    </row>
    <row r="455" spans="1:5">
      <c r="A455">
        <v>10268</v>
      </c>
      <c r="B455" s="80">
        <v>35276</v>
      </c>
      <c r="C455">
        <v>111.2</v>
      </c>
      <c r="D455">
        <v>4</v>
      </c>
      <c r="E455" t="s">
        <v>173</v>
      </c>
    </row>
    <row r="456" spans="1:5">
      <c r="A456">
        <v>10268</v>
      </c>
      <c r="B456" s="80">
        <v>35276</v>
      </c>
      <c r="C456">
        <v>111.2</v>
      </c>
      <c r="D456">
        <v>4</v>
      </c>
      <c r="E456" t="s">
        <v>179</v>
      </c>
    </row>
    <row r="457" spans="1:5">
      <c r="A457">
        <v>10268</v>
      </c>
      <c r="B457" s="80">
        <v>35276</v>
      </c>
      <c r="C457">
        <v>990</v>
      </c>
      <c r="D457">
        <v>10</v>
      </c>
      <c r="E457" t="s">
        <v>173</v>
      </c>
    </row>
    <row r="458" spans="1:5">
      <c r="A458">
        <v>10269</v>
      </c>
      <c r="B458" s="80">
        <v>35277</v>
      </c>
      <c r="C458">
        <v>113.99999991059303</v>
      </c>
      <c r="D458">
        <v>60</v>
      </c>
      <c r="E458" t="s">
        <v>177</v>
      </c>
    </row>
    <row r="459" spans="1:5">
      <c r="A459">
        <v>10269</v>
      </c>
      <c r="B459" s="80">
        <v>35277</v>
      </c>
      <c r="C459">
        <v>528.19999958574772</v>
      </c>
      <c r="D459">
        <v>20</v>
      </c>
      <c r="E459" t="s">
        <v>174</v>
      </c>
    </row>
    <row r="460" spans="1:5">
      <c r="A460">
        <v>10269</v>
      </c>
      <c r="B460" s="80">
        <v>35277</v>
      </c>
      <c r="C460">
        <v>528.19999958574772</v>
      </c>
      <c r="D460">
        <v>20</v>
      </c>
      <c r="E460" t="s">
        <v>173</v>
      </c>
    </row>
    <row r="461" spans="1:5">
      <c r="A461">
        <v>10269</v>
      </c>
      <c r="B461" s="80">
        <v>35277</v>
      </c>
      <c r="C461">
        <v>113.99999991059303</v>
      </c>
      <c r="D461">
        <v>60</v>
      </c>
      <c r="E461" t="s">
        <v>173</v>
      </c>
    </row>
    <row r="462" spans="1:5">
      <c r="A462">
        <v>10269</v>
      </c>
      <c r="B462" s="80">
        <v>35277</v>
      </c>
      <c r="C462">
        <v>528.19999958574772</v>
      </c>
      <c r="D462">
        <v>20</v>
      </c>
      <c r="E462" t="s">
        <v>172</v>
      </c>
    </row>
    <row r="463" spans="1:5">
      <c r="A463">
        <v>10269</v>
      </c>
      <c r="B463" s="80">
        <v>35277</v>
      </c>
      <c r="C463">
        <v>113.99999991059303</v>
      </c>
      <c r="D463">
        <v>60</v>
      </c>
      <c r="E463" t="s">
        <v>175</v>
      </c>
    </row>
    <row r="464" spans="1:5">
      <c r="A464">
        <v>10269</v>
      </c>
      <c r="B464" s="80">
        <v>35277</v>
      </c>
      <c r="C464">
        <v>113.99999991059303</v>
      </c>
      <c r="D464">
        <v>60</v>
      </c>
      <c r="E464" t="s">
        <v>174</v>
      </c>
    </row>
    <row r="465" spans="1:5">
      <c r="A465">
        <v>10269</v>
      </c>
      <c r="B465" s="80">
        <v>35277</v>
      </c>
      <c r="C465">
        <v>528.19999958574772</v>
      </c>
      <c r="D465">
        <v>20</v>
      </c>
      <c r="E465" t="s">
        <v>175</v>
      </c>
    </row>
    <row r="466" spans="1:5">
      <c r="A466">
        <v>10269</v>
      </c>
      <c r="B466" s="80">
        <v>35277</v>
      </c>
      <c r="C466">
        <v>528.19999958574772</v>
      </c>
      <c r="D466">
        <v>20</v>
      </c>
      <c r="E466" t="s">
        <v>178</v>
      </c>
    </row>
    <row r="467" spans="1:5">
      <c r="A467">
        <v>10269</v>
      </c>
      <c r="B467" s="80">
        <v>35277</v>
      </c>
      <c r="C467">
        <v>113.99999991059303</v>
      </c>
      <c r="D467">
        <v>60</v>
      </c>
      <c r="E467" t="s">
        <v>178</v>
      </c>
    </row>
    <row r="468" spans="1:5">
      <c r="A468">
        <v>10269</v>
      </c>
      <c r="B468" s="80">
        <v>35277</v>
      </c>
      <c r="C468">
        <v>528.19999958574772</v>
      </c>
      <c r="D468">
        <v>20</v>
      </c>
      <c r="E468" t="s">
        <v>176</v>
      </c>
    </row>
    <row r="469" spans="1:5">
      <c r="A469">
        <v>10269</v>
      </c>
      <c r="B469" s="80">
        <v>35277</v>
      </c>
      <c r="C469">
        <v>113.99999991059303</v>
      </c>
      <c r="D469">
        <v>60</v>
      </c>
      <c r="E469" t="s">
        <v>176</v>
      </c>
    </row>
    <row r="470" spans="1:5">
      <c r="A470">
        <v>10269</v>
      </c>
      <c r="B470" s="80">
        <v>35277</v>
      </c>
      <c r="C470">
        <v>113.99999991059303</v>
      </c>
      <c r="D470">
        <v>60</v>
      </c>
      <c r="E470" t="s">
        <v>172</v>
      </c>
    </row>
    <row r="471" spans="1:5">
      <c r="A471">
        <v>10269</v>
      </c>
      <c r="B471" s="80">
        <v>35277</v>
      </c>
      <c r="C471">
        <v>113.99999991059303</v>
      </c>
      <c r="D471">
        <v>60</v>
      </c>
      <c r="E471" t="s">
        <v>179</v>
      </c>
    </row>
    <row r="472" spans="1:5">
      <c r="A472">
        <v>10269</v>
      </c>
      <c r="B472" s="80">
        <v>35277</v>
      </c>
      <c r="C472">
        <v>528.19999958574772</v>
      </c>
      <c r="D472">
        <v>20</v>
      </c>
      <c r="E472" t="s">
        <v>177</v>
      </c>
    </row>
    <row r="473" spans="1:5">
      <c r="A473">
        <v>10269</v>
      </c>
      <c r="B473" s="80">
        <v>35277</v>
      </c>
      <c r="C473">
        <v>528.19999958574772</v>
      </c>
      <c r="D473">
        <v>20</v>
      </c>
      <c r="E473" t="s">
        <v>179</v>
      </c>
    </row>
    <row r="474" spans="1:5">
      <c r="A474">
        <v>10270</v>
      </c>
      <c r="B474" s="80">
        <v>35278</v>
      </c>
      <c r="C474">
        <v>456</v>
      </c>
      <c r="D474">
        <v>30</v>
      </c>
      <c r="E474" t="s">
        <v>174</v>
      </c>
    </row>
    <row r="475" spans="1:5">
      <c r="A475">
        <v>10270</v>
      </c>
      <c r="B475" s="80">
        <v>35278</v>
      </c>
      <c r="C475">
        <v>920</v>
      </c>
      <c r="D475">
        <v>25</v>
      </c>
      <c r="E475" t="s">
        <v>174</v>
      </c>
    </row>
    <row r="476" spans="1:5">
      <c r="A476">
        <v>10270</v>
      </c>
      <c r="B476" s="80">
        <v>35278</v>
      </c>
      <c r="C476">
        <v>456</v>
      </c>
      <c r="D476">
        <v>30</v>
      </c>
      <c r="E476" t="s">
        <v>178</v>
      </c>
    </row>
    <row r="477" spans="1:5">
      <c r="A477">
        <v>10270</v>
      </c>
      <c r="B477" s="80">
        <v>35278</v>
      </c>
      <c r="C477">
        <v>920</v>
      </c>
      <c r="D477">
        <v>25</v>
      </c>
      <c r="E477" t="s">
        <v>173</v>
      </c>
    </row>
    <row r="478" spans="1:5">
      <c r="A478">
        <v>10270</v>
      </c>
      <c r="B478" s="80">
        <v>35278</v>
      </c>
      <c r="C478">
        <v>920</v>
      </c>
      <c r="D478">
        <v>25</v>
      </c>
      <c r="E478" t="s">
        <v>177</v>
      </c>
    </row>
    <row r="479" spans="1:5">
      <c r="A479">
        <v>10270</v>
      </c>
      <c r="B479" s="80">
        <v>35278</v>
      </c>
      <c r="C479">
        <v>456</v>
      </c>
      <c r="D479">
        <v>30</v>
      </c>
      <c r="E479" t="s">
        <v>173</v>
      </c>
    </row>
    <row r="480" spans="1:5">
      <c r="A480">
        <v>10270</v>
      </c>
      <c r="B480" s="80">
        <v>35278</v>
      </c>
      <c r="C480">
        <v>920</v>
      </c>
      <c r="D480">
        <v>25</v>
      </c>
      <c r="E480" t="s">
        <v>178</v>
      </c>
    </row>
    <row r="481" spans="1:5">
      <c r="A481">
        <v>10270</v>
      </c>
      <c r="B481" s="80">
        <v>35278</v>
      </c>
      <c r="C481">
        <v>456</v>
      </c>
      <c r="D481">
        <v>30</v>
      </c>
      <c r="E481" t="s">
        <v>177</v>
      </c>
    </row>
    <row r="482" spans="1:5">
      <c r="A482">
        <v>10270</v>
      </c>
      <c r="B482" s="80">
        <v>35278</v>
      </c>
      <c r="C482">
        <v>920</v>
      </c>
      <c r="D482">
        <v>25</v>
      </c>
      <c r="E482" t="s">
        <v>175</v>
      </c>
    </row>
    <row r="483" spans="1:5">
      <c r="A483">
        <v>10270</v>
      </c>
      <c r="B483" s="80">
        <v>35278</v>
      </c>
      <c r="C483">
        <v>920</v>
      </c>
      <c r="D483">
        <v>25</v>
      </c>
      <c r="E483" t="s">
        <v>172</v>
      </c>
    </row>
    <row r="484" spans="1:5">
      <c r="A484">
        <v>10270</v>
      </c>
      <c r="B484" s="80">
        <v>35278</v>
      </c>
      <c r="C484">
        <v>456</v>
      </c>
      <c r="D484">
        <v>30</v>
      </c>
      <c r="E484" t="s">
        <v>172</v>
      </c>
    </row>
    <row r="485" spans="1:5">
      <c r="A485">
        <v>10270</v>
      </c>
      <c r="B485" s="80">
        <v>35278</v>
      </c>
      <c r="C485">
        <v>456</v>
      </c>
      <c r="D485">
        <v>30</v>
      </c>
      <c r="E485" t="s">
        <v>179</v>
      </c>
    </row>
    <row r="486" spans="1:5">
      <c r="A486">
        <v>10270</v>
      </c>
      <c r="B486" s="80">
        <v>35278</v>
      </c>
      <c r="C486">
        <v>920</v>
      </c>
      <c r="D486">
        <v>25</v>
      </c>
      <c r="E486" t="s">
        <v>179</v>
      </c>
    </row>
    <row r="487" spans="1:5">
      <c r="A487">
        <v>10270</v>
      </c>
      <c r="B487" s="80">
        <v>35278</v>
      </c>
      <c r="C487">
        <v>456</v>
      </c>
      <c r="D487">
        <v>30</v>
      </c>
      <c r="E487" t="s">
        <v>176</v>
      </c>
    </row>
    <row r="488" spans="1:5">
      <c r="A488">
        <v>10270</v>
      </c>
      <c r="B488" s="80">
        <v>35278</v>
      </c>
      <c r="C488">
        <v>920</v>
      </c>
      <c r="D488">
        <v>25</v>
      </c>
      <c r="E488" t="s">
        <v>176</v>
      </c>
    </row>
    <row r="489" spans="1:5">
      <c r="A489">
        <v>10270</v>
      </c>
      <c r="B489" s="80">
        <v>35278</v>
      </c>
      <c r="C489">
        <v>456</v>
      </c>
      <c r="D489">
        <v>30</v>
      </c>
      <c r="E489" t="s">
        <v>175</v>
      </c>
    </row>
    <row r="490" spans="1:5">
      <c r="A490">
        <v>10271</v>
      </c>
      <c r="B490" s="80">
        <v>35278</v>
      </c>
      <c r="C490">
        <v>48</v>
      </c>
      <c r="D490">
        <v>24</v>
      </c>
      <c r="E490" t="s">
        <v>172</v>
      </c>
    </row>
    <row r="491" spans="1:5">
      <c r="A491">
        <v>10271</v>
      </c>
      <c r="B491" s="80">
        <v>35278</v>
      </c>
      <c r="C491">
        <v>48</v>
      </c>
      <c r="D491">
        <v>24</v>
      </c>
      <c r="E491" t="s">
        <v>179</v>
      </c>
    </row>
    <row r="492" spans="1:5">
      <c r="A492">
        <v>10271</v>
      </c>
      <c r="B492" s="80">
        <v>35278</v>
      </c>
      <c r="C492">
        <v>48</v>
      </c>
      <c r="D492">
        <v>24</v>
      </c>
      <c r="E492" t="s">
        <v>178</v>
      </c>
    </row>
    <row r="493" spans="1:5">
      <c r="A493">
        <v>10271</v>
      </c>
      <c r="B493" s="80">
        <v>35278</v>
      </c>
      <c r="C493">
        <v>48</v>
      </c>
      <c r="D493">
        <v>24</v>
      </c>
      <c r="E493" t="s">
        <v>175</v>
      </c>
    </row>
    <row r="494" spans="1:5">
      <c r="A494">
        <v>10271</v>
      </c>
      <c r="B494" s="80">
        <v>35278</v>
      </c>
      <c r="C494">
        <v>48</v>
      </c>
      <c r="D494">
        <v>24</v>
      </c>
      <c r="E494" t="s">
        <v>177</v>
      </c>
    </row>
    <row r="495" spans="1:5">
      <c r="A495">
        <v>10271</v>
      </c>
      <c r="B495" s="80">
        <v>35278</v>
      </c>
      <c r="C495">
        <v>48</v>
      </c>
      <c r="D495">
        <v>24</v>
      </c>
      <c r="E495" t="s">
        <v>176</v>
      </c>
    </row>
    <row r="496" spans="1:5">
      <c r="A496">
        <v>10271</v>
      </c>
      <c r="B496" s="80">
        <v>35278</v>
      </c>
      <c r="C496">
        <v>48</v>
      </c>
      <c r="D496">
        <v>24</v>
      </c>
      <c r="E496" t="s">
        <v>173</v>
      </c>
    </row>
    <row r="497" spans="1:5">
      <c r="A497">
        <v>10271</v>
      </c>
      <c r="B497" s="80">
        <v>35278</v>
      </c>
      <c r="C497">
        <v>48</v>
      </c>
      <c r="D497">
        <v>24</v>
      </c>
      <c r="E497" t="s">
        <v>174</v>
      </c>
    </row>
    <row r="498" spans="1:5">
      <c r="A498">
        <v>10272</v>
      </c>
      <c r="B498" s="80">
        <v>35279</v>
      </c>
      <c r="C498">
        <v>400</v>
      </c>
      <c r="D498">
        <v>40</v>
      </c>
      <c r="E498" t="s">
        <v>176</v>
      </c>
    </row>
    <row r="499" spans="1:5">
      <c r="A499">
        <v>10272</v>
      </c>
      <c r="B499" s="80">
        <v>35279</v>
      </c>
      <c r="C499">
        <v>400</v>
      </c>
      <c r="D499">
        <v>40</v>
      </c>
      <c r="E499" t="s">
        <v>178</v>
      </c>
    </row>
    <row r="500" spans="1:5">
      <c r="A500">
        <v>10272</v>
      </c>
      <c r="B500" s="80">
        <v>35279</v>
      </c>
      <c r="C500">
        <v>388.8</v>
      </c>
      <c r="D500">
        <v>6</v>
      </c>
      <c r="E500" t="s">
        <v>178</v>
      </c>
    </row>
    <row r="501" spans="1:5">
      <c r="A501">
        <v>10272</v>
      </c>
      <c r="B501" s="80">
        <v>35279</v>
      </c>
      <c r="C501">
        <v>388.8</v>
      </c>
      <c r="D501">
        <v>6</v>
      </c>
      <c r="E501" t="s">
        <v>173</v>
      </c>
    </row>
    <row r="502" spans="1:5">
      <c r="A502">
        <v>10272</v>
      </c>
      <c r="B502" s="80">
        <v>35279</v>
      </c>
      <c r="C502">
        <v>388.8</v>
      </c>
      <c r="D502">
        <v>6</v>
      </c>
      <c r="E502" t="s">
        <v>176</v>
      </c>
    </row>
    <row r="503" spans="1:5">
      <c r="A503">
        <v>10272</v>
      </c>
      <c r="B503" s="80">
        <v>35279</v>
      </c>
      <c r="C503">
        <v>667.2</v>
      </c>
      <c r="D503">
        <v>24</v>
      </c>
      <c r="E503" t="s">
        <v>176</v>
      </c>
    </row>
    <row r="504" spans="1:5">
      <c r="A504">
        <v>10272</v>
      </c>
      <c r="B504" s="80">
        <v>35279</v>
      </c>
      <c r="C504">
        <v>388.8</v>
      </c>
      <c r="D504">
        <v>6</v>
      </c>
      <c r="E504" t="s">
        <v>174</v>
      </c>
    </row>
    <row r="505" spans="1:5">
      <c r="A505">
        <v>10272</v>
      </c>
      <c r="B505" s="80">
        <v>35279</v>
      </c>
      <c r="C505">
        <v>388.8</v>
      </c>
      <c r="D505">
        <v>6</v>
      </c>
      <c r="E505" t="s">
        <v>172</v>
      </c>
    </row>
    <row r="506" spans="1:5">
      <c r="A506">
        <v>10272</v>
      </c>
      <c r="B506" s="80">
        <v>35279</v>
      </c>
      <c r="C506">
        <v>400</v>
      </c>
      <c r="D506">
        <v>40</v>
      </c>
      <c r="E506" t="s">
        <v>172</v>
      </c>
    </row>
    <row r="507" spans="1:5">
      <c r="A507">
        <v>10272</v>
      </c>
      <c r="B507" s="80">
        <v>35279</v>
      </c>
      <c r="C507">
        <v>667.2</v>
      </c>
      <c r="D507">
        <v>24</v>
      </c>
      <c r="E507" t="s">
        <v>175</v>
      </c>
    </row>
    <row r="508" spans="1:5">
      <c r="A508">
        <v>10272</v>
      </c>
      <c r="B508" s="80">
        <v>35279</v>
      </c>
      <c r="C508">
        <v>400</v>
      </c>
      <c r="D508">
        <v>40</v>
      </c>
      <c r="E508" t="s">
        <v>175</v>
      </c>
    </row>
    <row r="509" spans="1:5">
      <c r="A509">
        <v>10272</v>
      </c>
      <c r="B509" s="80">
        <v>35279</v>
      </c>
      <c r="C509">
        <v>388.8</v>
      </c>
      <c r="D509">
        <v>6</v>
      </c>
      <c r="E509" t="s">
        <v>175</v>
      </c>
    </row>
    <row r="510" spans="1:5">
      <c r="A510">
        <v>10272</v>
      </c>
      <c r="B510" s="80">
        <v>35279</v>
      </c>
      <c r="C510">
        <v>667.2</v>
      </c>
      <c r="D510">
        <v>24</v>
      </c>
      <c r="E510" t="s">
        <v>172</v>
      </c>
    </row>
    <row r="511" spans="1:5">
      <c r="A511">
        <v>10272</v>
      </c>
      <c r="B511" s="80">
        <v>35279</v>
      </c>
      <c r="C511">
        <v>667.2</v>
      </c>
      <c r="D511">
        <v>24</v>
      </c>
      <c r="E511" t="s">
        <v>173</v>
      </c>
    </row>
    <row r="512" spans="1:5">
      <c r="A512">
        <v>10272</v>
      </c>
      <c r="B512" s="80">
        <v>35279</v>
      </c>
      <c r="C512">
        <v>667.2</v>
      </c>
      <c r="D512">
        <v>24</v>
      </c>
      <c r="E512" t="s">
        <v>177</v>
      </c>
    </row>
    <row r="513" spans="1:5">
      <c r="A513">
        <v>10272</v>
      </c>
      <c r="B513" s="80">
        <v>35279</v>
      </c>
      <c r="C513">
        <v>400</v>
      </c>
      <c r="D513">
        <v>40</v>
      </c>
      <c r="E513" t="s">
        <v>173</v>
      </c>
    </row>
    <row r="514" spans="1:5">
      <c r="A514">
        <v>10272</v>
      </c>
      <c r="B514" s="80">
        <v>35279</v>
      </c>
      <c r="C514">
        <v>667.2</v>
      </c>
      <c r="D514">
        <v>24</v>
      </c>
      <c r="E514" t="s">
        <v>178</v>
      </c>
    </row>
    <row r="515" spans="1:5">
      <c r="A515">
        <v>10272</v>
      </c>
      <c r="B515" s="80">
        <v>35279</v>
      </c>
      <c r="C515">
        <v>400</v>
      </c>
      <c r="D515">
        <v>40</v>
      </c>
      <c r="E515" t="s">
        <v>174</v>
      </c>
    </row>
    <row r="516" spans="1:5">
      <c r="A516">
        <v>10272</v>
      </c>
      <c r="B516" s="80">
        <v>35279</v>
      </c>
      <c r="C516">
        <v>667.2</v>
      </c>
      <c r="D516">
        <v>24</v>
      </c>
      <c r="E516" t="s">
        <v>174</v>
      </c>
    </row>
    <row r="517" spans="1:5">
      <c r="A517">
        <v>10272</v>
      </c>
      <c r="B517" s="80">
        <v>35279</v>
      </c>
      <c r="C517">
        <v>400</v>
      </c>
      <c r="D517">
        <v>40</v>
      </c>
      <c r="E517" t="s">
        <v>177</v>
      </c>
    </row>
    <row r="518" spans="1:5">
      <c r="A518">
        <v>10272</v>
      </c>
      <c r="B518" s="80">
        <v>35279</v>
      </c>
      <c r="C518">
        <v>388.8</v>
      </c>
      <c r="D518">
        <v>6</v>
      </c>
      <c r="E518" t="s">
        <v>177</v>
      </c>
    </row>
    <row r="519" spans="1:5">
      <c r="A519">
        <v>10272</v>
      </c>
      <c r="B519" s="80">
        <v>35279</v>
      </c>
      <c r="C519">
        <v>667.2</v>
      </c>
      <c r="D519">
        <v>24</v>
      </c>
      <c r="E519" t="s">
        <v>179</v>
      </c>
    </row>
    <row r="520" spans="1:5">
      <c r="A520">
        <v>10272</v>
      </c>
      <c r="B520" s="80">
        <v>35279</v>
      </c>
      <c r="C520">
        <v>400</v>
      </c>
      <c r="D520">
        <v>40</v>
      </c>
      <c r="E520" t="s">
        <v>179</v>
      </c>
    </row>
    <row r="521" spans="1:5">
      <c r="A521">
        <v>10272</v>
      </c>
      <c r="B521" s="80">
        <v>35279</v>
      </c>
      <c r="C521">
        <v>388.8</v>
      </c>
      <c r="D521">
        <v>6</v>
      </c>
      <c r="E521" t="s">
        <v>179</v>
      </c>
    </row>
    <row r="522" spans="1:5">
      <c r="A522">
        <v>10273</v>
      </c>
      <c r="B522" s="80">
        <v>35282</v>
      </c>
      <c r="C522">
        <v>451.43999964594838</v>
      </c>
      <c r="D522">
        <v>33</v>
      </c>
      <c r="E522" t="s">
        <v>178</v>
      </c>
    </row>
    <row r="523" spans="1:5">
      <c r="A523">
        <v>10273</v>
      </c>
      <c r="B523" s="80">
        <v>35282</v>
      </c>
      <c r="C523">
        <v>40</v>
      </c>
      <c r="D523">
        <v>20</v>
      </c>
      <c r="E523" t="s">
        <v>172</v>
      </c>
    </row>
    <row r="524" spans="1:5">
      <c r="A524">
        <v>10273</v>
      </c>
      <c r="B524" s="80">
        <v>35282</v>
      </c>
      <c r="C524">
        <v>142.49999988824129</v>
      </c>
      <c r="D524">
        <v>15</v>
      </c>
      <c r="E524" t="s">
        <v>179</v>
      </c>
    </row>
    <row r="525" spans="1:5">
      <c r="A525">
        <v>10273</v>
      </c>
      <c r="B525" s="80">
        <v>35282</v>
      </c>
      <c r="C525">
        <v>451.43999964594838</v>
      </c>
      <c r="D525">
        <v>33</v>
      </c>
      <c r="E525" t="s">
        <v>175</v>
      </c>
    </row>
    <row r="526" spans="1:5">
      <c r="A526">
        <v>10273</v>
      </c>
      <c r="B526" s="80">
        <v>35282</v>
      </c>
      <c r="C526">
        <v>837.89999934285879</v>
      </c>
      <c r="D526">
        <v>60</v>
      </c>
      <c r="E526" t="s">
        <v>175</v>
      </c>
    </row>
    <row r="527" spans="1:5">
      <c r="A527">
        <v>10273</v>
      </c>
      <c r="B527" s="80">
        <v>35282</v>
      </c>
      <c r="C527">
        <v>40</v>
      </c>
      <c r="D527">
        <v>20</v>
      </c>
      <c r="E527" t="s">
        <v>175</v>
      </c>
    </row>
    <row r="528" spans="1:5">
      <c r="A528">
        <v>10273</v>
      </c>
      <c r="B528" s="80">
        <v>35282</v>
      </c>
      <c r="C528">
        <v>142.49999988824129</v>
      </c>
      <c r="D528">
        <v>15</v>
      </c>
      <c r="E528" t="s">
        <v>175</v>
      </c>
    </row>
    <row r="529" spans="1:5">
      <c r="A529">
        <v>10273</v>
      </c>
      <c r="B529" s="80">
        <v>35282</v>
      </c>
      <c r="C529">
        <v>565.43999955654147</v>
      </c>
      <c r="D529">
        <v>24</v>
      </c>
      <c r="E529" t="s">
        <v>175</v>
      </c>
    </row>
    <row r="530" spans="1:5">
      <c r="A530">
        <v>10273</v>
      </c>
      <c r="B530" s="80">
        <v>35282</v>
      </c>
      <c r="C530">
        <v>565.43999955654147</v>
      </c>
      <c r="D530">
        <v>24</v>
      </c>
      <c r="E530" t="s">
        <v>172</v>
      </c>
    </row>
    <row r="531" spans="1:5">
      <c r="A531">
        <v>10273</v>
      </c>
      <c r="B531" s="80">
        <v>35282</v>
      </c>
      <c r="C531">
        <v>451.43999964594838</v>
      </c>
      <c r="D531">
        <v>33</v>
      </c>
      <c r="E531" t="s">
        <v>179</v>
      </c>
    </row>
    <row r="532" spans="1:5">
      <c r="A532">
        <v>10273</v>
      </c>
      <c r="B532" s="80">
        <v>35282</v>
      </c>
      <c r="C532">
        <v>40</v>
      </c>
      <c r="D532">
        <v>20</v>
      </c>
      <c r="E532" t="s">
        <v>178</v>
      </c>
    </row>
    <row r="533" spans="1:5">
      <c r="A533">
        <v>10273</v>
      </c>
      <c r="B533" s="80">
        <v>35282</v>
      </c>
      <c r="C533">
        <v>40</v>
      </c>
      <c r="D533">
        <v>20</v>
      </c>
      <c r="E533" t="s">
        <v>179</v>
      </c>
    </row>
    <row r="534" spans="1:5">
      <c r="A534">
        <v>10273</v>
      </c>
      <c r="B534" s="80">
        <v>35282</v>
      </c>
      <c r="C534">
        <v>565.43999955654147</v>
      </c>
      <c r="D534">
        <v>24</v>
      </c>
      <c r="E534" t="s">
        <v>178</v>
      </c>
    </row>
    <row r="535" spans="1:5">
      <c r="A535">
        <v>10273</v>
      </c>
      <c r="B535" s="80">
        <v>35282</v>
      </c>
      <c r="C535">
        <v>565.43999955654147</v>
      </c>
      <c r="D535">
        <v>24</v>
      </c>
      <c r="E535" t="s">
        <v>179</v>
      </c>
    </row>
    <row r="536" spans="1:5">
      <c r="A536">
        <v>10273</v>
      </c>
      <c r="B536" s="80">
        <v>35282</v>
      </c>
      <c r="C536">
        <v>451.43999964594838</v>
      </c>
      <c r="D536">
        <v>33</v>
      </c>
      <c r="E536" t="s">
        <v>177</v>
      </c>
    </row>
    <row r="537" spans="1:5">
      <c r="A537">
        <v>10273</v>
      </c>
      <c r="B537" s="80">
        <v>35282</v>
      </c>
      <c r="C537">
        <v>837.89999934285879</v>
      </c>
      <c r="D537">
        <v>60</v>
      </c>
      <c r="E537" t="s">
        <v>177</v>
      </c>
    </row>
    <row r="538" spans="1:5">
      <c r="A538">
        <v>10273</v>
      </c>
      <c r="B538" s="80">
        <v>35282</v>
      </c>
      <c r="C538">
        <v>40</v>
      </c>
      <c r="D538">
        <v>20</v>
      </c>
      <c r="E538" t="s">
        <v>177</v>
      </c>
    </row>
    <row r="539" spans="1:5">
      <c r="A539">
        <v>10273</v>
      </c>
      <c r="B539" s="80">
        <v>35282</v>
      </c>
      <c r="C539">
        <v>142.49999988824129</v>
      </c>
      <c r="D539">
        <v>15</v>
      </c>
      <c r="E539" t="s">
        <v>177</v>
      </c>
    </row>
    <row r="540" spans="1:5">
      <c r="A540">
        <v>10273</v>
      </c>
      <c r="B540" s="80">
        <v>35282</v>
      </c>
      <c r="C540">
        <v>837.89999934285879</v>
      </c>
      <c r="D540">
        <v>60</v>
      </c>
      <c r="E540" t="s">
        <v>178</v>
      </c>
    </row>
    <row r="541" spans="1:5">
      <c r="A541">
        <v>10273</v>
      </c>
      <c r="B541" s="80">
        <v>35282</v>
      </c>
      <c r="C541">
        <v>142.49999988824129</v>
      </c>
      <c r="D541">
        <v>15</v>
      </c>
      <c r="E541" t="s">
        <v>178</v>
      </c>
    </row>
    <row r="542" spans="1:5">
      <c r="A542">
        <v>10273</v>
      </c>
      <c r="B542" s="80">
        <v>35282</v>
      </c>
      <c r="C542">
        <v>837.89999934285879</v>
      </c>
      <c r="D542">
        <v>60</v>
      </c>
      <c r="E542" t="s">
        <v>179</v>
      </c>
    </row>
    <row r="543" spans="1:5">
      <c r="A543">
        <v>10273</v>
      </c>
      <c r="B543" s="80">
        <v>35282</v>
      </c>
      <c r="C543">
        <v>40</v>
      </c>
      <c r="D543">
        <v>20</v>
      </c>
      <c r="E543" t="s">
        <v>176</v>
      </c>
    </row>
    <row r="544" spans="1:5">
      <c r="A544">
        <v>10273</v>
      </c>
      <c r="B544" s="80">
        <v>35282</v>
      </c>
      <c r="C544">
        <v>837.89999934285879</v>
      </c>
      <c r="D544">
        <v>60</v>
      </c>
      <c r="E544" t="s">
        <v>174</v>
      </c>
    </row>
    <row r="545" spans="1:5">
      <c r="A545">
        <v>10273</v>
      </c>
      <c r="B545" s="80">
        <v>35282</v>
      </c>
      <c r="C545">
        <v>40</v>
      </c>
      <c r="D545">
        <v>20</v>
      </c>
      <c r="E545" t="s">
        <v>174</v>
      </c>
    </row>
    <row r="546" spans="1:5">
      <c r="A546">
        <v>10273</v>
      </c>
      <c r="B546" s="80">
        <v>35282</v>
      </c>
      <c r="C546">
        <v>837.89999934285879</v>
      </c>
      <c r="D546">
        <v>60</v>
      </c>
      <c r="E546" t="s">
        <v>172</v>
      </c>
    </row>
    <row r="547" spans="1:5">
      <c r="A547">
        <v>10273</v>
      </c>
      <c r="B547" s="80">
        <v>35282</v>
      </c>
      <c r="C547">
        <v>142.49999988824129</v>
      </c>
      <c r="D547">
        <v>15</v>
      </c>
      <c r="E547" t="s">
        <v>174</v>
      </c>
    </row>
    <row r="548" spans="1:5">
      <c r="A548">
        <v>10273</v>
      </c>
      <c r="B548" s="80">
        <v>35282</v>
      </c>
      <c r="C548">
        <v>565.43999955654147</v>
      </c>
      <c r="D548">
        <v>24</v>
      </c>
      <c r="E548" t="s">
        <v>173</v>
      </c>
    </row>
    <row r="549" spans="1:5">
      <c r="A549">
        <v>10273</v>
      </c>
      <c r="B549" s="80">
        <v>35282</v>
      </c>
      <c r="C549">
        <v>142.49999988824129</v>
      </c>
      <c r="D549">
        <v>15</v>
      </c>
      <c r="E549" t="s">
        <v>173</v>
      </c>
    </row>
    <row r="550" spans="1:5">
      <c r="A550">
        <v>10273</v>
      </c>
      <c r="B550" s="80">
        <v>35282</v>
      </c>
      <c r="C550">
        <v>40</v>
      </c>
      <c r="D550">
        <v>20</v>
      </c>
      <c r="E550" t="s">
        <v>173</v>
      </c>
    </row>
    <row r="551" spans="1:5">
      <c r="A551">
        <v>10273</v>
      </c>
      <c r="B551" s="80">
        <v>35282</v>
      </c>
      <c r="C551">
        <v>451.43999964594838</v>
      </c>
      <c r="D551">
        <v>33</v>
      </c>
      <c r="E551" t="s">
        <v>174</v>
      </c>
    </row>
    <row r="552" spans="1:5">
      <c r="A552">
        <v>10273</v>
      </c>
      <c r="B552" s="80">
        <v>35282</v>
      </c>
      <c r="C552">
        <v>837.89999934285879</v>
      </c>
      <c r="D552">
        <v>60</v>
      </c>
      <c r="E552" t="s">
        <v>176</v>
      </c>
    </row>
    <row r="553" spans="1:5">
      <c r="A553">
        <v>10273</v>
      </c>
      <c r="B553" s="80">
        <v>35282</v>
      </c>
      <c r="C553">
        <v>142.49999988824129</v>
      </c>
      <c r="D553">
        <v>15</v>
      </c>
      <c r="E553" t="s">
        <v>176</v>
      </c>
    </row>
    <row r="554" spans="1:5">
      <c r="A554">
        <v>10273</v>
      </c>
      <c r="B554" s="80">
        <v>35282</v>
      </c>
      <c r="C554">
        <v>565.43999955654147</v>
      </c>
      <c r="D554">
        <v>24</v>
      </c>
      <c r="E554" t="s">
        <v>176</v>
      </c>
    </row>
    <row r="555" spans="1:5">
      <c r="A555">
        <v>10273</v>
      </c>
      <c r="B555" s="80">
        <v>35282</v>
      </c>
      <c r="C555">
        <v>451.43999964594838</v>
      </c>
      <c r="D555">
        <v>33</v>
      </c>
      <c r="E555" t="s">
        <v>173</v>
      </c>
    </row>
    <row r="556" spans="1:5">
      <c r="A556">
        <v>10273</v>
      </c>
      <c r="B556" s="80">
        <v>35282</v>
      </c>
      <c r="C556">
        <v>451.43999964594838</v>
      </c>
      <c r="D556">
        <v>33</v>
      </c>
      <c r="E556" t="s">
        <v>176</v>
      </c>
    </row>
    <row r="557" spans="1:5">
      <c r="A557">
        <v>10273</v>
      </c>
      <c r="B557" s="80">
        <v>35282</v>
      </c>
      <c r="C557">
        <v>565.43999955654147</v>
      </c>
      <c r="D557">
        <v>24</v>
      </c>
      <c r="E557" t="s">
        <v>177</v>
      </c>
    </row>
    <row r="558" spans="1:5">
      <c r="A558">
        <v>10273</v>
      </c>
      <c r="B558" s="80">
        <v>35282</v>
      </c>
      <c r="C558">
        <v>565.43999955654147</v>
      </c>
      <c r="D558">
        <v>24</v>
      </c>
      <c r="E558" t="s">
        <v>174</v>
      </c>
    </row>
    <row r="559" spans="1:5">
      <c r="A559">
        <v>10273</v>
      </c>
      <c r="B559" s="80">
        <v>35282</v>
      </c>
      <c r="C559">
        <v>142.49999988824129</v>
      </c>
      <c r="D559">
        <v>15</v>
      </c>
      <c r="E559" t="s">
        <v>172</v>
      </c>
    </row>
    <row r="560" spans="1:5">
      <c r="A560">
        <v>10273</v>
      </c>
      <c r="B560" s="80">
        <v>35282</v>
      </c>
      <c r="C560">
        <v>451.43999964594838</v>
      </c>
      <c r="D560">
        <v>33</v>
      </c>
      <c r="E560" t="s">
        <v>172</v>
      </c>
    </row>
    <row r="561" spans="1:5">
      <c r="A561">
        <v>10273</v>
      </c>
      <c r="B561" s="80">
        <v>35282</v>
      </c>
      <c r="C561">
        <v>837.89999934285879</v>
      </c>
      <c r="D561">
        <v>60</v>
      </c>
      <c r="E561" t="s">
        <v>173</v>
      </c>
    </row>
    <row r="562" spans="1:5">
      <c r="A562">
        <v>10274</v>
      </c>
      <c r="B562" s="80">
        <v>35283</v>
      </c>
      <c r="C562">
        <v>194.6</v>
      </c>
      <c r="D562">
        <v>7</v>
      </c>
      <c r="E562" t="s">
        <v>178</v>
      </c>
    </row>
    <row r="563" spans="1:5">
      <c r="A563">
        <v>10274</v>
      </c>
      <c r="B563" s="80">
        <v>35283</v>
      </c>
      <c r="C563">
        <v>344</v>
      </c>
      <c r="D563">
        <v>20</v>
      </c>
      <c r="E563" t="s">
        <v>179</v>
      </c>
    </row>
    <row r="564" spans="1:5">
      <c r="A564">
        <v>10274</v>
      </c>
      <c r="B564" s="80">
        <v>35283</v>
      </c>
      <c r="C564">
        <v>344</v>
      </c>
      <c r="D564">
        <v>20</v>
      </c>
      <c r="E564" t="s">
        <v>176</v>
      </c>
    </row>
    <row r="565" spans="1:5">
      <c r="A565">
        <v>10274</v>
      </c>
      <c r="B565" s="80">
        <v>35283</v>
      </c>
      <c r="C565">
        <v>194.6</v>
      </c>
      <c r="D565">
        <v>7</v>
      </c>
      <c r="E565" t="s">
        <v>179</v>
      </c>
    </row>
    <row r="566" spans="1:5">
      <c r="A566">
        <v>10274</v>
      </c>
      <c r="B566" s="80">
        <v>35283</v>
      </c>
      <c r="C566">
        <v>194.6</v>
      </c>
      <c r="D566">
        <v>7</v>
      </c>
      <c r="E566" t="s">
        <v>177</v>
      </c>
    </row>
    <row r="567" spans="1:5">
      <c r="A567">
        <v>10274</v>
      </c>
      <c r="B567" s="80">
        <v>35283</v>
      </c>
      <c r="C567">
        <v>344</v>
      </c>
      <c r="D567">
        <v>20</v>
      </c>
      <c r="E567" t="s">
        <v>177</v>
      </c>
    </row>
    <row r="568" spans="1:5">
      <c r="A568">
        <v>10274</v>
      </c>
      <c r="B568" s="80">
        <v>35283</v>
      </c>
      <c r="C568">
        <v>344</v>
      </c>
      <c r="D568">
        <v>20</v>
      </c>
      <c r="E568" t="s">
        <v>173</v>
      </c>
    </row>
    <row r="569" spans="1:5">
      <c r="A569">
        <v>10274</v>
      </c>
      <c r="B569" s="80">
        <v>35283</v>
      </c>
      <c r="C569">
        <v>344</v>
      </c>
      <c r="D569">
        <v>20</v>
      </c>
      <c r="E569" t="s">
        <v>175</v>
      </c>
    </row>
    <row r="570" spans="1:5">
      <c r="A570">
        <v>10274</v>
      </c>
      <c r="B570" s="80">
        <v>35283</v>
      </c>
      <c r="C570">
        <v>344</v>
      </c>
      <c r="D570">
        <v>20</v>
      </c>
      <c r="E570" t="s">
        <v>172</v>
      </c>
    </row>
    <row r="571" spans="1:5">
      <c r="A571">
        <v>10274</v>
      </c>
      <c r="B571" s="80">
        <v>35283</v>
      </c>
      <c r="C571">
        <v>194.6</v>
      </c>
      <c r="D571">
        <v>7</v>
      </c>
      <c r="E571" t="s">
        <v>172</v>
      </c>
    </row>
    <row r="572" spans="1:5">
      <c r="A572">
        <v>10274</v>
      </c>
      <c r="B572" s="80">
        <v>35283</v>
      </c>
      <c r="C572">
        <v>194.6</v>
      </c>
      <c r="D572">
        <v>7</v>
      </c>
      <c r="E572" t="s">
        <v>175</v>
      </c>
    </row>
    <row r="573" spans="1:5">
      <c r="A573">
        <v>10274</v>
      </c>
      <c r="B573" s="80">
        <v>35283</v>
      </c>
      <c r="C573">
        <v>344</v>
      </c>
      <c r="D573">
        <v>20</v>
      </c>
      <c r="E573" t="s">
        <v>174</v>
      </c>
    </row>
    <row r="574" spans="1:5">
      <c r="A574">
        <v>10274</v>
      </c>
      <c r="B574" s="80">
        <v>35283</v>
      </c>
      <c r="C574">
        <v>344</v>
      </c>
      <c r="D574">
        <v>20</v>
      </c>
      <c r="E574" t="s">
        <v>178</v>
      </c>
    </row>
    <row r="575" spans="1:5">
      <c r="A575">
        <v>10274</v>
      </c>
      <c r="B575" s="80">
        <v>35283</v>
      </c>
      <c r="C575">
        <v>194.6</v>
      </c>
      <c r="D575">
        <v>7</v>
      </c>
      <c r="E575" t="s">
        <v>173</v>
      </c>
    </row>
    <row r="576" spans="1:5">
      <c r="A576">
        <v>10274</v>
      </c>
      <c r="B576" s="80">
        <v>35283</v>
      </c>
      <c r="C576">
        <v>194.6</v>
      </c>
      <c r="D576">
        <v>7</v>
      </c>
      <c r="E576" t="s">
        <v>176</v>
      </c>
    </row>
    <row r="577" spans="1:5">
      <c r="A577">
        <v>10274</v>
      </c>
      <c r="B577" s="80">
        <v>35283</v>
      </c>
      <c r="C577">
        <v>194.6</v>
      </c>
      <c r="D577">
        <v>7</v>
      </c>
      <c r="E577" t="s">
        <v>174</v>
      </c>
    </row>
    <row r="578" spans="1:5">
      <c r="A578">
        <v>10275</v>
      </c>
      <c r="B578" s="80">
        <v>35284</v>
      </c>
      <c r="C578">
        <v>250.79999980330467</v>
      </c>
      <c r="D578">
        <v>6</v>
      </c>
      <c r="E578" t="s">
        <v>179</v>
      </c>
    </row>
    <row r="579" spans="1:5">
      <c r="A579">
        <v>10275</v>
      </c>
      <c r="B579" s="80">
        <v>35284</v>
      </c>
      <c r="C579">
        <v>41.039999967813493</v>
      </c>
      <c r="D579">
        <v>12</v>
      </c>
      <c r="E579" t="s">
        <v>176</v>
      </c>
    </row>
    <row r="580" spans="1:5">
      <c r="A580">
        <v>10275</v>
      </c>
      <c r="B580" s="80">
        <v>35284</v>
      </c>
      <c r="C580">
        <v>41.039999967813493</v>
      </c>
      <c r="D580">
        <v>12</v>
      </c>
      <c r="E580" t="s">
        <v>175</v>
      </c>
    </row>
    <row r="581" spans="1:5">
      <c r="A581">
        <v>10275</v>
      </c>
      <c r="B581" s="80">
        <v>35284</v>
      </c>
      <c r="C581">
        <v>250.79999980330467</v>
      </c>
      <c r="D581">
        <v>6</v>
      </c>
      <c r="E581" t="s">
        <v>175</v>
      </c>
    </row>
    <row r="582" spans="1:5">
      <c r="A582">
        <v>10275</v>
      </c>
      <c r="B582" s="80">
        <v>35284</v>
      </c>
      <c r="C582">
        <v>41.039999967813493</v>
      </c>
      <c r="D582">
        <v>12</v>
      </c>
      <c r="E582" t="s">
        <v>179</v>
      </c>
    </row>
    <row r="583" spans="1:5">
      <c r="A583">
        <v>10275</v>
      </c>
      <c r="B583" s="80">
        <v>35284</v>
      </c>
      <c r="C583">
        <v>250.79999980330467</v>
      </c>
      <c r="D583">
        <v>6</v>
      </c>
      <c r="E583" t="s">
        <v>173</v>
      </c>
    </row>
    <row r="584" spans="1:5">
      <c r="A584">
        <v>10275</v>
      </c>
      <c r="B584" s="80">
        <v>35284</v>
      </c>
      <c r="C584">
        <v>250.79999980330467</v>
      </c>
      <c r="D584">
        <v>6</v>
      </c>
      <c r="E584" t="s">
        <v>176</v>
      </c>
    </row>
    <row r="585" spans="1:5">
      <c r="A585">
        <v>10275</v>
      </c>
      <c r="B585" s="80">
        <v>35284</v>
      </c>
      <c r="C585">
        <v>41.039999967813493</v>
      </c>
      <c r="D585">
        <v>12</v>
      </c>
      <c r="E585" t="s">
        <v>173</v>
      </c>
    </row>
    <row r="586" spans="1:5">
      <c r="A586">
        <v>10275</v>
      </c>
      <c r="B586" s="80">
        <v>35284</v>
      </c>
      <c r="C586">
        <v>41.039999967813493</v>
      </c>
      <c r="D586">
        <v>12</v>
      </c>
      <c r="E586" t="s">
        <v>174</v>
      </c>
    </row>
    <row r="587" spans="1:5">
      <c r="A587">
        <v>10275</v>
      </c>
      <c r="B587" s="80">
        <v>35284</v>
      </c>
      <c r="C587">
        <v>41.039999967813493</v>
      </c>
      <c r="D587">
        <v>12</v>
      </c>
      <c r="E587" t="s">
        <v>177</v>
      </c>
    </row>
    <row r="588" spans="1:5">
      <c r="A588">
        <v>10275</v>
      </c>
      <c r="B588" s="80">
        <v>35284</v>
      </c>
      <c r="C588">
        <v>250.79999980330467</v>
      </c>
      <c r="D588">
        <v>6</v>
      </c>
      <c r="E588" t="s">
        <v>177</v>
      </c>
    </row>
    <row r="589" spans="1:5">
      <c r="A589">
        <v>10275</v>
      </c>
      <c r="B589" s="80">
        <v>35284</v>
      </c>
      <c r="C589">
        <v>41.039999967813493</v>
      </c>
      <c r="D589">
        <v>12</v>
      </c>
      <c r="E589" t="s">
        <v>172</v>
      </c>
    </row>
    <row r="590" spans="1:5">
      <c r="A590">
        <v>10275</v>
      </c>
      <c r="B590" s="80">
        <v>35284</v>
      </c>
      <c r="C590">
        <v>250.79999980330467</v>
      </c>
      <c r="D590">
        <v>6</v>
      </c>
      <c r="E590" t="s">
        <v>172</v>
      </c>
    </row>
    <row r="591" spans="1:5">
      <c r="A591">
        <v>10275</v>
      </c>
      <c r="B591" s="80">
        <v>35284</v>
      </c>
      <c r="C591">
        <v>250.79999980330467</v>
      </c>
      <c r="D591">
        <v>6</v>
      </c>
      <c r="E591" t="s">
        <v>178</v>
      </c>
    </row>
    <row r="592" spans="1:5">
      <c r="A592">
        <v>10275</v>
      </c>
      <c r="B592" s="80">
        <v>35284</v>
      </c>
      <c r="C592">
        <v>41.039999967813493</v>
      </c>
      <c r="D592">
        <v>12</v>
      </c>
      <c r="E592" t="s">
        <v>178</v>
      </c>
    </row>
    <row r="593" spans="1:5">
      <c r="A593">
        <v>10275</v>
      </c>
      <c r="B593" s="80">
        <v>35284</v>
      </c>
      <c r="C593">
        <v>250.79999980330467</v>
      </c>
      <c r="D593">
        <v>6</v>
      </c>
      <c r="E593" t="s">
        <v>174</v>
      </c>
    </row>
    <row r="594" spans="1:5">
      <c r="A594">
        <v>10276</v>
      </c>
      <c r="B594" s="80">
        <v>35285</v>
      </c>
      <c r="C594">
        <v>48</v>
      </c>
      <c r="D594">
        <v>10</v>
      </c>
      <c r="E594" t="s">
        <v>179</v>
      </c>
    </row>
    <row r="595" spans="1:5">
      <c r="A595">
        <v>10276</v>
      </c>
      <c r="B595" s="80">
        <v>35285</v>
      </c>
      <c r="C595">
        <v>372</v>
      </c>
      <c r="D595">
        <v>15</v>
      </c>
      <c r="E595" t="s">
        <v>174</v>
      </c>
    </row>
    <row r="596" spans="1:5">
      <c r="A596">
        <v>10276</v>
      </c>
      <c r="B596" s="80">
        <v>35285</v>
      </c>
      <c r="C596">
        <v>372</v>
      </c>
      <c r="D596">
        <v>15</v>
      </c>
      <c r="E596" t="s">
        <v>176</v>
      </c>
    </row>
    <row r="597" spans="1:5">
      <c r="A597">
        <v>10276</v>
      </c>
      <c r="B597" s="80">
        <v>35285</v>
      </c>
      <c r="C597">
        <v>48</v>
      </c>
      <c r="D597">
        <v>10</v>
      </c>
      <c r="E597" t="s">
        <v>174</v>
      </c>
    </row>
    <row r="598" spans="1:5">
      <c r="A598">
        <v>10276</v>
      </c>
      <c r="B598" s="80">
        <v>35285</v>
      </c>
      <c r="C598">
        <v>372</v>
      </c>
      <c r="D598">
        <v>15</v>
      </c>
      <c r="E598" t="s">
        <v>172</v>
      </c>
    </row>
    <row r="599" spans="1:5">
      <c r="A599">
        <v>10276</v>
      </c>
      <c r="B599" s="80">
        <v>35285</v>
      </c>
      <c r="C599">
        <v>372</v>
      </c>
      <c r="D599">
        <v>15</v>
      </c>
      <c r="E599" t="s">
        <v>175</v>
      </c>
    </row>
    <row r="600" spans="1:5">
      <c r="A600">
        <v>10276</v>
      </c>
      <c r="B600" s="80">
        <v>35285</v>
      </c>
      <c r="C600">
        <v>48</v>
      </c>
      <c r="D600">
        <v>10</v>
      </c>
      <c r="E600" t="s">
        <v>175</v>
      </c>
    </row>
    <row r="601" spans="1:5">
      <c r="A601">
        <v>10276</v>
      </c>
      <c r="B601" s="80">
        <v>35285</v>
      </c>
      <c r="C601">
        <v>48</v>
      </c>
      <c r="D601">
        <v>10</v>
      </c>
      <c r="E601" t="s">
        <v>178</v>
      </c>
    </row>
    <row r="602" spans="1:5">
      <c r="A602">
        <v>10276</v>
      </c>
      <c r="B602" s="80">
        <v>35285</v>
      </c>
      <c r="C602">
        <v>48</v>
      </c>
      <c r="D602">
        <v>10</v>
      </c>
      <c r="E602" t="s">
        <v>176</v>
      </c>
    </row>
    <row r="603" spans="1:5">
      <c r="A603">
        <v>10276</v>
      </c>
      <c r="B603" s="80">
        <v>35285</v>
      </c>
      <c r="C603">
        <v>48</v>
      </c>
      <c r="D603">
        <v>10</v>
      </c>
      <c r="E603" t="s">
        <v>172</v>
      </c>
    </row>
    <row r="604" spans="1:5">
      <c r="A604">
        <v>10276</v>
      </c>
      <c r="B604" s="80">
        <v>35285</v>
      </c>
      <c r="C604">
        <v>372</v>
      </c>
      <c r="D604">
        <v>15</v>
      </c>
      <c r="E604" t="s">
        <v>178</v>
      </c>
    </row>
    <row r="605" spans="1:5">
      <c r="A605">
        <v>10276</v>
      </c>
      <c r="B605" s="80">
        <v>35285</v>
      </c>
      <c r="C605">
        <v>372</v>
      </c>
      <c r="D605">
        <v>15</v>
      </c>
      <c r="E605" t="s">
        <v>177</v>
      </c>
    </row>
    <row r="606" spans="1:5">
      <c r="A606">
        <v>10276</v>
      </c>
      <c r="B606" s="80">
        <v>35285</v>
      </c>
      <c r="C606">
        <v>372</v>
      </c>
      <c r="D606">
        <v>15</v>
      </c>
      <c r="E606" t="s">
        <v>173</v>
      </c>
    </row>
    <row r="607" spans="1:5">
      <c r="A607">
        <v>10276</v>
      </c>
      <c r="B607" s="80">
        <v>35285</v>
      </c>
      <c r="C607">
        <v>48</v>
      </c>
      <c r="D607">
        <v>10</v>
      </c>
      <c r="E607" t="s">
        <v>177</v>
      </c>
    </row>
    <row r="608" spans="1:5">
      <c r="A608">
        <v>10276</v>
      </c>
      <c r="B608" s="80">
        <v>35285</v>
      </c>
      <c r="C608">
        <v>48</v>
      </c>
      <c r="D608">
        <v>10</v>
      </c>
      <c r="E608" t="s">
        <v>173</v>
      </c>
    </row>
    <row r="609" spans="1:5">
      <c r="A609">
        <v>10276</v>
      </c>
      <c r="B609" s="80">
        <v>35285</v>
      </c>
      <c r="C609">
        <v>372</v>
      </c>
      <c r="D609">
        <v>15</v>
      </c>
      <c r="E609" t="s">
        <v>179</v>
      </c>
    </row>
    <row r="610" spans="1:5">
      <c r="A610">
        <v>10277</v>
      </c>
      <c r="B610" s="80">
        <v>35286</v>
      </c>
      <c r="C610">
        <v>472.8</v>
      </c>
      <c r="D610">
        <v>12</v>
      </c>
      <c r="E610" t="s">
        <v>174</v>
      </c>
    </row>
    <row r="611" spans="1:5">
      <c r="A611">
        <v>10277</v>
      </c>
      <c r="B611" s="80">
        <v>35286</v>
      </c>
      <c r="C611">
        <v>728</v>
      </c>
      <c r="D611">
        <v>20</v>
      </c>
      <c r="E611" t="s">
        <v>176</v>
      </c>
    </row>
    <row r="612" spans="1:5">
      <c r="A612">
        <v>10277</v>
      </c>
      <c r="B612" s="80">
        <v>35286</v>
      </c>
      <c r="C612">
        <v>728</v>
      </c>
      <c r="D612">
        <v>20</v>
      </c>
      <c r="E612" t="s">
        <v>173</v>
      </c>
    </row>
    <row r="613" spans="1:5">
      <c r="A613">
        <v>10277</v>
      </c>
      <c r="B613" s="80">
        <v>35286</v>
      </c>
      <c r="C613">
        <v>472.8</v>
      </c>
      <c r="D613">
        <v>12</v>
      </c>
      <c r="E613" t="s">
        <v>175</v>
      </c>
    </row>
    <row r="614" spans="1:5">
      <c r="A614">
        <v>10277</v>
      </c>
      <c r="B614" s="80">
        <v>35286</v>
      </c>
      <c r="C614">
        <v>728</v>
      </c>
      <c r="D614">
        <v>20</v>
      </c>
      <c r="E614" t="s">
        <v>174</v>
      </c>
    </row>
    <row r="615" spans="1:5">
      <c r="A615">
        <v>10277</v>
      </c>
      <c r="B615" s="80">
        <v>35286</v>
      </c>
      <c r="C615">
        <v>472.8</v>
      </c>
      <c r="D615">
        <v>12</v>
      </c>
      <c r="E615" t="s">
        <v>173</v>
      </c>
    </row>
    <row r="616" spans="1:5">
      <c r="A616">
        <v>10277</v>
      </c>
      <c r="B616" s="80">
        <v>35286</v>
      </c>
      <c r="C616">
        <v>728</v>
      </c>
      <c r="D616">
        <v>20</v>
      </c>
      <c r="E616" t="s">
        <v>178</v>
      </c>
    </row>
    <row r="617" spans="1:5">
      <c r="A617">
        <v>10277</v>
      </c>
      <c r="B617" s="80">
        <v>35286</v>
      </c>
      <c r="C617">
        <v>472.8</v>
      </c>
      <c r="D617">
        <v>12</v>
      </c>
      <c r="E617" t="s">
        <v>178</v>
      </c>
    </row>
    <row r="618" spans="1:5">
      <c r="A618">
        <v>10277</v>
      </c>
      <c r="B618" s="80">
        <v>35286</v>
      </c>
      <c r="C618">
        <v>728</v>
      </c>
      <c r="D618">
        <v>20</v>
      </c>
      <c r="E618" t="s">
        <v>175</v>
      </c>
    </row>
    <row r="619" spans="1:5">
      <c r="A619">
        <v>10277</v>
      </c>
      <c r="B619" s="80">
        <v>35286</v>
      </c>
      <c r="C619">
        <v>472.8</v>
      </c>
      <c r="D619">
        <v>12</v>
      </c>
      <c r="E619" t="s">
        <v>176</v>
      </c>
    </row>
    <row r="620" spans="1:5">
      <c r="A620">
        <v>10277</v>
      </c>
      <c r="B620" s="80">
        <v>35286</v>
      </c>
      <c r="C620">
        <v>728</v>
      </c>
      <c r="D620">
        <v>20</v>
      </c>
      <c r="E620" t="s">
        <v>179</v>
      </c>
    </row>
    <row r="621" spans="1:5">
      <c r="A621">
        <v>10277</v>
      </c>
      <c r="B621" s="80">
        <v>35286</v>
      </c>
      <c r="C621">
        <v>472.8</v>
      </c>
      <c r="D621">
        <v>12</v>
      </c>
      <c r="E621" t="s">
        <v>179</v>
      </c>
    </row>
    <row r="622" spans="1:5">
      <c r="A622">
        <v>10277</v>
      </c>
      <c r="B622" s="80">
        <v>35286</v>
      </c>
      <c r="C622">
        <v>472.8</v>
      </c>
      <c r="D622">
        <v>12</v>
      </c>
      <c r="E622" t="s">
        <v>172</v>
      </c>
    </row>
    <row r="623" spans="1:5">
      <c r="A623">
        <v>10277</v>
      </c>
      <c r="B623" s="80">
        <v>35286</v>
      </c>
      <c r="C623">
        <v>728</v>
      </c>
      <c r="D623">
        <v>20</v>
      </c>
      <c r="E623" t="s">
        <v>172</v>
      </c>
    </row>
    <row r="624" spans="1:5">
      <c r="A624">
        <v>10277</v>
      </c>
      <c r="B624" s="80">
        <v>35286</v>
      </c>
      <c r="C624">
        <v>728</v>
      </c>
      <c r="D624">
        <v>20</v>
      </c>
      <c r="E624" t="s">
        <v>177</v>
      </c>
    </row>
    <row r="625" spans="1:5">
      <c r="A625">
        <v>10277</v>
      </c>
      <c r="B625" s="80">
        <v>35286</v>
      </c>
      <c r="C625">
        <v>472.8</v>
      </c>
      <c r="D625">
        <v>12</v>
      </c>
      <c r="E625" t="s">
        <v>177</v>
      </c>
    </row>
    <row r="626" spans="1:5">
      <c r="A626">
        <v>10278</v>
      </c>
      <c r="B626" s="80">
        <v>35289</v>
      </c>
      <c r="C626">
        <v>280.8</v>
      </c>
      <c r="D626">
        <v>8</v>
      </c>
      <c r="E626" t="s">
        <v>177</v>
      </c>
    </row>
    <row r="627" spans="1:5">
      <c r="A627">
        <v>10278</v>
      </c>
      <c r="B627" s="80">
        <v>35289</v>
      </c>
      <c r="C627">
        <v>248</v>
      </c>
      <c r="D627">
        <v>16</v>
      </c>
      <c r="E627" t="s">
        <v>176</v>
      </c>
    </row>
    <row r="628" spans="1:5">
      <c r="A628">
        <v>10278</v>
      </c>
      <c r="B628" s="80">
        <v>35289</v>
      </c>
      <c r="C628">
        <v>660</v>
      </c>
      <c r="D628">
        <v>15</v>
      </c>
      <c r="E628" t="s">
        <v>177</v>
      </c>
    </row>
    <row r="629" spans="1:5">
      <c r="A629">
        <v>10278</v>
      </c>
      <c r="B629" s="80">
        <v>35289</v>
      </c>
      <c r="C629">
        <v>660</v>
      </c>
      <c r="D629">
        <v>15</v>
      </c>
      <c r="E629" t="s">
        <v>175</v>
      </c>
    </row>
    <row r="630" spans="1:5">
      <c r="A630">
        <v>10278</v>
      </c>
      <c r="B630" s="80">
        <v>35289</v>
      </c>
      <c r="C630">
        <v>248</v>
      </c>
      <c r="D630">
        <v>16</v>
      </c>
      <c r="E630" t="s">
        <v>177</v>
      </c>
    </row>
    <row r="631" spans="1:5">
      <c r="A631">
        <v>10278</v>
      </c>
      <c r="B631" s="80">
        <v>35289</v>
      </c>
      <c r="C631">
        <v>300</v>
      </c>
      <c r="D631">
        <v>25</v>
      </c>
      <c r="E631" t="s">
        <v>178</v>
      </c>
    </row>
    <row r="632" spans="1:5">
      <c r="A632">
        <v>10278</v>
      </c>
      <c r="B632" s="80">
        <v>35289</v>
      </c>
      <c r="C632">
        <v>660</v>
      </c>
      <c r="D632">
        <v>15</v>
      </c>
      <c r="E632" t="s">
        <v>176</v>
      </c>
    </row>
    <row r="633" spans="1:5">
      <c r="A633">
        <v>10278</v>
      </c>
      <c r="B633" s="80">
        <v>35289</v>
      </c>
      <c r="C633">
        <v>280.8</v>
      </c>
      <c r="D633">
        <v>8</v>
      </c>
      <c r="E633" t="s">
        <v>176</v>
      </c>
    </row>
    <row r="634" spans="1:5">
      <c r="A634">
        <v>10278</v>
      </c>
      <c r="B634" s="80">
        <v>35289</v>
      </c>
      <c r="C634">
        <v>300</v>
      </c>
      <c r="D634">
        <v>25</v>
      </c>
      <c r="E634" t="s">
        <v>176</v>
      </c>
    </row>
    <row r="635" spans="1:5">
      <c r="A635">
        <v>10278</v>
      </c>
      <c r="B635" s="80">
        <v>35289</v>
      </c>
      <c r="C635">
        <v>248</v>
      </c>
      <c r="D635">
        <v>16</v>
      </c>
      <c r="E635" t="s">
        <v>178</v>
      </c>
    </row>
    <row r="636" spans="1:5">
      <c r="A636">
        <v>10278</v>
      </c>
      <c r="B636" s="80">
        <v>35289</v>
      </c>
      <c r="C636">
        <v>660</v>
      </c>
      <c r="D636">
        <v>15</v>
      </c>
      <c r="E636" t="s">
        <v>178</v>
      </c>
    </row>
    <row r="637" spans="1:5">
      <c r="A637">
        <v>10278</v>
      </c>
      <c r="B637" s="80">
        <v>35289</v>
      </c>
      <c r="C637">
        <v>280.8</v>
      </c>
      <c r="D637">
        <v>8</v>
      </c>
      <c r="E637" t="s">
        <v>178</v>
      </c>
    </row>
    <row r="638" spans="1:5">
      <c r="A638">
        <v>10278</v>
      </c>
      <c r="B638" s="80">
        <v>35289</v>
      </c>
      <c r="C638">
        <v>300</v>
      </c>
      <c r="D638">
        <v>25</v>
      </c>
      <c r="E638" t="s">
        <v>177</v>
      </c>
    </row>
    <row r="639" spans="1:5">
      <c r="A639">
        <v>10278</v>
      </c>
      <c r="B639" s="80">
        <v>35289</v>
      </c>
      <c r="C639">
        <v>248</v>
      </c>
      <c r="D639">
        <v>16</v>
      </c>
      <c r="E639" t="s">
        <v>179</v>
      </c>
    </row>
    <row r="640" spans="1:5">
      <c r="A640">
        <v>10278</v>
      </c>
      <c r="B640" s="80">
        <v>35289</v>
      </c>
      <c r="C640">
        <v>280.8</v>
      </c>
      <c r="D640">
        <v>8</v>
      </c>
      <c r="E640" t="s">
        <v>175</v>
      </c>
    </row>
    <row r="641" spans="1:5">
      <c r="A641">
        <v>10278</v>
      </c>
      <c r="B641" s="80">
        <v>35289</v>
      </c>
      <c r="C641">
        <v>248</v>
      </c>
      <c r="D641">
        <v>16</v>
      </c>
      <c r="E641" t="s">
        <v>175</v>
      </c>
    </row>
    <row r="642" spans="1:5">
      <c r="A642">
        <v>10278</v>
      </c>
      <c r="B642" s="80">
        <v>35289</v>
      </c>
      <c r="C642">
        <v>300</v>
      </c>
      <c r="D642">
        <v>25</v>
      </c>
      <c r="E642" t="s">
        <v>174</v>
      </c>
    </row>
    <row r="643" spans="1:5">
      <c r="A643">
        <v>10278</v>
      </c>
      <c r="B643" s="80">
        <v>35289</v>
      </c>
      <c r="C643">
        <v>280.8</v>
      </c>
      <c r="D643">
        <v>8</v>
      </c>
      <c r="E643" t="s">
        <v>174</v>
      </c>
    </row>
    <row r="644" spans="1:5">
      <c r="A644">
        <v>10278</v>
      </c>
      <c r="B644" s="80">
        <v>35289</v>
      </c>
      <c r="C644">
        <v>660</v>
      </c>
      <c r="D644">
        <v>15</v>
      </c>
      <c r="E644" t="s">
        <v>174</v>
      </c>
    </row>
    <row r="645" spans="1:5">
      <c r="A645">
        <v>10278</v>
      </c>
      <c r="B645" s="80">
        <v>35289</v>
      </c>
      <c r="C645">
        <v>248</v>
      </c>
      <c r="D645">
        <v>16</v>
      </c>
      <c r="E645" t="s">
        <v>174</v>
      </c>
    </row>
    <row r="646" spans="1:5">
      <c r="A646">
        <v>10278</v>
      </c>
      <c r="B646" s="80">
        <v>35289</v>
      </c>
      <c r="C646">
        <v>300</v>
      </c>
      <c r="D646">
        <v>25</v>
      </c>
      <c r="E646" t="s">
        <v>172</v>
      </c>
    </row>
    <row r="647" spans="1:5">
      <c r="A647">
        <v>10278</v>
      </c>
      <c r="B647" s="80">
        <v>35289</v>
      </c>
      <c r="C647">
        <v>280.8</v>
      </c>
      <c r="D647">
        <v>8</v>
      </c>
      <c r="E647" t="s">
        <v>172</v>
      </c>
    </row>
    <row r="648" spans="1:5">
      <c r="A648">
        <v>10278</v>
      </c>
      <c r="B648" s="80">
        <v>35289</v>
      </c>
      <c r="C648">
        <v>248</v>
      </c>
      <c r="D648">
        <v>16</v>
      </c>
      <c r="E648" t="s">
        <v>172</v>
      </c>
    </row>
    <row r="649" spans="1:5">
      <c r="A649">
        <v>10278</v>
      </c>
      <c r="B649" s="80">
        <v>35289</v>
      </c>
      <c r="C649">
        <v>660</v>
      </c>
      <c r="D649">
        <v>15</v>
      </c>
      <c r="E649" t="s">
        <v>179</v>
      </c>
    </row>
    <row r="650" spans="1:5">
      <c r="A650">
        <v>10278</v>
      </c>
      <c r="B650" s="80">
        <v>35289</v>
      </c>
      <c r="C650">
        <v>280.8</v>
      </c>
      <c r="D650">
        <v>8</v>
      </c>
      <c r="E650" t="s">
        <v>179</v>
      </c>
    </row>
    <row r="651" spans="1:5">
      <c r="A651">
        <v>10278</v>
      </c>
      <c r="B651" s="80">
        <v>35289</v>
      </c>
      <c r="C651">
        <v>300</v>
      </c>
      <c r="D651">
        <v>25</v>
      </c>
      <c r="E651" t="s">
        <v>179</v>
      </c>
    </row>
    <row r="652" spans="1:5">
      <c r="A652">
        <v>10278</v>
      </c>
      <c r="B652" s="80">
        <v>35289</v>
      </c>
      <c r="C652">
        <v>300</v>
      </c>
      <c r="D652">
        <v>25</v>
      </c>
      <c r="E652" t="s">
        <v>175</v>
      </c>
    </row>
    <row r="653" spans="1:5">
      <c r="A653">
        <v>10278</v>
      </c>
      <c r="B653" s="80">
        <v>35289</v>
      </c>
      <c r="C653">
        <v>248</v>
      </c>
      <c r="D653">
        <v>16</v>
      </c>
      <c r="E653" t="s">
        <v>173</v>
      </c>
    </row>
    <row r="654" spans="1:5">
      <c r="A654">
        <v>10278</v>
      </c>
      <c r="B654" s="80">
        <v>35289</v>
      </c>
      <c r="C654">
        <v>660</v>
      </c>
      <c r="D654">
        <v>15</v>
      </c>
      <c r="E654" t="s">
        <v>172</v>
      </c>
    </row>
    <row r="655" spans="1:5">
      <c r="A655">
        <v>10278</v>
      </c>
      <c r="B655" s="80">
        <v>35289</v>
      </c>
      <c r="C655">
        <v>660</v>
      </c>
      <c r="D655">
        <v>15</v>
      </c>
      <c r="E655" t="s">
        <v>173</v>
      </c>
    </row>
    <row r="656" spans="1:5">
      <c r="A656">
        <v>10278</v>
      </c>
      <c r="B656" s="80">
        <v>35289</v>
      </c>
      <c r="C656">
        <v>280.8</v>
      </c>
      <c r="D656">
        <v>8</v>
      </c>
      <c r="E656" t="s">
        <v>173</v>
      </c>
    </row>
    <row r="657" spans="1:5">
      <c r="A657">
        <v>10278</v>
      </c>
      <c r="B657" s="80">
        <v>35289</v>
      </c>
      <c r="C657">
        <v>300</v>
      </c>
      <c r="D657">
        <v>25</v>
      </c>
      <c r="E657" t="s">
        <v>173</v>
      </c>
    </row>
    <row r="658" spans="1:5">
      <c r="A658">
        <v>10279</v>
      </c>
      <c r="B658" s="80">
        <v>35290</v>
      </c>
      <c r="C658">
        <v>351</v>
      </c>
      <c r="D658">
        <v>15</v>
      </c>
      <c r="E658" t="s">
        <v>178</v>
      </c>
    </row>
    <row r="659" spans="1:5">
      <c r="A659">
        <v>10279</v>
      </c>
      <c r="B659" s="80">
        <v>35290</v>
      </c>
      <c r="C659">
        <v>351</v>
      </c>
      <c r="D659">
        <v>15</v>
      </c>
      <c r="E659" t="s">
        <v>175</v>
      </c>
    </row>
    <row r="660" spans="1:5">
      <c r="A660">
        <v>10279</v>
      </c>
      <c r="B660" s="80">
        <v>35290</v>
      </c>
      <c r="C660">
        <v>351</v>
      </c>
      <c r="D660">
        <v>15</v>
      </c>
      <c r="E660" t="s">
        <v>172</v>
      </c>
    </row>
    <row r="661" spans="1:5">
      <c r="A661">
        <v>10279</v>
      </c>
      <c r="B661" s="80">
        <v>35290</v>
      </c>
      <c r="C661">
        <v>351</v>
      </c>
      <c r="D661">
        <v>15</v>
      </c>
      <c r="E661" t="s">
        <v>177</v>
      </c>
    </row>
    <row r="662" spans="1:5">
      <c r="A662">
        <v>10279</v>
      </c>
      <c r="B662" s="80">
        <v>35290</v>
      </c>
      <c r="C662">
        <v>351</v>
      </c>
      <c r="D662">
        <v>15</v>
      </c>
      <c r="E662" t="s">
        <v>173</v>
      </c>
    </row>
    <row r="663" spans="1:5">
      <c r="A663">
        <v>10279</v>
      </c>
      <c r="B663" s="80">
        <v>35290</v>
      </c>
      <c r="C663">
        <v>351</v>
      </c>
      <c r="D663">
        <v>15</v>
      </c>
      <c r="E663" t="s">
        <v>176</v>
      </c>
    </row>
    <row r="664" spans="1:5">
      <c r="A664">
        <v>10279</v>
      </c>
      <c r="B664" s="80">
        <v>35290</v>
      </c>
      <c r="C664">
        <v>351</v>
      </c>
      <c r="D664">
        <v>15</v>
      </c>
      <c r="E664" t="s">
        <v>179</v>
      </c>
    </row>
    <row r="665" spans="1:5">
      <c r="A665">
        <v>10279</v>
      </c>
      <c r="B665" s="80">
        <v>35290</v>
      </c>
      <c r="C665">
        <v>351</v>
      </c>
      <c r="D665">
        <v>15</v>
      </c>
      <c r="E665" t="s">
        <v>174</v>
      </c>
    </row>
    <row r="666" spans="1:5">
      <c r="A666">
        <v>10280</v>
      </c>
      <c r="B666" s="80">
        <v>35291</v>
      </c>
      <c r="C666">
        <v>384</v>
      </c>
      <c r="D666">
        <v>20</v>
      </c>
      <c r="E666" t="s">
        <v>172</v>
      </c>
    </row>
    <row r="667" spans="1:5">
      <c r="A667">
        <v>10280</v>
      </c>
      <c r="B667" s="80">
        <v>35291</v>
      </c>
      <c r="C667">
        <v>384</v>
      </c>
      <c r="D667">
        <v>20</v>
      </c>
      <c r="E667" t="s">
        <v>178</v>
      </c>
    </row>
    <row r="668" spans="1:5">
      <c r="A668">
        <v>10280</v>
      </c>
      <c r="B668" s="80">
        <v>35291</v>
      </c>
      <c r="C668">
        <v>43.2</v>
      </c>
      <c r="D668">
        <v>12</v>
      </c>
      <c r="E668" t="s">
        <v>178</v>
      </c>
    </row>
    <row r="669" spans="1:5">
      <c r="A669">
        <v>10280</v>
      </c>
      <c r="B669" s="80">
        <v>35291</v>
      </c>
      <c r="C669">
        <v>384</v>
      </c>
      <c r="D669">
        <v>20</v>
      </c>
      <c r="E669" t="s">
        <v>175</v>
      </c>
    </row>
    <row r="670" spans="1:5">
      <c r="A670">
        <v>10280</v>
      </c>
      <c r="B670" s="80">
        <v>35291</v>
      </c>
      <c r="C670">
        <v>43.2</v>
      </c>
      <c r="D670">
        <v>12</v>
      </c>
      <c r="E670" t="s">
        <v>175</v>
      </c>
    </row>
    <row r="671" spans="1:5">
      <c r="A671">
        <v>10280</v>
      </c>
      <c r="B671" s="80">
        <v>35291</v>
      </c>
      <c r="C671">
        <v>384</v>
      </c>
      <c r="D671">
        <v>20</v>
      </c>
      <c r="E671" t="s">
        <v>176</v>
      </c>
    </row>
    <row r="672" spans="1:5">
      <c r="A672">
        <v>10280</v>
      </c>
      <c r="B672" s="80">
        <v>35291</v>
      </c>
      <c r="C672">
        <v>186</v>
      </c>
      <c r="D672">
        <v>30</v>
      </c>
      <c r="E672" t="s">
        <v>177</v>
      </c>
    </row>
    <row r="673" spans="1:5">
      <c r="A673">
        <v>10280</v>
      </c>
      <c r="B673" s="80">
        <v>35291</v>
      </c>
      <c r="C673">
        <v>384</v>
      </c>
      <c r="D673">
        <v>20</v>
      </c>
      <c r="E673" t="s">
        <v>177</v>
      </c>
    </row>
    <row r="674" spans="1:5">
      <c r="A674">
        <v>10280</v>
      </c>
      <c r="B674" s="80">
        <v>35291</v>
      </c>
      <c r="C674">
        <v>43.2</v>
      </c>
      <c r="D674">
        <v>12</v>
      </c>
      <c r="E674" t="s">
        <v>177</v>
      </c>
    </row>
    <row r="675" spans="1:5">
      <c r="A675">
        <v>10280</v>
      </c>
      <c r="B675" s="80">
        <v>35291</v>
      </c>
      <c r="C675">
        <v>186</v>
      </c>
      <c r="D675">
        <v>30</v>
      </c>
      <c r="E675" t="s">
        <v>174</v>
      </c>
    </row>
    <row r="676" spans="1:5">
      <c r="A676">
        <v>10280</v>
      </c>
      <c r="B676" s="80">
        <v>35291</v>
      </c>
      <c r="C676">
        <v>384</v>
      </c>
      <c r="D676">
        <v>20</v>
      </c>
      <c r="E676" t="s">
        <v>174</v>
      </c>
    </row>
    <row r="677" spans="1:5">
      <c r="A677">
        <v>10280</v>
      </c>
      <c r="B677" s="80">
        <v>35291</v>
      </c>
      <c r="C677">
        <v>43.2</v>
      </c>
      <c r="D677">
        <v>12</v>
      </c>
      <c r="E677" t="s">
        <v>172</v>
      </c>
    </row>
    <row r="678" spans="1:5">
      <c r="A678">
        <v>10280</v>
      </c>
      <c r="B678" s="80">
        <v>35291</v>
      </c>
      <c r="C678">
        <v>384</v>
      </c>
      <c r="D678">
        <v>20</v>
      </c>
      <c r="E678" t="s">
        <v>179</v>
      </c>
    </row>
    <row r="679" spans="1:5">
      <c r="A679">
        <v>10280</v>
      </c>
      <c r="B679" s="80">
        <v>35291</v>
      </c>
      <c r="C679">
        <v>186</v>
      </c>
      <c r="D679">
        <v>30</v>
      </c>
      <c r="E679" t="s">
        <v>172</v>
      </c>
    </row>
    <row r="680" spans="1:5">
      <c r="A680">
        <v>10280</v>
      </c>
      <c r="B680" s="80">
        <v>35291</v>
      </c>
      <c r="C680">
        <v>43.2</v>
      </c>
      <c r="D680">
        <v>12</v>
      </c>
      <c r="E680" t="s">
        <v>174</v>
      </c>
    </row>
    <row r="681" spans="1:5">
      <c r="A681">
        <v>10280</v>
      </c>
      <c r="B681" s="80">
        <v>35291</v>
      </c>
      <c r="C681">
        <v>186</v>
      </c>
      <c r="D681">
        <v>30</v>
      </c>
      <c r="E681" t="s">
        <v>175</v>
      </c>
    </row>
    <row r="682" spans="1:5">
      <c r="A682">
        <v>10280</v>
      </c>
      <c r="B682" s="80">
        <v>35291</v>
      </c>
      <c r="C682">
        <v>43.2</v>
      </c>
      <c r="D682">
        <v>12</v>
      </c>
      <c r="E682" t="s">
        <v>179</v>
      </c>
    </row>
    <row r="683" spans="1:5">
      <c r="A683">
        <v>10280</v>
      </c>
      <c r="B683" s="80">
        <v>35291</v>
      </c>
      <c r="C683">
        <v>43.2</v>
      </c>
      <c r="D683">
        <v>12</v>
      </c>
      <c r="E683" t="s">
        <v>176</v>
      </c>
    </row>
    <row r="684" spans="1:5">
      <c r="A684">
        <v>10280</v>
      </c>
      <c r="B684" s="80">
        <v>35291</v>
      </c>
      <c r="C684">
        <v>186</v>
      </c>
      <c r="D684">
        <v>30</v>
      </c>
      <c r="E684" t="s">
        <v>176</v>
      </c>
    </row>
    <row r="685" spans="1:5">
      <c r="A685">
        <v>10280</v>
      </c>
      <c r="B685" s="80">
        <v>35291</v>
      </c>
      <c r="C685">
        <v>186</v>
      </c>
      <c r="D685">
        <v>30</v>
      </c>
      <c r="E685" t="s">
        <v>173</v>
      </c>
    </row>
    <row r="686" spans="1:5">
      <c r="A686">
        <v>10280</v>
      </c>
      <c r="B686" s="80">
        <v>35291</v>
      </c>
      <c r="C686">
        <v>384</v>
      </c>
      <c r="D686">
        <v>20</v>
      </c>
      <c r="E686" t="s">
        <v>173</v>
      </c>
    </row>
    <row r="687" spans="1:5">
      <c r="A687">
        <v>10280</v>
      </c>
      <c r="B687" s="80">
        <v>35291</v>
      </c>
      <c r="C687">
        <v>186</v>
      </c>
      <c r="D687">
        <v>30</v>
      </c>
      <c r="E687" t="s">
        <v>178</v>
      </c>
    </row>
    <row r="688" spans="1:5">
      <c r="A688">
        <v>10280</v>
      </c>
      <c r="B688" s="80">
        <v>35291</v>
      </c>
      <c r="C688">
        <v>43.2</v>
      </c>
      <c r="D688">
        <v>12</v>
      </c>
      <c r="E688" t="s">
        <v>173</v>
      </c>
    </row>
    <row r="689" spans="1:5">
      <c r="A689">
        <v>10280</v>
      </c>
      <c r="B689" s="80">
        <v>35291</v>
      </c>
      <c r="C689">
        <v>186</v>
      </c>
      <c r="D689">
        <v>30</v>
      </c>
      <c r="E689" t="s">
        <v>179</v>
      </c>
    </row>
    <row r="690" spans="1:5">
      <c r="A690">
        <v>10281</v>
      </c>
      <c r="B690" s="80">
        <v>35291</v>
      </c>
      <c r="C690">
        <v>7.3</v>
      </c>
      <c r="D690">
        <v>1</v>
      </c>
      <c r="E690" t="s">
        <v>176</v>
      </c>
    </row>
    <row r="691" spans="1:5">
      <c r="A691">
        <v>10281</v>
      </c>
      <c r="B691" s="80">
        <v>35291</v>
      </c>
      <c r="C691">
        <v>21.6</v>
      </c>
      <c r="D691">
        <v>6</v>
      </c>
      <c r="E691" t="s">
        <v>178</v>
      </c>
    </row>
    <row r="692" spans="1:5">
      <c r="A692">
        <v>10281</v>
      </c>
      <c r="B692" s="80">
        <v>35291</v>
      </c>
      <c r="C692">
        <v>7.3</v>
      </c>
      <c r="D692">
        <v>1</v>
      </c>
      <c r="E692" t="s">
        <v>178</v>
      </c>
    </row>
    <row r="693" spans="1:5">
      <c r="A693">
        <v>10281</v>
      </c>
      <c r="B693" s="80">
        <v>35291</v>
      </c>
      <c r="C693">
        <v>57.6</v>
      </c>
      <c r="D693">
        <v>4</v>
      </c>
      <c r="E693" t="s">
        <v>179</v>
      </c>
    </row>
    <row r="694" spans="1:5">
      <c r="A694">
        <v>10281</v>
      </c>
      <c r="B694" s="80">
        <v>35291</v>
      </c>
      <c r="C694">
        <v>21.6</v>
      </c>
      <c r="D694">
        <v>6</v>
      </c>
      <c r="E694" t="s">
        <v>179</v>
      </c>
    </row>
    <row r="695" spans="1:5">
      <c r="A695">
        <v>10281</v>
      </c>
      <c r="B695" s="80">
        <v>35291</v>
      </c>
      <c r="C695">
        <v>7.3</v>
      </c>
      <c r="D695">
        <v>1</v>
      </c>
      <c r="E695" t="s">
        <v>179</v>
      </c>
    </row>
    <row r="696" spans="1:5">
      <c r="A696">
        <v>10281</v>
      </c>
      <c r="B696" s="80">
        <v>35291</v>
      </c>
      <c r="C696">
        <v>7.3</v>
      </c>
      <c r="D696">
        <v>1</v>
      </c>
      <c r="E696" t="s">
        <v>175</v>
      </c>
    </row>
    <row r="697" spans="1:5">
      <c r="A697">
        <v>10281</v>
      </c>
      <c r="B697" s="80">
        <v>35291</v>
      </c>
      <c r="C697">
        <v>21.6</v>
      </c>
      <c r="D697">
        <v>6</v>
      </c>
      <c r="E697" t="s">
        <v>175</v>
      </c>
    </row>
    <row r="698" spans="1:5">
      <c r="A698">
        <v>10281</v>
      </c>
      <c r="B698" s="80">
        <v>35291</v>
      </c>
      <c r="C698">
        <v>57.6</v>
      </c>
      <c r="D698">
        <v>4</v>
      </c>
      <c r="E698" t="s">
        <v>175</v>
      </c>
    </row>
    <row r="699" spans="1:5">
      <c r="A699">
        <v>10281</v>
      </c>
      <c r="B699" s="80">
        <v>35291</v>
      </c>
      <c r="C699">
        <v>57.6</v>
      </c>
      <c r="D699">
        <v>4</v>
      </c>
      <c r="E699" t="s">
        <v>178</v>
      </c>
    </row>
    <row r="700" spans="1:5">
      <c r="A700">
        <v>10281</v>
      </c>
      <c r="B700" s="80">
        <v>35291</v>
      </c>
      <c r="C700">
        <v>57.6</v>
      </c>
      <c r="D700">
        <v>4</v>
      </c>
      <c r="E700" t="s">
        <v>173</v>
      </c>
    </row>
    <row r="701" spans="1:5">
      <c r="A701">
        <v>10281</v>
      </c>
      <c r="B701" s="80">
        <v>35291</v>
      </c>
      <c r="C701">
        <v>21.6</v>
      </c>
      <c r="D701">
        <v>6</v>
      </c>
      <c r="E701" t="s">
        <v>173</v>
      </c>
    </row>
    <row r="702" spans="1:5">
      <c r="A702">
        <v>10281</v>
      </c>
      <c r="B702" s="80">
        <v>35291</v>
      </c>
      <c r="C702">
        <v>21.6</v>
      </c>
      <c r="D702">
        <v>6</v>
      </c>
      <c r="E702" t="s">
        <v>176</v>
      </c>
    </row>
    <row r="703" spans="1:5">
      <c r="A703">
        <v>10281</v>
      </c>
      <c r="B703" s="80">
        <v>35291</v>
      </c>
      <c r="C703">
        <v>57.6</v>
      </c>
      <c r="D703">
        <v>4</v>
      </c>
      <c r="E703" t="s">
        <v>176</v>
      </c>
    </row>
    <row r="704" spans="1:5">
      <c r="A704">
        <v>10281</v>
      </c>
      <c r="B704" s="80">
        <v>35291</v>
      </c>
      <c r="C704">
        <v>57.6</v>
      </c>
      <c r="D704">
        <v>4</v>
      </c>
      <c r="E704" t="s">
        <v>174</v>
      </c>
    </row>
    <row r="705" spans="1:5">
      <c r="A705">
        <v>10281</v>
      </c>
      <c r="B705" s="80">
        <v>35291</v>
      </c>
      <c r="C705">
        <v>21.6</v>
      </c>
      <c r="D705">
        <v>6</v>
      </c>
      <c r="E705" t="s">
        <v>174</v>
      </c>
    </row>
    <row r="706" spans="1:5">
      <c r="A706">
        <v>10281</v>
      </c>
      <c r="B706" s="80">
        <v>35291</v>
      </c>
      <c r="C706">
        <v>7.3</v>
      </c>
      <c r="D706">
        <v>1</v>
      </c>
      <c r="E706" t="s">
        <v>174</v>
      </c>
    </row>
    <row r="707" spans="1:5">
      <c r="A707">
        <v>10281</v>
      </c>
      <c r="B707" s="80">
        <v>35291</v>
      </c>
      <c r="C707">
        <v>7.3</v>
      </c>
      <c r="D707">
        <v>1</v>
      </c>
      <c r="E707" t="s">
        <v>172</v>
      </c>
    </row>
    <row r="708" spans="1:5">
      <c r="A708">
        <v>10281</v>
      </c>
      <c r="B708" s="80">
        <v>35291</v>
      </c>
      <c r="C708">
        <v>21.6</v>
      </c>
      <c r="D708">
        <v>6</v>
      </c>
      <c r="E708" t="s">
        <v>172</v>
      </c>
    </row>
    <row r="709" spans="1:5">
      <c r="A709">
        <v>10281</v>
      </c>
      <c r="B709" s="80">
        <v>35291</v>
      </c>
      <c r="C709">
        <v>57.6</v>
      </c>
      <c r="D709">
        <v>4</v>
      </c>
      <c r="E709" t="s">
        <v>172</v>
      </c>
    </row>
    <row r="710" spans="1:5">
      <c r="A710">
        <v>10281</v>
      </c>
      <c r="B710" s="80">
        <v>35291</v>
      </c>
      <c r="C710">
        <v>7.3</v>
      </c>
      <c r="D710">
        <v>1</v>
      </c>
      <c r="E710" t="s">
        <v>173</v>
      </c>
    </row>
    <row r="711" spans="1:5">
      <c r="A711">
        <v>10281</v>
      </c>
      <c r="B711" s="80">
        <v>35291</v>
      </c>
      <c r="C711">
        <v>7.3</v>
      </c>
      <c r="D711">
        <v>1</v>
      </c>
      <c r="E711" t="s">
        <v>177</v>
      </c>
    </row>
    <row r="712" spans="1:5">
      <c r="A712">
        <v>10281</v>
      </c>
      <c r="B712" s="80">
        <v>35291</v>
      </c>
      <c r="C712">
        <v>21.6</v>
      </c>
      <c r="D712">
        <v>6</v>
      </c>
      <c r="E712" t="s">
        <v>177</v>
      </c>
    </row>
    <row r="713" spans="1:5">
      <c r="A713">
        <v>10281</v>
      </c>
      <c r="B713" s="80">
        <v>35291</v>
      </c>
      <c r="C713">
        <v>57.6</v>
      </c>
      <c r="D713">
        <v>4</v>
      </c>
      <c r="E713" t="s">
        <v>177</v>
      </c>
    </row>
    <row r="714" spans="1:5">
      <c r="A714">
        <v>10282</v>
      </c>
      <c r="B714" s="80">
        <v>35292</v>
      </c>
      <c r="C714">
        <v>31.2</v>
      </c>
      <c r="D714">
        <v>2</v>
      </c>
      <c r="E714" t="s">
        <v>178</v>
      </c>
    </row>
    <row r="715" spans="1:5">
      <c r="A715">
        <v>10282</v>
      </c>
      <c r="B715" s="80">
        <v>35292</v>
      </c>
      <c r="C715">
        <v>31.2</v>
      </c>
      <c r="D715">
        <v>2</v>
      </c>
      <c r="E715" t="s">
        <v>179</v>
      </c>
    </row>
    <row r="716" spans="1:5">
      <c r="A716">
        <v>10282</v>
      </c>
      <c r="B716" s="80">
        <v>35292</v>
      </c>
      <c r="C716">
        <v>124.2</v>
      </c>
      <c r="D716">
        <v>6</v>
      </c>
      <c r="E716" t="s">
        <v>179</v>
      </c>
    </row>
    <row r="717" spans="1:5">
      <c r="A717">
        <v>10282</v>
      </c>
      <c r="B717" s="80">
        <v>35292</v>
      </c>
      <c r="C717">
        <v>124.2</v>
      </c>
      <c r="D717">
        <v>6</v>
      </c>
      <c r="E717" t="s">
        <v>174</v>
      </c>
    </row>
    <row r="718" spans="1:5">
      <c r="A718">
        <v>10282</v>
      </c>
      <c r="B718" s="80">
        <v>35292</v>
      </c>
      <c r="C718">
        <v>124.2</v>
      </c>
      <c r="D718">
        <v>6</v>
      </c>
      <c r="E718" t="s">
        <v>177</v>
      </c>
    </row>
    <row r="719" spans="1:5">
      <c r="A719">
        <v>10282</v>
      </c>
      <c r="B719" s="80">
        <v>35292</v>
      </c>
      <c r="C719">
        <v>124.2</v>
      </c>
      <c r="D719">
        <v>6</v>
      </c>
      <c r="E719" t="s">
        <v>173</v>
      </c>
    </row>
    <row r="720" spans="1:5">
      <c r="A720">
        <v>10282</v>
      </c>
      <c r="B720" s="80">
        <v>35292</v>
      </c>
      <c r="C720">
        <v>31.2</v>
      </c>
      <c r="D720">
        <v>2</v>
      </c>
      <c r="E720" t="s">
        <v>174</v>
      </c>
    </row>
    <row r="721" spans="1:5">
      <c r="A721">
        <v>10282</v>
      </c>
      <c r="B721" s="80">
        <v>35292</v>
      </c>
      <c r="C721">
        <v>124.2</v>
      </c>
      <c r="D721">
        <v>6</v>
      </c>
      <c r="E721" t="s">
        <v>178</v>
      </c>
    </row>
    <row r="722" spans="1:5">
      <c r="A722">
        <v>10282</v>
      </c>
      <c r="B722" s="80">
        <v>35292</v>
      </c>
      <c r="C722">
        <v>31.2</v>
      </c>
      <c r="D722">
        <v>2</v>
      </c>
      <c r="E722" t="s">
        <v>173</v>
      </c>
    </row>
    <row r="723" spans="1:5">
      <c r="A723">
        <v>10282</v>
      </c>
      <c r="B723" s="80">
        <v>35292</v>
      </c>
      <c r="C723">
        <v>124.2</v>
      </c>
      <c r="D723">
        <v>6</v>
      </c>
      <c r="E723" t="s">
        <v>175</v>
      </c>
    </row>
    <row r="724" spans="1:5">
      <c r="A724">
        <v>10282</v>
      </c>
      <c r="B724" s="80">
        <v>35292</v>
      </c>
      <c r="C724">
        <v>31.2</v>
      </c>
      <c r="D724">
        <v>2</v>
      </c>
      <c r="E724" t="s">
        <v>176</v>
      </c>
    </row>
    <row r="725" spans="1:5">
      <c r="A725">
        <v>10282</v>
      </c>
      <c r="B725" s="80">
        <v>35292</v>
      </c>
      <c r="C725">
        <v>31.2</v>
      </c>
      <c r="D725">
        <v>2</v>
      </c>
      <c r="E725" t="s">
        <v>177</v>
      </c>
    </row>
    <row r="726" spans="1:5">
      <c r="A726">
        <v>10282</v>
      </c>
      <c r="B726" s="80">
        <v>35292</v>
      </c>
      <c r="C726">
        <v>124.2</v>
      </c>
      <c r="D726">
        <v>6</v>
      </c>
      <c r="E726" t="s">
        <v>176</v>
      </c>
    </row>
    <row r="727" spans="1:5">
      <c r="A727">
        <v>10282</v>
      </c>
      <c r="B727" s="80">
        <v>35292</v>
      </c>
      <c r="C727">
        <v>124.2</v>
      </c>
      <c r="D727">
        <v>6</v>
      </c>
      <c r="E727" t="s">
        <v>172</v>
      </c>
    </row>
    <row r="728" spans="1:5">
      <c r="A728">
        <v>10282</v>
      </c>
      <c r="B728" s="80">
        <v>35292</v>
      </c>
      <c r="C728">
        <v>31.2</v>
      </c>
      <c r="D728">
        <v>2</v>
      </c>
      <c r="E728" t="s">
        <v>172</v>
      </c>
    </row>
    <row r="729" spans="1:5">
      <c r="A729">
        <v>10282</v>
      </c>
      <c r="B729" s="80">
        <v>35292</v>
      </c>
      <c r="C729">
        <v>31.2</v>
      </c>
      <c r="D729">
        <v>2</v>
      </c>
      <c r="E729" t="s">
        <v>175</v>
      </c>
    </row>
    <row r="730" spans="1:5">
      <c r="A730">
        <v>10283</v>
      </c>
      <c r="B730" s="80">
        <v>35293</v>
      </c>
      <c r="C730">
        <v>248</v>
      </c>
      <c r="D730">
        <v>20</v>
      </c>
      <c r="E730" t="s">
        <v>175</v>
      </c>
    </row>
    <row r="731" spans="1:5">
      <c r="A731">
        <v>10283</v>
      </c>
      <c r="B731" s="80">
        <v>35293</v>
      </c>
      <c r="C731">
        <v>131.4</v>
      </c>
      <c r="D731">
        <v>18</v>
      </c>
      <c r="E731" t="s">
        <v>175</v>
      </c>
    </row>
    <row r="732" spans="1:5">
      <c r="A732">
        <v>10283</v>
      </c>
      <c r="B732" s="80">
        <v>35293</v>
      </c>
      <c r="C732">
        <v>952</v>
      </c>
      <c r="D732">
        <v>35</v>
      </c>
      <c r="E732" t="s">
        <v>175</v>
      </c>
    </row>
    <row r="733" spans="1:5">
      <c r="A733">
        <v>10283</v>
      </c>
      <c r="B733" s="80">
        <v>35293</v>
      </c>
      <c r="C733">
        <v>83.4</v>
      </c>
      <c r="D733">
        <v>3</v>
      </c>
      <c r="E733" t="s">
        <v>175</v>
      </c>
    </row>
    <row r="734" spans="1:5">
      <c r="A734">
        <v>10283</v>
      </c>
      <c r="B734" s="80">
        <v>35293</v>
      </c>
      <c r="C734">
        <v>248</v>
      </c>
      <c r="D734">
        <v>20</v>
      </c>
      <c r="E734" t="s">
        <v>174</v>
      </c>
    </row>
    <row r="735" spans="1:5">
      <c r="A735">
        <v>10283</v>
      </c>
      <c r="B735" s="80">
        <v>35293</v>
      </c>
      <c r="C735">
        <v>131.4</v>
      </c>
      <c r="D735">
        <v>18</v>
      </c>
      <c r="E735" t="s">
        <v>174</v>
      </c>
    </row>
    <row r="736" spans="1:5">
      <c r="A736">
        <v>10283</v>
      </c>
      <c r="B736" s="80">
        <v>35293</v>
      </c>
      <c r="C736">
        <v>952</v>
      </c>
      <c r="D736">
        <v>35</v>
      </c>
      <c r="E736" t="s">
        <v>174</v>
      </c>
    </row>
    <row r="737" spans="1:5">
      <c r="A737">
        <v>10283</v>
      </c>
      <c r="B737" s="80">
        <v>35293</v>
      </c>
      <c r="C737">
        <v>83.4</v>
      </c>
      <c r="D737">
        <v>3</v>
      </c>
      <c r="E737" t="s">
        <v>174</v>
      </c>
    </row>
    <row r="738" spans="1:5">
      <c r="A738">
        <v>10283</v>
      </c>
      <c r="B738" s="80">
        <v>35293</v>
      </c>
      <c r="C738">
        <v>248</v>
      </c>
      <c r="D738">
        <v>20</v>
      </c>
      <c r="E738" t="s">
        <v>173</v>
      </c>
    </row>
    <row r="739" spans="1:5">
      <c r="A739">
        <v>10283</v>
      </c>
      <c r="B739" s="80">
        <v>35293</v>
      </c>
      <c r="C739">
        <v>131.4</v>
      </c>
      <c r="D739">
        <v>18</v>
      </c>
      <c r="E739" t="s">
        <v>173</v>
      </c>
    </row>
    <row r="740" spans="1:5">
      <c r="A740">
        <v>10283</v>
      </c>
      <c r="B740" s="80">
        <v>35293</v>
      </c>
      <c r="C740">
        <v>952</v>
      </c>
      <c r="D740">
        <v>35</v>
      </c>
      <c r="E740" t="s">
        <v>173</v>
      </c>
    </row>
    <row r="741" spans="1:5">
      <c r="A741">
        <v>10283</v>
      </c>
      <c r="B741" s="80">
        <v>35293</v>
      </c>
      <c r="C741">
        <v>83.4</v>
      </c>
      <c r="D741">
        <v>3</v>
      </c>
      <c r="E741" t="s">
        <v>173</v>
      </c>
    </row>
    <row r="742" spans="1:5">
      <c r="A742">
        <v>10283</v>
      </c>
      <c r="B742" s="80">
        <v>35293</v>
      </c>
      <c r="C742">
        <v>248</v>
      </c>
      <c r="D742">
        <v>20</v>
      </c>
      <c r="E742" t="s">
        <v>176</v>
      </c>
    </row>
    <row r="743" spans="1:5">
      <c r="A743">
        <v>10283</v>
      </c>
      <c r="B743" s="80">
        <v>35293</v>
      </c>
      <c r="C743">
        <v>83.4</v>
      </c>
      <c r="D743">
        <v>3</v>
      </c>
      <c r="E743" t="s">
        <v>177</v>
      </c>
    </row>
    <row r="744" spans="1:5">
      <c r="A744">
        <v>10283</v>
      </c>
      <c r="B744" s="80">
        <v>35293</v>
      </c>
      <c r="C744">
        <v>952</v>
      </c>
      <c r="D744">
        <v>35</v>
      </c>
      <c r="E744" t="s">
        <v>177</v>
      </c>
    </row>
    <row r="745" spans="1:5">
      <c r="A745">
        <v>10283</v>
      </c>
      <c r="B745" s="80">
        <v>35293</v>
      </c>
      <c r="C745">
        <v>131.4</v>
      </c>
      <c r="D745">
        <v>18</v>
      </c>
      <c r="E745" t="s">
        <v>177</v>
      </c>
    </row>
    <row r="746" spans="1:5">
      <c r="A746">
        <v>10283</v>
      </c>
      <c r="B746" s="80">
        <v>35293</v>
      </c>
      <c r="C746">
        <v>248</v>
      </c>
      <c r="D746">
        <v>20</v>
      </c>
      <c r="E746" t="s">
        <v>172</v>
      </c>
    </row>
    <row r="747" spans="1:5">
      <c r="A747">
        <v>10283</v>
      </c>
      <c r="B747" s="80">
        <v>35293</v>
      </c>
      <c r="C747">
        <v>131.4</v>
      </c>
      <c r="D747">
        <v>18</v>
      </c>
      <c r="E747" t="s">
        <v>179</v>
      </c>
    </row>
    <row r="748" spans="1:5">
      <c r="A748">
        <v>10283</v>
      </c>
      <c r="B748" s="80">
        <v>35293</v>
      </c>
      <c r="C748">
        <v>83.4</v>
      </c>
      <c r="D748">
        <v>3</v>
      </c>
      <c r="E748" t="s">
        <v>172</v>
      </c>
    </row>
    <row r="749" spans="1:5">
      <c r="A749">
        <v>10283</v>
      </c>
      <c r="B749" s="80">
        <v>35293</v>
      </c>
      <c r="C749">
        <v>952</v>
      </c>
      <c r="D749">
        <v>35</v>
      </c>
      <c r="E749" t="s">
        <v>172</v>
      </c>
    </row>
    <row r="750" spans="1:5">
      <c r="A750">
        <v>10283</v>
      </c>
      <c r="B750" s="80">
        <v>35293</v>
      </c>
      <c r="C750">
        <v>248</v>
      </c>
      <c r="D750">
        <v>20</v>
      </c>
      <c r="E750" t="s">
        <v>177</v>
      </c>
    </row>
    <row r="751" spans="1:5">
      <c r="A751">
        <v>10283</v>
      </c>
      <c r="B751" s="80">
        <v>35293</v>
      </c>
      <c r="C751">
        <v>131.4</v>
      </c>
      <c r="D751">
        <v>18</v>
      </c>
      <c r="E751" t="s">
        <v>172</v>
      </c>
    </row>
    <row r="752" spans="1:5">
      <c r="A752">
        <v>10283</v>
      </c>
      <c r="B752" s="80">
        <v>35293</v>
      </c>
      <c r="C752">
        <v>248</v>
      </c>
      <c r="D752">
        <v>20</v>
      </c>
      <c r="E752" t="s">
        <v>178</v>
      </c>
    </row>
    <row r="753" spans="1:5">
      <c r="A753">
        <v>10283</v>
      </c>
      <c r="B753" s="80">
        <v>35293</v>
      </c>
      <c r="C753">
        <v>952</v>
      </c>
      <c r="D753">
        <v>35</v>
      </c>
      <c r="E753" t="s">
        <v>179</v>
      </c>
    </row>
    <row r="754" spans="1:5">
      <c r="A754">
        <v>10283</v>
      </c>
      <c r="B754" s="80">
        <v>35293</v>
      </c>
      <c r="C754">
        <v>248</v>
      </c>
      <c r="D754">
        <v>20</v>
      </c>
      <c r="E754" t="s">
        <v>179</v>
      </c>
    </row>
    <row r="755" spans="1:5">
      <c r="A755">
        <v>10283</v>
      </c>
      <c r="B755" s="80">
        <v>35293</v>
      </c>
      <c r="C755">
        <v>131.4</v>
      </c>
      <c r="D755">
        <v>18</v>
      </c>
      <c r="E755" t="s">
        <v>178</v>
      </c>
    </row>
    <row r="756" spans="1:5">
      <c r="A756">
        <v>10283</v>
      </c>
      <c r="B756" s="80">
        <v>35293</v>
      </c>
      <c r="C756">
        <v>952</v>
      </c>
      <c r="D756">
        <v>35</v>
      </c>
      <c r="E756" t="s">
        <v>178</v>
      </c>
    </row>
    <row r="757" spans="1:5">
      <c r="A757">
        <v>10283</v>
      </c>
      <c r="B757" s="80">
        <v>35293</v>
      </c>
      <c r="C757">
        <v>83.4</v>
      </c>
      <c r="D757">
        <v>3</v>
      </c>
      <c r="E757" t="s">
        <v>176</v>
      </c>
    </row>
    <row r="758" spans="1:5">
      <c r="A758">
        <v>10283</v>
      </c>
      <c r="B758" s="80">
        <v>35293</v>
      </c>
      <c r="C758">
        <v>952</v>
      </c>
      <c r="D758">
        <v>35</v>
      </c>
      <c r="E758" t="s">
        <v>176</v>
      </c>
    </row>
    <row r="759" spans="1:5">
      <c r="A759">
        <v>10283</v>
      </c>
      <c r="B759" s="80">
        <v>35293</v>
      </c>
      <c r="C759">
        <v>83.4</v>
      </c>
      <c r="D759">
        <v>3</v>
      </c>
      <c r="E759" t="s">
        <v>178</v>
      </c>
    </row>
    <row r="760" spans="1:5">
      <c r="A760">
        <v>10283</v>
      </c>
      <c r="B760" s="80">
        <v>35293</v>
      </c>
      <c r="C760">
        <v>131.4</v>
      </c>
      <c r="D760">
        <v>18</v>
      </c>
      <c r="E760" t="s">
        <v>176</v>
      </c>
    </row>
    <row r="761" spans="1:5">
      <c r="A761">
        <v>10283</v>
      </c>
      <c r="B761" s="80">
        <v>35293</v>
      </c>
      <c r="C761">
        <v>83.4</v>
      </c>
      <c r="D761">
        <v>3</v>
      </c>
      <c r="E761" t="s">
        <v>179</v>
      </c>
    </row>
    <row r="762" spans="1:5">
      <c r="A762">
        <v>10284</v>
      </c>
      <c r="B762" s="80">
        <v>35296</v>
      </c>
      <c r="C762">
        <v>42</v>
      </c>
      <c r="D762">
        <v>5</v>
      </c>
      <c r="E762" t="s">
        <v>172</v>
      </c>
    </row>
    <row r="763" spans="1:5">
      <c r="A763">
        <v>10284</v>
      </c>
      <c r="B763" s="80">
        <v>35296</v>
      </c>
      <c r="C763">
        <v>325.5</v>
      </c>
      <c r="D763">
        <v>21</v>
      </c>
      <c r="E763" t="s">
        <v>174</v>
      </c>
    </row>
    <row r="764" spans="1:5">
      <c r="A764">
        <v>10284</v>
      </c>
      <c r="B764" s="80">
        <v>35296</v>
      </c>
      <c r="C764">
        <v>42</v>
      </c>
      <c r="D764">
        <v>5</v>
      </c>
      <c r="E764" t="s">
        <v>174</v>
      </c>
    </row>
    <row r="765" spans="1:5">
      <c r="A765">
        <v>10284</v>
      </c>
      <c r="B765" s="80">
        <v>35296</v>
      </c>
      <c r="C765">
        <v>408</v>
      </c>
      <c r="D765">
        <v>20</v>
      </c>
      <c r="E765" t="s">
        <v>174</v>
      </c>
    </row>
    <row r="766" spans="1:5">
      <c r="A766">
        <v>10284</v>
      </c>
      <c r="B766" s="80">
        <v>35296</v>
      </c>
      <c r="C766">
        <v>394.875</v>
      </c>
      <c r="D766">
        <v>15</v>
      </c>
      <c r="E766" t="s">
        <v>174</v>
      </c>
    </row>
    <row r="767" spans="1:5">
      <c r="A767">
        <v>10284</v>
      </c>
      <c r="B767" s="80">
        <v>35296</v>
      </c>
      <c r="C767">
        <v>394.875</v>
      </c>
      <c r="D767">
        <v>15</v>
      </c>
      <c r="E767" t="s">
        <v>172</v>
      </c>
    </row>
    <row r="768" spans="1:5">
      <c r="A768">
        <v>10284</v>
      </c>
      <c r="B768" s="80">
        <v>35296</v>
      </c>
      <c r="C768">
        <v>42</v>
      </c>
      <c r="D768">
        <v>5</v>
      </c>
      <c r="E768" t="s">
        <v>173</v>
      </c>
    </row>
    <row r="769" spans="1:5">
      <c r="A769">
        <v>10284</v>
      </c>
      <c r="B769" s="80">
        <v>35296</v>
      </c>
      <c r="C769">
        <v>408</v>
      </c>
      <c r="D769">
        <v>20</v>
      </c>
      <c r="E769" t="s">
        <v>172</v>
      </c>
    </row>
    <row r="770" spans="1:5">
      <c r="A770">
        <v>10284</v>
      </c>
      <c r="B770" s="80">
        <v>35296</v>
      </c>
      <c r="C770">
        <v>42</v>
      </c>
      <c r="D770">
        <v>5</v>
      </c>
      <c r="E770" t="s">
        <v>176</v>
      </c>
    </row>
    <row r="771" spans="1:5">
      <c r="A771">
        <v>10284</v>
      </c>
      <c r="B771" s="80">
        <v>35296</v>
      </c>
      <c r="C771">
        <v>408</v>
      </c>
      <c r="D771">
        <v>20</v>
      </c>
      <c r="E771" t="s">
        <v>176</v>
      </c>
    </row>
    <row r="772" spans="1:5">
      <c r="A772">
        <v>10284</v>
      </c>
      <c r="B772" s="80">
        <v>35296</v>
      </c>
      <c r="C772">
        <v>325.5</v>
      </c>
      <c r="D772">
        <v>21</v>
      </c>
      <c r="E772" t="s">
        <v>176</v>
      </c>
    </row>
    <row r="773" spans="1:5">
      <c r="A773">
        <v>10284</v>
      </c>
      <c r="B773" s="80">
        <v>35296</v>
      </c>
      <c r="C773">
        <v>394.875</v>
      </c>
      <c r="D773">
        <v>15</v>
      </c>
      <c r="E773" t="s">
        <v>176</v>
      </c>
    </row>
    <row r="774" spans="1:5">
      <c r="A774">
        <v>10284</v>
      </c>
      <c r="B774" s="80">
        <v>35296</v>
      </c>
      <c r="C774">
        <v>408</v>
      </c>
      <c r="D774">
        <v>20</v>
      </c>
      <c r="E774" t="s">
        <v>173</v>
      </c>
    </row>
    <row r="775" spans="1:5">
      <c r="A775">
        <v>10284</v>
      </c>
      <c r="B775" s="80">
        <v>35296</v>
      </c>
      <c r="C775">
        <v>325.5</v>
      </c>
      <c r="D775">
        <v>21</v>
      </c>
      <c r="E775" t="s">
        <v>172</v>
      </c>
    </row>
    <row r="776" spans="1:5">
      <c r="A776">
        <v>10284</v>
      </c>
      <c r="B776" s="80">
        <v>35296</v>
      </c>
      <c r="C776">
        <v>394.875</v>
      </c>
      <c r="D776">
        <v>15</v>
      </c>
      <c r="E776" t="s">
        <v>175</v>
      </c>
    </row>
    <row r="777" spans="1:5">
      <c r="A777">
        <v>10284</v>
      </c>
      <c r="B777" s="80">
        <v>35296</v>
      </c>
      <c r="C777">
        <v>408</v>
      </c>
      <c r="D777">
        <v>20</v>
      </c>
      <c r="E777" t="s">
        <v>175</v>
      </c>
    </row>
    <row r="778" spans="1:5">
      <c r="A778">
        <v>10284</v>
      </c>
      <c r="B778" s="80">
        <v>35296</v>
      </c>
      <c r="C778">
        <v>42</v>
      </c>
      <c r="D778">
        <v>5</v>
      </c>
      <c r="E778" t="s">
        <v>179</v>
      </c>
    </row>
    <row r="779" spans="1:5">
      <c r="A779">
        <v>10284</v>
      </c>
      <c r="B779" s="80">
        <v>35296</v>
      </c>
      <c r="C779">
        <v>42</v>
      </c>
      <c r="D779">
        <v>5</v>
      </c>
      <c r="E779" t="s">
        <v>177</v>
      </c>
    </row>
    <row r="780" spans="1:5">
      <c r="A780">
        <v>10284</v>
      </c>
      <c r="B780" s="80">
        <v>35296</v>
      </c>
      <c r="C780">
        <v>408</v>
      </c>
      <c r="D780">
        <v>20</v>
      </c>
      <c r="E780" t="s">
        <v>177</v>
      </c>
    </row>
    <row r="781" spans="1:5">
      <c r="A781">
        <v>10284</v>
      </c>
      <c r="B781" s="80">
        <v>35296</v>
      </c>
      <c r="C781">
        <v>325.5</v>
      </c>
      <c r="D781">
        <v>21</v>
      </c>
      <c r="E781" t="s">
        <v>177</v>
      </c>
    </row>
    <row r="782" spans="1:5">
      <c r="A782">
        <v>10284</v>
      </c>
      <c r="B782" s="80">
        <v>35296</v>
      </c>
      <c r="C782">
        <v>394.875</v>
      </c>
      <c r="D782">
        <v>15</v>
      </c>
      <c r="E782" t="s">
        <v>179</v>
      </c>
    </row>
    <row r="783" spans="1:5">
      <c r="A783">
        <v>10284</v>
      </c>
      <c r="B783" s="80">
        <v>35296</v>
      </c>
      <c r="C783">
        <v>408</v>
      </c>
      <c r="D783">
        <v>20</v>
      </c>
      <c r="E783" t="s">
        <v>179</v>
      </c>
    </row>
    <row r="784" spans="1:5">
      <c r="A784">
        <v>10284</v>
      </c>
      <c r="B784" s="80">
        <v>35296</v>
      </c>
      <c r="C784">
        <v>325.5</v>
      </c>
      <c r="D784">
        <v>21</v>
      </c>
      <c r="E784" t="s">
        <v>175</v>
      </c>
    </row>
    <row r="785" spans="1:5">
      <c r="A785">
        <v>10284</v>
      </c>
      <c r="B785" s="80">
        <v>35296</v>
      </c>
      <c r="C785">
        <v>408</v>
      </c>
      <c r="D785">
        <v>20</v>
      </c>
      <c r="E785" t="s">
        <v>178</v>
      </c>
    </row>
    <row r="786" spans="1:5">
      <c r="A786">
        <v>10284</v>
      </c>
      <c r="B786" s="80">
        <v>35296</v>
      </c>
      <c r="C786">
        <v>394.875</v>
      </c>
      <c r="D786">
        <v>15</v>
      </c>
      <c r="E786" t="s">
        <v>177</v>
      </c>
    </row>
    <row r="787" spans="1:5">
      <c r="A787">
        <v>10284</v>
      </c>
      <c r="B787" s="80">
        <v>35296</v>
      </c>
      <c r="C787">
        <v>394.875</v>
      </c>
      <c r="D787">
        <v>15</v>
      </c>
      <c r="E787" t="s">
        <v>173</v>
      </c>
    </row>
    <row r="788" spans="1:5">
      <c r="A788">
        <v>10284</v>
      </c>
      <c r="B788" s="80">
        <v>35296</v>
      </c>
      <c r="C788">
        <v>325.5</v>
      </c>
      <c r="D788">
        <v>21</v>
      </c>
      <c r="E788" t="s">
        <v>173</v>
      </c>
    </row>
    <row r="789" spans="1:5">
      <c r="A789">
        <v>10284</v>
      </c>
      <c r="B789" s="80">
        <v>35296</v>
      </c>
      <c r="C789">
        <v>325.5</v>
      </c>
      <c r="D789">
        <v>21</v>
      </c>
      <c r="E789" t="s">
        <v>178</v>
      </c>
    </row>
    <row r="790" spans="1:5">
      <c r="A790">
        <v>10284</v>
      </c>
      <c r="B790" s="80">
        <v>35296</v>
      </c>
      <c r="C790">
        <v>42</v>
      </c>
      <c r="D790">
        <v>5</v>
      </c>
      <c r="E790" t="s">
        <v>175</v>
      </c>
    </row>
    <row r="791" spans="1:5">
      <c r="A791">
        <v>10284</v>
      </c>
      <c r="B791" s="80">
        <v>35296</v>
      </c>
      <c r="C791">
        <v>394.875</v>
      </c>
      <c r="D791">
        <v>15</v>
      </c>
      <c r="E791" t="s">
        <v>178</v>
      </c>
    </row>
    <row r="792" spans="1:5">
      <c r="A792">
        <v>10284</v>
      </c>
      <c r="B792" s="80">
        <v>35296</v>
      </c>
      <c r="C792">
        <v>42</v>
      </c>
      <c r="D792">
        <v>5</v>
      </c>
      <c r="E792" t="s">
        <v>178</v>
      </c>
    </row>
    <row r="793" spans="1:5">
      <c r="A793">
        <v>10284</v>
      </c>
      <c r="B793" s="80">
        <v>35296</v>
      </c>
      <c r="C793">
        <v>325.5</v>
      </c>
      <c r="D793">
        <v>21</v>
      </c>
      <c r="E793" t="s">
        <v>179</v>
      </c>
    </row>
    <row r="794" spans="1:5">
      <c r="A794">
        <v>10285</v>
      </c>
      <c r="B794" s="80">
        <v>35297</v>
      </c>
      <c r="C794">
        <v>470.39999824762344</v>
      </c>
      <c r="D794">
        <v>40</v>
      </c>
      <c r="E794" t="s">
        <v>176</v>
      </c>
    </row>
    <row r="795" spans="1:5">
      <c r="A795">
        <v>10285</v>
      </c>
      <c r="B795" s="80">
        <v>35297</v>
      </c>
      <c r="C795">
        <v>518.39999806880951</v>
      </c>
      <c r="D795">
        <v>45</v>
      </c>
      <c r="E795" t="s">
        <v>178</v>
      </c>
    </row>
    <row r="796" spans="1:5">
      <c r="A796">
        <v>10285</v>
      </c>
      <c r="B796" s="80">
        <v>35297</v>
      </c>
      <c r="C796">
        <v>754.55999718904502</v>
      </c>
      <c r="D796">
        <v>36</v>
      </c>
      <c r="E796" t="s">
        <v>176</v>
      </c>
    </row>
    <row r="797" spans="1:5">
      <c r="A797">
        <v>10285</v>
      </c>
      <c r="B797" s="80">
        <v>35297</v>
      </c>
      <c r="C797">
        <v>754.55999718904502</v>
      </c>
      <c r="D797">
        <v>36</v>
      </c>
      <c r="E797" t="s">
        <v>172</v>
      </c>
    </row>
    <row r="798" spans="1:5">
      <c r="A798">
        <v>10285</v>
      </c>
      <c r="B798" s="80">
        <v>35297</v>
      </c>
      <c r="C798">
        <v>470.39999824762344</v>
      </c>
      <c r="D798">
        <v>40</v>
      </c>
      <c r="E798" t="s">
        <v>172</v>
      </c>
    </row>
    <row r="799" spans="1:5">
      <c r="A799">
        <v>10285</v>
      </c>
      <c r="B799" s="80">
        <v>35297</v>
      </c>
      <c r="C799">
        <v>518.39999806880951</v>
      </c>
      <c r="D799">
        <v>45</v>
      </c>
      <c r="E799" t="s">
        <v>177</v>
      </c>
    </row>
    <row r="800" spans="1:5">
      <c r="A800">
        <v>10285</v>
      </c>
      <c r="B800" s="80">
        <v>35297</v>
      </c>
      <c r="C800">
        <v>518.39999806880951</v>
      </c>
      <c r="D800">
        <v>45</v>
      </c>
      <c r="E800" t="s">
        <v>176</v>
      </c>
    </row>
    <row r="801" spans="1:5">
      <c r="A801">
        <v>10285</v>
      </c>
      <c r="B801" s="80">
        <v>35297</v>
      </c>
      <c r="C801">
        <v>754.55999718904502</v>
      </c>
      <c r="D801">
        <v>36</v>
      </c>
      <c r="E801" t="s">
        <v>178</v>
      </c>
    </row>
    <row r="802" spans="1:5">
      <c r="A802">
        <v>10285</v>
      </c>
      <c r="B802" s="80">
        <v>35297</v>
      </c>
      <c r="C802">
        <v>518.39999806880951</v>
      </c>
      <c r="D802">
        <v>45</v>
      </c>
      <c r="E802" t="s">
        <v>172</v>
      </c>
    </row>
    <row r="803" spans="1:5">
      <c r="A803">
        <v>10285</v>
      </c>
      <c r="B803" s="80">
        <v>35297</v>
      </c>
      <c r="C803">
        <v>518.39999806880951</v>
      </c>
      <c r="D803">
        <v>45</v>
      </c>
      <c r="E803" t="s">
        <v>173</v>
      </c>
    </row>
    <row r="804" spans="1:5">
      <c r="A804">
        <v>10285</v>
      </c>
      <c r="B804" s="80">
        <v>35297</v>
      </c>
      <c r="C804">
        <v>754.55999718904502</v>
      </c>
      <c r="D804">
        <v>36</v>
      </c>
      <c r="E804" t="s">
        <v>174</v>
      </c>
    </row>
    <row r="805" spans="1:5">
      <c r="A805">
        <v>10285</v>
      </c>
      <c r="B805" s="80">
        <v>35297</v>
      </c>
      <c r="C805">
        <v>470.39999824762344</v>
      </c>
      <c r="D805">
        <v>40</v>
      </c>
      <c r="E805" t="s">
        <v>174</v>
      </c>
    </row>
    <row r="806" spans="1:5">
      <c r="A806">
        <v>10285</v>
      </c>
      <c r="B806" s="80">
        <v>35297</v>
      </c>
      <c r="C806">
        <v>518.39999806880951</v>
      </c>
      <c r="D806">
        <v>45</v>
      </c>
      <c r="E806" t="s">
        <v>174</v>
      </c>
    </row>
    <row r="807" spans="1:5">
      <c r="A807">
        <v>10285</v>
      </c>
      <c r="B807" s="80">
        <v>35297</v>
      </c>
      <c r="C807">
        <v>470.39999824762344</v>
      </c>
      <c r="D807">
        <v>40</v>
      </c>
      <c r="E807" t="s">
        <v>178</v>
      </c>
    </row>
    <row r="808" spans="1:5">
      <c r="A808">
        <v>10285</v>
      </c>
      <c r="B808" s="80">
        <v>35297</v>
      </c>
      <c r="C808">
        <v>754.55999718904502</v>
      </c>
      <c r="D808">
        <v>36</v>
      </c>
      <c r="E808" t="s">
        <v>173</v>
      </c>
    </row>
    <row r="809" spans="1:5">
      <c r="A809">
        <v>10285</v>
      </c>
      <c r="B809" s="80">
        <v>35297</v>
      </c>
      <c r="C809">
        <v>754.55999718904502</v>
      </c>
      <c r="D809">
        <v>36</v>
      </c>
      <c r="E809" t="s">
        <v>179</v>
      </c>
    </row>
    <row r="810" spans="1:5">
      <c r="A810">
        <v>10285</v>
      </c>
      <c r="B810" s="80">
        <v>35297</v>
      </c>
      <c r="C810">
        <v>470.39999824762344</v>
      </c>
      <c r="D810">
        <v>40</v>
      </c>
      <c r="E810" t="s">
        <v>179</v>
      </c>
    </row>
    <row r="811" spans="1:5">
      <c r="A811">
        <v>10285</v>
      </c>
      <c r="B811" s="80">
        <v>35297</v>
      </c>
      <c r="C811">
        <v>470.39999824762344</v>
      </c>
      <c r="D811">
        <v>40</v>
      </c>
      <c r="E811" t="s">
        <v>177</v>
      </c>
    </row>
    <row r="812" spans="1:5">
      <c r="A812">
        <v>10285</v>
      </c>
      <c r="B812" s="80">
        <v>35297</v>
      </c>
      <c r="C812">
        <v>518.39999806880951</v>
      </c>
      <c r="D812">
        <v>45</v>
      </c>
      <c r="E812" t="s">
        <v>179</v>
      </c>
    </row>
    <row r="813" spans="1:5">
      <c r="A813">
        <v>10285</v>
      </c>
      <c r="B813" s="80">
        <v>35297</v>
      </c>
      <c r="C813">
        <v>518.39999806880951</v>
      </c>
      <c r="D813">
        <v>45</v>
      </c>
      <c r="E813" t="s">
        <v>175</v>
      </c>
    </row>
    <row r="814" spans="1:5">
      <c r="A814">
        <v>10285</v>
      </c>
      <c r="B814" s="80">
        <v>35297</v>
      </c>
      <c r="C814">
        <v>470.39999824762344</v>
      </c>
      <c r="D814">
        <v>40</v>
      </c>
      <c r="E814" t="s">
        <v>173</v>
      </c>
    </row>
    <row r="815" spans="1:5">
      <c r="A815">
        <v>10285</v>
      </c>
      <c r="B815" s="80">
        <v>35297</v>
      </c>
      <c r="C815">
        <v>754.55999718904502</v>
      </c>
      <c r="D815">
        <v>36</v>
      </c>
      <c r="E815" t="s">
        <v>175</v>
      </c>
    </row>
    <row r="816" spans="1:5">
      <c r="A816">
        <v>10285</v>
      </c>
      <c r="B816" s="80">
        <v>35297</v>
      </c>
      <c r="C816">
        <v>754.55999718904502</v>
      </c>
      <c r="D816">
        <v>36</v>
      </c>
      <c r="E816" t="s">
        <v>177</v>
      </c>
    </row>
    <row r="817" spans="1:5">
      <c r="A817">
        <v>10285</v>
      </c>
      <c r="B817" s="80">
        <v>35297</v>
      </c>
      <c r="C817">
        <v>470.39999824762344</v>
      </c>
      <c r="D817">
        <v>40</v>
      </c>
      <c r="E817" t="s">
        <v>175</v>
      </c>
    </row>
    <row r="818" spans="1:5">
      <c r="A818">
        <v>10286</v>
      </c>
      <c r="B818" s="80">
        <v>35298</v>
      </c>
      <c r="C818">
        <v>1576</v>
      </c>
      <c r="D818">
        <v>40</v>
      </c>
      <c r="E818" t="s">
        <v>175</v>
      </c>
    </row>
    <row r="819" spans="1:5">
      <c r="A819">
        <v>10286</v>
      </c>
      <c r="B819" s="80">
        <v>35298</v>
      </c>
      <c r="C819">
        <v>1440</v>
      </c>
      <c r="D819">
        <v>100</v>
      </c>
      <c r="E819" t="s">
        <v>175</v>
      </c>
    </row>
    <row r="820" spans="1:5">
      <c r="A820">
        <v>10286</v>
      </c>
      <c r="B820" s="80">
        <v>35298</v>
      </c>
      <c r="C820">
        <v>1440</v>
      </c>
      <c r="D820">
        <v>100</v>
      </c>
      <c r="E820" t="s">
        <v>172</v>
      </c>
    </row>
    <row r="821" spans="1:5">
      <c r="A821">
        <v>10286</v>
      </c>
      <c r="B821" s="80">
        <v>35298</v>
      </c>
      <c r="C821">
        <v>1440</v>
      </c>
      <c r="D821">
        <v>100</v>
      </c>
      <c r="E821" t="s">
        <v>179</v>
      </c>
    </row>
    <row r="822" spans="1:5">
      <c r="A822">
        <v>10286</v>
      </c>
      <c r="B822" s="80">
        <v>35298</v>
      </c>
      <c r="C822">
        <v>1576</v>
      </c>
      <c r="D822">
        <v>40</v>
      </c>
      <c r="E822" t="s">
        <v>179</v>
      </c>
    </row>
    <row r="823" spans="1:5">
      <c r="A823">
        <v>10286</v>
      </c>
      <c r="B823" s="80">
        <v>35298</v>
      </c>
      <c r="C823">
        <v>1576</v>
      </c>
      <c r="D823">
        <v>40</v>
      </c>
      <c r="E823" t="s">
        <v>172</v>
      </c>
    </row>
    <row r="824" spans="1:5">
      <c r="A824">
        <v>10286</v>
      </c>
      <c r="B824" s="80">
        <v>35298</v>
      </c>
      <c r="C824">
        <v>1576</v>
      </c>
      <c r="D824">
        <v>40</v>
      </c>
      <c r="E824" t="s">
        <v>176</v>
      </c>
    </row>
    <row r="825" spans="1:5">
      <c r="A825">
        <v>10286</v>
      </c>
      <c r="B825" s="80">
        <v>35298</v>
      </c>
      <c r="C825">
        <v>1440</v>
      </c>
      <c r="D825">
        <v>100</v>
      </c>
      <c r="E825" t="s">
        <v>176</v>
      </c>
    </row>
    <row r="826" spans="1:5">
      <c r="A826">
        <v>10286</v>
      </c>
      <c r="B826" s="80">
        <v>35298</v>
      </c>
      <c r="C826">
        <v>1576</v>
      </c>
      <c r="D826">
        <v>40</v>
      </c>
      <c r="E826" t="s">
        <v>178</v>
      </c>
    </row>
    <row r="827" spans="1:5">
      <c r="A827">
        <v>10286</v>
      </c>
      <c r="B827" s="80">
        <v>35298</v>
      </c>
      <c r="C827">
        <v>1576</v>
      </c>
      <c r="D827">
        <v>40</v>
      </c>
      <c r="E827" t="s">
        <v>177</v>
      </c>
    </row>
    <row r="828" spans="1:5">
      <c r="A828">
        <v>10286</v>
      </c>
      <c r="B828" s="80">
        <v>35298</v>
      </c>
      <c r="C828">
        <v>1440</v>
      </c>
      <c r="D828">
        <v>100</v>
      </c>
      <c r="E828" t="s">
        <v>177</v>
      </c>
    </row>
    <row r="829" spans="1:5">
      <c r="A829">
        <v>10286</v>
      </c>
      <c r="B829" s="80">
        <v>35298</v>
      </c>
      <c r="C829">
        <v>1440</v>
      </c>
      <c r="D829">
        <v>100</v>
      </c>
      <c r="E829" t="s">
        <v>178</v>
      </c>
    </row>
    <row r="830" spans="1:5">
      <c r="A830">
        <v>10286</v>
      </c>
      <c r="B830" s="80">
        <v>35298</v>
      </c>
      <c r="C830">
        <v>1440</v>
      </c>
      <c r="D830">
        <v>100</v>
      </c>
      <c r="E830" t="s">
        <v>173</v>
      </c>
    </row>
    <row r="831" spans="1:5">
      <c r="A831">
        <v>10286</v>
      </c>
      <c r="B831" s="80">
        <v>35298</v>
      </c>
      <c r="C831">
        <v>1440</v>
      </c>
      <c r="D831">
        <v>100</v>
      </c>
      <c r="E831" t="s">
        <v>174</v>
      </c>
    </row>
    <row r="832" spans="1:5">
      <c r="A832">
        <v>10286</v>
      </c>
      <c r="B832" s="80">
        <v>35298</v>
      </c>
      <c r="C832">
        <v>1576</v>
      </c>
      <c r="D832">
        <v>40</v>
      </c>
      <c r="E832" t="s">
        <v>174</v>
      </c>
    </row>
    <row r="833" spans="1:5">
      <c r="A833">
        <v>10286</v>
      </c>
      <c r="B833" s="80">
        <v>35298</v>
      </c>
      <c r="C833">
        <v>1576</v>
      </c>
      <c r="D833">
        <v>40</v>
      </c>
      <c r="E833" t="s">
        <v>173</v>
      </c>
    </row>
    <row r="834" spans="1:5">
      <c r="A834">
        <v>10287</v>
      </c>
      <c r="B834" s="80">
        <v>35299</v>
      </c>
      <c r="C834">
        <v>224</v>
      </c>
      <c r="D834">
        <v>20</v>
      </c>
      <c r="E834" t="s">
        <v>176</v>
      </c>
    </row>
    <row r="835" spans="1:5">
      <c r="A835">
        <v>10287</v>
      </c>
      <c r="B835" s="80">
        <v>35299</v>
      </c>
      <c r="C835">
        <v>122.39999914169312</v>
      </c>
      <c r="D835">
        <v>15</v>
      </c>
      <c r="E835" t="s">
        <v>174</v>
      </c>
    </row>
    <row r="836" spans="1:5">
      <c r="A836">
        <v>10287</v>
      </c>
      <c r="B836" s="80">
        <v>35299</v>
      </c>
      <c r="C836">
        <v>224</v>
      </c>
      <c r="D836">
        <v>20</v>
      </c>
      <c r="E836" t="s">
        <v>174</v>
      </c>
    </row>
    <row r="837" spans="1:5">
      <c r="A837">
        <v>10287</v>
      </c>
      <c r="B837" s="80">
        <v>35299</v>
      </c>
      <c r="C837">
        <v>122.39999914169312</v>
      </c>
      <c r="D837">
        <v>15</v>
      </c>
      <c r="E837" t="s">
        <v>173</v>
      </c>
    </row>
    <row r="838" spans="1:5">
      <c r="A838">
        <v>10287</v>
      </c>
      <c r="B838" s="80">
        <v>35299</v>
      </c>
      <c r="C838">
        <v>122.39999914169312</v>
      </c>
      <c r="D838">
        <v>15</v>
      </c>
      <c r="E838" t="s">
        <v>177</v>
      </c>
    </row>
    <row r="839" spans="1:5">
      <c r="A839">
        <v>10287</v>
      </c>
      <c r="B839" s="80">
        <v>35299</v>
      </c>
      <c r="C839">
        <v>472.59999668598175</v>
      </c>
      <c r="D839">
        <v>40</v>
      </c>
      <c r="E839" t="s">
        <v>175</v>
      </c>
    </row>
    <row r="840" spans="1:5">
      <c r="A840">
        <v>10287</v>
      </c>
      <c r="B840" s="80">
        <v>35299</v>
      </c>
      <c r="C840">
        <v>224</v>
      </c>
      <c r="D840">
        <v>20</v>
      </c>
      <c r="E840" t="s">
        <v>175</v>
      </c>
    </row>
    <row r="841" spans="1:5">
      <c r="A841">
        <v>10287</v>
      </c>
      <c r="B841" s="80">
        <v>35299</v>
      </c>
      <c r="C841">
        <v>472.59999668598175</v>
      </c>
      <c r="D841">
        <v>40</v>
      </c>
      <c r="E841" t="s">
        <v>179</v>
      </c>
    </row>
    <row r="842" spans="1:5">
      <c r="A842">
        <v>10287</v>
      </c>
      <c r="B842" s="80">
        <v>35299</v>
      </c>
      <c r="C842">
        <v>472.59999668598175</v>
      </c>
      <c r="D842">
        <v>40</v>
      </c>
      <c r="E842" t="s">
        <v>173</v>
      </c>
    </row>
    <row r="843" spans="1:5">
      <c r="A843">
        <v>10287</v>
      </c>
      <c r="B843" s="80">
        <v>35299</v>
      </c>
      <c r="C843">
        <v>122.39999914169312</v>
      </c>
      <c r="D843">
        <v>15</v>
      </c>
      <c r="E843" t="s">
        <v>175</v>
      </c>
    </row>
    <row r="844" spans="1:5">
      <c r="A844">
        <v>10287</v>
      </c>
      <c r="B844" s="80">
        <v>35299</v>
      </c>
      <c r="C844">
        <v>122.39999914169312</v>
      </c>
      <c r="D844">
        <v>15</v>
      </c>
      <c r="E844" t="s">
        <v>179</v>
      </c>
    </row>
    <row r="845" spans="1:5">
      <c r="A845">
        <v>10287</v>
      </c>
      <c r="B845" s="80">
        <v>35299</v>
      </c>
      <c r="C845">
        <v>224</v>
      </c>
      <c r="D845">
        <v>20</v>
      </c>
      <c r="E845" t="s">
        <v>173</v>
      </c>
    </row>
    <row r="846" spans="1:5">
      <c r="A846">
        <v>10287</v>
      </c>
      <c r="B846" s="80">
        <v>35299</v>
      </c>
      <c r="C846">
        <v>224</v>
      </c>
      <c r="D846">
        <v>20</v>
      </c>
      <c r="E846" t="s">
        <v>179</v>
      </c>
    </row>
    <row r="847" spans="1:5">
      <c r="A847">
        <v>10287</v>
      </c>
      <c r="B847" s="80">
        <v>35299</v>
      </c>
      <c r="C847">
        <v>472.59999668598175</v>
      </c>
      <c r="D847">
        <v>40</v>
      </c>
      <c r="E847" t="s">
        <v>174</v>
      </c>
    </row>
    <row r="848" spans="1:5">
      <c r="A848">
        <v>10287</v>
      </c>
      <c r="B848" s="80">
        <v>35299</v>
      </c>
      <c r="C848">
        <v>122.39999914169312</v>
      </c>
      <c r="D848">
        <v>15</v>
      </c>
      <c r="E848" t="s">
        <v>172</v>
      </c>
    </row>
    <row r="849" spans="1:5">
      <c r="A849">
        <v>10287</v>
      </c>
      <c r="B849" s="80">
        <v>35299</v>
      </c>
      <c r="C849">
        <v>472.59999668598175</v>
      </c>
      <c r="D849">
        <v>40</v>
      </c>
      <c r="E849" t="s">
        <v>177</v>
      </c>
    </row>
    <row r="850" spans="1:5">
      <c r="A850">
        <v>10287</v>
      </c>
      <c r="B850" s="80">
        <v>35299</v>
      </c>
      <c r="C850">
        <v>122.39999914169312</v>
      </c>
      <c r="D850">
        <v>15</v>
      </c>
      <c r="E850" t="s">
        <v>176</v>
      </c>
    </row>
    <row r="851" spans="1:5">
      <c r="A851">
        <v>10287</v>
      </c>
      <c r="B851" s="80">
        <v>35299</v>
      </c>
      <c r="C851">
        <v>472.59999668598175</v>
      </c>
      <c r="D851">
        <v>40</v>
      </c>
      <c r="E851" t="s">
        <v>176</v>
      </c>
    </row>
    <row r="852" spans="1:5">
      <c r="A852">
        <v>10287</v>
      </c>
      <c r="B852" s="80">
        <v>35299</v>
      </c>
      <c r="C852">
        <v>224</v>
      </c>
      <c r="D852">
        <v>20</v>
      </c>
      <c r="E852" t="s">
        <v>177</v>
      </c>
    </row>
    <row r="853" spans="1:5">
      <c r="A853">
        <v>10287</v>
      </c>
      <c r="B853" s="80">
        <v>35299</v>
      </c>
      <c r="C853">
        <v>224</v>
      </c>
      <c r="D853">
        <v>20</v>
      </c>
      <c r="E853" t="s">
        <v>178</v>
      </c>
    </row>
    <row r="854" spans="1:5">
      <c r="A854">
        <v>10287</v>
      </c>
      <c r="B854" s="80">
        <v>35299</v>
      </c>
      <c r="C854">
        <v>122.39999914169312</v>
      </c>
      <c r="D854">
        <v>15</v>
      </c>
      <c r="E854" t="s">
        <v>178</v>
      </c>
    </row>
    <row r="855" spans="1:5">
      <c r="A855">
        <v>10287</v>
      </c>
      <c r="B855" s="80">
        <v>35299</v>
      </c>
      <c r="C855">
        <v>472.59999668598175</v>
      </c>
      <c r="D855">
        <v>40</v>
      </c>
      <c r="E855" t="s">
        <v>178</v>
      </c>
    </row>
    <row r="856" spans="1:5">
      <c r="A856">
        <v>10287</v>
      </c>
      <c r="B856" s="80">
        <v>35299</v>
      </c>
      <c r="C856">
        <v>472.59999668598175</v>
      </c>
      <c r="D856">
        <v>40</v>
      </c>
      <c r="E856" t="s">
        <v>172</v>
      </c>
    </row>
    <row r="857" spans="1:5">
      <c r="A857">
        <v>10287</v>
      </c>
      <c r="B857" s="80">
        <v>35299</v>
      </c>
      <c r="C857">
        <v>224</v>
      </c>
      <c r="D857">
        <v>20</v>
      </c>
      <c r="E857" t="s">
        <v>172</v>
      </c>
    </row>
    <row r="858" spans="1:5">
      <c r="A858">
        <v>10288</v>
      </c>
      <c r="B858" s="80">
        <v>35300</v>
      </c>
      <c r="C858">
        <v>26.999999955296516</v>
      </c>
      <c r="D858">
        <v>3</v>
      </c>
      <c r="E858" t="s">
        <v>178</v>
      </c>
    </row>
    <row r="859" spans="1:5">
      <c r="A859">
        <v>10288</v>
      </c>
      <c r="B859" s="80">
        <v>35300</v>
      </c>
      <c r="C859">
        <v>26.999999955296516</v>
      </c>
      <c r="D859">
        <v>3</v>
      </c>
      <c r="E859" t="s">
        <v>177</v>
      </c>
    </row>
    <row r="860" spans="1:5">
      <c r="A860">
        <v>10288</v>
      </c>
      <c r="B860" s="80">
        <v>35300</v>
      </c>
      <c r="C860">
        <v>53.099999912083149</v>
      </c>
      <c r="D860">
        <v>10</v>
      </c>
      <c r="E860" t="s">
        <v>175</v>
      </c>
    </row>
    <row r="861" spans="1:5">
      <c r="A861">
        <v>10288</v>
      </c>
      <c r="B861" s="80">
        <v>35300</v>
      </c>
      <c r="C861">
        <v>26.999999955296516</v>
      </c>
      <c r="D861">
        <v>3</v>
      </c>
      <c r="E861" t="s">
        <v>179</v>
      </c>
    </row>
    <row r="862" spans="1:5">
      <c r="A862">
        <v>10288</v>
      </c>
      <c r="B862" s="80">
        <v>35300</v>
      </c>
      <c r="C862">
        <v>53.099999912083149</v>
      </c>
      <c r="D862">
        <v>10</v>
      </c>
      <c r="E862" t="s">
        <v>179</v>
      </c>
    </row>
    <row r="863" spans="1:5">
      <c r="A863">
        <v>10288</v>
      </c>
      <c r="B863" s="80">
        <v>35300</v>
      </c>
      <c r="C863">
        <v>53.099999912083149</v>
      </c>
      <c r="D863">
        <v>10</v>
      </c>
      <c r="E863" t="s">
        <v>176</v>
      </c>
    </row>
    <row r="864" spans="1:5">
      <c r="A864">
        <v>10288</v>
      </c>
      <c r="B864" s="80">
        <v>35300</v>
      </c>
      <c r="C864">
        <v>26.999999955296516</v>
      </c>
      <c r="D864">
        <v>3</v>
      </c>
      <c r="E864" t="s">
        <v>176</v>
      </c>
    </row>
    <row r="865" spans="1:5">
      <c r="A865">
        <v>10288</v>
      </c>
      <c r="B865" s="80">
        <v>35300</v>
      </c>
      <c r="C865">
        <v>53.099999912083149</v>
      </c>
      <c r="D865">
        <v>10</v>
      </c>
      <c r="E865" t="s">
        <v>173</v>
      </c>
    </row>
    <row r="866" spans="1:5">
      <c r="A866">
        <v>10288</v>
      </c>
      <c r="B866" s="80">
        <v>35300</v>
      </c>
      <c r="C866">
        <v>53.099999912083149</v>
      </c>
      <c r="D866">
        <v>10</v>
      </c>
      <c r="E866" t="s">
        <v>174</v>
      </c>
    </row>
    <row r="867" spans="1:5">
      <c r="A867">
        <v>10288</v>
      </c>
      <c r="B867" s="80">
        <v>35300</v>
      </c>
      <c r="C867">
        <v>53.099999912083149</v>
      </c>
      <c r="D867">
        <v>10</v>
      </c>
      <c r="E867" t="s">
        <v>177</v>
      </c>
    </row>
    <row r="868" spans="1:5">
      <c r="A868">
        <v>10288</v>
      </c>
      <c r="B868" s="80">
        <v>35300</v>
      </c>
      <c r="C868">
        <v>53.099999912083149</v>
      </c>
      <c r="D868">
        <v>10</v>
      </c>
      <c r="E868" t="s">
        <v>172</v>
      </c>
    </row>
    <row r="869" spans="1:5">
      <c r="A869">
        <v>10288</v>
      </c>
      <c r="B869" s="80">
        <v>35300</v>
      </c>
      <c r="C869">
        <v>26.999999955296516</v>
      </c>
      <c r="D869">
        <v>3</v>
      </c>
      <c r="E869" t="s">
        <v>172</v>
      </c>
    </row>
    <row r="870" spans="1:5">
      <c r="A870">
        <v>10288</v>
      </c>
      <c r="B870" s="80">
        <v>35300</v>
      </c>
      <c r="C870">
        <v>26.999999955296516</v>
      </c>
      <c r="D870">
        <v>3</v>
      </c>
      <c r="E870" t="s">
        <v>175</v>
      </c>
    </row>
    <row r="871" spans="1:5">
      <c r="A871">
        <v>10288</v>
      </c>
      <c r="B871" s="80">
        <v>35300</v>
      </c>
      <c r="C871">
        <v>26.999999955296516</v>
      </c>
      <c r="D871">
        <v>3</v>
      </c>
      <c r="E871" t="s">
        <v>174</v>
      </c>
    </row>
    <row r="872" spans="1:5">
      <c r="A872">
        <v>10288</v>
      </c>
      <c r="B872" s="80">
        <v>35300</v>
      </c>
      <c r="C872">
        <v>26.999999955296516</v>
      </c>
      <c r="D872">
        <v>3</v>
      </c>
      <c r="E872" t="s">
        <v>173</v>
      </c>
    </row>
    <row r="873" spans="1:5">
      <c r="A873">
        <v>10288</v>
      </c>
      <c r="B873" s="80">
        <v>35300</v>
      </c>
      <c r="C873">
        <v>53.099999912083149</v>
      </c>
      <c r="D873">
        <v>10</v>
      </c>
      <c r="E873" t="s">
        <v>178</v>
      </c>
    </row>
    <row r="874" spans="1:5">
      <c r="A874">
        <v>10289</v>
      </c>
      <c r="B874" s="80">
        <v>35303</v>
      </c>
      <c r="C874">
        <v>240</v>
      </c>
      <c r="D874">
        <v>30</v>
      </c>
      <c r="E874" t="s">
        <v>177</v>
      </c>
    </row>
    <row r="875" spans="1:5">
      <c r="A875">
        <v>10289</v>
      </c>
      <c r="B875" s="80">
        <v>35303</v>
      </c>
      <c r="C875">
        <v>239.4</v>
      </c>
      <c r="D875">
        <v>9</v>
      </c>
      <c r="E875" t="s">
        <v>177</v>
      </c>
    </row>
    <row r="876" spans="1:5">
      <c r="A876">
        <v>10289</v>
      </c>
      <c r="B876" s="80">
        <v>35303</v>
      </c>
      <c r="C876">
        <v>240</v>
      </c>
      <c r="D876">
        <v>30</v>
      </c>
      <c r="E876" t="s">
        <v>178</v>
      </c>
    </row>
    <row r="877" spans="1:5">
      <c r="A877">
        <v>10289</v>
      </c>
      <c r="B877" s="80">
        <v>35303</v>
      </c>
      <c r="C877">
        <v>239.4</v>
      </c>
      <c r="D877">
        <v>9</v>
      </c>
      <c r="E877" t="s">
        <v>178</v>
      </c>
    </row>
    <row r="878" spans="1:5">
      <c r="A878">
        <v>10289</v>
      </c>
      <c r="B878" s="80">
        <v>35303</v>
      </c>
      <c r="C878">
        <v>240</v>
      </c>
      <c r="D878">
        <v>30</v>
      </c>
      <c r="E878" t="s">
        <v>173</v>
      </c>
    </row>
    <row r="879" spans="1:5">
      <c r="A879">
        <v>10289</v>
      </c>
      <c r="B879" s="80">
        <v>35303</v>
      </c>
      <c r="C879">
        <v>240</v>
      </c>
      <c r="D879">
        <v>30</v>
      </c>
      <c r="E879" t="s">
        <v>176</v>
      </c>
    </row>
    <row r="880" spans="1:5">
      <c r="A880">
        <v>10289</v>
      </c>
      <c r="B880" s="80">
        <v>35303</v>
      </c>
      <c r="C880">
        <v>239.4</v>
      </c>
      <c r="D880">
        <v>9</v>
      </c>
      <c r="E880" t="s">
        <v>176</v>
      </c>
    </row>
    <row r="881" spans="1:5">
      <c r="A881">
        <v>10289</v>
      </c>
      <c r="B881" s="80">
        <v>35303</v>
      </c>
      <c r="C881">
        <v>240</v>
      </c>
      <c r="D881">
        <v>30</v>
      </c>
      <c r="E881" t="s">
        <v>172</v>
      </c>
    </row>
    <row r="882" spans="1:5">
      <c r="A882">
        <v>10289</v>
      </c>
      <c r="B882" s="80">
        <v>35303</v>
      </c>
      <c r="C882">
        <v>239.4</v>
      </c>
      <c r="D882">
        <v>9</v>
      </c>
      <c r="E882" t="s">
        <v>172</v>
      </c>
    </row>
    <row r="883" spans="1:5">
      <c r="A883">
        <v>10289</v>
      </c>
      <c r="B883" s="80">
        <v>35303</v>
      </c>
      <c r="C883">
        <v>239.4</v>
      </c>
      <c r="D883">
        <v>9</v>
      </c>
      <c r="E883" t="s">
        <v>174</v>
      </c>
    </row>
    <row r="884" spans="1:5">
      <c r="A884">
        <v>10289</v>
      </c>
      <c r="B884" s="80">
        <v>35303</v>
      </c>
      <c r="C884">
        <v>239.4</v>
      </c>
      <c r="D884">
        <v>9</v>
      </c>
      <c r="E884" t="s">
        <v>173</v>
      </c>
    </row>
    <row r="885" spans="1:5">
      <c r="A885">
        <v>10289</v>
      </c>
      <c r="B885" s="80">
        <v>35303</v>
      </c>
      <c r="C885">
        <v>240</v>
      </c>
      <c r="D885">
        <v>30</v>
      </c>
      <c r="E885" t="s">
        <v>175</v>
      </c>
    </row>
    <row r="886" spans="1:5">
      <c r="A886">
        <v>10289</v>
      </c>
      <c r="B886" s="80">
        <v>35303</v>
      </c>
      <c r="C886">
        <v>239.4</v>
      </c>
      <c r="D886">
        <v>9</v>
      </c>
      <c r="E886" t="s">
        <v>179</v>
      </c>
    </row>
    <row r="887" spans="1:5">
      <c r="A887">
        <v>10289</v>
      </c>
      <c r="B887" s="80">
        <v>35303</v>
      </c>
      <c r="C887">
        <v>240</v>
      </c>
      <c r="D887">
        <v>30</v>
      </c>
      <c r="E887" t="s">
        <v>174</v>
      </c>
    </row>
    <row r="888" spans="1:5">
      <c r="A888">
        <v>10289</v>
      </c>
      <c r="B888" s="80">
        <v>35303</v>
      </c>
      <c r="C888">
        <v>239.4</v>
      </c>
      <c r="D888">
        <v>9</v>
      </c>
      <c r="E888" t="s">
        <v>175</v>
      </c>
    </row>
    <row r="889" spans="1:5">
      <c r="A889">
        <v>10289</v>
      </c>
      <c r="B889" s="80">
        <v>35303</v>
      </c>
      <c r="C889">
        <v>240</v>
      </c>
      <c r="D889">
        <v>30</v>
      </c>
      <c r="E889" t="s">
        <v>179</v>
      </c>
    </row>
    <row r="890" spans="1:5">
      <c r="A890">
        <v>10290</v>
      </c>
      <c r="B890" s="80">
        <v>35304</v>
      </c>
      <c r="C890">
        <v>340</v>
      </c>
      <c r="D890">
        <v>20</v>
      </c>
      <c r="E890" t="s">
        <v>179</v>
      </c>
    </row>
    <row r="891" spans="1:5">
      <c r="A891">
        <v>10290</v>
      </c>
      <c r="B891" s="80">
        <v>35304</v>
      </c>
      <c r="C891">
        <v>340</v>
      </c>
      <c r="D891">
        <v>20</v>
      </c>
      <c r="E891" t="s">
        <v>176</v>
      </c>
    </row>
    <row r="892" spans="1:5">
      <c r="A892">
        <v>10290</v>
      </c>
      <c r="B892" s="80">
        <v>35304</v>
      </c>
      <c r="C892">
        <v>1485</v>
      </c>
      <c r="D892">
        <v>15</v>
      </c>
      <c r="E892" t="s">
        <v>176</v>
      </c>
    </row>
    <row r="893" spans="1:5">
      <c r="A893">
        <v>10290</v>
      </c>
      <c r="B893" s="80">
        <v>35304</v>
      </c>
      <c r="C893">
        <v>240</v>
      </c>
      <c r="D893">
        <v>15</v>
      </c>
      <c r="E893" t="s">
        <v>176</v>
      </c>
    </row>
    <row r="894" spans="1:5">
      <c r="A894">
        <v>10290</v>
      </c>
      <c r="B894" s="80">
        <v>35304</v>
      </c>
      <c r="C894">
        <v>104</v>
      </c>
      <c r="D894">
        <v>10</v>
      </c>
      <c r="E894" t="s">
        <v>176</v>
      </c>
    </row>
    <row r="895" spans="1:5">
      <c r="A895">
        <v>10290</v>
      </c>
      <c r="B895" s="80">
        <v>35304</v>
      </c>
      <c r="C895">
        <v>340</v>
      </c>
      <c r="D895">
        <v>20</v>
      </c>
      <c r="E895" t="s">
        <v>173</v>
      </c>
    </row>
    <row r="896" spans="1:5">
      <c r="A896">
        <v>10290</v>
      </c>
      <c r="B896" s="80">
        <v>35304</v>
      </c>
      <c r="C896">
        <v>240</v>
      </c>
      <c r="D896">
        <v>15</v>
      </c>
      <c r="E896" t="s">
        <v>173</v>
      </c>
    </row>
    <row r="897" spans="1:5">
      <c r="A897">
        <v>10290</v>
      </c>
      <c r="B897" s="80">
        <v>35304</v>
      </c>
      <c r="C897">
        <v>104</v>
      </c>
      <c r="D897">
        <v>10</v>
      </c>
      <c r="E897" t="s">
        <v>177</v>
      </c>
    </row>
    <row r="898" spans="1:5">
      <c r="A898">
        <v>10290</v>
      </c>
      <c r="B898" s="80">
        <v>35304</v>
      </c>
      <c r="C898">
        <v>240</v>
      </c>
      <c r="D898">
        <v>15</v>
      </c>
      <c r="E898" t="s">
        <v>177</v>
      </c>
    </row>
    <row r="899" spans="1:5">
      <c r="A899">
        <v>10290</v>
      </c>
      <c r="B899" s="80">
        <v>35304</v>
      </c>
      <c r="C899">
        <v>1485</v>
      </c>
      <c r="D899">
        <v>15</v>
      </c>
      <c r="E899" t="s">
        <v>173</v>
      </c>
    </row>
    <row r="900" spans="1:5">
      <c r="A900">
        <v>10290</v>
      </c>
      <c r="B900" s="80">
        <v>35304</v>
      </c>
      <c r="C900">
        <v>240</v>
      </c>
      <c r="D900">
        <v>15</v>
      </c>
      <c r="E900" t="s">
        <v>179</v>
      </c>
    </row>
    <row r="901" spans="1:5">
      <c r="A901">
        <v>10290</v>
      </c>
      <c r="B901" s="80">
        <v>35304</v>
      </c>
      <c r="C901">
        <v>1485</v>
      </c>
      <c r="D901">
        <v>15</v>
      </c>
      <c r="E901" t="s">
        <v>177</v>
      </c>
    </row>
    <row r="902" spans="1:5">
      <c r="A902">
        <v>10290</v>
      </c>
      <c r="B902" s="80">
        <v>35304</v>
      </c>
      <c r="C902">
        <v>340</v>
      </c>
      <c r="D902">
        <v>20</v>
      </c>
      <c r="E902" t="s">
        <v>177</v>
      </c>
    </row>
    <row r="903" spans="1:5">
      <c r="A903">
        <v>10290</v>
      </c>
      <c r="B903" s="80">
        <v>35304</v>
      </c>
      <c r="C903">
        <v>104</v>
      </c>
      <c r="D903">
        <v>10</v>
      </c>
      <c r="E903" t="s">
        <v>179</v>
      </c>
    </row>
    <row r="904" spans="1:5">
      <c r="A904">
        <v>10290</v>
      </c>
      <c r="B904" s="80">
        <v>35304</v>
      </c>
      <c r="C904">
        <v>104</v>
      </c>
      <c r="D904">
        <v>10</v>
      </c>
      <c r="E904" t="s">
        <v>173</v>
      </c>
    </row>
    <row r="905" spans="1:5">
      <c r="A905">
        <v>10290</v>
      </c>
      <c r="B905" s="80">
        <v>35304</v>
      </c>
      <c r="C905">
        <v>240</v>
      </c>
      <c r="D905">
        <v>15</v>
      </c>
      <c r="E905" t="s">
        <v>178</v>
      </c>
    </row>
    <row r="906" spans="1:5">
      <c r="A906">
        <v>10290</v>
      </c>
      <c r="B906" s="80">
        <v>35304</v>
      </c>
      <c r="C906">
        <v>340</v>
      </c>
      <c r="D906">
        <v>20</v>
      </c>
      <c r="E906" t="s">
        <v>172</v>
      </c>
    </row>
    <row r="907" spans="1:5">
      <c r="A907">
        <v>10290</v>
      </c>
      <c r="B907" s="80">
        <v>35304</v>
      </c>
      <c r="C907">
        <v>1485</v>
      </c>
      <c r="D907">
        <v>15</v>
      </c>
      <c r="E907" t="s">
        <v>172</v>
      </c>
    </row>
    <row r="908" spans="1:5">
      <c r="A908">
        <v>10290</v>
      </c>
      <c r="B908" s="80">
        <v>35304</v>
      </c>
      <c r="C908">
        <v>240</v>
      </c>
      <c r="D908">
        <v>15</v>
      </c>
      <c r="E908" t="s">
        <v>172</v>
      </c>
    </row>
    <row r="909" spans="1:5">
      <c r="A909">
        <v>10290</v>
      </c>
      <c r="B909" s="80">
        <v>35304</v>
      </c>
      <c r="C909">
        <v>104</v>
      </c>
      <c r="D909">
        <v>10</v>
      </c>
      <c r="E909" t="s">
        <v>172</v>
      </c>
    </row>
    <row r="910" spans="1:5">
      <c r="A910">
        <v>10290</v>
      </c>
      <c r="B910" s="80">
        <v>35304</v>
      </c>
      <c r="C910">
        <v>1485</v>
      </c>
      <c r="D910">
        <v>15</v>
      </c>
      <c r="E910" t="s">
        <v>174</v>
      </c>
    </row>
    <row r="911" spans="1:5">
      <c r="A911">
        <v>10290</v>
      </c>
      <c r="B911" s="80">
        <v>35304</v>
      </c>
      <c r="C911">
        <v>240</v>
      </c>
      <c r="D911">
        <v>15</v>
      </c>
      <c r="E911" t="s">
        <v>174</v>
      </c>
    </row>
    <row r="912" spans="1:5">
      <c r="A912">
        <v>10290</v>
      </c>
      <c r="B912" s="80">
        <v>35304</v>
      </c>
      <c r="C912">
        <v>104</v>
      </c>
      <c r="D912">
        <v>10</v>
      </c>
      <c r="E912" t="s">
        <v>174</v>
      </c>
    </row>
    <row r="913" spans="1:5">
      <c r="A913">
        <v>10290</v>
      </c>
      <c r="B913" s="80">
        <v>35304</v>
      </c>
      <c r="C913">
        <v>1485</v>
      </c>
      <c r="D913">
        <v>15</v>
      </c>
      <c r="E913" t="s">
        <v>178</v>
      </c>
    </row>
    <row r="914" spans="1:5">
      <c r="A914">
        <v>10290</v>
      </c>
      <c r="B914" s="80">
        <v>35304</v>
      </c>
      <c r="C914">
        <v>340</v>
      </c>
      <c r="D914">
        <v>20</v>
      </c>
      <c r="E914" t="s">
        <v>174</v>
      </c>
    </row>
    <row r="915" spans="1:5">
      <c r="A915">
        <v>10290</v>
      </c>
      <c r="B915" s="80">
        <v>35304</v>
      </c>
      <c r="C915">
        <v>104</v>
      </c>
      <c r="D915">
        <v>10</v>
      </c>
      <c r="E915" t="s">
        <v>178</v>
      </c>
    </row>
    <row r="916" spans="1:5">
      <c r="A916">
        <v>10290</v>
      </c>
      <c r="B916" s="80">
        <v>35304</v>
      </c>
      <c r="C916">
        <v>340</v>
      </c>
      <c r="D916">
        <v>20</v>
      </c>
      <c r="E916" t="s">
        <v>175</v>
      </c>
    </row>
    <row r="917" spans="1:5">
      <c r="A917">
        <v>10290</v>
      </c>
      <c r="B917" s="80">
        <v>35304</v>
      </c>
      <c r="C917">
        <v>340</v>
      </c>
      <c r="D917">
        <v>20</v>
      </c>
      <c r="E917" t="s">
        <v>178</v>
      </c>
    </row>
    <row r="918" spans="1:5">
      <c r="A918">
        <v>10290</v>
      </c>
      <c r="B918" s="80">
        <v>35304</v>
      </c>
      <c r="C918">
        <v>104</v>
      </c>
      <c r="D918">
        <v>10</v>
      </c>
      <c r="E918" t="s">
        <v>175</v>
      </c>
    </row>
    <row r="919" spans="1:5">
      <c r="A919">
        <v>10290</v>
      </c>
      <c r="B919" s="80">
        <v>35304</v>
      </c>
      <c r="C919">
        <v>240</v>
      </c>
      <c r="D919">
        <v>15</v>
      </c>
      <c r="E919" t="s">
        <v>175</v>
      </c>
    </row>
    <row r="920" spans="1:5">
      <c r="A920">
        <v>10290</v>
      </c>
      <c r="B920" s="80">
        <v>35304</v>
      </c>
      <c r="C920">
        <v>1485</v>
      </c>
      <c r="D920">
        <v>15</v>
      </c>
      <c r="E920" t="s">
        <v>175</v>
      </c>
    </row>
    <row r="921" spans="1:5">
      <c r="A921">
        <v>10290</v>
      </c>
      <c r="B921" s="80">
        <v>35304</v>
      </c>
      <c r="C921">
        <v>1485</v>
      </c>
      <c r="D921">
        <v>15</v>
      </c>
      <c r="E921" t="s">
        <v>179</v>
      </c>
    </row>
    <row r="922" spans="1:5">
      <c r="A922">
        <v>10291</v>
      </c>
      <c r="B922" s="80">
        <v>35304</v>
      </c>
      <c r="C922">
        <v>86.399999856948853</v>
      </c>
      <c r="D922">
        <v>20</v>
      </c>
      <c r="E922" t="s">
        <v>179</v>
      </c>
    </row>
    <row r="923" spans="1:5">
      <c r="A923">
        <v>10291</v>
      </c>
      <c r="B923" s="80">
        <v>35304</v>
      </c>
      <c r="C923">
        <v>86.399999856948853</v>
      </c>
      <c r="D923">
        <v>20</v>
      </c>
      <c r="E923" t="s">
        <v>176</v>
      </c>
    </row>
    <row r="924" spans="1:5">
      <c r="A924">
        <v>10291</v>
      </c>
      <c r="B924" s="80">
        <v>35304</v>
      </c>
      <c r="C924">
        <v>76.319999873638153</v>
      </c>
      <c r="D924">
        <v>2</v>
      </c>
      <c r="E924" t="s">
        <v>175</v>
      </c>
    </row>
    <row r="925" spans="1:5">
      <c r="A925">
        <v>10291</v>
      </c>
      <c r="B925" s="80">
        <v>35304</v>
      </c>
      <c r="C925">
        <v>334.7999994456768</v>
      </c>
      <c r="D925">
        <v>24</v>
      </c>
      <c r="E925" t="s">
        <v>175</v>
      </c>
    </row>
    <row r="926" spans="1:5">
      <c r="A926">
        <v>10291</v>
      </c>
      <c r="B926" s="80">
        <v>35304</v>
      </c>
      <c r="C926">
        <v>76.319999873638153</v>
      </c>
      <c r="D926">
        <v>2</v>
      </c>
      <c r="E926" t="s">
        <v>179</v>
      </c>
    </row>
    <row r="927" spans="1:5">
      <c r="A927">
        <v>10291</v>
      </c>
      <c r="B927" s="80">
        <v>35304</v>
      </c>
      <c r="C927">
        <v>86.399999856948853</v>
      </c>
      <c r="D927">
        <v>20</v>
      </c>
      <c r="E927" t="s">
        <v>178</v>
      </c>
    </row>
    <row r="928" spans="1:5">
      <c r="A928">
        <v>10291</v>
      </c>
      <c r="B928" s="80">
        <v>35304</v>
      </c>
      <c r="C928">
        <v>334.7999994456768</v>
      </c>
      <c r="D928">
        <v>24</v>
      </c>
      <c r="E928" t="s">
        <v>177</v>
      </c>
    </row>
    <row r="929" spans="1:5">
      <c r="A929">
        <v>10291</v>
      </c>
      <c r="B929" s="80">
        <v>35304</v>
      </c>
      <c r="C929">
        <v>76.319999873638153</v>
      </c>
      <c r="D929">
        <v>2</v>
      </c>
      <c r="E929" t="s">
        <v>172</v>
      </c>
    </row>
    <row r="930" spans="1:5">
      <c r="A930">
        <v>10291</v>
      </c>
      <c r="B930" s="80">
        <v>35304</v>
      </c>
      <c r="C930">
        <v>334.7999994456768</v>
      </c>
      <c r="D930">
        <v>24</v>
      </c>
      <c r="E930" t="s">
        <v>172</v>
      </c>
    </row>
    <row r="931" spans="1:5">
      <c r="A931">
        <v>10291</v>
      </c>
      <c r="B931" s="80">
        <v>35304</v>
      </c>
      <c r="C931">
        <v>86.399999856948853</v>
      </c>
      <c r="D931">
        <v>20</v>
      </c>
      <c r="E931" t="s">
        <v>172</v>
      </c>
    </row>
    <row r="932" spans="1:5">
      <c r="A932">
        <v>10291</v>
      </c>
      <c r="B932" s="80">
        <v>35304</v>
      </c>
      <c r="C932">
        <v>86.399999856948853</v>
      </c>
      <c r="D932">
        <v>20</v>
      </c>
      <c r="E932" t="s">
        <v>175</v>
      </c>
    </row>
    <row r="933" spans="1:5">
      <c r="A933">
        <v>10291</v>
      </c>
      <c r="B933" s="80">
        <v>35304</v>
      </c>
      <c r="C933">
        <v>76.319999873638153</v>
      </c>
      <c r="D933">
        <v>2</v>
      </c>
      <c r="E933" t="s">
        <v>177</v>
      </c>
    </row>
    <row r="934" spans="1:5">
      <c r="A934">
        <v>10291</v>
      </c>
      <c r="B934" s="80">
        <v>35304</v>
      </c>
      <c r="C934">
        <v>86.399999856948853</v>
      </c>
      <c r="D934">
        <v>20</v>
      </c>
      <c r="E934" t="s">
        <v>173</v>
      </c>
    </row>
    <row r="935" spans="1:5">
      <c r="A935">
        <v>10291</v>
      </c>
      <c r="B935" s="80">
        <v>35304</v>
      </c>
      <c r="C935">
        <v>334.7999994456768</v>
      </c>
      <c r="D935">
        <v>24</v>
      </c>
      <c r="E935" t="s">
        <v>179</v>
      </c>
    </row>
    <row r="936" spans="1:5">
      <c r="A936">
        <v>10291</v>
      </c>
      <c r="B936" s="80">
        <v>35304</v>
      </c>
      <c r="C936">
        <v>86.399999856948853</v>
      </c>
      <c r="D936">
        <v>20</v>
      </c>
      <c r="E936" t="s">
        <v>177</v>
      </c>
    </row>
    <row r="937" spans="1:5">
      <c r="A937">
        <v>10291</v>
      </c>
      <c r="B937" s="80">
        <v>35304</v>
      </c>
      <c r="C937">
        <v>76.319999873638153</v>
      </c>
      <c r="D937">
        <v>2</v>
      </c>
      <c r="E937" t="s">
        <v>173</v>
      </c>
    </row>
    <row r="938" spans="1:5">
      <c r="A938">
        <v>10291</v>
      </c>
      <c r="B938" s="80">
        <v>35304</v>
      </c>
      <c r="C938">
        <v>334.7999994456768</v>
      </c>
      <c r="D938">
        <v>24</v>
      </c>
      <c r="E938" t="s">
        <v>173</v>
      </c>
    </row>
    <row r="939" spans="1:5">
      <c r="A939">
        <v>10291</v>
      </c>
      <c r="B939" s="80">
        <v>35304</v>
      </c>
      <c r="C939">
        <v>334.7999994456768</v>
      </c>
      <c r="D939">
        <v>24</v>
      </c>
      <c r="E939" t="s">
        <v>178</v>
      </c>
    </row>
    <row r="940" spans="1:5">
      <c r="A940">
        <v>10291</v>
      </c>
      <c r="B940" s="80">
        <v>35304</v>
      </c>
      <c r="C940">
        <v>334.7999994456768</v>
      </c>
      <c r="D940">
        <v>24</v>
      </c>
      <c r="E940" t="s">
        <v>176</v>
      </c>
    </row>
    <row r="941" spans="1:5">
      <c r="A941">
        <v>10291</v>
      </c>
      <c r="B941" s="80">
        <v>35304</v>
      </c>
      <c r="C941">
        <v>76.319999873638153</v>
      </c>
      <c r="D941">
        <v>2</v>
      </c>
      <c r="E941" t="s">
        <v>176</v>
      </c>
    </row>
    <row r="942" spans="1:5">
      <c r="A942">
        <v>10291</v>
      </c>
      <c r="B942" s="80">
        <v>35304</v>
      </c>
      <c r="C942">
        <v>76.319999873638153</v>
      </c>
      <c r="D942">
        <v>2</v>
      </c>
      <c r="E942" t="s">
        <v>174</v>
      </c>
    </row>
    <row r="943" spans="1:5">
      <c r="A943">
        <v>10291</v>
      </c>
      <c r="B943" s="80">
        <v>35304</v>
      </c>
      <c r="C943">
        <v>76.319999873638153</v>
      </c>
      <c r="D943">
        <v>2</v>
      </c>
      <c r="E943" t="s">
        <v>178</v>
      </c>
    </row>
    <row r="944" spans="1:5">
      <c r="A944">
        <v>10291</v>
      </c>
      <c r="B944" s="80">
        <v>35304</v>
      </c>
      <c r="C944">
        <v>334.7999994456768</v>
      </c>
      <c r="D944">
        <v>24</v>
      </c>
      <c r="E944" t="s">
        <v>174</v>
      </c>
    </row>
    <row r="945" spans="1:5">
      <c r="A945">
        <v>10291</v>
      </c>
      <c r="B945" s="80">
        <v>35304</v>
      </c>
      <c r="C945">
        <v>86.399999856948853</v>
      </c>
      <c r="D945">
        <v>20</v>
      </c>
      <c r="E945" t="s">
        <v>174</v>
      </c>
    </row>
    <row r="946" spans="1:5">
      <c r="A946">
        <v>10292</v>
      </c>
      <c r="B946" s="80">
        <v>35305</v>
      </c>
      <c r="C946">
        <v>1296</v>
      </c>
      <c r="D946">
        <v>20</v>
      </c>
      <c r="E946" t="s">
        <v>179</v>
      </c>
    </row>
    <row r="947" spans="1:5">
      <c r="A947">
        <v>10292</v>
      </c>
      <c r="B947" s="80">
        <v>35305</v>
      </c>
      <c r="C947">
        <v>1296</v>
      </c>
      <c r="D947">
        <v>20</v>
      </c>
      <c r="E947" t="s">
        <v>176</v>
      </c>
    </row>
    <row r="948" spans="1:5">
      <c r="A948">
        <v>10292</v>
      </c>
      <c r="B948" s="80">
        <v>35305</v>
      </c>
      <c r="C948">
        <v>1296</v>
      </c>
      <c r="D948">
        <v>20</v>
      </c>
      <c r="E948" t="s">
        <v>178</v>
      </c>
    </row>
    <row r="949" spans="1:5">
      <c r="A949">
        <v>10292</v>
      </c>
      <c r="B949" s="80">
        <v>35305</v>
      </c>
      <c r="C949">
        <v>1296</v>
      </c>
      <c r="D949">
        <v>20</v>
      </c>
      <c r="E949" t="s">
        <v>174</v>
      </c>
    </row>
    <row r="950" spans="1:5">
      <c r="A950">
        <v>10292</v>
      </c>
      <c r="B950" s="80">
        <v>35305</v>
      </c>
      <c r="C950">
        <v>1296</v>
      </c>
      <c r="D950">
        <v>20</v>
      </c>
      <c r="E950" t="s">
        <v>175</v>
      </c>
    </row>
    <row r="951" spans="1:5">
      <c r="A951">
        <v>10292</v>
      </c>
      <c r="B951" s="80">
        <v>35305</v>
      </c>
      <c r="C951">
        <v>1296</v>
      </c>
      <c r="D951">
        <v>20</v>
      </c>
      <c r="E951" t="s">
        <v>177</v>
      </c>
    </row>
    <row r="952" spans="1:5">
      <c r="A952">
        <v>10292</v>
      </c>
      <c r="B952" s="80">
        <v>35305</v>
      </c>
      <c r="C952">
        <v>1296</v>
      </c>
      <c r="D952">
        <v>20</v>
      </c>
      <c r="E952" t="s">
        <v>172</v>
      </c>
    </row>
    <row r="953" spans="1:5">
      <c r="A953">
        <v>10292</v>
      </c>
      <c r="B953" s="80">
        <v>35305</v>
      </c>
      <c r="C953">
        <v>1296</v>
      </c>
      <c r="D953">
        <v>20</v>
      </c>
      <c r="E953" t="s">
        <v>173</v>
      </c>
    </row>
    <row r="954" spans="1:5">
      <c r="A954">
        <v>10293</v>
      </c>
      <c r="B954" s="80">
        <v>35306</v>
      </c>
      <c r="C954">
        <v>37.200000000000003</v>
      </c>
      <c r="D954">
        <v>6</v>
      </c>
      <c r="E954" t="s">
        <v>176</v>
      </c>
    </row>
    <row r="955" spans="1:5">
      <c r="A955">
        <v>10293</v>
      </c>
      <c r="B955" s="80">
        <v>35306</v>
      </c>
      <c r="C955">
        <v>600</v>
      </c>
      <c r="D955">
        <v>12</v>
      </c>
      <c r="E955" t="s">
        <v>175</v>
      </c>
    </row>
    <row r="956" spans="1:5">
      <c r="A956">
        <v>10293</v>
      </c>
      <c r="B956" s="80">
        <v>35306</v>
      </c>
      <c r="C956">
        <v>175.5</v>
      </c>
      <c r="D956">
        <v>5</v>
      </c>
      <c r="E956" t="s">
        <v>176</v>
      </c>
    </row>
    <row r="957" spans="1:5">
      <c r="A957">
        <v>10293</v>
      </c>
      <c r="B957" s="80">
        <v>35306</v>
      </c>
      <c r="C957">
        <v>600</v>
      </c>
      <c r="D957">
        <v>12</v>
      </c>
      <c r="E957" t="s">
        <v>176</v>
      </c>
    </row>
    <row r="958" spans="1:5">
      <c r="A958">
        <v>10293</v>
      </c>
      <c r="B958" s="80">
        <v>35306</v>
      </c>
      <c r="C958">
        <v>36</v>
      </c>
      <c r="D958">
        <v>10</v>
      </c>
      <c r="E958" t="s">
        <v>176</v>
      </c>
    </row>
    <row r="959" spans="1:5">
      <c r="A959">
        <v>10293</v>
      </c>
      <c r="B959" s="80">
        <v>35306</v>
      </c>
      <c r="C959">
        <v>37.200000000000003</v>
      </c>
      <c r="D959">
        <v>6</v>
      </c>
      <c r="E959" t="s">
        <v>173</v>
      </c>
    </row>
    <row r="960" spans="1:5">
      <c r="A960">
        <v>10293</v>
      </c>
      <c r="B960" s="80">
        <v>35306</v>
      </c>
      <c r="C960">
        <v>36</v>
      </c>
      <c r="D960">
        <v>10</v>
      </c>
      <c r="E960" t="s">
        <v>175</v>
      </c>
    </row>
    <row r="961" spans="1:5">
      <c r="A961">
        <v>10293</v>
      </c>
      <c r="B961" s="80">
        <v>35306</v>
      </c>
      <c r="C961">
        <v>600</v>
      </c>
      <c r="D961">
        <v>12</v>
      </c>
      <c r="E961" t="s">
        <v>174</v>
      </c>
    </row>
    <row r="962" spans="1:5">
      <c r="A962">
        <v>10293</v>
      </c>
      <c r="B962" s="80">
        <v>35306</v>
      </c>
      <c r="C962">
        <v>175.5</v>
      </c>
      <c r="D962">
        <v>5</v>
      </c>
      <c r="E962" t="s">
        <v>175</v>
      </c>
    </row>
    <row r="963" spans="1:5">
      <c r="A963">
        <v>10293</v>
      </c>
      <c r="B963" s="80">
        <v>35306</v>
      </c>
      <c r="C963">
        <v>37.200000000000003</v>
      </c>
      <c r="D963">
        <v>6</v>
      </c>
      <c r="E963" t="s">
        <v>175</v>
      </c>
    </row>
    <row r="964" spans="1:5">
      <c r="A964">
        <v>10293</v>
      </c>
      <c r="B964" s="80">
        <v>35306</v>
      </c>
      <c r="C964">
        <v>36</v>
      </c>
      <c r="D964">
        <v>10</v>
      </c>
      <c r="E964" t="s">
        <v>177</v>
      </c>
    </row>
    <row r="965" spans="1:5">
      <c r="A965">
        <v>10293</v>
      </c>
      <c r="B965" s="80">
        <v>35306</v>
      </c>
      <c r="C965">
        <v>175.5</v>
      </c>
      <c r="D965">
        <v>5</v>
      </c>
      <c r="E965" t="s">
        <v>177</v>
      </c>
    </row>
    <row r="966" spans="1:5">
      <c r="A966">
        <v>10293</v>
      </c>
      <c r="B966" s="80">
        <v>35306</v>
      </c>
      <c r="C966">
        <v>175.5</v>
      </c>
      <c r="D966">
        <v>5</v>
      </c>
      <c r="E966" t="s">
        <v>173</v>
      </c>
    </row>
    <row r="967" spans="1:5">
      <c r="A967">
        <v>10293</v>
      </c>
      <c r="B967" s="80">
        <v>35306</v>
      </c>
      <c r="C967">
        <v>37.200000000000003</v>
      </c>
      <c r="D967">
        <v>6</v>
      </c>
      <c r="E967" t="s">
        <v>177</v>
      </c>
    </row>
    <row r="968" spans="1:5">
      <c r="A968">
        <v>10293</v>
      </c>
      <c r="B968" s="80">
        <v>35306</v>
      </c>
      <c r="C968">
        <v>37.200000000000003</v>
      </c>
      <c r="D968">
        <v>6</v>
      </c>
      <c r="E968" t="s">
        <v>174</v>
      </c>
    </row>
    <row r="969" spans="1:5">
      <c r="A969">
        <v>10293</v>
      </c>
      <c r="B969" s="80">
        <v>35306</v>
      </c>
      <c r="C969">
        <v>600</v>
      </c>
      <c r="D969">
        <v>12</v>
      </c>
      <c r="E969" t="s">
        <v>173</v>
      </c>
    </row>
    <row r="970" spans="1:5">
      <c r="A970">
        <v>10293</v>
      </c>
      <c r="B970" s="80">
        <v>35306</v>
      </c>
      <c r="C970">
        <v>36</v>
      </c>
      <c r="D970">
        <v>10</v>
      </c>
      <c r="E970" t="s">
        <v>173</v>
      </c>
    </row>
    <row r="971" spans="1:5">
      <c r="A971">
        <v>10293</v>
      </c>
      <c r="B971" s="80">
        <v>35306</v>
      </c>
      <c r="C971">
        <v>600</v>
      </c>
      <c r="D971">
        <v>12</v>
      </c>
      <c r="E971" t="s">
        <v>177</v>
      </c>
    </row>
    <row r="972" spans="1:5">
      <c r="A972">
        <v>10293</v>
      </c>
      <c r="B972" s="80">
        <v>35306</v>
      </c>
      <c r="C972">
        <v>175.5</v>
      </c>
      <c r="D972">
        <v>5</v>
      </c>
      <c r="E972" t="s">
        <v>172</v>
      </c>
    </row>
    <row r="973" spans="1:5">
      <c r="A973">
        <v>10293</v>
      </c>
      <c r="B973" s="80">
        <v>35306</v>
      </c>
      <c r="C973">
        <v>175.5</v>
      </c>
      <c r="D973">
        <v>5</v>
      </c>
      <c r="E973" t="s">
        <v>174</v>
      </c>
    </row>
    <row r="974" spans="1:5">
      <c r="A974">
        <v>10293</v>
      </c>
      <c r="B974" s="80">
        <v>35306</v>
      </c>
      <c r="C974">
        <v>37.200000000000003</v>
      </c>
      <c r="D974">
        <v>6</v>
      </c>
      <c r="E974" t="s">
        <v>179</v>
      </c>
    </row>
    <row r="975" spans="1:5">
      <c r="A975">
        <v>10293</v>
      </c>
      <c r="B975" s="80">
        <v>35306</v>
      </c>
      <c r="C975">
        <v>37.200000000000003</v>
      </c>
      <c r="D975">
        <v>6</v>
      </c>
      <c r="E975" t="s">
        <v>178</v>
      </c>
    </row>
    <row r="976" spans="1:5">
      <c r="A976">
        <v>10293</v>
      </c>
      <c r="B976" s="80">
        <v>35306</v>
      </c>
      <c r="C976">
        <v>175.5</v>
      </c>
      <c r="D976">
        <v>5</v>
      </c>
      <c r="E976" t="s">
        <v>179</v>
      </c>
    </row>
    <row r="977" spans="1:5">
      <c r="A977">
        <v>10293</v>
      </c>
      <c r="B977" s="80">
        <v>35306</v>
      </c>
      <c r="C977">
        <v>36</v>
      </c>
      <c r="D977">
        <v>10</v>
      </c>
      <c r="E977" t="s">
        <v>179</v>
      </c>
    </row>
    <row r="978" spans="1:5">
      <c r="A978">
        <v>10293</v>
      </c>
      <c r="B978" s="80">
        <v>35306</v>
      </c>
      <c r="C978">
        <v>37.200000000000003</v>
      </c>
      <c r="D978">
        <v>6</v>
      </c>
      <c r="E978" t="s">
        <v>172</v>
      </c>
    </row>
    <row r="979" spans="1:5">
      <c r="A979">
        <v>10293</v>
      </c>
      <c r="B979" s="80">
        <v>35306</v>
      </c>
      <c r="C979">
        <v>36</v>
      </c>
      <c r="D979">
        <v>10</v>
      </c>
      <c r="E979" t="s">
        <v>172</v>
      </c>
    </row>
    <row r="980" spans="1:5">
      <c r="A980">
        <v>10293</v>
      </c>
      <c r="B980" s="80">
        <v>35306</v>
      </c>
      <c r="C980">
        <v>600</v>
      </c>
      <c r="D980">
        <v>12</v>
      </c>
      <c r="E980" t="s">
        <v>172</v>
      </c>
    </row>
    <row r="981" spans="1:5">
      <c r="A981">
        <v>10293</v>
      </c>
      <c r="B981" s="80">
        <v>35306</v>
      </c>
      <c r="C981">
        <v>600</v>
      </c>
      <c r="D981">
        <v>12</v>
      </c>
      <c r="E981" t="s">
        <v>179</v>
      </c>
    </row>
    <row r="982" spans="1:5">
      <c r="A982">
        <v>10293</v>
      </c>
      <c r="B982" s="80">
        <v>35306</v>
      </c>
      <c r="C982">
        <v>600</v>
      </c>
      <c r="D982">
        <v>12</v>
      </c>
      <c r="E982" t="s">
        <v>178</v>
      </c>
    </row>
    <row r="983" spans="1:5">
      <c r="A983">
        <v>10293</v>
      </c>
      <c r="B983" s="80">
        <v>35306</v>
      </c>
      <c r="C983">
        <v>36</v>
      </c>
      <c r="D983">
        <v>10</v>
      </c>
      <c r="E983" t="s">
        <v>178</v>
      </c>
    </row>
    <row r="984" spans="1:5">
      <c r="A984">
        <v>10293</v>
      </c>
      <c r="B984" s="80">
        <v>35306</v>
      </c>
      <c r="C984">
        <v>175.5</v>
      </c>
      <c r="D984">
        <v>5</v>
      </c>
      <c r="E984" t="s">
        <v>178</v>
      </c>
    </row>
    <row r="985" spans="1:5">
      <c r="A985">
        <v>10293</v>
      </c>
      <c r="B985" s="80">
        <v>35306</v>
      </c>
      <c r="C985">
        <v>36</v>
      </c>
      <c r="D985">
        <v>10</v>
      </c>
      <c r="E985" t="s">
        <v>174</v>
      </c>
    </row>
    <row r="986" spans="1:5">
      <c r="A986">
        <v>10294</v>
      </c>
      <c r="B986" s="80">
        <v>35307</v>
      </c>
      <c r="C986">
        <v>259.2</v>
      </c>
      <c r="D986">
        <v>18</v>
      </c>
      <c r="E986" t="s">
        <v>173</v>
      </c>
    </row>
    <row r="987" spans="1:5">
      <c r="A987">
        <v>10294</v>
      </c>
      <c r="B987" s="80">
        <v>35307</v>
      </c>
      <c r="C987">
        <v>37.200000000000003</v>
      </c>
      <c r="D987">
        <v>6</v>
      </c>
      <c r="E987" t="s">
        <v>175</v>
      </c>
    </row>
    <row r="988" spans="1:5">
      <c r="A988">
        <v>10294</v>
      </c>
      <c r="B988" s="80">
        <v>35307</v>
      </c>
      <c r="C988">
        <v>571.20000000000005</v>
      </c>
      <c r="D988">
        <v>21</v>
      </c>
      <c r="E988" t="s">
        <v>179</v>
      </c>
    </row>
    <row r="989" spans="1:5">
      <c r="A989">
        <v>10294</v>
      </c>
      <c r="B989" s="80">
        <v>35307</v>
      </c>
      <c r="C989">
        <v>571.20000000000005</v>
      </c>
      <c r="D989">
        <v>21</v>
      </c>
      <c r="E989" t="s">
        <v>173</v>
      </c>
    </row>
    <row r="990" spans="1:5">
      <c r="A990">
        <v>10294</v>
      </c>
      <c r="B990" s="80">
        <v>35307</v>
      </c>
      <c r="C990">
        <v>552</v>
      </c>
      <c r="D990">
        <v>15</v>
      </c>
      <c r="E990" t="s">
        <v>179</v>
      </c>
    </row>
    <row r="991" spans="1:5">
      <c r="A991">
        <v>10294</v>
      </c>
      <c r="B991" s="80">
        <v>35307</v>
      </c>
      <c r="C991">
        <v>468</v>
      </c>
      <c r="D991">
        <v>15</v>
      </c>
      <c r="E991" t="s">
        <v>179</v>
      </c>
    </row>
    <row r="992" spans="1:5">
      <c r="A992">
        <v>10294</v>
      </c>
      <c r="B992" s="80">
        <v>35307</v>
      </c>
      <c r="C992">
        <v>259.2</v>
      </c>
      <c r="D992">
        <v>18</v>
      </c>
      <c r="E992" t="s">
        <v>179</v>
      </c>
    </row>
    <row r="993" spans="1:5">
      <c r="A993">
        <v>10294</v>
      </c>
      <c r="B993" s="80">
        <v>35307</v>
      </c>
      <c r="C993">
        <v>552</v>
      </c>
      <c r="D993">
        <v>15</v>
      </c>
      <c r="E993" t="s">
        <v>174</v>
      </c>
    </row>
    <row r="994" spans="1:5">
      <c r="A994">
        <v>10294</v>
      </c>
      <c r="B994" s="80">
        <v>35307</v>
      </c>
      <c r="C994">
        <v>468</v>
      </c>
      <c r="D994">
        <v>15</v>
      </c>
      <c r="E994" t="s">
        <v>173</v>
      </c>
    </row>
    <row r="995" spans="1:5">
      <c r="A995">
        <v>10294</v>
      </c>
      <c r="B995" s="80">
        <v>35307</v>
      </c>
      <c r="C995">
        <v>259.2</v>
      </c>
      <c r="D995">
        <v>18</v>
      </c>
      <c r="E995" t="s">
        <v>174</v>
      </c>
    </row>
    <row r="996" spans="1:5">
      <c r="A996">
        <v>10294</v>
      </c>
      <c r="B996" s="80">
        <v>35307</v>
      </c>
      <c r="C996">
        <v>37.200000000000003</v>
      </c>
      <c r="D996">
        <v>6</v>
      </c>
      <c r="E996" t="s">
        <v>174</v>
      </c>
    </row>
    <row r="997" spans="1:5">
      <c r="A997">
        <v>10294</v>
      </c>
      <c r="B997" s="80">
        <v>35307</v>
      </c>
      <c r="C997">
        <v>571.20000000000005</v>
      </c>
      <c r="D997">
        <v>21</v>
      </c>
      <c r="E997" t="s">
        <v>174</v>
      </c>
    </row>
    <row r="998" spans="1:5">
      <c r="A998">
        <v>10294</v>
      </c>
      <c r="B998" s="80">
        <v>35307</v>
      </c>
      <c r="C998">
        <v>571.20000000000005</v>
      </c>
      <c r="D998">
        <v>21</v>
      </c>
      <c r="E998" t="s">
        <v>175</v>
      </c>
    </row>
    <row r="999" spans="1:5">
      <c r="A999">
        <v>10294</v>
      </c>
      <c r="B999" s="80">
        <v>35307</v>
      </c>
      <c r="C999">
        <v>571.20000000000005</v>
      </c>
      <c r="D999">
        <v>21</v>
      </c>
      <c r="E999" t="s">
        <v>177</v>
      </c>
    </row>
    <row r="1000" spans="1:5">
      <c r="A1000">
        <v>10294</v>
      </c>
      <c r="B1000" s="80">
        <v>35307</v>
      </c>
      <c r="C1000">
        <v>468</v>
      </c>
      <c r="D1000">
        <v>15</v>
      </c>
      <c r="E1000" t="s">
        <v>174</v>
      </c>
    </row>
    <row r="1001" spans="1:5">
      <c r="A1001">
        <v>10294</v>
      </c>
      <c r="B1001" s="80">
        <v>35307</v>
      </c>
      <c r="C1001">
        <v>37.200000000000003</v>
      </c>
      <c r="D1001">
        <v>6</v>
      </c>
      <c r="E1001" t="s">
        <v>173</v>
      </c>
    </row>
    <row r="1002" spans="1:5">
      <c r="A1002">
        <v>10294</v>
      </c>
      <c r="B1002" s="80">
        <v>35307</v>
      </c>
      <c r="C1002">
        <v>552</v>
      </c>
      <c r="D1002">
        <v>15</v>
      </c>
      <c r="E1002" t="s">
        <v>172</v>
      </c>
    </row>
    <row r="1003" spans="1:5">
      <c r="A1003">
        <v>10294</v>
      </c>
      <c r="B1003" s="80">
        <v>35307</v>
      </c>
      <c r="C1003">
        <v>552</v>
      </c>
      <c r="D1003">
        <v>15</v>
      </c>
      <c r="E1003" t="s">
        <v>173</v>
      </c>
    </row>
    <row r="1004" spans="1:5">
      <c r="A1004">
        <v>10294</v>
      </c>
      <c r="B1004" s="80">
        <v>35307</v>
      </c>
      <c r="C1004">
        <v>37.200000000000003</v>
      </c>
      <c r="D1004">
        <v>6</v>
      </c>
      <c r="E1004" t="s">
        <v>176</v>
      </c>
    </row>
    <row r="1005" spans="1:5">
      <c r="A1005">
        <v>10294</v>
      </c>
      <c r="B1005" s="80">
        <v>35307</v>
      </c>
      <c r="C1005">
        <v>571.20000000000005</v>
      </c>
      <c r="D1005">
        <v>21</v>
      </c>
      <c r="E1005" t="s">
        <v>178</v>
      </c>
    </row>
    <row r="1006" spans="1:5">
      <c r="A1006">
        <v>10294</v>
      </c>
      <c r="B1006" s="80">
        <v>35307</v>
      </c>
      <c r="C1006">
        <v>552</v>
      </c>
      <c r="D1006">
        <v>15</v>
      </c>
      <c r="E1006" t="s">
        <v>178</v>
      </c>
    </row>
    <row r="1007" spans="1:5">
      <c r="A1007">
        <v>10294</v>
      </c>
      <c r="B1007" s="80">
        <v>35307</v>
      </c>
      <c r="C1007">
        <v>468</v>
      </c>
      <c r="D1007">
        <v>15</v>
      </c>
      <c r="E1007" t="s">
        <v>178</v>
      </c>
    </row>
    <row r="1008" spans="1:5">
      <c r="A1008">
        <v>10294</v>
      </c>
      <c r="B1008" s="80">
        <v>35307</v>
      </c>
      <c r="C1008">
        <v>259.2</v>
      </c>
      <c r="D1008">
        <v>18</v>
      </c>
      <c r="E1008" t="s">
        <v>176</v>
      </c>
    </row>
    <row r="1009" spans="1:5">
      <c r="A1009">
        <v>10294</v>
      </c>
      <c r="B1009" s="80">
        <v>35307</v>
      </c>
      <c r="C1009">
        <v>468</v>
      </c>
      <c r="D1009">
        <v>15</v>
      </c>
      <c r="E1009" t="s">
        <v>176</v>
      </c>
    </row>
    <row r="1010" spans="1:5">
      <c r="A1010">
        <v>10294</v>
      </c>
      <c r="B1010" s="80">
        <v>35307</v>
      </c>
      <c r="C1010">
        <v>552</v>
      </c>
      <c r="D1010">
        <v>15</v>
      </c>
      <c r="E1010" t="s">
        <v>176</v>
      </c>
    </row>
    <row r="1011" spans="1:5">
      <c r="A1011">
        <v>10294</v>
      </c>
      <c r="B1011" s="80">
        <v>35307</v>
      </c>
      <c r="C1011">
        <v>571.20000000000005</v>
      </c>
      <c r="D1011">
        <v>21</v>
      </c>
      <c r="E1011" t="s">
        <v>176</v>
      </c>
    </row>
    <row r="1012" spans="1:5">
      <c r="A1012">
        <v>10294</v>
      </c>
      <c r="B1012" s="80">
        <v>35307</v>
      </c>
      <c r="C1012">
        <v>259.2</v>
      </c>
      <c r="D1012">
        <v>18</v>
      </c>
      <c r="E1012" t="s">
        <v>178</v>
      </c>
    </row>
    <row r="1013" spans="1:5">
      <c r="A1013">
        <v>10294</v>
      </c>
      <c r="B1013" s="80">
        <v>35307</v>
      </c>
      <c r="C1013">
        <v>259.2</v>
      </c>
      <c r="D1013">
        <v>18</v>
      </c>
      <c r="E1013" t="s">
        <v>175</v>
      </c>
    </row>
    <row r="1014" spans="1:5">
      <c r="A1014">
        <v>10294</v>
      </c>
      <c r="B1014" s="80">
        <v>35307</v>
      </c>
      <c r="C1014">
        <v>468</v>
      </c>
      <c r="D1014">
        <v>15</v>
      </c>
      <c r="E1014" t="s">
        <v>172</v>
      </c>
    </row>
    <row r="1015" spans="1:5">
      <c r="A1015">
        <v>10294</v>
      </c>
      <c r="B1015" s="80">
        <v>35307</v>
      </c>
      <c r="C1015">
        <v>552</v>
      </c>
      <c r="D1015">
        <v>15</v>
      </c>
      <c r="E1015" t="s">
        <v>175</v>
      </c>
    </row>
    <row r="1016" spans="1:5">
      <c r="A1016">
        <v>10294</v>
      </c>
      <c r="B1016" s="80">
        <v>35307</v>
      </c>
      <c r="C1016">
        <v>571.20000000000005</v>
      </c>
      <c r="D1016">
        <v>21</v>
      </c>
      <c r="E1016" t="s">
        <v>172</v>
      </c>
    </row>
    <row r="1017" spans="1:5">
      <c r="A1017">
        <v>10294</v>
      </c>
      <c r="B1017" s="80">
        <v>35307</v>
      </c>
      <c r="C1017">
        <v>37.200000000000003</v>
      </c>
      <c r="D1017">
        <v>6</v>
      </c>
      <c r="E1017" t="s">
        <v>172</v>
      </c>
    </row>
    <row r="1018" spans="1:5">
      <c r="A1018">
        <v>10294</v>
      </c>
      <c r="B1018" s="80">
        <v>35307</v>
      </c>
      <c r="C1018">
        <v>37.200000000000003</v>
      </c>
      <c r="D1018">
        <v>6</v>
      </c>
      <c r="E1018" t="s">
        <v>179</v>
      </c>
    </row>
    <row r="1019" spans="1:5">
      <c r="A1019">
        <v>10294</v>
      </c>
      <c r="B1019" s="80">
        <v>35307</v>
      </c>
      <c r="C1019">
        <v>259.2</v>
      </c>
      <c r="D1019">
        <v>18</v>
      </c>
      <c r="E1019" t="s">
        <v>177</v>
      </c>
    </row>
    <row r="1020" spans="1:5">
      <c r="A1020">
        <v>10294</v>
      </c>
      <c r="B1020" s="80">
        <v>35307</v>
      </c>
      <c r="C1020">
        <v>468</v>
      </c>
      <c r="D1020">
        <v>15</v>
      </c>
      <c r="E1020" t="s">
        <v>177</v>
      </c>
    </row>
    <row r="1021" spans="1:5">
      <c r="A1021">
        <v>10294</v>
      </c>
      <c r="B1021" s="80">
        <v>35307</v>
      </c>
      <c r="C1021">
        <v>552</v>
      </c>
      <c r="D1021">
        <v>15</v>
      </c>
      <c r="E1021" t="s">
        <v>177</v>
      </c>
    </row>
    <row r="1022" spans="1:5">
      <c r="A1022">
        <v>10294</v>
      </c>
      <c r="B1022" s="80">
        <v>35307</v>
      </c>
      <c r="C1022">
        <v>37.200000000000003</v>
      </c>
      <c r="D1022">
        <v>6</v>
      </c>
      <c r="E1022" t="s">
        <v>177</v>
      </c>
    </row>
    <row r="1023" spans="1:5">
      <c r="A1023">
        <v>10294</v>
      </c>
      <c r="B1023" s="80">
        <v>35307</v>
      </c>
      <c r="C1023">
        <v>37.200000000000003</v>
      </c>
      <c r="D1023">
        <v>6</v>
      </c>
      <c r="E1023" t="s">
        <v>178</v>
      </c>
    </row>
    <row r="1024" spans="1:5">
      <c r="A1024">
        <v>10294</v>
      </c>
      <c r="B1024" s="80">
        <v>35307</v>
      </c>
      <c r="C1024">
        <v>468</v>
      </c>
      <c r="D1024">
        <v>15</v>
      </c>
      <c r="E1024" t="s">
        <v>175</v>
      </c>
    </row>
    <row r="1025" spans="1:5">
      <c r="A1025">
        <v>10294</v>
      </c>
      <c r="B1025" s="80">
        <v>35307</v>
      </c>
      <c r="C1025">
        <v>259.2</v>
      </c>
      <c r="D1025">
        <v>18</v>
      </c>
      <c r="E1025" t="s">
        <v>172</v>
      </c>
    </row>
    <row r="1026" spans="1:5">
      <c r="A1026">
        <v>10295</v>
      </c>
      <c r="B1026" s="80">
        <v>35310</v>
      </c>
      <c r="C1026">
        <v>121.6</v>
      </c>
      <c r="D1026">
        <v>4</v>
      </c>
      <c r="E1026" t="s">
        <v>175</v>
      </c>
    </row>
    <row r="1027" spans="1:5">
      <c r="A1027">
        <v>10295</v>
      </c>
      <c r="B1027" s="80">
        <v>35310</v>
      </c>
      <c r="C1027">
        <v>121.6</v>
      </c>
      <c r="D1027">
        <v>4</v>
      </c>
      <c r="E1027" t="s">
        <v>172</v>
      </c>
    </row>
    <row r="1028" spans="1:5">
      <c r="A1028">
        <v>10295</v>
      </c>
      <c r="B1028" s="80">
        <v>35310</v>
      </c>
      <c r="C1028">
        <v>121.6</v>
      </c>
      <c r="D1028">
        <v>4</v>
      </c>
      <c r="E1028" t="s">
        <v>176</v>
      </c>
    </row>
    <row r="1029" spans="1:5">
      <c r="A1029">
        <v>10295</v>
      </c>
      <c r="B1029" s="80">
        <v>35310</v>
      </c>
      <c r="C1029">
        <v>121.6</v>
      </c>
      <c r="D1029">
        <v>4</v>
      </c>
      <c r="E1029" t="s">
        <v>173</v>
      </c>
    </row>
    <row r="1030" spans="1:5">
      <c r="A1030">
        <v>10295</v>
      </c>
      <c r="B1030" s="80">
        <v>35310</v>
      </c>
      <c r="C1030">
        <v>121.6</v>
      </c>
      <c r="D1030">
        <v>4</v>
      </c>
      <c r="E1030" t="s">
        <v>178</v>
      </c>
    </row>
    <row r="1031" spans="1:5">
      <c r="A1031">
        <v>10295</v>
      </c>
      <c r="B1031" s="80">
        <v>35310</v>
      </c>
      <c r="C1031">
        <v>121.6</v>
      </c>
      <c r="D1031">
        <v>4</v>
      </c>
      <c r="E1031" t="s">
        <v>177</v>
      </c>
    </row>
    <row r="1032" spans="1:5">
      <c r="A1032">
        <v>10295</v>
      </c>
      <c r="B1032" s="80">
        <v>35310</v>
      </c>
      <c r="C1032">
        <v>121.6</v>
      </c>
      <c r="D1032">
        <v>4</v>
      </c>
      <c r="E1032" t="s">
        <v>174</v>
      </c>
    </row>
    <row r="1033" spans="1:5">
      <c r="A1033">
        <v>10295</v>
      </c>
      <c r="B1033" s="80">
        <v>35310</v>
      </c>
      <c r="C1033">
        <v>121.6</v>
      </c>
      <c r="D1033">
        <v>4</v>
      </c>
      <c r="E1033" t="s">
        <v>179</v>
      </c>
    </row>
    <row r="1034" spans="1:5">
      <c r="A1034">
        <v>10296</v>
      </c>
      <c r="B1034" s="80">
        <v>35311</v>
      </c>
      <c r="C1034">
        <v>432</v>
      </c>
      <c r="D1034">
        <v>15</v>
      </c>
      <c r="E1034" t="s">
        <v>179</v>
      </c>
    </row>
    <row r="1035" spans="1:5">
      <c r="A1035">
        <v>10296</v>
      </c>
      <c r="B1035" s="80">
        <v>35311</v>
      </c>
      <c r="C1035">
        <v>417</v>
      </c>
      <c r="D1035">
        <v>30</v>
      </c>
      <c r="E1035" t="s">
        <v>172</v>
      </c>
    </row>
    <row r="1036" spans="1:5">
      <c r="A1036">
        <v>10296</v>
      </c>
      <c r="B1036" s="80">
        <v>35311</v>
      </c>
      <c r="C1036">
        <v>201.6</v>
      </c>
      <c r="D1036">
        <v>12</v>
      </c>
      <c r="E1036" t="s">
        <v>172</v>
      </c>
    </row>
    <row r="1037" spans="1:5">
      <c r="A1037">
        <v>10296</v>
      </c>
      <c r="B1037" s="80">
        <v>35311</v>
      </c>
      <c r="C1037">
        <v>417</v>
      </c>
      <c r="D1037">
        <v>30</v>
      </c>
      <c r="E1037" t="s">
        <v>179</v>
      </c>
    </row>
    <row r="1038" spans="1:5">
      <c r="A1038">
        <v>10296</v>
      </c>
      <c r="B1038" s="80">
        <v>35311</v>
      </c>
      <c r="C1038">
        <v>201.6</v>
      </c>
      <c r="D1038">
        <v>12</v>
      </c>
      <c r="E1038" t="s">
        <v>179</v>
      </c>
    </row>
    <row r="1039" spans="1:5">
      <c r="A1039">
        <v>10296</v>
      </c>
      <c r="B1039" s="80">
        <v>35311</v>
      </c>
      <c r="C1039">
        <v>417</v>
      </c>
      <c r="D1039">
        <v>30</v>
      </c>
      <c r="E1039" t="s">
        <v>178</v>
      </c>
    </row>
    <row r="1040" spans="1:5">
      <c r="A1040">
        <v>10296</v>
      </c>
      <c r="B1040" s="80">
        <v>35311</v>
      </c>
      <c r="C1040">
        <v>432</v>
      </c>
      <c r="D1040">
        <v>15</v>
      </c>
      <c r="E1040" t="s">
        <v>178</v>
      </c>
    </row>
    <row r="1041" spans="1:5">
      <c r="A1041">
        <v>10296</v>
      </c>
      <c r="B1041" s="80">
        <v>35311</v>
      </c>
      <c r="C1041">
        <v>417</v>
      </c>
      <c r="D1041">
        <v>30</v>
      </c>
      <c r="E1041" t="s">
        <v>176</v>
      </c>
    </row>
    <row r="1042" spans="1:5">
      <c r="A1042">
        <v>10296</v>
      </c>
      <c r="B1042" s="80">
        <v>35311</v>
      </c>
      <c r="C1042">
        <v>432</v>
      </c>
      <c r="D1042">
        <v>15</v>
      </c>
      <c r="E1042" t="s">
        <v>176</v>
      </c>
    </row>
    <row r="1043" spans="1:5">
      <c r="A1043">
        <v>10296</v>
      </c>
      <c r="B1043" s="80">
        <v>35311</v>
      </c>
      <c r="C1043">
        <v>201.6</v>
      </c>
      <c r="D1043">
        <v>12</v>
      </c>
      <c r="E1043" t="s">
        <v>176</v>
      </c>
    </row>
    <row r="1044" spans="1:5">
      <c r="A1044">
        <v>10296</v>
      </c>
      <c r="B1044" s="80">
        <v>35311</v>
      </c>
      <c r="C1044">
        <v>201.6</v>
      </c>
      <c r="D1044">
        <v>12</v>
      </c>
      <c r="E1044" t="s">
        <v>178</v>
      </c>
    </row>
    <row r="1045" spans="1:5">
      <c r="A1045">
        <v>10296</v>
      </c>
      <c r="B1045" s="80">
        <v>35311</v>
      </c>
      <c r="C1045">
        <v>432</v>
      </c>
      <c r="D1045">
        <v>15</v>
      </c>
      <c r="E1045" t="s">
        <v>172</v>
      </c>
    </row>
    <row r="1046" spans="1:5">
      <c r="A1046">
        <v>10296</v>
      </c>
      <c r="B1046" s="80">
        <v>35311</v>
      </c>
      <c r="C1046">
        <v>432</v>
      </c>
      <c r="D1046">
        <v>15</v>
      </c>
      <c r="E1046" t="s">
        <v>177</v>
      </c>
    </row>
    <row r="1047" spans="1:5">
      <c r="A1047">
        <v>10296</v>
      </c>
      <c r="B1047" s="80">
        <v>35311</v>
      </c>
      <c r="C1047">
        <v>201.6</v>
      </c>
      <c r="D1047">
        <v>12</v>
      </c>
      <c r="E1047" t="s">
        <v>173</v>
      </c>
    </row>
    <row r="1048" spans="1:5">
      <c r="A1048">
        <v>10296</v>
      </c>
      <c r="B1048" s="80">
        <v>35311</v>
      </c>
      <c r="C1048">
        <v>417</v>
      </c>
      <c r="D1048">
        <v>30</v>
      </c>
      <c r="E1048" t="s">
        <v>173</v>
      </c>
    </row>
    <row r="1049" spans="1:5">
      <c r="A1049">
        <v>10296</v>
      </c>
      <c r="B1049" s="80">
        <v>35311</v>
      </c>
      <c r="C1049">
        <v>201.6</v>
      </c>
      <c r="D1049">
        <v>12</v>
      </c>
      <c r="E1049" t="s">
        <v>175</v>
      </c>
    </row>
    <row r="1050" spans="1:5">
      <c r="A1050">
        <v>10296</v>
      </c>
      <c r="B1050" s="80">
        <v>35311</v>
      </c>
      <c r="C1050">
        <v>432</v>
      </c>
      <c r="D1050">
        <v>15</v>
      </c>
      <c r="E1050" t="s">
        <v>173</v>
      </c>
    </row>
    <row r="1051" spans="1:5">
      <c r="A1051">
        <v>10296</v>
      </c>
      <c r="B1051" s="80">
        <v>35311</v>
      </c>
      <c r="C1051">
        <v>417</v>
      </c>
      <c r="D1051">
        <v>30</v>
      </c>
      <c r="E1051" t="s">
        <v>175</v>
      </c>
    </row>
    <row r="1052" spans="1:5">
      <c r="A1052">
        <v>10296</v>
      </c>
      <c r="B1052" s="80">
        <v>35311</v>
      </c>
      <c r="C1052">
        <v>432</v>
      </c>
      <c r="D1052">
        <v>15</v>
      </c>
      <c r="E1052" t="s">
        <v>175</v>
      </c>
    </row>
    <row r="1053" spans="1:5">
      <c r="A1053">
        <v>10296</v>
      </c>
      <c r="B1053" s="80">
        <v>35311</v>
      </c>
      <c r="C1053">
        <v>417</v>
      </c>
      <c r="D1053">
        <v>30</v>
      </c>
      <c r="E1053" t="s">
        <v>177</v>
      </c>
    </row>
    <row r="1054" spans="1:5">
      <c r="A1054">
        <v>10296</v>
      </c>
      <c r="B1054" s="80">
        <v>35311</v>
      </c>
      <c r="C1054">
        <v>201.6</v>
      </c>
      <c r="D1054">
        <v>12</v>
      </c>
      <c r="E1054" t="s">
        <v>174</v>
      </c>
    </row>
    <row r="1055" spans="1:5">
      <c r="A1055">
        <v>10296</v>
      </c>
      <c r="B1055" s="80">
        <v>35311</v>
      </c>
      <c r="C1055">
        <v>201.6</v>
      </c>
      <c r="D1055">
        <v>12</v>
      </c>
      <c r="E1055" t="s">
        <v>177</v>
      </c>
    </row>
    <row r="1056" spans="1:5">
      <c r="A1056">
        <v>10296</v>
      </c>
      <c r="B1056" s="80">
        <v>35311</v>
      </c>
      <c r="C1056">
        <v>432</v>
      </c>
      <c r="D1056">
        <v>15</v>
      </c>
      <c r="E1056" t="s">
        <v>174</v>
      </c>
    </row>
    <row r="1057" spans="1:5">
      <c r="A1057">
        <v>10296</v>
      </c>
      <c r="B1057" s="80">
        <v>35311</v>
      </c>
      <c r="C1057">
        <v>417</v>
      </c>
      <c r="D1057">
        <v>30</v>
      </c>
      <c r="E1057" t="s">
        <v>174</v>
      </c>
    </row>
    <row r="1058" spans="1:5">
      <c r="A1058">
        <v>10297</v>
      </c>
      <c r="B1058" s="80">
        <v>35312</v>
      </c>
      <c r="C1058">
        <v>556</v>
      </c>
      <c r="D1058">
        <v>20</v>
      </c>
      <c r="E1058" t="s">
        <v>174</v>
      </c>
    </row>
    <row r="1059" spans="1:5">
      <c r="A1059">
        <v>10297</v>
      </c>
      <c r="B1059" s="80">
        <v>35312</v>
      </c>
      <c r="C1059">
        <v>556</v>
      </c>
      <c r="D1059">
        <v>20</v>
      </c>
      <c r="E1059" t="s">
        <v>173</v>
      </c>
    </row>
    <row r="1060" spans="1:5">
      <c r="A1060">
        <v>10297</v>
      </c>
      <c r="B1060" s="80">
        <v>35312</v>
      </c>
      <c r="C1060">
        <v>556</v>
      </c>
      <c r="D1060">
        <v>20</v>
      </c>
      <c r="E1060" t="s">
        <v>177</v>
      </c>
    </row>
    <row r="1061" spans="1:5">
      <c r="A1061">
        <v>10297</v>
      </c>
      <c r="B1061" s="80">
        <v>35312</v>
      </c>
      <c r="C1061">
        <v>864</v>
      </c>
      <c r="D1061">
        <v>60</v>
      </c>
      <c r="E1061" t="s">
        <v>177</v>
      </c>
    </row>
    <row r="1062" spans="1:5">
      <c r="A1062">
        <v>10297</v>
      </c>
      <c r="B1062" s="80">
        <v>35312</v>
      </c>
      <c r="C1062">
        <v>864</v>
      </c>
      <c r="D1062">
        <v>60</v>
      </c>
      <c r="E1062" t="s">
        <v>174</v>
      </c>
    </row>
    <row r="1063" spans="1:5">
      <c r="A1063">
        <v>10297</v>
      </c>
      <c r="B1063" s="80">
        <v>35312</v>
      </c>
      <c r="C1063">
        <v>556</v>
      </c>
      <c r="D1063">
        <v>20</v>
      </c>
      <c r="E1063" t="s">
        <v>176</v>
      </c>
    </row>
    <row r="1064" spans="1:5">
      <c r="A1064">
        <v>10297</v>
      </c>
      <c r="B1064" s="80">
        <v>35312</v>
      </c>
      <c r="C1064">
        <v>556</v>
      </c>
      <c r="D1064">
        <v>20</v>
      </c>
      <c r="E1064" t="s">
        <v>172</v>
      </c>
    </row>
    <row r="1065" spans="1:5">
      <c r="A1065">
        <v>10297</v>
      </c>
      <c r="B1065" s="80">
        <v>35312</v>
      </c>
      <c r="C1065">
        <v>864</v>
      </c>
      <c r="D1065">
        <v>60</v>
      </c>
      <c r="E1065" t="s">
        <v>172</v>
      </c>
    </row>
    <row r="1066" spans="1:5">
      <c r="A1066">
        <v>10297</v>
      </c>
      <c r="B1066" s="80">
        <v>35312</v>
      </c>
      <c r="C1066">
        <v>556</v>
      </c>
      <c r="D1066">
        <v>20</v>
      </c>
      <c r="E1066" t="s">
        <v>175</v>
      </c>
    </row>
    <row r="1067" spans="1:5">
      <c r="A1067">
        <v>10297</v>
      </c>
      <c r="B1067" s="80">
        <v>35312</v>
      </c>
      <c r="C1067">
        <v>864</v>
      </c>
      <c r="D1067">
        <v>60</v>
      </c>
      <c r="E1067" t="s">
        <v>176</v>
      </c>
    </row>
    <row r="1068" spans="1:5">
      <c r="A1068">
        <v>10297</v>
      </c>
      <c r="B1068" s="80">
        <v>35312</v>
      </c>
      <c r="C1068">
        <v>864</v>
      </c>
      <c r="D1068">
        <v>60</v>
      </c>
      <c r="E1068" t="s">
        <v>178</v>
      </c>
    </row>
    <row r="1069" spans="1:5">
      <c r="A1069">
        <v>10297</v>
      </c>
      <c r="B1069" s="80">
        <v>35312</v>
      </c>
      <c r="C1069">
        <v>556</v>
      </c>
      <c r="D1069">
        <v>20</v>
      </c>
      <c r="E1069" t="s">
        <v>179</v>
      </c>
    </row>
    <row r="1070" spans="1:5">
      <c r="A1070">
        <v>10297</v>
      </c>
      <c r="B1070" s="80">
        <v>35312</v>
      </c>
      <c r="C1070">
        <v>864</v>
      </c>
      <c r="D1070">
        <v>60</v>
      </c>
      <c r="E1070" t="s">
        <v>179</v>
      </c>
    </row>
    <row r="1071" spans="1:5">
      <c r="A1071">
        <v>10297</v>
      </c>
      <c r="B1071" s="80">
        <v>35312</v>
      </c>
      <c r="C1071">
        <v>864</v>
      </c>
      <c r="D1071">
        <v>60</v>
      </c>
      <c r="E1071" t="s">
        <v>173</v>
      </c>
    </row>
    <row r="1072" spans="1:5">
      <c r="A1072">
        <v>10297</v>
      </c>
      <c r="B1072" s="80">
        <v>35312</v>
      </c>
      <c r="C1072">
        <v>864</v>
      </c>
      <c r="D1072">
        <v>60</v>
      </c>
      <c r="E1072" t="s">
        <v>175</v>
      </c>
    </row>
    <row r="1073" spans="1:5">
      <c r="A1073">
        <v>10297</v>
      </c>
      <c r="B1073" s="80">
        <v>35312</v>
      </c>
      <c r="C1073">
        <v>556</v>
      </c>
      <c r="D1073">
        <v>20</v>
      </c>
      <c r="E1073" t="s">
        <v>178</v>
      </c>
    </row>
    <row r="1074" spans="1:5">
      <c r="A1074">
        <v>10298</v>
      </c>
      <c r="B1074" s="80">
        <v>35313</v>
      </c>
      <c r="C1074">
        <v>456</v>
      </c>
      <c r="D1074">
        <v>40</v>
      </c>
      <c r="E1074" t="s">
        <v>176</v>
      </c>
    </row>
    <row r="1075" spans="1:5">
      <c r="A1075">
        <v>10298</v>
      </c>
      <c r="B1075" s="80">
        <v>35313</v>
      </c>
      <c r="C1075">
        <v>456</v>
      </c>
      <c r="D1075">
        <v>40</v>
      </c>
      <c r="E1075" t="s">
        <v>178</v>
      </c>
    </row>
    <row r="1076" spans="1:5">
      <c r="A1076">
        <v>10298</v>
      </c>
      <c r="B1076" s="80">
        <v>35313</v>
      </c>
      <c r="C1076">
        <v>608</v>
      </c>
      <c r="D1076">
        <v>40</v>
      </c>
      <c r="E1076" t="s">
        <v>175</v>
      </c>
    </row>
    <row r="1077" spans="1:5">
      <c r="A1077">
        <v>10298</v>
      </c>
      <c r="B1077" s="80">
        <v>35313</v>
      </c>
      <c r="C1077">
        <v>608</v>
      </c>
      <c r="D1077">
        <v>40</v>
      </c>
      <c r="E1077" t="s">
        <v>174</v>
      </c>
    </row>
    <row r="1078" spans="1:5">
      <c r="A1078">
        <v>10298</v>
      </c>
      <c r="B1078" s="80">
        <v>35313</v>
      </c>
      <c r="C1078">
        <v>456</v>
      </c>
      <c r="D1078">
        <v>40</v>
      </c>
      <c r="E1078" t="s">
        <v>174</v>
      </c>
    </row>
    <row r="1079" spans="1:5">
      <c r="A1079">
        <v>10298</v>
      </c>
      <c r="B1079" s="80">
        <v>35313</v>
      </c>
      <c r="C1079">
        <v>990</v>
      </c>
      <c r="D1079">
        <v>30</v>
      </c>
      <c r="E1079" t="s">
        <v>174</v>
      </c>
    </row>
    <row r="1080" spans="1:5">
      <c r="A1080">
        <v>10298</v>
      </c>
      <c r="B1080" s="80">
        <v>35313</v>
      </c>
      <c r="C1080">
        <v>591</v>
      </c>
      <c r="D1080">
        <v>15</v>
      </c>
      <c r="E1080" t="s">
        <v>174</v>
      </c>
    </row>
    <row r="1081" spans="1:5">
      <c r="A1081">
        <v>10298</v>
      </c>
      <c r="B1081" s="80">
        <v>35313</v>
      </c>
      <c r="C1081">
        <v>608</v>
      </c>
      <c r="D1081">
        <v>40</v>
      </c>
      <c r="E1081" t="s">
        <v>173</v>
      </c>
    </row>
    <row r="1082" spans="1:5">
      <c r="A1082">
        <v>10298</v>
      </c>
      <c r="B1082" s="80">
        <v>35313</v>
      </c>
      <c r="C1082">
        <v>456</v>
      </c>
      <c r="D1082">
        <v>40</v>
      </c>
      <c r="E1082" t="s">
        <v>175</v>
      </c>
    </row>
    <row r="1083" spans="1:5">
      <c r="A1083">
        <v>10298</v>
      </c>
      <c r="B1083" s="80">
        <v>35313</v>
      </c>
      <c r="C1083">
        <v>990</v>
      </c>
      <c r="D1083">
        <v>30</v>
      </c>
      <c r="E1083" t="s">
        <v>175</v>
      </c>
    </row>
    <row r="1084" spans="1:5">
      <c r="A1084">
        <v>10298</v>
      </c>
      <c r="B1084" s="80">
        <v>35313</v>
      </c>
      <c r="C1084">
        <v>591</v>
      </c>
      <c r="D1084">
        <v>15</v>
      </c>
      <c r="E1084" t="s">
        <v>176</v>
      </c>
    </row>
    <row r="1085" spans="1:5">
      <c r="A1085">
        <v>10298</v>
      </c>
      <c r="B1085" s="80">
        <v>35313</v>
      </c>
      <c r="C1085">
        <v>608</v>
      </c>
      <c r="D1085">
        <v>40</v>
      </c>
      <c r="E1085" t="s">
        <v>178</v>
      </c>
    </row>
    <row r="1086" spans="1:5">
      <c r="A1086">
        <v>10298</v>
      </c>
      <c r="B1086" s="80">
        <v>35313</v>
      </c>
      <c r="C1086">
        <v>990</v>
      </c>
      <c r="D1086">
        <v>30</v>
      </c>
      <c r="E1086" t="s">
        <v>176</v>
      </c>
    </row>
    <row r="1087" spans="1:5">
      <c r="A1087">
        <v>10298</v>
      </c>
      <c r="B1087" s="80">
        <v>35313</v>
      </c>
      <c r="C1087">
        <v>990</v>
      </c>
      <c r="D1087">
        <v>30</v>
      </c>
      <c r="E1087" t="s">
        <v>178</v>
      </c>
    </row>
    <row r="1088" spans="1:5">
      <c r="A1088">
        <v>10298</v>
      </c>
      <c r="B1088" s="80">
        <v>35313</v>
      </c>
      <c r="C1088">
        <v>591</v>
      </c>
      <c r="D1088">
        <v>15</v>
      </c>
      <c r="E1088" t="s">
        <v>178</v>
      </c>
    </row>
    <row r="1089" spans="1:5">
      <c r="A1089">
        <v>10298</v>
      </c>
      <c r="B1089" s="80">
        <v>35313</v>
      </c>
      <c r="C1089">
        <v>591</v>
      </c>
      <c r="D1089">
        <v>15</v>
      </c>
      <c r="E1089" t="s">
        <v>179</v>
      </c>
    </row>
    <row r="1090" spans="1:5">
      <c r="A1090">
        <v>10298</v>
      </c>
      <c r="B1090" s="80">
        <v>35313</v>
      </c>
      <c r="C1090">
        <v>990</v>
      </c>
      <c r="D1090">
        <v>30</v>
      </c>
      <c r="E1090" t="s">
        <v>179</v>
      </c>
    </row>
    <row r="1091" spans="1:5">
      <c r="A1091">
        <v>10298</v>
      </c>
      <c r="B1091" s="80">
        <v>35313</v>
      </c>
      <c r="C1091">
        <v>456</v>
      </c>
      <c r="D1091">
        <v>40</v>
      </c>
      <c r="E1091" t="s">
        <v>179</v>
      </c>
    </row>
    <row r="1092" spans="1:5">
      <c r="A1092">
        <v>10298</v>
      </c>
      <c r="B1092" s="80">
        <v>35313</v>
      </c>
      <c r="C1092">
        <v>608</v>
      </c>
      <c r="D1092">
        <v>40</v>
      </c>
      <c r="E1092" t="s">
        <v>179</v>
      </c>
    </row>
    <row r="1093" spans="1:5">
      <c r="A1093">
        <v>10298</v>
      </c>
      <c r="B1093" s="80">
        <v>35313</v>
      </c>
      <c r="C1093">
        <v>591</v>
      </c>
      <c r="D1093">
        <v>15</v>
      </c>
      <c r="E1093" t="s">
        <v>175</v>
      </c>
    </row>
    <row r="1094" spans="1:5">
      <c r="A1094">
        <v>10298</v>
      </c>
      <c r="B1094" s="80">
        <v>35313</v>
      </c>
      <c r="C1094">
        <v>456</v>
      </c>
      <c r="D1094">
        <v>40</v>
      </c>
      <c r="E1094" t="s">
        <v>177</v>
      </c>
    </row>
    <row r="1095" spans="1:5">
      <c r="A1095">
        <v>10298</v>
      </c>
      <c r="B1095" s="80">
        <v>35313</v>
      </c>
      <c r="C1095">
        <v>456</v>
      </c>
      <c r="D1095">
        <v>40</v>
      </c>
      <c r="E1095" t="s">
        <v>173</v>
      </c>
    </row>
    <row r="1096" spans="1:5">
      <c r="A1096">
        <v>10298</v>
      </c>
      <c r="B1096" s="80">
        <v>35313</v>
      </c>
      <c r="C1096">
        <v>990</v>
      </c>
      <c r="D1096">
        <v>30</v>
      </c>
      <c r="E1096" t="s">
        <v>173</v>
      </c>
    </row>
    <row r="1097" spans="1:5">
      <c r="A1097">
        <v>10298</v>
      </c>
      <c r="B1097" s="80">
        <v>35313</v>
      </c>
      <c r="C1097">
        <v>591</v>
      </c>
      <c r="D1097">
        <v>15</v>
      </c>
      <c r="E1097" t="s">
        <v>173</v>
      </c>
    </row>
    <row r="1098" spans="1:5">
      <c r="A1098">
        <v>10298</v>
      </c>
      <c r="B1098" s="80">
        <v>35313</v>
      </c>
      <c r="C1098">
        <v>608</v>
      </c>
      <c r="D1098">
        <v>40</v>
      </c>
      <c r="E1098" t="s">
        <v>176</v>
      </c>
    </row>
    <row r="1099" spans="1:5">
      <c r="A1099">
        <v>10298</v>
      </c>
      <c r="B1099" s="80">
        <v>35313</v>
      </c>
      <c r="C1099">
        <v>990</v>
      </c>
      <c r="D1099">
        <v>30</v>
      </c>
      <c r="E1099" t="s">
        <v>177</v>
      </c>
    </row>
    <row r="1100" spans="1:5">
      <c r="A1100">
        <v>10298</v>
      </c>
      <c r="B1100" s="80">
        <v>35313</v>
      </c>
      <c r="C1100">
        <v>608</v>
      </c>
      <c r="D1100">
        <v>40</v>
      </c>
      <c r="E1100" t="s">
        <v>177</v>
      </c>
    </row>
    <row r="1101" spans="1:5">
      <c r="A1101">
        <v>10298</v>
      </c>
      <c r="B1101" s="80">
        <v>35313</v>
      </c>
      <c r="C1101">
        <v>608</v>
      </c>
      <c r="D1101">
        <v>40</v>
      </c>
      <c r="E1101" t="s">
        <v>172</v>
      </c>
    </row>
    <row r="1102" spans="1:5">
      <c r="A1102">
        <v>10298</v>
      </c>
      <c r="B1102" s="80">
        <v>35313</v>
      </c>
      <c r="C1102">
        <v>456</v>
      </c>
      <c r="D1102">
        <v>40</v>
      </c>
      <c r="E1102" t="s">
        <v>172</v>
      </c>
    </row>
    <row r="1103" spans="1:5">
      <c r="A1103">
        <v>10298</v>
      </c>
      <c r="B1103" s="80">
        <v>35313</v>
      </c>
      <c r="C1103">
        <v>591</v>
      </c>
      <c r="D1103">
        <v>15</v>
      </c>
      <c r="E1103" t="s">
        <v>172</v>
      </c>
    </row>
    <row r="1104" spans="1:5">
      <c r="A1104">
        <v>10298</v>
      </c>
      <c r="B1104" s="80">
        <v>35313</v>
      </c>
      <c r="C1104">
        <v>591</v>
      </c>
      <c r="D1104">
        <v>15</v>
      </c>
      <c r="E1104" t="s">
        <v>177</v>
      </c>
    </row>
    <row r="1105" spans="1:5">
      <c r="A1105">
        <v>10298</v>
      </c>
      <c r="B1105" s="80">
        <v>35313</v>
      </c>
      <c r="C1105">
        <v>990</v>
      </c>
      <c r="D1105">
        <v>30</v>
      </c>
      <c r="E1105" t="s">
        <v>172</v>
      </c>
    </row>
    <row r="1106" spans="1:5">
      <c r="A1106">
        <v>10299</v>
      </c>
      <c r="B1106" s="80">
        <v>35314</v>
      </c>
      <c r="C1106">
        <v>109.5</v>
      </c>
      <c r="D1106">
        <v>15</v>
      </c>
      <c r="E1106" t="s">
        <v>177</v>
      </c>
    </row>
    <row r="1107" spans="1:5">
      <c r="A1107">
        <v>10299</v>
      </c>
      <c r="B1107" s="80">
        <v>35314</v>
      </c>
      <c r="C1107">
        <v>240</v>
      </c>
      <c r="D1107">
        <v>20</v>
      </c>
      <c r="E1107" t="s">
        <v>178</v>
      </c>
    </row>
    <row r="1108" spans="1:5">
      <c r="A1108">
        <v>10299</v>
      </c>
      <c r="B1108" s="80">
        <v>35314</v>
      </c>
      <c r="C1108">
        <v>109.5</v>
      </c>
      <c r="D1108">
        <v>15</v>
      </c>
      <c r="E1108" t="s">
        <v>178</v>
      </c>
    </row>
    <row r="1109" spans="1:5">
      <c r="A1109">
        <v>10299</v>
      </c>
      <c r="B1109" s="80">
        <v>35314</v>
      </c>
      <c r="C1109">
        <v>240</v>
      </c>
      <c r="D1109">
        <v>20</v>
      </c>
      <c r="E1109" t="s">
        <v>176</v>
      </c>
    </row>
    <row r="1110" spans="1:5">
      <c r="A1110">
        <v>10299</v>
      </c>
      <c r="B1110" s="80">
        <v>35314</v>
      </c>
      <c r="C1110">
        <v>109.5</v>
      </c>
      <c r="D1110">
        <v>15</v>
      </c>
      <c r="E1110" t="s">
        <v>179</v>
      </c>
    </row>
    <row r="1111" spans="1:5">
      <c r="A1111">
        <v>10299</v>
      </c>
      <c r="B1111" s="80">
        <v>35314</v>
      </c>
      <c r="C1111">
        <v>109.5</v>
      </c>
      <c r="D1111">
        <v>15</v>
      </c>
      <c r="E1111" t="s">
        <v>173</v>
      </c>
    </row>
    <row r="1112" spans="1:5">
      <c r="A1112">
        <v>10299</v>
      </c>
      <c r="B1112" s="80">
        <v>35314</v>
      </c>
      <c r="C1112">
        <v>240</v>
      </c>
      <c r="D1112">
        <v>20</v>
      </c>
      <c r="E1112" t="s">
        <v>173</v>
      </c>
    </row>
    <row r="1113" spans="1:5">
      <c r="A1113">
        <v>10299</v>
      </c>
      <c r="B1113" s="80">
        <v>35314</v>
      </c>
      <c r="C1113">
        <v>240</v>
      </c>
      <c r="D1113">
        <v>20</v>
      </c>
      <c r="E1113" t="s">
        <v>175</v>
      </c>
    </row>
    <row r="1114" spans="1:5">
      <c r="A1114">
        <v>10299</v>
      </c>
      <c r="B1114" s="80">
        <v>35314</v>
      </c>
      <c r="C1114">
        <v>240</v>
      </c>
      <c r="D1114">
        <v>20</v>
      </c>
      <c r="E1114" t="s">
        <v>177</v>
      </c>
    </row>
    <row r="1115" spans="1:5">
      <c r="A1115">
        <v>10299</v>
      </c>
      <c r="B1115" s="80">
        <v>35314</v>
      </c>
      <c r="C1115">
        <v>240</v>
      </c>
      <c r="D1115">
        <v>20</v>
      </c>
      <c r="E1115" t="s">
        <v>172</v>
      </c>
    </row>
    <row r="1116" spans="1:5">
      <c r="A1116">
        <v>10299</v>
      </c>
      <c r="B1116" s="80">
        <v>35314</v>
      </c>
      <c r="C1116">
        <v>109.5</v>
      </c>
      <c r="D1116">
        <v>15</v>
      </c>
      <c r="E1116" t="s">
        <v>172</v>
      </c>
    </row>
    <row r="1117" spans="1:5">
      <c r="A1117">
        <v>10299</v>
      </c>
      <c r="B1117" s="80">
        <v>35314</v>
      </c>
      <c r="C1117">
        <v>109.5</v>
      </c>
      <c r="D1117">
        <v>15</v>
      </c>
      <c r="E1117" t="s">
        <v>174</v>
      </c>
    </row>
    <row r="1118" spans="1:5">
      <c r="A1118">
        <v>10299</v>
      </c>
      <c r="B1118" s="80">
        <v>35314</v>
      </c>
      <c r="C1118">
        <v>109.5</v>
      </c>
      <c r="D1118">
        <v>15</v>
      </c>
      <c r="E1118" t="s">
        <v>176</v>
      </c>
    </row>
    <row r="1119" spans="1:5">
      <c r="A1119">
        <v>10299</v>
      </c>
      <c r="B1119" s="80">
        <v>35314</v>
      </c>
      <c r="C1119">
        <v>240</v>
      </c>
      <c r="D1119">
        <v>20</v>
      </c>
      <c r="E1119" t="s">
        <v>174</v>
      </c>
    </row>
    <row r="1120" spans="1:5">
      <c r="A1120">
        <v>10299</v>
      </c>
      <c r="B1120" s="80">
        <v>35314</v>
      </c>
      <c r="C1120">
        <v>109.5</v>
      </c>
      <c r="D1120">
        <v>15</v>
      </c>
      <c r="E1120" t="s">
        <v>175</v>
      </c>
    </row>
    <row r="1121" spans="1:5">
      <c r="A1121">
        <v>10299</v>
      </c>
      <c r="B1121" s="80">
        <v>35314</v>
      </c>
      <c r="C1121">
        <v>240</v>
      </c>
      <c r="D1121">
        <v>20</v>
      </c>
      <c r="E1121" t="s">
        <v>179</v>
      </c>
    </row>
    <row r="1122" spans="1:5">
      <c r="A1122">
        <v>10300</v>
      </c>
      <c r="B1122" s="80">
        <v>35317</v>
      </c>
      <c r="C1122">
        <v>408</v>
      </c>
      <c r="D1122">
        <v>30</v>
      </c>
      <c r="E1122" t="s">
        <v>174</v>
      </c>
    </row>
    <row r="1123" spans="1:5">
      <c r="A1123">
        <v>10300</v>
      </c>
      <c r="B1123" s="80">
        <v>35317</v>
      </c>
      <c r="C1123">
        <v>408</v>
      </c>
      <c r="D1123">
        <v>30</v>
      </c>
      <c r="E1123" t="s">
        <v>176</v>
      </c>
    </row>
    <row r="1124" spans="1:5">
      <c r="A1124">
        <v>10300</v>
      </c>
      <c r="B1124" s="80">
        <v>35317</v>
      </c>
      <c r="C1124">
        <v>200</v>
      </c>
      <c r="D1124">
        <v>20</v>
      </c>
      <c r="E1124" t="s">
        <v>174</v>
      </c>
    </row>
    <row r="1125" spans="1:5">
      <c r="A1125">
        <v>10300</v>
      </c>
      <c r="B1125" s="80">
        <v>35317</v>
      </c>
      <c r="C1125">
        <v>200</v>
      </c>
      <c r="D1125">
        <v>20</v>
      </c>
      <c r="E1125" t="s">
        <v>175</v>
      </c>
    </row>
    <row r="1126" spans="1:5">
      <c r="A1126">
        <v>10300</v>
      </c>
      <c r="B1126" s="80">
        <v>35317</v>
      </c>
      <c r="C1126">
        <v>408</v>
      </c>
      <c r="D1126">
        <v>30</v>
      </c>
      <c r="E1126" t="s">
        <v>175</v>
      </c>
    </row>
    <row r="1127" spans="1:5">
      <c r="A1127">
        <v>10300</v>
      </c>
      <c r="B1127" s="80">
        <v>35317</v>
      </c>
      <c r="C1127">
        <v>200</v>
      </c>
      <c r="D1127">
        <v>20</v>
      </c>
      <c r="E1127" t="s">
        <v>176</v>
      </c>
    </row>
    <row r="1128" spans="1:5">
      <c r="A1128">
        <v>10300</v>
      </c>
      <c r="B1128" s="80">
        <v>35317</v>
      </c>
      <c r="C1128">
        <v>200</v>
      </c>
      <c r="D1128">
        <v>20</v>
      </c>
      <c r="E1128" t="s">
        <v>173</v>
      </c>
    </row>
    <row r="1129" spans="1:5">
      <c r="A1129">
        <v>10300</v>
      </c>
      <c r="B1129" s="80">
        <v>35317</v>
      </c>
      <c r="C1129">
        <v>408</v>
      </c>
      <c r="D1129">
        <v>30</v>
      </c>
      <c r="E1129" t="s">
        <v>172</v>
      </c>
    </row>
    <row r="1130" spans="1:5">
      <c r="A1130">
        <v>10300</v>
      </c>
      <c r="B1130" s="80">
        <v>35317</v>
      </c>
      <c r="C1130">
        <v>200</v>
      </c>
      <c r="D1130">
        <v>20</v>
      </c>
      <c r="E1130" t="s">
        <v>172</v>
      </c>
    </row>
    <row r="1131" spans="1:5">
      <c r="A1131">
        <v>10300</v>
      </c>
      <c r="B1131" s="80">
        <v>35317</v>
      </c>
      <c r="C1131">
        <v>408</v>
      </c>
      <c r="D1131">
        <v>30</v>
      </c>
      <c r="E1131" t="s">
        <v>173</v>
      </c>
    </row>
    <row r="1132" spans="1:5">
      <c r="A1132">
        <v>10300</v>
      </c>
      <c r="B1132" s="80">
        <v>35317</v>
      </c>
      <c r="C1132">
        <v>200</v>
      </c>
      <c r="D1132">
        <v>20</v>
      </c>
      <c r="E1132" t="s">
        <v>177</v>
      </c>
    </row>
    <row r="1133" spans="1:5">
      <c r="A1133">
        <v>10300</v>
      </c>
      <c r="B1133" s="80">
        <v>35317</v>
      </c>
      <c r="C1133">
        <v>408</v>
      </c>
      <c r="D1133">
        <v>30</v>
      </c>
      <c r="E1133" t="s">
        <v>177</v>
      </c>
    </row>
    <row r="1134" spans="1:5">
      <c r="A1134">
        <v>10300</v>
      </c>
      <c r="B1134" s="80">
        <v>35317</v>
      </c>
      <c r="C1134">
        <v>408</v>
      </c>
      <c r="D1134">
        <v>30</v>
      </c>
      <c r="E1134" t="s">
        <v>179</v>
      </c>
    </row>
    <row r="1135" spans="1:5">
      <c r="A1135">
        <v>10300</v>
      </c>
      <c r="B1135" s="80">
        <v>35317</v>
      </c>
      <c r="C1135">
        <v>200</v>
      </c>
      <c r="D1135">
        <v>20</v>
      </c>
      <c r="E1135" t="s">
        <v>178</v>
      </c>
    </row>
    <row r="1136" spans="1:5">
      <c r="A1136">
        <v>10300</v>
      </c>
      <c r="B1136" s="80">
        <v>35317</v>
      </c>
      <c r="C1136">
        <v>408</v>
      </c>
      <c r="D1136">
        <v>30</v>
      </c>
      <c r="E1136" t="s">
        <v>178</v>
      </c>
    </row>
    <row r="1137" spans="1:5">
      <c r="A1137">
        <v>10300</v>
      </c>
      <c r="B1137" s="80">
        <v>35317</v>
      </c>
      <c r="C1137">
        <v>200</v>
      </c>
      <c r="D1137">
        <v>20</v>
      </c>
      <c r="E1137" t="s">
        <v>179</v>
      </c>
    </row>
    <row r="1138" spans="1:5">
      <c r="A1138">
        <v>10301</v>
      </c>
      <c r="B1138" s="80">
        <v>35317</v>
      </c>
      <c r="C1138">
        <v>147</v>
      </c>
      <c r="D1138">
        <v>10</v>
      </c>
      <c r="E1138" t="s">
        <v>175</v>
      </c>
    </row>
    <row r="1139" spans="1:5">
      <c r="A1139">
        <v>10301</v>
      </c>
      <c r="B1139" s="80">
        <v>35317</v>
      </c>
      <c r="C1139">
        <v>608</v>
      </c>
      <c r="D1139">
        <v>20</v>
      </c>
      <c r="E1139" t="s">
        <v>176</v>
      </c>
    </row>
    <row r="1140" spans="1:5">
      <c r="A1140">
        <v>10301</v>
      </c>
      <c r="B1140" s="80">
        <v>35317</v>
      </c>
      <c r="C1140">
        <v>147</v>
      </c>
      <c r="D1140">
        <v>10</v>
      </c>
      <c r="E1140" t="s">
        <v>174</v>
      </c>
    </row>
    <row r="1141" spans="1:5">
      <c r="A1141">
        <v>10301</v>
      </c>
      <c r="B1141" s="80">
        <v>35317</v>
      </c>
      <c r="C1141">
        <v>147</v>
      </c>
      <c r="D1141">
        <v>10</v>
      </c>
      <c r="E1141" t="s">
        <v>173</v>
      </c>
    </row>
    <row r="1142" spans="1:5">
      <c r="A1142">
        <v>10301</v>
      </c>
      <c r="B1142" s="80">
        <v>35317</v>
      </c>
      <c r="C1142">
        <v>608</v>
      </c>
      <c r="D1142">
        <v>20</v>
      </c>
      <c r="E1142" t="s">
        <v>175</v>
      </c>
    </row>
    <row r="1143" spans="1:5">
      <c r="A1143">
        <v>10301</v>
      </c>
      <c r="B1143" s="80">
        <v>35317</v>
      </c>
      <c r="C1143">
        <v>147</v>
      </c>
      <c r="D1143">
        <v>10</v>
      </c>
      <c r="E1143" t="s">
        <v>176</v>
      </c>
    </row>
    <row r="1144" spans="1:5">
      <c r="A1144">
        <v>10301</v>
      </c>
      <c r="B1144" s="80">
        <v>35317</v>
      </c>
      <c r="C1144">
        <v>147</v>
      </c>
      <c r="D1144">
        <v>10</v>
      </c>
      <c r="E1144" t="s">
        <v>178</v>
      </c>
    </row>
    <row r="1145" spans="1:5">
      <c r="A1145">
        <v>10301</v>
      </c>
      <c r="B1145" s="80">
        <v>35317</v>
      </c>
      <c r="C1145">
        <v>608</v>
      </c>
      <c r="D1145">
        <v>20</v>
      </c>
      <c r="E1145" t="s">
        <v>179</v>
      </c>
    </row>
    <row r="1146" spans="1:5">
      <c r="A1146">
        <v>10301</v>
      </c>
      <c r="B1146" s="80">
        <v>35317</v>
      </c>
      <c r="C1146">
        <v>608</v>
      </c>
      <c r="D1146">
        <v>20</v>
      </c>
      <c r="E1146" t="s">
        <v>178</v>
      </c>
    </row>
    <row r="1147" spans="1:5">
      <c r="A1147">
        <v>10301</v>
      </c>
      <c r="B1147" s="80">
        <v>35317</v>
      </c>
      <c r="C1147">
        <v>608</v>
      </c>
      <c r="D1147">
        <v>20</v>
      </c>
      <c r="E1147" t="s">
        <v>174</v>
      </c>
    </row>
    <row r="1148" spans="1:5">
      <c r="A1148">
        <v>10301</v>
      </c>
      <c r="B1148" s="80">
        <v>35317</v>
      </c>
      <c r="C1148">
        <v>608</v>
      </c>
      <c r="D1148">
        <v>20</v>
      </c>
      <c r="E1148" t="s">
        <v>172</v>
      </c>
    </row>
    <row r="1149" spans="1:5">
      <c r="A1149">
        <v>10301</v>
      </c>
      <c r="B1149" s="80">
        <v>35317</v>
      </c>
      <c r="C1149">
        <v>147</v>
      </c>
      <c r="D1149">
        <v>10</v>
      </c>
      <c r="E1149" t="s">
        <v>177</v>
      </c>
    </row>
    <row r="1150" spans="1:5">
      <c r="A1150">
        <v>10301</v>
      </c>
      <c r="B1150" s="80">
        <v>35317</v>
      </c>
      <c r="C1150">
        <v>608</v>
      </c>
      <c r="D1150">
        <v>20</v>
      </c>
      <c r="E1150" t="s">
        <v>177</v>
      </c>
    </row>
    <row r="1151" spans="1:5">
      <c r="A1151">
        <v>10301</v>
      </c>
      <c r="B1151" s="80">
        <v>35317</v>
      </c>
      <c r="C1151">
        <v>147</v>
      </c>
      <c r="D1151">
        <v>10</v>
      </c>
      <c r="E1151" t="s">
        <v>172</v>
      </c>
    </row>
    <row r="1152" spans="1:5">
      <c r="A1152">
        <v>10301</v>
      </c>
      <c r="B1152" s="80">
        <v>35317</v>
      </c>
      <c r="C1152">
        <v>608</v>
      </c>
      <c r="D1152">
        <v>20</v>
      </c>
      <c r="E1152" t="s">
        <v>173</v>
      </c>
    </row>
    <row r="1153" spans="1:5">
      <c r="A1153">
        <v>10301</v>
      </c>
      <c r="B1153" s="80">
        <v>35317</v>
      </c>
      <c r="C1153">
        <v>147</v>
      </c>
      <c r="D1153">
        <v>10</v>
      </c>
      <c r="E1153" t="s">
        <v>179</v>
      </c>
    </row>
    <row r="1154" spans="1:5">
      <c r="A1154">
        <v>10302</v>
      </c>
      <c r="B1154" s="80">
        <v>35318</v>
      </c>
      <c r="C1154">
        <v>1248</v>
      </c>
      <c r="D1154">
        <v>40</v>
      </c>
      <c r="E1154" t="s">
        <v>172</v>
      </c>
    </row>
    <row r="1155" spans="1:5">
      <c r="A1155">
        <v>10302</v>
      </c>
      <c r="B1155" s="80">
        <v>35318</v>
      </c>
      <c r="C1155">
        <v>441.6</v>
      </c>
      <c r="D1155">
        <v>12</v>
      </c>
      <c r="E1155" t="s">
        <v>174</v>
      </c>
    </row>
    <row r="1156" spans="1:5">
      <c r="A1156">
        <v>10302</v>
      </c>
      <c r="B1156" s="80">
        <v>35318</v>
      </c>
      <c r="C1156">
        <v>1248</v>
      </c>
      <c r="D1156">
        <v>40</v>
      </c>
      <c r="E1156" t="s">
        <v>175</v>
      </c>
    </row>
    <row r="1157" spans="1:5">
      <c r="A1157">
        <v>10302</v>
      </c>
      <c r="B1157" s="80">
        <v>35318</v>
      </c>
      <c r="C1157">
        <v>441.6</v>
      </c>
      <c r="D1157">
        <v>12</v>
      </c>
      <c r="E1157" t="s">
        <v>172</v>
      </c>
    </row>
    <row r="1158" spans="1:5">
      <c r="A1158">
        <v>10302</v>
      </c>
      <c r="B1158" s="80">
        <v>35318</v>
      </c>
      <c r="C1158">
        <v>441.6</v>
      </c>
      <c r="D1158">
        <v>12</v>
      </c>
      <c r="E1158" t="s">
        <v>176</v>
      </c>
    </row>
    <row r="1159" spans="1:5">
      <c r="A1159">
        <v>10302</v>
      </c>
      <c r="B1159" s="80">
        <v>35318</v>
      </c>
      <c r="C1159">
        <v>1019.2</v>
      </c>
      <c r="D1159">
        <v>28</v>
      </c>
      <c r="E1159" t="s">
        <v>176</v>
      </c>
    </row>
    <row r="1160" spans="1:5">
      <c r="A1160">
        <v>10302</v>
      </c>
      <c r="B1160" s="80">
        <v>35318</v>
      </c>
      <c r="C1160">
        <v>1019.2</v>
      </c>
      <c r="D1160">
        <v>28</v>
      </c>
      <c r="E1160" t="s">
        <v>175</v>
      </c>
    </row>
    <row r="1161" spans="1:5">
      <c r="A1161">
        <v>10302</v>
      </c>
      <c r="B1161" s="80">
        <v>35318</v>
      </c>
      <c r="C1161">
        <v>1019.2</v>
      </c>
      <c r="D1161">
        <v>28</v>
      </c>
      <c r="E1161" t="s">
        <v>172</v>
      </c>
    </row>
    <row r="1162" spans="1:5">
      <c r="A1162">
        <v>10302</v>
      </c>
      <c r="B1162" s="80">
        <v>35318</v>
      </c>
      <c r="C1162">
        <v>1248</v>
      </c>
      <c r="D1162">
        <v>40</v>
      </c>
      <c r="E1162" t="s">
        <v>178</v>
      </c>
    </row>
    <row r="1163" spans="1:5">
      <c r="A1163">
        <v>10302</v>
      </c>
      <c r="B1163" s="80">
        <v>35318</v>
      </c>
      <c r="C1163">
        <v>441.6</v>
      </c>
      <c r="D1163">
        <v>12</v>
      </c>
      <c r="E1163" t="s">
        <v>175</v>
      </c>
    </row>
    <row r="1164" spans="1:5">
      <c r="A1164">
        <v>10302</v>
      </c>
      <c r="B1164" s="80">
        <v>35318</v>
      </c>
      <c r="C1164">
        <v>441.6</v>
      </c>
      <c r="D1164">
        <v>12</v>
      </c>
      <c r="E1164" t="s">
        <v>173</v>
      </c>
    </row>
    <row r="1165" spans="1:5">
      <c r="A1165">
        <v>10302</v>
      </c>
      <c r="B1165" s="80">
        <v>35318</v>
      </c>
      <c r="C1165">
        <v>1248</v>
      </c>
      <c r="D1165">
        <v>40</v>
      </c>
      <c r="E1165" t="s">
        <v>177</v>
      </c>
    </row>
    <row r="1166" spans="1:5">
      <c r="A1166">
        <v>10302</v>
      </c>
      <c r="B1166" s="80">
        <v>35318</v>
      </c>
      <c r="C1166">
        <v>1019.2</v>
      </c>
      <c r="D1166">
        <v>28</v>
      </c>
      <c r="E1166" t="s">
        <v>177</v>
      </c>
    </row>
    <row r="1167" spans="1:5">
      <c r="A1167">
        <v>10302</v>
      </c>
      <c r="B1167" s="80">
        <v>35318</v>
      </c>
      <c r="C1167">
        <v>441.6</v>
      </c>
      <c r="D1167">
        <v>12</v>
      </c>
      <c r="E1167" t="s">
        <v>177</v>
      </c>
    </row>
    <row r="1168" spans="1:5">
      <c r="A1168">
        <v>10302</v>
      </c>
      <c r="B1168" s="80">
        <v>35318</v>
      </c>
      <c r="C1168">
        <v>441.6</v>
      </c>
      <c r="D1168">
        <v>12</v>
      </c>
      <c r="E1168" t="s">
        <v>179</v>
      </c>
    </row>
    <row r="1169" spans="1:5">
      <c r="A1169">
        <v>10302</v>
      </c>
      <c r="B1169" s="80">
        <v>35318</v>
      </c>
      <c r="C1169">
        <v>1019.2</v>
      </c>
      <c r="D1169">
        <v>28</v>
      </c>
      <c r="E1169" t="s">
        <v>179</v>
      </c>
    </row>
    <row r="1170" spans="1:5">
      <c r="A1170">
        <v>10302</v>
      </c>
      <c r="B1170" s="80">
        <v>35318</v>
      </c>
      <c r="C1170">
        <v>1248</v>
      </c>
      <c r="D1170">
        <v>40</v>
      </c>
      <c r="E1170" t="s">
        <v>179</v>
      </c>
    </row>
    <row r="1171" spans="1:5">
      <c r="A1171">
        <v>10302</v>
      </c>
      <c r="B1171" s="80">
        <v>35318</v>
      </c>
      <c r="C1171">
        <v>1019.2</v>
      </c>
      <c r="D1171">
        <v>28</v>
      </c>
      <c r="E1171" t="s">
        <v>173</v>
      </c>
    </row>
    <row r="1172" spans="1:5">
      <c r="A1172">
        <v>10302</v>
      </c>
      <c r="B1172" s="80">
        <v>35318</v>
      </c>
      <c r="C1172">
        <v>1019.2</v>
      </c>
      <c r="D1172">
        <v>28</v>
      </c>
      <c r="E1172" t="s">
        <v>178</v>
      </c>
    </row>
    <row r="1173" spans="1:5">
      <c r="A1173">
        <v>10302</v>
      </c>
      <c r="B1173" s="80">
        <v>35318</v>
      </c>
      <c r="C1173">
        <v>1248</v>
      </c>
      <c r="D1173">
        <v>40</v>
      </c>
      <c r="E1173" t="s">
        <v>174</v>
      </c>
    </row>
    <row r="1174" spans="1:5">
      <c r="A1174">
        <v>10302</v>
      </c>
      <c r="B1174" s="80">
        <v>35318</v>
      </c>
      <c r="C1174">
        <v>1019.2</v>
      </c>
      <c r="D1174">
        <v>28</v>
      </c>
      <c r="E1174" t="s">
        <v>174</v>
      </c>
    </row>
    <row r="1175" spans="1:5">
      <c r="A1175">
        <v>10302</v>
      </c>
      <c r="B1175" s="80">
        <v>35318</v>
      </c>
      <c r="C1175">
        <v>1248</v>
      </c>
      <c r="D1175">
        <v>40</v>
      </c>
      <c r="E1175" t="s">
        <v>176</v>
      </c>
    </row>
    <row r="1176" spans="1:5">
      <c r="A1176">
        <v>10302</v>
      </c>
      <c r="B1176" s="80">
        <v>35318</v>
      </c>
      <c r="C1176">
        <v>441.6</v>
      </c>
      <c r="D1176">
        <v>12</v>
      </c>
      <c r="E1176" t="s">
        <v>178</v>
      </c>
    </row>
    <row r="1177" spans="1:5">
      <c r="A1177">
        <v>10302</v>
      </c>
      <c r="B1177" s="80">
        <v>35318</v>
      </c>
      <c r="C1177">
        <v>1248</v>
      </c>
      <c r="D1177">
        <v>40</v>
      </c>
      <c r="E1177" t="s">
        <v>173</v>
      </c>
    </row>
    <row r="1178" spans="1:5">
      <c r="A1178">
        <v>10303</v>
      </c>
      <c r="B1178" s="80">
        <v>35319</v>
      </c>
      <c r="C1178">
        <v>134.99999977648258</v>
      </c>
      <c r="D1178">
        <v>15</v>
      </c>
      <c r="E1178" t="s">
        <v>178</v>
      </c>
    </row>
    <row r="1179" spans="1:5">
      <c r="A1179">
        <v>10303</v>
      </c>
      <c r="B1179" s="80">
        <v>35319</v>
      </c>
      <c r="C1179">
        <v>134.99999977648258</v>
      </c>
      <c r="D1179">
        <v>15</v>
      </c>
      <c r="E1179" t="s">
        <v>172</v>
      </c>
    </row>
    <row r="1180" spans="1:5">
      <c r="A1180">
        <v>10303</v>
      </c>
      <c r="B1180" s="80">
        <v>35319</v>
      </c>
      <c r="C1180">
        <v>453.59999924898148</v>
      </c>
      <c r="D1180">
        <v>30</v>
      </c>
      <c r="E1180" t="s">
        <v>175</v>
      </c>
    </row>
    <row r="1181" spans="1:5">
      <c r="A1181">
        <v>10303</v>
      </c>
      <c r="B1181" s="80">
        <v>35319</v>
      </c>
      <c r="C1181">
        <v>453.59999924898148</v>
      </c>
      <c r="D1181">
        <v>30</v>
      </c>
      <c r="E1181" t="s">
        <v>179</v>
      </c>
    </row>
    <row r="1182" spans="1:5">
      <c r="A1182">
        <v>10303</v>
      </c>
      <c r="B1182" s="80">
        <v>35319</v>
      </c>
      <c r="C1182">
        <v>453.59999924898148</v>
      </c>
      <c r="D1182">
        <v>30</v>
      </c>
      <c r="E1182" t="s">
        <v>178</v>
      </c>
    </row>
    <row r="1183" spans="1:5">
      <c r="A1183">
        <v>10303</v>
      </c>
      <c r="B1183" s="80">
        <v>35319</v>
      </c>
      <c r="C1183">
        <v>529.19999912381172</v>
      </c>
      <c r="D1183">
        <v>40</v>
      </c>
      <c r="E1183" t="s">
        <v>175</v>
      </c>
    </row>
    <row r="1184" spans="1:5">
      <c r="A1184">
        <v>10303</v>
      </c>
      <c r="B1184" s="80">
        <v>35319</v>
      </c>
      <c r="C1184">
        <v>529.19999912381172</v>
      </c>
      <c r="D1184">
        <v>40</v>
      </c>
      <c r="E1184" t="s">
        <v>178</v>
      </c>
    </row>
    <row r="1185" spans="1:5">
      <c r="A1185">
        <v>10303</v>
      </c>
      <c r="B1185" s="80">
        <v>35319</v>
      </c>
      <c r="C1185">
        <v>134.99999977648258</v>
      </c>
      <c r="D1185">
        <v>15</v>
      </c>
      <c r="E1185" t="s">
        <v>173</v>
      </c>
    </row>
    <row r="1186" spans="1:5">
      <c r="A1186">
        <v>10303</v>
      </c>
      <c r="B1186" s="80">
        <v>35319</v>
      </c>
      <c r="C1186">
        <v>529.19999912381172</v>
      </c>
      <c r="D1186">
        <v>40</v>
      </c>
      <c r="E1186" t="s">
        <v>177</v>
      </c>
    </row>
    <row r="1187" spans="1:5">
      <c r="A1187">
        <v>10303</v>
      </c>
      <c r="B1187" s="80">
        <v>35319</v>
      </c>
      <c r="C1187">
        <v>453.59999924898148</v>
      </c>
      <c r="D1187">
        <v>30</v>
      </c>
      <c r="E1187" t="s">
        <v>177</v>
      </c>
    </row>
    <row r="1188" spans="1:5">
      <c r="A1188">
        <v>10303</v>
      </c>
      <c r="B1188" s="80">
        <v>35319</v>
      </c>
      <c r="C1188">
        <v>134.99999977648258</v>
      </c>
      <c r="D1188">
        <v>15</v>
      </c>
      <c r="E1188" t="s">
        <v>177</v>
      </c>
    </row>
    <row r="1189" spans="1:5">
      <c r="A1189">
        <v>10303</v>
      </c>
      <c r="B1189" s="80">
        <v>35319</v>
      </c>
      <c r="C1189">
        <v>134.99999977648258</v>
      </c>
      <c r="D1189">
        <v>15</v>
      </c>
      <c r="E1189" t="s">
        <v>176</v>
      </c>
    </row>
    <row r="1190" spans="1:5">
      <c r="A1190">
        <v>10303</v>
      </c>
      <c r="B1190" s="80">
        <v>35319</v>
      </c>
      <c r="C1190">
        <v>529.19999912381172</v>
      </c>
      <c r="D1190">
        <v>40</v>
      </c>
      <c r="E1190" t="s">
        <v>173</v>
      </c>
    </row>
    <row r="1191" spans="1:5">
      <c r="A1191">
        <v>10303</v>
      </c>
      <c r="B1191" s="80">
        <v>35319</v>
      </c>
      <c r="C1191">
        <v>529.19999912381172</v>
      </c>
      <c r="D1191">
        <v>40</v>
      </c>
      <c r="E1191" t="s">
        <v>174</v>
      </c>
    </row>
    <row r="1192" spans="1:5">
      <c r="A1192">
        <v>10303</v>
      </c>
      <c r="B1192" s="80">
        <v>35319</v>
      </c>
      <c r="C1192">
        <v>453.59999924898148</v>
      </c>
      <c r="D1192">
        <v>30</v>
      </c>
      <c r="E1192" t="s">
        <v>174</v>
      </c>
    </row>
    <row r="1193" spans="1:5">
      <c r="A1193">
        <v>10303</v>
      </c>
      <c r="B1193" s="80">
        <v>35319</v>
      </c>
      <c r="C1193">
        <v>134.99999977648258</v>
      </c>
      <c r="D1193">
        <v>15</v>
      </c>
      <c r="E1193" t="s">
        <v>174</v>
      </c>
    </row>
    <row r="1194" spans="1:5">
      <c r="A1194">
        <v>10303</v>
      </c>
      <c r="B1194" s="80">
        <v>35319</v>
      </c>
      <c r="C1194">
        <v>529.19999912381172</v>
      </c>
      <c r="D1194">
        <v>40</v>
      </c>
      <c r="E1194" t="s">
        <v>172</v>
      </c>
    </row>
    <row r="1195" spans="1:5">
      <c r="A1195">
        <v>10303</v>
      </c>
      <c r="B1195" s="80">
        <v>35319</v>
      </c>
      <c r="C1195">
        <v>453.59999924898148</v>
      </c>
      <c r="D1195">
        <v>30</v>
      </c>
      <c r="E1195" t="s">
        <v>173</v>
      </c>
    </row>
    <row r="1196" spans="1:5">
      <c r="A1196">
        <v>10303</v>
      </c>
      <c r="B1196" s="80">
        <v>35319</v>
      </c>
      <c r="C1196">
        <v>134.99999977648258</v>
      </c>
      <c r="D1196">
        <v>15</v>
      </c>
      <c r="E1196" t="s">
        <v>175</v>
      </c>
    </row>
    <row r="1197" spans="1:5">
      <c r="A1197">
        <v>10303</v>
      </c>
      <c r="B1197" s="80">
        <v>35319</v>
      </c>
      <c r="C1197">
        <v>453.59999924898148</v>
      </c>
      <c r="D1197">
        <v>30</v>
      </c>
      <c r="E1197" t="s">
        <v>172</v>
      </c>
    </row>
    <row r="1198" spans="1:5">
      <c r="A1198">
        <v>10303</v>
      </c>
      <c r="B1198" s="80">
        <v>35319</v>
      </c>
      <c r="C1198">
        <v>529.19999912381172</v>
      </c>
      <c r="D1198">
        <v>40</v>
      </c>
      <c r="E1198" t="s">
        <v>179</v>
      </c>
    </row>
    <row r="1199" spans="1:5">
      <c r="A1199">
        <v>10303</v>
      </c>
      <c r="B1199" s="80">
        <v>35319</v>
      </c>
      <c r="C1199">
        <v>134.99999977648258</v>
      </c>
      <c r="D1199">
        <v>15</v>
      </c>
      <c r="E1199" t="s">
        <v>179</v>
      </c>
    </row>
    <row r="1200" spans="1:5">
      <c r="A1200">
        <v>10303</v>
      </c>
      <c r="B1200" s="80">
        <v>35319</v>
      </c>
      <c r="C1200">
        <v>453.59999924898148</v>
      </c>
      <c r="D1200">
        <v>30</v>
      </c>
      <c r="E1200" t="s">
        <v>176</v>
      </c>
    </row>
    <row r="1201" spans="1:5">
      <c r="A1201">
        <v>10303</v>
      </c>
      <c r="B1201" s="80">
        <v>35319</v>
      </c>
      <c r="C1201">
        <v>529.19999912381172</v>
      </c>
      <c r="D1201">
        <v>40</v>
      </c>
      <c r="E1201" t="s">
        <v>176</v>
      </c>
    </row>
    <row r="1202" spans="1:5">
      <c r="A1202">
        <v>10304</v>
      </c>
      <c r="B1202" s="80">
        <v>35320</v>
      </c>
      <c r="C1202">
        <v>440</v>
      </c>
      <c r="D1202">
        <v>10</v>
      </c>
      <c r="E1202" t="s">
        <v>173</v>
      </c>
    </row>
    <row r="1203" spans="1:5">
      <c r="A1203">
        <v>10304</v>
      </c>
      <c r="B1203" s="80">
        <v>35320</v>
      </c>
      <c r="C1203">
        <v>34.4</v>
      </c>
      <c r="D1203">
        <v>2</v>
      </c>
      <c r="E1203" t="s">
        <v>173</v>
      </c>
    </row>
    <row r="1204" spans="1:5">
      <c r="A1204">
        <v>10304</v>
      </c>
      <c r="B1204" s="80">
        <v>35320</v>
      </c>
      <c r="C1204">
        <v>34.4</v>
      </c>
      <c r="D1204">
        <v>2</v>
      </c>
      <c r="E1204" t="s">
        <v>172</v>
      </c>
    </row>
    <row r="1205" spans="1:5">
      <c r="A1205">
        <v>10304</v>
      </c>
      <c r="B1205" s="80">
        <v>35320</v>
      </c>
      <c r="C1205">
        <v>440</v>
      </c>
      <c r="D1205">
        <v>10</v>
      </c>
      <c r="E1205" t="s">
        <v>172</v>
      </c>
    </row>
    <row r="1206" spans="1:5">
      <c r="A1206">
        <v>10304</v>
      </c>
      <c r="B1206" s="80">
        <v>35320</v>
      </c>
      <c r="C1206">
        <v>480</v>
      </c>
      <c r="D1206">
        <v>30</v>
      </c>
      <c r="E1206" t="s">
        <v>172</v>
      </c>
    </row>
    <row r="1207" spans="1:5">
      <c r="A1207">
        <v>10304</v>
      </c>
      <c r="B1207" s="80">
        <v>35320</v>
      </c>
      <c r="C1207">
        <v>480</v>
      </c>
      <c r="D1207">
        <v>30</v>
      </c>
      <c r="E1207" t="s">
        <v>178</v>
      </c>
    </row>
    <row r="1208" spans="1:5">
      <c r="A1208">
        <v>10304</v>
      </c>
      <c r="B1208" s="80">
        <v>35320</v>
      </c>
      <c r="C1208">
        <v>480</v>
      </c>
      <c r="D1208">
        <v>30</v>
      </c>
      <c r="E1208" t="s">
        <v>176</v>
      </c>
    </row>
    <row r="1209" spans="1:5">
      <c r="A1209">
        <v>10304</v>
      </c>
      <c r="B1209" s="80">
        <v>35320</v>
      </c>
      <c r="C1209">
        <v>440</v>
      </c>
      <c r="D1209">
        <v>10</v>
      </c>
      <c r="E1209" t="s">
        <v>176</v>
      </c>
    </row>
    <row r="1210" spans="1:5">
      <c r="A1210">
        <v>10304</v>
      </c>
      <c r="B1210" s="80">
        <v>35320</v>
      </c>
      <c r="C1210">
        <v>34.4</v>
      </c>
      <c r="D1210">
        <v>2</v>
      </c>
      <c r="E1210" t="s">
        <v>176</v>
      </c>
    </row>
    <row r="1211" spans="1:5">
      <c r="A1211">
        <v>10304</v>
      </c>
      <c r="B1211" s="80">
        <v>35320</v>
      </c>
      <c r="C1211">
        <v>480</v>
      </c>
      <c r="D1211">
        <v>30</v>
      </c>
      <c r="E1211" t="s">
        <v>173</v>
      </c>
    </row>
    <row r="1212" spans="1:5">
      <c r="A1212">
        <v>10304</v>
      </c>
      <c r="B1212" s="80">
        <v>35320</v>
      </c>
      <c r="C1212">
        <v>440</v>
      </c>
      <c r="D1212">
        <v>10</v>
      </c>
      <c r="E1212" t="s">
        <v>174</v>
      </c>
    </row>
    <row r="1213" spans="1:5">
      <c r="A1213">
        <v>10304</v>
      </c>
      <c r="B1213" s="80">
        <v>35320</v>
      </c>
      <c r="C1213">
        <v>440</v>
      </c>
      <c r="D1213">
        <v>10</v>
      </c>
      <c r="E1213" t="s">
        <v>179</v>
      </c>
    </row>
    <row r="1214" spans="1:5">
      <c r="A1214">
        <v>10304</v>
      </c>
      <c r="B1214" s="80">
        <v>35320</v>
      </c>
      <c r="C1214">
        <v>480</v>
      </c>
      <c r="D1214">
        <v>30</v>
      </c>
      <c r="E1214" t="s">
        <v>179</v>
      </c>
    </row>
    <row r="1215" spans="1:5">
      <c r="A1215">
        <v>10304</v>
      </c>
      <c r="B1215" s="80">
        <v>35320</v>
      </c>
      <c r="C1215">
        <v>34.4</v>
      </c>
      <c r="D1215">
        <v>2</v>
      </c>
      <c r="E1215" t="s">
        <v>178</v>
      </c>
    </row>
    <row r="1216" spans="1:5">
      <c r="A1216">
        <v>10304</v>
      </c>
      <c r="B1216" s="80">
        <v>35320</v>
      </c>
      <c r="C1216">
        <v>34.4</v>
      </c>
      <c r="D1216">
        <v>2</v>
      </c>
      <c r="E1216" t="s">
        <v>175</v>
      </c>
    </row>
    <row r="1217" spans="1:5">
      <c r="A1217">
        <v>10304</v>
      </c>
      <c r="B1217" s="80">
        <v>35320</v>
      </c>
      <c r="C1217">
        <v>440</v>
      </c>
      <c r="D1217">
        <v>10</v>
      </c>
      <c r="E1217" t="s">
        <v>175</v>
      </c>
    </row>
    <row r="1218" spans="1:5">
      <c r="A1218">
        <v>10304</v>
      </c>
      <c r="B1218" s="80">
        <v>35320</v>
      </c>
      <c r="C1218">
        <v>480</v>
      </c>
      <c r="D1218">
        <v>30</v>
      </c>
      <c r="E1218" t="s">
        <v>175</v>
      </c>
    </row>
    <row r="1219" spans="1:5">
      <c r="A1219">
        <v>10304</v>
      </c>
      <c r="B1219" s="80">
        <v>35320</v>
      </c>
      <c r="C1219">
        <v>34.4</v>
      </c>
      <c r="D1219">
        <v>2</v>
      </c>
      <c r="E1219" t="s">
        <v>179</v>
      </c>
    </row>
    <row r="1220" spans="1:5">
      <c r="A1220">
        <v>10304</v>
      </c>
      <c r="B1220" s="80">
        <v>35320</v>
      </c>
      <c r="C1220">
        <v>440</v>
      </c>
      <c r="D1220">
        <v>10</v>
      </c>
      <c r="E1220" t="s">
        <v>178</v>
      </c>
    </row>
    <row r="1221" spans="1:5">
      <c r="A1221">
        <v>10304</v>
      </c>
      <c r="B1221" s="80">
        <v>35320</v>
      </c>
      <c r="C1221">
        <v>480</v>
      </c>
      <c r="D1221">
        <v>30</v>
      </c>
      <c r="E1221" t="s">
        <v>174</v>
      </c>
    </row>
    <row r="1222" spans="1:5">
      <c r="A1222">
        <v>10304</v>
      </c>
      <c r="B1222" s="80">
        <v>35320</v>
      </c>
      <c r="C1222">
        <v>480</v>
      </c>
      <c r="D1222">
        <v>30</v>
      </c>
      <c r="E1222" t="s">
        <v>177</v>
      </c>
    </row>
    <row r="1223" spans="1:5">
      <c r="A1223">
        <v>10304</v>
      </c>
      <c r="B1223" s="80">
        <v>35320</v>
      </c>
      <c r="C1223">
        <v>440</v>
      </c>
      <c r="D1223">
        <v>10</v>
      </c>
      <c r="E1223" t="s">
        <v>177</v>
      </c>
    </row>
    <row r="1224" spans="1:5">
      <c r="A1224">
        <v>10304</v>
      </c>
      <c r="B1224" s="80">
        <v>35320</v>
      </c>
      <c r="C1224">
        <v>34.4</v>
      </c>
      <c r="D1224">
        <v>2</v>
      </c>
      <c r="E1224" t="s">
        <v>177</v>
      </c>
    </row>
    <row r="1225" spans="1:5">
      <c r="A1225">
        <v>10304</v>
      </c>
      <c r="B1225" s="80">
        <v>35320</v>
      </c>
      <c r="C1225">
        <v>34.4</v>
      </c>
      <c r="D1225">
        <v>2</v>
      </c>
      <c r="E1225" t="s">
        <v>174</v>
      </c>
    </row>
    <row r="1226" spans="1:5">
      <c r="A1226">
        <v>10305</v>
      </c>
      <c r="B1226" s="80">
        <v>35321</v>
      </c>
      <c r="C1226">
        <v>388.79999935626984</v>
      </c>
      <c r="D1226">
        <v>30</v>
      </c>
      <c r="E1226" t="s">
        <v>176</v>
      </c>
    </row>
    <row r="1227" spans="1:5">
      <c r="A1227">
        <v>10305</v>
      </c>
      <c r="B1227" s="80">
        <v>35321</v>
      </c>
      <c r="C1227">
        <v>2227.4999963119626</v>
      </c>
      <c r="D1227">
        <v>25</v>
      </c>
      <c r="E1227" t="s">
        <v>172</v>
      </c>
    </row>
    <row r="1228" spans="1:5">
      <c r="A1228">
        <v>10305</v>
      </c>
      <c r="B1228" s="80">
        <v>35321</v>
      </c>
      <c r="C1228">
        <v>388.79999935626984</v>
      </c>
      <c r="D1228">
        <v>30</v>
      </c>
      <c r="E1228" t="s">
        <v>172</v>
      </c>
    </row>
    <row r="1229" spans="1:5">
      <c r="A1229">
        <v>10305</v>
      </c>
      <c r="B1229" s="80">
        <v>35321</v>
      </c>
      <c r="C1229">
        <v>388.79999935626984</v>
      </c>
      <c r="D1229">
        <v>30</v>
      </c>
      <c r="E1229" t="s">
        <v>174</v>
      </c>
    </row>
    <row r="1230" spans="1:5">
      <c r="A1230">
        <v>10305</v>
      </c>
      <c r="B1230" s="80">
        <v>35321</v>
      </c>
      <c r="C1230">
        <v>1124.9999981373549</v>
      </c>
      <c r="D1230">
        <v>25</v>
      </c>
      <c r="E1230" t="s">
        <v>174</v>
      </c>
    </row>
    <row r="1231" spans="1:5">
      <c r="A1231">
        <v>10305</v>
      </c>
      <c r="B1231" s="80">
        <v>35321</v>
      </c>
      <c r="C1231">
        <v>388.79999935626984</v>
      </c>
      <c r="D1231">
        <v>30</v>
      </c>
      <c r="E1231" t="s">
        <v>179</v>
      </c>
    </row>
    <row r="1232" spans="1:5">
      <c r="A1232">
        <v>10305</v>
      </c>
      <c r="B1232" s="80">
        <v>35321</v>
      </c>
      <c r="C1232">
        <v>2227.4999963119626</v>
      </c>
      <c r="D1232">
        <v>25</v>
      </c>
      <c r="E1232" t="s">
        <v>176</v>
      </c>
    </row>
    <row r="1233" spans="1:5">
      <c r="A1233">
        <v>10305</v>
      </c>
      <c r="B1233" s="80">
        <v>35321</v>
      </c>
      <c r="C1233">
        <v>1124.9999981373549</v>
      </c>
      <c r="D1233">
        <v>25</v>
      </c>
      <c r="E1233" t="s">
        <v>176</v>
      </c>
    </row>
    <row r="1234" spans="1:5">
      <c r="A1234">
        <v>10305</v>
      </c>
      <c r="B1234" s="80">
        <v>35321</v>
      </c>
      <c r="C1234">
        <v>1124.9999981373549</v>
      </c>
      <c r="D1234">
        <v>25</v>
      </c>
      <c r="E1234" t="s">
        <v>177</v>
      </c>
    </row>
    <row r="1235" spans="1:5">
      <c r="A1235">
        <v>10305</v>
      </c>
      <c r="B1235" s="80">
        <v>35321</v>
      </c>
      <c r="C1235">
        <v>2227.4999963119626</v>
      </c>
      <c r="D1235">
        <v>25</v>
      </c>
      <c r="E1235" t="s">
        <v>177</v>
      </c>
    </row>
    <row r="1236" spans="1:5">
      <c r="A1236">
        <v>10305</v>
      </c>
      <c r="B1236" s="80">
        <v>35321</v>
      </c>
      <c r="C1236">
        <v>1124.9999981373549</v>
      </c>
      <c r="D1236">
        <v>25</v>
      </c>
      <c r="E1236" t="s">
        <v>172</v>
      </c>
    </row>
    <row r="1237" spans="1:5">
      <c r="A1237">
        <v>10305</v>
      </c>
      <c r="B1237" s="80">
        <v>35321</v>
      </c>
      <c r="C1237">
        <v>388.79999935626984</v>
      </c>
      <c r="D1237">
        <v>30</v>
      </c>
      <c r="E1237" t="s">
        <v>177</v>
      </c>
    </row>
    <row r="1238" spans="1:5">
      <c r="A1238">
        <v>10305</v>
      </c>
      <c r="B1238" s="80">
        <v>35321</v>
      </c>
      <c r="C1238">
        <v>2227.4999963119626</v>
      </c>
      <c r="D1238">
        <v>25</v>
      </c>
      <c r="E1238" t="s">
        <v>179</v>
      </c>
    </row>
    <row r="1239" spans="1:5">
      <c r="A1239">
        <v>10305</v>
      </c>
      <c r="B1239" s="80">
        <v>35321</v>
      </c>
      <c r="C1239">
        <v>2227.4999963119626</v>
      </c>
      <c r="D1239">
        <v>25</v>
      </c>
      <c r="E1239" t="s">
        <v>174</v>
      </c>
    </row>
    <row r="1240" spans="1:5">
      <c r="A1240">
        <v>10305</v>
      </c>
      <c r="B1240" s="80">
        <v>35321</v>
      </c>
      <c r="C1240">
        <v>1124.9999981373549</v>
      </c>
      <c r="D1240">
        <v>25</v>
      </c>
      <c r="E1240" t="s">
        <v>173</v>
      </c>
    </row>
    <row r="1241" spans="1:5">
      <c r="A1241">
        <v>10305</v>
      </c>
      <c r="B1241" s="80">
        <v>35321</v>
      </c>
      <c r="C1241">
        <v>388.79999935626984</v>
      </c>
      <c r="D1241">
        <v>30</v>
      </c>
      <c r="E1241" t="s">
        <v>178</v>
      </c>
    </row>
    <row r="1242" spans="1:5">
      <c r="A1242">
        <v>10305</v>
      </c>
      <c r="B1242" s="80">
        <v>35321</v>
      </c>
      <c r="C1242">
        <v>388.79999935626984</v>
      </c>
      <c r="D1242">
        <v>30</v>
      </c>
      <c r="E1242" t="s">
        <v>173</v>
      </c>
    </row>
    <row r="1243" spans="1:5">
      <c r="A1243">
        <v>10305</v>
      </c>
      <c r="B1243" s="80">
        <v>35321</v>
      </c>
      <c r="C1243">
        <v>2227.4999963119626</v>
      </c>
      <c r="D1243">
        <v>25</v>
      </c>
      <c r="E1243" t="s">
        <v>173</v>
      </c>
    </row>
    <row r="1244" spans="1:5">
      <c r="A1244">
        <v>10305</v>
      </c>
      <c r="B1244" s="80">
        <v>35321</v>
      </c>
      <c r="C1244">
        <v>1124.9999981373549</v>
      </c>
      <c r="D1244">
        <v>25</v>
      </c>
      <c r="E1244" t="s">
        <v>179</v>
      </c>
    </row>
    <row r="1245" spans="1:5">
      <c r="A1245">
        <v>10305</v>
      </c>
      <c r="B1245" s="80">
        <v>35321</v>
      </c>
      <c r="C1245">
        <v>2227.4999963119626</v>
      </c>
      <c r="D1245">
        <v>25</v>
      </c>
      <c r="E1245" t="s">
        <v>178</v>
      </c>
    </row>
    <row r="1246" spans="1:5">
      <c r="A1246">
        <v>10305</v>
      </c>
      <c r="B1246" s="80">
        <v>35321</v>
      </c>
      <c r="C1246">
        <v>1124.9999981373549</v>
      </c>
      <c r="D1246">
        <v>25</v>
      </c>
      <c r="E1246" t="s">
        <v>178</v>
      </c>
    </row>
    <row r="1247" spans="1:5">
      <c r="A1247">
        <v>10305</v>
      </c>
      <c r="B1247" s="80">
        <v>35321</v>
      </c>
      <c r="C1247">
        <v>1124.9999981373549</v>
      </c>
      <c r="D1247">
        <v>25</v>
      </c>
      <c r="E1247" t="s">
        <v>175</v>
      </c>
    </row>
    <row r="1248" spans="1:5">
      <c r="A1248">
        <v>10305</v>
      </c>
      <c r="B1248" s="80">
        <v>35321</v>
      </c>
      <c r="C1248">
        <v>2227.4999963119626</v>
      </c>
      <c r="D1248">
        <v>25</v>
      </c>
      <c r="E1248" t="s">
        <v>175</v>
      </c>
    </row>
    <row r="1249" spans="1:5">
      <c r="A1249">
        <v>10305</v>
      </c>
      <c r="B1249" s="80">
        <v>35321</v>
      </c>
      <c r="C1249">
        <v>388.79999935626984</v>
      </c>
      <c r="D1249">
        <v>30</v>
      </c>
      <c r="E1249" t="s">
        <v>175</v>
      </c>
    </row>
    <row r="1250" spans="1:5">
      <c r="A1250">
        <v>10306</v>
      </c>
      <c r="B1250" s="80">
        <v>35324</v>
      </c>
      <c r="C1250">
        <v>207</v>
      </c>
      <c r="D1250">
        <v>10</v>
      </c>
      <c r="E1250" t="s">
        <v>179</v>
      </c>
    </row>
    <row r="1251" spans="1:5">
      <c r="A1251">
        <v>10306</v>
      </c>
      <c r="B1251" s="80">
        <v>35324</v>
      </c>
      <c r="C1251">
        <v>262</v>
      </c>
      <c r="D1251">
        <v>10</v>
      </c>
      <c r="E1251" t="s">
        <v>178</v>
      </c>
    </row>
    <row r="1252" spans="1:5">
      <c r="A1252">
        <v>10306</v>
      </c>
      <c r="B1252" s="80">
        <v>35324</v>
      </c>
      <c r="C1252">
        <v>29.5</v>
      </c>
      <c r="D1252">
        <v>5</v>
      </c>
      <c r="E1252" t="s">
        <v>179</v>
      </c>
    </row>
    <row r="1253" spans="1:5">
      <c r="A1253">
        <v>10306</v>
      </c>
      <c r="B1253" s="80">
        <v>35324</v>
      </c>
      <c r="C1253">
        <v>262</v>
      </c>
      <c r="D1253">
        <v>10</v>
      </c>
      <c r="E1253" t="s">
        <v>179</v>
      </c>
    </row>
    <row r="1254" spans="1:5">
      <c r="A1254">
        <v>10306</v>
      </c>
      <c r="B1254" s="80">
        <v>35324</v>
      </c>
      <c r="C1254">
        <v>29.5</v>
      </c>
      <c r="D1254">
        <v>5</v>
      </c>
      <c r="E1254" t="s">
        <v>176</v>
      </c>
    </row>
    <row r="1255" spans="1:5">
      <c r="A1255">
        <v>10306</v>
      </c>
      <c r="B1255" s="80">
        <v>35324</v>
      </c>
      <c r="C1255">
        <v>262</v>
      </c>
      <c r="D1255">
        <v>10</v>
      </c>
      <c r="E1255" t="s">
        <v>176</v>
      </c>
    </row>
    <row r="1256" spans="1:5">
      <c r="A1256">
        <v>10306</v>
      </c>
      <c r="B1256" s="80">
        <v>35324</v>
      </c>
      <c r="C1256">
        <v>207</v>
      </c>
      <c r="D1256">
        <v>10</v>
      </c>
      <c r="E1256" t="s">
        <v>176</v>
      </c>
    </row>
    <row r="1257" spans="1:5">
      <c r="A1257">
        <v>10306</v>
      </c>
      <c r="B1257" s="80">
        <v>35324</v>
      </c>
      <c r="C1257">
        <v>207</v>
      </c>
      <c r="D1257">
        <v>10</v>
      </c>
      <c r="E1257" t="s">
        <v>178</v>
      </c>
    </row>
    <row r="1258" spans="1:5">
      <c r="A1258">
        <v>10306</v>
      </c>
      <c r="B1258" s="80">
        <v>35324</v>
      </c>
      <c r="C1258">
        <v>29.5</v>
      </c>
      <c r="D1258">
        <v>5</v>
      </c>
      <c r="E1258" t="s">
        <v>174</v>
      </c>
    </row>
    <row r="1259" spans="1:5">
      <c r="A1259">
        <v>10306</v>
      </c>
      <c r="B1259" s="80">
        <v>35324</v>
      </c>
      <c r="C1259">
        <v>29.5</v>
      </c>
      <c r="D1259">
        <v>5</v>
      </c>
      <c r="E1259" t="s">
        <v>173</v>
      </c>
    </row>
    <row r="1260" spans="1:5">
      <c r="A1260">
        <v>10306</v>
      </c>
      <c r="B1260" s="80">
        <v>35324</v>
      </c>
      <c r="C1260">
        <v>29.5</v>
      </c>
      <c r="D1260">
        <v>5</v>
      </c>
      <c r="E1260" t="s">
        <v>177</v>
      </c>
    </row>
    <row r="1261" spans="1:5">
      <c r="A1261">
        <v>10306</v>
      </c>
      <c r="B1261" s="80">
        <v>35324</v>
      </c>
      <c r="C1261">
        <v>207</v>
      </c>
      <c r="D1261">
        <v>10</v>
      </c>
      <c r="E1261" t="s">
        <v>173</v>
      </c>
    </row>
    <row r="1262" spans="1:5">
      <c r="A1262">
        <v>10306</v>
      </c>
      <c r="B1262" s="80">
        <v>35324</v>
      </c>
      <c r="C1262">
        <v>207</v>
      </c>
      <c r="D1262">
        <v>10</v>
      </c>
      <c r="E1262" t="s">
        <v>174</v>
      </c>
    </row>
    <row r="1263" spans="1:5">
      <c r="A1263">
        <v>10306</v>
      </c>
      <c r="B1263" s="80">
        <v>35324</v>
      </c>
      <c r="C1263">
        <v>207</v>
      </c>
      <c r="D1263">
        <v>10</v>
      </c>
      <c r="E1263" t="s">
        <v>177</v>
      </c>
    </row>
    <row r="1264" spans="1:5">
      <c r="A1264">
        <v>10306</v>
      </c>
      <c r="B1264" s="80">
        <v>35324</v>
      </c>
      <c r="C1264">
        <v>262</v>
      </c>
      <c r="D1264">
        <v>10</v>
      </c>
      <c r="E1264" t="s">
        <v>177</v>
      </c>
    </row>
    <row r="1265" spans="1:5">
      <c r="A1265">
        <v>10306</v>
      </c>
      <c r="B1265" s="80">
        <v>35324</v>
      </c>
      <c r="C1265">
        <v>262</v>
      </c>
      <c r="D1265">
        <v>10</v>
      </c>
      <c r="E1265" t="s">
        <v>174</v>
      </c>
    </row>
    <row r="1266" spans="1:5">
      <c r="A1266">
        <v>10306</v>
      </c>
      <c r="B1266" s="80">
        <v>35324</v>
      </c>
      <c r="C1266">
        <v>29.5</v>
      </c>
      <c r="D1266">
        <v>5</v>
      </c>
      <c r="E1266" t="s">
        <v>175</v>
      </c>
    </row>
    <row r="1267" spans="1:5">
      <c r="A1267">
        <v>10306</v>
      </c>
      <c r="B1267" s="80">
        <v>35324</v>
      </c>
      <c r="C1267">
        <v>262</v>
      </c>
      <c r="D1267">
        <v>10</v>
      </c>
      <c r="E1267" t="s">
        <v>175</v>
      </c>
    </row>
    <row r="1268" spans="1:5">
      <c r="A1268">
        <v>10306</v>
      </c>
      <c r="B1268" s="80">
        <v>35324</v>
      </c>
      <c r="C1268">
        <v>207</v>
      </c>
      <c r="D1268">
        <v>10</v>
      </c>
      <c r="E1268" t="s">
        <v>175</v>
      </c>
    </row>
    <row r="1269" spans="1:5">
      <c r="A1269">
        <v>10306</v>
      </c>
      <c r="B1269" s="80">
        <v>35324</v>
      </c>
      <c r="C1269">
        <v>207</v>
      </c>
      <c r="D1269">
        <v>10</v>
      </c>
      <c r="E1269" t="s">
        <v>172</v>
      </c>
    </row>
    <row r="1270" spans="1:5">
      <c r="A1270">
        <v>10306</v>
      </c>
      <c r="B1270" s="80">
        <v>35324</v>
      </c>
      <c r="C1270">
        <v>29.5</v>
      </c>
      <c r="D1270">
        <v>5</v>
      </c>
      <c r="E1270" t="s">
        <v>178</v>
      </c>
    </row>
    <row r="1271" spans="1:5">
      <c r="A1271">
        <v>10306</v>
      </c>
      <c r="B1271" s="80">
        <v>35324</v>
      </c>
      <c r="C1271">
        <v>262</v>
      </c>
      <c r="D1271">
        <v>10</v>
      </c>
      <c r="E1271" t="s">
        <v>172</v>
      </c>
    </row>
    <row r="1272" spans="1:5">
      <c r="A1272">
        <v>10306</v>
      </c>
      <c r="B1272" s="80">
        <v>35324</v>
      </c>
      <c r="C1272">
        <v>29.5</v>
      </c>
      <c r="D1272">
        <v>5</v>
      </c>
      <c r="E1272" t="s">
        <v>172</v>
      </c>
    </row>
    <row r="1273" spans="1:5">
      <c r="A1273">
        <v>10306</v>
      </c>
      <c r="B1273" s="80">
        <v>35324</v>
      </c>
      <c r="C1273">
        <v>262</v>
      </c>
      <c r="D1273">
        <v>10</v>
      </c>
      <c r="E1273" t="s">
        <v>173</v>
      </c>
    </row>
    <row r="1274" spans="1:5">
      <c r="A1274">
        <v>10307</v>
      </c>
      <c r="B1274" s="80">
        <v>35325</v>
      </c>
      <c r="C1274">
        <v>30</v>
      </c>
      <c r="D1274">
        <v>3</v>
      </c>
      <c r="E1274" t="s">
        <v>178</v>
      </c>
    </row>
    <row r="1275" spans="1:5">
      <c r="A1275">
        <v>10307</v>
      </c>
      <c r="B1275" s="80">
        <v>35325</v>
      </c>
      <c r="C1275">
        <v>394</v>
      </c>
      <c r="D1275">
        <v>10</v>
      </c>
      <c r="E1275" t="s">
        <v>177</v>
      </c>
    </row>
    <row r="1276" spans="1:5">
      <c r="A1276">
        <v>10307</v>
      </c>
      <c r="B1276" s="80">
        <v>35325</v>
      </c>
      <c r="C1276">
        <v>30</v>
      </c>
      <c r="D1276">
        <v>3</v>
      </c>
      <c r="E1276" t="s">
        <v>177</v>
      </c>
    </row>
    <row r="1277" spans="1:5">
      <c r="A1277">
        <v>10307</v>
      </c>
      <c r="B1277" s="80">
        <v>35325</v>
      </c>
      <c r="C1277">
        <v>394</v>
      </c>
      <c r="D1277">
        <v>10</v>
      </c>
      <c r="E1277" t="s">
        <v>174</v>
      </c>
    </row>
    <row r="1278" spans="1:5">
      <c r="A1278">
        <v>10307</v>
      </c>
      <c r="B1278" s="80">
        <v>35325</v>
      </c>
      <c r="C1278">
        <v>30</v>
      </c>
      <c r="D1278">
        <v>3</v>
      </c>
      <c r="E1278" t="s">
        <v>174</v>
      </c>
    </row>
    <row r="1279" spans="1:5">
      <c r="A1279">
        <v>10307</v>
      </c>
      <c r="B1279" s="80">
        <v>35325</v>
      </c>
      <c r="C1279">
        <v>394</v>
      </c>
      <c r="D1279">
        <v>10</v>
      </c>
      <c r="E1279" t="s">
        <v>179</v>
      </c>
    </row>
    <row r="1280" spans="1:5">
      <c r="A1280">
        <v>10307</v>
      </c>
      <c r="B1280" s="80">
        <v>35325</v>
      </c>
      <c r="C1280">
        <v>30</v>
      </c>
      <c r="D1280">
        <v>3</v>
      </c>
      <c r="E1280" t="s">
        <v>172</v>
      </c>
    </row>
    <row r="1281" spans="1:5">
      <c r="A1281">
        <v>10307</v>
      </c>
      <c r="B1281" s="80">
        <v>35325</v>
      </c>
      <c r="C1281">
        <v>394</v>
      </c>
      <c r="D1281">
        <v>10</v>
      </c>
      <c r="E1281" t="s">
        <v>175</v>
      </c>
    </row>
    <row r="1282" spans="1:5">
      <c r="A1282">
        <v>10307</v>
      </c>
      <c r="B1282" s="80">
        <v>35325</v>
      </c>
      <c r="C1282">
        <v>30</v>
      </c>
      <c r="D1282">
        <v>3</v>
      </c>
      <c r="E1282" t="s">
        <v>176</v>
      </c>
    </row>
    <row r="1283" spans="1:5">
      <c r="A1283">
        <v>10307</v>
      </c>
      <c r="B1283" s="80">
        <v>35325</v>
      </c>
      <c r="C1283">
        <v>394</v>
      </c>
      <c r="D1283">
        <v>10</v>
      </c>
      <c r="E1283" t="s">
        <v>178</v>
      </c>
    </row>
    <row r="1284" spans="1:5">
      <c r="A1284">
        <v>10307</v>
      </c>
      <c r="B1284" s="80">
        <v>35325</v>
      </c>
      <c r="C1284">
        <v>30</v>
      </c>
      <c r="D1284">
        <v>3</v>
      </c>
      <c r="E1284" t="s">
        <v>179</v>
      </c>
    </row>
    <row r="1285" spans="1:5">
      <c r="A1285">
        <v>10307</v>
      </c>
      <c r="B1285" s="80">
        <v>35325</v>
      </c>
      <c r="C1285">
        <v>30</v>
      </c>
      <c r="D1285">
        <v>3</v>
      </c>
      <c r="E1285" t="s">
        <v>173</v>
      </c>
    </row>
    <row r="1286" spans="1:5">
      <c r="A1286">
        <v>10307</v>
      </c>
      <c r="B1286" s="80">
        <v>35325</v>
      </c>
      <c r="C1286">
        <v>394</v>
      </c>
      <c r="D1286">
        <v>10</v>
      </c>
      <c r="E1286" t="s">
        <v>173</v>
      </c>
    </row>
    <row r="1287" spans="1:5">
      <c r="A1287">
        <v>10307</v>
      </c>
      <c r="B1287" s="80">
        <v>35325</v>
      </c>
      <c r="C1287">
        <v>394</v>
      </c>
      <c r="D1287">
        <v>10</v>
      </c>
      <c r="E1287" t="s">
        <v>172</v>
      </c>
    </row>
    <row r="1288" spans="1:5">
      <c r="A1288">
        <v>10307</v>
      </c>
      <c r="B1288" s="80">
        <v>35325</v>
      </c>
      <c r="C1288">
        <v>394</v>
      </c>
      <c r="D1288">
        <v>10</v>
      </c>
      <c r="E1288" t="s">
        <v>176</v>
      </c>
    </row>
    <row r="1289" spans="1:5">
      <c r="A1289">
        <v>10307</v>
      </c>
      <c r="B1289" s="80">
        <v>35325</v>
      </c>
      <c r="C1289">
        <v>30</v>
      </c>
      <c r="D1289">
        <v>3</v>
      </c>
      <c r="E1289" t="s">
        <v>175</v>
      </c>
    </row>
    <row r="1290" spans="1:5">
      <c r="A1290">
        <v>10308</v>
      </c>
      <c r="B1290" s="80">
        <v>35326</v>
      </c>
      <c r="C1290">
        <v>28.8</v>
      </c>
      <c r="D1290">
        <v>1</v>
      </c>
      <c r="E1290" t="s">
        <v>173</v>
      </c>
    </row>
    <row r="1291" spans="1:5">
      <c r="A1291">
        <v>10308</v>
      </c>
      <c r="B1291" s="80">
        <v>35326</v>
      </c>
      <c r="C1291">
        <v>60</v>
      </c>
      <c r="D1291">
        <v>5</v>
      </c>
      <c r="E1291" t="s">
        <v>174</v>
      </c>
    </row>
    <row r="1292" spans="1:5">
      <c r="A1292">
        <v>10308</v>
      </c>
      <c r="B1292" s="80">
        <v>35326</v>
      </c>
      <c r="C1292">
        <v>28.8</v>
      </c>
      <c r="D1292">
        <v>1</v>
      </c>
      <c r="E1292" t="s">
        <v>174</v>
      </c>
    </row>
    <row r="1293" spans="1:5">
      <c r="A1293">
        <v>10308</v>
      </c>
      <c r="B1293" s="80">
        <v>35326</v>
      </c>
      <c r="C1293">
        <v>60</v>
      </c>
      <c r="D1293">
        <v>5</v>
      </c>
      <c r="E1293" t="s">
        <v>173</v>
      </c>
    </row>
    <row r="1294" spans="1:5">
      <c r="A1294">
        <v>10308</v>
      </c>
      <c r="B1294" s="80">
        <v>35326</v>
      </c>
      <c r="C1294">
        <v>28.8</v>
      </c>
      <c r="D1294">
        <v>1</v>
      </c>
      <c r="E1294" t="s">
        <v>178</v>
      </c>
    </row>
    <row r="1295" spans="1:5">
      <c r="A1295">
        <v>10308</v>
      </c>
      <c r="B1295" s="80">
        <v>35326</v>
      </c>
      <c r="C1295">
        <v>28.8</v>
      </c>
      <c r="D1295">
        <v>1</v>
      </c>
      <c r="E1295" t="s">
        <v>179</v>
      </c>
    </row>
    <row r="1296" spans="1:5">
      <c r="A1296">
        <v>10308</v>
      </c>
      <c r="B1296" s="80">
        <v>35326</v>
      </c>
      <c r="C1296">
        <v>60</v>
      </c>
      <c r="D1296">
        <v>5</v>
      </c>
      <c r="E1296" t="s">
        <v>172</v>
      </c>
    </row>
    <row r="1297" spans="1:5">
      <c r="A1297">
        <v>10308</v>
      </c>
      <c r="B1297" s="80">
        <v>35326</v>
      </c>
      <c r="C1297">
        <v>28.8</v>
      </c>
      <c r="D1297">
        <v>1</v>
      </c>
      <c r="E1297" t="s">
        <v>172</v>
      </c>
    </row>
    <row r="1298" spans="1:5">
      <c r="A1298">
        <v>10308</v>
      </c>
      <c r="B1298" s="80">
        <v>35326</v>
      </c>
      <c r="C1298">
        <v>60</v>
      </c>
      <c r="D1298">
        <v>5</v>
      </c>
      <c r="E1298" t="s">
        <v>176</v>
      </c>
    </row>
    <row r="1299" spans="1:5">
      <c r="A1299">
        <v>10308</v>
      </c>
      <c r="B1299" s="80">
        <v>35326</v>
      </c>
      <c r="C1299">
        <v>60</v>
      </c>
      <c r="D1299">
        <v>5</v>
      </c>
      <c r="E1299" t="s">
        <v>178</v>
      </c>
    </row>
    <row r="1300" spans="1:5">
      <c r="A1300">
        <v>10308</v>
      </c>
      <c r="B1300" s="80">
        <v>35326</v>
      </c>
      <c r="C1300">
        <v>28.8</v>
      </c>
      <c r="D1300">
        <v>1</v>
      </c>
      <c r="E1300" t="s">
        <v>175</v>
      </c>
    </row>
    <row r="1301" spans="1:5">
      <c r="A1301">
        <v>10308</v>
      </c>
      <c r="B1301" s="80">
        <v>35326</v>
      </c>
      <c r="C1301">
        <v>60</v>
      </c>
      <c r="D1301">
        <v>5</v>
      </c>
      <c r="E1301" t="s">
        <v>175</v>
      </c>
    </row>
    <row r="1302" spans="1:5">
      <c r="A1302">
        <v>10308</v>
      </c>
      <c r="B1302" s="80">
        <v>35326</v>
      </c>
      <c r="C1302">
        <v>60</v>
      </c>
      <c r="D1302">
        <v>5</v>
      </c>
      <c r="E1302" t="s">
        <v>179</v>
      </c>
    </row>
    <row r="1303" spans="1:5">
      <c r="A1303">
        <v>10308</v>
      </c>
      <c r="B1303" s="80">
        <v>35326</v>
      </c>
      <c r="C1303">
        <v>28.8</v>
      </c>
      <c r="D1303">
        <v>1</v>
      </c>
      <c r="E1303" t="s">
        <v>177</v>
      </c>
    </row>
    <row r="1304" spans="1:5">
      <c r="A1304">
        <v>10308</v>
      </c>
      <c r="B1304" s="80">
        <v>35326</v>
      </c>
      <c r="C1304">
        <v>60</v>
      </c>
      <c r="D1304">
        <v>5</v>
      </c>
      <c r="E1304" t="s">
        <v>177</v>
      </c>
    </row>
    <row r="1305" spans="1:5">
      <c r="A1305">
        <v>10308</v>
      </c>
      <c r="B1305" s="80">
        <v>35326</v>
      </c>
      <c r="C1305">
        <v>28.8</v>
      </c>
      <c r="D1305">
        <v>1</v>
      </c>
      <c r="E1305" t="s">
        <v>176</v>
      </c>
    </row>
    <row r="1306" spans="1:5">
      <c r="A1306">
        <v>10309</v>
      </c>
      <c r="B1306" s="80">
        <v>35327</v>
      </c>
      <c r="C1306">
        <v>600</v>
      </c>
      <c r="D1306">
        <v>30</v>
      </c>
      <c r="E1306" t="s">
        <v>174</v>
      </c>
    </row>
    <row r="1307" spans="1:5">
      <c r="A1307">
        <v>10309</v>
      </c>
      <c r="B1307" s="80">
        <v>35327</v>
      </c>
      <c r="C1307">
        <v>600</v>
      </c>
      <c r="D1307">
        <v>30</v>
      </c>
      <c r="E1307" t="s">
        <v>178</v>
      </c>
    </row>
    <row r="1308" spans="1:5">
      <c r="A1308">
        <v>10309</v>
      </c>
      <c r="B1308" s="80">
        <v>35327</v>
      </c>
      <c r="C1308">
        <v>352</v>
      </c>
      <c r="D1308">
        <v>20</v>
      </c>
      <c r="E1308" t="s">
        <v>178</v>
      </c>
    </row>
    <row r="1309" spans="1:5">
      <c r="A1309">
        <v>10309</v>
      </c>
      <c r="B1309" s="80">
        <v>35327</v>
      </c>
      <c r="C1309">
        <v>352</v>
      </c>
      <c r="D1309">
        <v>20</v>
      </c>
      <c r="E1309" t="s">
        <v>173</v>
      </c>
    </row>
    <row r="1310" spans="1:5">
      <c r="A1310">
        <v>10309</v>
      </c>
      <c r="B1310" s="80">
        <v>35327</v>
      </c>
      <c r="C1310">
        <v>22.4</v>
      </c>
      <c r="D1310">
        <v>2</v>
      </c>
      <c r="E1310" t="s">
        <v>173</v>
      </c>
    </row>
    <row r="1311" spans="1:5">
      <c r="A1311">
        <v>10309</v>
      </c>
      <c r="B1311" s="80">
        <v>35327</v>
      </c>
      <c r="C1311">
        <v>736</v>
      </c>
      <c r="D1311">
        <v>20</v>
      </c>
      <c r="E1311" t="s">
        <v>173</v>
      </c>
    </row>
    <row r="1312" spans="1:5">
      <c r="A1312">
        <v>10309</v>
      </c>
      <c r="B1312" s="80">
        <v>35327</v>
      </c>
      <c r="C1312">
        <v>51.6</v>
      </c>
      <c r="D1312">
        <v>3</v>
      </c>
      <c r="E1312" t="s">
        <v>173</v>
      </c>
    </row>
    <row r="1313" spans="1:5">
      <c r="A1313">
        <v>10309</v>
      </c>
      <c r="B1313" s="80">
        <v>35327</v>
      </c>
      <c r="C1313">
        <v>51.6</v>
      </c>
      <c r="D1313">
        <v>3</v>
      </c>
      <c r="E1313" t="s">
        <v>174</v>
      </c>
    </row>
    <row r="1314" spans="1:5">
      <c r="A1314">
        <v>10309</v>
      </c>
      <c r="B1314" s="80">
        <v>35327</v>
      </c>
      <c r="C1314">
        <v>22.4</v>
      </c>
      <c r="D1314">
        <v>2</v>
      </c>
      <c r="E1314" t="s">
        <v>174</v>
      </c>
    </row>
    <row r="1315" spans="1:5">
      <c r="A1315">
        <v>10309</v>
      </c>
      <c r="B1315" s="80">
        <v>35327</v>
      </c>
      <c r="C1315">
        <v>51.6</v>
      </c>
      <c r="D1315">
        <v>3</v>
      </c>
      <c r="E1315" t="s">
        <v>177</v>
      </c>
    </row>
    <row r="1316" spans="1:5">
      <c r="A1316">
        <v>10309</v>
      </c>
      <c r="B1316" s="80">
        <v>35327</v>
      </c>
      <c r="C1316">
        <v>352</v>
      </c>
      <c r="D1316">
        <v>20</v>
      </c>
      <c r="E1316" t="s">
        <v>174</v>
      </c>
    </row>
    <row r="1317" spans="1:5">
      <c r="A1317">
        <v>10309</v>
      </c>
      <c r="B1317" s="80">
        <v>35327</v>
      </c>
      <c r="C1317">
        <v>22.4</v>
      </c>
      <c r="D1317">
        <v>2</v>
      </c>
      <c r="E1317" t="s">
        <v>178</v>
      </c>
    </row>
    <row r="1318" spans="1:5">
      <c r="A1318">
        <v>10309</v>
      </c>
      <c r="B1318" s="80">
        <v>35327</v>
      </c>
      <c r="C1318">
        <v>352</v>
      </c>
      <c r="D1318">
        <v>20</v>
      </c>
      <c r="E1318" t="s">
        <v>177</v>
      </c>
    </row>
    <row r="1319" spans="1:5">
      <c r="A1319">
        <v>10309</v>
      </c>
      <c r="B1319" s="80">
        <v>35327</v>
      </c>
      <c r="C1319">
        <v>600</v>
      </c>
      <c r="D1319">
        <v>30</v>
      </c>
      <c r="E1319" t="s">
        <v>177</v>
      </c>
    </row>
    <row r="1320" spans="1:5">
      <c r="A1320">
        <v>10309</v>
      </c>
      <c r="B1320" s="80">
        <v>35327</v>
      </c>
      <c r="C1320">
        <v>22.4</v>
      </c>
      <c r="D1320">
        <v>2</v>
      </c>
      <c r="E1320" t="s">
        <v>177</v>
      </c>
    </row>
    <row r="1321" spans="1:5">
      <c r="A1321">
        <v>10309</v>
      </c>
      <c r="B1321" s="80">
        <v>35327</v>
      </c>
      <c r="C1321">
        <v>736</v>
      </c>
      <c r="D1321">
        <v>20</v>
      </c>
      <c r="E1321" t="s">
        <v>177</v>
      </c>
    </row>
    <row r="1322" spans="1:5">
      <c r="A1322">
        <v>10309</v>
      </c>
      <c r="B1322" s="80">
        <v>35327</v>
      </c>
      <c r="C1322">
        <v>352</v>
      </c>
      <c r="D1322">
        <v>20</v>
      </c>
      <c r="E1322" t="s">
        <v>175</v>
      </c>
    </row>
    <row r="1323" spans="1:5">
      <c r="A1323">
        <v>10309</v>
      </c>
      <c r="B1323" s="80">
        <v>35327</v>
      </c>
      <c r="C1323">
        <v>600</v>
      </c>
      <c r="D1323">
        <v>30</v>
      </c>
      <c r="E1323" t="s">
        <v>175</v>
      </c>
    </row>
    <row r="1324" spans="1:5">
      <c r="A1324">
        <v>10309</v>
      </c>
      <c r="B1324" s="80">
        <v>35327</v>
      </c>
      <c r="C1324">
        <v>22.4</v>
      </c>
      <c r="D1324">
        <v>2</v>
      </c>
      <c r="E1324" t="s">
        <v>175</v>
      </c>
    </row>
    <row r="1325" spans="1:5">
      <c r="A1325">
        <v>10309</v>
      </c>
      <c r="B1325" s="80">
        <v>35327</v>
      </c>
      <c r="C1325">
        <v>736</v>
      </c>
      <c r="D1325">
        <v>20</v>
      </c>
      <c r="E1325" t="s">
        <v>175</v>
      </c>
    </row>
    <row r="1326" spans="1:5">
      <c r="A1326">
        <v>10309</v>
      </c>
      <c r="B1326" s="80">
        <v>35327</v>
      </c>
      <c r="C1326">
        <v>51.6</v>
      </c>
      <c r="D1326">
        <v>3</v>
      </c>
      <c r="E1326" t="s">
        <v>175</v>
      </c>
    </row>
    <row r="1327" spans="1:5">
      <c r="A1327">
        <v>10309</v>
      </c>
      <c r="B1327" s="80">
        <v>35327</v>
      </c>
      <c r="C1327">
        <v>736</v>
      </c>
      <c r="D1327">
        <v>20</v>
      </c>
      <c r="E1327" t="s">
        <v>174</v>
      </c>
    </row>
    <row r="1328" spans="1:5">
      <c r="A1328">
        <v>10309</v>
      </c>
      <c r="B1328" s="80">
        <v>35327</v>
      </c>
      <c r="C1328">
        <v>352</v>
      </c>
      <c r="D1328">
        <v>20</v>
      </c>
      <c r="E1328" t="s">
        <v>176</v>
      </c>
    </row>
    <row r="1329" spans="1:5">
      <c r="A1329">
        <v>10309</v>
      </c>
      <c r="B1329" s="80">
        <v>35327</v>
      </c>
      <c r="C1329">
        <v>352</v>
      </c>
      <c r="D1329">
        <v>20</v>
      </c>
      <c r="E1329" t="s">
        <v>179</v>
      </c>
    </row>
    <row r="1330" spans="1:5">
      <c r="A1330">
        <v>10309</v>
      </c>
      <c r="B1330" s="80">
        <v>35327</v>
      </c>
      <c r="C1330">
        <v>600</v>
      </c>
      <c r="D1330">
        <v>30</v>
      </c>
      <c r="E1330" t="s">
        <v>179</v>
      </c>
    </row>
    <row r="1331" spans="1:5">
      <c r="A1331">
        <v>10309</v>
      </c>
      <c r="B1331" s="80">
        <v>35327</v>
      </c>
      <c r="C1331">
        <v>22.4</v>
      </c>
      <c r="D1331">
        <v>2</v>
      </c>
      <c r="E1331" t="s">
        <v>179</v>
      </c>
    </row>
    <row r="1332" spans="1:5">
      <c r="A1332">
        <v>10309</v>
      </c>
      <c r="B1332" s="80">
        <v>35327</v>
      </c>
      <c r="C1332">
        <v>736</v>
      </c>
      <c r="D1332">
        <v>20</v>
      </c>
      <c r="E1332" t="s">
        <v>179</v>
      </c>
    </row>
    <row r="1333" spans="1:5">
      <c r="A1333">
        <v>10309</v>
      </c>
      <c r="B1333" s="80">
        <v>35327</v>
      </c>
      <c r="C1333">
        <v>51.6</v>
      </c>
      <c r="D1333">
        <v>3</v>
      </c>
      <c r="E1333" t="s">
        <v>179</v>
      </c>
    </row>
    <row r="1334" spans="1:5">
      <c r="A1334">
        <v>10309</v>
      </c>
      <c r="B1334" s="80">
        <v>35327</v>
      </c>
      <c r="C1334">
        <v>51.6</v>
      </c>
      <c r="D1334">
        <v>3</v>
      </c>
      <c r="E1334" t="s">
        <v>176</v>
      </c>
    </row>
    <row r="1335" spans="1:5">
      <c r="A1335">
        <v>10309</v>
      </c>
      <c r="B1335" s="80">
        <v>35327</v>
      </c>
      <c r="C1335">
        <v>736</v>
      </c>
      <c r="D1335">
        <v>20</v>
      </c>
      <c r="E1335" t="s">
        <v>176</v>
      </c>
    </row>
    <row r="1336" spans="1:5">
      <c r="A1336">
        <v>10309</v>
      </c>
      <c r="B1336" s="80">
        <v>35327</v>
      </c>
      <c r="C1336">
        <v>600</v>
      </c>
      <c r="D1336">
        <v>30</v>
      </c>
      <c r="E1336" t="s">
        <v>173</v>
      </c>
    </row>
    <row r="1337" spans="1:5">
      <c r="A1337">
        <v>10309</v>
      </c>
      <c r="B1337" s="80">
        <v>35327</v>
      </c>
      <c r="C1337">
        <v>600</v>
      </c>
      <c r="D1337">
        <v>30</v>
      </c>
      <c r="E1337" t="s">
        <v>176</v>
      </c>
    </row>
    <row r="1338" spans="1:5">
      <c r="A1338">
        <v>10309</v>
      </c>
      <c r="B1338" s="80">
        <v>35327</v>
      </c>
      <c r="C1338">
        <v>736</v>
      </c>
      <c r="D1338">
        <v>20</v>
      </c>
      <c r="E1338" t="s">
        <v>178</v>
      </c>
    </row>
    <row r="1339" spans="1:5">
      <c r="A1339">
        <v>10309</v>
      </c>
      <c r="B1339" s="80">
        <v>35327</v>
      </c>
      <c r="C1339">
        <v>51.6</v>
      </c>
      <c r="D1339">
        <v>3</v>
      </c>
      <c r="E1339" t="s">
        <v>172</v>
      </c>
    </row>
    <row r="1340" spans="1:5">
      <c r="A1340">
        <v>10309</v>
      </c>
      <c r="B1340" s="80">
        <v>35327</v>
      </c>
      <c r="C1340">
        <v>736</v>
      </c>
      <c r="D1340">
        <v>20</v>
      </c>
      <c r="E1340" t="s">
        <v>172</v>
      </c>
    </row>
    <row r="1341" spans="1:5">
      <c r="A1341">
        <v>10309</v>
      </c>
      <c r="B1341" s="80">
        <v>35327</v>
      </c>
      <c r="C1341">
        <v>22.4</v>
      </c>
      <c r="D1341">
        <v>2</v>
      </c>
      <c r="E1341" t="s">
        <v>172</v>
      </c>
    </row>
    <row r="1342" spans="1:5">
      <c r="A1342">
        <v>10309</v>
      </c>
      <c r="B1342" s="80">
        <v>35327</v>
      </c>
      <c r="C1342">
        <v>51.6</v>
      </c>
      <c r="D1342">
        <v>3</v>
      </c>
      <c r="E1342" t="s">
        <v>178</v>
      </c>
    </row>
    <row r="1343" spans="1:5">
      <c r="A1343">
        <v>10309</v>
      </c>
      <c r="B1343" s="80">
        <v>35327</v>
      </c>
      <c r="C1343">
        <v>600</v>
      </c>
      <c r="D1343">
        <v>30</v>
      </c>
      <c r="E1343" t="s">
        <v>172</v>
      </c>
    </row>
    <row r="1344" spans="1:5">
      <c r="A1344">
        <v>10309</v>
      </c>
      <c r="B1344" s="80">
        <v>35327</v>
      </c>
      <c r="C1344">
        <v>352</v>
      </c>
      <c r="D1344">
        <v>20</v>
      </c>
      <c r="E1344" t="s">
        <v>172</v>
      </c>
    </row>
    <row r="1345" spans="1:5">
      <c r="A1345">
        <v>10309</v>
      </c>
      <c r="B1345" s="80">
        <v>35327</v>
      </c>
      <c r="C1345">
        <v>22.4</v>
      </c>
      <c r="D1345">
        <v>2</v>
      </c>
      <c r="E1345" t="s">
        <v>176</v>
      </c>
    </row>
    <row r="1346" spans="1:5">
      <c r="A1346">
        <v>10310</v>
      </c>
      <c r="B1346" s="80">
        <v>35328</v>
      </c>
      <c r="C1346">
        <v>139</v>
      </c>
      <c r="D1346">
        <v>10</v>
      </c>
      <c r="E1346" t="s">
        <v>175</v>
      </c>
    </row>
    <row r="1347" spans="1:5">
      <c r="A1347">
        <v>10310</v>
      </c>
      <c r="B1347" s="80">
        <v>35328</v>
      </c>
      <c r="C1347">
        <v>139</v>
      </c>
      <c r="D1347">
        <v>10</v>
      </c>
      <c r="E1347" t="s">
        <v>178</v>
      </c>
    </row>
    <row r="1348" spans="1:5">
      <c r="A1348">
        <v>10310</v>
      </c>
      <c r="B1348" s="80">
        <v>35328</v>
      </c>
      <c r="C1348">
        <v>197</v>
      </c>
      <c r="D1348">
        <v>5</v>
      </c>
      <c r="E1348" t="s">
        <v>178</v>
      </c>
    </row>
    <row r="1349" spans="1:5">
      <c r="A1349">
        <v>10310</v>
      </c>
      <c r="B1349" s="80">
        <v>35328</v>
      </c>
      <c r="C1349">
        <v>139</v>
      </c>
      <c r="D1349">
        <v>10</v>
      </c>
      <c r="E1349" t="s">
        <v>179</v>
      </c>
    </row>
    <row r="1350" spans="1:5">
      <c r="A1350">
        <v>10310</v>
      </c>
      <c r="B1350" s="80">
        <v>35328</v>
      </c>
      <c r="C1350">
        <v>197</v>
      </c>
      <c r="D1350">
        <v>5</v>
      </c>
      <c r="E1350" t="s">
        <v>179</v>
      </c>
    </row>
    <row r="1351" spans="1:5">
      <c r="A1351">
        <v>10310</v>
      </c>
      <c r="B1351" s="80">
        <v>35328</v>
      </c>
      <c r="C1351">
        <v>139</v>
      </c>
      <c r="D1351">
        <v>10</v>
      </c>
      <c r="E1351" t="s">
        <v>177</v>
      </c>
    </row>
    <row r="1352" spans="1:5">
      <c r="A1352">
        <v>10310</v>
      </c>
      <c r="B1352" s="80">
        <v>35328</v>
      </c>
      <c r="C1352">
        <v>197</v>
      </c>
      <c r="D1352">
        <v>5</v>
      </c>
      <c r="E1352" t="s">
        <v>177</v>
      </c>
    </row>
    <row r="1353" spans="1:5">
      <c r="A1353">
        <v>10310</v>
      </c>
      <c r="B1353" s="80">
        <v>35328</v>
      </c>
      <c r="C1353">
        <v>197</v>
      </c>
      <c r="D1353">
        <v>5</v>
      </c>
      <c r="E1353" t="s">
        <v>175</v>
      </c>
    </row>
    <row r="1354" spans="1:5">
      <c r="A1354">
        <v>10310</v>
      </c>
      <c r="B1354" s="80">
        <v>35328</v>
      </c>
      <c r="C1354">
        <v>139</v>
      </c>
      <c r="D1354">
        <v>10</v>
      </c>
      <c r="E1354" t="s">
        <v>174</v>
      </c>
    </row>
    <row r="1355" spans="1:5">
      <c r="A1355">
        <v>10310</v>
      </c>
      <c r="B1355" s="80">
        <v>35328</v>
      </c>
      <c r="C1355">
        <v>197</v>
      </c>
      <c r="D1355">
        <v>5</v>
      </c>
      <c r="E1355" t="s">
        <v>176</v>
      </c>
    </row>
    <row r="1356" spans="1:5">
      <c r="A1356">
        <v>10310</v>
      </c>
      <c r="B1356" s="80">
        <v>35328</v>
      </c>
      <c r="C1356">
        <v>139</v>
      </c>
      <c r="D1356">
        <v>10</v>
      </c>
      <c r="E1356" t="s">
        <v>176</v>
      </c>
    </row>
    <row r="1357" spans="1:5">
      <c r="A1357">
        <v>10310</v>
      </c>
      <c r="B1357" s="80">
        <v>35328</v>
      </c>
      <c r="C1357">
        <v>139</v>
      </c>
      <c r="D1357">
        <v>10</v>
      </c>
      <c r="E1357" t="s">
        <v>173</v>
      </c>
    </row>
    <row r="1358" spans="1:5">
      <c r="A1358">
        <v>10310</v>
      </c>
      <c r="B1358" s="80">
        <v>35328</v>
      </c>
      <c r="C1358">
        <v>197</v>
      </c>
      <c r="D1358">
        <v>5</v>
      </c>
      <c r="E1358" t="s">
        <v>173</v>
      </c>
    </row>
    <row r="1359" spans="1:5">
      <c r="A1359">
        <v>10310</v>
      </c>
      <c r="B1359" s="80">
        <v>35328</v>
      </c>
      <c r="C1359">
        <v>197</v>
      </c>
      <c r="D1359">
        <v>5</v>
      </c>
      <c r="E1359" t="s">
        <v>172</v>
      </c>
    </row>
    <row r="1360" spans="1:5">
      <c r="A1360">
        <v>10310</v>
      </c>
      <c r="B1360" s="80">
        <v>35328</v>
      </c>
      <c r="C1360">
        <v>139</v>
      </c>
      <c r="D1360">
        <v>10</v>
      </c>
      <c r="E1360" t="s">
        <v>172</v>
      </c>
    </row>
    <row r="1361" spans="1:5">
      <c r="A1361">
        <v>10310</v>
      </c>
      <c r="B1361" s="80">
        <v>35328</v>
      </c>
      <c r="C1361">
        <v>197</v>
      </c>
      <c r="D1361">
        <v>5</v>
      </c>
      <c r="E1361" t="s">
        <v>174</v>
      </c>
    </row>
    <row r="1362" spans="1:5">
      <c r="A1362">
        <v>10311</v>
      </c>
      <c r="B1362" s="80">
        <v>35328</v>
      </c>
      <c r="C1362">
        <v>67.2</v>
      </c>
      <c r="D1362">
        <v>6</v>
      </c>
      <c r="E1362" t="s">
        <v>174</v>
      </c>
    </row>
    <row r="1363" spans="1:5">
      <c r="A1363">
        <v>10311</v>
      </c>
      <c r="B1363" s="80">
        <v>35328</v>
      </c>
      <c r="C1363">
        <v>67.2</v>
      </c>
      <c r="D1363">
        <v>6</v>
      </c>
      <c r="E1363" t="s">
        <v>175</v>
      </c>
    </row>
    <row r="1364" spans="1:5">
      <c r="A1364">
        <v>10311</v>
      </c>
      <c r="B1364" s="80">
        <v>35328</v>
      </c>
      <c r="C1364">
        <v>201.6</v>
      </c>
      <c r="D1364">
        <v>7</v>
      </c>
      <c r="E1364" t="s">
        <v>175</v>
      </c>
    </row>
    <row r="1365" spans="1:5">
      <c r="A1365">
        <v>10311</v>
      </c>
      <c r="B1365" s="80">
        <v>35328</v>
      </c>
      <c r="C1365">
        <v>201.6</v>
      </c>
      <c r="D1365">
        <v>7</v>
      </c>
      <c r="E1365" t="s">
        <v>178</v>
      </c>
    </row>
    <row r="1366" spans="1:5">
      <c r="A1366">
        <v>10311</v>
      </c>
      <c r="B1366" s="80">
        <v>35328</v>
      </c>
      <c r="C1366">
        <v>67.2</v>
      </c>
      <c r="D1366">
        <v>6</v>
      </c>
      <c r="E1366" t="s">
        <v>178</v>
      </c>
    </row>
    <row r="1367" spans="1:5">
      <c r="A1367">
        <v>10311</v>
      </c>
      <c r="B1367" s="80">
        <v>35328</v>
      </c>
      <c r="C1367">
        <v>201.6</v>
      </c>
      <c r="D1367">
        <v>7</v>
      </c>
      <c r="E1367" t="s">
        <v>176</v>
      </c>
    </row>
    <row r="1368" spans="1:5">
      <c r="A1368">
        <v>10311</v>
      </c>
      <c r="B1368" s="80">
        <v>35328</v>
      </c>
      <c r="C1368">
        <v>201.6</v>
      </c>
      <c r="D1368">
        <v>7</v>
      </c>
      <c r="E1368" t="s">
        <v>174</v>
      </c>
    </row>
    <row r="1369" spans="1:5">
      <c r="A1369">
        <v>10311</v>
      </c>
      <c r="B1369" s="80">
        <v>35328</v>
      </c>
      <c r="C1369">
        <v>67.2</v>
      </c>
      <c r="D1369">
        <v>6</v>
      </c>
      <c r="E1369" t="s">
        <v>176</v>
      </c>
    </row>
    <row r="1370" spans="1:5">
      <c r="A1370">
        <v>10311</v>
      </c>
      <c r="B1370" s="80">
        <v>35328</v>
      </c>
      <c r="C1370">
        <v>67.2</v>
      </c>
      <c r="D1370">
        <v>6</v>
      </c>
      <c r="E1370" t="s">
        <v>172</v>
      </c>
    </row>
    <row r="1371" spans="1:5">
      <c r="A1371">
        <v>10311</v>
      </c>
      <c r="B1371" s="80">
        <v>35328</v>
      </c>
      <c r="C1371">
        <v>201.6</v>
      </c>
      <c r="D1371">
        <v>7</v>
      </c>
      <c r="E1371" t="s">
        <v>172</v>
      </c>
    </row>
    <row r="1372" spans="1:5">
      <c r="A1372">
        <v>10311</v>
      </c>
      <c r="B1372" s="80">
        <v>35328</v>
      </c>
      <c r="C1372">
        <v>67.2</v>
      </c>
      <c r="D1372">
        <v>6</v>
      </c>
      <c r="E1372" t="s">
        <v>173</v>
      </c>
    </row>
    <row r="1373" spans="1:5">
      <c r="A1373">
        <v>10311</v>
      </c>
      <c r="B1373" s="80">
        <v>35328</v>
      </c>
      <c r="C1373">
        <v>67.2</v>
      </c>
      <c r="D1373">
        <v>6</v>
      </c>
      <c r="E1373" t="s">
        <v>179</v>
      </c>
    </row>
    <row r="1374" spans="1:5">
      <c r="A1374">
        <v>10311</v>
      </c>
      <c r="B1374" s="80">
        <v>35328</v>
      </c>
      <c r="C1374">
        <v>201.6</v>
      </c>
      <c r="D1374">
        <v>7</v>
      </c>
      <c r="E1374" t="s">
        <v>179</v>
      </c>
    </row>
    <row r="1375" spans="1:5">
      <c r="A1375">
        <v>10311</v>
      </c>
      <c r="B1375" s="80">
        <v>35328</v>
      </c>
      <c r="C1375">
        <v>201.6</v>
      </c>
      <c r="D1375">
        <v>7</v>
      </c>
      <c r="E1375" t="s">
        <v>177</v>
      </c>
    </row>
    <row r="1376" spans="1:5">
      <c r="A1376">
        <v>10311</v>
      </c>
      <c r="B1376" s="80">
        <v>35328</v>
      </c>
      <c r="C1376">
        <v>67.2</v>
      </c>
      <c r="D1376">
        <v>6</v>
      </c>
      <c r="E1376" t="s">
        <v>177</v>
      </c>
    </row>
    <row r="1377" spans="1:5">
      <c r="A1377">
        <v>10311</v>
      </c>
      <c r="B1377" s="80">
        <v>35328</v>
      </c>
      <c r="C1377">
        <v>201.6</v>
      </c>
      <c r="D1377">
        <v>7</v>
      </c>
      <c r="E1377" t="s">
        <v>173</v>
      </c>
    </row>
    <row r="1378" spans="1:5">
      <c r="A1378">
        <v>10312</v>
      </c>
      <c r="B1378" s="80">
        <v>35331</v>
      </c>
      <c r="C1378">
        <v>62</v>
      </c>
      <c r="D1378">
        <v>10</v>
      </c>
      <c r="E1378" t="s">
        <v>173</v>
      </c>
    </row>
    <row r="1379" spans="1:5">
      <c r="A1379">
        <v>10312</v>
      </c>
      <c r="B1379" s="80">
        <v>35331</v>
      </c>
      <c r="C1379">
        <v>883.2</v>
      </c>
      <c r="D1379">
        <v>24</v>
      </c>
      <c r="E1379" t="s">
        <v>172</v>
      </c>
    </row>
    <row r="1380" spans="1:5">
      <c r="A1380">
        <v>10312</v>
      </c>
      <c r="B1380" s="80">
        <v>35331</v>
      </c>
      <c r="C1380">
        <v>145.6</v>
      </c>
      <c r="D1380">
        <v>4</v>
      </c>
      <c r="E1380" t="s">
        <v>172</v>
      </c>
    </row>
    <row r="1381" spans="1:5">
      <c r="A1381">
        <v>10312</v>
      </c>
      <c r="B1381" s="80">
        <v>35331</v>
      </c>
      <c r="C1381">
        <v>524</v>
      </c>
      <c r="D1381">
        <v>20</v>
      </c>
      <c r="E1381" t="s">
        <v>172</v>
      </c>
    </row>
    <row r="1382" spans="1:5">
      <c r="A1382">
        <v>10312</v>
      </c>
      <c r="B1382" s="80">
        <v>35331</v>
      </c>
      <c r="C1382">
        <v>883.2</v>
      </c>
      <c r="D1382">
        <v>24</v>
      </c>
      <c r="E1382" t="s">
        <v>173</v>
      </c>
    </row>
    <row r="1383" spans="1:5">
      <c r="A1383">
        <v>10312</v>
      </c>
      <c r="B1383" s="80">
        <v>35331</v>
      </c>
      <c r="C1383">
        <v>883.2</v>
      </c>
      <c r="D1383">
        <v>24</v>
      </c>
      <c r="E1383" t="s">
        <v>178</v>
      </c>
    </row>
    <row r="1384" spans="1:5">
      <c r="A1384">
        <v>10312</v>
      </c>
      <c r="B1384" s="80">
        <v>35331</v>
      </c>
      <c r="C1384">
        <v>145.6</v>
      </c>
      <c r="D1384">
        <v>4</v>
      </c>
      <c r="E1384" t="s">
        <v>174</v>
      </c>
    </row>
    <row r="1385" spans="1:5">
      <c r="A1385">
        <v>10312</v>
      </c>
      <c r="B1385" s="80">
        <v>35331</v>
      </c>
      <c r="C1385">
        <v>883.2</v>
      </c>
      <c r="D1385">
        <v>24</v>
      </c>
      <c r="E1385" t="s">
        <v>176</v>
      </c>
    </row>
    <row r="1386" spans="1:5">
      <c r="A1386">
        <v>10312</v>
      </c>
      <c r="B1386" s="80">
        <v>35331</v>
      </c>
      <c r="C1386">
        <v>883.2</v>
      </c>
      <c r="D1386">
        <v>24</v>
      </c>
      <c r="E1386" t="s">
        <v>174</v>
      </c>
    </row>
    <row r="1387" spans="1:5">
      <c r="A1387">
        <v>10312</v>
      </c>
      <c r="B1387" s="80">
        <v>35331</v>
      </c>
      <c r="C1387">
        <v>145.6</v>
      </c>
      <c r="D1387">
        <v>4</v>
      </c>
      <c r="E1387" t="s">
        <v>178</v>
      </c>
    </row>
    <row r="1388" spans="1:5">
      <c r="A1388">
        <v>10312</v>
      </c>
      <c r="B1388" s="80">
        <v>35331</v>
      </c>
      <c r="C1388">
        <v>524</v>
      </c>
      <c r="D1388">
        <v>20</v>
      </c>
      <c r="E1388" t="s">
        <v>173</v>
      </c>
    </row>
    <row r="1389" spans="1:5">
      <c r="A1389">
        <v>10312</v>
      </c>
      <c r="B1389" s="80">
        <v>35331</v>
      </c>
      <c r="C1389">
        <v>524</v>
      </c>
      <c r="D1389">
        <v>20</v>
      </c>
      <c r="E1389" t="s">
        <v>178</v>
      </c>
    </row>
    <row r="1390" spans="1:5">
      <c r="A1390">
        <v>10312</v>
      </c>
      <c r="B1390" s="80">
        <v>35331</v>
      </c>
      <c r="C1390">
        <v>62</v>
      </c>
      <c r="D1390">
        <v>10</v>
      </c>
      <c r="E1390" t="s">
        <v>178</v>
      </c>
    </row>
    <row r="1391" spans="1:5">
      <c r="A1391">
        <v>10312</v>
      </c>
      <c r="B1391" s="80">
        <v>35331</v>
      </c>
      <c r="C1391">
        <v>62</v>
      </c>
      <c r="D1391">
        <v>10</v>
      </c>
      <c r="E1391" t="s">
        <v>179</v>
      </c>
    </row>
    <row r="1392" spans="1:5">
      <c r="A1392">
        <v>10312</v>
      </c>
      <c r="B1392" s="80">
        <v>35331</v>
      </c>
      <c r="C1392">
        <v>524</v>
      </c>
      <c r="D1392">
        <v>20</v>
      </c>
      <c r="E1392" t="s">
        <v>179</v>
      </c>
    </row>
    <row r="1393" spans="1:5">
      <c r="A1393">
        <v>10312</v>
      </c>
      <c r="B1393" s="80">
        <v>35331</v>
      </c>
      <c r="C1393">
        <v>883.2</v>
      </c>
      <c r="D1393">
        <v>24</v>
      </c>
      <c r="E1393" t="s">
        <v>179</v>
      </c>
    </row>
    <row r="1394" spans="1:5">
      <c r="A1394">
        <v>10312</v>
      </c>
      <c r="B1394" s="80">
        <v>35331</v>
      </c>
      <c r="C1394">
        <v>145.6</v>
      </c>
      <c r="D1394">
        <v>4</v>
      </c>
      <c r="E1394" t="s">
        <v>179</v>
      </c>
    </row>
    <row r="1395" spans="1:5">
      <c r="A1395">
        <v>10312</v>
      </c>
      <c r="B1395" s="80">
        <v>35331</v>
      </c>
      <c r="C1395">
        <v>145.6</v>
      </c>
      <c r="D1395">
        <v>4</v>
      </c>
      <c r="E1395" t="s">
        <v>176</v>
      </c>
    </row>
    <row r="1396" spans="1:5">
      <c r="A1396">
        <v>10312</v>
      </c>
      <c r="B1396" s="80">
        <v>35331</v>
      </c>
      <c r="C1396">
        <v>62</v>
      </c>
      <c r="D1396">
        <v>10</v>
      </c>
      <c r="E1396" t="s">
        <v>176</v>
      </c>
    </row>
    <row r="1397" spans="1:5">
      <c r="A1397">
        <v>10312</v>
      </c>
      <c r="B1397" s="80">
        <v>35331</v>
      </c>
      <c r="C1397">
        <v>524</v>
      </c>
      <c r="D1397">
        <v>20</v>
      </c>
      <c r="E1397" t="s">
        <v>176</v>
      </c>
    </row>
    <row r="1398" spans="1:5">
      <c r="A1398">
        <v>10312</v>
      </c>
      <c r="B1398" s="80">
        <v>35331</v>
      </c>
      <c r="C1398">
        <v>62</v>
      </c>
      <c r="D1398">
        <v>10</v>
      </c>
      <c r="E1398" t="s">
        <v>172</v>
      </c>
    </row>
    <row r="1399" spans="1:5">
      <c r="A1399">
        <v>10312</v>
      </c>
      <c r="B1399" s="80">
        <v>35331</v>
      </c>
      <c r="C1399">
        <v>145.6</v>
      </c>
      <c r="D1399">
        <v>4</v>
      </c>
      <c r="E1399" t="s">
        <v>173</v>
      </c>
    </row>
    <row r="1400" spans="1:5">
      <c r="A1400">
        <v>10312</v>
      </c>
      <c r="B1400" s="80">
        <v>35331</v>
      </c>
      <c r="C1400">
        <v>62</v>
      </c>
      <c r="D1400">
        <v>10</v>
      </c>
      <c r="E1400" t="s">
        <v>175</v>
      </c>
    </row>
    <row r="1401" spans="1:5">
      <c r="A1401">
        <v>10312</v>
      </c>
      <c r="B1401" s="80">
        <v>35331</v>
      </c>
      <c r="C1401">
        <v>524</v>
      </c>
      <c r="D1401">
        <v>20</v>
      </c>
      <c r="E1401" t="s">
        <v>174</v>
      </c>
    </row>
    <row r="1402" spans="1:5">
      <c r="A1402">
        <v>10312</v>
      </c>
      <c r="B1402" s="80">
        <v>35331</v>
      </c>
      <c r="C1402">
        <v>145.6</v>
      </c>
      <c r="D1402">
        <v>4</v>
      </c>
      <c r="E1402" t="s">
        <v>175</v>
      </c>
    </row>
    <row r="1403" spans="1:5">
      <c r="A1403">
        <v>10312</v>
      </c>
      <c r="B1403" s="80">
        <v>35331</v>
      </c>
      <c r="C1403">
        <v>883.2</v>
      </c>
      <c r="D1403">
        <v>24</v>
      </c>
      <c r="E1403" t="s">
        <v>175</v>
      </c>
    </row>
    <row r="1404" spans="1:5">
      <c r="A1404">
        <v>10312</v>
      </c>
      <c r="B1404" s="80">
        <v>35331</v>
      </c>
      <c r="C1404">
        <v>883.2</v>
      </c>
      <c r="D1404">
        <v>24</v>
      </c>
      <c r="E1404" t="s">
        <v>177</v>
      </c>
    </row>
    <row r="1405" spans="1:5">
      <c r="A1405">
        <v>10312</v>
      </c>
      <c r="B1405" s="80">
        <v>35331</v>
      </c>
      <c r="C1405">
        <v>524</v>
      </c>
      <c r="D1405">
        <v>20</v>
      </c>
      <c r="E1405" t="s">
        <v>175</v>
      </c>
    </row>
    <row r="1406" spans="1:5">
      <c r="A1406">
        <v>10312</v>
      </c>
      <c r="B1406" s="80">
        <v>35331</v>
      </c>
      <c r="C1406">
        <v>145.6</v>
      </c>
      <c r="D1406">
        <v>4</v>
      </c>
      <c r="E1406" t="s">
        <v>177</v>
      </c>
    </row>
    <row r="1407" spans="1:5">
      <c r="A1407">
        <v>10312</v>
      </c>
      <c r="B1407" s="80">
        <v>35331</v>
      </c>
      <c r="C1407">
        <v>62</v>
      </c>
      <c r="D1407">
        <v>10</v>
      </c>
      <c r="E1407" t="s">
        <v>177</v>
      </c>
    </row>
    <row r="1408" spans="1:5">
      <c r="A1408">
        <v>10312</v>
      </c>
      <c r="B1408" s="80">
        <v>35331</v>
      </c>
      <c r="C1408">
        <v>524</v>
      </c>
      <c r="D1408">
        <v>20</v>
      </c>
      <c r="E1408" t="s">
        <v>177</v>
      </c>
    </row>
    <row r="1409" spans="1:5">
      <c r="A1409">
        <v>10312</v>
      </c>
      <c r="B1409" s="80">
        <v>35331</v>
      </c>
      <c r="C1409">
        <v>62</v>
      </c>
      <c r="D1409">
        <v>10</v>
      </c>
      <c r="E1409" t="s">
        <v>174</v>
      </c>
    </row>
    <row r="1410" spans="1:5">
      <c r="A1410">
        <v>10313</v>
      </c>
      <c r="B1410" s="80">
        <v>35332</v>
      </c>
      <c r="C1410">
        <v>182.4</v>
      </c>
      <c r="D1410">
        <v>12</v>
      </c>
      <c r="E1410" t="s">
        <v>173</v>
      </c>
    </row>
    <row r="1411" spans="1:5">
      <c r="A1411">
        <v>10313</v>
      </c>
      <c r="B1411" s="80">
        <v>35332</v>
      </c>
      <c r="C1411">
        <v>182.4</v>
      </c>
      <c r="D1411">
        <v>12</v>
      </c>
      <c r="E1411" t="s">
        <v>176</v>
      </c>
    </row>
    <row r="1412" spans="1:5">
      <c r="A1412">
        <v>10313</v>
      </c>
      <c r="B1412" s="80">
        <v>35332</v>
      </c>
      <c r="C1412">
        <v>182.4</v>
      </c>
      <c r="D1412">
        <v>12</v>
      </c>
      <c r="E1412" t="s">
        <v>178</v>
      </c>
    </row>
    <row r="1413" spans="1:5">
      <c r="A1413">
        <v>10313</v>
      </c>
      <c r="B1413" s="80">
        <v>35332</v>
      </c>
      <c r="C1413">
        <v>182.4</v>
      </c>
      <c r="D1413">
        <v>12</v>
      </c>
      <c r="E1413" t="s">
        <v>179</v>
      </c>
    </row>
    <row r="1414" spans="1:5">
      <c r="A1414">
        <v>10313</v>
      </c>
      <c r="B1414" s="80">
        <v>35332</v>
      </c>
      <c r="C1414">
        <v>182.4</v>
      </c>
      <c r="D1414">
        <v>12</v>
      </c>
      <c r="E1414" t="s">
        <v>174</v>
      </c>
    </row>
    <row r="1415" spans="1:5">
      <c r="A1415">
        <v>10313</v>
      </c>
      <c r="B1415" s="80">
        <v>35332</v>
      </c>
      <c r="C1415">
        <v>182.4</v>
      </c>
      <c r="D1415">
        <v>12</v>
      </c>
      <c r="E1415" t="s">
        <v>172</v>
      </c>
    </row>
    <row r="1416" spans="1:5">
      <c r="A1416">
        <v>10313</v>
      </c>
      <c r="B1416" s="80">
        <v>35332</v>
      </c>
      <c r="C1416">
        <v>182.4</v>
      </c>
      <c r="D1416">
        <v>12</v>
      </c>
      <c r="E1416" t="s">
        <v>175</v>
      </c>
    </row>
    <row r="1417" spans="1:5">
      <c r="A1417">
        <v>10313</v>
      </c>
      <c r="B1417" s="80">
        <v>35332</v>
      </c>
      <c r="C1417">
        <v>182.4</v>
      </c>
      <c r="D1417">
        <v>12</v>
      </c>
      <c r="E1417" t="s">
        <v>177</v>
      </c>
    </row>
    <row r="1418" spans="1:5">
      <c r="A1418">
        <v>10314</v>
      </c>
      <c r="B1418" s="80">
        <v>35333</v>
      </c>
      <c r="C1418">
        <v>921.59999847412109</v>
      </c>
      <c r="D1418">
        <v>40</v>
      </c>
      <c r="E1418" t="s">
        <v>179</v>
      </c>
    </row>
    <row r="1419" spans="1:5">
      <c r="A1419">
        <v>10314</v>
      </c>
      <c r="B1419" s="80">
        <v>35333</v>
      </c>
      <c r="C1419">
        <v>286.19999952614307</v>
      </c>
      <c r="D1419">
        <v>30</v>
      </c>
      <c r="E1419" t="s">
        <v>179</v>
      </c>
    </row>
    <row r="1420" spans="1:5">
      <c r="A1420">
        <v>10314</v>
      </c>
      <c r="B1420" s="80">
        <v>35333</v>
      </c>
      <c r="C1420">
        <v>286.19999952614307</v>
      </c>
      <c r="D1420">
        <v>30</v>
      </c>
      <c r="E1420" t="s">
        <v>175</v>
      </c>
    </row>
    <row r="1421" spans="1:5">
      <c r="A1421">
        <v>10314</v>
      </c>
      <c r="B1421" s="80">
        <v>35333</v>
      </c>
      <c r="C1421">
        <v>886.49999853223562</v>
      </c>
      <c r="D1421">
        <v>25</v>
      </c>
      <c r="E1421" t="s">
        <v>175</v>
      </c>
    </row>
    <row r="1422" spans="1:5">
      <c r="A1422">
        <v>10314</v>
      </c>
      <c r="B1422" s="80">
        <v>35333</v>
      </c>
      <c r="C1422">
        <v>886.49999853223562</v>
      </c>
      <c r="D1422">
        <v>25</v>
      </c>
      <c r="E1422" t="s">
        <v>177</v>
      </c>
    </row>
    <row r="1423" spans="1:5">
      <c r="A1423">
        <v>10314</v>
      </c>
      <c r="B1423" s="80">
        <v>35333</v>
      </c>
      <c r="C1423">
        <v>886.49999853223562</v>
      </c>
      <c r="D1423">
        <v>25</v>
      </c>
      <c r="E1423" t="s">
        <v>179</v>
      </c>
    </row>
    <row r="1424" spans="1:5">
      <c r="A1424">
        <v>10314</v>
      </c>
      <c r="B1424" s="80">
        <v>35333</v>
      </c>
      <c r="C1424">
        <v>921.59999847412109</v>
      </c>
      <c r="D1424">
        <v>40</v>
      </c>
      <c r="E1424" t="s">
        <v>177</v>
      </c>
    </row>
    <row r="1425" spans="1:5">
      <c r="A1425">
        <v>10314</v>
      </c>
      <c r="B1425" s="80">
        <v>35333</v>
      </c>
      <c r="C1425">
        <v>886.49999853223562</v>
      </c>
      <c r="D1425">
        <v>25</v>
      </c>
      <c r="E1425" t="s">
        <v>176</v>
      </c>
    </row>
    <row r="1426" spans="1:5">
      <c r="A1426">
        <v>10314</v>
      </c>
      <c r="B1426" s="80">
        <v>35333</v>
      </c>
      <c r="C1426">
        <v>286.19999952614307</v>
      </c>
      <c r="D1426">
        <v>30</v>
      </c>
      <c r="E1426" t="s">
        <v>176</v>
      </c>
    </row>
    <row r="1427" spans="1:5">
      <c r="A1427">
        <v>10314</v>
      </c>
      <c r="B1427" s="80">
        <v>35333</v>
      </c>
      <c r="C1427">
        <v>921.59999847412109</v>
      </c>
      <c r="D1427">
        <v>40</v>
      </c>
      <c r="E1427" t="s">
        <v>176</v>
      </c>
    </row>
    <row r="1428" spans="1:5">
      <c r="A1428">
        <v>10314</v>
      </c>
      <c r="B1428" s="80">
        <v>35333</v>
      </c>
      <c r="C1428">
        <v>286.19999952614307</v>
      </c>
      <c r="D1428">
        <v>30</v>
      </c>
      <c r="E1428" t="s">
        <v>177</v>
      </c>
    </row>
    <row r="1429" spans="1:5">
      <c r="A1429">
        <v>10314</v>
      </c>
      <c r="B1429" s="80">
        <v>35333</v>
      </c>
      <c r="C1429">
        <v>921.59999847412109</v>
      </c>
      <c r="D1429">
        <v>40</v>
      </c>
      <c r="E1429" t="s">
        <v>172</v>
      </c>
    </row>
    <row r="1430" spans="1:5">
      <c r="A1430">
        <v>10314</v>
      </c>
      <c r="B1430" s="80">
        <v>35333</v>
      </c>
      <c r="C1430">
        <v>921.59999847412109</v>
      </c>
      <c r="D1430">
        <v>40</v>
      </c>
      <c r="E1430" t="s">
        <v>174</v>
      </c>
    </row>
    <row r="1431" spans="1:5">
      <c r="A1431">
        <v>10314</v>
      </c>
      <c r="B1431" s="80">
        <v>35333</v>
      </c>
      <c r="C1431">
        <v>886.49999853223562</v>
      </c>
      <c r="D1431">
        <v>25</v>
      </c>
      <c r="E1431" t="s">
        <v>178</v>
      </c>
    </row>
    <row r="1432" spans="1:5">
      <c r="A1432">
        <v>10314</v>
      </c>
      <c r="B1432" s="80">
        <v>35333</v>
      </c>
      <c r="C1432">
        <v>286.19999952614307</v>
      </c>
      <c r="D1432">
        <v>30</v>
      </c>
      <c r="E1432" t="s">
        <v>178</v>
      </c>
    </row>
    <row r="1433" spans="1:5">
      <c r="A1433">
        <v>10314</v>
      </c>
      <c r="B1433" s="80">
        <v>35333</v>
      </c>
      <c r="C1433">
        <v>921.59999847412109</v>
      </c>
      <c r="D1433">
        <v>40</v>
      </c>
      <c r="E1433" t="s">
        <v>175</v>
      </c>
    </row>
    <row r="1434" spans="1:5">
      <c r="A1434">
        <v>10314</v>
      </c>
      <c r="B1434" s="80">
        <v>35333</v>
      </c>
      <c r="C1434">
        <v>886.49999853223562</v>
      </c>
      <c r="D1434">
        <v>25</v>
      </c>
      <c r="E1434" t="s">
        <v>172</v>
      </c>
    </row>
    <row r="1435" spans="1:5">
      <c r="A1435">
        <v>10314</v>
      </c>
      <c r="B1435" s="80">
        <v>35333</v>
      </c>
      <c r="C1435">
        <v>286.19999952614307</v>
      </c>
      <c r="D1435">
        <v>30</v>
      </c>
      <c r="E1435" t="s">
        <v>172</v>
      </c>
    </row>
    <row r="1436" spans="1:5">
      <c r="A1436">
        <v>10314</v>
      </c>
      <c r="B1436" s="80">
        <v>35333</v>
      </c>
      <c r="C1436">
        <v>886.49999853223562</v>
      </c>
      <c r="D1436">
        <v>25</v>
      </c>
      <c r="E1436" t="s">
        <v>173</v>
      </c>
    </row>
    <row r="1437" spans="1:5">
      <c r="A1437">
        <v>10314</v>
      </c>
      <c r="B1437" s="80">
        <v>35333</v>
      </c>
      <c r="C1437">
        <v>286.19999952614307</v>
      </c>
      <c r="D1437">
        <v>30</v>
      </c>
      <c r="E1437" t="s">
        <v>173</v>
      </c>
    </row>
    <row r="1438" spans="1:5">
      <c r="A1438">
        <v>10314</v>
      </c>
      <c r="B1438" s="80">
        <v>35333</v>
      </c>
      <c r="C1438">
        <v>921.59999847412109</v>
      </c>
      <c r="D1438">
        <v>40</v>
      </c>
      <c r="E1438" t="s">
        <v>173</v>
      </c>
    </row>
    <row r="1439" spans="1:5">
      <c r="A1439">
        <v>10314</v>
      </c>
      <c r="B1439" s="80">
        <v>35333</v>
      </c>
      <c r="C1439">
        <v>286.19999952614307</v>
      </c>
      <c r="D1439">
        <v>30</v>
      </c>
      <c r="E1439" t="s">
        <v>174</v>
      </c>
    </row>
    <row r="1440" spans="1:5">
      <c r="A1440">
        <v>10314</v>
      </c>
      <c r="B1440" s="80">
        <v>35333</v>
      </c>
      <c r="C1440">
        <v>921.59999847412109</v>
      </c>
      <c r="D1440">
        <v>40</v>
      </c>
      <c r="E1440" t="s">
        <v>178</v>
      </c>
    </row>
    <row r="1441" spans="1:5">
      <c r="A1441">
        <v>10314</v>
      </c>
      <c r="B1441" s="80">
        <v>35333</v>
      </c>
      <c r="C1441">
        <v>886.49999853223562</v>
      </c>
      <c r="D1441">
        <v>25</v>
      </c>
      <c r="E1441" t="s">
        <v>174</v>
      </c>
    </row>
    <row r="1442" spans="1:5">
      <c r="A1442">
        <v>10315</v>
      </c>
      <c r="B1442" s="80">
        <v>35334</v>
      </c>
      <c r="C1442">
        <v>360</v>
      </c>
      <c r="D1442">
        <v>30</v>
      </c>
      <c r="E1442" t="s">
        <v>176</v>
      </c>
    </row>
    <row r="1443" spans="1:5">
      <c r="A1443">
        <v>10315</v>
      </c>
      <c r="B1443" s="80">
        <v>35334</v>
      </c>
      <c r="C1443">
        <v>360</v>
      </c>
      <c r="D1443">
        <v>30</v>
      </c>
      <c r="E1443" t="s">
        <v>174</v>
      </c>
    </row>
    <row r="1444" spans="1:5">
      <c r="A1444">
        <v>10315</v>
      </c>
      <c r="B1444" s="80">
        <v>35334</v>
      </c>
      <c r="C1444">
        <v>156.80000000000001</v>
      </c>
      <c r="D1444">
        <v>14</v>
      </c>
      <c r="E1444" t="s">
        <v>179</v>
      </c>
    </row>
    <row r="1445" spans="1:5">
      <c r="A1445">
        <v>10315</v>
      </c>
      <c r="B1445" s="80">
        <v>35334</v>
      </c>
      <c r="C1445">
        <v>360</v>
      </c>
      <c r="D1445">
        <v>30</v>
      </c>
      <c r="E1445" t="s">
        <v>175</v>
      </c>
    </row>
    <row r="1446" spans="1:5">
      <c r="A1446">
        <v>10315</v>
      </c>
      <c r="B1446" s="80">
        <v>35334</v>
      </c>
      <c r="C1446">
        <v>156.80000000000001</v>
      </c>
      <c r="D1446">
        <v>14</v>
      </c>
      <c r="E1446" t="s">
        <v>175</v>
      </c>
    </row>
    <row r="1447" spans="1:5">
      <c r="A1447">
        <v>10315</v>
      </c>
      <c r="B1447" s="80">
        <v>35334</v>
      </c>
      <c r="C1447">
        <v>360</v>
      </c>
      <c r="D1447">
        <v>30</v>
      </c>
      <c r="E1447" t="s">
        <v>179</v>
      </c>
    </row>
    <row r="1448" spans="1:5">
      <c r="A1448">
        <v>10315</v>
      </c>
      <c r="B1448" s="80">
        <v>35334</v>
      </c>
      <c r="C1448">
        <v>156.80000000000001</v>
      </c>
      <c r="D1448">
        <v>14</v>
      </c>
      <c r="E1448" t="s">
        <v>174</v>
      </c>
    </row>
    <row r="1449" spans="1:5">
      <c r="A1449">
        <v>10315</v>
      </c>
      <c r="B1449" s="80">
        <v>35334</v>
      </c>
      <c r="C1449">
        <v>156.80000000000001</v>
      </c>
      <c r="D1449">
        <v>14</v>
      </c>
      <c r="E1449" t="s">
        <v>172</v>
      </c>
    </row>
    <row r="1450" spans="1:5">
      <c r="A1450">
        <v>10315</v>
      </c>
      <c r="B1450" s="80">
        <v>35334</v>
      </c>
      <c r="C1450">
        <v>360</v>
      </c>
      <c r="D1450">
        <v>30</v>
      </c>
      <c r="E1450" t="s">
        <v>173</v>
      </c>
    </row>
    <row r="1451" spans="1:5">
      <c r="A1451">
        <v>10315</v>
      </c>
      <c r="B1451" s="80">
        <v>35334</v>
      </c>
      <c r="C1451">
        <v>156.80000000000001</v>
      </c>
      <c r="D1451">
        <v>14</v>
      </c>
      <c r="E1451" t="s">
        <v>178</v>
      </c>
    </row>
    <row r="1452" spans="1:5">
      <c r="A1452">
        <v>10315</v>
      </c>
      <c r="B1452" s="80">
        <v>35334</v>
      </c>
      <c r="C1452">
        <v>360</v>
      </c>
      <c r="D1452">
        <v>30</v>
      </c>
      <c r="E1452" t="s">
        <v>178</v>
      </c>
    </row>
    <row r="1453" spans="1:5">
      <c r="A1453">
        <v>10315</v>
      </c>
      <c r="B1453" s="80">
        <v>35334</v>
      </c>
      <c r="C1453">
        <v>156.80000000000001</v>
      </c>
      <c r="D1453">
        <v>14</v>
      </c>
      <c r="E1453" t="s">
        <v>173</v>
      </c>
    </row>
    <row r="1454" spans="1:5">
      <c r="A1454">
        <v>10315</v>
      </c>
      <c r="B1454" s="80">
        <v>35334</v>
      </c>
      <c r="C1454">
        <v>360</v>
      </c>
      <c r="D1454">
        <v>30</v>
      </c>
      <c r="E1454" t="s">
        <v>172</v>
      </c>
    </row>
    <row r="1455" spans="1:5">
      <c r="A1455">
        <v>10315</v>
      </c>
      <c r="B1455" s="80">
        <v>35334</v>
      </c>
      <c r="C1455">
        <v>360</v>
      </c>
      <c r="D1455">
        <v>30</v>
      </c>
      <c r="E1455" t="s">
        <v>177</v>
      </c>
    </row>
    <row r="1456" spans="1:5">
      <c r="A1456">
        <v>10315</v>
      </c>
      <c r="B1456" s="80">
        <v>35334</v>
      </c>
      <c r="C1456">
        <v>156.80000000000001</v>
      </c>
      <c r="D1456">
        <v>14</v>
      </c>
      <c r="E1456" t="s">
        <v>177</v>
      </c>
    </row>
    <row r="1457" spans="1:5">
      <c r="A1457">
        <v>10315</v>
      </c>
      <c r="B1457" s="80">
        <v>35334</v>
      </c>
      <c r="C1457">
        <v>156.80000000000001</v>
      </c>
      <c r="D1457">
        <v>14</v>
      </c>
      <c r="E1457" t="s">
        <v>176</v>
      </c>
    </row>
    <row r="1458" spans="1:5">
      <c r="A1458">
        <v>10316</v>
      </c>
      <c r="B1458" s="80">
        <v>35335</v>
      </c>
      <c r="C1458">
        <v>77</v>
      </c>
      <c r="D1458">
        <v>10</v>
      </c>
      <c r="E1458" t="s">
        <v>177</v>
      </c>
    </row>
    <row r="1459" spans="1:5">
      <c r="A1459">
        <v>10316</v>
      </c>
      <c r="B1459" s="80">
        <v>35335</v>
      </c>
      <c r="C1459">
        <v>2758</v>
      </c>
      <c r="D1459">
        <v>70</v>
      </c>
      <c r="E1459" t="s">
        <v>177</v>
      </c>
    </row>
    <row r="1460" spans="1:5">
      <c r="A1460">
        <v>10316</v>
      </c>
      <c r="B1460" s="80">
        <v>35335</v>
      </c>
      <c r="C1460">
        <v>2758</v>
      </c>
      <c r="D1460">
        <v>70</v>
      </c>
      <c r="E1460" t="s">
        <v>174</v>
      </c>
    </row>
    <row r="1461" spans="1:5">
      <c r="A1461">
        <v>10316</v>
      </c>
      <c r="B1461" s="80">
        <v>35335</v>
      </c>
      <c r="C1461">
        <v>77</v>
      </c>
      <c r="D1461">
        <v>10</v>
      </c>
      <c r="E1461" t="s">
        <v>173</v>
      </c>
    </row>
    <row r="1462" spans="1:5">
      <c r="A1462">
        <v>10316</v>
      </c>
      <c r="B1462" s="80">
        <v>35335</v>
      </c>
      <c r="C1462">
        <v>77</v>
      </c>
      <c r="D1462">
        <v>10</v>
      </c>
      <c r="E1462" t="s">
        <v>175</v>
      </c>
    </row>
    <row r="1463" spans="1:5">
      <c r="A1463">
        <v>10316</v>
      </c>
      <c r="B1463" s="80">
        <v>35335</v>
      </c>
      <c r="C1463">
        <v>2758</v>
      </c>
      <c r="D1463">
        <v>70</v>
      </c>
      <c r="E1463" t="s">
        <v>175</v>
      </c>
    </row>
    <row r="1464" spans="1:5">
      <c r="A1464">
        <v>10316</v>
      </c>
      <c r="B1464" s="80">
        <v>35335</v>
      </c>
      <c r="C1464">
        <v>77</v>
      </c>
      <c r="D1464">
        <v>10</v>
      </c>
      <c r="E1464" t="s">
        <v>172</v>
      </c>
    </row>
    <row r="1465" spans="1:5">
      <c r="A1465">
        <v>10316</v>
      </c>
      <c r="B1465" s="80">
        <v>35335</v>
      </c>
      <c r="C1465">
        <v>77</v>
      </c>
      <c r="D1465">
        <v>10</v>
      </c>
      <c r="E1465" t="s">
        <v>176</v>
      </c>
    </row>
    <row r="1466" spans="1:5">
      <c r="A1466">
        <v>10316</v>
      </c>
      <c r="B1466" s="80">
        <v>35335</v>
      </c>
      <c r="C1466">
        <v>2758</v>
      </c>
      <c r="D1466">
        <v>70</v>
      </c>
      <c r="E1466" t="s">
        <v>173</v>
      </c>
    </row>
    <row r="1467" spans="1:5">
      <c r="A1467">
        <v>10316</v>
      </c>
      <c r="B1467" s="80">
        <v>35335</v>
      </c>
      <c r="C1467">
        <v>2758</v>
      </c>
      <c r="D1467">
        <v>70</v>
      </c>
      <c r="E1467" t="s">
        <v>179</v>
      </c>
    </row>
    <row r="1468" spans="1:5">
      <c r="A1468">
        <v>10316</v>
      </c>
      <c r="B1468" s="80">
        <v>35335</v>
      </c>
      <c r="C1468">
        <v>77</v>
      </c>
      <c r="D1468">
        <v>10</v>
      </c>
      <c r="E1468" t="s">
        <v>179</v>
      </c>
    </row>
    <row r="1469" spans="1:5">
      <c r="A1469">
        <v>10316</v>
      </c>
      <c r="B1469" s="80">
        <v>35335</v>
      </c>
      <c r="C1469">
        <v>77</v>
      </c>
      <c r="D1469">
        <v>10</v>
      </c>
      <c r="E1469" t="s">
        <v>174</v>
      </c>
    </row>
    <row r="1470" spans="1:5">
      <c r="A1470">
        <v>10316</v>
      </c>
      <c r="B1470" s="80">
        <v>35335</v>
      </c>
      <c r="C1470">
        <v>2758</v>
      </c>
      <c r="D1470">
        <v>70</v>
      </c>
      <c r="E1470" t="s">
        <v>176</v>
      </c>
    </row>
    <row r="1471" spans="1:5">
      <c r="A1471">
        <v>10316</v>
      </c>
      <c r="B1471" s="80">
        <v>35335</v>
      </c>
      <c r="C1471">
        <v>2758</v>
      </c>
      <c r="D1471">
        <v>70</v>
      </c>
      <c r="E1471" t="s">
        <v>172</v>
      </c>
    </row>
    <row r="1472" spans="1:5">
      <c r="A1472">
        <v>10316</v>
      </c>
      <c r="B1472" s="80">
        <v>35335</v>
      </c>
      <c r="C1472">
        <v>2758</v>
      </c>
      <c r="D1472">
        <v>70</v>
      </c>
      <c r="E1472" t="s">
        <v>178</v>
      </c>
    </row>
    <row r="1473" spans="1:5">
      <c r="A1473">
        <v>10316</v>
      </c>
      <c r="B1473" s="80">
        <v>35335</v>
      </c>
      <c r="C1473">
        <v>77</v>
      </c>
      <c r="D1473">
        <v>10</v>
      </c>
      <c r="E1473" t="s">
        <v>178</v>
      </c>
    </row>
    <row r="1474" spans="1:5">
      <c r="A1474">
        <v>10317</v>
      </c>
      <c r="B1474" s="80">
        <v>35338</v>
      </c>
      <c r="C1474">
        <v>288</v>
      </c>
      <c r="D1474">
        <v>20</v>
      </c>
      <c r="E1474" t="s">
        <v>178</v>
      </c>
    </row>
    <row r="1475" spans="1:5">
      <c r="A1475">
        <v>10317</v>
      </c>
      <c r="B1475" s="80">
        <v>35338</v>
      </c>
      <c r="C1475">
        <v>288</v>
      </c>
      <c r="D1475">
        <v>20</v>
      </c>
      <c r="E1475" t="s">
        <v>176</v>
      </c>
    </row>
    <row r="1476" spans="1:5">
      <c r="A1476">
        <v>10317</v>
      </c>
      <c r="B1476" s="80">
        <v>35338</v>
      </c>
      <c r="C1476">
        <v>288</v>
      </c>
      <c r="D1476">
        <v>20</v>
      </c>
      <c r="E1476" t="s">
        <v>177</v>
      </c>
    </row>
    <row r="1477" spans="1:5">
      <c r="A1477">
        <v>10317</v>
      </c>
      <c r="B1477" s="80">
        <v>35338</v>
      </c>
      <c r="C1477">
        <v>288</v>
      </c>
      <c r="D1477">
        <v>20</v>
      </c>
      <c r="E1477" t="s">
        <v>174</v>
      </c>
    </row>
    <row r="1478" spans="1:5">
      <c r="A1478">
        <v>10317</v>
      </c>
      <c r="B1478" s="80">
        <v>35338</v>
      </c>
      <c r="C1478">
        <v>288</v>
      </c>
      <c r="D1478">
        <v>20</v>
      </c>
      <c r="E1478" t="s">
        <v>173</v>
      </c>
    </row>
    <row r="1479" spans="1:5">
      <c r="A1479">
        <v>10317</v>
      </c>
      <c r="B1479" s="80">
        <v>35338</v>
      </c>
      <c r="C1479">
        <v>288</v>
      </c>
      <c r="D1479">
        <v>20</v>
      </c>
      <c r="E1479" t="s">
        <v>172</v>
      </c>
    </row>
    <row r="1480" spans="1:5">
      <c r="A1480">
        <v>10317</v>
      </c>
      <c r="B1480" s="80">
        <v>35338</v>
      </c>
      <c r="C1480">
        <v>288</v>
      </c>
      <c r="D1480">
        <v>20</v>
      </c>
      <c r="E1480" t="s">
        <v>179</v>
      </c>
    </row>
    <row r="1481" spans="1:5">
      <c r="A1481">
        <v>10317</v>
      </c>
      <c r="B1481" s="80">
        <v>35338</v>
      </c>
      <c r="C1481">
        <v>288</v>
      </c>
      <c r="D1481">
        <v>20</v>
      </c>
      <c r="E1481" t="s">
        <v>175</v>
      </c>
    </row>
    <row r="1482" spans="1:5">
      <c r="A1482">
        <v>10318</v>
      </c>
      <c r="B1482" s="80">
        <v>35339</v>
      </c>
      <c r="C1482">
        <v>154</v>
      </c>
      <c r="D1482">
        <v>20</v>
      </c>
      <c r="E1482" t="s">
        <v>175</v>
      </c>
    </row>
    <row r="1483" spans="1:5">
      <c r="A1483">
        <v>10318</v>
      </c>
      <c r="B1483" s="80">
        <v>35339</v>
      </c>
      <c r="C1483">
        <v>154</v>
      </c>
      <c r="D1483">
        <v>20</v>
      </c>
      <c r="E1483" t="s">
        <v>177</v>
      </c>
    </row>
    <row r="1484" spans="1:5">
      <c r="A1484">
        <v>10318</v>
      </c>
      <c r="B1484" s="80">
        <v>35339</v>
      </c>
      <c r="C1484">
        <v>86.4</v>
      </c>
      <c r="D1484">
        <v>6</v>
      </c>
      <c r="E1484" t="s">
        <v>172</v>
      </c>
    </row>
    <row r="1485" spans="1:5">
      <c r="A1485">
        <v>10318</v>
      </c>
      <c r="B1485" s="80">
        <v>35339</v>
      </c>
      <c r="C1485">
        <v>154</v>
      </c>
      <c r="D1485">
        <v>20</v>
      </c>
      <c r="E1485" t="s">
        <v>178</v>
      </c>
    </row>
    <row r="1486" spans="1:5">
      <c r="A1486">
        <v>10318</v>
      </c>
      <c r="B1486" s="80">
        <v>35339</v>
      </c>
      <c r="C1486">
        <v>86.4</v>
      </c>
      <c r="D1486">
        <v>6</v>
      </c>
      <c r="E1486" t="s">
        <v>178</v>
      </c>
    </row>
    <row r="1487" spans="1:5">
      <c r="A1487">
        <v>10318</v>
      </c>
      <c r="B1487" s="80">
        <v>35339</v>
      </c>
      <c r="C1487">
        <v>86.4</v>
      </c>
      <c r="D1487">
        <v>6</v>
      </c>
      <c r="E1487" t="s">
        <v>176</v>
      </c>
    </row>
    <row r="1488" spans="1:5">
      <c r="A1488">
        <v>10318</v>
      </c>
      <c r="B1488" s="80">
        <v>35339</v>
      </c>
      <c r="C1488">
        <v>154</v>
      </c>
      <c r="D1488">
        <v>20</v>
      </c>
      <c r="E1488" t="s">
        <v>174</v>
      </c>
    </row>
    <row r="1489" spans="1:5">
      <c r="A1489">
        <v>10318</v>
      </c>
      <c r="B1489" s="80">
        <v>35339</v>
      </c>
      <c r="C1489">
        <v>154</v>
      </c>
      <c r="D1489">
        <v>20</v>
      </c>
      <c r="E1489" t="s">
        <v>172</v>
      </c>
    </row>
    <row r="1490" spans="1:5">
      <c r="A1490">
        <v>10318</v>
      </c>
      <c r="B1490" s="80">
        <v>35339</v>
      </c>
      <c r="C1490">
        <v>86.4</v>
      </c>
      <c r="D1490">
        <v>6</v>
      </c>
      <c r="E1490" t="s">
        <v>177</v>
      </c>
    </row>
    <row r="1491" spans="1:5">
      <c r="A1491">
        <v>10318</v>
      </c>
      <c r="B1491" s="80">
        <v>35339</v>
      </c>
      <c r="C1491">
        <v>86.4</v>
      </c>
      <c r="D1491">
        <v>6</v>
      </c>
      <c r="E1491" t="s">
        <v>174</v>
      </c>
    </row>
    <row r="1492" spans="1:5">
      <c r="A1492">
        <v>10318</v>
      </c>
      <c r="B1492" s="80">
        <v>35339</v>
      </c>
      <c r="C1492">
        <v>154</v>
      </c>
      <c r="D1492">
        <v>20</v>
      </c>
      <c r="E1492" t="s">
        <v>179</v>
      </c>
    </row>
    <row r="1493" spans="1:5">
      <c r="A1493">
        <v>10318</v>
      </c>
      <c r="B1493" s="80">
        <v>35339</v>
      </c>
      <c r="C1493">
        <v>86.4</v>
      </c>
      <c r="D1493">
        <v>6</v>
      </c>
      <c r="E1493" t="s">
        <v>179</v>
      </c>
    </row>
    <row r="1494" spans="1:5">
      <c r="A1494">
        <v>10318</v>
      </c>
      <c r="B1494" s="80">
        <v>35339</v>
      </c>
      <c r="C1494">
        <v>86.4</v>
      </c>
      <c r="D1494">
        <v>6</v>
      </c>
      <c r="E1494" t="s">
        <v>175</v>
      </c>
    </row>
    <row r="1495" spans="1:5">
      <c r="A1495">
        <v>10318</v>
      </c>
      <c r="B1495" s="80">
        <v>35339</v>
      </c>
      <c r="C1495">
        <v>86.4</v>
      </c>
      <c r="D1495">
        <v>6</v>
      </c>
      <c r="E1495" t="s">
        <v>173</v>
      </c>
    </row>
    <row r="1496" spans="1:5">
      <c r="A1496">
        <v>10318</v>
      </c>
      <c r="B1496" s="80">
        <v>35339</v>
      </c>
      <c r="C1496">
        <v>154</v>
      </c>
      <c r="D1496">
        <v>20</v>
      </c>
      <c r="E1496" t="s">
        <v>173</v>
      </c>
    </row>
    <row r="1497" spans="1:5">
      <c r="A1497">
        <v>10318</v>
      </c>
      <c r="B1497" s="80">
        <v>35339</v>
      </c>
      <c r="C1497">
        <v>154</v>
      </c>
      <c r="D1497">
        <v>20</v>
      </c>
      <c r="E1497" t="s">
        <v>176</v>
      </c>
    </row>
    <row r="1498" spans="1:5">
      <c r="A1498">
        <v>10319</v>
      </c>
      <c r="B1498" s="80">
        <v>35340</v>
      </c>
      <c r="C1498">
        <v>249.6</v>
      </c>
      <c r="D1498">
        <v>8</v>
      </c>
      <c r="E1498" t="s">
        <v>174</v>
      </c>
    </row>
    <row r="1499" spans="1:5">
      <c r="A1499">
        <v>10319</v>
      </c>
      <c r="B1499" s="80">
        <v>35340</v>
      </c>
      <c r="C1499">
        <v>509.6</v>
      </c>
      <c r="D1499">
        <v>14</v>
      </c>
      <c r="E1499" t="s">
        <v>179</v>
      </c>
    </row>
    <row r="1500" spans="1:5">
      <c r="A1500">
        <v>10319</v>
      </c>
      <c r="B1500" s="80">
        <v>35340</v>
      </c>
      <c r="C1500">
        <v>432</v>
      </c>
      <c r="D1500">
        <v>30</v>
      </c>
      <c r="E1500" t="s">
        <v>179</v>
      </c>
    </row>
    <row r="1501" spans="1:5">
      <c r="A1501">
        <v>10319</v>
      </c>
      <c r="B1501" s="80">
        <v>35340</v>
      </c>
      <c r="C1501">
        <v>249.6</v>
      </c>
      <c r="D1501">
        <v>8</v>
      </c>
      <c r="E1501" t="s">
        <v>177</v>
      </c>
    </row>
    <row r="1502" spans="1:5">
      <c r="A1502">
        <v>10319</v>
      </c>
      <c r="B1502" s="80">
        <v>35340</v>
      </c>
      <c r="C1502">
        <v>509.6</v>
      </c>
      <c r="D1502">
        <v>14</v>
      </c>
      <c r="E1502" t="s">
        <v>178</v>
      </c>
    </row>
    <row r="1503" spans="1:5">
      <c r="A1503">
        <v>10319</v>
      </c>
      <c r="B1503" s="80">
        <v>35340</v>
      </c>
      <c r="C1503">
        <v>509.6</v>
      </c>
      <c r="D1503">
        <v>14</v>
      </c>
      <c r="E1503" t="s">
        <v>172</v>
      </c>
    </row>
    <row r="1504" spans="1:5">
      <c r="A1504">
        <v>10319</v>
      </c>
      <c r="B1504" s="80">
        <v>35340</v>
      </c>
      <c r="C1504">
        <v>249.6</v>
      </c>
      <c r="D1504">
        <v>8</v>
      </c>
      <c r="E1504" t="s">
        <v>178</v>
      </c>
    </row>
    <row r="1505" spans="1:5">
      <c r="A1505">
        <v>10319</v>
      </c>
      <c r="B1505" s="80">
        <v>35340</v>
      </c>
      <c r="C1505">
        <v>249.6</v>
      </c>
      <c r="D1505">
        <v>8</v>
      </c>
      <c r="E1505" t="s">
        <v>172</v>
      </c>
    </row>
    <row r="1506" spans="1:5">
      <c r="A1506">
        <v>10319</v>
      </c>
      <c r="B1506" s="80">
        <v>35340</v>
      </c>
      <c r="C1506">
        <v>509.6</v>
      </c>
      <c r="D1506">
        <v>14</v>
      </c>
      <c r="E1506" t="s">
        <v>177</v>
      </c>
    </row>
    <row r="1507" spans="1:5">
      <c r="A1507">
        <v>10319</v>
      </c>
      <c r="B1507" s="80">
        <v>35340</v>
      </c>
      <c r="C1507">
        <v>432</v>
      </c>
      <c r="D1507">
        <v>30</v>
      </c>
      <c r="E1507" t="s">
        <v>177</v>
      </c>
    </row>
    <row r="1508" spans="1:5">
      <c r="A1508">
        <v>10319</v>
      </c>
      <c r="B1508" s="80">
        <v>35340</v>
      </c>
      <c r="C1508">
        <v>432</v>
      </c>
      <c r="D1508">
        <v>30</v>
      </c>
      <c r="E1508" t="s">
        <v>172</v>
      </c>
    </row>
    <row r="1509" spans="1:5">
      <c r="A1509">
        <v>10319</v>
      </c>
      <c r="B1509" s="80">
        <v>35340</v>
      </c>
      <c r="C1509">
        <v>432</v>
      </c>
      <c r="D1509">
        <v>30</v>
      </c>
      <c r="E1509" t="s">
        <v>178</v>
      </c>
    </row>
    <row r="1510" spans="1:5">
      <c r="A1510">
        <v>10319</v>
      </c>
      <c r="B1510" s="80">
        <v>35340</v>
      </c>
      <c r="C1510">
        <v>249.6</v>
      </c>
      <c r="D1510">
        <v>8</v>
      </c>
      <c r="E1510" t="s">
        <v>179</v>
      </c>
    </row>
    <row r="1511" spans="1:5">
      <c r="A1511">
        <v>10319</v>
      </c>
      <c r="B1511" s="80">
        <v>35340</v>
      </c>
      <c r="C1511">
        <v>509.6</v>
      </c>
      <c r="D1511">
        <v>14</v>
      </c>
      <c r="E1511" t="s">
        <v>173</v>
      </c>
    </row>
    <row r="1512" spans="1:5">
      <c r="A1512">
        <v>10319</v>
      </c>
      <c r="B1512" s="80">
        <v>35340</v>
      </c>
      <c r="C1512">
        <v>249.6</v>
      </c>
      <c r="D1512">
        <v>8</v>
      </c>
      <c r="E1512" t="s">
        <v>173</v>
      </c>
    </row>
    <row r="1513" spans="1:5">
      <c r="A1513">
        <v>10319</v>
      </c>
      <c r="B1513" s="80">
        <v>35340</v>
      </c>
      <c r="C1513">
        <v>249.6</v>
      </c>
      <c r="D1513">
        <v>8</v>
      </c>
      <c r="E1513" t="s">
        <v>175</v>
      </c>
    </row>
    <row r="1514" spans="1:5">
      <c r="A1514">
        <v>10319</v>
      </c>
      <c r="B1514" s="80">
        <v>35340</v>
      </c>
      <c r="C1514">
        <v>509.6</v>
      </c>
      <c r="D1514">
        <v>14</v>
      </c>
      <c r="E1514" t="s">
        <v>175</v>
      </c>
    </row>
    <row r="1515" spans="1:5">
      <c r="A1515">
        <v>10319</v>
      </c>
      <c r="B1515" s="80">
        <v>35340</v>
      </c>
      <c r="C1515">
        <v>432</v>
      </c>
      <c r="D1515">
        <v>30</v>
      </c>
      <c r="E1515" t="s">
        <v>173</v>
      </c>
    </row>
    <row r="1516" spans="1:5">
      <c r="A1516">
        <v>10319</v>
      </c>
      <c r="B1516" s="80">
        <v>35340</v>
      </c>
      <c r="C1516">
        <v>509.6</v>
      </c>
      <c r="D1516">
        <v>14</v>
      </c>
      <c r="E1516" t="s">
        <v>174</v>
      </c>
    </row>
    <row r="1517" spans="1:5">
      <c r="A1517">
        <v>10319</v>
      </c>
      <c r="B1517" s="80">
        <v>35340</v>
      </c>
      <c r="C1517">
        <v>432</v>
      </c>
      <c r="D1517">
        <v>30</v>
      </c>
      <c r="E1517" t="s">
        <v>175</v>
      </c>
    </row>
    <row r="1518" spans="1:5">
      <c r="A1518">
        <v>10319</v>
      </c>
      <c r="B1518" s="80">
        <v>35340</v>
      </c>
      <c r="C1518">
        <v>249.6</v>
      </c>
      <c r="D1518">
        <v>8</v>
      </c>
      <c r="E1518" t="s">
        <v>176</v>
      </c>
    </row>
    <row r="1519" spans="1:5">
      <c r="A1519">
        <v>10319</v>
      </c>
      <c r="B1519" s="80">
        <v>35340</v>
      </c>
      <c r="C1519">
        <v>509.6</v>
      </c>
      <c r="D1519">
        <v>14</v>
      </c>
      <c r="E1519" t="s">
        <v>176</v>
      </c>
    </row>
    <row r="1520" spans="1:5">
      <c r="A1520">
        <v>10319</v>
      </c>
      <c r="B1520" s="80">
        <v>35340</v>
      </c>
      <c r="C1520">
        <v>432</v>
      </c>
      <c r="D1520">
        <v>30</v>
      </c>
      <c r="E1520" t="s">
        <v>176</v>
      </c>
    </row>
    <row r="1521" spans="1:5">
      <c r="A1521">
        <v>10319</v>
      </c>
      <c r="B1521" s="80">
        <v>35340</v>
      </c>
      <c r="C1521">
        <v>432</v>
      </c>
      <c r="D1521">
        <v>30</v>
      </c>
      <c r="E1521" t="s">
        <v>174</v>
      </c>
    </row>
    <row r="1522" spans="1:5">
      <c r="A1522">
        <v>10320</v>
      </c>
      <c r="B1522" s="80">
        <v>35341</v>
      </c>
      <c r="C1522">
        <v>516</v>
      </c>
      <c r="D1522">
        <v>30</v>
      </c>
      <c r="E1522" t="s">
        <v>172</v>
      </c>
    </row>
    <row r="1523" spans="1:5">
      <c r="A1523">
        <v>10320</v>
      </c>
      <c r="B1523" s="80">
        <v>35341</v>
      </c>
      <c r="C1523">
        <v>516</v>
      </c>
      <c r="D1523">
        <v>30</v>
      </c>
      <c r="E1523" t="s">
        <v>176</v>
      </c>
    </row>
    <row r="1524" spans="1:5">
      <c r="A1524">
        <v>10320</v>
      </c>
      <c r="B1524" s="80">
        <v>35341</v>
      </c>
      <c r="C1524">
        <v>516</v>
      </c>
      <c r="D1524">
        <v>30</v>
      </c>
      <c r="E1524" t="s">
        <v>175</v>
      </c>
    </row>
    <row r="1525" spans="1:5">
      <c r="A1525">
        <v>10320</v>
      </c>
      <c r="B1525" s="80">
        <v>35341</v>
      </c>
      <c r="C1525">
        <v>516</v>
      </c>
      <c r="D1525">
        <v>30</v>
      </c>
      <c r="E1525" t="s">
        <v>179</v>
      </c>
    </row>
    <row r="1526" spans="1:5">
      <c r="A1526">
        <v>10320</v>
      </c>
      <c r="B1526" s="80">
        <v>35341</v>
      </c>
      <c r="C1526">
        <v>516</v>
      </c>
      <c r="D1526">
        <v>30</v>
      </c>
      <c r="E1526" t="s">
        <v>178</v>
      </c>
    </row>
    <row r="1527" spans="1:5">
      <c r="A1527">
        <v>10320</v>
      </c>
      <c r="B1527" s="80">
        <v>35341</v>
      </c>
      <c r="C1527">
        <v>516</v>
      </c>
      <c r="D1527">
        <v>30</v>
      </c>
      <c r="E1527" t="s">
        <v>174</v>
      </c>
    </row>
    <row r="1528" spans="1:5">
      <c r="A1528">
        <v>10320</v>
      </c>
      <c r="B1528" s="80">
        <v>35341</v>
      </c>
      <c r="C1528">
        <v>516</v>
      </c>
      <c r="D1528">
        <v>30</v>
      </c>
      <c r="E1528" t="s">
        <v>177</v>
      </c>
    </row>
    <row r="1529" spans="1:5">
      <c r="A1529">
        <v>10320</v>
      </c>
      <c r="B1529" s="80">
        <v>35341</v>
      </c>
      <c r="C1529">
        <v>516</v>
      </c>
      <c r="D1529">
        <v>30</v>
      </c>
      <c r="E1529" t="s">
        <v>173</v>
      </c>
    </row>
    <row r="1530" spans="1:5">
      <c r="A1530">
        <v>10321</v>
      </c>
      <c r="B1530" s="80">
        <v>35341</v>
      </c>
      <c r="C1530">
        <v>144</v>
      </c>
      <c r="D1530">
        <v>10</v>
      </c>
      <c r="E1530" t="s">
        <v>178</v>
      </c>
    </row>
    <row r="1531" spans="1:5">
      <c r="A1531">
        <v>10321</v>
      </c>
      <c r="B1531" s="80">
        <v>35341</v>
      </c>
      <c r="C1531">
        <v>144</v>
      </c>
      <c r="D1531">
        <v>10</v>
      </c>
      <c r="E1531" t="s">
        <v>173</v>
      </c>
    </row>
    <row r="1532" spans="1:5">
      <c r="A1532">
        <v>10321</v>
      </c>
      <c r="B1532" s="80">
        <v>35341</v>
      </c>
      <c r="C1532">
        <v>144</v>
      </c>
      <c r="D1532">
        <v>10</v>
      </c>
      <c r="E1532" t="s">
        <v>179</v>
      </c>
    </row>
    <row r="1533" spans="1:5">
      <c r="A1533">
        <v>10321</v>
      </c>
      <c r="B1533" s="80">
        <v>35341</v>
      </c>
      <c r="C1533">
        <v>144</v>
      </c>
      <c r="D1533">
        <v>10</v>
      </c>
      <c r="E1533" t="s">
        <v>176</v>
      </c>
    </row>
    <row r="1534" spans="1:5">
      <c r="A1534">
        <v>10321</v>
      </c>
      <c r="B1534" s="80">
        <v>35341</v>
      </c>
      <c r="C1534">
        <v>144</v>
      </c>
      <c r="D1534">
        <v>10</v>
      </c>
      <c r="E1534" t="s">
        <v>177</v>
      </c>
    </row>
    <row r="1535" spans="1:5">
      <c r="A1535">
        <v>10321</v>
      </c>
      <c r="B1535" s="80">
        <v>35341</v>
      </c>
      <c r="C1535">
        <v>144</v>
      </c>
      <c r="D1535">
        <v>10</v>
      </c>
      <c r="E1535" t="s">
        <v>174</v>
      </c>
    </row>
    <row r="1536" spans="1:5">
      <c r="A1536">
        <v>10321</v>
      </c>
      <c r="B1536" s="80">
        <v>35341</v>
      </c>
      <c r="C1536">
        <v>144</v>
      </c>
      <c r="D1536">
        <v>10</v>
      </c>
      <c r="E1536" t="s">
        <v>175</v>
      </c>
    </row>
    <row r="1537" spans="1:5">
      <c r="A1537">
        <v>10321</v>
      </c>
      <c r="B1537" s="80">
        <v>35341</v>
      </c>
      <c r="C1537">
        <v>144</v>
      </c>
      <c r="D1537">
        <v>10</v>
      </c>
      <c r="E1537" t="s">
        <v>172</v>
      </c>
    </row>
    <row r="1538" spans="1:5">
      <c r="A1538">
        <v>10322</v>
      </c>
      <c r="B1538" s="80">
        <v>35342</v>
      </c>
      <c r="C1538">
        <v>112</v>
      </c>
      <c r="D1538">
        <v>20</v>
      </c>
      <c r="E1538" t="s">
        <v>176</v>
      </c>
    </row>
    <row r="1539" spans="1:5">
      <c r="A1539">
        <v>10322</v>
      </c>
      <c r="B1539" s="80">
        <v>35342</v>
      </c>
      <c r="C1539">
        <v>112</v>
      </c>
      <c r="D1539">
        <v>20</v>
      </c>
      <c r="E1539" t="s">
        <v>177</v>
      </c>
    </row>
    <row r="1540" spans="1:5">
      <c r="A1540">
        <v>10322</v>
      </c>
      <c r="B1540" s="80">
        <v>35342</v>
      </c>
      <c r="C1540">
        <v>112</v>
      </c>
      <c r="D1540">
        <v>20</v>
      </c>
      <c r="E1540" t="s">
        <v>174</v>
      </c>
    </row>
    <row r="1541" spans="1:5">
      <c r="A1541">
        <v>10322</v>
      </c>
      <c r="B1541" s="80">
        <v>35342</v>
      </c>
      <c r="C1541">
        <v>112</v>
      </c>
      <c r="D1541">
        <v>20</v>
      </c>
      <c r="E1541" t="s">
        <v>173</v>
      </c>
    </row>
    <row r="1542" spans="1:5">
      <c r="A1542">
        <v>10322</v>
      </c>
      <c r="B1542" s="80">
        <v>35342</v>
      </c>
      <c r="C1542">
        <v>112</v>
      </c>
      <c r="D1542">
        <v>20</v>
      </c>
      <c r="E1542" t="s">
        <v>175</v>
      </c>
    </row>
    <row r="1543" spans="1:5">
      <c r="A1543">
        <v>10322</v>
      </c>
      <c r="B1543" s="80">
        <v>35342</v>
      </c>
      <c r="C1543">
        <v>112</v>
      </c>
      <c r="D1543">
        <v>20</v>
      </c>
      <c r="E1543" t="s">
        <v>179</v>
      </c>
    </row>
    <row r="1544" spans="1:5">
      <c r="A1544">
        <v>10322</v>
      </c>
      <c r="B1544" s="80">
        <v>35342</v>
      </c>
      <c r="C1544">
        <v>112</v>
      </c>
      <c r="D1544">
        <v>20</v>
      </c>
      <c r="E1544" t="s">
        <v>178</v>
      </c>
    </row>
    <row r="1545" spans="1:5">
      <c r="A1545">
        <v>10322</v>
      </c>
      <c r="B1545" s="80">
        <v>35342</v>
      </c>
      <c r="C1545">
        <v>112</v>
      </c>
      <c r="D1545">
        <v>20</v>
      </c>
      <c r="E1545" t="s">
        <v>172</v>
      </c>
    </row>
    <row r="1546" spans="1:5">
      <c r="A1546">
        <v>10323</v>
      </c>
      <c r="B1546" s="80">
        <v>35345</v>
      </c>
      <c r="C1546">
        <v>57.6</v>
      </c>
      <c r="D1546">
        <v>4</v>
      </c>
      <c r="E1546" t="s">
        <v>177</v>
      </c>
    </row>
    <row r="1547" spans="1:5">
      <c r="A1547">
        <v>10323</v>
      </c>
      <c r="B1547" s="80">
        <v>35345</v>
      </c>
      <c r="C1547">
        <v>44.8</v>
      </c>
      <c r="D1547">
        <v>4</v>
      </c>
      <c r="E1547" t="s">
        <v>177</v>
      </c>
    </row>
    <row r="1548" spans="1:5">
      <c r="A1548">
        <v>10323</v>
      </c>
      <c r="B1548" s="80">
        <v>35345</v>
      </c>
      <c r="C1548">
        <v>62</v>
      </c>
      <c r="D1548">
        <v>5</v>
      </c>
      <c r="E1548" t="s">
        <v>177</v>
      </c>
    </row>
    <row r="1549" spans="1:5">
      <c r="A1549">
        <v>10323</v>
      </c>
      <c r="B1549" s="80">
        <v>35345</v>
      </c>
      <c r="C1549">
        <v>57.6</v>
      </c>
      <c r="D1549">
        <v>4</v>
      </c>
      <c r="E1549" t="s">
        <v>179</v>
      </c>
    </row>
    <row r="1550" spans="1:5">
      <c r="A1550">
        <v>10323</v>
      </c>
      <c r="B1550" s="80">
        <v>35345</v>
      </c>
      <c r="C1550">
        <v>44.8</v>
      </c>
      <c r="D1550">
        <v>4</v>
      </c>
      <c r="E1550" t="s">
        <v>173</v>
      </c>
    </row>
    <row r="1551" spans="1:5">
      <c r="A1551">
        <v>10323</v>
      </c>
      <c r="B1551" s="80">
        <v>35345</v>
      </c>
      <c r="C1551">
        <v>57.6</v>
      </c>
      <c r="D1551">
        <v>4</v>
      </c>
      <c r="E1551" t="s">
        <v>173</v>
      </c>
    </row>
    <row r="1552" spans="1:5">
      <c r="A1552">
        <v>10323</v>
      </c>
      <c r="B1552" s="80">
        <v>35345</v>
      </c>
      <c r="C1552">
        <v>62</v>
      </c>
      <c r="D1552">
        <v>5</v>
      </c>
      <c r="E1552" t="s">
        <v>175</v>
      </c>
    </row>
    <row r="1553" spans="1:5">
      <c r="A1553">
        <v>10323</v>
      </c>
      <c r="B1553" s="80">
        <v>35345</v>
      </c>
      <c r="C1553">
        <v>62</v>
      </c>
      <c r="D1553">
        <v>5</v>
      </c>
      <c r="E1553" t="s">
        <v>179</v>
      </c>
    </row>
    <row r="1554" spans="1:5">
      <c r="A1554">
        <v>10323</v>
      </c>
      <c r="B1554" s="80">
        <v>35345</v>
      </c>
      <c r="C1554">
        <v>62</v>
      </c>
      <c r="D1554">
        <v>5</v>
      </c>
      <c r="E1554" t="s">
        <v>172</v>
      </c>
    </row>
    <row r="1555" spans="1:5">
      <c r="A1555">
        <v>10323</v>
      </c>
      <c r="B1555" s="80">
        <v>35345</v>
      </c>
      <c r="C1555">
        <v>44.8</v>
      </c>
      <c r="D1555">
        <v>4</v>
      </c>
      <c r="E1555" t="s">
        <v>175</v>
      </c>
    </row>
    <row r="1556" spans="1:5">
      <c r="A1556">
        <v>10323</v>
      </c>
      <c r="B1556" s="80">
        <v>35345</v>
      </c>
      <c r="C1556">
        <v>57.6</v>
      </c>
      <c r="D1556">
        <v>4</v>
      </c>
      <c r="E1556" t="s">
        <v>175</v>
      </c>
    </row>
    <row r="1557" spans="1:5">
      <c r="A1557">
        <v>10323</v>
      </c>
      <c r="B1557" s="80">
        <v>35345</v>
      </c>
      <c r="C1557">
        <v>62</v>
      </c>
      <c r="D1557">
        <v>5</v>
      </c>
      <c r="E1557" t="s">
        <v>173</v>
      </c>
    </row>
    <row r="1558" spans="1:5">
      <c r="A1558">
        <v>10323</v>
      </c>
      <c r="B1558" s="80">
        <v>35345</v>
      </c>
      <c r="C1558">
        <v>62</v>
      </c>
      <c r="D1558">
        <v>5</v>
      </c>
      <c r="E1558" t="s">
        <v>178</v>
      </c>
    </row>
    <row r="1559" spans="1:5">
      <c r="A1559">
        <v>10323</v>
      </c>
      <c r="B1559" s="80">
        <v>35345</v>
      </c>
      <c r="C1559">
        <v>62</v>
      </c>
      <c r="D1559">
        <v>5</v>
      </c>
      <c r="E1559" t="s">
        <v>174</v>
      </c>
    </row>
    <row r="1560" spans="1:5">
      <c r="A1560">
        <v>10323</v>
      </c>
      <c r="B1560" s="80">
        <v>35345</v>
      </c>
      <c r="C1560">
        <v>44.8</v>
      </c>
      <c r="D1560">
        <v>4</v>
      </c>
      <c r="E1560" t="s">
        <v>174</v>
      </c>
    </row>
    <row r="1561" spans="1:5">
      <c r="A1561">
        <v>10323</v>
      </c>
      <c r="B1561" s="80">
        <v>35345</v>
      </c>
      <c r="C1561">
        <v>57.6</v>
      </c>
      <c r="D1561">
        <v>4</v>
      </c>
      <c r="E1561" t="s">
        <v>172</v>
      </c>
    </row>
    <row r="1562" spans="1:5">
      <c r="A1562">
        <v>10323</v>
      </c>
      <c r="B1562" s="80">
        <v>35345</v>
      </c>
      <c r="C1562">
        <v>44.8</v>
      </c>
      <c r="D1562">
        <v>4</v>
      </c>
      <c r="E1562" t="s">
        <v>172</v>
      </c>
    </row>
    <row r="1563" spans="1:5">
      <c r="A1563">
        <v>10323</v>
      </c>
      <c r="B1563" s="80">
        <v>35345</v>
      </c>
      <c r="C1563">
        <v>57.6</v>
      </c>
      <c r="D1563">
        <v>4</v>
      </c>
      <c r="E1563" t="s">
        <v>174</v>
      </c>
    </row>
    <row r="1564" spans="1:5">
      <c r="A1564">
        <v>10323</v>
      </c>
      <c r="B1564" s="80">
        <v>35345</v>
      </c>
      <c r="C1564">
        <v>44.8</v>
      </c>
      <c r="D1564">
        <v>4</v>
      </c>
      <c r="E1564" t="s">
        <v>179</v>
      </c>
    </row>
    <row r="1565" spans="1:5">
      <c r="A1565">
        <v>10323</v>
      </c>
      <c r="B1565" s="80">
        <v>35345</v>
      </c>
      <c r="C1565">
        <v>44.8</v>
      </c>
      <c r="D1565">
        <v>4</v>
      </c>
      <c r="E1565" t="s">
        <v>178</v>
      </c>
    </row>
    <row r="1566" spans="1:5">
      <c r="A1566">
        <v>10323</v>
      </c>
      <c r="B1566" s="80">
        <v>35345</v>
      </c>
      <c r="C1566">
        <v>57.6</v>
      </c>
      <c r="D1566">
        <v>4</v>
      </c>
      <c r="E1566" t="s">
        <v>176</v>
      </c>
    </row>
    <row r="1567" spans="1:5">
      <c r="A1567">
        <v>10323</v>
      </c>
      <c r="B1567" s="80">
        <v>35345</v>
      </c>
      <c r="C1567">
        <v>44.8</v>
      </c>
      <c r="D1567">
        <v>4</v>
      </c>
      <c r="E1567" t="s">
        <v>176</v>
      </c>
    </row>
    <row r="1568" spans="1:5">
      <c r="A1568">
        <v>10323</v>
      </c>
      <c r="B1568" s="80">
        <v>35345</v>
      </c>
      <c r="C1568">
        <v>62</v>
      </c>
      <c r="D1568">
        <v>5</v>
      </c>
      <c r="E1568" t="s">
        <v>176</v>
      </c>
    </row>
    <row r="1569" spans="1:5">
      <c r="A1569">
        <v>10323</v>
      </c>
      <c r="B1569" s="80">
        <v>35345</v>
      </c>
      <c r="C1569">
        <v>57.6</v>
      </c>
      <c r="D1569">
        <v>4</v>
      </c>
      <c r="E1569" t="s">
        <v>178</v>
      </c>
    </row>
    <row r="1570" spans="1:5">
      <c r="A1570">
        <v>10324</v>
      </c>
      <c r="B1570" s="80">
        <v>35346</v>
      </c>
      <c r="C1570">
        <v>2386.7999832630157</v>
      </c>
      <c r="D1570">
        <v>80</v>
      </c>
      <c r="E1570" t="s">
        <v>177</v>
      </c>
    </row>
    <row r="1571" spans="1:5">
      <c r="A1571">
        <v>10324</v>
      </c>
      <c r="B1571" s="80">
        <v>35346</v>
      </c>
      <c r="C1571">
        <v>1495.9999895095825</v>
      </c>
      <c r="D1571">
        <v>40</v>
      </c>
      <c r="E1571" t="s">
        <v>177</v>
      </c>
    </row>
    <row r="1572" spans="1:5">
      <c r="A1572">
        <v>10324</v>
      </c>
      <c r="B1572" s="80">
        <v>35346</v>
      </c>
      <c r="C1572">
        <v>288</v>
      </c>
      <c r="D1572">
        <v>30</v>
      </c>
      <c r="E1572" t="s">
        <v>177</v>
      </c>
    </row>
    <row r="1573" spans="1:5">
      <c r="A1573">
        <v>10324</v>
      </c>
      <c r="B1573" s="80">
        <v>35346</v>
      </c>
      <c r="C1573">
        <v>856.79999399185181</v>
      </c>
      <c r="D1573">
        <v>70</v>
      </c>
      <c r="E1573" t="s">
        <v>177</v>
      </c>
    </row>
    <row r="1574" spans="1:5">
      <c r="A1574">
        <v>10324</v>
      </c>
      <c r="B1574" s="80">
        <v>35346</v>
      </c>
      <c r="C1574">
        <v>248.1149982601404</v>
      </c>
      <c r="D1574">
        <v>21</v>
      </c>
      <c r="E1574" t="s">
        <v>177</v>
      </c>
    </row>
    <row r="1575" spans="1:5">
      <c r="A1575">
        <v>10324</v>
      </c>
      <c r="B1575" s="80">
        <v>35346</v>
      </c>
      <c r="C1575">
        <v>2386.7999832630157</v>
      </c>
      <c r="D1575">
        <v>80</v>
      </c>
      <c r="E1575" t="s">
        <v>175</v>
      </c>
    </row>
    <row r="1576" spans="1:5">
      <c r="A1576">
        <v>10324</v>
      </c>
      <c r="B1576" s="80">
        <v>35346</v>
      </c>
      <c r="C1576">
        <v>1495.9999895095825</v>
      </c>
      <c r="D1576">
        <v>40</v>
      </c>
      <c r="E1576" t="s">
        <v>175</v>
      </c>
    </row>
    <row r="1577" spans="1:5">
      <c r="A1577">
        <v>10324</v>
      </c>
      <c r="B1577" s="80">
        <v>35346</v>
      </c>
      <c r="C1577">
        <v>288</v>
      </c>
      <c r="D1577">
        <v>30</v>
      </c>
      <c r="E1577" t="s">
        <v>175</v>
      </c>
    </row>
    <row r="1578" spans="1:5">
      <c r="A1578">
        <v>10324</v>
      </c>
      <c r="B1578" s="80">
        <v>35346</v>
      </c>
      <c r="C1578">
        <v>856.79999399185181</v>
      </c>
      <c r="D1578">
        <v>70</v>
      </c>
      <c r="E1578" t="s">
        <v>175</v>
      </c>
    </row>
    <row r="1579" spans="1:5">
      <c r="A1579">
        <v>10324</v>
      </c>
      <c r="B1579" s="80">
        <v>35346</v>
      </c>
      <c r="C1579">
        <v>856.79999399185181</v>
      </c>
      <c r="D1579">
        <v>70</v>
      </c>
      <c r="E1579" t="s">
        <v>174</v>
      </c>
    </row>
    <row r="1580" spans="1:5">
      <c r="A1580">
        <v>10324</v>
      </c>
      <c r="B1580" s="80">
        <v>35346</v>
      </c>
      <c r="C1580">
        <v>288</v>
      </c>
      <c r="D1580">
        <v>30</v>
      </c>
      <c r="E1580" t="s">
        <v>174</v>
      </c>
    </row>
    <row r="1581" spans="1:5">
      <c r="A1581">
        <v>10324</v>
      </c>
      <c r="B1581" s="80">
        <v>35346</v>
      </c>
      <c r="C1581">
        <v>248.1149982601404</v>
      </c>
      <c r="D1581">
        <v>21</v>
      </c>
      <c r="E1581" t="s">
        <v>175</v>
      </c>
    </row>
    <row r="1582" spans="1:5">
      <c r="A1582">
        <v>10324</v>
      </c>
      <c r="B1582" s="80">
        <v>35346</v>
      </c>
      <c r="C1582">
        <v>1495.9999895095825</v>
      </c>
      <c r="D1582">
        <v>40</v>
      </c>
      <c r="E1582" t="s">
        <v>172</v>
      </c>
    </row>
    <row r="1583" spans="1:5">
      <c r="A1583">
        <v>10324</v>
      </c>
      <c r="B1583" s="80">
        <v>35346</v>
      </c>
      <c r="C1583">
        <v>248.1149982601404</v>
      </c>
      <c r="D1583">
        <v>21</v>
      </c>
      <c r="E1583" t="s">
        <v>173</v>
      </c>
    </row>
    <row r="1584" spans="1:5">
      <c r="A1584">
        <v>10324</v>
      </c>
      <c r="B1584" s="80">
        <v>35346</v>
      </c>
      <c r="C1584">
        <v>856.79999399185181</v>
      </c>
      <c r="D1584">
        <v>70</v>
      </c>
      <c r="E1584" t="s">
        <v>173</v>
      </c>
    </row>
    <row r="1585" spans="1:5">
      <c r="A1585">
        <v>10324</v>
      </c>
      <c r="B1585" s="80">
        <v>35346</v>
      </c>
      <c r="C1585">
        <v>288</v>
      </c>
      <c r="D1585">
        <v>30</v>
      </c>
      <c r="E1585" t="s">
        <v>173</v>
      </c>
    </row>
    <row r="1586" spans="1:5">
      <c r="A1586">
        <v>10324</v>
      </c>
      <c r="B1586" s="80">
        <v>35346</v>
      </c>
      <c r="C1586">
        <v>1495.9999895095825</v>
      </c>
      <c r="D1586">
        <v>40</v>
      </c>
      <c r="E1586" t="s">
        <v>173</v>
      </c>
    </row>
    <row r="1587" spans="1:5">
      <c r="A1587">
        <v>10324</v>
      </c>
      <c r="B1587" s="80">
        <v>35346</v>
      </c>
      <c r="C1587">
        <v>2386.7999832630157</v>
      </c>
      <c r="D1587">
        <v>80</v>
      </c>
      <c r="E1587" t="s">
        <v>173</v>
      </c>
    </row>
    <row r="1588" spans="1:5">
      <c r="A1588">
        <v>10324</v>
      </c>
      <c r="B1588" s="80">
        <v>35346</v>
      </c>
      <c r="C1588">
        <v>1495.9999895095825</v>
      </c>
      <c r="D1588">
        <v>40</v>
      </c>
      <c r="E1588" t="s">
        <v>174</v>
      </c>
    </row>
    <row r="1589" spans="1:5">
      <c r="A1589">
        <v>10324</v>
      </c>
      <c r="B1589" s="80">
        <v>35346</v>
      </c>
      <c r="C1589">
        <v>248.1149982601404</v>
      </c>
      <c r="D1589">
        <v>21</v>
      </c>
      <c r="E1589" t="s">
        <v>174</v>
      </c>
    </row>
    <row r="1590" spans="1:5">
      <c r="A1590">
        <v>10324</v>
      </c>
      <c r="B1590" s="80">
        <v>35346</v>
      </c>
      <c r="C1590">
        <v>856.79999399185181</v>
      </c>
      <c r="D1590">
        <v>70</v>
      </c>
      <c r="E1590" t="s">
        <v>178</v>
      </c>
    </row>
    <row r="1591" spans="1:5">
      <c r="A1591">
        <v>10324</v>
      </c>
      <c r="B1591" s="80">
        <v>35346</v>
      </c>
      <c r="C1591">
        <v>2386.7999832630157</v>
      </c>
      <c r="D1591">
        <v>80</v>
      </c>
      <c r="E1591" t="s">
        <v>176</v>
      </c>
    </row>
    <row r="1592" spans="1:5">
      <c r="A1592">
        <v>10324</v>
      </c>
      <c r="B1592" s="80">
        <v>35346</v>
      </c>
      <c r="C1592">
        <v>288</v>
      </c>
      <c r="D1592">
        <v>30</v>
      </c>
      <c r="E1592" t="s">
        <v>176</v>
      </c>
    </row>
    <row r="1593" spans="1:5">
      <c r="A1593">
        <v>10324</v>
      </c>
      <c r="B1593" s="80">
        <v>35346</v>
      </c>
      <c r="C1593">
        <v>856.79999399185181</v>
      </c>
      <c r="D1593">
        <v>70</v>
      </c>
      <c r="E1593" t="s">
        <v>176</v>
      </c>
    </row>
    <row r="1594" spans="1:5">
      <c r="A1594">
        <v>10324</v>
      </c>
      <c r="B1594" s="80">
        <v>35346</v>
      </c>
      <c r="C1594">
        <v>248.1149982601404</v>
      </c>
      <c r="D1594">
        <v>21</v>
      </c>
      <c r="E1594" t="s">
        <v>176</v>
      </c>
    </row>
    <row r="1595" spans="1:5">
      <c r="A1595">
        <v>10324</v>
      </c>
      <c r="B1595" s="80">
        <v>35346</v>
      </c>
      <c r="C1595">
        <v>2386.7999832630157</v>
      </c>
      <c r="D1595">
        <v>80</v>
      </c>
      <c r="E1595" t="s">
        <v>174</v>
      </c>
    </row>
    <row r="1596" spans="1:5">
      <c r="A1596">
        <v>10324</v>
      </c>
      <c r="B1596" s="80">
        <v>35346</v>
      </c>
      <c r="C1596">
        <v>2386.7999832630157</v>
      </c>
      <c r="D1596">
        <v>80</v>
      </c>
      <c r="E1596" t="s">
        <v>178</v>
      </c>
    </row>
    <row r="1597" spans="1:5">
      <c r="A1597">
        <v>10324</v>
      </c>
      <c r="B1597" s="80">
        <v>35346</v>
      </c>
      <c r="C1597">
        <v>248.1149982601404</v>
      </c>
      <c r="D1597">
        <v>21</v>
      </c>
      <c r="E1597" t="s">
        <v>179</v>
      </c>
    </row>
    <row r="1598" spans="1:5">
      <c r="A1598">
        <v>10324</v>
      </c>
      <c r="B1598" s="80">
        <v>35346</v>
      </c>
      <c r="C1598">
        <v>856.79999399185181</v>
      </c>
      <c r="D1598">
        <v>70</v>
      </c>
      <c r="E1598" t="s">
        <v>179</v>
      </c>
    </row>
    <row r="1599" spans="1:5">
      <c r="A1599">
        <v>10324</v>
      </c>
      <c r="B1599" s="80">
        <v>35346</v>
      </c>
      <c r="C1599">
        <v>288</v>
      </c>
      <c r="D1599">
        <v>30</v>
      </c>
      <c r="E1599" t="s">
        <v>179</v>
      </c>
    </row>
    <row r="1600" spans="1:5">
      <c r="A1600">
        <v>10324</v>
      </c>
      <c r="B1600" s="80">
        <v>35346</v>
      </c>
      <c r="C1600">
        <v>1495.9999895095825</v>
      </c>
      <c r="D1600">
        <v>40</v>
      </c>
      <c r="E1600" t="s">
        <v>179</v>
      </c>
    </row>
    <row r="1601" spans="1:5">
      <c r="A1601">
        <v>10324</v>
      </c>
      <c r="B1601" s="80">
        <v>35346</v>
      </c>
      <c r="C1601">
        <v>248.1149982601404</v>
      </c>
      <c r="D1601">
        <v>21</v>
      </c>
      <c r="E1601" t="s">
        <v>178</v>
      </c>
    </row>
    <row r="1602" spans="1:5">
      <c r="A1602">
        <v>10324</v>
      </c>
      <c r="B1602" s="80">
        <v>35346</v>
      </c>
      <c r="C1602">
        <v>288</v>
      </c>
      <c r="D1602">
        <v>30</v>
      </c>
      <c r="E1602" t="s">
        <v>178</v>
      </c>
    </row>
    <row r="1603" spans="1:5">
      <c r="A1603">
        <v>10324</v>
      </c>
      <c r="B1603" s="80">
        <v>35346</v>
      </c>
      <c r="C1603">
        <v>1495.9999895095825</v>
      </c>
      <c r="D1603">
        <v>40</v>
      </c>
      <c r="E1603" t="s">
        <v>178</v>
      </c>
    </row>
    <row r="1604" spans="1:5">
      <c r="A1604">
        <v>10324</v>
      </c>
      <c r="B1604" s="80">
        <v>35346</v>
      </c>
      <c r="C1604">
        <v>248.1149982601404</v>
      </c>
      <c r="D1604">
        <v>21</v>
      </c>
      <c r="E1604" t="s">
        <v>172</v>
      </c>
    </row>
    <row r="1605" spans="1:5">
      <c r="A1605">
        <v>10324</v>
      </c>
      <c r="B1605" s="80">
        <v>35346</v>
      </c>
      <c r="C1605">
        <v>856.79999399185181</v>
      </c>
      <c r="D1605">
        <v>70</v>
      </c>
      <c r="E1605" t="s">
        <v>172</v>
      </c>
    </row>
    <row r="1606" spans="1:5">
      <c r="A1606">
        <v>10324</v>
      </c>
      <c r="B1606" s="80">
        <v>35346</v>
      </c>
      <c r="C1606">
        <v>288</v>
      </c>
      <c r="D1606">
        <v>30</v>
      </c>
      <c r="E1606" t="s">
        <v>172</v>
      </c>
    </row>
    <row r="1607" spans="1:5">
      <c r="A1607">
        <v>10324</v>
      </c>
      <c r="B1607" s="80">
        <v>35346</v>
      </c>
      <c r="C1607">
        <v>2386.7999832630157</v>
      </c>
      <c r="D1607">
        <v>80</v>
      </c>
      <c r="E1607" t="s">
        <v>172</v>
      </c>
    </row>
    <row r="1608" spans="1:5">
      <c r="A1608">
        <v>10324</v>
      </c>
      <c r="B1608" s="80">
        <v>35346</v>
      </c>
      <c r="C1608">
        <v>1495.9999895095825</v>
      </c>
      <c r="D1608">
        <v>40</v>
      </c>
      <c r="E1608" t="s">
        <v>176</v>
      </c>
    </row>
    <row r="1609" spans="1:5">
      <c r="A1609">
        <v>10324</v>
      </c>
      <c r="B1609" s="80">
        <v>35346</v>
      </c>
      <c r="C1609">
        <v>2386.7999832630157</v>
      </c>
      <c r="D1609">
        <v>80</v>
      </c>
      <c r="E1609" t="s">
        <v>179</v>
      </c>
    </row>
    <row r="1610" spans="1:5">
      <c r="A1610">
        <v>10325</v>
      </c>
      <c r="B1610" s="80">
        <v>35347</v>
      </c>
      <c r="C1610">
        <v>40</v>
      </c>
      <c r="D1610">
        <v>4</v>
      </c>
      <c r="E1610" t="s">
        <v>175</v>
      </c>
    </row>
    <row r="1611" spans="1:5">
      <c r="A1611">
        <v>10325</v>
      </c>
      <c r="B1611" s="80">
        <v>35347</v>
      </c>
      <c r="C1611">
        <v>1112</v>
      </c>
      <c r="D1611">
        <v>40</v>
      </c>
      <c r="E1611" t="s">
        <v>175</v>
      </c>
    </row>
    <row r="1612" spans="1:5">
      <c r="A1612">
        <v>10325</v>
      </c>
      <c r="B1612" s="80">
        <v>35347</v>
      </c>
      <c r="C1612">
        <v>57.6</v>
      </c>
      <c r="D1612">
        <v>12</v>
      </c>
      <c r="E1612" t="s">
        <v>172</v>
      </c>
    </row>
    <row r="1613" spans="1:5">
      <c r="A1613">
        <v>10325</v>
      </c>
      <c r="B1613" s="80">
        <v>35347</v>
      </c>
      <c r="C1613">
        <v>57.6</v>
      </c>
      <c r="D1613">
        <v>12</v>
      </c>
      <c r="E1613" t="s">
        <v>175</v>
      </c>
    </row>
    <row r="1614" spans="1:5">
      <c r="A1614">
        <v>10325</v>
      </c>
      <c r="B1614" s="80">
        <v>35347</v>
      </c>
      <c r="C1614">
        <v>167.4</v>
      </c>
      <c r="D1614">
        <v>9</v>
      </c>
      <c r="E1614" t="s">
        <v>175</v>
      </c>
    </row>
    <row r="1615" spans="1:5">
      <c r="A1615">
        <v>10325</v>
      </c>
      <c r="B1615" s="80">
        <v>35347</v>
      </c>
      <c r="C1615">
        <v>120</v>
      </c>
      <c r="D1615">
        <v>6</v>
      </c>
      <c r="E1615" t="s">
        <v>175</v>
      </c>
    </row>
    <row r="1616" spans="1:5">
      <c r="A1616">
        <v>10325</v>
      </c>
      <c r="B1616" s="80">
        <v>35347</v>
      </c>
      <c r="C1616">
        <v>1112</v>
      </c>
      <c r="D1616">
        <v>40</v>
      </c>
      <c r="E1616" t="s">
        <v>172</v>
      </c>
    </row>
    <row r="1617" spans="1:5">
      <c r="A1617">
        <v>10325</v>
      </c>
      <c r="B1617" s="80">
        <v>35347</v>
      </c>
      <c r="C1617">
        <v>167.4</v>
      </c>
      <c r="D1617">
        <v>9</v>
      </c>
      <c r="E1617" t="s">
        <v>172</v>
      </c>
    </row>
    <row r="1618" spans="1:5">
      <c r="A1618">
        <v>10325</v>
      </c>
      <c r="B1618" s="80">
        <v>35347</v>
      </c>
      <c r="C1618">
        <v>120</v>
      </c>
      <c r="D1618">
        <v>6</v>
      </c>
      <c r="E1618" t="s">
        <v>172</v>
      </c>
    </row>
    <row r="1619" spans="1:5">
      <c r="A1619">
        <v>10325</v>
      </c>
      <c r="B1619" s="80">
        <v>35347</v>
      </c>
      <c r="C1619">
        <v>40</v>
      </c>
      <c r="D1619">
        <v>4</v>
      </c>
      <c r="E1619" t="s">
        <v>172</v>
      </c>
    </row>
    <row r="1620" spans="1:5">
      <c r="A1620">
        <v>10325</v>
      </c>
      <c r="B1620" s="80">
        <v>35347</v>
      </c>
      <c r="C1620">
        <v>57.6</v>
      </c>
      <c r="D1620">
        <v>12</v>
      </c>
      <c r="E1620" t="s">
        <v>174</v>
      </c>
    </row>
    <row r="1621" spans="1:5">
      <c r="A1621">
        <v>10325</v>
      </c>
      <c r="B1621" s="80">
        <v>35347</v>
      </c>
      <c r="C1621">
        <v>57.6</v>
      </c>
      <c r="D1621">
        <v>12</v>
      </c>
      <c r="E1621" t="s">
        <v>176</v>
      </c>
    </row>
    <row r="1622" spans="1:5">
      <c r="A1622">
        <v>10325</v>
      </c>
      <c r="B1622" s="80">
        <v>35347</v>
      </c>
      <c r="C1622">
        <v>120</v>
      </c>
      <c r="D1622">
        <v>6</v>
      </c>
      <c r="E1622" t="s">
        <v>178</v>
      </c>
    </row>
    <row r="1623" spans="1:5">
      <c r="A1623">
        <v>10325</v>
      </c>
      <c r="B1623" s="80">
        <v>35347</v>
      </c>
      <c r="C1623">
        <v>57.6</v>
      </c>
      <c r="D1623">
        <v>12</v>
      </c>
      <c r="E1623" t="s">
        <v>178</v>
      </c>
    </row>
    <row r="1624" spans="1:5">
      <c r="A1624">
        <v>10325</v>
      </c>
      <c r="B1624" s="80">
        <v>35347</v>
      </c>
      <c r="C1624">
        <v>120</v>
      </c>
      <c r="D1624">
        <v>6</v>
      </c>
      <c r="E1624" t="s">
        <v>173</v>
      </c>
    </row>
    <row r="1625" spans="1:5">
      <c r="A1625">
        <v>10325</v>
      </c>
      <c r="B1625" s="80">
        <v>35347</v>
      </c>
      <c r="C1625">
        <v>167.4</v>
      </c>
      <c r="D1625">
        <v>9</v>
      </c>
      <c r="E1625" t="s">
        <v>178</v>
      </c>
    </row>
    <row r="1626" spans="1:5">
      <c r="A1626">
        <v>10325</v>
      </c>
      <c r="B1626" s="80">
        <v>35347</v>
      </c>
      <c r="C1626">
        <v>40</v>
      </c>
      <c r="D1626">
        <v>4</v>
      </c>
      <c r="E1626" t="s">
        <v>178</v>
      </c>
    </row>
    <row r="1627" spans="1:5">
      <c r="A1627">
        <v>10325</v>
      </c>
      <c r="B1627" s="80">
        <v>35347</v>
      </c>
      <c r="C1627">
        <v>57.6</v>
      </c>
      <c r="D1627">
        <v>12</v>
      </c>
      <c r="E1627" t="s">
        <v>173</v>
      </c>
    </row>
    <row r="1628" spans="1:5">
      <c r="A1628">
        <v>10325</v>
      </c>
      <c r="B1628" s="80">
        <v>35347</v>
      </c>
      <c r="C1628">
        <v>120</v>
      </c>
      <c r="D1628">
        <v>6</v>
      </c>
      <c r="E1628" t="s">
        <v>174</v>
      </c>
    </row>
    <row r="1629" spans="1:5">
      <c r="A1629">
        <v>10325</v>
      </c>
      <c r="B1629" s="80">
        <v>35347</v>
      </c>
      <c r="C1629">
        <v>120</v>
      </c>
      <c r="D1629">
        <v>6</v>
      </c>
      <c r="E1629" t="s">
        <v>179</v>
      </c>
    </row>
    <row r="1630" spans="1:5">
      <c r="A1630">
        <v>10325</v>
      </c>
      <c r="B1630" s="80">
        <v>35347</v>
      </c>
      <c r="C1630">
        <v>167.4</v>
      </c>
      <c r="D1630">
        <v>9</v>
      </c>
      <c r="E1630" t="s">
        <v>174</v>
      </c>
    </row>
    <row r="1631" spans="1:5">
      <c r="A1631">
        <v>10325</v>
      </c>
      <c r="B1631" s="80">
        <v>35347</v>
      </c>
      <c r="C1631">
        <v>40</v>
      </c>
      <c r="D1631">
        <v>4</v>
      </c>
      <c r="E1631" t="s">
        <v>174</v>
      </c>
    </row>
    <row r="1632" spans="1:5">
      <c r="A1632">
        <v>10325</v>
      </c>
      <c r="B1632" s="80">
        <v>35347</v>
      </c>
      <c r="C1632">
        <v>1112</v>
      </c>
      <c r="D1632">
        <v>40</v>
      </c>
      <c r="E1632" t="s">
        <v>174</v>
      </c>
    </row>
    <row r="1633" spans="1:5">
      <c r="A1633">
        <v>10325</v>
      </c>
      <c r="B1633" s="80">
        <v>35347</v>
      </c>
      <c r="C1633">
        <v>167.4</v>
      </c>
      <c r="D1633">
        <v>9</v>
      </c>
      <c r="E1633" t="s">
        <v>173</v>
      </c>
    </row>
    <row r="1634" spans="1:5">
      <c r="A1634">
        <v>10325</v>
      </c>
      <c r="B1634" s="80">
        <v>35347</v>
      </c>
      <c r="C1634">
        <v>120</v>
      </c>
      <c r="D1634">
        <v>6</v>
      </c>
      <c r="E1634" t="s">
        <v>177</v>
      </c>
    </row>
    <row r="1635" spans="1:5">
      <c r="A1635">
        <v>10325</v>
      </c>
      <c r="B1635" s="80">
        <v>35347</v>
      </c>
      <c r="C1635">
        <v>40</v>
      </c>
      <c r="D1635">
        <v>4</v>
      </c>
      <c r="E1635" t="s">
        <v>173</v>
      </c>
    </row>
    <row r="1636" spans="1:5">
      <c r="A1636">
        <v>10325</v>
      </c>
      <c r="B1636" s="80">
        <v>35347</v>
      </c>
      <c r="C1636">
        <v>1112</v>
      </c>
      <c r="D1636">
        <v>40</v>
      </c>
      <c r="E1636" t="s">
        <v>178</v>
      </c>
    </row>
    <row r="1637" spans="1:5">
      <c r="A1637">
        <v>10325</v>
      </c>
      <c r="B1637" s="80">
        <v>35347</v>
      </c>
      <c r="C1637">
        <v>1112</v>
      </c>
      <c r="D1637">
        <v>40</v>
      </c>
      <c r="E1637" t="s">
        <v>173</v>
      </c>
    </row>
    <row r="1638" spans="1:5">
      <c r="A1638">
        <v>10325</v>
      </c>
      <c r="B1638" s="80">
        <v>35347</v>
      </c>
      <c r="C1638">
        <v>167.4</v>
      </c>
      <c r="D1638">
        <v>9</v>
      </c>
      <c r="E1638" t="s">
        <v>179</v>
      </c>
    </row>
    <row r="1639" spans="1:5">
      <c r="A1639">
        <v>10325</v>
      </c>
      <c r="B1639" s="80">
        <v>35347</v>
      </c>
      <c r="C1639">
        <v>40</v>
      </c>
      <c r="D1639">
        <v>4</v>
      </c>
      <c r="E1639" t="s">
        <v>179</v>
      </c>
    </row>
    <row r="1640" spans="1:5">
      <c r="A1640">
        <v>10325</v>
      </c>
      <c r="B1640" s="80">
        <v>35347</v>
      </c>
      <c r="C1640">
        <v>1112</v>
      </c>
      <c r="D1640">
        <v>40</v>
      </c>
      <c r="E1640" t="s">
        <v>179</v>
      </c>
    </row>
    <row r="1641" spans="1:5">
      <c r="A1641">
        <v>10325</v>
      </c>
      <c r="B1641" s="80">
        <v>35347</v>
      </c>
      <c r="C1641">
        <v>167.4</v>
      </c>
      <c r="D1641">
        <v>9</v>
      </c>
      <c r="E1641" t="s">
        <v>176</v>
      </c>
    </row>
    <row r="1642" spans="1:5">
      <c r="A1642">
        <v>10325</v>
      </c>
      <c r="B1642" s="80">
        <v>35347</v>
      </c>
      <c r="C1642">
        <v>40</v>
      </c>
      <c r="D1642">
        <v>4</v>
      </c>
      <c r="E1642" t="s">
        <v>176</v>
      </c>
    </row>
    <row r="1643" spans="1:5">
      <c r="A1643">
        <v>10325</v>
      </c>
      <c r="B1643" s="80">
        <v>35347</v>
      </c>
      <c r="C1643">
        <v>1112</v>
      </c>
      <c r="D1643">
        <v>40</v>
      </c>
      <c r="E1643" t="s">
        <v>176</v>
      </c>
    </row>
    <row r="1644" spans="1:5">
      <c r="A1644">
        <v>10325</v>
      </c>
      <c r="B1644" s="80">
        <v>35347</v>
      </c>
      <c r="C1644">
        <v>57.6</v>
      </c>
      <c r="D1644">
        <v>12</v>
      </c>
      <c r="E1644" t="s">
        <v>177</v>
      </c>
    </row>
    <row r="1645" spans="1:5">
      <c r="A1645">
        <v>10325</v>
      </c>
      <c r="B1645" s="80">
        <v>35347</v>
      </c>
      <c r="C1645">
        <v>167.4</v>
      </c>
      <c r="D1645">
        <v>9</v>
      </c>
      <c r="E1645" t="s">
        <v>177</v>
      </c>
    </row>
    <row r="1646" spans="1:5">
      <c r="A1646">
        <v>10325</v>
      </c>
      <c r="B1646" s="80">
        <v>35347</v>
      </c>
      <c r="C1646">
        <v>57.6</v>
      </c>
      <c r="D1646">
        <v>12</v>
      </c>
      <c r="E1646" t="s">
        <v>179</v>
      </c>
    </row>
    <row r="1647" spans="1:5">
      <c r="A1647">
        <v>10325</v>
      </c>
      <c r="B1647" s="80">
        <v>35347</v>
      </c>
      <c r="C1647">
        <v>120</v>
      </c>
      <c r="D1647">
        <v>6</v>
      </c>
      <c r="E1647" t="s">
        <v>176</v>
      </c>
    </row>
    <row r="1648" spans="1:5">
      <c r="A1648">
        <v>10325</v>
      </c>
      <c r="B1648" s="80">
        <v>35347</v>
      </c>
      <c r="C1648">
        <v>1112</v>
      </c>
      <c r="D1648">
        <v>40</v>
      </c>
      <c r="E1648" t="s">
        <v>177</v>
      </c>
    </row>
    <row r="1649" spans="1:5">
      <c r="A1649">
        <v>10325</v>
      </c>
      <c r="B1649" s="80">
        <v>35347</v>
      </c>
      <c r="C1649">
        <v>40</v>
      </c>
      <c r="D1649">
        <v>4</v>
      </c>
      <c r="E1649" t="s">
        <v>177</v>
      </c>
    </row>
    <row r="1650" spans="1:5">
      <c r="A1650">
        <v>10326</v>
      </c>
      <c r="B1650" s="80">
        <v>35348</v>
      </c>
      <c r="C1650">
        <v>310</v>
      </c>
      <c r="D1650">
        <v>50</v>
      </c>
      <c r="E1650" t="s">
        <v>174</v>
      </c>
    </row>
    <row r="1651" spans="1:5">
      <c r="A1651">
        <v>10326</v>
      </c>
      <c r="B1651" s="80">
        <v>35348</v>
      </c>
      <c r="C1651">
        <v>249.6</v>
      </c>
      <c r="D1651">
        <v>16</v>
      </c>
      <c r="E1651" t="s">
        <v>174</v>
      </c>
    </row>
    <row r="1652" spans="1:5">
      <c r="A1652">
        <v>10326</v>
      </c>
      <c r="B1652" s="80">
        <v>35348</v>
      </c>
      <c r="C1652">
        <v>422.4</v>
      </c>
      <c r="D1652">
        <v>24</v>
      </c>
      <c r="E1652" t="s">
        <v>174</v>
      </c>
    </row>
    <row r="1653" spans="1:5">
      <c r="A1653">
        <v>10326</v>
      </c>
      <c r="B1653" s="80">
        <v>35348</v>
      </c>
      <c r="C1653">
        <v>249.6</v>
      </c>
      <c r="D1653">
        <v>16</v>
      </c>
      <c r="E1653" t="s">
        <v>173</v>
      </c>
    </row>
    <row r="1654" spans="1:5">
      <c r="A1654">
        <v>10326</v>
      </c>
      <c r="B1654" s="80">
        <v>35348</v>
      </c>
      <c r="C1654">
        <v>310</v>
      </c>
      <c r="D1654">
        <v>50</v>
      </c>
      <c r="E1654" t="s">
        <v>178</v>
      </c>
    </row>
    <row r="1655" spans="1:5">
      <c r="A1655">
        <v>10326</v>
      </c>
      <c r="B1655" s="80">
        <v>35348</v>
      </c>
      <c r="C1655">
        <v>249.6</v>
      </c>
      <c r="D1655">
        <v>16</v>
      </c>
      <c r="E1655" t="s">
        <v>176</v>
      </c>
    </row>
    <row r="1656" spans="1:5">
      <c r="A1656">
        <v>10326</v>
      </c>
      <c r="B1656" s="80">
        <v>35348</v>
      </c>
      <c r="C1656">
        <v>422.4</v>
      </c>
      <c r="D1656">
        <v>24</v>
      </c>
      <c r="E1656" t="s">
        <v>176</v>
      </c>
    </row>
    <row r="1657" spans="1:5">
      <c r="A1657">
        <v>10326</v>
      </c>
      <c r="B1657" s="80">
        <v>35348</v>
      </c>
      <c r="C1657">
        <v>422.4</v>
      </c>
      <c r="D1657">
        <v>24</v>
      </c>
      <c r="E1657" t="s">
        <v>173</v>
      </c>
    </row>
    <row r="1658" spans="1:5">
      <c r="A1658">
        <v>10326</v>
      </c>
      <c r="B1658" s="80">
        <v>35348</v>
      </c>
      <c r="C1658">
        <v>310</v>
      </c>
      <c r="D1658">
        <v>50</v>
      </c>
      <c r="E1658" t="s">
        <v>177</v>
      </c>
    </row>
    <row r="1659" spans="1:5">
      <c r="A1659">
        <v>10326</v>
      </c>
      <c r="B1659" s="80">
        <v>35348</v>
      </c>
      <c r="C1659">
        <v>422.4</v>
      </c>
      <c r="D1659">
        <v>24</v>
      </c>
      <c r="E1659" t="s">
        <v>177</v>
      </c>
    </row>
    <row r="1660" spans="1:5">
      <c r="A1660">
        <v>10326</v>
      </c>
      <c r="B1660" s="80">
        <v>35348</v>
      </c>
      <c r="C1660">
        <v>249.6</v>
      </c>
      <c r="D1660">
        <v>16</v>
      </c>
      <c r="E1660" t="s">
        <v>177</v>
      </c>
    </row>
    <row r="1661" spans="1:5">
      <c r="A1661">
        <v>10326</v>
      </c>
      <c r="B1661" s="80">
        <v>35348</v>
      </c>
      <c r="C1661">
        <v>310</v>
      </c>
      <c r="D1661">
        <v>50</v>
      </c>
      <c r="E1661" t="s">
        <v>175</v>
      </c>
    </row>
    <row r="1662" spans="1:5">
      <c r="A1662">
        <v>10326</v>
      </c>
      <c r="B1662" s="80">
        <v>35348</v>
      </c>
      <c r="C1662">
        <v>310</v>
      </c>
      <c r="D1662">
        <v>50</v>
      </c>
      <c r="E1662" t="s">
        <v>179</v>
      </c>
    </row>
    <row r="1663" spans="1:5">
      <c r="A1663">
        <v>10326</v>
      </c>
      <c r="B1663" s="80">
        <v>35348</v>
      </c>
      <c r="C1663">
        <v>422.4</v>
      </c>
      <c r="D1663">
        <v>24</v>
      </c>
      <c r="E1663" t="s">
        <v>175</v>
      </c>
    </row>
    <row r="1664" spans="1:5">
      <c r="A1664">
        <v>10326</v>
      </c>
      <c r="B1664" s="80">
        <v>35348</v>
      </c>
      <c r="C1664">
        <v>422.4</v>
      </c>
      <c r="D1664">
        <v>24</v>
      </c>
      <c r="E1664" t="s">
        <v>179</v>
      </c>
    </row>
    <row r="1665" spans="1:5">
      <c r="A1665">
        <v>10326</v>
      </c>
      <c r="B1665" s="80">
        <v>35348</v>
      </c>
      <c r="C1665">
        <v>310</v>
      </c>
      <c r="D1665">
        <v>50</v>
      </c>
      <c r="E1665" t="s">
        <v>172</v>
      </c>
    </row>
    <row r="1666" spans="1:5">
      <c r="A1666">
        <v>10326</v>
      </c>
      <c r="B1666" s="80">
        <v>35348</v>
      </c>
      <c r="C1666">
        <v>310</v>
      </c>
      <c r="D1666">
        <v>50</v>
      </c>
      <c r="E1666" t="s">
        <v>176</v>
      </c>
    </row>
    <row r="1667" spans="1:5">
      <c r="A1667">
        <v>10326</v>
      </c>
      <c r="B1667" s="80">
        <v>35348</v>
      </c>
      <c r="C1667">
        <v>422.4</v>
      </c>
      <c r="D1667">
        <v>24</v>
      </c>
      <c r="E1667" t="s">
        <v>178</v>
      </c>
    </row>
    <row r="1668" spans="1:5">
      <c r="A1668">
        <v>10326</v>
      </c>
      <c r="B1668" s="80">
        <v>35348</v>
      </c>
      <c r="C1668">
        <v>249.6</v>
      </c>
      <c r="D1668">
        <v>16</v>
      </c>
      <c r="E1668" t="s">
        <v>178</v>
      </c>
    </row>
    <row r="1669" spans="1:5">
      <c r="A1669">
        <v>10326</v>
      </c>
      <c r="B1669" s="80">
        <v>35348</v>
      </c>
      <c r="C1669">
        <v>249.6</v>
      </c>
      <c r="D1669">
        <v>16</v>
      </c>
      <c r="E1669" t="s">
        <v>175</v>
      </c>
    </row>
    <row r="1670" spans="1:5">
      <c r="A1670">
        <v>10326</v>
      </c>
      <c r="B1670" s="80">
        <v>35348</v>
      </c>
      <c r="C1670">
        <v>310</v>
      </c>
      <c r="D1670">
        <v>50</v>
      </c>
      <c r="E1670" t="s">
        <v>173</v>
      </c>
    </row>
    <row r="1671" spans="1:5">
      <c r="A1671">
        <v>10326</v>
      </c>
      <c r="B1671" s="80">
        <v>35348</v>
      </c>
      <c r="C1671">
        <v>422.4</v>
      </c>
      <c r="D1671">
        <v>24</v>
      </c>
      <c r="E1671" t="s">
        <v>172</v>
      </c>
    </row>
    <row r="1672" spans="1:5">
      <c r="A1672">
        <v>10326</v>
      </c>
      <c r="B1672" s="80">
        <v>35348</v>
      </c>
      <c r="C1672">
        <v>249.6</v>
      </c>
      <c r="D1672">
        <v>16</v>
      </c>
      <c r="E1672" t="s">
        <v>172</v>
      </c>
    </row>
    <row r="1673" spans="1:5">
      <c r="A1673">
        <v>10326</v>
      </c>
      <c r="B1673" s="80">
        <v>35348</v>
      </c>
      <c r="C1673">
        <v>249.6</v>
      </c>
      <c r="D1673">
        <v>16</v>
      </c>
      <c r="E1673" t="s">
        <v>179</v>
      </c>
    </row>
    <row r="1674" spans="1:5">
      <c r="A1674">
        <v>10327</v>
      </c>
      <c r="B1674" s="80">
        <v>35349</v>
      </c>
      <c r="C1674">
        <v>579.59999784082174</v>
      </c>
      <c r="D1674">
        <v>35</v>
      </c>
      <c r="E1674" t="s">
        <v>174</v>
      </c>
    </row>
    <row r="1675" spans="1:5">
      <c r="A1675">
        <v>10327</v>
      </c>
      <c r="B1675" s="80">
        <v>35349</v>
      </c>
      <c r="C1675">
        <v>303.99999886751175</v>
      </c>
      <c r="D1675">
        <v>25</v>
      </c>
      <c r="E1675" t="s">
        <v>175</v>
      </c>
    </row>
    <row r="1676" spans="1:5">
      <c r="A1676">
        <v>10327</v>
      </c>
      <c r="B1676" s="80">
        <v>35349</v>
      </c>
      <c r="C1676">
        <v>671.99999749660492</v>
      </c>
      <c r="D1676">
        <v>50</v>
      </c>
      <c r="E1676" t="s">
        <v>175</v>
      </c>
    </row>
    <row r="1677" spans="1:5">
      <c r="A1677">
        <v>10327</v>
      </c>
      <c r="B1677" s="80">
        <v>35349</v>
      </c>
      <c r="C1677">
        <v>579.59999784082174</v>
      </c>
      <c r="D1677">
        <v>35</v>
      </c>
      <c r="E1677" t="s">
        <v>175</v>
      </c>
    </row>
    <row r="1678" spans="1:5">
      <c r="A1678">
        <v>10327</v>
      </c>
      <c r="B1678" s="80">
        <v>35349</v>
      </c>
      <c r="C1678">
        <v>303.99999886751175</v>
      </c>
      <c r="D1678">
        <v>25</v>
      </c>
      <c r="E1678" t="s">
        <v>173</v>
      </c>
    </row>
    <row r="1679" spans="1:5">
      <c r="A1679">
        <v>10327</v>
      </c>
      <c r="B1679" s="80">
        <v>35349</v>
      </c>
      <c r="C1679">
        <v>671.99999749660492</v>
      </c>
      <c r="D1679">
        <v>50</v>
      </c>
      <c r="E1679" t="s">
        <v>173</v>
      </c>
    </row>
    <row r="1680" spans="1:5">
      <c r="A1680">
        <v>10327</v>
      </c>
      <c r="B1680" s="80">
        <v>35349</v>
      </c>
      <c r="C1680">
        <v>579.59999784082174</v>
      </c>
      <c r="D1680">
        <v>35</v>
      </c>
      <c r="E1680" t="s">
        <v>173</v>
      </c>
    </row>
    <row r="1681" spans="1:5">
      <c r="A1681">
        <v>10327</v>
      </c>
      <c r="B1681" s="80">
        <v>35349</v>
      </c>
      <c r="C1681">
        <v>254.39999905228615</v>
      </c>
      <c r="D1681">
        <v>30</v>
      </c>
      <c r="E1681" t="s">
        <v>173</v>
      </c>
    </row>
    <row r="1682" spans="1:5">
      <c r="A1682">
        <v>10327</v>
      </c>
      <c r="B1682" s="80">
        <v>35349</v>
      </c>
      <c r="C1682">
        <v>254.39999905228615</v>
      </c>
      <c r="D1682">
        <v>30</v>
      </c>
      <c r="E1682" t="s">
        <v>175</v>
      </c>
    </row>
    <row r="1683" spans="1:5">
      <c r="A1683">
        <v>10327</v>
      </c>
      <c r="B1683" s="80">
        <v>35349</v>
      </c>
      <c r="C1683">
        <v>671.99999749660492</v>
      </c>
      <c r="D1683">
        <v>50</v>
      </c>
      <c r="E1683" t="s">
        <v>174</v>
      </c>
    </row>
    <row r="1684" spans="1:5">
      <c r="A1684">
        <v>10327</v>
      </c>
      <c r="B1684" s="80">
        <v>35349</v>
      </c>
      <c r="C1684">
        <v>254.39999905228615</v>
      </c>
      <c r="D1684">
        <v>30</v>
      </c>
      <c r="E1684" t="s">
        <v>174</v>
      </c>
    </row>
    <row r="1685" spans="1:5">
      <c r="A1685">
        <v>10327</v>
      </c>
      <c r="B1685" s="80">
        <v>35349</v>
      </c>
      <c r="C1685">
        <v>254.39999905228615</v>
      </c>
      <c r="D1685">
        <v>30</v>
      </c>
      <c r="E1685" t="s">
        <v>178</v>
      </c>
    </row>
    <row r="1686" spans="1:5">
      <c r="A1686">
        <v>10327</v>
      </c>
      <c r="B1686" s="80">
        <v>35349</v>
      </c>
      <c r="C1686">
        <v>579.59999784082174</v>
      </c>
      <c r="D1686">
        <v>35</v>
      </c>
      <c r="E1686" t="s">
        <v>178</v>
      </c>
    </row>
    <row r="1687" spans="1:5">
      <c r="A1687">
        <v>10327</v>
      </c>
      <c r="B1687" s="80">
        <v>35349</v>
      </c>
      <c r="C1687">
        <v>303.99999886751175</v>
      </c>
      <c r="D1687">
        <v>25</v>
      </c>
      <c r="E1687" t="s">
        <v>178</v>
      </c>
    </row>
    <row r="1688" spans="1:5">
      <c r="A1688">
        <v>10327</v>
      </c>
      <c r="B1688" s="80">
        <v>35349</v>
      </c>
      <c r="C1688">
        <v>303.99999886751175</v>
      </c>
      <c r="D1688">
        <v>25</v>
      </c>
      <c r="E1688" t="s">
        <v>179</v>
      </c>
    </row>
    <row r="1689" spans="1:5">
      <c r="A1689">
        <v>10327</v>
      </c>
      <c r="B1689" s="80">
        <v>35349</v>
      </c>
      <c r="C1689">
        <v>671.99999749660492</v>
      </c>
      <c r="D1689">
        <v>50</v>
      </c>
      <c r="E1689" t="s">
        <v>179</v>
      </c>
    </row>
    <row r="1690" spans="1:5">
      <c r="A1690">
        <v>10327</v>
      </c>
      <c r="B1690" s="80">
        <v>35349</v>
      </c>
      <c r="C1690">
        <v>579.59999784082174</v>
      </c>
      <c r="D1690">
        <v>35</v>
      </c>
      <c r="E1690" t="s">
        <v>179</v>
      </c>
    </row>
    <row r="1691" spans="1:5">
      <c r="A1691">
        <v>10327</v>
      </c>
      <c r="B1691" s="80">
        <v>35349</v>
      </c>
      <c r="C1691">
        <v>254.39999905228615</v>
      </c>
      <c r="D1691">
        <v>30</v>
      </c>
      <c r="E1691" t="s">
        <v>179</v>
      </c>
    </row>
    <row r="1692" spans="1:5">
      <c r="A1692">
        <v>10327</v>
      </c>
      <c r="B1692" s="80">
        <v>35349</v>
      </c>
      <c r="C1692">
        <v>303.99999886751175</v>
      </c>
      <c r="D1692">
        <v>25</v>
      </c>
      <c r="E1692" t="s">
        <v>174</v>
      </c>
    </row>
    <row r="1693" spans="1:5">
      <c r="A1693">
        <v>10327</v>
      </c>
      <c r="B1693" s="80">
        <v>35349</v>
      </c>
      <c r="C1693">
        <v>303.99999886751175</v>
      </c>
      <c r="D1693">
        <v>25</v>
      </c>
      <c r="E1693" t="s">
        <v>176</v>
      </c>
    </row>
    <row r="1694" spans="1:5">
      <c r="A1694">
        <v>10327</v>
      </c>
      <c r="B1694" s="80">
        <v>35349</v>
      </c>
      <c r="C1694">
        <v>254.39999905228615</v>
      </c>
      <c r="D1694">
        <v>30</v>
      </c>
      <c r="E1694" t="s">
        <v>172</v>
      </c>
    </row>
    <row r="1695" spans="1:5">
      <c r="A1695">
        <v>10327</v>
      </c>
      <c r="B1695" s="80">
        <v>35349</v>
      </c>
      <c r="C1695">
        <v>579.59999784082174</v>
      </c>
      <c r="D1695">
        <v>35</v>
      </c>
      <c r="E1695" t="s">
        <v>172</v>
      </c>
    </row>
    <row r="1696" spans="1:5">
      <c r="A1696">
        <v>10327</v>
      </c>
      <c r="B1696" s="80">
        <v>35349</v>
      </c>
      <c r="C1696">
        <v>671.99999749660492</v>
      </c>
      <c r="D1696">
        <v>50</v>
      </c>
      <c r="E1696" t="s">
        <v>172</v>
      </c>
    </row>
    <row r="1697" spans="1:5">
      <c r="A1697">
        <v>10327</v>
      </c>
      <c r="B1697" s="80">
        <v>35349</v>
      </c>
      <c r="C1697">
        <v>303.99999886751175</v>
      </c>
      <c r="D1697">
        <v>25</v>
      </c>
      <c r="E1697" t="s">
        <v>172</v>
      </c>
    </row>
    <row r="1698" spans="1:5">
      <c r="A1698">
        <v>10327</v>
      </c>
      <c r="B1698" s="80">
        <v>35349</v>
      </c>
      <c r="C1698">
        <v>671.99999749660492</v>
      </c>
      <c r="D1698">
        <v>50</v>
      </c>
      <c r="E1698" t="s">
        <v>178</v>
      </c>
    </row>
    <row r="1699" spans="1:5">
      <c r="A1699">
        <v>10327</v>
      </c>
      <c r="B1699" s="80">
        <v>35349</v>
      </c>
      <c r="C1699">
        <v>671.99999749660492</v>
      </c>
      <c r="D1699">
        <v>50</v>
      </c>
      <c r="E1699" t="s">
        <v>176</v>
      </c>
    </row>
    <row r="1700" spans="1:5">
      <c r="A1700">
        <v>10327</v>
      </c>
      <c r="B1700" s="80">
        <v>35349</v>
      </c>
      <c r="C1700">
        <v>579.59999784082174</v>
      </c>
      <c r="D1700">
        <v>35</v>
      </c>
      <c r="E1700" t="s">
        <v>176</v>
      </c>
    </row>
    <row r="1701" spans="1:5">
      <c r="A1701">
        <v>10327</v>
      </c>
      <c r="B1701" s="80">
        <v>35349</v>
      </c>
      <c r="C1701">
        <v>254.39999905228615</v>
      </c>
      <c r="D1701">
        <v>30</v>
      </c>
      <c r="E1701" t="s">
        <v>176</v>
      </c>
    </row>
    <row r="1702" spans="1:5">
      <c r="A1702">
        <v>10327</v>
      </c>
      <c r="B1702" s="80">
        <v>35349</v>
      </c>
      <c r="C1702">
        <v>254.39999905228615</v>
      </c>
      <c r="D1702">
        <v>30</v>
      </c>
      <c r="E1702" t="s">
        <v>177</v>
      </c>
    </row>
    <row r="1703" spans="1:5">
      <c r="A1703">
        <v>10327</v>
      </c>
      <c r="B1703" s="80">
        <v>35349</v>
      </c>
      <c r="C1703">
        <v>579.59999784082174</v>
      </c>
      <c r="D1703">
        <v>35</v>
      </c>
      <c r="E1703" t="s">
        <v>177</v>
      </c>
    </row>
    <row r="1704" spans="1:5">
      <c r="A1704">
        <v>10327</v>
      </c>
      <c r="B1704" s="80">
        <v>35349</v>
      </c>
      <c r="C1704">
        <v>303.99999886751175</v>
      </c>
      <c r="D1704">
        <v>25</v>
      </c>
      <c r="E1704" t="s">
        <v>177</v>
      </c>
    </row>
    <row r="1705" spans="1:5">
      <c r="A1705">
        <v>10327</v>
      </c>
      <c r="B1705" s="80">
        <v>35349</v>
      </c>
      <c r="C1705">
        <v>671.99999749660492</v>
      </c>
      <c r="D1705">
        <v>50</v>
      </c>
      <c r="E1705" t="s">
        <v>177</v>
      </c>
    </row>
    <row r="1706" spans="1:5">
      <c r="A1706">
        <v>10328</v>
      </c>
      <c r="B1706" s="80">
        <v>35352</v>
      </c>
      <c r="C1706">
        <v>396</v>
      </c>
      <c r="D1706">
        <v>9</v>
      </c>
      <c r="E1706" t="s">
        <v>178</v>
      </c>
    </row>
    <row r="1707" spans="1:5">
      <c r="A1707">
        <v>10328</v>
      </c>
      <c r="B1707" s="80">
        <v>35352</v>
      </c>
      <c r="C1707">
        <v>672</v>
      </c>
      <c r="D1707">
        <v>40</v>
      </c>
      <c r="E1707" t="s">
        <v>172</v>
      </c>
    </row>
    <row r="1708" spans="1:5">
      <c r="A1708">
        <v>10328</v>
      </c>
      <c r="B1708" s="80">
        <v>35352</v>
      </c>
      <c r="C1708">
        <v>396</v>
      </c>
      <c r="D1708">
        <v>9</v>
      </c>
      <c r="E1708" t="s">
        <v>172</v>
      </c>
    </row>
    <row r="1709" spans="1:5">
      <c r="A1709">
        <v>10328</v>
      </c>
      <c r="B1709" s="80">
        <v>35352</v>
      </c>
      <c r="C1709">
        <v>100</v>
      </c>
      <c r="D1709">
        <v>10</v>
      </c>
      <c r="E1709" t="s">
        <v>176</v>
      </c>
    </row>
    <row r="1710" spans="1:5">
      <c r="A1710">
        <v>10328</v>
      </c>
      <c r="B1710" s="80">
        <v>35352</v>
      </c>
      <c r="C1710">
        <v>672</v>
      </c>
      <c r="D1710">
        <v>40</v>
      </c>
      <c r="E1710" t="s">
        <v>176</v>
      </c>
    </row>
    <row r="1711" spans="1:5">
      <c r="A1711">
        <v>10328</v>
      </c>
      <c r="B1711" s="80">
        <v>35352</v>
      </c>
      <c r="C1711">
        <v>396</v>
      </c>
      <c r="D1711">
        <v>9</v>
      </c>
      <c r="E1711" t="s">
        <v>176</v>
      </c>
    </row>
    <row r="1712" spans="1:5">
      <c r="A1712">
        <v>10328</v>
      </c>
      <c r="B1712" s="80">
        <v>35352</v>
      </c>
      <c r="C1712">
        <v>100</v>
      </c>
      <c r="D1712">
        <v>10</v>
      </c>
      <c r="E1712" t="s">
        <v>174</v>
      </c>
    </row>
    <row r="1713" spans="1:5">
      <c r="A1713">
        <v>10328</v>
      </c>
      <c r="B1713" s="80">
        <v>35352</v>
      </c>
      <c r="C1713">
        <v>100</v>
      </c>
      <c r="D1713">
        <v>10</v>
      </c>
      <c r="E1713" t="s">
        <v>179</v>
      </c>
    </row>
    <row r="1714" spans="1:5">
      <c r="A1714">
        <v>10328</v>
      </c>
      <c r="B1714" s="80">
        <v>35352</v>
      </c>
      <c r="C1714">
        <v>100</v>
      </c>
      <c r="D1714">
        <v>10</v>
      </c>
      <c r="E1714" t="s">
        <v>172</v>
      </c>
    </row>
    <row r="1715" spans="1:5">
      <c r="A1715">
        <v>10328</v>
      </c>
      <c r="B1715" s="80">
        <v>35352</v>
      </c>
      <c r="C1715">
        <v>672</v>
      </c>
      <c r="D1715">
        <v>40</v>
      </c>
      <c r="E1715" t="s">
        <v>178</v>
      </c>
    </row>
    <row r="1716" spans="1:5">
      <c r="A1716">
        <v>10328</v>
      </c>
      <c r="B1716" s="80">
        <v>35352</v>
      </c>
      <c r="C1716">
        <v>100</v>
      </c>
      <c r="D1716">
        <v>10</v>
      </c>
      <c r="E1716" t="s">
        <v>178</v>
      </c>
    </row>
    <row r="1717" spans="1:5">
      <c r="A1717">
        <v>10328</v>
      </c>
      <c r="B1717" s="80">
        <v>35352</v>
      </c>
      <c r="C1717">
        <v>396</v>
      </c>
      <c r="D1717">
        <v>9</v>
      </c>
      <c r="E1717" t="s">
        <v>174</v>
      </c>
    </row>
    <row r="1718" spans="1:5">
      <c r="A1718">
        <v>10328</v>
      </c>
      <c r="B1718" s="80">
        <v>35352</v>
      </c>
      <c r="C1718">
        <v>672</v>
      </c>
      <c r="D1718">
        <v>40</v>
      </c>
      <c r="E1718" t="s">
        <v>174</v>
      </c>
    </row>
    <row r="1719" spans="1:5">
      <c r="A1719">
        <v>10328</v>
      </c>
      <c r="B1719" s="80">
        <v>35352</v>
      </c>
      <c r="C1719">
        <v>672</v>
      </c>
      <c r="D1719">
        <v>40</v>
      </c>
      <c r="E1719" t="s">
        <v>179</v>
      </c>
    </row>
    <row r="1720" spans="1:5">
      <c r="A1720">
        <v>10328</v>
      </c>
      <c r="B1720" s="80">
        <v>35352</v>
      </c>
      <c r="C1720">
        <v>396</v>
      </c>
      <c r="D1720">
        <v>9</v>
      </c>
      <c r="E1720" t="s">
        <v>173</v>
      </c>
    </row>
    <row r="1721" spans="1:5">
      <c r="A1721">
        <v>10328</v>
      </c>
      <c r="B1721" s="80">
        <v>35352</v>
      </c>
      <c r="C1721">
        <v>396</v>
      </c>
      <c r="D1721">
        <v>9</v>
      </c>
      <c r="E1721" t="s">
        <v>175</v>
      </c>
    </row>
    <row r="1722" spans="1:5">
      <c r="A1722">
        <v>10328</v>
      </c>
      <c r="B1722" s="80">
        <v>35352</v>
      </c>
      <c r="C1722">
        <v>672</v>
      </c>
      <c r="D1722">
        <v>40</v>
      </c>
      <c r="E1722" t="s">
        <v>175</v>
      </c>
    </row>
    <row r="1723" spans="1:5">
      <c r="A1723">
        <v>10328</v>
      </c>
      <c r="B1723" s="80">
        <v>35352</v>
      </c>
      <c r="C1723">
        <v>396</v>
      </c>
      <c r="D1723">
        <v>9</v>
      </c>
      <c r="E1723" t="s">
        <v>179</v>
      </c>
    </row>
    <row r="1724" spans="1:5">
      <c r="A1724">
        <v>10328</v>
      </c>
      <c r="B1724" s="80">
        <v>35352</v>
      </c>
      <c r="C1724">
        <v>100</v>
      </c>
      <c r="D1724">
        <v>10</v>
      </c>
      <c r="E1724" t="s">
        <v>175</v>
      </c>
    </row>
    <row r="1725" spans="1:5">
      <c r="A1725">
        <v>10328</v>
      </c>
      <c r="B1725" s="80">
        <v>35352</v>
      </c>
      <c r="C1725">
        <v>396</v>
      </c>
      <c r="D1725">
        <v>9</v>
      </c>
      <c r="E1725" t="s">
        <v>177</v>
      </c>
    </row>
    <row r="1726" spans="1:5">
      <c r="A1726">
        <v>10328</v>
      </c>
      <c r="B1726" s="80">
        <v>35352</v>
      </c>
      <c r="C1726">
        <v>672</v>
      </c>
      <c r="D1726">
        <v>40</v>
      </c>
      <c r="E1726" t="s">
        <v>177</v>
      </c>
    </row>
    <row r="1727" spans="1:5">
      <c r="A1727">
        <v>10328</v>
      </c>
      <c r="B1727" s="80">
        <v>35352</v>
      </c>
      <c r="C1727">
        <v>100</v>
      </c>
      <c r="D1727">
        <v>10</v>
      </c>
      <c r="E1727" t="s">
        <v>173</v>
      </c>
    </row>
    <row r="1728" spans="1:5">
      <c r="A1728">
        <v>10328</v>
      </c>
      <c r="B1728" s="80">
        <v>35352</v>
      </c>
      <c r="C1728">
        <v>672</v>
      </c>
      <c r="D1728">
        <v>40</v>
      </c>
      <c r="E1728" t="s">
        <v>173</v>
      </c>
    </row>
    <row r="1729" spans="1:5">
      <c r="A1729">
        <v>10328</v>
      </c>
      <c r="B1729" s="80">
        <v>35352</v>
      </c>
      <c r="C1729">
        <v>100</v>
      </c>
      <c r="D1729">
        <v>10</v>
      </c>
      <c r="E1729" t="s">
        <v>177</v>
      </c>
    </row>
    <row r="1730" spans="1:5">
      <c r="A1730">
        <v>10329</v>
      </c>
      <c r="B1730" s="80">
        <v>35353</v>
      </c>
      <c r="C1730">
        <v>4005.1999968588352</v>
      </c>
      <c r="D1730">
        <v>20</v>
      </c>
      <c r="E1730" t="s">
        <v>178</v>
      </c>
    </row>
    <row r="1731" spans="1:5">
      <c r="A1731">
        <v>10329</v>
      </c>
      <c r="B1731" s="80">
        <v>35353</v>
      </c>
      <c r="C1731">
        <v>157.31999987661837</v>
      </c>
      <c r="D1731">
        <v>8</v>
      </c>
      <c r="E1731" t="s">
        <v>178</v>
      </c>
    </row>
    <row r="1732" spans="1:5">
      <c r="A1732">
        <v>10329</v>
      </c>
      <c r="B1732" s="80">
        <v>35353</v>
      </c>
      <c r="C1732">
        <v>69.349999945610762</v>
      </c>
      <c r="D1732">
        <v>10</v>
      </c>
      <c r="E1732" t="s">
        <v>178</v>
      </c>
    </row>
    <row r="1733" spans="1:5">
      <c r="A1733">
        <v>10329</v>
      </c>
      <c r="B1733" s="80">
        <v>35353</v>
      </c>
      <c r="C1733">
        <v>346.55999972820285</v>
      </c>
      <c r="D1733">
        <v>12</v>
      </c>
      <c r="E1733" t="s">
        <v>175</v>
      </c>
    </row>
    <row r="1734" spans="1:5">
      <c r="A1734">
        <v>10329</v>
      </c>
      <c r="B1734" s="80">
        <v>35353</v>
      </c>
      <c r="C1734">
        <v>4005.1999968588352</v>
      </c>
      <c r="D1734">
        <v>20</v>
      </c>
      <c r="E1734" t="s">
        <v>175</v>
      </c>
    </row>
    <row r="1735" spans="1:5">
      <c r="A1735">
        <v>10329</v>
      </c>
      <c r="B1735" s="80">
        <v>35353</v>
      </c>
      <c r="C1735">
        <v>69.349999945610762</v>
      </c>
      <c r="D1735">
        <v>10</v>
      </c>
      <c r="E1735" t="s">
        <v>172</v>
      </c>
    </row>
    <row r="1736" spans="1:5">
      <c r="A1736">
        <v>10329</v>
      </c>
      <c r="B1736" s="80">
        <v>35353</v>
      </c>
      <c r="C1736">
        <v>157.31999987661837</v>
      </c>
      <c r="D1736">
        <v>8</v>
      </c>
      <c r="E1736" t="s">
        <v>175</v>
      </c>
    </row>
    <row r="1737" spans="1:5">
      <c r="A1737">
        <v>10329</v>
      </c>
      <c r="B1737" s="80">
        <v>35353</v>
      </c>
      <c r="C1737">
        <v>346.55999972820285</v>
      </c>
      <c r="D1737">
        <v>12</v>
      </c>
      <c r="E1737" t="s">
        <v>172</v>
      </c>
    </row>
    <row r="1738" spans="1:5">
      <c r="A1738">
        <v>10329</v>
      </c>
      <c r="B1738" s="80">
        <v>35353</v>
      </c>
      <c r="C1738">
        <v>69.349999945610762</v>
      </c>
      <c r="D1738">
        <v>10</v>
      </c>
      <c r="E1738" t="s">
        <v>175</v>
      </c>
    </row>
    <row r="1739" spans="1:5">
      <c r="A1739">
        <v>10329</v>
      </c>
      <c r="B1739" s="80">
        <v>35353</v>
      </c>
      <c r="C1739">
        <v>346.55999972820285</v>
      </c>
      <c r="D1739">
        <v>12</v>
      </c>
      <c r="E1739" t="s">
        <v>179</v>
      </c>
    </row>
    <row r="1740" spans="1:5">
      <c r="A1740">
        <v>10329</v>
      </c>
      <c r="B1740" s="80">
        <v>35353</v>
      </c>
      <c r="C1740">
        <v>346.55999972820285</v>
      </c>
      <c r="D1740">
        <v>12</v>
      </c>
      <c r="E1740" t="s">
        <v>178</v>
      </c>
    </row>
    <row r="1741" spans="1:5">
      <c r="A1741">
        <v>10329</v>
      </c>
      <c r="B1741" s="80">
        <v>35353</v>
      </c>
      <c r="C1741">
        <v>157.31999987661837</v>
      </c>
      <c r="D1741">
        <v>8</v>
      </c>
      <c r="E1741" t="s">
        <v>172</v>
      </c>
    </row>
    <row r="1742" spans="1:5">
      <c r="A1742">
        <v>10329</v>
      </c>
      <c r="B1742" s="80">
        <v>35353</v>
      </c>
      <c r="C1742">
        <v>4005.1999968588352</v>
      </c>
      <c r="D1742">
        <v>20</v>
      </c>
      <c r="E1742" t="s">
        <v>172</v>
      </c>
    </row>
    <row r="1743" spans="1:5">
      <c r="A1743">
        <v>10329</v>
      </c>
      <c r="B1743" s="80">
        <v>35353</v>
      </c>
      <c r="C1743">
        <v>4005.1999968588352</v>
      </c>
      <c r="D1743">
        <v>20</v>
      </c>
      <c r="E1743" t="s">
        <v>179</v>
      </c>
    </row>
    <row r="1744" spans="1:5">
      <c r="A1744">
        <v>10329</v>
      </c>
      <c r="B1744" s="80">
        <v>35353</v>
      </c>
      <c r="C1744">
        <v>157.31999987661837</v>
      </c>
      <c r="D1744">
        <v>8</v>
      </c>
      <c r="E1744" t="s">
        <v>176</v>
      </c>
    </row>
    <row r="1745" spans="1:5">
      <c r="A1745">
        <v>10329</v>
      </c>
      <c r="B1745" s="80">
        <v>35353</v>
      </c>
      <c r="C1745">
        <v>69.349999945610762</v>
      </c>
      <c r="D1745">
        <v>10</v>
      </c>
      <c r="E1745" t="s">
        <v>177</v>
      </c>
    </row>
    <row r="1746" spans="1:5">
      <c r="A1746">
        <v>10329</v>
      </c>
      <c r="B1746" s="80">
        <v>35353</v>
      </c>
      <c r="C1746">
        <v>157.31999987661837</v>
      </c>
      <c r="D1746">
        <v>8</v>
      </c>
      <c r="E1746" t="s">
        <v>177</v>
      </c>
    </row>
    <row r="1747" spans="1:5">
      <c r="A1747">
        <v>10329</v>
      </c>
      <c r="B1747" s="80">
        <v>35353</v>
      </c>
      <c r="C1747">
        <v>4005.1999968588352</v>
      </c>
      <c r="D1747">
        <v>20</v>
      </c>
      <c r="E1747" t="s">
        <v>177</v>
      </c>
    </row>
    <row r="1748" spans="1:5">
      <c r="A1748">
        <v>10329</v>
      </c>
      <c r="B1748" s="80">
        <v>35353</v>
      </c>
      <c r="C1748">
        <v>69.349999945610762</v>
      </c>
      <c r="D1748">
        <v>10</v>
      </c>
      <c r="E1748" t="s">
        <v>173</v>
      </c>
    </row>
    <row r="1749" spans="1:5">
      <c r="A1749">
        <v>10329</v>
      </c>
      <c r="B1749" s="80">
        <v>35353</v>
      </c>
      <c r="C1749">
        <v>157.31999987661837</v>
      </c>
      <c r="D1749">
        <v>8</v>
      </c>
      <c r="E1749" t="s">
        <v>173</v>
      </c>
    </row>
    <row r="1750" spans="1:5">
      <c r="A1750">
        <v>10329</v>
      </c>
      <c r="B1750" s="80">
        <v>35353</v>
      </c>
      <c r="C1750">
        <v>4005.1999968588352</v>
      </c>
      <c r="D1750">
        <v>20</v>
      </c>
      <c r="E1750" t="s">
        <v>173</v>
      </c>
    </row>
    <row r="1751" spans="1:5">
      <c r="A1751">
        <v>10329</v>
      </c>
      <c r="B1751" s="80">
        <v>35353</v>
      </c>
      <c r="C1751">
        <v>346.55999972820285</v>
      </c>
      <c r="D1751">
        <v>12</v>
      </c>
      <c r="E1751" t="s">
        <v>173</v>
      </c>
    </row>
    <row r="1752" spans="1:5">
      <c r="A1752">
        <v>10329</v>
      </c>
      <c r="B1752" s="80">
        <v>35353</v>
      </c>
      <c r="C1752">
        <v>157.31999987661837</v>
      </c>
      <c r="D1752">
        <v>8</v>
      </c>
      <c r="E1752" t="s">
        <v>174</v>
      </c>
    </row>
    <row r="1753" spans="1:5">
      <c r="A1753">
        <v>10329</v>
      </c>
      <c r="B1753" s="80">
        <v>35353</v>
      </c>
      <c r="C1753">
        <v>4005.1999968588352</v>
      </c>
      <c r="D1753">
        <v>20</v>
      </c>
      <c r="E1753" t="s">
        <v>176</v>
      </c>
    </row>
    <row r="1754" spans="1:5">
      <c r="A1754">
        <v>10329</v>
      </c>
      <c r="B1754" s="80">
        <v>35353</v>
      </c>
      <c r="C1754">
        <v>346.55999972820285</v>
      </c>
      <c r="D1754">
        <v>12</v>
      </c>
      <c r="E1754" t="s">
        <v>174</v>
      </c>
    </row>
    <row r="1755" spans="1:5">
      <c r="A1755">
        <v>10329</v>
      </c>
      <c r="B1755" s="80">
        <v>35353</v>
      </c>
      <c r="C1755">
        <v>69.349999945610762</v>
      </c>
      <c r="D1755">
        <v>10</v>
      </c>
      <c r="E1755" t="s">
        <v>176</v>
      </c>
    </row>
    <row r="1756" spans="1:5">
      <c r="A1756">
        <v>10329</v>
      </c>
      <c r="B1756" s="80">
        <v>35353</v>
      </c>
      <c r="C1756">
        <v>346.55999972820285</v>
      </c>
      <c r="D1756">
        <v>12</v>
      </c>
      <c r="E1756" t="s">
        <v>177</v>
      </c>
    </row>
    <row r="1757" spans="1:5">
      <c r="A1757">
        <v>10329</v>
      </c>
      <c r="B1757" s="80">
        <v>35353</v>
      </c>
      <c r="C1757">
        <v>157.31999987661837</v>
      </c>
      <c r="D1757">
        <v>8</v>
      </c>
      <c r="E1757" t="s">
        <v>179</v>
      </c>
    </row>
    <row r="1758" spans="1:5">
      <c r="A1758">
        <v>10329</v>
      </c>
      <c r="B1758" s="80">
        <v>35353</v>
      </c>
      <c r="C1758">
        <v>4005.1999968588352</v>
      </c>
      <c r="D1758">
        <v>20</v>
      </c>
      <c r="E1758" t="s">
        <v>174</v>
      </c>
    </row>
    <row r="1759" spans="1:5">
      <c r="A1759">
        <v>10329</v>
      </c>
      <c r="B1759" s="80">
        <v>35353</v>
      </c>
      <c r="C1759">
        <v>69.349999945610762</v>
      </c>
      <c r="D1759">
        <v>10</v>
      </c>
      <c r="E1759" t="s">
        <v>179</v>
      </c>
    </row>
    <row r="1760" spans="1:5">
      <c r="A1760">
        <v>10329</v>
      </c>
      <c r="B1760" s="80">
        <v>35353</v>
      </c>
      <c r="C1760">
        <v>69.349999945610762</v>
      </c>
      <c r="D1760">
        <v>10</v>
      </c>
      <c r="E1760" t="s">
        <v>174</v>
      </c>
    </row>
    <row r="1761" spans="1:5">
      <c r="A1761">
        <v>10329</v>
      </c>
      <c r="B1761" s="80">
        <v>35353</v>
      </c>
      <c r="C1761">
        <v>346.55999972820285</v>
      </c>
      <c r="D1761">
        <v>12</v>
      </c>
      <c r="E1761" t="s">
        <v>176</v>
      </c>
    </row>
    <row r="1762" spans="1:5">
      <c r="A1762">
        <v>10330</v>
      </c>
      <c r="B1762" s="80">
        <v>35354</v>
      </c>
      <c r="C1762">
        <v>1058.2499925792217</v>
      </c>
      <c r="D1762">
        <v>50</v>
      </c>
      <c r="E1762" t="s">
        <v>173</v>
      </c>
    </row>
    <row r="1763" spans="1:5">
      <c r="A1763">
        <v>10330</v>
      </c>
      <c r="B1763" s="80">
        <v>35354</v>
      </c>
      <c r="C1763">
        <v>1058.2499925792217</v>
      </c>
      <c r="D1763">
        <v>50</v>
      </c>
      <c r="E1763" t="s">
        <v>175</v>
      </c>
    </row>
    <row r="1764" spans="1:5">
      <c r="A1764">
        <v>10330</v>
      </c>
      <c r="B1764" s="80">
        <v>35354</v>
      </c>
      <c r="C1764">
        <v>1058.2499925792217</v>
      </c>
      <c r="D1764">
        <v>50</v>
      </c>
      <c r="E1764" t="s">
        <v>174</v>
      </c>
    </row>
    <row r="1765" spans="1:5">
      <c r="A1765">
        <v>10330</v>
      </c>
      <c r="B1765" s="80">
        <v>35354</v>
      </c>
      <c r="C1765">
        <v>590.74999585747719</v>
      </c>
      <c r="D1765">
        <v>25</v>
      </c>
      <c r="E1765" t="s">
        <v>174</v>
      </c>
    </row>
    <row r="1766" spans="1:5">
      <c r="A1766">
        <v>10330</v>
      </c>
      <c r="B1766" s="80">
        <v>35354</v>
      </c>
      <c r="C1766">
        <v>590.74999585747719</v>
      </c>
      <c r="D1766">
        <v>25</v>
      </c>
      <c r="E1766" t="s">
        <v>178</v>
      </c>
    </row>
    <row r="1767" spans="1:5">
      <c r="A1767">
        <v>10330</v>
      </c>
      <c r="B1767" s="80">
        <v>35354</v>
      </c>
      <c r="C1767">
        <v>1058.2499925792217</v>
      </c>
      <c r="D1767">
        <v>50</v>
      </c>
      <c r="E1767" t="s">
        <v>178</v>
      </c>
    </row>
    <row r="1768" spans="1:5">
      <c r="A1768">
        <v>10330</v>
      </c>
      <c r="B1768" s="80">
        <v>35354</v>
      </c>
      <c r="C1768">
        <v>1058.2499925792217</v>
      </c>
      <c r="D1768">
        <v>50</v>
      </c>
      <c r="E1768" t="s">
        <v>177</v>
      </c>
    </row>
    <row r="1769" spans="1:5">
      <c r="A1769">
        <v>10330</v>
      </c>
      <c r="B1769" s="80">
        <v>35354</v>
      </c>
      <c r="C1769">
        <v>1058.2499925792217</v>
      </c>
      <c r="D1769">
        <v>50</v>
      </c>
      <c r="E1769" t="s">
        <v>172</v>
      </c>
    </row>
    <row r="1770" spans="1:5">
      <c r="A1770">
        <v>10330</v>
      </c>
      <c r="B1770" s="80">
        <v>35354</v>
      </c>
      <c r="C1770">
        <v>590.74999585747719</v>
      </c>
      <c r="D1770">
        <v>25</v>
      </c>
      <c r="E1770" t="s">
        <v>173</v>
      </c>
    </row>
    <row r="1771" spans="1:5">
      <c r="A1771">
        <v>10330</v>
      </c>
      <c r="B1771" s="80">
        <v>35354</v>
      </c>
      <c r="C1771">
        <v>590.74999585747719</v>
      </c>
      <c r="D1771">
        <v>25</v>
      </c>
      <c r="E1771" t="s">
        <v>176</v>
      </c>
    </row>
    <row r="1772" spans="1:5">
      <c r="A1772">
        <v>10330</v>
      </c>
      <c r="B1772" s="80">
        <v>35354</v>
      </c>
      <c r="C1772">
        <v>1058.2499925792217</v>
      </c>
      <c r="D1772">
        <v>50</v>
      </c>
      <c r="E1772" t="s">
        <v>176</v>
      </c>
    </row>
    <row r="1773" spans="1:5">
      <c r="A1773">
        <v>10330</v>
      </c>
      <c r="B1773" s="80">
        <v>35354</v>
      </c>
      <c r="C1773">
        <v>590.74999585747719</v>
      </c>
      <c r="D1773">
        <v>25</v>
      </c>
      <c r="E1773" t="s">
        <v>177</v>
      </c>
    </row>
    <row r="1774" spans="1:5">
      <c r="A1774">
        <v>10330</v>
      </c>
      <c r="B1774" s="80">
        <v>35354</v>
      </c>
      <c r="C1774">
        <v>590.74999585747719</v>
      </c>
      <c r="D1774">
        <v>25</v>
      </c>
      <c r="E1774" t="s">
        <v>175</v>
      </c>
    </row>
    <row r="1775" spans="1:5">
      <c r="A1775">
        <v>10330</v>
      </c>
      <c r="B1775" s="80">
        <v>35354</v>
      </c>
      <c r="C1775">
        <v>590.74999585747719</v>
      </c>
      <c r="D1775">
        <v>25</v>
      </c>
      <c r="E1775" t="s">
        <v>179</v>
      </c>
    </row>
    <row r="1776" spans="1:5">
      <c r="A1776">
        <v>10330</v>
      </c>
      <c r="B1776" s="80">
        <v>35354</v>
      </c>
      <c r="C1776">
        <v>1058.2499925792217</v>
      </c>
      <c r="D1776">
        <v>50</v>
      </c>
      <c r="E1776" t="s">
        <v>179</v>
      </c>
    </row>
    <row r="1777" spans="1:5">
      <c r="A1777">
        <v>10330</v>
      </c>
      <c r="B1777" s="80">
        <v>35354</v>
      </c>
      <c r="C1777">
        <v>590.74999585747719</v>
      </c>
      <c r="D1777">
        <v>25</v>
      </c>
      <c r="E1777" t="s">
        <v>172</v>
      </c>
    </row>
    <row r="1778" spans="1:5">
      <c r="A1778">
        <v>10331</v>
      </c>
      <c r="B1778" s="80">
        <v>35354</v>
      </c>
      <c r="C1778">
        <v>88.5</v>
      </c>
      <c r="D1778">
        <v>15</v>
      </c>
      <c r="E1778" t="s">
        <v>173</v>
      </c>
    </row>
    <row r="1779" spans="1:5">
      <c r="A1779">
        <v>10331</v>
      </c>
      <c r="B1779" s="80">
        <v>35354</v>
      </c>
      <c r="C1779">
        <v>88.5</v>
      </c>
      <c r="D1779">
        <v>15</v>
      </c>
      <c r="E1779" t="s">
        <v>175</v>
      </c>
    </row>
    <row r="1780" spans="1:5">
      <c r="A1780">
        <v>10331</v>
      </c>
      <c r="B1780" s="80">
        <v>35354</v>
      </c>
      <c r="C1780">
        <v>88.5</v>
      </c>
      <c r="D1780">
        <v>15</v>
      </c>
      <c r="E1780" t="s">
        <v>178</v>
      </c>
    </row>
    <row r="1781" spans="1:5">
      <c r="A1781">
        <v>10331</v>
      </c>
      <c r="B1781" s="80">
        <v>35354</v>
      </c>
      <c r="C1781">
        <v>88.5</v>
      </c>
      <c r="D1781">
        <v>15</v>
      </c>
      <c r="E1781" t="s">
        <v>174</v>
      </c>
    </row>
    <row r="1782" spans="1:5">
      <c r="A1782">
        <v>10331</v>
      </c>
      <c r="B1782" s="80">
        <v>35354</v>
      </c>
      <c r="C1782">
        <v>88.5</v>
      </c>
      <c r="D1782">
        <v>15</v>
      </c>
      <c r="E1782" t="s">
        <v>172</v>
      </c>
    </row>
    <row r="1783" spans="1:5">
      <c r="A1783">
        <v>10331</v>
      </c>
      <c r="B1783" s="80">
        <v>35354</v>
      </c>
      <c r="C1783">
        <v>88.5</v>
      </c>
      <c r="D1783">
        <v>15</v>
      </c>
      <c r="E1783" t="s">
        <v>176</v>
      </c>
    </row>
    <row r="1784" spans="1:5">
      <c r="A1784">
        <v>10331</v>
      </c>
      <c r="B1784" s="80">
        <v>35354</v>
      </c>
      <c r="C1784">
        <v>88.5</v>
      </c>
      <c r="D1784">
        <v>15</v>
      </c>
      <c r="E1784" t="s">
        <v>179</v>
      </c>
    </row>
    <row r="1785" spans="1:5">
      <c r="A1785">
        <v>10331</v>
      </c>
      <c r="B1785" s="80">
        <v>35354</v>
      </c>
      <c r="C1785">
        <v>88.5</v>
      </c>
      <c r="D1785">
        <v>15</v>
      </c>
      <c r="E1785" t="s">
        <v>177</v>
      </c>
    </row>
    <row r="1786" spans="1:5">
      <c r="A1786">
        <v>10332</v>
      </c>
      <c r="B1786" s="80">
        <v>35355</v>
      </c>
      <c r="C1786">
        <v>89.599999666213989</v>
      </c>
      <c r="D1786">
        <v>10</v>
      </c>
      <c r="E1786" t="s">
        <v>172</v>
      </c>
    </row>
    <row r="1787" spans="1:5">
      <c r="A1787">
        <v>10332</v>
      </c>
      <c r="B1787" s="80">
        <v>35355</v>
      </c>
      <c r="C1787">
        <v>89.599999666213989</v>
      </c>
      <c r="D1787">
        <v>10</v>
      </c>
      <c r="E1787" t="s">
        <v>177</v>
      </c>
    </row>
    <row r="1788" spans="1:5">
      <c r="A1788">
        <v>10332</v>
      </c>
      <c r="B1788" s="80">
        <v>35355</v>
      </c>
      <c r="C1788">
        <v>97.279999637603751</v>
      </c>
      <c r="D1788">
        <v>16</v>
      </c>
      <c r="E1788" t="s">
        <v>179</v>
      </c>
    </row>
    <row r="1789" spans="1:5">
      <c r="A1789">
        <v>10332</v>
      </c>
      <c r="B1789" s="80">
        <v>35355</v>
      </c>
      <c r="C1789">
        <v>97.279999637603751</v>
      </c>
      <c r="D1789">
        <v>16</v>
      </c>
      <c r="E1789" t="s">
        <v>174</v>
      </c>
    </row>
    <row r="1790" spans="1:5">
      <c r="A1790">
        <v>10332</v>
      </c>
      <c r="B1790" s="80">
        <v>35355</v>
      </c>
      <c r="C1790">
        <v>89.599999666213989</v>
      </c>
      <c r="D1790">
        <v>10</v>
      </c>
      <c r="E1790" t="s">
        <v>174</v>
      </c>
    </row>
    <row r="1791" spans="1:5">
      <c r="A1791">
        <v>10332</v>
      </c>
      <c r="B1791" s="80">
        <v>35355</v>
      </c>
      <c r="C1791">
        <v>1599.9999940395355</v>
      </c>
      <c r="D1791">
        <v>40</v>
      </c>
      <c r="E1791" t="s">
        <v>174</v>
      </c>
    </row>
    <row r="1792" spans="1:5">
      <c r="A1792">
        <v>10332</v>
      </c>
      <c r="B1792" s="80">
        <v>35355</v>
      </c>
      <c r="C1792">
        <v>89.599999666213989</v>
      </c>
      <c r="D1792">
        <v>10</v>
      </c>
      <c r="E1792" t="s">
        <v>176</v>
      </c>
    </row>
    <row r="1793" spans="1:5">
      <c r="A1793">
        <v>10332</v>
      </c>
      <c r="B1793" s="80">
        <v>35355</v>
      </c>
      <c r="C1793">
        <v>97.279999637603751</v>
      </c>
      <c r="D1793">
        <v>16</v>
      </c>
      <c r="E1793" t="s">
        <v>172</v>
      </c>
    </row>
    <row r="1794" spans="1:5">
      <c r="A1794">
        <v>10332</v>
      </c>
      <c r="B1794" s="80">
        <v>35355</v>
      </c>
      <c r="C1794">
        <v>97.279999637603751</v>
      </c>
      <c r="D1794">
        <v>16</v>
      </c>
      <c r="E1794" t="s">
        <v>176</v>
      </c>
    </row>
    <row r="1795" spans="1:5">
      <c r="A1795">
        <v>10332</v>
      </c>
      <c r="B1795" s="80">
        <v>35355</v>
      </c>
      <c r="C1795">
        <v>1599.9999940395355</v>
      </c>
      <c r="D1795">
        <v>40</v>
      </c>
      <c r="E1795" t="s">
        <v>179</v>
      </c>
    </row>
    <row r="1796" spans="1:5">
      <c r="A1796">
        <v>10332</v>
      </c>
      <c r="B1796" s="80">
        <v>35355</v>
      </c>
      <c r="C1796">
        <v>97.279999637603751</v>
      </c>
      <c r="D1796">
        <v>16</v>
      </c>
      <c r="E1796" t="s">
        <v>177</v>
      </c>
    </row>
    <row r="1797" spans="1:5">
      <c r="A1797">
        <v>10332</v>
      </c>
      <c r="B1797" s="80">
        <v>35355</v>
      </c>
      <c r="C1797">
        <v>1599.9999940395355</v>
      </c>
      <c r="D1797">
        <v>40</v>
      </c>
      <c r="E1797" t="s">
        <v>177</v>
      </c>
    </row>
    <row r="1798" spans="1:5">
      <c r="A1798">
        <v>10332</v>
      </c>
      <c r="B1798" s="80">
        <v>35355</v>
      </c>
      <c r="C1798">
        <v>1599.9999940395355</v>
      </c>
      <c r="D1798">
        <v>40</v>
      </c>
      <c r="E1798" t="s">
        <v>173</v>
      </c>
    </row>
    <row r="1799" spans="1:5">
      <c r="A1799">
        <v>10332</v>
      </c>
      <c r="B1799" s="80">
        <v>35355</v>
      </c>
      <c r="C1799">
        <v>89.599999666213989</v>
      </c>
      <c r="D1799">
        <v>10</v>
      </c>
      <c r="E1799" t="s">
        <v>173</v>
      </c>
    </row>
    <row r="1800" spans="1:5">
      <c r="A1800">
        <v>10332</v>
      </c>
      <c r="B1800" s="80">
        <v>35355</v>
      </c>
      <c r="C1800">
        <v>97.279999637603751</v>
      </c>
      <c r="D1800">
        <v>16</v>
      </c>
      <c r="E1800" t="s">
        <v>173</v>
      </c>
    </row>
    <row r="1801" spans="1:5">
      <c r="A1801">
        <v>10332</v>
      </c>
      <c r="B1801" s="80">
        <v>35355</v>
      </c>
      <c r="C1801">
        <v>1599.9999940395355</v>
      </c>
      <c r="D1801">
        <v>40</v>
      </c>
      <c r="E1801" t="s">
        <v>176</v>
      </c>
    </row>
    <row r="1802" spans="1:5">
      <c r="A1802">
        <v>10332</v>
      </c>
      <c r="B1802" s="80">
        <v>35355</v>
      </c>
      <c r="C1802">
        <v>97.279999637603751</v>
      </c>
      <c r="D1802">
        <v>16</v>
      </c>
      <c r="E1802" t="s">
        <v>178</v>
      </c>
    </row>
    <row r="1803" spans="1:5">
      <c r="A1803">
        <v>10332</v>
      </c>
      <c r="B1803" s="80">
        <v>35355</v>
      </c>
      <c r="C1803">
        <v>89.599999666213989</v>
      </c>
      <c r="D1803">
        <v>10</v>
      </c>
      <c r="E1803" t="s">
        <v>178</v>
      </c>
    </row>
    <row r="1804" spans="1:5">
      <c r="A1804">
        <v>10332</v>
      </c>
      <c r="B1804" s="80">
        <v>35355</v>
      </c>
      <c r="C1804">
        <v>1599.9999940395355</v>
      </c>
      <c r="D1804">
        <v>40</v>
      </c>
      <c r="E1804" t="s">
        <v>178</v>
      </c>
    </row>
    <row r="1805" spans="1:5">
      <c r="A1805">
        <v>10332</v>
      </c>
      <c r="B1805" s="80">
        <v>35355</v>
      </c>
      <c r="C1805">
        <v>89.599999666213989</v>
      </c>
      <c r="D1805">
        <v>10</v>
      </c>
      <c r="E1805" t="s">
        <v>179</v>
      </c>
    </row>
    <row r="1806" spans="1:5">
      <c r="A1806">
        <v>10332</v>
      </c>
      <c r="B1806" s="80">
        <v>35355</v>
      </c>
      <c r="C1806">
        <v>97.279999637603751</v>
      </c>
      <c r="D1806">
        <v>16</v>
      </c>
      <c r="E1806" t="s">
        <v>175</v>
      </c>
    </row>
    <row r="1807" spans="1:5">
      <c r="A1807">
        <v>10332</v>
      </c>
      <c r="B1807" s="80">
        <v>35355</v>
      </c>
      <c r="C1807">
        <v>1599.9999940395355</v>
      </c>
      <c r="D1807">
        <v>40</v>
      </c>
      <c r="E1807" t="s">
        <v>172</v>
      </c>
    </row>
    <row r="1808" spans="1:5">
      <c r="A1808">
        <v>10332</v>
      </c>
      <c r="B1808" s="80">
        <v>35355</v>
      </c>
      <c r="C1808">
        <v>1599.9999940395355</v>
      </c>
      <c r="D1808">
        <v>40</v>
      </c>
      <c r="E1808" t="s">
        <v>175</v>
      </c>
    </row>
    <row r="1809" spans="1:5">
      <c r="A1809">
        <v>10332</v>
      </c>
      <c r="B1809" s="80">
        <v>35355</v>
      </c>
      <c r="C1809">
        <v>89.599999666213989</v>
      </c>
      <c r="D1809">
        <v>10</v>
      </c>
      <c r="E1809" t="s">
        <v>175</v>
      </c>
    </row>
    <row r="1810" spans="1:5">
      <c r="A1810">
        <v>10333</v>
      </c>
      <c r="B1810" s="80">
        <v>35356</v>
      </c>
      <c r="C1810">
        <v>71.99999988079071</v>
      </c>
      <c r="D1810">
        <v>10</v>
      </c>
      <c r="E1810" t="s">
        <v>175</v>
      </c>
    </row>
    <row r="1811" spans="1:5">
      <c r="A1811">
        <v>10333</v>
      </c>
      <c r="B1811" s="80">
        <v>35356</v>
      </c>
      <c r="C1811">
        <v>186</v>
      </c>
      <c r="D1811">
        <v>10</v>
      </c>
      <c r="E1811" t="s">
        <v>174</v>
      </c>
    </row>
    <row r="1812" spans="1:5">
      <c r="A1812">
        <v>10333</v>
      </c>
      <c r="B1812" s="80">
        <v>35356</v>
      </c>
      <c r="C1812">
        <v>71.99999988079071</v>
      </c>
      <c r="D1812">
        <v>10</v>
      </c>
      <c r="E1812" t="s">
        <v>174</v>
      </c>
    </row>
    <row r="1813" spans="1:5">
      <c r="A1813">
        <v>10333</v>
      </c>
      <c r="B1813" s="80">
        <v>35356</v>
      </c>
      <c r="C1813">
        <v>619.19999897480011</v>
      </c>
      <c r="D1813">
        <v>40</v>
      </c>
      <c r="E1813" t="s">
        <v>174</v>
      </c>
    </row>
    <row r="1814" spans="1:5">
      <c r="A1814">
        <v>10333</v>
      </c>
      <c r="B1814" s="80">
        <v>35356</v>
      </c>
      <c r="C1814">
        <v>186</v>
      </c>
      <c r="D1814">
        <v>10</v>
      </c>
      <c r="E1814" t="s">
        <v>176</v>
      </c>
    </row>
    <row r="1815" spans="1:5">
      <c r="A1815">
        <v>10333</v>
      </c>
      <c r="B1815" s="80">
        <v>35356</v>
      </c>
      <c r="C1815">
        <v>619.19999897480011</v>
      </c>
      <c r="D1815">
        <v>40</v>
      </c>
      <c r="E1815" t="s">
        <v>175</v>
      </c>
    </row>
    <row r="1816" spans="1:5">
      <c r="A1816">
        <v>10333</v>
      </c>
      <c r="B1816" s="80">
        <v>35356</v>
      </c>
      <c r="C1816">
        <v>619.19999897480011</v>
      </c>
      <c r="D1816">
        <v>40</v>
      </c>
      <c r="E1816" t="s">
        <v>173</v>
      </c>
    </row>
    <row r="1817" spans="1:5">
      <c r="A1817">
        <v>10333</v>
      </c>
      <c r="B1817" s="80">
        <v>35356</v>
      </c>
      <c r="C1817">
        <v>186</v>
      </c>
      <c r="D1817">
        <v>10</v>
      </c>
      <c r="E1817" t="s">
        <v>177</v>
      </c>
    </row>
    <row r="1818" spans="1:5">
      <c r="A1818">
        <v>10333</v>
      </c>
      <c r="B1818" s="80">
        <v>35356</v>
      </c>
      <c r="C1818">
        <v>71.99999988079071</v>
      </c>
      <c r="D1818">
        <v>10</v>
      </c>
      <c r="E1818" t="s">
        <v>179</v>
      </c>
    </row>
    <row r="1819" spans="1:5">
      <c r="A1819">
        <v>10333</v>
      </c>
      <c r="B1819" s="80">
        <v>35356</v>
      </c>
      <c r="C1819">
        <v>186</v>
      </c>
      <c r="D1819">
        <v>10</v>
      </c>
      <c r="E1819" t="s">
        <v>172</v>
      </c>
    </row>
    <row r="1820" spans="1:5">
      <c r="A1820">
        <v>10333</v>
      </c>
      <c r="B1820" s="80">
        <v>35356</v>
      </c>
      <c r="C1820">
        <v>186</v>
      </c>
      <c r="D1820">
        <v>10</v>
      </c>
      <c r="E1820" t="s">
        <v>179</v>
      </c>
    </row>
    <row r="1821" spans="1:5">
      <c r="A1821">
        <v>10333</v>
      </c>
      <c r="B1821" s="80">
        <v>35356</v>
      </c>
      <c r="C1821">
        <v>71.99999988079071</v>
      </c>
      <c r="D1821">
        <v>10</v>
      </c>
      <c r="E1821" t="s">
        <v>173</v>
      </c>
    </row>
    <row r="1822" spans="1:5">
      <c r="A1822">
        <v>10333</v>
      </c>
      <c r="B1822" s="80">
        <v>35356</v>
      </c>
      <c r="C1822">
        <v>186</v>
      </c>
      <c r="D1822">
        <v>10</v>
      </c>
      <c r="E1822" t="s">
        <v>173</v>
      </c>
    </row>
    <row r="1823" spans="1:5">
      <c r="A1823">
        <v>10333</v>
      </c>
      <c r="B1823" s="80">
        <v>35356</v>
      </c>
      <c r="C1823">
        <v>619.19999897480011</v>
      </c>
      <c r="D1823">
        <v>40</v>
      </c>
      <c r="E1823" t="s">
        <v>178</v>
      </c>
    </row>
    <row r="1824" spans="1:5">
      <c r="A1824">
        <v>10333</v>
      </c>
      <c r="B1824" s="80">
        <v>35356</v>
      </c>
      <c r="C1824">
        <v>71.99999988079071</v>
      </c>
      <c r="D1824">
        <v>10</v>
      </c>
      <c r="E1824" t="s">
        <v>176</v>
      </c>
    </row>
    <row r="1825" spans="1:5">
      <c r="A1825">
        <v>10333</v>
      </c>
      <c r="B1825" s="80">
        <v>35356</v>
      </c>
      <c r="C1825">
        <v>619.19999897480011</v>
      </c>
      <c r="D1825">
        <v>40</v>
      </c>
      <c r="E1825" t="s">
        <v>179</v>
      </c>
    </row>
    <row r="1826" spans="1:5">
      <c r="A1826">
        <v>10333</v>
      </c>
      <c r="B1826" s="80">
        <v>35356</v>
      </c>
      <c r="C1826">
        <v>71.99999988079071</v>
      </c>
      <c r="D1826">
        <v>10</v>
      </c>
      <c r="E1826" t="s">
        <v>172</v>
      </c>
    </row>
    <row r="1827" spans="1:5">
      <c r="A1827">
        <v>10333</v>
      </c>
      <c r="B1827" s="80">
        <v>35356</v>
      </c>
      <c r="C1827">
        <v>619.19999897480011</v>
      </c>
      <c r="D1827">
        <v>40</v>
      </c>
      <c r="E1827" t="s">
        <v>172</v>
      </c>
    </row>
    <row r="1828" spans="1:5">
      <c r="A1828">
        <v>10333</v>
      </c>
      <c r="B1828" s="80">
        <v>35356</v>
      </c>
      <c r="C1828">
        <v>71.99999988079071</v>
      </c>
      <c r="D1828">
        <v>10</v>
      </c>
      <c r="E1828" t="s">
        <v>177</v>
      </c>
    </row>
    <row r="1829" spans="1:5">
      <c r="A1829">
        <v>10333</v>
      </c>
      <c r="B1829" s="80">
        <v>35356</v>
      </c>
      <c r="C1829">
        <v>619.19999897480011</v>
      </c>
      <c r="D1829">
        <v>40</v>
      </c>
      <c r="E1829" t="s">
        <v>176</v>
      </c>
    </row>
    <row r="1830" spans="1:5">
      <c r="A1830">
        <v>10333</v>
      </c>
      <c r="B1830" s="80">
        <v>35356</v>
      </c>
      <c r="C1830">
        <v>186</v>
      </c>
      <c r="D1830">
        <v>10</v>
      </c>
      <c r="E1830" t="s">
        <v>175</v>
      </c>
    </row>
    <row r="1831" spans="1:5">
      <c r="A1831">
        <v>10333</v>
      </c>
      <c r="B1831" s="80">
        <v>35356</v>
      </c>
      <c r="C1831">
        <v>186</v>
      </c>
      <c r="D1831">
        <v>10</v>
      </c>
      <c r="E1831" t="s">
        <v>178</v>
      </c>
    </row>
    <row r="1832" spans="1:5">
      <c r="A1832">
        <v>10333</v>
      </c>
      <c r="B1832" s="80">
        <v>35356</v>
      </c>
      <c r="C1832">
        <v>71.99999988079071</v>
      </c>
      <c r="D1832">
        <v>10</v>
      </c>
      <c r="E1832" t="s">
        <v>178</v>
      </c>
    </row>
    <row r="1833" spans="1:5">
      <c r="A1833">
        <v>10333</v>
      </c>
      <c r="B1833" s="80">
        <v>35356</v>
      </c>
      <c r="C1833">
        <v>619.19999897480011</v>
      </c>
      <c r="D1833">
        <v>40</v>
      </c>
      <c r="E1833" t="s">
        <v>177</v>
      </c>
    </row>
    <row r="1834" spans="1:5">
      <c r="A1834">
        <v>10334</v>
      </c>
      <c r="B1834" s="80">
        <v>35359</v>
      </c>
      <c r="C1834">
        <v>44.8</v>
      </c>
      <c r="D1834">
        <v>8</v>
      </c>
      <c r="E1834" t="s">
        <v>176</v>
      </c>
    </row>
    <row r="1835" spans="1:5">
      <c r="A1835">
        <v>10334</v>
      </c>
      <c r="B1835" s="80">
        <v>35359</v>
      </c>
      <c r="C1835">
        <v>100</v>
      </c>
      <c r="D1835">
        <v>10</v>
      </c>
      <c r="E1835" t="s">
        <v>179</v>
      </c>
    </row>
    <row r="1836" spans="1:5">
      <c r="A1836">
        <v>10334</v>
      </c>
      <c r="B1836" s="80">
        <v>35359</v>
      </c>
      <c r="C1836">
        <v>100</v>
      </c>
      <c r="D1836">
        <v>10</v>
      </c>
      <c r="E1836" t="s">
        <v>176</v>
      </c>
    </row>
    <row r="1837" spans="1:5">
      <c r="A1837">
        <v>10334</v>
      </c>
      <c r="B1837" s="80">
        <v>35359</v>
      </c>
      <c r="C1837">
        <v>100</v>
      </c>
      <c r="D1837">
        <v>10</v>
      </c>
      <c r="E1837" t="s">
        <v>177</v>
      </c>
    </row>
    <row r="1838" spans="1:5">
      <c r="A1838">
        <v>10334</v>
      </c>
      <c r="B1838" s="80">
        <v>35359</v>
      </c>
      <c r="C1838">
        <v>100</v>
      </c>
      <c r="D1838">
        <v>10</v>
      </c>
      <c r="E1838" t="s">
        <v>174</v>
      </c>
    </row>
    <row r="1839" spans="1:5">
      <c r="A1839">
        <v>10334</v>
      </c>
      <c r="B1839" s="80">
        <v>35359</v>
      </c>
      <c r="C1839">
        <v>44.8</v>
      </c>
      <c r="D1839">
        <v>8</v>
      </c>
      <c r="E1839" t="s">
        <v>178</v>
      </c>
    </row>
    <row r="1840" spans="1:5">
      <c r="A1840">
        <v>10334</v>
      </c>
      <c r="B1840" s="80">
        <v>35359</v>
      </c>
      <c r="C1840">
        <v>100</v>
      </c>
      <c r="D1840">
        <v>10</v>
      </c>
      <c r="E1840" t="s">
        <v>178</v>
      </c>
    </row>
    <row r="1841" spans="1:5">
      <c r="A1841">
        <v>10334</v>
      </c>
      <c r="B1841" s="80">
        <v>35359</v>
      </c>
      <c r="C1841">
        <v>44.8</v>
      </c>
      <c r="D1841">
        <v>8</v>
      </c>
      <c r="E1841" t="s">
        <v>177</v>
      </c>
    </row>
    <row r="1842" spans="1:5">
      <c r="A1842">
        <v>10334</v>
      </c>
      <c r="B1842" s="80">
        <v>35359</v>
      </c>
      <c r="C1842">
        <v>100</v>
      </c>
      <c r="D1842">
        <v>10</v>
      </c>
      <c r="E1842" t="s">
        <v>173</v>
      </c>
    </row>
    <row r="1843" spans="1:5">
      <c r="A1843">
        <v>10334</v>
      </c>
      <c r="B1843" s="80">
        <v>35359</v>
      </c>
      <c r="C1843">
        <v>44.8</v>
      </c>
      <c r="D1843">
        <v>8</v>
      </c>
      <c r="E1843" t="s">
        <v>172</v>
      </c>
    </row>
    <row r="1844" spans="1:5">
      <c r="A1844">
        <v>10334</v>
      </c>
      <c r="B1844" s="80">
        <v>35359</v>
      </c>
      <c r="C1844">
        <v>100</v>
      </c>
      <c r="D1844">
        <v>10</v>
      </c>
      <c r="E1844" t="s">
        <v>172</v>
      </c>
    </row>
    <row r="1845" spans="1:5">
      <c r="A1845">
        <v>10334</v>
      </c>
      <c r="B1845" s="80">
        <v>35359</v>
      </c>
      <c r="C1845">
        <v>100</v>
      </c>
      <c r="D1845">
        <v>10</v>
      </c>
      <c r="E1845" t="s">
        <v>175</v>
      </c>
    </row>
    <row r="1846" spans="1:5">
      <c r="A1846">
        <v>10334</v>
      </c>
      <c r="B1846" s="80">
        <v>35359</v>
      </c>
      <c r="C1846">
        <v>44.8</v>
      </c>
      <c r="D1846">
        <v>8</v>
      </c>
      <c r="E1846" t="s">
        <v>175</v>
      </c>
    </row>
    <row r="1847" spans="1:5">
      <c r="A1847">
        <v>10334</v>
      </c>
      <c r="B1847" s="80">
        <v>35359</v>
      </c>
      <c r="C1847">
        <v>44.8</v>
      </c>
      <c r="D1847">
        <v>8</v>
      </c>
      <c r="E1847" t="s">
        <v>173</v>
      </c>
    </row>
    <row r="1848" spans="1:5">
      <c r="A1848">
        <v>10334</v>
      </c>
      <c r="B1848" s="80">
        <v>35359</v>
      </c>
      <c r="C1848">
        <v>44.8</v>
      </c>
      <c r="D1848">
        <v>8</v>
      </c>
      <c r="E1848" t="s">
        <v>179</v>
      </c>
    </row>
    <row r="1849" spans="1:5">
      <c r="A1849">
        <v>10334</v>
      </c>
      <c r="B1849" s="80">
        <v>35359</v>
      </c>
      <c r="C1849">
        <v>44.8</v>
      </c>
      <c r="D1849">
        <v>8</v>
      </c>
      <c r="E1849" t="s">
        <v>174</v>
      </c>
    </row>
    <row r="1850" spans="1:5">
      <c r="A1850">
        <v>10335</v>
      </c>
      <c r="B1850" s="80">
        <v>35360</v>
      </c>
      <c r="C1850">
        <v>1628.1599939346313</v>
      </c>
      <c r="D1850">
        <v>48</v>
      </c>
      <c r="E1850" t="s">
        <v>176</v>
      </c>
    </row>
    <row r="1851" spans="1:5">
      <c r="A1851">
        <v>10335</v>
      </c>
      <c r="B1851" s="80">
        <v>35360</v>
      </c>
      <c r="C1851">
        <v>85.119999682903298</v>
      </c>
      <c r="D1851">
        <v>7</v>
      </c>
      <c r="E1851" t="s">
        <v>178</v>
      </c>
    </row>
    <row r="1852" spans="1:5">
      <c r="A1852">
        <v>10335</v>
      </c>
      <c r="B1852" s="80">
        <v>35360</v>
      </c>
      <c r="C1852">
        <v>122.87999954223632</v>
      </c>
      <c r="D1852">
        <v>6</v>
      </c>
      <c r="E1852" t="s">
        <v>174</v>
      </c>
    </row>
    <row r="1853" spans="1:5">
      <c r="A1853">
        <v>10335</v>
      </c>
      <c r="B1853" s="80">
        <v>35360</v>
      </c>
      <c r="C1853">
        <v>1628.1599939346313</v>
      </c>
      <c r="D1853">
        <v>48</v>
      </c>
      <c r="E1853" t="s">
        <v>174</v>
      </c>
    </row>
    <row r="1854" spans="1:5">
      <c r="A1854">
        <v>10335</v>
      </c>
      <c r="B1854" s="80">
        <v>35360</v>
      </c>
      <c r="C1854">
        <v>1628.1599939346313</v>
      </c>
      <c r="D1854">
        <v>48</v>
      </c>
      <c r="E1854" t="s">
        <v>173</v>
      </c>
    </row>
    <row r="1855" spans="1:5">
      <c r="A1855">
        <v>10335</v>
      </c>
      <c r="B1855" s="80">
        <v>35360</v>
      </c>
      <c r="C1855">
        <v>85.119999682903298</v>
      </c>
      <c r="D1855">
        <v>7</v>
      </c>
      <c r="E1855" t="s">
        <v>176</v>
      </c>
    </row>
    <row r="1856" spans="1:5">
      <c r="A1856">
        <v>10335</v>
      </c>
      <c r="B1856" s="80">
        <v>35360</v>
      </c>
      <c r="C1856">
        <v>122.87999954223632</v>
      </c>
      <c r="D1856">
        <v>6</v>
      </c>
      <c r="E1856" t="s">
        <v>176</v>
      </c>
    </row>
    <row r="1857" spans="1:5">
      <c r="A1857">
        <v>10335</v>
      </c>
      <c r="B1857" s="80">
        <v>35360</v>
      </c>
      <c r="C1857">
        <v>199.99999925494194</v>
      </c>
      <c r="D1857">
        <v>25</v>
      </c>
      <c r="E1857" t="s">
        <v>178</v>
      </c>
    </row>
    <row r="1858" spans="1:5">
      <c r="A1858">
        <v>10335</v>
      </c>
      <c r="B1858" s="80">
        <v>35360</v>
      </c>
      <c r="C1858">
        <v>199.99999925494194</v>
      </c>
      <c r="D1858">
        <v>25</v>
      </c>
      <c r="E1858" t="s">
        <v>173</v>
      </c>
    </row>
    <row r="1859" spans="1:5">
      <c r="A1859">
        <v>10335</v>
      </c>
      <c r="B1859" s="80">
        <v>35360</v>
      </c>
      <c r="C1859">
        <v>122.87999954223632</v>
      </c>
      <c r="D1859">
        <v>6</v>
      </c>
      <c r="E1859" t="s">
        <v>173</v>
      </c>
    </row>
    <row r="1860" spans="1:5">
      <c r="A1860">
        <v>10335</v>
      </c>
      <c r="B1860" s="80">
        <v>35360</v>
      </c>
      <c r="C1860">
        <v>85.119999682903298</v>
      </c>
      <c r="D1860">
        <v>7</v>
      </c>
      <c r="E1860" t="s">
        <v>173</v>
      </c>
    </row>
    <row r="1861" spans="1:5">
      <c r="A1861">
        <v>10335</v>
      </c>
      <c r="B1861" s="80">
        <v>35360</v>
      </c>
      <c r="C1861">
        <v>199.99999925494194</v>
      </c>
      <c r="D1861">
        <v>25</v>
      </c>
      <c r="E1861" t="s">
        <v>176</v>
      </c>
    </row>
    <row r="1862" spans="1:5">
      <c r="A1862">
        <v>10335</v>
      </c>
      <c r="B1862" s="80">
        <v>35360</v>
      </c>
      <c r="C1862">
        <v>122.87999954223632</v>
      </c>
      <c r="D1862">
        <v>6</v>
      </c>
      <c r="E1862" t="s">
        <v>179</v>
      </c>
    </row>
    <row r="1863" spans="1:5">
      <c r="A1863">
        <v>10335</v>
      </c>
      <c r="B1863" s="80">
        <v>35360</v>
      </c>
      <c r="C1863">
        <v>199.99999925494194</v>
      </c>
      <c r="D1863">
        <v>25</v>
      </c>
      <c r="E1863" t="s">
        <v>177</v>
      </c>
    </row>
    <row r="1864" spans="1:5">
      <c r="A1864">
        <v>10335</v>
      </c>
      <c r="B1864" s="80">
        <v>35360</v>
      </c>
      <c r="C1864">
        <v>85.119999682903298</v>
      </c>
      <c r="D1864">
        <v>7</v>
      </c>
      <c r="E1864" t="s">
        <v>177</v>
      </c>
    </row>
    <row r="1865" spans="1:5">
      <c r="A1865">
        <v>10335</v>
      </c>
      <c r="B1865" s="80">
        <v>35360</v>
      </c>
      <c r="C1865">
        <v>1628.1599939346313</v>
      </c>
      <c r="D1865">
        <v>48</v>
      </c>
      <c r="E1865" t="s">
        <v>177</v>
      </c>
    </row>
    <row r="1866" spans="1:5">
      <c r="A1866">
        <v>10335</v>
      </c>
      <c r="B1866" s="80">
        <v>35360</v>
      </c>
      <c r="C1866">
        <v>1628.1599939346313</v>
      </c>
      <c r="D1866">
        <v>48</v>
      </c>
      <c r="E1866" t="s">
        <v>172</v>
      </c>
    </row>
    <row r="1867" spans="1:5">
      <c r="A1867">
        <v>10335</v>
      </c>
      <c r="B1867" s="80">
        <v>35360</v>
      </c>
      <c r="C1867">
        <v>122.87999954223632</v>
      </c>
      <c r="D1867">
        <v>6</v>
      </c>
      <c r="E1867" t="s">
        <v>172</v>
      </c>
    </row>
    <row r="1868" spans="1:5">
      <c r="A1868">
        <v>10335</v>
      </c>
      <c r="B1868" s="80">
        <v>35360</v>
      </c>
      <c r="C1868">
        <v>199.99999925494194</v>
      </c>
      <c r="D1868">
        <v>25</v>
      </c>
      <c r="E1868" t="s">
        <v>172</v>
      </c>
    </row>
    <row r="1869" spans="1:5">
      <c r="A1869">
        <v>10335</v>
      </c>
      <c r="B1869" s="80">
        <v>35360</v>
      </c>
      <c r="C1869">
        <v>85.119999682903298</v>
      </c>
      <c r="D1869">
        <v>7</v>
      </c>
      <c r="E1869" t="s">
        <v>172</v>
      </c>
    </row>
    <row r="1870" spans="1:5">
      <c r="A1870">
        <v>10335</v>
      </c>
      <c r="B1870" s="80">
        <v>35360</v>
      </c>
      <c r="C1870">
        <v>1628.1599939346313</v>
      </c>
      <c r="D1870">
        <v>48</v>
      </c>
      <c r="E1870" t="s">
        <v>179</v>
      </c>
    </row>
    <row r="1871" spans="1:5">
      <c r="A1871">
        <v>10335</v>
      </c>
      <c r="B1871" s="80">
        <v>35360</v>
      </c>
      <c r="C1871">
        <v>122.87999954223632</v>
      </c>
      <c r="D1871">
        <v>6</v>
      </c>
      <c r="E1871" t="s">
        <v>178</v>
      </c>
    </row>
    <row r="1872" spans="1:5">
      <c r="A1872">
        <v>10335</v>
      </c>
      <c r="B1872" s="80">
        <v>35360</v>
      </c>
      <c r="C1872">
        <v>199.99999925494194</v>
      </c>
      <c r="D1872">
        <v>25</v>
      </c>
      <c r="E1872" t="s">
        <v>179</v>
      </c>
    </row>
    <row r="1873" spans="1:5">
      <c r="A1873">
        <v>10335</v>
      </c>
      <c r="B1873" s="80">
        <v>35360</v>
      </c>
      <c r="C1873">
        <v>85.119999682903298</v>
      </c>
      <c r="D1873">
        <v>7</v>
      </c>
      <c r="E1873" t="s">
        <v>179</v>
      </c>
    </row>
    <row r="1874" spans="1:5">
      <c r="A1874">
        <v>10335</v>
      </c>
      <c r="B1874" s="80">
        <v>35360</v>
      </c>
      <c r="C1874">
        <v>199.99999925494194</v>
      </c>
      <c r="D1874">
        <v>25</v>
      </c>
      <c r="E1874" t="s">
        <v>175</v>
      </c>
    </row>
    <row r="1875" spans="1:5">
      <c r="A1875">
        <v>10335</v>
      </c>
      <c r="B1875" s="80">
        <v>35360</v>
      </c>
      <c r="C1875">
        <v>85.119999682903298</v>
      </c>
      <c r="D1875">
        <v>7</v>
      </c>
      <c r="E1875" t="s">
        <v>174</v>
      </c>
    </row>
    <row r="1876" spans="1:5">
      <c r="A1876">
        <v>10335</v>
      </c>
      <c r="B1876" s="80">
        <v>35360</v>
      </c>
      <c r="C1876">
        <v>122.87999954223632</v>
      </c>
      <c r="D1876">
        <v>6</v>
      </c>
      <c r="E1876" t="s">
        <v>177</v>
      </c>
    </row>
    <row r="1877" spans="1:5">
      <c r="A1877">
        <v>10335</v>
      </c>
      <c r="B1877" s="80">
        <v>35360</v>
      </c>
      <c r="C1877">
        <v>199.99999925494194</v>
      </c>
      <c r="D1877">
        <v>25</v>
      </c>
      <c r="E1877" t="s">
        <v>174</v>
      </c>
    </row>
    <row r="1878" spans="1:5">
      <c r="A1878">
        <v>10335</v>
      </c>
      <c r="B1878" s="80">
        <v>35360</v>
      </c>
      <c r="C1878">
        <v>1628.1599939346313</v>
      </c>
      <c r="D1878">
        <v>48</v>
      </c>
      <c r="E1878" t="s">
        <v>175</v>
      </c>
    </row>
    <row r="1879" spans="1:5">
      <c r="A1879">
        <v>10335</v>
      </c>
      <c r="B1879" s="80">
        <v>35360</v>
      </c>
      <c r="C1879">
        <v>85.119999682903298</v>
      </c>
      <c r="D1879">
        <v>7</v>
      </c>
      <c r="E1879" t="s">
        <v>175</v>
      </c>
    </row>
    <row r="1880" spans="1:5">
      <c r="A1880">
        <v>10335</v>
      </c>
      <c r="B1880" s="80">
        <v>35360</v>
      </c>
      <c r="C1880">
        <v>1628.1599939346313</v>
      </c>
      <c r="D1880">
        <v>48</v>
      </c>
      <c r="E1880" t="s">
        <v>178</v>
      </c>
    </row>
    <row r="1881" spans="1:5">
      <c r="A1881">
        <v>10335</v>
      </c>
      <c r="B1881" s="80">
        <v>35360</v>
      </c>
      <c r="C1881">
        <v>122.87999954223632</v>
      </c>
      <c r="D1881">
        <v>6</v>
      </c>
      <c r="E1881" t="s">
        <v>175</v>
      </c>
    </row>
    <row r="1882" spans="1:5">
      <c r="A1882">
        <v>10336</v>
      </c>
      <c r="B1882" s="80">
        <v>35361</v>
      </c>
      <c r="C1882">
        <v>285.11999952793121</v>
      </c>
      <c r="D1882">
        <v>18</v>
      </c>
      <c r="E1882" t="s">
        <v>178</v>
      </c>
    </row>
    <row r="1883" spans="1:5">
      <c r="A1883">
        <v>10336</v>
      </c>
      <c r="B1883" s="80">
        <v>35361</v>
      </c>
      <c r="C1883">
        <v>285.11999952793121</v>
      </c>
      <c r="D1883">
        <v>18</v>
      </c>
      <c r="E1883" t="s">
        <v>172</v>
      </c>
    </row>
    <row r="1884" spans="1:5">
      <c r="A1884">
        <v>10336</v>
      </c>
      <c r="B1884" s="80">
        <v>35361</v>
      </c>
      <c r="C1884">
        <v>285.11999952793121</v>
      </c>
      <c r="D1884">
        <v>18</v>
      </c>
      <c r="E1884" t="s">
        <v>173</v>
      </c>
    </row>
    <row r="1885" spans="1:5">
      <c r="A1885">
        <v>10336</v>
      </c>
      <c r="B1885" s="80">
        <v>35361</v>
      </c>
      <c r="C1885">
        <v>285.11999952793121</v>
      </c>
      <c r="D1885">
        <v>18</v>
      </c>
      <c r="E1885" t="s">
        <v>179</v>
      </c>
    </row>
    <row r="1886" spans="1:5">
      <c r="A1886">
        <v>10336</v>
      </c>
      <c r="B1886" s="80">
        <v>35361</v>
      </c>
      <c r="C1886">
        <v>285.11999952793121</v>
      </c>
      <c r="D1886">
        <v>18</v>
      </c>
      <c r="E1886" t="s">
        <v>175</v>
      </c>
    </row>
    <row r="1887" spans="1:5">
      <c r="A1887">
        <v>10336</v>
      </c>
      <c r="B1887" s="80">
        <v>35361</v>
      </c>
      <c r="C1887">
        <v>285.11999952793121</v>
      </c>
      <c r="D1887">
        <v>18</v>
      </c>
      <c r="E1887" t="s">
        <v>176</v>
      </c>
    </row>
    <row r="1888" spans="1:5">
      <c r="A1888">
        <v>10336</v>
      </c>
      <c r="B1888" s="80">
        <v>35361</v>
      </c>
      <c r="C1888">
        <v>285.11999952793121</v>
      </c>
      <c r="D1888">
        <v>18</v>
      </c>
      <c r="E1888" t="s">
        <v>177</v>
      </c>
    </row>
    <row r="1889" spans="1:5">
      <c r="A1889">
        <v>10336</v>
      </c>
      <c r="B1889" s="80">
        <v>35361</v>
      </c>
      <c r="C1889">
        <v>285.11999952793121</v>
      </c>
      <c r="D1889">
        <v>18</v>
      </c>
      <c r="E1889" t="s">
        <v>174</v>
      </c>
    </row>
    <row r="1890" spans="1:5">
      <c r="A1890">
        <v>10337</v>
      </c>
      <c r="B1890" s="80">
        <v>35362</v>
      </c>
      <c r="C1890">
        <v>288</v>
      </c>
      <c r="D1890">
        <v>40</v>
      </c>
      <c r="E1890" t="s">
        <v>174</v>
      </c>
    </row>
    <row r="1891" spans="1:5">
      <c r="A1891">
        <v>10337</v>
      </c>
      <c r="B1891" s="80">
        <v>35362</v>
      </c>
      <c r="C1891">
        <v>582.4</v>
      </c>
      <c r="D1891">
        <v>28</v>
      </c>
      <c r="E1891" t="s">
        <v>176</v>
      </c>
    </row>
    <row r="1892" spans="1:5">
      <c r="A1892">
        <v>10337</v>
      </c>
      <c r="B1892" s="80">
        <v>35362</v>
      </c>
      <c r="C1892">
        <v>597.6</v>
      </c>
      <c r="D1892">
        <v>24</v>
      </c>
      <c r="E1892" t="s">
        <v>176</v>
      </c>
    </row>
    <row r="1893" spans="1:5">
      <c r="A1893">
        <v>10337</v>
      </c>
      <c r="B1893" s="80">
        <v>35362</v>
      </c>
      <c r="C1893">
        <v>288</v>
      </c>
      <c r="D1893">
        <v>40</v>
      </c>
      <c r="E1893" t="s">
        <v>176</v>
      </c>
    </row>
    <row r="1894" spans="1:5">
      <c r="A1894">
        <v>10337</v>
      </c>
      <c r="B1894" s="80">
        <v>35362</v>
      </c>
      <c r="C1894">
        <v>582.4</v>
      </c>
      <c r="D1894">
        <v>28</v>
      </c>
      <c r="E1894" t="s">
        <v>174</v>
      </c>
    </row>
    <row r="1895" spans="1:5">
      <c r="A1895">
        <v>10337</v>
      </c>
      <c r="B1895" s="80">
        <v>35362</v>
      </c>
      <c r="C1895">
        <v>597.6</v>
      </c>
      <c r="D1895">
        <v>24</v>
      </c>
      <c r="E1895" t="s">
        <v>174</v>
      </c>
    </row>
    <row r="1896" spans="1:5">
      <c r="A1896">
        <v>10337</v>
      </c>
      <c r="B1896" s="80">
        <v>35362</v>
      </c>
      <c r="C1896">
        <v>304</v>
      </c>
      <c r="D1896">
        <v>20</v>
      </c>
      <c r="E1896" t="s">
        <v>174</v>
      </c>
    </row>
    <row r="1897" spans="1:5">
      <c r="A1897">
        <v>10337</v>
      </c>
      <c r="B1897" s="80">
        <v>35362</v>
      </c>
      <c r="C1897">
        <v>582.4</v>
      </c>
      <c r="D1897">
        <v>28</v>
      </c>
      <c r="E1897" t="s">
        <v>175</v>
      </c>
    </row>
    <row r="1898" spans="1:5">
      <c r="A1898">
        <v>10337</v>
      </c>
      <c r="B1898" s="80">
        <v>35362</v>
      </c>
      <c r="C1898">
        <v>582.4</v>
      </c>
      <c r="D1898">
        <v>28</v>
      </c>
      <c r="E1898" t="s">
        <v>178</v>
      </c>
    </row>
    <row r="1899" spans="1:5">
      <c r="A1899">
        <v>10337</v>
      </c>
      <c r="B1899" s="80">
        <v>35362</v>
      </c>
      <c r="C1899">
        <v>304</v>
      </c>
      <c r="D1899">
        <v>20</v>
      </c>
      <c r="E1899" t="s">
        <v>172</v>
      </c>
    </row>
    <row r="1900" spans="1:5">
      <c r="A1900">
        <v>10337</v>
      </c>
      <c r="B1900" s="80">
        <v>35362</v>
      </c>
      <c r="C1900">
        <v>582.4</v>
      </c>
      <c r="D1900">
        <v>28</v>
      </c>
      <c r="E1900" t="s">
        <v>172</v>
      </c>
    </row>
    <row r="1901" spans="1:5">
      <c r="A1901">
        <v>10337</v>
      </c>
      <c r="B1901" s="80">
        <v>35362</v>
      </c>
      <c r="C1901">
        <v>695</v>
      </c>
      <c r="D1901">
        <v>25</v>
      </c>
      <c r="E1901" t="s">
        <v>172</v>
      </c>
    </row>
    <row r="1902" spans="1:5">
      <c r="A1902">
        <v>10337</v>
      </c>
      <c r="B1902" s="80">
        <v>35362</v>
      </c>
      <c r="C1902">
        <v>288</v>
      </c>
      <c r="D1902">
        <v>40</v>
      </c>
      <c r="E1902" t="s">
        <v>175</v>
      </c>
    </row>
    <row r="1903" spans="1:5">
      <c r="A1903">
        <v>10337</v>
      </c>
      <c r="B1903" s="80">
        <v>35362</v>
      </c>
      <c r="C1903">
        <v>288</v>
      </c>
      <c r="D1903">
        <v>40</v>
      </c>
      <c r="E1903" t="s">
        <v>172</v>
      </c>
    </row>
    <row r="1904" spans="1:5">
      <c r="A1904">
        <v>10337</v>
      </c>
      <c r="B1904" s="80">
        <v>35362</v>
      </c>
      <c r="C1904">
        <v>304</v>
      </c>
      <c r="D1904">
        <v>20</v>
      </c>
      <c r="E1904" t="s">
        <v>175</v>
      </c>
    </row>
    <row r="1905" spans="1:5">
      <c r="A1905">
        <v>10337</v>
      </c>
      <c r="B1905" s="80">
        <v>35362</v>
      </c>
      <c r="C1905">
        <v>695</v>
      </c>
      <c r="D1905">
        <v>25</v>
      </c>
      <c r="E1905" t="s">
        <v>179</v>
      </c>
    </row>
    <row r="1906" spans="1:5">
      <c r="A1906">
        <v>10337</v>
      </c>
      <c r="B1906" s="80">
        <v>35362</v>
      </c>
      <c r="C1906">
        <v>695</v>
      </c>
      <c r="D1906">
        <v>25</v>
      </c>
      <c r="E1906" t="s">
        <v>175</v>
      </c>
    </row>
    <row r="1907" spans="1:5">
      <c r="A1907">
        <v>10337</v>
      </c>
      <c r="B1907" s="80">
        <v>35362</v>
      </c>
      <c r="C1907">
        <v>288</v>
      </c>
      <c r="D1907">
        <v>40</v>
      </c>
      <c r="E1907" t="s">
        <v>177</v>
      </c>
    </row>
    <row r="1908" spans="1:5">
      <c r="A1908">
        <v>10337</v>
      </c>
      <c r="B1908" s="80">
        <v>35362</v>
      </c>
      <c r="C1908">
        <v>597.6</v>
      </c>
      <c r="D1908">
        <v>24</v>
      </c>
      <c r="E1908" t="s">
        <v>177</v>
      </c>
    </row>
    <row r="1909" spans="1:5">
      <c r="A1909">
        <v>10337</v>
      </c>
      <c r="B1909" s="80">
        <v>35362</v>
      </c>
      <c r="C1909">
        <v>304</v>
      </c>
      <c r="D1909">
        <v>20</v>
      </c>
      <c r="E1909" t="s">
        <v>177</v>
      </c>
    </row>
    <row r="1910" spans="1:5">
      <c r="A1910">
        <v>10337</v>
      </c>
      <c r="B1910" s="80">
        <v>35362</v>
      </c>
      <c r="C1910">
        <v>582.4</v>
      </c>
      <c r="D1910">
        <v>28</v>
      </c>
      <c r="E1910" t="s">
        <v>177</v>
      </c>
    </row>
    <row r="1911" spans="1:5">
      <c r="A1911">
        <v>10337</v>
      </c>
      <c r="B1911" s="80">
        <v>35362</v>
      </c>
      <c r="C1911">
        <v>695</v>
      </c>
      <c r="D1911">
        <v>25</v>
      </c>
      <c r="E1911" t="s">
        <v>177</v>
      </c>
    </row>
    <row r="1912" spans="1:5">
      <c r="A1912">
        <v>10337</v>
      </c>
      <c r="B1912" s="80">
        <v>35362</v>
      </c>
      <c r="C1912">
        <v>597.6</v>
      </c>
      <c r="D1912">
        <v>24</v>
      </c>
      <c r="E1912" t="s">
        <v>175</v>
      </c>
    </row>
    <row r="1913" spans="1:5">
      <c r="A1913">
        <v>10337</v>
      </c>
      <c r="B1913" s="80">
        <v>35362</v>
      </c>
      <c r="C1913">
        <v>288</v>
      </c>
      <c r="D1913">
        <v>40</v>
      </c>
      <c r="E1913" t="s">
        <v>178</v>
      </c>
    </row>
    <row r="1914" spans="1:5">
      <c r="A1914">
        <v>10337</v>
      </c>
      <c r="B1914" s="80">
        <v>35362</v>
      </c>
      <c r="C1914">
        <v>695</v>
      </c>
      <c r="D1914">
        <v>25</v>
      </c>
      <c r="E1914" t="s">
        <v>173</v>
      </c>
    </row>
    <row r="1915" spans="1:5">
      <c r="A1915">
        <v>10337</v>
      </c>
      <c r="B1915" s="80">
        <v>35362</v>
      </c>
      <c r="C1915">
        <v>582.4</v>
      </c>
      <c r="D1915">
        <v>28</v>
      </c>
      <c r="E1915" t="s">
        <v>173</v>
      </c>
    </row>
    <row r="1916" spans="1:5">
      <c r="A1916">
        <v>10337</v>
      </c>
      <c r="B1916" s="80">
        <v>35362</v>
      </c>
      <c r="C1916">
        <v>304</v>
      </c>
      <c r="D1916">
        <v>20</v>
      </c>
      <c r="E1916" t="s">
        <v>173</v>
      </c>
    </row>
    <row r="1917" spans="1:5">
      <c r="A1917">
        <v>10337</v>
      </c>
      <c r="B1917" s="80">
        <v>35362</v>
      </c>
      <c r="C1917">
        <v>597.6</v>
      </c>
      <c r="D1917">
        <v>24</v>
      </c>
      <c r="E1917" t="s">
        <v>173</v>
      </c>
    </row>
    <row r="1918" spans="1:5">
      <c r="A1918">
        <v>10337</v>
      </c>
      <c r="B1918" s="80">
        <v>35362</v>
      </c>
      <c r="C1918">
        <v>288</v>
      </c>
      <c r="D1918">
        <v>40</v>
      </c>
      <c r="E1918" t="s">
        <v>173</v>
      </c>
    </row>
    <row r="1919" spans="1:5">
      <c r="A1919">
        <v>10337</v>
      </c>
      <c r="B1919" s="80">
        <v>35362</v>
      </c>
      <c r="C1919">
        <v>597.6</v>
      </c>
      <c r="D1919">
        <v>24</v>
      </c>
      <c r="E1919" t="s">
        <v>172</v>
      </c>
    </row>
    <row r="1920" spans="1:5">
      <c r="A1920">
        <v>10337</v>
      </c>
      <c r="B1920" s="80">
        <v>35362</v>
      </c>
      <c r="C1920">
        <v>304</v>
      </c>
      <c r="D1920">
        <v>20</v>
      </c>
      <c r="E1920" t="s">
        <v>176</v>
      </c>
    </row>
    <row r="1921" spans="1:5">
      <c r="A1921">
        <v>10337</v>
      </c>
      <c r="B1921" s="80">
        <v>35362</v>
      </c>
      <c r="C1921">
        <v>695</v>
      </c>
      <c r="D1921">
        <v>25</v>
      </c>
      <c r="E1921" t="s">
        <v>174</v>
      </c>
    </row>
    <row r="1922" spans="1:5">
      <c r="A1922">
        <v>10337</v>
      </c>
      <c r="B1922" s="80">
        <v>35362</v>
      </c>
      <c r="C1922">
        <v>597.6</v>
      </c>
      <c r="D1922">
        <v>24</v>
      </c>
      <c r="E1922" t="s">
        <v>178</v>
      </c>
    </row>
    <row r="1923" spans="1:5">
      <c r="A1923">
        <v>10337</v>
      </c>
      <c r="B1923" s="80">
        <v>35362</v>
      </c>
      <c r="C1923">
        <v>304</v>
      </c>
      <c r="D1923">
        <v>20</v>
      </c>
      <c r="E1923" t="s">
        <v>178</v>
      </c>
    </row>
    <row r="1924" spans="1:5">
      <c r="A1924">
        <v>10337</v>
      </c>
      <c r="B1924" s="80">
        <v>35362</v>
      </c>
      <c r="C1924">
        <v>695</v>
      </c>
      <c r="D1924">
        <v>25</v>
      </c>
      <c r="E1924" t="s">
        <v>178</v>
      </c>
    </row>
    <row r="1925" spans="1:5">
      <c r="A1925">
        <v>10337</v>
      </c>
      <c r="B1925" s="80">
        <v>35362</v>
      </c>
      <c r="C1925">
        <v>288</v>
      </c>
      <c r="D1925">
        <v>40</v>
      </c>
      <c r="E1925" t="s">
        <v>179</v>
      </c>
    </row>
    <row r="1926" spans="1:5">
      <c r="A1926">
        <v>10337</v>
      </c>
      <c r="B1926" s="80">
        <v>35362</v>
      </c>
      <c r="C1926">
        <v>597.6</v>
      </c>
      <c r="D1926">
        <v>24</v>
      </c>
      <c r="E1926" t="s">
        <v>179</v>
      </c>
    </row>
    <row r="1927" spans="1:5">
      <c r="A1927">
        <v>10337</v>
      </c>
      <c r="B1927" s="80">
        <v>35362</v>
      </c>
      <c r="C1927">
        <v>304</v>
      </c>
      <c r="D1927">
        <v>20</v>
      </c>
      <c r="E1927" t="s">
        <v>179</v>
      </c>
    </row>
    <row r="1928" spans="1:5">
      <c r="A1928">
        <v>10337</v>
      </c>
      <c r="B1928" s="80">
        <v>35362</v>
      </c>
      <c r="C1928">
        <v>582.4</v>
      </c>
      <c r="D1928">
        <v>28</v>
      </c>
      <c r="E1928" t="s">
        <v>179</v>
      </c>
    </row>
    <row r="1929" spans="1:5">
      <c r="A1929">
        <v>10337</v>
      </c>
      <c r="B1929" s="80">
        <v>35362</v>
      </c>
      <c r="C1929">
        <v>695</v>
      </c>
      <c r="D1929">
        <v>25</v>
      </c>
      <c r="E1929" t="s">
        <v>176</v>
      </c>
    </row>
    <row r="1930" spans="1:5">
      <c r="A1930">
        <v>10338</v>
      </c>
      <c r="B1930" s="80">
        <v>35363</v>
      </c>
      <c r="C1930">
        <v>624</v>
      </c>
      <c r="D1930">
        <v>20</v>
      </c>
      <c r="E1930" t="s">
        <v>177</v>
      </c>
    </row>
    <row r="1931" spans="1:5">
      <c r="A1931">
        <v>10338</v>
      </c>
      <c r="B1931" s="80">
        <v>35363</v>
      </c>
      <c r="C1931">
        <v>624</v>
      </c>
      <c r="D1931">
        <v>20</v>
      </c>
      <c r="E1931" t="s">
        <v>178</v>
      </c>
    </row>
    <row r="1932" spans="1:5">
      <c r="A1932">
        <v>10338</v>
      </c>
      <c r="B1932" s="80">
        <v>35363</v>
      </c>
      <c r="C1932">
        <v>310.5</v>
      </c>
      <c r="D1932">
        <v>15</v>
      </c>
      <c r="E1932" t="s">
        <v>175</v>
      </c>
    </row>
    <row r="1933" spans="1:5">
      <c r="A1933">
        <v>10338</v>
      </c>
      <c r="B1933" s="80">
        <v>35363</v>
      </c>
      <c r="C1933">
        <v>624</v>
      </c>
      <c r="D1933">
        <v>20</v>
      </c>
      <c r="E1933" t="s">
        <v>175</v>
      </c>
    </row>
    <row r="1934" spans="1:5">
      <c r="A1934">
        <v>10338</v>
      </c>
      <c r="B1934" s="80">
        <v>35363</v>
      </c>
      <c r="C1934">
        <v>310.5</v>
      </c>
      <c r="D1934">
        <v>15</v>
      </c>
      <c r="E1934" t="s">
        <v>172</v>
      </c>
    </row>
    <row r="1935" spans="1:5">
      <c r="A1935">
        <v>10338</v>
      </c>
      <c r="B1935" s="80">
        <v>35363</v>
      </c>
      <c r="C1935">
        <v>624</v>
      </c>
      <c r="D1935">
        <v>20</v>
      </c>
      <c r="E1935" t="s">
        <v>176</v>
      </c>
    </row>
    <row r="1936" spans="1:5">
      <c r="A1936">
        <v>10338</v>
      </c>
      <c r="B1936" s="80">
        <v>35363</v>
      </c>
      <c r="C1936">
        <v>310.5</v>
      </c>
      <c r="D1936">
        <v>15</v>
      </c>
      <c r="E1936" t="s">
        <v>178</v>
      </c>
    </row>
    <row r="1937" spans="1:5">
      <c r="A1937">
        <v>10338</v>
      </c>
      <c r="B1937" s="80">
        <v>35363</v>
      </c>
      <c r="C1937">
        <v>624</v>
      </c>
      <c r="D1937">
        <v>20</v>
      </c>
      <c r="E1937" t="s">
        <v>172</v>
      </c>
    </row>
    <row r="1938" spans="1:5">
      <c r="A1938">
        <v>10338</v>
      </c>
      <c r="B1938" s="80">
        <v>35363</v>
      </c>
      <c r="C1938">
        <v>310.5</v>
      </c>
      <c r="D1938">
        <v>15</v>
      </c>
      <c r="E1938" t="s">
        <v>179</v>
      </c>
    </row>
    <row r="1939" spans="1:5">
      <c r="A1939">
        <v>10338</v>
      </c>
      <c r="B1939" s="80">
        <v>35363</v>
      </c>
      <c r="C1939">
        <v>624</v>
      </c>
      <c r="D1939">
        <v>20</v>
      </c>
      <c r="E1939" t="s">
        <v>179</v>
      </c>
    </row>
    <row r="1940" spans="1:5">
      <c r="A1940">
        <v>10338</v>
      </c>
      <c r="B1940" s="80">
        <v>35363</v>
      </c>
      <c r="C1940">
        <v>310.5</v>
      </c>
      <c r="D1940">
        <v>15</v>
      </c>
      <c r="E1940" t="s">
        <v>173</v>
      </c>
    </row>
    <row r="1941" spans="1:5">
      <c r="A1941">
        <v>10338</v>
      </c>
      <c r="B1941" s="80">
        <v>35363</v>
      </c>
      <c r="C1941">
        <v>624</v>
      </c>
      <c r="D1941">
        <v>20</v>
      </c>
      <c r="E1941" t="s">
        <v>174</v>
      </c>
    </row>
    <row r="1942" spans="1:5">
      <c r="A1942">
        <v>10338</v>
      </c>
      <c r="B1942" s="80">
        <v>35363</v>
      </c>
      <c r="C1942">
        <v>310.5</v>
      </c>
      <c r="D1942">
        <v>15</v>
      </c>
      <c r="E1942" t="s">
        <v>176</v>
      </c>
    </row>
    <row r="1943" spans="1:5">
      <c r="A1943">
        <v>10338</v>
      </c>
      <c r="B1943" s="80">
        <v>35363</v>
      </c>
      <c r="C1943">
        <v>310.5</v>
      </c>
      <c r="D1943">
        <v>15</v>
      </c>
      <c r="E1943" t="s">
        <v>177</v>
      </c>
    </row>
    <row r="1944" spans="1:5">
      <c r="A1944">
        <v>10338</v>
      </c>
      <c r="B1944" s="80">
        <v>35363</v>
      </c>
      <c r="C1944">
        <v>624</v>
      </c>
      <c r="D1944">
        <v>20</v>
      </c>
      <c r="E1944" t="s">
        <v>173</v>
      </c>
    </row>
    <row r="1945" spans="1:5">
      <c r="A1945">
        <v>10338</v>
      </c>
      <c r="B1945" s="80">
        <v>35363</v>
      </c>
      <c r="C1945">
        <v>310.5</v>
      </c>
      <c r="D1945">
        <v>15</v>
      </c>
      <c r="E1945" t="s">
        <v>174</v>
      </c>
    </row>
    <row r="1946" spans="1:5">
      <c r="A1946">
        <v>10339</v>
      </c>
      <c r="B1946" s="80">
        <v>35366</v>
      </c>
      <c r="C1946">
        <v>1103.2</v>
      </c>
      <c r="D1946">
        <v>28</v>
      </c>
      <c r="E1946" t="s">
        <v>174</v>
      </c>
    </row>
    <row r="1947" spans="1:5">
      <c r="A1947">
        <v>10339</v>
      </c>
      <c r="B1947" s="80">
        <v>35366</v>
      </c>
      <c r="C1947">
        <v>2074.7999983727932</v>
      </c>
      <c r="D1947">
        <v>70</v>
      </c>
      <c r="E1947" t="s">
        <v>174</v>
      </c>
    </row>
    <row r="1948" spans="1:5">
      <c r="A1948">
        <v>10339</v>
      </c>
      <c r="B1948" s="80">
        <v>35366</v>
      </c>
      <c r="C1948">
        <v>176</v>
      </c>
      <c r="D1948">
        <v>10</v>
      </c>
      <c r="E1948" t="s">
        <v>174</v>
      </c>
    </row>
    <row r="1949" spans="1:5">
      <c r="A1949">
        <v>10339</v>
      </c>
      <c r="B1949" s="80">
        <v>35366</v>
      </c>
      <c r="C1949">
        <v>1103.2</v>
      </c>
      <c r="D1949">
        <v>28</v>
      </c>
      <c r="E1949" t="s">
        <v>172</v>
      </c>
    </row>
    <row r="1950" spans="1:5">
      <c r="A1950">
        <v>10339</v>
      </c>
      <c r="B1950" s="80">
        <v>35366</v>
      </c>
      <c r="C1950">
        <v>2074.7999983727932</v>
      </c>
      <c r="D1950">
        <v>70</v>
      </c>
      <c r="E1950" t="s">
        <v>172</v>
      </c>
    </row>
    <row r="1951" spans="1:5">
      <c r="A1951">
        <v>10339</v>
      </c>
      <c r="B1951" s="80">
        <v>35366</v>
      </c>
      <c r="C1951">
        <v>2074.7999983727932</v>
      </c>
      <c r="D1951">
        <v>70</v>
      </c>
      <c r="E1951" t="s">
        <v>177</v>
      </c>
    </row>
    <row r="1952" spans="1:5">
      <c r="A1952">
        <v>10339</v>
      </c>
      <c r="B1952" s="80">
        <v>35366</v>
      </c>
      <c r="C1952">
        <v>176</v>
      </c>
      <c r="D1952">
        <v>10</v>
      </c>
      <c r="E1952" t="s">
        <v>178</v>
      </c>
    </row>
    <row r="1953" spans="1:5">
      <c r="A1953">
        <v>10339</v>
      </c>
      <c r="B1953" s="80">
        <v>35366</v>
      </c>
      <c r="C1953">
        <v>176</v>
      </c>
      <c r="D1953">
        <v>10</v>
      </c>
      <c r="E1953" t="s">
        <v>172</v>
      </c>
    </row>
    <row r="1954" spans="1:5">
      <c r="A1954">
        <v>10339</v>
      </c>
      <c r="B1954" s="80">
        <v>35366</v>
      </c>
      <c r="C1954">
        <v>2074.7999983727932</v>
      </c>
      <c r="D1954">
        <v>70</v>
      </c>
      <c r="E1954" t="s">
        <v>178</v>
      </c>
    </row>
    <row r="1955" spans="1:5">
      <c r="A1955">
        <v>10339</v>
      </c>
      <c r="B1955" s="80">
        <v>35366</v>
      </c>
      <c r="C1955">
        <v>176</v>
      </c>
      <c r="D1955">
        <v>10</v>
      </c>
      <c r="E1955" t="s">
        <v>177</v>
      </c>
    </row>
    <row r="1956" spans="1:5">
      <c r="A1956">
        <v>10339</v>
      </c>
      <c r="B1956" s="80">
        <v>35366</v>
      </c>
      <c r="C1956">
        <v>1103.2</v>
      </c>
      <c r="D1956">
        <v>28</v>
      </c>
      <c r="E1956" t="s">
        <v>177</v>
      </c>
    </row>
    <row r="1957" spans="1:5">
      <c r="A1957">
        <v>10339</v>
      </c>
      <c r="B1957" s="80">
        <v>35366</v>
      </c>
      <c r="C1957">
        <v>1103.2</v>
      </c>
      <c r="D1957">
        <v>28</v>
      </c>
      <c r="E1957" t="s">
        <v>179</v>
      </c>
    </row>
    <row r="1958" spans="1:5">
      <c r="A1958">
        <v>10339</v>
      </c>
      <c r="B1958" s="80">
        <v>35366</v>
      </c>
      <c r="C1958">
        <v>176</v>
      </c>
      <c r="D1958">
        <v>10</v>
      </c>
      <c r="E1958" t="s">
        <v>175</v>
      </c>
    </row>
    <row r="1959" spans="1:5">
      <c r="A1959">
        <v>10339</v>
      </c>
      <c r="B1959" s="80">
        <v>35366</v>
      </c>
      <c r="C1959">
        <v>2074.7999983727932</v>
      </c>
      <c r="D1959">
        <v>70</v>
      </c>
      <c r="E1959" t="s">
        <v>175</v>
      </c>
    </row>
    <row r="1960" spans="1:5">
      <c r="A1960">
        <v>10339</v>
      </c>
      <c r="B1960" s="80">
        <v>35366</v>
      </c>
      <c r="C1960">
        <v>1103.2</v>
      </c>
      <c r="D1960">
        <v>28</v>
      </c>
      <c r="E1960" t="s">
        <v>176</v>
      </c>
    </row>
    <row r="1961" spans="1:5">
      <c r="A1961">
        <v>10339</v>
      </c>
      <c r="B1961" s="80">
        <v>35366</v>
      </c>
      <c r="C1961">
        <v>2074.7999983727932</v>
      </c>
      <c r="D1961">
        <v>70</v>
      </c>
      <c r="E1961" t="s">
        <v>179</v>
      </c>
    </row>
    <row r="1962" spans="1:5">
      <c r="A1962">
        <v>10339</v>
      </c>
      <c r="B1962" s="80">
        <v>35366</v>
      </c>
      <c r="C1962">
        <v>1103.2</v>
      </c>
      <c r="D1962">
        <v>28</v>
      </c>
      <c r="E1962" t="s">
        <v>175</v>
      </c>
    </row>
    <row r="1963" spans="1:5">
      <c r="A1963">
        <v>10339</v>
      </c>
      <c r="B1963" s="80">
        <v>35366</v>
      </c>
      <c r="C1963">
        <v>1103.2</v>
      </c>
      <c r="D1963">
        <v>28</v>
      </c>
      <c r="E1963" t="s">
        <v>178</v>
      </c>
    </row>
    <row r="1964" spans="1:5">
      <c r="A1964">
        <v>10339</v>
      </c>
      <c r="B1964" s="80">
        <v>35366</v>
      </c>
      <c r="C1964">
        <v>2074.7999983727932</v>
      </c>
      <c r="D1964">
        <v>70</v>
      </c>
      <c r="E1964" t="s">
        <v>176</v>
      </c>
    </row>
    <row r="1965" spans="1:5">
      <c r="A1965">
        <v>10339</v>
      </c>
      <c r="B1965" s="80">
        <v>35366</v>
      </c>
      <c r="C1965">
        <v>2074.7999983727932</v>
      </c>
      <c r="D1965">
        <v>70</v>
      </c>
      <c r="E1965" t="s">
        <v>173</v>
      </c>
    </row>
    <row r="1966" spans="1:5">
      <c r="A1966">
        <v>10339</v>
      </c>
      <c r="B1966" s="80">
        <v>35366</v>
      </c>
      <c r="C1966">
        <v>176</v>
      </c>
      <c r="D1966">
        <v>10</v>
      </c>
      <c r="E1966" t="s">
        <v>173</v>
      </c>
    </row>
    <row r="1967" spans="1:5">
      <c r="A1967">
        <v>10339</v>
      </c>
      <c r="B1967" s="80">
        <v>35366</v>
      </c>
      <c r="C1967">
        <v>176</v>
      </c>
      <c r="D1967">
        <v>10</v>
      </c>
      <c r="E1967" t="s">
        <v>176</v>
      </c>
    </row>
    <row r="1968" spans="1:5">
      <c r="A1968">
        <v>10339</v>
      </c>
      <c r="B1968" s="80">
        <v>35366</v>
      </c>
      <c r="C1968">
        <v>1103.2</v>
      </c>
      <c r="D1968">
        <v>28</v>
      </c>
      <c r="E1968" t="s">
        <v>173</v>
      </c>
    </row>
    <row r="1969" spans="1:5">
      <c r="A1969">
        <v>10339</v>
      </c>
      <c r="B1969" s="80">
        <v>35366</v>
      </c>
      <c r="C1969">
        <v>176</v>
      </c>
      <c r="D1969">
        <v>10</v>
      </c>
      <c r="E1969" t="s">
        <v>179</v>
      </c>
    </row>
    <row r="1970" spans="1:5">
      <c r="A1970">
        <v>10340</v>
      </c>
      <c r="B1970" s="80">
        <v>35367</v>
      </c>
      <c r="C1970">
        <v>87.779999931156638</v>
      </c>
      <c r="D1970">
        <v>12</v>
      </c>
      <c r="E1970" t="s">
        <v>176</v>
      </c>
    </row>
    <row r="1971" spans="1:5">
      <c r="A1971">
        <v>10340</v>
      </c>
      <c r="B1971" s="80">
        <v>35367</v>
      </c>
      <c r="C1971">
        <v>1398.3999989032745</v>
      </c>
      <c r="D1971">
        <v>40</v>
      </c>
      <c r="E1971" t="s">
        <v>175</v>
      </c>
    </row>
    <row r="1972" spans="1:5">
      <c r="A1972">
        <v>10340</v>
      </c>
      <c r="B1972" s="80">
        <v>35367</v>
      </c>
      <c r="C1972">
        <v>949.99999925494194</v>
      </c>
      <c r="D1972">
        <v>20</v>
      </c>
      <c r="E1972" t="s">
        <v>172</v>
      </c>
    </row>
    <row r="1973" spans="1:5">
      <c r="A1973">
        <v>10340</v>
      </c>
      <c r="B1973" s="80">
        <v>35367</v>
      </c>
      <c r="C1973">
        <v>1398.3999989032745</v>
      </c>
      <c r="D1973">
        <v>40</v>
      </c>
      <c r="E1973" t="s">
        <v>172</v>
      </c>
    </row>
    <row r="1974" spans="1:5">
      <c r="A1974">
        <v>10340</v>
      </c>
      <c r="B1974" s="80">
        <v>35367</v>
      </c>
      <c r="C1974">
        <v>1398.3999989032745</v>
      </c>
      <c r="D1974">
        <v>40</v>
      </c>
      <c r="E1974" t="s">
        <v>176</v>
      </c>
    </row>
    <row r="1975" spans="1:5">
      <c r="A1975">
        <v>10340</v>
      </c>
      <c r="B1975" s="80">
        <v>35367</v>
      </c>
      <c r="C1975">
        <v>949.99999925494194</v>
      </c>
      <c r="D1975">
        <v>20</v>
      </c>
      <c r="E1975" t="s">
        <v>176</v>
      </c>
    </row>
    <row r="1976" spans="1:5">
      <c r="A1976">
        <v>10340</v>
      </c>
      <c r="B1976" s="80">
        <v>35367</v>
      </c>
      <c r="C1976">
        <v>87.779999931156638</v>
      </c>
      <c r="D1976">
        <v>12</v>
      </c>
      <c r="E1976" t="s">
        <v>173</v>
      </c>
    </row>
    <row r="1977" spans="1:5">
      <c r="A1977">
        <v>10340</v>
      </c>
      <c r="B1977" s="80">
        <v>35367</v>
      </c>
      <c r="C1977">
        <v>949.99999925494194</v>
      </c>
      <c r="D1977">
        <v>20</v>
      </c>
      <c r="E1977" t="s">
        <v>173</v>
      </c>
    </row>
    <row r="1978" spans="1:5">
      <c r="A1978">
        <v>10340</v>
      </c>
      <c r="B1978" s="80">
        <v>35367</v>
      </c>
      <c r="C1978">
        <v>87.779999931156638</v>
      </c>
      <c r="D1978">
        <v>12</v>
      </c>
      <c r="E1978" t="s">
        <v>172</v>
      </c>
    </row>
    <row r="1979" spans="1:5">
      <c r="A1979">
        <v>10340</v>
      </c>
      <c r="B1979" s="80">
        <v>35367</v>
      </c>
      <c r="C1979">
        <v>87.779999931156638</v>
      </c>
      <c r="D1979">
        <v>12</v>
      </c>
      <c r="E1979" t="s">
        <v>178</v>
      </c>
    </row>
    <row r="1980" spans="1:5">
      <c r="A1980">
        <v>10340</v>
      </c>
      <c r="B1980" s="80">
        <v>35367</v>
      </c>
      <c r="C1980">
        <v>949.99999925494194</v>
      </c>
      <c r="D1980">
        <v>20</v>
      </c>
      <c r="E1980" t="s">
        <v>177</v>
      </c>
    </row>
    <row r="1981" spans="1:5">
      <c r="A1981">
        <v>10340</v>
      </c>
      <c r="B1981" s="80">
        <v>35367</v>
      </c>
      <c r="C1981">
        <v>87.779999931156638</v>
      </c>
      <c r="D1981">
        <v>12</v>
      </c>
      <c r="E1981" t="s">
        <v>177</v>
      </c>
    </row>
    <row r="1982" spans="1:5">
      <c r="A1982">
        <v>10340</v>
      </c>
      <c r="B1982" s="80">
        <v>35367</v>
      </c>
      <c r="C1982">
        <v>1398.3999989032745</v>
      </c>
      <c r="D1982">
        <v>40</v>
      </c>
      <c r="E1982" t="s">
        <v>177</v>
      </c>
    </row>
    <row r="1983" spans="1:5">
      <c r="A1983">
        <v>10340</v>
      </c>
      <c r="B1983" s="80">
        <v>35367</v>
      </c>
      <c r="C1983">
        <v>1398.3999989032745</v>
      </c>
      <c r="D1983">
        <v>40</v>
      </c>
      <c r="E1983" t="s">
        <v>179</v>
      </c>
    </row>
    <row r="1984" spans="1:5">
      <c r="A1984">
        <v>10340</v>
      </c>
      <c r="B1984" s="80">
        <v>35367</v>
      </c>
      <c r="C1984">
        <v>87.779999931156638</v>
      </c>
      <c r="D1984">
        <v>12</v>
      </c>
      <c r="E1984" t="s">
        <v>179</v>
      </c>
    </row>
    <row r="1985" spans="1:5">
      <c r="A1985">
        <v>10340</v>
      </c>
      <c r="B1985" s="80">
        <v>35367</v>
      </c>
      <c r="C1985">
        <v>949.99999925494194</v>
      </c>
      <c r="D1985">
        <v>20</v>
      </c>
      <c r="E1985" t="s">
        <v>179</v>
      </c>
    </row>
    <row r="1986" spans="1:5">
      <c r="A1986">
        <v>10340</v>
      </c>
      <c r="B1986" s="80">
        <v>35367</v>
      </c>
      <c r="C1986">
        <v>949.99999925494194</v>
      </c>
      <c r="D1986">
        <v>20</v>
      </c>
      <c r="E1986" t="s">
        <v>175</v>
      </c>
    </row>
    <row r="1987" spans="1:5">
      <c r="A1987">
        <v>10340</v>
      </c>
      <c r="B1987" s="80">
        <v>35367</v>
      </c>
      <c r="C1987">
        <v>87.779999931156638</v>
      </c>
      <c r="D1987">
        <v>12</v>
      </c>
      <c r="E1987" t="s">
        <v>174</v>
      </c>
    </row>
    <row r="1988" spans="1:5">
      <c r="A1988">
        <v>10340</v>
      </c>
      <c r="B1988" s="80">
        <v>35367</v>
      </c>
      <c r="C1988">
        <v>87.779999931156638</v>
      </c>
      <c r="D1988">
        <v>12</v>
      </c>
      <c r="E1988" t="s">
        <v>175</v>
      </c>
    </row>
    <row r="1989" spans="1:5">
      <c r="A1989">
        <v>10340</v>
      </c>
      <c r="B1989" s="80">
        <v>35367</v>
      </c>
      <c r="C1989">
        <v>1398.3999989032745</v>
      </c>
      <c r="D1989">
        <v>40</v>
      </c>
      <c r="E1989" t="s">
        <v>178</v>
      </c>
    </row>
    <row r="1990" spans="1:5">
      <c r="A1990">
        <v>10340</v>
      </c>
      <c r="B1990" s="80">
        <v>35367</v>
      </c>
      <c r="C1990">
        <v>949.99999925494194</v>
      </c>
      <c r="D1990">
        <v>20</v>
      </c>
      <c r="E1990" t="s">
        <v>178</v>
      </c>
    </row>
    <row r="1991" spans="1:5">
      <c r="A1991">
        <v>10340</v>
      </c>
      <c r="B1991" s="80">
        <v>35367</v>
      </c>
      <c r="C1991">
        <v>949.99999925494194</v>
      </c>
      <c r="D1991">
        <v>20</v>
      </c>
      <c r="E1991" t="s">
        <v>174</v>
      </c>
    </row>
    <row r="1992" spans="1:5">
      <c r="A1992">
        <v>10340</v>
      </c>
      <c r="B1992" s="80">
        <v>35367</v>
      </c>
      <c r="C1992">
        <v>1398.3999989032745</v>
      </c>
      <c r="D1992">
        <v>40</v>
      </c>
      <c r="E1992" t="s">
        <v>173</v>
      </c>
    </row>
    <row r="1993" spans="1:5">
      <c r="A1993">
        <v>10340</v>
      </c>
      <c r="B1993" s="80">
        <v>35367</v>
      </c>
      <c r="C1993">
        <v>1398.3999989032745</v>
      </c>
      <c r="D1993">
        <v>40</v>
      </c>
      <c r="E1993" t="s">
        <v>174</v>
      </c>
    </row>
    <row r="1994" spans="1:5">
      <c r="A1994">
        <v>10341</v>
      </c>
      <c r="B1994" s="80">
        <v>35367</v>
      </c>
      <c r="C1994">
        <v>16</v>
      </c>
      <c r="D1994">
        <v>8</v>
      </c>
      <c r="E1994" t="s">
        <v>176</v>
      </c>
    </row>
    <row r="1995" spans="1:5">
      <c r="A1995">
        <v>10341</v>
      </c>
      <c r="B1995" s="80">
        <v>35367</v>
      </c>
      <c r="C1995">
        <v>336.59999763965607</v>
      </c>
      <c r="D1995">
        <v>9</v>
      </c>
      <c r="E1995" t="s">
        <v>176</v>
      </c>
    </row>
    <row r="1996" spans="1:5">
      <c r="A1996">
        <v>10341</v>
      </c>
      <c r="B1996" s="80">
        <v>35367</v>
      </c>
      <c r="C1996">
        <v>336.59999763965607</v>
      </c>
      <c r="D1996">
        <v>9</v>
      </c>
      <c r="E1996" t="s">
        <v>175</v>
      </c>
    </row>
    <row r="1997" spans="1:5">
      <c r="A1997">
        <v>10341</v>
      </c>
      <c r="B1997" s="80">
        <v>35367</v>
      </c>
      <c r="C1997">
        <v>16</v>
      </c>
      <c r="D1997">
        <v>8</v>
      </c>
      <c r="E1997" t="s">
        <v>179</v>
      </c>
    </row>
    <row r="1998" spans="1:5">
      <c r="A1998">
        <v>10341</v>
      </c>
      <c r="B1998" s="80">
        <v>35367</v>
      </c>
      <c r="C1998">
        <v>16</v>
      </c>
      <c r="D1998">
        <v>8</v>
      </c>
      <c r="E1998" t="s">
        <v>175</v>
      </c>
    </row>
    <row r="1999" spans="1:5">
      <c r="A1999">
        <v>10341</v>
      </c>
      <c r="B1999" s="80">
        <v>35367</v>
      </c>
      <c r="C1999">
        <v>336.59999763965607</v>
      </c>
      <c r="D1999">
        <v>9</v>
      </c>
      <c r="E1999" t="s">
        <v>179</v>
      </c>
    </row>
    <row r="2000" spans="1:5">
      <c r="A2000">
        <v>10341</v>
      </c>
      <c r="B2000" s="80">
        <v>35367</v>
      </c>
      <c r="C2000">
        <v>16</v>
      </c>
      <c r="D2000">
        <v>8</v>
      </c>
      <c r="E2000" t="s">
        <v>178</v>
      </c>
    </row>
    <row r="2001" spans="1:5">
      <c r="A2001">
        <v>10341</v>
      </c>
      <c r="B2001" s="80">
        <v>35367</v>
      </c>
      <c r="C2001">
        <v>16</v>
      </c>
      <c r="D2001">
        <v>8</v>
      </c>
      <c r="E2001" t="s">
        <v>177</v>
      </c>
    </row>
    <row r="2002" spans="1:5">
      <c r="A2002">
        <v>10341</v>
      </c>
      <c r="B2002" s="80">
        <v>35367</v>
      </c>
      <c r="C2002">
        <v>336.59999763965607</v>
      </c>
      <c r="D2002">
        <v>9</v>
      </c>
      <c r="E2002" t="s">
        <v>177</v>
      </c>
    </row>
    <row r="2003" spans="1:5">
      <c r="A2003">
        <v>10341</v>
      </c>
      <c r="B2003" s="80">
        <v>35367</v>
      </c>
      <c r="C2003">
        <v>336.59999763965607</v>
      </c>
      <c r="D2003">
        <v>9</v>
      </c>
      <c r="E2003" t="s">
        <v>174</v>
      </c>
    </row>
    <row r="2004" spans="1:5">
      <c r="A2004">
        <v>10341</v>
      </c>
      <c r="B2004" s="80">
        <v>35367</v>
      </c>
      <c r="C2004">
        <v>16</v>
      </c>
      <c r="D2004">
        <v>8</v>
      </c>
      <c r="E2004" t="s">
        <v>173</v>
      </c>
    </row>
    <row r="2005" spans="1:5">
      <c r="A2005">
        <v>10341</v>
      </c>
      <c r="B2005" s="80">
        <v>35367</v>
      </c>
      <c r="C2005">
        <v>16</v>
      </c>
      <c r="D2005">
        <v>8</v>
      </c>
      <c r="E2005" t="s">
        <v>174</v>
      </c>
    </row>
    <row r="2006" spans="1:5">
      <c r="A2006">
        <v>10341</v>
      </c>
      <c r="B2006" s="80">
        <v>35367</v>
      </c>
      <c r="C2006">
        <v>336.59999763965607</v>
      </c>
      <c r="D2006">
        <v>9</v>
      </c>
      <c r="E2006" t="s">
        <v>178</v>
      </c>
    </row>
    <row r="2007" spans="1:5">
      <c r="A2007">
        <v>10341</v>
      </c>
      <c r="B2007" s="80">
        <v>35367</v>
      </c>
      <c r="C2007">
        <v>336.59999763965607</v>
      </c>
      <c r="D2007">
        <v>9</v>
      </c>
      <c r="E2007" t="s">
        <v>173</v>
      </c>
    </row>
    <row r="2008" spans="1:5">
      <c r="A2008">
        <v>10341</v>
      </c>
      <c r="B2008" s="80">
        <v>35367</v>
      </c>
      <c r="C2008">
        <v>336.59999763965607</v>
      </c>
      <c r="D2008">
        <v>9</v>
      </c>
      <c r="E2008" t="s">
        <v>172</v>
      </c>
    </row>
    <row r="2009" spans="1:5">
      <c r="A2009">
        <v>10341</v>
      </c>
      <c r="B2009" s="80">
        <v>35367</v>
      </c>
      <c r="C2009">
        <v>16</v>
      </c>
      <c r="D2009">
        <v>8</v>
      </c>
      <c r="E2009" t="s">
        <v>172</v>
      </c>
    </row>
    <row r="2010" spans="1:5">
      <c r="A2010">
        <v>10342</v>
      </c>
      <c r="B2010" s="80">
        <v>35368</v>
      </c>
      <c r="C2010">
        <v>291.83999891281127</v>
      </c>
      <c r="D2010">
        <v>24</v>
      </c>
      <c r="E2010" t="s">
        <v>174</v>
      </c>
    </row>
    <row r="2011" spans="1:5">
      <c r="A2011">
        <v>10342</v>
      </c>
      <c r="B2011" s="80">
        <v>35368</v>
      </c>
      <c r="C2011">
        <v>486.3999981880188</v>
      </c>
      <c r="D2011">
        <v>40</v>
      </c>
      <c r="E2011" t="s">
        <v>175</v>
      </c>
    </row>
    <row r="2012" spans="1:5">
      <c r="A2012">
        <v>10342</v>
      </c>
      <c r="B2012" s="80">
        <v>35368</v>
      </c>
      <c r="C2012">
        <v>447.99999833106995</v>
      </c>
      <c r="D2012">
        <v>56</v>
      </c>
      <c r="E2012" t="s">
        <v>175</v>
      </c>
    </row>
    <row r="2013" spans="1:5">
      <c r="A2013">
        <v>10342</v>
      </c>
      <c r="B2013" s="80">
        <v>35368</v>
      </c>
      <c r="C2013">
        <v>614.39999771118164</v>
      </c>
      <c r="D2013">
        <v>40</v>
      </c>
      <c r="E2013" t="s">
        <v>174</v>
      </c>
    </row>
    <row r="2014" spans="1:5">
      <c r="A2014">
        <v>10342</v>
      </c>
      <c r="B2014" s="80">
        <v>35368</v>
      </c>
      <c r="C2014">
        <v>486.3999981880188</v>
      </c>
      <c r="D2014">
        <v>40</v>
      </c>
      <c r="E2014" t="s">
        <v>176</v>
      </c>
    </row>
    <row r="2015" spans="1:5">
      <c r="A2015">
        <v>10342</v>
      </c>
      <c r="B2015" s="80">
        <v>35368</v>
      </c>
      <c r="C2015">
        <v>291.83999891281127</v>
      </c>
      <c r="D2015">
        <v>24</v>
      </c>
      <c r="E2015" t="s">
        <v>175</v>
      </c>
    </row>
    <row r="2016" spans="1:5">
      <c r="A2016">
        <v>10342</v>
      </c>
      <c r="B2016" s="80">
        <v>35368</v>
      </c>
      <c r="C2016">
        <v>447.99999833106995</v>
      </c>
      <c r="D2016">
        <v>56</v>
      </c>
      <c r="E2016" t="s">
        <v>174</v>
      </c>
    </row>
    <row r="2017" spans="1:5">
      <c r="A2017">
        <v>10342</v>
      </c>
      <c r="B2017" s="80">
        <v>35368</v>
      </c>
      <c r="C2017">
        <v>486.3999981880188</v>
      </c>
      <c r="D2017">
        <v>40</v>
      </c>
      <c r="E2017" t="s">
        <v>172</v>
      </c>
    </row>
    <row r="2018" spans="1:5">
      <c r="A2018">
        <v>10342</v>
      </c>
      <c r="B2018" s="80">
        <v>35368</v>
      </c>
      <c r="C2018">
        <v>291.83999891281127</v>
      </c>
      <c r="D2018">
        <v>24</v>
      </c>
      <c r="E2018" t="s">
        <v>172</v>
      </c>
    </row>
    <row r="2019" spans="1:5">
      <c r="A2019">
        <v>10342</v>
      </c>
      <c r="B2019" s="80">
        <v>35368</v>
      </c>
      <c r="C2019">
        <v>614.39999771118164</v>
      </c>
      <c r="D2019">
        <v>40</v>
      </c>
      <c r="E2019" t="s">
        <v>175</v>
      </c>
    </row>
    <row r="2020" spans="1:5">
      <c r="A2020">
        <v>10342</v>
      </c>
      <c r="B2020" s="80">
        <v>35368</v>
      </c>
      <c r="C2020">
        <v>447.99999833106995</v>
      </c>
      <c r="D2020">
        <v>56</v>
      </c>
      <c r="E2020" t="s">
        <v>172</v>
      </c>
    </row>
    <row r="2021" spans="1:5">
      <c r="A2021">
        <v>10342</v>
      </c>
      <c r="B2021" s="80">
        <v>35368</v>
      </c>
      <c r="C2021">
        <v>614.39999771118164</v>
      </c>
      <c r="D2021">
        <v>40</v>
      </c>
      <c r="E2021" t="s">
        <v>172</v>
      </c>
    </row>
    <row r="2022" spans="1:5">
      <c r="A2022">
        <v>10342</v>
      </c>
      <c r="B2022" s="80">
        <v>35368</v>
      </c>
      <c r="C2022">
        <v>486.3999981880188</v>
      </c>
      <c r="D2022">
        <v>40</v>
      </c>
      <c r="E2022" t="s">
        <v>174</v>
      </c>
    </row>
    <row r="2023" spans="1:5">
      <c r="A2023">
        <v>10342</v>
      </c>
      <c r="B2023" s="80">
        <v>35368</v>
      </c>
      <c r="C2023">
        <v>447.99999833106995</v>
      </c>
      <c r="D2023">
        <v>56</v>
      </c>
      <c r="E2023" t="s">
        <v>176</v>
      </c>
    </row>
    <row r="2024" spans="1:5">
      <c r="A2024">
        <v>10342</v>
      </c>
      <c r="B2024" s="80">
        <v>35368</v>
      </c>
      <c r="C2024">
        <v>447.99999833106995</v>
      </c>
      <c r="D2024">
        <v>56</v>
      </c>
      <c r="E2024" t="s">
        <v>178</v>
      </c>
    </row>
    <row r="2025" spans="1:5">
      <c r="A2025">
        <v>10342</v>
      </c>
      <c r="B2025" s="80">
        <v>35368</v>
      </c>
      <c r="C2025">
        <v>486.3999981880188</v>
      </c>
      <c r="D2025">
        <v>40</v>
      </c>
      <c r="E2025" t="s">
        <v>178</v>
      </c>
    </row>
    <row r="2026" spans="1:5">
      <c r="A2026">
        <v>10342</v>
      </c>
      <c r="B2026" s="80">
        <v>35368</v>
      </c>
      <c r="C2026">
        <v>614.39999771118164</v>
      </c>
      <c r="D2026">
        <v>40</v>
      </c>
      <c r="E2026" t="s">
        <v>178</v>
      </c>
    </row>
    <row r="2027" spans="1:5">
      <c r="A2027">
        <v>10342</v>
      </c>
      <c r="B2027" s="80">
        <v>35368</v>
      </c>
      <c r="C2027">
        <v>614.39999771118164</v>
      </c>
      <c r="D2027">
        <v>40</v>
      </c>
      <c r="E2027" t="s">
        <v>177</v>
      </c>
    </row>
    <row r="2028" spans="1:5">
      <c r="A2028">
        <v>10342</v>
      </c>
      <c r="B2028" s="80">
        <v>35368</v>
      </c>
      <c r="C2028">
        <v>614.39999771118164</v>
      </c>
      <c r="D2028">
        <v>40</v>
      </c>
      <c r="E2028" t="s">
        <v>179</v>
      </c>
    </row>
    <row r="2029" spans="1:5">
      <c r="A2029">
        <v>10342</v>
      </c>
      <c r="B2029" s="80">
        <v>35368</v>
      </c>
      <c r="C2029">
        <v>614.39999771118164</v>
      </c>
      <c r="D2029">
        <v>40</v>
      </c>
      <c r="E2029" t="s">
        <v>173</v>
      </c>
    </row>
    <row r="2030" spans="1:5">
      <c r="A2030">
        <v>10342</v>
      </c>
      <c r="B2030" s="80">
        <v>35368</v>
      </c>
      <c r="C2030">
        <v>486.3999981880188</v>
      </c>
      <c r="D2030">
        <v>40</v>
      </c>
      <c r="E2030" t="s">
        <v>173</v>
      </c>
    </row>
    <row r="2031" spans="1:5">
      <c r="A2031">
        <v>10342</v>
      </c>
      <c r="B2031" s="80">
        <v>35368</v>
      </c>
      <c r="C2031">
        <v>447.99999833106995</v>
      </c>
      <c r="D2031">
        <v>56</v>
      </c>
      <c r="E2031" t="s">
        <v>173</v>
      </c>
    </row>
    <row r="2032" spans="1:5">
      <c r="A2032">
        <v>10342</v>
      </c>
      <c r="B2032" s="80">
        <v>35368</v>
      </c>
      <c r="C2032">
        <v>291.83999891281127</v>
      </c>
      <c r="D2032">
        <v>24</v>
      </c>
      <c r="E2032" t="s">
        <v>178</v>
      </c>
    </row>
    <row r="2033" spans="1:5">
      <c r="A2033">
        <v>10342</v>
      </c>
      <c r="B2033" s="80">
        <v>35368</v>
      </c>
      <c r="C2033">
        <v>291.83999891281127</v>
      </c>
      <c r="D2033">
        <v>24</v>
      </c>
      <c r="E2033" t="s">
        <v>176</v>
      </c>
    </row>
    <row r="2034" spans="1:5">
      <c r="A2034">
        <v>10342</v>
      </c>
      <c r="B2034" s="80">
        <v>35368</v>
      </c>
      <c r="C2034">
        <v>486.3999981880188</v>
      </c>
      <c r="D2034">
        <v>40</v>
      </c>
      <c r="E2034" t="s">
        <v>177</v>
      </c>
    </row>
    <row r="2035" spans="1:5">
      <c r="A2035">
        <v>10342</v>
      </c>
      <c r="B2035" s="80">
        <v>35368</v>
      </c>
      <c r="C2035">
        <v>614.39999771118164</v>
      </c>
      <c r="D2035">
        <v>40</v>
      </c>
      <c r="E2035" t="s">
        <v>176</v>
      </c>
    </row>
    <row r="2036" spans="1:5">
      <c r="A2036">
        <v>10342</v>
      </c>
      <c r="B2036" s="80">
        <v>35368</v>
      </c>
      <c r="C2036">
        <v>447.99999833106995</v>
      </c>
      <c r="D2036">
        <v>56</v>
      </c>
      <c r="E2036" t="s">
        <v>177</v>
      </c>
    </row>
    <row r="2037" spans="1:5">
      <c r="A2037">
        <v>10342</v>
      </c>
      <c r="B2037" s="80">
        <v>35368</v>
      </c>
      <c r="C2037">
        <v>291.83999891281127</v>
      </c>
      <c r="D2037">
        <v>24</v>
      </c>
      <c r="E2037" t="s">
        <v>177</v>
      </c>
    </row>
    <row r="2038" spans="1:5">
      <c r="A2038">
        <v>10342</v>
      </c>
      <c r="B2038" s="80">
        <v>35368</v>
      </c>
      <c r="C2038">
        <v>291.83999891281127</v>
      </c>
      <c r="D2038">
        <v>24</v>
      </c>
      <c r="E2038" t="s">
        <v>179</v>
      </c>
    </row>
    <row r="2039" spans="1:5">
      <c r="A2039">
        <v>10342</v>
      </c>
      <c r="B2039" s="80">
        <v>35368</v>
      </c>
      <c r="C2039">
        <v>447.99999833106995</v>
      </c>
      <c r="D2039">
        <v>56</v>
      </c>
      <c r="E2039" t="s">
        <v>179</v>
      </c>
    </row>
    <row r="2040" spans="1:5">
      <c r="A2040">
        <v>10342</v>
      </c>
      <c r="B2040" s="80">
        <v>35368</v>
      </c>
      <c r="C2040">
        <v>486.3999981880188</v>
      </c>
      <c r="D2040">
        <v>40</v>
      </c>
      <c r="E2040" t="s">
        <v>179</v>
      </c>
    </row>
    <row r="2041" spans="1:5">
      <c r="A2041">
        <v>10342</v>
      </c>
      <c r="B2041" s="80">
        <v>35368</v>
      </c>
      <c r="C2041">
        <v>291.83999891281127</v>
      </c>
      <c r="D2041">
        <v>24</v>
      </c>
      <c r="E2041" t="s">
        <v>173</v>
      </c>
    </row>
    <row r="2042" spans="1:5">
      <c r="A2042">
        <v>10343</v>
      </c>
      <c r="B2042" s="80">
        <v>35369</v>
      </c>
      <c r="C2042">
        <v>1330</v>
      </c>
      <c r="D2042">
        <v>50</v>
      </c>
      <c r="E2042" t="s">
        <v>173</v>
      </c>
    </row>
    <row r="2043" spans="1:5">
      <c r="A2043">
        <v>10343</v>
      </c>
      <c r="B2043" s="80">
        <v>35369</v>
      </c>
      <c r="C2043">
        <v>1330</v>
      </c>
      <c r="D2043">
        <v>50</v>
      </c>
      <c r="E2043" t="s">
        <v>177</v>
      </c>
    </row>
    <row r="2044" spans="1:5">
      <c r="A2044">
        <v>10343</v>
      </c>
      <c r="B2044" s="80">
        <v>35369</v>
      </c>
      <c r="C2044">
        <v>37.999999970197678</v>
      </c>
      <c r="D2044">
        <v>4</v>
      </c>
      <c r="E2044" t="s">
        <v>177</v>
      </c>
    </row>
    <row r="2045" spans="1:5">
      <c r="A2045">
        <v>10343</v>
      </c>
      <c r="B2045" s="80">
        <v>35369</v>
      </c>
      <c r="C2045">
        <v>1330</v>
      </c>
      <c r="D2045">
        <v>50</v>
      </c>
      <c r="E2045" t="s">
        <v>178</v>
      </c>
    </row>
    <row r="2046" spans="1:5">
      <c r="A2046">
        <v>10343</v>
      </c>
      <c r="B2046" s="80">
        <v>35369</v>
      </c>
      <c r="C2046">
        <v>1330</v>
      </c>
      <c r="D2046">
        <v>50</v>
      </c>
      <c r="E2046" t="s">
        <v>174</v>
      </c>
    </row>
    <row r="2047" spans="1:5">
      <c r="A2047">
        <v>10343</v>
      </c>
      <c r="B2047" s="80">
        <v>35369</v>
      </c>
      <c r="C2047">
        <v>37.999999970197678</v>
      </c>
      <c r="D2047">
        <v>4</v>
      </c>
      <c r="E2047" t="s">
        <v>174</v>
      </c>
    </row>
    <row r="2048" spans="1:5">
      <c r="A2048">
        <v>10343</v>
      </c>
      <c r="B2048" s="80">
        <v>35369</v>
      </c>
      <c r="C2048">
        <v>216</v>
      </c>
      <c r="D2048">
        <v>15</v>
      </c>
      <c r="E2048" t="s">
        <v>177</v>
      </c>
    </row>
    <row r="2049" spans="1:5">
      <c r="A2049">
        <v>10343</v>
      </c>
      <c r="B2049" s="80">
        <v>35369</v>
      </c>
      <c r="C2049">
        <v>37.999999970197678</v>
      </c>
      <c r="D2049">
        <v>4</v>
      </c>
      <c r="E2049" t="s">
        <v>178</v>
      </c>
    </row>
    <row r="2050" spans="1:5">
      <c r="A2050">
        <v>10343</v>
      </c>
      <c r="B2050" s="80">
        <v>35369</v>
      </c>
      <c r="C2050">
        <v>1330</v>
      </c>
      <c r="D2050">
        <v>50</v>
      </c>
      <c r="E2050" t="s">
        <v>176</v>
      </c>
    </row>
    <row r="2051" spans="1:5">
      <c r="A2051">
        <v>10343</v>
      </c>
      <c r="B2051" s="80">
        <v>35369</v>
      </c>
      <c r="C2051">
        <v>37.999999970197678</v>
      </c>
      <c r="D2051">
        <v>4</v>
      </c>
      <c r="E2051" t="s">
        <v>173</v>
      </c>
    </row>
    <row r="2052" spans="1:5">
      <c r="A2052">
        <v>10343</v>
      </c>
      <c r="B2052" s="80">
        <v>35369</v>
      </c>
      <c r="C2052">
        <v>216</v>
      </c>
      <c r="D2052">
        <v>15</v>
      </c>
      <c r="E2052" t="s">
        <v>174</v>
      </c>
    </row>
    <row r="2053" spans="1:5">
      <c r="A2053">
        <v>10343</v>
      </c>
      <c r="B2053" s="80">
        <v>35369</v>
      </c>
      <c r="C2053">
        <v>37.999999970197678</v>
      </c>
      <c r="D2053">
        <v>4</v>
      </c>
      <c r="E2053" t="s">
        <v>176</v>
      </c>
    </row>
    <row r="2054" spans="1:5">
      <c r="A2054">
        <v>10343</v>
      </c>
      <c r="B2054" s="80">
        <v>35369</v>
      </c>
      <c r="C2054">
        <v>216</v>
      </c>
      <c r="D2054">
        <v>15</v>
      </c>
      <c r="E2054" t="s">
        <v>176</v>
      </c>
    </row>
    <row r="2055" spans="1:5">
      <c r="A2055">
        <v>10343</v>
      </c>
      <c r="B2055" s="80">
        <v>35369</v>
      </c>
      <c r="C2055">
        <v>216</v>
      </c>
      <c r="D2055">
        <v>15</v>
      </c>
      <c r="E2055" t="s">
        <v>179</v>
      </c>
    </row>
    <row r="2056" spans="1:5">
      <c r="A2056">
        <v>10343</v>
      </c>
      <c r="B2056" s="80">
        <v>35369</v>
      </c>
      <c r="C2056">
        <v>37.999999970197678</v>
      </c>
      <c r="D2056">
        <v>4</v>
      </c>
      <c r="E2056" t="s">
        <v>179</v>
      </c>
    </row>
    <row r="2057" spans="1:5">
      <c r="A2057">
        <v>10343</v>
      </c>
      <c r="B2057" s="80">
        <v>35369</v>
      </c>
      <c r="C2057">
        <v>1330</v>
      </c>
      <c r="D2057">
        <v>50</v>
      </c>
      <c r="E2057" t="s">
        <v>179</v>
      </c>
    </row>
    <row r="2058" spans="1:5">
      <c r="A2058">
        <v>10343</v>
      </c>
      <c r="B2058" s="80">
        <v>35369</v>
      </c>
      <c r="C2058">
        <v>216</v>
      </c>
      <c r="D2058">
        <v>15</v>
      </c>
      <c r="E2058" t="s">
        <v>173</v>
      </c>
    </row>
    <row r="2059" spans="1:5">
      <c r="A2059">
        <v>10343</v>
      </c>
      <c r="B2059" s="80">
        <v>35369</v>
      </c>
      <c r="C2059">
        <v>1330</v>
      </c>
      <c r="D2059">
        <v>50</v>
      </c>
      <c r="E2059" t="s">
        <v>172</v>
      </c>
    </row>
    <row r="2060" spans="1:5">
      <c r="A2060">
        <v>10343</v>
      </c>
      <c r="B2060" s="80">
        <v>35369</v>
      </c>
      <c r="C2060">
        <v>216</v>
      </c>
      <c r="D2060">
        <v>15</v>
      </c>
      <c r="E2060" t="s">
        <v>175</v>
      </c>
    </row>
    <row r="2061" spans="1:5">
      <c r="A2061">
        <v>10343</v>
      </c>
      <c r="B2061" s="80">
        <v>35369</v>
      </c>
      <c r="C2061">
        <v>37.999999970197678</v>
      </c>
      <c r="D2061">
        <v>4</v>
      </c>
      <c r="E2061" t="s">
        <v>175</v>
      </c>
    </row>
    <row r="2062" spans="1:5">
      <c r="A2062">
        <v>10343</v>
      </c>
      <c r="B2062" s="80">
        <v>35369</v>
      </c>
      <c r="C2062">
        <v>1330</v>
      </c>
      <c r="D2062">
        <v>50</v>
      </c>
      <c r="E2062" t="s">
        <v>175</v>
      </c>
    </row>
    <row r="2063" spans="1:5">
      <c r="A2063">
        <v>10343</v>
      </c>
      <c r="B2063" s="80">
        <v>35369</v>
      </c>
      <c r="C2063">
        <v>216</v>
      </c>
      <c r="D2063">
        <v>15</v>
      </c>
      <c r="E2063" t="s">
        <v>178</v>
      </c>
    </row>
    <row r="2064" spans="1:5">
      <c r="A2064">
        <v>10343</v>
      </c>
      <c r="B2064" s="80">
        <v>35369</v>
      </c>
      <c r="C2064">
        <v>216</v>
      </c>
      <c r="D2064">
        <v>15</v>
      </c>
      <c r="E2064" t="s">
        <v>172</v>
      </c>
    </row>
    <row r="2065" spans="1:5">
      <c r="A2065">
        <v>10343</v>
      </c>
      <c r="B2065" s="80">
        <v>35369</v>
      </c>
      <c r="C2065">
        <v>37.999999970197678</v>
      </c>
      <c r="D2065">
        <v>4</v>
      </c>
      <c r="E2065" t="s">
        <v>172</v>
      </c>
    </row>
    <row r="2066" spans="1:5">
      <c r="A2066">
        <v>10344</v>
      </c>
      <c r="B2066" s="80">
        <v>35370</v>
      </c>
      <c r="C2066">
        <v>1680</v>
      </c>
      <c r="D2066">
        <v>70</v>
      </c>
      <c r="E2066" t="s">
        <v>173</v>
      </c>
    </row>
    <row r="2067" spans="1:5">
      <c r="A2067">
        <v>10344</v>
      </c>
      <c r="B2067" s="80">
        <v>35370</v>
      </c>
      <c r="C2067">
        <v>616</v>
      </c>
      <c r="D2067">
        <v>35</v>
      </c>
      <c r="E2067" t="s">
        <v>173</v>
      </c>
    </row>
    <row r="2068" spans="1:5">
      <c r="A2068">
        <v>10344</v>
      </c>
      <c r="B2068" s="80">
        <v>35370</v>
      </c>
      <c r="C2068">
        <v>616</v>
      </c>
      <c r="D2068">
        <v>35</v>
      </c>
      <c r="E2068" t="s">
        <v>178</v>
      </c>
    </row>
    <row r="2069" spans="1:5">
      <c r="A2069">
        <v>10344</v>
      </c>
      <c r="B2069" s="80">
        <v>35370</v>
      </c>
      <c r="C2069">
        <v>1680</v>
      </c>
      <c r="D2069">
        <v>70</v>
      </c>
      <c r="E2069" t="s">
        <v>174</v>
      </c>
    </row>
    <row r="2070" spans="1:5">
      <c r="A2070">
        <v>10344</v>
      </c>
      <c r="B2070" s="80">
        <v>35370</v>
      </c>
      <c r="C2070">
        <v>1680</v>
      </c>
      <c r="D2070">
        <v>70</v>
      </c>
      <c r="E2070" t="s">
        <v>179</v>
      </c>
    </row>
    <row r="2071" spans="1:5">
      <c r="A2071">
        <v>10344</v>
      </c>
      <c r="B2071" s="80">
        <v>35370</v>
      </c>
      <c r="C2071">
        <v>616</v>
      </c>
      <c r="D2071">
        <v>35</v>
      </c>
      <c r="E2071" t="s">
        <v>174</v>
      </c>
    </row>
    <row r="2072" spans="1:5">
      <c r="A2072">
        <v>10344</v>
      </c>
      <c r="B2072" s="80">
        <v>35370</v>
      </c>
      <c r="C2072">
        <v>616</v>
      </c>
      <c r="D2072">
        <v>35</v>
      </c>
      <c r="E2072" t="s">
        <v>179</v>
      </c>
    </row>
    <row r="2073" spans="1:5">
      <c r="A2073">
        <v>10344</v>
      </c>
      <c r="B2073" s="80">
        <v>35370</v>
      </c>
      <c r="C2073">
        <v>616</v>
      </c>
      <c r="D2073">
        <v>35</v>
      </c>
      <c r="E2073" t="s">
        <v>175</v>
      </c>
    </row>
    <row r="2074" spans="1:5">
      <c r="A2074">
        <v>10344</v>
      </c>
      <c r="B2074" s="80">
        <v>35370</v>
      </c>
      <c r="C2074">
        <v>1680</v>
      </c>
      <c r="D2074">
        <v>70</v>
      </c>
      <c r="E2074" t="s">
        <v>175</v>
      </c>
    </row>
    <row r="2075" spans="1:5">
      <c r="A2075">
        <v>10344</v>
      </c>
      <c r="B2075" s="80">
        <v>35370</v>
      </c>
      <c r="C2075">
        <v>1680</v>
      </c>
      <c r="D2075">
        <v>70</v>
      </c>
      <c r="E2075" t="s">
        <v>178</v>
      </c>
    </row>
    <row r="2076" spans="1:5">
      <c r="A2076">
        <v>10344</v>
      </c>
      <c r="B2076" s="80">
        <v>35370</v>
      </c>
      <c r="C2076">
        <v>616</v>
      </c>
      <c r="D2076">
        <v>35</v>
      </c>
      <c r="E2076" t="s">
        <v>172</v>
      </c>
    </row>
    <row r="2077" spans="1:5">
      <c r="A2077">
        <v>10344</v>
      </c>
      <c r="B2077" s="80">
        <v>35370</v>
      </c>
      <c r="C2077">
        <v>616</v>
      </c>
      <c r="D2077">
        <v>35</v>
      </c>
      <c r="E2077" t="s">
        <v>177</v>
      </c>
    </row>
    <row r="2078" spans="1:5">
      <c r="A2078">
        <v>10344</v>
      </c>
      <c r="B2078" s="80">
        <v>35370</v>
      </c>
      <c r="C2078">
        <v>1680</v>
      </c>
      <c r="D2078">
        <v>70</v>
      </c>
      <c r="E2078" t="s">
        <v>176</v>
      </c>
    </row>
    <row r="2079" spans="1:5">
      <c r="A2079">
        <v>10344</v>
      </c>
      <c r="B2079" s="80">
        <v>35370</v>
      </c>
      <c r="C2079">
        <v>616</v>
      </c>
      <c r="D2079">
        <v>35</v>
      </c>
      <c r="E2079" t="s">
        <v>176</v>
      </c>
    </row>
    <row r="2080" spans="1:5">
      <c r="A2080">
        <v>10344</v>
      </c>
      <c r="B2080" s="80">
        <v>35370</v>
      </c>
      <c r="C2080">
        <v>1680</v>
      </c>
      <c r="D2080">
        <v>70</v>
      </c>
      <c r="E2080" t="s">
        <v>172</v>
      </c>
    </row>
    <row r="2081" spans="1:5">
      <c r="A2081">
        <v>10344</v>
      </c>
      <c r="B2081" s="80">
        <v>35370</v>
      </c>
      <c r="C2081">
        <v>1680</v>
      </c>
      <c r="D2081">
        <v>70</v>
      </c>
      <c r="E2081" t="s">
        <v>177</v>
      </c>
    </row>
    <row r="2082" spans="1:5">
      <c r="A2082">
        <v>10345</v>
      </c>
      <c r="B2082" s="80">
        <v>35373</v>
      </c>
      <c r="C2082">
        <v>100.8</v>
      </c>
      <c r="D2082">
        <v>9</v>
      </c>
      <c r="E2082" t="s">
        <v>173</v>
      </c>
    </row>
    <row r="2083" spans="1:5">
      <c r="A2083">
        <v>10345</v>
      </c>
      <c r="B2083" s="80">
        <v>35373</v>
      </c>
      <c r="C2083">
        <v>100.8</v>
      </c>
      <c r="D2083">
        <v>9</v>
      </c>
      <c r="E2083" t="s">
        <v>175</v>
      </c>
    </row>
    <row r="2084" spans="1:5">
      <c r="A2084">
        <v>10345</v>
      </c>
      <c r="B2084" s="80">
        <v>35373</v>
      </c>
      <c r="C2084">
        <v>100.8</v>
      </c>
      <c r="D2084">
        <v>9</v>
      </c>
      <c r="E2084" t="s">
        <v>177</v>
      </c>
    </row>
    <row r="2085" spans="1:5">
      <c r="A2085">
        <v>10345</v>
      </c>
      <c r="B2085" s="80">
        <v>35373</v>
      </c>
      <c r="C2085">
        <v>584</v>
      </c>
      <c r="D2085">
        <v>80</v>
      </c>
      <c r="E2085" t="s">
        <v>177</v>
      </c>
    </row>
    <row r="2086" spans="1:5">
      <c r="A2086">
        <v>10345</v>
      </c>
      <c r="B2086" s="80">
        <v>35373</v>
      </c>
      <c r="C2086">
        <v>2240</v>
      </c>
      <c r="D2086">
        <v>70</v>
      </c>
      <c r="E2086" t="s">
        <v>177</v>
      </c>
    </row>
    <row r="2087" spans="1:5">
      <c r="A2087">
        <v>10345</v>
      </c>
      <c r="B2087" s="80">
        <v>35373</v>
      </c>
      <c r="C2087">
        <v>584</v>
      </c>
      <c r="D2087">
        <v>80</v>
      </c>
      <c r="E2087" t="s">
        <v>173</v>
      </c>
    </row>
    <row r="2088" spans="1:5">
      <c r="A2088">
        <v>10345</v>
      </c>
      <c r="B2088" s="80">
        <v>35373</v>
      </c>
      <c r="C2088">
        <v>100.8</v>
      </c>
      <c r="D2088">
        <v>9</v>
      </c>
      <c r="E2088" t="s">
        <v>172</v>
      </c>
    </row>
    <row r="2089" spans="1:5">
      <c r="A2089">
        <v>10345</v>
      </c>
      <c r="B2089" s="80">
        <v>35373</v>
      </c>
      <c r="C2089">
        <v>2240</v>
      </c>
      <c r="D2089">
        <v>70</v>
      </c>
      <c r="E2089" t="s">
        <v>173</v>
      </c>
    </row>
    <row r="2090" spans="1:5">
      <c r="A2090">
        <v>10345</v>
      </c>
      <c r="B2090" s="80">
        <v>35373</v>
      </c>
      <c r="C2090">
        <v>584</v>
      </c>
      <c r="D2090">
        <v>80</v>
      </c>
      <c r="E2090" t="s">
        <v>172</v>
      </c>
    </row>
    <row r="2091" spans="1:5">
      <c r="A2091">
        <v>10345</v>
      </c>
      <c r="B2091" s="80">
        <v>35373</v>
      </c>
      <c r="C2091">
        <v>2240</v>
      </c>
      <c r="D2091">
        <v>70</v>
      </c>
      <c r="E2091" t="s">
        <v>172</v>
      </c>
    </row>
    <row r="2092" spans="1:5">
      <c r="A2092">
        <v>10345</v>
      </c>
      <c r="B2092" s="80">
        <v>35373</v>
      </c>
      <c r="C2092">
        <v>100.8</v>
      </c>
      <c r="D2092">
        <v>9</v>
      </c>
      <c r="E2092" t="s">
        <v>174</v>
      </c>
    </row>
    <row r="2093" spans="1:5">
      <c r="A2093">
        <v>10345</v>
      </c>
      <c r="B2093" s="80">
        <v>35373</v>
      </c>
      <c r="C2093">
        <v>584</v>
      </c>
      <c r="D2093">
        <v>80</v>
      </c>
      <c r="E2093" t="s">
        <v>174</v>
      </c>
    </row>
    <row r="2094" spans="1:5">
      <c r="A2094">
        <v>10345</v>
      </c>
      <c r="B2094" s="80">
        <v>35373</v>
      </c>
      <c r="C2094">
        <v>2240</v>
      </c>
      <c r="D2094">
        <v>70</v>
      </c>
      <c r="E2094" t="s">
        <v>174</v>
      </c>
    </row>
    <row r="2095" spans="1:5">
      <c r="A2095">
        <v>10345</v>
      </c>
      <c r="B2095" s="80">
        <v>35373</v>
      </c>
      <c r="C2095">
        <v>584</v>
      </c>
      <c r="D2095">
        <v>80</v>
      </c>
      <c r="E2095" t="s">
        <v>175</v>
      </c>
    </row>
    <row r="2096" spans="1:5">
      <c r="A2096">
        <v>10345</v>
      </c>
      <c r="B2096" s="80">
        <v>35373</v>
      </c>
      <c r="C2096">
        <v>100.8</v>
      </c>
      <c r="D2096">
        <v>9</v>
      </c>
      <c r="E2096" t="s">
        <v>178</v>
      </c>
    </row>
    <row r="2097" spans="1:5">
      <c r="A2097">
        <v>10345</v>
      </c>
      <c r="B2097" s="80">
        <v>35373</v>
      </c>
      <c r="C2097">
        <v>584</v>
      </c>
      <c r="D2097">
        <v>80</v>
      </c>
      <c r="E2097" t="s">
        <v>178</v>
      </c>
    </row>
    <row r="2098" spans="1:5">
      <c r="A2098">
        <v>10345</v>
      </c>
      <c r="B2098" s="80">
        <v>35373</v>
      </c>
      <c r="C2098">
        <v>100.8</v>
      </c>
      <c r="D2098">
        <v>9</v>
      </c>
      <c r="E2098" t="s">
        <v>176</v>
      </c>
    </row>
    <row r="2099" spans="1:5">
      <c r="A2099">
        <v>10345</v>
      </c>
      <c r="B2099" s="80">
        <v>35373</v>
      </c>
      <c r="C2099">
        <v>2240</v>
      </c>
      <c r="D2099">
        <v>70</v>
      </c>
      <c r="E2099" t="s">
        <v>178</v>
      </c>
    </row>
    <row r="2100" spans="1:5">
      <c r="A2100">
        <v>10345</v>
      </c>
      <c r="B2100" s="80">
        <v>35373</v>
      </c>
      <c r="C2100">
        <v>2240</v>
      </c>
      <c r="D2100">
        <v>70</v>
      </c>
      <c r="E2100" t="s">
        <v>179</v>
      </c>
    </row>
    <row r="2101" spans="1:5">
      <c r="A2101">
        <v>10345</v>
      </c>
      <c r="B2101" s="80">
        <v>35373</v>
      </c>
      <c r="C2101">
        <v>584</v>
      </c>
      <c r="D2101">
        <v>80</v>
      </c>
      <c r="E2101" t="s">
        <v>179</v>
      </c>
    </row>
    <row r="2102" spans="1:5">
      <c r="A2102">
        <v>10345</v>
      </c>
      <c r="B2102" s="80">
        <v>35373</v>
      </c>
      <c r="C2102">
        <v>2240</v>
      </c>
      <c r="D2102">
        <v>70</v>
      </c>
      <c r="E2102" t="s">
        <v>175</v>
      </c>
    </row>
    <row r="2103" spans="1:5">
      <c r="A2103">
        <v>10345</v>
      </c>
      <c r="B2103" s="80">
        <v>35373</v>
      </c>
      <c r="C2103">
        <v>100.8</v>
      </c>
      <c r="D2103">
        <v>9</v>
      </c>
      <c r="E2103" t="s">
        <v>179</v>
      </c>
    </row>
    <row r="2104" spans="1:5">
      <c r="A2104">
        <v>10345</v>
      </c>
      <c r="B2104" s="80">
        <v>35373</v>
      </c>
      <c r="C2104">
        <v>584</v>
      </c>
      <c r="D2104">
        <v>80</v>
      </c>
      <c r="E2104" t="s">
        <v>176</v>
      </c>
    </row>
    <row r="2105" spans="1:5">
      <c r="A2105">
        <v>10345</v>
      </c>
      <c r="B2105" s="80">
        <v>35373</v>
      </c>
      <c r="C2105">
        <v>2240</v>
      </c>
      <c r="D2105">
        <v>70</v>
      </c>
      <c r="E2105" t="s">
        <v>176</v>
      </c>
    </row>
    <row r="2106" spans="1:5">
      <c r="A2106">
        <v>10346</v>
      </c>
      <c r="B2106" s="80">
        <v>35374</v>
      </c>
      <c r="C2106">
        <v>608</v>
      </c>
      <c r="D2106">
        <v>20</v>
      </c>
      <c r="E2106" t="s">
        <v>177</v>
      </c>
    </row>
    <row r="2107" spans="1:5">
      <c r="A2107">
        <v>10346</v>
      </c>
      <c r="B2107" s="80">
        <v>35374</v>
      </c>
      <c r="C2107">
        <v>608</v>
      </c>
      <c r="D2107">
        <v>20</v>
      </c>
      <c r="E2107" t="s">
        <v>174</v>
      </c>
    </row>
    <row r="2108" spans="1:5">
      <c r="A2108">
        <v>10346</v>
      </c>
      <c r="B2108" s="80">
        <v>35374</v>
      </c>
      <c r="C2108">
        <v>1010.8799983263016</v>
      </c>
      <c r="D2108">
        <v>36</v>
      </c>
      <c r="E2108" t="s">
        <v>176</v>
      </c>
    </row>
    <row r="2109" spans="1:5">
      <c r="A2109">
        <v>10346</v>
      </c>
      <c r="B2109" s="80">
        <v>35374</v>
      </c>
      <c r="C2109">
        <v>608</v>
      </c>
      <c r="D2109">
        <v>20</v>
      </c>
      <c r="E2109" t="s">
        <v>172</v>
      </c>
    </row>
    <row r="2110" spans="1:5">
      <c r="A2110">
        <v>10346</v>
      </c>
      <c r="B2110" s="80">
        <v>35374</v>
      </c>
      <c r="C2110">
        <v>1010.8799983263016</v>
      </c>
      <c r="D2110">
        <v>36</v>
      </c>
      <c r="E2110" t="s">
        <v>172</v>
      </c>
    </row>
    <row r="2111" spans="1:5">
      <c r="A2111">
        <v>10346</v>
      </c>
      <c r="B2111" s="80">
        <v>35374</v>
      </c>
      <c r="C2111">
        <v>1010.8799983263016</v>
      </c>
      <c r="D2111">
        <v>36</v>
      </c>
      <c r="E2111" t="s">
        <v>174</v>
      </c>
    </row>
    <row r="2112" spans="1:5">
      <c r="A2112">
        <v>10346</v>
      </c>
      <c r="B2112" s="80">
        <v>35374</v>
      </c>
      <c r="C2112">
        <v>1010.8799983263016</v>
      </c>
      <c r="D2112">
        <v>36</v>
      </c>
      <c r="E2112" t="s">
        <v>177</v>
      </c>
    </row>
    <row r="2113" spans="1:5">
      <c r="A2113">
        <v>10346</v>
      </c>
      <c r="B2113" s="80">
        <v>35374</v>
      </c>
      <c r="C2113">
        <v>608</v>
      </c>
      <c r="D2113">
        <v>20</v>
      </c>
      <c r="E2113" t="s">
        <v>179</v>
      </c>
    </row>
    <row r="2114" spans="1:5">
      <c r="A2114">
        <v>10346</v>
      </c>
      <c r="B2114" s="80">
        <v>35374</v>
      </c>
      <c r="C2114">
        <v>1010.8799983263016</v>
      </c>
      <c r="D2114">
        <v>36</v>
      </c>
      <c r="E2114" t="s">
        <v>179</v>
      </c>
    </row>
    <row r="2115" spans="1:5">
      <c r="A2115">
        <v>10346</v>
      </c>
      <c r="B2115" s="80">
        <v>35374</v>
      </c>
      <c r="C2115">
        <v>608</v>
      </c>
      <c r="D2115">
        <v>20</v>
      </c>
      <c r="E2115" t="s">
        <v>176</v>
      </c>
    </row>
    <row r="2116" spans="1:5">
      <c r="A2116">
        <v>10346</v>
      </c>
      <c r="B2116" s="80">
        <v>35374</v>
      </c>
      <c r="C2116">
        <v>1010.8799983263016</v>
      </c>
      <c r="D2116">
        <v>36</v>
      </c>
      <c r="E2116" t="s">
        <v>173</v>
      </c>
    </row>
    <row r="2117" spans="1:5">
      <c r="A2117">
        <v>10346</v>
      </c>
      <c r="B2117" s="80">
        <v>35374</v>
      </c>
      <c r="C2117">
        <v>608</v>
      </c>
      <c r="D2117">
        <v>20</v>
      </c>
      <c r="E2117" t="s">
        <v>173</v>
      </c>
    </row>
    <row r="2118" spans="1:5">
      <c r="A2118">
        <v>10346</v>
      </c>
      <c r="B2118" s="80">
        <v>35374</v>
      </c>
      <c r="C2118">
        <v>1010.8799983263016</v>
      </c>
      <c r="D2118">
        <v>36</v>
      </c>
      <c r="E2118" t="s">
        <v>178</v>
      </c>
    </row>
    <row r="2119" spans="1:5">
      <c r="A2119">
        <v>10346</v>
      </c>
      <c r="B2119" s="80">
        <v>35374</v>
      </c>
      <c r="C2119">
        <v>608</v>
      </c>
      <c r="D2119">
        <v>20</v>
      </c>
      <c r="E2119" t="s">
        <v>175</v>
      </c>
    </row>
    <row r="2120" spans="1:5">
      <c r="A2120">
        <v>10346</v>
      </c>
      <c r="B2120" s="80">
        <v>35374</v>
      </c>
      <c r="C2120">
        <v>1010.8799983263016</v>
      </c>
      <c r="D2120">
        <v>36</v>
      </c>
      <c r="E2120" t="s">
        <v>175</v>
      </c>
    </row>
    <row r="2121" spans="1:5">
      <c r="A2121">
        <v>10346</v>
      </c>
      <c r="B2121" s="80">
        <v>35374</v>
      </c>
      <c r="C2121">
        <v>608</v>
      </c>
      <c r="D2121">
        <v>20</v>
      </c>
      <c r="E2121" t="s">
        <v>178</v>
      </c>
    </row>
    <row r="2122" spans="1:5">
      <c r="A2122">
        <v>10347</v>
      </c>
      <c r="B2122" s="80">
        <v>35375</v>
      </c>
      <c r="C2122">
        <v>611.99999570846558</v>
      </c>
      <c r="D2122">
        <v>50</v>
      </c>
      <c r="E2122" t="s">
        <v>172</v>
      </c>
    </row>
    <row r="2123" spans="1:5">
      <c r="A2123">
        <v>10347</v>
      </c>
      <c r="B2123" s="80">
        <v>35375</v>
      </c>
      <c r="C2123">
        <v>31.619999778270724</v>
      </c>
      <c r="D2123">
        <v>6</v>
      </c>
      <c r="E2123" t="s">
        <v>174</v>
      </c>
    </row>
    <row r="2124" spans="1:5">
      <c r="A2124">
        <v>10347</v>
      </c>
      <c r="B2124" s="80">
        <v>35375</v>
      </c>
      <c r="C2124">
        <v>611.99999570846558</v>
      </c>
      <c r="D2124">
        <v>50</v>
      </c>
      <c r="E2124" t="s">
        <v>174</v>
      </c>
    </row>
    <row r="2125" spans="1:5">
      <c r="A2125">
        <v>10347</v>
      </c>
      <c r="B2125" s="80">
        <v>35375</v>
      </c>
      <c r="C2125">
        <v>112</v>
      </c>
      <c r="D2125">
        <v>10</v>
      </c>
      <c r="E2125" t="s">
        <v>179</v>
      </c>
    </row>
    <row r="2126" spans="1:5">
      <c r="A2126">
        <v>10347</v>
      </c>
      <c r="B2126" s="80">
        <v>35375</v>
      </c>
      <c r="C2126">
        <v>112</v>
      </c>
      <c r="D2126">
        <v>10</v>
      </c>
      <c r="E2126" t="s">
        <v>177</v>
      </c>
    </row>
    <row r="2127" spans="1:5">
      <c r="A2127">
        <v>10347</v>
      </c>
      <c r="B2127" s="80">
        <v>35375</v>
      </c>
      <c r="C2127">
        <v>31.619999778270724</v>
      </c>
      <c r="D2127">
        <v>6</v>
      </c>
      <c r="E2127" t="s">
        <v>173</v>
      </c>
    </row>
    <row r="2128" spans="1:5">
      <c r="A2128">
        <v>10347</v>
      </c>
      <c r="B2128" s="80">
        <v>35375</v>
      </c>
      <c r="C2128">
        <v>58.8</v>
      </c>
      <c r="D2128">
        <v>4</v>
      </c>
      <c r="E2128" t="s">
        <v>173</v>
      </c>
    </row>
    <row r="2129" spans="1:5">
      <c r="A2129">
        <v>10347</v>
      </c>
      <c r="B2129" s="80">
        <v>35375</v>
      </c>
      <c r="C2129">
        <v>611.99999570846558</v>
      </c>
      <c r="D2129">
        <v>50</v>
      </c>
      <c r="E2129" t="s">
        <v>173</v>
      </c>
    </row>
    <row r="2130" spans="1:5">
      <c r="A2130">
        <v>10347</v>
      </c>
      <c r="B2130" s="80">
        <v>35375</v>
      </c>
      <c r="C2130">
        <v>112</v>
      </c>
      <c r="D2130">
        <v>10</v>
      </c>
      <c r="E2130" t="s">
        <v>173</v>
      </c>
    </row>
    <row r="2131" spans="1:5">
      <c r="A2131">
        <v>10347</v>
      </c>
      <c r="B2131" s="80">
        <v>35375</v>
      </c>
      <c r="C2131">
        <v>31.619999778270724</v>
      </c>
      <c r="D2131">
        <v>6</v>
      </c>
      <c r="E2131" t="s">
        <v>177</v>
      </c>
    </row>
    <row r="2132" spans="1:5">
      <c r="A2132">
        <v>10347</v>
      </c>
      <c r="B2132" s="80">
        <v>35375</v>
      </c>
      <c r="C2132">
        <v>31.619999778270724</v>
      </c>
      <c r="D2132">
        <v>6</v>
      </c>
      <c r="E2132" t="s">
        <v>172</v>
      </c>
    </row>
    <row r="2133" spans="1:5">
      <c r="A2133">
        <v>10347</v>
      </c>
      <c r="B2133" s="80">
        <v>35375</v>
      </c>
      <c r="C2133">
        <v>611.99999570846558</v>
      </c>
      <c r="D2133">
        <v>50</v>
      </c>
      <c r="E2133" t="s">
        <v>177</v>
      </c>
    </row>
    <row r="2134" spans="1:5">
      <c r="A2134">
        <v>10347</v>
      </c>
      <c r="B2134" s="80">
        <v>35375</v>
      </c>
      <c r="C2134">
        <v>611.99999570846558</v>
      </c>
      <c r="D2134">
        <v>50</v>
      </c>
      <c r="E2134" t="s">
        <v>179</v>
      </c>
    </row>
    <row r="2135" spans="1:5">
      <c r="A2135">
        <v>10347</v>
      </c>
      <c r="B2135" s="80">
        <v>35375</v>
      </c>
      <c r="C2135">
        <v>112</v>
      </c>
      <c r="D2135">
        <v>10</v>
      </c>
      <c r="E2135" t="s">
        <v>172</v>
      </c>
    </row>
    <row r="2136" spans="1:5">
      <c r="A2136">
        <v>10347</v>
      </c>
      <c r="B2136" s="80">
        <v>35375</v>
      </c>
      <c r="C2136">
        <v>58.8</v>
      </c>
      <c r="D2136">
        <v>4</v>
      </c>
      <c r="E2136" t="s">
        <v>174</v>
      </c>
    </row>
    <row r="2137" spans="1:5">
      <c r="A2137">
        <v>10347</v>
      </c>
      <c r="B2137" s="80">
        <v>35375</v>
      </c>
      <c r="C2137">
        <v>58.8</v>
      </c>
      <c r="D2137">
        <v>4</v>
      </c>
      <c r="E2137" t="s">
        <v>172</v>
      </c>
    </row>
    <row r="2138" spans="1:5">
      <c r="A2138">
        <v>10347</v>
      </c>
      <c r="B2138" s="80">
        <v>35375</v>
      </c>
      <c r="C2138">
        <v>112</v>
      </c>
      <c r="D2138">
        <v>10</v>
      </c>
      <c r="E2138" t="s">
        <v>178</v>
      </c>
    </row>
    <row r="2139" spans="1:5">
      <c r="A2139">
        <v>10347</v>
      </c>
      <c r="B2139" s="80">
        <v>35375</v>
      </c>
      <c r="C2139">
        <v>31.619999778270724</v>
      </c>
      <c r="D2139">
        <v>6</v>
      </c>
      <c r="E2139" t="s">
        <v>179</v>
      </c>
    </row>
    <row r="2140" spans="1:5">
      <c r="A2140">
        <v>10347</v>
      </c>
      <c r="B2140" s="80">
        <v>35375</v>
      </c>
      <c r="C2140">
        <v>58.8</v>
      </c>
      <c r="D2140">
        <v>4</v>
      </c>
      <c r="E2140" t="s">
        <v>179</v>
      </c>
    </row>
    <row r="2141" spans="1:5">
      <c r="A2141">
        <v>10347</v>
      </c>
      <c r="B2141" s="80">
        <v>35375</v>
      </c>
      <c r="C2141">
        <v>58.8</v>
      </c>
      <c r="D2141">
        <v>4</v>
      </c>
      <c r="E2141" t="s">
        <v>177</v>
      </c>
    </row>
    <row r="2142" spans="1:5">
      <c r="A2142">
        <v>10347</v>
      </c>
      <c r="B2142" s="80">
        <v>35375</v>
      </c>
      <c r="C2142">
        <v>611.99999570846558</v>
      </c>
      <c r="D2142">
        <v>50</v>
      </c>
      <c r="E2142" t="s">
        <v>178</v>
      </c>
    </row>
    <row r="2143" spans="1:5">
      <c r="A2143">
        <v>10347</v>
      </c>
      <c r="B2143" s="80">
        <v>35375</v>
      </c>
      <c r="C2143">
        <v>112</v>
      </c>
      <c r="D2143">
        <v>10</v>
      </c>
      <c r="E2143" t="s">
        <v>175</v>
      </c>
    </row>
    <row r="2144" spans="1:5">
      <c r="A2144">
        <v>10347</v>
      </c>
      <c r="B2144" s="80">
        <v>35375</v>
      </c>
      <c r="C2144">
        <v>611.99999570846558</v>
      </c>
      <c r="D2144">
        <v>50</v>
      </c>
      <c r="E2144" t="s">
        <v>175</v>
      </c>
    </row>
    <row r="2145" spans="1:5">
      <c r="A2145">
        <v>10347</v>
      </c>
      <c r="B2145" s="80">
        <v>35375</v>
      </c>
      <c r="C2145">
        <v>58.8</v>
      </c>
      <c r="D2145">
        <v>4</v>
      </c>
      <c r="E2145" t="s">
        <v>175</v>
      </c>
    </row>
    <row r="2146" spans="1:5">
      <c r="A2146">
        <v>10347</v>
      </c>
      <c r="B2146" s="80">
        <v>35375</v>
      </c>
      <c r="C2146">
        <v>31.619999778270724</v>
      </c>
      <c r="D2146">
        <v>6</v>
      </c>
      <c r="E2146" t="s">
        <v>175</v>
      </c>
    </row>
    <row r="2147" spans="1:5">
      <c r="A2147">
        <v>10347</v>
      </c>
      <c r="B2147" s="80">
        <v>35375</v>
      </c>
      <c r="C2147">
        <v>112</v>
      </c>
      <c r="D2147">
        <v>10</v>
      </c>
      <c r="E2147" t="s">
        <v>174</v>
      </c>
    </row>
    <row r="2148" spans="1:5">
      <c r="A2148">
        <v>10347</v>
      </c>
      <c r="B2148" s="80">
        <v>35375</v>
      </c>
      <c r="C2148">
        <v>112</v>
      </c>
      <c r="D2148">
        <v>10</v>
      </c>
      <c r="E2148" t="s">
        <v>176</v>
      </c>
    </row>
    <row r="2149" spans="1:5">
      <c r="A2149">
        <v>10347</v>
      </c>
      <c r="B2149" s="80">
        <v>35375</v>
      </c>
      <c r="C2149">
        <v>611.99999570846558</v>
      </c>
      <c r="D2149">
        <v>50</v>
      </c>
      <c r="E2149" t="s">
        <v>176</v>
      </c>
    </row>
    <row r="2150" spans="1:5">
      <c r="A2150">
        <v>10347</v>
      </c>
      <c r="B2150" s="80">
        <v>35375</v>
      </c>
      <c r="C2150">
        <v>58.8</v>
      </c>
      <c r="D2150">
        <v>4</v>
      </c>
      <c r="E2150" t="s">
        <v>176</v>
      </c>
    </row>
    <row r="2151" spans="1:5">
      <c r="A2151">
        <v>10347</v>
      </c>
      <c r="B2151" s="80">
        <v>35375</v>
      </c>
      <c r="C2151">
        <v>31.619999778270724</v>
      </c>
      <c r="D2151">
        <v>6</v>
      </c>
      <c r="E2151" t="s">
        <v>176</v>
      </c>
    </row>
    <row r="2152" spans="1:5">
      <c r="A2152">
        <v>10347</v>
      </c>
      <c r="B2152" s="80">
        <v>35375</v>
      </c>
      <c r="C2152">
        <v>58.8</v>
      </c>
      <c r="D2152">
        <v>4</v>
      </c>
      <c r="E2152" t="s">
        <v>178</v>
      </c>
    </row>
    <row r="2153" spans="1:5">
      <c r="A2153">
        <v>10347</v>
      </c>
      <c r="B2153" s="80">
        <v>35375</v>
      </c>
      <c r="C2153">
        <v>31.619999778270724</v>
      </c>
      <c r="D2153">
        <v>6</v>
      </c>
      <c r="E2153" t="s">
        <v>178</v>
      </c>
    </row>
    <row r="2154" spans="1:5">
      <c r="A2154">
        <v>10348</v>
      </c>
      <c r="B2154" s="80">
        <v>35376</v>
      </c>
      <c r="C2154">
        <v>180</v>
      </c>
      <c r="D2154">
        <v>25</v>
      </c>
      <c r="E2154" t="s">
        <v>174</v>
      </c>
    </row>
    <row r="2155" spans="1:5">
      <c r="A2155">
        <v>10348</v>
      </c>
      <c r="B2155" s="80">
        <v>35376</v>
      </c>
      <c r="C2155">
        <v>183.59999871253967</v>
      </c>
      <c r="D2155">
        <v>15</v>
      </c>
      <c r="E2155" t="s">
        <v>172</v>
      </c>
    </row>
    <row r="2156" spans="1:5">
      <c r="A2156">
        <v>10348</v>
      </c>
      <c r="B2156" s="80">
        <v>35376</v>
      </c>
      <c r="C2156">
        <v>180</v>
      </c>
      <c r="D2156">
        <v>25</v>
      </c>
      <c r="E2156" t="s">
        <v>179</v>
      </c>
    </row>
    <row r="2157" spans="1:5">
      <c r="A2157">
        <v>10348</v>
      </c>
      <c r="B2157" s="80">
        <v>35376</v>
      </c>
      <c r="C2157">
        <v>183.59999871253967</v>
      </c>
      <c r="D2157">
        <v>15</v>
      </c>
      <c r="E2157" t="s">
        <v>179</v>
      </c>
    </row>
    <row r="2158" spans="1:5">
      <c r="A2158">
        <v>10348</v>
      </c>
      <c r="B2158" s="80">
        <v>35376</v>
      </c>
      <c r="C2158">
        <v>183.59999871253967</v>
      </c>
      <c r="D2158">
        <v>15</v>
      </c>
      <c r="E2158" t="s">
        <v>177</v>
      </c>
    </row>
    <row r="2159" spans="1:5">
      <c r="A2159">
        <v>10348</v>
      </c>
      <c r="B2159" s="80">
        <v>35376</v>
      </c>
      <c r="C2159">
        <v>180</v>
      </c>
      <c r="D2159">
        <v>25</v>
      </c>
      <c r="E2159" t="s">
        <v>177</v>
      </c>
    </row>
    <row r="2160" spans="1:5">
      <c r="A2160">
        <v>10348</v>
      </c>
      <c r="B2160" s="80">
        <v>35376</v>
      </c>
      <c r="C2160">
        <v>183.59999871253967</v>
      </c>
      <c r="D2160">
        <v>15</v>
      </c>
      <c r="E2160" t="s">
        <v>175</v>
      </c>
    </row>
    <row r="2161" spans="1:5">
      <c r="A2161">
        <v>10348</v>
      </c>
      <c r="B2161" s="80">
        <v>35376</v>
      </c>
      <c r="C2161">
        <v>183.59999871253967</v>
      </c>
      <c r="D2161">
        <v>15</v>
      </c>
      <c r="E2161" t="s">
        <v>174</v>
      </c>
    </row>
    <row r="2162" spans="1:5">
      <c r="A2162">
        <v>10348</v>
      </c>
      <c r="B2162" s="80">
        <v>35376</v>
      </c>
      <c r="C2162">
        <v>180</v>
      </c>
      <c r="D2162">
        <v>25</v>
      </c>
      <c r="E2162" t="s">
        <v>172</v>
      </c>
    </row>
    <row r="2163" spans="1:5">
      <c r="A2163">
        <v>10348</v>
      </c>
      <c r="B2163" s="80">
        <v>35376</v>
      </c>
      <c r="C2163">
        <v>180</v>
      </c>
      <c r="D2163">
        <v>25</v>
      </c>
      <c r="E2163" t="s">
        <v>176</v>
      </c>
    </row>
    <row r="2164" spans="1:5">
      <c r="A2164">
        <v>10348</v>
      </c>
      <c r="B2164" s="80">
        <v>35376</v>
      </c>
      <c r="C2164">
        <v>183.59999871253967</v>
      </c>
      <c r="D2164">
        <v>15</v>
      </c>
      <c r="E2164" t="s">
        <v>173</v>
      </c>
    </row>
    <row r="2165" spans="1:5">
      <c r="A2165">
        <v>10348</v>
      </c>
      <c r="B2165" s="80">
        <v>35376</v>
      </c>
      <c r="C2165">
        <v>183.59999871253967</v>
      </c>
      <c r="D2165">
        <v>15</v>
      </c>
      <c r="E2165" t="s">
        <v>178</v>
      </c>
    </row>
    <row r="2166" spans="1:5">
      <c r="A2166">
        <v>10348</v>
      </c>
      <c r="B2166" s="80">
        <v>35376</v>
      </c>
      <c r="C2166">
        <v>180</v>
      </c>
      <c r="D2166">
        <v>25</v>
      </c>
      <c r="E2166" t="s">
        <v>173</v>
      </c>
    </row>
    <row r="2167" spans="1:5">
      <c r="A2167">
        <v>10348</v>
      </c>
      <c r="B2167" s="80">
        <v>35376</v>
      </c>
      <c r="C2167">
        <v>183.59999871253967</v>
      </c>
      <c r="D2167">
        <v>15</v>
      </c>
      <c r="E2167" t="s">
        <v>176</v>
      </c>
    </row>
    <row r="2168" spans="1:5">
      <c r="A2168">
        <v>10348</v>
      </c>
      <c r="B2168" s="80">
        <v>35376</v>
      </c>
      <c r="C2168">
        <v>180</v>
      </c>
      <c r="D2168">
        <v>25</v>
      </c>
      <c r="E2168" t="s">
        <v>175</v>
      </c>
    </row>
    <row r="2169" spans="1:5">
      <c r="A2169">
        <v>10348</v>
      </c>
      <c r="B2169" s="80">
        <v>35376</v>
      </c>
      <c r="C2169">
        <v>180</v>
      </c>
      <c r="D2169">
        <v>25</v>
      </c>
      <c r="E2169" t="s">
        <v>178</v>
      </c>
    </row>
    <row r="2170" spans="1:5">
      <c r="A2170">
        <v>10349</v>
      </c>
      <c r="B2170" s="80">
        <v>35377</v>
      </c>
      <c r="C2170">
        <v>141.6</v>
      </c>
      <c r="D2170">
        <v>24</v>
      </c>
      <c r="E2170" t="s">
        <v>175</v>
      </c>
    </row>
    <row r="2171" spans="1:5">
      <c r="A2171">
        <v>10349</v>
      </c>
      <c r="B2171" s="80">
        <v>35377</v>
      </c>
      <c r="C2171">
        <v>141.6</v>
      </c>
      <c r="D2171">
        <v>24</v>
      </c>
      <c r="E2171" t="s">
        <v>176</v>
      </c>
    </row>
    <row r="2172" spans="1:5">
      <c r="A2172">
        <v>10349</v>
      </c>
      <c r="B2172" s="80">
        <v>35377</v>
      </c>
      <c r="C2172">
        <v>141.6</v>
      </c>
      <c r="D2172">
        <v>24</v>
      </c>
      <c r="E2172" t="s">
        <v>179</v>
      </c>
    </row>
    <row r="2173" spans="1:5">
      <c r="A2173">
        <v>10349</v>
      </c>
      <c r="B2173" s="80">
        <v>35377</v>
      </c>
      <c r="C2173">
        <v>141.6</v>
      </c>
      <c r="D2173">
        <v>24</v>
      </c>
      <c r="E2173" t="s">
        <v>178</v>
      </c>
    </row>
    <row r="2174" spans="1:5">
      <c r="A2174">
        <v>10349</v>
      </c>
      <c r="B2174" s="80">
        <v>35377</v>
      </c>
      <c r="C2174">
        <v>141.6</v>
      </c>
      <c r="D2174">
        <v>24</v>
      </c>
      <c r="E2174" t="s">
        <v>172</v>
      </c>
    </row>
    <row r="2175" spans="1:5">
      <c r="A2175">
        <v>10349</v>
      </c>
      <c r="B2175" s="80">
        <v>35377</v>
      </c>
      <c r="C2175">
        <v>141.6</v>
      </c>
      <c r="D2175">
        <v>24</v>
      </c>
      <c r="E2175" t="s">
        <v>177</v>
      </c>
    </row>
    <row r="2176" spans="1:5">
      <c r="A2176">
        <v>10349</v>
      </c>
      <c r="B2176" s="80">
        <v>35377</v>
      </c>
      <c r="C2176">
        <v>141.6</v>
      </c>
      <c r="D2176">
        <v>24</v>
      </c>
      <c r="E2176" t="s">
        <v>173</v>
      </c>
    </row>
    <row r="2177" spans="1:5">
      <c r="A2177">
        <v>10349</v>
      </c>
      <c r="B2177" s="80">
        <v>35377</v>
      </c>
      <c r="C2177">
        <v>141.6</v>
      </c>
      <c r="D2177">
        <v>24</v>
      </c>
      <c r="E2177" t="s">
        <v>174</v>
      </c>
    </row>
    <row r="2178" spans="1:5">
      <c r="A2178">
        <v>10350</v>
      </c>
      <c r="B2178" s="80">
        <v>35380</v>
      </c>
      <c r="C2178">
        <v>175.49999970942736</v>
      </c>
      <c r="D2178">
        <v>15</v>
      </c>
      <c r="E2178" t="s">
        <v>174</v>
      </c>
    </row>
    <row r="2179" spans="1:5">
      <c r="A2179">
        <v>10350</v>
      </c>
      <c r="B2179" s="80">
        <v>35380</v>
      </c>
      <c r="C2179">
        <v>175.49999970942736</v>
      </c>
      <c r="D2179">
        <v>15</v>
      </c>
      <c r="E2179" t="s">
        <v>178</v>
      </c>
    </row>
    <row r="2180" spans="1:5">
      <c r="A2180">
        <v>10350</v>
      </c>
      <c r="B2180" s="80">
        <v>35380</v>
      </c>
      <c r="C2180">
        <v>466.5599992275238</v>
      </c>
      <c r="D2180">
        <v>18</v>
      </c>
      <c r="E2180" t="s">
        <v>178</v>
      </c>
    </row>
    <row r="2181" spans="1:5">
      <c r="A2181">
        <v>10350</v>
      </c>
      <c r="B2181" s="80">
        <v>35380</v>
      </c>
      <c r="C2181">
        <v>466.5599992275238</v>
      </c>
      <c r="D2181">
        <v>18</v>
      </c>
      <c r="E2181" t="s">
        <v>172</v>
      </c>
    </row>
    <row r="2182" spans="1:5">
      <c r="A2182">
        <v>10350</v>
      </c>
      <c r="B2182" s="80">
        <v>35380</v>
      </c>
      <c r="C2182">
        <v>175.49999970942736</v>
      </c>
      <c r="D2182">
        <v>15</v>
      </c>
      <c r="E2182" t="s">
        <v>179</v>
      </c>
    </row>
    <row r="2183" spans="1:5">
      <c r="A2183">
        <v>10350</v>
      </c>
      <c r="B2183" s="80">
        <v>35380</v>
      </c>
      <c r="C2183">
        <v>466.5599992275238</v>
      </c>
      <c r="D2183">
        <v>18</v>
      </c>
      <c r="E2183" t="s">
        <v>175</v>
      </c>
    </row>
    <row r="2184" spans="1:5">
      <c r="A2184">
        <v>10350</v>
      </c>
      <c r="B2184" s="80">
        <v>35380</v>
      </c>
      <c r="C2184">
        <v>175.49999970942736</v>
      </c>
      <c r="D2184">
        <v>15</v>
      </c>
      <c r="E2184" t="s">
        <v>175</v>
      </c>
    </row>
    <row r="2185" spans="1:5">
      <c r="A2185">
        <v>10350</v>
      </c>
      <c r="B2185" s="80">
        <v>35380</v>
      </c>
      <c r="C2185">
        <v>175.49999970942736</v>
      </c>
      <c r="D2185">
        <v>15</v>
      </c>
      <c r="E2185" t="s">
        <v>173</v>
      </c>
    </row>
    <row r="2186" spans="1:5">
      <c r="A2186">
        <v>10350</v>
      </c>
      <c r="B2186" s="80">
        <v>35380</v>
      </c>
      <c r="C2186">
        <v>466.5599992275238</v>
      </c>
      <c r="D2186">
        <v>18</v>
      </c>
      <c r="E2186" t="s">
        <v>179</v>
      </c>
    </row>
    <row r="2187" spans="1:5">
      <c r="A2187">
        <v>10350</v>
      </c>
      <c r="B2187" s="80">
        <v>35380</v>
      </c>
      <c r="C2187">
        <v>175.49999970942736</v>
      </c>
      <c r="D2187">
        <v>15</v>
      </c>
      <c r="E2187" t="s">
        <v>172</v>
      </c>
    </row>
    <row r="2188" spans="1:5">
      <c r="A2188">
        <v>10350</v>
      </c>
      <c r="B2188" s="80">
        <v>35380</v>
      </c>
      <c r="C2188">
        <v>175.49999970942736</v>
      </c>
      <c r="D2188">
        <v>15</v>
      </c>
      <c r="E2188" t="s">
        <v>176</v>
      </c>
    </row>
    <row r="2189" spans="1:5">
      <c r="A2189">
        <v>10350</v>
      </c>
      <c r="B2189" s="80">
        <v>35380</v>
      </c>
      <c r="C2189">
        <v>466.5599992275238</v>
      </c>
      <c r="D2189">
        <v>18</v>
      </c>
      <c r="E2189" t="s">
        <v>176</v>
      </c>
    </row>
    <row r="2190" spans="1:5">
      <c r="A2190">
        <v>10350</v>
      </c>
      <c r="B2190" s="80">
        <v>35380</v>
      </c>
      <c r="C2190">
        <v>466.5599992275238</v>
      </c>
      <c r="D2190">
        <v>18</v>
      </c>
      <c r="E2190" t="s">
        <v>177</v>
      </c>
    </row>
    <row r="2191" spans="1:5">
      <c r="A2191">
        <v>10350</v>
      </c>
      <c r="B2191" s="80">
        <v>35380</v>
      </c>
      <c r="C2191">
        <v>175.49999970942736</v>
      </c>
      <c r="D2191">
        <v>15</v>
      </c>
      <c r="E2191" t="s">
        <v>177</v>
      </c>
    </row>
    <row r="2192" spans="1:5">
      <c r="A2192">
        <v>10350</v>
      </c>
      <c r="B2192" s="80">
        <v>35380</v>
      </c>
      <c r="C2192">
        <v>466.5599992275238</v>
      </c>
      <c r="D2192">
        <v>18</v>
      </c>
      <c r="E2192" t="s">
        <v>173</v>
      </c>
    </row>
    <row r="2193" spans="1:5">
      <c r="A2193">
        <v>10350</v>
      </c>
      <c r="B2193" s="80">
        <v>35380</v>
      </c>
      <c r="C2193">
        <v>466.5599992275238</v>
      </c>
      <c r="D2193">
        <v>18</v>
      </c>
      <c r="E2193" t="s">
        <v>174</v>
      </c>
    </row>
    <row r="2194" spans="1:5">
      <c r="A2194">
        <v>10351</v>
      </c>
      <c r="B2194" s="80">
        <v>35380</v>
      </c>
      <c r="C2194">
        <v>4005.1999968588352</v>
      </c>
      <c r="D2194">
        <v>20</v>
      </c>
      <c r="E2194" t="s">
        <v>172</v>
      </c>
    </row>
    <row r="2195" spans="1:5">
      <c r="A2195">
        <v>10351</v>
      </c>
      <c r="B2195" s="80">
        <v>35380</v>
      </c>
      <c r="C2195">
        <v>159.59999987483025</v>
      </c>
      <c r="D2195">
        <v>10</v>
      </c>
      <c r="E2195" t="s">
        <v>177</v>
      </c>
    </row>
    <row r="2196" spans="1:5">
      <c r="A2196">
        <v>10351</v>
      </c>
      <c r="B2196" s="80">
        <v>35380</v>
      </c>
      <c r="C2196">
        <v>1133.8249991107732</v>
      </c>
      <c r="D2196">
        <v>77</v>
      </c>
      <c r="E2196" t="s">
        <v>177</v>
      </c>
    </row>
    <row r="2197" spans="1:5">
      <c r="A2197">
        <v>10351</v>
      </c>
      <c r="B2197" s="80">
        <v>35380</v>
      </c>
      <c r="C2197">
        <v>4005.1999968588352</v>
      </c>
      <c r="D2197">
        <v>20</v>
      </c>
      <c r="E2197" t="s">
        <v>177</v>
      </c>
    </row>
    <row r="2198" spans="1:5">
      <c r="A2198">
        <v>10351</v>
      </c>
      <c r="B2198" s="80">
        <v>35380</v>
      </c>
      <c r="C2198">
        <v>100.1</v>
      </c>
      <c r="D2198">
        <v>13</v>
      </c>
      <c r="E2198" t="s">
        <v>172</v>
      </c>
    </row>
    <row r="2199" spans="1:5">
      <c r="A2199">
        <v>10351</v>
      </c>
      <c r="B2199" s="80">
        <v>35380</v>
      </c>
      <c r="C2199">
        <v>1133.8249991107732</v>
      </c>
      <c r="D2199">
        <v>77</v>
      </c>
      <c r="E2199" t="s">
        <v>179</v>
      </c>
    </row>
    <row r="2200" spans="1:5">
      <c r="A2200">
        <v>10351</v>
      </c>
      <c r="B2200" s="80">
        <v>35380</v>
      </c>
      <c r="C2200">
        <v>100.1</v>
      </c>
      <c r="D2200">
        <v>13</v>
      </c>
      <c r="E2200" t="s">
        <v>177</v>
      </c>
    </row>
    <row r="2201" spans="1:5">
      <c r="A2201">
        <v>10351</v>
      </c>
      <c r="B2201" s="80">
        <v>35380</v>
      </c>
      <c r="C2201">
        <v>4005.1999968588352</v>
      </c>
      <c r="D2201">
        <v>20</v>
      </c>
      <c r="E2201" t="s">
        <v>176</v>
      </c>
    </row>
    <row r="2202" spans="1:5">
      <c r="A2202">
        <v>10351</v>
      </c>
      <c r="B2202" s="80">
        <v>35380</v>
      </c>
      <c r="C2202">
        <v>4005.1999968588352</v>
      </c>
      <c r="D2202">
        <v>20</v>
      </c>
      <c r="E2202" t="s">
        <v>174</v>
      </c>
    </row>
    <row r="2203" spans="1:5">
      <c r="A2203">
        <v>10351</v>
      </c>
      <c r="B2203" s="80">
        <v>35380</v>
      </c>
      <c r="C2203">
        <v>4005.1999968588352</v>
      </c>
      <c r="D2203">
        <v>20</v>
      </c>
      <c r="E2203" t="s">
        <v>178</v>
      </c>
    </row>
    <row r="2204" spans="1:5">
      <c r="A2204">
        <v>10351</v>
      </c>
      <c r="B2204" s="80">
        <v>35380</v>
      </c>
      <c r="C2204">
        <v>100.1</v>
      </c>
      <c r="D2204">
        <v>13</v>
      </c>
      <c r="E2204" t="s">
        <v>178</v>
      </c>
    </row>
    <row r="2205" spans="1:5">
      <c r="A2205">
        <v>10351</v>
      </c>
      <c r="B2205" s="80">
        <v>35380</v>
      </c>
      <c r="C2205">
        <v>1133.8249991107732</v>
      </c>
      <c r="D2205">
        <v>77</v>
      </c>
      <c r="E2205" t="s">
        <v>178</v>
      </c>
    </row>
    <row r="2206" spans="1:5">
      <c r="A2206">
        <v>10351</v>
      </c>
      <c r="B2206" s="80">
        <v>35380</v>
      </c>
      <c r="C2206">
        <v>159.59999987483025</v>
      </c>
      <c r="D2206">
        <v>10</v>
      </c>
      <c r="E2206" t="s">
        <v>178</v>
      </c>
    </row>
    <row r="2207" spans="1:5">
      <c r="A2207">
        <v>10351</v>
      </c>
      <c r="B2207" s="80">
        <v>35380</v>
      </c>
      <c r="C2207">
        <v>1133.8249991107732</v>
      </c>
      <c r="D2207">
        <v>77</v>
      </c>
      <c r="E2207" t="s">
        <v>174</v>
      </c>
    </row>
    <row r="2208" spans="1:5">
      <c r="A2208">
        <v>10351</v>
      </c>
      <c r="B2208" s="80">
        <v>35380</v>
      </c>
      <c r="C2208">
        <v>159.59999987483025</v>
      </c>
      <c r="D2208">
        <v>10</v>
      </c>
      <c r="E2208" t="s">
        <v>174</v>
      </c>
    </row>
    <row r="2209" spans="1:5">
      <c r="A2209">
        <v>10351</v>
      </c>
      <c r="B2209" s="80">
        <v>35380</v>
      </c>
      <c r="C2209">
        <v>159.59999987483025</v>
      </c>
      <c r="D2209">
        <v>10</v>
      </c>
      <c r="E2209" t="s">
        <v>173</v>
      </c>
    </row>
    <row r="2210" spans="1:5">
      <c r="A2210">
        <v>10351</v>
      </c>
      <c r="B2210" s="80">
        <v>35380</v>
      </c>
      <c r="C2210">
        <v>4005.1999968588352</v>
      </c>
      <c r="D2210">
        <v>20</v>
      </c>
      <c r="E2210" t="s">
        <v>173</v>
      </c>
    </row>
    <row r="2211" spans="1:5">
      <c r="A2211">
        <v>10351</v>
      </c>
      <c r="B2211" s="80">
        <v>35380</v>
      </c>
      <c r="C2211">
        <v>1133.8249991107732</v>
      </c>
      <c r="D2211">
        <v>77</v>
      </c>
      <c r="E2211" t="s">
        <v>172</v>
      </c>
    </row>
    <row r="2212" spans="1:5">
      <c r="A2212">
        <v>10351</v>
      </c>
      <c r="B2212" s="80">
        <v>35380</v>
      </c>
      <c r="C2212">
        <v>100.1</v>
      </c>
      <c r="D2212">
        <v>13</v>
      </c>
      <c r="E2212" t="s">
        <v>174</v>
      </c>
    </row>
    <row r="2213" spans="1:5">
      <c r="A2213">
        <v>10351</v>
      </c>
      <c r="B2213" s="80">
        <v>35380</v>
      </c>
      <c r="C2213">
        <v>100.1</v>
      </c>
      <c r="D2213">
        <v>13</v>
      </c>
      <c r="E2213" t="s">
        <v>176</v>
      </c>
    </row>
    <row r="2214" spans="1:5">
      <c r="A2214">
        <v>10351</v>
      </c>
      <c r="B2214" s="80">
        <v>35380</v>
      </c>
      <c r="C2214">
        <v>159.59999987483025</v>
      </c>
      <c r="D2214">
        <v>10</v>
      </c>
      <c r="E2214" t="s">
        <v>176</v>
      </c>
    </row>
    <row r="2215" spans="1:5">
      <c r="A2215">
        <v>10351</v>
      </c>
      <c r="B2215" s="80">
        <v>35380</v>
      </c>
      <c r="C2215">
        <v>4005.1999968588352</v>
      </c>
      <c r="D2215">
        <v>20</v>
      </c>
      <c r="E2215" t="s">
        <v>179</v>
      </c>
    </row>
    <row r="2216" spans="1:5">
      <c r="A2216">
        <v>10351</v>
      </c>
      <c r="B2216" s="80">
        <v>35380</v>
      </c>
      <c r="C2216">
        <v>100.1</v>
      </c>
      <c r="D2216">
        <v>13</v>
      </c>
      <c r="E2216" t="s">
        <v>179</v>
      </c>
    </row>
    <row r="2217" spans="1:5">
      <c r="A2217">
        <v>10351</v>
      </c>
      <c r="B2217" s="80">
        <v>35380</v>
      </c>
      <c r="C2217">
        <v>159.59999987483025</v>
      </c>
      <c r="D2217">
        <v>10</v>
      </c>
      <c r="E2217" t="s">
        <v>179</v>
      </c>
    </row>
    <row r="2218" spans="1:5">
      <c r="A2218">
        <v>10351</v>
      </c>
      <c r="B2218" s="80">
        <v>35380</v>
      </c>
      <c r="C2218">
        <v>1133.8249991107732</v>
      </c>
      <c r="D2218">
        <v>77</v>
      </c>
      <c r="E2218" t="s">
        <v>173</v>
      </c>
    </row>
    <row r="2219" spans="1:5">
      <c r="A2219">
        <v>10351</v>
      </c>
      <c r="B2219" s="80">
        <v>35380</v>
      </c>
      <c r="C2219">
        <v>100.1</v>
      </c>
      <c r="D2219">
        <v>13</v>
      </c>
      <c r="E2219" t="s">
        <v>173</v>
      </c>
    </row>
    <row r="2220" spans="1:5">
      <c r="A2220">
        <v>10351</v>
      </c>
      <c r="B2220" s="80">
        <v>35380</v>
      </c>
      <c r="C2220">
        <v>159.59999987483025</v>
      </c>
      <c r="D2220">
        <v>10</v>
      </c>
      <c r="E2220" t="s">
        <v>172</v>
      </c>
    </row>
    <row r="2221" spans="1:5">
      <c r="A2221">
        <v>10351</v>
      </c>
      <c r="B2221" s="80">
        <v>35380</v>
      </c>
      <c r="C2221">
        <v>159.59999987483025</v>
      </c>
      <c r="D2221">
        <v>10</v>
      </c>
      <c r="E2221" t="s">
        <v>175</v>
      </c>
    </row>
    <row r="2222" spans="1:5">
      <c r="A2222">
        <v>10351</v>
      </c>
      <c r="B2222" s="80">
        <v>35380</v>
      </c>
      <c r="C2222">
        <v>1133.8249991107732</v>
      </c>
      <c r="D2222">
        <v>77</v>
      </c>
      <c r="E2222" t="s">
        <v>175</v>
      </c>
    </row>
    <row r="2223" spans="1:5">
      <c r="A2223">
        <v>10351</v>
      </c>
      <c r="B2223" s="80">
        <v>35380</v>
      </c>
      <c r="C2223">
        <v>100.1</v>
      </c>
      <c r="D2223">
        <v>13</v>
      </c>
      <c r="E2223" t="s">
        <v>175</v>
      </c>
    </row>
    <row r="2224" spans="1:5">
      <c r="A2224">
        <v>10351</v>
      </c>
      <c r="B2224" s="80">
        <v>35380</v>
      </c>
      <c r="C2224">
        <v>4005.1999968588352</v>
      </c>
      <c r="D2224">
        <v>20</v>
      </c>
      <c r="E2224" t="s">
        <v>175</v>
      </c>
    </row>
    <row r="2225" spans="1:5">
      <c r="A2225">
        <v>10351</v>
      </c>
      <c r="B2225" s="80">
        <v>35380</v>
      </c>
      <c r="C2225">
        <v>1133.8249991107732</v>
      </c>
      <c r="D2225">
        <v>77</v>
      </c>
      <c r="E2225" t="s">
        <v>176</v>
      </c>
    </row>
    <row r="2226" spans="1:5">
      <c r="A2226">
        <v>10352</v>
      </c>
      <c r="B2226" s="80">
        <v>35381</v>
      </c>
      <c r="C2226">
        <v>36</v>
      </c>
      <c r="D2226">
        <v>10</v>
      </c>
      <c r="E2226" t="s">
        <v>177</v>
      </c>
    </row>
    <row r="2227" spans="1:5">
      <c r="A2227">
        <v>10352</v>
      </c>
      <c r="B2227" s="80">
        <v>35381</v>
      </c>
      <c r="C2227">
        <v>36</v>
      </c>
      <c r="D2227">
        <v>10</v>
      </c>
      <c r="E2227" t="s">
        <v>178</v>
      </c>
    </row>
    <row r="2228" spans="1:5">
      <c r="A2228">
        <v>10352</v>
      </c>
      <c r="B2228" s="80">
        <v>35381</v>
      </c>
      <c r="C2228">
        <v>100.29999929666519</v>
      </c>
      <c r="D2228">
        <v>20</v>
      </c>
      <c r="E2228" t="s">
        <v>178</v>
      </c>
    </row>
    <row r="2229" spans="1:5">
      <c r="A2229">
        <v>10352</v>
      </c>
      <c r="B2229" s="80">
        <v>35381</v>
      </c>
      <c r="C2229">
        <v>36</v>
      </c>
      <c r="D2229">
        <v>10</v>
      </c>
      <c r="E2229" t="s">
        <v>179</v>
      </c>
    </row>
    <row r="2230" spans="1:5">
      <c r="A2230">
        <v>10352</v>
      </c>
      <c r="B2230" s="80">
        <v>35381</v>
      </c>
      <c r="C2230">
        <v>36</v>
      </c>
      <c r="D2230">
        <v>10</v>
      </c>
      <c r="E2230" t="s">
        <v>176</v>
      </c>
    </row>
    <row r="2231" spans="1:5">
      <c r="A2231">
        <v>10352</v>
      </c>
      <c r="B2231" s="80">
        <v>35381</v>
      </c>
      <c r="C2231">
        <v>100.29999929666519</v>
      </c>
      <c r="D2231">
        <v>20</v>
      </c>
      <c r="E2231" t="s">
        <v>179</v>
      </c>
    </row>
    <row r="2232" spans="1:5">
      <c r="A2232">
        <v>10352</v>
      </c>
      <c r="B2232" s="80">
        <v>35381</v>
      </c>
      <c r="C2232">
        <v>100.29999929666519</v>
      </c>
      <c r="D2232">
        <v>20</v>
      </c>
      <c r="E2232" t="s">
        <v>176</v>
      </c>
    </row>
    <row r="2233" spans="1:5">
      <c r="A2233">
        <v>10352</v>
      </c>
      <c r="B2233" s="80">
        <v>35381</v>
      </c>
      <c r="C2233">
        <v>36</v>
      </c>
      <c r="D2233">
        <v>10</v>
      </c>
      <c r="E2233" t="s">
        <v>174</v>
      </c>
    </row>
    <row r="2234" spans="1:5">
      <c r="A2234">
        <v>10352</v>
      </c>
      <c r="B2234" s="80">
        <v>35381</v>
      </c>
      <c r="C2234">
        <v>36</v>
      </c>
      <c r="D2234">
        <v>10</v>
      </c>
      <c r="E2234" t="s">
        <v>175</v>
      </c>
    </row>
    <row r="2235" spans="1:5">
      <c r="A2235">
        <v>10352</v>
      </c>
      <c r="B2235" s="80">
        <v>35381</v>
      </c>
      <c r="C2235">
        <v>100.29999929666519</v>
      </c>
      <c r="D2235">
        <v>20</v>
      </c>
      <c r="E2235" t="s">
        <v>172</v>
      </c>
    </row>
    <row r="2236" spans="1:5">
      <c r="A2236">
        <v>10352</v>
      </c>
      <c r="B2236" s="80">
        <v>35381</v>
      </c>
      <c r="C2236">
        <v>36</v>
      </c>
      <c r="D2236">
        <v>10</v>
      </c>
      <c r="E2236" t="s">
        <v>172</v>
      </c>
    </row>
    <row r="2237" spans="1:5">
      <c r="A2237">
        <v>10352</v>
      </c>
      <c r="B2237" s="80">
        <v>35381</v>
      </c>
      <c r="C2237">
        <v>100.29999929666519</v>
      </c>
      <c r="D2237">
        <v>20</v>
      </c>
      <c r="E2237" t="s">
        <v>175</v>
      </c>
    </row>
    <row r="2238" spans="1:5">
      <c r="A2238">
        <v>10352</v>
      </c>
      <c r="B2238" s="80">
        <v>35381</v>
      </c>
      <c r="C2238">
        <v>36</v>
      </c>
      <c r="D2238">
        <v>10</v>
      </c>
      <c r="E2238" t="s">
        <v>173</v>
      </c>
    </row>
    <row r="2239" spans="1:5">
      <c r="A2239">
        <v>10352</v>
      </c>
      <c r="B2239" s="80">
        <v>35381</v>
      </c>
      <c r="C2239">
        <v>100.29999929666519</v>
      </c>
      <c r="D2239">
        <v>20</v>
      </c>
      <c r="E2239" t="s">
        <v>173</v>
      </c>
    </row>
    <row r="2240" spans="1:5">
      <c r="A2240">
        <v>10352</v>
      </c>
      <c r="B2240" s="80">
        <v>35381</v>
      </c>
      <c r="C2240">
        <v>100.29999929666519</v>
      </c>
      <c r="D2240">
        <v>20</v>
      </c>
      <c r="E2240" t="s">
        <v>177</v>
      </c>
    </row>
    <row r="2241" spans="1:5">
      <c r="A2241">
        <v>10352</v>
      </c>
      <c r="B2241" s="80">
        <v>35381</v>
      </c>
      <c r="C2241">
        <v>100.29999929666519</v>
      </c>
      <c r="D2241">
        <v>20</v>
      </c>
      <c r="E2241" t="s">
        <v>174</v>
      </c>
    </row>
    <row r="2242" spans="1:5">
      <c r="A2242">
        <v>10353</v>
      </c>
      <c r="B2242" s="80">
        <v>35382</v>
      </c>
      <c r="C2242">
        <v>8431.9999685883522</v>
      </c>
      <c r="D2242">
        <v>50</v>
      </c>
      <c r="E2242" t="s">
        <v>174</v>
      </c>
    </row>
    <row r="2243" spans="1:5">
      <c r="A2243">
        <v>10353</v>
      </c>
      <c r="B2243" s="80">
        <v>35382</v>
      </c>
      <c r="C2243">
        <v>8431.9999685883522</v>
      </c>
      <c r="D2243">
        <v>50</v>
      </c>
      <c r="E2243" t="s">
        <v>175</v>
      </c>
    </row>
    <row r="2244" spans="1:5">
      <c r="A2244">
        <v>10353</v>
      </c>
      <c r="B2244" s="80">
        <v>35382</v>
      </c>
      <c r="C2244">
        <v>161.27999939918519</v>
      </c>
      <c r="D2244">
        <v>12</v>
      </c>
      <c r="E2244" t="s">
        <v>175</v>
      </c>
    </row>
    <row r="2245" spans="1:5">
      <c r="A2245">
        <v>10353</v>
      </c>
      <c r="B2245" s="80">
        <v>35382</v>
      </c>
      <c r="C2245">
        <v>161.27999939918519</v>
      </c>
      <c r="D2245">
        <v>12</v>
      </c>
      <c r="E2245" t="s">
        <v>177</v>
      </c>
    </row>
    <row r="2246" spans="1:5">
      <c r="A2246">
        <v>10353</v>
      </c>
      <c r="B2246" s="80">
        <v>35382</v>
      </c>
      <c r="C2246">
        <v>161.27999939918519</v>
      </c>
      <c r="D2246">
        <v>12</v>
      </c>
      <c r="E2246" t="s">
        <v>173</v>
      </c>
    </row>
    <row r="2247" spans="1:5">
      <c r="A2247">
        <v>10353</v>
      </c>
      <c r="B2247" s="80">
        <v>35382</v>
      </c>
      <c r="C2247">
        <v>8431.9999685883522</v>
      </c>
      <c r="D2247">
        <v>50</v>
      </c>
      <c r="E2247" t="s">
        <v>173</v>
      </c>
    </row>
    <row r="2248" spans="1:5">
      <c r="A2248">
        <v>10353</v>
      </c>
      <c r="B2248" s="80">
        <v>35382</v>
      </c>
      <c r="C2248">
        <v>161.27999939918519</v>
      </c>
      <c r="D2248">
        <v>12</v>
      </c>
      <c r="E2248" t="s">
        <v>179</v>
      </c>
    </row>
    <row r="2249" spans="1:5">
      <c r="A2249">
        <v>10353</v>
      </c>
      <c r="B2249" s="80">
        <v>35382</v>
      </c>
      <c r="C2249">
        <v>8431.9999685883522</v>
      </c>
      <c r="D2249">
        <v>50</v>
      </c>
      <c r="E2249" t="s">
        <v>172</v>
      </c>
    </row>
    <row r="2250" spans="1:5">
      <c r="A2250">
        <v>10353</v>
      </c>
      <c r="B2250" s="80">
        <v>35382</v>
      </c>
      <c r="C2250">
        <v>161.27999939918519</v>
      </c>
      <c r="D2250">
        <v>12</v>
      </c>
      <c r="E2250" t="s">
        <v>176</v>
      </c>
    </row>
    <row r="2251" spans="1:5">
      <c r="A2251">
        <v>10353</v>
      </c>
      <c r="B2251" s="80">
        <v>35382</v>
      </c>
      <c r="C2251">
        <v>8431.9999685883522</v>
      </c>
      <c r="D2251">
        <v>50</v>
      </c>
      <c r="E2251" t="s">
        <v>177</v>
      </c>
    </row>
    <row r="2252" spans="1:5">
      <c r="A2252">
        <v>10353</v>
      </c>
      <c r="B2252" s="80">
        <v>35382</v>
      </c>
      <c r="C2252">
        <v>161.27999939918519</v>
      </c>
      <c r="D2252">
        <v>12</v>
      </c>
      <c r="E2252" t="s">
        <v>172</v>
      </c>
    </row>
    <row r="2253" spans="1:5">
      <c r="A2253">
        <v>10353</v>
      </c>
      <c r="B2253" s="80">
        <v>35382</v>
      </c>
      <c r="C2253">
        <v>8431.9999685883522</v>
      </c>
      <c r="D2253">
        <v>50</v>
      </c>
      <c r="E2253" t="s">
        <v>179</v>
      </c>
    </row>
    <row r="2254" spans="1:5">
      <c r="A2254">
        <v>10353</v>
      </c>
      <c r="B2254" s="80">
        <v>35382</v>
      </c>
      <c r="C2254">
        <v>161.27999939918519</v>
      </c>
      <c r="D2254">
        <v>12</v>
      </c>
      <c r="E2254" t="s">
        <v>174</v>
      </c>
    </row>
    <row r="2255" spans="1:5">
      <c r="A2255">
        <v>10353</v>
      </c>
      <c r="B2255" s="80">
        <v>35382</v>
      </c>
      <c r="C2255">
        <v>8431.9999685883522</v>
      </c>
      <c r="D2255">
        <v>50</v>
      </c>
      <c r="E2255" t="s">
        <v>178</v>
      </c>
    </row>
    <row r="2256" spans="1:5">
      <c r="A2256">
        <v>10353</v>
      </c>
      <c r="B2256" s="80">
        <v>35382</v>
      </c>
      <c r="C2256">
        <v>161.27999939918519</v>
      </c>
      <c r="D2256">
        <v>12</v>
      </c>
      <c r="E2256" t="s">
        <v>178</v>
      </c>
    </row>
    <row r="2257" spans="1:5">
      <c r="A2257">
        <v>10353</v>
      </c>
      <c r="B2257" s="80">
        <v>35382</v>
      </c>
      <c r="C2257">
        <v>8431.9999685883522</v>
      </c>
      <c r="D2257">
        <v>50</v>
      </c>
      <c r="E2257" t="s">
        <v>176</v>
      </c>
    </row>
    <row r="2258" spans="1:5">
      <c r="A2258">
        <v>10354</v>
      </c>
      <c r="B2258" s="80">
        <v>35383</v>
      </c>
      <c r="C2258">
        <v>172.8</v>
      </c>
      <c r="D2258">
        <v>12</v>
      </c>
      <c r="E2258" t="s">
        <v>179</v>
      </c>
    </row>
    <row r="2259" spans="1:5">
      <c r="A2259">
        <v>10354</v>
      </c>
      <c r="B2259" s="80">
        <v>35383</v>
      </c>
      <c r="C2259">
        <v>396</v>
      </c>
      <c r="D2259">
        <v>4</v>
      </c>
      <c r="E2259" t="s">
        <v>174</v>
      </c>
    </row>
    <row r="2260" spans="1:5">
      <c r="A2260">
        <v>10354</v>
      </c>
      <c r="B2260" s="80">
        <v>35383</v>
      </c>
      <c r="C2260">
        <v>172.8</v>
      </c>
      <c r="D2260">
        <v>12</v>
      </c>
      <c r="E2260" t="s">
        <v>175</v>
      </c>
    </row>
    <row r="2261" spans="1:5">
      <c r="A2261">
        <v>10354</v>
      </c>
      <c r="B2261" s="80">
        <v>35383</v>
      </c>
      <c r="C2261">
        <v>396</v>
      </c>
      <c r="D2261">
        <v>4</v>
      </c>
      <c r="E2261" t="s">
        <v>175</v>
      </c>
    </row>
    <row r="2262" spans="1:5">
      <c r="A2262">
        <v>10354</v>
      </c>
      <c r="B2262" s="80">
        <v>35383</v>
      </c>
      <c r="C2262">
        <v>396</v>
      </c>
      <c r="D2262">
        <v>4</v>
      </c>
      <c r="E2262" t="s">
        <v>172</v>
      </c>
    </row>
    <row r="2263" spans="1:5">
      <c r="A2263">
        <v>10354</v>
      </c>
      <c r="B2263" s="80">
        <v>35383</v>
      </c>
      <c r="C2263">
        <v>396</v>
      </c>
      <c r="D2263">
        <v>4</v>
      </c>
      <c r="E2263" t="s">
        <v>179</v>
      </c>
    </row>
    <row r="2264" spans="1:5">
      <c r="A2264">
        <v>10354</v>
      </c>
      <c r="B2264" s="80">
        <v>35383</v>
      </c>
      <c r="C2264">
        <v>172.8</v>
      </c>
      <c r="D2264">
        <v>12</v>
      </c>
      <c r="E2264" t="s">
        <v>173</v>
      </c>
    </row>
    <row r="2265" spans="1:5">
      <c r="A2265">
        <v>10354</v>
      </c>
      <c r="B2265" s="80">
        <v>35383</v>
      </c>
      <c r="C2265">
        <v>396</v>
      </c>
      <c r="D2265">
        <v>4</v>
      </c>
      <c r="E2265" t="s">
        <v>177</v>
      </c>
    </row>
    <row r="2266" spans="1:5">
      <c r="A2266">
        <v>10354</v>
      </c>
      <c r="B2266" s="80">
        <v>35383</v>
      </c>
      <c r="C2266">
        <v>396</v>
      </c>
      <c r="D2266">
        <v>4</v>
      </c>
      <c r="E2266" t="s">
        <v>178</v>
      </c>
    </row>
    <row r="2267" spans="1:5">
      <c r="A2267">
        <v>10354</v>
      </c>
      <c r="B2267" s="80">
        <v>35383</v>
      </c>
      <c r="C2267">
        <v>396</v>
      </c>
      <c r="D2267">
        <v>4</v>
      </c>
      <c r="E2267" t="s">
        <v>173</v>
      </c>
    </row>
    <row r="2268" spans="1:5">
      <c r="A2268">
        <v>10354</v>
      </c>
      <c r="B2268" s="80">
        <v>35383</v>
      </c>
      <c r="C2268">
        <v>172.8</v>
      </c>
      <c r="D2268">
        <v>12</v>
      </c>
      <c r="E2268" t="s">
        <v>177</v>
      </c>
    </row>
    <row r="2269" spans="1:5">
      <c r="A2269">
        <v>10354</v>
      </c>
      <c r="B2269" s="80">
        <v>35383</v>
      </c>
      <c r="C2269">
        <v>396</v>
      </c>
      <c r="D2269">
        <v>4</v>
      </c>
      <c r="E2269" t="s">
        <v>176</v>
      </c>
    </row>
    <row r="2270" spans="1:5">
      <c r="A2270">
        <v>10354</v>
      </c>
      <c r="B2270" s="80">
        <v>35383</v>
      </c>
      <c r="C2270">
        <v>172.8</v>
      </c>
      <c r="D2270">
        <v>12</v>
      </c>
      <c r="E2270" t="s">
        <v>174</v>
      </c>
    </row>
    <row r="2271" spans="1:5">
      <c r="A2271">
        <v>10354</v>
      </c>
      <c r="B2271" s="80">
        <v>35383</v>
      </c>
      <c r="C2271">
        <v>172.8</v>
      </c>
      <c r="D2271">
        <v>12</v>
      </c>
      <c r="E2271" t="s">
        <v>172</v>
      </c>
    </row>
    <row r="2272" spans="1:5">
      <c r="A2272">
        <v>10354</v>
      </c>
      <c r="B2272" s="80">
        <v>35383</v>
      </c>
      <c r="C2272">
        <v>172.8</v>
      </c>
      <c r="D2272">
        <v>12</v>
      </c>
      <c r="E2272" t="s">
        <v>176</v>
      </c>
    </row>
    <row r="2273" spans="1:5">
      <c r="A2273">
        <v>10354</v>
      </c>
      <c r="B2273" s="80">
        <v>35383</v>
      </c>
      <c r="C2273">
        <v>172.8</v>
      </c>
      <c r="D2273">
        <v>12</v>
      </c>
      <c r="E2273" t="s">
        <v>178</v>
      </c>
    </row>
    <row r="2274" spans="1:5">
      <c r="A2274">
        <v>10355</v>
      </c>
      <c r="B2274" s="80">
        <v>35384</v>
      </c>
      <c r="C2274">
        <v>390</v>
      </c>
      <c r="D2274">
        <v>25</v>
      </c>
      <c r="E2274" t="s">
        <v>174</v>
      </c>
    </row>
    <row r="2275" spans="1:5">
      <c r="A2275">
        <v>10355</v>
      </c>
      <c r="B2275" s="80">
        <v>35384</v>
      </c>
      <c r="C2275">
        <v>90</v>
      </c>
      <c r="D2275">
        <v>25</v>
      </c>
      <c r="E2275" t="s">
        <v>172</v>
      </c>
    </row>
    <row r="2276" spans="1:5">
      <c r="A2276">
        <v>10355</v>
      </c>
      <c r="B2276" s="80">
        <v>35384</v>
      </c>
      <c r="C2276">
        <v>90</v>
      </c>
      <c r="D2276">
        <v>25</v>
      </c>
      <c r="E2276" t="s">
        <v>174</v>
      </c>
    </row>
    <row r="2277" spans="1:5">
      <c r="A2277">
        <v>10355</v>
      </c>
      <c r="B2277" s="80">
        <v>35384</v>
      </c>
      <c r="C2277">
        <v>90</v>
      </c>
      <c r="D2277">
        <v>25</v>
      </c>
      <c r="E2277" t="s">
        <v>176</v>
      </c>
    </row>
    <row r="2278" spans="1:5">
      <c r="A2278">
        <v>10355</v>
      </c>
      <c r="B2278" s="80">
        <v>35384</v>
      </c>
      <c r="C2278">
        <v>90</v>
      </c>
      <c r="D2278">
        <v>25</v>
      </c>
      <c r="E2278" t="s">
        <v>178</v>
      </c>
    </row>
    <row r="2279" spans="1:5">
      <c r="A2279">
        <v>10355</v>
      </c>
      <c r="B2279" s="80">
        <v>35384</v>
      </c>
      <c r="C2279">
        <v>390</v>
      </c>
      <c r="D2279">
        <v>25</v>
      </c>
      <c r="E2279" t="s">
        <v>178</v>
      </c>
    </row>
    <row r="2280" spans="1:5">
      <c r="A2280">
        <v>10355</v>
      </c>
      <c r="B2280" s="80">
        <v>35384</v>
      </c>
      <c r="C2280">
        <v>390</v>
      </c>
      <c r="D2280">
        <v>25</v>
      </c>
      <c r="E2280" t="s">
        <v>172</v>
      </c>
    </row>
    <row r="2281" spans="1:5">
      <c r="A2281">
        <v>10355</v>
      </c>
      <c r="B2281" s="80">
        <v>35384</v>
      </c>
      <c r="C2281">
        <v>90</v>
      </c>
      <c r="D2281">
        <v>25</v>
      </c>
      <c r="E2281" t="s">
        <v>173</v>
      </c>
    </row>
    <row r="2282" spans="1:5">
      <c r="A2282">
        <v>10355</v>
      </c>
      <c r="B2282" s="80">
        <v>35384</v>
      </c>
      <c r="C2282">
        <v>390</v>
      </c>
      <c r="D2282">
        <v>25</v>
      </c>
      <c r="E2282" t="s">
        <v>173</v>
      </c>
    </row>
    <row r="2283" spans="1:5">
      <c r="A2283">
        <v>10355</v>
      </c>
      <c r="B2283" s="80">
        <v>35384</v>
      </c>
      <c r="C2283">
        <v>390</v>
      </c>
      <c r="D2283">
        <v>25</v>
      </c>
      <c r="E2283" t="s">
        <v>176</v>
      </c>
    </row>
    <row r="2284" spans="1:5">
      <c r="A2284">
        <v>10355</v>
      </c>
      <c r="B2284" s="80">
        <v>35384</v>
      </c>
      <c r="C2284">
        <v>90</v>
      </c>
      <c r="D2284">
        <v>25</v>
      </c>
      <c r="E2284" t="s">
        <v>177</v>
      </c>
    </row>
    <row r="2285" spans="1:5">
      <c r="A2285">
        <v>10355</v>
      </c>
      <c r="B2285" s="80">
        <v>35384</v>
      </c>
      <c r="C2285">
        <v>390</v>
      </c>
      <c r="D2285">
        <v>25</v>
      </c>
      <c r="E2285" t="s">
        <v>175</v>
      </c>
    </row>
    <row r="2286" spans="1:5">
      <c r="A2286">
        <v>10355</v>
      </c>
      <c r="B2286" s="80">
        <v>35384</v>
      </c>
      <c r="C2286">
        <v>390</v>
      </c>
      <c r="D2286">
        <v>25</v>
      </c>
      <c r="E2286" t="s">
        <v>177</v>
      </c>
    </row>
    <row r="2287" spans="1:5">
      <c r="A2287">
        <v>10355</v>
      </c>
      <c r="B2287" s="80">
        <v>35384</v>
      </c>
      <c r="C2287">
        <v>90</v>
      </c>
      <c r="D2287">
        <v>25</v>
      </c>
      <c r="E2287" t="s">
        <v>175</v>
      </c>
    </row>
    <row r="2288" spans="1:5">
      <c r="A2288">
        <v>10355</v>
      </c>
      <c r="B2288" s="80">
        <v>35384</v>
      </c>
      <c r="C2288">
        <v>90</v>
      </c>
      <c r="D2288">
        <v>25</v>
      </c>
      <c r="E2288" t="s">
        <v>179</v>
      </c>
    </row>
    <row r="2289" spans="1:5">
      <c r="A2289">
        <v>10355</v>
      </c>
      <c r="B2289" s="80">
        <v>35384</v>
      </c>
      <c r="C2289">
        <v>390</v>
      </c>
      <c r="D2289">
        <v>25</v>
      </c>
      <c r="E2289" t="s">
        <v>179</v>
      </c>
    </row>
    <row r="2290" spans="1:5">
      <c r="A2290">
        <v>10356</v>
      </c>
      <c r="B2290" s="80">
        <v>35387</v>
      </c>
      <c r="C2290">
        <v>230.4</v>
      </c>
      <c r="D2290">
        <v>12</v>
      </c>
      <c r="E2290" t="s">
        <v>172</v>
      </c>
    </row>
    <row r="2291" spans="1:5">
      <c r="A2291">
        <v>10356</v>
      </c>
      <c r="B2291" s="80">
        <v>35387</v>
      </c>
      <c r="C2291">
        <v>230.4</v>
      </c>
      <c r="D2291">
        <v>12</v>
      </c>
      <c r="E2291" t="s">
        <v>177</v>
      </c>
    </row>
    <row r="2292" spans="1:5">
      <c r="A2292">
        <v>10356</v>
      </c>
      <c r="B2292" s="80">
        <v>35387</v>
      </c>
      <c r="C2292">
        <v>300</v>
      </c>
      <c r="D2292">
        <v>30</v>
      </c>
      <c r="E2292" t="s">
        <v>173</v>
      </c>
    </row>
    <row r="2293" spans="1:5">
      <c r="A2293">
        <v>10356</v>
      </c>
      <c r="B2293" s="80">
        <v>35387</v>
      </c>
      <c r="C2293">
        <v>300</v>
      </c>
      <c r="D2293">
        <v>30</v>
      </c>
      <c r="E2293" t="s">
        <v>177</v>
      </c>
    </row>
    <row r="2294" spans="1:5">
      <c r="A2294">
        <v>10356</v>
      </c>
      <c r="B2294" s="80">
        <v>35387</v>
      </c>
      <c r="C2294">
        <v>576</v>
      </c>
      <c r="D2294">
        <v>20</v>
      </c>
      <c r="E2294" t="s">
        <v>172</v>
      </c>
    </row>
    <row r="2295" spans="1:5">
      <c r="A2295">
        <v>10356</v>
      </c>
      <c r="B2295" s="80">
        <v>35387</v>
      </c>
      <c r="C2295">
        <v>576</v>
      </c>
      <c r="D2295">
        <v>20</v>
      </c>
      <c r="E2295" t="s">
        <v>174</v>
      </c>
    </row>
    <row r="2296" spans="1:5">
      <c r="A2296">
        <v>10356</v>
      </c>
      <c r="B2296" s="80">
        <v>35387</v>
      </c>
      <c r="C2296">
        <v>230.4</v>
      </c>
      <c r="D2296">
        <v>12</v>
      </c>
      <c r="E2296" t="s">
        <v>174</v>
      </c>
    </row>
    <row r="2297" spans="1:5">
      <c r="A2297">
        <v>10356</v>
      </c>
      <c r="B2297" s="80">
        <v>35387</v>
      </c>
      <c r="C2297">
        <v>300</v>
      </c>
      <c r="D2297">
        <v>30</v>
      </c>
      <c r="E2297" t="s">
        <v>174</v>
      </c>
    </row>
    <row r="2298" spans="1:5">
      <c r="A2298">
        <v>10356</v>
      </c>
      <c r="B2298" s="80">
        <v>35387</v>
      </c>
      <c r="C2298">
        <v>300</v>
      </c>
      <c r="D2298">
        <v>30</v>
      </c>
      <c r="E2298" t="s">
        <v>175</v>
      </c>
    </row>
    <row r="2299" spans="1:5">
      <c r="A2299">
        <v>10356</v>
      </c>
      <c r="B2299" s="80">
        <v>35387</v>
      </c>
      <c r="C2299">
        <v>230.4</v>
      </c>
      <c r="D2299">
        <v>12</v>
      </c>
      <c r="E2299" t="s">
        <v>175</v>
      </c>
    </row>
    <row r="2300" spans="1:5">
      <c r="A2300">
        <v>10356</v>
      </c>
      <c r="B2300" s="80">
        <v>35387</v>
      </c>
      <c r="C2300">
        <v>230.4</v>
      </c>
      <c r="D2300">
        <v>12</v>
      </c>
      <c r="E2300" t="s">
        <v>173</v>
      </c>
    </row>
    <row r="2301" spans="1:5">
      <c r="A2301">
        <v>10356</v>
      </c>
      <c r="B2301" s="80">
        <v>35387</v>
      </c>
      <c r="C2301">
        <v>300</v>
      </c>
      <c r="D2301">
        <v>30</v>
      </c>
      <c r="E2301" t="s">
        <v>172</v>
      </c>
    </row>
    <row r="2302" spans="1:5">
      <c r="A2302">
        <v>10356</v>
      </c>
      <c r="B2302" s="80">
        <v>35387</v>
      </c>
      <c r="C2302">
        <v>576</v>
      </c>
      <c r="D2302">
        <v>20</v>
      </c>
      <c r="E2302" t="s">
        <v>177</v>
      </c>
    </row>
    <row r="2303" spans="1:5">
      <c r="A2303">
        <v>10356</v>
      </c>
      <c r="B2303" s="80">
        <v>35387</v>
      </c>
      <c r="C2303">
        <v>576</v>
      </c>
      <c r="D2303">
        <v>20</v>
      </c>
      <c r="E2303" t="s">
        <v>173</v>
      </c>
    </row>
    <row r="2304" spans="1:5">
      <c r="A2304">
        <v>10356</v>
      </c>
      <c r="B2304" s="80">
        <v>35387</v>
      </c>
      <c r="C2304">
        <v>300</v>
      </c>
      <c r="D2304">
        <v>30</v>
      </c>
      <c r="E2304" t="s">
        <v>176</v>
      </c>
    </row>
    <row r="2305" spans="1:5">
      <c r="A2305">
        <v>10356</v>
      </c>
      <c r="B2305" s="80">
        <v>35387</v>
      </c>
      <c r="C2305">
        <v>230.4</v>
      </c>
      <c r="D2305">
        <v>12</v>
      </c>
      <c r="E2305" t="s">
        <v>176</v>
      </c>
    </row>
    <row r="2306" spans="1:5">
      <c r="A2306">
        <v>10356</v>
      </c>
      <c r="B2306" s="80">
        <v>35387</v>
      </c>
      <c r="C2306">
        <v>576</v>
      </c>
      <c r="D2306">
        <v>20</v>
      </c>
      <c r="E2306" t="s">
        <v>176</v>
      </c>
    </row>
    <row r="2307" spans="1:5">
      <c r="A2307">
        <v>10356</v>
      </c>
      <c r="B2307" s="80">
        <v>35387</v>
      </c>
      <c r="C2307">
        <v>300</v>
      </c>
      <c r="D2307">
        <v>30</v>
      </c>
      <c r="E2307" t="s">
        <v>178</v>
      </c>
    </row>
    <row r="2308" spans="1:5">
      <c r="A2308">
        <v>10356</v>
      </c>
      <c r="B2308" s="80">
        <v>35387</v>
      </c>
      <c r="C2308">
        <v>230.4</v>
      </c>
      <c r="D2308">
        <v>12</v>
      </c>
      <c r="E2308" t="s">
        <v>178</v>
      </c>
    </row>
    <row r="2309" spans="1:5">
      <c r="A2309">
        <v>10356</v>
      </c>
      <c r="B2309" s="80">
        <v>35387</v>
      </c>
      <c r="C2309">
        <v>576</v>
      </c>
      <c r="D2309">
        <v>20</v>
      </c>
      <c r="E2309" t="s">
        <v>178</v>
      </c>
    </row>
    <row r="2310" spans="1:5">
      <c r="A2310">
        <v>10356</v>
      </c>
      <c r="B2310" s="80">
        <v>35387</v>
      </c>
      <c r="C2310">
        <v>576</v>
      </c>
      <c r="D2310">
        <v>20</v>
      </c>
      <c r="E2310" t="s">
        <v>175</v>
      </c>
    </row>
    <row r="2311" spans="1:5">
      <c r="A2311">
        <v>10356</v>
      </c>
      <c r="B2311" s="80">
        <v>35387</v>
      </c>
      <c r="C2311">
        <v>300</v>
      </c>
      <c r="D2311">
        <v>30</v>
      </c>
      <c r="E2311" t="s">
        <v>179</v>
      </c>
    </row>
    <row r="2312" spans="1:5">
      <c r="A2312">
        <v>10356</v>
      </c>
      <c r="B2312" s="80">
        <v>35387</v>
      </c>
      <c r="C2312">
        <v>230.4</v>
      </c>
      <c r="D2312">
        <v>12</v>
      </c>
      <c r="E2312" t="s">
        <v>179</v>
      </c>
    </row>
    <row r="2313" spans="1:5">
      <c r="A2313">
        <v>10356</v>
      </c>
      <c r="B2313" s="80">
        <v>35387</v>
      </c>
      <c r="C2313">
        <v>576</v>
      </c>
      <c r="D2313">
        <v>20</v>
      </c>
      <c r="E2313" t="s">
        <v>179</v>
      </c>
    </row>
    <row r="2314" spans="1:5">
      <c r="A2314">
        <v>10357</v>
      </c>
      <c r="B2314" s="80">
        <v>35388</v>
      </c>
      <c r="C2314">
        <v>595.19999778270721</v>
      </c>
      <c r="D2314">
        <v>30</v>
      </c>
      <c r="E2314" t="s">
        <v>172</v>
      </c>
    </row>
    <row r="2315" spans="1:5">
      <c r="A2315">
        <v>10357</v>
      </c>
      <c r="B2315" s="80">
        <v>35388</v>
      </c>
      <c r="C2315">
        <v>174.07999935150147</v>
      </c>
      <c r="D2315">
        <v>8</v>
      </c>
      <c r="E2315" t="s">
        <v>179</v>
      </c>
    </row>
    <row r="2316" spans="1:5">
      <c r="A2316">
        <v>10357</v>
      </c>
      <c r="B2316" s="80">
        <v>35388</v>
      </c>
      <c r="C2316">
        <v>174.07999935150147</v>
      </c>
      <c r="D2316">
        <v>8</v>
      </c>
      <c r="E2316" t="s">
        <v>177</v>
      </c>
    </row>
    <row r="2317" spans="1:5">
      <c r="A2317">
        <v>10357</v>
      </c>
      <c r="B2317" s="80">
        <v>35388</v>
      </c>
      <c r="C2317">
        <v>398.4</v>
      </c>
      <c r="D2317">
        <v>16</v>
      </c>
      <c r="E2317" t="s">
        <v>172</v>
      </c>
    </row>
    <row r="2318" spans="1:5">
      <c r="A2318">
        <v>10357</v>
      </c>
      <c r="B2318" s="80">
        <v>35388</v>
      </c>
      <c r="C2318">
        <v>595.19999778270721</v>
      </c>
      <c r="D2318">
        <v>30</v>
      </c>
      <c r="E2318" t="s">
        <v>177</v>
      </c>
    </row>
    <row r="2319" spans="1:5">
      <c r="A2319">
        <v>10357</v>
      </c>
      <c r="B2319" s="80">
        <v>35388</v>
      </c>
      <c r="C2319">
        <v>595.19999778270721</v>
      </c>
      <c r="D2319">
        <v>30</v>
      </c>
      <c r="E2319" t="s">
        <v>178</v>
      </c>
    </row>
    <row r="2320" spans="1:5">
      <c r="A2320">
        <v>10357</v>
      </c>
      <c r="B2320" s="80">
        <v>35388</v>
      </c>
      <c r="C2320">
        <v>398.4</v>
      </c>
      <c r="D2320">
        <v>16</v>
      </c>
      <c r="E2320" t="s">
        <v>178</v>
      </c>
    </row>
    <row r="2321" spans="1:5">
      <c r="A2321">
        <v>10357</v>
      </c>
      <c r="B2321" s="80">
        <v>35388</v>
      </c>
      <c r="C2321">
        <v>174.07999935150147</v>
      </c>
      <c r="D2321">
        <v>8</v>
      </c>
      <c r="E2321" t="s">
        <v>178</v>
      </c>
    </row>
    <row r="2322" spans="1:5">
      <c r="A2322">
        <v>10357</v>
      </c>
      <c r="B2322" s="80">
        <v>35388</v>
      </c>
      <c r="C2322">
        <v>398.4</v>
      </c>
      <c r="D2322">
        <v>16</v>
      </c>
      <c r="E2322" t="s">
        <v>177</v>
      </c>
    </row>
    <row r="2323" spans="1:5">
      <c r="A2323">
        <v>10357</v>
      </c>
      <c r="B2323" s="80">
        <v>35388</v>
      </c>
      <c r="C2323">
        <v>595.19999778270721</v>
      </c>
      <c r="D2323">
        <v>30</v>
      </c>
      <c r="E2323" t="s">
        <v>179</v>
      </c>
    </row>
    <row r="2324" spans="1:5">
      <c r="A2324">
        <v>10357</v>
      </c>
      <c r="B2324" s="80">
        <v>35388</v>
      </c>
      <c r="C2324">
        <v>398.4</v>
      </c>
      <c r="D2324">
        <v>16</v>
      </c>
      <c r="E2324" t="s">
        <v>179</v>
      </c>
    </row>
    <row r="2325" spans="1:5">
      <c r="A2325">
        <v>10357</v>
      </c>
      <c r="B2325" s="80">
        <v>35388</v>
      </c>
      <c r="C2325">
        <v>174.07999935150147</v>
      </c>
      <c r="D2325">
        <v>8</v>
      </c>
      <c r="E2325" t="s">
        <v>172</v>
      </c>
    </row>
    <row r="2326" spans="1:5">
      <c r="A2326">
        <v>10357</v>
      </c>
      <c r="B2326" s="80">
        <v>35388</v>
      </c>
      <c r="C2326">
        <v>595.19999778270721</v>
      </c>
      <c r="D2326">
        <v>30</v>
      </c>
      <c r="E2326" t="s">
        <v>174</v>
      </c>
    </row>
    <row r="2327" spans="1:5">
      <c r="A2327">
        <v>10357</v>
      </c>
      <c r="B2327" s="80">
        <v>35388</v>
      </c>
      <c r="C2327">
        <v>174.07999935150147</v>
      </c>
      <c r="D2327">
        <v>8</v>
      </c>
      <c r="E2327" t="s">
        <v>174</v>
      </c>
    </row>
    <row r="2328" spans="1:5">
      <c r="A2328">
        <v>10357</v>
      </c>
      <c r="B2328" s="80">
        <v>35388</v>
      </c>
      <c r="C2328">
        <v>595.19999778270721</v>
      </c>
      <c r="D2328">
        <v>30</v>
      </c>
      <c r="E2328" t="s">
        <v>175</v>
      </c>
    </row>
    <row r="2329" spans="1:5">
      <c r="A2329">
        <v>10357</v>
      </c>
      <c r="B2329" s="80">
        <v>35388</v>
      </c>
      <c r="C2329">
        <v>398.4</v>
      </c>
      <c r="D2329">
        <v>16</v>
      </c>
      <c r="E2329" t="s">
        <v>175</v>
      </c>
    </row>
    <row r="2330" spans="1:5">
      <c r="A2330">
        <v>10357</v>
      </c>
      <c r="B2330" s="80">
        <v>35388</v>
      </c>
      <c r="C2330">
        <v>174.07999935150147</v>
      </c>
      <c r="D2330">
        <v>8</v>
      </c>
      <c r="E2330" t="s">
        <v>175</v>
      </c>
    </row>
    <row r="2331" spans="1:5">
      <c r="A2331">
        <v>10357</v>
      </c>
      <c r="B2331" s="80">
        <v>35388</v>
      </c>
      <c r="C2331">
        <v>595.19999778270721</v>
      </c>
      <c r="D2331">
        <v>30</v>
      </c>
      <c r="E2331" t="s">
        <v>176</v>
      </c>
    </row>
    <row r="2332" spans="1:5">
      <c r="A2332">
        <v>10357</v>
      </c>
      <c r="B2332" s="80">
        <v>35388</v>
      </c>
      <c r="C2332">
        <v>398.4</v>
      </c>
      <c r="D2332">
        <v>16</v>
      </c>
      <c r="E2332" t="s">
        <v>176</v>
      </c>
    </row>
    <row r="2333" spans="1:5">
      <c r="A2333">
        <v>10357</v>
      </c>
      <c r="B2333" s="80">
        <v>35388</v>
      </c>
      <c r="C2333">
        <v>174.07999935150147</v>
      </c>
      <c r="D2333">
        <v>8</v>
      </c>
      <c r="E2333" t="s">
        <v>176</v>
      </c>
    </row>
    <row r="2334" spans="1:5">
      <c r="A2334">
        <v>10357</v>
      </c>
      <c r="B2334" s="80">
        <v>35388</v>
      </c>
      <c r="C2334">
        <v>595.19999778270721</v>
      </c>
      <c r="D2334">
        <v>30</v>
      </c>
      <c r="E2334" t="s">
        <v>173</v>
      </c>
    </row>
    <row r="2335" spans="1:5">
      <c r="A2335">
        <v>10357</v>
      </c>
      <c r="B2335" s="80">
        <v>35388</v>
      </c>
      <c r="C2335">
        <v>398.4</v>
      </c>
      <c r="D2335">
        <v>16</v>
      </c>
      <c r="E2335" t="s">
        <v>173</v>
      </c>
    </row>
    <row r="2336" spans="1:5">
      <c r="A2336">
        <v>10357</v>
      </c>
      <c r="B2336" s="80">
        <v>35388</v>
      </c>
      <c r="C2336">
        <v>174.07999935150147</v>
      </c>
      <c r="D2336">
        <v>8</v>
      </c>
      <c r="E2336" t="s">
        <v>173</v>
      </c>
    </row>
    <row r="2337" spans="1:5">
      <c r="A2337">
        <v>10357</v>
      </c>
      <c r="B2337" s="80">
        <v>35388</v>
      </c>
      <c r="C2337">
        <v>398.4</v>
      </c>
      <c r="D2337">
        <v>16</v>
      </c>
      <c r="E2337" t="s">
        <v>174</v>
      </c>
    </row>
    <row r="2338" spans="1:5">
      <c r="A2338">
        <v>10358</v>
      </c>
      <c r="B2338" s="80">
        <v>35389</v>
      </c>
      <c r="C2338">
        <v>288.79999977350235</v>
      </c>
      <c r="D2338">
        <v>20</v>
      </c>
      <c r="E2338" t="s">
        <v>173</v>
      </c>
    </row>
    <row r="2339" spans="1:5">
      <c r="A2339">
        <v>10358</v>
      </c>
      <c r="B2339" s="80">
        <v>35389</v>
      </c>
      <c r="C2339">
        <v>288.79999977350235</v>
      </c>
      <c r="D2339">
        <v>20</v>
      </c>
      <c r="E2339" t="s">
        <v>172</v>
      </c>
    </row>
    <row r="2340" spans="1:5">
      <c r="A2340">
        <v>10358</v>
      </c>
      <c r="B2340" s="80">
        <v>35389</v>
      </c>
      <c r="C2340">
        <v>106.3999999165535</v>
      </c>
      <c r="D2340">
        <v>10</v>
      </c>
      <c r="E2340" t="s">
        <v>172</v>
      </c>
    </row>
    <row r="2341" spans="1:5">
      <c r="A2341">
        <v>10358</v>
      </c>
      <c r="B2341" s="80">
        <v>35389</v>
      </c>
      <c r="C2341">
        <v>34.19999997317791</v>
      </c>
      <c r="D2341">
        <v>10</v>
      </c>
      <c r="E2341" t="s">
        <v>172</v>
      </c>
    </row>
    <row r="2342" spans="1:5">
      <c r="A2342">
        <v>10358</v>
      </c>
      <c r="B2342" s="80">
        <v>35389</v>
      </c>
      <c r="C2342">
        <v>106.3999999165535</v>
      </c>
      <c r="D2342">
        <v>10</v>
      </c>
      <c r="E2342" t="s">
        <v>173</v>
      </c>
    </row>
    <row r="2343" spans="1:5">
      <c r="A2343">
        <v>10358</v>
      </c>
      <c r="B2343" s="80">
        <v>35389</v>
      </c>
      <c r="C2343">
        <v>288.79999977350235</v>
      </c>
      <c r="D2343">
        <v>20</v>
      </c>
      <c r="E2343" t="s">
        <v>174</v>
      </c>
    </row>
    <row r="2344" spans="1:5">
      <c r="A2344">
        <v>10358</v>
      </c>
      <c r="B2344" s="80">
        <v>35389</v>
      </c>
      <c r="C2344">
        <v>288.79999977350235</v>
      </c>
      <c r="D2344">
        <v>20</v>
      </c>
      <c r="E2344" t="s">
        <v>176</v>
      </c>
    </row>
    <row r="2345" spans="1:5">
      <c r="A2345">
        <v>10358</v>
      </c>
      <c r="B2345" s="80">
        <v>35389</v>
      </c>
      <c r="C2345">
        <v>106.3999999165535</v>
      </c>
      <c r="D2345">
        <v>10</v>
      </c>
      <c r="E2345" t="s">
        <v>176</v>
      </c>
    </row>
    <row r="2346" spans="1:5">
      <c r="A2346">
        <v>10358</v>
      </c>
      <c r="B2346" s="80">
        <v>35389</v>
      </c>
      <c r="C2346">
        <v>34.19999997317791</v>
      </c>
      <c r="D2346">
        <v>10</v>
      </c>
      <c r="E2346" t="s">
        <v>176</v>
      </c>
    </row>
    <row r="2347" spans="1:5">
      <c r="A2347">
        <v>10358</v>
      </c>
      <c r="B2347" s="80">
        <v>35389</v>
      </c>
      <c r="C2347">
        <v>288.79999977350235</v>
      </c>
      <c r="D2347">
        <v>20</v>
      </c>
      <c r="E2347" t="s">
        <v>175</v>
      </c>
    </row>
    <row r="2348" spans="1:5">
      <c r="A2348">
        <v>10358</v>
      </c>
      <c r="B2348" s="80">
        <v>35389</v>
      </c>
      <c r="C2348">
        <v>106.3999999165535</v>
      </c>
      <c r="D2348">
        <v>10</v>
      </c>
      <c r="E2348" t="s">
        <v>175</v>
      </c>
    </row>
    <row r="2349" spans="1:5">
      <c r="A2349">
        <v>10358</v>
      </c>
      <c r="B2349" s="80">
        <v>35389</v>
      </c>
      <c r="C2349">
        <v>34.19999997317791</v>
      </c>
      <c r="D2349">
        <v>10</v>
      </c>
      <c r="E2349" t="s">
        <v>173</v>
      </c>
    </row>
    <row r="2350" spans="1:5">
      <c r="A2350">
        <v>10358</v>
      </c>
      <c r="B2350" s="80">
        <v>35389</v>
      </c>
      <c r="C2350">
        <v>34.19999997317791</v>
      </c>
      <c r="D2350">
        <v>10</v>
      </c>
      <c r="E2350" t="s">
        <v>179</v>
      </c>
    </row>
    <row r="2351" spans="1:5">
      <c r="A2351">
        <v>10358</v>
      </c>
      <c r="B2351" s="80">
        <v>35389</v>
      </c>
      <c r="C2351">
        <v>34.19999997317791</v>
      </c>
      <c r="D2351">
        <v>10</v>
      </c>
      <c r="E2351" t="s">
        <v>175</v>
      </c>
    </row>
    <row r="2352" spans="1:5">
      <c r="A2352">
        <v>10358</v>
      </c>
      <c r="B2352" s="80">
        <v>35389</v>
      </c>
      <c r="C2352">
        <v>106.3999999165535</v>
      </c>
      <c r="D2352">
        <v>10</v>
      </c>
      <c r="E2352" t="s">
        <v>177</v>
      </c>
    </row>
    <row r="2353" spans="1:5">
      <c r="A2353">
        <v>10358</v>
      </c>
      <c r="B2353" s="80">
        <v>35389</v>
      </c>
      <c r="C2353">
        <v>106.3999999165535</v>
      </c>
      <c r="D2353">
        <v>10</v>
      </c>
      <c r="E2353" t="s">
        <v>174</v>
      </c>
    </row>
    <row r="2354" spans="1:5">
      <c r="A2354">
        <v>10358</v>
      </c>
      <c r="B2354" s="80">
        <v>35389</v>
      </c>
      <c r="C2354">
        <v>106.3999999165535</v>
      </c>
      <c r="D2354">
        <v>10</v>
      </c>
      <c r="E2354" t="s">
        <v>179</v>
      </c>
    </row>
    <row r="2355" spans="1:5">
      <c r="A2355">
        <v>10358</v>
      </c>
      <c r="B2355" s="80">
        <v>35389</v>
      </c>
      <c r="C2355">
        <v>288.79999977350235</v>
      </c>
      <c r="D2355">
        <v>20</v>
      </c>
      <c r="E2355" t="s">
        <v>179</v>
      </c>
    </row>
    <row r="2356" spans="1:5">
      <c r="A2356">
        <v>10358</v>
      </c>
      <c r="B2356" s="80">
        <v>35389</v>
      </c>
      <c r="C2356">
        <v>288.79999977350235</v>
      </c>
      <c r="D2356">
        <v>20</v>
      </c>
      <c r="E2356" t="s">
        <v>177</v>
      </c>
    </row>
    <row r="2357" spans="1:5">
      <c r="A2357">
        <v>10358</v>
      </c>
      <c r="B2357" s="80">
        <v>35389</v>
      </c>
      <c r="C2357">
        <v>34.19999997317791</v>
      </c>
      <c r="D2357">
        <v>10</v>
      </c>
      <c r="E2357" t="s">
        <v>177</v>
      </c>
    </row>
    <row r="2358" spans="1:5">
      <c r="A2358">
        <v>10358</v>
      </c>
      <c r="B2358" s="80">
        <v>35389</v>
      </c>
      <c r="C2358">
        <v>34.19999997317791</v>
      </c>
      <c r="D2358">
        <v>10</v>
      </c>
      <c r="E2358" t="s">
        <v>178</v>
      </c>
    </row>
    <row r="2359" spans="1:5">
      <c r="A2359">
        <v>10358</v>
      </c>
      <c r="B2359" s="80">
        <v>35389</v>
      </c>
      <c r="C2359">
        <v>106.3999999165535</v>
      </c>
      <c r="D2359">
        <v>10</v>
      </c>
      <c r="E2359" t="s">
        <v>178</v>
      </c>
    </row>
    <row r="2360" spans="1:5">
      <c r="A2360">
        <v>10358</v>
      </c>
      <c r="B2360" s="80">
        <v>35389</v>
      </c>
      <c r="C2360">
        <v>288.79999977350235</v>
      </c>
      <c r="D2360">
        <v>20</v>
      </c>
      <c r="E2360" t="s">
        <v>178</v>
      </c>
    </row>
    <row r="2361" spans="1:5">
      <c r="A2361">
        <v>10358</v>
      </c>
      <c r="B2361" s="80">
        <v>35389</v>
      </c>
      <c r="C2361">
        <v>34.19999997317791</v>
      </c>
      <c r="D2361">
        <v>10</v>
      </c>
      <c r="E2361" t="s">
        <v>174</v>
      </c>
    </row>
    <row r="2362" spans="1:5">
      <c r="A2362">
        <v>10359</v>
      </c>
      <c r="B2362" s="80">
        <v>35390</v>
      </c>
      <c r="C2362">
        <v>739.47999942004674</v>
      </c>
      <c r="D2362">
        <v>56</v>
      </c>
      <c r="E2362" t="s">
        <v>173</v>
      </c>
    </row>
    <row r="2363" spans="1:5">
      <c r="A2363">
        <v>10359</v>
      </c>
      <c r="B2363" s="80">
        <v>35390</v>
      </c>
      <c r="C2363">
        <v>664.99999947845936</v>
      </c>
      <c r="D2363">
        <v>70</v>
      </c>
      <c r="E2363" t="s">
        <v>173</v>
      </c>
    </row>
    <row r="2364" spans="1:5">
      <c r="A2364">
        <v>10359</v>
      </c>
      <c r="B2364" s="80">
        <v>35390</v>
      </c>
      <c r="C2364">
        <v>2067.1999983787537</v>
      </c>
      <c r="D2364">
        <v>80</v>
      </c>
      <c r="E2364" t="s">
        <v>173</v>
      </c>
    </row>
    <row r="2365" spans="1:5">
      <c r="A2365">
        <v>10359</v>
      </c>
      <c r="B2365" s="80">
        <v>35390</v>
      </c>
      <c r="C2365">
        <v>739.47999942004674</v>
      </c>
      <c r="D2365">
        <v>56</v>
      </c>
      <c r="E2365" t="s">
        <v>174</v>
      </c>
    </row>
    <row r="2366" spans="1:5">
      <c r="A2366">
        <v>10359</v>
      </c>
      <c r="B2366" s="80">
        <v>35390</v>
      </c>
      <c r="C2366">
        <v>664.99999947845936</v>
      </c>
      <c r="D2366">
        <v>70</v>
      </c>
      <c r="E2366" t="s">
        <v>174</v>
      </c>
    </row>
    <row r="2367" spans="1:5">
      <c r="A2367">
        <v>10359</v>
      </c>
      <c r="B2367" s="80">
        <v>35390</v>
      </c>
      <c r="C2367">
        <v>739.47999942004674</v>
      </c>
      <c r="D2367">
        <v>56</v>
      </c>
      <c r="E2367" t="s">
        <v>177</v>
      </c>
    </row>
    <row r="2368" spans="1:5">
      <c r="A2368">
        <v>10359</v>
      </c>
      <c r="B2368" s="80">
        <v>35390</v>
      </c>
      <c r="C2368">
        <v>664.99999947845936</v>
      </c>
      <c r="D2368">
        <v>70</v>
      </c>
      <c r="E2368" t="s">
        <v>177</v>
      </c>
    </row>
    <row r="2369" spans="1:5">
      <c r="A2369">
        <v>10359</v>
      </c>
      <c r="B2369" s="80">
        <v>35390</v>
      </c>
      <c r="C2369">
        <v>2067.1999983787537</v>
      </c>
      <c r="D2369">
        <v>80</v>
      </c>
      <c r="E2369" t="s">
        <v>177</v>
      </c>
    </row>
    <row r="2370" spans="1:5">
      <c r="A2370">
        <v>10359</v>
      </c>
      <c r="B2370" s="80">
        <v>35390</v>
      </c>
      <c r="C2370">
        <v>2067.1999983787537</v>
      </c>
      <c r="D2370">
        <v>80</v>
      </c>
      <c r="E2370" t="s">
        <v>176</v>
      </c>
    </row>
    <row r="2371" spans="1:5">
      <c r="A2371">
        <v>10359</v>
      </c>
      <c r="B2371" s="80">
        <v>35390</v>
      </c>
      <c r="C2371">
        <v>739.47999942004674</v>
      </c>
      <c r="D2371">
        <v>56</v>
      </c>
      <c r="E2371" t="s">
        <v>175</v>
      </c>
    </row>
    <row r="2372" spans="1:5">
      <c r="A2372">
        <v>10359</v>
      </c>
      <c r="B2372" s="80">
        <v>35390</v>
      </c>
      <c r="C2372">
        <v>664.99999947845936</v>
      </c>
      <c r="D2372">
        <v>70</v>
      </c>
      <c r="E2372" t="s">
        <v>175</v>
      </c>
    </row>
    <row r="2373" spans="1:5">
      <c r="A2373">
        <v>10359</v>
      </c>
      <c r="B2373" s="80">
        <v>35390</v>
      </c>
      <c r="C2373">
        <v>2067.1999983787537</v>
      </c>
      <c r="D2373">
        <v>80</v>
      </c>
      <c r="E2373" t="s">
        <v>175</v>
      </c>
    </row>
    <row r="2374" spans="1:5">
      <c r="A2374">
        <v>10359</v>
      </c>
      <c r="B2374" s="80">
        <v>35390</v>
      </c>
      <c r="C2374">
        <v>739.47999942004674</v>
      </c>
      <c r="D2374">
        <v>56</v>
      </c>
      <c r="E2374" t="s">
        <v>179</v>
      </c>
    </row>
    <row r="2375" spans="1:5">
      <c r="A2375">
        <v>10359</v>
      </c>
      <c r="B2375" s="80">
        <v>35390</v>
      </c>
      <c r="C2375">
        <v>664.99999947845936</v>
      </c>
      <c r="D2375">
        <v>70</v>
      </c>
      <c r="E2375" t="s">
        <v>179</v>
      </c>
    </row>
    <row r="2376" spans="1:5">
      <c r="A2376">
        <v>10359</v>
      </c>
      <c r="B2376" s="80">
        <v>35390</v>
      </c>
      <c r="C2376">
        <v>2067.1999983787537</v>
      </c>
      <c r="D2376">
        <v>80</v>
      </c>
      <c r="E2376" t="s">
        <v>179</v>
      </c>
    </row>
    <row r="2377" spans="1:5">
      <c r="A2377">
        <v>10359</v>
      </c>
      <c r="B2377" s="80">
        <v>35390</v>
      </c>
      <c r="C2377">
        <v>2067.1999983787537</v>
      </c>
      <c r="D2377">
        <v>80</v>
      </c>
      <c r="E2377" t="s">
        <v>174</v>
      </c>
    </row>
    <row r="2378" spans="1:5">
      <c r="A2378">
        <v>10359</v>
      </c>
      <c r="B2378" s="80">
        <v>35390</v>
      </c>
      <c r="C2378">
        <v>739.47999942004674</v>
      </c>
      <c r="D2378">
        <v>56</v>
      </c>
      <c r="E2378" t="s">
        <v>176</v>
      </c>
    </row>
    <row r="2379" spans="1:5">
      <c r="A2379">
        <v>10359</v>
      </c>
      <c r="B2379" s="80">
        <v>35390</v>
      </c>
      <c r="C2379">
        <v>739.47999942004674</v>
      </c>
      <c r="D2379">
        <v>56</v>
      </c>
      <c r="E2379" t="s">
        <v>172</v>
      </c>
    </row>
    <row r="2380" spans="1:5">
      <c r="A2380">
        <v>10359</v>
      </c>
      <c r="B2380" s="80">
        <v>35390</v>
      </c>
      <c r="C2380">
        <v>739.47999942004674</v>
      </c>
      <c r="D2380">
        <v>56</v>
      </c>
      <c r="E2380" t="s">
        <v>178</v>
      </c>
    </row>
    <row r="2381" spans="1:5">
      <c r="A2381">
        <v>10359</v>
      </c>
      <c r="B2381" s="80">
        <v>35390</v>
      </c>
      <c r="C2381">
        <v>2067.1999983787537</v>
      </c>
      <c r="D2381">
        <v>80</v>
      </c>
      <c r="E2381" t="s">
        <v>178</v>
      </c>
    </row>
    <row r="2382" spans="1:5">
      <c r="A2382">
        <v>10359</v>
      </c>
      <c r="B2382" s="80">
        <v>35390</v>
      </c>
      <c r="C2382">
        <v>664.99999947845936</v>
      </c>
      <c r="D2382">
        <v>70</v>
      </c>
      <c r="E2382" t="s">
        <v>172</v>
      </c>
    </row>
    <row r="2383" spans="1:5">
      <c r="A2383">
        <v>10359</v>
      </c>
      <c r="B2383" s="80">
        <v>35390</v>
      </c>
      <c r="C2383">
        <v>2067.1999983787537</v>
      </c>
      <c r="D2383">
        <v>80</v>
      </c>
      <c r="E2383" t="s">
        <v>172</v>
      </c>
    </row>
    <row r="2384" spans="1:5">
      <c r="A2384">
        <v>10359</v>
      </c>
      <c r="B2384" s="80">
        <v>35390</v>
      </c>
      <c r="C2384">
        <v>664.99999947845936</v>
      </c>
      <c r="D2384">
        <v>70</v>
      </c>
      <c r="E2384" t="s">
        <v>178</v>
      </c>
    </row>
    <row r="2385" spans="1:5">
      <c r="A2385">
        <v>10359</v>
      </c>
      <c r="B2385" s="80">
        <v>35390</v>
      </c>
      <c r="C2385">
        <v>664.99999947845936</v>
      </c>
      <c r="D2385">
        <v>70</v>
      </c>
      <c r="E2385" t="s">
        <v>176</v>
      </c>
    </row>
    <row r="2386" spans="1:5">
      <c r="A2386">
        <v>10360</v>
      </c>
      <c r="B2386" s="80">
        <v>35391</v>
      </c>
      <c r="C2386">
        <v>2108</v>
      </c>
      <c r="D2386">
        <v>10</v>
      </c>
      <c r="E2386" t="s">
        <v>172</v>
      </c>
    </row>
    <row r="2387" spans="1:5">
      <c r="A2387">
        <v>10360</v>
      </c>
      <c r="B2387" s="80">
        <v>35391</v>
      </c>
      <c r="C2387">
        <v>1092</v>
      </c>
      <c r="D2387">
        <v>30</v>
      </c>
      <c r="E2387" t="s">
        <v>172</v>
      </c>
    </row>
    <row r="2388" spans="1:5">
      <c r="A2388">
        <v>10360</v>
      </c>
      <c r="B2388" s="80">
        <v>35391</v>
      </c>
      <c r="C2388">
        <v>3465</v>
      </c>
      <c r="D2388">
        <v>35</v>
      </c>
      <c r="E2388" t="s">
        <v>172</v>
      </c>
    </row>
    <row r="2389" spans="1:5">
      <c r="A2389">
        <v>10360</v>
      </c>
      <c r="B2389" s="80">
        <v>35391</v>
      </c>
      <c r="C2389">
        <v>1092</v>
      </c>
      <c r="D2389">
        <v>30</v>
      </c>
      <c r="E2389" t="s">
        <v>173</v>
      </c>
    </row>
    <row r="2390" spans="1:5">
      <c r="A2390">
        <v>10360</v>
      </c>
      <c r="B2390" s="80">
        <v>35391</v>
      </c>
      <c r="C2390">
        <v>3465</v>
      </c>
      <c r="D2390">
        <v>35</v>
      </c>
      <c r="E2390" t="s">
        <v>173</v>
      </c>
    </row>
    <row r="2391" spans="1:5">
      <c r="A2391">
        <v>10360</v>
      </c>
      <c r="B2391" s="80">
        <v>35391</v>
      </c>
      <c r="C2391">
        <v>2108</v>
      </c>
      <c r="D2391">
        <v>10</v>
      </c>
      <c r="E2391" t="s">
        <v>173</v>
      </c>
    </row>
    <row r="2392" spans="1:5">
      <c r="A2392">
        <v>10360</v>
      </c>
      <c r="B2392" s="80">
        <v>35391</v>
      </c>
      <c r="C2392">
        <v>165.2</v>
      </c>
      <c r="D2392">
        <v>28</v>
      </c>
      <c r="E2392" t="s">
        <v>173</v>
      </c>
    </row>
    <row r="2393" spans="1:5">
      <c r="A2393">
        <v>10360</v>
      </c>
      <c r="B2393" s="80">
        <v>35391</v>
      </c>
      <c r="C2393">
        <v>1092</v>
      </c>
      <c r="D2393">
        <v>30</v>
      </c>
      <c r="E2393" t="s">
        <v>179</v>
      </c>
    </row>
    <row r="2394" spans="1:5">
      <c r="A2394">
        <v>10360</v>
      </c>
      <c r="B2394" s="80">
        <v>35391</v>
      </c>
      <c r="C2394">
        <v>3465</v>
      </c>
      <c r="D2394">
        <v>35</v>
      </c>
      <c r="E2394" t="s">
        <v>179</v>
      </c>
    </row>
    <row r="2395" spans="1:5">
      <c r="A2395">
        <v>10360</v>
      </c>
      <c r="B2395" s="80">
        <v>35391</v>
      </c>
      <c r="C2395">
        <v>2108</v>
      </c>
      <c r="D2395">
        <v>10</v>
      </c>
      <c r="E2395" t="s">
        <v>179</v>
      </c>
    </row>
    <row r="2396" spans="1:5">
      <c r="A2396">
        <v>10360</v>
      </c>
      <c r="B2396" s="80">
        <v>35391</v>
      </c>
      <c r="C2396">
        <v>560</v>
      </c>
      <c r="D2396">
        <v>35</v>
      </c>
      <c r="E2396" t="s">
        <v>179</v>
      </c>
    </row>
    <row r="2397" spans="1:5">
      <c r="A2397">
        <v>10360</v>
      </c>
      <c r="B2397" s="80">
        <v>35391</v>
      </c>
      <c r="C2397">
        <v>165.2</v>
      </c>
      <c r="D2397">
        <v>28</v>
      </c>
      <c r="E2397" t="s">
        <v>179</v>
      </c>
    </row>
    <row r="2398" spans="1:5">
      <c r="A2398">
        <v>10360</v>
      </c>
      <c r="B2398" s="80">
        <v>35391</v>
      </c>
      <c r="C2398">
        <v>560</v>
      </c>
      <c r="D2398">
        <v>35</v>
      </c>
      <c r="E2398" t="s">
        <v>172</v>
      </c>
    </row>
    <row r="2399" spans="1:5">
      <c r="A2399">
        <v>10360</v>
      </c>
      <c r="B2399" s="80">
        <v>35391</v>
      </c>
      <c r="C2399">
        <v>165.2</v>
      </c>
      <c r="D2399">
        <v>28</v>
      </c>
      <c r="E2399" t="s">
        <v>172</v>
      </c>
    </row>
    <row r="2400" spans="1:5">
      <c r="A2400">
        <v>10360</v>
      </c>
      <c r="B2400" s="80">
        <v>35391</v>
      </c>
      <c r="C2400">
        <v>560</v>
      </c>
      <c r="D2400">
        <v>35</v>
      </c>
      <c r="E2400" t="s">
        <v>173</v>
      </c>
    </row>
    <row r="2401" spans="1:5">
      <c r="A2401">
        <v>10360</v>
      </c>
      <c r="B2401" s="80">
        <v>35391</v>
      </c>
      <c r="C2401">
        <v>165.2</v>
      </c>
      <c r="D2401">
        <v>28</v>
      </c>
      <c r="E2401" t="s">
        <v>174</v>
      </c>
    </row>
    <row r="2402" spans="1:5">
      <c r="A2402">
        <v>10360</v>
      </c>
      <c r="B2402" s="80">
        <v>35391</v>
      </c>
      <c r="C2402">
        <v>2108</v>
      </c>
      <c r="D2402">
        <v>10</v>
      </c>
      <c r="E2402" t="s">
        <v>177</v>
      </c>
    </row>
    <row r="2403" spans="1:5">
      <c r="A2403">
        <v>10360</v>
      </c>
      <c r="B2403" s="80">
        <v>35391</v>
      </c>
      <c r="C2403">
        <v>165.2</v>
      </c>
      <c r="D2403">
        <v>28</v>
      </c>
      <c r="E2403" t="s">
        <v>177</v>
      </c>
    </row>
    <row r="2404" spans="1:5">
      <c r="A2404">
        <v>10360</v>
      </c>
      <c r="B2404" s="80">
        <v>35391</v>
      </c>
      <c r="C2404">
        <v>560</v>
      </c>
      <c r="D2404">
        <v>35</v>
      </c>
      <c r="E2404" t="s">
        <v>178</v>
      </c>
    </row>
    <row r="2405" spans="1:5">
      <c r="A2405">
        <v>10360</v>
      </c>
      <c r="B2405" s="80">
        <v>35391</v>
      </c>
      <c r="C2405">
        <v>2108</v>
      </c>
      <c r="D2405">
        <v>10</v>
      </c>
      <c r="E2405" t="s">
        <v>178</v>
      </c>
    </row>
    <row r="2406" spans="1:5">
      <c r="A2406">
        <v>10360</v>
      </c>
      <c r="B2406" s="80">
        <v>35391</v>
      </c>
      <c r="C2406">
        <v>3465</v>
      </c>
      <c r="D2406">
        <v>35</v>
      </c>
      <c r="E2406" t="s">
        <v>178</v>
      </c>
    </row>
    <row r="2407" spans="1:5">
      <c r="A2407">
        <v>10360</v>
      </c>
      <c r="B2407" s="80">
        <v>35391</v>
      </c>
      <c r="C2407">
        <v>1092</v>
      </c>
      <c r="D2407">
        <v>30</v>
      </c>
      <c r="E2407" t="s">
        <v>178</v>
      </c>
    </row>
    <row r="2408" spans="1:5">
      <c r="A2408">
        <v>10360</v>
      </c>
      <c r="B2408" s="80">
        <v>35391</v>
      </c>
      <c r="C2408">
        <v>3465</v>
      </c>
      <c r="D2408">
        <v>35</v>
      </c>
      <c r="E2408" t="s">
        <v>177</v>
      </c>
    </row>
    <row r="2409" spans="1:5">
      <c r="A2409">
        <v>10360</v>
      </c>
      <c r="B2409" s="80">
        <v>35391</v>
      </c>
      <c r="C2409">
        <v>1092</v>
      </c>
      <c r="D2409">
        <v>30</v>
      </c>
      <c r="E2409" t="s">
        <v>177</v>
      </c>
    </row>
    <row r="2410" spans="1:5">
      <c r="A2410">
        <v>10360</v>
      </c>
      <c r="B2410" s="80">
        <v>35391</v>
      </c>
      <c r="C2410">
        <v>1092</v>
      </c>
      <c r="D2410">
        <v>30</v>
      </c>
      <c r="E2410" t="s">
        <v>174</v>
      </c>
    </row>
    <row r="2411" spans="1:5">
      <c r="A2411">
        <v>10360</v>
      </c>
      <c r="B2411" s="80">
        <v>35391</v>
      </c>
      <c r="C2411">
        <v>3465</v>
      </c>
      <c r="D2411">
        <v>35</v>
      </c>
      <c r="E2411" t="s">
        <v>174</v>
      </c>
    </row>
    <row r="2412" spans="1:5">
      <c r="A2412">
        <v>10360</v>
      </c>
      <c r="B2412" s="80">
        <v>35391</v>
      </c>
      <c r="C2412">
        <v>560</v>
      </c>
      <c r="D2412">
        <v>35</v>
      </c>
      <c r="E2412" t="s">
        <v>177</v>
      </c>
    </row>
    <row r="2413" spans="1:5">
      <c r="A2413">
        <v>10360</v>
      </c>
      <c r="B2413" s="80">
        <v>35391</v>
      </c>
      <c r="C2413">
        <v>560</v>
      </c>
      <c r="D2413">
        <v>35</v>
      </c>
      <c r="E2413" t="s">
        <v>174</v>
      </c>
    </row>
    <row r="2414" spans="1:5">
      <c r="A2414">
        <v>10360</v>
      </c>
      <c r="B2414" s="80">
        <v>35391</v>
      </c>
      <c r="C2414">
        <v>165.2</v>
      </c>
      <c r="D2414">
        <v>28</v>
      </c>
      <c r="E2414" t="s">
        <v>178</v>
      </c>
    </row>
    <row r="2415" spans="1:5">
      <c r="A2415">
        <v>10360</v>
      </c>
      <c r="B2415" s="80">
        <v>35391</v>
      </c>
      <c r="C2415">
        <v>560</v>
      </c>
      <c r="D2415">
        <v>35</v>
      </c>
      <c r="E2415" t="s">
        <v>175</v>
      </c>
    </row>
    <row r="2416" spans="1:5">
      <c r="A2416">
        <v>10360</v>
      </c>
      <c r="B2416" s="80">
        <v>35391</v>
      </c>
      <c r="C2416">
        <v>1092</v>
      </c>
      <c r="D2416">
        <v>30</v>
      </c>
      <c r="E2416" t="s">
        <v>175</v>
      </c>
    </row>
    <row r="2417" spans="1:5">
      <c r="A2417">
        <v>10360</v>
      </c>
      <c r="B2417" s="80">
        <v>35391</v>
      </c>
      <c r="C2417">
        <v>3465</v>
      </c>
      <c r="D2417">
        <v>35</v>
      </c>
      <c r="E2417" t="s">
        <v>175</v>
      </c>
    </row>
    <row r="2418" spans="1:5">
      <c r="A2418">
        <v>10360</v>
      </c>
      <c r="B2418" s="80">
        <v>35391</v>
      </c>
      <c r="C2418">
        <v>2108</v>
      </c>
      <c r="D2418">
        <v>10</v>
      </c>
      <c r="E2418" t="s">
        <v>175</v>
      </c>
    </row>
    <row r="2419" spans="1:5">
      <c r="A2419">
        <v>10360</v>
      </c>
      <c r="B2419" s="80">
        <v>35391</v>
      </c>
      <c r="C2419">
        <v>3465</v>
      </c>
      <c r="D2419">
        <v>35</v>
      </c>
      <c r="E2419" t="s">
        <v>176</v>
      </c>
    </row>
    <row r="2420" spans="1:5">
      <c r="A2420">
        <v>10360</v>
      </c>
      <c r="B2420" s="80">
        <v>35391</v>
      </c>
      <c r="C2420">
        <v>1092</v>
      </c>
      <c r="D2420">
        <v>30</v>
      </c>
      <c r="E2420" t="s">
        <v>176</v>
      </c>
    </row>
    <row r="2421" spans="1:5">
      <c r="A2421">
        <v>10360</v>
      </c>
      <c r="B2421" s="80">
        <v>35391</v>
      </c>
      <c r="C2421">
        <v>165.2</v>
      </c>
      <c r="D2421">
        <v>28</v>
      </c>
      <c r="E2421" t="s">
        <v>176</v>
      </c>
    </row>
    <row r="2422" spans="1:5">
      <c r="A2422">
        <v>10360</v>
      </c>
      <c r="B2422" s="80">
        <v>35391</v>
      </c>
      <c r="C2422">
        <v>165.2</v>
      </c>
      <c r="D2422">
        <v>28</v>
      </c>
      <c r="E2422" t="s">
        <v>175</v>
      </c>
    </row>
    <row r="2423" spans="1:5">
      <c r="A2423">
        <v>10360</v>
      </c>
      <c r="B2423" s="80">
        <v>35391</v>
      </c>
      <c r="C2423">
        <v>2108</v>
      </c>
      <c r="D2423">
        <v>10</v>
      </c>
      <c r="E2423" t="s">
        <v>174</v>
      </c>
    </row>
    <row r="2424" spans="1:5">
      <c r="A2424">
        <v>10360</v>
      </c>
      <c r="B2424" s="80">
        <v>35391</v>
      </c>
      <c r="C2424">
        <v>2108</v>
      </c>
      <c r="D2424">
        <v>10</v>
      </c>
      <c r="E2424" t="s">
        <v>176</v>
      </c>
    </row>
    <row r="2425" spans="1:5">
      <c r="A2425">
        <v>10360</v>
      </c>
      <c r="B2425" s="80">
        <v>35391</v>
      </c>
      <c r="C2425">
        <v>560</v>
      </c>
      <c r="D2425">
        <v>35</v>
      </c>
      <c r="E2425" t="s">
        <v>176</v>
      </c>
    </row>
    <row r="2426" spans="1:5">
      <c r="A2426">
        <v>10361</v>
      </c>
      <c r="B2426" s="80">
        <v>35391</v>
      </c>
      <c r="C2426">
        <v>699.83999884128571</v>
      </c>
      <c r="D2426">
        <v>54</v>
      </c>
      <c r="E2426" t="s">
        <v>175</v>
      </c>
    </row>
    <row r="2427" spans="1:5">
      <c r="A2427">
        <v>10361</v>
      </c>
      <c r="B2427" s="80">
        <v>35391</v>
      </c>
      <c r="C2427">
        <v>1346.3999977707863</v>
      </c>
      <c r="D2427">
        <v>55</v>
      </c>
      <c r="E2427" t="s">
        <v>179</v>
      </c>
    </row>
    <row r="2428" spans="1:5">
      <c r="A2428">
        <v>10361</v>
      </c>
      <c r="B2428" s="80">
        <v>35391</v>
      </c>
      <c r="C2428">
        <v>699.83999884128571</v>
      </c>
      <c r="D2428">
        <v>54</v>
      </c>
      <c r="E2428" t="s">
        <v>177</v>
      </c>
    </row>
    <row r="2429" spans="1:5">
      <c r="A2429">
        <v>10361</v>
      </c>
      <c r="B2429" s="80">
        <v>35391</v>
      </c>
      <c r="C2429">
        <v>1346.3999977707863</v>
      </c>
      <c r="D2429">
        <v>55</v>
      </c>
      <c r="E2429" t="s">
        <v>177</v>
      </c>
    </row>
    <row r="2430" spans="1:5">
      <c r="A2430">
        <v>10361</v>
      </c>
      <c r="B2430" s="80">
        <v>35391</v>
      </c>
      <c r="C2430">
        <v>699.83999884128571</v>
      </c>
      <c r="D2430">
        <v>54</v>
      </c>
      <c r="E2430" t="s">
        <v>179</v>
      </c>
    </row>
    <row r="2431" spans="1:5">
      <c r="A2431">
        <v>10361</v>
      </c>
      <c r="B2431" s="80">
        <v>35391</v>
      </c>
      <c r="C2431">
        <v>699.83999884128571</v>
      </c>
      <c r="D2431">
        <v>54</v>
      </c>
      <c r="E2431" t="s">
        <v>174</v>
      </c>
    </row>
    <row r="2432" spans="1:5">
      <c r="A2432">
        <v>10361</v>
      </c>
      <c r="B2432" s="80">
        <v>35391</v>
      </c>
      <c r="C2432">
        <v>1346.3999977707863</v>
      </c>
      <c r="D2432">
        <v>55</v>
      </c>
      <c r="E2432" t="s">
        <v>173</v>
      </c>
    </row>
    <row r="2433" spans="1:5">
      <c r="A2433">
        <v>10361</v>
      </c>
      <c r="B2433" s="80">
        <v>35391</v>
      </c>
      <c r="C2433">
        <v>1346.3999977707863</v>
      </c>
      <c r="D2433">
        <v>55</v>
      </c>
      <c r="E2433" t="s">
        <v>172</v>
      </c>
    </row>
    <row r="2434" spans="1:5">
      <c r="A2434">
        <v>10361</v>
      </c>
      <c r="B2434" s="80">
        <v>35391</v>
      </c>
      <c r="C2434">
        <v>699.83999884128571</v>
      </c>
      <c r="D2434">
        <v>54</v>
      </c>
      <c r="E2434" t="s">
        <v>173</v>
      </c>
    </row>
    <row r="2435" spans="1:5">
      <c r="A2435">
        <v>10361</v>
      </c>
      <c r="B2435" s="80">
        <v>35391</v>
      </c>
      <c r="C2435">
        <v>1346.3999977707863</v>
      </c>
      <c r="D2435">
        <v>55</v>
      </c>
      <c r="E2435" t="s">
        <v>174</v>
      </c>
    </row>
    <row r="2436" spans="1:5">
      <c r="A2436">
        <v>10361</v>
      </c>
      <c r="B2436" s="80">
        <v>35391</v>
      </c>
      <c r="C2436">
        <v>1346.3999977707863</v>
      </c>
      <c r="D2436">
        <v>55</v>
      </c>
      <c r="E2436" t="s">
        <v>176</v>
      </c>
    </row>
    <row r="2437" spans="1:5">
      <c r="A2437">
        <v>10361</v>
      </c>
      <c r="B2437" s="80">
        <v>35391</v>
      </c>
      <c r="C2437">
        <v>699.83999884128571</v>
      </c>
      <c r="D2437">
        <v>54</v>
      </c>
      <c r="E2437" t="s">
        <v>176</v>
      </c>
    </row>
    <row r="2438" spans="1:5">
      <c r="A2438">
        <v>10361</v>
      </c>
      <c r="B2438" s="80">
        <v>35391</v>
      </c>
      <c r="C2438">
        <v>1346.3999977707863</v>
      </c>
      <c r="D2438">
        <v>55</v>
      </c>
      <c r="E2438" t="s">
        <v>178</v>
      </c>
    </row>
    <row r="2439" spans="1:5">
      <c r="A2439">
        <v>10361</v>
      </c>
      <c r="B2439" s="80">
        <v>35391</v>
      </c>
      <c r="C2439">
        <v>699.83999884128571</v>
      </c>
      <c r="D2439">
        <v>54</v>
      </c>
      <c r="E2439" t="s">
        <v>178</v>
      </c>
    </row>
    <row r="2440" spans="1:5">
      <c r="A2440">
        <v>10361</v>
      </c>
      <c r="B2440" s="80">
        <v>35391</v>
      </c>
      <c r="C2440">
        <v>1346.3999977707863</v>
      </c>
      <c r="D2440">
        <v>55</v>
      </c>
      <c r="E2440" t="s">
        <v>175</v>
      </c>
    </row>
    <row r="2441" spans="1:5">
      <c r="A2441">
        <v>10361</v>
      </c>
      <c r="B2441" s="80">
        <v>35391</v>
      </c>
      <c r="C2441">
        <v>699.83999884128571</v>
      </c>
      <c r="D2441">
        <v>54</v>
      </c>
      <c r="E2441" t="s">
        <v>172</v>
      </c>
    </row>
    <row r="2442" spans="1:5">
      <c r="A2442">
        <v>10362</v>
      </c>
      <c r="B2442" s="80">
        <v>35394</v>
      </c>
      <c r="C2442">
        <v>848</v>
      </c>
      <c r="D2442">
        <v>20</v>
      </c>
      <c r="E2442" t="s">
        <v>174</v>
      </c>
    </row>
    <row r="2443" spans="1:5">
      <c r="A2443">
        <v>10362</v>
      </c>
      <c r="B2443" s="80">
        <v>35394</v>
      </c>
      <c r="C2443">
        <v>141.6</v>
      </c>
      <c r="D2443">
        <v>24</v>
      </c>
      <c r="E2443" t="s">
        <v>173</v>
      </c>
    </row>
    <row r="2444" spans="1:5">
      <c r="A2444">
        <v>10362</v>
      </c>
      <c r="B2444" s="80">
        <v>35394</v>
      </c>
      <c r="C2444">
        <v>848</v>
      </c>
      <c r="D2444">
        <v>20</v>
      </c>
      <c r="E2444" t="s">
        <v>173</v>
      </c>
    </row>
    <row r="2445" spans="1:5">
      <c r="A2445">
        <v>10362</v>
      </c>
      <c r="B2445" s="80">
        <v>35394</v>
      </c>
      <c r="C2445">
        <v>560</v>
      </c>
      <c r="D2445">
        <v>50</v>
      </c>
      <c r="E2445" t="s">
        <v>173</v>
      </c>
    </row>
    <row r="2446" spans="1:5">
      <c r="A2446">
        <v>10362</v>
      </c>
      <c r="B2446" s="80">
        <v>35394</v>
      </c>
      <c r="C2446">
        <v>848</v>
      </c>
      <c r="D2446">
        <v>20</v>
      </c>
      <c r="E2446" t="s">
        <v>177</v>
      </c>
    </row>
    <row r="2447" spans="1:5">
      <c r="A2447">
        <v>10362</v>
      </c>
      <c r="B2447" s="80">
        <v>35394</v>
      </c>
      <c r="C2447">
        <v>141.6</v>
      </c>
      <c r="D2447">
        <v>24</v>
      </c>
      <c r="E2447" t="s">
        <v>176</v>
      </c>
    </row>
    <row r="2448" spans="1:5">
      <c r="A2448">
        <v>10362</v>
      </c>
      <c r="B2448" s="80">
        <v>35394</v>
      </c>
      <c r="C2448">
        <v>848</v>
      </c>
      <c r="D2448">
        <v>20</v>
      </c>
      <c r="E2448" t="s">
        <v>176</v>
      </c>
    </row>
    <row r="2449" spans="1:5">
      <c r="A2449">
        <v>10362</v>
      </c>
      <c r="B2449" s="80">
        <v>35394</v>
      </c>
      <c r="C2449">
        <v>141.6</v>
      </c>
      <c r="D2449">
        <v>24</v>
      </c>
      <c r="E2449" t="s">
        <v>174</v>
      </c>
    </row>
    <row r="2450" spans="1:5">
      <c r="A2450">
        <v>10362</v>
      </c>
      <c r="B2450" s="80">
        <v>35394</v>
      </c>
      <c r="C2450">
        <v>848</v>
      </c>
      <c r="D2450">
        <v>20</v>
      </c>
      <c r="E2450" t="s">
        <v>179</v>
      </c>
    </row>
    <row r="2451" spans="1:5">
      <c r="A2451">
        <v>10362</v>
      </c>
      <c r="B2451" s="80">
        <v>35394</v>
      </c>
      <c r="C2451">
        <v>560</v>
      </c>
      <c r="D2451">
        <v>50</v>
      </c>
      <c r="E2451" t="s">
        <v>174</v>
      </c>
    </row>
    <row r="2452" spans="1:5">
      <c r="A2452">
        <v>10362</v>
      </c>
      <c r="B2452" s="80">
        <v>35394</v>
      </c>
      <c r="C2452">
        <v>560</v>
      </c>
      <c r="D2452">
        <v>50</v>
      </c>
      <c r="E2452" t="s">
        <v>176</v>
      </c>
    </row>
    <row r="2453" spans="1:5">
      <c r="A2453">
        <v>10362</v>
      </c>
      <c r="B2453" s="80">
        <v>35394</v>
      </c>
      <c r="C2453">
        <v>560</v>
      </c>
      <c r="D2453">
        <v>50</v>
      </c>
      <c r="E2453" t="s">
        <v>175</v>
      </c>
    </row>
    <row r="2454" spans="1:5">
      <c r="A2454">
        <v>10362</v>
      </c>
      <c r="B2454" s="80">
        <v>35394</v>
      </c>
      <c r="C2454">
        <v>560</v>
      </c>
      <c r="D2454">
        <v>50</v>
      </c>
      <c r="E2454" t="s">
        <v>177</v>
      </c>
    </row>
    <row r="2455" spans="1:5">
      <c r="A2455">
        <v>10362</v>
      </c>
      <c r="B2455" s="80">
        <v>35394</v>
      </c>
      <c r="C2455">
        <v>141.6</v>
      </c>
      <c r="D2455">
        <v>24</v>
      </c>
      <c r="E2455" t="s">
        <v>175</v>
      </c>
    </row>
    <row r="2456" spans="1:5">
      <c r="A2456">
        <v>10362</v>
      </c>
      <c r="B2456" s="80">
        <v>35394</v>
      </c>
      <c r="C2456">
        <v>848</v>
      </c>
      <c r="D2456">
        <v>20</v>
      </c>
      <c r="E2456" t="s">
        <v>175</v>
      </c>
    </row>
    <row r="2457" spans="1:5">
      <c r="A2457">
        <v>10362</v>
      </c>
      <c r="B2457" s="80">
        <v>35394</v>
      </c>
      <c r="C2457">
        <v>141.6</v>
      </c>
      <c r="D2457">
        <v>24</v>
      </c>
      <c r="E2457" t="s">
        <v>178</v>
      </c>
    </row>
    <row r="2458" spans="1:5">
      <c r="A2458">
        <v>10362</v>
      </c>
      <c r="B2458" s="80">
        <v>35394</v>
      </c>
      <c r="C2458">
        <v>848</v>
      </c>
      <c r="D2458">
        <v>20</v>
      </c>
      <c r="E2458" t="s">
        <v>178</v>
      </c>
    </row>
    <row r="2459" spans="1:5">
      <c r="A2459">
        <v>10362</v>
      </c>
      <c r="B2459" s="80">
        <v>35394</v>
      </c>
      <c r="C2459">
        <v>560</v>
      </c>
      <c r="D2459">
        <v>50</v>
      </c>
      <c r="E2459" t="s">
        <v>178</v>
      </c>
    </row>
    <row r="2460" spans="1:5">
      <c r="A2460">
        <v>10362</v>
      </c>
      <c r="B2460" s="80">
        <v>35394</v>
      </c>
      <c r="C2460">
        <v>560</v>
      </c>
      <c r="D2460">
        <v>50</v>
      </c>
      <c r="E2460" t="s">
        <v>172</v>
      </c>
    </row>
    <row r="2461" spans="1:5">
      <c r="A2461">
        <v>10362</v>
      </c>
      <c r="B2461" s="80">
        <v>35394</v>
      </c>
      <c r="C2461">
        <v>141.6</v>
      </c>
      <c r="D2461">
        <v>24</v>
      </c>
      <c r="E2461" t="s">
        <v>177</v>
      </c>
    </row>
    <row r="2462" spans="1:5">
      <c r="A2462">
        <v>10362</v>
      </c>
      <c r="B2462" s="80">
        <v>35394</v>
      </c>
      <c r="C2462">
        <v>141.6</v>
      </c>
      <c r="D2462">
        <v>24</v>
      </c>
      <c r="E2462" t="s">
        <v>172</v>
      </c>
    </row>
    <row r="2463" spans="1:5">
      <c r="A2463">
        <v>10362</v>
      </c>
      <c r="B2463" s="80">
        <v>35394</v>
      </c>
      <c r="C2463">
        <v>141.6</v>
      </c>
      <c r="D2463">
        <v>24</v>
      </c>
      <c r="E2463" t="s">
        <v>179</v>
      </c>
    </row>
    <row r="2464" spans="1:5">
      <c r="A2464">
        <v>10362</v>
      </c>
      <c r="B2464" s="80">
        <v>35394</v>
      </c>
      <c r="C2464">
        <v>560</v>
      </c>
      <c r="D2464">
        <v>50</v>
      </c>
      <c r="E2464" t="s">
        <v>179</v>
      </c>
    </row>
    <row r="2465" spans="1:5">
      <c r="A2465">
        <v>10362</v>
      </c>
      <c r="B2465" s="80">
        <v>35394</v>
      </c>
      <c r="C2465">
        <v>848</v>
      </c>
      <c r="D2465">
        <v>20</v>
      </c>
      <c r="E2465" t="s">
        <v>172</v>
      </c>
    </row>
    <row r="2466" spans="1:5">
      <c r="A2466">
        <v>10363</v>
      </c>
      <c r="B2466" s="80">
        <v>35395</v>
      </c>
      <c r="C2466">
        <v>74.400000000000006</v>
      </c>
      <c r="D2466">
        <v>12</v>
      </c>
      <c r="E2466" t="s">
        <v>175</v>
      </c>
    </row>
    <row r="2467" spans="1:5">
      <c r="A2467">
        <v>10363</v>
      </c>
      <c r="B2467" s="80">
        <v>35395</v>
      </c>
      <c r="C2467">
        <v>172.8</v>
      </c>
      <c r="D2467">
        <v>12</v>
      </c>
      <c r="E2467" t="s">
        <v>173</v>
      </c>
    </row>
    <row r="2468" spans="1:5">
      <c r="A2468">
        <v>10363</v>
      </c>
      <c r="B2468" s="80">
        <v>35395</v>
      </c>
      <c r="C2468">
        <v>200</v>
      </c>
      <c r="D2468">
        <v>20</v>
      </c>
      <c r="E2468" t="s">
        <v>174</v>
      </c>
    </row>
    <row r="2469" spans="1:5">
      <c r="A2469">
        <v>10363</v>
      </c>
      <c r="B2469" s="80">
        <v>35395</v>
      </c>
      <c r="C2469">
        <v>74.400000000000006</v>
      </c>
      <c r="D2469">
        <v>12</v>
      </c>
      <c r="E2469" t="s">
        <v>174</v>
      </c>
    </row>
    <row r="2470" spans="1:5">
      <c r="A2470">
        <v>10363</v>
      </c>
      <c r="B2470" s="80">
        <v>35395</v>
      </c>
      <c r="C2470">
        <v>172.8</v>
      </c>
      <c r="D2470">
        <v>12</v>
      </c>
      <c r="E2470" t="s">
        <v>174</v>
      </c>
    </row>
    <row r="2471" spans="1:5">
      <c r="A2471">
        <v>10363</v>
      </c>
      <c r="B2471" s="80">
        <v>35395</v>
      </c>
      <c r="C2471">
        <v>74.400000000000006</v>
      </c>
      <c r="D2471">
        <v>12</v>
      </c>
      <c r="E2471" t="s">
        <v>173</v>
      </c>
    </row>
    <row r="2472" spans="1:5">
      <c r="A2472">
        <v>10363</v>
      </c>
      <c r="B2472" s="80">
        <v>35395</v>
      </c>
      <c r="C2472">
        <v>200</v>
      </c>
      <c r="D2472">
        <v>20</v>
      </c>
      <c r="E2472" t="s">
        <v>179</v>
      </c>
    </row>
    <row r="2473" spans="1:5">
      <c r="A2473">
        <v>10363</v>
      </c>
      <c r="B2473" s="80">
        <v>35395</v>
      </c>
      <c r="C2473">
        <v>74.400000000000006</v>
      </c>
      <c r="D2473">
        <v>12</v>
      </c>
      <c r="E2473" t="s">
        <v>176</v>
      </c>
    </row>
    <row r="2474" spans="1:5">
      <c r="A2474">
        <v>10363</v>
      </c>
      <c r="B2474" s="80">
        <v>35395</v>
      </c>
      <c r="C2474">
        <v>74.400000000000006</v>
      </c>
      <c r="D2474">
        <v>12</v>
      </c>
      <c r="E2474" t="s">
        <v>179</v>
      </c>
    </row>
    <row r="2475" spans="1:5">
      <c r="A2475">
        <v>10363</v>
      </c>
      <c r="B2475" s="80">
        <v>35395</v>
      </c>
      <c r="C2475">
        <v>172.8</v>
      </c>
      <c r="D2475">
        <v>12</v>
      </c>
      <c r="E2475" t="s">
        <v>179</v>
      </c>
    </row>
    <row r="2476" spans="1:5">
      <c r="A2476">
        <v>10363</v>
      </c>
      <c r="B2476" s="80">
        <v>35395</v>
      </c>
      <c r="C2476">
        <v>172.8</v>
      </c>
      <c r="D2476">
        <v>12</v>
      </c>
      <c r="E2476" t="s">
        <v>176</v>
      </c>
    </row>
    <row r="2477" spans="1:5">
      <c r="A2477">
        <v>10363</v>
      </c>
      <c r="B2477" s="80">
        <v>35395</v>
      </c>
      <c r="C2477">
        <v>172.8</v>
      </c>
      <c r="D2477">
        <v>12</v>
      </c>
      <c r="E2477" t="s">
        <v>175</v>
      </c>
    </row>
    <row r="2478" spans="1:5">
      <c r="A2478">
        <v>10363</v>
      </c>
      <c r="B2478" s="80">
        <v>35395</v>
      </c>
      <c r="C2478">
        <v>200</v>
      </c>
      <c r="D2478">
        <v>20</v>
      </c>
      <c r="E2478" t="s">
        <v>176</v>
      </c>
    </row>
    <row r="2479" spans="1:5">
      <c r="A2479">
        <v>10363</v>
      </c>
      <c r="B2479" s="80">
        <v>35395</v>
      </c>
      <c r="C2479">
        <v>200</v>
      </c>
      <c r="D2479">
        <v>20</v>
      </c>
      <c r="E2479" t="s">
        <v>173</v>
      </c>
    </row>
    <row r="2480" spans="1:5">
      <c r="A2480">
        <v>10363</v>
      </c>
      <c r="B2480" s="80">
        <v>35395</v>
      </c>
      <c r="C2480">
        <v>74.400000000000006</v>
      </c>
      <c r="D2480">
        <v>12</v>
      </c>
      <c r="E2480" t="s">
        <v>178</v>
      </c>
    </row>
    <row r="2481" spans="1:5">
      <c r="A2481">
        <v>10363</v>
      </c>
      <c r="B2481" s="80">
        <v>35395</v>
      </c>
      <c r="C2481">
        <v>200</v>
      </c>
      <c r="D2481">
        <v>20</v>
      </c>
      <c r="E2481" t="s">
        <v>175</v>
      </c>
    </row>
    <row r="2482" spans="1:5">
      <c r="A2482">
        <v>10363</v>
      </c>
      <c r="B2482" s="80">
        <v>35395</v>
      </c>
      <c r="C2482">
        <v>172.8</v>
      </c>
      <c r="D2482">
        <v>12</v>
      </c>
      <c r="E2482" t="s">
        <v>172</v>
      </c>
    </row>
    <row r="2483" spans="1:5">
      <c r="A2483">
        <v>10363</v>
      </c>
      <c r="B2483" s="80">
        <v>35395</v>
      </c>
      <c r="C2483">
        <v>74.400000000000006</v>
      </c>
      <c r="D2483">
        <v>12</v>
      </c>
      <c r="E2483" t="s">
        <v>172</v>
      </c>
    </row>
    <row r="2484" spans="1:5">
      <c r="A2484">
        <v>10363</v>
      </c>
      <c r="B2484" s="80">
        <v>35395</v>
      </c>
      <c r="C2484">
        <v>200</v>
      </c>
      <c r="D2484">
        <v>20</v>
      </c>
      <c r="E2484" t="s">
        <v>178</v>
      </c>
    </row>
    <row r="2485" spans="1:5">
      <c r="A2485">
        <v>10363</v>
      </c>
      <c r="B2485" s="80">
        <v>35395</v>
      </c>
      <c r="C2485">
        <v>172.8</v>
      </c>
      <c r="D2485">
        <v>12</v>
      </c>
      <c r="E2485" t="s">
        <v>177</v>
      </c>
    </row>
    <row r="2486" spans="1:5">
      <c r="A2486">
        <v>10363</v>
      </c>
      <c r="B2486" s="80">
        <v>35395</v>
      </c>
      <c r="C2486">
        <v>172.8</v>
      </c>
      <c r="D2486">
        <v>12</v>
      </c>
      <c r="E2486" t="s">
        <v>178</v>
      </c>
    </row>
    <row r="2487" spans="1:5">
      <c r="A2487">
        <v>10363</v>
      </c>
      <c r="B2487" s="80">
        <v>35395</v>
      </c>
      <c r="C2487">
        <v>74.400000000000006</v>
      </c>
      <c r="D2487">
        <v>12</v>
      </c>
      <c r="E2487" t="s">
        <v>177</v>
      </c>
    </row>
    <row r="2488" spans="1:5">
      <c r="A2488">
        <v>10363</v>
      </c>
      <c r="B2488" s="80">
        <v>35395</v>
      </c>
      <c r="C2488">
        <v>200</v>
      </c>
      <c r="D2488">
        <v>20</v>
      </c>
      <c r="E2488" t="s">
        <v>177</v>
      </c>
    </row>
    <row r="2489" spans="1:5">
      <c r="A2489">
        <v>10363</v>
      </c>
      <c r="B2489" s="80">
        <v>35395</v>
      </c>
      <c r="C2489">
        <v>200</v>
      </c>
      <c r="D2489">
        <v>20</v>
      </c>
      <c r="E2489" t="s">
        <v>172</v>
      </c>
    </row>
    <row r="2490" spans="1:5">
      <c r="A2490">
        <v>10364</v>
      </c>
      <c r="B2490" s="80">
        <v>35395</v>
      </c>
      <c r="C2490">
        <v>864</v>
      </c>
      <c r="D2490">
        <v>30</v>
      </c>
      <c r="E2490" t="s">
        <v>177</v>
      </c>
    </row>
    <row r="2491" spans="1:5">
      <c r="A2491">
        <v>10364</v>
      </c>
      <c r="B2491" s="80">
        <v>35395</v>
      </c>
      <c r="C2491">
        <v>864</v>
      </c>
      <c r="D2491">
        <v>30</v>
      </c>
      <c r="E2491" t="s">
        <v>176</v>
      </c>
    </row>
    <row r="2492" spans="1:5">
      <c r="A2492">
        <v>10364</v>
      </c>
      <c r="B2492" s="80">
        <v>35395</v>
      </c>
      <c r="C2492">
        <v>86</v>
      </c>
      <c r="D2492">
        <v>5</v>
      </c>
      <c r="E2492" t="s">
        <v>179</v>
      </c>
    </row>
    <row r="2493" spans="1:5">
      <c r="A2493">
        <v>10364</v>
      </c>
      <c r="B2493" s="80">
        <v>35395</v>
      </c>
      <c r="C2493">
        <v>864</v>
      </c>
      <c r="D2493">
        <v>30</v>
      </c>
      <c r="E2493" t="s">
        <v>173</v>
      </c>
    </row>
    <row r="2494" spans="1:5">
      <c r="A2494">
        <v>10364</v>
      </c>
      <c r="B2494" s="80">
        <v>35395</v>
      </c>
      <c r="C2494">
        <v>86</v>
      </c>
      <c r="D2494">
        <v>5</v>
      </c>
      <c r="E2494" t="s">
        <v>177</v>
      </c>
    </row>
    <row r="2495" spans="1:5">
      <c r="A2495">
        <v>10364</v>
      </c>
      <c r="B2495" s="80">
        <v>35395</v>
      </c>
      <c r="C2495">
        <v>86</v>
      </c>
      <c r="D2495">
        <v>5</v>
      </c>
      <c r="E2495" t="s">
        <v>172</v>
      </c>
    </row>
    <row r="2496" spans="1:5">
      <c r="A2496">
        <v>10364</v>
      </c>
      <c r="B2496" s="80">
        <v>35395</v>
      </c>
      <c r="C2496">
        <v>864</v>
      </c>
      <c r="D2496">
        <v>30</v>
      </c>
      <c r="E2496" t="s">
        <v>179</v>
      </c>
    </row>
    <row r="2497" spans="1:5">
      <c r="A2497">
        <v>10364</v>
      </c>
      <c r="B2497" s="80">
        <v>35395</v>
      </c>
      <c r="C2497">
        <v>86</v>
      </c>
      <c r="D2497">
        <v>5</v>
      </c>
      <c r="E2497" t="s">
        <v>173</v>
      </c>
    </row>
    <row r="2498" spans="1:5">
      <c r="A2498">
        <v>10364</v>
      </c>
      <c r="B2498" s="80">
        <v>35395</v>
      </c>
      <c r="C2498">
        <v>86</v>
      </c>
      <c r="D2498">
        <v>5</v>
      </c>
      <c r="E2498" t="s">
        <v>176</v>
      </c>
    </row>
    <row r="2499" spans="1:5">
      <c r="A2499">
        <v>10364</v>
      </c>
      <c r="B2499" s="80">
        <v>35395</v>
      </c>
      <c r="C2499">
        <v>864</v>
      </c>
      <c r="D2499">
        <v>30</v>
      </c>
      <c r="E2499" t="s">
        <v>175</v>
      </c>
    </row>
    <row r="2500" spans="1:5">
      <c r="A2500">
        <v>10364</v>
      </c>
      <c r="B2500" s="80">
        <v>35395</v>
      </c>
      <c r="C2500">
        <v>864</v>
      </c>
      <c r="D2500">
        <v>30</v>
      </c>
      <c r="E2500" t="s">
        <v>172</v>
      </c>
    </row>
    <row r="2501" spans="1:5">
      <c r="A2501">
        <v>10364</v>
      </c>
      <c r="B2501" s="80">
        <v>35395</v>
      </c>
      <c r="C2501">
        <v>86</v>
      </c>
      <c r="D2501">
        <v>5</v>
      </c>
      <c r="E2501" t="s">
        <v>174</v>
      </c>
    </row>
    <row r="2502" spans="1:5">
      <c r="A2502">
        <v>10364</v>
      </c>
      <c r="B2502" s="80">
        <v>35395</v>
      </c>
      <c r="C2502">
        <v>864</v>
      </c>
      <c r="D2502">
        <v>30</v>
      </c>
      <c r="E2502" t="s">
        <v>174</v>
      </c>
    </row>
    <row r="2503" spans="1:5">
      <c r="A2503">
        <v>10364</v>
      </c>
      <c r="B2503" s="80">
        <v>35395</v>
      </c>
      <c r="C2503">
        <v>864</v>
      </c>
      <c r="D2503">
        <v>30</v>
      </c>
      <c r="E2503" t="s">
        <v>178</v>
      </c>
    </row>
    <row r="2504" spans="1:5">
      <c r="A2504">
        <v>10364</v>
      </c>
      <c r="B2504" s="80">
        <v>35395</v>
      </c>
      <c r="C2504">
        <v>86</v>
      </c>
      <c r="D2504">
        <v>5</v>
      </c>
      <c r="E2504" t="s">
        <v>178</v>
      </c>
    </row>
    <row r="2505" spans="1:5">
      <c r="A2505">
        <v>10364</v>
      </c>
      <c r="B2505" s="80">
        <v>35395</v>
      </c>
      <c r="C2505">
        <v>86</v>
      </c>
      <c r="D2505">
        <v>5</v>
      </c>
      <c r="E2505" t="s">
        <v>175</v>
      </c>
    </row>
    <row r="2506" spans="1:5">
      <c r="A2506">
        <v>10365</v>
      </c>
      <c r="B2506" s="80">
        <v>35396</v>
      </c>
      <c r="C2506">
        <v>403.2</v>
      </c>
      <c r="D2506">
        <v>24</v>
      </c>
      <c r="E2506" t="s">
        <v>179</v>
      </c>
    </row>
    <row r="2507" spans="1:5">
      <c r="A2507">
        <v>10365</v>
      </c>
      <c r="B2507" s="80">
        <v>35396</v>
      </c>
      <c r="C2507">
        <v>403.2</v>
      </c>
      <c r="D2507">
        <v>24</v>
      </c>
      <c r="E2507" t="s">
        <v>173</v>
      </c>
    </row>
    <row r="2508" spans="1:5">
      <c r="A2508">
        <v>10365</v>
      </c>
      <c r="B2508" s="80">
        <v>35396</v>
      </c>
      <c r="C2508">
        <v>403.2</v>
      </c>
      <c r="D2508">
        <v>24</v>
      </c>
      <c r="E2508" t="s">
        <v>175</v>
      </c>
    </row>
    <row r="2509" spans="1:5">
      <c r="A2509">
        <v>10365</v>
      </c>
      <c r="B2509" s="80">
        <v>35396</v>
      </c>
      <c r="C2509">
        <v>403.2</v>
      </c>
      <c r="D2509">
        <v>24</v>
      </c>
      <c r="E2509" t="s">
        <v>176</v>
      </c>
    </row>
    <row r="2510" spans="1:5">
      <c r="A2510">
        <v>10365</v>
      </c>
      <c r="B2510" s="80">
        <v>35396</v>
      </c>
      <c r="C2510">
        <v>403.2</v>
      </c>
      <c r="D2510">
        <v>24</v>
      </c>
      <c r="E2510" t="s">
        <v>178</v>
      </c>
    </row>
    <row r="2511" spans="1:5">
      <c r="A2511">
        <v>10365</v>
      </c>
      <c r="B2511" s="80">
        <v>35396</v>
      </c>
      <c r="C2511">
        <v>403.2</v>
      </c>
      <c r="D2511">
        <v>24</v>
      </c>
      <c r="E2511" t="s">
        <v>174</v>
      </c>
    </row>
    <row r="2512" spans="1:5">
      <c r="A2512">
        <v>10365</v>
      </c>
      <c r="B2512" s="80">
        <v>35396</v>
      </c>
      <c r="C2512">
        <v>403.2</v>
      </c>
      <c r="D2512">
        <v>24</v>
      </c>
      <c r="E2512" t="s">
        <v>177</v>
      </c>
    </row>
    <row r="2513" spans="1:5">
      <c r="A2513">
        <v>10365</v>
      </c>
      <c r="B2513" s="80">
        <v>35396</v>
      </c>
      <c r="C2513">
        <v>403.2</v>
      </c>
      <c r="D2513">
        <v>24</v>
      </c>
      <c r="E2513" t="s">
        <v>172</v>
      </c>
    </row>
    <row r="2514" spans="1:5">
      <c r="A2514">
        <v>10366</v>
      </c>
      <c r="B2514" s="80">
        <v>35397</v>
      </c>
      <c r="C2514">
        <v>52</v>
      </c>
      <c r="D2514">
        <v>5</v>
      </c>
      <c r="E2514" t="s">
        <v>173</v>
      </c>
    </row>
    <row r="2515" spans="1:5">
      <c r="A2515">
        <v>10366</v>
      </c>
      <c r="B2515" s="80">
        <v>35397</v>
      </c>
      <c r="C2515">
        <v>52</v>
      </c>
      <c r="D2515">
        <v>5</v>
      </c>
      <c r="E2515" t="s">
        <v>176</v>
      </c>
    </row>
    <row r="2516" spans="1:5">
      <c r="A2516">
        <v>10366</v>
      </c>
      <c r="B2516" s="80">
        <v>35397</v>
      </c>
      <c r="C2516">
        <v>84</v>
      </c>
      <c r="D2516">
        <v>5</v>
      </c>
      <c r="E2516" t="s">
        <v>179</v>
      </c>
    </row>
    <row r="2517" spans="1:5">
      <c r="A2517">
        <v>10366</v>
      </c>
      <c r="B2517" s="80">
        <v>35397</v>
      </c>
      <c r="C2517">
        <v>52</v>
      </c>
      <c r="D2517">
        <v>5</v>
      </c>
      <c r="E2517" t="s">
        <v>177</v>
      </c>
    </row>
    <row r="2518" spans="1:5">
      <c r="A2518">
        <v>10366</v>
      </c>
      <c r="B2518" s="80">
        <v>35397</v>
      </c>
      <c r="C2518">
        <v>84</v>
      </c>
      <c r="D2518">
        <v>5</v>
      </c>
      <c r="E2518" t="s">
        <v>177</v>
      </c>
    </row>
    <row r="2519" spans="1:5">
      <c r="A2519">
        <v>10366</v>
      </c>
      <c r="B2519" s="80">
        <v>35397</v>
      </c>
      <c r="C2519">
        <v>84</v>
      </c>
      <c r="D2519">
        <v>5</v>
      </c>
      <c r="E2519" t="s">
        <v>178</v>
      </c>
    </row>
    <row r="2520" spans="1:5">
      <c r="A2520">
        <v>10366</v>
      </c>
      <c r="B2520" s="80">
        <v>35397</v>
      </c>
      <c r="C2520">
        <v>52</v>
      </c>
      <c r="D2520">
        <v>5</v>
      </c>
      <c r="E2520" t="s">
        <v>178</v>
      </c>
    </row>
    <row r="2521" spans="1:5">
      <c r="A2521">
        <v>10366</v>
      </c>
      <c r="B2521" s="80">
        <v>35397</v>
      </c>
      <c r="C2521">
        <v>84</v>
      </c>
      <c r="D2521">
        <v>5</v>
      </c>
      <c r="E2521" t="s">
        <v>176</v>
      </c>
    </row>
    <row r="2522" spans="1:5">
      <c r="A2522">
        <v>10366</v>
      </c>
      <c r="B2522" s="80">
        <v>35397</v>
      </c>
      <c r="C2522">
        <v>84</v>
      </c>
      <c r="D2522">
        <v>5</v>
      </c>
      <c r="E2522" t="s">
        <v>173</v>
      </c>
    </row>
    <row r="2523" spans="1:5">
      <c r="A2523">
        <v>10366</v>
      </c>
      <c r="B2523" s="80">
        <v>35397</v>
      </c>
      <c r="C2523">
        <v>84</v>
      </c>
      <c r="D2523">
        <v>5</v>
      </c>
      <c r="E2523" t="s">
        <v>172</v>
      </c>
    </row>
    <row r="2524" spans="1:5">
      <c r="A2524">
        <v>10366</v>
      </c>
      <c r="B2524" s="80">
        <v>35397</v>
      </c>
      <c r="C2524">
        <v>52</v>
      </c>
      <c r="D2524">
        <v>5</v>
      </c>
      <c r="E2524" t="s">
        <v>172</v>
      </c>
    </row>
    <row r="2525" spans="1:5">
      <c r="A2525">
        <v>10366</v>
      </c>
      <c r="B2525" s="80">
        <v>35397</v>
      </c>
      <c r="C2525">
        <v>84</v>
      </c>
      <c r="D2525">
        <v>5</v>
      </c>
      <c r="E2525" t="s">
        <v>174</v>
      </c>
    </row>
    <row r="2526" spans="1:5">
      <c r="A2526">
        <v>10366</v>
      </c>
      <c r="B2526" s="80">
        <v>35397</v>
      </c>
      <c r="C2526">
        <v>52</v>
      </c>
      <c r="D2526">
        <v>5</v>
      </c>
      <c r="E2526" t="s">
        <v>174</v>
      </c>
    </row>
    <row r="2527" spans="1:5">
      <c r="A2527">
        <v>10366</v>
      </c>
      <c r="B2527" s="80">
        <v>35397</v>
      </c>
      <c r="C2527">
        <v>52</v>
      </c>
      <c r="D2527">
        <v>5</v>
      </c>
      <c r="E2527" t="s">
        <v>179</v>
      </c>
    </row>
    <row r="2528" spans="1:5">
      <c r="A2528">
        <v>10366</v>
      </c>
      <c r="B2528" s="80">
        <v>35397</v>
      </c>
      <c r="C2528">
        <v>52</v>
      </c>
      <c r="D2528">
        <v>5</v>
      </c>
      <c r="E2528" t="s">
        <v>175</v>
      </c>
    </row>
    <row r="2529" spans="1:5">
      <c r="A2529">
        <v>10366</v>
      </c>
      <c r="B2529" s="80">
        <v>35397</v>
      </c>
      <c r="C2529">
        <v>84</v>
      </c>
      <c r="D2529">
        <v>5</v>
      </c>
      <c r="E2529" t="s">
        <v>175</v>
      </c>
    </row>
    <row r="2530" spans="1:5">
      <c r="A2530">
        <v>10367</v>
      </c>
      <c r="B2530" s="80">
        <v>35397</v>
      </c>
      <c r="C2530">
        <v>106.2</v>
      </c>
      <c r="D2530">
        <v>18</v>
      </c>
      <c r="E2530" t="s">
        <v>179</v>
      </c>
    </row>
    <row r="2531" spans="1:5">
      <c r="A2531">
        <v>10367</v>
      </c>
      <c r="B2531" s="80">
        <v>35397</v>
      </c>
      <c r="C2531">
        <v>403.2</v>
      </c>
      <c r="D2531">
        <v>36</v>
      </c>
      <c r="E2531" t="s">
        <v>179</v>
      </c>
    </row>
    <row r="2532" spans="1:5">
      <c r="A2532">
        <v>10367</v>
      </c>
      <c r="B2532" s="80">
        <v>35397</v>
      </c>
      <c r="C2532">
        <v>252</v>
      </c>
      <c r="D2532">
        <v>15</v>
      </c>
      <c r="E2532" t="s">
        <v>179</v>
      </c>
    </row>
    <row r="2533" spans="1:5">
      <c r="A2533">
        <v>10367</v>
      </c>
      <c r="B2533" s="80">
        <v>35397</v>
      </c>
      <c r="C2533">
        <v>72.8</v>
      </c>
      <c r="D2533">
        <v>7</v>
      </c>
      <c r="E2533" t="s">
        <v>179</v>
      </c>
    </row>
    <row r="2534" spans="1:5">
      <c r="A2534">
        <v>10367</v>
      </c>
      <c r="B2534" s="80">
        <v>35397</v>
      </c>
      <c r="C2534">
        <v>403.2</v>
      </c>
      <c r="D2534">
        <v>36</v>
      </c>
      <c r="E2534" t="s">
        <v>176</v>
      </c>
    </row>
    <row r="2535" spans="1:5">
      <c r="A2535">
        <v>10367</v>
      </c>
      <c r="B2535" s="80">
        <v>35397</v>
      </c>
      <c r="C2535">
        <v>106.2</v>
      </c>
      <c r="D2535">
        <v>18</v>
      </c>
      <c r="E2535" t="s">
        <v>176</v>
      </c>
    </row>
    <row r="2536" spans="1:5">
      <c r="A2536">
        <v>10367</v>
      </c>
      <c r="B2536" s="80">
        <v>35397</v>
      </c>
      <c r="C2536">
        <v>72.8</v>
      </c>
      <c r="D2536">
        <v>7</v>
      </c>
      <c r="E2536" t="s">
        <v>176</v>
      </c>
    </row>
    <row r="2537" spans="1:5">
      <c r="A2537">
        <v>10367</v>
      </c>
      <c r="B2537" s="80">
        <v>35397</v>
      </c>
      <c r="C2537">
        <v>106.2</v>
      </c>
      <c r="D2537">
        <v>18</v>
      </c>
      <c r="E2537" t="s">
        <v>174</v>
      </c>
    </row>
    <row r="2538" spans="1:5">
      <c r="A2538">
        <v>10367</v>
      </c>
      <c r="B2538" s="80">
        <v>35397</v>
      </c>
      <c r="C2538">
        <v>403.2</v>
      </c>
      <c r="D2538">
        <v>36</v>
      </c>
      <c r="E2538" t="s">
        <v>172</v>
      </c>
    </row>
    <row r="2539" spans="1:5">
      <c r="A2539">
        <v>10367</v>
      </c>
      <c r="B2539" s="80">
        <v>35397</v>
      </c>
      <c r="C2539">
        <v>106.2</v>
      </c>
      <c r="D2539">
        <v>18</v>
      </c>
      <c r="E2539" t="s">
        <v>172</v>
      </c>
    </row>
    <row r="2540" spans="1:5">
      <c r="A2540">
        <v>10367</v>
      </c>
      <c r="B2540" s="80">
        <v>35397</v>
      </c>
      <c r="C2540">
        <v>252</v>
      </c>
      <c r="D2540">
        <v>15</v>
      </c>
      <c r="E2540" t="s">
        <v>172</v>
      </c>
    </row>
    <row r="2541" spans="1:5">
      <c r="A2541">
        <v>10367</v>
      </c>
      <c r="B2541" s="80">
        <v>35397</v>
      </c>
      <c r="C2541">
        <v>72.8</v>
      </c>
      <c r="D2541">
        <v>7</v>
      </c>
      <c r="E2541" t="s">
        <v>175</v>
      </c>
    </row>
    <row r="2542" spans="1:5">
      <c r="A2542">
        <v>10367</v>
      </c>
      <c r="B2542" s="80">
        <v>35397</v>
      </c>
      <c r="C2542">
        <v>252</v>
      </c>
      <c r="D2542">
        <v>15</v>
      </c>
      <c r="E2542" t="s">
        <v>175</v>
      </c>
    </row>
    <row r="2543" spans="1:5">
      <c r="A2543">
        <v>10367</v>
      </c>
      <c r="B2543" s="80">
        <v>35397</v>
      </c>
      <c r="C2543">
        <v>106.2</v>
      </c>
      <c r="D2543">
        <v>18</v>
      </c>
      <c r="E2543" t="s">
        <v>175</v>
      </c>
    </row>
    <row r="2544" spans="1:5">
      <c r="A2544">
        <v>10367</v>
      </c>
      <c r="B2544" s="80">
        <v>35397</v>
      </c>
      <c r="C2544">
        <v>403.2</v>
      </c>
      <c r="D2544">
        <v>36</v>
      </c>
      <c r="E2544" t="s">
        <v>175</v>
      </c>
    </row>
    <row r="2545" spans="1:5">
      <c r="A2545">
        <v>10367</v>
      </c>
      <c r="B2545" s="80">
        <v>35397</v>
      </c>
      <c r="C2545">
        <v>252</v>
      </c>
      <c r="D2545">
        <v>15</v>
      </c>
      <c r="E2545" t="s">
        <v>176</v>
      </c>
    </row>
    <row r="2546" spans="1:5">
      <c r="A2546">
        <v>10367</v>
      </c>
      <c r="B2546" s="80">
        <v>35397</v>
      </c>
      <c r="C2546">
        <v>106.2</v>
      </c>
      <c r="D2546">
        <v>18</v>
      </c>
      <c r="E2546" t="s">
        <v>173</v>
      </c>
    </row>
    <row r="2547" spans="1:5">
      <c r="A2547">
        <v>10367</v>
      </c>
      <c r="B2547" s="80">
        <v>35397</v>
      </c>
      <c r="C2547">
        <v>252</v>
      </c>
      <c r="D2547">
        <v>15</v>
      </c>
      <c r="E2547" t="s">
        <v>178</v>
      </c>
    </row>
    <row r="2548" spans="1:5">
      <c r="A2548">
        <v>10367</v>
      </c>
      <c r="B2548" s="80">
        <v>35397</v>
      </c>
      <c r="C2548">
        <v>72.8</v>
      </c>
      <c r="D2548">
        <v>7</v>
      </c>
      <c r="E2548" t="s">
        <v>178</v>
      </c>
    </row>
    <row r="2549" spans="1:5">
      <c r="A2549">
        <v>10367</v>
      </c>
      <c r="B2549" s="80">
        <v>35397</v>
      </c>
      <c r="C2549">
        <v>72.8</v>
      </c>
      <c r="D2549">
        <v>7</v>
      </c>
      <c r="E2549" t="s">
        <v>174</v>
      </c>
    </row>
    <row r="2550" spans="1:5">
      <c r="A2550">
        <v>10367</v>
      </c>
      <c r="B2550" s="80">
        <v>35397</v>
      </c>
      <c r="C2550">
        <v>72.8</v>
      </c>
      <c r="D2550">
        <v>7</v>
      </c>
      <c r="E2550" t="s">
        <v>173</v>
      </c>
    </row>
    <row r="2551" spans="1:5">
      <c r="A2551">
        <v>10367</v>
      </c>
      <c r="B2551" s="80">
        <v>35397</v>
      </c>
      <c r="C2551">
        <v>403.2</v>
      </c>
      <c r="D2551">
        <v>36</v>
      </c>
      <c r="E2551" t="s">
        <v>178</v>
      </c>
    </row>
    <row r="2552" spans="1:5">
      <c r="A2552">
        <v>10367</v>
      </c>
      <c r="B2552" s="80">
        <v>35397</v>
      </c>
      <c r="C2552">
        <v>403.2</v>
      </c>
      <c r="D2552">
        <v>36</v>
      </c>
      <c r="E2552" t="s">
        <v>173</v>
      </c>
    </row>
    <row r="2553" spans="1:5">
      <c r="A2553">
        <v>10367</v>
      </c>
      <c r="B2553" s="80">
        <v>35397</v>
      </c>
      <c r="C2553">
        <v>106.2</v>
      </c>
      <c r="D2553">
        <v>18</v>
      </c>
      <c r="E2553" t="s">
        <v>178</v>
      </c>
    </row>
    <row r="2554" spans="1:5">
      <c r="A2554">
        <v>10367</v>
      </c>
      <c r="B2554" s="80">
        <v>35397</v>
      </c>
      <c r="C2554">
        <v>252</v>
      </c>
      <c r="D2554">
        <v>15</v>
      </c>
      <c r="E2554" t="s">
        <v>177</v>
      </c>
    </row>
    <row r="2555" spans="1:5">
      <c r="A2555">
        <v>10367</v>
      </c>
      <c r="B2555" s="80">
        <v>35397</v>
      </c>
      <c r="C2555">
        <v>106.2</v>
      </c>
      <c r="D2555">
        <v>18</v>
      </c>
      <c r="E2555" t="s">
        <v>177</v>
      </c>
    </row>
    <row r="2556" spans="1:5">
      <c r="A2556">
        <v>10367</v>
      </c>
      <c r="B2556" s="80">
        <v>35397</v>
      </c>
      <c r="C2556">
        <v>403.2</v>
      </c>
      <c r="D2556">
        <v>36</v>
      </c>
      <c r="E2556" t="s">
        <v>177</v>
      </c>
    </row>
    <row r="2557" spans="1:5">
      <c r="A2557">
        <v>10367</v>
      </c>
      <c r="B2557" s="80">
        <v>35397</v>
      </c>
      <c r="C2557">
        <v>403.2</v>
      </c>
      <c r="D2557">
        <v>36</v>
      </c>
      <c r="E2557" t="s">
        <v>174</v>
      </c>
    </row>
    <row r="2558" spans="1:5">
      <c r="A2558">
        <v>10367</v>
      </c>
      <c r="B2558" s="80">
        <v>35397</v>
      </c>
      <c r="C2558">
        <v>72.8</v>
      </c>
      <c r="D2558">
        <v>7</v>
      </c>
      <c r="E2558" t="s">
        <v>172</v>
      </c>
    </row>
    <row r="2559" spans="1:5">
      <c r="A2559">
        <v>10367</v>
      </c>
      <c r="B2559" s="80">
        <v>35397</v>
      </c>
      <c r="C2559">
        <v>252</v>
      </c>
      <c r="D2559">
        <v>15</v>
      </c>
      <c r="E2559" t="s">
        <v>174</v>
      </c>
    </row>
    <row r="2560" spans="1:5">
      <c r="A2560">
        <v>10367</v>
      </c>
      <c r="B2560" s="80">
        <v>35397</v>
      </c>
      <c r="C2560">
        <v>252</v>
      </c>
      <c r="D2560">
        <v>15</v>
      </c>
      <c r="E2560" t="s">
        <v>173</v>
      </c>
    </row>
    <row r="2561" spans="1:5">
      <c r="A2561">
        <v>10367</v>
      </c>
      <c r="B2561" s="80">
        <v>35397</v>
      </c>
      <c r="C2561">
        <v>72.8</v>
      </c>
      <c r="D2561">
        <v>7</v>
      </c>
      <c r="E2561" t="s">
        <v>177</v>
      </c>
    </row>
    <row r="2562" spans="1:5">
      <c r="A2562">
        <v>10368</v>
      </c>
      <c r="B2562" s="80">
        <v>35398</v>
      </c>
      <c r="C2562">
        <v>35.999999940395355</v>
      </c>
      <c r="D2562">
        <v>5</v>
      </c>
      <c r="E2562" t="s">
        <v>178</v>
      </c>
    </row>
    <row r="2563" spans="1:5">
      <c r="A2563">
        <v>10368</v>
      </c>
      <c r="B2563" s="80">
        <v>35398</v>
      </c>
      <c r="C2563">
        <v>837.89999861270189</v>
      </c>
      <c r="D2563">
        <v>35</v>
      </c>
      <c r="E2563" t="s">
        <v>178</v>
      </c>
    </row>
    <row r="2564" spans="1:5">
      <c r="A2564">
        <v>10368</v>
      </c>
      <c r="B2564" s="80">
        <v>35398</v>
      </c>
      <c r="C2564">
        <v>425.87999929487705</v>
      </c>
      <c r="D2564">
        <v>13</v>
      </c>
      <c r="E2564" t="s">
        <v>178</v>
      </c>
    </row>
    <row r="2565" spans="1:5">
      <c r="A2565">
        <v>10368</v>
      </c>
      <c r="B2565" s="80">
        <v>35398</v>
      </c>
      <c r="C2565">
        <v>425.87999929487705</v>
      </c>
      <c r="D2565">
        <v>13</v>
      </c>
      <c r="E2565" t="s">
        <v>176</v>
      </c>
    </row>
    <row r="2566" spans="1:5">
      <c r="A2566">
        <v>10368</v>
      </c>
      <c r="B2566" s="80">
        <v>35398</v>
      </c>
      <c r="C2566">
        <v>425.87999929487705</v>
      </c>
      <c r="D2566">
        <v>13</v>
      </c>
      <c r="E2566" t="s">
        <v>172</v>
      </c>
    </row>
    <row r="2567" spans="1:5">
      <c r="A2567">
        <v>10368</v>
      </c>
      <c r="B2567" s="80">
        <v>35398</v>
      </c>
      <c r="C2567">
        <v>390</v>
      </c>
      <c r="D2567">
        <v>25</v>
      </c>
      <c r="E2567" t="s">
        <v>172</v>
      </c>
    </row>
    <row r="2568" spans="1:5">
      <c r="A2568">
        <v>10368</v>
      </c>
      <c r="B2568" s="80">
        <v>35398</v>
      </c>
      <c r="C2568">
        <v>390</v>
      </c>
      <c r="D2568">
        <v>25</v>
      </c>
      <c r="E2568" t="s">
        <v>178</v>
      </c>
    </row>
    <row r="2569" spans="1:5">
      <c r="A2569">
        <v>10368</v>
      </c>
      <c r="B2569" s="80">
        <v>35398</v>
      </c>
      <c r="C2569">
        <v>390</v>
      </c>
      <c r="D2569">
        <v>25</v>
      </c>
      <c r="E2569" t="s">
        <v>176</v>
      </c>
    </row>
    <row r="2570" spans="1:5">
      <c r="A2570">
        <v>10368</v>
      </c>
      <c r="B2570" s="80">
        <v>35398</v>
      </c>
      <c r="C2570">
        <v>35.999999940395355</v>
      </c>
      <c r="D2570">
        <v>5</v>
      </c>
      <c r="E2570" t="s">
        <v>174</v>
      </c>
    </row>
    <row r="2571" spans="1:5">
      <c r="A2571">
        <v>10368</v>
      </c>
      <c r="B2571" s="80">
        <v>35398</v>
      </c>
      <c r="C2571">
        <v>35.999999940395355</v>
      </c>
      <c r="D2571">
        <v>5</v>
      </c>
      <c r="E2571" t="s">
        <v>176</v>
      </c>
    </row>
    <row r="2572" spans="1:5">
      <c r="A2572">
        <v>10368</v>
      </c>
      <c r="B2572" s="80">
        <v>35398</v>
      </c>
      <c r="C2572">
        <v>837.89999861270189</v>
      </c>
      <c r="D2572">
        <v>35</v>
      </c>
      <c r="E2572" t="s">
        <v>177</v>
      </c>
    </row>
    <row r="2573" spans="1:5">
      <c r="A2573">
        <v>10368</v>
      </c>
      <c r="B2573" s="80">
        <v>35398</v>
      </c>
      <c r="C2573">
        <v>390</v>
      </c>
      <c r="D2573">
        <v>25</v>
      </c>
      <c r="E2573" t="s">
        <v>177</v>
      </c>
    </row>
    <row r="2574" spans="1:5">
      <c r="A2574">
        <v>10368</v>
      </c>
      <c r="B2574" s="80">
        <v>35398</v>
      </c>
      <c r="C2574">
        <v>425.87999929487705</v>
      </c>
      <c r="D2574">
        <v>13</v>
      </c>
      <c r="E2574" t="s">
        <v>177</v>
      </c>
    </row>
    <row r="2575" spans="1:5">
      <c r="A2575">
        <v>10368</v>
      </c>
      <c r="B2575" s="80">
        <v>35398</v>
      </c>
      <c r="C2575">
        <v>35.999999940395355</v>
      </c>
      <c r="D2575">
        <v>5</v>
      </c>
      <c r="E2575" t="s">
        <v>177</v>
      </c>
    </row>
    <row r="2576" spans="1:5">
      <c r="A2576">
        <v>10368</v>
      </c>
      <c r="B2576" s="80">
        <v>35398</v>
      </c>
      <c r="C2576">
        <v>425.87999929487705</v>
      </c>
      <c r="D2576">
        <v>13</v>
      </c>
      <c r="E2576" t="s">
        <v>174</v>
      </c>
    </row>
    <row r="2577" spans="1:5">
      <c r="A2577">
        <v>10368</v>
      </c>
      <c r="B2577" s="80">
        <v>35398</v>
      </c>
      <c r="C2577">
        <v>837.89999861270189</v>
      </c>
      <c r="D2577">
        <v>35</v>
      </c>
      <c r="E2577" t="s">
        <v>172</v>
      </c>
    </row>
    <row r="2578" spans="1:5">
      <c r="A2578">
        <v>10368</v>
      </c>
      <c r="B2578" s="80">
        <v>35398</v>
      </c>
      <c r="C2578">
        <v>837.89999861270189</v>
      </c>
      <c r="D2578">
        <v>35</v>
      </c>
      <c r="E2578" t="s">
        <v>176</v>
      </c>
    </row>
    <row r="2579" spans="1:5">
      <c r="A2579">
        <v>10368</v>
      </c>
      <c r="B2579" s="80">
        <v>35398</v>
      </c>
      <c r="C2579">
        <v>837.89999861270189</v>
      </c>
      <c r="D2579">
        <v>35</v>
      </c>
      <c r="E2579" t="s">
        <v>174</v>
      </c>
    </row>
    <row r="2580" spans="1:5">
      <c r="A2580">
        <v>10368</v>
      </c>
      <c r="B2580" s="80">
        <v>35398</v>
      </c>
      <c r="C2580">
        <v>837.89999861270189</v>
      </c>
      <c r="D2580">
        <v>35</v>
      </c>
      <c r="E2580" t="s">
        <v>179</v>
      </c>
    </row>
    <row r="2581" spans="1:5">
      <c r="A2581">
        <v>10368</v>
      </c>
      <c r="B2581" s="80">
        <v>35398</v>
      </c>
      <c r="C2581">
        <v>390</v>
      </c>
      <c r="D2581">
        <v>25</v>
      </c>
      <c r="E2581" t="s">
        <v>179</v>
      </c>
    </row>
    <row r="2582" spans="1:5">
      <c r="A2582">
        <v>10368</v>
      </c>
      <c r="B2582" s="80">
        <v>35398</v>
      </c>
      <c r="C2582">
        <v>425.87999929487705</v>
      </c>
      <c r="D2582">
        <v>13</v>
      </c>
      <c r="E2582" t="s">
        <v>179</v>
      </c>
    </row>
    <row r="2583" spans="1:5">
      <c r="A2583">
        <v>10368</v>
      </c>
      <c r="B2583" s="80">
        <v>35398</v>
      </c>
      <c r="C2583">
        <v>35.999999940395355</v>
      </c>
      <c r="D2583">
        <v>5</v>
      </c>
      <c r="E2583" t="s">
        <v>173</v>
      </c>
    </row>
    <row r="2584" spans="1:5">
      <c r="A2584">
        <v>10368</v>
      </c>
      <c r="B2584" s="80">
        <v>35398</v>
      </c>
      <c r="C2584">
        <v>425.87999929487705</v>
      </c>
      <c r="D2584">
        <v>13</v>
      </c>
      <c r="E2584" t="s">
        <v>173</v>
      </c>
    </row>
    <row r="2585" spans="1:5">
      <c r="A2585">
        <v>10368</v>
      </c>
      <c r="B2585" s="80">
        <v>35398</v>
      </c>
      <c r="C2585">
        <v>390</v>
      </c>
      <c r="D2585">
        <v>25</v>
      </c>
      <c r="E2585" t="s">
        <v>173</v>
      </c>
    </row>
    <row r="2586" spans="1:5">
      <c r="A2586">
        <v>10368</v>
      </c>
      <c r="B2586" s="80">
        <v>35398</v>
      </c>
      <c r="C2586">
        <v>390</v>
      </c>
      <c r="D2586">
        <v>25</v>
      </c>
      <c r="E2586" t="s">
        <v>174</v>
      </c>
    </row>
    <row r="2587" spans="1:5">
      <c r="A2587">
        <v>10368</v>
      </c>
      <c r="B2587" s="80">
        <v>35398</v>
      </c>
      <c r="C2587">
        <v>837.89999861270189</v>
      </c>
      <c r="D2587">
        <v>35</v>
      </c>
      <c r="E2587" t="s">
        <v>175</v>
      </c>
    </row>
    <row r="2588" spans="1:5">
      <c r="A2588">
        <v>10368</v>
      </c>
      <c r="B2588" s="80">
        <v>35398</v>
      </c>
      <c r="C2588">
        <v>390</v>
      </c>
      <c r="D2588">
        <v>25</v>
      </c>
      <c r="E2588" t="s">
        <v>175</v>
      </c>
    </row>
    <row r="2589" spans="1:5">
      <c r="A2589">
        <v>10368</v>
      </c>
      <c r="B2589" s="80">
        <v>35398</v>
      </c>
      <c r="C2589">
        <v>425.87999929487705</v>
      </c>
      <c r="D2589">
        <v>13</v>
      </c>
      <c r="E2589" t="s">
        <v>175</v>
      </c>
    </row>
    <row r="2590" spans="1:5">
      <c r="A2590">
        <v>10368</v>
      </c>
      <c r="B2590" s="80">
        <v>35398</v>
      </c>
      <c r="C2590">
        <v>35.999999940395355</v>
      </c>
      <c r="D2590">
        <v>5</v>
      </c>
      <c r="E2590" t="s">
        <v>175</v>
      </c>
    </row>
    <row r="2591" spans="1:5">
      <c r="A2591">
        <v>10368</v>
      </c>
      <c r="B2591" s="80">
        <v>35398</v>
      </c>
      <c r="C2591">
        <v>837.89999861270189</v>
      </c>
      <c r="D2591">
        <v>35</v>
      </c>
      <c r="E2591" t="s">
        <v>173</v>
      </c>
    </row>
    <row r="2592" spans="1:5">
      <c r="A2592">
        <v>10368</v>
      </c>
      <c r="B2592" s="80">
        <v>35398</v>
      </c>
      <c r="C2592">
        <v>35.999999940395355</v>
      </c>
      <c r="D2592">
        <v>5</v>
      </c>
      <c r="E2592" t="s">
        <v>172</v>
      </c>
    </row>
    <row r="2593" spans="1:5">
      <c r="A2593">
        <v>10368</v>
      </c>
      <c r="B2593" s="80">
        <v>35398</v>
      </c>
      <c r="C2593">
        <v>35.999999940395355</v>
      </c>
      <c r="D2593">
        <v>5</v>
      </c>
      <c r="E2593" t="s">
        <v>179</v>
      </c>
    </row>
    <row r="2594" spans="1:5">
      <c r="A2594">
        <v>10369</v>
      </c>
      <c r="B2594" s="80">
        <v>35401</v>
      </c>
      <c r="C2594">
        <v>410.40000000000003</v>
      </c>
      <c r="D2594">
        <v>18</v>
      </c>
      <c r="E2594" t="s">
        <v>176</v>
      </c>
    </row>
    <row r="2595" spans="1:5">
      <c r="A2595">
        <v>10369</v>
      </c>
      <c r="B2595" s="80">
        <v>35401</v>
      </c>
      <c r="C2595">
        <v>410.40000000000003</v>
      </c>
      <c r="D2595">
        <v>18</v>
      </c>
      <c r="E2595" t="s">
        <v>177</v>
      </c>
    </row>
    <row r="2596" spans="1:5">
      <c r="A2596">
        <v>10369</v>
      </c>
      <c r="B2596" s="80">
        <v>35401</v>
      </c>
      <c r="C2596">
        <v>1980</v>
      </c>
      <c r="D2596">
        <v>20</v>
      </c>
      <c r="E2596" t="s">
        <v>175</v>
      </c>
    </row>
    <row r="2597" spans="1:5">
      <c r="A2597">
        <v>10369</v>
      </c>
      <c r="B2597" s="80">
        <v>35401</v>
      </c>
      <c r="C2597">
        <v>410.40000000000003</v>
      </c>
      <c r="D2597">
        <v>18</v>
      </c>
      <c r="E2597" t="s">
        <v>175</v>
      </c>
    </row>
    <row r="2598" spans="1:5">
      <c r="A2598">
        <v>10369</v>
      </c>
      <c r="B2598" s="80">
        <v>35401</v>
      </c>
      <c r="C2598">
        <v>410.40000000000003</v>
      </c>
      <c r="D2598">
        <v>18</v>
      </c>
      <c r="E2598" t="s">
        <v>172</v>
      </c>
    </row>
    <row r="2599" spans="1:5">
      <c r="A2599">
        <v>10369</v>
      </c>
      <c r="B2599" s="80">
        <v>35401</v>
      </c>
      <c r="C2599">
        <v>410.40000000000003</v>
      </c>
      <c r="D2599">
        <v>18</v>
      </c>
      <c r="E2599" t="s">
        <v>174</v>
      </c>
    </row>
    <row r="2600" spans="1:5">
      <c r="A2600">
        <v>10369</v>
      </c>
      <c r="B2600" s="80">
        <v>35401</v>
      </c>
      <c r="C2600">
        <v>1980</v>
      </c>
      <c r="D2600">
        <v>20</v>
      </c>
      <c r="E2600" t="s">
        <v>179</v>
      </c>
    </row>
    <row r="2601" spans="1:5">
      <c r="A2601">
        <v>10369</v>
      </c>
      <c r="B2601" s="80">
        <v>35401</v>
      </c>
      <c r="C2601">
        <v>410.40000000000003</v>
      </c>
      <c r="D2601">
        <v>18</v>
      </c>
      <c r="E2601" t="s">
        <v>179</v>
      </c>
    </row>
    <row r="2602" spans="1:5">
      <c r="A2602">
        <v>10369</v>
      </c>
      <c r="B2602" s="80">
        <v>35401</v>
      </c>
      <c r="C2602">
        <v>1980</v>
      </c>
      <c r="D2602">
        <v>20</v>
      </c>
      <c r="E2602" t="s">
        <v>177</v>
      </c>
    </row>
    <row r="2603" spans="1:5">
      <c r="A2603">
        <v>10369</v>
      </c>
      <c r="B2603" s="80">
        <v>35401</v>
      </c>
      <c r="C2603">
        <v>1980</v>
      </c>
      <c r="D2603">
        <v>20</v>
      </c>
      <c r="E2603" t="s">
        <v>174</v>
      </c>
    </row>
    <row r="2604" spans="1:5">
      <c r="A2604">
        <v>10369</v>
      </c>
      <c r="B2604" s="80">
        <v>35401</v>
      </c>
      <c r="C2604">
        <v>1980</v>
      </c>
      <c r="D2604">
        <v>20</v>
      </c>
      <c r="E2604" t="s">
        <v>176</v>
      </c>
    </row>
    <row r="2605" spans="1:5">
      <c r="A2605">
        <v>10369</v>
      </c>
      <c r="B2605" s="80">
        <v>35401</v>
      </c>
      <c r="C2605">
        <v>1980</v>
      </c>
      <c r="D2605">
        <v>20</v>
      </c>
      <c r="E2605" t="s">
        <v>172</v>
      </c>
    </row>
    <row r="2606" spans="1:5">
      <c r="A2606">
        <v>10369</v>
      </c>
      <c r="B2606" s="80">
        <v>35401</v>
      </c>
      <c r="C2606">
        <v>410.40000000000003</v>
      </c>
      <c r="D2606">
        <v>18</v>
      </c>
      <c r="E2606" t="s">
        <v>173</v>
      </c>
    </row>
    <row r="2607" spans="1:5">
      <c r="A2607">
        <v>10369</v>
      </c>
      <c r="B2607" s="80">
        <v>35401</v>
      </c>
      <c r="C2607">
        <v>1980</v>
      </c>
      <c r="D2607">
        <v>20</v>
      </c>
      <c r="E2607" t="s">
        <v>173</v>
      </c>
    </row>
    <row r="2608" spans="1:5">
      <c r="A2608">
        <v>10369</v>
      </c>
      <c r="B2608" s="80">
        <v>35401</v>
      </c>
      <c r="C2608">
        <v>1980</v>
      </c>
      <c r="D2608">
        <v>20</v>
      </c>
      <c r="E2608" t="s">
        <v>178</v>
      </c>
    </row>
    <row r="2609" spans="1:5">
      <c r="A2609">
        <v>10369</v>
      </c>
      <c r="B2609" s="80">
        <v>35401</v>
      </c>
      <c r="C2609">
        <v>410.40000000000003</v>
      </c>
      <c r="D2609">
        <v>18</v>
      </c>
      <c r="E2609" t="s">
        <v>178</v>
      </c>
    </row>
    <row r="2610" spans="1:5">
      <c r="A2610">
        <v>10370</v>
      </c>
      <c r="B2610" s="80">
        <v>35402</v>
      </c>
      <c r="C2610">
        <v>135.99999904632568</v>
      </c>
      <c r="D2610">
        <v>20</v>
      </c>
      <c r="E2610" t="s">
        <v>178</v>
      </c>
    </row>
    <row r="2611" spans="1:5">
      <c r="A2611">
        <v>10370</v>
      </c>
      <c r="B2611" s="80">
        <v>35402</v>
      </c>
      <c r="C2611">
        <v>183.59999871253967</v>
      </c>
      <c r="D2611">
        <v>15</v>
      </c>
      <c r="E2611" t="s">
        <v>174</v>
      </c>
    </row>
    <row r="2612" spans="1:5">
      <c r="A2612">
        <v>10370</v>
      </c>
      <c r="B2612" s="80">
        <v>35402</v>
      </c>
      <c r="C2612">
        <v>798</v>
      </c>
      <c r="D2612">
        <v>30</v>
      </c>
      <c r="E2612" t="s">
        <v>174</v>
      </c>
    </row>
    <row r="2613" spans="1:5">
      <c r="A2613">
        <v>10370</v>
      </c>
      <c r="B2613" s="80">
        <v>35402</v>
      </c>
      <c r="C2613">
        <v>798</v>
      </c>
      <c r="D2613">
        <v>30</v>
      </c>
      <c r="E2613" t="s">
        <v>177</v>
      </c>
    </row>
    <row r="2614" spans="1:5">
      <c r="A2614">
        <v>10370</v>
      </c>
      <c r="B2614" s="80">
        <v>35402</v>
      </c>
      <c r="C2614">
        <v>798</v>
      </c>
      <c r="D2614">
        <v>30</v>
      </c>
      <c r="E2614" t="s">
        <v>178</v>
      </c>
    </row>
    <row r="2615" spans="1:5">
      <c r="A2615">
        <v>10370</v>
      </c>
      <c r="B2615" s="80">
        <v>35402</v>
      </c>
      <c r="C2615">
        <v>183.59999871253967</v>
      </c>
      <c r="D2615">
        <v>15</v>
      </c>
      <c r="E2615" t="s">
        <v>177</v>
      </c>
    </row>
    <row r="2616" spans="1:5">
      <c r="A2616">
        <v>10370</v>
      </c>
      <c r="B2616" s="80">
        <v>35402</v>
      </c>
      <c r="C2616">
        <v>798</v>
      </c>
      <c r="D2616">
        <v>30</v>
      </c>
      <c r="E2616" t="s">
        <v>173</v>
      </c>
    </row>
    <row r="2617" spans="1:5">
      <c r="A2617">
        <v>10370</v>
      </c>
      <c r="B2617" s="80">
        <v>35402</v>
      </c>
      <c r="C2617">
        <v>135.99999904632568</v>
      </c>
      <c r="D2617">
        <v>20</v>
      </c>
      <c r="E2617" t="s">
        <v>173</v>
      </c>
    </row>
    <row r="2618" spans="1:5">
      <c r="A2618">
        <v>10370</v>
      </c>
      <c r="B2618" s="80">
        <v>35402</v>
      </c>
      <c r="C2618">
        <v>183.59999871253967</v>
      </c>
      <c r="D2618">
        <v>15</v>
      </c>
      <c r="E2618" t="s">
        <v>173</v>
      </c>
    </row>
    <row r="2619" spans="1:5">
      <c r="A2619">
        <v>10370</v>
      </c>
      <c r="B2619" s="80">
        <v>35402</v>
      </c>
      <c r="C2619">
        <v>135.99999904632568</v>
      </c>
      <c r="D2619">
        <v>20</v>
      </c>
      <c r="E2619" t="s">
        <v>177</v>
      </c>
    </row>
    <row r="2620" spans="1:5">
      <c r="A2620">
        <v>10370</v>
      </c>
      <c r="B2620" s="80">
        <v>35402</v>
      </c>
      <c r="C2620">
        <v>798</v>
      </c>
      <c r="D2620">
        <v>30</v>
      </c>
      <c r="E2620" t="s">
        <v>175</v>
      </c>
    </row>
    <row r="2621" spans="1:5">
      <c r="A2621">
        <v>10370</v>
      </c>
      <c r="B2621" s="80">
        <v>35402</v>
      </c>
      <c r="C2621">
        <v>135.99999904632568</v>
      </c>
      <c r="D2621">
        <v>20</v>
      </c>
      <c r="E2621" t="s">
        <v>174</v>
      </c>
    </row>
    <row r="2622" spans="1:5">
      <c r="A2622">
        <v>10370</v>
      </c>
      <c r="B2622" s="80">
        <v>35402</v>
      </c>
      <c r="C2622">
        <v>183.59999871253967</v>
      </c>
      <c r="D2622">
        <v>15</v>
      </c>
      <c r="E2622" t="s">
        <v>178</v>
      </c>
    </row>
    <row r="2623" spans="1:5">
      <c r="A2623">
        <v>10370</v>
      </c>
      <c r="B2623" s="80">
        <v>35402</v>
      </c>
      <c r="C2623">
        <v>135.99999904632568</v>
      </c>
      <c r="D2623">
        <v>20</v>
      </c>
      <c r="E2623" t="s">
        <v>179</v>
      </c>
    </row>
    <row r="2624" spans="1:5">
      <c r="A2624">
        <v>10370</v>
      </c>
      <c r="B2624" s="80">
        <v>35402</v>
      </c>
      <c r="C2624">
        <v>183.59999871253967</v>
      </c>
      <c r="D2624">
        <v>15</v>
      </c>
      <c r="E2624" t="s">
        <v>172</v>
      </c>
    </row>
    <row r="2625" spans="1:5">
      <c r="A2625">
        <v>10370</v>
      </c>
      <c r="B2625" s="80">
        <v>35402</v>
      </c>
      <c r="C2625">
        <v>798</v>
      </c>
      <c r="D2625">
        <v>30</v>
      </c>
      <c r="E2625" t="s">
        <v>172</v>
      </c>
    </row>
    <row r="2626" spans="1:5">
      <c r="A2626">
        <v>10370</v>
      </c>
      <c r="B2626" s="80">
        <v>35402</v>
      </c>
      <c r="C2626">
        <v>135.99999904632568</v>
      </c>
      <c r="D2626">
        <v>20</v>
      </c>
      <c r="E2626" t="s">
        <v>175</v>
      </c>
    </row>
    <row r="2627" spans="1:5">
      <c r="A2627">
        <v>10370</v>
      </c>
      <c r="B2627" s="80">
        <v>35402</v>
      </c>
      <c r="C2627">
        <v>183.59999871253967</v>
      </c>
      <c r="D2627">
        <v>15</v>
      </c>
      <c r="E2627" t="s">
        <v>175</v>
      </c>
    </row>
    <row r="2628" spans="1:5">
      <c r="A2628">
        <v>10370</v>
      </c>
      <c r="B2628" s="80">
        <v>35402</v>
      </c>
      <c r="C2628">
        <v>183.59999871253967</v>
      </c>
      <c r="D2628">
        <v>15</v>
      </c>
      <c r="E2628" t="s">
        <v>179</v>
      </c>
    </row>
    <row r="2629" spans="1:5">
      <c r="A2629">
        <v>10370</v>
      </c>
      <c r="B2629" s="80">
        <v>35402</v>
      </c>
      <c r="C2629">
        <v>135.99999904632568</v>
      </c>
      <c r="D2629">
        <v>20</v>
      </c>
      <c r="E2629" t="s">
        <v>176</v>
      </c>
    </row>
    <row r="2630" spans="1:5">
      <c r="A2630">
        <v>10370</v>
      </c>
      <c r="B2630" s="80">
        <v>35402</v>
      </c>
      <c r="C2630">
        <v>135.99999904632568</v>
      </c>
      <c r="D2630">
        <v>20</v>
      </c>
      <c r="E2630" t="s">
        <v>172</v>
      </c>
    </row>
    <row r="2631" spans="1:5">
      <c r="A2631">
        <v>10370</v>
      </c>
      <c r="B2631" s="80">
        <v>35402</v>
      </c>
      <c r="C2631">
        <v>798</v>
      </c>
      <c r="D2631">
        <v>30</v>
      </c>
      <c r="E2631" t="s">
        <v>179</v>
      </c>
    </row>
    <row r="2632" spans="1:5">
      <c r="A2632">
        <v>10370</v>
      </c>
      <c r="B2632" s="80">
        <v>35402</v>
      </c>
      <c r="C2632">
        <v>798</v>
      </c>
      <c r="D2632">
        <v>30</v>
      </c>
      <c r="E2632" t="s">
        <v>176</v>
      </c>
    </row>
    <row r="2633" spans="1:5">
      <c r="A2633">
        <v>10370</v>
      </c>
      <c r="B2633" s="80">
        <v>35402</v>
      </c>
      <c r="C2633">
        <v>183.59999871253967</v>
      </c>
      <c r="D2633">
        <v>15</v>
      </c>
      <c r="E2633" t="s">
        <v>176</v>
      </c>
    </row>
    <row r="2634" spans="1:5">
      <c r="A2634">
        <v>10371</v>
      </c>
      <c r="B2634" s="80">
        <v>35402</v>
      </c>
      <c r="C2634">
        <v>72.959999728202817</v>
      </c>
      <c r="D2634">
        <v>6</v>
      </c>
      <c r="E2634" t="s">
        <v>176</v>
      </c>
    </row>
    <row r="2635" spans="1:5">
      <c r="A2635">
        <v>10371</v>
      </c>
      <c r="B2635" s="80">
        <v>35402</v>
      </c>
      <c r="C2635">
        <v>72.959999728202817</v>
      </c>
      <c r="D2635">
        <v>6</v>
      </c>
      <c r="E2635" t="s">
        <v>173</v>
      </c>
    </row>
    <row r="2636" spans="1:5">
      <c r="A2636">
        <v>10371</v>
      </c>
      <c r="B2636" s="80">
        <v>35402</v>
      </c>
      <c r="C2636">
        <v>72.959999728202817</v>
      </c>
      <c r="D2636">
        <v>6</v>
      </c>
      <c r="E2636" t="s">
        <v>175</v>
      </c>
    </row>
    <row r="2637" spans="1:5">
      <c r="A2637">
        <v>10371</v>
      </c>
      <c r="B2637" s="80">
        <v>35402</v>
      </c>
      <c r="C2637">
        <v>72.959999728202817</v>
      </c>
      <c r="D2637">
        <v>6</v>
      </c>
      <c r="E2637" t="s">
        <v>178</v>
      </c>
    </row>
    <row r="2638" spans="1:5">
      <c r="A2638">
        <v>10371</v>
      </c>
      <c r="B2638" s="80">
        <v>35402</v>
      </c>
      <c r="C2638">
        <v>72.959999728202817</v>
      </c>
      <c r="D2638">
        <v>6</v>
      </c>
      <c r="E2638" t="s">
        <v>177</v>
      </c>
    </row>
    <row r="2639" spans="1:5">
      <c r="A2639">
        <v>10371</v>
      </c>
      <c r="B2639" s="80">
        <v>35402</v>
      </c>
      <c r="C2639">
        <v>72.959999728202817</v>
      </c>
      <c r="D2639">
        <v>6</v>
      </c>
      <c r="E2639" t="s">
        <v>179</v>
      </c>
    </row>
    <row r="2640" spans="1:5">
      <c r="A2640">
        <v>10371</v>
      </c>
      <c r="B2640" s="80">
        <v>35402</v>
      </c>
      <c r="C2640">
        <v>72.959999728202817</v>
      </c>
      <c r="D2640">
        <v>6</v>
      </c>
      <c r="E2640" t="s">
        <v>172</v>
      </c>
    </row>
    <row r="2641" spans="1:5">
      <c r="A2641">
        <v>10371</v>
      </c>
      <c r="B2641" s="80">
        <v>35402</v>
      </c>
      <c r="C2641">
        <v>72.959999728202817</v>
      </c>
      <c r="D2641">
        <v>6</v>
      </c>
      <c r="E2641" t="s">
        <v>174</v>
      </c>
    </row>
    <row r="2642" spans="1:5">
      <c r="A2642">
        <v>10372</v>
      </c>
      <c r="B2642" s="80">
        <v>35403</v>
      </c>
      <c r="C2642">
        <v>6324</v>
      </c>
      <c r="D2642">
        <v>40</v>
      </c>
      <c r="E2642" t="s">
        <v>179</v>
      </c>
    </row>
    <row r="2643" spans="1:5">
      <c r="A2643">
        <v>10372</v>
      </c>
      <c r="B2643" s="80">
        <v>35403</v>
      </c>
      <c r="C2643">
        <v>875.69999999999993</v>
      </c>
      <c r="D2643">
        <v>42</v>
      </c>
      <c r="E2643" t="s">
        <v>176</v>
      </c>
    </row>
    <row r="2644" spans="1:5">
      <c r="A2644">
        <v>10372</v>
      </c>
      <c r="B2644" s="80">
        <v>35403</v>
      </c>
      <c r="C2644">
        <v>1428</v>
      </c>
      <c r="D2644">
        <v>70</v>
      </c>
      <c r="E2644" t="s">
        <v>176</v>
      </c>
    </row>
    <row r="2645" spans="1:5">
      <c r="A2645">
        <v>10372</v>
      </c>
      <c r="B2645" s="80">
        <v>35403</v>
      </c>
      <c r="C2645">
        <v>6324</v>
      </c>
      <c r="D2645">
        <v>40</v>
      </c>
      <c r="E2645" t="s">
        <v>177</v>
      </c>
    </row>
    <row r="2646" spans="1:5">
      <c r="A2646">
        <v>10372</v>
      </c>
      <c r="B2646" s="80">
        <v>35403</v>
      </c>
      <c r="C2646">
        <v>1428</v>
      </c>
      <c r="D2646">
        <v>70</v>
      </c>
      <c r="E2646" t="s">
        <v>179</v>
      </c>
    </row>
    <row r="2647" spans="1:5">
      <c r="A2647">
        <v>10372</v>
      </c>
      <c r="B2647" s="80">
        <v>35403</v>
      </c>
      <c r="C2647">
        <v>6324</v>
      </c>
      <c r="D2647">
        <v>40</v>
      </c>
      <c r="E2647" t="s">
        <v>176</v>
      </c>
    </row>
    <row r="2648" spans="1:5">
      <c r="A2648">
        <v>10372</v>
      </c>
      <c r="B2648" s="80">
        <v>35403</v>
      </c>
      <c r="C2648">
        <v>583.20000000000005</v>
      </c>
      <c r="D2648">
        <v>12</v>
      </c>
      <c r="E2648" t="s">
        <v>176</v>
      </c>
    </row>
    <row r="2649" spans="1:5">
      <c r="A2649">
        <v>10372</v>
      </c>
      <c r="B2649" s="80">
        <v>35403</v>
      </c>
      <c r="C2649">
        <v>583.20000000000005</v>
      </c>
      <c r="D2649">
        <v>12</v>
      </c>
      <c r="E2649" t="s">
        <v>177</v>
      </c>
    </row>
    <row r="2650" spans="1:5">
      <c r="A2650">
        <v>10372</v>
      </c>
      <c r="B2650" s="80">
        <v>35403</v>
      </c>
      <c r="C2650">
        <v>6324</v>
      </c>
      <c r="D2650">
        <v>40</v>
      </c>
      <c r="E2650" t="s">
        <v>175</v>
      </c>
    </row>
    <row r="2651" spans="1:5">
      <c r="A2651">
        <v>10372</v>
      </c>
      <c r="B2651" s="80">
        <v>35403</v>
      </c>
      <c r="C2651">
        <v>1428</v>
      </c>
      <c r="D2651">
        <v>70</v>
      </c>
      <c r="E2651" t="s">
        <v>174</v>
      </c>
    </row>
    <row r="2652" spans="1:5">
      <c r="A2652">
        <v>10372</v>
      </c>
      <c r="B2652" s="80">
        <v>35403</v>
      </c>
      <c r="C2652">
        <v>583.20000000000005</v>
      </c>
      <c r="D2652">
        <v>12</v>
      </c>
      <c r="E2652" t="s">
        <v>179</v>
      </c>
    </row>
    <row r="2653" spans="1:5">
      <c r="A2653">
        <v>10372</v>
      </c>
      <c r="B2653" s="80">
        <v>35403</v>
      </c>
      <c r="C2653">
        <v>6324</v>
      </c>
      <c r="D2653">
        <v>40</v>
      </c>
      <c r="E2653" t="s">
        <v>174</v>
      </c>
    </row>
    <row r="2654" spans="1:5">
      <c r="A2654">
        <v>10372</v>
      </c>
      <c r="B2654" s="80">
        <v>35403</v>
      </c>
      <c r="C2654">
        <v>583.20000000000005</v>
      </c>
      <c r="D2654">
        <v>12</v>
      </c>
      <c r="E2654" t="s">
        <v>174</v>
      </c>
    </row>
    <row r="2655" spans="1:5">
      <c r="A2655">
        <v>10372</v>
      </c>
      <c r="B2655" s="80">
        <v>35403</v>
      </c>
      <c r="C2655">
        <v>875.69999999999993</v>
      </c>
      <c r="D2655">
        <v>42</v>
      </c>
      <c r="E2655" t="s">
        <v>175</v>
      </c>
    </row>
    <row r="2656" spans="1:5">
      <c r="A2656">
        <v>10372</v>
      </c>
      <c r="B2656" s="80">
        <v>35403</v>
      </c>
      <c r="C2656">
        <v>583.20000000000005</v>
      </c>
      <c r="D2656">
        <v>12</v>
      </c>
      <c r="E2656" t="s">
        <v>175</v>
      </c>
    </row>
    <row r="2657" spans="1:5">
      <c r="A2657">
        <v>10372</v>
      </c>
      <c r="B2657" s="80">
        <v>35403</v>
      </c>
      <c r="C2657">
        <v>1428</v>
      </c>
      <c r="D2657">
        <v>70</v>
      </c>
      <c r="E2657" t="s">
        <v>175</v>
      </c>
    </row>
    <row r="2658" spans="1:5">
      <c r="A2658">
        <v>10372</v>
      </c>
      <c r="B2658" s="80">
        <v>35403</v>
      </c>
      <c r="C2658">
        <v>875.69999999999993</v>
      </c>
      <c r="D2658">
        <v>42</v>
      </c>
      <c r="E2658" t="s">
        <v>174</v>
      </c>
    </row>
    <row r="2659" spans="1:5">
      <c r="A2659">
        <v>10372</v>
      </c>
      <c r="B2659" s="80">
        <v>35403</v>
      </c>
      <c r="C2659">
        <v>583.20000000000005</v>
      </c>
      <c r="D2659">
        <v>12</v>
      </c>
      <c r="E2659" t="s">
        <v>173</v>
      </c>
    </row>
    <row r="2660" spans="1:5">
      <c r="A2660">
        <v>10372</v>
      </c>
      <c r="B2660" s="80">
        <v>35403</v>
      </c>
      <c r="C2660">
        <v>6324</v>
      </c>
      <c r="D2660">
        <v>40</v>
      </c>
      <c r="E2660" t="s">
        <v>172</v>
      </c>
    </row>
    <row r="2661" spans="1:5">
      <c r="A2661">
        <v>10372</v>
      </c>
      <c r="B2661" s="80">
        <v>35403</v>
      </c>
      <c r="C2661">
        <v>1428</v>
      </c>
      <c r="D2661">
        <v>70</v>
      </c>
      <c r="E2661" t="s">
        <v>172</v>
      </c>
    </row>
    <row r="2662" spans="1:5">
      <c r="A2662">
        <v>10372</v>
      </c>
      <c r="B2662" s="80">
        <v>35403</v>
      </c>
      <c r="C2662">
        <v>583.20000000000005</v>
      </c>
      <c r="D2662">
        <v>12</v>
      </c>
      <c r="E2662" t="s">
        <v>178</v>
      </c>
    </row>
    <row r="2663" spans="1:5">
      <c r="A2663">
        <v>10372</v>
      </c>
      <c r="B2663" s="80">
        <v>35403</v>
      </c>
      <c r="C2663">
        <v>1428</v>
      </c>
      <c r="D2663">
        <v>70</v>
      </c>
      <c r="E2663" t="s">
        <v>177</v>
      </c>
    </row>
    <row r="2664" spans="1:5">
      <c r="A2664">
        <v>10372</v>
      </c>
      <c r="B2664" s="80">
        <v>35403</v>
      </c>
      <c r="C2664">
        <v>875.69999999999993</v>
      </c>
      <c r="D2664">
        <v>42</v>
      </c>
      <c r="E2664" t="s">
        <v>172</v>
      </c>
    </row>
    <row r="2665" spans="1:5">
      <c r="A2665">
        <v>10372</v>
      </c>
      <c r="B2665" s="80">
        <v>35403</v>
      </c>
      <c r="C2665">
        <v>875.69999999999993</v>
      </c>
      <c r="D2665">
        <v>42</v>
      </c>
      <c r="E2665" t="s">
        <v>173</v>
      </c>
    </row>
    <row r="2666" spans="1:5">
      <c r="A2666">
        <v>10372</v>
      </c>
      <c r="B2666" s="80">
        <v>35403</v>
      </c>
      <c r="C2666">
        <v>583.20000000000005</v>
      </c>
      <c r="D2666">
        <v>12</v>
      </c>
      <c r="E2666" t="s">
        <v>172</v>
      </c>
    </row>
    <row r="2667" spans="1:5">
      <c r="A2667">
        <v>10372</v>
      </c>
      <c r="B2667" s="80">
        <v>35403</v>
      </c>
      <c r="C2667">
        <v>6324</v>
      </c>
      <c r="D2667">
        <v>40</v>
      </c>
      <c r="E2667" t="s">
        <v>173</v>
      </c>
    </row>
    <row r="2668" spans="1:5">
      <c r="A2668">
        <v>10372</v>
      </c>
      <c r="B2668" s="80">
        <v>35403</v>
      </c>
      <c r="C2668">
        <v>875.69999999999993</v>
      </c>
      <c r="D2668">
        <v>42</v>
      </c>
      <c r="E2668" t="s">
        <v>177</v>
      </c>
    </row>
    <row r="2669" spans="1:5">
      <c r="A2669">
        <v>10372</v>
      </c>
      <c r="B2669" s="80">
        <v>35403</v>
      </c>
      <c r="C2669">
        <v>875.69999999999993</v>
      </c>
      <c r="D2669">
        <v>42</v>
      </c>
      <c r="E2669" t="s">
        <v>179</v>
      </c>
    </row>
    <row r="2670" spans="1:5">
      <c r="A2670">
        <v>10372</v>
      </c>
      <c r="B2670" s="80">
        <v>35403</v>
      </c>
      <c r="C2670">
        <v>875.69999999999993</v>
      </c>
      <c r="D2670">
        <v>42</v>
      </c>
      <c r="E2670" t="s">
        <v>178</v>
      </c>
    </row>
    <row r="2671" spans="1:5">
      <c r="A2671">
        <v>10372</v>
      </c>
      <c r="B2671" s="80">
        <v>35403</v>
      </c>
      <c r="C2671">
        <v>1428</v>
      </c>
      <c r="D2671">
        <v>70</v>
      </c>
      <c r="E2671" t="s">
        <v>178</v>
      </c>
    </row>
    <row r="2672" spans="1:5">
      <c r="A2672">
        <v>10372</v>
      </c>
      <c r="B2672" s="80">
        <v>35403</v>
      </c>
      <c r="C2672">
        <v>6324</v>
      </c>
      <c r="D2672">
        <v>40</v>
      </c>
      <c r="E2672" t="s">
        <v>178</v>
      </c>
    </row>
    <row r="2673" spans="1:5">
      <c r="A2673">
        <v>10372</v>
      </c>
      <c r="B2673" s="80">
        <v>35403</v>
      </c>
      <c r="C2673">
        <v>1428</v>
      </c>
      <c r="D2673">
        <v>70</v>
      </c>
      <c r="E2673" t="s">
        <v>173</v>
      </c>
    </row>
    <row r="2674" spans="1:5">
      <c r="A2674">
        <v>10373</v>
      </c>
      <c r="B2674" s="80">
        <v>35404</v>
      </c>
      <c r="C2674">
        <v>678.39999747276306</v>
      </c>
      <c r="D2674">
        <v>80</v>
      </c>
      <c r="E2674" t="s">
        <v>173</v>
      </c>
    </row>
    <row r="2675" spans="1:5">
      <c r="A2675">
        <v>10373</v>
      </c>
      <c r="B2675" s="80">
        <v>35404</v>
      </c>
      <c r="C2675">
        <v>678.39999747276306</v>
      </c>
      <c r="D2675">
        <v>80</v>
      </c>
      <c r="E2675" t="s">
        <v>177</v>
      </c>
    </row>
    <row r="2676" spans="1:5">
      <c r="A2676">
        <v>10373</v>
      </c>
      <c r="B2676" s="80">
        <v>35404</v>
      </c>
      <c r="C2676">
        <v>687.99999743700027</v>
      </c>
      <c r="D2676">
        <v>50</v>
      </c>
      <c r="E2676" t="s">
        <v>177</v>
      </c>
    </row>
    <row r="2677" spans="1:5">
      <c r="A2677">
        <v>10373</v>
      </c>
      <c r="B2677" s="80">
        <v>35404</v>
      </c>
      <c r="C2677">
        <v>678.39999747276306</v>
      </c>
      <c r="D2677">
        <v>80</v>
      </c>
      <c r="E2677" t="s">
        <v>176</v>
      </c>
    </row>
    <row r="2678" spans="1:5">
      <c r="A2678">
        <v>10373</v>
      </c>
      <c r="B2678" s="80">
        <v>35404</v>
      </c>
      <c r="C2678">
        <v>687.99999743700027</v>
      </c>
      <c r="D2678">
        <v>50</v>
      </c>
      <c r="E2678" t="s">
        <v>176</v>
      </c>
    </row>
    <row r="2679" spans="1:5">
      <c r="A2679">
        <v>10373</v>
      </c>
      <c r="B2679" s="80">
        <v>35404</v>
      </c>
      <c r="C2679">
        <v>678.39999747276306</v>
      </c>
      <c r="D2679">
        <v>80</v>
      </c>
      <c r="E2679" t="s">
        <v>179</v>
      </c>
    </row>
    <row r="2680" spans="1:5">
      <c r="A2680">
        <v>10373</v>
      </c>
      <c r="B2680" s="80">
        <v>35404</v>
      </c>
      <c r="C2680">
        <v>687.99999743700027</v>
      </c>
      <c r="D2680">
        <v>50</v>
      </c>
      <c r="E2680" t="s">
        <v>173</v>
      </c>
    </row>
    <row r="2681" spans="1:5">
      <c r="A2681">
        <v>10373</v>
      </c>
      <c r="B2681" s="80">
        <v>35404</v>
      </c>
      <c r="C2681">
        <v>678.39999747276306</v>
      </c>
      <c r="D2681">
        <v>80</v>
      </c>
      <c r="E2681" t="s">
        <v>174</v>
      </c>
    </row>
    <row r="2682" spans="1:5">
      <c r="A2682">
        <v>10373</v>
      </c>
      <c r="B2682" s="80">
        <v>35404</v>
      </c>
      <c r="C2682">
        <v>687.99999743700027</v>
      </c>
      <c r="D2682">
        <v>50</v>
      </c>
      <c r="E2682" t="s">
        <v>174</v>
      </c>
    </row>
    <row r="2683" spans="1:5">
      <c r="A2683">
        <v>10373</v>
      </c>
      <c r="B2683" s="80">
        <v>35404</v>
      </c>
      <c r="C2683">
        <v>687.99999743700027</v>
      </c>
      <c r="D2683">
        <v>50</v>
      </c>
      <c r="E2683" t="s">
        <v>175</v>
      </c>
    </row>
    <row r="2684" spans="1:5">
      <c r="A2684">
        <v>10373</v>
      </c>
      <c r="B2684" s="80">
        <v>35404</v>
      </c>
      <c r="C2684">
        <v>678.39999747276306</v>
      </c>
      <c r="D2684">
        <v>80</v>
      </c>
      <c r="E2684" t="s">
        <v>175</v>
      </c>
    </row>
    <row r="2685" spans="1:5">
      <c r="A2685">
        <v>10373</v>
      </c>
      <c r="B2685" s="80">
        <v>35404</v>
      </c>
      <c r="C2685">
        <v>678.39999747276306</v>
      </c>
      <c r="D2685">
        <v>80</v>
      </c>
      <c r="E2685" t="s">
        <v>172</v>
      </c>
    </row>
    <row r="2686" spans="1:5">
      <c r="A2686">
        <v>10373</v>
      </c>
      <c r="B2686" s="80">
        <v>35404</v>
      </c>
      <c r="C2686">
        <v>687.99999743700027</v>
      </c>
      <c r="D2686">
        <v>50</v>
      </c>
      <c r="E2686" t="s">
        <v>179</v>
      </c>
    </row>
    <row r="2687" spans="1:5">
      <c r="A2687">
        <v>10373</v>
      </c>
      <c r="B2687" s="80">
        <v>35404</v>
      </c>
      <c r="C2687">
        <v>678.39999747276306</v>
      </c>
      <c r="D2687">
        <v>80</v>
      </c>
      <c r="E2687" t="s">
        <v>178</v>
      </c>
    </row>
    <row r="2688" spans="1:5">
      <c r="A2688">
        <v>10373</v>
      </c>
      <c r="B2688" s="80">
        <v>35404</v>
      </c>
      <c r="C2688">
        <v>687.99999743700027</v>
      </c>
      <c r="D2688">
        <v>50</v>
      </c>
      <c r="E2688" t="s">
        <v>172</v>
      </c>
    </row>
    <row r="2689" spans="1:5">
      <c r="A2689">
        <v>10373</v>
      </c>
      <c r="B2689" s="80">
        <v>35404</v>
      </c>
      <c r="C2689">
        <v>687.99999743700027</v>
      </c>
      <c r="D2689">
        <v>50</v>
      </c>
      <c r="E2689" t="s">
        <v>178</v>
      </c>
    </row>
    <row r="2690" spans="1:5">
      <c r="A2690">
        <v>10374</v>
      </c>
      <c r="B2690" s="80">
        <v>35404</v>
      </c>
      <c r="C2690">
        <v>300</v>
      </c>
      <c r="D2690">
        <v>30</v>
      </c>
      <c r="E2690" t="s">
        <v>172</v>
      </c>
    </row>
    <row r="2691" spans="1:5">
      <c r="A2691">
        <v>10374</v>
      </c>
      <c r="B2691" s="80">
        <v>35404</v>
      </c>
      <c r="C2691">
        <v>300</v>
      </c>
      <c r="D2691">
        <v>30</v>
      </c>
      <c r="E2691" t="s">
        <v>179</v>
      </c>
    </row>
    <row r="2692" spans="1:5">
      <c r="A2692">
        <v>10374</v>
      </c>
      <c r="B2692" s="80">
        <v>35404</v>
      </c>
      <c r="C2692">
        <v>300</v>
      </c>
      <c r="D2692">
        <v>30</v>
      </c>
      <c r="E2692" t="s">
        <v>177</v>
      </c>
    </row>
    <row r="2693" spans="1:5">
      <c r="A2693">
        <v>10374</v>
      </c>
      <c r="B2693" s="80">
        <v>35404</v>
      </c>
      <c r="C2693">
        <v>159</v>
      </c>
      <c r="D2693">
        <v>15</v>
      </c>
      <c r="E2693" t="s">
        <v>177</v>
      </c>
    </row>
    <row r="2694" spans="1:5">
      <c r="A2694">
        <v>10374</v>
      </c>
      <c r="B2694" s="80">
        <v>35404</v>
      </c>
      <c r="C2694">
        <v>159</v>
      </c>
      <c r="D2694">
        <v>15</v>
      </c>
      <c r="E2694" t="s">
        <v>176</v>
      </c>
    </row>
    <row r="2695" spans="1:5">
      <c r="A2695">
        <v>10374</v>
      </c>
      <c r="B2695" s="80">
        <v>35404</v>
      </c>
      <c r="C2695">
        <v>300</v>
      </c>
      <c r="D2695">
        <v>30</v>
      </c>
      <c r="E2695" t="s">
        <v>176</v>
      </c>
    </row>
    <row r="2696" spans="1:5">
      <c r="A2696">
        <v>10374</v>
      </c>
      <c r="B2696" s="80">
        <v>35404</v>
      </c>
      <c r="C2696">
        <v>159</v>
      </c>
      <c r="D2696">
        <v>15</v>
      </c>
      <c r="E2696" t="s">
        <v>175</v>
      </c>
    </row>
    <row r="2697" spans="1:5">
      <c r="A2697">
        <v>10374</v>
      </c>
      <c r="B2697" s="80">
        <v>35404</v>
      </c>
      <c r="C2697">
        <v>159</v>
      </c>
      <c r="D2697">
        <v>15</v>
      </c>
      <c r="E2697" t="s">
        <v>179</v>
      </c>
    </row>
    <row r="2698" spans="1:5">
      <c r="A2698">
        <v>10374</v>
      </c>
      <c r="B2698" s="80">
        <v>35404</v>
      </c>
      <c r="C2698">
        <v>159</v>
      </c>
      <c r="D2698">
        <v>15</v>
      </c>
      <c r="E2698" t="s">
        <v>178</v>
      </c>
    </row>
    <row r="2699" spans="1:5">
      <c r="A2699">
        <v>10374</v>
      </c>
      <c r="B2699" s="80">
        <v>35404</v>
      </c>
      <c r="C2699">
        <v>300</v>
      </c>
      <c r="D2699">
        <v>30</v>
      </c>
      <c r="E2699" t="s">
        <v>175</v>
      </c>
    </row>
    <row r="2700" spans="1:5">
      <c r="A2700">
        <v>10374</v>
      </c>
      <c r="B2700" s="80">
        <v>35404</v>
      </c>
      <c r="C2700">
        <v>300</v>
      </c>
      <c r="D2700">
        <v>30</v>
      </c>
      <c r="E2700" t="s">
        <v>178</v>
      </c>
    </row>
    <row r="2701" spans="1:5">
      <c r="A2701">
        <v>10374</v>
      </c>
      <c r="B2701" s="80">
        <v>35404</v>
      </c>
      <c r="C2701">
        <v>159</v>
      </c>
      <c r="D2701">
        <v>15</v>
      </c>
      <c r="E2701" t="s">
        <v>173</v>
      </c>
    </row>
    <row r="2702" spans="1:5">
      <c r="A2702">
        <v>10374</v>
      </c>
      <c r="B2702" s="80">
        <v>35404</v>
      </c>
      <c r="C2702">
        <v>300</v>
      </c>
      <c r="D2702">
        <v>30</v>
      </c>
      <c r="E2702" t="s">
        <v>173</v>
      </c>
    </row>
    <row r="2703" spans="1:5">
      <c r="A2703">
        <v>10374</v>
      </c>
      <c r="B2703" s="80">
        <v>35404</v>
      </c>
      <c r="C2703">
        <v>159</v>
      </c>
      <c r="D2703">
        <v>15</v>
      </c>
      <c r="E2703" t="s">
        <v>174</v>
      </c>
    </row>
    <row r="2704" spans="1:5">
      <c r="A2704">
        <v>10374</v>
      </c>
      <c r="B2704" s="80">
        <v>35404</v>
      </c>
      <c r="C2704">
        <v>300</v>
      </c>
      <c r="D2704">
        <v>30</v>
      </c>
      <c r="E2704" t="s">
        <v>174</v>
      </c>
    </row>
    <row r="2705" spans="1:5">
      <c r="A2705">
        <v>10374</v>
      </c>
      <c r="B2705" s="80">
        <v>35404</v>
      </c>
      <c r="C2705">
        <v>159</v>
      </c>
      <c r="D2705">
        <v>15</v>
      </c>
      <c r="E2705" t="s">
        <v>172</v>
      </c>
    </row>
    <row r="2706" spans="1:5">
      <c r="A2706">
        <v>10375</v>
      </c>
      <c r="B2706" s="80">
        <v>35405</v>
      </c>
      <c r="C2706">
        <v>59</v>
      </c>
      <c r="D2706">
        <v>10</v>
      </c>
      <c r="E2706" t="s">
        <v>179</v>
      </c>
    </row>
    <row r="2707" spans="1:5">
      <c r="A2707">
        <v>10375</v>
      </c>
      <c r="B2707" s="80">
        <v>35405</v>
      </c>
      <c r="C2707">
        <v>279</v>
      </c>
      <c r="D2707">
        <v>15</v>
      </c>
      <c r="E2707" t="s">
        <v>172</v>
      </c>
    </row>
    <row r="2708" spans="1:5">
      <c r="A2708">
        <v>10375</v>
      </c>
      <c r="B2708" s="80">
        <v>35405</v>
      </c>
      <c r="C2708">
        <v>59</v>
      </c>
      <c r="D2708">
        <v>10</v>
      </c>
      <c r="E2708" t="s">
        <v>178</v>
      </c>
    </row>
    <row r="2709" spans="1:5">
      <c r="A2709">
        <v>10375</v>
      </c>
      <c r="B2709" s="80">
        <v>35405</v>
      </c>
      <c r="C2709">
        <v>279</v>
      </c>
      <c r="D2709">
        <v>15</v>
      </c>
      <c r="E2709" t="s">
        <v>176</v>
      </c>
    </row>
    <row r="2710" spans="1:5">
      <c r="A2710">
        <v>10375</v>
      </c>
      <c r="B2710" s="80">
        <v>35405</v>
      </c>
      <c r="C2710">
        <v>59</v>
      </c>
      <c r="D2710">
        <v>10</v>
      </c>
      <c r="E2710" t="s">
        <v>172</v>
      </c>
    </row>
    <row r="2711" spans="1:5">
      <c r="A2711">
        <v>10375</v>
      </c>
      <c r="B2711" s="80">
        <v>35405</v>
      </c>
      <c r="C2711">
        <v>59</v>
      </c>
      <c r="D2711">
        <v>10</v>
      </c>
      <c r="E2711" t="s">
        <v>175</v>
      </c>
    </row>
    <row r="2712" spans="1:5">
      <c r="A2712">
        <v>10375</v>
      </c>
      <c r="B2712" s="80">
        <v>35405</v>
      </c>
      <c r="C2712">
        <v>59</v>
      </c>
      <c r="D2712">
        <v>10</v>
      </c>
      <c r="E2712" t="s">
        <v>174</v>
      </c>
    </row>
    <row r="2713" spans="1:5">
      <c r="A2713">
        <v>10375</v>
      </c>
      <c r="B2713" s="80">
        <v>35405</v>
      </c>
      <c r="C2713">
        <v>279</v>
      </c>
      <c r="D2713">
        <v>15</v>
      </c>
      <c r="E2713" t="s">
        <v>174</v>
      </c>
    </row>
    <row r="2714" spans="1:5">
      <c r="A2714">
        <v>10375</v>
      </c>
      <c r="B2714" s="80">
        <v>35405</v>
      </c>
      <c r="C2714">
        <v>59</v>
      </c>
      <c r="D2714">
        <v>10</v>
      </c>
      <c r="E2714" t="s">
        <v>176</v>
      </c>
    </row>
    <row r="2715" spans="1:5">
      <c r="A2715">
        <v>10375</v>
      </c>
      <c r="B2715" s="80">
        <v>35405</v>
      </c>
      <c r="C2715">
        <v>279</v>
      </c>
      <c r="D2715">
        <v>15</v>
      </c>
      <c r="E2715" t="s">
        <v>173</v>
      </c>
    </row>
    <row r="2716" spans="1:5">
      <c r="A2716">
        <v>10375</v>
      </c>
      <c r="B2716" s="80">
        <v>35405</v>
      </c>
      <c r="C2716">
        <v>279</v>
      </c>
      <c r="D2716">
        <v>15</v>
      </c>
      <c r="E2716" t="s">
        <v>175</v>
      </c>
    </row>
    <row r="2717" spans="1:5">
      <c r="A2717">
        <v>10375</v>
      </c>
      <c r="B2717" s="80">
        <v>35405</v>
      </c>
      <c r="C2717">
        <v>279</v>
      </c>
      <c r="D2717">
        <v>15</v>
      </c>
      <c r="E2717" t="s">
        <v>179</v>
      </c>
    </row>
    <row r="2718" spans="1:5">
      <c r="A2718">
        <v>10375</v>
      </c>
      <c r="B2718" s="80">
        <v>35405</v>
      </c>
      <c r="C2718">
        <v>279</v>
      </c>
      <c r="D2718">
        <v>15</v>
      </c>
      <c r="E2718" t="s">
        <v>177</v>
      </c>
    </row>
    <row r="2719" spans="1:5">
      <c r="A2719">
        <v>10375</v>
      </c>
      <c r="B2719" s="80">
        <v>35405</v>
      </c>
      <c r="C2719">
        <v>59</v>
      </c>
      <c r="D2719">
        <v>10</v>
      </c>
      <c r="E2719" t="s">
        <v>177</v>
      </c>
    </row>
    <row r="2720" spans="1:5">
      <c r="A2720">
        <v>10375</v>
      </c>
      <c r="B2720" s="80">
        <v>35405</v>
      </c>
      <c r="C2720">
        <v>59</v>
      </c>
      <c r="D2720">
        <v>10</v>
      </c>
      <c r="E2720" t="s">
        <v>173</v>
      </c>
    </row>
    <row r="2721" spans="1:5">
      <c r="A2721">
        <v>10375</v>
      </c>
      <c r="B2721" s="80">
        <v>35405</v>
      </c>
      <c r="C2721">
        <v>279</v>
      </c>
      <c r="D2721">
        <v>15</v>
      </c>
      <c r="E2721" t="s">
        <v>178</v>
      </c>
    </row>
    <row r="2722" spans="1:5">
      <c r="A2722">
        <v>10376</v>
      </c>
      <c r="B2722" s="80">
        <v>35408</v>
      </c>
      <c r="C2722">
        <v>398.99999968707561</v>
      </c>
      <c r="D2722">
        <v>42</v>
      </c>
      <c r="E2722" t="s">
        <v>172</v>
      </c>
    </row>
    <row r="2723" spans="1:5">
      <c r="A2723">
        <v>10376</v>
      </c>
      <c r="B2723" s="80">
        <v>35408</v>
      </c>
      <c r="C2723">
        <v>398.99999968707561</v>
      </c>
      <c r="D2723">
        <v>42</v>
      </c>
      <c r="E2723" t="s">
        <v>178</v>
      </c>
    </row>
    <row r="2724" spans="1:5">
      <c r="A2724">
        <v>10376</v>
      </c>
      <c r="B2724" s="80">
        <v>35408</v>
      </c>
      <c r="C2724">
        <v>398.99999968707561</v>
      </c>
      <c r="D2724">
        <v>42</v>
      </c>
      <c r="E2724" t="s">
        <v>179</v>
      </c>
    </row>
    <row r="2725" spans="1:5">
      <c r="A2725">
        <v>10376</v>
      </c>
      <c r="B2725" s="80">
        <v>35408</v>
      </c>
      <c r="C2725">
        <v>398.99999968707561</v>
      </c>
      <c r="D2725">
        <v>42</v>
      </c>
      <c r="E2725" t="s">
        <v>177</v>
      </c>
    </row>
    <row r="2726" spans="1:5">
      <c r="A2726">
        <v>10376</v>
      </c>
      <c r="B2726" s="80">
        <v>35408</v>
      </c>
      <c r="C2726">
        <v>398.99999968707561</v>
      </c>
      <c r="D2726">
        <v>42</v>
      </c>
      <c r="E2726" t="s">
        <v>176</v>
      </c>
    </row>
    <row r="2727" spans="1:5">
      <c r="A2727">
        <v>10376</v>
      </c>
      <c r="B2727" s="80">
        <v>35408</v>
      </c>
      <c r="C2727">
        <v>398.99999968707561</v>
      </c>
      <c r="D2727">
        <v>42</v>
      </c>
      <c r="E2727" t="s">
        <v>174</v>
      </c>
    </row>
    <row r="2728" spans="1:5">
      <c r="A2728">
        <v>10376</v>
      </c>
      <c r="B2728" s="80">
        <v>35408</v>
      </c>
      <c r="C2728">
        <v>398.99999968707561</v>
      </c>
      <c r="D2728">
        <v>42</v>
      </c>
      <c r="E2728" t="s">
        <v>175</v>
      </c>
    </row>
    <row r="2729" spans="1:5">
      <c r="A2729">
        <v>10376</v>
      </c>
      <c r="B2729" s="80">
        <v>35408</v>
      </c>
      <c r="C2729">
        <v>398.99999968707561</v>
      </c>
      <c r="D2729">
        <v>42</v>
      </c>
      <c r="E2729" t="s">
        <v>173</v>
      </c>
    </row>
    <row r="2730" spans="1:5">
      <c r="A2730">
        <v>10377</v>
      </c>
      <c r="B2730" s="80">
        <v>35408</v>
      </c>
      <c r="C2730">
        <v>618.79999566078186</v>
      </c>
      <c r="D2730">
        <v>20</v>
      </c>
      <c r="E2730" t="s">
        <v>173</v>
      </c>
    </row>
    <row r="2731" spans="1:5">
      <c r="A2731">
        <v>10377</v>
      </c>
      <c r="B2731" s="80">
        <v>35408</v>
      </c>
      <c r="C2731">
        <v>244.79999828338623</v>
      </c>
      <c r="D2731">
        <v>20</v>
      </c>
      <c r="E2731" t="s">
        <v>173</v>
      </c>
    </row>
    <row r="2732" spans="1:5">
      <c r="A2732">
        <v>10377</v>
      </c>
      <c r="B2732" s="80">
        <v>35408</v>
      </c>
      <c r="C2732">
        <v>618.79999566078186</v>
      </c>
      <c r="D2732">
        <v>20</v>
      </c>
      <c r="E2732" t="s">
        <v>175</v>
      </c>
    </row>
    <row r="2733" spans="1:5">
      <c r="A2733">
        <v>10377</v>
      </c>
      <c r="B2733" s="80">
        <v>35408</v>
      </c>
      <c r="C2733">
        <v>618.79999566078186</v>
      </c>
      <c r="D2733">
        <v>20</v>
      </c>
      <c r="E2733" t="s">
        <v>179</v>
      </c>
    </row>
    <row r="2734" spans="1:5">
      <c r="A2734">
        <v>10377</v>
      </c>
      <c r="B2734" s="80">
        <v>35408</v>
      </c>
      <c r="C2734">
        <v>618.79999566078186</v>
      </c>
      <c r="D2734">
        <v>20</v>
      </c>
      <c r="E2734" t="s">
        <v>172</v>
      </c>
    </row>
    <row r="2735" spans="1:5">
      <c r="A2735">
        <v>10377</v>
      </c>
      <c r="B2735" s="80">
        <v>35408</v>
      </c>
      <c r="C2735">
        <v>244.79999828338623</v>
      </c>
      <c r="D2735">
        <v>20</v>
      </c>
      <c r="E2735" t="s">
        <v>172</v>
      </c>
    </row>
    <row r="2736" spans="1:5">
      <c r="A2736">
        <v>10377</v>
      </c>
      <c r="B2736" s="80">
        <v>35408</v>
      </c>
      <c r="C2736">
        <v>244.79999828338623</v>
      </c>
      <c r="D2736">
        <v>20</v>
      </c>
      <c r="E2736" t="s">
        <v>175</v>
      </c>
    </row>
    <row r="2737" spans="1:5">
      <c r="A2737">
        <v>10377</v>
      </c>
      <c r="B2737" s="80">
        <v>35408</v>
      </c>
      <c r="C2737">
        <v>244.79999828338623</v>
      </c>
      <c r="D2737">
        <v>20</v>
      </c>
      <c r="E2737" t="s">
        <v>177</v>
      </c>
    </row>
    <row r="2738" spans="1:5">
      <c r="A2738">
        <v>10377</v>
      </c>
      <c r="B2738" s="80">
        <v>35408</v>
      </c>
      <c r="C2738">
        <v>618.79999566078186</v>
      </c>
      <c r="D2738">
        <v>20</v>
      </c>
      <c r="E2738" t="s">
        <v>174</v>
      </c>
    </row>
    <row r="2739" spans="1:5">
      <c r="A2739">
        <v>10377</v>
      </c>
      <c r="B2739" s="80">
        <v>35408</v>
      </c>
      <c r="C2739">
        <v>618.79999566078186</v>
      </c>
      <c r="D2739">
        <v>20</v>
      </c>
      <c r="E2739" t="s">
        <v>178</v>
      </c>
    </row>
    <row r="2740" spans="1:5">
      <c r="A2740">
        <v>10377</v>
      </c>
      <c r="B2740" s="80">
        <v>35408</v>
      </c>
      <c r="C2740">
        <v>244.79999828338623</v>
      </c>
      <c r="D2740">
        <v>20</v>
      </c>
      <c r="E2740" t="s">
        <v>178</v>
      </c>
    </row>
    <row r="2741" spans="1:5">
      <c r="A2741">
        <v>10377</v>
      </c>
      <c r="B2741" s="80">
        <v>35408</v>
      </c>
      <c r="C2741">
        <v>244.79999828338623</v>
      </c>
      <c r="D2741">
        <v>20</v>
      </c>
      <c r="E2741" t="s">
        <v>179</v>
      </c>
    </row>
    <row r="2742" spans="1:5">
      <c r="A2742">
        <v>10377</v>
      </c>
      <c r="B2742" s="80">
        <v>35408</v>
      </c>
      <c r="C2742">
        <v>244.79999828338623</v>
      </c>
      <c r="D2742">
        <v>20</v>
      </c>
      <c r="E2742" t="s">
        <v>176</v>
      </c>
    </row>
    <row r="2743" spans="1:5">
      <c r="A2743">
        <v>10377</v>
      </c>
      <c r="B2743" s="80">
        <v>35408</v>
      </c>
      <c r="C2743">
        <v>618.79999566078186</v>
      </c>
      <c r="D2743">
        <v>20</v>
      </c>
      <c r="E2743" t="s">
        <v>176</v>
      </c>
    </row>
    <row r="2744" spans="1:5">
      <c r="A2744">
        <v>10377</v>
      </c>
      <c r="B2744" s="80">
        <v>35408</v>
      </c>
      <c r="C2744">
        <v>244.79999828338623</v>
      </c>
      <c r="D2744">
        <v>20</v>
      </c>
      <c r="E2744" t="s">
        <v>174</v>
      </c>
    </row>
    <row r="2745" spans="1:5">
      <c r="A2745">
        <v>10377</v>
      </c>
      <c r="B2745" s="80">
        <v>35408</v>
      </c>
      <c r="C2745">
        <v>618.79999566078186</v>
      </c>
      <c r="D2745">
        <v>20</v>
      </c>
      <c r="E2745" t="s">
        <v>177</v>
      </c>
    </row>
    <row r="2746" spans="1:5">
      <c r="A2746">
        <v>10378</v>
      </c>
      <c r="B2746" s="80">
        <v>35409</v>
      </c>
      <c r="C2746">
        <v>103.2</v>
      </c>
      <c r="D2746">
        <v>6</v>
      </c>
      <c r="E2746" t="s">
        <v>178</v>
      </c>
    </row>
    <row r="2747" spans="1:5">
      <c r="A2747">
        <v>10378</v>
      </c>
      <c r="B2747" s="80">
        <v>35409</v>
      </c>
      <c r="C2747">
        <v>103.2</v>
      </c>
      <c r="D2747">
        <v>6</v>
      </c>
      <c r="E2747" t="s">
        <v>177</v>
      </c>
    </row>
    <row r="2748" spans="1:5">
      <c r="A2748">
        <v>10378</v>
      </c>
      <c r="B2748" s="80">
        <v>35409</v>
      </c>
      <c r="C2748">
        <v>103.2</v>
      </c>
      <c r="D2748">
        <v>6</v>
      </c>
      <c r="E2748" t="s">
        <v>173</v>
      </c>
    </row>
    <row r="2749" spans="1:5">
      <c r="A2749">
        <v>10378</v>
      </c>
      <c r="B2749" s="80">
        <v>35409</v>
      </c>
      <c r="C2749">
        <v>103.2</v>
      </c>
      <c r="D2749">
        <v>6</v>
      </c>
      <c r="E2749" t="s">
        <v>175</v>
      </c>
    </row>
    <row r="2750" spans="1:5">
      <c r="A2750">
        <v>10378</v>
      </c>
      <c r="B2750" s="80">
        <v>35409</v>
      </c>
      <c r="C2750">
        <v>103.2</v>
      </c>
      <c r="D2750">
        <v>6</v>
      </c>
      <c r="E2750" t="s">
        <v>174</v>
      </c>
    </row>
    <row r="2751" spans="1:5">
      <c r="A2751">
        <v>10378</v>
      </c>
      <c r="B2751" s="80">
        <v>35409</v>
      </c>
      <c r="C2751">
        <v>103.2</v>
      </c>
      <c r="D2751">
        <v>6</v>
      </c>
      <c r="E2751" t="s">
        <v>179</v>
      </c>
    </row>
    <row r="2752" spans="1:5">
      <c r="A2752">
        <v>10378</v>
      </c>
      <c r="B2752" s="80">
        <v>35409</v>
      </c>
      <c r="C2752">
        <v>103.2</v>
      </c>
      <c r="D2752">
        <v>6</v>
      </c>
      <c r="E2752" t="s">
        <v>176</v>
      </c>
    </row>
    <row r="2753" spans="1:5">
      <c r="A2753">
        <v>10378</v>
      </c>
      <c r="B2753" s="80">
        <v>35409</v>
      </c>
      <c r="C2753">
        <v>103.2</v>
      </c>
      <c r="D2753">
        <v>6</v>
      </c>
      <c r="E2753" t="s">
        <v>172</v>
      </c>
    </row>
    <row r="2754" spans="1:5">
      <c r="A2754">
        <v>10379</v>
      </c>
      <c r="B2754" s="80">
        <v>35410</v>
      </c>
      <c r="C2754">
        <v>505.43999916315079</v>
      </c>
      <c r="D2754">
        <v>16</v>
      </c>
      <c r="E2754" t="s">
        <v>173</v>
      </c>
    </row>
    <row r="2755" spans="1:5">
      <c r="A2755">
        <v>10379</v>
      </c>
      <c r="B2755" s="80">
        <v>35410</v>
      </c>
      <c r="C2755">
        <v>55.439999908208847</v>
      </c>
      <c r="D2755">
        <v>8</v>
      </c>
      <c r="E2755" t="s">
        <v>175</v>
      </c>
    </row>
    <row r="2756" spans="1:5">
      <c r="A2756">
        <v>10379</v>
      </c>
      <c r="B2756" s="80">
        <v>35410</v>
      </c>
      <c r="C2756">
        <v>55.439999908208847</v>
      </c>
      <c r="D2756">
        <v>8</v>
      </c>
      <c r="E2756" t="s">
        <v>173</v>
      </c>
    </row>
    <row r="2757" spans="1:5">
      <c r="A2757">
        <v>10379</v>
      </c>
      <c r="B2757" s="80">
        <v>35410</v>
      </c>
      <c r="C2757">
        <v>505.43999916315079</v>
      </c>
      <c r="D2757">
        <v>16</v>
      </c>
      <c r="E2757" t="s">
        <v>176</v>
      </c>
    </row>
    <row r="2758" spans="1:5">
      <c r="A2758">
        <v>10379</v>
      </c>
      <c r="B2758" s="80">
        <v>35410</v>
      </c>
      <c r="C2758">
        <v>302.39999949932098</v>
      </c>
      <c r="D2758">
        <v>20</v>
      </c>
      <c r="E2758" t="s">
        <v>176</v>
      </c>
    </row>
    <row r="2759" spans="1:5">
      <c r="A2759">
        <v>10379</v>
      </c>
      <c r="B2759" s="80">
        <v>35410</v>
      </c>
      <c r="C2759">
        <v>505.43999916315079</v>
      </c>
      <c r="D2759">
        <v>16</v>
      </c>
      <c r="E2759" t="s">
        <v>178</v>
      </c>
    </row>
    <row r="2760" spans="1:5">
      <c r="A2760">
        <v>10379</v>
      </c>
      <c r="B2760" s="80">
        <v>35410</v>
      </c>
      <c r="C2760">
        <v>302.39999949932098</v>
      </c>
      <c r="D2760">
        <v>20</v>
      </c>
      <c r="E2760" t="s">
        <v>173</v>
      </c>
    </row>
    <row r="2761" spans="1:5">
      <c r="A2761">
        <v>10379</v>
      </c>
      <c r="B2761" s="80">
        <v>35410</v>
      </c>
      <c r="C2761">
        <v>55.439999908208847</v>
      </c>
      <c r="D2761">
        <v>8</v>
      </c>
      <c r="E2761" t="s">
        <v>178</v>
      </c>
    </row>
    <row r="2762" spans="1:5">
      <c r="A2762">
        <v>10379</v>
      </c>
      <c r="B2762" s="80">
        <v>35410</v>
      </c>
      <c r="C2762">
        <v>505.43999916315079</v>
      </c>
      <c r="D2762">
        <v>16</v>
      </c>
      <c r="E2762" t="s">
        <v>179</v>
      </c>
    </row>
    <row r="2763" spans="1:5">
      <c r="A2763">
        <v>10379</v>
      </c>
      <c r="B2763" s="80">
        <v>35410</v>
      </c>
      <c r="C2763">
        <v>55.439999908208847</v>
      </c>
      <c r="D2763">
        <v>8</v>
      </c>
      <c r="E2763" t="s">
        <v>179</v>
      </c>
    </row>
    <row r="2764" spans="1:5">
      <c r="A2764">
        <v>10379</v>
      </c>
      <c r="B2764" s="80">
        <v>35410</v>
      </c>
      <c r="C2764">
        <v>302.39999949932098</v>
      </c>
      <c r="D2764">
        <v>20</v>
      </c>
      <c r="E2764" t="s">
        <v>179</v>
      </c>
    </row>
    <row r="2765" spans="1:5">
      <c r="A2765">
        <v>10379</v>
      </c>
      <c r="B2765" s="80">
        <v>35410</v>
      </c>
      <c r="C2765">
        <v>505.43999916315079</v>
      </c>
      <c r="D2765">
        <v>16</v>
      </c>
      <c r="E2765" t="s">
        <v>177</v>
      </c>
    </row>
    <row r="2766" spans="1:5">
      <c r="A2766">
        <v>10379</v>
      </c>
      <c r="B2766" s="80">
        <v>35410</v>
      </c>
      <c r="C2766">
        <v>302.39999949932098</v>
      </c>
      <c r="D2766">
        <v>20</v>
      </c>
      <c r="E2766" t="s">
        <v>177</v>
      </c>
    </row>
    <row r="2767" spans="1:5">
      <c r="A2767">
        <v>10379</v>
      </c>
      <c r="B2767" s="80">
        <v>35410</v>
      </c>
      <c r="C2767">
        <v>55.439999908208847</v>
      </c>
      <c r="D2767">
        <v>8</v>
      </c>
      <c r="E2767" t="s">
        <v>177</v>
      </c>
    </row>
    <row r="2768" spans="1:5">
      <c r="A2768">
        <v>10379</v>
      </c>
      <c r="B2768" s="80">
        <v>35410</v>
      </c>
      <c r="C2768">
        <v>302.39999949932098</v>
      </c>
      <c r="D2768">
        <v>20</v>
      </c>
      <c r="E2768" t="s">
        <v>178</v>
      </c>
    </row>
    <row r="2769" spans="1:5">
      <c r="A2769">
        <v>10379</v>
      </c>
      <c r="B2769" s="80">
        <v>35410</v>
      </c>
      <c r="C2769">
        <v>55.439999908208847</v>
      </c>
      <c r="D2769">
        <v>8</v>
      </c>
      <c r="E2769" t="s">
        <v>172</v>
      </c>
    </row>
    <row r="2770" spans="1:5">
      <c r="A2770">
        <v>10379</v>
      </c>
      <c r="B2770" s="80">
        <v>35410</v>
      </c>
      <c r="C2770">
        <v>505.43999916315079</v>
      </c>
      <c r="D2770">
        <v>16</v>
      </c>
      <c r="E2770" t="s">
        <v>172</v>
      </c>
    </row>
    <row r="2771" spans="1:5">
      <c r="A2771">
        <v>10379</v>
      </c>
      <c r="B2771" s="80">
        <v>35410</v>
      </c>
      <c r="C2771">
        <v>302.39999949932098</v>
      </c>
      <c r="D2771">
        <v>20</v>
      </c>
      <c r="E2771" t="s">
        <v>172</v>
      </c>
    </row>
    <row r="2772" spans="1:5">
      <c r="A2772">
        <v>10379</v>
      </c>
      <c r="B2772" s="80">
        <v>35410</v>
      </c>
      <c r="C2772">
        <v>505.43999916315079</v>
      </c>
      <c r="D2772">
        <v>16</v>
      </c>
      <c r="E2772" t="s">
        <v>174</v>
      </c>
    </row>
    <row r="2773" spans="1:5">
      <c r="A2773">
        <v>10379</v>
      </c>
      <c r="B2773" s="80">
        <v>35410</v>
      </c>
      <c r="C2773">
        <v>302.39999949932098</v>
      </c>
      <c r="D2773">
        <v>20</v>
      </c>
      <c r="E2773" t="s">
        <v>174</v>
      </c>
    </row>
    <row r="2774" spans="1:5">
      <c r="A2774">
        <v>10379</v>
      </c>
      <c r="B2774" s="80">
        <v>35410</v>
      </c>
      <c r="C2774">
        <v>55.439999908208847</v>
      </c>
      <c r="D2774">
        <v>8</v>
      </c>
      <c r="E2774" t="s">
        <v>176</v>
      </c>
    </row>
    <row r="2775" spans="1:5">
      <c r="A2775">
        <v>10379</v>
      </c>
      <c r="B2775" s="80">
        <v>35410</v>
      </c>
      <c r="C2775">
        <v>505.43999916315079</v>
      </c>
      <c r="D2775">
        <v>16</v>
      </c>
      <c r="E2775" t="s">
        <v>175</v>
      </c>
    </row>
    <row r="2776" spans="1:5">
      <c r="A2776">
        <v>10379</v>
      </c>
      <c r="B2776" s="80">
        <v>35410</v>
      </c>
      <c r="C2776">
        <v>302.39999949932098</v>
      </c>
      <c r="D2776">
        <v>20</v>
      </c>
      <c r="E2776" t="s">
        <v>175</v>
      </c>
    </row>
    <row r="2777" spans="1:5">
      <c r="A2777">
        <v>10379</v>
      </c>
      <c r="B2777" s="80">
        <v>35410</v>
      </c>
      <c r="C2777">
        <v>55.439999908208847</v>
      </c>
      <c r="D2777">
        <v>8</v>
      </c>
      <c r="E2777" t="s">
        <v>174</v>
      </c>
    </row>
    <row r="2778" spans="1:5">
      <c r="A2778">
        <v>10380</v>
      </c>
      <c r="B2778" s="80">
        <v>35411</v>
      </c>
      <c r="C2778">
        <v>471.59999921917915</v>
      </c>
      <c r="D2778">
        <v>20</v>
      </c>
      <c r="E2778" t="s">
        <v>174</v>
      </c>
    </row>
    <row r="2779" spans="1:5">
      <c r="A2779">
        <v>10380</v>
      </c>
      <c r="B2779" s="80">
        <v>35411</v>
      </c>
      <c r="C2779">
        <v>335.33999944478273</v>
      </c>
      <c r="D2779">
        <v>18</v>
      </c>
      <c r="E2779" t="s">
        <v>174</v>
      </c>
    </row>
    <row r="2780" spans="1:5">
      <c r="A2780">
        <v>10380</v>
      </c>
      <c r="B2780" s="80">
        <v>35411</v>
      </c>
      <c r="C2780">
        <v>335.33999944478273</v>
      </c>
      <c r="D2780">
        <v>18</v>
      </c>
      <c r="E2780" t="s">
        <v>172</v>
      </c>
    </row>
    <row r="2781" spans="1:5">
      <c r="A2781">
        <v>10380</v>
      </c>
      <c r="B2781" s="80">
        <v>35411</v>
      </c>
      <c r="C2781">
        <v>471.59999921917915</v>
      </c>
      <c r="D2781">
        <v>20</v>
      </c>
      <c r="E2781" t="s">
        <v>175</v>
      </c>
    </row>
    <row r="2782" spans="1:5">
      <c r="A2782">
        <v>10380</v>
      </c>
      <c r="B2782" s="80">
        <v>35411</v>
      </c>
      <c r="C2782">
        <v>146.87999975681305</v>
      </c>
      <c r="D2782">
        <v>6</v>
      </c>
      <c r="E2782" t="s">
        <v>175</v>
      </c>
    </row>
    <row r="2783" spans="1:5">
      <c r="A2783">
        <v>10380</v>
      </c>
      <c r="B2783" s="80">
        <v>35411</v>
      </c>
      <c r="C2783">
        <v>360</v>
      </c>
      <c r="D2783">
        <v>30</v>
      </c>
      <c r="E2783" t="s">
        <v>175</v>
      </c>
    </row>
    <row r="2784" spans="1:5">
      <c r="A2784">
        <v>10380</v>
      </c>
      <c r="B2784" s="80">
        <v>35411</v>
      </c>
      <c r="C2784">
        <v>471.59999921917915</v>
      </c>
      <c r="D2784">
        <v>20</v>
      </c>
      <c r="E2784" t="s">
        <v>177</v>
      </c>
    </row>
    <row r="2785" spans="1:5">
      <c r="A2785">
        <v>10380</v>
      </c>
      <c r="B2785" s="80">
        <v>35411</v>
      </c>
      <c r="C2785">
        <v>146.87999975681305</v>
      </c>
      <c r="D2785">
        <v>6</v>
      </c>
      <c r="E2785" t="s">
        <v>174</v>
      </c>
    </row>
    <row r="2786" spans="1:5">
      <c r="A2786">
        <v>10380</v>
      </c>
      <c r="B2786" s="80">
        <v>35411</v>
      </c>
      <c r="C2786">
        <v>335.33999944478273</v>
      </c>
      <c r="D2786">
        <v>18</v>
      </c>
      <c r="E2786" t="s">
        <v>175</v>
      </c>
    </row>
    <row r="2787" spans="1:5">
      <c r="A2787">
        <v>10380</v>
      </c>
      <c r="B2787" s="80">
        <v>35411</v>
      </c>
      <c r="C2787">
        <v>360</v>
      </c>
      <c r="D2787">
        <v>30</v>
      </c>
      <c r="E2787" t="s">
        <v>174</v>
      </c>
    </row>
    <row r="2788" spans="1:5">
      <c r="A2788">
        <v>10380</v>
      </c>
      <c r="B2788" s="80">
        <v>35411</v>
      </c>
      <c r="C2788">
        <v>146.87999975681305</v>
      </c>
      <c r="D2788">
        <v>6</v>
      </c>
      <c r="E2788" t="s">
        <v>177</v>
      </c>
    </row>
    <row r="2789" spans="1:5">
      <c r="A2789">
        <v>10380</v>
      </c>
      <c r="B2789" s="80">
        <v>35411</v>
      </c>
      <c r="C2789">
        <v>471.59999921917915</v>
      </c>
      <c r="D2789">
        <v>20</v>
      </c>
      <c r="E2789" t="s">
        <v>176</v>
      </c>
    </row>
    <row r="2790" spans="1:5">
      <c r="A2790">
        <v>10380</v>
      </c>
      <c r="B2790" s="80">
        <v>35411</v>
      </c>
      <c r="C2790">
        <v>146.87999975681305</v>
      </c>
      <c r="D2790">
        <v>6</v>
      </c>
      <c r="E2790" t="s">
        <v>176</v>
      </c>
    </row>
    <row r="2791" spans="1:5">
      <c r="A2791">
        <v>10380</v>
      </c>
      <c r="B2791" s="80">
        <v>35411</v>
      </c>
      <c r="C2791">
        <v>360</v>
      </c>
      <c r="D2791">
        <v>30</v>
      </c>
      <c r="E2791" t="s">
        <v>176</v>
      </c>
    </row>
    <row r="2792" spans="1:5">
      <c r="A2792">
        <v>10380</v>
      </c>
      <c r="B2792" s="80">
        <v>35411</v>
      </c>
      <c r="C2792">
        <v>360</v>
      </c>
      <c r="D2792">
        <v>30</v>
      </c>
      <c r="E2792" t="s">
        <v>178</v>
      </c>
    </row>
    <row r="2793" spans="1:5">
      <c r="A2793">
        <v>10380</v>
      </c>
      <c r="B2793" s="80">
        <v>35411</v>
      </c>
      <c r="C2793">
        <v>146.87999975681305</v>
      </c>
      <c r="D2793">
        <v>6</v>
      </c>
      <c r="E2793" t="s">
        <v>172</v>
      </c>
    </row>
    <row r="2794" spans="1:5">
      <c r="A2794">
        <v>10380</v>
      </c>
      <c r="B2794" s="80">
        <v>35411</v>
      </c>
      <c r="C2794">
        <v>146.87999975681305</v>
      </c>
      <c r="D2794">
        <v>6</v>
      </c>
      <c r="E2794" t="s">
        <v>178</v>
      </c>
    </row>
    <row r="2795" spans="1:5">
      <c r="A2795">
        <v>10380</v>
      </c>
      <c r="B2795" s="80">
        <v>35411</v>
      </c>
      <c r="C2795">
        <v>335.33999944478273</v>
      </c>
      <c r="D2795">
        <v>18</v>
      </c>
      <c r="E2795" t="s">
        <v>177</v>
      </c>
    </row>
    <row r="2796" spans="1:5">
      <c r="A2796">
        <v>10380</v>
      </c>
      <c r="B2796" s="80">
        <v>35411</v>
      </c>
      <c r="C2796">
        <v>360</v>
      </c>
      <c r="D2796">
        <v>30</v>
      </c>
      <c r="E2796" t="s">
        <v>172</v>
      </c>
    </row>
    <row r="2797" spans="1:5">
      <c r="A2797">
        <v>10380</v>
      </c>
      <c r="B2797" s="80">
        <v>35411</v>
      </c>
      <c r="C2797">
        <v>471.59999921917915</v>
      </c>
      <c r="D2797">
        <v>20</v>
      </c>
      <c r="E2797" t="s">
        <v>178</v>
      </c>
    </row>
    <row r="2798" spans="1:5">
      <c r="A2798">
        <v>10380</v>
      </c>
      <c r="B2798" s="80">
        <v>35411</v>
      </c>
      <c r="C2798">
        <v>335.33999944478273</v>
      </c>
      <c r="D2798">
        <v>18</v>
      </c>
      <c r="E2798" t="s">
        <v>178</v>
      </c>
    </row>
    <row r="2799" spans="1:5">
      <c r="A2799">
        <v>10380</v>
      </c>
      <c r="B2799" s="80">
        <v>35411</v>
      </c>
      <c r="C2799">
        <v>335.33999944478273</v>
      </c>
      <c r="D2799">
        <v>18</v>
      </c>
      <c r="E2799" t="s">
        <v>176</v>
      </c>
    </row>
    <row r="2800" spans="1:5">
      <c r="A2800">
        <v>10380</v>
      </c>
      <c r="B2800" s="80">
        <v>35411</v>
      </c>
      <c r="C2800">
        <v>360</v>
      </c>
      <c r="D2800">
        <v>30</v>
      </c>
      <c r="E2800" t="s">
        <v>177</v>
      </c>
    </row>
    <row r="2801" spans="1:5">
      <c r="A2801">
        <v>10380</v>
      </c>
      <c r="B2801" s="80">
        <v>35411</v>
      </c>
      <c r="C2801">
        <v>471.59999921917915</v>
      </c>
      <c r="D2801">
        <v>20</v>
      </c>
      <c r="E2801" t="s">
        <v>172</v>
      </c>
    </row>
    <row r="2802" spans="1:5">
      <c r="A2802">
        <v>10380</v>
      </c>
      <c r="B2802" s="80">
        <v>35411</v>
      </c>
      <c r="C2802">
        <v>360</v>
      </c>
      <c r="D2802">
        <v>30</v>
      </c>
      <c r="E2802" t="s">
        <v>179</v>
      </c>
    </row>
    <row r="2803" spans="1:5">
      <c r="A2803">
        <v>10380</v>
      </c>
      <c r="B2803" s="80">
        <v>35411</v>
      </c>
      <c r="C2803">
        <v>360</v>
      </c>
      <c r="D2803">
        <v>30</v>
      </c>
      <c r="E2803" t="s">
        <v>173</v>
      </c>
    </row>
    <row r="2804" spans="1:5">
      <c r="A2804">
        <v>10380</v>
      </c>
      <c r="B2804" s="80">
        <v>35411</v>
      </c>
      <c r="C2804">
        <v>146.87999975681305</v>
      </c>
      <c r="D2804">
        <v>6</v>
      </c>
      <c r="E2804" t="s">
        <v>173</v>
      </c>
    </row>
    <row r="2805" spans="1:5">
      <c r="A2805">
        <v>10380</v>
      </c>
      <c r="B2805" s="80">
        <v>35411</v>
      </c>
      <c r="C2805">
        <v>471.59999921917915</v>
      </c>
      <c r="D2805">
        <v>20</v>
      </c>
      <c r="E2805" t="s">
        <v>173</v>
      </c>
    </row>
    <row r="2806" spans="1:5">
      <c r="A2806">
        <v>10380</v>
      </c>
      <c r="B2806" s="80">
        <v>35411</v>
      </c>
      <c r="C2806">
        <v>335.33999944478273</v>
      </c>
      <c r="D2806">
        <v>18</v>
      </c>
      <c r="E2806" t="s">
        <v>173</v>
      </c>
    </row>
    <row r="2807" spans="1:5">
      <c r="A2807">
        <v>10380</v>
      </c>
      <c r="B2807" s="80">
        <v>35411</v>
      </c>
      <c r="C2807">
        <v>335.33999944478273</v>
      </c>
      <c r="D2807">
        <v>18</v>
      </c>
      <c r="E2807" t="s">
        <v>179</v>
      </c>
    </row>
    <row r="2808" spans="1:5">
      <c r="A2808">
        <v>10380</v>
      </c>
      <c r="B2808" s="80">
        <v>35411</v>
      </c>
      <c r="C2808">
        <v>471.59999921917915</v>
      </c>
      <c r="D2808">
        <v>20</v>
      </c>
      <c r="E2808" t="s">
        <v>179</v>
      </c>
    </row>
    <row r="2809" spans="1:5">
      <c r="A2809">
        <v>10380</v>
      </c>
      <c r="B2809" s="80">
        <v>35411</v>
      </c>
      <c r="C2809">
        <v>146.87999975681305</v>
      </c>
      <c r="D2809">
        <v>6</v>
      </c>
      <c r="E2809" t="s">
        <v>179</v>
      </c>
    </row>
    <row r="2810" spans="1:5">
      <c r="A2810">
        <v>10381</v>
      </c>
      <c r="B2810" s="80">
        <v>35411</v>
      </c>
      <c r="C2810">
        <v>112</v>
      </c>
      <c r="D2810">
        <v>14</v>
      </c>
      <c r="E2810" t="s">
        <v>179</v>
      </c>
    </row>
    <row r="2811" spans="1:5">
      <c r="A2811">
        <v>10381</v>
      </c>
      <c r="B2811" s="80">
        <v>35411</v>
      </c>
      <c r="C2811">
        <v>112</v>
      </c>
      <c r="D2811">
        <v>14</v>
      </c>
      <c r="E2811" t="s">
        <v>174</v>
      </c>
    </row>
    <row r="2812" spans="1:5">
      <c r="A2812">
        <v>10381</v>
      </c>
      <c r="B2812" s="80">
        <v>35411</v>
      </c>
      <c r="C2812">
        <v>112</v>
      </c>
      <c r="D2812">
        <v>14</v>
      </c>
      <c r="E2812" t="s">
        <v>177</v>
      </c>
    </row>
    <row r="2813" spans="1:5">
      <c r="A2813">
        <v>10381</v>
      </c>
      <c r="B2813" s="80">
        <v>35411</v>
      </c>
      <c r="C2813">
        <v>112</v>
      </c>
      <c r="D2813">
        <v>14</v>
      </c>
      <c r="E2813" t="s">
        <v>176</v>
      </c>
    </row>
    <row r="2814" spans="1:5">
      <c r="A2814">
        <v>10381</v>
      </c>
      <c r="B2814" s="80">
        <v>35411</v>
      </c>
      <c r="C2814">
        <v>112</v>
      </c>
      <c r="D2814">
        <v>14</v>
      </c>
      <c r="E2814" t="s">
        <v>178</v>
      </c>
    </row>
    <row r="2815" spans="1:5">
      <c r="A2815">
        <v>10381</v>
      </c>
      <c r="B2815" s="80">
        <v>35411</v>
      </c>
      <c r="C2815">
        <v>112</v>
      </c>
      <c r="D2815">
        <v>14</v>
      </c>
      <c r="E2815" t="s">
        <v>172</v>
      </c>
    </row>
    <row r="2816" spans="1:5">
      <c r="A2816">
        <v>10381</v>
      </c>
      <c r="B2816" s="80">
        <v>35411</v>
      </c>
      <c r="C2816">
        <v>112</v>
      </c>
      <c r="D2816">
        <v>14</v>
      </c>
      <c r="E2816" t="s">
        <v>173</v>
      </c>
    </row>
    <row r="2817" spans="1:5">
      <c r="A2817">
        <v>10381</v>
      </c>
      <c r="B2817" s="80">
        <v>35411</v>
      </c>
      <c r="C2817">
        <v>112</v>
      </c>
      <c r="D2817">
        <v>14</v>
      </c>
      <c r="E2817" t="s">
        <v>175</v>
      </c>
    </row>
    <row r="2818" spans="1:5">
      <c r="A2818">
        <v>10382</v>
      </c>
      <c r="B2818" s="80">
        <v>35412</v>
      </c>
      <c r="C2818">
        <v>544</v>
      </c>
      <c r="D2818">
        <v>32</v>
      </c>
      <c r="E2818" t="s">
        <v>172</v>
      </c>
    </row>
    <row r="2819" spans="1:5">
      <c r="A2819">
        <v>10382</v>
      </c>
      <c r="B2819" s="80">
        <v>35412</v>
      </c>
      <c r="C2819">
        <v>450</v>
      </c>
      <c r="D2819">
        <v>9</v>
      </c>
      <c r="E2819" t="s">
        <v>172</v>
      </c>
    </row>
    <row r="2820" spans="1:5">
      <c r="A2820">
        <v>10382</v>
      </c>
      <c r="B2820" s="80">
        <v>35412</v>
      </c>
      <c r="C2820">
        <v>1386</v>
      </c>
      <c r="D2820">
        <v>14</v>
      </c>
      <c r="E2820" t="s">
        <v>172</v>
      </c>
    </row>
    <row r="2821" spans="1:5">
      <c r="A2821">
        <v>10382</v>
      </c>
      <c r="B2821" s="80">
        <v>35412</v>
      </c>
      <c r="C2821">
        <v>120</v>
      </c>
      <c r="D2821">
        <v>60</v>
      </c>
      <c r="E2821" t="s">
        <v>172</v>
      </c>
    </row>
    <row r="2822" spans="1:5">
      <c r="A2822">
        <v>10382</v>
      </c>
      <c r="B2822" s="80">
        <v>35412</v>
      </c>
      <c r="C2822">
        <v>400</v>
      </c>
      <c r="D2822">
        <v>50</v>
      </c>
      <c r="E2822" t="s">
        <v>172</v>
      </c>
    </row>
    <row r="2823" spans="1:5">
      <c r="A2823">
        <v>10382</v>
      </c>
      <c r="B2823" s="80">
        <v>35412</v>
      </c>
      <c r="C2823">
        <v>1386</v>
      </c>
      <c r="D2823">
        <v>14</v>
      </c>
      <c r="E2823" t="s">
        <v>175</v>
      </c>
    </row>
    <row r="2824" spans="1:5">
      <c r="A2824">
        <v>10382</v>
      </c>
      <c r="B2824" s="80">
        <v>35412</v>
      </c>
      <c r="C2824">
        <v>1386</v>
      </c>
      <c r="D2824">
        <v>14</v>
      </c>
      <c r="E2824" t="s">
        <v>174</v>
      </c>
    </row>
    <row r="2825" spans="1:5">
      <c r="A2825">
        <v>10382</v>
      </c>
      <c r="B2825" s="80">
        <v>35412</v>
      </c>
      <c r="C2825">
        <v>544</v>
      </c>
      <c r="D2825">
        <v>32</v>
      </c>
      <c r="E2825" t="s">
        <v>173</v>
      </c>
    </row>
    <row r="2826" spans="1:5">
      <c r="A2826">
        <v>10382</v>
      </c>
      <c r="B2826" s="80">
        <v>35412</v>
      </c>
      <c r="C2826">
        <v>544</v>
      </c>
      <c r="D2826">
        <v>32</v>
      </c>
      <c r="E2826" t="s">
        <v>179</v>
      </c>
    </row>
    <row r="2827" spans="1:5">
      <c r="A2827">
        <v>10382</v>
      </c>
      <c r="B2827" s="80">
        <v>35412</v>
      </c>
      <c r="C2827">
        <v>450</v>
      </c>
      <c r="D2827">
        <v>9</v>
      </c>
      <c r="E2827" t="s">
        <v>179</v>
      </c>
    </row>
    <row r="2828" spans="1:5">
      <c r="A2828">
        <v>10382</v>
      </c>
      <c r="B2828" s="80">
        <v>35412</v>
      </c>
      <c r="C2828">
        <v>1386</v>
      </c>
      <c r="D2828">
        <v>14</v>
      </c>
      <c r="E2828" t="s">
        <v>179</v>
      </c>
    </row>
    <row r="2829" spans="1:5">
      <c r="A2829">
        <v>10382</v>
      </c>
      <c r="B2829" s="80">
        <v>35412</v>
      </c>
      <c r="C2829">
        <v>120</v>
      </c>
      <c r="D2829">
        <v>60</v>
      </c>
      <c r="E2829" t="s">
        <v>179</v>
      </c>
    </row>
    <row r="2830" spans="1:5">
      <c r="A2830">
        <v>10382</v>
      </c>
      <c r="B2830" s="80">
        <v>35412</v>
      </c>
      <c r="C2830">
        <v>400</v>
      </c>
      <c r="D2830">
        <v>50</v>
      </c>
      <c r="E2830" t="s">
        <v>179</v>
      </c>
    </row>
    <row r="2831" spans="1:5">
      <c r="A2831">
        <v>10382</v>
      </c>
      <c r="B2831" s="80">
        <v>35412</v>
      </c>
      <c r="C2831">
        <v>400</v>
      </c>
      <c r="D2831">
        <v>50</v>
      </c>
      <c r="E2831" t="s">
        <v>175</v>
      </c>
    </row>
    <row r="2832" spans="1:5">
      <c r="A2832">
        <v>10382</v>
      </c>
      <c r="B2832" s="80">
        <v>35412</v>
      </c>
      <c r="C2832">
        <v>120</v>
      </c>
      <c r="D2832">
        <v>60</v>
      </c>
      <c r="E2832" t="s">
        <v>174</v>
      </c>
    </row>
    <row r="2833" spans="1:5">
      <c r="A2833">
        <v>10382</v>
      </c>
      <c r="B2833" s="80">
        <v>35412</v>
      </c>
      <c r="C2833">
        <v>544</v>
      </c>
      <c r="D2833">
        <v>32</v>
      </c>
      <c r="E2833" t="s">
        <v>175</v>
      </c>
    </row>
    <row r="2834" spans="1:5">
      <c r="A2834">
        <v>10382</v>
      </c>
      <c r="B2834" s="80">
        <v>35412</v>
      </c>
      <c r="C2834">
        <v>450</v>
      </c>
      <c r="D2834">
        <v>9</v>
      </c>
      <c r="E2834" t="s">
        <v>174</v>
      </c>
    </row>
    <row r="2835" spans="1:5">
      <c r="A2835">
        <v>10382</v>
      </c>
      <c r="B2835" s="80">
        <v>35412</v>
      </c>
      <c r="C2835">
        <v>544</v>
      </c>
      <c r="D2835">
        <v>32</v>
      </c>
      <c r="E2835" t="s">
        <v>174</v>
      </c>
    </row>
    <row r="2836" spans="1:5">
      <c r="A2836">
        <v>10382</v>
      </c>
      <c r="B2836" s="80">
        <v>35412</v>
      </c>
      <c r="C2836">
        <v>400</v>
      </c>
      <c r="D2836">
        <v>50</v>
      </c>
      <c r="E2836" t="s">
        <v>173</v>
      </c>
    </row>
    <row r="2837" spans="1:5">
      <c r="A2837">
        <v>10382</v>
      </c>
      <c r="B2837" s="80">
        <v>35412</v>
      </c>
      <c r="C2837">
        <v>120</v>
      </c>
      <c r="D2837">
        <v>60</v>
      </c>
      <c r="E2837" t="s">
        <v>173</v>
      </c>
    </row>
    <row r="2838" spans="1:5">
      <c r="A2838">
        <v>10382</v>
      </c>
      <c r="B2838" s="80">
        <v>35412</v>
      </c>
      <c r="C2838">
        <v>1386</v>
      </c>
      <c r="D2838">
        <v>14</v>
      </c>
      <c r="E2838" t="s">
        <v>173</v>
      </c>
    </row>
    <row r="2839" spans="1:5">
      <c r="A2839">
        <v>10382</v>
      </c>
      <c r="B2839" s="80">
        <v>35412</v>
      </c>
      <c r="C2839">
        <v>450</v>
      </c>
      <c r="D2839">
        <v>9</v>
      </c>
      <c r="E2839" t="s">
        <v>173</v>
      </c>
    </row>
    <row r="2840" spans="1:5">
      <c r="A2840">
        <v>10382</v>
      </c>
      <c r="B2840" s="80">
        <v>35412</v>
      </c>
      <c r="C2840">
        <v>400</v>
      </c>
      <c r="D2840">
        <v>50</v>
      </c>
      <c r="E2840" t="s">
        <v>174</v>
      </c>
    </row>
    <row r="2841" spans="1:5">
      <c r="A2841">
        <v>10382</v>
      </c>
      <c r="B2841" s="80">
        <v>35412</v>
      </c>
      <c r="C2841">
        <v>450</v>
      </c>
      <c r="D2841">
        <v>9</v>
      </c>
      <c r="E2841" t="s">
        <v>177</v>
      </c>
    </row>
    <row r="2842" spans="1:5">
      <c r="A2842">
        <v>10382</v>
      </c>
      <c r="B2842" s="80">
        <v>35412</v>
      </c>
      <c r="C2842">
        <v>400</v>
      </c>
      <c r="D2842">
        <v>50</v>
      </c>
      <c r="E2842" t="s">
        <v>178</v>
      </c>
    </row>
    <row r="2843" spans="1:5">
      <c r="A2843">
        <v>10382</v>
      </c>
      <c r="B2843" s="80">
        <v>35412</v>
      </c>
      <c r="C2843">
        <v>120</v>
      </c>
      <c r="D2843">
        <v>60</v>
      </c>
      <c r="E2843" t="s">
        <v>178</v>
      </c>
    </row>
    <row r="2844" spans="1:5">
      <c r="A2844">
        <v>10382</v>
      </c>
      <c r="B2844" s="80">
        <v>35412</v>
      </c>
      <c r="C2844">
        <v>1386</v>
      </c>
      <c r="D2844">
        <v>14</v>
      </c>
      <c r="E2844" t="s">
        <v>178</v>
      </c>
    </row>
    <row r="2845" spans="1:5">
      <c r="A2845">
        <v>10382</v>
      </c>
      <c r="B2845" s="80">
        <v>35412</v>
      </c>
      <c r="C2845">
        <v>450</v>
      </c>
      <c r="D2845">
        <v>9</v>
      </c>
      <c r="E2845" t="s">
        <v>178</v>
      </c>
    </row>
    <row r="2846" spans="1:5">
      <c r="A2846">
        <v>10382</v>
      </c>
      <c r="B2846" s="80">
        <v>35412</v>
      </c>
      <c r="C2846">
        <v>544</v>
      </c>
      <c r="D2846">
        <v>32</v>
      </c>
      <c r="E2846" t="s">
        <v>178</v>
      </c>
    </row>
    <row r="2847" spans="1:5">
      <c r="A2847">
        <v>10382</v>
      </c>
      <c r="B2847" s="80">
        <v>35412</v>
      </c>
      <c r="C2847">
        <v>400</v>
      </c>
      <c r="D2847">
        <v>50</v>
      </c>
      <c r="E2847" t="s">
        <v>177</v>
      </c>
    </row>
    <row r="2848" spans="1:5">
      <c r="A2848">
        <v>10382</v>
      </c>
      <c r="B2848" s="80">
        <v>35412</v>
      </c>
      <c r="C2848">
        <v>450</v>
      </c>
      <c r="D2848">
        <v>9</v>
      </c>
      <c r="E2848" t="s">
        <v>175</v>
      </c>
    </row>
    <row r="2849" spans="1:5">
      <c r="A2849">
        <v>10382</v>
      </c>
      <c r="B2849" s="80">
        <v>35412</v>
      </c>
      <c r="C2849">
        <v>1386</v>
      </c>
      <c r="D2849">
        <v>14</v>
      </c>
      <c r="E2849" t="s">
        <v>177</v>
      </c>
    </row>
    <row r="2850" spans="1:5">
      <c r="A2850">
        <v>10382</v>
      </c>
      <c r="B2850" s="80">
        <v>35412</v>
      </c>
      <c r="C2850">
        <v>120</v>
      </c>
      <c r="D2850">
        <v>60</v>
      </c>
      <c r="E2850" t="s">
        <v>175</v>
      </c>
    </row>
    <row r="2851" spans="1:5">
      <c r="A2851">
        <v>10382</v>
      </c>
      <c r="B2851" s="80">
        <v>35412</v>
      </c>
      <c r="C2851">
        <v>544</v>
      </c>
      <c r="D2851">
        <v>32</v>
      </c>
      <c r="E2851" t="s">
        <v>177</v>
      </c>
    </row>
    <row r="2852" spans="1:5">
      <c r="A2852">
        <v>10382</v>
      </c>
      <c r="B2852" s="80">
        <v>35412</v>
      </c>
      <c r="C2852">
        <v>400</v>
      </c>
      <c r="D2852">
        <v>50</v>
      </c>
      <c r="E2852" t="s">
        <v>176</v>
      </c>
    </row>
    <row r="2853" spans="1:5">
      <c r="A2853">
        <v>10382</v>
      </c>
      <c r="B2853" s="80">
        <v>35412</v>
      </c>
      <c r="C2853">
        <v>120</v>
      </c>
      <c r="D2853">
        <v>60</v>
      </c>
      <c r="E2853" t="s">
        <v>176</v>
      </c>
    </row>
    <row r="2854" spans="1:5">
      <c r="A2854">
        <v>10382</v>
      </c>
      <c r="B2854" s="80">
        <v>35412</v>
      </c>
      <c r="C2854">
        <v>1386</v>
      </c>
      <c r="D2854">
        <v>14</v>
      </c>
      <c r="E2854" t="s">
        <v>176</v>
      </c>
    </row>
    <row r="2855" spans="1:5">
      <c r="A2855">
        <v>10382</v>
      </c>
      <c r="B2855" s="80">
        <v>35412</v>
      </c>
      <c r="C2855">
        <v>450</v>
      </c>
      <c r="D2855">
        <v>9</v>
      </c>
      <c r="E2855" t="s">
        <v>176</v>
      </c>
    </row>
    <row r="2856" spans="1:5">
      <c r="A2856">
        <v>10382</v>
      </c>
      <c r="B2856" s="80">
        <v>35412</v>
      </c>
      <c r="C2856">
        <v>544</v>
      </c>
      <c r="D2856">
        <v>32</v>
      </c>
      <c r="E2856" t="s">
        <v>176</v>
      </c>
    </row>
    <row r="2857" spans="1:5">
      <c r="A2857">
        <v>10382</v>
      </c>
      <c r="B2857" s="80">
        <v>35412</v>
      </c>
      <c r="C2857">
        <v>120</v>
      </c>
      <c r="D2857">
        <v>60</v>
      </c>
      <c r="E2857" t="s">
        <v>177</v>
      </c>
    </row>
    <row r="2858" spans="1:5">
      <c r="A2858">
        <v>10383</v>
      </c>
      <c r="B2858" s="80">
        <v>35415</v>
      </c>
      <c r="C2858">
        <v>195</v>
      </c>
      <c r="D2858">
        <v>15</v>
      </c>
      <c r="E2858" t="s">
        <v>176</v>
      </c>
    </row>
    <row r="2859" spans="1:5">
      <c r="A2859">
        <v>10383</v>
      </c>
      <c r="B2859" s="80">
        <v>35415</v>
      </c>
      <c r="C2859">
        <v>195</v>
      </c>
      <c r="D2859">
        <v>15</v>
      </c>
      <c r="E2859" t="s">
        <v>172</v>
      </c>
    </row>
    <row r="2860" spans="1:5">
      <c r="A2860">
        <v>10383</v>
      </c>
      <c r="B2860" s="80">
        <v>35415</v>
      </c>
      <c r="C2860">
        <v>96</v>
      </c>
      <c r="D2860">
        <v>20</v>
      </c>
      <c r="E2860" t="s">
        <v>172</v>
      </c>
    </row>
    <row r="2861" spans="1:5">
      <c r="A2861">
        <v>10383</v>
      </c>
      <c r="B2861" s="80">
        <v>35415</v>
      </c>
      <c r="C2861">
        <v>608</v>
      </c>
      <c r="D2861">
        <v>20</v>
      </c>
      <c r="E2861" t="s">
        <v>178</v>
      </c>
    </row>
    <row r="2862" spans="1:5">
      <c r="A2862">
        <v>10383</v>
      </c>
      <c r="B2862" s="80">
        <v>35415</v>
      </c>
      <c r="C2862">
        <v>195</v>
      </c>
      <c r="D2862">
        <v>15</v>
      </c>
      <c r="E2862" t="s">
        <v>178</v>
      </c>
    </row>
    <row r="2863" spans="1:5">
      <c r="A2863">
        <v>10383</v>
      </c>
      <c r="B2863" s="80">
        <v>35415</v>
      </c>
      <c r="C2863">
        <v>96</v>
      </c>
      <c r="D2863">
        <v>20</v>
      </c>
      <c r="E2863" t="s">
        <v>178</v>
      </c>
    </row>
    <row r="2864" spans="1:5">
      <c r="A2864">
        <v>10383</v>
      </c>
      <c r="B2864" s="80">
        <v>35415</v>
      </c>
      <c r="C2864">
        <v>96</v>
      </c>
      <c r="D2864">
        <v>20</v>
      </c>
      <c r="E2864" t="s">
        <v>173</v>
      </c>
    </row>
    <row r="2865" spans="1:5">
      <c r="A2865">
        <v>10383</v>
      </c>
      <c r="B2865" s="80">
        <v>35415</v>
      </c>
      <c r="C2865">
        <v>195</v>
      </c>
      <c r="D2865">
        <v>15</v>
      </c>
      <c r="E2865" t="s">
        <v>173</v>
      </c>
    </row>
    <row r="2866" spans="1:5">
      <c r="A2866">
        <v>10383</v>
      </c>
      <c r="B2866" s="80">
        <v>35415</v>
      </c>
      <c r="C2866">
        <v>608</v>
      </c>
      <c r="D2866">
        <v>20</v>
      </c>
      <c r="E2866" t="s">
        <v>173</v>
      </c>
    </row>
    <row r="2867" spans="1:5">
      <c r="A2867">
        <v>10383</v>
      </c>
      <c r="B2867" s="80">
        <v>35415</v>
      </c>
      <c r="C2867">
        <v>608</v>
      </c>
      <c r="D2867">
        <v>20</v>
      </c>
      <c r="E2867" t="s">
        <v>177</v>
      </c>
    </row>
    <row r="2868" spans="1:5">
      <c r="A2868">
        <v>10383</v>
      </c>
      <c r="B2868" s="80">
        <v>35415</v>
      </c>
      <c r="C2868">
        <v>608</v>
      </c>
      <c r="D2868">
        <v>20</v>
      </c>
      <c r="E2868" t="s">
        <v>172</v>
      </c>
    </row>
    <row r="2869" spans="1:5">
      <c r="A2869">
        <v>10383</v>
      </c>
      <c r="B2869" s="80">
        <v>35415</v>
      </c>
      <c r="C2869">
        <v>608</v>
      </c>
      <c r="D2869">
        <v>20</v>
      </c>
      <c r="E2869" t="s">
        <v>176</v>
      </c>
    </row>
    <row r="2870" spans="1:5">
      <c r="A2870">
        <v>10383</v>
      </c>
      <c r="B2870" s="80">
        <v>35415</v>
      </c>
      <c r="C2870">
        <v>195</v>
      </c>
      <c r="D2870">
        <v>15</v>
      </c>
      <c r="E2870" t="s">
        <v>177</v>
      </c>
    </row>
    <row r="2871" spans="1:5">
      <c r="A2871">
        <v>10383</v>
      </c>
      <c r="B2871" s="80">
        <v>35415</v>
      </c>
      <c r="C2871">
        <v>96</v>
      </c>
      <c r="D2871">
        <v>20</v>
      </c>
      <c r="E2871" t="s">
        <v>176</v>
      </c>
    </row>
    <row r="2872" spans="1:5">
      <c r="A2872">
        <v>10383</v>
      </c>
      <c r="B2872" s="80">
        <v>35415</v>
      </c>
      <c r="C2872">
        <v>96</v>
      </c>
      <c r="D2872">
        <v>20</v>
      </c>
      <c r="E2872" t="s">
        <v>175</v>
      </c>
    </row>
    <row r="2873" spans="1:5">
      <c r="A2873">
        <v>10383</v>
      </c>
      <c r="B2873" s="80">
        <v>35415</v>
      </c>
      <c r="C2873">
        <v>96</v>
      </c>
      <c r="D2873">
        <v>20</v>
      </c>
      <c r="E2873" t="s">
        <v>174</v>
      </c>
    </row>
    <row r="2874" spans="1:5">
      <c r="A2874">
        <v>10383</v>
      </c>
      <c r="B2874" s="80">
        <v>35415</v>
      </c>
      <c r="C2874">
        <v>195</v>
      </c>
      <c r="D2874">
        <v>15</v>
      </c>
      <c r="E2874" t="s">
        <v>174</v>
      </c>
    </row>
    <row r="2875" spans="1:5">
      <c r="A2875">
        <v>10383</v>
      </c>
      <c r="B2875" s="80">
        <v>35415</v>
      </c>
      <c r="C2875">
        <v>608</v>
      </c>
      <c r="D2875">
        <v>20</v>
      </c>
      <c r="E2875" t="s">
        <v>174</v>
      </c>
    </row>
    <row r="2876" spans="1:5">
      <c r="A2876">
        <v>10383</v>
      </c>
      <c r="B2876" s="80">
        <v>35415</v>
      </c>
      <c r="C2876">
        <v>608</v>
      </c>
      <c r="D2876">
        <v>20</v>
      </c>
      <c r="E2876" t="s">
        <v>175</v>
      </c>
    </row>
    <row r="2877" spans="1:5">
      <c r="A2877">
        <v>10383</v>
      </c>
      <c r="B2877" s="80">
        <v>35415</v>
      </c>
      <c r="C2877">
        <v>195</v>
      </c>
      <c r="D2877">
        <v>15</v>
      </c>
      <c r="E2877" t="s">
        <v>175</v>
      </c>
    </row>
    <row r="2878" spans="1:5">
      <c r="A2878">
        <v>10383</v>
      </c>
      <c r="B2878" s="80">
        <v>35415</v>
      </c>
      <c r="C2878">
        <v>96</v>
      </c>
      <c r="D2878">
        <v>20</v>
      </c>
      <c r="E2878" t="s">
        <v>179</v>
      </c>
    </row>
    <row r="2879" spans="1:5">
      <c r="A2879">
        <v>10383</v>
      </c>
      <c r="B2879" s="80">
        <v>35415</v>
      </c>
      <c r="C2879">
        <v>195</v>
      </c>
      <c r="D2879">
        <v>15</v>
      </c>
      <c r="E2879" t="s">
        <v>179</v>
      </c>
    </row>
    <row r="2880" spans="1:5">
      <c r="A2880">
        <v>10383</v>
      </c>
      <c r="B2880" s="80">
        <v>35415</v>
      </c>
      <c r="C2880">
        <v>608</v>
      </c>
      <c r="D2880">
        <v>20</v>
      </c>
      <c r="E2880" t="s">
        <v>179</v>
      </c>
    </row>
    <row r="2881" spans="1:5">
      <c r="A2881">
        <v>10383</v>
      </c>
      <c r="B2881" s="80">
        <v>35415</v>
      </c>
      <c r="C2881">
        <v>96</v>
      </c>
      <c r="D2881">
        <v>20</v>
      </c>
      <c r="E2881" t="s">
        <v>177</v>
      </c>
    </row>
    <row r="2882" spans="1:5">
      <c r="A2882">
        <v>10384</v>
      </c>
      <c r="B2882" s="80">
        <v>35415</v>
      </c>
      <c r="C2882">
        <v>1814.4</v>
      </c>
      <c r="D2882">
        <v>28</v>
      </c>
      <c r="E2882" t="s">
        <v>174</v>
      </c>
    </row>
    <row r="2883" spans="1:5">
      <c r="A2883">
        <v>10384</v>
      </c>
      <c r="B2883" s="80">
        <v>35415</v>
      </c>
      <c r="C2883">
        <v>408</v>
      </c>
      <c r="D2883">
        <v>15</v>
      </c>
      <c r="E2883" t="s">
        <v>177</v>
      </c>
    </row>
    <row r="2884" spans="1:5">
      <c r="A2884">
        <v>10384</v>
      </c>
      <c r="B2884" s="80">
        <v>35415</v>
      </c>
      <c r="C2884">
        <v>1814.4</v>
      </c>
      <c r="D2884">
        <v>28</v>
      </c>
      <c r="E2884" t="s">
        <v>177</v>
      </c>
    </row>
    <row r="2885" spans="1:5">
      <c r="A2885">
        <v>10384</v>
      </c>
      <c r="B2885" s="80">
        <v>35415</v>
      </c>
      <c r="C2885">
        <v>1814.4</v>
      </c>
      <c r="D2885">
        <v>28</v>
      </c>
      <c r="E2885" t="s">
        <v>172</v>
      </c>
    </row>
    <row r="2886" spans="1:5">
      <c r="A2886">
        <v>10384</v>
      </c>
      <c r="B2886" s="80">
        <v>35415</v>
      </c>
      <c r="C2886">
        <v>1814.4</v>
      </c>
      <c r="D2886">
        <v>28</v>
      </c>
      <c r="E2886" t="s">
        <v>176</v>
      </c>
    </row>
    <row r="2887" spans="1:5">
      <c r="A2887">
        <v>10384</v>
      </c>
      <c r="B2887" s="80">
        <v>35415</v>
      </c>
      <c r="C2887">
        <v>1814.4</v>
      </c>
      <c r="D2887">
        <v>28</v>
      </c>
      <c r="E2887" t="s">
        <v>175</v>
      </c>
    </row>
    <row r="2888" spans="1:5">
      <c r="A2888">
        <v>10384</v>
      </c>
      <c r="B2888" s="80">
        <v>35415</v>
      </c>
      <c r="C2888">
        <v>408</v>
      </c>
      <c r="D2888">
        <v>15</v>
      </c>
      <c r="E2888" t="s">
        <v>176</v>
      </c>
    </row>
    <row r="2889" spans="1:5">
      <c r="A2889">
        <v>10384</v>
      </c>
      <c r="B2889" s="80">
        <v>35415</v>
      </c>
      <c r="C2889">
        <v>408</v>
      </c>
      <c r="D2889">
        <v>15</v>
      </c>
      <c r="E2889" t="s">
        <v>174</v>
      </c>
    </row>
    <row r="2890" spans="1:5">
      <c r="A2890">
        <v>10384</v>
      </c>
      <c r="B2890" s="80">
        <v>35415</v>
      </c>
      <c r="C2890">
        <v>408</v>
      </c>
      <c r="D2890">
        <v>15</v>
      </c>
      <c r="E2890" t="s">
        <v>173</v>
      </c>
    </row>
    <row r="2891" spans="1:5">
      <c r="A2891">
        <v>10384</v>
      </c>
      <c r="B2891" s="80">
        <v>35415</v>
      </c>
      <c r="C2891">
        <v>1814.4</v>
      </c>
      <c r="D2891">
        <v>28</v>
      </c>
      <c r="E2891" t="s">
        <v>173</v>
      </c>
    </row>
    <row r="2892" spans="1:5">
      <c r="A2892">
        <v>10384</v>
      </c>
      <c r="B2892" s="80">
        <v>35415</v>
      </c>
      <c r="C2892">
        <v>1814.4</v>
      </c>
      <c r="D2892">
        <v>28</v>
      </c>
      <c r="E2892" t="s">
        <v>179</v>
      </c>
    </row>
    <row r="2893" spans="1:5">
      <c r="A2893">
        <v>10384</v>
      </c>
      <c r="B2893" s="80">
        <v>35415</v>
      </c>
      <c r="C2893">
        <v>408</v>
      </c>
      <c r="D2893">
        <v>15</v>
      </c>
      <c r="E2893" t="s">
        <v>172</v>
      </c>
    </row>
    <row r="2894" spans="1:5">
      <c r="A2894">
        <v>10384</v>
      </c>
      <c r="B2894" s="80">
        <v>35415</v>
      </c>
      <c r="C2894">
        <v>408</v>
      </c>
      <c r="D2894">
        <v>15</v>
      </c>
      <c r="E2894" t="s">
        <v>179</v>
      </c>
    </row>
    <row r="2895" spans="1:5">
      <c r="A2895">
        <v>10384</v>
      </c>
      <c r="B2895" s="80">
        <v>35415</v>
      </c>
      <c r="C2895">
        <v>408</v>
      </c>
      <c r="D2895">
        <v>15</v>
      </c>
      <c r="E2895" t="s">
        <v>178</v>
      </c>
    </row>
    <row r="2896" spans="1:5">
      <c r="A2896">
        <v>10384</v>
      </c>
      <c r="B2896" s="80">
        <v>35415</v>
      </c>
      <c r="C2896">
        <v>1814.4</v>
      </c>
      <c r="D2896">
        <v>28</v>
      </c>
      <c r="E2896" t="s">
        <v>178</v>
      </c>
    </row>
    <row r="2897" spans="1:5">
      <c r="A2897">
        <v>10384</v>
      </c>
      <c r="B2897" s="80">
        <v>35415</v>
      </c>
      <c r="C2897">
        <v>408</v>
      </c>
      <c r="D2897">
        <v>15</v>
      </c>
      <c r="E2897" t="s">
        <v>175</v>
      </c>
    </row>
    <row r="2898" spans="1:5">
      <c r="A2898">
        <v>10385</v>
      </c>
      <c r="B2898" s="80">
        <v>35416</v>
      </c>
      <c r="C2898">
        <v>63.999999761581421</v>
      </c>
      <c r="D2898">
        <v>8</v>
      </c>
      <c r="E2898" t="s">
        <v>175</v>
      </c>
    </row>
    <row r="2899" spans="1:5">
      <c r="A2899">
        <v>10385</v>
      </c>
      <c r="B2899" s="80">
        <v>35416</v>
      </c>
      <c r="C2899">
        <v>191.99999928474426</v>
      </c>
      <c r="D2899">
        <v>10</v>
      </c>
      <c r="E2899" t="s">
        <v>177</v>
      </c>
    </row>
    <row r="2900" spans="1:5">
      <c r="A2900">
        <v>10385</v>
      </c>
      <c r="B2900" s="80">
        <v>35416</v>
      </c>
      <c r="C2900">
        <v>63.999999761581421</v>
      </c>
      <c r="D2900">
        <v>8</v>
      </c>
      <c r="E2900" t="s">
        <v>179</v>
      </c>
    </row>
    <row r="2901" spans="1:5">
      <c r="A2901">
        <v>10385</v>
      </c>
      <c r="B2901" s="80">
        <v>35416</v>
      </c>
      <c r="C2901">
        <v>63.999999761581421</v>
      </c>
      <c r="D2901">
        <v>8</v>
      </c>
      <c r="E2901" t="s">
        <v>176</v>
      </c>
    </row>
    <row r="2902" spans="1:5">
      <c r="A2902">
        <v>10385</v>
      </c>
      <c r="B2902" s="80">
        <v>35416</v>
      </c>
      <c r="C2902">
        <v>435.19999837875366</v>
      </c>
      <c r="D2902">
        <v>20</v>
      </c>
      <c r="E2902" t="s">
        <v>176</v>
      </c>
    </row>
    <row r="2903" spans="1:5">
      <c r="A2903">
        <v>10385</v>
      </c>
      <c r="B2903" s="80">
        <v>35416</v>
      </c>
      <c r="C2903">
        <v>191.99999928474426</v>
      </c>
      <c r="D2903">
        <v>10</v>
      </c>
      <c r="E2903" t="s">
        <v>178</v>
      </c>
    </row>
    <row r="2904" spans="1:5">
      <c r="A2904">
        <v>10385</v>
      </c>
      <c r="B2904" s="80">
        <v>35416</v>
      </c>
      <c r="C2904">
        <v>63.999999761581421</v>
      </c>
      <c r="D2904">
        <v>8</v>
      </c>
      <c r="E2904" t="s">
        <v>178</v>
      </c>
    </row>
    <row r="2905" spans="1:5">
      <c r="A2905">
        <v>10385</v>
      </c>
      <c r="B2905" s="80">
        <v>35416</v>
      </c>
      <c r="C2905">
        <v>435.19999837875366</v>
      </c>
      <c r="D2905">
        <v>20</v>
      </c>
      <c r="E2905" t="s">
        <v>174</v>
      </c>
    </row>
    <row r="2906" spans="1:5">
      <c r="A2906">
        <v>10385</v>
      </c>
      <c r="B2906" s="80">
        <v>35416</v>
      </c>
      <c r="C2906">
        <v>435.19999837875366</v>
      </c>
      <c r="D2906">
        <v>20</v>
      </c>
      <c r="E2906" t="s">
        <v>175</v>
      </c>
    </row>
    <row r="2907" spans="1:5">
      <c r="A2907">
        <v>10385</v>
      </c>
      <c r="B2907" s="80">
        <v>35416</v>
      </c>
      <c r="C2907">
        <v>191.99999928474426</v>
      </c>
      <c r="D2907">
        <v>10</v>
      </c>
      <c r="E2907" t="s">
        <v>175</v>
      </c>
    </row>
    <row r="2908" spans="1:5">
      <c r="A2908">
        <v>10385</v>
      </c>
      <c r="B2908" s="80">
        <v>35416</v>
      </c>
      <c r="C2908">
        <v>435.19999837875366</v>
      </c>
      <c r="D2908">
        <v>20</v>
      </c>
      <c r="E2908" t="s">
        <v>177</v>
      </c>
    </row>
    <row r="2909" spans="1:5">
      <c r="A2909">
        <v>10385</v>
      </c>
      <c r="B2909" s="80">
        <v>35416</v>
      </c>
      <c r="C2909">
        <v>435.19999837875366</v>
      </c>
      <c r="D2909">
        <v>20</v>
      </c>
      <c r="E2909" t="s">
        <v>179</v>
      </c>
    </row>
    <row r="2910" spans="1:5">
      <c r="A2910">
        <v>10385</v>
      </c>
      <c r="B2910" s="80">
        <v>35416</v>
      </c>
      <c r="C2910">
        <v>191.99999928474426</v>
      </c>
      <c r="D2910">
        <v>10</v>
      </c>
      <c r="E2910" t="s">
        <v>179</v>
      </c>
    </row>
    <row r="2911" spans="1:5">
      <c r="A2911">
        <v>10385</v>
      </c>
      <c r="B2911" s="80">
        <v>35416</v>
      </c>
      <c r="C2911">
        <v>191.99999928474426</v>
      </c>
      <c r="D2911">
        <v>10</v>
      </c>
      <c r="E2911" t="s">
        <v>174</v>
      </c>
    </row>
    <row r="2912" spans="1:5">
      <c r="A2912">
        <v>10385</v>
      </c>
      <c r="B2912" s="80">
        <v>35416</v>
      </c>
      <c r="C2912">
        <v>63.999999761581421</v>
      </c>
      <c r="D2912">
        <v>8</v>
      </c>
      <c r="E2912" t="s">
        <v>174</v>
      </c>
    </row>
    <row r="2913" spans="1:5">
      <c r="A2913">
        <v>10385</v>
      </c>
      <c r="B2913" s="80">
        <v>35416</v>
      </c>
      <c r="C2913">
        <v>435.19999837875366</v>
      </c>
      <c r="D2913">
        <v>20</v>
      </c>
      <c r="E2913" t="s">
        <v>178</v>
      </c>
    </row>
    <row r="2914" spans="1:5">
      <c r="A2914">
        <v>10385</v>
      </c>
      <c r="B2914" s="80">
        <v>35416</v>
      </c>
      <c r="C2914">
        <v>191.99999928474426</v>
      </c>
      <c r="D2914">
        <v>10</v>
      </c>
      <c r="E2914" t="s">
        <v>176</v>
      </c>
    </row>
    <row r="2915" spans="1:5">
      <c r="A2915">
        <v>10385</v>
      </c>
      <c r="B2915" s="80">
        <v>35416</v>
      </c>
      <c r="C2915">
        <v>63.999999761581421</v>
      </c>
      <c r="D2915">
        <v>8</v>
      </c>
      <c r="E2915" t="s">
        <v>177</v>
      </c>
    </row>
    <row r="2916" spans="1:5">
      <c r="A2916">
        <v>10385</v>
      </c>
      <c r="B2916" s="80">
        <v>35416</v>
      </c>
      <c r="C2916">
        <v>191.99999928474426</v>
      </c>
      <c r="D2916">
        <v>10</v>
      </c>
      <c r="E2916" t="s">
        <v>173</v>
      </c>
    </row>
    <row r="2917" spans="1:5">
      <c r="A2917">
        <v>10385</v>
      </c>
      <c r="B2917" s="80">
        <v>35416</v>
      </c>
      <c r="C2917">
        <v>191.99999928474426</v>
      </c>
      <c r="D2917">
        <v>10</v>
      </c>
      <c r="E2917" t="s">
        <v>172</v>
      </c>
    </row>
    <row r="2918" spans="1:5">
      <c r="A2918">
        <v>10385</v>
      </c>
      <c r="B2918" s="80">
        <v>35416</v>
      </c>
      <c r="C2918">
        <v>435.19999837875366</v>
      </c>
      <c r="D2918">
        <v>20</v>
      </c>
      <c r="E2918" t="s">
        <v>172</v>
      </c>
    </row>
    <row r="2919" spans="1:5">
      <c r="A2919">
        <v>10385</v>
      </c>
      <c r="B2919" s="80">
        <v>35416</v>
      </c>
      <c r="C2919">
        <v>63.999999761581421</v>
      </c>
      <c r="D2919">
        <v>8</v>
      </c>
      <c r="E2919" t="s">
        <v>172</v>
      </c>
    </row>
    <row r="2920" spans="1:5">
      <c r="A2920">
        <v>10385</v>
      </c>
      <c r="B2920" s="80">
        <v>35416</v>
      </c>
      <c r="C2920">
        <v>435.19999837875366</v>
      </c>
      <c r="D2920">
        <v>20</v>
      </c>
      <c r="E2920" t="s">
        <v>173</v>
      </c>
    </row>
    <row r="2921" spans="1:5">
      <c r="A2921">
        <v>10385</v>
      </c>
      <c r="B2921" s="80">
        <v>35416</v>
      </c>
      <c r="C2921">
        <v>63.999999761581421</v>
      </c>
      <c r="D2921">
        <v>8</v>
      </c>
      <c r="E2921" t="s">
        <v>173</v>
      </c>
    </row>
    <row r="2922" spans="1:5">
      <c r="A2922">
        <v>10386</v>
      </c>
      <c r="B2922" s="80">
        <v>35417</v>
      </c>
      <c r="C2922">
        <v>112</v>
      </c>
      <c r="D2922">
        <v>10</v>
      </c>
      <c r="E2922" t="s">
        <v>175</v>
      </c>
    </row>
    <row r="2923" spans="1:5">
      <c r="A2923">
        <v>10386</v>
      </c>
      <c r="B2923" s="80">
        <v>35417</v>
      </c>
      <c r="C2923">
        <v>54</v>
      </c>
      <c r="D2923">
        <v>15</v>
      </c>
      <c r="E2923" t="s">
        <v>178</v>
      </c>
    </row>
    <row r="2924" spans="1:5">
      <c r="A2924">
        <v>10386</v>
      </c>
      <c r="B2924" s="80">
        <v>35417</v>
      </c>
      <c r="C2924">
        <v>112</v>
      </c>
      <c r="D2924">
        <v>10</v>
      </c>
      <c r="E2924" t="s">
        <v>178</v>
      </c>
    </row>
    <row r="2925" spans="1:5">
      <c r="A2925">
        <v>10386</v>
      </c>
      <c r="B2925" s="80">
        <v>35417</v>
      </c>
      <c r="C2925">
        <v>54</v>
      </c>
      <c r="D2925">
        <v>15</v>
      </c>
      <c r="E2925" t="s">
        <v>174</v>
      </c>
    </row>
    <row r="2926" spans="1:5">
      <c r="A2926">
        <v>10386</v>
      </c>
      <c r="B2926" s="80">
        <v>35417</v>
      </c>
      <c r="C2926">
        <v>112</v>
      </c>
      <c r="D2926">
        <v>10</v>
      </c>
      <c r="E2926" t="s">
        <v>173</v>
      </c>
    </row>
    <row r="2927" spans="1:5">
      <c r="A2927">
        <v>10386</v>
      </c>
      <c r="B2927" s="80">
        <v>35417</v>
      </c>
      <c r="C2927">
        <v>112</v>
      </c>
      <c r="D2927">
        <v>10</v>
      </c>
      <c r="E2927" t="s">
        <v>174</v>
      </c>
    </row>
    <row r="2928" spans="1:5">
      <c r="A2928">
        <v>10386</v>
      </c>
      <c r="B2928" s="80">
        <v>35417</v>
      </c>
      <c r="C2928">
        <v>54</v>
      </c>
      <c r="D2928">
        <v>15</v>
      </c>
      <c r="E2928" t="s">
        <v>175</v>
      </c>
    </row>
    <row r="2929" spans="1:5">
      <c r="A2929">
        <v>10386</v>
      </c>
      <c r="B2929" s="80">
        <v>35417</v>
      </c>
      <c r="C2929">
        <v>54</v>
      </c>
      <c r="D2929">
        <v>15</v>
      </c>
      <c r="E2929" t="s">
        <v>173</v>
      </c>
    </row>
    <row r="2930" spans="1:5">
      <c r="A2930">
        <v>10386</v>
      </c>
      <c r="B2930" s="80">
        <v>35417</v>
      </c>
      <c r="C2930">
        <v>54</v>
      </c>
      <c r="D2930">
        <v>15</v>
      </c>
      <c r="E2930" t="s">
        <v>177</v>
      </c>
    </row>
    <row r="2931" spans="1:5">
      <c r="A2931">
        <v>10386</v>
      </c>
      <c r="B2931" s="80">
        <v>35417</v>
      </c>
      <c r="C2931">
        <v>54</v>
      </c>
      <c r="D2931">
        <v>15</v>
      </c>
      <c r="E2931" t="s">
        <v>176</v>
      </c>
    </row>
    <row r="2932" spans="1:5">
      <c r="A2932">
        <v>10386</v>
      </c>
      <c r="B2932" s="80">
        <v>35417</v>
      </c>
      <c r="C2932">
        <v>112</v>
      </c>
      <c r="D2932">
        <v>10</v>
      </c>
      <c r="E2932" t="s">
        <v>177</v>
      </c>
    </row>
    <row r="2933" spans="1:5">
      <c r="A2933">
        <v>10386</v>
      </c>
      <c r="B2933" s="80">
        <v>35417</v>
      </c>
      <c r="C2933">
        <v>54</v>
      </c>
      <c r="D2933">
        <v>15</v>
      </c>
      <c r="E2933" t="s">
        <v>179</v>
      </c>
    </row>
    <row r="2934" spans="1:5">
      <c r="A2934">
        <v>10386</v>
      </c>
      <c r="B2934" s="80">
        <v>35417</v>
      </c>
      <c r="C2934">
        <v>112</v>
      </c>
      <c r="D2934">
        <v>10</v>
      </c>
      <c r="E2934" t="s">
        <v>176</v>
      </c>
    </row>
    <row r="2935" spans="1:5">
      <c r="A2935">
        <v>10386</v>
      </c>
      <c r="B2935" s="80">
        <v>35417</v>
      </c>
      <c r="C2935">
        <v>112</v>
      </c>
      <c r="D2935">
        <v>10</v>
      </c>
      <c r="E2935" t="s">
        <v>179</v>
      </c>
    </row>
    <row r="2936" spans="1:5">
      <c r="A2936">
        <v>10386</v>
      </c>
      <c r="B2936" s="80">
        <v>35417</v>
      </c>
      <c r="C2936">
        <v>54</v>
      </c>
      <c r="D2936">
        <v>15</v>
      </c>
      <c r="E2936" t="s">
        <v>172</v>
      </c>
    </row>
    <row r="2937" spans="1:5">
      <c r="A2937">
        <v>10386</v>
      </c>
      <c r="B2937" s="80">
        <v>35417</v>
      </c>
      <c r="C2937">
        <v>112</v>
      </c>
      <c r="D2937">
        <v>10</v>
      </c>
      <c r="E2937" t="s">
        <v>172</v>
      </c>
    </row>
    <row r="2938" spans="1:5">
      <c r="A2938">
        <v>10387</v>
      </c>
      <c r="B2938" s="80">
        <v>35417</v>
      </c>
      <c r="C2938">
        <v>528</v>
      </c>
      <c r="D2938">
        <v>12</v>
      </c>
      <c r="E2938" t="s">
        <v>178</v>
      </c>
    </row>
    <row r="2939" spans="1:5">
      <c r="A2939">
        <v>10387</v>
      </c>
      <c r="B2939" s="80">
        <v>35417</v>
      </c>
      <c r="C2939">
        <v>54</v>
      </c>
      <c r="D2939">
        <v>15</v>
      </c>
      <c r="E2939" t="s">
        <v>173</v>
      </c>
    </row>
    <row r="2940" spans="1:5">
      <c r="A2940">
        <v>10387</v>
      </c>
      <c r="B2940" s="80">
        <v>35417</v>
      </c>
      <c r="C2940">
        <v>258</v>
      </c>
      <c r="D2940">
        <v>15</v>
      </c>
      <c r="E2940" t="s">
        <v>178</v>
      </c>
    </row>
    <row r="2941" spans="1:5">
      <c r="A2941">
        <v>10387</v>
      </c>
      <c r="B2941" s="80">
        <v>35417</v>
      </c>
      <c r="C2941">
        <v>54</v>
      </c>
      <c r="D2941">
        <v>15</v>
      </c>
      <c r="E2941" t="s">
        <v>174</v>
      </c>
    </row>
    <row r="2942" spans="1:5">
      <c r="A2942">
        <v>10387</v>
      </c>
      <c r="B2942" s="80">
        <v>35417</v>
      </c>
      <c r="C2942">
        <v>218.4</v>
      </c>
      <c r="D2942">
        <v>6</v>
      </c>
      <c r="E2942" t="s">
        <v>178</v>
      </c>
    </row>
    <row r="2943" spans="1:5">
      <c r="A2943">
        <v>10387</v>
      </c>
      <c r="B2943" s="80">
        <v>35417</v>
      </c>
      <c r="C2943">
        <v>218.4</v>
      </c>
      <c r="D2943">
        <v>6</v>
      </c>
      <c r="E2943" t="s">
        <v>174</v>
      </c>
    </row>
    <row r="2944" spans="1:5">
      <c r="A2944">
        <v>10387</v>
      </c>
      <c r="B2944" s="80">
        <v>35417</v>
      </c>
      <c r="C2944">
        <v>258</v>
      </c>
      <c r="D2944">
        <v>15</v>
      </c>
      <c r="E2944" t="s">
        <v>174</v>
      </c>
    </row>
    <row r="2945" spans="1:5">
      <c r="A2945">
        <v>10387</v>
      </c>
      <c r="B2945" s="80">
        <v>35417</v>
      </c>
      <c r="C2945">
        <v>528</v>
      </c>
      <c r="D2945">
        <v>12</v>
      </c>
      <c r="E2945" t="s">
        <v>174</v>
      </c>
    </row>
    <row r="2946" spans="1:5">
      <c r="A2946">
        <v>10387</v>
      </c>
      <c r="B2946" s="80">
        <v>35417</v>
      </c>
      <c r="C2946">
        <v>218.4</v>
      </c>
      <c r="D2946">
        <v>6</v>
      </c>
      <c r="E2946" t="s">
        <v>172</v>
      </c>
    </row>
    <row r="2947" spans="1:5">
      <c r="A2947">
        <v>10387</v>
      </c>
      <c r="B2947" s="80">
        <v>35417</v>
      </c>
      <c r="C2947">
        <v>54</v>
      </c>
      <c r="D2947">
        <v>15</v>
      </c>
      <c r="E2947" t="s">
        <v>172</v>
      </c>
    </row>
    <row r="2948" spans="1:5">
      <c r="A2948">
        <v>10387</v>
      </c>
      <c r="B2948" s="80">
        <v>35417</v>
      </c>
      <c r="C2948">
        <v>218.4</v>
      </c>
      <c r="D2948">
        <v>6</v>
      </c>
      <c r="E2948" t="s">
        <v>173</v>
      </c>
    </row>
    <row r="2949" spans="1:5">
      <c r="A2949">
        <v>10387</v>
      </c>
      <c r="B2949" s="80">
        <v>35417</v>
      </c>
      <c r="C2949">
        <v>258</v>
      </c>
      <c r="D2949">
        <v>15</v>
      </c>
      <c r="E2949" t="s">
        <v>179</v>
      </c>
    </row>
    <row r="2950" spans="1:5">
      <c r="A2950">
        <v>10387</v>
      </c>
      <c r="B2950" s="80">
        <v>35417</v>
      </c>
      <c r="C2950">
        <v>54</v>
      </c>
      <c r="D2950">
        <v>15</v>
      </c>
      <c r="E2950" t="s">
        <v>178</v>
      </c>
    </row>
    <row r="2951" spans="1:5">
      <c r="A2951">
        <v>10387</v>
      </c>
      <c r="B2951" s="80">
        <v>35417</v>
      </c>
      <c r="C2951">
        <v>258</v>
      </c>
      <c r="D2951">
        <v>15</v>
      </c>
      <c r="E2951" t="s">
        <v>177</v>
      </c>
    </row>
    <row r="2952" spans="1:5">
      <c r="A2952">
        <v>10387</v>
      </c>
      <c r="B2952" s="80">
        <v>35417</v>
      </c>
      <c r="C2952">
        <v>54</v>
      </c>
      <c r="D2952">
        <v>15</v>
      </c>
      <c r="E2952" t="s">
        <v>177</v>
      </c>
    </row>
    <row r="2953" spans="1:5">
      <c r="A2953">
        <v>10387</v>
      </c>
      <c r="B2953" s="80">
        <v>35417</v>
      </c>
      <c r="C2953">
        <v>528</v>
      </c>
      <c r="D2953">
        <v>12</v>
      </c>
      <c r="E2953" t="s">
        <v>172</v>
      </c>
    </row>
    <row r="2954" spans="1:5">
      <c r="A2954">
        <v>10387</v>
      </c>
      <c r="B2954" s="80">
        <v>35417</v>
      </c>
      <c r="C2954">
        <v>258</v>
      </c>
      <c r="D2954">
        <v>15</v>
      </c>
      <c r="E2954" t="s">
        <v>172</v>
      </c>
    </row>
    <row r="2955" spans="1:5">
      <c r="A2955">
        <v>10387</v>
      </c>
      <c r="B2955" s="80">
        <v>35417</v>
      </c>
      <c r="C2955">
        <v>258</v>
      </c>
      <c r="D2955">
        <v>15</v>
      </c>
      <c r="E2955" t="s">
        <v>176</v>
      </c>
    </row>
    <row r="2956" spans="1:5">
      <c r="A2956">
        <v>10387</v>
      </c>
      <c r="B2956" s="80">
        <v>35417</v>
      </c>
      <c r="C2956">
        <v>528</v>
      </c>
      <c r="D2956">
        <v>12</v>
      </c>
      <c r="E2956" t="s">
        <v>176</v>
      </c>
    </row>
    <row r="2957" spans="1:5">
      <c r="A2957">
        <v>10387</v>
      </c>
      <c r="B2957" s="80">
        <v>35417</v>
      </c>
      <c r="C2957">
        <v>218.4</v>
      </c>
      <c r="D2957">
        <v>6</v>
      </c>
      <c r="E2957" t="s">
        <v>176</v>
      </c>
    </row>
    <row r="2958" spans="1:5">
      <c r="A2958">
        <v>10387</v>
      </c>
      <c r="B2958" s="80">
        <v>35417</v>
      </c>
      <c r="C2958">
        <v>54</v>
      </c>
      <c r="D2958">
        <v>15</v>
      </c>
      <c r="E2958" t="s">
        <v>176</v>
      </c>
    </row>
    <row r="2959" spans="1:5">
      <c r="A2959">
        <v>10387</v>
      </c>
      <c r="B2959" s="80">
        <v>35417</v>
      </c>
      <c r="C2959">
        <v>218.4</v>
      </c>
      <c r="D2959">
        <v>6</v>
      </c>
      <c r="E2959" t="s">
        <v>179</v>
      </c>
    </row>
    <row r="2960" spans="1:5">
      <c r="A2960">
        <v>10387</v>
      </c>
      <c r="B2960" s="80">
        <v>35417</v>
      </c>
      <c r="C2960">
        <v>528</v>
      </c>
      <c r="D2960">
        <v>12</v>
      </c>
      <c r="E2960" t="s">
        <v>177</v>
      </c>
    </row>
    <row r="2961" spans="1:5">
      <c r="A2961">
        <v>10387</v>
      </c>
      <c r="B2961" s="80">
        <v>35417</v>
      </c>
      <c r="C2961">
        <v>528</v>
      </c>
      <c r="D2961">
        <v>12</v>
      </c>
      <c r="E2961" t="s">
        <v>173</v>
      </c>
    </row>
    <row r="2962" spans="1:5">
      <c r="A2962">
        <v>10387</v>
      </c>
      <c r="B2962" s="80">
        <v>35417</v>
      </c>
      <c r="C2962">
        <v>218.4</v>
      </c>
      <c r="D2962">
        <v>6</v>
      </c>
      <c r="E2962" t="s">
        <v>175</v>
      </c>
    </row>
    <row r="2963" spans="1:5">
      <c r="A2963">
        <v>10387</v>
      </c>
      <c r="B2963" s="80">
        <v>35417</v>
      </c>
      <c r="C2963">
        <v>54</v>
      </c>
      <c r="D2963">
        <v>15</v>
      </c>
      <c r="E2963" t="s">
        <v>179</v>
      </c>
    </row>
    <row r="2964" spans="1:5">
      <c r="A2964">
        <v>10387</v>
      </c>
      <c r="B2964" s="80">
        <v>35417</v>
      </c>
      <c r="C2964">
        <v>528</v>
      </c>
      <c r="D2964">
        <v>12</v>
      </c>
      <c r="E2964" t="s">
        <v>179</v>
      </c>
    </row>
    <row r="2965" spans="1:5">
      <c r="A2965">
        <v>10387</v>
      </c>
      <c r="B2965" s="80">
        <v>35417</v>
      </c>
      <c r="C2965">
        <v>258</v>
      </c>
      <c r="D2965">
        <v>15</v>
      </c>
      <c r="E2965" t="s">
        <v>173</v>
      </c>
    </row>
    <row r="2966" spans="1:5">
      <c r="A2966">
        <v>10387</v>
      </c>
      <c r="B2966" s="80">
        <v>35417</v>
      </c>
      <c r="C2966">
        <v>54</v>
      </c>
      <c r="D2966">
        <v>15</v>
      </c>
      <c r="E2966" t="s">
        <v>175</v>
      </c>
    </row>
    <row r="2967" spans="1:5">
      <c r="A2967">
        <v>10387</v>
      </c>
      <c r="B2967" s="80">
        <v>35417</v>
      </c>
      <c r="C2967">
        <v>258</v>
      </c>
      <c r="D2967">
        <v>15</v>
      </c>
      <c r="E2967" t="s">
        <v>175</v>
      </c>
    </row>
    <row r="2968" spans="1:5">
      <c r="A2968">
        <v>10387</v>
      </c>
      <c r="B2968" s="80">
        <v>35417</v>
      </c>
      <c r="C2968">
        <v>528</v>
      </c>
      <c r="D2968">
        <v>12</v>
      </c>
      <c r="E2968" t="s">
        <v>175</v>
      </c>
    </row>
    <row r="2969" spans="1:5">
      <c r="A2969">
        <v>10387</v>
      </c>
      <c r="B2969" s="80">
        <v>35417</v>
      </c>
      <c r="C2969">
        <v>218.4</v>
      </c>
      <c r="D2969">
        <v>6</v>
      </c>
      <c r="E2969" t="s">
        <v>177</v>
      </c>
    </row>
    <row r="2970" spans="1:5">
      <c r="A2970">
        <v>10388</v>
      </c>
      <c r="B2970" s="80">
        <v>35418</v>
      </c>
      <c r="C2970">
        <v>89.599999666213989</v>
      </c>
      <c r="D2970">
        <v>20</v>
      </c>
      <c r="E2970" t="s">
        <v>175</v>
      </c>
    </row>
    <row r="2971" spans="1:5">
      <c r="A2971">
        <v>10388</v>
      </c>
      <c r="B2971" s="80">
        <v>35418</v>
      </c>
      <c r="C2971">
        <v>89.599999666213989</v>
      </c>
      <c r="D2971">
        <v>20</v>
      </c>
      <c r="E2971" t="s">
        <v>176</v>
      </c>
    </row>
    <row r="2972" spans="1:5">
      <c r="A2972">
        <v>10388</v>
      </c>
      <c r="B2972" s="80">
        <v>35418</v>
      </c>
      <c r="C2972">
        <v>91.199999660253525</v>
      </c>
      <c r="D2972">
        <v>15</v>
      </c>
      <c r="E2972" t="s">
        <v>176</v>
      </c>
    </row>
    <row r="2973" spans="1:5">
      <c r="A2973">
        <v>10388</v>
      </c>
      <c r="B2973" s="80">
        <v>35418</v>
      </c>
      <c r="C2973">
        <v>1048</v>
      </c>
      <c r="D2973">
        <v>40</v>
      </c>
      <c r="E2973" t="s">
        <v>178</v>
      </c>
    </row>
    <row r="2974" spans="1:5">
      <c r="A2974">
        <v>10388</v>
      </c>
      <c r="B2974" s="80">
        <v>35418</v>
      </c>
      <c r="C2974">
        <v>91.199999660253525</v>
      </c>
      <c r="D2974">
        <v>15</v>
      </c>
      <c r="E2974" t="s">
        <v>178</v>
      </c>
    </row>
    <row r="2975" spans="1:5">
      <c r="A2975">
        <v>10388</v>
      </c>
      <c r="B2975" s="80">
        <v>35418</v>
      </c>
      <c r="C2975">
        <v>89.599999666213989</v>
      </c>
      <c r="D2975">
        <v>20</v>
      </c>
      <c r="E2975" t="s">
        <v>177</v>
      </c>
    </row>
    <row r="2976" spans="1:5">
      <c r="A2976">
        <v>10388</v>
      </c>
      <c r="B2976" s="80">
        <v>35418</v>
      </c>
      <c r="C2976">
        <v>91.199999660253525</v>
      </c>
      <c r="D2976">
        <v>15</v>
      </c>
      <c r="E2976" t="s">
        <v>175</v>
      </c>
    </row>
    <row r="2977" spans="1:5">
      <c r="A2977">
        <v>10388</v>
      </c>
      <c r="B2977" s="80">
        <v>35418</v>
      </c>
      <c r="C2977">
        <v>1048</v>
      </c>
      <c r="D2977">
        <v>40</v>
      </c>
      <c r="E2977" t="s">
        <v>175</v>
      </c>
    </row>
    <row r="2978" spans="1:5">
      <c r="A2978">
        <v>10388</v>
      </c>
      <c r="B2978" s="80">
        <v>35418</v>
      </c>
      <c r="C2978">
        <v>1048</v>
      </c>
      <c r="D2978">
        <v>40</v>
      </c>
      <c r="E2978" t="s">
        <v>177</v>
      </c>
    </row>
    <row r="2979" spans="1:5">
      <c r="A2979">
        <v>10388</v>
      </c>
      <c r="B2979" s="80">
        <v>35418</v>
      </c>
      <c r="C2979">
        <v>1048</v>
      </c>
      <c r="D2979">
        <v>40</v>
      </c>
      <c r="E2979" t="s">
        <v>176</v>
      </c>
    </row>
    <row r="2980" spans="1:5">
      <c r="A2980">
        <v>10388</v>
      </c>
      <c r="B2980" s="80">
        <v>35418</v>
      </c>
      <c r="C2980">
        <v>91.199999660253525</v>
      </c>
      <c r="D2980">
        <v>15</v>
      </c>
      <c r="E2980" t="s">
        <v>177</v>
      </c>
    </row>
    <row r="2981" spans="1:5">
      <c r="A2981">
        <v>10388</v>
      </c>
      <c r="B2981" s="80">
        <v>35418</v>
      </c>
      <c r="C2981">
        <v>89.599999666213989</v>
      </c>
      <c r="D2981">
        <v>20</v>
      </c>
      <c r="E2981" t="s">
        <v>178</v>
      </c>
    </row>
    <row r="2982" spans="1:5">
      <c r="A2982">
        <v>10388</v>
      </c>
      <c r="B2982" s="80">
        <v>35418</v>
      </c>
      <c r="C2982">
        <v>1048</v>
      </c>
      <c r="D2982">
        <v>40</v>
      </c>
      <c r="E2982" t="s">
        <v>173</v>
      </c>
    </row>
    <row r="2983" spans="1:5">
      <c r="A2983">
        <v>10388</v>
      </c>
      <c r="B2983" s="80">
        <v>35418</v>
      </c>
      <c r="C2983">
        <v>1048</v>
      </c>
      <c r="D2983">
        <v>40</v>
      </c>
      <c r="E2983" t="s">
        <v>179</v>
      </c>
    </row>
    <row r="2984" spans="1:5">
      <c r="A2984">
        <v>10388</v>
      </c>
      <c r="B2984" s="80">
        <v>35418</v>
      </c>
      <c r="C2984">
        <v>89.599999666213989</v>
      </c>
      <c r="D2984">
        <v>20</v>
      </c>
      <c r="E2984" t="s">
        <v>179</v>
      </c>
    </row>
    <row r="2985" spans="1:5">
      <c r="A2985">
        <v>10388</v>
      </c>
      <c r="B2985" s="80">
        <v>35418</v>
      </c>
      <c r="C2985">
        <v>91.199999660253525</v>
      </c>
      <c r="D2985">
        <v>15</v>
      </c>
      <c r="E2985" t="s">
        <v>179</v>
      </c>
    </row>
    <row r="2986" spans="1:5">
      <c r="A2986">
        <v>10388</v>
      </c>
      <c r="B2986" s="80">
        <v>35418</v>
      </c>
      <c r="C2986">
        <v>91.199999660253525</v>
      </c>
      <c r="D2986">
        <v>15</v>
      </c>
      <c r="E2986" t="s">
        <v>173</v>
      </c>
    </row>
    <row r="2987" spans="1:5">
      <c r="A2987">
        <v>10388</v>
      </c>
      <c r="B2987" s="80">
        <v>35418</v>
      </c>
      <c r="C2987">
        <v>91.199999660253525</v>
      </c>
      <c r="D2987">
        <v>15</v>
      </c>
      <c r="E2987" t="s">
        <v>172</v>
      </c>
    </row>
    <row r="2988" spans="1:5">
      <c r="A2988">
        <v>10388</v>
      </c>
      <c r="B2988" s="80">
        <v>35418</v>
      </c>
      <c r="C2988">
        <v>91.199999660253525</v>
      </c>
      <c r="D2988">
        <v>15</v>
      </c>
      <c r="E2988" t="s">
        <v>174</v>
      </c>
    </row>
    <row r="2989" spans="1:5">
      <c r="A2989">
        <v>10388</v>
      </c>
      <c r="B2989" s="80">
        <v>35418</v>
      </c>
      <c r="C2989">
        <v>89.599999666213989</v>
      </c>
      <c r="D2989">
        <v>20</v>
      </c>
      <c r="E2989" t="s">
        <v>174</v>
      </c>
    </row>
    <row r="2990" spans="1:5">
      <c r="A2990">
        <v>10388</v>
      </c>
      <c r="B2990" s="80">
        <v>35418</v>
      </c>
      <c r="C2990">
        <v>89.599999666213989</v>
      </c>
      <c r="D2990">
        <v>20</v>
      </c>
      <c r="E2990" t="s">
        <v>172</v>
      </c>
    </row>
    <row r="2991" spans="1:5">
      <c r="A2991">
        <v>10388</v>
      </c>
      <c r="B2991" s="80">
        <v>35418</v>
      </c>
      <c r="C2991">
        <v>1048</v>
      </c>
      <c r="D2991">
        <v>40</v>
      </c>
      <c r="E2991" t="s">
        <v>172</v>
      </c>
    </row>
    <row r="2992" spans="1:5">
      <c r="A2992">
        <v>10388</v>
      </c>
      <c r="B2992" s="80">
        <v>35418</v>
      </c>
      <c r="C2992">
        <v>89.599999666213989</v>
      </c>
      <c r="D2992">
        <v>20</v>
      </c>
      <c r="E2992" t="s">
        <v>173</v>
      </c>
    </row>
    <row r="2993" spans="1:5">
      <c r="A2993">
        <v>10388</v>
      </c>
      <c r="B2993" s="80">
        <v>35418</v>
      </c>
      <c r="C2993">
        <v>1048</v>
      </c>
      <c r="D2993">
        <v>40</v>
      </c>
      <c r="E2993" t="s">
        <v>174</v>
      </c>
    </row>
    <row r="2994" spans="1:5">
      <c r="A2994">
        <v>10389</v>
      </c>
      <c r="B2994" s="80">
        <v>35419</v>
      </c>
      <c r="C2994">
        <v>788</v>
      </c>
      <c r="D2994">
        <v>20</v>
      </c>
      <c r="E2994" t="s">
        <v>177</v>
      </c>
    </row>
    <row r="2995" spans="1:5">
      <c r="A2995">
        <v>10389</v>
      </c>
      <c r="B2995" s="80">
        <v>35419</v>
      </c>
      <c r="C2995">
        <v>288</v>
      </c>
      <c r="D2995">
        <v>15</v>
      </c>
      <c r="E2995" t="s">
        <v>172</v>
      </c>
    </row>
    <row r="2996" spans="1:5">
      <c r="A2996">
        <v>10389</v>
      </c>
      <c r="B2996" s="80">
        <v>35419</v>
      </c>
      <c r="C2996">
        <v>360</v>
      </c>
      <c r="D2996">
        <v>30</v>
      </c>
      <c r="E2996" t="s">
        <v>178</v>
      </c>
    </row>
    <row r="2997" spans="1:5">
      <c r="A2997">
        <v>10389</v>
      </c>
      <c r="B2997" s="80">
        <v>35419</v>
      </c>
      <c r="C2997">
        <v>396.8</v>
      </c>
      <c r="D2997">
        <v>16</v>
      </c>
      <c r="E2997" t="s">
        <v>175</v>
      </c>
    </row>
    <row r="2998" spans="1:5">
      <c r="A2998">
        <v>10389</v>
      </c>
      <c r="B2998" s="80">
        <v>35419</v>
      </c>
      <c r="C2998">
        <v>396.8</v>
      </c>
      <c r="D2998">
        <v>16</v>
      </c>
      <c r="E2998" t="s">
        <v>173</v>
      </c>
    </row>
    <row r="2999" spans="1:5">
      <c r="A2999">
        <v>10389</v>
      </c>
      <c r="B2999" s="80">
        <v>35419</v>
      </c>
      <c r="C2999">
        <v>288</v>
      </c>
      <c r="D2999">
        <v>15</v>
      </c>
      <c r="E2999" t="s">
        <v>176</v>
      </c>
    </row>
    <row r="3000" spans="1:5">
      <c r="A3000">
        <v>10389</v>
      </c>
      <c r="B3000" s="80">
        <v>35419</v>
      </c>
      <c r="C3000">
        <v>788</v>
      </c>
      <c r="D3000">
        <v>20</v>
      </c>
      <c r="E3000" t="s">
        <v>176</v>
      </c>
    </row>
    <row r="3001" spans="1:5">
      <c r="A3001">
        <v>10389</v>
      </c>
      <c r="B3001" s="80">
        <v>35419</v>
      </c>
      <c r="C3001">
        <v>360</v>
      </c>
      <c r="D3001">
        <v>30</v>
      </c>
      <c r="E3001" t="s">
        <v>176</v>
      </c>
    </row>
    <row r="3002" spans="1:5">
      <c r="A3002">
        <v>10389</v>
      </c>
      <c r="B3002" s="80">
        <v>35419</v>
      </c>
      <c r="C3002">
        <v>788</v>
      </c>
      <c r="D3002">
        <v>20</v>
      </c>
      <c r="E3002" t="s">
        <v>172</v>
      </c>
    </row>
    <row r="3003" spans="1:5">
      <c r="A3003">
        <v>10389</v>
      </c>
      <c r="B3003" s="80">
        <v>35419</v>
      </c>
      <c r="C3003">
        <v>288</v>
      </c>
      <c r="D3003">
        <v>15</v>
      </c>
      <c r="E3003" t="s">
        <v>177</v>
      </c>
    </row>
    <row r="3004" spans="1:5">
      <c r="A3004">
        <v>10389</v>
      </c>
      <c r="B3004" s="80">
        <v>35419</v>
      </c>
      <c r="C3004">
        <v>396.8</v>
      </c>
      <c r="D3004">
        <v>16</v>
      </c>
      <c r="E3004" t="s">
        <v>172</v>
      </c>
    </row>
    <row r="3005" spans="1:5">
      <c r="A3005">
        <v>10389</v>
      </c>
      <c r="B3005" s="80">
        <v>35419</v>
      </c>
      <c r="C3005">
        <v>396.8</v>
      </c>
      <c r="D3005">
        <v>16</v>
      </c>
      <c r="E3005" t="s">
        <v>179</v>
      </c>
    </row>
    <row r="3006" spans="1:5">
      <c r="A3006">
        <v>10389</v>
      </c>
      <c r="B3006" s="80">
        <v>35419</v>
      </c>
      <c r="C3006">
        <v>288</v>
      </c>
      <c r="D3006">
        <v>15</v>
      </c>
      <c r="E3006" t="s">
        <v>179</v>
      </c>
    </row>
    <row r="3007" spans="1:5">
      <c r="A3007">
        <v>10389</v>
      </c>
      <c r="B3007" s="80">
        <v>35419</v>
      </c>
      <c r="C3007">
        <v>788</v>
      </c>
      <c r="D3007">
        <v>20</v>
      </c>
      <c r="E3007" t="s">
        <v>179</v>
      </c>
    </row>
    <row r="3008" spans="1:5">
      <c r="A3008">
        <v>10389</v>
      </c>
      <c r="B3008" s="80">
        <v>35419</v>
      </c>
      <c r="C3008">
        <v>360</v>
      </c>
      <c r="D3008">
        <v>30</v>
      </c>
      <c r="E3008" t="s">
        <v>179</v>
      </c>
    </row>
    <row r="3009" spans="1:5">
      <c r="A3009">
        <v>10389</v>
      </c>
      <c r="B3009" s="80">
        <v>35419</v>
      </c>
      <c r="C3009">
        <v>360</v>
      </c>
      <c r="D3009">
        <v>30</v>
      </c>
      <c r="E3009" t="s">
        <v>177</v>
      </c>
    </row>
    <row r="3010" spans="1:5">
      <c r="A3010">
        <v>10389</v>
      </c>
      <c r="B3010" s="80">
        <v>35419</v>
      </c>
      <c r="C3010">
        <v>288</v>
      </c>
      <c r="D3010">
        <v>15</v>
      </c>
      <c r="E3010" t="s">
        <v>175</v>
      </c>
    </row>
    <row r="3011" spans="1:5">
      <c r="A3011">
        <v>10389</v>
      </c>
      <c r="B3011" s="80">
        <v>35419</v>
      </c>
      <c r="C3011">
        <v>788</v>
      </c>
      <c r="D3011">
        <v>20</v>
      </c>
      <c r="E3011" t="s">
        <v>175</v>
      </c>
    </row>
    <row r="3012" spans="1:5">
      <c r="A3012">
        <v>10389</v>
      </c>
      <c r="B3012" s="80">
        <v>35419</v>
      </c>
      <c r="C3012">
        <v>396.8</v>
      </c>
      <c r="D3012">
        <v>16</v>
      </c>
      <c r="E3012" t="s">
        <v>177</v>
      </c>
    </row>
    <row r="3013" spans="1:5">
      <c r="A3013">
        <v>10389</v>
      </c>
      <c r="B3013" s="80">
        <v>35419</v>
      </c>
      <c r="C3013">
        <v>360</v>
      </c>
      <c r="D3013">
        <v>30</v>
      </c>
      <c r="E3013" t="s">
        <v>174</v>
      </c>
    </row>
    <row r="3014" spans="1:5">
      <c r="A3014">
        <v>10389</v>
      </c>
      <c r="B3014" s="80">
        <v>35419</v>
      </c>
      <c r="C3014">
        <v>360</v>
      </c>
      <c r="D3014">
        <v>30</v>
      </c>
      <c r="E3014" t="s">
        <v>173</v>
      </c>
    </row>
    <row r="3015" spans="1:5">
      <c r="A3015">
        <v>10389</v>
      </c>
      <c r="B3015" s="80">
        <v>35419</v>
      </c>
      <c r="C3015">
        <v>396.8</v>
      </c>
      <c r="D3015">
        <v>16</v>
      </c>
      <c r="E3015" t="s">
        <v>178</v>
      </c>
    </row>
    <row r="3016" spans="1:5">
      <c r="A3016">
        <v>10389</v>
      </c>
      <c r="B3016" s="80">
        <v>35419</v>
      </c>
      <c r="C3016">
        <v>396.8</v>
      </c>
      <c r="D3016">
        <v>16</v>
      </c>
      <c r="E3016" t="s">
        <v>176</v>
      </c>
    </row>
    <row r="3017" spans="1:5">
      <c r="A3017">
        <v>10389</v>
      </c>
      <c r="B3017" s="80">
        <v>35419</v>
      </c>
      <c r="C3017">
        <v>360</v>
      </c>
      <c r="D3017">
        <v>30</v>
      </c>
      <c r="E3017" t="s">
        <v>172</v>
      </c>
    </row>
    <row r="3018" spans="1:5">
      <c r="A3018">
        <v>10389</v>
      </c>
      <c r="B3018" s="80">
        <v>35419</v>
      </c>
      <c r="C3018">
        <v>788</v>
      </c>
      <c r="D3018">
        <v>20</v>
      </c>
      <c r="E3018" t="s">
        <v>173</v>
      </c>
    </row>
    <row r="3019" spans="1:5">
      <c r="A3019">
        <v>10389</v>
      </c>
      <c r="B3019" s="80">
        <v>35419</v>
      </c>
      <c r="C3019">
        <v>288</v>
      </c>
      <c r="D3019">
        <v>15</v>
      </c>
      <c r="E3019" t="s">
        <v>178</v>
      </c>
    </row>
    <row r="3020" spans="1:5">
      <c r="A3020">
        <v>10389</v>
      </c>
      <c r="B3020" s="80">
        <v>35419</v>
      </c>
      <c r="C3020">
        <v>788</v>
      </c>
      <c r="D3020">
        <v>20</v>
      </c>
      <c r="E3020" t="s">
        <v>174</v>
      </c>
    </row>
    <row r="3021" spans="1:5">
      <c r="A3021">
        <v>10389</v>
      </c>
      <c r="B3021" s="80">
        <v>35419</v>
      </c>
      <c r="C3021">
        <v>288</v>
      </c>
      <c r="D3021">
        <v>15</v>
      </c>
      <c r="E3021" t="s">
        <v>174</v>
      </c>
    </row>
    <row r="3022" spans="1:5">
      <c r="A3022">
        <v>10389</v>
      </c>
      <c r="B3022" s="80">
        <v>35419</v>
      </c>
      <c r="C3022">
        <v>396.8</v>
      </c>
      <c r="D3022">
        <v>16</v>
      </c>
      <c r="E3022" t="s">
        <v>174</v>
      </c>
    </row>
    <row r="3023" spans="1:5">
      <c r="A3023">
        <v>10389</v>
      </c>
      <c r="B3023" s="80">
        <v>35419</v>
      </c>
      <c r="C3023">
        <v>788</v>
      </c>
      <c r="D3023">
        <v>20</v>
      </c>
      <c r="E3023" t="s">
        <v>178</v>
      </c>
    </row>
    <row r="3024" spans="1:5">
      <c r="A3024">
        <v>10389</v>
      </c>
      <c r="B3024" s="80">
        <v>35419</v>
      </c>
      <c r="C3024">
        <v>360</v>
      </c>
      <c r="D3024">
        <v>30</v>
      </c>
      <c r="E3024" t="s">
        <v>175</v>
      </c>
    </row>
    <row r="3025" spans="1:5">
      <c r="A3025">
        <v>10389</v>
      </c>
      <c r="B3025" s="80">
        <v>35419</v>
      </c>
      <c r="C3025">
        <v>288</v>
      </c>
      <c r="D3025">
        <v>15</v>
      </c>
      <c r="E3025" t="s">
        <v>173</v>
      </c>
    </row>
    <row r="3026" spans="1:5">
      <c r="A3026">
        <v>10390</v>
      </c>
      <c r="B3026" s="80">
        <v>35422</v>
      </c>
      <c r="C3026">
        <v>518.39999914169312</v>
      </c>
      <c r="D3026">
        <v>40</v>
      </c>
      <c r="E3026" t="s">
        <v>176</v>
      </c>
    </row>
    <row r="3027" spans="1:5">
      <c r="A3027">
        <v>10390</v>
      </c>
      <c r="B3027" s="80">
        <v>35422</v>
      </c>
      <c r="C3027">
        <v>518.39999914169312</v>
      </c>
      <c r="D3027">
        <v>40</v>
      </c>
      <c r="E3027" t="s">
        <v>173</v>
      </c>
    </row>
    <row r="3028" spans="1:5">
      <c r="A3028">
        <v>10390</v>
      </c>
      <c r="B3028" s="80">
        <v>35422</v>
      </c>
      <c r="C3028">
        <v>518.39999914169312</v>
      </c>
      <c r="D3028">
        <v>40</v>
      </c>
      <c r="E3028" t="s">
        <v>177</v>
      </c>
    </row>
    <row r="3029" spans="1:5">
      <c r="A3029">
        <v>10390</v>
      </c>
      <c r="B3029" s="80">
        <v>35422</v>
      </c>
      <c r="C3029">
        <v>539.99999910593033</v>
      </c>
      <c r="D3029">
        <v>60</v>
      </c>
      <c r="E3029" t="s">
        <v>177</v>
      </c>
    </row>
    <row r="3030" spans="1:5">
      <c r="A3030">
        <v>10390</v>
      </c>
      <c r="B3030" s="80">
        <v>35422</v>
      </c>
      <c r="C3030">
        <v>432</v>
      </c>
      <c r="D3030">
        <v>45</v>
      </c>
      <c r="E3030" t="s">
        <v>177</v>
      </c>
    </row>
    <row r="3031" spans="1:5">
      <c r="A3031">
        <v>10390</v>
      </c>
      <c r="B3031" s="80">
        <v>35422</v>
      </c>
      <c r="C3031">
        <v>600.47999900579453</v>
      </c>
      <c r="D3031">
        <v>24</v>
      </c>
      <c r="E3031" t="s">
        <v>177</v>
      </c>
    </row>
    <row r="3032" spans="1:5">
      <c r="A3032">
        <v>10390</v>
      </c>
      <c r="B3032" s="80">
        <v>35422</v>
      </c>
      <c r="C3032">
        <v>539.99999910593033</v>
      </c>
      <c r="D3032">
        <v>60</v>
      </c>
      <c r="E3032" t="s">
        <v>173</v>
      </c>
    </row>
    <row r="3033" spans="1:5">
      <c r="A3033">
        <v>10390</v>
      </c>
      <c r="B3033" s="80">
        <v>35422</v>
      </c>
      <c r="C3033">
        <v>600.47999900579453</v>
      </c>
      <c r="D3033">
        <v>24</v>
      </c>
      <c r="E3033" t="s">
        <v>179</v>
      </c>
    </row>
    <row r="3034" spans="1:5">
      <c r="A3034">
        <v>10390</v>
      </c>
      <c r="B3034" s="80">
        <v>35422</v>
      </c>
      <c r="C3034">
        <v>432</v>
      </c>
      <c r="D3034">
        <v>45</v>
      </c>
      <c r="E3034" t="s">
        <v>176</v>
      </c>
    </row>
    <row r="3035" spans="1:5">
      <c r="A3035">
        <v>10390</v>
      </c>
      <c r="B3035" s="80">
        <v>35422</v>
      </c>
      <c r="C3035">
        <v>432</v>
      </c>
      <c r="D3035">
        <v>45</v>
      </c>
      <c r="E3035" t="s">
        <v>179</v>
      </c>
    </row>
    <row r="3036" spans="1:5">
      <c r="A3036">
        <v>10390</v>
      </c>
      <c r="B3036" s="80">
        <v>35422</v>
      </c>
      <c r="C3036">
        <v>539.99999910593033</v>
      </c>
      <c r="D3036">
        <v>60</v>
      </c>
      <c r="E3036" t="s">
        <v>176</v>
      </c>
    </row>
    <row r="3037" spans="1:5">
      <c r="A3037">
        <v>10390</v>
      </c>
      <c r="B3037" s="80">
        <v>35422</v>
      </c>
      <c r="C3037">
        <v>432</v>
      </c>
      <c r="D3037">
        <v>45</v>
      </c>
      <c r="E3037" t="s">
        <v>173</v>
      </c>
    </row>
    <row r="3038" spans="1:5">
      <c r="A3038">
        <v>10390</v>
      </c>
      <c r="B3038" s="80">
        <v>35422</v>
      </c>
      <c r="C3038">
        <v>600.47999900579453</v>
      </c>
      <c r="D3038">
        <v>24</v>
      </c>
      <c r="E3038" t="s">
        <v>173</v>
      </c>
    </row>
    <row r="3039" spans="1:5">
      <c r="A3039">
        <v>10390</v>
      </c>
      <c r="B3039" s="80">
        <v>35422</v>
      </c>
      <c r="C3039">
        <v>600.47999900579453</v>
      </c>
      <c r="D3039">
        <v>24</v>
      </c>
      <c r="E3039" t="s">
        <v>175</v>
      </c>
    </row>
    <row r="3040" spans="1:5">
      <c r="A3040">
        <v>10390</v>
      </c>
      <c r="B3040" s="80">
        <v>35422</v>
      </c>
      <c r="C3040">
        <v>600.47999900579453</v>
      </c>
      <c r="D3040">
        <v>24</v>
      </c>
      <c r="E3040" t="s">
        <v>176</v>
      </c>
    </row>
    <row r="3041" spans="1:5">
      <c r="A3041">
        <v>10390</v>
      </c>
      <c r="B3041" s="80">
        <v>35422</v>
      </c>
      <c r="C3041">
        <v>432</v>
      </c>
      <c r="D3041">
        <v>45</v>
      </c>
      <c r="E3041" t="s">
        <v>174</v>
      </c>
    </row>
    <row r="3042" spans="1:5">
      <c r="A3042">
        <v>10390</v>
      </c>
      <c r="B3042" s="80">
        <v>35422</v>
      </c>
      <c r="C3042">
        <v>600.47999900579453</v>
      </c>
      <c r="D3042">
        <v>24</v>
      </c>
      <c r="E3042" t="s">
        <v>178</v>
      </c>
    </row>
    <row r="3043" spans="1:5">
      <c r="A3043">
        <v>10390</v>
      </c>
      <c r="B3043" s="80">
        <v>35422</v>
      </c>
      <c r="C3043">
        <v>432</v>
      </c>
      <c r="D3043">
        <v>45</v>
      </c>
      <c r="E3043" t="s">
        <v>178</v>
      </c>
    </row>
    <row r="3044" spans="1:5">
      <c r="A3044">
        <v>10390</v>
      </c>
      <c r="B3044" s="80">
        <v>35422</v>
      </c>
      <c r="C3044">
        <v>518.39999914169312</v>
      </c>
      <c r="D3044">
        <v>40</v>
      </c>
      <c r="E3044" t="s">
        <v>178</v>
      </c>
    </row>
    <row r="3045" spans="1:5">
      <c r="A3045">
        <v>10390</v>
      </c>
      <c r="B3045" s="80">
        <v>35422</v>
      </c>
      <c r="C3045">
        <v>539.99999910593033</v>
      </c>
      <c r="D3045">
        <v>60</v>
      </c>
      <c r="E3045" t="s">
        <v>178</v>
      </c>
    </row>
    <row r="3046" spans="1:5">
      <c r="A3046">
        <v>10390</v>
      </c>
      <c r="B3046" s="80">
        <v>35422</v>
      </c>
      <c r="C3046">
        <v>600.47999900579453</v>
      </c>
      <c r="D3046">
        <v>24</v>
      </c>
      <c r="E3046" t="s">
        <v>172</v>
      </c>
    </row>
    <row r="3047" spans="1:5">
      <c r="A3047">
        <v>10390</v>
      </c>
      <c r="B3047" s="80">
        <v>35422</v>
      </c>
      <c r="C3047">
        <v>518.39999914169312</v>
      </c>
      <c r="D3047">
        <v>40</v>
      </c>
      <c r="E3047" t="s">
        <v>175</v>
      </c>
    </row>
    <row r="3048" spans="1:5">
      <c r="A3048">
        <v>10390</v>
      </c>
      <c r="B3048" s="80">
        <v>35422</v>
      </c>
      <c r="C3048">
        <v>600.47999900579453</v>
      </c>
      <c r="D3048">
        <v>24</v>
      </c>
      <c r="E3048" t="s">
        <v>174</v>
      </c>
    </row>
    <row r="3049" spans="1:5">
      <c r="A3049">
        <v>10390</v>
      </c>
      <c r="B3049" s="80">
        <v>35422</v>
      </c>
      <c r="C3049">
        <v>432</v>
      </c>
      <c r="D3049">
        <v>45</v>
      </c>
      <c r="E3049" t="s">
        <v>175</v>
      </c>
    </row>
    <row r="3050" spans="1:5">
      <c r="A3050">
        <v>10390</v>
      </c>
      <c r="B3050" s="80">
        <v>35422</v>
      </c>
      <c r="C3050">
        <v>518.39999914169312</v>
      </c>
      <c r="D3050">
        <v>40</v>
      </c>
      <c r="E3050" t="s">
        <v>174</v>
      </c>
    </row>
    <row r="3051" spans="1:5">
      <c r="A3051">
        <v>10390</v>
      </c>
      <c r="B3051" s="80">
        <v>35422</v>
      </c>
      <c r="C3051">
        <v>539.99999910593033</v>
      </c>
      <c r="D3051">
        <v>60</v>
      </c>
      <c r="E3051" t="s">
        <v>174</v>
      </c>
    </row>
    <row r="3052" spans="1:5">
      <c r="A3052">
        <v>10390</v>
      </c>
      <c r="B3052" s="80">
        <v>35422</v>
      </c>
      <c r="C3052">
        <v>432</v>
      </c>
      <c r="D3052">
        <v>45</v>
      </c>
      <c r="E3052" t="s">
        <v>172</v>
      </c>
    </row>
    <row r="3053" spans="1:5">
      <c r="A3053">
        <v>10390</v>
      </c>
      <c r="B3053" s="80">
        <v>35422</v>
      </c>
      <c r="C3053">
        <v>518.39999914169312</v>
      </c>
      <c r="D3053">
        <v>40</v>
      </c>
      <c r="E3053" t="s">
        <v>172</v>
      </c>
    </row>
    <row r="3054" spans="1:5">
      <c r="A3054">
        <v>10390</v>
      </c>
      <c r="B3054" s="80">
        <v>35422</v>
      </c>
      <c r="C3054">
        <v>539.99999910593033</v>
      </c>
      <c r="D3054">
        <v>60</v>
      </c>
      <c r="E3054" t="s">
        <v>172</v>
      </c>
    </row>
    <row r="3055" spans="1:5">
      <c r="A3055">
        <v>10390</v>
      </c>
      <c r="B3055" s="80">
        <v>35422</v>
      </c>
      <c r="C3055">
        <v>539.99999910593033</v>
      </c>
      <c r="D3055">
        <v>60</v>
      </c>
      <c r="E3055" t="s">
        <v>179</v>
      </c>
    </row>
    <row r="3056" spans="1:5">
      <c r="A3056">
        <v>10390</v>
      </c>
      <c r="B3056" s="80">
        <v>35422</v>
      </c>
      <c r="C3056">
        <v>539.99999910593033</v>
      </c>
      <c r="D3056">
        <v>60</v>
      </c>
      <c r="E3056" t="s">
        <v>175</v>
      </c>
    </row>
    <row r="3057" spans="1:5">
      <c r="A3057">
        <v>10390</v>
      </c>
      <c r="B3057" s="80">
        <v>35422</v>
      </c>
      <c r="C3057">
        <v>518.39999914169312</v>
      </c>
      <c r="D3057">
        <v>40</v>
      </c>
      <c r="E3057" t="s">
        <v>179</v>
      </c>
    </row>
    <row r="3058" spans="1:5">
      <c r="A3058">
        <v>10391</v>
      </c>
      <c r="B3058" s="80">
        <v>35422</v>
      </c>
      <c r="C3058">
        <v>86.4</v>
      </c>
      <c r="D3058">
        <v>18</v>
      </c>
      <c r="E3058" t="s">
        <v>173</v>
      </c>
    </row>
    <row r="3059" spans="1:5">
      <c r="A3059">
        <v>10391</v>
      </c>
      <c r="B3059" s="80">
        <v>35422</v>
      </c>
      <c r="C3059">
        <v>86.4</v>
      </c>
      <c r="D3059">
        <v>18</v>
      </c>
      <c r="E3059" t="s">
        <v>176</v>
      </c>
    </row>
    <row r="3060" spans="1:5">
      <c r="A3060">
        <v>10391</v>
      </c>
      <c r="B3060" s="80">
        <v>35422</v>
      </c>
      <c r="C3060">
        <v>86.4</v>
      </c>
      <c r="D3060">
        <v>18</v>
      </c>
      <c r="E3060" t="s">
        <v>178</v>
      </c>
    </row>
    <row r="3061" spans="1:5">
      <c r="A3061">
        <v>10391</v>
      </c>
      <c r="B3061" s="80">
        <v>35422</v>
      </c>
      <c r="C3061">
        <v>86.4</v>
      </c>
      <c r="D3061">
        <v>18</v>
      </c>
      <c r="E3061" t="s">
        <v>175</v>
      </c>
    </row>
    <row r="3062" spans="1:5">
      <c r="A3062">
        <v>10391</v>
      </c>
      <c r="B3062" s="80">
        <v>35422</v>
      </c>
      <c r="C3062">
        <v>86.4</v>
      </c>
      <c r="D3062">
        <v>18</v>
      </c>
      <c r="E3062" t="s">
        <v>177</v>
      </c>
    </row>
    <row r="3063" spans="1:5">
      <c r="A3063">
        <v>10391</v>
      </c>
      <c r="B3063" s="80">
        <v>35422</v>
      </c>
      <c r="C3063">
        <v>86.4</v>
      </c>
      <c r="D3063">
        <v>18</v>
      </c>
      <c r="E3063" t="s">
        <v>179</v>
      </c>
    </row>
    <row r="3064" spans="1:5">
      <c r="A3064">
        <v>10391</v>
      </c>
      <c r="B3064" s="80">
        <v>35422</v>
      </c>
      <c r="C3064">
        <v>86.4</v>
      </c>
      <c r="D3064">
        <v>18</v>
      </c>
      <c r="E3064" t="s">
        <v>172</v>
      </c>
    </row>
    <row r="3065" spans="1:5">
      <c r="A3065">
        <v>10391</v>
      </c>
      <c r="B3065" s="80">
        <v>35422</v>
      </c>
      <c r="C3065">
        <v>86.4</v>
      </c>
      <c r="D3065">
        <v>18</v>
      </c>
      <c r="E3065" t="s">
        <v>174</v>
      </c>
    </row>
    <row r="3066" spans="1:5">
      <c r="A3066">
        <v>10392</v>
      </c>
      <c r="B3066" s="80">
        <v>35423</v>
      </c>
      <c r="C3066">
        <v>1440</v>
      </c>
      <c r="D3066">
        <v>50</v>
      </c>
      <c r="E3066" t="s">
        <v>176</v>
      </c>
    </row>
    <row r="3067" spans="1:5">
      <c r="A3067">
        <v>10392</v>
      </c>
      <c r="B3067" s="80">
        <v>35423</v>
      </c>
      <c r="C3067">
        <v>1440</v>
      </c>
      <c r="D3067">
        <v>50</v>
      </c>
      <c r="E3067" t="s">
        <v>178</v>
      </c>
    </row>
    <row r="3068" spans="1:5">
      <c r="A3068">
        <v>10392</v>
      </c>
      <c r="B3068" s="80">
        <v>35423</v>
      </c>
      <c r="C3068">
        <v>1440</v>
      </c>
      <c r="D3068">
        <v>50</v>
      </c>
      <c r="E3068" t="s">
        <v>174</v>
      </c>
    </row>
    <row r="3069" spans="1:5">
      <c r="A3069">
        <v>10392</v>
      </c>
      <c r="B3069" s="80">
        <v>35423</v>
      </c>
      <c r="C3069">
        <v>1440</v>
      </c>
      <c r="D3069">
        <v>50</v>
      </c>
      <c r="E3069" t="s">
        <v>175</v>
      </c>
    </row>
    <row r="3070" spans="1:5">
      <c r="A3070">
        <v>10392</v>
      </c>
      <c r="B3070" s="80">
        <v>35423</v>
      </c>
      <c r="C3070">
        <v>1440</v>
      </c>
      <c r="D3070">
        <v>50</v>
      </c>
      <c r="E3070" t="s">
        <v>172</v>
      </c>
    </row>
    <row r="3071" spans="1:5">
      <c r="A3071">
        <v>10392</v>
      </c>
      <c r="B3071" s="80">
        <v>35423</v>
      </c>
      <c r="C3071">
        <v>1440</v>
      </c>
      <c r="D3071">
        <v>50</v>
      </c>
      <c r="E3071" t="s">
        <v>177</v>
      </c>
    </row>
    <row r="3072" spans="1:5">
      <c r="A3072">
        <v>10392</v>
      </c>
      <c r="B3072" s="80">
        <v>35423</v>
      </c>
      <c r="C3072">
        <v>1440</v>
      </c>
      <c r="D3072">
        <v>50</v>
      </c>
      <c r="E3072" t="s">
        <v>179</v>
      </c>
    </row>
    <row r="3073" spans="1:5">
      <c r="A3073">
        <v>10392</v>
      </c>
      <c r="B3073" s="80">
        <v>35423</v>
      </c>
      <c r="C3073">
        <v>1440</v>
      </c>
      <c r="D3073">
        <v>50</v>
      </c>
      <c r="E3073" t="s">
        <v>173</v>
      </c>
    </row>
    <row r="3074" spans="1:5">
      <c r="A3074">
        <v>10393</v>
      </c>
      <c r="B3074" s="80">
        <v>35424</v>
      </c>
      <c r="C3074">
        <v>320</v>
      </c>
      <c r="D3074">
        <v>32</v>
      </c>
      <c r="E3074" t="s">
        <v>176</v>
      </c>
    </row>
    <row r="3075" spans="1:5">
      <c r="A3075">
        <v>10393</v>
      </c>
      <c r="B3075" s="80">
        <v>35424</v>
      </c>
      <c r="C3075">
        <v>58.800000000000004</v>
      </c>
      <c r="D3075">
        <v>7</v>
      </c>
      <c r="E3075" t="s">
        <v>176</v>
      </c>
    </row>
    <row r="3076" spans="1:5">
      <c r="A3076">
        <v>10393</v>
      </c>
      <c r="B3076" s="80">
        <v>35424</v>
      </c>
      <c r="C3076">
        <v>1307.25</v>
      </c>
      <c r="D3076">
        <v>70</v>
      </c>
      <c r="E3076" t="s">
        <v>172</v>
      </c>
    </row>
    <row r="3077" spans="1:5">
      <c r="A3077">
        <v>10393</v>
      </c>
      <c r="B3077" s="80">
        <v>35424</v>
      </c>
      <c r="C3077">
        <v>320</v>
      </c>
      <c r="D3077">
        <v>32</v>
      </c>
      <c r="E3077" t="s">
        <v>178</v>
      </c>
    </row>
    <row r="3078" spans="1:5">
      <c r="A3078">
        <v>10393</v>
      </c>
      <c r="B3078" s="80">
        <v>35424</v>
      </c>
      <c r="C3078">
        <v>1307.25</v>
      </c>
      <c r="D3078">
        <v>70</v>
      </c>
      <c r="E3078" t="s">
        <v>178</v>
      </c>
    </row>
    <row r="3079" spans="1:5">
      <c r="A3079">
        <v>10393</v>
      </c>
      <c r="B3079" s="80">
        <v>35424</v>
      </c>
      <c r="C3079">
        <v>58.800000000000004</v>
      </c>
      <c r="D3079">
        <v>7</v>
      </c>
      <c r="E3079" t="s">
        <v>178</v>
      </c>
    </row>
    <row r="3080" spans="1:5">
      <c r="A3080">
        <v>10393</v>
      </c>
      <c r="B3080" s="80">
        <v>35424</v>
      </c>
      <c r="C3080">
        <v>585.90000000000009</v>
      </c>
      <c r="D3080">
        <v>42</v>
      </c>
      <c r="E3080" t="s">
        <v>178</v>
      </c>
    </row>
    <row r="3081" spans="1:5">
      <c r="A3081">
        <v>10393</v>
      </c>
      <c r="B3081" s="80">
        <v>35424</v>
      </c>
      <c r="C3081">
        <v>285</v>
      </c>
      <c r="D3081">
        <v>25</v>
      </c>
      <c r="E3081" t="s">
        <v>178</v>
      </c>
    </row>
    <row r="3082" spans="1:5">
      <c r="A3082">
        <v>10393</v>
      </c>
      <c r="B3082" s="80">
        <v>35424</v>
      </c>
      <c r="C3082">
        <v>58.800000000000004</v>
      </c>
      <c r="D3082">
        <v>7</v>
      </c>
      <c r="E3082" t="s">
        <v>172</v>
      </c>
    </row>
    <row r="3083" spans="1:5">
      <c r="A3083">
        <v>10393</v>
      </c>
      <c r="B3083" s="80">
        <v>35424</v>
      </c>
      <c r="C3083">
        <v>585.90000000000009</v>
      </c>
      <c r="D3083">
        <v>42</v>
      </c>
      <c r="E3083" t="s">
        <v>172</v>
      </c>
    </row>
    <row r="3084" spans="1:5">
      <c r="A3084">
        <v>10393</v>
      </c>
      <c r="B3084" s="80">
        <v>35424</v>
      </c>
      <c r="C3084">
        <v>585.90000000000009</v>
      </c>
      <c r="D3084">
        <v>42</v>
      </c>
      <c r="E3084" t="s">
        <v>176</v>
      </c>
    </row>
    <row r="3085" spans="1:5">
      <c r="A3085">
        <v>10393</v>
      </c>
      <c r="B3085" s="80">
        <v>35424</v>
      </c>
      <c r="C3085">
        <v>1307.25</v>
      </c>
      <c r="D3085">
        <v>70</v>
      </c>
      <c r="E3085" t="s">
        <v>173</v>
      </c>
    </row>
    <row r="3086" spans="1:5">
      <c r="A3086">
        <v>10393</v>
      </c>
      <c r="B3086" s="80">
        <v>35424</v>
      </c>
      <c r="C3086">
        <v>58.800000000000004</v>
      </c>
      <c r="D3086">
        <v>7</v>
      </c>
      <c r="E3086" t="s">
        <v>173</v>
      </c>
    </row>
    <row r="3087" spans="1:5">
      <c r="A3087">
        <v>10393</v>
      </c>
      <c r="B3087" s="80">
        <v>35424</v>
      </c>
      <c r="C3087">
        <v>585.90000000000009</v>
      </c>
      <c r="D3087">
        <v>42</v>
      </c>
      <c r="E3087" t="s">
        <v>173</v>
      </c>
    </row>
    <row r="3088" spans="1:5">
      <c r="A3088">
        <v>10393</v>
      </c>
      <c r="B3088" s="80">
        <v>35424</v>
      </c>
      <c r="C3088">
        <v>285</v>
      </c>
      <c r="D3088">
        <v>25</v>
      </c>
      <c r="E3088" t="s">
        <v>173</v>
      </c>
    </row>
    <row r="3089" spans="1:5">
      <c r="A3089">
        <v>10393</v>
      </c>
      <c r="B3089" s="80">
        <v>35424</v>
      </c>
      <c r="C3089">
        <v>285</v>
      </c>
      <c r="D3089">
        <v>25</v>
      </c>
      <c r="E3089" t="s">
        <v>177</v>
      </c>
    </row>
    <row r="3090" spans="1:5">
      <c r="A3090">
        <v>10393</v>
      </c>
      <c r="B3090" s="80">
        <v>35424</v>
      </c>
      <c r="C3090">
        <v>585.90000000000009</v>
      </c>
      <c r="D3090">
        <v>42</v>
      </c>
      <c r="E3090" t="s">
        <v>177</v>
      </c>
    </row>
    <row r="3091" spans="1:5">
      <c r="A3091">
        <v>10393</v>
      </c>
      <c r="B3091" s="80">
        <v>35424</v>
      </c>
      <c r="C3091">
        <v>320</v>
      </c>
      <c r="D3091">
        <v>32</v>
      </c>
      <c r="E3091" t="s">
        <v>172</v>
      </c>
    </row>
    <row r="3092" spans="1:5">
      <c r="A3092">
        <v>10393</v>
      </c>
      <c r="B3092" s="80">
        <v>35424</v>
      </c>
      <c r="C3092">
        <v>58.800000000000004</v>
      </c>
      <c r="D3092">
        <v>7</v>
      </c>
      <c r="E3092" t="s">
        <v>177</v>
      </c>
    </row>
    <row r="3093" spans="1:5">
      <c r="A3093">
        <v>10393</v>
      </c>
      <c r="B3093" s="80">
        <v>35424</v>
      </c>
      <c r="C3093">
        <v>320</v>
      </c>
      <c r="D3093">
        <v>32</v>
      </c>
      <c r="E3093" t="s">
        <v>177</v>
      </c>
    </row>
    <row r="3094" spans="1:5">
      <c r="A3094">
        <v>10393</v>
      </c>
      <c r="B3094" s="80">
        <v>35424</v>
      </c>
      <c r="C3094">
        <v>1307.25</v>
      </c>
      <c r="D3094">
        <v>70</v>
      </c>
      <c r="E3094" t="s">
        <v>177</v>
      </c>
    </row>
    <row r="3095" spans="1:5">
      <c r="A3095">
        <v>10393</v>
      </c>
      <c r="B3095" s="80">
        <v>35424</v>
      </c>
      <c r="C3095">
        <v>285</v>
      </c>
      <c r="D3095">
        <v>25</v>
      </c>
      <c r="E3095" t="s">
        <v>172</v>
      </c>
    </row>
    <row r="3096" spans="1:5">
      <c r="A3096">
        <v>10393</v>
      </c>
      <c r="B3096" s="80">
        <v>35424</v>
      </c>
      <c r="C3096">
        <v>320</v>
      </c>
      <c r="D3096">
        <v>32</v>
      </c>
      <c r="E3096" t="s">
        <v>175</v>
      </c>
    </row>
    <row r="3097" spans="1:5">
      <c r="A3097">
        <v>10393</v>
      </c>
      <c r="B3097" s="80">
        <v>35424</v>
      </c>
      <c r="C3097">
        <v>58.800000000000004</v>
      </c>
      <c r="D3097">
        <v>7</v>
      </c>
      <c r="E3097" t="s">
        <v>174</v>
      </c>
    </row>
    <row r="3098" spans="1:5">
      <c r="A3098">
        <v>10393</v>
      </c>
      <c r="B3098" s="80">
        <v>35424</v>
      </c>
      <c r="C3098">
        <v>1307.25</v>
      </c>
      <c r="D3098">
        <v>70</v>
      </c>
      <c r="E3098" t="s">
        <v>174</v>
      </c>
    </row>
    <row r="3099" spans="1:5">
      <c r="A3099">
        <v>10393</v>
      </c>
      <c r="B3099" s="80">
        <v>35424</v>
      </c>
      <c r="C3099">
        <v>320</v>
      </c>
      <c r="D3099">
        <v>32</v>
      </c>
      <c r="E3099" t="s">
        <v>174</v>
      </c>
    </row>
    <row r="3100" spans="1:5">
      <c r="A3100">
        <v>10393</v>
      </c>
      <c r="B3100" s="80">
        <v>35424</v>
      </c>
      <c r="C3100">
        <v>58.800000000000004</v>
      </c>
      <c r="D3100">
        <v>7</v>
      </c>
      <c r="E3100" t="s">
        <v>179</v>
      </c>
    </row>
    <row r="3101" spans="1:5">
      <c r="A3101">
        <v>10393</v>
      </c>
      <c r="B3101" s="80">
        <v>35424</v>
      </c>
      <c r="C3101">
        <v>585.90000000000009</v>
      </c>
      <c r="D3101">
        <v>42</v>
      </c>
      <c r="E3101" t="s">
        <v>179</v>
      </c>
    </row>
    <row r="3102" spans="1:5">
      <c r="A3102">
        <v>10393</v>
      </c>
      <c r="B3102" s="80">
        <v>35424</v>
      </c>
      <c r="C3102">
        <v>585.90000000000009</v>
      </c>
      <c r="D3102">
        <v>42</v>
      </c>
      <c r="E3102" t="s">
        <v>174</v>
      </c>
    </row>
    <row r="3103" spans="1:5">
      <c r="A3103">
        <v>10393</v>
      </c>
      <c r="B3103" s="80">
        <v>35424</v>
      </c>
      <c r="C3103">
        <v>285</v>
      </c>
      <c r="D3103">
        <v>25</v>
      </c>
      <c r="E3103" t="s">
        <v>179</v>
      </c>
    </row>
    <row r="3104" spans="1:5">
      <c r="A3104">
        <v>10393</v>
      </c>
      <c r="B3104" s="80">
        <v>35424</v>
      </c>
      <c r="C3104">
        <v>1307.25</v>
      </c>
      <c r="D3104">
        <v>70</v>
      </c>
      <c r="E3104" t="s">
        <v>179</v>
      </c>
    </row>
    <row r="3105" spans="1:5">
      <c r="A3105">
        <v>10393</v>
      </c>
      <c r="B3105" s="80">
        <v>35424</v>
      </c>
      <c r="C3105">
        <v>1307.25</v>
      </c>
      <c r="D3105">
        <v>70</v>
      </c>
      <c r="E3105" t="s">
        <v>175</v>
      </c>
    </row>
    <row r="3106" spans="1:5">
      <c r="A3106">
        <v>10393</v>
      </c>
      <c r="B3106" s="80">
        <v>35424</v>
      </c>
      <c r="C3106">
        <v>58.800000000000004</v>
      </c>
      <c r="D3106">
        <v>7</v>
      </c>
      <c r="E3106" t="s">
        <v>175</v>
      </c>
    </row>
    <row r="3107" spans="1:5">
      <c r="A3107">
        <v>10393</v>
      </c>
      <c r="B3107" s="80">
        <v>35424</v>
      </c>
      <c r="C3107">
        <v>585.90000000000009</v>
      </c>
      <c r="D3107">
        <v>42</v>
      </c>
      <c r="E3107" t="s">
        <v>175</v>
      </c>
    </row>
    <row r="3108" spans="1:5">
      <c r="A3108">
        <v>10393</v>
      </c>
      <c r="B3108" s="80">
        <v>35424</v>
      </c>
      <c r="C3108">
        <v>285</v>
      </c>
      <c r="D3108">
        <v>25</v>
      </c>
      <c r="E3108" t="s">
        <v>176</v>
      </c>
    </row>
    <row r="3109" spans="1:5">
      <c r="A3109">
        <v>10393</v>
      </c>
      <c r="B3109" s="80">
        <v>35424</v>
      </c>
      <c r="C3109">
        <v>1307.25</v>
      </c>
      <c r="D3109">
        <v>70</v>
      </c>
      <c r="E3109" t="s">
        <v>176</v>
      </c>
    </row>
    <row r="3110" spans="1:5">
      <c r="A3110">
        <v>10393</v>
      </c>
      <c r="B3110" s="80">
        <v>35424</v>
      </c>
      <c r="C3110">
        <v>285</v>
      </c>
      <c r="D3110">
        <v>25</v>
      </c>
      <c r="E3110" t="s">
        <v>175</v>
      </c>
    </row>
    <row r="3111" spans="1:5">
      <c r="A3111">
        <v>10393</v>
      </c>
      <c r="B3111" s="80">
        <v>35424</v>
      </c>
      <c r="C3111">
        <v>320</v>
      </c>
      <c r="D3111">
        <v>32</v>
      </c>
      <c r="E3111" t="s">
        <v>179</v>
      </c>
    </row>
    <row r="3112" spans="1:5">
      <c r="A3112">
        <v>10393</v>
      </c>
      <c r="B3112" s="80">
        <v>35424</v>
      </c>
      <c r="C3112">
        <v>285</v>
      </c>
      <c r="D3112">
        <v>25</v>
      </c>
      <c r="E3112" t="s">
        <v>174</v>
      </c>
    </row>
    <row r="3113" spans="1:5">
      <c r="A3113">
        <v>10393</v>
      </c>
      <c r="B3113" s="80">
        <v>35424</v>
      </c>
      <c r="C3113">
        <v>320</v>
      </c>
      <c r="D3113">
        <v>32</v>
      </c>
      <c r="E3113" t="s">
        <v>173</v>
      </c>
    </row>
    <row r="3114" spans="1:5">
      <c r="A3114">
        <v>10394</v>
      </c>
      <c r="B3114" s="80">
        <v>35424</v>
      </c>
      <c r="C3114">
        <v>48</v>
      </c>
      <c r="D3114">
        <v>10</v>
      </c>
      <c r="E3114" t="s">
        <v>173</v>
      </c>
    </row>
    <row r="3115" spans="1:5">
      <c r="A3115">
        <v>10394</v>
      </c>
      <c r="B3115" s="80">
        <v>35424</v>
      </c>
      <c r="C3115">
        <v>394</v>
      </c>
      <c r="D3115">
        <v>10</v>
      </c>
      <c r="E3115" t="s">
        <v>175</v>
      </c>
    </row>
    <row r="3116" spans="1:5">
      <c r="A3116">
        <v>10394</v>
      </c>
      <c r="B3116" s="80">
        <v>35424</v>
      </c>
      <c r="C3116">
        <v>48</v>
      </c>
      <c r="D3116">
        <v>10</v>
      </c>
      <c r="E3116" t="s">
        <v>175</v>
      </c>
    </row>
    <row r="3117" spans="1:5">
      <c r="A3117">
        <v>10394</v>
      </c>
      <c r="B3117" s="80">
        <v>35424</v>
      </c>
      <c r="C3117">
        <v>394</v>
      </c>
      <c r="D3117">
        <v>10</v>
      </c>
      <c r="E3117" t="s">
        <v>176</v>
      </c>
    </row>
    <row r="3118" spans="1:5">
      <c r="A3118">
        <v>10394</v>
      </c>
      <c r="B3118" s="80">
        <v>35424</v>
      </c>
      <c r="C3118">
        <v>48</v>
      </c>
      <c r="D3118">
        <v>10</v>
      </c>
      <c r="E3118" t="s">
        <v>177</v>
      </c>
    </row>
    <row r="3119" spans="1:5">
      <c r="A3119">
        <v>10394</v>
      </c>
      <c r="B3119" s="80">
        <v>35424</v>
      </c>
      <c r="C3119">
        <v>394</v>
      </c>
      <c r="D3119">
        <v>10</v>
      </c>
      <c r="E3119" t="s">
        <v>177</v>
      </c>
    </row>
    <row r="3120" spans="1:5">
      <c r="A3120">
        <v>10394</v>
      </c>
      <c r="B3120" s="80">
        <v>35424</v>
      </c>
      <c r="C3120">
        <v>48</v>
      </c>
      <c r="D3120">
        <v>10</v>
      </c>
      <c r="E3120" t="s">
        <v>176</v>
      </c>
    </row>
    <row r="3121" spans="1:5">
      <c r="A3121">
        <v>10394</v>
      </c>
      <c r="B3121" s="80">
        <v>35424</v>
      </c>
      <c r="C3121">
        <v>394</v>
      </c>
      <c r="D3121">
        <v>10</v>
      </c>
      <c r="E3121" t="s">
        <v>172</v>
      </c>
    </row>
    <row r="3122" spans="1:5">
      <c r="A3122">
        <v>10394</v>
      </c>
      <c r="B3122" s="80">
        <v>35424</v>
      </c>
      <c r="C3122">
        <v>48</v>
      </c>
      <c r="D3122">
        <v>10</v>
      </c>
      <c r="E3122" t="s">
        <v>172</v>
      </c>
    </row>
    <row r="3123" spans="1:5">
      <c r="A3123">
        <v>10394</v>
      </c>
      <c r="B3123" s="80">
        <v>35424</v>
      </c>
      <c r="C3123">
        <v>394</v>
      </c>
      <c r="D3123">
        <v>10</v>
      </c>
      <c r="E3123" t="s">
        <v>179</v>
      </c>
    </row>
    <row r="3124" spans="1:5">
      <c r="A3124">
        <v>10394</v>
      </c>
      <c r="B3124" s="80">
        <v>35424</v>
      </c>
      <c r="C3124">
        <v>48</v>
      </c>
      <c r="D3124">
        <v>10</v>
      </c>
      <c r="E3124" t="s">
        <v>178</v>
      </c>
    </row>
    <row r="3125" spans="1:5">
      <c r="A3125">
        <v>10394</v>
      </c>
      <c r="B3125" s="80">
        <v>35424</v>
      </c>
      <c r="C3125">
        <v>394</v>
      </c>
      <c r="D3125">
        <v>10</v>
      </c>
      <c r="E3125" t="s">
        <v>178</v>
      </c>
    </row>
    <row r="3126" spans="1:5">
      <c r="A3126">
        <v>10394</v>
      </c>
      <c r="B3126" s="80">
        <v>35424</v>
      </c>
      <c r="C3126">
        <v>394</v>
      </c>
      <c r="D3126">
        <v>10</v>
      </c>
      <c r="E3126" t="s">
        <v>173</v>
      </c>
    </row>
    <row r="3127" spans="1:5">
      <c r="A3127">
        <v>10394</v>
      </c>
      <c r="B3127" s="80">
        <v>35424</v>
      </c>
      <c r="C3127">
        <v>394</v>
      </c>
      <c r="D3127">
        <v>10</v>
      </c>
      <c r="E3127" t="s">
        <v>174</v>
      </c>
    </row>
    <row r="3128" spans="1:5">
      <c r="A3128">
        <v>10394</v>
      </c>
      <c r="B3128" s="80">
        <v>35424</v>
      </c>
      <c r="C3128">
        <v>48</v>
      </c>
      <c r="D3128">
        <v>10</v>
      </c>
      <c r="E3128" t="s">
        <v>179</v>
      </c>
    </row>
    <row r="3129" spans="1:5">
      <c r="A3129">
        <v>10394</v>
      </c>
      <c r="B3129" s="80">
        <v>35424</v>
      </c>
      <c r="C3129">
        <v>48</v>
      </c>
      <c r="D3129">
        <v>10</v>
      </c>
      <c r="E3129" t="s">
        <v>174</v>
      </c>
    </row>
    <row r="3130" spans="1:5">
      <c r="A3130">
        <v>10395</v>
      </c>
      <c r="B3130" s="80">
        <v>35425</v>
      </c>
      <c r="C3130">
        <v>1650.599997267127</v>
      </c>
      <c r="D3130">
        <v>70</v>
      </c>
      <c r="E3130" t="s">
        <v>177</v>
      </c>
    </row>
    <row r="3131" spans="1:5">
      <c r="A3131">
        <v>10395</v>
      </c>
      <c r="B3131" s="80">
        <v>35425</v>
      </c>
      <c r="C3131">
        <v>241.91999959945679</v>
      </c>
      <c r="D3131">
        <v>28</v>
      </c>
      <c r="E3131" t="s">
        <v>177</v>
      </c>
    </row>
    <row r="3132" spans="1:5">
      <c r="A3132">
        <v>10395</v>
      </c>
      <c r="B3132" s="80">
        <v>35425</v>
      </c>
      <c r="C3132">
        <v>241.91999959945679</v>
      </c>
      <c r="D3132">
        <v>28</v>
      </c>
      <c r="E3132" t="s">
        <v>175</v>
      </c>
    </row>
    <row r="3133" spans="1:5">
      <c r="A3133">
        <v>10395</v>
      </c>
      <c r="B3133" s="80">
        <v>35425</v>
      </c>
      <c r="C3133">
        <v>241.91999959945679</v>
      </c>
      <c r="D3133">
        <v>28</v>
      </c>
      <c r="E3133" t="s">
        <v>172</v>
      </c>
    </row>
    <row r="3134" spans="1:5">
      <c r="A3134">
        <v>10395</v>
      </c>
      <c r="B3134" s="80">
        <v>35425</v>
      </c>
      <c r="C3134">
        <v>241.91999959945679</v>
      </c>
      <c r="D3134">
        <v>28</v>
      </c>
      <c r="E3134" t="s">
        <v>176</v>
      </c>
    </row>
    <row r="3135" spans="1:5">
      <c r="A3135">
        <v>10395</v>
      </c>
      <c r="B3135" s="80">
        <v>35425</v>
      </c>
      <c r="C3135">
        <v>1650.599997267127</v>
      </c>
      <c r="D3135">
        <v>70</v>
      </c>
      <c r="E3135" t="s">
        <v>176</v>
      </c>
    </row>
    <row r="3136" spans="1:5">
      <c r="A3136">
        <v>10395</v>
      </c>
      <c r="B3136" s="80">
        <v>35425</v>
      </c>
      <c r="C3136">
        <v>230.4</v>
      </c>
      <c r="D3136">
        <v>8</v>
      </c>
      <c r="E3136" t="s">
        <v>176</v>
      </c>
    </row>
    <row r="3137" spans="1:5">
      <c r="A3137">
        <v>10395</v>
      </c>
      <c r="B3137" s="80">
        <v>35425</v>
      </c>
      <c r="C3137">
        <v>1650.599997267127</v>
      </c>
      <c r="D3137">
        <v>70</v>
      </c>
      <c r="E3137" t="s">
        <v>179</v>
      </c>
    </row>
    <row r="3138" spans="1:5">
      <c r="A3138">
        <v>10395</v>
      </c>
      <c r="B3138" s="80">
        <v>35425</v>
      </c>
      <c r="C3138">
        <v>230.4</v>
      </c>
      <c r="D3138">
        <v>8</v>
      </c>
      <c r="E3138" t="s">
        <v>172</v>
      </c>
    </row>
    <row r="3139" spans="1:5">
      <c r="A3139">
        <v>10395</v>
      </c>
      <c r="B3139" s="80">
        <v>35425</v>
      </c>
      <c r="C3139">
        <v>230.4</v>
      </c>
      <c r="D3139">
        <v>8</v>
      </c>
      <c r="E3139" t="s">
        <v>179</v>
      </c>
    </row>
    <row r="3140" spans="1:5">
      <c r="A3140">
        <v>10395</v>
      </c>
      <c r="B3140" s="80">
        <v>35425</v>
      </c>
      <c r="C3140">
        <v>230.4</v>
      </c>
      <c r="D3140">
        <v>8</v>
      </c>
      <c r="E3140" t="s">
        <v>178</v>
      </c>
    </row>
    <row r="3141" spans="1:5">
      <c r="A3141">
        <v>10395</v>
      </c>
      <c r="B3141" s="80">
        <v>35425</v>
      </c>
      <c r="C3141">
        <v>241.91999959945679</v>
      </c>
      <c r="D3141">
        <v>28</v>
      </c>
      <c r="E3141" t="s">
        <v>178</v>
      </c>
    </row>
    <row r="3142" spans="1:5">
      <c r="A3142">
        <v>10395</v>
      </c>
      <c r="B3142" s="80">
        <v>35425</v>
      </c>
      <c r="C3142">
        <v>241.91999959945679</v>
      </c>
      <c r="D3142">
        <v>28</v>
      </c>
      <c r="E3142" t="s">
        <v>173</v>
      </c>
    </row>
    <row r="3143" spans="1:5">
      <c r="A3143">
        <v>10395</v>
      </c>
      <c r="B3143" s="80">
        <v>35425</v>
      </c>
      <c r="C3143">
        <v>1650.599997267127</v>
      </c>
      <c r="D3143">
        <v>70</v>
      </c>
      <c r="E3143" t="s">
        <v>173</v>
      </c>
    </row>
    <row r="3144" spans="1:5">
      <c r="A3144">
        <v>10395</v>
      </c>
      <c r="B3144" s="80">
        <v>35425</v>
      </c>
      <c r="C3144">
        <v>230.4</v>
      </c>
      <c r="D3144">
        <v>8</v>
      </c>
      <c r="E3144" t="s">
        <v>173</v>
      </c>
    </row>
    <row r="3145" spans="1:5">
      <c r="A3145">
        <v>10395</v>
      </c>
      <c r="B3145" s="80">
        <v>35425</v>
      </c>
      <c r="C3145">
        <v>1650.599997267127</v>
      </c>
      <c r="D3145">
        <v>70</v>
      </c>
      <c r="E3145" t="s">
        <v>178</v>
      </c>
    </row>
    <row r="3146" spans="1:5">
      <c r="A3146">
        <v>10395</v>
      </c>
      <c r="B3146" s="80">
        <v>35425</v>
      </c>
      <c r="C3146">
        <v>241.91999959945679</v>
      </c>
      <c r="D3146">
        <v>28</v>
      </c>
      <c r="E3146" t="s">
        <v>174</v>
      </c>
    </row>
    <row r="3147" spans="1:5">
      <c r="A3147">
        <v>10395</v>
      </c>
      <c r="B3147" s="80">
        <v>35425</v>
      </c>
      <c r="C3147">
        <v>1650.599997267127</v>
      </c>
      <c r="D3147">
        <v>70</v>
      </c>
      <c r="E3147" t="s">
        <v>174</v>
      </c>
    </row>
    <row r="3148" spans="1:5">
      <c r="A3148">
        <v>10395</v>
      </c>
      <c r="B3148" s="80">
        <v>35425</v>
      </c>
      <c r="C3148">
        <v>230.4</v>
      </c>
      <c r="D3148">
        <v>8</v>
      </c>
      <c r="E3148" t="s">
        <v>174</v>
      </c>
    </row>
    <row r="3149" spans="1:5">
      <c r="A3149">
        <v>10395</v>
      </c>
      <c r="B3149" s="80">
        <v>35425</v>
      </c>
      <c r="C3149">
        <v>230.4</v>
      </c>
      <c r="D3149">
        <v>8</v>
      </c>
      <c r="E3149" t="s">
        <v>177</v>
      </c>
    </row>
    <row r="3150" spans="1:5">
      <c r="A3150">
        <v>10395</v>
      </c>
      <c r="B3150" s="80">
        <v>35425</v>
      </c>
      <c r="C3150">
        <v>1650.599997267127</v>
      </c>
      <c r="D3150">
        <v>70</v>
      </c>
      <c r="E3150" t="s">
        <v>175</v>
      </c>
    </row>
    <row r="3151" spans="1:5">
      <c r="A3151">
        <v>10395</v>
      </c>
      <c r="B3151" s="80">
        <v>35425</v>
      </c>
      <c r="C3151">
        <v>241.91999959945679</v>
      </c>
      <c r="D3151">
        <v>28</v>
      </c>
      <c r="E3151" t="s">
        <v>179</v>
      </c>
    </row>
    <row r="3152" spans="1:5">
      <c r="A3152">
        <v>10395</v>
      </c>
      <c r="B3152" s="80">
        <v>35425</v>
      </c>
      <c r="C3152">
        <v>1650.599997267127</v>
      </c>
      <c r="D3152">
        <v>70</v>
      </c>
      <c r="E3152" t="s">
        <v>172</v>
      </c>
    </row>
    <row r="3153" spans="1:5">
      <c r="A3153">
        <v>10395</v>
      </c>
      <c r="B3153" s="80">
        <v>35425</v>
      </c>
      <c r="C3153">
        <v>230.4</v>
      </c>
      <c r="D3153">
        <v>8</v>
      </c>
      <c r="E3153" t="s">
        <v>175</v>
      </c>
    </row>
    <row r="3154" spans="1:5">
      <c r="A3154">
        <v>10396</v>
      </c>
      <c r="B3154" s="80">
        <v>35426</v>
      </c>
      <c r="C3154">
        <v>583.79999999999995</v>
      </c>
      <c r="D3154">
        <v>21</v>
      </c>
      <c r="E3154" t="s">
        <v>178</v>
      </c>
    </row>
    <row r="3155" spans="1:5">
      <c r="A3155">
        <v>10396</v>
      </c>
      <c r="B3155" s="80">
        <v>35426</v>
      </c>
      <c r="C3155">
        <v>288</v>
      </c>
      <c r="D3155">
        <v>40</v>
      </c>
      <c r="E3155" t="s">
        <v>174</v>
      </c>
    </row>
    <row r="3156" spans="1:5">
      <c r="A3156">
        <v>10396</v>
      </c>
      <c r="B3156" s="80">
        <v>35426</v>
      </c>
      <c r="C3156">
        <v>288</v>
      </c>
      <c r="D3156">
        <v>40</v>
      </c>
      <c r="E3156" t="s">
        <v>178</v>
      </c>
    </row>
    <row r="3157" spans="1:5">
      <c r="A3157">
        <v>10396</v>
      </c>
      <c r="B3157" s="80">
        <v>35426</v>
      </c>
      <c r="C3157">
        <v>288</v>
      </c>
      <c r="D3157">
        <v>40</v>
      </c>
      <c r="E3157" t="s">
        <v>172</v>
      </c>
    </row>
    <row r="3158" spans="1:5">
      <c r="A3158">
        <v>10396</v>
      </c>
      <c r="B3158" s="80">
        <v>35426</v>
      </c>
      <c r="C3158">
        <v>1032</v>
      </c>
      <c r="D3158">
        <v>60</v>
      </c>
      <c r="E3158" t="s">
        <v>172</v>
      </c>
    </row>
    <row r="3159" spans="1:5">
      <c r="A3159">
        <v>10396</v>
      </c>
      <c r="B3159" s="80">
        <v>35426</v>
      </c>
      <c r="C3159">
        <v>583.79999999999995</v>
      </c>
      <c r="D3159">
        <v>21</v>
      </c>
      <c r="E3159" t="s">
        <v>172</v>
      </c>
    </row>
    <row r="3160" spans="1:5">
      <c r="A3160">
        <v>10396</v>
      </c>
      <c r="B3160" s="80">
        <v>35426</v>
      </c>
      <c r="C3160">
        <v>1032</v>
      </c>
      <c r="D3160">
        <v>60</v>
      </c>
      <c r="E3160" t="s">
        <v>178</v>
      </c>
    </row>
    <row r="3161" spans="1:5">
      <c r="A3161">
        <v>10396</v>
      </c>
      <c r="B3161" s="80">
        <v>35426</v>
      </c>
      <c r="C3161">
        <v>583.79999999999995</v>
      </c>
      <c r="D3161">
        <v>21</v>
      </c>
      <c r="E3161" t="s">
        <v>174</v>
      </c>
    </row>
    <row r="3162" spans="1:5">
      <c r="A3162">
        <v>10396</v>
      </c>
      <c r="B3162" s="80">
        <v>35426</v>
      </c>
      <c r="C3162">
        <v>1032</v>
      </c>
      <c r="D3162">
        <v>60</v>
      </c>
      <c r="E3162" t="s">
        <v>174</v>
      </c>
    </row>
    <row r="3163" spans="1:5">
      <c r="A3163">
        <v>10396</v>
      </c>
      <c r="B3163" s="80">
        <v>35426</v>
      </c>
      <c r="C3163">
        <v>288</v>
      </c>
      <c r="D3163">
        <v>40</v>
      </c>
      <c r="E3163" t="s">
        <v>176</v>
      </c>
    </row>
    <row r="3164" spans="1:5">
      <c r="A3164">
        <v>10396</v>
      </c>
      <c r="B3164" s="80">
        <v>35426</v>
      </c>
      <c r="C3164">
        <v>583.79999999999995</v>
      </c>
      <c r="D3164">
        <v>21</v>
      </c>
      <c r="E3164" t="s">
        <v>179</v>
      </c>
    </row>
    <row r="3165" spans="1:5">
      <c r="A3165">
        <v>10396</v>
      </c>
      <c r="B3165" s="80">
        <v>35426</v>
      </c>
      <c r="C3165">
        <v>1032</v>
      </c>
      <c r="D3165">
        <v>60</v>
      </c>
      <c r="E3165" t="s">
        <v>179</v>
      </c>
    </row>
    <row r="3166" spans="1:5">
      <c r="A3166">
        <v>10396</v>
      </c>
      <c r="B3166" s="80">
        <v>35426</v>
      </c>
      <c r="C3166">
        <v>288</v>
      </c>
      <c r="D3166">
        <v>40</v>
      </c>
      <c r="E3166" t="s">
        <v>179</v>
      </c>
    </row>
    <row r="3167" spans="1:5">
      <c r="A3167">
        <v>10396</v>
      </c>
      <c r="B3167" s="80">
        <v>35426</v>
      </c>
      <c r="C3167">
        <v>288</v>
      </c>
      <c r="D3167">
        <v>40</v>
      </c>
      <c r="E3167" t="s">
        <v>173</v>
      </c>
    </row>
    <row r="3168" spans="1:5">
      <c r="A3168">
        <v>10396</v>
      </c>
      <c r="B3168" s="80">
        <v>35426</v>
      </c>
      <c r="C3168">
        <v>1032</v>
      </c>
      <c r="D3168">
        <v>60</v>
      </c>
      <c r="E3168" t="s">
        <v>173</v>
      </c>
    </row>
    <row r="3169" spans="1:5">
      <c r="A3169">
        <v>10396</v>
      </c>
      <c r="B3169" s="80">
        <v>35426</v>
      </c>
      <c r="C3169">
        <v>583.79999999999995</v>
      </c>
      <c r="D3169">
        <v>21</v>
      </c>
      <c r="E3169" t="s">
        <v>173</v>
      </c>
    </row>
    <row r="3170" spans="1:5">
      <c r="A3170">
        <v>10396</v>
      </c>
      <c r="B3170" s="80">
        <v>35426</v>
      </c>
      <c r="C3170">
        <v>1032</v>
      </c>
      <c r="D3170">
        <v>60</v>
      </c>
      <c r="E3170" t="s">
        <v>177</v>
      </c>
    </row>
    <row r="3171" spans="1:5">
      <c r="A3171">
        <v>10396</v>
      </c>
      <c r="B3171" s="80">
        <v>35426</v>
      </c>
      <c r="C3171">
        <v>1032</v>
      </c>
      <c r="D3171">
        <v>60</v>
      </c>
      <c r="E3171" t="s">
        <v>176</v>
      </c>
    </row>
    <row r="3172" spans="1:5">
      <c r="A3172">
        <v>10396</v>
      </c>
      <c r="B3172" s="80">
        <v>35426</v>
      </c>
      <c r="C3172">
        <v>583.79999999999995</v>
      </c>
      <c r="D3172">
        <v>21</v>
      </c>
      <c r="E3172" t="s">
        <v>177</v>
      </c>
    </row>
    <row r="3173" spans="1:5">
      <c r="A3173">
        <v>10396</v>
      </c>
      <c r="B3173" s="80">
        <v>35426</v>
      </c>
      <c r="C3173">
        <v>288</v>
      </c>
      <c r="D3173">
        <v>40</v>
      </c>
      <c r="E3173" t="s">
        <v>177</v>
      </c>
    </row>
    <row r="3174" spans="1:5">
      <c r="A3174">
        <v>10396</v>
      </c>
      <c r="B3174" s="80">
        <v>35426</v>
      </c>
      <c r="C3174">
        <v>288</v>
      </c>
      <c r="D3174">
        <v>40</v>
      </c>
      <c r="E3174" t="s">
        <v>175</v>
      </c>
    </row>
    <row r="3175" spans="1:5">
      <c r="A3175">
        <v>10396</v>
      </c>
      <c r="B3175" s="80">
        <v>35426</v>
      </c>
      <c r="C3175">
        <v>583.79999999999995</v>
      </c>
      <c r="D3175">
        <v>21</v>
      </c>
      <c r="E3175" t="s">
        <v>175</v>
      </c>
    </row>
    <row r="3176" spans="1:5">
      <c r="A3176">
        <v>10396</v>
      </c>
      <c r="B3176" s="80">
        <v>35426</v>
      </c>
      <c r="C3176">
        <v>1032</v>
      </c>
      <c r="D3176">
        <v>60</v>
      </c>
      <c r="E3176" t="s">
        <v>175</v>
      </c>
    </row>
    <row r="3177" spans="1:5">
      <c r="A3177">
        <v>10396</v>
      </c>
      <c r="B3177" s="80">
        <v>35426</v>
      </c>
      <c r="C3177">
        <v>583.79999999999995</v>
      </c>
      <c r="D3177">
        <v>21</v>
      </c>
      <c r="E3177" t="s">
        <v>176</v>
      </c>
    </row>
    <row r="3178" spans="1:5">
      <c r="A3178">
        <v>10397</v>
      </c>
      <c r="B3178" s="80">
        <v>35426</v>
      </c>
      <c r="C3178">
        <v>67.999999523162842</v>
      </c>
      <c r="D3178">
        <v>10</v>
      </c>
      <c r="E3178" t="s">
        <v>176</v>
      </c>
    </row>
    <row r="3179" spans="1:5">
      <c r="A3179">
        <v>10397</v>
      </c>
      <c r="B3179" s="80">
        <v>35426</v>
      </c>
      <c r="C3179">
        <v>67.999999523162842</v>
      </c>
      <c r="D3179">
        <v>10</v>
      </c>
      <c r="E3179" t="s">
        <v>179</v>
      </c>
    </row>
    <row r="3180" spans="1:5">
      <c r="A3180">
        <v>10397</v>
      </c>
      <c r="B3180" s="80">
        <v>35426</v>
      </c>
      <c r="C3180">
        <v>648.71999545097356</v>
      </c>
      <c r="D3180">
        <v>18</v>
      </c>
      <c r="E3180" t="s">
        <v>177</v>
      </c>
    </row>
    <row r="3181" spans="1:5">
      <c r="A3181">
        <v>10397</v>
      </c>
      <c r="B3181" s="80">
        <v>35426</v>
      </c>
      <c r="C3181">
        <v>67.999999523162842</v>
      </c>
      <c r="D3181">
        <v>10</v>
      </c>
      <c r="E3181" t="s">
        <v>177</v>
      </c>
    </row>
    <row r="3182" spans="1:5">
      <c r="A3182">
        <v>10397</v>
      </c>
      <c r="B3182" s="80">
        <v>35426</v>
      </c>
      <c r="C3182">
        <v>67.999999523162842</v>
      </c>
      <c r="D3182">
        <v>10</v>
      </c>
      <c r="E3182" t="s">
        <v>173</v>
      </c>
    </row>
    <row r="3183" spans="1:5">
      <c r="A3183">
        <v>10397</v>
      </c>
      <c r="B3183" s="80">
        <v>35426</v>
      </c>
      <c r="C3183">
        <v>648.71999545097356</v>
      </c>
      <c r="D3183">
        <v>18</v>
      </c>
      <c r="E3183" t="s">
        <v>173</v>
      </c>
    </row>
    <row r="3184" spans="1:5">
      <c r="A3184">
        <v>10397</v>
      </c>
      <c r="B3184" s="80">
        <v>35426</v>
      </c>
      <c r="C3184">
        <v>648.71999545097356</v>
      </c>
      <c r="D3184">
        <v>18</v>
      </c>
      <c r="E3184" t="s">
        <v>176</v>
      </c>
    </row>
    <row r="3185" spans="1:5">
      <c r="A3185">
        <v>10397</v>
      </c>
      <c r="B3185" s="80">
        <v>35426</v>
      </c>
      <c r="C3185">
        <v>67.999999523162842</v>
      </c>
      <c r="D3185">
        <v>10</v>
      </c>
      <c r="E3185" t="s">
        <v>174</v>
      </c>
    </row>
    <row r="3186" spans="1:5">
      <c r="A3186">
        <v>10397</v>
      </c>
      <c r="B3186" s="80">
        <v>35426</v>
      </c>
      <c r="C3186">
        <v>648.71999545097356</v>
      </c>
      <c r="D3186">
        <v>18</v>
      </c>
      <c r="E3186" t="s">
        <v>174</v>
      </c>
    </row>
    <row r="3187" spans="1:5">
      <c r="A3187">
        <v>10397</v>
      </c>
      <c r="B3187" s="80">
        <v>35426</v>
      </c>
      <c r="C3187">
        <v>648.71999545097356</v>
      </c>
      <c r="D3187">
        <v>18</v>
      </c>
      <c r="E3187" t="s">
        <v>179</v>
      </c>
    </row>
    <row r="3188" spans="1:5">
      <c r="A3188">
        <v>10397</v>
      </c>
      <c r="B3188" s="80">
        <v>35426</v>
      </c>
      <c r="C3188">
        <v>67.999999523162842</v>
      </c>
      <c r="D3188">
        <v>10</v>
      </c>
      <c r="E3188" t="s">
        <v>178</v>
      </c>
    </row>
    <row r="3189" spans="1:5">
      <c r="A3189">
        <v>10397</v>
      </c>
      <c r="B3189" s="80">
        <v>35426</v>
      </c>
      <c r="C3189">
        <v>648.71999545097356</v>
      </c>
      <c r="D3189">
        <v>18</v>
      </c>
      <c r="E3189" t="s">
        <v>175</v>
      </c>
    </row>
    <row r="3190" spans="1:5">
      <c r="A3190">
        <v>10397</v>
      </c>
      <c r="B3190" s="80">
        <v>35426</v>
      </c>
      <c r="C3190">
        <v>67.999999523162842</v>
      </c>
      <c r="D3190">
        <v>10</v>
      </c>
      <c r="E3190" t="s">
        <v>172</v>
      </c>
    </row>
    <row r="3191" spans="1:5">
      <c r="A3191">
        <v>10397</v>
      </c>
      <c r="B3191" s="80">
        <v>35426</v>
      </c>
      <c r="C3191">
        <v>648.71999545097356</v>
      </c>
      <c r="D3191">
        <v>18</v>
      </c>
      <c r="E3191" t="s">
        <v>172</v>
      </c>
    </row>
    <row r="3192" spans="1:5">
      <c r="A3192">
        <v>10397</v>
      </c>
      <c r="B3192" s="80">
        <v>35426</v>
      </c>
      <c r="C3192">
        <v>648.71999545097356</v>
      </c>
      <c r="D3192">
        <v>18</v>
      </c>
      <c r="E3192" t="s">
        <v>178</v>
      </c>
    </row>
    <row r="3193" spans="1:5">
      <c r="A3193">
        <v>10397</v>
      </c>
      <c r="B3193" s="80">
        <v>35426</v>
      </c>
      <c r="C3193">
        <v>67.999999523162842</v>
      </c>
      <c r="D3193">
        <v>10</v>
      </c>
      <c r="E3193" t="s">
        <v>175</v>
      </c>
    </row>
    <row r="3194" spans="1:5">
      <c r="A3194">
        <v>10398</v>
      </c>
      <c r="B3194" s="80">
        <v>35429</v>
      </c>
      <c r="C3194">
        <v>432</v>
      </c>
      <c r="D3194">
        <v>30</v>
      </c>
      <c r="E3194" t="s">
        <v>178</v>
      </c>
    </row>
    <row r="3195" spans="1:5">
      <c r="A3195">
        <v>10398</v>
      </c>
      <c r="B3195" s="80">
        <v>35429</v>
      </c>
      <c r="C3195">
        <v>432</v>
      </c>
      <c r="D3195">
        <v>30</v>
      </c>
      <c r="E3195" t="s">
        <v>179</v>
      </c>
    </row>
    <row r="3196" spans="1:5">
      <c r="A3196">
        <v>10398</v>
      </c>
      <c r="B3196" s="80">
        <v>35429</v>
      </c>
      <c r="C3196">
        <v>2073.5999965667725</v>
      </c>
      <c r="D3196">
        <v>120</v>
      </c>
      <c r="E3196" t="s">
        <v>178</v>
      </c>
    </row>
    <row r="3197" spans="1:5">
      <c r="A3197">
        <v>10398</v>
      </c>
      <c r="B3197" s="80">
        <v>35429</v>
      </c>
      <c r="C3197">
        <v>432</v>
      </c>
      <c r="D3197">
        <v>30</v>
      </c>
      <c r="E3197" t="s">
        <v>176</v>
      </c>
    </row>
    <row r="3198" spans="1:5">
      <c r="A3198">
        <v>10398</v>
      </c>
      <c r="B3198" s="80">
        <v>35429</v>
      </c>
      <c r="C3198">
        <v>2073.5999965667725</v>
      </c>
      <c r="D3198">
        <v>120</v>
      </c>
      <c r="E3198" t="s">
        <v>176</v>
      </c>
    </row>
    <row r="3199" spans="1:5">
      <c r="A3199">
        <v>10398</v>
      </c>
      <c r="B3199" s="80">
        <v>35429</v>
      </c>
      <c r="C3199">
        <v>2073.5999965667725</v>
      </c>
      <c r="D3199">
        <v>120</v>
      </c>
      <c r="E3199" t="s">
        <v>173</v>
      </c>
    </row>
    <row r="3200" spans="1:5">
      <c r="A3200">
        <v>10398</v>
      </c>
      <c r="B3200" s="80">
        <v>35429</v>
      </c>
      <c r="C3200">
        <v>2073.5999965667725</v>
      </c>
      <c r="D3200">
        <v>120</v>
      </c>
      <c r="E3200" t="s">
        <v>177</v>
      </c>
    </row>
    <row r="3201" spans="1:5">
      <c r="A3201">
        <v>10398</v>
      </c>
      <c r="B3201" s="80">
        <v>35429</v>
      </c>
      <c r="C3201">
        <v>2073.5999965667725</v>
      </c>
      <c r="D3201">
        <v>120</v>
      </c>
      <c r="E3201" t="s">
        <v>179</v>
      </c>
    </row>
    <row r="3202" spans="1:5">
      <c r="A3202">
        <v>10398</v>
      </c>
      <c r="B3202" s="80">
        <v>35429</v>
      </c>
      <c r="C3202">
        <v>432</v>
      </c>
      <c r="D3202">
        <v>30</v>
      </c>
      <c r="E3202" t="s">
        <v>174</v>
      </c>
    </row>
    <row r="3203" spans="1:5">
      <c r="A3203">
        <v>10398</v>
      </c>
      <c r="B3203" s="80">
        <v>35429</v>
      </c>
      <c r="C3203">
        <v>2073.5999965667725</v>
      </c>
      <c r="D3203">
        <v>120</v>
      </c>
      <c r="E3203" t="s">
        <v>174</v>
      </c>
    </row>
    <row r="3204" spans="1:5">
      <c r="A3204">
        <v>10398</v>
      </c>
      <c r="B3204" s="80">
        <v>35429</v>
      </c>
      <c r="C3204">
        <v>2073.5999965667725</v>
      </c>
      <c r="D3204">
        <v>120</v>
      </c>
      <c r="E3204" t="s">
        <v>175</v>
      </c>
    </row>
    <row r="3205" spans="1:5">
      <c r="A3205">
        <v>10398</v>
      </c>
      <c r="B3205" s="80">
        <v>35429</v>
      </c>
      <c r="C3205">
        <v>432</v>
      </c>
      <c r="D3205">
        <v>30</v>
      </c>
      <c r="E3205" t="s">
        <v>175</v>
      </c>
    </row>
    <row r="3206" spans="1:5">
      <c r="A3206">
        <v>10398</v>
      </c>
      <c r="B3206" s="80">
        <v>35429</v>
      </c>
      <c r="C3206">
        <v>432</v>
      </c>
      <c r="D3206">
        <v>30</v>
      </c>
      <c r="E3206" t="s">
        <v>172</v>
      </c>
    </row>
    <row r="3207" spans="1:5">
      <c r="A3207">
        <v>10398</v>
      </c>
      <c r="B3207" s="80">
        <v>35429</v>
      </c>
      <c r="C3207">
        <v>2073.5999965667725</v>
      </c>
      <c r="D3207">
        <v>120</v>
      </c>
      <c r="E3207" t="s">
        <v>172</v>
      </c>
    </row>
    <row r="3208" spans="1:5">
      <c r="A3208">
        <v>10398</v>
      </c>
      <c r="B3208" s="80">
        <v>35429</v>
      </c>
      <c r="C3208">
        <v>432</v>
      </c>
      <c r="D3208">
        <v>30</v>
      </c>
      <c r="E3208" t="s">
        <v>177</v>
      </c>
    </row>
    <row r="3209" spans="1:5">
      <c r="A3209">
        <v>10398</v>
      </c>
      <c r="B3209" s="80">
        <v>35429</v>
      </c>
      <c r="C3209">
        <v>432</v>
      </c>
      <c r="D3209">
        <v>30</v>
      </c>
      <c r="E3209" t="s">
        <v>173</v>
      </c>
    </row>
    <row r="3210" spans="1:5">
      <c r="A3210">
        <v>10399</v>
      </c>
      <c r="B3210" s="80">
        <v>35430</v>
      </c>
      <c r="C3210">
        <v>600</v>
      </c>
      <c r="D3210">
        <v>60</v>
      </c>
      <c r="E3210" t="s">
        <v>178</v>
      </c>
    </row>
    <row r="3211" spans="1:5">
      <c r="A3211">
        <v>10399</v>
      </c>
      <c r="B3211" s="80">
        <v>35430</v>
      </c>
      <c r="C3211">
        <v>504</v>
      </c>
      <c r="D3211">
        <v>35</v>
      </c>
      <c r="E3211" t="s">
        <v>175</v>
      </c>
    </row>
    <row r="3212" spans="1:5">
      <c r="A3212">
        <v>10399</v>
      </c>
      <c r="B3212" s="80">
        <v>35430</v>
      </c>
      <c r="C3212">
        <v>504</v>
      </c>
      <c r="D3212">
        <v>35</v>
      </c>
      <c r="E3212" t="s">
        <v>176</v>
      </c>
    </row>
    <row r="3213" spans="1:5">
      <c r="A3213">
        <v>10399</v>
      </c>
      <c r="B3213" s="80">
        <v>35430</v>
      </c>
      <c r="C3213">
        <v>145.6</v>
      </c>
      <c r="D3213">
        <v>14</v>
      </c>
      <c r="E3213" t="s">
        <v>176</v>
      </c>
    </row>
    <row r="3214" spans="1:5">
      <c r="A3214">
        <v>10399</v>
      </c>
      <c r="B3214" s="80">
        <v>35430</v>
      </c>
      <c r="C3214">
        <v>600</v>
      </c>
      <c r="D3214">
        <v>60</v>
      </c>
      <c r="E3214" t="s">
        <v>177</v>
      </c>
    </row>
    <row r="3215" spans="1:5">
      <c r="A3215">
        <v>10399</v>
      </c>
      <c r="B3215" s="80">
        <v>35430</v>
      </c>
      <c r="C3215">
        <v>516</v>
      </c>
      <c r="D3215">
        <v>30</v>
      </c>
      <c r="E3215" t="s">
        <v>177</v>
      </c>
    </row>
    <row r="3216" spans="1:5">
      <c r="A3216">
        <v>10399</v>
      </c>
      <c r="B3216" s="80">
        <v>35430</v>
      </c>
      <c r="C3216">
        <v>600</v>
      </c>
      <c r="D3216">
        <v>60</v>
      </c>
      <c r="E3216" t="s">
        <v>176</v>
      </c>
    </row>
    <row r="3217" spans="1:5">
      <c r="A3217">
        <v>10399</v>
      </c>
      <c r="B3217" s="80">
        <v>35430</v>
      </c>
      <c r="C3217">
        <v>145.6</v>
      </c>
      <c r="D3217">
        <v>14</v>
      </c>
      <c r="E3217" t="s">
        <v>177</v>
      </c>
    </row>
    <row r="3218" spans="1:5">
      <c r="A3218">
        <v>10399</v>
      </c>
      <c r="B3218" s="80">
        <v>35430</v>
      </c>
      <c r="C3218">
        <v>145.6</v>
      </c>
      <c r="D3218">
        <v>14</v>
      </c>
      <c r="E3218" t="s">
        <v>179</v>
      </c>
    </row>
    <row r="3219" spans="1:5">
      <c r="A3219">
        <v>10399</v>
      </c>
      <c r="B3219" s="80">
        <v>35430</v>
      </c>
      <c r="C3219">
        <v>516</v>
      </c>
      <c r="D3219">
        <v>30</v>
      </c>
      <c r="E3219" t="s">
        <v>178</v>
      </c>
    </row>
    <row r="3220" spans="1:5">
      <c r="A3220">
        <v>10399</v>
      </c>
      <c r="B3220" s="80">
        <v>35430</v>
      </c>
      <c r="C3220">
        <v>504</v>
      </c>
      <c r="D3220">
        <v>35</v>
      </c>
      <c r="E3220" t="s">
        <v>178</v>
      </c>
    </row>
    <row r="3221" spans="1:5">
      <c r="A3221">
        <v>10399</v>
      </c>
      <c r="B3221" s="80">
        <v>35430</v>
      </c>
      <c r="C3221">
        <v>145.6</v>
      </c>
      <c r="D3221">
        <v>14</v>
      </c>
      <c r="E3221" t="s">
        <v>178</v>
      </c>
    </row>
    <row r="3222" spans="1:5">
      <c r="A3222">
        <v>10399</v>
      </c>
      <c r="B3222" s="80">
        <v>35430</v>
      </c>
      <c r="C3222">
        <v>600</v>
      </c>
      <c r="D3222">
        <v>60</v>
      </c>
      <c r="E3222" t="s">
        <v>179</v>
      </c>
    </row>
    <row r="3223" spans="1:5">
      <c r="A3223">
        <v>10399</v>
      </c>
      <c r="B3223" s="80">
        <v>35430</v>
      </c>
      <c r="C3223">
        <v>516</v>
      </c>
      <c r="D3223">
        <v>30</v>
      </c>
      <c r="E3223" t="s">
        <v>179</v>
      </c>
    </row>
    <row r="3224" spans="1:5">
      <c r="A3224">
        <v>10399</v>
      </c>
      <c r="B3224" s="80">
        <v>35430</v>
      </c>
      <c r="C3224">
        <v>504</v>
      </c>
      <c r="D3224">
        <v>35</v>
      </c>
      <c r="E3224" t="s">
        <v>179</v>
      </c>
    </row>
    <row r="3225" spans="1:5">
      <c r="A3225">
        <v>10399</v>
      </c>
      <c r="B3225" s="80">
        <v>35430</v>
      </c>
      <c r="C3225">
        <v>504</v>
      </c>
      <c r="D3225">
        <v>35</v>
      </c>
      <c r="E3225" t="s">
        <v>177</v>
      </c>
    </row>
    <row r="3226" spans="1:5">
      <c r="A3226">
        <v>10399</v>
      </c>
      <c r="B3226" s="80">
        <v>35430</v>
      </c>
      <c r="C3226">
        <v>600</v>
      </c>
      <c r="D3226">
        <v>60</v>
      </c>
      <c r="E3226" t="s">
        <v>174</v>
      </c>
    </row>
    <row r="3227" spans="1:5">
      <c r="A3227">
        <v>10399</v>
      </c>
      <c r="B3227" s="80">
        <v>35430</v>
      </c>
      <c r="C3227">
        <v>516</v>
      </c>
      <c r="D3227">
        <v>30</v>
      </c>
      <c r="E3227" t="s">
        <v>172</v>
      </c>
    </row>
    <row r="3228" spans="1:5">
      <c r="A3228">
        <v>10399</v>
      </c>
      <c r="B3228" s="80">
        <v>35430</v>
      </c>
      <c r="C3228">
        <v>504</v>
      </c>
      <c r="D3228">
        <v>35</v>
      </c>
      <c r="E3228" t="s">
        <v>172</v>
      </c>
    </row>
    <row r="3229" spans="1:5">
      <c r="A3229">
        <v>10399</v>
      </c>
      <c r="B3229" s="80">
        <v>35430</v>
      </c>
      <c r="C3229">
        <v>145.6</v>
      </c>
      <c r="D3229">
        <v>14</v>
      </c>
      <c r="E3229" t="s">
        <v>172</v>
      </c>
    </row>
    <row r="3230" spans="1:5">
      <c r="A3230">
        <v>10399</v>
      </c>
      <c r="B3230" s="80">
        <v>35430</v>
      </c>
      <c r="C3230">
        <v>600</v>
      </c>
      <c r="D3230">
        <v>60</v>
      </c>
      <c r="E3230" t="s">
        <v>173</v>
      </c>
    </row>
    <row r="3231" spans="1:5">
      <c r="A3231">
        <v>10399</v>
      </c>
      <c r="B3231" s="80">
        <v>35430</v>
      </c>
      <c r="C3231">
        <v>516</v>
      </c>
      <c r="D3231">
        <v>30</v>
      </c>
      <c r="E3231" t="s">
        <v>173</v>
      </c>
    </row>
    <row r="3232" spans="1:5">
      <c r="A3232">
        <v>10399</v>
      </c>
      <c r="B3232" s="80">
        <v>35430</v>
      </c>
      <c r="C3232">
        <v>516</v>
      </c>
      <c r="D3232">
        <v>30</v>
      </c>
      <c r="E3232" t="s">
        <v>176</v>
      </c>
    </row>
    <row r="3233" spans="1:5">
      <c r="A3233">
        <v>10399</v>
      </c>
      <c r="B3233" s="80">
        <v>35430</v>
      </c>
      <c r="C3233">
        <v>145.6</v>
      </c>
      <c r="D3233">
        <v>14</v>
      </c>
      <c r="E3233" t="s">
        <v>173</v>
      </c>
    </row>
    <row r="3234" spans="1:5">
      <c r="A3234">
        <v>10399</v>
      </c>
      <c r="B3234" s="80">
        <v>35430</v>
      </c>
      <c r="C3234">
        <v>600</v>
      </c>
      <c r="D3234">
        <v>60</v>
      </c>
      <c r="E3234" t="s">
        <v>172</v>
      </c>
    </row>
    <row r="3235" spans="1:5">
      <c r="A3235">
        <v>10399</v>
      </c>
      <c r="B3235" s="80">
        <v>35430</v>
      </c>
      <c r="C3235">
        <v>516</v>
      </c>
      <c r="D3235">
        <v>30</v>
      </c>
      <c r="E3235" t="s">
        <v>174</v>
      </c>
    </row>
    <row r="3236" spans="1:5">
      <c r="A3236">
        <v>10399</v>
      </c>
      <c r="B3236" s="80">
        <v>35430</v>
      </c>
      <c r="C3236">
        <v>504</v>
      </c>
      <c r="D3236">
        <v>35</v>
      </c>
      <c r="E3236" t="s">
        <v>174</v>
      </c>
    </row>
    <row r="3237" spans="1:5">
      <c r="A3237">
        <v>10399</v>
      </c>
      <c r="B3237" s="80">
        <v>35430</v>
      </c>
      <c r="C3237">
        <v>145.6</v>
      </c>
      <c r="D3237">
        <v>14</v>
      </c>
      <c r="E3237" t="s">
        <v>174</v>
      </c>
    </row>
    <row r="3238" spans="1:5">
      <c r="A3238">
        <v>10399</v>
      </c>
      <c r="B3238" s="80">
        <v>35430</v>
      </c>
      <c r="C3238">
        <v>600</v>
      </c>
      <c r="D3238">
        <v>60</v>
      </c>
      <c r="E3238" t="s">
        <v>175</v>
      </c>
    </row>
    <row r="3239" spans="1:5">
      <c r="A3239">
        <v>10399</v>
      </c>
      <c r="B3239" s="80">
        <v>35430</v>
      </c>
      <c r="C3239">
        <v>516</v>
      </c>
      <c r="D3239">
        <v>30</v>
      </c>
      <c r="E3239" t="s">
        <v>175</v>
      </c>
    </row>
    <row r="3240" spans="1:5">
      <c r="A3240">
        <v>10399</v>
      </c>
      <c r="B3240" s="80">
        <v>35430</v>
      </c>
      <c r="C3240">
        <v>145.6</v>
      </c>
      <c r="D3240">
        <v>14</v>
      </c>
      <c r="E3240" t="s">
        <v>175</v>
      </c>
    </row>
    <row r="3241" spans="1:5">
      <c r="A3241">
        <v>10399</v>
      </c>
      <c r="B3241" s="80">
        <v>35430</v>
      </c>
      <c r="C3241">
        <v>504</v>
      </c>
      <c r="D3241">
        <v>35</v>
      </c>
      <c r="E3241" t="s">
        <v>173</v>
      </c>
    </row>
  </sheetData>
  <phoneticPr fontId="9" type="noConversion"/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2"/>
  <sheetViews>
    <sheetView tabSelected="1" topLeftCell="A19" zoomScaleNormal="100" workbookViewId="0">
      <selection activeCell="K40" sqref="K40:O41"/>
    </sheetView>
  </sheetViews>
  <sheetFormatPr defaultRowHeight="14"/>
  <sheetData>
    <row r="1" spans="1:18" ht="16">
      <c r="A1" s="2" t="s">
        <v>30</v>
      </c>
      <c r="B1" s="2" t="s">
        <v>0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50"/>
      <c r="K1" s="86" t="s">
        <v>194</v>
      </c>
    </row>
    <row r="2" spans="1:18" ht="16">
      <c r="A2" s="3">
        <v>1</v>
      </c>
      <c r="B2" s="2" t="s">
        <v>1</v>
      </c>
      <c r="C2" s="2" t="s">
        <v>31</v>
      </c>
      <c r="D2" s="2" t="s">
        <v>2</v>
      </c>
      <c r="E2" s="2">
        <v>1.5</v>
      </c>
      <c r="F2" s="2" t="s">
        <v>66</v>
      </c>
      <c r="G2" s="2" t="s">
        <v>67</v>
      </c>
      <c r="H2" s="2">
        <v>5800</v>
      </c>
      <c r="I2" s="50"/>
      <c r="K2" t="str">
        <f>INDEX(K10:K19,K9)</f>
        <v>工业制造</v>
      </c>
    </row>
    <row r="3" spans="1:18" ht="16">
      <c r="A3" s="3">
        <v>2</v>
      </c>
      <c r="B3" s="2" t="s">
        <v>1</v>
      </c>
      <c r="C3" s="2" t="s">
        <v>31</v>
      </c>
      <c r="D3" s="2" t="s">
        <v>8</v>
      </c>
      <c r="E3" s="2">
        <v>2.2999999999999998</v>
      </c>
      <c r="F3" s="2" t="s">
        <v>68</v>
      </c>
      <c r="G3" s="2" t="s">
        <v>67</v>
      </c>
      <c r="H3" s="2">
        <v>6600</v>
      </c>
      <c r="I3" s="50"/>
    </row>
    <row r="4" spans="1:18" ht="16">
      <c r="A4" s="3">
        <v>3</v>
      </c>
      <c r="B4" s="2" t="s">
        <v>1</v>
      </c>
      <c r="C4" s="2" t="s">
        <v>31</v>
      </c>
      <c r="D4" s="2" t="s">
        <v>3</v>
      </c>
      <c r="E4" s="2">
        <v>2.1</v>
      </c>
      <c r="F4" s="2" t="s">
        <v>3</v>
      </c>
      <c r="G4" s="2" t="s">
        <v>69</v>
      </c>
      <c r="H4" s="2">
        <v>6000</v>
      </c>
      <c r="I4" s="50"/>
    </row>
    <row r="5" spans="1:18" ht="16">
      <c r="A5" s="3">
        <v>4</v>
      </c>
      <c r="B5" s="2" t="s">
        <v>1</v>
      </c>
      <c r="C5" s="2" t="s">
        <v>31</v>
      </c>
      <c r="D5" s="2" t="s">
        <v>3</v>
      </c>
      <c r="E5" s="2">
        <v>3</v>
      </c>
      <c r="F5" s="2" t="s">
        <v>3</v>
      </c>
      <c r="G5" s="2" t="s">
        <v>69</v>
      </c>
      <c r="H5" s="2">
        <v>7100</v>
      </c>
      <c r="I5" s="50"/>
    </row>
    <row r="6" spans="1:18" ht="16">
      <c r="A6" s="3">
        <v>5</v>
      </c>
      <c r="B6" s="2" t="s">
        <v>4</v>
      </c>
      <c r="C6" s="2" t="s">
        <v>31</v>
      </c>
      <c r="D6" s="2" t="s">
        <v>5</v>
      </c>
      <c r="E6" s="2">
        <v>3.4</v>
      </c>
      <c r="F6" s="2" t="s">
        <v>5</v>
      </c>
      <c r="G6" s="2" t="s">
        <v>70</v>
      </c>
      <c r="H6" s="2">
        <v>7700</v>
      </c>
      <c r="I6" s="50"/>
      <c r="K6" t="s">
        <v>195</v>
      </c>
      <c r="L6">
        <f>DAVERAGE(A1:H285,H1,K1:K2)</f>
        <v>7000</v>
      </c>
    </row>
    <row r="7" spans="1:18" ht="16">
      <c r="A7" s="3">
        <v>6</v>
      </c>
      <c r="B7" s="2" t="s">
        <v>1</v>
      </c>
      <c r="C7" s="2" t="s">
        <v>31</v>
      </c>
      <c r="D7" s="2" t="s">
        <v>12</v>
      </c>
      <c r="E7" s="2">
        <v>1.7</v>
      </c>
      <c r="F7" s="2" t="s">
        <v>71</v>
      </c>
      <c r="G7" s="2" t="s">
        <v>70</v>
      </c>
      <c r="H7" s="2">
        <v>6000</v>
      </c>
      <c r="I7" s="50"/>
    </row>
    <row r="8" spans="1:18" ht="16">
      <c r="A8" s="3">
        <v>7</v>
      </c>
      <c r="B8" s="2" t="s">
        <v>4</v>
      </c>
      <c r="C8" s="2" t="s">
        <v>31</v>
      </c>
      <c r="D8" s="2" t="s">
        <v>13</v>
      </c>
      <c r="E8" s="2">
        <v>1.5</v>
      </c>
      <c r="F8" s="2" t="s">
        <v>68</v>
      </c>
      <c r="G8" s="2" t="s">
        <v>70</v>
      </c>
      <c r="H8" s="2">
        <v>9000</v>
      </c>
      <c r="I8" s="50"/>
      <c r="K8" s="2" t="s">
        <v>64</v>
      </c>
      <c r="L8" s="2"/>
      <c r="M8" s="2"/>
      <c r="N8" s="2"/>
      <c r="O8" s="2"/>
      <c r="P8" s="2"/>
      <c r="Q8" s="2"/>
      <c r="R8" s="2"/>
    </row>
    <row r="9" spans="1:18" ht="16">
      <c r="A9" s="3">
        <v>8</v>
      </c>
      <c r="B9" s="2" t="s">
        <v>4</v>
      </c>
      <c r="C9" s="2" t="s">
        <v>31</v>
      </c>
      <c r="D9" s="2" t="s">
        <v>6</v>
      </c>
      <c r="E9" s="2">
        <v>3.1</v>
      </c>
      <c r="F9" s="2" t="s">
        <v>71</v>
      </c>
      <c r="G9" s="2" t="s">
        <v>72</v>
      </c>
      <c r="H9" s="2">
        <v>7000</v>
      </c>
      <c r="I9" s="50"/>
      <c r="K9">
        <v>2</v>
      </c>
      <c r="L9" s="2"/>
      <c r="M9" s="2"/>
      <c r="N9" s="2"/>
      <c r="O9" s="2"/>
      <c r="P9" s="2"/>
      <c r="Q9" s="2"/>
      <c r="R9" s="2"/>
    </row>
    <row r="10" spans="1:18" ht="16">
      <c r="A10" s="3">
        <v>9</v>
      </c>
      <c r="B10" s="2" t="s">
        <v>4</v>
      </c>
      <c r="C10" s="2" t="s">
        <v>31</v>
      </c>
      <c r="D10" s="2" t="s">
        <v>7</v>
      </c>
      <c r="E10" s="2">
        <v>2.9</v>
      </c>
      <c r="F10" s="2" t="s">
        <v>7</v>
      </c>
      <c r="G10" s="2" t="s">
        <v>72</v>
      </c>
      <c r="H10" s="2">
        <v>6600</v>
      </c>
      <c r="I10" s="50"/>
      <c r="K10" s="2" t="s">
        <v>67</v>
      </c>
      <c r="L10" s="2"/>
      <c r="M10" s="2"/>
      <c r="O10" s="2"/>
      <c r="P10" s="2">
        <f>L6</f>
        <v>7000</v>
      </c>
      <c r="Q10" s="2"/>
      <c r="R10" s="2"/>
    </row>
    <row r="11" spans="1:18" ht="16">
      <c r="A11" s="3">
        <v>10</v>
      </c>
      <c r="B11" s="2" t="s">
        <v>4</v>
      </c>
      <c r="C11" s="2" t="s">
        <v>31</v>
      </c>
      <c r="D11" s="2" t="s">
        <v>8</v>
      </c>
      <c r="E11" s="2">
        <v>3.7</v>
      </c>
      <c r="F11" s="2" t="s">
        <v>8</v>
      </c>
      <c r="G11" s="2" t="s">
        <v>72</v>
      </c>
      <c r="H11" s="2">
        <v>7800</v>
      </c>
      <c r="I11" s="50"/>
      <c r="K11" s="2" t="s">
        <v>69</v>
      </c>
      <c r="L11" s="2"/>
      <c r="M11" s="2"/>
      <c r="O11" s="2" t="s">
        <v>67</v>
      </c>
      <c r="P11" s="2">
        <f t="dataTable" ref="P11:P20" dt2D="0" dtr="0" r1="K2"/>
        <v>6500</v>
      </c>
      <c r="Q11" s="2"/>
      <c r="R11" s="2"/>
    </row>
    <row r="12" spans="1:18" ht="16">
      <c r="A12" s="3">
        <v>11</v>
      </c>
      <c r="B12" s="2" t="s">
        <v>4</v>
      </c>
      <c r="C12" s="2" t="s">
        <v>31</v>
      </c>
      <c r="D12" s="2" t="s">
        <v>9</v>
      </c>
      <c r="E12" s="2">
        <v>2.4</v>
      </c>
      <c r="F12" s="2" t="s">
        <v>68</v>
      </c>
      <c r="G12" s="2" t="s">
        <v>73</v>
      </c>
      <c r="H12" s="2">
        <v>6800</v>
      </c>
      <c r="I12" s="50"/>
      <c r="K12" s="2" t="s">
        <v>70</v>
      </c>
      <c r="L12" s="2"/>
      <c r="M12" s="2"/>
      <c r="O12" s="2" t="s">
        <v>69</v>
      </c>
      <c r="P12" s="2">
        <v>7000</v>
      </c>
      <c r="Q12" s="2"/>
      <c r="R12" s="2"/>
    </row>
    <row r="13" spans="1:18" ht="16">
      <c r="A13" s="3">
        <v>12</v>
      </c>
      <c r="B13" s="2" t="s">
        <v>1</v>
      </c>
      <c r="C13" s="2" t="s">
        <v>31</v>
      </c>
      <c r="D13" s="2" t="s">
        <v>5</v>
      </c>
      <c r="E13" s="2">
        <v>3.1</v>
      </c>
      <c r="F13" s="2" t="s">
        <v>71</v>
      </c>
      <c r="G13" s="2" t="s">
        <v>72</v>
      </c>
      <c r="H13" s="2">
        <v>7300</v>
      </c>
      <c r="I13" s="50"/>
      <c r="K13" s="2" t="s">
        <v>72</v>
      </c>
      <c r="L13" s="2"/>
      <c r="M13" s="2"/>
      <c r="O13" s="2" t="s">
        <v>70</v>
      </c>
      <c r="P13" s="2">
        <v>6815.6862745098042</v>
      </c>
      <c r="Q13" s="2"/>
      <c r="R13" s="2"/>
    </row>
    <row r="14" spans="1:18" ht="16">
      <c r="A14" s="3">
        <v>13</v>
      </c>
      <c r="B14" s="2" t="s">
        <v>4</v>
      </c>
      <c r="C14" s="2" t="s">
        <v>31</v>
      </c>
      <c r="D14" s="2" t="s">
        <v>10</v>
      </c>
      <c r="E14" s="2">
        <v>2.8</v>
      </c>
      <c r="F14" s="2" t="s">
        <v>10</v>
      </c>
      <c r="G14" s="2" t="s">
        <v>72</v>
      </c>
      <c r="H14" s="2">
        <v>7200</v>
      </c>
      <c r="I14" s="50"/>
      <c r="K14" s="2" t="s">
        <v>74</v>
      </c>
      <c r="L14" s="2"/>
      <c r="M14" s="2"/>
      <c r="O14" s="2" t="s">
        <v>72</v>
      </c>
      <c r="P14" s="2">
        <v>6936.95652173913</v>
      </c>
      <c r="Q14" s="2"/>
      <c r="R14" s="2"/>
    </row>
    <row r="15" spans="1:18" ht="16">
      <c r="A15" s="3">
        <v>14</v>
      </c>
      <c r="B15" s="2" t="s">
        <v>4</v>
      </c>
      <c r="C15" s="2" t="s">
        <v>31</v>
      </c>
      <c r="D15" s="2" t="s">
        <v>11</v>
      </c>
      <c r="E15" s="2">
        <v>3.7</v>
      </c>
      <c r="F15" s="2" t="s">
        <v>11</v>
      </c>
      <c r="G15" s="2" t="s">
        <v>73</v>
      </c>
      <c r="H15" s="2">
        <v>7300</v>
      </c>
      <c r="I15" s="50"/>
      <c r="K15" s="2" t="s">
        <v>78</v>
      </c>
      <c r="L15" s="2"/>
      <c r="M15" s="2"/>
      <c r="O15" s="2" t="s">
        <v>74</v>
      </c>
      <c r="P15" s="2">
        <v>7242.1875</v>
      </c>
      <c r="Q15" s="2"/>
      <c r="R15" s="2"/>
    </row>
    <row r="16" spans="1:18" ht="16">
      <c r="A16" s="3">
        <v>15</v>
      </c>
      <c r="B16" s="2" t="s">
        <v>4</v>
      </c>
      <c r="C16" s="2" t="s">
        <v>31</v>
      </c>
      <c r="D16" s="2" t="s">
        <v>2</v>
      </c>
      <c r="E16" s="2">
        <v>3.7</v>
      </c>
      <c r="F16" s="2" t="s">
        <v>71</v>
      </c>
      <c r="G16" s="2" t="s">
        <v>74</v>
      </c>
      <c r="H16" s="2">
        <v>7600</v>
      </c>
      <c r="I16" s="50"/>
      <c r="K16" s="2" t="s">
        <v>81</v>
      </c>
      <c r="L16" s="2"/>
      <c r="M16" s="2"/>
      <c r="O16" s="2" t="s">
        <v>78</v>
      </c>
      <c r="P16" s="2">
        <v>7020.588235294118</v>
      </c>
      <c r="Q16" s="2"/>
      <c r="R16" s="2"/>
    </row>
    <row r="17" spans="1:18" ht="16">
      <c r="A17" s="3">
        <v>16</v>
      </c>
      <c r="B17" s="2" t="s">
        <v>1</v>
      </c>
      <c r="C17" s="2" t="s">
        <v>31</v>
      </c>
      <c r="D17" s="2" t="s">
        <v>3</v>
      </c>
      <c r="E17" s="2">
        <v>1.5</v>
      </c>
      <c r="F17" s="2" t="s">
        <v>3</v>
      </c>
      <c r="G17" s="2" t="s">
        <v>74</v>
      </c>
      <c r="H17" s="2">
        <v>5900</v>
      </c>
      <c r="I17" s="50"/>
      <c r="K17" s="2" t="s">
        <v>82</v>
      </c>
      <c r="L17" s="2"/>
      <c r="M17" s="2"/>
      <c r="O17" s="2" t="s">
        <v>81</v>
      </c>
      <c r="P17" s="2">
        <v>7320</v>
      </c>
      <c r="Q17" s="2"/>
      <c r="R17" s="2"/>
    </row>
    <row r="18" spans="1:18" ht="16">
      <c r="A18" s="3">
        <v>17</v>
      </c>
      <c r="B18" s="2" t="s">
        <v>4</v>
      </c>
      <c r="C18" s="2" t="s">
        <v>31</v>
      </c>
      <c r="D18" s="2" t="s">
        <v>14</v>
      </c>
      <c r="E18" s="2">
        <v>3.4</v>
      </c>
      <c r="F18" s="2" t="s">
        <v>75</v>
      </c>
      <c r="G18" s="2" t="s">
        <v>74</v>
      </c>
      <c r="H18" s="2">
        <v>7500</v>
      </c>
      <c r="I18" s="50"/>
      <c r="K18" s="2" t="s">
        <v>83</v>
      </c>
      <c r="L18" s="2"/>
      <c r="M18" s="2"/>
      <c r="O18" s="2" t="s">
        <v>82</v>
      </c>
      <c r="P18" s="2">
        <v>6780</v>
      </c>
      <c r="Q18" s="2"/>
      <c r="R18" s="2"/>
    </row>
    <row r="19" spans="1:18" ht="16">
      <c r="A19" s="3">
        <v>18</v>
      </c>
      <c r="B19" s="2" t="s">
        <v>4</v>
      </c>
      <c r="C19" s="2" t="s">
        <v>31</v>
      </c>
      <c r="D19" s="2" t="s">
        <v>5</v>
      </c>
      <c r="E19" s="2">
        <v>3.7</v>
      </c>
      <c r="F19" s="2" t="s">
        <v>68</v>
      </c>
      <c r="G19" s="2" t="s">
        <v>74</v>
      </c>
      <c r="H19" s="2">
        <v>7000</v>
      </c>
      <c r="I19" s="50"/>
      <c r="K19" s="2" t="s">
        <v>94</v>
      </c>
      <c r="L19" s="2"/>
      <c r="M19" s="2"/>
      <c r="O19" s="2" t="s">
        <v>83</v>
      </c>
      <c r="P19" s="2">
        <v>6554.347826086957</v>
      </c>
      <c r="Q19" s="2"/>
      <c r="R19" s="2"/>
    </row>
    <row r="20" spans="1:18" ht="16">
      <c r="A20" s="3">
        <v>19</v>
      </c>
      <c r="B20" s="2" t="s">
        <v>1</v>
      </c>
      <c r="C20" s="2" t="s">
        <v>31</v>
      </c>
      <c r="D20" s="2" t="s">
        <v>15</v>
      </c>
      <c r="E20" s="2">
        <v>2.2000000000000002</v>
      </c>
      <c r="F20" s="2" t="s">
        <v>15</v>
      </c>
      <c r="G20" s="2" t="s">
        <v>74</v>
      </c>
      <c r="H20" s="2">
        <v>6700</v>
      </c>
      <c r="I20" s="50"/>
      <c r="K20" s="3"/>
      <c r="L20" s="2"/>
      <c r="M20" s="2"/>
      <c r="N20" s="2"/>
      <c r="O20" s="2" t="s">
        <v>94</v>
      </c>
      <c r="P20" s="2">
        <v>6275</v>
      </c>
      <c r="Q20" s="2"/>
      <c r="R20" s="2"/>
    </row>
    <row r="21" spans="1:18" ht="16">
      <c r="A21" s="3">
        <v>20</v>
      </c>
      <c r="B21" s="2" t="s">
        <v>1</v>
      </c>
      <c r="C21" s="2" t="s">
        <v>31</v>
      </c>
      <c r="D21" s="2" t="s">
        <v>8</v>
      </c>
      <c r="E21" s="2">
        <v>3.7</v>
      </c>
      <c r="F21" s="2" t="s">
        <v>8</v>
      </c>
      <c r="G21" s="2" t="s">
        <v>74</v>
      </c>
      <c r="H21" s="2">
        <v>7200</v>
      </c>
      <c r="I21" s="50"/>
      <c r="K21" s="3"/>
      <c r="L21" s="2"/>
      <c r="M21" s="2"/>
      <c r="N21" s="2"/>
      <c r="O21" s="2"/>
      <c r="P21" s="2"/>
      <c r="Q21" s="2"/>
      <c r="R21" s="2"/>
    </row>
    <row r="22" spans="1:18" ht="16">
      <c r="A22" s="3">
        <v>21</v>
      </c>
      <c r="B22" s="2" t="s">
        <v>1</v>
      </c>
      <c r="C22" s="2" t="s">
        <v>31</v>
      </c>
      <c r="D22" s="2" t="s">
        <v>11</v>
      </c>
      <c r="E22" s="2">
        <v>3.4</v>
      </c>
      <c r="F22" s="2" t="s">
        <v>11</v>
      </c>
      <c r="G22" s="2" t="s">
        <v>76</v>
      </c>
      <c r="H22" s="2">
        <v>7100</v>
      </c>
      <c r="I22" s="50"/>
      <c r="K22" s="3"/>
      <c r="L22" s="2"/>
      <c r="M22" s="2"/>
      <c r="N22" s="2"/>
      <c r="O22" s="2"/>
      <c r="P22" s="2"/>
      <c r="Q22" s="2"/>
      <c r="R22" s="2"/>
    </row>
    <row r="23" spans="1:18" ht="16">
      <c r="A23" s="3">
        <v>22</v>
      </c>
      <c r="B23" s="2" t="s">
        <v>4</v>
      </c>
      <c r="C23" s="2" t="s">
        <v>31</v>
      </c>
      <c r="D23" s="2" t="s">
        <v>16</v>
      </c>
      <c r="E23" s="2">
        <v>2.2000000000000002</v>
      </c>
      <c r="F23" s="2" t="s">
        <v>77</v>
      </c>
      <c r="G23" s="2" t="s">
        <v>74</v>
      </c>
      <c r="H23" s="2">
        <v>6300</v>
      </c>
      <c r="I23" s="50"/>
      <c r="K23" s="3"/>
      <c r="L23" s="2"/>
      <c r="M23" s="2"/>
      <c r="N23" s="2"/>
      <c r="O23" s="2"/>
      <c r="P23" s="2"/>
      <c r="Q23" s="2"/>
      <c r="R23" s="2"/>
    </row>
    <row r="24" spans="1:18" ht="16">
      <c r="A24" s="3">
        <v>23</v>
      </c>
      <c r="B24" s="2" t="s">
        <v>4</v>
      </c>
      <c r="C24" s="2" t="s">
        <v>31</v>
      </c>
      <c r="D24" s="2" t="s">
        <v>17</v>
      </c>
      <c r="E24" s="2">
        <v>3.1</v>
      </c>
      <c r="F24" s="2" t="s">
        <v>77</v>
      </c>
      <c r="G24" s="2" t="s">
        <v>74</v>
      </c>
      <c r="H24" s="2">
        <v>6900</v>
      </c>
      <c r="I24" s="50"/>
      <c r="K24" s="3"/>
      <c r="L24" s="2"/>
      <c r="M24" s="2"/>
      <c r="N24" s="2"/>
      <c r="O24" s="2"/>
      <c r="P24" s="2"/>
      <c r="Q24" s="2"/>
      <c r="R24" s="2"/>
    </row>
    <row r="25" spans="1:18" ht="16">
      <c r="A25" s="3">
        <v>24</v>
      </c>
      <c r="B25" s="2" t="s">
        <v>1</v>
      </c>
      <c r="C25" s="2" t="s">
        <v>31</v>
      </c>
      <c r="D25" s="2" t="s">
        <v>14</v>
      </c>
      <c r="E25" s="2">
        <v>2.7</v>
      </c>
      <c r="F25" s="2" t="s">
        <v>14</v>
      </c>
      <c r="G25" s="2" t="s">
        <v>74</v>
      </c>
      <c r="H25" s="2">
        <v>6800</v>
      </c>
      <c r="I25" s="50"/>
      <c r="K25" s="3"/>
      <c r="L25" s="2"/>
      <c r="M25" s="2"/>
      <c r="N25" s="2"/>
      <c r="O25" s="2"/>
      <c r="P25" s="2"/>
      <c r="Q25" s="2"/>
      <c r="R25" s="2"/>
    </row>
    <row r="26" spans="1:18" ht="16">
      <c r="A26" s="3">
        <v>25</v>
      </c>
      <c r="B26" s="2" t="s">
        <v>4</v>
      </c>
      <c r="C26" s="2" t="s">
        <v>31</v>
      </c>
      <c r="D26" s="2" t="s">
        <v>2</v>
      </c>
      <c r="E26" s="2">
        <v>3.2</v>
      </c>
      <c r="F26" s="2" t="s">
        <v>71</v>
      </c>
      <c r="G26" s="2" t="s">
        <v>74</v>
      </c>
      <c r="H26" s="2">
        <v>7300</v>
      </c>
      <c r="I26" s="50"/>
      <c r="K26" s="3"/>
      <c r="L26" s="2"/>
      <c r="M26" s="2"/>
      <c r="N26" s="2"/>
      <c r="O26" s="2"/>
      <c r="P26" s="2"/>
      <c r="Q26" s="2"/>
      <c r="R26" s="2"/>
    </row>
    <row r="27" spans="1:18" ht="16">
      <c r="A27" s="3">
        <v>26</v>
      </c>
      <c r="B27" s="2" t="s">
        <v>1</v>
      </c>
      <c r="C27" s="2" t="s">
        <v>31</v>
      </c>
      <c r="D27" s="2" t="s">
        <v>18</v>
      </c>
      <c r="E27" s="2">
        <v>3.6</v>
      </c>
      <c r="F27" s="2" t="s">
        <v>77</v>
      </c>
      <c r="G27" s="2" t="s">
        <v>74</v>
      </c>
      <c r="H27" s="2">
        <v>7400</v>
      </c>
      <c r="I27" s="50"/>
      <c r="K27" s="3"/>
      <c r="L27" s="2"/>
      <c r="M27" s="2"/>
      <c r="N27" s="2"/>
      <c r="O27" s="2"/>
      <c r="P27" s="2"/>
      <c r="Q27" s="2"/>
      <c r="R27" s="2"/>
    </row>
    <row r="28" spans="1:18" ht="16">
      <c r="A28" s="3">
        <v>27</v>
      </c>
      <c r="B28" s="2" t="s">
        <v>4</v>
      </c>
      <c r="C28" s="2" t="s">
        <v>31</v>
      </c>
      <c r="D28" s="2" t="s">
        <v>3</v>
      </c>
      <c r="E28" s="2">
        <v>2.9</v>
      </c>
      <c r="F28" s="2" t="s">
        <v>3</v>
      </c>
      <c r="G28" s="2" t="s">
        <v>74</v>
      </c>
      <c r="H28" s="2">
        <v>6900</v>
      </c>
      <c r="I28" s="50"/>
      <c r="K28" s="3"/>
      <c r="L28" s="2"/>
      <c r="M28" s="2"/>
      <c r="N28" s="2"/>
      <c r="O28" s="2"/>
      <c r="P28" s="2"/>
      <c r="Q28" s="2"/>
      <c r="R28" s="2"/>
    </row>
    <row r="29" spans="1:18" ht="16">
      <c r="A29" s="3">
        <v>28</v>
      </c>
      <c r="B29" s="2" t="s">
        <v>4</v>
      </c>
      <c r="C29" s="2" t="s">
        <v>31</v>
      </c>
      <c r="D29" s="2" t="s">
        <v>3</v>
      </c>
      <c r="E29" s="2">
        <v>1.5</v>
      </c>
      <c r="F29" s="2" t="s">
        <v>3</v>
      </c>
      <c r="G29" s="2" t="s">
        <v>74</v>
      </c>
      <c r="H29" s="2">
        <v>9000</v>
      </c>
      <c r="I29" s="50"/>
      <c r="K29" s="3"/>
      <c r="L29" s="2"/>
      <c r="M29" s="2"/>
      <c r="N29" s="2"/>
      <c r="O29" s="2"/>
      <c r="P29" s="2"/>
      <c r="Q29" s="2"/>
      <c r="R29" s="2"/>
    </row>
    <row r="30" spans="1:18" ht="16">
      <c r="A30" s="3">
        <v>29</v>
      </c>
      <c r="B30" s="2" t="s">
        <v>4</v>
      </c>
      <c r="C30" s="2" t="s">
        <v>31</v>
      </c>
      <c r="D30" s="2" t="s">
        <v>8</v>
      </c>
      <c r="E30" s="2">
        <v>3.1</v>
      </c>
      <c r="F30" s="2" t="s">
        <v>68</v>
      </c>
      <c r="G30" s="2" t="s">
        <v>74</v>
      </c>
      <c r="H30" s="2">
        <v>6500</v>
      </c>
      <c r="I30" s="50"/>
      <c r="K30" s="3"/>
      <c r="L30" s="2"/>
      <c r="M30" s="2"/>
      <c r="N30" s="2"/>
      <c r="O30" s="2"/>
      <c r="P30" s="2"/>
      <c r="Q30" s="2"/>
      <c r="R30" s="2"/>
    </row>
    <row r="31" spans="1:18" ht="16">
      <c r="A31" s="3">
        <v>30</v>
      </c>
      <c r="B31" s="2" t="s">
        <v>4</v>
      </c>
      <c r="C31" s="2" t="s">
        <v>31</v>
      </c>
      <c r="D31" s="2" t="s">
        <v>12</v>
      </c>
      <c r="E31" s="2">
        <v>1.5</v>
      </c>
      <c r="F31" s="2" t="s">
        <v>12</v>
      </c>
      <c r="G31" s="2" t="s">
        <v>78</v>
      </c>
      <c r="H31" s="2">
        <v>5600</v>
      </c>
      <c r="I31" s="50"/>
      <c r="K31" s="3"/>
      <c r="L31" s="2"/>
      <c r="M31" s="2"/>
      <c r="N31" s="2"/>
      <c r="O31" s="2"/>
      <c r="P31" s="2"/>
      <c r="Q31" s="2"/>
      <c r="R31" s="2"/>
    </row>
    <row r="32" spans="1:18" ht="16">
      <c r="A32" s="3">
        <v>31</v>
      </c>
      <c r="B32" s="2" t="s">
        <v>4</v>
      </c>
      <c r="C32" s="2" t="s">
        <v>31</v>
      </c>
      <c r="D32" s="2" t="s">
        <v>8</v>
      </c>
      <c r="E32" s="2">
        <v>2.7</v>
      </c>
      <c r="F32" s="2" t="s">
        <v>8</v>
      </c>
      <c r="G32" s="2" t="s">
        <v>78</v>
      </c>
      <c r="H32" s="2">
        <v>6800</v>
      </c>
      <c r="I32" s="50"/>
      <c r="K32" s="3"/>
      <c r="L32" s="2"/>
      <c r="M32" s="2"/>
      <c r="N32" s="2"/>
      <c r="O32" s="2"/>
      <c r="P32" s="2"/>
      <c r="Q32" s="2"/>
      <c r="R32" s="2"/>
    </row>
    <row r="33" spans="1:18" ht="16">
      <c r="A33" s="3">
        <v>32</v>
      </c>
      <c r="B33" s="2" t="s">
        <v>4</v>
      </c>
      <c r="C33" s="2" t="s">
        <v>31</v>
      </c>
      <c r="D33" s="2" t="s">
        <v>19</v>
      </c>
      <c r="E33" s="2">
        <v>3.1</v>
      </c>
      <c r="F33" s="2" t="s">
        <v>68</v>
      </c>
      <c r="G33" s="2" t="s">
        <v>78</v>
      </c>
      <c r="H33" s="2">
        <v>7300</v>
      </c>
      <c r="I33" s="50"/>
      <c r="K33" s="3"/>
      <c r="L33" s="2"/>
      <c r="M33" s="2"/>
      <c r="N33" s="2"/>
      <c r="O33" s="2"/>
      <c r="P33" s="2"/>
      <c r="Q33" s="2"/>
      <c r="R33" s="2"/>
    </row>
    <row r="34" spans="1:18" ht="16">
      <c r="A34" s="3">
        <v>33</v>
      </c>
      <c r="B34" s="2" t="s">
        <v>1</v>
      </c>
      <c r="C34" s="2" t="s">
        <v>31</v>
      </c>
      <c r="D34" s="2" t="s">
        <v>14</v>
      </c>
      <c r="E34" s="2">
        <v>2.7</v>
      </c>
      <c r="F34" s="2" t="s">
        <v>71</v>
      </c>
      <c r="G34" s="2" t="s">
        <v>78</v>
      </c>
      <c r="H34" s="2">
        <v>7300</v>
      </c>
      <c r="I34" s="50"/>
      <c r="K34" s="3"/>
      <c r="L34" s="2"/>
      <c r="M34" s="2"/>
      <c r="N34" s="2"/>
      <c r="O34" s="2"/>
      <c r="P34" s="2"/>
      <c r="Q34" s="2"/>
      <c r="R34" s="2"/>
    </row>
    <row r="35" spans="1:18" ht="16">
      <c r="A35" s="3">
        <v>34</v>
      </c>
      <c r="B35" s="2" t="s">
        <v>4</v>
      </c>
      <c r="C35" s="2" t="s">
        <v>31</v>
      </c>
      <c r="D35" s="2" t="s">
        <v>3</v>
      </c>
      <c r="E35" s="2">
        <v>1.8</v>
      </c>
      <c r="F35" s="2" t="s">
        <v>3</v>
      </c>
      <c r="G35" s="2" t="s">
        <v>79</v>
      </c>
      <c r="H35" s="2">
        <v>5800</v>
      </c>
      <c r="I35" s="50"/>
      <c r="K35" s="3"/>
      <c r="L35" s="2"/>
      <c r="M35" s="2"/>
      <c r="N35" s="2"/>
      <c r="O35" s="2"/>
      <c r="P35" s="2"/>
      <c r="Q35" s="2"/>
      <c r="R35" s="2"/>
    </row>
    <row r="36" spans="1:18" ht="16">
      <c r="A36" s="3">
        <v>35</v>
      </c>
      <c r="B36" s="2" t="s">
        <v>1</v>
      </c>
      <c r="C36" s="2" t="s">
        <v>31</v>
      </c>
      <c r="D36" s="2" t="s">
        <v>20</v>
      </c>
      <c r="E36" s="2">
        <v>3.7</v>
      </c>
      <c r="F36" s="2" t="s">
        <v>80</v>
      </c>
      <c r="G36" s="2" t="s">
        <v>78</v>
      </c>
      <c r="H36" s="2">
        <v>7600</v>
      </c>
      <c r="I36" s="50"/>
      <c r="K36" s="3"/>
      <c r="L36" s="2"/>
      <c r="M36" s="2"/>
      <c r="N36" s="2"/>
      <c r="O36" s="2"/>
      <c r="P36" s="2"/>
      <c r="Q36" s="2"/>
      <c r="R36" s="2"/>
    </row>
    <row r="37" spans="1:18" ht="16">
      <c r="A37" s="3">
        <v>36</v>
      </c>
      <c r="B37" s="2" t="s">
        <v>1</v>
      </c>
      <c r="C37" s="2" t="s">
        <v>31</v>
      </c>
      <c r="D37" s="2" t="s">
        <v>20</v>
      </c>
      <c r="E37" s="2">
        <v>3</v>
      </c>
      <c r="F37" s="2" t="s">
        <v>80</v>
      </c>
      <c r="G37" s="2" t="s">
        <v>78</v>
      </c>
      <c r="H37" s="2">
        <v>7400</v>
      </c>
      <c r="I37" s="50"/>
      <c r="K37" s="3"/>
      <c r="L37" s="2"/>
      <c r="M37" s="2"/>
      <c r="N37" s="2"/>
      <c r="O37" s="2"/>
      <c r="P37" s="2"/>
      <c r="Q37" s="2"/>
      <c r="R37" s="2"/>
    </row>
    <row r="38" spans="1:18" ht="16">
      <c r="A38" s="3">
        <v>37</v>
      </c>
      <c r="B38" s="2" t="s">
        <v>4</v>
      </c>
      <c r="C38" s="2" t="s">
        <v>31</v>
      </c>
      <c r="D38" s="2" t="s">
        <v>21</v>
      </c>
      <c r="E38" s="2">
        <v>2.1</v>
      </c>
      <c r="F38" s="2" t="s">
        <v>21</v>
      </c>
      <c r="G38" s="2" t="s">
        <v>78</v>
      </c>
      <c r="H38" s="2">
        <v>6600</v>
      </c>
      <c r="I38" s="50"/>
      <c r="K38" s="3"/>
      <c r="L38" s="2"/>
      <c r="M38" s="2"/>
      <c r="N38" s="2"/>
      <c r="O38" s="2"/>
      <c r="P38" s="2"/>
      <c r="Q38" s="2"/>
      <c r="R38" s="2"/>
    </row>
    <row r="39" spans="1:18" ht="16">
      <c r="A39" s="3">
        <v>38</v>
      </c>
      <c r="B39" s="2" t="s">
        <v>1</v>
      </c>
      <c r="C39" s="2" t="s">
        <v>31</v>
      </c>
      <c r="D39" s="2" t="s">
        <v>5</v>
      </c>
      <c r="E39" s="2">
        <v>2.1</v>
      </c>
      <c r="F39" s="2" t="s">
        <v>68</v>
      </c>
      <c r="G39" s="2" t="s">
        <v>81</v>
      </c>
      <c r="H39" s="2">
        <v>6600</v>
      </c>
      <c r="I39" s="50"/>
      <c r="K39" s="3"/>
      <c r="L39" s="2"/>
      <c r="M39" s="2"/>
      <c r="N39" s="2"/>
      <c r="O39" s="2"/>
      <c r="P39" s="2"/>
      <c r="Q39" s="2"/>
      <c r="R39" s="2"/>
    </row>
    <row r="40" spans="1:18" ht="16">
      <c r="A40" s="3">
        <v>39</v>
      </c>
      <c r="B40" s="2" t="s">
        <v>1</v>
      </c>
      <c r="C40" s="2" t="s">
        <v>31</v>
      </c>
      <c r="D40" s="2" t="s">
        <v>14</v>
      </c>
      <c r="E40" s="2">
        <v>1.5</v>
      </c>
      <c r="F40" s="2" t="s">
        <v>14</v>
      </c>
      <c r="G40" s="2" t="s">
        <v>82</v>
      </c>
      <c r="H40" s="2">
        <v>5300</v>
      </c>
      <c r="I40" s="50"/>
      <c r="K40" s="3"/>
      <c r="L40" s="2"/>
      <c r="M40" s="2"/>
      <c r="N40" s="2"/>
      <c r="O40" s="2"/>
      <c r="P40" s="2"/>
      <c r="Q40" s="2"/>
      <c r="R40" s="2"/>
    </row>
    <row r="41" spans="1:18" ht="16">
      <c r="A41" s="3">
        <v>40</v>
      </c>
      <c r="B41" s="2" t="s">
        <v>1</v>
      </c>
      <c r="C41" s="2" t="s">
        <v>31</v>
      </c>
      <c r="D41" s="2" t="s">
        <v>15</v>
      </c>
      <c r="E41" s="2">
        <v>3.1</v>
      </c>
      <c r="F41" s="2" t="s">
        <v>15</v>
      </c>
      <c r="G41" s="2" t="s">
        <v>83</v>
      </c>
      <c r="H41" s="2">
        <v>6500</v>
      </c>
      <c r="I41" s="50"/>
      <c r="K41" s="3"/>
      <c r="L41" s="2"/>
      <c r="M41" s="2"/>
      <c r="N41" s="2"/>
      <c r="O41" s="2"/>
      <c r="P41" s="2"/>
      <c r="Q41" s="2"/>
      <c r="R41" s="2"/>
    </row>
    <row r="42" spans="1:18" ht="16">
      <c r="A42" s="3">
        <v>41</v>
      </c>
      <c r="B42" s="2" t="s">
        <v>4</v>
      </c>
      <c r="C42" s="2" t="s">
        <v>31</v>
      </c>
      <c r="D42" s="2" t="s">
        <v>14</v>
      </c>
      <c r="E42" s="2">
        <v>3.5</v>
      </c>
      <c r="F42" s="2" t="s">
        <v>14</v>
      </c>
      <c r="G42" s="2" t="s">
        <v>83</v>
      </c>
      <c r="H42" s="2">
        <v>5400</v>
      </c>
      <c r="I42" s="50"/>
      <c r="K42" s="3"/>
      <c r="L42" s="2"/>
      <c r="M42" s="2"/>
      <c r="N42" s="2"/>
      <c r="O42" s="2"/>
      <c r="P42" s="2"/>
      <c r="Q42" s="2"/>
      <c r="R42" s="2"/>
    </row>
    <row r="43" spans="1:18" ht="16">
      <c r="A43" s="3">
        <v>42</v>
      </c>
      <c r="B43" s="2" t="s">
        <v>4</v>
      </c>
      <c r="C43" s="2" t="s">
        <v>31</v>
      </c>
      <c r="D43" s="2" t="s">
        <v>22</v>
      </c>
      <c r="E43" s="2">
        <v>3.4</v>
      </c>
      <c r="F43" s="2" t="s">
        <v>22</v>
      </c>
      <c r="G43" s="2" t="s">
        <v>83</v>
      </c>
      <c r="H43" s="2">
        <v>5800</v>
      </c>
      <c r="I43" s="50"/>
      <c r="K43" s="3"/>
      <c r="L43" s="2"/>
      <c r="M43" s="2"/>
      <c r="N43" s="2"/>
      <c r="O43" s="2"/>
      <c r="P43" s="2"/>
      <c r="Q43" s="2"/>
      <c r="R43" s="2"/>
    </row>
    <row r="44" spans="1:18" ht="16">
      <c r="A44" s="3">
        <v>43</v>
      </c>
      <c r="B44" s="2" t="s">
        <v>4</v>
      </c>
      <c r="C44" s="2" t="s">
        <v>31</v>
      </c>
      <c r="D44" s="2" t="s">
        <v>13</v>
      </c>
      <c r="E44" s="2">
        <v>3</v>
      </c>
      <c r="F44" s="2" t="s">
        <v>84</v>
      </c>
      <c r="G44" s="2" t="s">
        <v>83</v>
      </c>
      <c r="H44" s="2">
        <v>7400</v>
      </c>
      <c r="I44" s="50"/>
      <c r="K44" s="3"/>
      <c r="L44" s="2"/>
      <c r="M44" s="2"/>
      <c r="N44" s="2"/>
      <c r="O44" s="2"/>
      <c r="P44" s="2"/>
      <c r="Q44" s="2"/>
      <c r="R44" s="2"/>
    </row>
    <row r="45" spans="1:18" ht="16">
      <c r="A45" s="3">
        <v>44</v>
      </c>
      <c r="B45" s="2" t="s">
        <v>4</v>
      </c>
      <c r="C45" s="2" t="s">
        <v>32</v>
      </c>
      <c r="D45" s="2" t="s">
        <v>15</v>
      </c>
      <c r="E45" s="2">
        <v>1.7</v>
      </c>
      <c r="F45" s="2" t="s">
        <v>15</v>
      </c>
      <c r="G45" s="2" t="s">
        <v>85</v>
      </c>
      <c r="H45" s="2">
        <v>5800</v>
      </c>
      <c r="I45" s="50"/>
      <c r="K45" s="3"/>
      <c r="L45" s="2"/>
      <c r="M45" s="2"/>
      <c r="N45" s="2"/>
      <c r="O45" s="2"/>
      <c r="P45" s="2"/>
      <c r="Q45" s="2"/>
      <c r="R45" s="2"/>
    </row>
    <row r="46" spans="1:18" ht="16">
      <c r="A46" s="3">
        <v>45</v>
      </c>
      <c r="B46" s="2" t="s">
        <v>1</v>
      </c>
      <c r="C46" s="2" t="s">
        <v>32</v>
      </c>
      <c r="D46" s="2" t="s">
        <v>11</v>
      </c>
      <c r="E46" s="2">
        <v>3.7</v>
      </c>
      <c r="F46" s="2" t="s">
        <v>11</v>
      </c>
      <c r="G46" s="2" t="s">
        <v>86</v>
      </c>
      <c r="H46" s="2">
        <v>7400</v>
      </c>
      <c r="I46" s="50"/>
      <c r="K46" s="3"/>
      <c r="L46" s="2"/>
      <c r="M46" s="2"/>
      <c r="N46" s="2"/>
      <c r="O46" s="2"/>
      <c r="P46" s="2"/>
      <c r="Q46" s="2"/>
      <c r="R46" s="2"/>
    </row>
    <row r="47" spans="1:18" ht="16">
      <c r="A47" s="3">
        <v>46</v>
      </c>
      <c r="B47" s="2" t="s">
        <v>1</v>
      </c>
      <c r="C47" s="2" t="s">
        <v>32</v>
      </c>
      <c r="D47" s="2" t="s">
        <v>9</v>
      </c>
      <c r="E47" s="2">
        <v>3.5</v>
      </c>
      <c r="F47" s="2" t="s">
        <v>84</v>
      </c>
      <c r="G47" s="2" t="s">
        <v>87</v>
      </c>
      <c r="H47" s="2">
        <v>8000</v>
      </c>
      <c r="I47" s="50"/>
      <c r="K47" s="3"/>
      <c r="L47" s="2"/>
      <c r="M47" s="2"/>
      <c r="N47" s="2"/>
      <c r="O47" s="2"/>
      <c r="P47" s="2"/>
      <c r="Q47" s="2"/>
      <c r="R47" s="2"/>
    </row>
    <row r="48" spans="1:18" ht="16">
      <c r="A48" s="3">
        <v>47</v>
      </c>
      <c r="B48" s="2" t="s">
        <v>1</v>
      </c>
      <c r="C48" s="2" t="s">
        <v>32</v>
      </c>
      <c r="D48" s="2" t="s">
        <v>23</v>
      </c>
      <c r="E48" s="2">
        <v>2.1</v>
      </c>
      <c r="F48" s="2" t="s">
        <v>88</v>
      </c>
      <c r="G48" s="2" t="s">
        <v>87</v>
      </c>
      <c r="H48" s="2">
        <v>6000</v>
      </c>
      <c r="I48" s="50"/>
      <c r="K48" s="3"/>
      <c r="L48" s="2"/>
      <c r="M48" s="2"/>
      <c r="N48" s="2"/>
      <c r="O48" s="2"/>
      <c r="P48" s="2"/>
      <c r="Q48" s="2"/>
      <c r="R48" s="2"/>
    </row>
    <row r="49" spans="1:18" ht="16">
      <c r="A49" s="3">
        <v>48</v>
      </c>
      <c r="B49" s="2" t="s">
        <v>4</v>
      </c>
      <c r="C49" s="2" t="s">
        <v>32</v>
      </c>
      <c r="D49" s="2" t="s">
        <v>24</v>
      </c>
      <c r="E49" s="2">
        <v>3.7</v>
      </c>
      <c r="F49" s="2" t="s">
        <v>88</v>
      </c>
      <c r="G49" s="2" t="s">
        <v>87</v>
      </c>
      <c r="H49" s="2">
        <v>8500</v>
      </c>
      <c r="I49" s="50"/>
      <c r="K49" s="3"/>
      <c r="L49" s="2"/>
      <c r="M49" s="2"/>
      <c r="N49" s="2"/>
      <c r="O49" s="2"/>
      <c r="P49" s="2"/>
      <c r="Q49" s="2"/>
      <c r="R49" s="2"/>
    </row>
    <row r="50" spans="1:18" ht="16">
      <c r="A50" s="3">
        <v>49</v>
      </c>
      <c r="B50" s="2" t="s">
        <v>4</v>
      </c>
      <c r="C50" s="2" t="s">
        <v>32</v>
      </c>
      <c r="D50" s="2" t="s">
        <v>15</v>
      </c>
      <c r="E50" s="2">
        <v>1.5</v>
      </c>
      <c r="F50" s="2" t="s">
        <v>15</v>
      </c>
      <c r="G50" s="2" t="s">
        <v>89</v>
      </c>
      <c r="H50" s="2">
        <v>6300</v>
      </c>
      <c r="I50" s="50"/>
      <c r="K50" s="3"/>
      <c r="L50" s="2"/>
      <c r="M50" s="2"/>
      <c r="N50" s="2"/>
      <c r="O50" s="2"/>
      <c r="P50" s="2"/>
      <c r="Q50" s="2"/>
      <c r="R50" s="2"/>
    </row>
    <row r="51" spans="1:18" ht="16">
      <c r="A51" s="3">
        <v>50</v>
      </c>
      <c r="B51" s="2" t="s">
        <v>4</v>
      </c>
      <c r="C51" s="2" t="s">
        <v>32</v>
      </c>
      <c r="D51" s="2" t="s">
        <v>13</v>
      </c>
      <c r="E51" s="2">
        <v>1.5</v>
      </c>
      <c r="F51" s="2" t="s">
        <v>75</v>
      </c>
      <c r="G51" s="2" t="s">
        <v>89</v>
      </c>
      <c r="H51" s="2">
        <v>5900</v>
      </c>
      <c r="I51" s="50"/>
      <c r="K51" s="3"/>
      <c r="L51" s="2"/>
      <c r="M51" s="2"/>
      <c r="N51" s="2"/>
      <c r="O51" s="2"/>
      <c r="P51" s="2"/>
      <c r="Q51" s="2"/>
      <c r="R51" s="2"/>
    </row>
    <row r="52" spans="1:18" ht="16">
      <c r="A52" s="3">
        <v>51</v>
      </c>
      <c r="B52" s="2" t="s">
        <v>1</v>
      </c>
      <c r="C52" s="2" t="s">
        <v>32</v>
      </c>
      <c r="D52" s="2" t="s">
        <v>6</v>
      </c>
      <c r="E52" s="2">
        <v>2.1</v>
      </c>
      <c r="F52" s="2" t="s">
        <v>6</v>
      </c>
      <c r="G52" s="2" t="s">
        <v>89</v>
      </c>
      <c r="H52" s="2">
        <v>6100</v>
      </c>
      <c r="I52" s="50"/>
      <c r="K52" s="3"/>
      <c r="L52" s="2"/>
      <c r="M52" s="2"/>
      <c r="N52" s="2"/>
      <c r="O52" s="2"/>
      <c r="P52" s="2"/>
      <c r="Q52" s="2"/>
      <c r="R52" s="2"/>
    </row>
    <row r="53" spans="1:18" ht="16">
      <c r="A53" s="3">
        <v>52</v>
      </c>
      <c r="B53" s="2" t="s">
        <v>4</v>
      </c>
      <c r="C53" s="2" t="s">
        <v>32</v>
      </c>
      <c r="D53" s="2" t="s">
        <v>25</v>
      </c>
      <c r="E53" s="2">
        <v>3</v>
      </c>
      <c r="F53" s="2" t="s">
        <v>88</v>
      </c>
      <c r="G53" s="2" t="s">
        <v>90</v>
      </c>
      <c r="H53" s="2">
        <v>6800</v>
      </c>
      <c r="I53" s="50"/>
      <c r="K53" s="3"/>
      <c r="L53" s="2"/>
      <c r="M53" s="2"/>
      <c r="N53" s="2"/>
      <c r="O53" s="2"/>
      <c r="P53" s="2"/>
      <c r="Q53" s="2"/>
      <c r="R53" s="2"/>
    </row>
    <row r="54" spans="1:18" ht="16">
      <c r="A54" s="3">
        <v>53</v>
      </c>
      <c r="B54" s="2" t="s">
        <v>4</v>
      </c>
      <c r="C54" s="2" t="s">
        <v>32</v>
      </c>
      <c r="D54" s="2" t="s">
        <v>26</v>
      </c>
      <c r="E54" s="2">
        <v>2.5</v>
      </c>
      <c r="F54" s="2" t="s">
        <v>26</v>
      </c>
      <c r="G54" s="2" t="s">
        <v>90</v>
      </c>
      <c r="H54" s="2">
        <v>7000</v>
      </c>
      <c r="I54" s="50"/>
      <c r="K54" s="3"/>
      <c r="L54" s="2"/>
      <c r="M54" s="2"/>
      <c r="N54" s="2"/>
      <c r="O54" s="2"/>
      <c r="P54" s="2"/>
      <c r="Q54" s="2"/>
      <c r="R54" s="2"/>
    </row>
    <row r="55" spans="1:18" ht="16">
      <c r="A55" s="3">
        <v>54</v>
      </c>
      <c r="B55" s="2" t="s">
        <v>4</v>
      </c>
      <c r="C55" s="2" t="s">
        <v>32</v>
      </c>
      <c r="D55" s="2" t="s">
        <v>3</v>
      </c>
      <c r="E55" s="2">
        <v>3.7</v>
      </c>
      <c r="F55" s="2" t="s">
        <v>3</v>
      </c>
      <c r="G55" s="2" t="s">
        <v>89</v>
      </c>
      <c r="H55" s="2">
        <v>7300</v>
      </c>
      <c r="I55" s="50"/>
      <c r="K55" s="3"/>
      <c r="L55" s="2"/>
      <c r="M55" s="2"/>
      <c r="N55" s="2"/>
      <c r="O55" s="2"/>
      <c r="P55" s="2"/>
      <c r="Q55" s="2"/>
      <c r="R55" s="2"/>
    </row>
    <row r="56" spans="1:18" ht="16">
      <c r="A56" s="3">
        <v>55</v>
      </c>
      <c r="B56" s="2" t="s">
        <v>1</v>
      </c>
      <c r="C56" s="2" t="s">
        <v>32</v>
      </c>
      <c r="D56" s="2" t="s">
        <v>3</v>
      </c>
      <c r="E56" s="2">
        <v>1.9</v>
      </c>
      <c r="F56" s="2" t="s">
        <v>3</v>
      </c>
      <c r="G56" s="2" t="s">
        <v>89</v>
      </c>
      <c r="H56" s="2">
        <v>6400</v>
      </c>
      <c r="I56" s="50"/>
      <c r="K56" s="3"/>
      <c r="L56" s="2"/>
      <c r="M56" s="2"/>
      <c r="N56" s="2"/>
      <c r="O56" s="2"/>
      <c r="P56" s="2"/>
      <c r="Q56" s="2"/>
      <c r="R56" s="2"/>
    </row>
    <row r="57" spans="1:18" ht="16">
      <c r="A57" s="3">
        <v>56</v>
      </c>
      <c r="B57" s="2" t="s">
        <v>4</v>
      </c>
      <c r="C57" s="2" t="s">
        <v>32</v>
      </c>
      <c r="D57" s="2" t="s">
        <v>9</v>
      </c>
      <c r="E57" s="2">
        <v>3.3</v>
      </c>
      <c r="F57" s="2" t="s">
        <v>9</v>
      </c>
      <c r="G57" s="2" t="s">
        <v>89</v>
      </c>
      <c r="H57" s="2">
        <v>7500</v>
      </c>
      <c r="I57" s="50"/>
      <c r="K57" s="3"/>
      <c r="L57" s="2"/>
      <c r="M57" s="2"/>
      <c r="N57" s="2"/>
      <c r="O57" s="2"/>
      <c r="P57" s="2"/>
      <c r="Q57" s="2"/>
      <c r="R57" s="2"/>
    </row>
    <row r="58" spans="1:18" ht="16">
      <c r="A58" s="3">
        <v>57</v>
      </c>
      <c r="B58" s="2" t="s">
        <v>1</v>
      </c>
      <c r="C58" s="2" t="s">
        <v>32</v>
      </c>
      <c r="D58" s="2" t="s">
        <v>3</v>
      </c>
      <c r="E58" s="2">
        <v>3.7</v>
      </c>
      <c r="F58" s="2" t="s">
        <v>3</v>
      </c>
      <c r="G58" s="2" t="s">
        <v>90</v>
      </c>
      <c r="H58" s="2">
        <v>7400</v>
      </c>
      <c r="I58" s="50"/>
      <c r="K58" s="3"/>
      <c r="L58" s="2"/>
      <c r="M58" s="2"/>
      <c r="N58" s="2"/>
      <c r="O58" s="2"/>
      <c r="P58" s="2"/>
      <c r="Q58" s="2"/>
      <c r="R58" s="2"/>
    </row>
    <row r="59" spans="1:18" ht="16">
      <c r="A59" s="3">
        <v>58</v>
      </c>
      <c r="B59" s="2" t="s">
        <v>1</v>
      </c>
      <c r="C59" s="2" t="s">
        <v>32</v>
      </c>
      <c r="D59" s="2" t="s">
        <v>5</v>
      </c>
      <c r="E59" s="2">
        <v>2.4</v>
      </c>
      <c r="F59" s="2" t="s">
        <v>91</v>
      </c>
      <c r="G59" s="2" t="s">
        <v>90</v>
      </c>
      <c r="H59" s="2">
        <v>6600</v>
      </c>
      <c r="I59" s="50"/>
      <c r="K59" s="3"/>
      <c r="L59" s="2"/>
      <c r="M59" s="2"/>
      <c r="N59" s="2"/>
      <c r="O59" s="2"/>
      <c r="P59" s="2"/>
      <c r="Q59" s="2"/>
      <c r="R59" s="2"/>
    </row>
    <row r="60" spans="1:18" ht="16">
      <c r="A60" s="3">
        <v>59</v>
      </c>
      <c r="B60" s="2" t="s">
        <v>4</v>
      </c>
      <c r="C60" s="2" t="s">
        <v>32</v>
      </c>
      <c r="D60" s="2" t="s">
        <v>6</v>
      </c>
      <c r="E60" s="2">
        <v>3</v>
      </c>
      <c r="F60" s="2" t="s">
        <v>6</v>
      </c>
      <c r="G60" s="2" t="s">
        <v>90</v>
      </c>
      <c r="H60" s="2">
        <v>7200</v>
      </c>
      <c r="I60" s="50"/>
      <c r="K60" s="3"/>
      <c r="L60" s="2"/>
      <c r="M60" s="2"/>
      <c r="N60" s="2"/>
      <c r="O60" s="2"/>
      <c r="P60" s="2"/>
      <c r="Q60" s="2"/>
      <c r="R60" s="2"/>
    </row>
    <row r="61" spans="1:18" ht="16">
      <c r="A61" s="3">
        <v>60</v>
      </c>
      <c r="B61" s="2" t="s">
        <v>4</v>
      </c>
      <c r="C61" s="2" t="s">
        <v>32</v>
      </c>
      <c r="D61" s="2" t="s">
        <v>3</v>
      </c>
      <c r="E61" s="2">
        <v>3.5</v>
      </c>
      <c r="F61" s="2" t="s">
        <v>3</v>
      </c>
      <c r="G61" s="4" t="s">
        <v>73</v>
      </c>
      <c r="H61" s="2">
        <v>8200</v>
      </c>
      <c r="I61" s="50"/>
      <c r="K61" s="3"/>
      <c r="L61" s="2"/>
      <c r="M61" s="2"/>
      <c r="N61" s="2"/>
      <c r="O61" s="2"/>
      <c r="P61" s="2"/>
      <c r="Q61" s="2"/>
      <c r="R61" s="2"/>
    </row>
    <row r="62" spans="1:18" ht="16">
      <c r="A62" s="3">
        <v>61</v>
      </c>
      <c r="B62" s="2" t="s">
        <v>4</v>
      </c>
      <c r="C62" s="2" t="s">
        <v>32</v>
      </c>
      <c r="D62" s="2" t="s">
        <v>27</v>
      </c>
      <c r="E62" s="2">
        <v>1.5</v>
      </c>
      <c r="F62" s="2" t="s">
        <v>88</v>
      </c>
      <c r="G62" s="4" t="s">
        <v>92</v>
      </c>
      <c r="H62" s="2">
        <v>6300</v>
      </c>
      <c r="I62" s="50"/>
      <c r="K62" s="3"/>
      <c r="L62" s="2"/>
      <c r="M62" s="2"/>
      <c r="N62" s="2"/>
      <c r="O62" s="2"/>
      <c r="P62" s="2"/>
      <c r="Q62" s="2"/>
      <c r="R62" s="2"/>
    </row>
    <row r="63" spans="1:18" ht="16">
      <c r="A63" s="3">
        <v>62</v>
      </c>
      <c r="B63" s="2" t="s">
        <v>1</v>
      </c>
      <c r="C63" s="2" t="s">
        <v>32</v>
      </c>
      <c r="D63" s="2" t="s">
        <v>12</v>
      </c>
      <c r="E63" s="2">
        <v>2.4</v>
      </c>
      <c r="F63" s="2" t="s">
        <v>75</v>
      </c>
      <c r="G63" s="4" t="s">
        <v>92</v>
      </c>
      <c r="H63" s="2">
        <v>6800</v>
      </c>
      <c r="I63" s="50"/>
      <c r="K63" s="3"/>
      <c r="L63" s="2"/>
      <c r="M63" s="2"/>
      <c r="N63" s="2"/>
      <c r="O63" s="2"/>
      <c r="P63" s="2"/>
      <c r="Q63" s="2"/>
      <c r="R63" s="2"/>
    </row>
    <row r="64" spans="1:18" ht="16">
      <c r="A64" s="3">
        <v>63</v>
      </c>
      <c r="B64" s="2" t="s">
        <v>4</v>
      </c>
      <c r="C64" s="2" t="s">
        <v>32</v>
      </c>
      <c r="D64" s="2" t="s">
        <v>3</v>
      </c>
      <c r="E64" s="2">
        <v>3.7</v>
      </c>
      <c r="F64" s="2" t="s">
        <v>3</v>
      </c>
      <c r="G64" s="4" t="s">
        <v>73</v>
      </c>
      <c r="H64" s="2">
        <v>7600</v>
      </c>
      <c r="I64" s="50"/>
      <c r="K64" s="3"/>
      <c r="L64" s="2"/>
      <c r="M64" s="2"/>
      <c r="N64" s="2"/>
      <c r="O64" s="2"/>
      <c r="P64" s="2"/>
      <c r="Q64" s="2"/>
      <c r="R64" s="2"/>
    </row>
    <row r="65" spans="1:18" ht="16">
      <c r="A65" s="3">
        <v>64</v>
      </c>
      <c r="B65" s="2" t="s">
        <v>1</v>
      </c>
      <c r="C65" s="2" t="s">
        <v>32</v>
      </c>
      <c r="D65" s="2" t="s">
        <v>27</v>
      </c>
      <c r="E65" s="2">
        <v>1.9</v>
      </c>
      <c r="F65" s="2" t="s">
        <v>91</v>
      </c>
      <c r="G65" s="2" t="s">
        <v>76</v>
      </c>
      <c r="H65" s="2">
        <v>6000</v>
      </c>
      <c r="I65" s="50"/>
      <c r="K65" s="3"/>
      <c r="L65" s="2"/>
      <c r="M65" s="2"/>
      <c r="N65" s="2"/>
      <c r="O65" s="2"/>
      <c r="P65" s="2"/>
      <c r="Q65" s="2"/>
      <c r="R65" s="2"/>
    </row>
    <row r="66" spans="1:18" ht="16">
      <c r="A66" s="3">
        <v>65</v>
      </c>
      <c r="B66" s="2" t="s">
        <v>4</v>
      </c>
      <c r="C66" s="2" t="s">
        <v>32</v>
      </c>
      <c r="D66" s="2" t="s">
        <v>3</v>
      </c>
      <c r="E66" s="2">
        <v>3.7</v>
      </c>
      <c r="F66" s="2" t="s">
        <v>3</v>
      </c>
      <c r="G66" s="4" t="s">
        <v>76</v>
      </c>
      <c r="H66" s="2">
        <v>7400</v>
      </c>
      <c r="I66" s="50"/>
      <c r="K66" s="3"/>
      <c r="L66" s="2"/>
      <c r="M66" s="2"/>
      <c r="N66" s="2"/>
      <c r="O66" s="2"/>
      <c r="P66" s="2"/>
      <c r="Q66" s="2"/>
      <c r="R66" s="2"/>
    </row>
    <row r="67" spans="1:18" ht="16">
      <c r="A67" s="3">
        <v>66</v>
      </c>
      <c r="B67" s="2" t="s">
        <v>1</v>
      </c>
      <c r="C67" s="2" t="s">
        <v>32</v>
      </c>
      <c r="D67" s="2" t="s">
        <v>19</v>
      </c>
      <c r="E67" s="2">
        <v>3.2</v>
      </c>
      <c r="F67" s="2" t="s">
        <v>19</v>
      </c>
      <c r="G67" s="4" t="s">
        <v>79</v>
      </c>
      <c r="H67" s="2">
        <v>7300</v>
      </c>
      <c r="I67" s="50"/>
      <c r="K67" s="3"/>
      <c r="L67" s="2"/>
      <c r="M67" s="2"/>
      <c r="N67" s="2"/>
      <c r="O67" s="2"/>
      <c r="P67" s="2"/>
      <c r="Q67" s="2"/>
      <c r="R67" s="2"/>
    </row>
    <row r="68" spans="1:18" ht="16">
      <c r="A68" s="3">
        <v>67</v>
      </c>
      <c r="B68" s="2" t="s">
        <v>1</v>
      </c>
      <c r="C68" s="2" t="s">
        <v>32</v>
      </c>
      <c r="D68" s="2" t="s">
        <v>26</v>
      </c>
      <c r="E68" s="2">
        <v>3.7</v>
      </c>
      <c r="F68" s="2" t="s">
        <v>84</v>
      </c>
      <c r="G68" s="4" t="s">
        <v>79</v>
      </c>
      <c r="H68" s="2">
        <v>7900</v>
      </c>
      <c r="I68" s="50"/>
      <c r="K68" s="3"/>
      <c r="L68" s="2"/>
      <c r="M68" s="2"/>
      <c r="N68" s="2"/>
      <c r="O68" s="2"/>
      <c r="P68" s="2"/>
      <c r="Q68" s="4"/>
      <c r="R68" s="2"/>
    </row>
    <row r="69" spans="1:18" ht="16">
      <c r="A69" s="3">
        <v>68</v>
      </c>
      <c r="B69" s="2" t="s">
        <v>1</v>
      </c>
      <c r="C69" s="2" t="s">
        <v>32</v>
      </c>
      <c r="D69" s="2" t="s">
        <v>17</v>
      </c>
      <c r="E69" s="2">
        <v>1.5</v>
      </c>
      <c r="F69" s="2" t="s">
        <v>75</v>
      </c>
      <c r="G69" s="2" t="s">
        <v>93</v>
      </c>
      <c r="H69" s="2">
        <v>5600</v>
      </c>
      <c r="I69" s="50"/>
      <c r="K69" s="3"/>
      <c r="L69" s="2"/>
      <c r="M69" s="2"/>
      <c r="N69" s="2"/>
      <c r="O69" s="2"/>
      <c r="P69" s="2"/>
      <c r="Q69" s="4"/>
      <c r="R69" s="2"/>
    </row>
    <row r="70" spans="1:18" ht="16">
      <c r="A70" s="3">
        <v>69</v>
      </c>
      <c r="B70" s="2" t="s">
        <v>4</v>
      </c>
      <c r="C70" s="2" t="s">
        <v>32</v>
      </c>
      <c r="D70" s="2" t="s">
        <v>8</v>
      </c>
      <c r="E70" s="2">
        <v>2.5</v>
      </c>
      <c r="F70" s="2" t="s">
        <v>91</v>
      </c>
      <c r="G70" s="2" t="s">
        <v>94</v>
      </c>
      <c r="H70" s="2">
        <v>6500</v>
      </c>
      <c r="I70" s="50"/>
      <c r="K70" s="3"/>
      <c r="L70" s="2"/>
      <c r="M70" s="2"/>
      <c r="N70" s="2"/>
      <c r="O70" s="2"/>
      <c r="P70" s="2"/>
      <c r="Q70" s="4"/>
      <c r="R70" s="2"/>
    </row>
    <row r="71" spans="1:18" ht="16">
      <c r="A71" s="3">
        <v>70</v>
      </c>
      <c r="B71" s="2" t="s">
        <v>1</v>
      </c>
      <c r="C71" s="2" t="s">
        <v>32</v>
      </c>
      <c r="D71" s="2" t="s">
        <v>28</v>
      </c>
      <c r="E71" s="2">
        <v>3.2</v>
      </c>
      <c r="F71" s="2" t="s">
        <v>28</v>
      </c>
      <c r="G71" s="4" t="s">
        <v>83</v>
      </c>
      <c r="H71" s="2">
        <v>5500</v>
      </c>
      <c r="I71" s="50"/>
      <c r="K71" s="3"/>
      <c r="L71" s="2"/>
      <c r="M71" s="2"/>
      <c r="N71" s="2"/>
      <c r="O71" s="2"/>
      <c r="P71" s="2"/>
      <c r="Q71" s="4"/>
      <c r="R71" s="2"/>
    </row>
    <row r="72" spans="1:18" ht="16">
      <c r="A72" s="3">
        <v>71</v>
      </c>
      <c r="B72" s="2" t="s">
        <v>1</v>
      </c>
      <c r="C72" s="2" t="s">
        <v>32</v>
      </c>
      <c r="D72" s="2" t="s">
        <v>11</v>
      </c>
      <c r="E72" s="2">
        <v>2.4</v>
      </c>
      <c r="F72" s="2" t="s">
        <v>11</v>
      </c>
      <c r="G72" s="4" t="s">
        <v>95</v>
      </c>
      <c r="H72" s="2">
        <v>6600</v>
      </c>
      <c r="I72" s="50"/>
      <c r="K72" s="3"/>
      <c r="L72" s="2"/>
      <c r="M72" s="2"/>
      <c r="N72" s="2"/>
      <c r="O72" s="2"/>
      <c r="P72" s="2"/>
      <c r="Q72" s="2"/>
      <c r="R72" s="2"/>
    </row>
    <row r="73" spans="1:18" ht="16">
      <c r="A73" s="3">
        <v>72</v>
      </c>
      <c r="B73" s="2" t="s">
        <v>1</v>
      </c>
      <c r="C73" s="2" t="s">
        <v>32</v>
      </c>
      <c r="D73" s="2" t="s">
        <v>21</v>
      </c>
      <c r="E73" s="2">
        <v>1.6</v>
      </c>
      <c r="F73" s="2" t="s">
        <v>88</v>
      </c>
      <c r="G73" s="4" t="s">
        <v>95</v>
      </c>
      <c r="H73" s="2">
        <v>5900</v>
      </c>
      <c r="I73" s="50"/>
      <c r="K73" s="3"/>
      <c r="L73" s="2"/>
      <c r="M73" s="2"/>
      <c r="N73" s="2"/>
      <c r="O73" s="2"/>
      <c r="P73" s="2"/>
      <c r="Q73" s="4"/>
      <c r="R73" s="2"/>
    </row>
    <row r="74" spans="1:18" ht="16">
      <c r="A74" s="3">
        <v>73</v>
      </c>
      <c r="B74" s="2" t="s">
        <v>4</v>
      </c>
      <c r="C74" s="2" t="s">
        <v>32</v>
      </c>
      <c r="D74" s="2" t="s">
        <v>16</v>
      </c>
      <c r="E74" s="2">
        <v>3.7</v>
      </c>
      <c r="F74" s="2" t="s">
        <v>96</v>
      </c>
      <c r="G74" s="4" t="s">
        <v>95</v>
      </c>
      <c r="H74" s="2">
        <v>6800</v>
      </c>
      <c r="I74" s="50"/>
      <c r="K74" s="3"/>
      <c r="L74" s="2"/>
      <c r="M74" s="2"/>
      <c r="N74" s="2"/>
      <c r="O74" s="2"/>
      <c r="P74" s="2"/>
      <c r="Q74" s="4"/>
      <c r="R74" s="2"/>
    </row>
    <row r="75" spans="1:18" ht="16">
      <c r="A75" s="3">
        <v>74</v>
      </c>
      <c r="B75" s="2" t="s">
        <v>4</v>
      </c>
      <c r="C75" s="2" t="s">
        <v>32</v>
      </c>
      <c r="D75" s="2" t="s">
        <v>29</v>
      </c>
      <c r="E75" s="2">
        <v>2.7</v>
      </c>
      <c r="F75" s="2" t="s">
        <v>97</v>
      </c>
      <c r="G75" s="4" t="s">
        <v>83</v>
      </c>
      <c r="H75" s="2">
        <v>7000</v>
      </c>
      <c r="I75" s="50"/>
      <c r="K75" s="3"/>
      <c r="L75" s="2"/>
      <c r="M75" s="2"/>
      <c r="N75" s="2"/>
      <c r="O75" s="2"/>
      <c r="P75" s="2"/>
      <c r="Q75" s="4"/>
      <c r="R75" s="2"/>
    </row>
    <row r="76" spans="1:18" ht="16">
      <c r="A76" s="3">
        <v>75</v>
      </c>
      <c r="B76" s="2" t="s">
        <v>4</v>
      </c>
      <c r="C76" s="2" t="s">
        <v>33</v>
      </c>
      <c r="D76" s="2" t="s">
        <v>13</v>
      </c>
      <c r="E76" s="2">
        <v>2.1</v>
      </c>
      <c r="F76" s="2" t="s">
        <v>88</v>
      </c>
      <c r="G76" s="2" t="s">
        <v>98</v>
      </c>
      <c r="H76" s="2">
        <v>5400</v>
      </c>
      <c r="I76" s="50"/>
      <c r="K76" s="3"/>
      <c r="L76" s="2"/>
      <c r="M76" s="2"/>
      <c r="N76" s="2"/>
      <c r="O76" s="2"/>
      <c r="P76" s="2"/>
      <c r="Q76" s="2"/>
      <c r="R76" s="2"/>
    </row>
    <row r="77" spans="1:18" ht="16">
      <c r="A77" s="3">
        <v>76</v>
      </c>
      <c r="B77" s="2" t="s">
        <v>4</v>
      </c>
      <c r="C77" s="2" t="s">
        <v>33</v>
      </c>
      <c r="D77" s="2" t="s">
        <v>3</v>
      </c>
      <c r="E77" s="2">
        <v>3.7</v>
      </c>
      <c r="F77" s="2" t="s">
        <v>3</v>
      </c>
      <c r="G77" s="2" t="s">
        <v>98</v>
      </c>
      <c r="H77" s="2">
        <v>8000</v>
      </c>
      <c r="I77" s="50"/>
      <c r="K77" s="3"/>
      <c r="L77" s="2"/>
      <c r="M77" s="2"/>
      <c r="N77" s="2"/>
      <c r="O77" s="2"/>
      <c r="P77" s="2"/>
      <c r="Q77" s="2"/>
      <c r="R77" s="2"/>
    </row>
    <row r="78" spans="1:18" ht="16">
      <c r="A78" s="3">
        <v>77</v>
      </c>
      <c r="B78" s="2" t="s">
        <v>4</v>
      </c>
      <c r="C78" s="2" t="s">
        <v>33</v>
      </c>
      <c r="D78" s="2" t="s">
        <v>2</v>
      </c>
      <c r="E78" s="2">
        <v>2</v>
      </c>
      <c r="F78" s="2" t="s">
        <v>88</v>
      </c>
      <c r="G78" s="2" t="s">
        <v>87</v>
      </c>
      <c r="H78" s="2">
        <v>6300</v>
      </c>
      <c r="I78" s="50"/>
      <c r="K78" s="3"/>
      <c r="L78" s="2"/>
      <c r="M78" s="2"/>
      <c r="N78" s="2"/>
      <c r="O78" s="2"/>
      <c r="P78" s="2"/>
      <c r="Q78" s="4"/>
      <c r="R78" s="2"/>
    </row>
    <row r="79" spans="1:18" ht="16">
      <c r="A79" s="3">
        <v>78</v>
      </c>
      <c r="B79" s="2" t="s">
        <v>1</v>
      </c>
      <c r="C79" s="2" t="s">
        <v>33</v>
      </c>
      <c r="D79" s="2" t="s">
        <v>3</v>
      </c>
      <c r="E79" s="2">
        <v>3.7</v>
      </c>
      <c r="F79" s="2" t="s">
        <v>3</v>
      </c>
      <c r="G79" s="2" t="s">
        <v>87</v>
      </c>
      <c r="H79" s="2">
        <v>7900</v>
      </c>
      <c r="I79" s="50"/>
      <c r="K79" s="3"/>
      <c r="L79" s="2"/>
      <c r="M79" s="2"/>
      <c r="N79" s="2"/>
      <c r="O79" s="2"/>
      <c r="P79" s="2"/>
      <c r="Q79" s="4"/>
      <c r="R79" s="2"/>
    </row>
    <row r="80" spans="1:18" ht="16">
      <c r="A80" s="3">
        <v>79</v>
      </c>
      <c r="B80" s="2" t="s">
        <v>1</v>
      </c>
      <c r="C80" s="2" t="s">
        <v>33</v>
      </c>
      <c r="D80" s="2" t="s">
        <v>25</v>
      </c>
      <c r="E80" s="2">
        <v>3.7</v>
      </c>
      <c r="F80" s="2" t="s">
        <v>25</v>
      </c>
      <c r="G80" s="2" t="s">
        <v>86</v>
      </c>
      <c r="H80" s="2">
        <v>7600</v>
      </c>
      <c r="I80" s="50"/>
      <c r="K80" s="3"/>
      <c r="L80" s="2"/>
      <c r="M80" s="2"/>
      <c r="N80" s="2"/>
      <c r="O80" s="2"/>
      <c r="P80" s="2"/>
      <c r="Q80" s="4"/>
      <c r="R80" s="2"/>
    </row>
    <row r="81" spans="1:18" ht="16">
      <c r="A81" s="3">
        <v>80</v>
      </c>
      <c r="B81" s="2" t="s">
        <v>4</v>
      </c>
      <c r="C81" s="2" t="s">
        <v>33</v>
      </c>
      <c r="D81" s="2" t="s">
        <v>29</v>
      </c>
      <c r="E81" s="2">
        <v>2.2000000000000002</v>
      </c>
      <c r="F81" s="2" t="s">
        <v>97</v>
      </c>
      <c r="G81" s="2" t="s">
        <v>90</v>
      </c>
      <c r="H81" s="2">
        <v>6500</v>
      </c>
      <c r="I81" s="50"/>
      <c r="K81" s="3"/>
      <c r="L81" s="2"/>
      <c r="M81" s="2"/>
      <c r="N81" s="2"/>
      <c r="O81" s="2"/>
      <c r="P81" s="2"/>
      <c r="Q81" s="4"/>
      <c r="R81" s="2"/>
    </row>
    <row r="82" spans="1:18" ht="16">
      <c r="A82" s="3">
        <v>81</v>
      </c>
      <c r="B82" s="2" t="s">
        <v>1</v>
      </c>
      <c r="C82" s="2" t="s">
        <v>33</v>
      </c>
      <c r="D82" s="2" t="s">
        <v>13</v>
      </c>
      <c r="E82" s="2">
        <v>3.6</v>
      </c>
      <c r="F82" s="2" t="s">
        <v>91</v>
      </c>
      <c r="G82" s="2" t="s">
        <v>89</v>
      </c>
      <c r="H82" s="2">
        <v>7800</v>
      </c>
      <c r="I82" s="50"/>
      <c r="K82" s="3"/>
      <c r="L82" s="2"/>
      <c r="M82" s="2"/>
      <c r="N82" s="2"/>
      <c r="O82" s="2"/>
      <c r="P82" s="2"/>
      <c r="Q82" s="4"/>
      <c r="R82" s="2"/>
    </row>
    <row r="83" spans="1:18" ht="16">
      <c r="A83" s="3">
        <v>82</v>
      </c>
      <c r="B83" s="2" t="s">
        <v>4</v>
      </c>
      <c r="C83" s="2" t="s">
        <v>33</v>
      </c>
      <c r="D83" s="2" t="s">
        <v>27</v>
      </c>
      <c r="E83" s="2">
        <v>2.4</v>
      </c>
      <c r="F83" s="2" t="s">
        <v>88</v>
      </c>
      <c r="G83" s="2" t="s">
        <v>73</v>
      </c>
      <c r="H83" s="2">
        <v>6500</v>
      </c>
      <c r="I83" s="50"/>
      <c r="K83" s="3"/>
      <c r="L83" s="2"/>
      <c r="M83" s="2"/>
      <c r="N83" s="2"/>
      <c r="O83" s="2"/>
      <c r="P83" s="2"/>
      <c r="Q83" s="2"/>
      <c r="R83" s="2"/>
    </row>
    <row r="84" spans="1:18" ht="16">
      <c r="A84" s="3">
        <v>83</v>
      </c>
      <c r="B84" s="2" t="s">
        <v>1</v>
      </c>
      <c r="C84" s="2" t="s">
        <v>33</v>
      </c>
      <c r="D84" s="2" t="s">
        <v>12</v>
      </c>
      <c r="E84" s="2">
        <v>3.4</v>
      </c>
      <c r="F84" s="2" t="s">
        <v>12</v>
      </c>
      <c r="G84" s="2" t="s">
        <v>92</v>
      </c>
      <c r="H84" s="2">
        <v>7900</v>
      </c>
      <c r="I84" s="50"/>
      <c r="K84" s="3"/>
      <c r="L84" s="2"/>
      <c r="M84" s="2"/>
      <c r="N84" s="2"/>
      <c r="O84" s="2"/>
      <c r="P84" s="2"/>
      <c r="Q84" s="2"/>
      <c r="R84" s="2"/>
    </row>
    <row r="85" spans="1:18" ht="16">
      <c r="A85" s="3">
        <v>84</v>
      </c>
      <c r="B85" s="2" t="s">
        <v>1</v>
      </c>
      <c r="C85" s="2" t="s">
        <v>33</v>
      </c>
      <c r="D85" s="2" t="s">
        <v>8</v>
      </c>
      <c r="E85" s="2">
        <v>3.7</v>
      </c>
      <c r="F85" s="2" t="s">
        <v>8</v>
      </c>
      <c r="G85" s="2" t="s">
        <v>92</v>
      </c>
      <c r="H85" s="2">
        <v>7900</v>
      </c>
      <c r="I85" s="50"/>
      <c r="K85" s="3"/>
      <c r="L85" s="2"/>
      <c r="M85" s="2"/>
      <c r="N85" s="2"/>
      <c r="O85" s="2"/>
      <c r="P85" s="2"/>
      <c r="Q85" s="2"/>
      <c r="R85" s="2"/>
    </row>
    <row r="86" spans="1:18" ht="16">
      <c r="A86" s="3">
        <v>85</v>
      </c>
      <c r="B86" s="2" t="s">
        <v>1</v>
      </c>
      <c r="C86" s="2" t="s">
        <v>33</v>
      </c>
      <c r="D86" s="2" t="s">
        <v>21</v>
      </c>
      <c r="E86" s="2">
        <v>3.7</v>
      </c>
      <c r="F86" s="2" t="s">
        <v>21</v>
      </c>
      <c r="G86" s="2" t="s">
        <v>73</v>
      </c>
      <c r="H86" s="2">
        <v>7600</v>
      </c>
      <c r="I86" s="50"/>
      <c r="K86" s="3"/>
      <c r="L86" s="2"/>
      <c r="M86" s="2"/>
      <c r="N86" s="2"/>
      <c r="O86" s="2"/>
      <c r="P86" s="2"/>
      <c r="Q86" s="2"/>
      <c r="R86" s="2"/>
    </row>
    <row r="87" spans="1:18" ht="16">
      <c r="A87" s="3">
        <v>86</v>
      </c>
      <c r="B87" s="2" t="s">
        <v>1</v>
      </c>
      <c r="C87" s="2" t="s">
        <v>33</v>
      </c>
      <c r="D87" s="2" t="s">
        <v>3</v>
      </c>
      <c r="E87" s="2">
        <v>3.7</v>
      </c>
      <c r="F87" s="2" t="s">
        <v>3</v>
      </c>
      <c r="G87" s="2" t="s">
        <v>92</v>
      </c>
      <c r="H87" s="2">
        <v>7400</v>
      </c>
      <c r="I87" s="50"/>
      <c r="K87" s="3"/>
      <c r="L87" s="2"/>
      <c r="M87" s="2"/>
      <c r="N87" s="2"/>
      <c r="O87" s="2"/>
      <c r="P87" s="2"/>
      <c r="Q87" s="2"/>
      <c r="R87" s="2"/>
    </row>
    <row r="88" spans="1:18" ht="16">
      <c r="A88" s="3">
        <v>87</v>
      </c>
      <c r="B88" s="2" t="s">
        <v>4</v>
      </c>
      <c r="C88" s="2" t="s">
        <v>33</v>
      </c>
      <c r="D88" s="2" t="s">
        <v>15</v>
      </c>
      <c r="E88" s="2">
        <v>2.7</v>
      </c>
      <c r="F88" s="2" t="s">
        <v>84</v>
      </c>
      <c r="G88" s="2" t="s">
        <v>73</v>
      </c>
      <c r="H88" s="2">
        <v>6500</v>
      </c>
      <c r="I88" s="50"/>
      <c r="K88" s="3"/>
      <c r="L88" s="2"/>
      <c r="M88" s="2"/>
      <c r="N88" s="2"/>
      <c r="O88" s="2"/>
      <c r="P88" s="2"/>
      <c r="Q88" s="2"/>
      <c r="R88" s="2"/>
    </row>
    <row r="89" spans="1:18" ht="16">
      <c r="A89" s="3">
        <v>88</v>
      </c>
      <c r="B89" s="2" t="s">
        <v>1</v>
      </c>
      <c r="C89" s="2" t="s">
        <v>33</v>
      </c>
      <c r="D89" s="2" t="s">
        <v>19</v>
      </c>
      <c r="E89" s="2">
        <v>2.8</v>
      </c>
      <c r="F89" s="2" t="s">
        <v>19</v>
      </c>
      <c r="G89" s="2" t="s">
        <v>92</v>
      </c>
      <c r="H89" s="2">
        <v>7000</v>
      </c>
      <c r="I89" s="50"/>
      <c r="K89" s="3"/>
      <c r="L89" s="2"/>
      <c r="M89" s="2"/>
      <c r="N89" s="2"/>
      <c r="O89" s="2"/>
      <c r="P89" s="2"/>
      <c r="Q89" s="2"/>
      <c r="R89" s="2"/>
    </row>
    <row r="90" spans="1:18" ht="16">
      <c r="A90" s="3">
        <v>89</v>
      </c>
      <c r="B90" s="2" t="s">
        <v>1</v>
      </c>
      <c r="C90" s="2" t="s">
        <v>33</v>
      </c>
      <c r="D90" s="2" t="s">
        <v>17</v>
      </c>
      <c r="E90" s="2">
        <v>3.7</v>
      </c>
      <c r="F90" s="2" t="s">
        <v>99</v>
      </c>
      <c r="G90" s="2" t="s">
        <v>73</v>
      </c>
      <c r="H90" s="2">
        <v>7300</v>
      </c>
      <c r="I90" s="50"/>
      <c r="K90" s="3"/>
      <c r="L90" s="2"/>
      <c r="M90" s="2"/>
      <c r="N90" s="2"/>
      <c r="O90" s="2"/>
      <c r="P90" s="2"/>
      <c r="Q90" s="2"/>
      <c r="R90" s="2"/>
    </row>
    <row r="91" spans="1:18" ht="16">
      <c r="A91" s="3">
        <v>90</v>
      </c>
      <c r="B91" s="2" t="s">
        <v>4</v>
      </c>
      <c r="C91" s="2" t="s">
        <v>33</v>
      </c>
      <c r="D91" s="2" t="s">
        <v>10</v>
      </c>
      <c r="E91" s="2">
        <v>3.2</v>
      </c>
      <c r="F91" s="2" t="s">
        <v>10</v>
      </c>
      <c r="G91" s="2" t="s">
        <v>92</v>
      </c>
      <c r="H91" s="2">
        <v>7300</v>
      </c>
      <c r="I91" s="50"/>
      <c r="K91" s="3"/>
      <c r="L91" s="2"/>
      <c r="M91" s="2"/>
      <c r="N91" s="2"/>
      <c r="O91" s="2"/>
      <c r="P91" s="2"/>
      <c r="Q91" s="2"/>
      <c r="R91" s="2"/>
    </row>
    <row r="92" spans="1:18" ht="16">
      <c r="A92" s="3">
        <v>91</v>
      </c>
      <c r="B92" s="2" t="s">
        <v>1</v>
      </c>
      <c r="C92" s="2" t="s">
        <v>33</v>
      </c>
      <c r="D92" s="2" t="s">
        <v>28</v>
      </c>
      <c r="E92" s="2">
        <v>1.5</v>
      </c>
      <c r="F92" s="2" t="s">
        <v>28</v>
      </c>
      <c r="G92" s="2" t="s">
        <v>73</v>
      </c>
      <c r="H92" s="2">
        <v>5700</v>
      </c>
      <c r="I92" s="50"/>
      <c r="K92" s="3"/>
      <c r="L92" s="2"/>
      <c r="M92" s="2"/>
      <c r="N92" s="2"/>
      <c r="O92" s="2"/>
      <c r="P92" s="2"/>
      <c r="Q92" s="2"/>
      <c r="R92" s="2"/>
    </row>
    <row r="93" spans="1:18" ht="16">
      <c r="A93" s="3">
        <v>92</v>
      </c>
      <c r="B93" s="2" t="s">
        <v>4</v>
      </c>
      <c r="C93" s="2" t="s">
        <v>33</v>
      </c>
      <c r="D93" s="2" t="s">
        <v>3</v>
      </c>
      <c r="E93" s="2">
        <v>1.5</v>
      </c>
      <c r="F93" s="2" t="s">
        <v>3</v>
      </c>
      <c r="G93" s="2" t="s">
        <v>76</v>
      </c>
      <c r="H93" s="2">
        <v>6400</v>
      </c>
      <c r="I93" s="50"/>
      <c r="K93" s="3"/>
      <c r="L93" s="2"/>
      <c r="M93" s="2"/>
      <c r="N93" s="2"/>
      <c r="O93" s="2"/>
      <c r="P93" s="2"/>
      <c r="Q93" s="2"/>
      <c r="R93" s="2"/>
    </row>
    <row r="94" spans="1:18" ht="16">
      <c r="A94" s="3">
        <v>93</v>
      </c>
      <c r="B94" s="2" t="s">
        <v>1</v>
      </c>
      <c r="C94" s="2" t="s">
        <v>33</v>
      </c>
      <c r="D94" s="2" t="s">
        <v>23</v>
      </c>
      <c r="E94" s="2">
        <v>3.7</v>
      </c>
      <c r="F94" s="2" t="s">
        <v>91</v>
      </c>
      <c r="G94" s="2" t="s">
        <v>76</v>
      </c>
      <c r="H94" s="2">
        <v>7000</v>
      </c>
      <c r="I94" s="50"/>
      <c r="K94" s="3"/>
      <c r="L94" s="2"/>
      <c r="M94" s="2"/>
      <c r="N94" s="2"/>
      <c r="O94" s="2"/>
      <c r="P94" s="2"/>
      <c r="Q94" s="2"/>
      <c r="R94" s="2"/>
    </row>
    <row r="95" spans="1:18" ht="16">
      <c r="A95" s="3">
        <v>94</v>
      </c>
      <c r="B95" s="2" t="s">
        <v>1</v>
      </c>
      <c r="C95" s="2" t="s">
        <v>33</v>
      </c>
      <c r="D95" s="2" t="s">
        <v>3</v>
      </c>
      <c r="E95" s="2">
        <v>2.8</v>
      </c>
      <c r="F95" s="2" t="s">
        <v>3</v>
      </c>
      <c r="G95" s="2" t="s">
        <v>100</v>
      </c>
      <c r="H95" s="2">
        <v>7100</v>
      </c>
      <c r="I95" s="50"/>
      <c r="K95" s="3"/>
      <c r="L95" s="2"/>
      <c r="M95" s="2"/>
      <c r="N95" s="2"/>
      <c r="O95" s="2"/>
      <c r="P95" s="2"/>
      <c r="Q95" s="2"/>
      <c r="R95" s="2"/>
    </row>
    <row r="96" spans="1:18" ht="16">
      <c r="A96" s="3">
        <v>95</v>
      </c>
      <c r="B96" s="2" t="s">
        <v>1</v>
      </c>
      <c r="C96" s="2" t="s">
        <v>33</v>
      </c>
      <c r="D96" s="2" t="s">
        <v>23</v>
      </c>
      <c r="E96" s="2">
        <v>2</v>
      </c>
      <c r="F96" s="2" t="s">
        <v>23</v>
      </c>
      <c r="G96" s="2" t="s">
        <v>79</v>
      </c>
      <c r="H96" s="2">
        <v>5800</v>
      </c>
      <c r="I96" s="50"/>
      <c r="K96" s="3"/>
      <c r="L96" s="2"/>
      <c r="M96" s="2"/>
      <c r="N96" s="2"/>
      <c r="O96" s="2"/>
      <c r="P96" s="2"/>
      <c r="Q96" s="2"/>
      <c r="R96" s="2"/>
    </row>
    <row r="97" spans="1:18" ht="16">
      <c r="A97" s="3">
        <v>96</v>
      </c>
      <c r="B97" s="2" t="s">
        <v>1</v>
      </c>
      <c r="C97" s="2" t="s">
        <v>33</v>
      </c>
      <c r="D97" s="2" t="s">
        <v>25</v>
      </c>
      <c r="E97" s="2">
        <v>2</v>
      </c>
      <c r="F97" s="2" t="s">
        <v>25</v>
      </c>
      <c r="G97" s="2" t="s">
        <v>93</v>
      </c>
      <c r="H97" s="2">
        <v>6300</v>
      </c>
      <c r="I97" s="50"/>
      <c r="K97" s="3"/>
      <c r="L97" s="2"/>
      <c r="M97" s="2"/>
      <c r="N97" s="2"/>
      <c r="O97" s="2"/>
      <c r="P97" s="2"/>
      <c r="Q97" s="2"/>
      <c r="R97" s="2"/>
    </row>
    <row r="98" spans="1:18" ht="16">
      <c r="A98" s="3">
        <v>97</v>
      </c>
      <c r="B98" s="2" t="s">
        <v>1</v>
      </c>
      <c r="C98" s="2" t="s">
        <v>33</v>
      </c>
      <c r="D98" s="2" t="s">
        <v>26</v>
      </c>
      <c r="E98" s="2">
        <v>3.7</v>
      </c>
      <c r="F98" s="2" t="s">
        <v>26</v>
      </c>
      <c r="G98" s="4" t="s">
        <v>79</v>
      </c>
      <c r="H98" s="2">
        <v>7900</v>
      </c>
      <c r="I98" s="50"/>
      <c r="K98" s="3"/>
      <c r="L98" s="2"/>
      <c r="M98" s="2"/>
      <c r="N98" s="2"/>
      <c r="O98" s="2"/>
      <c r="P98" s="2"/>
      <c r="Q98" s="2"/>
      <c r="R98" s="2"/>
    </row>
    <row r="99" spans="1:18" ht="16">
      <c r="A99" s="3">
        <v>98</v>
      </c>
      <c r="B99" s="2" t="s">
        <v>4</v>
      </c>
      <c r="C99" s="2" t="s">
        <v>33</v>
      </c>
      <c r="D99" s="2" t="s">
        <v>8</v>
      </c>
      <c r="E99" s="2">
        <v>1.8</v>
      </c>
      <c r="F99" s="2" t="s">
        <v>84</v>
      </c>
      <c r="G99" s="4" t="s">
        <v>79</v>
      </c>
      <c r="H99" s="2">
        <v>6000</v>
      </c>
      <c r="I99" s="50"/>
      <c r="K99" s="3"/>
      <c r="L99" s="2"/>
      <c r="M99" s="2"/>
      <c r="N99" s="2"/>
      <c r="O99" s="2"/>
      <c r="P99" s="2"/>
      <c r="Q99" s="2"/>
      <c r="R99" s="2"/>
    </row>
    <row r="100" spans="1:18" ht="16">
      <c r="A100" s="3">
        <v>99</v>
      </c>
      <c r="B100" s="2" t="s">
        <v>1</v>
      </c>
      <c r="C100" s="2" t="s">
        <v>33</v>
      </c>
      <c r="D100" s="2" t="s">
        <v>3</v>
      </c>
      <c r="E100" s="2">
        <v>3.5</v>
      </c>
      <c r="F100" s="2" t="s">
        <v>3</v>
      </c>
      <c r="G100" s="2" t="s">
        <v>101</v>
      </c>
      <c r="H100" s="2">
        <v>7200</v>
      </c>
      <c r="I100" s="50"/>
      <c r="K100" s="3"/>
      <c r="L100" s="2"/>
      <c r="M100" s="2"/>
      <c r="N100" s="2"/>
      <c r="O100" s="2"/>
      <c r="P100" s="2"/>
      <c r="Q100" s="2"/>
      <c r="R100" s="2"/>
    </row>
    <row r="101" spans="1:18" ht="16">
      <c r="A101" s="3">
        <v>100</v>
      </c>
      <c r="B101" s="2" t="s">
        <v>1</v>
      </c>
      <c r="C101" s="2" t="s">
        <v>33</v>
      </c>
      <c r="D101" s="2" t="s">
        <v>19</v>
      </c>
      <c r="E101" s="2">
        <v>2.2000000000000002</v>
      </c>
      <c r="F101" s="2" t="s">
        <v>19</v>
      </c>
      <c r="G101" s="2" t="s">
        <v>94</v>
      </c>
      <c r="H101" s="2">
        <v>6600</v>
      </c>
      <c r="I101" s="50"/>
      <c r="K101" s="3"/>
      <c r="L101" s="2"/>
      <c r="M101" s="2"/>
      <c r="N101" s="2"/>
      <c r="O101" s="2"/>
      <c r="P101" s="2"/>
      <c r="Q101" s="2"/>
      <c r="R101" s="2"/>
    </row>
    <row r="102" spans="1:18" ht="16">
      <c r="A102" s="3">
        <v>101</v>
      </c>
      <c r="B102" s="2" t="s">
        <v>1</v>
      </c>
      <c r="C102" s="2" t="s">
        <v>33</v>
      </c>
      <c r="D102" s="2" t="s">
        <v>6</v>
      </c>
      <c r="E102" s="2">
        <v>2.6</v>
      </c>
      <c r="F102" s="2" t="s">
        <v>6</v>
      </c>
      <c r="G102" s="2" t="s">
        <v>102</v>
      </c>
      <c r="H102" s="2">
        <v>6600</v>
      </c>
      <c r="I102" s="50"/>
      <c r="K102" s="3"/>
      <c r="L102" s="2"/>
      <c r="M102" s="2"/>
      <c r="N102" s="2"/>
      <c r="O102" s="2"/>
      <c r="P102" s="2"/>
      <c r="Q102" s="2"/>
      <c r="R102" s="2"/>
    </row>
    <row r="103" spans="1:18" ht="16">
      <c r="A103" s="3">
        <v>102</v>
      </c>
      <c r="B103" s="2" t="s">
        <v>1</v>
      </c>
      <c r="C103" s="2" t="s">
        <v>33</v>
      </c>
      <c r="D103" s="2" t="s">
        <v>10</v>
      </c>
      <c r="E103" s="2">
        <v>3.5</v>
      </c>
      <c r="F103" s="2" t="s">
        <v>75</v>
      </c>
      <c r="G103" s="2" t="s">
        <v>82</v>
      </c>
      <c r="H103" s="2">
        <v>7200</v>
      </c>
      <c r="I103" s="50"/>
      <c r="K103" s="3"/>
      <c r="L103" s="2"/>
      <c r="M103" s="2"/>
      <c r="N103" s="2"/>
      <c r="O103" s="2"/>
      <c r="P103" s="2"/>
      <c r="Q103" s="2"/>
      <c r="R103" s="2"/>
    </row>
    <row r="104" spans="1:18" ht="16">
      <c r="A104" s="3">
        <v>103</v>
      </c>
      <c r="B104" s="2" t="s">
        <v>4</v>
      </c>
      <c r="C104" s="2" t="s">
        <v>33</v>
      </c>
      <c r="D104" s="2" t="s">
        <v>3</v>
      </c>
      <c r="E104" s="2">
        <v>1.7</v>
      </c>
      <c r="F104" s="2" t="s">
        <v>3</v>
      </c>
      <c r="G104" s="4" t="s">
        <v>95</v>
      </c>
      <c r="H104" s="2">
        <v>6100</v>
      </c>
      <c r="I104" s="50"/>
      <c r="K104" s="3"/>
      <c r="L104" s="2"/>
      <c r="M104" s="2"/>
      <c r="N104" s="2"/>
      <c r="O104" s="2"/>
      <c r="P104" s="2"/>
      <c r="Q104" s="2"/>
      <c r="R104" s="2"/>
    </row>
    <row r="105" spans="1:18" ht="16">
      <c r="A105" s="3">
        <v>104</v>
      </c>
      <c r="B105" s="2" t="s">
        <v>1</v>
      </c>
      <c r="C105" s="2" t="s">
        <v>33</v>
      </c>
      <c r="D105" s="2" t="s">
        <v>13</v>
      </c>
      <c r="E105" s="2">
        <v>1.6</v>
      </c>
      <c r="F105" s="2" t="s">
        <v>13</v>
      </c>
      <c r="G105" s="4" t="s">
        <v>83</v>
      </c>
      <c r="H105" s="2">
        <v>5800</v>
      </c>
      <c r="I105" s="50"/>
      <c r="K105" s="3"/>
      <c r="L105" s="2"/>
      <c r="M105" s="2"/>
      <c r="N105" s="2"/>
      <c r="O105" s="2"/>
      <c r="P105" s="2"/>
      <c r="Q105" s="4"/>
      <c r="R105" s="2"/>
    </row>
    <row r="106" spans="1:18" ht="16">
      <c r="A106" s="3">
        <v>105</v>
      </c>
      <c r="B106" s="2" t="s">
        <v>1</v>
      </c>
      <c r="C106" s="2" t="s">
        <v>33</v>
      </c>
      <c r="D106" s="2" t="s">
        <v>26</v>
      </c>
      <c r="E106" s="2">
        <v>2.2999999999999998</v>
      </c>
      <c r="F106" s="2" t="s">
        <v>26</v>
      </c>
      <c r="G106" s="2" t="s">
        <v>95</v>
      </c>
      <c r="H106" s="2">
        <v>6300</v>
      </c>
      <c r="I106" s="50"/>
      <c r="K106" s="3"/>
      <c r="L106" s="2"/>
      <c r="M106" s="2"/>
      <c r="N106" s="2"/>
      <c r="O106" s="2"/>
      <c r="P106" s="2"/>
      <c r="Q106" s="4"/>
      <c r="R106" s="2"/>
    </row>
    <row r="107" spans="1:18" ht="16">
      <c r="A107" s="3">
        <v>106</v>
      </c>
      <c r="B107" s="2" t="s">
        <v>1</v>
      </c>
      <c r="C107" s="2" t="s">
        <v>33</v>
      </c>
      <c r="D107" s="2" t="s">
        <v>3</v>
      </c>
      <c r="E107" s="2">
        <v>2.1</v>
      </c>
      <c r="F107" s="2" t="s">
        <v>3</v>
      </c>
      <c r="G107" s="4" t="s">
        <v>95</v>
      </c>
      <c r="H107" s="2">
        <v>6000</v>
      </c>
      <c r="I107" s="50"/>
      <c r="K107" s="3"/>
      <c r="L107" s="2"/>
      <c r="M107" s="2"/>
      <c r="N107" s="2"/>
      <c r="O107" s="2"/>
      <c r="P107" s="2"/>
      <c r="Q107" s="2"/>
      <c r="R107" s="2"/>
    </row>
    <row r="108" spans="1:18" ht="16">
      <c r="A108" s="3">
        <v>107</v>
      </c>
      <c r="B108" s="2" t="s">
        <v>4</v>
      </c>
      <c r="C108" s="2" t="s">
        <v>33</v>
      </c>
      <c r="D108" s="2" t="s">
        <v>28</v>
      </c>
      <c r="E108" s="2">
        <v>1.5</v>
      </c>
      <c r="F108" s="2" t="s">
        <v>28</v>
      </c>
      <c r="G108" s="4" t="s">
        <v>83</v>
      </c>
      <c r="H108" s="2">
        <v>5300</v>
      </c>
      <c r="I108" s="50"/>
      <c r="K108" s="3"/>
      <c r="L108" s="2"/>
      <c r="M108" s="2"/>
      <c r="N108" s="2"/>
      <c r="O108" s="2"/>
      <c r="P108" s="2"/>
      <c r="Q108" s="2"/>
      <c r="R108" s="2"/>
    </row>
    <row r="109" spans="1:18" ht="16">
      <c r="A109" s="3">
        <v>108</v>
      </c>
      <c r="B109" s="2" t="s">
        <v>4</v>
      </c>
      <c r="C109" s="2" t="s">
        <v>33</v>
      </c>
      <c r="D109" s="2" t="s">
        <v>9</v>
      </c>
      <c r="E109" s="2">
        <v>3.5</v>
      </c>
      <c r="F109" s="2" t="s">
        <v>9</v>
      </c>
      <c r="G109" s="4" t="s">
        <v>95</v>
      </c>
      <c r="H109" s="2">
        <v>7600</v>
      </c>
      <c r="I109" s="50"/>
      <c r="K109" s="3"/>
      <c r="L109" s="2"/>
      <c r="M109" s="2"/>
      <c r="N109" s="2"/>
      <c r="O109" s="2"/>
      <c r="P109" s="2"/>
      <c r="Q109" s="2"/>
      <c r="R109" s="2"/>
    </row>
    <row r="110" spans="1:18" ht="16">
      <c r="A110" s="3">
        <v>109</v>
      </c>
      <c r="B110" s="2" t="s">
        <v>1</v>
      </c>
      <c r="C110" s="2" t="s">
        <v>33</v>
      </c>
      <c r="D110" s="2" t="s">
        <v>19</v>
      </c>
      <c r="E110" s="2">
        <v>1.5</v>
      </c>
      <c r="F110" s="2" t="s">
        <v>19</v>
      </c>
      <c r="G110" s="4" t="s">
        <v>95</v>
      </c>
      <c r="H110" s="2">
        <v>6500</v>
      </c>
      <c r="I110" s="50"/>
      <c r="K110" s="3"/>
      <c r="L110" s="2"/>
      <c r="M110" s="2"/>
      <c r="N110" s="2"/>
      <c r="O110" s="2"/>
      <c r="P110" s="2"/>
      <c r="Q110" s="2"/>
      <c r="R110" s="2"/>
    </row>
    <row r="111" spans="1:18" ht="16">
      <c r="A111" s="3">
        <v>110</v>
      </c>
      <c r="B111" s="2" t="s">
        <v>1</v>
      </c>
      <c r="C111" s="2" t="s">
        <v>33</v>
      </c>
      <c r="D111" s="2" t="s">
        <v>11</v>
      </c>
      <c r="E111" s="2">
        <v>3.3</v>
      </c>
      <c r="F111" s="2" t="s">
        <v>11</v>
      </c>
      <c r="G111" s="4" t="s">
        <v>95</v>
      </c>
      <c r="H111" s="2">
        <v>7200</v>
      </c>
      <c r="I111" s="50"/>
      <c r="K111" s="3"/>
      <c r="L111" s="2"/>
      <c r="M111" s="2"/>
      <c r="N111" s="2"/>
      <c r="O111" s="2"/>
      <c r="P111" s="2"/>
      <c r="Q111" s="4"/>
      <c r="R111" s="2"/>
    </row>
    <row r="112" spans="1:18" ht="16">
      <c r="A112" s="3">
        <v>111</v>
      </c>
      <c r="B112" s="2" t="s">
        <v>4</v>
      </c>
      <c r="C112" s="2" t="s">
        <v>34</v>
      </c>
      <c r="D112" s="2" t="s">
        <v>25</v>
      </c>
      <c r="E112" s="2">
        <v>3.7</v>
      </c>
      <c r="F112" s="2" t="s">
        <v>25</v>
      </c>
      <c r="G112" s="2" t="s">
        <v>98</v>
      </c>
      <c r="H112" s="2">
        <v>7200</v>
      </c>
      <c r="I112" s="50"/>
      <c r="K112" s="3"/>
      <c r="L112" s="2"/>
      <c r="M112" s="2"/>
      <c r="N112" s="2"/>
      <c r="O112" s="2"/>
      <c r="P112" s="2"/>
      <c r="Q112" s="4"/>
      <c r="R112" s="2"/>
    </row>
    <row r="113" spans="1:18" ht="16">
      <c r="A113" s="3">
        <v>112</v>
      </c>
      <c r="B113" s="2" t="s">
        <v>4</v>
      </c>
      <c r="C113" s="2" t="s">
        <v>34</v>
      </c>
      <c r="D113" s="2" t="s">
        <v>28</v>
      </c>
      <c r="E113" s="2">
        <v>3.1</v>
      </c>
      <c r="F113" s="2" t="s">
        <v>91</v>
      </c>
      <c r="G113" s="2" t="s">
        <v>87</v>
      </c>
      <c r="H113" s="2">
        <v>7100</v>
      </c>
      <c r="I113" s="50"/>
      <c r="K113" s="3"/>
      <c r="L113" s="2"/>
      <c r="M113" s="2"/>
      <c r="N113" s="2"/>
      <c r="O113" s="2"/>
      <c r="P113" s="2"/>
      <c r="Q113" s="2"/>
      <c r="R113" s="2"/>
    </row>
    <row r="114" spans="1:18" ht="16">
      <c r="A114" s="3">
        <v>113</v>
      </c>
      <c r="B114" s="2" t="s">
        <v>4</v>
      </c>
      <c r="C114" s="2" t="s">
        <v>34</v>
      </c>
      <c r="D114" s="2" t="s">
        <v>21</v>
      </c>
      <c r="E114" s="2">
        <v>2.5</v>
      </c>
      <c r="F114" s="2" t="s">
        <v>21</v>
      </c>
      <c r="G114" s="2" t="s">
        <v>89</v>
      </c>
      <c r="H114" s="2">
        <v>5900</v>
      </c>
      <c r="I114" s="50"/>
      <c r="K114" s="3"/>
      <c r="L114" s="2"/>
      <c r="M114" s="2"/>
      <c r="N114" s="2"/>
      <c r="O114" s="2"/>
      <c r="P114" s="2"/>
      <c r="Q114" s="4"/>
      <c r="R114" s="2"/>
    </row>
    <row r="115" spans="1:18" ht="16">
      <c r="A115" s="3">
        <v>114</v>
      </c>
      <c r="B115" s="2" t="s">
        <v>4</v>
      </c>
      <c r="C115" s="2" t="s">
        <v>34</v>
      </c>
      <c r="D115" s="2" t="s">
        <v>19</v>
      </c>
      <c r="E115" s="2">
        <v>2.2000000000000002</v>
      </c>
      <c r="F115" s="2" t="s">
        <v>88</v>
      </c>
      <c r="G115" s="2" t="s">
        <v>89</v>
      </c>
      <c r="H115" s="2">
        <v>6200</v>
      </c>
      <c r="I115" s="50"/>
      <c r="K115" s="3"/>
      <c r="L115" s="2"/>
      <c r="M115" s="2"/>
      <c r="N115" s="2"/>
      <c r="O115" s="2"/>
      <c r="P115" s="2"/>
      <c r="Q115" s="4"/>
      <c r="R115" s="2"/>
    </row>
    <row r="116" spans="1:18" ht="16">
      <c r="A116" s="3">
        <v>115</v>
      </c>
      <c r="B116" s="2" t="s">
        <v>1</v>
      </c>
      <c r="C116" s="2" t="s">
        <v>34</v>
      </c>
      <c r="D116" s="2" t="s">
        <v>3</v>
      </c>
      <c r="E116" s="2">
        <v>1.5</v>
      </c>
      <c r="F116" s="2" t="s">
        <v>3</v>
      </c>
      <c r="G116" s="2" t="s">
        <v>89</v>
      </c>
      <c r="H116" s="2">
        <v>6400</v>
      </c>
      <c r="I116" s="50"/>
      <c r="K116" s="3"/>
      <c r="L116" s="2"/>
      <c r="M116" s="2"/>
      <c r="N116" s="2"/>
      <c r="O116" s="2"/>
      <c r="P116" s="2"/>
      <c r="Q116" s="4"/>
      <c r="R116" s="2"/>
    </row>
    <row r="117" spans="1:18" ht="16">
      <c r="A117" s="3">
        <v>116</v>
      </c>
      <c r="B117" s="2" t="s">
        <v>4</v>
      </c>
      <c r="C117" s="2" t="s">
        <v>34</v>
      </c>
      <c r="D117" s="2" t="s">
        <v>20</v>
      </c>
      <c r="E117" s="2">
        <v>1.5</v>
      </c>
      <c r="F117" s="2" t="s">
        <v>84</v>
      </c>
      <c r="G117" s="2" t="s">
        <v>90</v>
      </c>
      <c r="H117" s="2">
        <v>6500</v>
      </c>
      <c r="I117" s="50"/>
      <c r="K117" s="3"/>
      <c r="L117" s="2"/>
      <c r="M117" s="2"/>
      <c r="N117" s="2"/>
      <c r="O117" s="2"/>
      <c r="P117" s="2"/>
      <c r="Q117" s="4"/>
      <c r="R117" s="2"/>
    </row>
    <row r="118" spans="1:18" ht="16">
      <c r="A118" s="3">
        <v>117</v>
      </c>
      <c r="B118" s="2" t="s">
        <v>1</v>
      </c>
      <c r="C118" s="2" t="s">
        <v>34</v>
      </c>
      <c r="D118" s="2" t="s">
        <v>20</v>
      </c>
      <c r="E118" s="2">
        <v>3.7</v>
      </c>
      <c r="F118" s="2" t="s">
        <v>103</v>
      </c>
      <c r="G118" s="2" t="s">
        <v>90</v>
      </c>
      <c r="H118" s="2">
        <v>7400</v>
      </c>
      <c r="I118" s="50"/>
      <c r="K118" s="3"/>
      <c r="L118" s="2"/>
      <c r="M118" s="2"/>
      <c r="N118" s="2"/>
      <c r="O118" s="2"/>
      <c r="P118" s="2"/>
      <c r="Q118" s="4"/>
      <c r="R118" s="2"/>
    </row>
    <row r="119" spans="1:18" ht="16">
      <c r="A119" s="3">
        <v>118</v>
      </c>
      <c r="B119" s="2" t="s">
        <v>4</v>
      </c>
      <c r="C119" s="2" t="s">
        <v>34</v>
      </c>
      <c r="D119" s="2" t="s">
        <v>24</v>
      </c>
      <c r="E119" s="2">
        <v>2.2000000000000002</v>
      </c>
      <c r="F119" s="2" t="s">
        <v>24</v>
      </c>
      <c r="G119" s="2" t="s">
        <v>73</v>
      </c>
      <c r="H119" s="2">
        <v>6400</v>
      </c>
      <c r="I119" s="50"/>
      <c r="K119" s="3"/>
      <c r="L119" s="2"/>
      <c r="M119" s="2"/>
      <c r="N119" s="2"/>
      <c r="O119" s="2"/>
      <c r="P119" s="2"/>
      <c r="Q119" s="2"/>
      <c r="R119" s="2"/>
    </row>
    <row r="120" spans="1:18" ht="16">
      <c r="A120" s="3">
        <v>119</v>
      </c>
      <c r="B120" s="2" t="s">
        <v>4</v>
      </c>
      <c r="C120" s="2" t="s">
        <v>34</v>
      </c>
      <c r="D120" s="2" t="s">
        <v>23</v>
      </c>
      <c r="E120" s="2">
        <v>1.5</v>
      </c>
      <c r="F120" s="2" t="s">
        <v>23</v>
      </c>
      <c r="G120" s="2" t="s">
        <v>92</v>
      </c>
      <c r="H120" s="2">
        <v>6100</v>
      </c>
      <c r="I120" s="50"/>
      <c r="K120" s="3"/>
      <c r="L120" s="2"/>
      <c r="M120" s="2"/>
      <c r="N120" s="2"/>
      <c r="O120" s="2"/>
      <c r="P120" s="2"/>
      <c r="Q120" s="2"/>
      <c r="R120" s="2"/>
    </row>
    <row r="121" spans="1:18" ht="16">
      <c r="A121" s="3">
        <v>120</v>
      </c>
      <c r="B121" s="2" t="s">
        <v>1</v>
      </c>
      <c r="C121" s="2" t="s">
        <v>34</v>
      </c>
      <c r="D121" s="2" t="s">
        <v>11</v>
      </c>
      <c r="E121" s="2">
        <v>2.1</v>
      </c>
      <c r="F121" s="2" t="s">
        <v>88</v>
      </c>
      <c r="G121" s="2" t="s">
        <v>73</v>
      </c>
      <c r="H121" s="2">
        <v>6300</v>
      </c>
      <c r="I121" s="50"/>
      <c r="K121" s="3"/>
      <c r="L121" s="2"/>
      <c r="M121" s="2"/>
      <c r="N121" s="2"/>
      <c r="O121" s="2"/>
      <c r="P121" s="2"/>
      <c r="Q121" s="2"/>
      <c r="R121" s="2"/>
    </row>
    <row r="122" spans="1:18" ht="16">
      <c r="A122" s="3">
        <v>121</v>
      </c>
      <c r="B122" s="2" t="s">
        <v>4</v>
      </c>
      <c r="C122" s="2" t="s">
        <v>34</v>
      </c>
      <c r="D122" s="2" t="s">
        <v>28</v>
      </c>
      <c r="E122" s="2">
        <v>3.4</v>
      </c>
      <c r="F122" s="2" t="s">
        <v>28</v>
      </c>
      <c r="G122" s="2" t="s">
        <v>73</v>
      </c>
      <c r="H122" s="2">
        <v>7300</v>
      </c>
      <c r="I122" s="50"/>
      <c r="K122" s="3"/>
      <c r="L122" s="2"/>
      <c r="M122" s="2"/>
      <c r="N122" s="2"/>
      <c r="O122" s="2"/>
      <c r="P122" s="2"/>
      <c r="Q122" s="2"/>
      <c r="R122" s="2"/>
    </row>
    <row r="123" spans="1:18" ht="16">
      <c r="A123" s="3">
        <v>122</v>
      </c>
      <c r="B123" s="2" t="s">
        <v>4</v>
      </c>
      <c r="C123" s="2" t="s">
        <v>34</v>
      </c>
      <c r="D123" s="2" t="s">
        <v>3</v>
      </c>
      <c r="E123" s="2">
        <v>2</v>
      </c>
      <c r="F123" s="2" t="s">
        <v>3</v>
      </c>
      <c r="G123" s="2" t="s">
        <v>92</v>
      </c>
      <c r="H123" s="2">
        <v>9200</v>
      </c>
      <c r="I123" s="50"/>
      <c r="K123" s="3"/>
      <c r="L123" s="2"/>
      <c r="M123" s="2"/>
      <c r="N123" s="2"/>
      <c r="O123" s="2"/>
      <c r="P123" s="2"/>
      <c r="Q123" s="2"/>
      <c r="R123" s="2"/>
    </row>
    <row r="124" spans="1:18" ht="16">
      <c r="A124" s="3">
        <v>123</v>
      </c>
      <c r="B124" s="2" t="s">
        <v>1</v>
      </c>
      <c r="C124" s="2" t="s">
        <v>34</v>
      </c>
      <c r="D124" s="2" t="s">
        <v>3</v>
      </c>
      <c r="E124" s="2">
        <v>3.2</v>
      </c>
      <c r="F124" s="2" t="s">
        <v>3</v>
      </c>
      <c r="G124" s="2" t="s">
        <v>73</v>
      </c>
      <c r="H124" s="2">
        <v>7400</v>
      </c>
      <c r="I124" s="50"/>
      <c r="K124" s="3"/>
      <c r="L124" s="2"/>
      <c r="M124" s="2"/>
      <c r="N124" s="2"/>
      <c r="O124" s="2"/>
      <c r="P124" s="2"/>
      <c r="Q124" s="2"/>
      <c r="R124" s="2"/>
    </row>
    <row r="125" spans="1:18" ht="16">
      <c r="A125" s="3">
        <v>124</v>
      </c>
      <c r="B125" s="2" t="s">
        <v>4</v>
      </c>
      <c r="C125" s="2" t="s">
        <v>34</v>
      </c>
      <c r="D125" s="2" t="s">
        <v>27</v>
      </c>
      <c r="E125" s="2">
        <v>1.6</v>
      </c>
      <c r="F125" s="2" t="s">
        <v>88</v>
      </c>
      <c r="G125" s="2" t="s">
        <v>73</v>
      </c>
      <c r="H125" s="2">
        <v>6300</v>
      </c>
      <c r="I125" s="50"/>
      <c r="K125" s="3"/>
      <c r="L125" s="2"/>
      <c r="M125" s="2"/>
      <c r="N125" s="2"/>
      <c r="O125" s="2"/>
      <c r="P125" s="2"/>
      <c r="Q125" s="2"/>
      <c r="R125" s="2"/>
    </row>
    <row r="126" spans="1:18" ht="16">
      <c r="A126" s="3">
        <v>125</v>
      </c>
      <c r="B126" s="2" t="s">
        <v>1</v>
      </c>
      <c r="C126" s="2" t="s">
        <v>34</v>
      </c>
      <c r="D126" s="2" t="s">
        <v>3</v>
      </c>
      <c r="E126" s="2">
        <v>1.5</v>
      </c>
      <c r="F126" s="2" t="s">
        <v>3</v>
      </c>
      <c r="G126" s="2" t="s">
        <v>100</v>
      </c>
      <c r="H126" s="2">
        <v>8800</v>
      </c>
      <c r="I126" s="50"/>
      <c r="K126" s="3"/>
      <c r="L126" s="2"/>
      <c r="M126" s="2"/>
      <c r="N126" s="2"/>
      <c r="O126" s="2"/>
      <c r="P126" s="2"/>
      <c r="Q126" s="2"/>
      <c r="R126" s="2"/>
    </row>
    <row r="127" spans="1:18" ht="16">
      <c r="A127" s="3">
        <v>126</v>
      </c>
      <c r="B127" s="2" t="s">
        <v>4</v>
      </c>
      <c r="C127" s="2" t="s">
        <v>34</v>
      </c>
      <c r="D127" s="2" t="s">
        <v>26</v>
      </c>
      <c r="E127" s="2">
        <v>1.5</v>
      </c>
      <c r="F127" s="2" t="s">
        <v>26</v>
      </c>
      <c r="G127" s="2" t="s">
        <v>76</v>
      </c>
      <c r="H127" s="2">
        <v>6400</v>
      </c>
      <c r="I127" s="50"/>
      <c r="K127" s="3"/>
      <c r="L127" s="2"/>
      <c r="M127" s="2"/>
      <c r="N127" s="2"/>
      <c r="O127" s="2"/>
      <c r="P127" s="2"/>
      <c r="Q127" s="2"/>
      <c r="R127" s="2"/>
    </row>
    <row r="128" spans="1:18" ht="16">
      <c r="A128" s="3">
        <v>127</v>
      </c>
      <c r="B128" s="2" t="s">
        <v>4</v>
      </c>
      <c r="C128" s="2" t="s">
        <v>34</v>
      </c>
      <c r="D128" s="2" t="s">
        <v>26</v>
      </c>
      <c r="E128" s="2">
        <v>2.4</v>
      </c>
      <c r="F128" s="2" t="s">
        <v>26</v>
      </c>
      <c r="G128" s="2" t="s">
        <v>76</v>
      </c>
      <c r="H128" s="2">
        <v>6800</v>
      </c>
      <c r="I128" s="50"/>
      <c r="K128" s="3"/>
      <c r="L128" s="2"/>
      <c r="M128" s="2"/>
      <c r="N128" s="2"/>
      <c r="O128" s="2"/>
      <c r="P128" s="2"/>
      <c r="Q128" s="2"/>
      <c r="R128" s="2"/>
    </row>
    <row r="129" spans="1:18" ht="16">
      <c r="A129" s="3">
        <v>128</v>
      </c>
      <c r="B129" s="2" t="s">
        <v>1</v>
      </c>
      <c r="C129" s="2" t="s">
        <v>34</v>
      </c>
      <c r="D129" s="2" t="s">
        <v>14</v>
      </c>
      <c r="E129" s="2">
        <v>3.7</v>
      </c>
      <c r="F129" s="2" t="s">
        <v>88</v>
      </c>
      <c r="G129" s="2" t="s">
        <v>100</v>
      </c>
      <c r="H129" s="2">
        <v>7700</v>
      </c>
      <c r="I129" s="50"/>
      <c r="K129" s="3"/>
      <c r="L129" s="2"/>
      <c r="M129" s="2"/>
      <c r="N129" s="2"/>
      <c r="O129" s="2"/>
      <c r="P129" s="2"/>
      <c r="Q129" s="2"/>
      <c r="R129" s="2"/>
    </row>
    <row r="130" spans="1:18" ht="16">
      <c r="A130" s="3">
        <v>129</v>
      </c>
      <c r="B130" s="2" t="s">
        <v>4</v>
      </c>
      <c r="C130" s="2" t="s">
        <v>34</v>
      </c>
      <c r="D130" s="2" t="s">
        <v>3</v>
      </c>
      <c r="E130" s="2">
        <v>3.7</v>
      </c>
      <c r="F130" s="2" t="s">
        <v>3</v>
      </c>
      <c r="G130" s="2" t="s">
        <v>100</v>
      </c>
      <c r="H130" s="2">
        <v>7700</v>
      </c>
      <c r="I130" s="50"/>
      <c r="K130" s="3"/>
      <c r="L130" s="2"/>
      <c r="M130" s="2"/>
      <c r="N130" s="2"/>
      <c r="O130" s="2"/>
      <c r="P130" s="2"/>
      <c r="Q130" s="2"/>
      <c r="R130" s="2"/>
    </row>
    <row r="131" spans="1:18" ht="16">
      <c r="A131" s="3">
        <v>130</v>
      </c>
      <c r="B131" s="2" t="s">
        <v>4</v>
      </c>
      <c r="C131" s="2" t="s">
        <v>34</v>
      </c>
      <c r="D131" s="2" t="s">
        <v>12</v>
      </c>
      <c r="E131" s="2">
        <v>3.7</v>
      </c>
      <c r="F131" s="2" t="s">
        <v>12</v>
      </c>
      <c r="G131" s="2" t="s">
        <v>76</v>
      </c>
      <c r="H131" s="2">
        <v>8000</v>
      </c>
      <c r="I131" s="50"/>
      <c r="K131" s="3"/>
      <c r="L131" s="2"/>
      <c r="M131" s="2"/>
      <c r="N131" s="2"/>
      <c r="O131" s="2"/>
      <c r="P131" s="2"/>
      <c r="Q131" s="2"/>
      <c r="R131" s="2"/>
    </row>
    <row r="132" spans="1:18" ht="16">
      <c r="A132" s="3">
        <v>131</v>
      </c>
      <c r="B132" s="2" t="s">
        <v>4</v>
      </c>
      <c r="C132" s="2" t="s">
        <v>34</v>
      </c>
      <c r="D132" s="2" t="s">
        <v>15</v>
      </c>
      <c r="E132" s="2">
        <v>3.4</v>
      </c>
      <c r="F132" s="2" t="s">
        <v>15</v>
      </c>
      <c r="G132" s="2" t="s">
        <v>76</v>
      </c>
      <c r="H132" s="2">
        <v>7300</v>
      </c>
      <c r="I132" s="50"/>
      <c r="K132" s="3"/>
      <c r="L132" s="2"/>
      <c r="M132" s="2"/>
      <c r="N132" s="2"/>
      <c r="O132" s="2"/>
      <c r="P132" s="2"/>
      <c r="Q132" s="2"/>
      <c r="R132" s="2"/>
    </row>
    <row r="133" spans="1:18" ht="16">
      <c r="A133" s="3">
        <v>132</v>
      </c>
      <c r="B133" s="2" t="s">
        <v>1</v>
      </c>
      <c r="C133" s="2" t="s">
        <v>34</v>
      </c>
      <c r="D133" s="2" t="s">
        <v>12</v>
      </c>
      <c r="E133" s="2">
        <v>2.4</v>
      </c>
      <c r="F133" s="2" t="s">
        <v>12</v>
      </c>
      <c r="G133" s="2" t="s">
        <v>100</v>
      </c>
      <c r="H133" s="2">
        <v>7000</v>
      </c>
      <c r="I133" s="50"/>
      <c r="K133" s="3"/>
      <c r="L133" s="2"/>
      <c r="M133" s="2"/>
      <c r="N133" s="2"/>
      <c r="O133" s="2"/>
      <c r="P133" s="2"/>
      <c r="Q133" s="2"/>
      <c r="R133" s="2"/>
    </row>
    <row r="134" spans="1:18" ht="16">
      <c r="A134" s="3">
        <v>133</v>
      </c>
      <c r="B134" s="2" t="s">
        <v>4</v>
      </c>
      <c r="C134" s="2" t="s">
        <v>34</v>
      </c>
      <c r="D134" s="2" t="s">
        <v>17</v>
      </c>
      <c r="E134" s="2">
        <v>2.9</v>
      </c>
      <c r="F134" s="2" t="s">
        <v>99</v>
      </c>
      <c r="G134" s="2" t="s">
        <v>76</v>
      </c>
      <c r="H134" s="2">
        <v>6500</v>
      </c>
      <c r="I134" s="50"/>
      <c r="K134" s="3"/>
      <c r="L134" s="2"/>
      <c r="M134" s="2"/>
      <c r="N134" s="2"/>
      <c r="O134" s="2"/>
      <c r="P134" s="2"/>
      <c r="Q134" s="2"/>
      <c r="R134" s="2"/>
    </row>
    <row r="135" spans="1:18" ht="16">
      <c r="A135" s="3">
        <v>134</v>
      </c>
      <c r="B135" s="2" t="s">
        <v>4</v>
      </c>
      <c r="C135" s="2" t="s">
        <v>34</v>
      </c>
      <c r="D135" s="2" t="s">
        <v>3</v>
      </c>
      <c r="E135" s="2">
        <v>3.7</v>
      </c>
      <c r="F135" s="2" t="s">
        <v>3</v>
      </c>
      <c r="G135" s="2" t="s">
        <v>76</v>
      </c>
      <c r="H135" s="2">
        <v>7300</v>
      </c>
      <c r="I135" s="50"/>
      <c r="K135" s="3"/>
      <c r="L135" s="2"/>
      <c r="M135" s="2"/>
      <c r="N135" s="2"/>
      <c r="O135" s="2"/>
      <c r="P135" s="2"/>
      <c r="Q135" s="2"/>
      <c r="R135" s="2"/>
    </row>
    <row r="136" spans="1:18" ht="16">
      <c r="A136" s="3">
        <v>135</v>
      </c>
      <c r="B136" s="2" t="s">
        <v>4</v>
      </c>
      <c r="C136" s="2" t="s">
        <v>34</v>
      </c>
      <c r="D136" s="2" t="s">
        <v>8</v>
      </c>
      <c r="E136" s="2">
        <v>3.1</v>
      </c>
      <c r="F136" s="2" t="s">
        <v>8</v>
      </c>
      <c r="G136" s="2" t="s">
        <v>76</v>
      </c>
      <c r="H136" s="2">
        <v>6600</v>
      </c>
      <c r="I136" s="50"/>
      <c r="K136" s="3"/>
      <c r="L136" s="2"/>
      <c r="M136" s="2"/>
      <c r="N136" s="2"/>
      <c r="O136" s="2"/>
      <c r="P136" s="2"/>
      <c r="Q136" s="2"/>
      <c r="R136" s="2"/>
    </row>
    <row r="137" spans="1:18" ht="16">
      <c r="A137" s="3">
        <v>136</v>
      </c>
      <c r="B137" s="2" t="s">
        <v>1</v>
      </c>
      <c r="C137" s="2" t="s">
        <v>34</v>
      </c>
      <c r="D137" s="2" t="s">
        <v>3</v>
      </c>
      <c r="E137" s="2">
        <v>3.7</v>
      </c>
      <c r="F137" s="2" t="s">
        <v>3</v>
      </c>
      <c r="G137" s="2" t="s">
        <v>100</v>
      </c>
      <c r="H137" s="2">
        <v>7700</v>
      </c>
      <c r="I137" s="50"/>
      <c r="K137" s="3"/>
      <c r="L137" s="2"/>
      <c r="M137" s="2"/>
      <c r="N137" s="2"/>
      <c r="O137" s="2"/>
      <c r="P137" s="2"/>
      <c r="Q137" s="2"/>
      <c r="R137" s="2"/>
    </row>
    <row r="138" spans="1:18" ht="16">
      <c r="A138" s="3">
        <v>137</v>
      </c>
      <c r="B138" s="2" t="s">
        <v>4</v>
      </c>
      <c r="C138" s="2" t="s">
        <v>34</v>
      </c>
      <c r="D138" s="2" t="s">
        <v>28</v>
      </c>
      <c r="E138" s="2">
        <v>3.4</v>
      </c>
      <c r="F138" s="2" t="s">
        <v>88</v>
      </c>
      <c r="G138" s="2" t="s">
        <v>76</v>
      </c>
      <c r="H138" s="2">
        <v>7100</v>
      </c>
      <c r="I138" s="50"/>
      <c r="K138" s="3"/>
      <c r="L138" s="2"/>
      <c r="M138" s="2"/>
      <c r="N138" s="2"/>
      <c r="O138" s="2"/>
      <c r="P138" s="2"/>
      <c r="Q138" s="2"/>
      <c r="R138" s="2"/>
    </row>
    <row r="139" spans="1:18" ht="16">
      <c r="A139" s="3">
        <v>138</v>
      </c>
      <c r="B139" s="2" t="s">
        <v>1</v>
      </c>
      <c r="C139" s="2" t="s">
        <v>34</v>
      </c>
      <c r="D139" s="2" t="s">
        <v>15</v>
      </c>
      <c r="E139" s="2">
        <v>3.4</v>
      </c>
      <c r="F139" s="2" t="s">
        <v>15</v>
      </c>
      <c r="G139" s="2" t="s">
        <v>100</v>
      </c>
      <c r="H139" s="2">
        <v>7700</v>
      </c>
      <c r="I139" s="50"/>
      <c r="K139" s="3"/>
      <c r="L139" s="2"/>
      <c r="M139" s="2"/>
      <c r="N139" s="2"/>
      <c r="O139" s="2"/>
      <c r="P139" s="2"/>
      <c r="Q139" s="2"/>
      <c r="R139" s="2"/>
    </row>
    <row r="140" spans="1:18" ht="16">
      <c r="A140" s="3">
        <v>139</v>
      </c>
      <c r="B140" s="2" t="s">
        <v>1</v>
      </c>
      <c r="C140" s="2" t="s">
        <v>34</v>
      </c>
      <c r="D140" s="2" t="s">
        <v>19</v>
      </c>
      <c r="E140" s="2">
        <v>2.4</v>
      </c>
      <c r="F140" s="2" t="s">
        <v>19</v>
      </c>
      <c r="G140" s="2" t="s">
        <v>76</v>
      </c>
      <c r="H140" s="2">
        <v>6700</v>
      </c>
      <c r="I140" s="50"/>
      <c r="K140" s="3"/>
      <c r="L140" s="2"/>
      <c r="M140" s="2"/>
      <c r="N140" s="2"/>
      <c r="O140" s="2"/>
      <c r="P140" s="2"/>
      <c r="Q140" s="2"/>
      <c r="R140" s="2"/>
    </row>
    <row r="141" spans="1:18" ht="16">
      <c r="A141" s="3">
        <v>140</v>
      </c>
      <c r="B141" s="2" t="s">
        <v>1</v>
      </c>
      <c r="C141" s="2" t="s">
        <v>34</v>
      </c>
      <c r="D141" s="2" t="s">
        <v>13</v>
      </c>
      <c r="E141" s="2">
        <v>3.4</v>
      </c>
      <c r="F141" s="2" t="s">
        <v>13</v>
      </c>
      <c r="G141" s="2" t="s">
        <v>76</v>
      </c>
      <c r="H141" s="2">
        <v>7300</v>
      </c>
      <c r="I141" s="50"/>
      <c r="K141" s="3"/>
      <c r="L141" s="2"/>
      <c r="M141" s="2"/>
      <c r="N141" s="2"/>
      <c r="O141" s="2"/>
      <c r="P141" s="2"/>
      <c r="Q141" s="2"/>
      <c r="R141" s="2"/>
    </row>
    <row r="142" spans="1:18" ht="16">
      <c r="A142" s="3">
        <v>141</v>
      </c>
      <c r="B142" s="2" t="s">
        <v>4</v>
      </c>
      <c r="C142" s="2" t="s">
        <v>34</v>
      </c>
      <c r="D142" s="2" t="s">
        <v>21</v>
      </c>
      <c r="E142" s="2">
        <v>3.1</v>
      </c>
      <c r="F142" s="2" t="s">
        <v>91</v>
      </c>
      <c r="G142" s="2" t="s">
        <v>100</v>
      </c>
      <c r="H142" s="2">
        <v>9000</v>
      </c>
      <c r="I142" s="50"/>
      <c r="K142" s="3"/>
      <c r="L142" s="2"/>
      <c r="M142" s="2"/>
      <c r="N142" s="2"/>
      <c r="O142" s="2"/>
      <c r="P142" s="2"/>
      <c r="Q142" s="2"/>
      <c r="R142" s="2"/>
    </row>
    <row r="143" spans="1:18" ht="16">
      <c r="A143" s="3">
        <v>142</v>
      </c>
      <c r="B143" s="2" t="s">
        <v>4</v>
      </c>
      <c r="C143" s="2" t="s">
        <v>34</v>
      </c>
      <c r="D143" s="2" t="s">
        <v>20</v>
      </c>
      <c r="E143" s="2">
        <v>2.5</v>
      </c>
      <c r="F143" s="2" t="s">
        <v>103</v>
      </c>
      <c r="G143" s="2" t="s">
        <v>76</v>
      </c>
      <c r="H143" s="2">
        <v>7300</v>
      </c>
      <c r="I143" s="50"/>
      <c r="K143" s="3"/>
      <c r="L143" s="2"/>
      <c r="M143" s="2"/>
      <c r="N143" s="2"/>
      <c r="O143" s="2"/>
      <c r="P143" s="2"/>
      <c r="Q143" s="2"/>
      <c r="R143" s="2"/>
    </row>
    <row r="144" spans="1:18" ht="16">
      <c r="A144" s="3">
        <v>143</v>
      </c>
      <c r="B144" s="2" t="s">
        <v>4</v>
      </c>
      <c r="C144" s="2" t="s">
        <v>34</v>
      </c>
      <c r="D144" s="2" t="s">
        <v>20</v>
      </c>
      <c r="E144" s="2">
        <v>2.8</v>
      </c>
      <c r="F144" s="2" t="s">
        <v>88</v>
      </c>
      <c r="G144" s="2" t="s">
        <v>76</v>
      </c>
      <c r="H144" s="2">
        <v>7100</v>
      </c>
      <c r="I144" s="50"/>
      <c r="K144" s="3"/>
      <c r="L144" s="2"/>
      <c r="M144" s="2"/>
      <c r="N144" s="2"/>
      <c r="O144" s="2"/>
      <c r="P144" s="2"/>
      <c r="Q144" s="2"/>
      <c r="R144" s="2"/>
    </row>
    <row r="145" spans="1:18" ht="16">
      <c r="A145" s="3">
        <v>144</v>
      </c>
      <c r="B145" s="2" t="s">
        <v>1</v>
      </c>
      <c r="C145" s="2" t="s">
        <v>34</v>
      </c>
      <c r="D145" s="2" t="s">
        <v>17</v>
      </c>
      <c r="E145" s="2">
        <v>3.3</v>
      </c>
      <c r="F145" s="2" t="s">
        <v>104</v>
      </c>
      <c r="G145" s="2" t="s">
        <v>79</v>
      </c>
      <c r="H145" s="2">
        <v>7400</v>
      </c>
      <c r="I145" s="50"/>
      <c r="K145" s="3"/>
      <c r="L145" s="2"/>
      <c r="M145" s="2"/>
      <c r="N145" s="2"/>
      <c r="O145" s="2"/>
      <c r="P145" s="2"/>
      <c r="Q145" s="2"/>
      <c r="R145" s="2"/>
    </row>
    <row r="146" spans="1:18" ht="16">
      <c r="A146" s="3">
        <v>145</v>
      </c>
      <c r="B146" s="2" t="s">
        <v>4</v>
      </c>
      <c r="C146" s="2" t="s">
        <v>34</v>
      </c>
      <c r="D146" s="2" t="s">
        <v>3</v>
      </c>
      <c r="E146" s="2">
        <v>1.8</v>
      </c>
      <c r="F146" s="2" t="s">
        <v>96</v>
      </c>
      <c r="G146" s="2" t="s">
        <v>79</v>
      </c>
      <c r="H146" s="2">
        <v>9000</v>
      </c>
      <c r="I146" s="50"/>
      <c r="K146" s="3"/>
      <c r="L146" s="2"/>
      <c r="M146" s="2"/>
      <c r="N146" s="2"/>
      <c r="O146" s="2"/>
      <c r="P146" s="2"/>
      <c r="Q146" s="2"/>
      <c r="R146" s="2"/>
    </row>
    <row r="147" spans="1:18" ht="16">
      <c r="A147" s="3">
        <v>146</v>
      </c>
      <c r="B147" s="2" t="s">
        <v>4</v>
      </c>
      <c r="C147" s="2" t="s">
        <v>34</v>
      </c>
      <c r="D147" s="2" t="s">
        <v>24</v>
      </c>
      <c r="E147" s="2">
        <v>3.4</v>
      </c>
      <c r="F147" s="2" t="s">
        <v>24</v>
      </c>
      <c r="G147" s="2" t="s">
        <v>93</v>
      </c>
      <c r="H147" s="2">
        <v>7500</v>
      </c>
      <c r="I147" s="50"/>
      <c r="K147" s="3"/>
      <c r="L147" s="2"/>
      <c r="M147" s="2"/>
      <c r="N147" s="2"/>
      <c r="O147" s="2"/>
      <c r="P147" s="2"/>
      <c r="Q147" s="2"/>
      <c r="R147" s="2"/>
    </row>
    <row r="148" spans="1:18" ht="16">
      <c r="A148" s="3">
        <v>147</v>
      </c>
      <c r="B148" s="2" t="s">
        <v>4</v>
      </c>
      <c r="C148" s="2" t="s">
        <v>34</v>
      </c>
      <c r="D148" s="2" t="s">
        <v>24</v>
      </c>
      <c r="E148" s="2">
        <v>2.7</v>
      </c>
      <c r="F148" s="2" t="s">
        <v>24</v>
      </c>
      <c r="G148" s="2" t="s">
        <v>101</v>
      </c>
      <c r="H148" s="2">
        <v>7200</v>
      </c>
      <c r="I148" s="50"/>
      <c r="K148" s="3"/>
      <c r="L148" s="2"/>
      <c r="M148" s="2"/>
      <c r="N148" s="2"/>
      <c r="O148" s="2"/>
      <c r="P148" s="2"/>
      <c r="Q148" s="2"/>
      <c r="R148" s="2"/>
    </row>
    <row r="149" spans="1:18" ht="16">
      <c r="A149" s="3">
        <v>148</v>
      </c>
      <c r="B149" s="2" t="s">
        <v>1</v>
      </c>
      <c r="C149" s="2" t="s">
        <v>34</v>
      </c>
      <c r="D149" s="2" t="s">
        <v>3</v>
      </c>
      <c r="E149" s="2">
        <v>3.7</v>
      </c>
      <c r="F149" s="2" t="s">
        <v>3</v>
      </c>
      <c r="G149" s="2" t="s">
        <v>102</v>
      </c>
      <c r="H149" s="2">
        <v>7900</v>
      </c>
      <c r="I149" s="50"/>
      <c r="K149" s="3"/>
      <c r="L149" s="2"/>
      <c r="M149" s="2"/>
      <c r="N149" s="2"/>
      <c r="O149" s="2"/>
      <c r="P149" s="2"/>
      <c r="Q149" s="2"/>
      <c r="R149" s="2"/>
    </row>
    <row r="150" spans="1:18" ht="16">
      <c r="A150" s="3">
        <v>149</v>
      </c>
      <c r="B150" s="2" t="s">
        <v>4</v>
      </c>
      <c r="C150" s="2" t="s">
        <v>34</v>
      </c>
      <c r="D150" s="2" t="s">
        <v>15</v>
      </c>
      <c r="E150" s="2">
        <v>3.7</v>
      </c>
      <c r="F150" s="2" t="s">
        <v>15</v>
      </c>
      <c r="G150" s="2" t="s">
        <v>95</v>
      </c>
      <c r="H150" s="2">
        <v>7500</v>
      </c>
      <c r="I150" s="50"/>
      <c r="K150" s="3"/>
      <c r="L150" s="2"/>
      <c r="M150" s="2"/>
      <c r="N150" s="2"/>
      <c r="O150" s="2"/>
      <c r="P150" s="2"/>
      <c r="Q150" s="2"/>
      <c r="R150" s="2"/>
    </row>
    <row r="151" spans="1:18" ht="16">
      <c r="A151" s="3">
        <v>150</v>
      </c>
      <c r="B151" s="2" t="s">
        <v>1</v>
      </c>
      <c r="C151" s="2" t="s">
        <v>34</v>
      </c>
      <c r="D151" s="2" t="s">
        <v>10</v>
      </c>
      <c r="E151" s="2">
        <v>2</v>
      </c>
      <c r="F151" s="2" t="s">
        <v>10</v>
      </c>
      <c r="G151" s="2" t="s">
        <v>95</v>
      </c>
      <c r="H151" s="2">
        <v>5100</v>
      </c>
      <c r="I151" s="50"/>
      <c r="K151" s="3"/>
      <c r="L151" s="2"/>
      <c r="M151" s="2"/>
      <c r="N151" s="2"/>
      <c r="O151" s="2"/>
      <c r="P151" s="2"/>
      <c r="Q151" s="2"/>
      <c r="R151" s="2"/>
    </row>
    <row r="152" spans="1:18" ht="16">
      <c r="A152" s="3">
        <v>151</v>
      </c>
      <c r="B152" s="2" t="s">
        <v>4</v>
      </c>
      <c r="C152" s="2" t="s">
        <v>34</v>
      </c>
      <c r="D152" s="2" t="s">
        <v>3</v>
      </c>
      <c r="E152" s="2">
        <v>2.2000000000000002</v>
      </c>
      <c r="F152" s="2" t="s">
        <v>3</v>
      </c>
      <c r="G152" s="2" t="s">
        <v>95</v>
      </c>
      <c r="H152" s="2">
        <v>6000</v>
      </c>
      <c r="I152" s="50"/>
      <c r="K152" s="3"/>
      <c r="L152" s="2"/>
      <c r="M152" s="2"/>
      <c r="N152" s="2"/>
      <c r="O152" s="2"/>
      <c r="P152" s="2"/>
      <c r="Q152" s="2"/>
      <c r="R152" s="2"/>
    </row>
    <row r="153" spans="1:18" ht="16">
      <c r="A153" s="3">
        <v>152</v>
      </c>
      <c r="B153" s="2" t="s">
        <v>1</v>
      </c>
      <c r="C153" s="2" t="s">
        <v>34</v>
      </c>
      <c r="D153" s="2" t="s">
        <v>16</v>
      </c>
      <c r="E153" s="2">
        <v>1.5</v>
      </c>
      <c r="F153" s="2" t="s">
        <v>96</v>
      </c>
      <c r="G153" s="2" t="s">
        <v>95</v>
      </c>
      <c r="H153" s="2">
        <v>5600</v>
      </c>
      <c r="I153" s="50"/>
      <c r="K153" s="3"/>
      <c r="L153" s="2"/>
      <c r="M153" s="2"/>
      <c r="N153" s="2"/>
      <c r="O153" s="2"/>
      <c r="P153" s="2"/>
      <c r="Q153" s="2"/>
      <c r="R153" s="2"/>
    </row>
    <row r="154" spans="1:18" ht="16">
      <c r="A154" s="3">
        <v>153</v>
      </c>
      <c r="B154" s="2" t="s">
        <v>4</v>
      </c>
      <c r="C154" s="2" t="s">
        <v>34</v>
      </c>
      <c r="D154" s="2" t="s">
        <v>29</v>
      </c>
      <c r="E154" s="2">
        <v>2.1</v>
      </c>
      <c r="F154" s="2" t="s">
        <v>84</v>
      </c>
      <c r="G154" s="2" t="s">
        <v>95</v>
      </c>
      <c r="H154" s="2">
        <v>6900</v>
      </c>
      <c r="I154" s="50"/>
      <c r="K154" s="3"/>
      <c r="L154" s="2"/>
      <c r="M154" s="2"/>
      <c r="N154" s="2"/>
      <c r="O154" s="2"/>
      <c r="P154" s="2"/>
      <c r="Q154" s="2"/>
      <c r="R154" s="2"/>
    </row>
    <row r="155" spans="1:18" ht="16">
      <c r="A155" s="3">
        <v>154</v>
      </c>
      <c r="B155" s="2" t="s">
        <v>4</v>
      </c>
      <c r="C155" s="2" t="s">
        <v>34</v>
      </c>
      <c r="D155" s="2" t="s">
        <v>3</v>
      </c>
      <c r="E155" s="2">
        <v>3.2</v>
      </c>
      <c r="F155" s="2" t="s">
        <v>3</v>
      </c>
      <c r="G155" s="2" t="s">
        <v>83</v>
      </c>
      <c r="H155" s="2">
        <v>7300</v>
      </c>
      <c r="I155" s="50"/>
      <c r="K155" s="3"/>
      <c r="L155" s="2"/>
      <c r="M155" s="2"/>
      <c r="N155" s="2"/>
      <c r="O155" s="2"/>
      <c r="P155" s="2"/>
      <c r="Q155" s="2"/>
      <c r="R155" s="2"/>
    </row>
    <row r="156" spans="1:18" ht="16">
      <c r="A156" s="3">
        <v>155</v>
      </c>
      <c r="B156" s="2" t="s">
        <v>1</v>
      </c>
      <c r="C156" s="2" t="s">
        <v>34</v>
      </c>
      <c r="D156" s="2" t="s">
        <v>6</v>
      </c>
      <c r="E156" s="2">
        <v>2.8</v>
      </c>
      <c r="F156" s="2" t="s">
        <v>84</v>
      </c>
      <c r="G156" s="2" t="s">
        <v>95</v>
      </c>
      <c r="H156" s="2">
        <v>7200</v>
      </c>
      <c r="I156" s="50"/>
      <c r="K156" s="3"/>
      <c r="L156" s="2"/>
      <c r="M156" s="2"/>
      <c r="N156" s="2"/>
      <c r="O156" s="2"/>
      <c r="P156" s="2"/>
      <c r="Q156" s="2"/>
      <c r="R156" s="2"/>
    </row>
    <row r="157" spans="1:18" ht="16">
      <c r="A157" s="3">
        <v>156</v>
      </c>
      <c r="B157" s="2" t="s">
        <v>4</v>
      </c>
      <c r="C157" s="2" t="s">
        <v>35</v>
      </c>
      <c r="D157" s="2" t="s">
        <v>15</v>
      </c>
      <c r="E157" s="2">
        <v>3.2</v>
      </c>
      <c r="F157" s="2" t="s">
        <v>88</v>
      </c>
      <c r="G157" s="2" t="s">
        <v>98</v>
      </c>
      <c r="H157" s="2">
        <v>6900</v>
      </c>
      <c r="I157" s="50"/>
      <c r="K157" s="3"/>
      <c r="L157" s="2"/>
      <c r="M157" s="2"/>
      <c r="N157" s="2"/>
      <c r="O157" s="2"/>
      <c r="P157" s="2"/>
      <c r="Q157" s="2"/>
      <c r="R157" s="2"/>
    </row>
    <row r="158" spans="1:18" ht="16">
      <c r="A158" s="3">
        <v>157</v>
      </c>
      <c r="B158" s="2" t="s">
        <v>1</v>
      </c>
      <c r="C158" s="2" t="s">
        <v>35</v>
      </c>
      <c r="D158" s="2" t="s">
        <v>9</v>
      </c>
      <c r="E158" s="2">
        <v>3.7</v>
      </c>
      <c r="F158" s="2" t="s">
        <v>9</v>
      </c>
      <c r="G158" s="2" t="s">
        <v>86</v>
      </c>
      <c r="H158" s="2">
        <v>7500</v>
      </c>
      <c r="I158" s="50"/>
      <c r="K158" s="3"/>
      <c r="L158" s="2"/>
      <c r="M158" s="2"/>
      <c r="N158" s="2"/>
      <c r="O158" s="2"/>
      <c r="P158" s="2"/>
      <c r="Q158" s="2"/>
      <c r="R158" s="2"/>
    </row>
    <row r="159" spans="1:18" ht="16">
      <c r="A159" s="3">
        <v>158</v>
      </c>
      <c r="B159" s="2" t="s">
        <v>1</v>
      </c>
      <c r="C159" s="2" t="s">
        <v>35</v>
      </c>
      <c r="D159" s="2" t="s">
        <v>3</v>
      </c>
      <c r="E159" s="2">
        <v>1.5</v>
      </c>
      <c r="F159" s="2" t="s">
        <v>3</v>
      </c>
      <c r="G159" s="2" t="s">
        <v>86</v>
      </c>
      <c r="H159" s="2">
        <v>6300</v>
      </c>
      <c r="I159" s="50"/>
      <c r="K159" s="3"/>
      <c r="L159" s="2"/>
      <c r="M159" s="2"/>
      <c r="N159" s="2"/>
      <c r="O159" s="2"/>
      <c r="P159" s="2"/>
      <c r="Q159" s="2"/>
      <c r="R159" s="2"/>
    </row>
    <row r="160" spans="1:18" ht="16">
      <c r="A160" s="3">
        <v>159</v>
      </c>
      <c r="B160" s="2" t="s">
        <v>1</v>
      </c>
      <c r="C160" s="2" t="s">
        <v>35</v>
      </c>
      <c r="D160" s="2" t="s">
        <v>7</v>
      </c>
      <c r="E160" s="2">
        <v>1.5</v>
      </c>
      <c r="F160" s="2" t="s">
        <v>88</v>
      </c>
      <c r="G160" s="2" t="s">
        <v>89</v>
      </c>
      <c r="H160" s="2">
        <v>6900</v>
      </c>
      <c r="I160" s="50"/>
      <c r="K160" s="3"/>
      <c r="L160" s="2"/>
      <c r="M160" s="2"/>
      <c r="N160" s="2"/>
      <c r="O160" s="2"/>
      <c r="P160" s="2"/>
      <c r="Q160" s="2"/>
      <c r="R160" s="2"/>
    </row>
    <row r="161" spans="1:18" ht="16">
      <c r="A161" s="3">
        <v>160</v>
      </c>
      <c r="B161" s="2" t="s">
        <v>4</v>
      </c>
      <c r="C161" s="2" t="s">
        <v>35</v>
      </c>
      <c r="D161" s="2" t="s">
        <v>3</v>
      </c>
      <c r="E161" s="2">
        <v>2</v>
      </c>
      <c r="F161" s="2" t="s">
        <v>3</v>
      </c>
      <c r="G161" s="2" t="s">
        <v>73</v>
      </c>
      <c r="H161" s="2">
        <v>6600</v>
      </c>
      <c r="I161" s="50"/>
      <c r="K161" s="3"/>
      <c r="L161" s="2"/>
      <c r="M161" s="2"/>
      <c r="N161" s="2"/>
      <c r="O161" s="2"/>
      <c r="P161" s="2"/>
      <c r="Q161" s="2"/>
      <c r="R161" s="2"/>
    </row>
    <row r="162" spans="1:18" ht="16">
      <c r="A162" s="3">
        <v>161</v>
      </c>
      <c r="B162" s="2" t="s">
        <v>4</v>
      </c>
      <c r="C162" s="2" t="s">
        <v>35</v>
      </c>
      <c r="D162" s="2" t="s">
        <v>3</v>
      </c>
      <c r="E162" s="2">
        <v>3.7</v>
      </c>
      <c r="F162" s="2" t="s">
        <v>3</v>
      </c>
      <c r="G162" s="2" t="s">
        <v>73</v>
      </c>
      <c r="H162" s="2">
        <v>7900</v>
      </c>
      <c r="I162" s="50"/>
      <c r="K162" s="3"/>
      <c r="L162" s="2"/>
      <c r="M162" s="2"/>
      <c r="N162" s="2"/>
      <c r="O162" s="2"/>
      <c r="P162" s="2"/>
      <c r="Q162" s="2"/>
      <c r="R162" s="2"/>
    </row>
    <row r="163" spans="1:18" ht="16">
      <c r="A163" s="3">
        <v>162</v>
      </c>
      <c r="B163" s="2" t="s">
        <v>4</v>
      </c>
      <c r="C163" s="2" t="s">
        <v>35</v>
      </c>
      <c r="D163" s="2" t="s">
        <v>6</v>
      </c>
      <c r="E163" s="2">
        <v>2.8</v>
      </c>
      <c r="F163" s="2" t="s">
        <v>84</v>
      </c>
      <c r="G163" s="2" t="s">
        <v>73</v>
      </c>
      <c r="H163" s="2">
        <v>6600</v>
      </c>
      <c r="I163" s="50"/>
      <c r="K163" s="3"/>
      <c r="L163" s="2"/>
      <c r="M163" s="2"/>
      <c r="N163" s="2"/>
      <c r="O163" s="2"/>
      <c r="P163" s="2"/>
      <c r="Q163" s="2"/>
      <c r="R163" s="2"/>
    </row>
    <row r="164" spans="1:18" ht="16">
      <c r="A164" s="3">
        <v>163</v>
      </c>
      <c r="B164" s="2" t="s">
        <v>4</v>
      </c>
      <c r="C164" s="2" t="s">
        <v>35</v>
      </c>
      <c r="D164" s="2" t="s">
        <v>8</v>
      </c>
      <c r="E164" s="2">
        <v>2.2000000000000002</v>
      </c>
      <c r="F164" s="2" t="s">
        <v>75</v>
      </c>
      <c r="G164" s="2" t="s">
        <v>73</v>
      </c>
      <c r="H164" s="2">
        <v>6000</v>
      </c>
      <c r="I164" s="50"/>
      <c r="K164" s="3"/>
      <c r="L164" s="2"/>
      <c r="M164" s="2"/>
      <c r="N164" s="2"/>
      <c r="O164" s="2"/>
      <c r="P164" s="2"/>
      <c r="Q164" s="2"/>
      <c r="R164" s="2"/>
    </row>
    <row r="165" spans="1:18" ht="16">
      <c r="A165" s="3">
        <v>164</v>
      </c>
      <c r="B165" s="2" t="s">
        <v>1</v>
      </c>
      <c r="C165" s="2" t="s">
        <v>35</v>
      </c>
      <c r="D165" s="2" t="s">
        <v>6</v>
      </c>
      <c r="E165" s="2">
        <v>3.1</v>
      </c>
      <c r="F165" s="2" t="s">
        <v>84</v>
      </c>
      <c r="G165" s="2" t="s">
        <v>76</v>
      </c>
      <c r="H165" s="2">
        <v>8000</v>
      </c>
      <c r="I165" s="50"/>
      <c r="K165" s="3"/>
      <c r="L165" s="2"/>
      <c r="M165" s="2"/>
      <c r="N165" s="2"/>
      <c r="O165" s="2"/>
      <c r="P165" s="2"/>
      <c r="Q165" s="2"/>
      <c r="R165" s="2"/>
    </row>
    <row r="166" spans="1:18" ht="16">
      <c r="A166" s="3">
        <v>165</v>
      </c>
      <c r="B166" s="2" t="s">
        <v>1</v>
      </c>
      <c r="C166" s="2" t="s">
        <v>35</v>
      </c>
      <c r="D166" s="2" t="s">
        <v>29</v>
      </c>
      <c r="E166" s="2">
        <v>3.4</v>
      </c>
      <c r="F166" s="2" t="s">
        <v>29</v>
      </c>
      <c r="G166" s="2" t="s">
        <v>100</v>
      </c>
      <c r="H166" s="2">
        <v>7200</v>
      </c>
      <c r="I166" s="50"/>
      <c r="K166" s="3"/>
      <c r="L166" s="2"/>
      <c r="M166" s="2"/>
      <c r="N166" s="2"/>
      <c r="O166" s="2"/>
      <c r="P166" s="2"/>
      <c r="Q166" s="2"/>
      <c r="R166" s="2"/>
    </row>
    <row r="167" spans="1:18" ht="16">
      <c r="A167" s="3">
        <v>166</v>
      </c>
      <c r="B167" s="2" t="s">
        <v>1</v>
      </c>
      <c r="C167" s="2" t="s">
        <v>35</v>
      </c>
      <c r="D167" s="2" t="s">
        <v>3</v>
      </c>
      <c r="E167" s="2">
        <v>2.5</v>
      </c>
      <c r="F167" s="2" t="s">
        <v>3</v>
      </c>
      <c r="G167" s="2" t="s">
        <v>76</v>
      </c>
      <c r="H167" s="2">
        <v>7800</v>
      </c>
      <c r="I167" s="50"/>
      <c r="K167" s="3"/>
      <c r="L167" s="2"/>
      <c r="M167" s="2"/>
      <c r="N167" s="2"/>
      <c r="O167" s="2"/>
      <c r="P167" s="2"/>
      <c r="Q167" s="2"/>
      <c r="R167" s="2"/>
    </row>
    <row r="168" spans="1:18" ht="16">
      <c r="A168" s="3">
        <v>167</v>
      </c>
      <c r="B168" s="2" t="s">
        <v>1</v>
      </c>
      <c r="C168" s="2" t="s">
        <v>35</v>
      </c>
      <c r="D168" s="2" t="s">
        <v>15</v>
      </c>
      <c r="E168" s="2">
        <v>2.2000000000000002</v>
      </c>
      <c r="F168" s="2" t="s">
        <v>15</v>
      </c>
      <c r="G168" s="2" t="s">
        <v>100</v>
      </c>
      <c r="H168" s="2">
        <v>6800</v>
      </c>
      <c r="I168" s="50"/>
      <c r="K168" s="3"/>
      <c r="L168" s="2"/>
      <c r="M168" s="2"/>
      <c r="N168" s="2"/>
      <c r="O168" s="2"/>
      <c r="P168" s="2"/>
      <c r="Q168" s="2"/>
      <c r="R168" s="2"/>
    </row>
    <row r="169" spans="1:18" ht="16">
      <c r="A169" s="3">
        <v>168</v>
      </c>
      <c r="B169" s="2" t="s">
        <v>4</v>
      </c>
      <c r="C169" s="2" t="s">
        <v>35</v>
      </c>
      <c r="D169" s="2" t="s">
        <v>10</v>
      </c>
      <c r="E169" s="2">
        <v>2.7</v>
      </c>
      <c r="F169" s="2" t="s">
        <v>88</v>
      </c>
      <c r="G169" s="2" t="s">
        <v>76</v>
      </c>
      <c r="H169" s="2">
        <v>8500</v>
      </c>
      <c r="I169" s="50"/>
      <c r="K169" s="3"/>
      <c r="L169" s="2"/>
      <c r="M169" s="2"/>
      <c r="N169" s="2"/>
      <c r="O169" s="2"/>
      <c r="P169" s="2"/>
      <c r="Q169" s="2"/>
      <c r="R169" s="2"/>
    </row>
    <row r="170" spans="1:18" ht="16">
      <c r="A170" s="3">
        <v>169</v>
      </c>
      <c r="B170" s="2" t="s">
        <v>1</v>
      </c>
      <c r="C170" s="2" t="s">
        <v>35</v>
      </c>
      <c r="D170" s="2" t="s">
        <v>3</v>
      </c>
      <c r="E170" s="2">
        <v>3.7</v>
      </c>
      <c r="F170" s="2" t="s">
        <v>3</v>
      </c>
      <c r="G170" s="2" t="s">
        <v>76</v>
      </c>
      <c r="H170" s="2">
        <v>9000</v>
      </c>
      <c r="I170" s="50"/>
      <c r="K170" s="3"/>
      <c r="L170" s="2"/>
      <c r="M170" s="2"/>
      <c r="N170" s="2"/>
      <c r="O170" s="2"/>
      <c r="P170" s="2"/>
      <c r="Q170" s="2"/>
      <c r="R170" s="2"/>
    </row>
    <row r="171" spans="1:18" ht="16">
      <c r="A171" s="3">
        <v>170</v>
      </c>
      <c r="B171" s="2" t="s">
        <v>1</v>
      </c>
      <c r="C171" s="2" t="s">
        <v>35</v>
      </c>
      <c r="D171" s="2" t="s">
        <v>3</v>
      </c>
      <c r="E171" s="2">
        <v>3.7</v>
      </c>
      <c r="F171" s="2" t="s">
        <v>3</v>
      </c>
      <c r="G171" s="2" t="s">
        <v>100</v>
      </c>
      <c r="H171" s="2">
        <v>7400</v>
      </c>
      <c r="I171" s="50"/>
      <c r="K171" s="3"/>
      <c r="L171" s="2"/>
      <c r="M171" s="2"/>
      <c r="N171" s="2"/>
      <c r="O171" s="2"/>
      <c r="P171" s="2"/>
      <c r="Q171" s="2"/>
      <c r="R171" s="2"/>
    </row>
    <row r="172" spans="1:18" ht="16">
      <c r="A172" s="3">
        <v>171</v>
      </c>
      <c r="B172" s="2" t="s">
        <v>1</v>
      </c>
      <c r="C172" s="2" t="s">
        <v>35</v>
      </c>
      <c r="D172" s="2" t="s">
        <v>3</v>
      </c>
      <c r="E172" s="2">
        <v>3.1</v>
      </c>
      <c r="F172" s="2" t="s">
        <v>3</v>
      </c>
      <c r="G172" s="2" t="s">
        <v>76</v>
      </c>
      <c r="H172" s="2">
        <v>9000</v>
      </c>
      <c r="I172" s="50"/>
      <c r="K172" s="3"/>
      <c r="L172" s="2"/>
      <c r="M172" s="2"/>
      <c r="N172" s="2"/>
      <c r="O172" s="2"/>
      <c r="P172" s="2"/>
      <c r="Q172" s="2"/>
      <c r="R172" s="2"/>
    </row>
    <row r="173" spans="1:18" ht="16">
      <c r="A173" s="3">
        <v>172</v>
      </c>
      <c r="B173" s="2" t="s">
        <v>1</v>
      </c>
      <c r="C173" s="2" t="s">
        <v>35</v>
      </c>
      <c r="D173" s="2" t="s">
        <v>27</v>
      </c>
      <c r="E173" s="2">
        <v>1.5</v>
      </c>
      <c r="F173" s="2" t="s">
        <v>75</v>
      </c>
      <c r="G173" s="2" t="s">
        <v>76</v>
      </c>
      <c r="H173" s="2">
        <v>6800</v>
      </c>
      <c r="I173" s="50"/>
      <c r="K173" s="3"/>
      <c r="L173" s="2"/>
      <c r="M173" s="2"/>
      <c r="N173" s="2"/>
      <c r="O173" s="2"/>
      <c r="P173" s="2"/>
      <c r="Q173" s="2"/>
      <c r="R173" s="2"/>
    </row>
    <row r="174" spans="1:18" ht="16">
      <c r="A174" s="3">
        <v>173</v>
      </c>
      <c r="B174" s="2" t="s">
        <v>1</v>
      </c>
      <c r="C174" s="2" t="s">
        <v>35</v>
      </c>
      <c r="D174" s="2" t="s">
        <v>3</v>
      </c>
      <c r="E174" s="2">
        <v>3.7</v>
      </c>
      <c r="F174" s="2" t="s">
        <v>3</v>
      </c>
      <c r="G174" s="2" t="s">
        <v>100</v>
      </c>
      <c r="H174" s="2">
        <v>7300</v>
      </c>
      <c r="I174" s="50"/>
      <c r="K174" s="3"/>
      <c r="L174" s="2"/>
      <c r="M174" s="2"/>
      <c r="N174" s="2"/>
      <c r="O174" s="2"/>
      <c r="P174" s="2"/>
      <c r="Q174" s="2"/>
      <c r="R174" s="2"/>
    </row>
    <row r="175" spans="1:18" ht="16">
      <c r="A175" s="3">
        <v>174</v>
      </c>
      <c r="B175" s="2" t="s">
        <v>4</v>
      </c>
      <c r="C175" s="2" t="s">
        <v>35</v>
      </c>
      <c r="D175" s="2" t="s">
        <v>26</v>
      </c>
      <c r="E175" s="2">
        <v>1.9</v>
      </c>
      <c r="F175" s="2" t="s">
        <v>26</v>
      </c>
      <c r="G175" s="2" t="s">
        <v>76</v>
      </c>
      <c r="H175" s="2">
        <v>7000</v>
      </c>
      <c r="I175" s="50"/>
      <c r="K175" s="3"/>
      <c r="L175" s="2"/>
      <c r="M175" s="2"/>
      <c r="N175" s="2"/>
      <c r="O175" s="2"/>
      <c r="P175" s="2"/>
      <c r="Q175" s="2"/>
      <c r="R175" s="2"/>
    </row>
    <row r="176" spans="1:18" ht="16">
      <c r="A176" s="3">
        <v>175</v>
      </c>
      <c r="B176" s="2" t="s">
        <v>4</v>
      </c>
      <c r="C176" s="2" t="s">
        <v>35</v>
      </c>
      <c r="D176" s="2" t="s">
        <v>11</v>
      </c>
      <c r="E176" s="2">
        <v>1.8</v>
      </c>
      <c r="F176" s="2" t="s">
        <v>75</v>
      </c>
      <c r="G176" s="2" t="s">
        <v>100</v>
      </c>
      <c r="H176" s="2">
        <v>7500</v>
      </c>
      <c r="I176" s="50"/>
      <c r="K176" s="3"/>
      <c r="L176" s="2"/>
      <c r="M176" s="2"/>
      <c r="N176" s="2"/>
      <c r="O176" s="2"/>
      <c r="P176" s="2"/>
      <c r="Q176" s="2"/>
      <c r="R176" s="2"/>
    </row>
    <row r="177" spans="1:18" ht="16">
      <c r="A177" s="3">
        <v>176</v>
      </c>
      <c r="B177" s="2" t="s">
        <v>1</v>
      </c>
      <c r="C177" s="2" t="s">
        <v>35</v>
      </c>
      <c r="D177" s="2" t="s">
        <v>3</v>
      </c>
      <c r="E177" s="2">
        <v>1.9</v>
      </c>
      <c r="F177" s="2" t="s">
        <v>3</v>
      </c>
      <c r="G177" s="2" t="s">
        <v>100</v>
      </c>
      <c r="H177" s="2">
        <v>6400</v>
      </c>
      <c r="I177" s="50"/>
      <c r="K177" s="3"/>
      <c r="L177" s="2"/>
      <c r="M177" s="2"/>
      <c r="N177" s="2"/>
      <c r="O177" s="2"/>
      <c r="P177" s="2"/>
      <c r="Q177" s="2"/>
      <c r="R177" s="2"/>
    </row>
    <row r="178" spans="1:18" ht="16">
      <c r="A178" s="3">
        <v>177</v>
      </c>
      <c r="B178" s="2" t="s">
        <v>4</v>
      </c>
      <c r="C178" s="2" t="s">
        <v>35</v>
      </c>
      <c r="D178" s="2" t="s">
        <v>11</v>
      </c>
      <c r="E178" s="2">
        <v>3.7</v>
      </c>
      <c r="F178" s="2" t="s">
        <v>11</v>
      </c>
      <c r="G178" s="2" t="s">
        <v>93</v>
      </c>
      <c r="H178" s="2">
        <v>7800</v>
      </c>
      <c r="I178" s="50"/>
      <c r="K178" s="3"/>
      <c r="L178" s="2"/>
      <c r="M178" s="2"/>
      <c r="N178" s="2"/>
      <c r="O178" s="2"/>
      <c r="P178" s="2"/>
      <c r="Q178" s="2"/>
      <c r="R178" s="2"/>
    </row>
    <row r="179" spans="1:18" ht="16">
      <c r="A179" s="3">
        <v>178</v>
      </c>
      <c r="B179" s="2" t="s">
        <v>4</v>
      </c>
      <c r="C179" s="2" t="s">
        <v>35</v>
      </c>
      <c r="D179" s="2" t="s">
        <v>16</v>
      </c>
      <c r="E179" s="2">
        <v>2.8</v>
      </c>
      <c r="F179" s="2" t="s">
        <v>16</v>
      </c>
      <c r="G179" s="2" t="s">
        <v>79</v>
      </c>
      <c r="H179" s="2">
        <v>6700</v>
      </c>
      <c r="I179" s="50"/>
      <c r="K179" s="3"/>
      <c r="L179" s="2"/>
      <c r="M179" s="2"/>
      <c r="N179" s="2"/>
      <c r="O179" s="2"/>
      <c r="P179" s="2"/>
      <c r="Q179" s="2"/>
      <c r="R179" s="2"/>
    </row>
    <row r="180" spans="1:18" ht="16">
      <c r="A180" s="3">
        <v>179</v>
      </c>
      <c r="B180" s="2" t="s">
        <v>4</v>
      </c>
      <c r="C180" s="2" t="s">
        <v>35</v>
      </c>
      <c r="D180" s="2" t="s">
        <v>10</v>
      </c>
      <c r="E180" s="2">
        <v>2.5</v>
      </c>
      <c r="F180" s="2" t="s">
        <v>10</v>
      </c>
      <c r="G180" s="2" t="s">
        <v>79</v>
      </c>
      <c r="H180" s="2">
        <v>7100</v>
      </c>
      <c r="I180" s="50"/>
      <c r="K180" s="3"/>
      <c r="L180" s="2"/>
      <c r="M180" s="2"/>
      <c r="N180" s="2"/>
      <c r="O180" s="2"/>
      <c r="P180" s="2"/>
      <c r="Q180" s="2"/>
      <c r="R180" s="2"/>
    </row>
    <row r="181" spans="1:18" ht="16">
      <c r="A181" s="3">
        <v>180</v>
      </c>
      <c r="B181" s="2" t="s">
        <v>4</v>
      </c>
      <c r="C181" s="2" t="s">
        <v>35</v>
      </c>
      <c r="D181" s="2" t="s">
        <v>25</v>
      </c>
      <c r="E181" s="2">
        <v>2.2000000000000002</v>
      </c>
      <c r="F181" s="2" t="s">
        <v>25</v>
      </c>
      <c r="G181" s="2" t="s">
        <v>83</v>
      </c>
      <c r="H181" s="2">
        <v>6500</v>
      </c>
      <c r="I181" s="50"/>
      <c r="K181" s="3"/>
      <c r="L181" s="2"/>
      <c r="M181" s="2"/>
      <c r="N181" s="2"/>
      <c r="O181" s="2"/>
      <c r="P181" s="2"/>
      <c r="Q181" s="2"/>
      <c r="R181" s="2"/>
    </row>
    <row r="182" spans="1:18" ht="16">
      <c r="A182" s="3">
        <v>181</v>
      </c>
      <c r="B182" s="2" t="s">
        <v>1</v>
      </c>
      <c r="C182" s="2" t="s">
        <v>35</v>
      </c>
      <c r="D182" s="2" t="s">
        <v>23</v>
      </c>
      <c r="E182" s="2">
        <v>2.1</v>
      </c>
      <c r="F182" s="2" t="s">
        <v>23</v>
      </c>
      <c r="G182" s="2" t="s">
        <v>95</v>
      </c>
      <c r="H182" s="2">
        <v>5400</v>
      </c>
      <c r="I182" s="50"/>
      <c r="K182" s="3"/>
      <c r="L182" s="2"/>
      <c r="M182" s="2"/>
      <c r="N182" s="2"/>
      <c r="O182" s="2"/>
      <c r="P182" s="2"/>
      <c r="Q182" s="2"/>
      <c r="R182" s="2"/>
    </row>
    <row r="183" spans="1:18" ht="16">
      <c r="A183" s="3">
        <v>182</v>
      </c>
      <c r="B183" s="2" t="s">
        <v>1</v>
      </c>
      <c r="C183" s="2" t="s">
        <v>35</v>
      </c>
      <c r="D183" s="2" t="s">
        <v>28</v>
      </c>
      <c r="E183" s="2">
        <v>3.3</v>
      </c>
      <c r="F183" s="2" t="s">
        <v>28</v>
      </c>
      <c r="G183" s="2" t="s">
        <v>95</v>
      </c>
      <c r="H183" s="2">
        <v>7600</v>
      </c>
      <c r="I183" s="50"/>
      <c r="K183" s="3"/>
      <c r="L183" s="2"/>
      <c r="M183" s="2"/>
      <c r="N183" s="2"/>
      <c r="O183" s="2"/>
      <c r="P183" s="2"/>
      <c r="Q183" s="2"/>
      <c r="R183" s="2"/>
    </row>
    <row r="184" spans="1:18" ht="16">
      <c r="A184" s="3">
        <v>183</v>
      </c>
      <c r="B184" s="2" t="s">
        <v>1</v>
      </c>
      <c r="C184" s="2" t="s">
        <v>35</v>
      </c>
      <c r="D184" s="2" t="s">
        <v>21</v>
      </c>
      <c r="E184" s="2">
        <v>1.5</v>
      </c>
      <c r="F184" s="2" t="s">
        <v>21</v>
      </c>
      <c r="G184" s="2" t="s">
        <v>95</v>
      </c>
      <c r="H184" s="2">
        <v>6400</v>
      </c>
      <c r="I184" s="50"/>
      <c r="K184" s="3"/>
      <c r="L184" s="2"/>
      <c r="M184" s="2"/>
      <c r="N184" s="2"/>
      <c r="O184" s="2"/>
      <c r="P184" s="2"/>
      <c r="Q184" s="2"/>
      <c r="R184" s="2"/>
    </row>
    <row r="185" spans="1:18" ht="16">
      <c r="A185" s="3">
        <v>184</v>
      </c>
      <c r="B185" s="2" t="s">
        <v>1</v>
      </c>
      <c r="C185" s="2" t="s">
        <v>36</v>
      </c>
      <c r="D185" s="2" t="s">
        <v>16</v>
      </c>
      <c r="E185" s="2">
        <v>3.1</v>
      </c>
      <c r="F185" s="2" t="s">
        <v>91</v>
      </c>
      <c r="G185" s="2" t="s">
        <v>85</v>
      </c>
      <c r="H185" s="2">
        <v>6700</v>
      </c>
      <c r="I185" s="50"/>
      <c r="K185" s="3"/>
      <c r="L185" s="2"/>
      <c r="M185" s="2"/>
      <c r="N185" s="2"/>
      <c r="O185" s="2"/>
      <c r="P185" s="2"/>
      <c r="Q185" s="2"/>
      <c r="R185" s="2"/>
    </row>
    <row r="186" spans="1:18" ht="16">
      <c r="A186" s="3">
        <v>185</v>
      </c>
      <c r="B186" s="2" t="s">
        <v>4</v>
      </c>
      <c r="C186" s="2" t="s">
        <v>36</v>
      </c>
      <c r="D186" s="2" t="s">
        <v>5</v>
      </c>
      <c r="E186" s="2">
        <v>2.2000000000000002</v>
      </c>
      <c r="F186" s="2" t="s">
        <v>88</v>
      </c>
      <c r="G186" s="2" t="s">
        <v>98</v>
      </c>
      <c r="H186" s="2">
        <v>6700</v>
      </c>
      <c r="I186" s="50"/>
      <c r="K186" s="3"/>
      <c r="L186" s="2"/>
      <c r="M186" s="2"/>
      <c r="N186" s="2"/>
      <c r="O186" s="2"/>
      <c r="P186" s="2"/>
      <c r="Q186" s="2"/>
      <c r="R186" s="2"/>
    </row>
    <row r="187" spans="1:18" ht="16">
      <c r="A187" s="3">
        <v>186</v>
      </c>
      <c r="B187" s="2" t="s">
        <v>1</v>
      </c>
      <c r="C187" s="2" t="s">
        <v>36</v>
      </c>
      <c r="D187" s="2" t="s">
        <v>12</v>
      </c>
      <c r="E187" s="2">
        <v>2</v>
      </c>
      <c r="F187" s="2" t="s">
        <v>12</v>
      </c>
      <c r="G187" s="2" t="s">
        <v>86</v>
      </c>
      <c r="H187" s="2">
        <v>6400</v>
      </c>
      <c r="I187" s="50"/>
      <c r="K187" s="3"/>
      <c r="L187" s="2"/>
      <c r="M187" s="2"/>
      <c r="N187" s="2"/>
      <c r="O187" s="2"/>
      <c r="P187" s="2"/>
      <c r="Q187" s="2"/>
      <c r="R187" s="2"/>
    </row>
    <row r="188" spans="1:18" ht="16">
      <c r="A188" s="3">
        <v>187</v>
      </c>
      <c r="B188" s="2" t="s">
        <v>1</v>
      </c>
      <c r="C188" s="2" t="s">
        <v>36</v>
      </c>
      <c r="D188" s="2" t="s">
        <v>3</v>
      </c>
      <c r="E188" s="2">
        <v>3.7</v>
      </c>
      <c r="F188" s="2" t="s">
        <v>3</v>
      </c>
      <c r="G188" s="2" t="s">
        <v>87</v>
      </c>
      <c r="H188" s="2">
        <v>7300</v>
      </c>
      <c r="I188" s="50"/>
      <c r="K188" s="3"/>
      <c r="L188" s="2"/>
      <c r="M188" s="2"/>
      <c r="N188" s="2"/>
      <c r="O188" s="2"/>
      <c r="P188" s="2"/>
      <c r="Q188" s="2"/>
      <c r="R188" s="2"/>
    </row>
    <row r="189" spans="1:18" ht="16">
      <c r="A189" s="3">
        <v>188</v>
      </c>
      <c r="B189" s="2" t="s">
        <v>4</v>
      </c>
      <c r="C189" s="2" t="s">
        <v>36</v>
      </c>
      <c r="D189" s="2" t="s">
        <v>21</v>
      </c>
      <c r="E189" s="2">
        <v>2.5</v>
      </c>
      <c r="F189" s="2" t="s">
        <v>21</v>
      </c>
      <c r="G189" s="2" t="s">
        <v>89</v>
      </c>
      <c r="H189" s="2">
        <v>7200</v>
      </c>
      <c r="I189" s="50"/>
      <c r="K189" s="3"/>
      <c r="L189" s="2"/>
      <c r="M189" s="2"/>
      <c r="N189" s="2"/>
      <c r="O189" s="2"/>
      <c r="P189" s="2"/>
      <c r="Q189" s="2"/>
      <c r="R189" s="2"/>
    </row>
    <row r="190" spans="1:18" ht="16">
      <c r="A190" s="3">
        <v>189</v>
      </c>
      <c r="B190" s="2" t="s">
        <v>4</v>
      </c>
      <c r="C190" s="2" t="s">
        <v>36</v>
      </c>
      <c r="D190" s="2" t="s">
        <v>3</v>
      </c>
      <c r="E190" s="2">
        <v>2.1</v>
      </c>
      <c r="F190" s="2" t="s">
        <v>3</v>
      </c>
      <c r="G190" s="2" t="s">
        <v>90</v>
      </c>
      <c r="H190" s="2">
        <v>5500</v>
      </c>
      <c r="I190" s="50"/>
      <c r="K190" s="3"/>
      <c r="L190" s="2"/>
      <c r="M190" s="2"/>
      <c r="N190" s="2"/>
      <c r="O190" s="2"/>
      <c r="P190" s="2"/>
      <c r="Q190" s="2"/>
      <c r="R190" s="2"/>
    </row>
    <row r="191" spans="1:18" ht="16">
      <c r="A191" s="3">
        <v>190</v>
      </c>
      <c r="B191" s="2" t="s">
        <v>1</v>
      </c>
      <c r="C191" s="2" t="s">
        <v>36</v>
      </c>
      <c r="D191" s="2" t="s">
        <v>14</v>
      </c>
      <c r="E191" s="2">
        <v>1.5</v>
      </c>
      <c r="F191" s="2" t="s">
        <v>91</v>
      </c>
      <c r="G191" s="2" t="s">
        <v>90</v>
      </c>
      <c r="H191" s="2">
        <v>6300</v>
      </c>
      <c r="I191" s="50"/>
      <c r="K191" s="3"/>
      <c r="L191" s="2"/>
      <c r="M191" s="2"/>
      <c r="N191" s="2"/>
      <c r="O191" s="2"/>
      <c r="P191" s="2"/>
      <c r="Q191" s="2"/>
      <c r="R191" s="2"/>
    </row>
    <row r="192" spans="1:18" ht="16">
      <c r="A192" s="3">
        <v>191</v>
      </c>
      <c r="B192" s="2" t="s">
        <v>1</v>
      </c>
      <c r="C192" s="2" t="s">
        <v>36</v>
      </c>
      <c r="D192" s="2" t="s">
        <v>13</v>
      </c>
      <c r="E192" s="2">
        <v>2</v>
      </c>
      <c r="F192" s="2" t="s">
        <v>13</v>
      </c>
      <c r="G192" s="2" t="s">
        <v>89</v>
      </c>
      <c r="H192" s="2">
        <v>6000</v>
      </c>
      <c r="I192" s="50"/>
      <c r="K192" s="3"/>
      <c r="L192" s="2"/>
      <c r="M192" s="2"/>
      <c r="N192" s="2"/>
      <c r="O192" s="2"/>
      <c r="P192" s="2"/>
      <c r="Q192" s="2"/>
      <c r="R192" s="2"/>
    </row>
    <row r="193" spans="1:18" ht="16">
      <c r="A193" s="3">
        <v>192</v>
      </c>
      <c r="B193" s="2" t="s">
        <v>4</v>
      </c>
      <c r="C193" s="2" t="s">
        <v>36</v>
      </c>
      <c r="D193" s="2" t="s">
        <v>28</v>
      </c>
      <c r="E193" s="2">
        <v>3.7</v>
      </c>
      <c r="F193" s="2" t="s">
        <v>28</v>
      </c>
      <c r="G193" s="2" t="s">
        <v>90</v>
      </c>
      <c r="H193" s="2">
        <v>7300</v>
      </c>
      <c r="I193" s="50"/>
      <c r="K193" s="3"/>
      <c r="L193" s="2"/>
      <c r="M193" s="2"/>
      <c r="N193" s="2"/>
      <c r="O193" s="2"/>
      <c r="P193" s="2"/>
      <c r="Q193" s="2"/>
      <c r="R193" s="2"/>
    </row>
    <row r="194" spans="1:18" ht="16">
      <c r="A194" s="3">
        <v>193</v>
      </c>
      <c r="B194" s="2" t="s">
        <v>1</v>
      </c>
      <c r="C194" s="2" t="s">
        <v>36</v>
      </c>
      <c r="D194" s="2" t="s">
        <v>12</v>
      </c>
      <c r="E194" s="2">
        <v>2.5</v>
      </c>
      <c r="F194" s="2" t="s">
        <v>75</v>
      </c>
      <c r="G194" s="2" t="s">
        <v>89</v>
      </c>
      <c r="H194" s="2">
        <v>6400</v>
      </c>
      <c r="I194" s="50"/>
      <c r="K194" s="3"/>
      <c r="L194" s="2"/>
      <c r="M194" s="2"/>
      <c r="N194" s="2"/>
      <c r="O194" s="2"/>
      <c r="P194" s="2"/>
      <c r="Q194" s="2"/>
      <c r="R194" s="2"/>
    </row>
    <row r="195" spans="1:18" ht="16">
      <c r="A195" s="3">
        <v>194</v>
      </c>
      <c r="B195" s="2" t="s">
        <v>1</v>
      </c>
      <c r="C195" s="2" t="s">
        <v>36</v>
      </c>
      <c r="D195" s="2" t="s">
        <v>28</v>
      </c>
      <c r="E195" s="2">
        <v>2.9</v>
      </c>
      <c r="F195" s="2" t="s">
        <v>88</v>
      </c>
      <c r="G195" s="2" t="s">
        <v>89</v>
      </c>
      <c r="H195" s="2">
        <v>6900</v>
      </c>
      <c r="I195" s="50"/>
      <c r="K195" s="3"/>
      <c r="L195" s="2"/>
      <c r="M195" s="2"/>
      <c r="N195" s="2"/>
      <c r="O195" s="2"/>
      <c r="P195" s="2"/>
      <c r="Q195" s="2"/>
      <c r="R195" s="2"/>
    </row>
    <row r="196" spans="1:18" ht="16">
      <c r="A196" s="3">
        <v>195</v>
      </c>
      <c r="B196" s="2" t="s">
        <v>1</v>
      </c>
      <c r="C196" s="2" t="s">
        <v>36</v>
      </c>
      <c r="D196" s="2" t="s">
        <v>3</v>
      </c>
      <c r="E196" s="2">
        <v>1.5</v>
      </c>
      <c r="F196" s="2" t="s">
        <v>3</v>
      </c>
      <c r="G196" s="2" t="s">
        <v>89</v>
      </c>
      <c r="H196" s="2">
        <v>6000</v>
      </c>
      <c r="I196" s="50"/>
      <c r="K196" s="3"/>
      <c r="L196" s="2"/>
      <c r="M196" s="2"/>
      <c r="N196" s="2"/>
      <c r="O196" s="2"/>
      <c r="P196" s="2"/>
      <c r="Q196" s="2"/>
      <c r="R196" s="2"/>
    </row>
    <row r="197" spans="1:18" ht="16">
      <c r="A197" s="3">
        <v>196</v>
      </c>
      <c r="B197" s="2" t="s">
        <v>1</v>
      </c>
      <c r="C197" s="2" t="s">
        <v>36</v>
      </c>
      <c r="D197" s="2" t="s">
        <v>20</v>
      </c>
      <c r="E197" s="2">
        <v>2.7</v>
      </c>
      <c r="F197" s="2" t="s">
        <v>84</v>
      </c>
      <c r="G197" s="2" t="s">
        <v>90</v>
      </c>
      <c r="H197" s="2">
        <v>6900</v>
      </c>
      <c r="I197" s="50"/>
      <c r="K197" s="3"/>
      <c r="L197" s="2"/>
      <c r="M197" s="2"/>
      <c r="N197" s="2"/>
      <c r="O197" s="2"/>
      <c r="P197" s="2"/>
      <c r="Q197" s="2"/>
      <c r="R197" s="2"/>
    </row>
    <row r="198" spans="1:18" ht="16">
      <c r="A198" s="3">
        <v>197</v>
      </c>
      <c r="B198" s="2" t="s">
        <v>4</v>
      </c>
      <c r="C198" s="2" t="s">
        <v>36</v>
      </c>
      <c r="D198" s="2" t="s">
        <v>10</v>
      </c>
      <c r="E198" s="2">
        <v>2</v>
      </c>
      <c r="F198" s="2" t="s">
        <v>10</v>
      </c>
      <c r="G198" s="2" t="s">
        <v>89</v>
      </c>
      <c r="H198" s="2">
        <v>6000</v>
      </c>
      <c r="I198" s="50"/>
      <c r="K198" s="3"/>
      <c r="L198" s="2"/>
      <c r="M198" s="2"/>
      <c r="N198" s="2"/>
      <c r="O198" s="2"/>
      <c r="P198" s="2"/>
      <c r="Q198" s="2"/>
      <c r="R198" s="2"/>
    </row>
    <row r="199" spans="1:18" ht="16">
      <c r="A199" s="3">
        <v>198</v>
      </c>
      <c r="B199" s="2" t="s">
        <v>4</v>
      </c>
      <c r="C199" s="2" t="s">
        <v>36</v>
      </c>
      <c r="D199" s="2" t="s">
        <v>3</v>
      </c>
      <c r="E199" s="2">
        <v>1.6</v>
      </c>
      <c r="F199" s="2" t="s">
        <v>3</v>
      </c>
      <c r="G199" s="2" t="s">
        <v>89</v>
      </c>
      <c r="H199" s="2">
        <v>6400</v>
      </c>
      <c r="I199" s="50"/>
      <c r="K199" s="3"/>
      <c r="L199" s="2"/>
      <c r="M199" s="2"/>
      <c r="N199" s="2"/>
      <c r="O199" s="2"/>
      <c r="P199" s="2"/>
      <c r="Q199" s="2"/>
      <c r="R199" s="2"/>
    </row>
    <row r="200" spans="1:18" ht="16">
      <c r="A200" s="3">
        <v>199</v>
      </c>
      <c r="B200" s="2" t="s">
        <v>1</v>
      </c>
      <c r="C200" s="2" t="s">
        <v>36</v>
      </c>
      <c r="D200" s="2" t="s">
        <v>3</v>
      </c>
      <c r="E200" s="2">
        <v>2.2999999999999998</v>
      </c>
      <c r="F200" s="2" t="s">
        <v>3</v>
      </c>
      <c r="G200" s="2" t="s">
        <v>89</v>
      </c>
      <c r="H200" s="2">
        <v>6200</v>
      </c>
      <c r="I200" s="50"/>
      <c r="K200" s="3"/>
      <c r="L200" s="2"/>
      <c r="M200" s="2"/>
      <c r="N200" s="2"/>
      <c r="O200" s="2"/>
      <c r="P200" s="2"/>
      <c r="Q200" s="2"/>
      <c r="R200" s="2"/>
    </row>
    <row r="201" spans="1:18" ht="16">
      <c r="A201" s="3">
        <v>200</v>
      </c>
      <c r="B201" s="2" t="s">
        <v>1</v>
      </c>
      <c r="C201" s="2" t="s">
        <v>36</v>
      </c>
      <c r="D201" s="2" t="s">
        <v>19</v>
      </c>
      <c r="E201" s="2">
        <v>2.2999999999999998</v>
      </c>
      <c r="F201" s="2" t="s">
        <v>19</v>
      </c>
      <c r="G201" s="2" t="s">
        <v>89</v>
      </c>
      <c r="H201" s="2">
        <v>6100</v>
      </c>
      <c r="I201" s="50"/>
      <c r="K201" s="3"/>
      <c r="L201" s="2"/>
      <c r="M201" s="2"/>
      <c r="N201" s="2"/>
      <c r="O201" s="2"/>
      <c r="P201" s="2"/>
      <c r="Q201" s="2"/>
      <c r="R201" s="2"/>
    </row>
    <row r="202" spans="1:18" ht="16">
      <c r="A202" s="3">
        <v>201</v>
      </c>
      <c r="B202" s="2" t="s">
        <v>4</v>
      </c>
      <c r="C202" s="2" t="s">
        <v>36</v>
      </c>
      <c r="D202" s="2" t="s">
        <v>11</v>
      </c>
      <c r="E202" s="2">
        <v>3.5</v>
      </c>
      <c r="F202" s="2" t="s">
        <v>11</v>
      </c>
      <c r="G202" s="2" t="s">
        <v>89</v>
      </c>
      <c r="H202" s="2">
        <v>7600</v>
      </c>
      <c r="I202" s="50"/>
      <c r="K202" s="3"/>
      <c r="L202" s="2"/>
      <c r="M202" s="2"/>
      <c r="N202" s="2"/>
      <c r="O202" s="2"/>
      <c r="P202" s="2"/>
      <c r="Q202" s="2"/>
      <c r="R202" s="2"/>
    </row>
    <row r="203" spans="1:18" ht="16">
      <c r="A203" s="3">
        <v>202</v>
      </c>
      <c r="B203" s="2" t="s">
        <v>1</v>
      </c>
      <c r="C203" s="2" t="s">
        <v>36</v>
      </c>
      <c r="D203" s="2" t="s">
        <v>9</v>
      </c>
      <c r="E203" s="2">
        <v>2.1</v>
      </c>
      <c r="F203" s="2" t="s">
        <v>9</v>
      </c>
      <c r="G203" s="2" t="s">
        <v>89</v>
      </c>
      <c r="H203" s="2">
        <v>6500</v>
      </c>
      <c r="I203" s="50"/>
      <c r="K203" s="3"/>
      <c r="L203" s="2"/>
      <c r="M203" s="2"/>
      <c r="N203" s="2"/>
      <c r="O203" s="2"/>
      <c r="P203" s="2"/>
      <c r="Q203" s="2"/>
      <c r="R203" s="2"/>
    </row>
    <row r="204" spans="1:18" ht="16">
      <c r="A204" s="3">
        <v>203</v>
      </c>
      <c r="B204" s="2" t="s">
        <v>4</v>
      </c>
      <c r="C204" s="2" t="s">
        <v>36</v>
      </c>
      <c r="D204" s="2" t="s">
        <v>23</v>
      </c>
      <c r="E204" s="2">
        <v>3.7</v>
      </c>
      <c r="F204" s="2" t="s">
        <v>84</v>
      </c>
      <c r="G204" s="2" t="s">
        <v>89</v>
      </c>
      <c r="H204" s="2">
        <v>9000</v>
      </c>
      <c r="I204" s="50"/>
      <c r="K204" s="3"/>
      <c r="L204" s="2"/>
      <c r="M204" s="2"/>
      <c r="N204" s="2"/>
      <c r="O204" s="2"/>
      <c r="P204" s="2"/>
      <c r="Q204" s="2"/>
      <c r="R204" s="2"/>
    </row>
    <row r="205" spans="1:18" ht="16">
      <c r="A205" s="3">
        <v>204</v>
      </c>
      <c r="B205" s="2" t="s">
        <v>4</v>
      </c>
      <c r="C205" s="2" t="s">
        <v>36</v>
      </c>
      <c r="D205" s="2" t="s">
        <v>19</v>
      </c>
      <c r="E205" s="2">
        <v>1.5</v>
      </c>
      <c r="F205" s="2" t="s">
        <v>19</v>
      </c>
      <c r="G205" s="2" t="s">
        <v>73</v>
      </c>
      <c r="H205" s="2">
        <v>6400</v>
      </c>
      <c r="I205" s="50"/>
      <c r="K205" s="3"/>
      <c r="L205" s="2"/>
      <c r="M205" s="2"/>
      <c r="N205" s="2"/>
      <c r="O205" s="2"/>
      <c r="P205" s="2"/>
      <c r="Q205" s="2"/>
      <c r="R205" s="2"/>
    </row>
    <row r="206" spans="1:18" ht="16">
      <c r="A206" s="3">
        <v>205</v>
      </c>
      <c r="B206" s="2" t="s">
        <v>4</v>
      </c>
      <c r="C206" s="2" t="s">
        <v>36</v>
      </c>
      <c r="D206" s="2" t="s">
        <v>3</v>
      </c>
      <c r="E206" s="2">
        <v>2.5</v>
      </c>
      <c r="F206" s="2" t="s">
        <v>3</v>
      </c>
      <c r="G206" s="2" t="s">
        <v>73</v>
      </c>
      <c r="H206" s="2">
        <v>6900</v>
      </c>
      <c r="I206" s="50"/>
      <c r="K206" s="3"/>
      <c r="L206" s="2"/>
      <c r="M206" s="2"/>
      <c r="N206" s="2"/>
      <c r="O206" s="2"/>
      <c r="P206" s="2"/>
      <c r="Q206" s="2"/>
      <c r="R206" s="2"/>
    </row>
    <row r="207" spans="1:18" ht="16">
      <c r="A207" s="3">
        <v>206</v>
      </c>
      <c r="B207" s="2" t="s">
        <v>4</v>
      </c>
      <c r="C207" s="2" t="s">
        <v>36</v>
      </c>
      <c r="D207" s="2" t="s">
        <v>22</v>
      </c>
      <c r="E207" s="2">
        <v>3.7</v>
      </c>
      <c r="F207" s="2" t="s">
        <v>91</v>
      </c>
      <c r="G207" s="2" t="s">
        <v>100</v>
      </c>
      <c r="H207" s="2">
        <v>7300</v>
      </c>
      <c r="I207" s="50"/>
      <c r="K207" s="3"/>
      <c r="L207" s="2"/>
      <c r="M207" s="2"/>
      <c r="N207" s="2"/>
      <c r="O207" s="2"/>
      <c r="P207" s="2"/>
      <c r="Q207" s="2"/>
      <c r="R207" s="2"/>
    </row>
    <row r="208" spans="1:18" ht="16">
      <c r="A208" s="3">
        <v>207</v>
      </c>
      <c r="B208" s="2" t="s">
        <v>4</v>
      </c>
      <c r="C208" s="2" t="s">
        <v>36</v>
      </c>
      <c r="D208" s="2" t="s">
        <v>10</v>
      </c>
      <c r="E208" s="2">
        <v>1.5</v>
      </c>
      <c r="F208" s="2" t="s">
        <v>88</v>
      </c>
      <c r="G208" s="2" t="s">
        <v>76</v>
      </c>
      <c r="H208" s="2">
        <v>5700</v>
      </c>
      <c r="I208" s="50"/>
      <c r="K208" s="3"/>
      <c r="L208" s="2"/>
      <c r="M208" s="2"/>
      <c r="N208" s="2"/>
      <c r="O208" s="2"/>
      <c r="P208" s="2"/>
      <c r="Q208" s="2"/>
      <c r="R208" s="2"/>
    </row>
    <row r="209" spans="1:18" ht="16">
      <c r="A209" s="3">
        <v>208</v>
      </c>
      <c r="B209" s="2" t="s">
        <v>1</v>
      </c>
      <c r="C209" s="2" t="s">
        <v>36</v>
      </c>
      <c r="D209" s="2" t="s">
        <v>9</v>
      </c>
      <c r="E209" s="2">
        <v>3.2</v>
      </c>
      <c r="F209" s="2" t="s">
        <v>88</v>
      </c>
      <c r="G209" s="2" t="s">
        <v>76</v>
      </c>
      <c r="H209" s="2">
        <v>9000</v>
      </c>
      <c r="I209" s="50"/>
      <c r="K209" s="3"/>
      <c r="L209" s="2"/>
      <c r="M209" s="2"/>
      <c r="N209" s="2"/>
      <c r="O209" s="2"/>
      <c r="P209" s="2"/>
      <c r="Q209" s="2"/>
      <c r="R209" s="2"/>
    </row>
    <row r="210" spans="1:18" ht="16">
      <c r="A210" s="3">
        <v>209</v>
      </c>
      <c r="B210" s="2" t="s">
        <v>4</v>
      </c>
      <c r="C210" s="2" t="s">
        <v>36</v>
      </c>
      <c r="D210" s="2" t="s">
        <v>3</v>
      </c>
      <c r="E210" s="2">
        <v>3.4</v>
      </c>
      <c r="F210" s="2" t="s">
        <v>3</v>
      </c>
      <c r="G210" s="2" t="s">
        <v>76</v>
      </c>
      <c r="H210" s="2">
        <v>7100</v>
      </c>
      <c r="I210" s="50"/>
      <c r="K210" s="3"/>
      <c r="L210" s="2"/>
      <c r="M210" s="2"/>
      <c r="N210" s="2"/>
      <c r="O210" s="2"/>
      <c r="P210" s="2"/>
      <c r="Q210" s="2"/>
      <c r="R210" s="2"/>
    </row>
    <row r="211" spans="1:18" ht="16">
      <c r="A211" s="3">
        <v>210</v>
      </c>
      <c r="B211" s="2" t="s">
        <v>4</v>
      </c>
      <c r="C211" s="2" t="s">
        <v>36</v>
      </c>
      <c r="D211" s="2" t="s">
        <v>3</v>
      </c>
      <c r="E211" s="2">
        <v>3.3</v>
      </c>
      <c r="F211" s="2" t="s">
        <v>3</v>
      </c>
      <c r="G211" s="2" t="s">
        <v>79</v>
      </c>
      <c r="H211" s="2">
        <v>7400</v>
      </c>
      <c r="I211" s="50"/>
      <c r="K211" s="3"/>
      <c r="L211" s="2"/>
      <c r="M211" s="2"/>
      <c r="N211" s="2"/>
      <c r="O211" s="2"/>
      <c r="P211" s="2"/>
      <c r="Q211" s="2"/>
      <c r="R211" s="2"/>
    </row>
    <row r="212" spans="1:18" ht="16">
      <c r="A212" s="3">
        <v>211</v>
      </c>
      <c r="B212" s="2" t="s">
        <v>4</v>
      </c>
      <c r="C212" s="2" t="s">
        <v>36</v>
      </c>
      <c r="D212" s="2" t="s">
        <v>20</v>
      </c>
      <c r="E212" s="2">
        <v>1.5</v>
      </c>
      <c r="F212" s="2" t="s">
        <v>105</v>
      </c>
      <c r="G212" s="2" t="s">
        <v>79</v>
      </c>
      <c r="H212" s="2">
        <v>5900</v>
      </c>
      <c r="I212" s="50"/>
      <c r="K212" s="3"/>
      <c r="L212" s="2"/>
      <c r="M212" s="2"/>
      <c r="N212" s="2"/>
      <c r="O212" s="2"/>
      <c r="P212" s="2"/>
      <c r="Q212" s="2"/>
      <c r="R212" s="2"/>
    </row>
    <row r="213" spans="1:18" ht="16">
      <c r="A213" s="3">
        <v>212</v>
      </c>
      <c r="B213" s="2" t="s">
        <v>1</v>
      </c>
      <c r="C213" s="2" t="s">
        <v>36</v>
      </c>
      <c r="D213" s="2" t="s">
        <v>3</v>
      </c>
      <c r="E213" s="2">
        <v>1.5</v>
      </c>
      <c r="F213" s="2" t="s">
        <v>3</v>
      </c>
      <c r="G213" s="2" t="s">
        <v>94</v>
      </c>
      <c r="H213" s="2">
        <v>5900</v>
      </c>
      <c r="I213" s="50"/>
      <c r="K213" s="3"/>
      <c r="L213" s="2"/>
      <c r="M213" s="2"/>
      <c r="N213" s="2"/>
      <c r="O213" s="2"/>
      <c r="P213" s="2"/>
      <c r="Q213" s="2"/>
      <c r="R213" s="2"/>
    </row>
    <row r="214" spans="1:18" ht="16">
      <c r="A214" s="3">
        <v>213</v>
      </c>
      <c r="B214" s="2" t="s">
        <v>4</v>
      </c>
      <c r="C214" s="2" t="s">
        <v>36</v>
      </c>
      <c r="D214" s="2" t="s">
        <v>22</v>
      </c>
      <c r="E214" s="2">
        <v>3.1</v>
      </c>
      <c r="F214" s="2" t="s">
        <v>88</v>
      </c>
      <c r="G214" s="2" t="s">
        <v>83</v>
      </c>
      <c r="H214" s="2">
        <v>6700</v>
      </c>
      <c r="I214" s="50"/>
      <c r="K214" s="3"/>
      <c r="L214" s="2"/>
      <c r="M214" s="2"/>
      <c r="N214" s="2"/>
      <c r="O214" s="2"/>
      <c r="P214" s="2"/>
      <c r="Q214" s="2"/>
      <c r="R214" s="2"/>
    </row>
    <row r="215" spans="1:18" ht="16">
      <c r="A215" s="3">
        <v>214</v>
      </c>
      <c r="B215" s="2" t="s">
        <v>1</v>
      </c>
      <c r="C215" s="2" t="s">
        <v>36</v>
      </c>
      <c r="D215" s="2" t="s">
        <v>12</v>
      </c>
      <c r="E215" s="2">
        <v>3.4</v>
      </c>
      <c r="F215" s="2" t="s">
        <v>12</v>
      </c>
      <c r="G215" s="2" t="s">
        <v>95</v>
      </c>
      <c r="H215" s="2">
        <v>7300</v>
      </c>
      <c r="I215" s="50"/>
      <c r="K215" s="3"/>
      <c r="L215" s="2"/>
      <c r="M215" s="2"/>
      <c r="N215" s="2"/>
      <c r="O215" s="2"/>
      <c r="P215" s="2"/>
      <c r="Q215" s="2"/>
      <c r="R215" s="2"/>
    </row>
    <row r="216" spans="1:18" ht="16">
      <c r="A216" s="3">
        <v>215</v>
      </c>
      <c r="B216" s="2" t="s">
        <v>1</v>
      </c>
      <c r="C216" s="2" t="s">
        <v>36</v>
      </c>
      <c r="D216" s="2" t="s">
        <v>12</v>
      </c>
      <c r="E216" s="2">
        <v>2.4</v>
      </c>
      <c r="F216" s="2" t="s">
        <v>12</v>
      </c>
      <c r="G216" s="2" t="s">
        <v>95</v>
      </c>
      <c r="H216" s="2">
        <v>6400</v>
      </c>
      <c r="I216" s="50"/>
      <c r="K216" s="3"/>
      <c r="L216" s="2"/>
      <c r="M216" s="2"/>
      <c r="N216" s="2"/>
      <c r="O216" s="2"/>
      <c r="P216" s="2"/>
      <c r="Q216" s="2"/>
      <c r="R216" s="2"/>
    </row>
    <row r="217" spans="1:18" ht="16">
      <c r="A217" s="3">
        <v>216</v>
      </c>
      <c r="B217" s="2" t="s">
        <v>4</v>
      </c>
      <c r="C217" s="2" t="s">
        <v>36</v>
      </c>
      <c r="D217" s="2" t="s">
        <v>13</v>
      </c>
      <c r="E217" s="2">
        <v>1.7</v>
      </c>
      <c r="F217" s="2" t="s">
        <v>13</v>
      </c>
      <c r="G217" s="2" t="s">
        <v>83</v>
      </c>
      <c r="H217" s="2">
        <v>5600</v>
      </c>
      <c r="I217" s="50"/>
      <c r="K217" s="3"/>
      <c r="L217" s="2"/>
      <c r="M217" s="2"/>
      <c r="N217" s="2"/>
      <c r="O217" s="2"/>
      <c r="P217" s="2"/>
      <c r="Q217" s="2"/>
      <c r="R217" s="2"/>
    </row>
    <row r="218" spans="1:18" ht="16">
      <c r="A218" s="3">
        <v>217</v>
      </c>
      <c r="B218" s="2" t="s">
        <v>1</v>
      </c>
      <c r="C218" s="2" t="s">
        <v>36</v>
      </c>
      <c r="D218" s="2" t="s">
        <v>3</v>
      </c>
      <c r="E218" s="2">
        <v>2.8</v>
      </c>
      <c r="F218" s="2" t="s">
        <v>3</v>
      </c>
      <c r="G218" s="2" t="s">
        <v>95</v>
      </c>
      <c r="H218" s="2">
        <v>7100</v>
      </c>
      <c r="I218" s="50"/>
      <c r="K218" s="3"/>
      <c r="L218" s="2"/>
      <c r="M218" s="2"/>
      <c r="N218" s="2"/>
      <c r="O218" s="2"/>
      <c r="P218" s="2"/>
      <c r="Q218" s="2"/>
      <c r="R218" s="2"/>
    </row>
    <row r="219" spans="1:18" ht="16">
      <c r="A219" s="3">
        <v>218</v>
      </c>
      <c r="B219" s="2" t="s">
        <v>1</v>
      </c>
      <c r="C219" s="2" t="s">
        <v>36</v>
      </c>
      <c r="D219" s="2" t="s">
        <v>26</v>
      </c>
      <c r="E219" s="2">
        <v>3.5</v>
      </c>
      <c r="F219" s="2" t="s">
        <v>84</v>
      </c>
      <c r="G219" s="2" t="s">
        <v>95</v>
      </c>
      <c r="H219" s="2">
        <v>7100</v>
      </c>
      <c r="I219" s="50"/>
      <c r="K219" s="3"/>
      <c r="L219" s="2"/>
      <c r="M219" s="2"/>
      <c r="N219" s="2"/>
      <c r="O219" s="2"/>
      <c r="P219" s="2"/>
      <c r="Q219" s="2"/>
      <c r="R219" s="2"/>
    </row>
    <row r="220" spans="1:18" ht="16">
      <c r="A220" s="3">
        <v>219</v>
      </c>
      <c r="B220" s="2" t="s">
        <v>4</v>
      </c>
      <c r="C220" s="2" t="s">
        <v>36</v>
      </c>
      <c r="D220" s="2" t="s">
        <v>27</v>
      </c>
      <c r="E220" s="2">
        <v>2.8</v>
      </c>
      <c r="F220" s="2" t="s">
        <v>27</v>
      </c>
      <c r="G220" s="2" t="s">
        <v>95</v>
      </c>
      <c r="H220" s="2">
        <v>7200</v>
      </c>
      <c r="I220" s="50"/>
      <c r="K220" s="3"/>
      <c r="L220" s="2"/>
      <c r="M220" s="2"/>
      <c r="N220" s="2"/>
      <c r="O220" s="2"/>
      <c r="P220" s="2"/>
      <c r="Q220" s="2"/>
      <c r="R220" s="2"/>
    </row>
    <row r="221" spans="1:18" ht="16">
      <c r="A221" s="3">
        <v>220</v>
      </c>
      <c r="B221" s="2" t="s">
        <v>4</v>
      </c>
      <c r="C221" s="2" t="s">
        <v>37</v>
      </c>
      <c r="D221" s="2" t="s">
        <v>11</v>
      </c>
      <c r="E221" s="2">
        <v>1.8</v>
      </c>
      <c r="F221" s="2" t="s">
        <v>106</v>
      </c>
      <c r="G221" s="2" t="s">
        <v>85</v>
      </c>
      <c r="H221" s="2">
        <v>5600</v>
      </c>
      <c r="I221" s="50"/>
      <c r="K221" s="3"/>
      <c r="L221" s="2"/>
      <c r="M221" s="2"/>
      <c r="N221" s="2"/>
      <c r="O221" s="2"/>
      <c r="P221" s="2"/>
      <c r="Q221" s="2"/>
      <c r="R221" s="2"/>
    </row>
    <row r="222" spans="1:18" ht="16">
      <c r="A222" s="3">
        <v>221</v>
      </c>
      <c r="B222" s="2" t="s">
        <v>4</v>
      </c>
      <c r="C222" s="2" t="s">
        <v>37</v>
      </c>
      <c r="D222" s="2" t="s">
        <v>3</v>
      </c>
      <c r="E222" s="2">
        <v>3.1</v>
      </c>
      <c r="F222" s="2" t="s">
        <v>88</v>
      </c>
      <c r="G222" s="2" t="s">
        <v>87</v>
      </c>
      <c r="H222" s="2">
        <v>7500</v>
      </c>
      <c r="I222" s="50"/>
      <c r="K222" s="3"/>
      <c r="L222" s="2"/>
      <c r="M222" s="2"/>
      <c r="N222" s="2"/>
      <c r="O222" s="2"/>
      <c r="P222" s="2"/>
      <c r="Q222" s="2"/>
      <c r="R222" s="2"/>
    </row>
    <row r="223" spans="1:18" ht="16">
      <c r="A223" s="3">
        <v>222</v>
      </c>
      <c r="B223" s="2" t="s">
        <v>107</v>
      </c>
      <c r="C223" s="2" t="s">
        <v>37</v>
      </c>
      <c r="D223" s="2" t="s">
        <v>16</v>
      </c>
      <c r="E223" s="2">
        <v>2.7</v>
      </c>
      <c r="F223" s="2" t="s">
        <v>108</v>
      </c>
      <c r="G223" s="2" t="s">
        <v>89</v>
      </c>
      <c r="H223" s="2">
        <v>5500</v>
      </c>
      <c r="I223" s="50"/>
      <c r="K223" s="3"/>
      <c r="L223" s="2"/>
      <c r="M223" s="2"/>
      <c r="N223" s="2"/>
      <c r="O223" s="2"/>
      <c r="P223" s="2"/>
      <c r="Q223" s="2"/>
      <c r="R223" s="2"/>
    </row>
    <row r="224" spans="1:18" ht="16">
      <c r="A224" s="3">
        <v>223</v>
      </c>
      <c r="B224" s="2" t="s">
        <v>1</v>
      </c>
      <c r="C224" s="2" t="s">
        <v>37</v>
      </c>
      <c r="D224" s="2" t="s">
        <v>22</v>
      </c>
      <c r="E224" s="2">
        <v>3.4</v>
      </c>
      <c r="F224" s="2" t="s">
        <v>109</v>
      </c>
      <c r="G224" s="2" t="s">
        <v>73</v>
      </c>
      <c r="H224" s="2">
        <v>7200</v>
      </c>
      <c r="I224" s="50"/>
      <c r="K224" s="3"/>
      <c r="L224" s="2"/>
      <c r="M224" s="2"/>
      <c r="N224" s="2"/>
      <c r="O224" s="2"/>
      <c r="P224" s="2"/>
      <c r="Q224" s="2"/>
      <c r="R224" s="2"/>
    </row>
    <row r="225" spans="1:18" ht="16">
      <c r="A225" s="3">
        <v>224</v>
      </c>
      <c r="B225" s="2" t="s">
        <v>1</v>
      </c>
      <c r="C225" s="2" t="s">
        <v>37</v>
      </c>
      <c r="D225" s="2" t="s">
        <v>18</v>
      </c>
      <c r="E225" s="2">
        <v>3.4</v>
      </c>
      <c r="F225" s="2" t="s">
        <v>96</v>
      </c>
      <c r="G225" s="2" t="s">
        <v>76</v>
      </c>
      <c r="H225" s="2">
        <v>7600</v>
      </c>
      <c r="I225" s="50"/>
      <c r="K225" s="3"/>
      <c r="L225" s="2"/>
      <c r="M225" s="2"/>
      <c r="N225" s="2"/>
      <c r="O225" s="2"/>
      <c r="P225" s="2"/>
      <c r="Q225" s="2"/>
      <c r="R225" s="2"/>
    </row>
    <row r="226" spans="1:18" ht="16">
      <c r="A226" s="3">
        <v>225</v>
      </c>
      <c r="B226" s="2" t="s">
        <v>1</v>
      </c>
      <c r="C226" s="2" t="s">
        <v>37</v>
      </c>
      <c r="D226" s="2" t="s">
        <v>24</v>
      </c>
      <c r="E226" s="2">
        <v>2</v>
      </c>
      <c r="F226" s="2" t="s">
        <v>75</v>
      </c>
      <c r="G226" s="2" t="s">
        <v>76</v>
      </c>
      <c r="H226" s="2">
        <v>6500</v>
      </c>
      <c r="I226" s="50"/>
      <c r="K226" s="3"/>
      <c r="L226" s="2"/>
      <c r="M226" s="2"/>
      <c r="N226" s="2"/>
      <c r="O226" s="2"/>
      <c r="P226" s="2"/>
      <c r="Q226" s="2"/>
      <c r="R226" s="2"/>
    </row>
    <row r="227" spans="1:18" ht="16">
      <c r="A227" s="3">
        <v>226</v>
      </c>
      <c r="B227" s="2" t="s">
        <v>1</v>
      </c>
      <c r="C227" s="2" t="s">
        <v>37</v>
      </c>
      <c r="D227" s="2" t="s">
        <v>13</v>
      </c>
      <c r="E227" s="2">
        <v>1.5</v>
      </c>
      <c r="F227" s="2" t="s">
        <v>88</v>
      </c>
      <c r="G227" s="2" t="s">
        <v>76</v>
      </c>
      <c r="H227" s="2">
        <v>6200</v>
      </c>
      <c r="I227" s="50"/>
      <c r="K227" s="3"/>
      <c r="L227" s="2"/>
      <c r="M227" s="2"/>
      <c r="N227" s="2"/>
      <c r="O227" s="2"/>
      <c r="P227" s="2"/>
      <c r="Q227" s="2"/>
      <c r="R227" s="2"/>
    </row>
    <row r="228" spans="1:18" ht="16">
      <c r="A228" s="3">
        <v>227</v>
      </c>
      <c r="B228" s="2" t="s">
        <v>1</v>
      </c>
      <c r="C228" s="2" t="s">
        <v>37</v>
      </c>
      <c r="D228" s="2" t="s">
        <v>21</v>
      </c>
      <c r="E228" s="2">
        <v>2.5</v>
      </c>
      <c r="F228" s="2" t="s">
        <v>110</v>
      </c>
      <c r="G228" s="2" t="s">
        <v>100</v>
      </c>
      <c r="H228" s="2">
        <v>7000</v>
      </c>
      <c r="I228" s="50"/>
      <c r="K228" s="3"/>
      <c r="L228" s="2"/>
      <c r="M228" s="2"/>
      <c r="N228" s="2"/>
      <c r="O228" s="2"/>
      <c r="P228" s="2"/>
      <c r="Q228" s="2"/>
      <c r="R228" s="2"/>
    </row>
    <row r="229" spans="1:18" ht="16">
      <c r="A229" s="3">
        <v>228</v>
      </c>
      <c r="B229" s="2" t="s">
        <v>4</v>
      </c>
      <c r="C229" s="2" t="s">
        <v>37</v>
      </c>
      <c r="D229" s="2" t="s">
        <v>5</v>
      </c>
      <c r="E229" s="2">
        <v>3.7</v>
      </c>
      <c r="F229" s="2" t="s">
        <v>84</v>
      </c>
      <c r="G229" s="2" t="s">
        <v>79</v>
      </c>
      <c r="H229" s="2">
        <v>7000</v>
      </c>
      <c r="I229" s="50"/>
      <c r="K229" s="3"/>
      <c r="L229" s="2"/>
      <c r="M229" s="2"/>
      <c r="N229" s="2"/>
      <c r="O229" s="2"/>
      <c r="P229" s="2"/>
      <c r="Q229" s="2"/>
      <c r="R229" s="2"/>
    </row>
    <row r="230" spans="1:18" ht="16">
      <c r="A230" s="3">
        <v>229</v>
      </c>
      <c r="B230" s="2" t="s">
        <v>4</v>
      </c>
      <c r="C230" s="2" t="s">
        <v>37</v>
      </c>
      <c r="D230" s="2" t="s">
        <v>21</v>
      </c>
      <c r="E230" s="2">
        <v>2.4</v>
      </c>
      <c r="F230" s="2" t="s">
        <v>21</v>
      </c>
      <c r="G230" s="2" t="s">
        <v>79</v>
      </c>
      <c r="H230" s="2">
        <v>6200</v>
      </c>
      <c r="I230" s="50"/>
      <c r="K230" s="3"/>
      <c r="L230" s="2"/>
      <c r="M230" s="2"/>
      <c r="N230" s="2"/>
      <c r="O230" s="2"/>
      <c r="P230" s="2"/>
      <c r="Q230" s="2"/>
      <c r="R230" s="2"/>
    </row>
    <row r="231" spans="1:18" ht="16">
      <c r="A231" s="3">
        <v>230</v>
      </c>
      <c r="B231" s="2" t="s">
        <v>4</v>
      </c>
      <c r="C231" s="2" t="s">
        <v>37</v>
      </c>
      <c r="D231" s="2" t="s">
        <v>8</v>
      </c>
      <c r="E231" s="2">
        <v>3.4</v>
      </c>
      <c r="F231" s="2" t="s">
        <v>84</v>
      </c>
      <c r="G231" s="2" t="s">
        <v>93</v>
      </c>
      <c r="H231" s="2">
        <v>7800</v>
      </c>
      <c r="I231" s="50"/>
      <c r="K231" s="3"/>
      <c r="L231" s="2"/>
      <c r="M231" s="2"/>
      <c r="N231" s="2"/>
      <c r="O231" s="2"/>
      <c r="P231" s="2"/>
      <c r="Q231" s="2"/>
      <c r="R231" s="2"/>
    </row>
    <row r="232" spans="1:18" ht="16">
      <c r="A232" s="3">
        <v>231</v>
      </c>
      <c r="B232" s="2" t="s">
        <v>4</v>
      </c>
      <c r="C232" s="2" t="s">
        <v>37</v>
      </c>
      <c r="D232" s="2" t="s">
        <v>3</v>
      </c>
      <c r="E232" s="2">
        <v>3.7</v>
      </c>
      <c r="F232" s="2" t="s">
        <v>3</v>
      </c>
      <c r="G232" s="2" t="s">
        <v>93</v>
      </c>
      <c r="H232" s="2">
        <v>9000</v>
      </c>
      <c r="I232" s="50"/>
      <c r="K232" s="3"/>
      <c r="L232" s="2"/>
      <c r="M232" s="2"/>
      <c r="N232" s="2"/>
      <c r="O232" s="2"/>
      <c r="P232" s="2"/>
      <c r="Q232" s="2"/>
      <c r="R232" s="2"/>
    </row>
    <row r="233" spans="1:18" ht="16">
      <c r="A233" s="3">
        <v>232</v>
      </c>
      <c r="B233" s="2" t="s">
        <v>1</v>
      </c>
      <c r="C233" s="2" t="s">
        <v>37</v>
      </c>
      <c r="D233" s="2" t="s">
        <v>17</v>
      </c>
      <c r="E233" s="2">
        <v>3.7</v>
      </c>
      <c r="F233" s="2" t="s">
        <v>96</v>
      </c>
      <c r="G233" s="2" t="s">
        <v>79</v>
      </c>
      <c r="H233" s="2">
        <v>7500</v>
      </c>
      <c r="I233" s="50"/>
      <c r="K233" s="3"/>
      <c r="L233" s="2"/>
      <c r="M233" s="2"/>
      <c r="N233" s="2"/>
      <c r="O233" s="2"/>
      <c r="P233" s="2"/>
      <c r="Q233" s="2"/>
      <c r="R233" s="2"/>
    </row>
    <row r="234" spans="1:18" ht="16">
      <c r="A234" s="3">
        <v>233</v>
      </c>
      <c r="B234" s="2" t="s">
        <v>4</v>
      </c>
      <c r="C234" s="2" t="s">
        <v>37</v>
      </c>
      <c r="D234" s="2" t="s">
        <v>11</v>
      </c>
      <c r="E234" s="2">
        <v>1.5</v>
      </c>
      <c r="F234" s="2" t="s">
        <v>11</v>
      </c>
      <c r="G234" s="2" t="s">
        <v>79</v>
      </c>
      <c r="H234" s="2">
        <v>5800</v>
      </c>
      <c r="I234" s="50"/>
      <c r="K234" s="3"/>
      <c r="L234" s="2"/>
      <c r="M234" s="2"/>
      <c r="N234" s="2"/>
      <c r="O234" s="2"/>
      <c r="P234" s="2"/>
      <c r="Q234" s="2"/>
      <c r="R234" s="2"/>
    </row>
    <row r="235" spans="1:18" ht="16">
      <c r="A235" s="3">
        <v>234</v>
      </c>
      <c r="B235" s="2" t="s">
        <v>4</v>
      </c>
      <c r="C235" s="2" t="s">
        <v>37</v>
      </c>
      <c r="D235" s="2" t="s">
        <v>16</v>
      </c>
      <c r="E235" s="2">
        <v>3.7</v>
      </c>
      <c r="F235" s="2" t="s">
        <v>111</v>
      </c>
      <c r="G235" s="2" t="s">
        <v>79</v>
      </c>
      <c r="H235" s="2">
        <v>7800</v>
      </c>
      <c r="I235" s="50"/>
      <c r="K235" s="3"/>
      <c r="L235" s="2"/>
      <c r="M235" s="2"/>
      <c r="N235" s="2"/>
      <c r="O235" s="2"/>
      <c r="P235" s="2"/>
      <c r="Q235" s="2"/>
      <c r="R235" s="2"/>
    </row>
    <row r="236" spans="1:18" ht="16">
      <c r="A236" s="3">
        <v>235</v>
      </c>
      <c r="B236" s="2" t="s">
        <v>4</v>
      </c>
      <c r="C236" s="2" t="s">
        <v>37</v>
      </c>
      <c r="D236" s="2" t="s">
        <v>3</v>
      </c>
      <c r="E236" s="2">
        <v>3.2</v>
      </c>
      <c r="F236" s="2" t="s">
        <v>88</v>
      </c>
      <c r="G236" s="2" t="s">
        <v>112</v>
      </c>
      <c r="H236" s="2">
        <v>7000</v>
      </c>
      <c r="I236" s="50"/>
      <c r="K236" s="3"/>
      <c r="L236" s="2"/>
      <c r="M236" s="2"/>
      <c r="N236" s="2"/>
      <c r="O236" s="2"/>
      <c r="P236" s="2"/>
      <c r="Q236" s="2"/>
      <c r="R236" s="2"/>
    </row>
    <row r="237" spans="1:18" ht="16">
      <c r="A237" s="3">
        <v>236</v>
      </c>
      <c r="B237" s="2" t="s">
        <v>1</v>
      </c>
      <c r="C237" s="2" t="s">
        <v>37</v>
      </c>
      <c r="D237" s="2" t="s">
        <v>17</v>
      </c>
      <c r="E237" s="2">
        <v>2.8</v>
      </c>
      <c r="F237" s="2" t="s">
        <v>88</v>
      </c>
      <c r="G237" s="2" t="s">
        <v>93</v>
      </c>
      <c r="H237" s="2">
        <v>7000</v>
      </c>
      <c r="I237" s="50"/>
      <c r="K237" s="3"/>
      <c r="L237" s="2"/>
      <c r="M237" s="2"/>
      <c r="N237" s="2"/>
      <c r="O237" s="2"/>
      <c r="P237" s="2"/>
      <c r="Q237" s="2"/>
      <c r="R237" s="2"/>
    </row>
    <row r="238" spans="1:18" ht="16">
      <c r="A238" s="3">
        <v>237</v>
      </c>
      <c r="B238" s="2" t="s">
        <v>1</v>
      </c>
      <c r="C238" s="2" t="s">
        <v>37</v>
      </c>
      <c r="D238" s="2" t="s">
        <v>21</v>
      </c>
      <c r="E238" s="2">
        <v>1.5</v>
      </c>
      <c r="F238" s="2" t="s">
        <v>84</v>
      </c>
      <c r="G238" s="2" t="s">
        <v>83</v>
      </c>
      <c r="H238" s="2">
        <v>6300</v>
      </c>
      <c r="I238" s="50"/>
      <c r="K238" s="3"/>
      <c r="L238" s="2"/>
      <c r="M238" s="2"/>
      <c r="N238" s="2"/>
      <c r="O238" s="2"/>
      <c r="P238" s="2"/>
      <c r="Q238" s="2"/>
      <c r="R238" s="2"/>
    </row>
    <row r="239" spans="1:18" ht="16">
      <c r="A239" s="3">
        <v>238</v>
      </c>
      <c r="B239" s="2" t="s">
        <v>1</v>
      </c>
      <c r="C239" s="2" t="s">
        <v>37</v>
      </c>
      <c r="D239" s="2" t="s">
        <v>22</v>
      </c>
      <c r="E239" s="2">
        <v>3.4</v>
      </c>
      <c r="F239" s="2" t="s">
        <v>22</v>
      </c>
      <c r="G239" s="2" t="s">
        <v>83</v>
      </c>
      <c r="H239" s="2">
        <v>7500</v>
      </c>
      <c r="I239" s="50"/>
      <c r="K239" s="3"/>
      <c r="L239" s="2"/>
      <c r="M239" s="2"/>
      <c r="N239" s="2"/>
      <c r="O239" s="2"/>
      <c r="P239" s="2"/>
      <c r="Q239" s="2"/>
      <c r="R239" s="2"/>
    </row>
    <row r="240" spans="1:18" ht="16">
      <c r="A240" s="3">
        <v>239</v>
      </c>
      <c r="B240" s="2" t="s">
        <v>4</v>
      </c>
      <c r="C240" s="2" t="s">
        <v>37</v>
      </c>
      <c r="D240" s="2" t="s">
        <v>3</v>
      </c>
      <c r="E240" s="2">
        <v>3.7</v>
      </c>
      <c r="F240" s="2" t="s">
        <v>3</v>
      </c>
      <c r="G240" s="2" t="s">
        <v>95</v>
      </c>
      <c r="H240" s="2">
        <v>7600</v>
      </c>
      <c r="I240" s="50"/>
      <c r="K240" s="3"/>
      <c r="L240" s="2"/>
      <c r="M240" s="2"/>
      <c r="N240" s="2"/>
      <c r="O240" s="2"/>
      <c r="P240" s="2"/>
      <c r="Q240" s="2"/>
      <c r="R240" s="2"/>
    </row>
    <row r="241" spans="1:18" ht="16">
      <c r="A241" s="3">
        <v>240</v>
      </c>
      <c r="B241" s="2" t="s">
        <v>107</v>
      </c>
      <c r="C241" s="2" t="s">
        <v>37</v>
      </c>
      <c r="D241" s="2" t="s">
        <v>8</v>
      </c>
      <c r="E241" s="2">
        <v>3</v>
      </c>
      <c r="F241" s="2" t="s">
        <v>75</v>
      </c>
      <c r="G241" s="2" t="s">
        <v>83</v>
      </c>
      <c r="H241" s="2">
        <v>5700</v>
      </c>
      <c r="I241" s="50"/>
      <c r="K241" s="3"/>
      <c r="L241" s="2"/>
      <c r="M241" s="2"/>
      <c r="N241" s="2"/>
      <c r="O241" s="2"/>
      <c r="P241" s="2"/>
      <c r="Q241" s="2"/>
      <c r="R241" s="2"/>
    </row>
    <row r="242" spans="1:18" ht="16">
      <c r="A242" s="3">
        <v>241</v>
      </c>
      <c r="B242" s="2" t="s">
        <v>4</v>
      </c>
      <c r="C242" s="2" t="s">
        <v>38</v>
      </c>
      <c r="D242" s="2" t="s">
        <v>22</v>
      </c>
      <c r="E242" s="2">
        <v>3.7</v>
      </c>
      <c r="F242" s="2" t="s">
        <v>22</v>
      </c>
      <c r="G242" s="2" t="s">
        <v>98</v>
      </c>
      <c r="H242" s="2">
        <v>7600</v>
      </c>
      <c r="I242" s="50"/>
      <c r="K242" s="3"/>
      <c r="L242" s="2"/>
      <c r="M242" s="2"/>
      <c r="N242" s="2"/>
      <c r="O242" s="2"/>
      <c r="P242" s="2"/>
      <c r="Q242" s="2"/>
      <c r="R242" s="2"/>
    </row>
    <row r="243" spans="1:18" ht="16">
      <c r="A243" s="3">
        <v>242</v>
      </c>
      <c r="B243" s="2" t="s">
        <v>4</v>
      </c>
      <c r="C243" s="2" t="s">
        <v>38</v>
      </c>
      <c r="D243" s="2" t="s">
        <v>28</v>
      </c>
      <c r="E243" s="2">
        <v>1.8</v>
      </c>
      <c r="F243" s="2" t="s">
        <v>28</v>
      </c>
      <c r="G243" s="2" t="s">
        <v>85</v>
      </c>
      <c r="H243" s="2">
        <v>5700</v>
      </c>
      <c r="I243" s="50"/>
      <c r="K243" s="3"/>
      <c r="L243" s="2"/>
      <c r="M243" s="2"/>
      <c r="N243" s="2"/>
      <c r="O243" s="2"/>
      <c r="P243" s="2"/>
      <c r="Q243" s="2"/>
      <c r="R243" s="2"/>
    </row>
    <row r="244" spans="1:18" ht="16">
      <c r="A244" s="3">
        <v>243</v>
      </c>
      <c r="B244" s="2" t="s">
        <v>4</v>
      </c>
      <c r="C244" s="2" t="s">
        <v>38</v>
      </c>
      <c r="D244" s="2" t="s">
        <v>3</v>
      </c>
      <c r="E244" s="2">
        <v>2</v>
      </c>
      <c r="F244" s="2" t="s">
        <v>3</v>
      </c>
      <c r="G244" s="2" t="s">
        <v>87</v>
      </c>
      <c r="H244" s="2">
        <v>5800</v>
      </c>
      <c r="I244" s="50"/>
      <c r="K244" s="3"/>
      <c r="L244" s="2"/>
      <c r="M244" s="2"/>
      <c r="N244" s="2"/>
      <c r="O244" s="2"/>
      <c r="P244" s="2"/>
      <c r="Q244" s="2"/>
      <c r="R244" s="2"/>
    </row>
    <row r="245" spans="1:18" ht="16">
      <c r="A245" s="3">
        <v>244</v>
      </c>
      <c r="B245" s="2" t="s">
        <v>4</v>
      </c>
      <c r="C245" s="2" t="s">
        <v>38</v>
      </c>
      <c r="D245" s="2" t="s">
        <v>18</v>
      </c>
      <c r="E245" s="2">
        <v>2</v>
      </c>
      <c r="F245" s="2" t="s">
        <v>97</v>
      </c>
      <c r="G245" s="2" t="s">
        <v>87</v>
      </c>
      <c r="H245" s="2">
        <v>6300</v>
      </c>
      <c r="I245" s="50"/>
      <c r="K245" s="3"/>
      <c r="L245" s="2"/>
      <c r="M245" s="2"/>
      <c r="N245" s="2"/>
      <c r="O245" s="2"/>
      <c r="P245" s="2"/>
      <c r="Q245" s="2"/>
      <c r="R245" s="2"/>
    </row>
    <row r="246" spans="1:18" ht="16">
      <c r="A246" s="3">
        <v>245</v>
      </c>
      <c r="B246" s="2" t="s">
        <v>4</v>
      </c>
      <c r="C246" s="2" t="s">
        <v>38</v>
      </c>
      <c r="D246" s="2" t="s">
        <v>8</v>
      </c>
      <c r="E246" s="2">
        <v>1.6</v>
      </c>
      <c r="F246" s="2" t="s">
        <v>88</v>
      </c>
      <c r="G246" s="2" t="s">
        <v>89</v>
      </c>
      <c r="H246" s="2">
        <v>6000</v>
      </c>
      <c r="I246" s="50"/>
      <c r="K246" s="3"/>
      <c r="L246" s="2"/>
      <c r="M246" s="2"/>
      <c r="N246" s="2"/>
      <c r="O246" s="2"/>
      <c r="P246" s="2"/>
      <c r="Q246" s="2"/>
      <c r="R246" s="2"/>
    </row>
    <row r="247" spans="1:18" ht="16">
      <c r="A247" s="3">
        <v>246</v>
      </c>
      <c r="B247" s="2" t="s">
        <v>1</v>
      </c>
      <c r="C247" s="2" t="s">
        <v>38</v>
      </c>
      <c r="D247" s="2" t="s">
        <v>3</v>
      </c>
      <c r="E247" s="2">
        <v>1.5</v>
      </c>
      <c r="F247" s="2" t="s">
        <v>3</v>
      </c>
      <c r="G247" s="2" t="s">
        <v>90</v>
      </c>
      <c r="H247" s="2">
        <v>6000</v>
      </c>
      <c r="I247" s="50"/>
      <c r="K247" s="3"/>
      <c r="L247" s="2"/>
      <c r="M247" s="2"/>
      <c r="N247" s="2"/>
      <c r="O247" s="2"/>
      <c r="P247" s="2"/>
      <c r="Q247" s="2"/>
      <c r="R247" s="2"/>
    </row>
    <row r="248" spans="1:18" ht="16">
      <c r="A248" s="3">
        <v>247</v>
      </c>
      <c r="B248" s="2" t="s">
        <v>4</v>
      </c>
      <c r="C248" s="2" t="s">
        <v>38</v>
      </c>
      <c r="D248" s="2" t="s">
        <v>17</v>
      </c>
      <c r="E248" s="2">
        <v>2.9</v>
      </c>
      <c r="F248" s="2" t="s">
        <v>99</v>
      </c>
      <c r="G248" s="2" t="s">
        <v>89</v>
      </c>
      <c r="H248" s="2">
        <v>7000</v>
      </c>
      <c r="I248" s="50"/>
      <c r="K248" s="3"/>
      <c r="L248" s="2"/>
      <c r="M248" s="2"/>
      <c r="N248" s="2"/>
      <c r="O248" s="2"/>
      <c r="P248" s="2"/>
      <c r="Q248" s="2"/>
      <c r="R248" s="2"/>
    </row>
    <row r="249" spans="1:18" ht="16">
      <c r="A249" s="3">
        <v>248</v>
      </c>
      <c r="B249" s="2" t="s">
        <v>1</v>
      </c>
      <c r="C249" s="2" t="s">
        <v>38</v>
      </c>
      <c r="D249" s="2" t="s">
        <v>3</v>
      </c>
      <c r="E249" s="2">
        <v>2.2999999999999998</v>
      </c>
      <c r="F249" s="2" t="s">
        <v>3</v>
      </c>
      <c r="G249" s="2" t="s">
        <v>90</v>
      </c>
      <c r="H249" s="2">
        <v>6800</v>
      </c>
      <c r="I249" s="50"/>
      <c r="K249" s="3"/>
      <c r="L249" s="2"/>
      <c r="M249" s="2"/>
      <c r="N249" s="2"/>
      <c r="O249" s="2"/>
      <c r="P249" s="2"/>
      <c r="Q249" s="2"/>
      <c r="R249" s="2"/>
    </row>
    <row r="250" spans="1:18" ht="16">
      <c r="A250" s="3">
        <v>249</v>
      </c>
      <c r="B250" s="2" t="s">
        <v>4</v>
      </c>
      <c r="C250" s="2" t="s">
        <v>38</v>
      </c>
      <c r="D250" s="2" t="s">
        <v>17</v>
      </c>
      <c r="E250" s="2">
        <v>3.3</v>
      </c>
      <c r="F250" s="2" t="s">
        <v>97</v>
      </c>
      <c r="G250" s="2" t="s">
        <v>113</v>
      </c>
      <c r="H250" s="2">
        <v>7000</v>
      </c>
      <c r="I250" s="50"/>
      <c r="K250" s="3"/>
      <c r="L250" s="2"/>
      <c r="M250" s="2"/>
      <c r="N250" s="2"/>
      <c r="O250" s="2"/>
      <c r="P250" s="2"/>
      <c r="Q250" s="2"/>
      <c r="R250" s="2"/>
    </row>
    <row r="251" spans="1:18" ht="16">
      <c r="A251" s="3">
        <v>250</v>
      </c>
      <c r="B251" s="2" t="s">
        <v>1</v>
      </c>
      <c r="C251" s="2" t="s">
        <v>38</v>
      </c>
      <c r="D251" s="2" t="s">
        <v>22</v>
      </c>
      <c r="E251" s="2">
        <v>3.6</v>
      </c>
      <c r="F251" s="2" t="s">
        <v>22</v>
      </c>
      <c r="G251" s="2" t="s">
        <v>89</v>
      </c>
      <c r="H251" s="2">
        <v>9000</v>
      </c>
      <c r="I251" s="50"/>
      <c r="K251" s="3"/>
      <c r="L251" s="2"/>
      <c r="M251" s="2"/>
      <c r="N251" s="2"/>
      <c r="O251" s="2"/>
      <c r="P251" s="2"/>
      <c r="Q251" s="2"/>
      <c r="R251" s="2"/>
    </row>
    <row r="252" spans="1:18" ht="16">
      <c r="A252" s="3">
        <v>251</v>
      </c>
      <c r="B252" s="2" t="s">
        <v>1</v>
      </c>
      <c r="C252" s="2" t="s">
        <v>38</v>
      </c>
      <c r="D252" s="2" t="s">
        <v>9</v>
      </c>
      <c r="E252" s="2">
        <v>2.7</v>
      </c>
      <c r="F252" s="2" t="s">
        <v>88</v>
      </c>
      <c r="G252" s="2" t="s">
        <v>89</v>
      </c>
      <c r="H252" s="2">
        <v>6800</v>
      </c>
      <c r="I252" s="50"/>
      <c r="K252" s="3"/>
      <c r="L252" s="2"/>
      <c r="M252" s="2"/>
      <c r="N252" s="2"/>
      <c r="O252" s="2"/>
      <c r="P252" s="2"/>
      <c r="Q252" s="2"/>
      <c r="R252" s="2"/>
    </row>
    <row r="253" spans="1:18" ht="16">
      <c r="A253" s="3">
        <v>252</v>
      </c>
      <c r="B253" s="2" t="s">
        <v>1</v>
      </c>
      <c r="C253" s="2" t="s">
        <v>38</v>
      </c>
      <c r="D253" s="2" t="s">
        <v>22</v>
      </c>
      <c r="E253" s="2">
        <v>1.8</v>
      </c>
      <c r="F253" s="2" t="s">
        <v>22</v>
      </c>
      <c r="G253" s="2" t="s">
        <v>89</v>
      </c>
      <c r="H253" s="2">
        <v>5400</v>
      </c>
      <c r="I253" s="50"/>
      <c r="K253" s="3"/>
      <c r="L253" s="2"/>
      <c r="M253" s="2"/>
      <c r="N253" s="2"/>
      <c r="O253" s="2"/>
      <c r="P253" s="2"/>
      <c r="Q253" s="2"/>
      <c r="R253" s="2"/>
    </row>
    <row r="254" spans="1:18" ht="16">
      <c r="A254" s="3">
        <v>253</v>
      </c>
      <c r="B254" s="2" t="s">
        <v>4</v>
      </c>
      <c r="C254" s="2" t="s">
        <v>38</v>
      </c>
      <c r="D254" s="2" t="s">
        <v>17</v>
      </c>
      <c r="E254" s="2">
        <v>3.7</v>
      </c>
      <c r="F254" s="2" t="s">
        <v>96</v>
      </c>
      <c r="G254" s="2" t="s">
        <v>89</v>
      </c>
      <c r="H254" s="2">
        <v>8500</v>
      </c>
      <c r="I254" s="50"/>
      <c r="K254" s="3"/>
      <c r="L254" s="2"/>
      <c r="M254" s="2"/>
      <c r="N254" s="2"/>
      <c r="O254" s="2"/>
      <c r="P254" s="2"/>
      <c r="Q254" s="2"/>
      <c r="R254" s="2"/>
    </row>
    <row r="255" spans="1:18" ht="16">
      <c r="A255" s="3">
        <v>254</v>
      </c>
      <c r="B255" s="2" t="s">
        <v>1</v>
      </c>
      <c r="C255" s="2" t="s">
        <v>38</v>
      </c>
      <c r="D255" s="2" t="s">
        <v>11</v>
      </c>
      <c r="E255" s="2">
        <v>2.4</v>
      </c>
      <c r="F255" s="2" t="s">
        <v>11</v>
      </c>
      <c r="G255" s="2" t="s">
        <v>113</v>
      </c>
      <c r="H255" s="2">
        <v>6400</v>
      </c>
      <c r="I255" s="50"/>
      <c r="K255" s="3"/>
      <c r="L255" s="2"/>
      <c r="M255" s="2"/>
      <c r="N255" s="2"/>
      <c r="O255" s="2"/>
      <c r="P255" s="2"/>
      <c r="Q255" s="2"/>
      <c r="R255" s="2"/>
    </row>
    <row r="256" spans="1:18" ht="16">
      <c r="A256" s="3">
        <v>255</v>
      </c>
      <c r="B256" s="2" t="s">
        <v>1</v>
      </c>
      <c r="C256" s="2" t="s">
        <v>38</v>
      </c>
      <c r="D256" s="2" t="s">
        <v>14</v>
      </c>
      <c r="E256" s="2">
        <v>3.6</v>
      </c>
      <c r="F256" s="2" t="s">
        <v>111</v>
      </c>
      <c r="G256" s="2" t="s">
        <v>89</v>
      </c>
      <c r="H256" s="2">
        <v>8500</v>
      </c>
      <c r="I256" s="50"/>
      <c r="K256" s="3"/>
      <c r="L256" s="2"/>
      <c r="M256" s="2"/>
      <c r="N256" s="2"/>
      <c r="O256" s="2"/>
      <c r="P256" s="2"/>
      <c r="Q256" s="2"/>
      <c r="R256" s="2"/>
    </row>
    <row r="257" spans="1:18" ht="16">
      <c r="A257" s="3">
        <v>256</v>
      </c>
      <c r="B257" s="2" t="s">
        <v>4</v>
      </c>
      <c r="C257" s="2" t="s">
        <v>38</v>
      </c>
      <c r="D257" s="2" t="s">
        <v>8</v>
      </c>
      <c r="E257" s="2">
        <v>3.4</v>
      </c>
      <c r="F257" s="2" t="s">
        <v>75</v>
      </c>
      <c r="G257" s="2" t="s">
        <v>90</v>
      </c>
      <c r="H257" s="2">
        <v>7600</v>
      </c>
      <c r="I257" s="50"/>
      <c r="K257" s="3"/>
      <c r="L257" s="2"/>
      <c r="M257" s="2"/>
      <c r="N257" s="2"/>
      <c r="O257" s="2"/>
      <c r="P257" s="2"/>
      <c r="Q257" s="2"/>
      <c r="R257" s="2"/>
    </row>
    <row r="258" spans="1:18" ht="16">
      <c r="A258" s="3">
        <v>257</v>
      </c>
      <c r="B258" s="2" t="s">
        <v>1</v>
      </c>
      <c r="C258" s="2" t="s">
        <v>38</v>
      </c>
      <c r="D258" s="2" t="s">
        <v>3</v>
      </c>
      <c r="E258" s="2">
        <v>1.8</v>
      </c>
      <c r="F258" s="2" t="s">
        <v>3</v>
      </c>
      <c r="G258" s="2" t="s">
        <v>73</v>
      </c>
      <c r="H258" s="2">
        <v>6400</v>
      </c>
      <c r="I258" s="50"/>
      <c r="K258" s="3"/>
      <c r="L258" s="2"/>
      <c r="M258" s="2"/>
      <c r="N258" s="2"/>
      <c r="O258" s="2"/>
      <c r="P258" s="2"/>
      <c r="Q258" s="2"/>
      <c r="R258" s="2"/>
    </row>
    <row r="259" spans="1:18" ht="16">
      <c r="A259" s="3">
        <v>258</v>
      </c>
      <c r="B259" s="2" t="s">
        <v>1</v>
      </c>
      <c r="C259" s="2" t="s">
        <v>38</v>
      </c>
      <c r="D259" s="2" t="s">
        <v>3</v>
      </c>
      <c r="E259" s="2">
        <v>2</v>
      </c>
      <c r="F259" s="2" t="s">
        <v>3</v>
      </c>
      <c r="G259" s="2" t="s">
        <v>92</v>
      </c>
      <c r="H259" s="2">
        <v>6700</v>
      </c>
      <c r="I259" s="50"/>
      <c r="K259" s="3"/>
      <c r="L259" s="2"/>
      <c r="M259" s="2"/>
      <c r="N259" s="2"/>
      <c r="O259" s="2"/>
      <c r="P259" s="2"/>
      <c r="Q259" s="2"/>
      <c r="R259" s="2"/>
    </row>
    <row r="260" spans="1:18" ht="16">
      <c r="A260" s="3">
        <v>259</v>
      </c>
      <c r="B260" s="2" t="s">
        <v>1</v>
      </c>
      <c r="C260" s="2" t="s">
        <v>38</v>
      </c>
      <c r="D260" s="2" t="s">
        <v>10</v>
      </c>
      <c r="E260" s="2">
        <v>2.5</v>
      </c>
      <c r="F260" s="2" t="s">
        <v>75</v>
      </c>
      <c r="G260" s="2" t="s">
        <v>114</v>
      </c>
      <c r="H260" s="2">
        <v>6500</v>
      </c>
      <c r="I260" s="50"/>
      <c r="K260" s="3"/>
      <c r="L260" s="2"/>
      <c r="M260" s="2"/>
      <c r="N260" s="2"/>
      <c r="O260" s="2"/>
      <c r="P260" s="2"/>
      <c r="Q260" s="2"/>
      <c r="R260" s="2"/>
    </row>
    <row r="261" spans="1:18" ht="16">
      <c r="A261" s="3">
        <v>260</v>
      </c>
      <c r="B261" s="2" t="s">
        <v>4</v>
      </c>
      <c r="C261" s="2" t="s">
        <v>38</v>
      </c>
      <c r="D261" s="2" t="s">
        <v>24</v>
      </c>
      <c r="E261" s="2">
        <v>1.5</v>
      </c>
      <c r="F261" s="2" t="s">
        <v>24</v>
      </c>
      <c r="G261" s="2" t="s">
        <v>92</v>
      </c>
      <c r="H261" s="2">
        <v>5900</v>
      </c>
      <c r="I261" s="50"/>
      <c r="K261" s="3"/>
      <c r="L261" s="2"/>
      <c r="M261" s="2"/>
      <c r="N261" s="2"/>
      <c r="O261" s="2"/>
      <c r="P261" s="2"/>
      <c r="Q261" s="2"/>
      <c r="R261" s="2"/>
    </row>
    <row r="262" spans="1:18" ht="16">
      <c r="A262" s="3">
        <v>261</v>
      </c>
      <c r="B262" s="2" t="s">
        <v>4</v>
      </c>
      <c r="C262" s="2" t="s">
        <v>38</v>
      </c>
      <c r="D262" s="2" t="s">
        <v>19</v>
      </c>
      <c r="E262" s="2">
        <v>2.1</v>
      </c>
      <c r="F262" s="2" t="s">
        <v>19</v>
      </c>
      <c r="G262" s="2" t="s">
        <v>114</v>
      </c>
      <c r="H262" s="2">
        <v>5600</v>
      </c>
      <c r="I262" s="50"/>
      <c r="K262" s="3"/>
      <c r="L262" s="2"/>
      <c r="M262" s="2"/>
      <c r="N262" s="2"/>
      <c r="O262" s="2"/>
      <c r="P262" s="2"/>
      <c r="Q262" s="2"/>
      <c r="R262" s="2"/>
    </row>
    <row r="263" spans="1:18" ht="16">
      <c r="A263" s="3">
        <v>262</v>
      </c>
      <c r="B263" s="2" t="s">
        <v>4</v>
      </c>
      <c r="C263" s="2" t="s">
        <v>38</v>
      </c>
      <c r="D263" s="2" t="s">
        <v>11</v>
      </c>
      <c r="E263" s="2">
        <v>2.2999999999999998</v>
      </c>
      <c r="F263" s="2" t="s">
        <v>88</v>
      </c>
      <c r="G263" s="2" t="s">
        <v>92</v>
      </c>
      <c r="H263" s="2">
        <v>6600</v>
      </c>
      <c r="I263" s="50"/>
      <c r="K263" s="3"/>
      <c r="L263" s="2"/>
      <c r="M263" s="2"/>
      <c r="N263" s="2"/>
      <c r="O263" s="2"/>
      <c r="P263" s="2"/>
      <c r="Q263" s="2"/>
      <c r="R263" s="2"/>
    </row>
    <row r="264" spans="1:18" ht="16">
      <c r="A264" s="3">
        <v>263</v>
      </c>
      <c r="B264" s="2" t="s">
        <v>1</v>
      </c>
      <c r="C264" s="2" t="s">
        <v>38</v>
      </c>
      <c r="D264" s="2" t="s">
        <v>18</v>
      </c>
      <c r="E264" s="2">
        <v>2.8</v>
      </c>
      <c r="F264" s="2" t="s">
        <v>96</v>
      </c>
      <c r="G264" s="2" t="s">
        <v>73</v>
      </c>
      <c r="H264" s="2">
        <v>7100</v>
      </c>
      <c r="I264" s="50"/>
      <c r="K264" s="3"/>
      <c r="L264" s="2"/>
      <c r="M264" s="2"/>
      <c r="N264" s="2"/>
      <c r="O264" s="2"/>
      <c r="P264" s="2"/>
      <c r="Q264" s="2"/>
      <c r="R264" s="2"/>
    </row>
    <row r="265" spans="1:18" ht="16">
      <c r="A265" s="3">
        <v>264</v>
      </c>
      <c r="B265" s="2" t="s">
        <v>4</v>
      </c>
      <c r="C265" s="2" t="s">
        <v>38</v>
      </c>
      <c r="D265" s="2" t="s">
        <v>16</v>
      </c>
      <c r="E265" s="2">
        <v>3.3</v>
      </c>
      <c r="F265" s="2" t="s">
        <v>88</v>
      </c>
      <c r="G265" s="2" t="s">
        <v>73</v>
      </c>
      <c r="H265" s="2">
        <v>7400</v>
      </c>
      <c r="I265" s="50"/>
      <c r="K265" s="3"/>
      <c r="L265" s="2"/>
      <c r="M265" s="2"/>
      <c r="N265" s="2"/>
      <c r="O265" s="2"/>
      <c r="P265" s="2"/>
      <c r="Q265" s="2"/>
      <c r="R265" s="2"/>
    </row>
    <row r="266" spans="1:18" ht="16">
      <c r="A266" s="3">
        <v>265</v>
      </c>
      <c r="B266" s="2" t="s">
        <v>1</v>
      </c>
      <c r="C266" s="2" t="s">
        <v>38</v>
      </c>
      <c r="D266" s="2" t="s">
        <v>25</v>
      </c>
      <c r="E266" s="2">
        <v>2.8</v>
      </c>
      <c r="F266" s="2" t="s">
        <v>25</v>
      </c>
      <c r="G266" s="2" t="s">
        <v>92</v>
      </c>
      <c r="H266" s="2">
        <v>6500</v>
      </c>
      <c r="I266" s="50"/>
      <c r="K266" s="3"/>
      <c r="L266" s="2"/>
      <c r="M266" s="2"/>
      <c r="N266" s="2"/>
      <c r="O266" s="2"/>
      <c r="P266" s="2"/>
      <c r="Q266" s="2"/>
      <c r="R266" s="2"/>
    </row>
    <row r="267" spans="1:18" ht="16">
      <c r="A267" s="3">
        <v>266</v>
      </c>
      <c r="B267" s="2" t="s">
        <v>4</v>
      </c>
      <c r="C267" s="2" t="s">
        <v>38</v>
      </c>
      <c r="D267" s="2" t="s">
        <v>19</v>
      </c>
      <c r="E267" s="2">
        <v>3</v>
      </c>
      <c r="F267" s="2" t="s">
        <v>19</v>
      </c>
      <c r="G267" s="2" t="s">
        <v>73</v>
      </c>
      <c r="H267" s="2">
        <v>6700</v>
      </c>
      <c r="I267" s="50"/>
      <c r="K267" s="3"/>
      <c r="L267" s="2"/>
      <c r="M267" s="2"/>
      <c r="N267" s="2"/>
      <c r="O267" s="2"/>
      <c r="P267" s="2"/>
      <c r="Q267" s="2"/>
      <c r="R267" s="2"/>
    </row>
    <row r="268" spans="1:18" ht="16">
      <c r="A268" s="3">
        <v>267</v>
      </c>
      <c r="B268" s="2" t="s">
        <v>4</v>
      </c>
      <c r="C268" s="2" t="s">
        <v>38</v>
      </c>
      <c r="D268" s="2" t="s">
        <v>9</v>
      </c>
      <c r="E268" s="2">
        <v>3.4</v>
      </c>
      <c r="F268" s="2" t="s">
        <v>75</v>
      </c>
      <c r="G268" s="2" t="s">
        <v>73</v>
      </c>
      <c r="H268" s="2">
        <v>7100</v>
      </c>
      <c r="I268" s="50"/>
      <c r="K268" s="3"/>
      <c r="L268" s="2"/>
      <c r="M268" s="2"/>
      <c r="N268" s="2"/>
      <c r="O268" s="2"/>
      <c r="P268" s="2"/>
      <c r="Q268" s="2"/>
      <c r="R268" s="2"/>
    </row>
    <row r="269" spans="1:18" ht="16">
      <c r="A269" s="3">
        <v>268</v>
      </c>
      <c r="B269" s="2" t="s">
        <v>4</v>
      </c>
      <c r="C269" s="2" t="s">
        <v>38</v>
      </c>
      <c r="D269" s="2" t="s">
        <v>26</v>
      </c>
      <c r="E269" s="2">
        <v>3.5</v>
      </c>
      <c r="F269" s="2" t="s">
        <v>91</v>
      </c>
      <c r="G269" s="2" t="s">
        <v>100</v>
      </c>
      <c r="H269" s="2">
        <v>7900</v>
      </c>
      <c r="I269" s="50"/>
      <c r="K269" s="3"/>
      <c r="L269" s="2"/>
      <c r="M269" s="2"/>
      <c r="N269" s="2"/>
      <c r="O269" s="2"/>
      <c r="P269" s="2"/>
      <c r="Q269" s="2"/>
      <c r="R269" s="2"/>
    </row>
    <row r="270" spans="1:18" ht="16">
      <c r="A270" s="3">
        <v>269</v>
      </c>
      <c r="B270" s="2" t="s">
        <v>1</v>
      </c>
      <c r="C270" s="2" t="s">
        <v>38</v>
      </c>
      <c r="D270" s="2" t="s">
        <v>9</v>
      </c>
      <c r="E270" s="2">
        <v>1.5</v>
      </c>
      <c r="F270" s="2" t="s">
        <v>75</v>
      </c>
      <c r="G270" s="2" t="s">
        <v>76</v>
      </c>
      <c r="H270" s="2">
        <v>5600</v>
      </c>
      <c r="I270" s="50"/>
      <c r="K270" s="3"/>
      <c r="L270" s="2"/>
      <c r="M270" s="2"/>
      <c r="N270" s="2"/>
      <c r="O270" s="2"/>
      <c r="P270" s="2"/>
      <c r="Q270" s="2"/>
      <c r="R270" s="2"/>
    </row>
    <row r="271" spans="1:18" ht="16">
      <c r="A271" s="3">
        <v>270</v>
      </c>
      <c r="B271" s="2" t="s">
        <v>1</v>
      </c>
      <c r="C271" s="2" t="s">
        <v>38</v>
      </c>
      <c r="D271" s="2" t="s">
        <v>7</v>
      </c>
      <c r="E271" s="2">
        <v>3.7</v>
      </c>
      <c r="F271" s="2" t="s">
        <v>88</v>
      </c>
      <c r="G271" s="2" t="s">
        <v>76</v>
      </c>
      <c r="H271" s="2">
        <v>7900</v>
      </c>
      <c r="I271" s="50"/>
      <c r="K271" s="3"/>
      <c r="L271" s="2"/>
      <c r="M271" s="2"/>
      <c r="N271" s="2"/>
      <c r="O271" s="2"/>
      <c r="P271" s="2"/>
      <c r="Q271" s="2"/>
      <c r="R271" s="2"/>
    </row>
    <row r="272" spans="1:18" ht="16">
      <c r="A272" s="3">
        <v>271</v>
      </c>
      <c r="B272" s="2" t="s">
        <v>4</v>
      </c>
      <c r="C272" s="2" t="s">
        <v>38</v>
      </c>
      <c r="D272" s="2" t="s">
        <v>14</v>
      </c>
      <c r="E272" s="2">
        <v>2.2999999999999998</v>
      </c>
      <c r="F272" s="2" t="s">
        <v>14</v>
      </c>
      <c r="G272" s="2" t="s">
        <v>76</v>
      </c>
      <c r="H272" s="2">
        <v>7000</v>
      </c>
      <c r="I272" s="50"/>
      <c r="K272" s="3"/>
      <c r="L272" s="2"/>
      <c r="M272" s="2"/>
      <c r="N272" s="2"/>
      <c r="O272" s="2"/>
      <c r="P272" s="2"/>
      <c r="Q272" s="2"/>
      <c r="R272" s="2"/>
    </row>
    <row r="273" spans="1:18" ht="16">
      <c r="A273" s="3">
        <v>272</v>
      </c>
      <c r="B273" s="2" t="s">
        <v>1</v>
      </c>
      <c r="C273" s="2" t="s">
        <v>38</v>
      </c>
      <c r="D273" s="2" t="s">
        <v>2</v>
      </c>
      <c r="E273" s="2">
        <v>2.1</v>
      </c>
      <c r="F273" s="2" t="s">
        <v>75</v>
      </c>
      <c r="G273" s="2" t="s">
        <v>79</v>
      </c>
      <c r="H273" s="2">
        <v>6500</v>
      </c>
      <c r="I273" s="50"/>
      <c r="K273" s="3"/>
      <c r="L273" s="2"/>
      <c r="M273" s="2"/>
      <c r="N273" s="2"/>
      <c r="O273" s="2"/>
      <c r="P273" s="2"/>
      <c r="Q273" s="2"/>
      <c r="R273" s="2"/>
    </row>
    <row r="274" spans="1:18" ht="16">
      <c r="A274" s="3">
        <v>273</v>
      </c>
      <c r="B274" s="2" t="s">
        <v>1</v>
      </c>
      <c r="C274" s="2" t="s">
        <v>38</v>
      </c>
      <c r="D274" s="2" t="s">
        <v>17</v>
      </c>
      <c r="E274" s="2">
        <v>3.7</v>
      </c>
      <c r="F274" s="2" t="s">
        <v>88</v>
      </c>
      <c r="G274" s="2" t="s">
        <v>79</v>
      </c>
      <c r="H274" s="2">
        <v>7100</v>
      </c>
      <c r="I274" s="50"/>
      <c r="K274" s="3"/>
      <c r="L274" s="2"/>
      <c r="M274" s="2"/>
      <c r="N274" s="2"/>
      <c r="O274" s="2"/>
      <c r="P274" s="2"/>
      <c r="Q274" s="2"/>
      <c r="R274" s="2"/>
    </row>
    <row r="275" spans="1:18" ht="16">
      <c r="A275" s="3">
        <v>274</v>
      </c>
      <c r="B275" s="2" t="s">
        <v>4</v>
      </c>
      <c r="C275" s="2" t="s">
        <v>38</v>
      </c>
      <c r="D275" s="2" t="s">
        <v>20</v>
      </c>
      <c r="E275" s="2">
        <v>3.7</v>
      </c>
      <c r="F275" s="2" t="s">
        <v>88</v>
      </c>
      <c r="G275" s="2" t="s">
        <v>115</v>
      </c>
      <c r="H275" s="2">
        <v>7800</v>
      </c>
      <c r="I275" s="50"/>
      <c r="K275" s="3"/>
      <c r="L275" s="2"/>
      <c r="M275" s="2"/>
      <c r="N275" s="2"/>
      <c r="O275" s="2"/>
      <c r="P275" s="2"/>
      <c r="Q275" s="2"/>
      <c r="R275" s="2"/>
    </row>
    <row r="276" spans="1:18" ht="16">
      <c r="A276" s="3">
        <v>275</v>
      </c>
      <c r="B276" s="2" t="s">
        <v>4</v>
      </c>
      <c r="C276" s="2" t="s">
        <v>38</v>
      </c>
      <c r="D276" s="2" t="s">
        <v>5</v>
      </c>
      <c r="E276" s="2">
        <v>3.6</v>
      </c>
      <c r="F276" s="2" t="s">
        <v>5</v>
      </c>
      <c r="G276" s="2" t="s">
        <v>115</v>
      </c>
      <c r="H276" s="2">
        <v>7800</v>
      </c>
      <c r="I276" s="50"/>
      <c r="K276" s="3"/>
      <c r="L276" s="2"/>
      <c r="M276" s="2"/>
      <c r="N276" s="2"/>
      <c r="O276" s="2"/>
      <c r="P276" s="2"/>
      <c r="Q276" s="2"/>
      <c r="R276" s="2"/>
    </row>
    <row r="277" spans="1:18" ht="16">
      <c r="A277" s="3">
        <v>276</v>
      </c>
      <c r="B277" s="2" t="s">
        <v>4</v>
      </c>
      <c r="C277" s="2" t="s">
        <v>38</v>
      </c>
      <c r="D277" s="2" t="s">
        <v>11</v>
      </c>
      <c r="E277" s="2">
        <v>2.4</v>
      </c>
      <c r="F277" s="2" t="s">
        <v>11</v>
      </c>
      <c r="G277" s="2" t="s">
        <v>94</v>
      </c>
      <c r="H277" s="2">
        <v>6100</v>
      </c>
      <c r="I277" s="50"/>
      <c r="K277" s="3"/>
      <c r="L277" s="2"/>
      <c r="M277" s="2"/>
      <c r="N277" s="2"/>
      <c r="O277" s="2"/>
      <c r="P277" s="2"/>
      <c r="Q277" s="2"/>
      <c r="R277" s="2"/>
    </row>
    <row r="278" spans="1:18" ht="16">
      <c r="A278" s="3">
        <v>277</v>
      </c>
      <c r="B278" s="2" t="s">
        <v>4</v>
      </c>
      <c r="C278" s="2" t="s">
        <v>38</v>
      </c>
      <c r="D278" s="2" t="s">
        <v>11</v>
      </c>
      <c r="E278" s="2">
        <v>3</v>
      </c>
      <c r="F278" s="2" t="s">
        <v>88</v>
      </c>
      <c r="G278" s="2" t="s">
        <v>82</v>
      </c>
      <c r="H278" s="2">
        <v>6900</v>
      </c>
      <c r="I278" s="50"/>
      <c r="K278" s="3"/>
      <c r="L278" s="2"/>
      <c r="M278" s="2"/>
      <c r="N278" s="2"/>
      <c r="O278" s="2"/>
      <c r="P278" s="2"/>
      <c r="Q278" s="2"/>
      <c r="R278" s="2"/>
    </row>
    <row r="279" spans="1:18" ht="16">
      <c r="A279" s="3">
        <v>278</v>
      </c>
      <c r="B279" s="2" t="s">
        <v>1</v>
      </c>
      <c r="C279" s="2" t="s">
        <v>38</v>
      </c>
      <c r="D279" s="2" t="s">
        <v>8</v>
      </c>
      <c r="E279" s="2">
        <v>3.5</v>
      </c>
      <c r="F279" s="2" t="s">
        <v>88</v>
      </c>
      <c r="G279" s="2" t="s">
        <v>116</v>
      </c>
      <c r="H279" s="2">
        <v>7000</v>
      </c>
      <c r="I279" s="50"/>
      <c r="K279" s="3"/>
      <c r="L279" s="2"/>
      <c r="M279" s="2"/>
      <c r="N279" s="2"/>
      <c r="O279" s="2"/>
      <c r="P279" s="2"/>
      <c r="Q279" s="2"/>
      <c r="R279" s="2"/>
    </row>
    <row r="280" spans="1:18" ht="16">
      <c r="A280" s="3">
        <v>279</v>
      </c>
      <c r="B280" s="2" t="s">
        <v>1</v>
      </c>
      <c r="C280" s="2" t="s">
        <v>38</v>
      </c>
      <c r="D280" s="2" t="s">
        <v>3</v>
      </c>
      <c r="E280" s="2">
        <v>2.8</v>
      </c>
      <c r="F280" s="2" t="s">
        <v>75</v>
      </c>
      <c r="G280" s="2" t="s">
        <v>95</v>
      </c>
      <c r="H280" s="2">
        <v>6900</v>
      </c>
      <c r="I280" s="50"/>
      <c r="K280" s="3"/>
      <c r="L280" s="2"/>
      <c r="M280" s="2"/>
      <c r="N280" s="2"/>
      <c r="O280" s="2"/>
      <c r="P280" s="2"/>
      <c r="Q280" s="2"/>
      <c r="R280" s="2"/>
    </row>
    <row r="281" spans="1:18" ht="16">
      <c r="A281" s="3">
        <v>280</v>
      </c>
      <c r="B281" s="2" t="s">
        <v>1</v>
      </c>
      <c r="C281" s="2" t="s">
        <v>38</v>
      </c>
      <c r="D281" s="2" t="s">
        <v>3</v>
      </c>
      <c r="E281" s="2">
        <v>3.6</v>
      </c>
      <c r="F281" s="2" t="s">
        <v>3</v>
      </c>
      <c r="G281" s="2" t="s">
        <v>95</v>
      </c>
      <c r="H281" s="2">
        <v>7400</v>
      </c>
      <c r="I281" s="50"/>
      <c r="K281" s="3"/>
      <c r="L281" s="2"/>
      <c r="M281" s="2"/>
      <c r="N281" s="2"/>
      <c r="O281" s="2"/>
      <c r="P281" s="2"/>
      <c r="Q281" s="2"/>
      <c r="R281" s="2"/>
    </row>
    <row r="282" spans="1:18" ht="16">
      <c r="A282" s="3">
        <v>281</v>
      </c>
      <c r="B282" s="2" t="s">
        <v>1</v>
      </c>
      <c r="C282" s="2" t="s">
        <v>38</v>
      </c>
      <c r="D282" s="2" t="s">
        <v>3</v>
      </c>
      <c r="E282" s="2">
        <v>3.7</v>
      </c>
      <c r="F282" s="2" t="s">
        <v>3</v>
      </c>
      <c r="G282" s="2" t="s">
        <v>83</v>
      </c>
      <c r="H282" s="2">
        <v>7500</v>
      </c>
      <c r="I282" s="50"/>
      <c r="K282" s="3"/>
      <c r="L282" s="2"/>
      <c r="M282" s="2"/>
      <c r="N282" s="2"/>
      <c r="O282" s="2"/>
      <c r="P282" s="2"/>
      <c r="Q282" s="2"/>
      <c r="R282" s="2"/>
    </row>
    <row r="283" spans="1:18" ht="16">
      <c r="A283" s="3">
        <v>282</v>
      </c>
      <c r="B283" s="2" t="s">
        <v>1</v>
      </c>
      <c r="C283" s="2" t="s">
        <v>38</v>
      </c>
      <c r="D283" s="2" t="s">
        <v>26</v>
      </c>
      <c r="E283" s="2">
        <v>3.4</v>
      </c>
      <c r="F283" s="2" t="s">
        <v>26</v>
      </c>
      <c r="G283" s="2" t="s">
        <v>95</v>
      </c>
      <c r="H283" s="2">
        <v>5300</v>
      </c>
      <c r="I283" s="50"/>
      <c r="K283" s="3"/>
      <c r="L283" s="2"/>
      <c r="M283" s="2"/>
      <c r="N283" s="2"/>
      <c r="O283" s="2"/>
      <c r="P283" s="2"/>
      <c r="Q283" s="2"/>
      <c r="R283" s="2"/>
    </row>
    <row r="284" spans="1:18" ht="16">
      <c r="A284" s="3">
        <v>283</v>
      </c>
      <c r="B284" s="2" t="s">
        <v>4</v>
      </c>
      <c r="C284" s="2" t="s">
        <v>38</v>
      </c>
      <c r="D284" s="2" t="s">
        <v>27</v>
      </c>
      <c r="E284" s="2">
        <v>1.5</v>
      </c>
      <c r="F284" s="2" t="s">
        <v>88</v>
      </c>
      <c r="G284" s="2" t="s">
        <v>83</v>
      </c>
      <c r="H284" s="2">
        <v>6300</v>
      </c>
      <c r="I284" s="50"/>
      <c r="K284" s="3"/>
      <c r="L284" s="2"/>
      <c r="M284" s="2"/>
      <c r="N284" s="2"/>
      <c r="O284" s="2"/>
      <c r="P284" s="2"/>
      <c r="Q284" s="2"/>
      <c r="R284" s="2"/>
    </row>
    <row r="285" spans="1:18" ht="16">
      <c r="A285" s="3">
        <v>284</v>
      </c>
      <c r="B285" s="2" t="s">
        <v>1</v>
      </c>
      <c r="C285" s="2" t="s">
        <v>38</v>
      </c>
      <c r="D285" s="2" t="s">
        <v>26</v>
      </c>
      <c r="E285" s="2">
        <v>3.7</v>
      </c>
      <c r="F285" s="2" t="s">
        <v>26</v>
      </c>
      <c r="G285" s="2" t="s">
        <v>95</v>
      </c>
      <c r="H285" s="2">
        <v>7400</v>
      </c>
      <c r="I285" s="50"/>
      <c r="K285" s="3"/>
      <c r="L285" s="2"/>
      <c r="M285" s="2"/>
      <c r="N285" s="2"/>
      <c r="O285" s="2"/>
      <c r="P285" s="2"/>
      <c r="Q285" s="2"/>
      <c r="R285" s="2"/>
    </row>
    <row r="286" spans="1:18" ht="16">
      <c r="K286" s="3"/>
      <c r="L286" s="2"/>
      <c r="M286" s="2"/>
      <c r="N286" s="2"/>
      <c r="O286" s="2"/>
      <c r="P286" s="2"/>
      <c r="Q286" s="2"/>
      <c r="R286" s="2"/>
    </row>
    <row r="287" spans="1:18" ht="16">
      <c r="K287" s="3"/>
      <c r="L287" s="2"/>
      <c r="M287" s="2"/>
      <c r="N287" s="2"/>
      <c r="O287" s="2"/>
      <c r="P287" s="2"/>
      <c r="Q287" s="2"/>
      <c r="R287" s="2"/>
    </row>
    <row r="288" spans="1:18" ht="16">
      <c r="K288" s="3"/>
      <c r="L288" s="2"/>
      <c r="M288" s="2"/>
      <c r="N288" s="2"/>
      <c r="O288" s="2"/>
      <c r="P288" s="2"/>
      <c r="Q288" s="2"/>
      <c r="R288" s="2"/>
    </row>
    <row r="289" spans="11:18" ht="16">
      <c r="K289" s="3"/>
      <c r="L289" s="2"/>
      <c r="M289" s="2"/>
      <c r="N289" s="2"/>
      <c r="O289" s="2"/>
      <c r="P289" s="2"/>
      <c r="Q289" s="2"/>
      <c r="R289" s="2"/>
    </row>
    <row r="290" spans="11:18" ht="16">
      <c r="K290" s="3"/>
      <c r="L290" s="2"/>
      <c r="M290" s="2"/>
      <c r="N290" s="2"/>
      <c r="O290" s="2"/>
      <c r="P290" s="2"/>
      <c r="Q290" s="2"/>
      <c r="R290" s="2"/>
    </row>
    <row r="291" spans="11:18" ht="16">
      <c r="K291" s="3"/>
      <c r="L291" s="2"/>
      <c r="M291" s="2"/>
      <c r="N291" s="2"/>
      <c r="O291" s="2"/>
      <c r="P291" s="2"/>
      <c r="Q291" s="2"/>
      <c r="R291" s="2"/>
    </row>
    <row r="292" spans="11:18" ht="16">
      <c r="K292" s="3"/>
      <c r="L292" s="2"/>
      <c r="M292" s="2"/>
      <c r="N292" s="2"/>
      <c r="O292" s="2"/>
      <c r="P292" s="2"/>
      <c r="Q292" s="2"/>
      <c r="R292" s="2"/>
    </row>
  </sheetData>
  <phoneticPr fontId="9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Drop Down 2">
              <controlPr defaultSize="0" autoLine="0" autoPict="0">
                <anchor moveWithCells="1">
                  <from>
                    <xdr:col>15</xdr:col>
                    <xdr:colOff>368300</xdr:colOff>
                    <xdr:row>23</xdr:row>
                    <xdr:rowOff>19050</xdr:rowOff>
                  </from>
                  <to>
                    <xdr:col>16</xdr:col>
                    <xdr:colOff>577850</xdr:colOff>
                    <xdr:row>24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F10" sqref="F10"/>
    </sheetView>
  </sheetViews>
  <sheetFormatPr defaultRowHeight="14"/>
  <sheetData>
    <row r="1" spans="1:6">
      <c r="A1" s="5" t="s">
        <v>117</v>
      </c>
      <c r="B1" s="5" t="s">
        <v>118</v>
      </c>
      <c r="C1" t="s">
        <v>200</v>
      </c>
    </row>
    <row r="2" spans="1:6">
      <c r="A2" s="6">
        <v>1</v>
      </c>
      <c r="B2" s="6">
        <v>2251</v>
      </c>
      <c r="C2" t="str">
        <f t="shared" ref="C2:C4" ca="1" si="0">IF(A2&lt;=$F$3,"",AVERAGE(OFFSET(C2,-$F$3,-1,$F$3,1)))</f>
        <v/>
      </c>
    </row>
    <row r="3" spans="1:6">
      <c r="A3" s="6">
        <v>2</v>
      </c>
      <c r="B3" s="6">
        <v>2263</v>
      </c>
      <c r="C3" t="str">
        <f t="shared" ca="1" si="0"/>
        <v/>
      </c>
      <c r="E3" t="s">
        <v>196</v>
      </c>
      <c r="F3">
        <v>5</v>
      </c>
    </row>
    <row r="4" spans="1:6">
      <c r="A4" s="6">
        <v>3</v>
      </c>
      <c r="B4" s="6">
        <v>2263</v>
      </c>
      <c r="C4" t="str">
        <f t="shared" ca="1" si="0"/>
        <v/>
      </c>
      <c r="E4" t="s">
        <v>197</v>
      </c>
      <c r="F4">
        <f ca="1">SUMXMY2(B2:B10,C2:C10)/COUNT(C2:C10)</f>
        <v>66.58999999999952</v>
      </c>
    </row>
    <row r="5" spans="1:6">
      <c r="A5" s="6">
        <v>4</v>
      </c>
      <c r="B5" s="6">
        <v>2256</v>
      </c>
      <c r="C5" t="str">
        <f ca="1">IF(A5&lt;=$F$3,"",AVERAGE(OFFSET(C5,-$F$3,-1,$F$3,1)))</f>
        <v/>
      </c>
      <c r="E5" t="s">
        <v>198</v>
      </c>
      <c r="F5">
        <f>MIN(F12:F15)</f>
        <v>45.870370370369592</v>
      </c>
    </row>
    <row r="6" spans="1:6">
      <c r="A6" s="6">
        <v>5</v>
      </c>
      <c r="B6" s="6">
        <v>2259</v>
      </c>
      <c r="C6" t="str">
        <f t="shared" ref="C6:C11" ca="1" si="1">IF(A6&lt;=$F$3,"",AVERAGE(OFFSET(C6,-$F$3,-1,$F$3,1)))</f>
        <v/>
      </c>
      <c r="E6" t="s">
        <v>199</v>
      </c>
      <c r="F6">
        <f>INDEX(E12:E15,MATCH(F5,F12:F15,0))</f>
        <v>3</v>
      </c>
    </row>
    <row r="7" spans="1:6">
      <c r="A7" s="6">
        <v>6</v>
      </c>
      <c r="B7" s="6">
        <v>2269</v>
      </c>
      <c r="C7">
        <f t="shared" ca="1" si="1"/>
        <v>2258.4</v>
      </c>
    </row>
    <row r="8" spans="1:6">
      <c r="A8" s="6">
        <v>7</v>
      </c>
      <c r="B8" s="6">
        <v>2253</v>
      </c>
      <c r="C8">
        <f t="shared" ca="1" si="1"/>
        <v>2262</v>
      </c>
    </row>
    <row r="9" spans="1:6">
      <c r="A9" s="6">
        <v>8</v>
      </c>
      <c r="B9" s="6">
        <v>2263</v>
      </c>
      <c r="C9">
        <f t="shared" ca="1" si="1"/>
        <v>2260</v>
      </c>
    </row>
    <row r="10" spans="1:6">
      <c r="A10" s="6">
        <v>9</v>
      </c>
      <c r="B10" s="6">
        <v>2252</v>
      </c>
      <c r="C10">
        <f t="shared" ca="1" si="1"/>
        <v>2260</v>
      </c>
    </row>
    <row r="11" spans="1:6">
      <c r="A11" s="87">
        <v>10</v>
      </c>
      <c r="C11">
        <f t="shared" ca="1" si="1"/>
        <v>2259.1999999999998</v>
      </c>
      <c r="F11">
        <f ca="1">F4</f>
        <v>66.58999999999952</v>
      </c>
    </row>
    <row r="12" spans="1:6">
      <c r="E12">
        <v>2</v>
      </c>
      <c r="F12">
        <f t="dataTable" ref="F12:F15" dt2D="0" dtr="0" r1="F3" ca="1"/>
        <v>54.071428571428569</v>
      </c>
    </row>
    <row r="13" spans="1:6">
      <c r="E13">
        <v>3</v>
      </c>
      <c r="F13">
        <v>45.870370370369592</v>
      </c>
    </row>
    <row r="14" spans="1:6">
      <c r="E14">
        <v>4</v>
      </c>
      <c r="F14">
        <v>49.75</v>
      </c>
    </row>
    <row r="15" spans="1:6">
      <c r="E15">
        <v>5</v>
      </c>
      <c r="F15">
        <v>66.58999999999952</v>
      </c>
    </row>
  </sheetData>
  <phoneticPr fontId="9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5</xdr:col>
                    <xdr:colOff>63500</xdr:colOff>
                    <xdr:row>1</xdr:row>
                    <xdr:rowOff>152400</xdr:rowOff>
                  </from>
                  <to>
                    <xdr:col>5</xdr:col>
                    <xdr:colOff>349250</xdr:colOff>
                    <xdr:row>2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4"/>
  <sheetViews>
    <sheetView workbookViewId="0">
      <selection activeCell="D8" sqref="D8"/>
    </sheetView>
  </sheetViews>
  <sheetFormatPr defaultRowHeight="15.5"/>
  <cols>
    <col min="1" max="1" width="2.36328125" style="7" customWidth="1"/>
    <col min="2" max="2" width="9.453125" style="7" bestFit="1" customWidth="1"/>
    <col min="3" max="4" width="10.6328125" style="7" customWidth="1"/>
    <col min="5" max="5" width="9.453125" style="7" customWidth="1"/>
    <col min="6" max="8" width="7.6328125" style="8" customWidth="1"/>
    <col min="9" max="9" width="2.90625" style="7" customWidth="1"/>
    <col min="10" max="10" width="25.08984375" style="7" customWidth="1"/>
    <col min="11" max="11" width="10.26953125" style="7" customWidth="1"/>
    <col min="12" max="12" width="9.6328125" style="7" customWidth="1"/>
    <col min="13" max="13" width="11.453125" style="7" bestFit="1" customWidth="1"/>
    <col min="14" max="27" width="9" style="7"/>
  </cols>
  <sheetData>
    <row r="1" spans="2:27" ht="16">
      <c r="G1" s="79" t="s">
        <v>119</v>
      </c>
      <c r="H1" s="79"/>
      <c r="Y1"/>
      <c r="Z1"/>
      <c r="AA1"/>
    </row>
    <row r="2" spans="2:27" ht="16">
      <c r="B2" s="9" t="s">
        <v>120</v>
      </c>
      <c r="C2" s="10"/>
      <c r="D2" s="11">
        <v>3000</v>
      </c>
      <c r="F2" s="49" t="s">
        <v>121</v>
      </c>
      <c r="G2" s="49" t="s">
        <v>122</v>
      </c>
      <c r="H2" s="49" t="s">
        <v>123</v>
      </c>
      <c r="Y2"/>
      <c r="Z2"/>
      <c r="AA2"/>
    </row>
    <row r="3" spans="2:27">
      <c r="F3" s="12">
        <v>0</v>
      </c>
      <c r="G3" s="12">
        <v>45</v>
      </c>
      <c r="H3" s="12">
        <v>30</v>
      </c>
      <c r="Y3"/>
      <c r="Z3"/>
      <c r="AA3"/>
    </row>
    <row r="4" spans="2:27" ht="16">
      <c r="B4" s="13"/>
      <c r="C4" s="14" t="s">
        <v>124</v>
      </c>
      <c r="D4" s="14" t="s">
        <v>125</v>
      </c>
      <c r="F4" s="12">
        <v>2000</v>
      </c>
      <c r="G4" s="12">
        <v>35</v>
      </c>
      <c r="H4" s="12">
        <v>20</v>
      </c>
      <c r="Y4"/>
      <c r="Z4"/>
      <c r="AA4"/>
    </row>
    <row r="5" spans="2:27" ht="16">
      <c r="B5" s="15" t="s">
        <v>39</v>
      </c>
      <c r="C5" s="16">
        <v>15000</v>
      </c>
      <c r="D5" s="16">
        <v>35000</v>
      </c>
      <c r="F5" s="12">
        <v>3000</v>
      </c>
      <c r="G5" s="12">
        <v>25</v>
      </c>
      <c r="H5" s="12">
        <v>15</v>
      </c>
      <c r="Y5"/>
      <c r="Z5"/>
      <c r="AA5"/>
    </row>
    <row r="6" spans="2:27">
      <c r="F6" s="7"/>
      <c r="G6" s="7"/>
      <c r="H6" s="7"/>
    </row>
    <row r="7" spans="2:27">
      <c r="F7" s="7"/>
      <c r="G7" s="7"/>
      <c r="H7" s="7"/>
    </row>
    <row r="8" spans="2:27" ht="16">
      <c r="B8" s="51"/>
      <c r="C8" s="51"/>
      <c r="D8" s="51"/>
      <c r="F8" s="52"/>
    </row>
    <row r="9" spans="2:27" ht="16">
      <c r="B9" s="53"/>
      <c r="G9" s="52"/>
      <c r="H9" s="52"/>
    </row>
    <row r="10" spans="2:27">
      <c r="G10" s="7"/>
      <c r="H10" s="7"/>
    </row>
    <row r="11" spans="2:27">
      <c r="F11" s="54"/>
      <c r="G11" s="55"/>
      <c r="H11" s="7"/>
    </row>
    <row r="12" spans="2:27">
      <c r="F12" s="54"/>
      <c r="G12" s="55"/>
    </row>
    <row r="13" spans="2:27">
      <c r="F13" s="7"/>
      <c r="G13" s="7"/>
      <c r="H13" s="7"/>
    </row>
    <row r="14" spans="2:27">
      <c r="F14" s="7"/>
      <c r="G14" s="7"/>
      <c r="H14" s="7"/>
    </row>
    <row r="15" spans="2:27">
      <c r="D15" s="51"/>
      <c r="F15" s="7"/>
      <c r="G15" s="7"/>
      <c r="H15" s="7"/>
    </row>
    <row r="16" spans="2:27">
      <c r="F16" s="7"/>
      <c r="G16" s="7"/>
      <c r="H16" s="7"/>
    </row>
    <row r="17" spans="3:8">
      <c r="F17" s="7"/>
      <c r="G17" s="7"/>
      <c r="H17" s="7"/>
    </row>
    <row r="18" spans="3:8">
      <c r="F18" s="7"/>
      <c r="G18" s="7"/>
      <c r="H18" s="7"/>
    </row>
    <row r="19" spans="3:8">
      <c r="F19" s="7"/>
      <c r="G19" s="7"/>
      <c r="H19" s="7"/>
    </row>
    <row r="20" spans="3:8">
      <c r="F20" s="7"/>
      <c r="G20" s="7"/>
      <c r="H20" s="7"/>
    </row>
    <row r="21" spans="3:8">
      <c r="F21" s="7"/>
      <c r="G21" s="7"/>
      <c r="H21" s="7"/>
    </row>
    <row r="22" spans="3:8">
      <c r="F22" s="56"/>
      <c r="G22" s="54"/>
    </row>
    <row r="23" spans="3:8" ht="16">
      <c r="C23" s="53"/>
      <c r="F23" s="56"/>
      <c r="G23" s="54"/>
    </row>
    <row r="24" spans="3:8">
      <c r="F24" s="56"/>
      <c r="G24" s="54"/>
    </row>
  </sheetData>
  <mergeCells count="1">
    <mergeCell ref="G1:H1"/>
  </mergeCells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topLeftCell="A22" workbookViewId="0">
      <selection activeCell="J8" sqref="J8"/>
    </sheetView>
  </sheetViews>
  <sheetFormatPr defaultRowHeight="14"/>
  <cols>
    <col min="1" max="1" width="3.08984375" style="76" customWidth="1"/>
    <col min="2" max="2" width="17.26953125" style="76" bestFit="1" customWidth="1"/>
    <col min="3" max="3" width="11" style="76" bestFit="1" customWidth="1"/>
    <col min="4" max="4" width="25.453125" style="76" bestFit="1" customWidth="1"/>
    <col min="5" max="7" width="9" style="76"/>
  </cols>
  <sheetData>
    <row r="1" spans="1:9">
      <c r="A1" s="75"/>
      <c r="B1" s="75"/>
      <c r="C1" s="75"/>
      <c r="D1" s="75"/>
      <c r="H1" s="76"/>
      <c r="I1" s="76"/>
    </row>
    <row r="2" spans="1:9">
      <c r="A2" s="75"/>
      <c r="B2" s="75"/>
      <c r="C2" s="17" t="s">
        <v>40</v>
      </c>
      <c r="D2" s="17" t="s">
        <v>41</v>
      </c>
      <c r="H2" s="76"/>
      <c r="I2" s="76"/>
    </row>
    <row r="3" spans="1:9">
      <c r="A3" s="75"/>
      <c r="B3" s="17" t="s">
        <v>159</v>
      </c>
      <c r="C3" s="18">
        <v>7500</v>
      </c>
      <c r="D3" s="19">
        <f>C3</f>
        <v>7500</v>
      </c>
      <c r="H3" s="76"/>
      <c r="I3" s="76"/>
    </row>
    <row r="4" spans="1:9">
      <c r="A4" s="75"/>
      <c r="B4" s="17" t="s">
        <v>160</v>
      </c>
      <c r="C4" s="19">
        <v>5</v>
      </c>
      <c r="D4" s="19">
        <f>IF(D14&gt;=D9,C4*(1-D10),C4)</f>
        <v>5</v>
      </c>
      <c r="H4" s="76"/>
      <c r="I4" s="76"/>
    </row>
    <row r="5" spans="1:9">
      <c r="A5" s="75"/>
      <c r="B5" s="17" t="s">
        <v>42</v>
      </c>
      <c r="C5" s="20">
        <v>0.9</v>
      </c>
      <c r="D5" s="20">
        <v>0.9</v>
      </c>
      <c r="H5" s="76"/>
      <c r="I5" s="76"/>
    </row>
    <row r="6" spans="1:9">
      <c r="A6" s="75"/>
      <c r="B6" s="17" t="s">
        <v>161</v>
      </c>
      <c r="C6" s="19">
        <v>30</v>
      </c>
      <c r="D6" s="19">
        <f>C6</f>
        <v>30</v>
      </c>
      <c r="H6" s="76"/>
      <c r="I6" s="76"/>
    </row>
    <row r="7" spans="1:9">
      <c r="A7" s="75"/>
      <c r="B7" s="17" t="s">
        <v>162</v>
      </c>
      <c r="C7" s="21"/>
      <c r="D7" s="21"/>
      <c r="H7" s="76"/>
      <c r="I7" s="76"/>
    </row>
    <row r="8" spans="1:9">
      <c r="A8" s="75"/>
      <c r="B8" s="75"/>
      <c r="C8" s="75"/>
      <c r="D8" s="75"/>
      <c r="H8" s="76"/>
      <c r="I8" s="76"/>
    </row>
    <row r="9" spans="1:9">
      <c r="A9" s="75"/>
      <c r="B9" s="17" t="s">
        <v>163</v>
      </c>
      <c r="C9" s="22"/>
      <c r="D9" s="19">
        <v>1800</v>
      </c>
      <c r="H9" s="76"/>
      <c r="I9" s="76"/>
    </row>
    <row r="10" spans="1:9">
      <c r="A10" s="75"/>
      <c r="B10" s="17" t="s">
        <v>43</v>
      </c>
      <c r="C10" s="22"/>
      <c r="D10" s="23">
        <v>0.05</v>
      </c>
      <c r="H10" s="76"/>
      <c r="I10" s="76"/>
    </row>
    <row r="11" spans="1:9">
      <c r="A11" s="75"/>
      <c r="B11" s="17" t="s">
        <v>44</v>
      </c>
      <c r="C11" s="22"/>
      <c r="D11" s="21"/>
      <c r="H11" s="76"/>
      <c r="I11" s="76"/>
    </row>
    <row r="12" spans="1:9">
      <c r="A12" s="75"/>
      <c r="B12" s="75"/>
      <c r="C12" s="75"/>
      <c r="D12" s="75"/>
      <c r="H12" s="76"/>
      <c r="I12" s="76"/>
    </row>
    <row r="13" spans="1:9">
      <c r="A13" s="75"/>
      <c r="B13" s="75"/>
      <c r="C13" s="24" t="s">
        <v>45</v>
      </c>
      <c r="D13" s="24" t="s">
        <v>126</v>
      </c>
      <c r="H13" s="76"/>
      <c r="I13" s="76"/>
    </row>
    <row r="14" spans="1:9">
      <c r="A14" s="75"/>
      <c r="B14" s="24" t="s">
        <v>164</v>
      </c>
      <c r="C14" s="25"/>
      <c r="D14" s="26"/>
      <c r="H14" s="76"/>
      <c r="I14" s="76"/>
    </row>
    <row r="15" spans="1:9">
      <c r="A15" s="75"/>
      <c r="B15" s="24" t="s">
        <v>47</v>
      </c>
      <c r="C15" s="25"/>
      <c r="D15" s="26"/>
      <c r="H15" s="76"/>
      <c r="I15" s="76"/>
    </row>
    <row r="16" spans="1:9">
      <c r="A16" s="75"/>
      <c r="B16" s="24" t="s">
        <v>48</v>
      </c>
      <c r="C16" s="25"/>
      <c r="D16" s="26"/>
      <c r="H16" s="76"/>
      <c r="I16" s="76"/>
    </row>
    <row r="17" spans="1:4">
      <c r="A17" s="75"/>
      <c r="B17" s="24" t="s">
        <v>49</v>
      </c>
      <c r="C17" s="25"/>
      <c r="D17" s="26"/>
    </row>
    <row r="18" spans="1:4" ht="14.5" thickBot="1">
      <c r="A18" s="75"/>
      <c r="B18" s="27" t="s">
        <v>50</v>
      </c>
      <c r="C18" s="25"/>
      <c r="D18" s="25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4"/>
  <sheetViews>
    <sheetView workbookViewId="0">
      <selection activeCell="K13" sqref="K13"/>
    </sheetView>
  </sheetViews>
  <sheetFormatPr defaultRowHeight="15"/>
  <cols>
    <col min="1" max="1" width="4.453125" style="60" bestFit="1" customWidth="1"/>
    <col min="2" max="2" width="27" style="60" customWidth="1"/>
    <col min="3" max="3" width="13.7265625" style="60" customWidth="1"/>
    <col min="4" max="4" width="9" style="60"/>
    <col min="5" max="5" width="11" style="60" customWidth="1"/>
    <col min="6" max="6" width="13" style="60" bestFit="1" customWidth="1"/>
    <col min="7" max="20" width="9" style="60"/>
  </cols>
  <sheetData>
    <row r="1" spans="1:10">
      <c r="A1" s="60" t="s">
        <v>137</v>
      </c>
      <c r="B1" s="61"/>
      <c r="C1" s="61"/>
      <c r="D1" s="61"/>
      <c r="E1" s="61"/>
      <c r="F1" s="61"/>
      <c r="G1" s="61"/>
      <c r="H1" s="61"/>
      <c r="I1" s="62"/>
      <c r="J1" s="61"/>
    </row>
    <row r="2" spans="1:10" ht="16">
      <c r="B2" s="63" t="s">
        <v>138</v>
      </c>
      <c r="C2" s="64">
        <v>100000</v>
      </c>
      <c r="D2" s="61"/>
      <c r="E2" s="61"/>
      <c r="F2" s="61"/>
      <c r="G2" s="61"/>
      <c r="H2" s="61"/>
      <c r="I2" s="62"/>
      <c r="J2" s="61"/>
    </row>
    <row r="3" spans="1:10" ht="16">
      <c r="B3" s="63" t="s">
        <v>139</v>
      </c>
      <c r="C3" s="64">
        <v>9000</v>
      </c>
      <c r="D3" s="61"/>
      <c r="E3" s="61"/>
      <c r="F3" s="61"/>
      <c r="G3" s="61"/>
      <c r="H3" s="61"/>
      <c r="I3" s="62"/>
      <c r="J3" s="61"/>
    </row>
    <row r="4" spans="1:10" ht="16">
      <c r="B4" s="63" t="s">
        <v>140</v>
      </c>
      <c r="C4" s="64">
        <v>1000</v>
      </c>
      <c r="D4" s="61"/>
      <c r="E4" s="61"/>
      <c r="F4" s="61"/>
      <c r="G4" s="61"/>
      <c r="H4" s="61"/>
      <c r="I4" s="62"/>
      <c r="J4" s="61"/>
    </row>
    <row r="5" spans="1:10" ht="16">
      <c r="B5" s="63" t="s">
        <v>141</v>
      </c>
      <c r="C5" s="64">
        <v>1000</v>
      </c>
      <c r="D5" s="61"/>
      <c r="E5" s="61"/>
      <c r="F5" s="61"/>
      <c r="G5" s="61"/>
      <c r="H5" s="61"/>
      <c r="I5" s="62"/>
      <c r="J5" s="61"/>
    </row>
    <row r="6" spans="1:10" ht="16">
      <c r="B6" s="63" t="s">
        <v>142</v>
      </c>
      <c r="C6" s="64">
        <v>77000</v>
      </c>
      <c r="D6" s="61"/>
      <c r="E6" s="61"/>
      <c r="F6" s="61"/>
      <c r="G6" s="61"/>
      <c r="H6" s="61"/>
      <c r="I6" s="62"/>
      <c r="J6" s="61"/>
    </row>
    <row r="7" spans="1:10" ht="16">
      <c r="B7" s="63" t="s">
        <v>143</v>
      </c>
      <c r="C7" s="65"/>
      <c r="D7" s="61"/>
      <c r="E7" s="61"/>
      <c r="F7" s="61"/>
      <c r="G7" s="61"/>
      <c r="H7" s="62"/>
    </row>
    <row r="8" spans="1:10">
      <c r="A8" s="61" t="s">
        <v>144</v>
      </c>
      <c r="D8" s="61"/>
      <c r="E8" s="61"/>
      <c r="F8" s="61"/>
      <c r="G8" s="61"/>
      <c r="H8" s="62"/>
    </row>
    <row r="9" spans="1:10">
      <c r="A9" s="61"/>
      <c r="B9" s="63" t="s">
        <v>145</v>
      </c>
      <c r="C9" s="66">
        <v>200000</v>
      </c>
      <c r="D9" s="61"/>
      <c r="E9" s="61"/>
      <c r="F9" s="61"/>
      <c r="G9" s="61"/>
      <c r="H9" s="62"/>
    </row>
    <row r="10" spans="1:10">
      <c r="A10" s="61"/>
      <c r="B10" s="63" t="s">
        <v>146</v>
      </c>
      <c r="C10" s="66">
        <v>5000</v>
      </c>
      <c r="D10" s="61"/>
      <c r="E10" s="61"/>
      <c r="F10" s="61"/>
      <c r="G10" s="61"/>
      <c r="H10" s="62"/>
    </row>
    <row r="11" spans="1:10">
      <c r="A11" s="61"/>
      <c r="B11" s="63" t="s">
        <v>147</v>
      </c>
      <c r="C11" s="66">
        <v>10</v>
      </c>
      <c r="D11" s="61"/>
      <c r="E11" s="61"/>
      <c r="F11" s="61"/>
      <c r="G11" s="61"/>
      <c r="H11" s="62"/>
    </row>
    <row r="12" spans="1:10">
      <c r="A12" s="61"/>
      <c r="B12" s="63" t="s">
        <v>148</v>
      </c>
      <c r="C12" s="67">
        <v>0.08</v>
      </c>
      <c r="D12" s="61"/>
      <c r="E12" s="61"/>
      <c r="F12" s="61"/>
      <c r="G12" s="61"/>
      <c r="H12" s="62"/>
    </row>
    <row r="13" spans="1:10" ht="16">
      <c r="A13" s="61"/>
      <c r="B13" s="63" t="s">
        <v>149</v>
      </c>
      <c r="C13" s="68"/>
      <c r="D13" s="61"/>
      <c r="E13" s="61"/>
      <c r="F13" s="61"/>
      <c r="G13" s="61"/>
      <c r="H13" s="62"/>
    </row>
    <row r="14" spans="1:10">
      <c r="A14" s="61"/>
      <c r="B14" s="61"/>
      <c r="C14" s="61"/>
      <c r="D14" s="61"/>
      <c r="E14" s="61"/>
      <c r="F14" s="61"/>
      <c r="G14" s="61"/>
      <c r="H14" s="62"/>
    </row>
    <row r="15" spans="1:10">
      <c r="A15" s="60" t="s">
        <v>150</v>
      </c>
      <c r="D15" s="61"/>
      <c r="E15" s="61"/>
      <c r="F15" s="61"/>
      <c r="G15" s="61"/>
      <c r="H15" s="62"/>
    </row>
    <row r="16" spans="1:10">
      <c r="B16" s="63" t="s">
        <v>151</v>
      </c>
      <c r="C16" s="69">
        <v>100000</v>
      </c>
      <c r="D16" s="61"/>
      <c r="E16" s="61"/>
      <c r="F16" s="61"/>
      <c r="G16" s="62"/>
      <c r="H16" s="62"/>
      <c r="I16" s="62"/>
      <c r="J16" s="61"/>
    </row>
    <row r="17" spans="1:10">
      <c r="B17" s="63" t="s">
        <v>148</v>
      </c>
      <c r="C17" s="70">
        <v>0.1</v>
      </c>
      <c r="D17" s="61"/>
      <c r="E17" s="61"/>
      <c r="F17" s="61"/>
      <c r="J17" s="61"/>
    </row>
    <row r="18" spans="1:10">
      <c r="B18" s="63" t="s">
        <v>152</v>
      </c>
      <c r="C18" s="69">
        <v>2500</v>
      </c>
      <c r="D18" s="61"/>
      <c r="E18" s="61"/>
      <c r="F18" s="61"/>
    </row>
    <row r="19" spans="1:10" ht="16">
      <c r="B19" s="63" t="s">
        <v>153</v>
      </c>
      <c r="C19" s="68"/>
      <c r="D19" s="61"/>
      <c r="E19" s="61"/>
      <c r="F19" s="61"/>
    </row>
    <row r="20" spans="1:10">
      <c r="D20" s="61"/>
      <c r="E20" s="61"/>
      <c r="F20" s="71"/>
    </row>
    <row r="21" spans="1:10" ht="15.5">
      <c r="A21" s="60" t="s">
        <v>154</v>
      </c>
      <c r="B21" s="72" t="s">
        <v>155</v>
      </c>
      <c r="C21" s="69">
        <v>100000</v>
      </c>
      <c r="D21" s="61"/>
      <c r="E21" s="61"/>
      <c r="F21" s="61"/>
    </row>
    <row r="22" spans="1:10" ht="15.5">
      <c r="B22" s="72" t="s">
        <v>156</v>
      </c>
      <c r="C22" s="69">
        <v>10000</v>
      </c>
      <c r="D22" s="61"/>
      <c r="E22" s="61"/>
      <c r="F22" s="61"/>
    </row>
    <row r="23" spans="1:10" ht="16">
      <c r="B23" s="73" t="s">
        <v>157</v>
      </c>
      <c r="C23" s="69">
        <v>5</v>
      </c>
      <c r="E23" s="61"/>
    </row>
    <row r="24" spans="1:10">
      <c r="B24" s="5" t="s">
        <v>158</v>
      </c>
      <c r="C24" s="74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20"/>
  <sheetViews>
    <sheetView topLeftCell="A10" workbookViewId="0">
      <selection activeCell="F20" sqref="F20"/>
    </sheetView>
  </sheetViews>
  <sheetFormatPr defaultRowHeight="14"/>
  <cols>
    <col min="1" max="1" width="7.08984375" bestFit="1" customWidth="1"/>
    <col min="2" max="2" width="11.6328125" bestFit="1" customWidth="1"/>
    <col min="3" max="3" width="9.08984375" customWidth="1"/>
    <col min="4" max="4" width="2" customWidth="1"/>
    <col min="5" max="5" width="15.6328125" bestFit="1" customWidth="1"/>
    <col min="6" max="6" width="10.90625" bestFit="1" customWidth="1"/>
    <col min="7" max="7" width="2.26953125" customWidth="1"/>
    <col min="9" max="9" width="11.6328125" bestFit="1" customWidth="1"/>
  </cols>
  <sheetData>
    <row r="2" spans="1:9" ht="39">
      <c r="A2" s="57" t="s">
        <v>127</v>
      </c>
      <c r="B2" s="58" t="s">
        <v>128</v>
      </c>
      <c r="C2" s="58" t="s">
        <v>129</v>
      </c>
      <c r="E2" s="28"/>
      <c r="F2" s="29" t="s">
        <v>51</v>
      </c>
    </row>
    <row r="3" spans="1:9">
      <c r="A3" s="57">
        <v>1</v>
      </c>
      <c r="B3" s="57">
        <v>113</v>
      </c>
      <c r="C3" s="57">
        <v>3258</v>
      </c>
      <c r="E3" s="28" t="s">
        <v>52</v>
      </c>
      <c r="F3" s="30">
        <v>40000</v>
      </c>
    </row>
    <row r="4" spans="1:9">
      <c r="A4" s="57">
        <v>2</v>
      </c>
      <c r="B4" s="57">
        <v>250</v>
      </c>
      <c r="C4" s="57">
        <v>2952</v>
      </c>
      <c r="E4" s="28" t="s">
        <v>130</v>
      </c>
      <c r="F4" s="31">
        <v>120</v>
      </c>
    </row>
    <row r="5" spans="1:9">
      <c r="A5" s="57">
        <v>3</v>
      </c>
      <c r="B5" s="57">
        <v>280</v>
      </c>
      <c r="C5" s="57">
        <v>2800</v>
      </c>
      <c r="E5" s="28" t="s">
        <v>131</v>
      </c>
      <c r="F5" s="31"/>
    </row>
    <row r="6" spans="1:9">
      <c r="A6" s="57">
        <v>4</v>
      </c>
      <c r="B6" s="57">
        <v>433</v>
      </c>
      <c r="C6" s="57">
        <v>2350</v>
      </c>
      <c r="E6" s="28" t="s">
        <v>132</v>
      </c>
      <c r="F6" s="32"/>
      <c r="I6" s="59"/>
    </row>
    <row r="7" spans="1:9">
      <c r="A7" s="57">
        <v>5</v>
      </c>
      <c r="B7" s="57">
        <v>516</v>
      </c>
      <c r="C7" s="57">
        <v>2280</v>
      </c>
      <c r="E7" s="28" t="s">
        <v>53</v>
      </c>
      <c r="F7" s="33"/>
    </row>
    <row r="8" spans="1:9">
      <c r="A8" s="57">
        <v>6</v>
      </c>
      <c r="B8" s="57">
        <v>633</v>
      </c>
      <c r="C8" s="57">
        <v>2002</v>
      </c>
      <c r="E8" s="28" t="s">
        <v>54</v>
      </c>
      <c r="F8" s="30"/>
    </row>
    <row r="9" spans="1:9">
      <c r="A9" s="57">
        <v>7</v>
      </c>
      <c r="B9" s="57">
        <v>750</v>
      </c>
      <c r="C9" s="57">
        <v>1790</v>
      </c>
      <c r="E9" s="28" t="s">
        <v>133</v>
      </c>
      <c r="F9" s="30"/>
    </row>
    <row r="10" spans="1:9">
      <c r="A10" s="57">
        <v>8</v>
      </c>
      <c r="B10" s="57">
        <v>755</v>
      </c>
      <c r="C10" s="57">
        <v>1690</v>
      </c>
      <c r="E10" s="28" t="s">
        <v>55</v>
      </c>
      <c r="F10" s="30"/>
    </row>
    <row r="11" spans="1:9">
      <c r="A11" s="57">
        <v>9</v>
      </c>
      <c r="B11" s="57">
        <v>889</v>
      </c>
      <c r="C11" s="57">
        <v>1380</v>
      </c>
      <c r="E11" s="28" t="s">
        <v>56</v>
      </c>
      <c r="F11" s="30"/>
    </row>
    <row r="12" spans="1:9">
      <c r="A12" s="57">
        <v>10</v>
      </c>
      <c r="B12" s="57">
        <v>997</v>
      </c>
      <c r="C12" s="57">
        <v>1220</v>
      </c>
    </row>
    <row r="13" spans="1:9" ht="15">
      <c r="A13" s="57">
        <v>11</v>
      </c>
      <c r="B13" s="57">
        <v>1106</v>
      </c>
      <c r="C13" s="57">
        <v>860</v>
      </c>
      <c r="E13" s="28" t="s">
        <v>134</v>
      </c>
      <c r="F13" s="30"/>
    </row>
    <row r="14" spans="1:9">
      <c r="A14" s="57">
        <v>12</v>
      </c>
      <c r="B14" s="57">
        <v>1206</v>
      </c>
      <c r="C14" s="57">
        <v>670</v>
      </c>
      <c r="E14" s="28" t="s">
        <v>135</v>
      </c>
      <c r="F14" s="30"/>
    </row>
    <row r="15" spans="1:9">
      <c r="A15" s="57">
        <v>13</v>
      </c>
      <c r="B15" s="57">
        <v>1326</v>
      </c>
      <c r="C15" s="57">
        <v>550</v>
      </c>
    </row>
    <row r="16" spans="1:9">
      <c r="A16" s="57">
        <v>14</v>
      </c>
      <c r="B16" s="57">
        <v>1411</v>
      </c>
      <c r="C16" s="57">
        <v>358</v>
      </c>
    </row>
    <row r="20" spans="2:2">
      <c r="B20" s="59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9"/>
  <sheetViews>
    <sheetView workbookViewId="0">
      <pane ySplit="1" topLeftCell="A2" activePane="bottomLeft" state="frozen"/>
      <selection pane="bottomLeft" activeCell="B11" sqref="B11"/>
    </sheetView>
  </sheetViews>
  <sheetFormatPr defaultColWidth="9" defaultRowHeight="14"/>
  <cols>
    <col min="1" max="1" width="2.26953125" style="1" customWidth="1"/>
    <col min="2" max="2" width="19.26953125" style="1" bestFit="1" customWidth="1"/>
    <col min="3" max="3" width="12.7265625" style="1" bestFit="1" customWidth="1"/>
    <col min="4" max="16384" width="9" style="1"/>
  </cols>
  <sheetData>
    <row r="3" spans="2:6">
      <c r="B3" s="34" t="s">
        <v>57</v>
      </c>
      <c r="C3" s="35">
        <v>400</v>
      </c>
      <c r="D3" s="36"/>
      <c r="E3" s="37" t="s">
        <v>58</v>
      </c>
      <c r="F3" s="38" t="s">
        <v>59</v>
      </c>
    </row>
    <row r="4" spans="2:6">
      <c r="B4" s="39" t="s">
        <v>136</v>
      </c>
      <c r="C4" s="40">
        <v>300</v>
      </c>
      <c r="D4" s="36"/>
      <c r="E4" s="38">
        <v>50</v>
      </c>
      <c r="F4" s="41">
        <v>0.05</v>
      </c>
    </row>
    <row r="5" spans="2:6">
      <c r="B5" s="39" t="s">
        <v>165</v>
      </c>
      <c r="C5" s="77">
        <f ca="1">0.06+(0.1-0.06)*RAND()</f>
        <v>8.769757402997351E-2</v>
      </c>
      <c r="D5" s="36"/>
      <c r="E5" s="38">
        <v>51</v>
      </c>
      <c r="F5" s="41">
        <v>0.1</v>
      </c>
    </row>
    <row r="6" spans="2:6">
      <c r="B6" s="39" t="s">
        <v>46</v>
      </c>
      <c r="C6" s="78">
        <f ca="1">_xlfn.POISSON.DIST(200,200,RAND())</f>
        <v>0.51879430967868445</v>
      </c>
      <c r="D6" s="36"/>
      <c r="E6" s="38">
        <v>52</v>
      </c>
      <c r="F6" s="41">
        <v>0.3</v>
      </c>
    </row>
    <row r="7" spans="2:6">
      <c r="B7" s="42" t="s">
        <v>166</v>
      </c>
      <c r="C7" s="43"/>
      <c r="D7" s="44"/>
      <c r="E7" s="38">
        <v>53</v>
      </c>
      <c r="F7" s="45">
        <v>0.22</v>
      </c>
    </row>
    <row r="8" spans="2:6">
      <c r="B8" s="46"/>
      <c r="C8" s="46"/>
      <c r="D8" s="47"/>
      <c r="E8" s="38">
        <v>54</v>
      </c>
      <c r="F8" s="48">
        <v>0.18</v>
      </c>
    </row>
    <row r="9" spans="2:6">
      <c r="B9" s="46"/>
      <c r="C9" s="46"/>
      <c r="D9" s="46"/>
      <c r="E9" s="38">
        <v>55</v>
      </c>
      <c r="F9" s="48">
        <v>0.15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615C88-B020-4419-9360-61AA58C6A9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第1题</vt:lpstr>
      <vt:lpstr>Sheet3</vt:lpstr>
      <vt:lpstr>第2题</vt:lpstr>
      <vt:lpstr>第3题</vt:lpstr>
      <vt:lpstr>第4题</vt:lpstr>
      <vt:lpstr>第5题</vt:lpstr>
      <vt:lpstr>第6题</vt:lpstr>
      <vt:lpstr>第7题</vt:lpstr>
      <vt:lpstr>第8题</vt:lpstr>
      <vt:lpstr>第2题!提取</vt:lpstr>
    </vt:vector>
  </TitlesOfParts>
  <Company>上海财经大学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CaoFeng</dc:creator>
  <cp:lastModifiedBy>尤洁</cp:lastModifiedBy>
  <cp:lastPrinted>2019-06-08T02:15:47Z</cp:lastPrinted>
  <dcterms:created xsi:type="dcterms:W3CDTF">2010-12-28T07:11:34Z</dcterms:created>
  <dcterms:modified xsi:type="dcterms:W3CDTF">2021-04-21T15:09:46Z</dcterms:modified>
</cp:coreProperties>
</file>